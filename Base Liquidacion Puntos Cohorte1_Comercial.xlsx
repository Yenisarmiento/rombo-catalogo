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lkbancadeinversion-my.sharepoint.com/personal/ysarmiento_rombo_tech/Documents/Escritorio/Iberoamericana/rombo-catalogo/"/>
    </mc:Choice>
  </mc:AlternateContent>
  <xr:revisionPtr revIDLastSave="7" documentId="8_{30167626-B481-42B4-A63C-5C5903A58376}" xr6:coauthVersionLast="47" xr6:coauthVersionMax="47" xr10:uidLastSave="{ABAFC54E-A4C0-42F7-8986-9431C10E9E00}"/>
  <bookViews>
    <workbookView xWindow="-28920" yWindow="-120" windowWidth="29040" windowHeight="15720" xr2:uid="{11089C9B-6C6E-467E-913B-277EB4C1F9F5}"/>
  </bookViews>
  <sheets>
    <sheet name="Bbdd" sheetId="1" r:id="rId1"/>
    <sheet name="Hoja2" sheetId="4" r:id="rId2"/>
    <sheet name="Puntos" sheetId="2" r:id="rId3"/>
    <sheet name="Hoja3" sheetId="5" r:id="rId4"/>
  </sheets>
  <externalReferences>
    <externalReference r:id="rId5"/>
  </externalReferences>
  <definedNames>
    <definedName name="_xlnm._FilterDatabase" localSheetId="0" hidden="1">Bbdd!$A$1:$X$4580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049" i="1" l="1"/>
  <c r="T4548" i="1"/>
  <c r="T505" i="1"/>
  <c r="T504" i="1"/>
  <c r="T4556" i="1"/>
  <c r="T4505" i="1"/>
  <c r="T503" i="1"/>
  <c r="T500" i="1"/>
  <c r="T365" i="1"/>
  <c r="T502" i="1"/>
  <c r="T501" i="1"/>
  <c r="T2070" i="1"/>
  <c r="T499" i="1"/>
  <c r="T4563" i="1"/>
  <c r="T486" i="1"/>
  <c r="T1989" i="1"/>
  <c r="T498" i="1"/>
  <c r="T495" i="1"/>
  <c r="T414" i="1"/>
  <c r="T496" i="1"/>
  <c r="T1758" i="1"/>
  <c r="T497" i="1"/>
  <c r="T4574" i="1"/>
  <c r="T4555" i="1"/>
  <c r="T2073" i="1"/>
  <c r="T4553" i="1"/>
  <c r="T4559" i="1"/>
  <c r="T1926" i="1"/>
  <c r="T489" i="1"/>
  <c r="T4527" i="1"/>
  <c r="T4557" i="1"/>
  <c r="T4549" i="1"/>
  <c r="T449" i="1"/>
  <c r="T4460" i="1"/>
  <c r="T480" i="1"/>
  <c r="T2069" i="1"/>
  <c r="T2072" i="1"/>
  <c r="T4288" i="1"/>
  <c r="T4577" i="1"/>
  <c r="T4256" i="1"/>
  <c r="T4566" i="1"/>
  <c r="T2062" i="1"/>
  <c r="T1980" i="1"/>
  <c r="T2074" i="1"/>
  <c r="T2016" i="1"/>
  <c r="T2085" i="1"/>
  <c r="T4578" i="1"/>
  <c r="T494" i="1"/>
  <c r="T493" i="1"/>
  <c r="T2080" i="1"/>
  <c r="T491" i="1"/>
  <c r="T477" i="1"/>
  <c r="T2045" i="1"/>
  <c r="T4421" i="1"/>
  <c r="T2086" i="1"/>
  <c r="T412" i="1"/>
  <c r="T4542" i="1"/>
  <c r="T492" i="1"/>
  <c r="T4579" i="1"/>
  <c r="T4550" i="1"/>
  <c r="T4580" i="1"/>
  <c r="T490" i="1"/>
  <c r="T4495" i="1"/>
  <c r="T2075" i="1"/>
  <c r="T4552" i="1"/>
  <c r="T4575" i="1"/>
  <c r="T2067" i="1"/>
  <c r="T1967" i="1"/>
  <c r="T4524" i="1"/>
  <c r="T2071" i="1"/>
  <c r="T2081" i="1"/>
  <c r="T4576" i="1"/>
  <c r="T2068" i="1"/>
  <c r="T457" i="1"/>
  <c r="T2061" i="1"/>
  <c r="T4568" i="1"/>
  <c r="T2053" i="1"/>
  <c r="T2079" i="1"/>
  <c r="T4567" i="1"/>
  <c r="T2083" i="1"/>
  <c r="T4570" i="1"/>
  <c r="T2084" i="1"/>
  <c r="T4565" i="1"/>
  <c r="T4572" i="1"/>
  <c r="T4573" i="1"/>
  <c r="T4547" i="1"/>
  <c r="T2014" i="1"/>
  <c r="T4487" i="1"/>
  <c r="T2077" i="1"/>
  <c r="T4554" i="1"/>
  <c r="T4571" i="1"/>
  <c r="T2078" i="1"/>
  <c r="T487" i="1"/>
  <c r="T4569" i="1"/>
  <c r="T4558" i="1"/>
  <c r="T462" i="1"/>
  <c r="T2005" i="1"/>
  <c r="T1915" i="1"/>
  <c r="T1886" i="1"/>
  <c r="T4521" i="1"/>
  <c r="T2065" i="1"/>
  <c r="T428" i="1"/>
  <c r="T4486" i="1"/>
  <c r="T4332" i="1"/>
  <c r="T485" i="1"/>
  <c r="T2082" i="1"/>
  <c r="T488" i="1"/>
  <c r="T4564" i="1"/>
  <c r="T4560" i="1"/>
  <c r="T479" i="1"/>
  <c r="T2041" i="1"/>
  <c r="T2060" i="1"/>
  <c r="T1885" i="1"/>
  <c r="T4562" i="1"/>
  <c r="T4561" i="1"/>
  <c r="T4481" i="1"/>
  <c r="T2076" i="1"/>
  <c r="T2054" i="1"/>
  <c r="T4491" i="1"/>
  <c r="T408" i="1"/>
  <c r="T1913" i="1"/>
  <c r="T4452" i="1"/>
  <c r="T2064" i="1"/>
  <c r="T2022" i="1"/>
  <c r="T2017" i="1"/>
  <c r="T4537" i="1"/>
  <c r="T483" i="1"/>
  <c r="T4544" i="1"/>
  <c r="T4543" i="1"/>
  <c r="T4520" i="1"/>
  <c r="T2038" i="1"/>
  <c r="T484" i="1"/>
  <c r="T482" i="1"/>
  <c r="T4541" i="1"/>
  <c r="T2039" i="1"/>
  <c r="T4540" i="1"/>
  <c r="T437" i="1"/>
  <c r="T2066" i="1"/>
  <c r="T4545" i="1"/>
  <c r="T4538" i="1"/>
  <c r="T2050" i="1"/>
  <c r="T481" i="1"/>
  <c r="T2034" i="1"/>
  <c r="T4551" i="1"/>
  <c r="T2042" i="1"/>
  <c r="T4484" i="1"/>
  <c r="T473" i="1"/>
  <c r="T478" i="1"/>
  <c r="T2018" i="1"/>
  <c r="T2046" i="1"/>
  <c r="T4535" i="1"/>
  <c r="T4546" i="1"/>
  <c r="T4536" i="1"/>
  <c r="T2047" i="1"/>
  <c r="T4534" i="1"/>
  <c r="T1998" i="1"/>
  <c r="T2063" i="1"/>
  <c r="T2043" i="1"/>
  <c r="T2059" i="1"/>
  <c r="T4467" i="1"/>
  <c r="T4532" i="1"/>
  <c r="T2058" i="1"/>
  <c r="T4539" i="1"/>
  <c r="T4398" i="1"/>
  <c r="T4528" i="1"/>
  <c r="T2035" i="1"/>
  <c r="T2056" i="1"/>
  <c r="T2055" i="1"/>
  <c r="T4530" i="1"/>
  <c r="T2057" i="1"/>
  <c r="T2025" i="1"/>
  <c r="T4468" i="1"/>
  <c r="T4479" i="1"/>
  <c r="T4526" i="1"/>
  <c r="T4533" i="1"/>
  <c r="T2052" i="1"/>
  <c r="T2036" i="1"/>
  <c r="T4531" i="1"/>
  <c r="T4529" i="1"/>
  <c r="T4503" i="1"/>
  <c r="T2023" i="1"/>
  <c r="T2051" i="1"/>
  <c r="T4523" i="1"/>
  <c r="T4494" i="1"/>
  <c r="T4472" i="1"/>
  <c r="T2048" i="1"/>
  <c r="T4459" i="1"/>
  <c r="T1973" i="1"/>
  <c r="T4525" i="1"/>
  <c r="T2044" i="1"/>
  <c r="T4508" i="1"/>
  <c r="T2021" i="1"/>
  <c r="T4335" i="1"/>
  <c r="T4522" i="1"/>
  <c r="T367" i="1"/>
  <c r="T2009" i="1"/>
  <c r="T476" i="1"/>
  <c r="T1952" i="1"/>
  <c r="T4519" i="1"/>
  <c r="T1993" i="1"/>
  <c r="T4511" i="1"/>
  <c r="T4518" i="1"/>
  <c r="T4490" i="1"/>
  <c r="T4453" i="1"/>
  <c r="T2037" i="1"/>
  <c r="T4512" i="1"/>
  <c r="T2026" i="1"/>
  <c r="T4514" i="1"/>
  <c r="T475" i="1"/>
  <c r="T1961" i="1"/>
  <c r="T1978" i="1"/>
  <c r="T4513" i="1"/>
  <c r="T4492" i="1"/>
  <c r="T2040" i="1"/>
  <c r="T2032" i="1"/>
  <c r="T4510" i="1"/>
  <c r="T4501" i="1"/>
  <c r="T4517" i="1"/>
  <c r="T4391" i="1"/>
  <c r="T466" i="1"/>
  <c r="T2008" i="1"/>
  <c r="T2015" i="1"/>
  <c r="T474" i="1"/>
  <c r="T2028" i="1"/>
  <c r="T1994" i="1"/>
  <c r="T465" i="1"/>
  <c r="T4516" i="1"/>
  <c r="T4281" i="1"/>
  <c r="T4515" i="1"/>
  <c r="T4464" i="1"/>
  <c r="T368" i="1"/>
  <c r="T2033" i="1"/>
  <c r="T470" i="1"/>
  <c r="T2031" i="1"/>
  <c r="T4509" i="1"/>
  <c r="T4507" i="1"/>
  <c r="T2030" i="1"/>
  <c r="T4441" i="1"/>
  <c r="T4506" i="1"/>
  <c r="T463" i="1"/>
  <c r="T4504" i="1"/>
  <c r="T2020" i="1"/>
  <c r="T4386" i="1"/>
  <c r="T1969" i="1"/>
  <c r="T4470" i="1"/>
  <c r="T4478" i="1"/>
  <c r="T4493" i="1"/>
  <c r="T4502" i="1"/>
  <c r="T1963" i="1"/>
  <c r="T4500" i="1"/>
  <c r="T469" i="1"/>
  <c r="T2011" i="1"/>
  <c r="T2027" i="1"/>
  <c r="T1990" i="1"/>
  <c r="T2029" i="1"/>
  <c r="T1979" i="1"/>
  <c r="T2024" i="1"/>
  <c r="T4233" i="1"/>
  <c r="T404" i="1"/>
  <c r="T471" i="1"/>
  <c r="T4498" i="1"/>
  <c r="T2002" i="1"/>
  <c r="T4422" i="1"/>
  <c r="T4499" i="1"/>
  <c r="T4496" i="1"/>
  <c r="T1984" i="1"/>
  <c r="T1985" i="1"/>
  <c r="T4483" i="1"/>
  <c r="T4436" i="1"/>
  <c r="T467" i="1"/>
  <c r="T2019" i="1"/>
  <c r="T4497" i="1"/>
  <c r="T464" i="1"/>
  <c r="T472" i="1"/>
  <c r="T1966" i="1"/>
  <c r="T1964" i="1"/>
  <c r="T4475" i="1"/>
  <c r="T1999" i="1"/>
  <c r="T4367" i="1"/>
  <c r="T468" i="1"/>
  <c r="T1981" i="1"/>
  <c r="T396" i="1"/>
  <c r="T4407" i="1"/>
  <c r="T4473" i="1"/>
  <c r="T4404" i="1"/>
  <c r="T4489" i="1"/>
  <c r="T2013" i="1"/>
  <c r="T459" i="1"/>
  <c r="T4480" i="1"/>
  <c r="T425" i="1"/>
  <c r="T4311" i="1"/>
  <c r="T4438" i="1"/>
  <c r="T2010" i="1"/>
  <c r="T4482" i="1"/>
  <c r="T2006" i="1"/>
  <c r="T440" i="1"/>
  <c r="T4488" i="1"/>
  <c r="T4471" i="1"/>
  <c r="T4458" i="1"/>
  <c r="T4466" i="1"/>
  <c r="T4411" i="1"/>
  <c r="T410" i="1"/>
  <c r="T4477" i="1"/>
  <c r="T2012" i="1"/>
  <c r="T431" i="1"/>
  <c r="T4447" i="1"/>
  <c r="T2007" i="1"/>
  <c r="T4485" i="1"/>
  <c r="T4451" i="1"/>
  <c r="T1927" i="1"/>
  <c r="T458" i="1"/>
  <c r="T1959" i="1"/>
  <c r="T456" i="1"/>
  <c r="T452" i="1"/>
  <c r="T4444" i="1"/>
  <c r="T4440" i="1"/>
  <c r="T4476" i="1"/>
  <c r="T4474" i="1"/>
  <c r="T429" i="1"/>
  <c r="T4461" i="1"/>
  <c r="T1971" i="1"/>
  <c r="T4469" i="1"/>
  <c r="T1890" i="1"/>
  <c r="T4462" i="1"/>
  <c r="T4410" i="1"/>
  <c r="T1965" i="1"/>
  <c r="T460" i="1"/>
  <c r="T461" i="1"/>
  <c r="T413" i="1"/>
  <c r="T2004" i="1"/>
  <c r="T361" i="1"/>
  <c r="T2003" i="1"/>
  <c r="T1992" i="1"/>
  <c r="T1892" i="1"/>
  <c r="T4456" i="1"/>
  <c r="T1997" i="1"/>
  <c r="T4463" i="1"/>
  <c r="T4457" i="1"/>
  <c r="T4455" i="1"/>
  <c r="T1982" i="1"/>
  <c r="T4454" i="1"/>
  <c r="T2001" i="1"/>
  <c r="T450" i="1"/>
  <c r="T2000" i="1"/>
  <c r="T4432" i="1"/>
  <c r="T4465" i="1"/>
  <c r="T1995" i="1"/>
  <c r="T397" i="1"/>
  <c r="T1974" i="1"/>
  <c r="T4378" i="1"/>
  <c r="T1976" i="1"/>
  <c r="T1991" i="1"/>
  <c r="T4426" i="1"/>
  <c r="T1988" i="1"/>
  <c r="T4356" i="1"/>
  <c r="T1996" i="1"/>
  <c r="T357" i="1"/>
  <c r="T4415" i="1"/>
  <c r="T1987" i="1"/>
  <c r="T1951" i="1"/>
  <c r="T451" i="1"/>
  <c r="T4446" i="1"/>
  <c r="T4450" i="1"/>
  <c r="T455" i="1"/>
  <c r="T4448" i="1"/>
  <c r="T4437" i="1"/>
  <c r="T1928" i="1"/>
  <c r="T443" i="1"/>
  <c r="T4443" i="1"/>
  <c r="T4445" i="1"/>
  <c r="T454" i="1"/>
  <c r="T1922" i="1"/>
  <c r="T4366" i="1"/>
  <c r="T4442" i="1"/>
  <c r="T1947" i="1"/>
  <c r="T1929" i="1"/>
  <c r="T1977" i="1"/>
  <c r="T1810" i="1"/>
  <c r="T4424" i="1"/>
  <c r="T4419" i="1"/>
  <c r="T453" i="1"/>
  <c r="T432" i="1"/>
  <c r="T4395" i="1"/>
  <c r="T426" i="1"/>
  <c r="T4333" i="1"/>
  <c r="T1986" i="1"/>
  <c r="T1983" i="1"/>
  <c r="T4439" i="1"/>
  <c r="T4449" i="1"/>
  <c r="T4402" i="1"/>
  <c r="T1968" i="1"/>
  <c r="T1970" i="1"/>
  <c r="T447" i="1"/>
  <c r="T4429" i="1"/>
  <c r="T1975" i="1"/>
  <c r="T4384" i="1"/>
  <c r="T4433" i="1"/>
  <c r="T4315" i="1"/>
  <c r="T446" i="1"/>
  <c r="T4344" i="1"/>
  <c r="T4387" i="1"/>
  <c r="T1972" i="1"/>
  <c r="T4434" i="1"/>
  <c r="T439" i="1"/>
  <c r="T1954" i="1"/>
  <c r="T4435" i="1"/>
  <c r="T1962" i="1"/>
  <c r="T1960" i="1"/>
  <c r="T4251" i="1"/>
  <c r="T1750" i="1"/>
  <c r="T4400" i="1"/>
  <c r="T4431" i="1"/>
  <c r="T4359" i="1"/>
  <c r="T4413" i="1"/>
  <c r="T4428" i="1"/>
  <c r="T1958" i="1"/>
  <c r="T448" i="1"/>
  <c r="T444" i="1"/>
  <c r="T4409" i="1"/>
  <c r="T4420" i="1"/>
  <c r="T1907" i="1"/>
  <c r="T1957" i="1"/>
  <c r="T4354" i="1"/>
  <c r="T4430" i="1"/>
  <c r="T1931" i="1"/>
  <c r="T4408" i="1"/>
  <c r="T1943" i="1"/>
  <c r="T4338" i="1"/>
  <c r="T4427" i="1"/>
  <c r="T1770" i="1"/>
  <c r="T1948" i="1"/>
  <c r="T4423" i="1"/>
  <c r="T4294" i="1"/>
  <c r="T4414" i="1"/>
  <c r="T4308" i="1"/>
  <c r="T4382" i="1"/>
  <c r="T1953" i="1"/>
  <c r="T4412" i="1"/>
  <c r="T4368" i="1"/>
  <c r="T1785" i="1"/>
  <c r="T4396" i="1"/>
  <c r="T4375" i="1"/>
  <c r="T1955" i="1"/>
  <c r="T391" i="1"/>
  <c r="T4418" i="1"/>
  <c r="T4425" i="1"/>
  <c r="T1920" i="1"/>
  <c r="T4403" i="1"/>
  <c r="T4417" i="1"/>
  <c r="T1939" i="1"/>
  <c r="T442" i="1"/>
  <c r="T1896" i="1"/>
  <c r="T1956" i="1"/>
  <c r="T1944" i="1"/>
  <c r="T445" i="1"/>
  <c r="T4392" i="1"/>
  <c r="T4352" i="1"/>
  <c r="T1940" i="1"/>
  <c r="T4416" i="1"/>
  <c r="T1950" i="1"/>
  <c r="T4406" i="1"/>
  <c r="T1941" i="1"/>
  <c r="T1914" i="1"/>
  <c r="T1778" i="1"/>
  <c r="T441" i="1"/>
  <c r="T438" i="1"/>
  <c r="T4385" i="1"/>
  <c r="T375" i="1"/>
  <c r="T1808" i="1"/>
  <c r="T1949" i="1"/>
  <c r="T1921" i="1"/>
  <c r="T1937" i="1"/>
  <c r="T1935" i="1"/>
  <c r="T1946" i="1"/>
  <c r="T1934" i="1"/>
  <c r="T1942" i="1"/>
  <c r="T4364" i="1"/>
  <c r="T1945" i="1"/>
  <c r="T4399" i="1"/>
  <c r="T4405" i="1"/>
  <c r="T436" i="1"/>
  <c r="T1859" i="1"/>
  <c r="T4401" i="1"/>
  <c r="T1900" i="1"/>
  <c r="T435" i="1"/>
  <c r="T4397" i="1"/>
  <c r="T4365" i="1"/>
  <c r="T433" i="1"/>
  <c r="T1933" i="1"/>
  <c r="T1938" i="1"/>
  <c r="T427" i="1"/>
  <c r="T406" i="1"/>
  <c r="T4388" i="1"/>
  <c r="T4390" i="1"/>
  <c r="T1936" i="1"/>
  <c r="T434" i="1"/>
  <c r="T1868" i="1"/>
  <c r="T4389" i="1"/>
  <c r="T1924" i="1"/>
  <c r="T1930" i="1"/>
  <c r="T4394" i="1"/>
  <c r="T4393" i="1"/>
  <c r="T1932" i="1"/>
  <c r="T1881" i="1"/>
  <c r="T1916" i="1"/>
  <c r="T401" i="1"/>
  <c r="T424" i="1"/>
  <c r="T1925" i="1"/>
  <c r="T373" i="1"/>
  <c r="T1811" i="1"/>
  <c r="T4349" i="1"/>
  <c r="T4383" i="1"/>
  <c r="T423" i="1"/>
  <c r="T1923" i="1"/>
  <c r="T418" i="1"/>
  <c r="T430" i="1"/>
  <c r="T4341" i="1"/>
  <c r="T402" i="1"/>
  <c r="T1816" i="1"/>
  <c r="T4381" i="1"/>
  <c r="T4379" i="1"/>
  <c r="T1918" i="1"/>
  <c r="T4380" i="1"/>
  <c r="T1804" i="1"/>
  <c r="T388" i="1"/>
  <c r="T1910" i="1"/>
  <c r="T1919" i="1"/>
  <c r="T1917" i="1"/>
  <c r="T411" i="1"/>
  <c r="T1875" i="1"/>
  <c r="T384" i="1"/>
  <c r="T4360" i="1"/>
  <c r="T1912" i="1"/>
  <c r="T4351" i="1"/>
  <c r="T4376" i="1"/>
  <c r="T1911" i="1"/>
  <c r="T4336" i="1"/>
  <c r="T417" i="1"/>
  <c r="T4377" i="1"/>
  <c r="T409" i="1"/>
  <c r="T398" i="1"/>
  <c r="T4353" i="1"/>
  <c r="T403" i="1"/>
  <c r="T416" i="1"/>
  <c r="T1839" i="1"/>
  <c r="T4373" i="1"/>
  <c r="T372" i="1"/>
  <c r="T4280" i="1"/>
  <c r="T4362" i="1"/>
  <c r="T4374" i="1"/>
  <c r="T1887" i="1"/>
  <c r="T4210" i="1"/>
  <c r="T1908" i="1"/>
  <c r="T1909" i="1"/>
  <c r="T4372" i="1"/>
  <c r="T1857" i="1"/>
  <c r="T1894" i="1"/>
  <c r="T1874" i="1"/>
  <c r="T1902" i="1"/>
  <c r="T4370" i="1"/>
  <c r="T420" i="1"/>
  <c r="T1786" i="1"/>
  <c r="T1793" i="1"/>
  <c r="T363" i="1"/>
  <c r="T4371" i="1"/>
  <c r="T4369" i="1"/>
  <c r="T1877" i="1"/>
  <c r="T422" i="1"/>
  <c r="T421" i="1"/>
  <c r="T1905" i="1"/>
  <c r="T4363" i="1"/>
  <c r="T1856" i="1"/>
  <c r="T1906" i="1"/>
  <c r="T1904" i="1"/>
  <c r="T1844" i="1"/>
  <c r="T1884" i="1"/>
  <c r="T4304" i="1"/>
  <c r="T1893" i="1"/>
  <c r="T1897" i="1"/>
  <c r="T1863" i="1"/>
  <c r="T419" i="1"/>
  <c r="T1903" i="1"/>
  <c r="T1899" i="1"/>
  <c r="T1798" i="1"/>
  <c r="T1901" i="1"/>
  <c r="T1876" i="1"/>
  <c r="T1898" i="1"/>
  <c r="T1878" i="1"/>
  <c r="T407" i="1"/>
  <c r="T1860" i="1"/>
  <c r="T4299" i="1"/>
  <c r="T1880" i="1"/>
  <c r="T1895" i="1"/>
  <c r="T1891" i="1"/>
  <c r="T358" i="1"/>
  <c r="T1888" i="1"/>
  <c r="T1784" i="1"/>
  <c r="T4355" i="1"/>
  <c r="T1840" i="1"/>
  <c r="T1872" i="1"/>
  <c r="T4248" i="1"/>
  <c r="T1847" i="1"/>
  <c r="T1850" i="1"/>
  <c r="T1869" i="1"/>
  <c r="T1883" i="1"/>
  <c r="T4361" i="1"/>
  <c r="T415" i="1"/>
  <c r="T1889" i="1"/>
  <c r="T4358" i="1"/>
  <c r="T1882" i="1"/>
  <c r="T4339" i="1"/>
  <c r="T1866" i="1"/>
  <c r="T4357" i="1"/>
  <c r="T364" i="1"/>
  <c r="T4242" i="1"/>
  <c r="T1835" i="1"/>
  <c r="T1842" i="1"/>
  <c r="T1870" i="1"/>
  <c r="T1879" i="1"/>
  <c r="T379" i="1"/>
  <c r="T1849" i="1"/>
  <c r="T1743" i="1"/>
  <c r="T4313" i="1"/>
  <c r="T4292" i="1"/>
  <c r="T1865" i="1"/>
  <c r="T1759" i="1"/>
  <c r="T1871" i="1"/>
  <c r="T1873" i="1"/>
  <c r="T1852" i="1"/>
  <c r="T1756" i="1"/>
  <c r="T4350" i="1"/>
  <c r="T1867" i="1"/>
  <c r="T1861" i="1"/>
  <c r="T1828" i="1"/>
  <c r="T399" i="1"/>
  <c r="T4347" i="1"/>
  <c r="T1864" i="1"/>
  <c r="T4345" i="1"/>
  <c r="T1846" i="1"/>
  <c r="T4340" i="1"/>
  <c r="T1803" i="1"/>
  <c r="T1749" i="1"/>
  <c r="T1813" i="1"/>
  <c r="T4246" i="1"/>
  <c r="T4346" i="1"/>
  <c r="T4324" i="1"/>
  <c r="T1858" i="1"/>
  <c r="T1862" i="1"/>
  <c r="T4342" i="1"/>
  <c r="T4348" i="1"/>
  <c r="T354" i="1"/>
  <c r="T4214" i="1"/>
  <c r="T400" i="1"/>
  <c r="T405" i="1"/>
  <c r="T387" i="1"/>
  <c r="T4343" i="1"/>
  <c r="T4323" i="1"/>
  <c r="T1823" i="1"/>
  <c r="T1854" i="1"/>
  <c r="T1853" i="1"/>
  <c r="T4305" i="1"/>
  <c r="T1838" i="1"/>
  <c r="T4309" i="1"/>
  <c r="T4337" i="1"/>
  <c r="T4326" i="1"/>
  <c r="T1826" i="1"/>
  <c r="T1848" i="1"/>
  <c r="T1841" i="1"/>
  <c r="T4328" i="1"/>
  <c r="T4314" i="1"/>
  <c r="T1834" i="1"/>
  <c r="T1855" i="1"/>
  <c r="T4238" i="1"/>
  <c r="T1782" i="1"/>
  <c r="T4264" i="1"/>
  <c r="T1822" i="1"/>
  <c r="T393" i="1"/>
  <c r="T1851" i="1"/>
  <c r="T4329" i="1"/>
  <c r="T1843" i="1"/>
  <c r="T1845" i="1"/>
  <c r="T1836" i="1"/>
  <c r="T1837" i="1"/>
  <c r="T394" i="1"/>
  <c r="T4283" i="1"/>
  <c r="T1818" i="1"/>
  <c r="T4327" i="1"/>
  <c r="T4316" i="1"/>
  <c r="T4289" i="1"/>
  <c r="T4334" i="1"/>
  <c r="T4318" i="1"/>
  <c r="T395" i="1"/>
  <c r="T4217" i="1"/>
  <c r="T4310" i="1"/>
  <c r="T1827" i="1"/>
  <c r="T4322" i="1"/>
  <c r="T1792" i="1"/>
  <c r="T4321" i="1"/>
  <c r="T1831" i="1"/>
  <c r="T4330" i="1"/>
  <c r="T4331" i="1"/>
  <c r="T385" i="1"/>
  <c r="T1832" i="1"/>
  <c r="T386" i="1"/>
  <c r="T1806" i="1"/>
  <c r="T1814" i="1"/>
  <c r="T1795" i="1"/>
  <c r="T4297" i="1"/>
  <c r="T1833" i="1"/>
  <c r="T1760" i="1"/>
  <c r="T4317" i="1"/>
  <c r="T392" i="1"/>
  <c r="T4325" i="1"/>
  <c r="T4320" i="1"/>
  <c r="T1817" i="1"/>
  <c r="T1829" i="1"/>
  <c r="T1815" i="1"/>
  <c r="T1830" i="1"/>
  <c r="T1821" i="1"/>
  <c r="T1754" i="1"/>
  <c r="T4319" i="1"/>
  <c r="T1825" i="1"/>
  <c r="T383" i="1"/>
  <c r="T4312" i="1"/>
  <c r="T390" i="1"/>
  <c r="T4275" i="1"/>
  <c r="T389" i="1"/>
  <c r="T1819" i="1"/>
  <c r="T4300" i="1"/>
  <c r="T1807" i="1"/>
  <c r="T1824" i="1"/>
  <c r="T377" i="1"/>
  <c r="T1820" i="1"/>
  <c r="T4303" i="1"/>
  <c r="T1788" i="1"/>
  <c r="T4279" i="1"/>
  <c r="T1809" i="1"/>
  <c r="T1781" i="1"/>
  <c r="T1771" i="1"/>
  <c r="T4306" i="1"/>
  <c r="T4307" i="1"/>
  <c r="T4268" i="1"/>
  <c r="T1794" i="1"/>
  <c r="T366" i="1"/>
  <c r="T382" i="1"/>
  <c r="T380" i="1"/>
  <c r="T4287" i="1"/>
  <c r="T4301" i="1"/>
  <c r="T4271" i="1"/>
  <c r="T1789" i="1"/>
  <c r="T1812" i="1"/>
  <c r="T1797" i="1"/>
  <c r="T1805" i="1"/>
  <c r="T381" i="1"/>
  <c r="T4295" i="1"/>
  <c r="T4302" i="1"/>
  <c r="T378" i="1"/>
  <c r="T1802" i="1"/>
  <c r="T1799" i="1"/>
  <c r="T4296" i="1"/>
  <c r="T4298" i="1"/>
  <c r="T1751" i="1"/>
  <c r="T1787" i="1"/>
  <c r="T374" i="1"/>
  <c r="T4285" i="1"/>
  <c r="T1796" i="1"/>
  <c r="T1766" i="1"/>
  <c r="T1800" i="1"/>
  <c r="T4240" i="1"/>
  <c r="T371" i="1"/>
  <c r="T369" i="1"/>
  <c r="T1791" i="1"/>
  <c r="T4282" i="1"/>
  <c r="T4192" i="1"/>
  <c r="T4269" i="1"/>
  <c r="T1779" i="1"/>
  <c r="T4265" i="1"/>
  <c r="T355" i="1"/>
  <c r="T376" i="1"/>
  <c r="T356" i="1"/>
  <c r="T1745" i="1"/>
  <c r="T1752" i="1"/>
  <c r="T1777" i="1"/>
  <c r="T360" i="1"/>
  <c r="T1775" i="1"/>
  <c r="T1767" i="1"/>
  <c r="T4237" i="1"/>
  <c r="T353" i="1"/>
  <c r="T370" i="1"/>
  <c r="T4244" i="1"/>
  <c r="T1764" i="1"/>
  <c r="T4254" i="1"/>
  <c r="T1765" i="1"/>
  <c r="T4245" i="1"/>
  <c r="T4270" i="1"/>
  <c r="T362" i="1"/>
  <c r="T359" i="1"/>
  <c r="T4225" i="1"/>
  <c r="T350" i="1"/>
  <c r="T4193" i="1"/>
  <c r="T349" i="1"/>
  <c r="U2049" i="1"/>
  <c r="U4548" i="1"/>
  <c r="U505" i="1"/>
  <c r="U504" i="1"/>
  <c r="U4556" i="1"/>
  <c r="U4505" i="1"/>
  <c r="U503" i="1"/>
  <c r="U500" i="1"/>
  <c r="U365" i="1"/>
  <c r="U502" i="1"/>
  <c r="U501" i="1"/>
  <c r="U2070" i="1"/>
  <c r="U499" i="1"/>
  <c r="U4563" i="1"/>
  <c r="U486" i="1"/>
  <c r="U1989" i="1"/>
  <c r="U498" i="1"/>
  <c r="U495" i="1"/>
  <c r="U414" i="1"/>
  <c r="U496" i="1"/>
  <c r="U1758" i="1"/>
  <c r="U497" i="1"/>
  <c r="U4574" i="1"/>
  <c r="U4555" i="1"/>
  <c r="U2073" i="1"/>
  <c r="U4553" i="1"/>
  <c r="U4559" i="1"/>
  <c r="U1926" i="1"/>
  <c r="U489" i="1"/>
  <c r="U4527" i="1"/>
  <c r="U4557" i="1"/>
  <c r="U4549" i="1"/>
  <c r="U449" i="1"/>
  <c r="U4460" i="1"/>
  <c r="U480" i="1"/>
  <c r="U2069" i="1"/>
  <c r="U2072" i="1"/>
  <c r="U4288" i="1"/>
  <c r="U4577" i="1"/>
  <c r="U4256" i="1"/>
  <c r="U4566" i="1"/>
  <c r="U2062" i="1"/>
  <c r="U1980" i="1"/>
  <c r="U2074" i="1"/>
  <c r="U2016" i="1"/>
  <c r="U2085" i="1"/>
  <c r="U4578" i="1"/>
  <c r="U494" i="1"/>
  <c r="U493" i="1"/>
  <c r="U2080" i="1"/>
  <c r="U491" i="1"/>
  <c r="U477" i="1"/>
  <c r="U2045" i="1"/>
  <c r="U4421" i="1"/>
  <c r="U2086" i="1"/>
  <c r="U412" i="1"/>
  <c r="U4542" i="1"/>
  <c r="U492" i="1"/>
  <c r="U4579" i="1"/>
  <c r="U4550" i="1"/>
  <c r="U4580" i="1"/>
  <c r="U490" i="1"/>
  <c r="U4495" i="1"/>
  <c r="U2075" i="1"/>
  <c r="U4552" i="1"/>
  <c r="U4575" i="1"/>
  <c r="U2067" i="1"/>
  <c r="U1967" i="1"/>
  <c r="U4524" i="1"/>
  <c r="U2071" i="1"/>
  <c r="U2081" i="1"/>
  <c r="U4576" i="1"/>
  <c r="U2068" i="1"/>
  <c r="U457" i="1"/>
  <c r="U2061" i="1"/>
  <c r="U4568" i="1"/>
  <c r="U2053" i="1"/>
  <c r="U2079" i="1"/>
  <c r="U4567" i="1"/>
  <c r="U2083" i="1"/>
  <c r="U4570" i="1"/>
  <c r="U2084" i="1"/>
  <c r="U4565" i="1"/>
  <c r="U4572" i="1"/>
  <c r="U4573" i="1"/>
  <c r="U4547" i="1"/>
  <c r="U2014" i="1"/>
  <c r="U4487" i="1"/>
  <c r="U2077" i="1"/>
  <c r="U4554" i="1"/>
  <c r="U4571" i="1"/>
  <c r="U2078" i="1"/>
  <c r="U487" i="1"/>
  <c r="U4569" i="1"/>
  <c r="U4558" i="1"/>
  <c r="U462" i="1"/>
  <c r="U2005" i="1"/>
  <c r="U1915" i="1"/>
  <c r="U1886" i="1"/>
  <c r="U4521" i="1"/>
  <c r="U2065" i="1"/>
  <c r="U428" i="1"/>
  <c r="U4486" i="1"/>
  <c r="U4332" i="1"/>
  <c r="U485" i="1"/>
  <c r="U2082" i="1"/>
  <c r="U488" i="1"/>
  <c r="U4564" i="1"/>
  <c r="U4560" i="1"/>
  <c r="U479" i="1"/>
  <c r="U2041" i="1"/>
  <c r="U2060" i="1"/>
  <c r="U1885" i="1"/>
  <c r="U4562" i="1"/>
  <c r="U4561" i="1"/>
  <c r="U4481" i="1"/>
  <c r="U2076" i="1"/>
  <c r="U2054" i="1"/>
  <c r="U4491" i="1"/>
  <c r="U408" i="1"/>
  <c r="U1913" i="1"/>
  <c r="U4452" i="1"/>
  <c r="U2064" i="1"/>
  <c r="U2022" i="1"/>
  <c r="U2017" i="1"/>
  <c r="U4537" i="1"/>
  <c r="U483" i="1"/>
  <c r="U4544" i="1"/>
  <c r="U4543" i="1"/>
  <c r="U4520" i="1"/>
  <c r="U2038" i="1"/>
  <c r="U484" i="1"/>
  <c r="U482" i="1"/>
  <c r="U4541" i="1"/>
  <c r="U2039" i="1"/>
  <c r="U4540" i="1"/>
  <c r="U437" i="1"/>
  <c r="U2066" i="1"/>
  <c r="U4545" i="1"/>
  <c r="U4538" i="1"/>
  <c r="U2050" i="1"/>
  <c r="U481" i="1"/>
  <c r="U2034" i="1"/>
  <c r="U4551" i="1"/>
  <c r="U2042" i="1"/>
  <c r="U4484" i="1"/>
  <c r="U473" i="1"/>
  <c r="U478" i="1"/>
  <c r="U2018" i="1"/>
  <c r="U2046" i="1"/>
  <c r="U4535" i="1"/>
  <c r="U4546" i="1"/>
  <c r="U4536" i="1"/>
  <c r="U2047" i="1"/>
  <c r="U4534" i="1"/>
  <c r="U1998" i="1"/>
  <c r="U2063" i="1"/>
  <c r="U2043" i="1"/>
  <c r="U2059" i="1"/>
  <c r="U4467" i="1"/>
  <c r="U4532" i="1"/>
  <c r="U2058" i="1"/>
  <c r="U4539" i="1"/>
  <c r="U4398" i="1"/>
  <c r="U4528" i="1"/>
  <c r="U2035" i="1"/>
  <c r="U2056" i="1"/>
  <c r="U2055" i="1"/>
  <c r="U4530" i="1"/>
  <c r="U2057" i="1"/>
  <c r="U2025" i="1"/>
  <c r="U4468" i="1"/>
  <c r="U4479" i="1"/>
  <c r="U4526" i="1"/>
  <c r="U4533" i="1"/>
  <c r="U2052" i="1"/>
  <c r="U2036" i="1"/>
  <c r="U4531" i="1"/>
  <c r="U4529" i="1"/>
  <c r="U4503" i="1"/>
  <c r="U2023" i="1"/>
  <c r="U2051" i="1"/>
  <c r="U4523" i="1"/>
  <c r="U4494" i="1"/>
  <c r="U4472" i="1"/>
  <c r="U2048" i="1"/>
  <c r="U4459" i="1"/>
  <c r="U1973" i="1"/>
  <c r="U4525" i="1"/>
  <c r="U2044" i="1"/>
  <c r="U4508" i="1"/>
  <c r="U2021" i="1"/>
  <c r="U4335" i="1"/>
  <c r="U4522" i="1"/>
  <c r="U367" i="1"/>
  <c r="U2009" i="1"/>
  <c r="U476" i="1"/>
  <c r="U1952" i="1"/>
  <c r="U4519" i="1"/>
  <c r="U1993" i="1"/>
  <c r="U4511" i="1"/>
  <c r="U4518" i="1"/>
  <c r="U4490" i="1"/>
  <c r="U4453" i="1"/>
  <c r="U2037" i="1"/>
  <c r="U4512" i="1"/>
  <c r="U2026" i="1"/>
  <c r="U4514" i="1"/>
  <c r="U475" i="1"/>
  <c r="U1961" i="1"/>
  <c r="U1978" i="1"/>
  <c r="U4513" i="1"/>
  <c r="U4492" i="1"/>
  <c r="U2040" i="1"/>
  <c r="U2032" i="1"/>
  <c r="U4510" i="1"/>
  <c r="U4501" i="1"/>
  <c r="U4517" i="1"/>
  <c r="U4391" i="1"/>
  <c r="U466" i="1"/>
  <c r="U2008" i="1"/>
  <c r="U2015" i="1"/>
  <c r="U474" i="1"/>
  <c r="U2028" i="1"/>
  <c r="U1994" i="1"/>
  <c r="U465" i="1"/>
  <c r="U4516" i="1"/>
  <c r="U4281" i="1"/>
  <c r="U4515" i="1"/>
  <c r="U4464" i="1"/>
  <c r="U368" i="1"/>
  <c r="U2033" i="1"/>
  <c r="U470" i="1"/>
  <c r="U2031" i="1"/>
  <c r="U4509" i="1"/>
  <c r="U4507" i="1"/>
  <c r="U2030" i="1"/>
  <c r="U4441" i="1"/>
  <c r="U4506" i="1"/>
  <c r="U463" i="1"/>
  <c r="U4504" i="1"/>
  <c r="U2020" i="1"/>
  <c r="U4386" i="1"/>
  <c r="U1969" i="1"/>
  <c r="U4470" i="1"/>
  <c r="U4478" i="1"/>
  <c r="U4493" i="1"/>
  <c r="U4502" i="1"/>
  <c r="U1963" i="1"/>
  <c r="U4500" i="1"/>
  <c r="U469" i="1"/>
  <c r="U2011" i="1"/>
  <c r="U2027" i="1"/>
  <c r="U1990" i="1"/>
  <c r="U2029" i="1"/>
  <c r="U1979" i="1"/>
  <c r="U2024" i="1"/>
  <c r="U4233" i="1"/>
  <c r="U404" i="1"/>
  <c r="U471" i="1"/>
  <c r="U4498" i="1"/>
  <c r="U2002" i="1"/>
  <c r="U4422" i="1"/>
  <c r="U4499" i="1"/>
  <c r="U4496" i="1"/>
  <c r="U1984" i="1"/>
  <c r="U1985" i="1"/>
  <c r="U4483" i="1"/>
  <c r="U4436" i="1"/>
  <c r="U467" i="1"/>
  <c r="U2019" i="1"/>
  <c r="U4497" i="1"/>
  <c r="U464" i="1"/>
  <c r="U472" i="1"/>
  <c r="U1966" i="1"/>
  <c r="U1964" i="1"/>
  <c r="U4475" i="1"/>
  <c r="U1999" i="1"/>
  <c r="U4367" i="1"/>
  <c r="U468" i="1"/>
  <c r="U1981" i="1"/>
  <c r="U396" i="1"/>
  <c r="U4407" i="1"/>
  <c r="U4473" i="1"/>
  <c r="U4404" i="1"/>
  <c r="U4489" i="1"/>
  <c r="U2013" i="1"/>
  <c r="U459" i="1"/>
  <c r="U4480" i="1"/>
  <c r="U425" i="1"/>
  <c r="U4311" i="1"/>
  <c r="U4438" i="1"/>
  <c r="U2010" i="1"/>
  <c r="U4482" i="1"/>
  <c r="U2006" i="1"/>
  <c r="U440" i="1"/>
  <c r="U4488" i="1"/>
  <c r="U4471" i="1"/>
  <c r="U4458" i="1"/>
  <c r="U4466" i="1"/>
  <c r="U4411" i="1"/>
  <c r="U410" i="1"/>
  <c r="U4477" i="1"/>
  <c r="U2012" i="1"/>
  <c r="U431" i="1"/>
  <c r="U4447" i="1"/>
  <c r="U2007" i="1"/>
  <c r="U4485" i="1"/>
  <c r="U4451" i="1"/>
  <c r="U1927" i="1"/>
  <c r="U458" i="1"/>
  <c r="U1959" i="1"/>
  <c r="U456" i="1"/>
  <c r="U452" i="1"/>
  <c r="U4444" i="1"/>
  <c r="U4440" i="1"/>
  <c r="U4476" i="1"/>
  <c r="U4474" i="1"/>
  <c r="U429" i="1"/>
  <c r="U4461" i="1"/>
  <c r="U1971" i="1"/>
  <c r="U4469" i="1"/>
  <c r="U1890" i="1"/>
  <c r="U4462" i="1"/>
  <c r="U4410" i="1"/>
  <c r="U1965" i="1"/>
  <c r="U460" i="1"/>
  <c r="U461" i="1"/>
  <c r="U413" i="1"/>
  <c r="U2004" i="1"/>
  <c r="U361" i="1"/>
  <c r="U2003" i="1"/>
  <c r="U1992" i="1"/>
  <c r="U1892" i="1"/>
  <c r="U4456" i="1"/>
  <c r="U1997" i="1"/>
  <c r="U4463" i="1"/>
  <c r="U4457" i="1"/>
  <c r="U4455" i="1"/>
  <c r="U1982" i="1"/>
  <c r="U4454" i="1"/>
  <c r="U2001" i="1"/>
  <c r="U450" i="1"/>
  <c r="U2000" i="1"/>
  <c r="U4432" i="1"/>
  <c r="U4465" i="1"/>
  <c r="U1995" i="1"/>
  <c r="U397" i="1"/>
  <c r="U1974" i="1"/>
  <c r="U4378" i="1"/>
  <c r="U1976" i="1"/>
  <c r="U1991" i="1"/>
  <c r="U4426" i="1"/>
  <c r="U1988" i="1"/>
  <c r="U4356" i="1"/>
  <c r="U1996" i="1"/>
  <c r="U357" i="1"/>
  <c r="U4415" i="1"/>
  <c r="U1987" i="1"/>
  <c r="U1951" i="1"/>
  <c r="U451" i="1"/>
  <c r="U4446" i="1"/>
  <c r="U4450" i="1"/>
  <c r="U455" i="1"/>
  <c r="U4448" i="1"/>
  <c r="U4437" i="1"/>
  <c r="U1928" i="1"/>
  <c r="U443" i="1"/>
  <c r="U4443" i="1"/>
  <c r="U4445" i="1"/>
  <c r="U454" i="1"/>
  <c r="U1922" i="1"/>
  <c r="U4366" i="1"/>
  <c r="U4442" i="1"/>
  <c r="U1947" i="1"/>
  <c r="U1929" i="1"/>
  <c r="U1977" i="1"/>
  <c r="U1810" i="1"/>
  <c r="U4424" i="1"/>
  <c r="U4419" i="1"/>
  <c r="U453" i="1"/>
  <c r="U432" i="1"/>
  <c r="U4395" i="1"/>
  <c r="U426" i="1"/>
  <c r="U4333" i="1"/>
  <c r="U1986" i="1"/>
  <c r="U1983" i="1"/>
  <c r="U4439" i="1"/>
  <c r="U4449" i="1"/>
  <c r="U4402" i="1"/>
  <c r="U1968" i="1"/>
  <c r="U1970" i="1"/>
  <c r="U447" i="1"/>
  <c r="U4429" i="1"/>
  <c r="U1975" i="1"/>
  <c r="U4384" i="1"/>
  <c r="U4433" i="1"/>
  <c r="U4315" i="1"/>
  <c r="U446" i="1"/>
  <c r="U4344" i="1"/>
  <c r="U4387" i="1"/>
  <c r="U1972" i="1"/>
  <c r="U4434" i="1"/>
  <c r="U439" i="1"/>
  <c r="U1954" i="1"/>
  <c r="U4435" i="1"/>
  <c r="U1962" i="1"/>
  <c r="U1960" i="1"/>
  <c r="U4251" i="1"/>
  <c r="U1750" i="1"/>
  <c r="U4400" i="1"/>
  <c r="U4431" i="1"/>
  <c r="U4359" i="1"/>
  <c r="U4413" i="1"/>
  <c r="U4428" i="1"/>
  <c r="U1958" i="1"/>
  <c r="U448" i="1"/>
  <c r="U444" i="1"/>
  <c r="U4409" i="1"/>
  <c r="U4420" i="1"/>
  <c r="U1907" i="1"/>
  <c r="U1957" i="1"/>
  <c r="U4354" i="1"/>
  <c r="U4430" i="1"/>
  <c r="U1931" i="1"/>
  <c r="U4408" i="1"/>
  <c r="U1943" i="1"/>
  <c r="U4338" i="1"/>
  <c r="U4427" i="1"/>
  <c r="U1770" i="1"/>
  <c r="U1948" i="1"/>
  <c r="U4423" i="1"/>
  <c r="U4294" i="1"/>
  <c r="U4414" i="1"/>
  <c r="U4308" i="1"/>
  <c r="U4382" i="1"/>
  <c r="U1953" i="1"/>
  <c r="U4412" i="1"/>
  <c r="U4368" i="1"/>
  <c r="U1785" i="1"/>
  <c r="U4396" i="1"/>
  <c r="U4375" i="1"/>
  <c r="U1955" i="1"/>
  <c r="U391" i="1"/>
  <c r="U4418" i="1"/>
  <c r="U4425" i="1"/>
  <c r="U1920" i="1"/>
  <c r="U4403" i="1"/>
  <c r="U4417" i="1"/>
  <c r="U1939" i="1"/>
  <c r="U442" i="1"/>
  <c r="U1896" i="1"/>
  <c r="U1956" i="1"/>
  <c r="U1944" i="1"/>
  <c r="U445" i="1"/>
  <c r="U4392" i="1"/>
  <c r="U4352" i="1"/>
  <c r="U1940" i="1"/>
  <c r="U4416" i="1"/>
  <c r="U1950" i="1"/>
  <c r="U4406" i="1"/>
  <c r="U1941" i="1"/>
  <c r="U1914" i="1"/>
  <c r="U1778" i="1"/>
  <c r="U441" i="1"/>
  <c r="U438" i="1"/>
  <c r="U4385" i="1"/>
  <c r="U375" i="1"/>
  <c r="U1808" i="1"/>
  <c r="U1949" i="1"/>
  <c r="U1921" i="1"/>
  <c r="U1937" i="1"/>
  <c r="U1935" i="1"/>
  <c r="U1946" i="1"/>
  <c r="U1934" i="1"/>
  <c r="U1942" i="1"/>
  <c r="U4364" i="1"/>
  <c r="U1945" i="1"/>
  <c r="U4399" i="1"/>
  <c r="U4405" i="1"/>
  <c r="U436" i="1"/>
  <c r="U1859" i="1"/>
  <c r="U4401" i="1"/>
  <c r="U1900" i="1"/>
  <c r="U435" i="1"/>
  <c r="U4397" i="1"/>
  <c r="U4365" i="1"/>
  <c r="U433" i="1"/>
  <c r="U1933" i="1"/>
  <c r="U1938" i="1"/>
  <c r="U427" i="1"/>
  <c r="U406" i="1"/>
  <c r="U4388" i="1"/>
  <c r="U4390" i="1"/>
  <c r="U1936" i="1"/>
  <c r="U434" i="1"/>
  <c r="U1868" i="1"/>
  <c r="U4389" i="1"/>
  <c r="U1924" i="1"/>
  <c r="U1930" i="1"/>
  <c r="U4394" i="1"/>
  <c r="U4393" i="1"/>
  <c r="U1932" i="1"/>
  <c r="U1881" i="1"/>
  <c r="U1916" i="1"/>
  <c r="U401" i="1"/>
  <c r="U424" i="1"/>
  <c r="U1925" i="1"/>
  <c r="U373" i="1"/>
  <c r="U1811" i="1"/>
  <c r="U4349" i="1"/>
  <c r="U4383" i="1"/>
  <c r="U423" i="1"/>
  <c r="U1923" i="1"/>
  <c r="U418" i="1"/>
  <c r="U430" i="1"/>
  <c r="U4341" i="1"/>
  <c r="U402" i="1"/>
  <c r="U1816" i="1"/>
  <c r="U4381" i="1"/>
  <c r="U4379" i="1"/>
  <c r="U1918" i="1"/>
  <c r="U4380" i="1"/>
  <c r="U1804" i="1"/>
  <c r="U388" i="1"/>
  <c r="U1910" i="1"/>
  <c r="U1919" i="1"/>
  <c r="U1917" i="1"/>
  <c r="U411" i="1"/>
  <c r="U1875" i="1"/>
  <c r="U384" i="1"/>
  <c r="U4360" i="1"/>
  <c r="U1912" i="1"/>
  <c r="U4351" i="1"/>
  <c r="U4376" i="1"/>
  <c r="U1911" i="1"/>
  <c r="U4336" i="1"/>
  <c r="U417" i="1"/>
  <c r="U4377" i="1"/>
  <c r="U409" i="1"/>
  <c r="U398" i="1"/>
  <c r="U4353" i="1"/>
  <c r="U403" i="1"/>
  <c r="U416" i="1"/>
  <c r="U1839" i="1"/>
  <c r="U4373" i="1"/>
  <c r="U372" i="1"/>
  <c r="U4280" i="1"/>
  <c r="U4362" i="1"/>
  <c r="U4374" i="1"/>
  <c r="U1887" i="1"/>
  <c r="U4210" i="1"/>
  <c r="U1908" i="1"/>
  <c r="U1909" i="1"/>
  <c r="U4372" i="1"/>
  <c r="U1857" i="1"/>
  <c r="U1894" i="1"/>
  <c r="U1874" i="1"/>
  <c r="U1902" i="1"/>
  <c r="U4370" i="1"/>
  <c r="U420" i="1"/>
  <c r="U1786" i="1"/>
  <c r="U1793" i="1"/>
  <c r="U363" i="1"/>
  <c r="U4371" i="1"/>
  <c r="U4369" i="1"/>
  <c r="U1877" i="1"/>
  <c r="U422" i="1"/>
  <c r="U421" i="1"/>
  <c r="U1905" i="1"/>
  <c r="U4363" i="1"/>
  <c r="U1856" i="1"/>
  <c r="U1906" i="1"/>
  <c r="U1904" i="1"/>
  <c r="U1844" i="1"/>
  <c r="U1884" i="1"/>
  <c r="U4304" i="1"/>
  <c r="U1893" i="1"/>
  <c r="U1897" i="1"/>
  <c r="U1863" i="1"/>
  <c r="U419" i="1"/>
  <c r="U1903" i="1"/>
  <c r="U1899" i="1"/>
  <c r="U1798" i="1"/>
  <c r="U1901" i="1"/>
  <c r="U1876" i="1"/>
  <c r="U1898" i="1"/>
  <c r="U1878" i="1"/>
  <c r="U407" i="1"/>
  <c r="U1860" i="1"/>
  <c r="U4299" i="1"/>
  <c r="U1880" i="1"/>
  <c r="U1895" i="1"/>
  <c r="U1891" i="1"/>
  <c r="U358" i="1"/>
  <c r="U1888" i="1"/>
  <c r="U1784" i="1"/>
  <c r="U4355" i="1"/>
  <c r="U1840" i="1"/>
  <c r="U1872" i="1"/>
  <c r="U4248" i="1"/>
  <c r="U1847" i="1"/>
  <c r="U1850" i="1"/>
  <c r="U1869" i="1"/>
  <c r="U1883" i="1"/>
  <c r="U4361" i="1"/>
  <c r="U415" i="1"/>
  <c r="U1889" i="1"/>
  <c r="U4358" i="1"/>
  <c r="U1882" i="1"/>
  <c r="U4339" i="1"/>
  <c r="U1866" i="1"/>
  <c r="U4357" i="1"/>
  <c r="U364" i="1"/>
  <c r="U4242" i="1"/>
  <c r="U1835" i="1"/>
  <c r="U1842" i="1"/>
  <c r="U1870" i="1"/>
  <c r="U1879" i="1"/>
  <c r="U379" i="1"/>
  <c r="U1849" i="1"/>
  <c r="U1743" i="1"/>
  <c r="U4313" i="1"/>
  <c r="U4292" i="1"/>
  <c r="U1865" i="1"/>
  <c r="U1759" i="1"/>
  <c r="U1871" i="1"/>
  <c r="U1873" i="1"/>
  <c r="U1852" i="1"/>
  <c r="U1756" i="1"/>
  <c r="U4350" i="1"/>
  <c r="U1867" i="1"/>
  <c r="U1861" i="1"/>
  <c r="U1828" i="1"/>
  <c r="U399" i="1"/>
  <c r="U4347" i="1"/>
  <c r="U1864" i="1"/>
  <c r="U4345" i="1"/>
  <c r="U1846" i="1"/>
  <c r="U4340" i="1"/>
  <c r="U1803" i="1"/>
  <c r="U1749" i="1"/>
  <c r="U1813" i="1"/>
  <c r="U4246" i="1"/>
  <c r="U4346" i="1"/>
  <c r="U4324" i="1"/>
  <c r="U1858" i="1"/>
  <c r="U1862" i="1"/>
  <c r="U4342" i="1"/>
  <c r="U4348" i="1"/>
  <c r="U354" i="1"/>
  <c r="U4214" i="1"/>
  <c r="U400" i="1"/>
  <c r="U405" i="1"/>
  <c r="U387" i="1"/>
  <c r="U4343" i="1"/>
  <c r="U4323" i="1"/>
  <c r="U1823" i="1"/>
  <c r="U1854" i="1"/>
  <c r="U1853" i="1"/>
  <c r="U4305" i="1"/>
  <c r="U1838" i="1"/>
  <c r="U4309" i="1"/>
  <c r="U4337" i="1"/>
  <c r="U4326" i="1"/>
  <c r="U1826" i="1"/>
  <c r="U1848" i="1"/>
  <c r="U1841" i="1"/>
  <c r="U4328" i="1"/>
  <c r="U4314" i="1"/>
  <c r="U1834" i="1"/>
  <c r="U1855" i="1"/>
  <c r="U4238" i="1"/>
  <c r="U1782" i="1"/>
  <c r="U4264" i="1"/>
  <c r="U1822" i="1"/>
  <c r="U393" i="1"/>
  <c r="U1851" i="1"/>
  <c r="U4329" i="1"/>
  <c r="U1843" i="1"/>
  <c r="U1845" i="1"/>
  <c r="U1836" i="1"/>
  <c r="U1837" i="1"/>
  <c r="U394" i="1"/>
  <c r="U4283" i="1"/>
  <c r="U1818" i="1"/>
  <c r="U4327" i="1"/>
  <c r="U4316" i="1"/>
  <c r="U4289" i="1"/>
  <c r="U4334" i="1"/>
  <c r="U4318" i="1"/>
  <c r="U395" i="1"/>
  <c r="U4217" i="1"/>
  <c r="U4310" i="1"/>
  <c r="U1827" i="1"/>
  <c r="U4322" i="1"/>
  <c r="U1792" i="1"/>
  <c r="U4321" i="1"/>
  <c r="U1831" i="1"/>
  <c r="U4330" i="1"/>
  <c r="U4331" i="1"/>
  <c r="U385" i="1"/>
  <c r="U1832" i="1"/>
  <c r="U386" i="1"/>
  <c r="U1806" i="1"/>
  <c r="U1814" i="1"/>
  <c r="U1795" i="1"/>
  <c r="U4297" i="1"/>
  <c r="U1833" i="1"/>
  <c r="U1760" i="1"/>
  <c r="U4317" i="1"/>
  <c r="U392" i="1"/>
  <c r="U4325" i="1"/>
  <c r="U4320" i="1"/>
  <c r="U1817" i="1"/>
  <c r="U1829" i="1"/>
  <c r="U1815" i="1"/>
  <c r="U1830" i="1"/>
  <c r="U1821" i="1"/>
  <c r="U1754" i="1"/>
  <c r="U4319" i="1"/>
  <c r="U1825" i="1"/>
  <c r="U383" i="1"/>
  <c r="U4312" i="1"/>
  <c r="U390" i="1"/>
  <c r="U4275" i="1"/>
  <c r="U389" i="1"/>
  <c r="U1819" i="1"/>
  <c r="U4300" i="1"/>
  <c r="U1807" i="1"/>
  <c r="U1824" i="1"/>
  <c r="U377" i="1"/>
  <c r="U1820" i="1"/>
  <c r="U4303" i="1"/>
  <c r="U1788" i="1"/>
  <c r="U4279" i="1"/>
  <c r="U1809" i="1"/>
  <c r="U1781" i="1"/>
  <c r="U1771" i="1"/>
  <c r="U4306" i="1"/>
  <c r="U4307" i="1"/>
  <c r="U4268" i="1"/>
  <c r="U1794" i="1"/>
  <c r="U366" i="1"/>
  <c r="U382" i="1"/>
  <c r="U380" i="1"/>
  <c r="U4287" i="1"/>
  <c r="U4301" i="1"/>
  <c r="U4271" i="1"/>
  <c r="U1789" i="1"/>
  <c r="U1812" i="1"/>
  <c r="U1797" i="1"/>
  <c r="U1805" i="1"/>
  <c r="U381" i="1"/>
  <c r="U4295" i="1"/>
  <c r="U4302" i="1"/>
  <c r="U378" i="1"/>
  <c r="U1802" i="1"/>
  <c r="U1799" i="1"/>
  <c r="U4296" i="1"/>
  <c r="U4298" i="1"/>
  <c r="U1751" i="1"/>
  <c r="U1787" i="1"/>
  <c r="U374" i="1"/>
  <c r="U4285" i="1"/>
  <c r="U1796" i="1"/>
  <c r="U1766" i="1"/>
  <c r="U1800" i="1"/>
  <c r="U4240" i="1"/>
  <c r="U371" i="1"/>
  <c r="U369" i="1"/>
  <c r="U1791" i="1"/>
  <c r="U4282" i="1"/>
  <c r="U4192" i="1"/>
  <c r="U4269" i="1"/>
  <c r="U1779" i="1"/>
  <c r="U4265" i="1"/>
  <c r="U355" i="1"/>
  <c r="U376" i="1"/>
  <c r="U356" i="1"/>
  <c r="U1745" i="1"/>
  <c r="U1752" i="1"/>
  <c r="U1777" i="1"/>
  <c r="U360" i="1"/>
  <c r="U1775" i="1"/>
  <c r="U1767" i="1"/>
  <c r="U4237" i="1"/>
  <c r="U353" i="1"/>
  <c r="U370" i="1"/>
  <c r="U4244" i="1"/>
  <c r="U1764" i="1"/>
  <c r="U4254" i="1"/>
  <c r="U1765" i="1"/>
  <c r="U4245" i="1"/>
  <c r="U4270" i="1"/>
  <c r="U362" i="1"/>
  <c r="U359" i="1"/>
  <c r="U4225" i="1"/>
  <c r="U350" i="1"/>
  <c r="U4193" i="1"/>
  <c r="U349" i="1"/>
  <c r="V2049" i="1"/>
  <c r="W2049" i="1" s="1"/>
  <c r="V4548" i="1"/>
  <c r="W4548" i="1" s="1"/>
  <c r="V505" i="1"/>
  <c r="W505" i="1" s="1"/>
  <c r="V504" i="1"/>
  <c r="W504" i="1" s="1"/>
  <c r="V4556" i="1"/>
  <c r="W4556" i="1" s="1"/>
  <c r="V4505" i="1"/>
  <c r="W4505" i="1" s="1"/>
  <c r="V503" i="1"/>
  <c r="W503" i="1" s="1"/>
  <c r="V500" i="1"/>
  <c r="W500" i="1" s="1"/>
  <c r="V365" i="1"/>
  <c r="W365" i="1" s="1"/>
  <c r="V502" i="1"/>
  <c r="W502" i="1" s="1"/>
  <c r="V501" i="1"/>
  <c r="W501" i="1" s="1"/>
  <c r="V2070" i="1"/>
  <c r="W2070" i="1" s="1"/>
  <c r="V499" i="1"/>
  <c r="W499" i="1" s="1"/>
  <c r="V4563" i="1"/>
  <c r="W4563" i="1" s="1"/>
  <c r="V486" i="1"/>
  <c r="W486" i="1" s="1"/>
  <c r="V1989" i="1"/>
  <c r="W1989" i="1" s="1"/>
  <c r="V498" i="1"/>
  <c r="W498" i="1" s="1"/>
  <c r="V495" i="1"/>
  <c r="W495" i="1" s="1"/>
  <c r="V414" i="1"/>
  <c r="W414" i="1" s="1"/>
  <c r="V496" i="1"/>
  <c r="W496" i="1" s="1"/>
  <c r="V1758" i="1"/>
  <c r="W1758" i="1" s="1"/>
  <c r="V497" i="1"/>
  <c r="W497" i="1" s="1"/>
  <c r="V4574" i="1"/>
  <c r="W4574" i="1" s="1"/>
  <c r="V4555" i="1"/>
  <c r="W4555" i="1" s="1"/>
  <c r="V2073" i="1"/>
  <c r="W2073" i="1" s="1"/>
  <c r="V4553" i="1"/>
  <c r="W4553" i="1" s="1"/>
  <c r="V4559" i="1"/>
  <c r="W4559" i="1" s="1"/>
  <c r="V1926" i="1"/>
  <c r="W1926" i="1" s="1"/>
  <c r="V489" i="1"/>
  <c r="W489" i="1" s="1"/>
  <c r="V4527" i="1"/>
  <c r="W4527" i="1" s="1"/>
  <c r="V4557" i="1"/>
  <c r="W4557" i="1" s="1"/>
  <c r="V4549" i="1"/>
  <c r="W4549" i="1" s="1"/>
  <c r="V449" i="1"/>
  <c r="W449" i="1" s="1"/>
  <c r="V4460" i="1"/>
  <c r="W4460" i="1" s="1"/>
  <c r="V480" i="1"/>
  <c r="W480" i="1" s="1"/>
  <c r="V2069" i="1"/>
  <c r="W2069" i="1" s="1"/>
  <c r="V2072" i="1"/>
  <c r="W2072" i="1" s="1"/>
  <c r="V4288" i="1"/>
  <c r="W4288" i="1" s="1"/>
  <c r="V4577" i="1"/>
  <c r="W4577" i="1" s="1"/>
  <c r="V4256" i="1"/>
  <c r="W4256" i="1" s="1"/>
  <c r="V4566" i="1"/>
  <c r="W4566" i="1" s="1"/>
  <c r="V2062" i="1"/>
  <c r="W2062" i="1" s="1"/>
  <c r="V1980" i="1"/>
  <c r="W1980" i="1" s="1"/>
  <c r="V2074" i="1"/>
  <c r="W2074" i="1" s="1"/>
  <c r="V2016" i="1"/>
  <c r="W2016" i="1" s="1"/>
  <c r="V2085" i="1"/>
  <c r="W2085" i="1" s="1"/>
  <c r="V4578" i="1"/>
  <c r="W4578" i="1" s="1"/>
  <c r="V494" i="1"/>
  <c r="W494" i="1" s="1"/>
  <c r="V493" i="1"/>
  <c r="W493" i="1" s="1"/>
  <c r="V2080" i="1"/>
  <c r="W2080" i="1" s="1"/>
  <c r="V491" i="1"/>
  <c r="W491" i="1" s="1"/>
  <c r="V477" i="1"/>
  <c r="W477" i="1" s="1"/>
  <c r="V2045" i="1"/>
  <c r="W2045" i="1" s="1"/>
  <c r="V4421" i="1"/>
  <c r="W4421" i="1" s="1"/>
  <c r="V2086" i="1"/>
  <c r="W2086" i="1" s="1"/>
  <c r="V412" i="1"/>
  <c r="W412" i="1" s="1"/>
  <c r="V4542" i="1"/>
  <c r="W4542" i="1" s="1"/>
  <c r="V492" i="1"/>
  <c r="W492" i="1" s="1"/>
  <c r="V4579" i="1"/>
  <c r="W4579" i="1" s="1"/>
  <c r="V4550" i="1"/>
  <c r="W4550" i="1" s="1"/>
  <c r="V4580" i="1"/>
  <c r="W4580" i="1" s="1"/>
  <c r="V490" i="1"/>
  <c r="W490" i="1" s="1"/>
  <c r="V4495" i="1"/>
  <c r="W4495" i="1" s="1"/>
  <c r="V2075" i="1"/>
  <c r="W2075" i="1" s="1"/>
  <c r="V4552" i="1"/>
  <c r="W4552" i="1" s="1"/>
  <c r="V4575" i="1"/>
  <c r="W4575" i="1" s="1"/>
  <c r="V2067" i="1"/>
  <c r="W2067" i="1" s="1"/>
  <c r="V1967" i="1"/>
  <c r="W1967" i="1" s="1"/>
  <c r="V4524" i="1"/>
  <c r="W4524" i="1" s="1"/>
  <c r="V2071" i="1"/>
  <c r="W2071" i="1" s="1"/>
  <c r="V2081" i="1"/>
  <c r="W2081" i="1" s="1"/>
  <c r="V4576" i="1"/>
  <c r="W4576" i="1" s="1"/>
  <c r="V2068" i="1"/>
  <c r="W2068" i="1" s="1"/>
  <c r="V457" i="1"/>
  <c r="W457" i="1" s="1"/>
  <c r="V2061" i="1"/>
  <c r="W2061" i="1" s="1"/>
  <c r="V4568" i="1"/>
  <c r="W4568" i="1" s="1"/>
  <c r="V2053" i="1"/>
  <c r="W2053" i="1" s="1"/>
  <c r="V2079" i="1"/>
  <c r="W2079" i="1" s="1"/>
  <c r="V4567" i="1"/>
  <c r="W4567" i="1" s="1"/>
  <c r="V2083" i="1"/>
  <c r="W2083" i="1" s="1"/>
  <c r="V4570" i="1"/>
  <c r="W4570" i="1" s="1"/>
  <c r="V2084" i="1"/>
  <c r="W2084" i="1" s="1"/>
  <c r="V4565" i="1"/>
  <c r="W4565" i="1" s="1"/>
  <c r="V4572" i="1"/>
  <c r="W4572" i="1" s="1"/>
  <c r="V4573" i="1"/>
  <c r="W4573" i="1" s="1"/>
  <c r="V4547" i="1"/>
  <c r="W4547" i="1" s="1"/>
  <c r="V2014" i="1"/>
  <c r="W2014" i="1" s="1"/>
  <c r="V4487" i="1"/>
  <c r="W4487" i="1" s="1"/>
  <c r="V2077" i="1"/>
  <c r="W2077" i="1" s="1"/>
  <c r="V4554" i="1"/>
  <c r="W4554" i="1" s="1"/>
  <c r="V4571" i="1"/>
  <c r="W4571" i="1" s="1"/>
  <c r="V2078" i="1"/>
  <c r="W2078" i="1" s="1"/>
  <c r="V487" i="1"/>
  <c r="W487" i="1" s="1"/>
  <c r="V4569" i="1"/>
  <c r="W4569" i="1" s="1"/>
  <c r="V4558" i="1"/>
  <c r="W4558" i="1" s="1"/>
  <c r="V462" i="1"/>
  <c r="W462" i="1" s="1"/>
  <c r="V2005" i="1"/>
  <c r="W2005" i="1" s="1"/>
  <c r="V1915" i="1"/>
  <c r="W1915" i="1" s="1"/>
  <c r="V1886" i="1"/>
  <c r="W1886" i="1" s="1"/>
  <c r="V4521" i="1"/>
  <c r="W4521" i="1" s="1"/>
  <c r="V2065" i="1"/>
  <c r="W2065" i="1" s="1"/>
  <c r="V428" i="1"/>
  <c r="W428" i="1" s="1"/>
  <c r="V4486" i="1"/>
  <c r="W4486" i="1" s="1"/>
  <c r="V4332" i="1"/>
  <c r="W4332" i="1" s="1"/>
  <c r="V485" i="1"/>
  <c r="W485" i="1" s="1"/>
  <c r="V2082" i="1"/>
  <c r="W2082" i="1" s="1"/>
  <c r="V488" i="1"/>
  <c r="W488" i="1" s="1"/>
  <c r="V4564" i="1"/>
  <c r="W4564" i="1" s="1"/>
  <c r="V4560" i="1"/>
  <c r="W4560" i="1" s="1"/>
  <c r="V479" i="1"/>
  <c r="W479" i="1" s="1"/>
  <c r="V2041" i="1"/>
  <c r="W2041" i="1" s="1"/>
  <c r="V2060" i="1"/>
  <c r="W2060" i="1" s="1"/>
  <c r="V1885" i="1"/>
  <c r="W1885" i="1" s="1"/>
  <c r="V4562" i="1"/>
  <c r="W4562" i="1" s="1"/>
  <c r="V4561" i="1"/>
  <c r="W4561" i="1" s="1"/>
  <c r="V4481" i="1"/>
  <c r="W4481" i="1" s="1"/>
  <c r="V2076" i="1"/>
  <c r="W2076" i="1" s="1"/>
  <c r="V2054" i="1"/>
  <c r="W2054" i="1" s="1"/>
  <c r="V4491" i="1"/>
  <c r="W4491" i="1" s="1"/>
  <c r="V408" i="1"/>
  <c r="W408" i="1" s="1"/>
  <c r="V1913" i="1"/>
  <c r="W1913" i="1" s="1"/>
  <c r="V4452" i="1"/>
  <c r="W4452" i="1" s="1"/>
  <c r="V2064" i="1"/>
  <c r="W2064" i="1" s="1"/>
  <c r="V2022" i="1"/>
  <c r="W2022" i="1" s="1"/>
  <c r="V2017" i="1"/>
  <c r="W2017" i="1" s="1"/>
  <c r="V4537" i="1"/>
  <c r="W4537" i="1" s="1"/>
  <c r="V483" i="1"/>
  <c r="W483" i="1" s="1"/>
  <c r="V4544" i="1"/>
  <c r="W4544" i="1" s="1"/>
  <c r="V4543" i="1"/>
  <c r="W4543" i="1" s="1"/>
  <c r="V4520" i="1"/>
  <c r="W4520" i="1" s="1"/>
  <c r="V2038" i="1"/>
  <c r="W2038" i="1" s="1"/>
  <c r="V484" i="1"/>
  <c r="W484" i="1" s="1"/>
  <c r="V482" i="1"/>
  <c r="W482" i="1" s="1"/>
  <c r="V4541" i="1"/>
  <c r="W4541" i="1" s="1"/>
  <c r="V2039" i="1"/>
  <c r="W2039" i="1" s="1"/>
  <c r="V4540" i="1"/>
  <c r="W4540" i="1" s="1"/>
  <c r="V437" i="1"/>
  <c r="W437" i="1" s="1"/>
  <c r="V2066" i="1"/>
  <c r="W2066" i="1" s="1"/>
  <c r="V4545" i="1"/>
  <c r="W4545" i="1" s="1"/>
  <c r="V4538" i="1"/>
  <c r="W4538" i="1" s="1"/>
  <c r="V2050" i="1"/>
  <c r="W2050" i="1" s="1"/>
  <c r="V481" i="1"/>
  <c r="W481" i="1" s="1"/>
  <c r="V2034" i="1"/>
  <c r="W2034" i="1" s="1"/>
  <c r="V4551" i="1"/>
  <c r="W4551" i="1" s="1"/>
  <c r="V2042" i="1"/>
  <c r="W2042" i="1" s="1"/>
  <c r="V4484" i="1"/>
  <c r="W4484" i="1" s="1"/>
  <c r="V473" i="1"/>
  <c r="W473" i="1" s="1"/>
  <c r="V478" i="1"/>
  <c r="W478" i="1" s="1"/>
  <c r="V2018" i="1"/>
  <c r="W2018" i="1" s="1"/>
  <c r="V2046" i="1"/>
  <c r="W2046" i="1" s="1"/>
  <c r="V4535" i="1"/>
  <c r="W4535" i="1" s="1"/>
  <c r="V4546" i="1"/>
  <c r="W4546" i="1" s="1"/>
  <c r="V4536" i="1"/>
  <c r="W4536" i="1" s="1"/>
  <c r="V2047" i="1"/>
  <c r="W2047" i="1" s="1"/>
  <c r="V4534" i="1"/>
  <c r="W4534" i="1" s="1"/>
  <c r="V1998" i="1"/>
  <c r="W1998" i="1" s="1"/>
  <c r="V2063" i="1"/>
  <c r="W2063" i="1" s="1"/>
  <c r="V2043" i="1"/>
  <c r="W2043" i="1" s="1"/>
  <c r="V2059" i="1"/>
  <c r="W2059" i="1" s="1"/>
  <c r="V4467" i="1"/>
  <c r="W4467" i="1" s="1"/>
  <c r="V4532" i="1"/>
  <c r="W4532" i="1" s="1"/>
  <c r="V2058" i="1"/>
  <c r="W2058" i="1" s="1"/>
  <c r="V4539" i="1"/>
  <c r="W4539" i="1" s="1"/>
  <c r="V4398" i="1"/>
  <c r="W4398" i="1" s="1"/>
  <c r="V4528" i="1"/>
  <c r="W4528" i="1" s="1"/>
  <c r="V2035" i="1"/>
  <c r="W2035" i="1" s="1"/>
  <c r="V2056" i="1"/>
  <c r="W2056" i="1" s="1"/>
  <c r="V2055" i="1"/>
  <c r="W2055" i="1" s="1"/>
  <c r="V4530" i="1"/>
  <c r="W4530" i="1" s="1"/>
  <c r="V2057" i="1"/>
  <c r="W2057" i="1" s="1"/>
  <c r="V2025" i="1"/>
  <c r="W2025" i="1" s="1"/>
  <c r="V4468" i="1"/>
  <c r="W4468" i="1" s="1"/>
  <c r="V4479" i="1"/>
  <c r="W4479" i="1" s="1"/>
  <c r="V4526" i="1"/>
  <c r="W4526" i="1" s="1"/>
  <c r="V4533" i="1"/>
  <c r="W4533" i="1" s="1"/>
  <c r="V2052" i="1"/>
  <c r="W2052" i="1" s="1"/>
  <c r="V2036" i="1"/>
  <c r="W2036" i="1" s="1"/>
  <c r="V4531" i="1"/>
  <c r="W4531" i="1" s="1"/>
  <c r="V4529" i="1"/>
  <c r="W4529" i="1" s="1"/>
  <c r="V4503" i="1"/>
  <c r="W4503" i="1" s="1"/>
  <c r="V2023" i="1"/>
  <c r="W2023" i="1" s="1"/>
  <c r="V2051" i="1"/>
  <c r="W2051" i="1" s="1"/>
  <c r="V4523" i="1"/>
  <c r="W4523" i="1" s="1"/>
  <c r="V4494" i="1"/>
  <c r="W4494" i="1" s="1"/>
  <c r="V4472" i="1"/>
  <c r="W4472" i="1" s="1"/>
  <c r="V2048" i="1"/>
  <c r="W2048" i="1" s="1"/>
  <c r="V4459" i="1"/>
  <c r="W4459" i="1" s="1"/>
  <c r="V1973" i="1"/>
  <c r="W1973" i="1" s="1"/>
  <c r="V4525" i="1"/>
  <c r="W4525" i="1" s="1"/>
  <c r="V2044" i="1"/>
  <c r="W2044" i="1" s="1"/>
  <c r="V4508" i="1"/>
  <c r="W4508" i="1" s="1"/>
  <c r="V2021" i="1"/>
  <c r="W2021" i="1" s="1"/>
  <c r="V4335" i="1"/>
  <c r="W4335" i="1" s="1"/>
  <c r="V4522" i="1"/>
  <c r="W4522" i="1" s="1"/>
  <c r="V367" i="1"/>
  <c r="W367" i="1" s="1"/>
  <c r="V2009" i="1"/>
  <c r="W2009" i="1" s="1"/>
  <c r="V476" i="1"/>
  <c r="W476" i="1" s="1"/>
  <c r="V1952" i="1"/>
  <c r="W1952" i="1" s="1"/>
  <c r="V4519" i="1"/>
  <c r="W4519" i="1" s="1"/>
  <c r="V1993" i="1"/>
  <c r="W1993" i="1" s="1"/>
  <c r="V4511" i="1"/>
  <c r="W4511" i="1" s="1"/>
  <c r="V4518" i="1"/>
  <c r="W4518" i="1" s="1"/>
  <c r="V4490" i="1"/>
  <c r="W4490" i="1" s="1"/>
  <c r="V4453" i="1"/>
  <c r="W4453" i="1" s="1"/>
  <c r="V2037" i="1"/>
  <c r="W2037" i="1" s="1"/>
  <c r="V4512" i="1"/>
  <c r="W4512" i="1" s="1"/>
  <c r="V2026" i="1"/>
  <c r="W2026" i="1" s="1"/>
  <c r="V4514" i="1"/>
  <c r="W4514" i="1" s="1"/>
  <c r="W475" i="1"/>
  <c r="V1961" i="1"/>
  <c r="W1961" i="1" s="1"/>
  <c r="V1978" i="1"/>
  <c r="W1978" i="1" s="1"/>
  <c r="V4513" i="1"/>
  <c r="W4513" i="1" s="1"/>
  <c r="V4492" i="1"/>
  <c r="W4492" i="1" s="1"/>
  <c r="V2040" i="1"/>
  <c r="W2040" i="1" s="1"/>
  <c r="V2032" i="1"/>
  <c r="W2032" i="1" s="1"/>
  <c r="V4510" i="1"/>
  <c r="W4510" i="1" s="1"/>
  <c r="V4501" i="1"/>
  <c r="W4501" i="1" s="1"/>
  <c r="V4517" i="1"/>
  <c r="W4517" i="1" s="1"/>
  <c r="V4391" i="1"/>
  <c r="W4391" i="1" s="1"/>
  <c r="V466" i="1"/>
  <c r="W466" i="1" s="1"/>
  <c r="V2008" i="1"/>
  <c r="W2008" i="1" s="1"/>
  <c r="V2015" i="1"/>
  <c r="W2015" i="1" s="1"/>
  <c r="V474" i="1"/>
  <c r="W474" i="1" s="1"/>
  <c r="V2028" i="1"/>
  <c r="W2028" i="1" s="1"/>
  <c r="V1994" i="1"/>
  <c r="W1994" i="1" s="1"/>
  <c r="V465" i="1"/>
  <c r="W465" i="1" s="1"/>
  <c r="V4516" i="1"/>
  <c r="W4516" i="1" s="1"/>
  <c r="V4281" i="1"/>
  <c r="W4281" i="1" s="1"/>
  <c r="V4515" i="1"/>
  <c r="W4515" i="1" s="1"/>
  <c r="V4464" i="1"/>
  <c r="W4464" i="1" s="1"/>
  <c r="V368" i="1"/>
  <c r="W368" i="1" s="1"/>
  <c r="V2033" i="1"/>
  <c r="W2033" i="1" s="1"/>
  <c r="V470" i="1"/>
  <c r="W470" i="1" s="1"/>
  <c r="V2031" i="1"/>
  <c r="W2031" i="1" s="1"/>
  <c r="V4509" i="1"/>
  <c r="W4509" i="1" s="1"/>
  <c r="V4507" i="1"/>
  <c r="W4507" i="1" s="1"/>
  <c r="V2030" i="1"/>
  <c r="W2030" i="1" s="1"/>
  <c r="V4441" i="1"/>
  <c r="W4441" i="1" s="1"/>
  <c r="V4506" i="1"/>
  <c r="W4506" i="1" s="1"/>
  <c r="V463" i="1"/>
  <c r="W463" i="1" s="1"/>
  <c r="V4504" i="1"/>
  <c r="W4504" i="1" s="1"/>
  <c r="V2020" i="1"/>
  <c r="W2020" i="1" s="1"/>
  <c r="V4386" i="1"/>
  <c r="W4386" i="1" s="1"/>
  <c r="V1969" i="1"/>
  <c r="W1969" i="1" s="1"/>
  <c r="V4470" i="1"/>
  <c r="W4470" i="1" s="1"/>
  <c r="V4478" i="1"/>
  <c r="W4478" i="1" s="1"/>
  <c r="V4493" i="1"/>
  <c r="W4493" i="1" s="1"/>
  <c r="V4502" i="1"/>
  <c r="W4502" i="1" s="1"/>
  <c r="V1963" i="1"/>
  <c r="W1963" i="1" s="1"/>
  <c r="V4500" i="1"/>
  <c r="W4500" i="1" s="1"/>
  <c r="V469" i="1"/>
  <c r="W469" i="1" s="1"/>
  <c r="V2011" i="1"/>
  <c r="W2011" i="1" s="1"/>
  <c r="V2027" i="1"/>
  <c r="W2027" i="1" s="1"/>
  <c r="V1990" i="1"/>
  <c r="W1990" i="1" s="1"/>
  <c r="V2029" i="1"/>
  <c r="W2029" i="1" s="1"/>
  <c r="V1979" i="1"/>
  <c r="W1979" i="1" s="1"/>
  <c r="V2024" i="1"/>
  <c r="W2024" i="1" s="1"/>
  <c r="V4233" i="1"/>
  <c r="W4233" i="1" s="1"/>
  <c r="V404" i="1"/>
  <c r="W404" i="1" s="1"/>
  <c r="V471" i="1"/>
  <c r="W471" i="1" s="1"/>
  <c r="V4498" i="1"/>
  <c r="W4498" i="1" s="1"/>
  <c r="V2002" i="1"/>
  <c r="W2002" i="1" s="1"/>
  <c r="V4422" i="1"/>
  <c r="W4422" i="1" s="1"/>
  <c r="V4499" i="1"/>
  <c r="W4499" i="1" s="1"/>
  <c r="V4496" i="1"/>
  <c r="W4496" i="1" s="1"/>
  <c r="V1984" i="1"/>
  <c r="W1984" i="1" s="1"/>
  <c r="V1985" i="1"/>
  <c r="W1985" i="1" s="1"/>
  <c r="V4483" i="1"/>
  <c r="W4483" i="1" s="1"/>
  <c r="V4436" i="1"/>
  <c r="W4436" i="1" s="1"/>
  <c r="V467" i="1"/>
  <c r="W467" i="1" s="1"/>
  <c r="V2019" i="1"/>
  <c r="W2019" i="1" s="1"/>
  <c r="V4497" i="1"/>
  <c r="W4497" i="1" s="1"/>
  <c r="V464" i="1"/>
  <c r="W464" i="1" s="1"/>
  <c r="V472" i="1"/>
  <c r="W472" i="1" s="1"/>
  <c r="V1966" i="1"/>
  <c r="W1966" i="1" s="1"/>
  <c r="V1964" i="1"/>
  <c r="W1964" i="1" s="1"/>
  <c r="V4475" i="1"/>
  <c r="W4475" i="1" s="1"/>
  <c r="V1999" i="1"/>
  <c r="W1999" i="1" s="1"/>
  <c r="V4367" i="1"/>
  <c r="W4367" i="1" s="1"/>
  <c r="V468" i="1"/>
  <c r="W468" i="1" s="1"/>
  <c r="V1981" i="1"/>
  <c r="W1981" i="1" s="1"/>
  <c r="V396" i="1"/>
  <c r="W396" i="1" s="1"/>
  <c r="V4407" i="1"/>
  <c r="W4407" i="1" s="1"/>
  <c r="V4473" i="1"/>
  <c r="W4473" i="1" s="1"/>
  <c r="V4404" i="1"/>
  <c r="W4404" i="1" s="1"/>
  <c r="V4489" i="1"/>
  <c r="W4489" i="1" s="1"/>
  <c r="V2013" i="1"/>
  <c r="W2013" i="1" s="1"/>
  <c r="V459" i="1"/>
  <c r="W459" i="1" s="1"/>
  <c r="V4480" i="1"/>
  <c r="W4480" i="1" s="1"/>
  <c r="V425" i="1"/>
  <c r="W425" i="1" s="1"/>
  <c r="V4311" i="1"/>
  <c r="W4311" i="1" s="1"/>
  <c r="V4438" i="1"/>
  <c r="W4438" i="1" s="1"/>
  <c r="V2010" i="1"/>
  <c r="W2010" i="1" s="1"/>
  <c r="V4482" i="1"/>
  <c r="W4482" i="1" s="1"/>
  <c r="V2006" i="1"/>
  <c r="W2006" i="1" s="1"/>
  <c r="V440" i="1"/>
  <c r="W440" i="1" s="1"/>
  <c r="V4488" i="1"/>
  <c r="W4488" i="1" s="1"/>
  <c r="V4471" i="1"/>
  <c r="W4471" i="1" s="1"/>
  <c r="V4458" i="1"/>
  <c r="W4458" i="1" s="1"/>
  <c r="V4466" i="1"/>
  <c r="W4466" i="1" s="1"/>
  <c r="V4411" i="1"/>
  <c r="W4411" i="1" s="1"/>
  <c r="V410" i="1"/>
  <c r="W410" i="1" s="1"/>
  <c r="V4477" i="1"/>
  <c r="W4477" i="1" s="1"/>
  <c r="V2012" i="1"/>
  <c r="W2012" i="1" s="1"/>
  <c r="V431" i="1"/>
  <c r="W431" i="1" s="1"/>
  <c r="V4447" i="1"/>
  <c r="W4447" i="1" s="1"/>
  <c r="V2007" i="1"/>
  <c r="W2007" i="1" s="1"/>
  <c r="V4485" i="1"/>
  <c r="W4485" i="1" s="1"/>
  <c r="V4451" i="1"/>
  <c r="W4451" i="1" s="1"/>
  <c r="V1927" i="1"/>
  <c r="W1927" i="1" s="1"/>
  <c r="V458" i="1"/>
  <c r="W458" i="1" s="1"/>
  <c r="V1959" i="1"/>
  <c r="W1959" i="1" s="1"/>
  <c r="V456" i="1"/>
  <c r="W456" i="1" s="1"/>
  <c r="V452" i="1"/>
  <c r="W452" i="1" s="1"/>
  <c r="V4444" i="1"/>
  <c r="W4444" i="1" s="1"/>
  <c r="V4440" i="1"/>
  <c r="W4440" i="1" s="1"/>
  <c r="V4476" i="1"/>
  <c r="W4476" i="1" s="1"/>
  <c r="V4474" i="1"/>
  <c r="W4474" i="1" s="1"/>
  <c r="V429" i="1"/>
  <c r="W429" i="1" s="1"/>
  <c r="V4461" i="1"/>
  <c r="W4461" i="1" s="1"/>
  <c r="V1971" i="1"/>
  <c r="W1971" i="1" s="1"/>
  <c r="V4469" i="1"/>
  <c r="W4469" i="1" s="1"/>
  <c r="V1890" i="1"/>
  <c r="W1890" i="1" s="1"/>
  <c r="V4462" i="1"/>
  <c r="W4462" i="1" s="1"/>
  <c r="V4410" i="1"/>
  <c r="W4410" i="1" s="1"/>
  <c r="V1965" i="1"/>
  <c r="W1965" i="1" s="1"/>
  <c r="V460" i="1"/>
  <c r="W460" i="1" s="1"/>
  <c r="V461" i="1"/>
  <c r="W461" i="1" s="1"/>
  <c r="V413" i="1"/>
  <c r="W413" i="1" s="1"/>
  <c r="V2004" i="1"/>
  <c r="W2004" i="1" s="1"/>
  <c r="V361" i="1"/>
  <c r="W361" i="1" s="1"/>
  <c r="V2003" i="1"/>
  <c r="W2003" i="1" s="1"/>
  <c r="V1992" i="1"/>
  <c r="W1992" i="1" s="1"/>
  <c r="V1892" i="1"/>
  <c r="W1892" i="1" s="1"/>
  <c r="V4456" i="1"/>
  <c r="W4456" i="1" s="1"/>
  <c r="V1997" i="1"/>
  <c r="W1997" i="1" s="1"/>
  <c r="V4463" i="1"/>
  <c r="W4463" i="1" s="1"/>
  <c r="V4457" i="1"/>
  <c r="W4457" i="1" s="1"/>
  <c r="V4455" i="1"/>
  <c r="W4455" i="1" s="1"/>
  <c r="V1982" i="1"/>
  <c r="W1982" i="1" s="1"/>
  <c r="V4454" i="1"/>
  <c r="W4454" i="1" s="1"/>
  <c r="V2001" i="1"/>
  <c r="W2001" i="1" s="1"/>
  <c r="V450" i="1"/>
  <c r="W450" i="1" s="1"/>
  <c r="V2000" i="1"/>
  <c r="W2000" i="1" s="1"/>
  <c r="V4432" i="1"/>
  <c r="W4432" i="1" s="1"/>
  <c r="V4465" i="1"/>
  <c r="W4465" i="1" s="1"/>
  <c r="V1995" i="1"/>
  <c r="W1995" i="1" s="1"/>
  <c r="V397" i="1"/>
  <c r="W397" i="1" s="1"/>
  <c r="V1974" i="1"/>
  <c r="W1974" i="1" s="1"/>
  <c r="V4378" i="1"/>
  <c r="W4378" i="1" s="1"/>
  <c r="V1976" i="1"/>
  <c r="W1976" i="1" s="1"/>
  <c r="V1991" i="1"/>
  <c r="W1991" i="1" s="1"/>
  <c r="V4426" i="1"/>
  <c r="W4426" i="1" s="1"/>
  <c r="V1988" i="1"/>
  <c r="W1988" i="1" s="1"/>
  <c r="V4356" i="1"/>
  <c r="W4356" i="1" s="1"/>
  <c r="V1996" i="1"/>
  <c r="W1996" i="1" s="1"/>
  <c r="V357" i="1"/>
  <c r="W357" i="1" s="1"/>
  <c r="V4415" i="1"/>
  <c r="W4415" i="1" s="1"/>
  <c r="V1987" i="1"/>
  <c r="W1987" i="1" s="1"/>
  <c r="V1951" i="1"/>
  <c r="W1951" i="1" s="1"/>
  <c r="V451" i="1"/>
  <c r="W451" i="1" s="1"/>
  <c r="V4446" i="1"/>
  <c r="W4446" i="1" s="1"/>
  <c r="V4450" i="1"/>
  <c r="W4450" i="1" s="1"/>
  <c r="V455" i="1"/>
  <c r="W455" i="1" s="1"/>
  <c r="V4448" i="1"/>
  <c r="W4448" i="1" s="1"/>
  <c r="V4437" i="1"/>
  <c r="W4437" i="1" s="1"/>
  <c r="V1928" i="1"/>
  <c r="W1928" i="1" s="1"/>
  <c r="V443" i="1"/>
  <c r="W443" i="1" s="1"/>
  <c r="V4443" i="1"/>
  <c r="W4443" i="1" s="1"/>
  <c r="V4445" i="1"/>
  <c r="W4445" i="1" s="1"/>
  <c r="V454" i="1"/>
  <c r="W454" i="1" s="1"/>
  <c r="V1922" i="1"/>
  <c r="W1922" i="1" s="1"/>
  <c r="V4366" i="1"/>
  <c r="W4366" i="1" s="1"/>
  <c r="V4442" i="1"/>
  <c r="W4442" i="1" s="1"/>
  <c r="V1947" i="1"/>
  <c r="W1947" i="1" s="1"/>
  <c r="V1929" i="1"/>
  <c r="W1929" i="1" s="1"/>
  <c r="V1977" i="1"/>
  <c r="W1977" i="1" s="1"/>
  <c r="V1810" i="1"/>
  <c r="W1810" i="1" s="1"/>
  <c r="V4424" i="1"/>
  <c r="W4424" i="1" s="1"/>
  <c r="V4419" i="1"/>
  <c r="W4419" i="1" s="1"/>
  <c r="V453" i="1"/>
  <c r="W453" i="1" s="1"/>
  <c r="V432" i="1"/>
  <c r="W432" i="1" s="1"/>
  <c r="V4395" i="1"/>
  <c r="W4395" i="1" s="1"/>
  <c r="V426" i="1"/>
  <c r="W426" i="1" s="1"/>
  <c r="V4333" i="1"/>
  <c r="W4333" i="1" s="1"/>
  <c r="V1986" i="1"/>
  <c r="W1986" i="1" s="1"/>
  <c r="V1983" i="1"/>
  <c r="W1983" i="1" s="1"/>
  <c r="V4439" i="1"/>
  <c r="W4439" i="1" s="1"/>
  <c r="V4449" i="1"/>
  <c r="W4449" i="1" s="1"/>
  <c r="V4402" i="1"/>
  <c r="W4402" i="1" s="1"/>
  <c r="V1968" i="1"/>
  <c r="W1968" i="1" s="1"/>
  <c r="V1970" i="1"/>
  <c r="W1970" i="1" s="1"/>
  <c r="V447" i="1"/>
  <c r="W447" i="1" s="1"/>
  <c r="V4429" i="1"/>
  <c r="W4429" i="1" s="1"/>
  <c r="V1975" i="1"/>
  <c r="W1975" i="1" s="1"/>
  <c r="V4384" i="1"/>
  <c r="W4384" i="1" s="1"/>
  <c r="V4433" i="1"/>
  <c r="W4433" i="1" s="1"/>
  <c r="V4315" i="1"/>
  <c r="W4315" i="1" s="1"/>
  <c r="V446" i="1"/>
  <c r="W446" i="1" s="1"/>
  <c r="V4344" i="1"/>
  <c r="W4344" i="1" s="1"/>
  <c r="V4387" i="1"/>
  <c r="W4387" i="1" s="1"/>
  <c r="V1972" i="1"/>
  <c r="W1972" i="1" s="1"/>
  <c r="V4434" i="1"/>
  <c r="W4434" i="1" s="1"/>
  <c r="V439" i="1"/>
  <c r="W439" i="1" s="1"/>
  <c r="V1954" i="1"/>
  <c r="W1954" i="1" s="1"/>
  <c r="V4435" i="1"/>
  <c r="W4435" i="1" s="1"/>
  <c r="V1962" i="1"/>
  <c r="W1962" i="1" s="1"/>
  <c r="V1960" i="1"/>
  <c r="W1960" i="1" s="1"/>
  <c r="V4251" i="1"/>
  <c r="W4251" i="1" s="1"/>
  <c r="V1750" i="1"/>
  <c r="W1750" i="1" s="1"/>
  <c r="V4400" i="1"/>
  <c r="W4400" i="1" s="1"/>
  <c r="V4431" i="1"/>
  <c r="W4431" i="1" s="1"/>
  <c r="V4359" i="1"/>
  <c r="W4359" i="1" s="1"/>
  <c r="V4413" i="1"/>
  <c r="W4413" i="1" s="1"/>
  <c r="V4428" i="1"/>
  <c r="W4428" i="1" s="1"/>
  <c r="V1958" i="1"/>
  <c r="W1958" i="1" s="1"/>
  <c r="V448" i="1"/>
  <c r="W448" i="1" s="1"/>
  <c r="V444" i="1"/>
  <c r="W444" i="1" s="1"/>
  <c r="V4409" i="1"/>
  <c r="W4409" i="1" s="1"/>
  <c r="V4420" i="1"/>
  <c r="W4420" i="1" s="1"/>
  <c r="V1907" i="1"/>
  <c r="W1907" i="1" s="1"/>
  <c r="V1957" i="1"/>
  <c r="W1957" i="1" s="1"/>
  <c r="V4354" i="1"/>
  <c r="W4354" i="1" s="1"/>
  <c r="V4430" i="1"/>
  <c r="W4430" i="1" s="1"/>
  <c r="V1931" i="1"/>
  <c r="W1931" i="1" s="1"/>
  <c r="V4408" i="1"/>
  <c r="W4408" i="1" s="1"/>
  <c r="V1943" i="1"/>
  <c r="W1943" i="1" s="1"/>
  <c r="V4338" i="1"/>
  <c r="W4338" i="1" s="1"/>
  <c r="V4427" i="1"/>
  <c r="W4427" i="1" s="1"/>
  <c r="V1770" i="1"/>
  <c r="W1770" i="1" s="1"/>
  <c r="V1948" i="1"/>
  <c r="W1948" i="1" s="1"/>
  <c r="V4423" i="1"/>
  <c r="W4423" i="1" s="1"/>
  <c r="V4294" i="1"/>
  <c r="W4294" i="1" s="1"/>
  <c r="V4414" i="1"/>
  <c r="W4414" i="1" s="1"/>
  <c r="V4308" i="1"/>
  <c r="W4308" i="1" s="1"/>
  <c r="V4382" i="1"/>
  <c r="W4382" i="1" s="1"/>
  <c r="V1953" i="1"/>
  <c r="W1953" i="1" s="1"/>
  <c r="V4412" i="1"/>
  <c r="W4412" i="1" s="1"/>
  <c r="V4368" i="1"/>
  <c r="W4368" i="1" s="1"/>
  <c r="V1785" i="1"/>
  <c r="W1785" i="1" s="1"/>
  <c r="V4396" i="1"/>
  <c r="W4396" i="1" s="1"/>
  <c r="V4375" i="1"/>
  <c r="W4375" i="1" s="1"/>
  <c r="V1955" i="1"/>
  <c r="W1955" i="1" s="1"/>
  <c r="V391" i="1"/>
  <c r="W391" i="1" s="1"/>
  <c r="V4418" i="1"/>
  <c r="W4418" i="1" s="1"/>
  <c r="V4425" i="1"/>
  <c r="W4425" i="1" s="1"/>
  <c r="V1920" i="1"/>
  <c r="W1920" i="1" s="1"/>
  <c r="V4403" i="1"/>
  <c r="W4403" i="1" s="1"/>
  <c r="V4417" i="1"/>
  <c r="W4417" i="1" s="1"/>
  <c r="V1939" i="1"/>
  <c r="W1939" i="1" s="1"/>
  <c r="V442" i="1"/>
  <c r="W442" i="1" s="1"/>
  <c r="V1896" i="1"/>
  <c r="W1896" i="1" s="1"/>
  <c r="V1956" i="1"/>
  <c r="W1956" i="1" s="1"/>
  <c r="V1944" i="1"/>
  <c r="W1944" i="1" s="1"/>
  <c r="V445" i="1"/>
  <c r="W445" i="1" s="1"/>
  <c r="V4392" i="1"/>
  <c r="W4392" i="1" s="1"/>
  <c r="V4352" i="1"/>
  <c r="W4352" i="1" s="1"/>
  <c r="V1940" i="1"/>
  <c r="W1940" i="1" s="1"/>
  <c r="V4416" i="1"/>
  <c r="W4416" i="1" s="1"/>
  <c r="V1950" i="1"/>
  <c r="W1950" i="1" s="1"/>
  <c r="V4406" i="1"/>
  <c r="W4406" i="1" s="1"/>
  <c r="V1941" i="1"/>
  <c r="W1941" i="1" s="1"/>
  <c r="V1914" i="1"/>
  <c r="W1914" i="1" s="1"/>
  <c r="V1778" i="1"/>
  <c r="W1778" i="1" s="1"/>
  <c r="V441" i="1"/>
  <c r="W441" i="1" s="1"/>
  <c r="V438" i="1"/>
  <c r="W438" i="1" s="1"/>
  <c r="V4385" i="1"/>
  <c r="W4385" i="1" s="1"/>
  <c r="V375" i="1"/>
  <c r="W375" i="1" s="1"/>
  <c r="V1808" i="1"/>
  <c r="W1808" i="1" s="1"/>
  <c r="V1949" i="1"/>
  <c r="W1949" i="1" s="1"/>
  <c r="V1921" i="1"/>
  <c r="W1921" i="1" s="1"/>
  <c r="V1937" i="1"/>
  <c r="W1937" i="1" s="1"/>
  <c r="V1935" i="1"/>
  <c r="W1935" i="1" s="1"/>
  <c r="V1946" i="1"/>
  <c r="W1946" i="1" s="1"/>
  <c r="V1934" i="1"/>
  <c r="W1934" i="1" s="1"/>
  <c r="V1942" i="1"/>
  <c r="W1942" i="1" s="1"/>
  <c r="V4364" i="1"/>
  <c r="W4364" i="1" s="1"/>
  <c r="V1945" i="1"/>
  <c r="W1945" i="1" s="1"/>
  <c r="V4399" i="1"/>
  <c r="W4399" i="1" s="1"/>
  <c r="V4405" i="1"/>
  <c r="W4405" i="1" s="1"/>
  <c r="V436" i="1"/>
  <c r="W436" i="1" s="1"/>
  <c r="V1859" i="1"/>
  <c r="W1859" i="1" s="1"/>
  <c r="V4401" i="1"/>
  <c r="W4401" i="1" s="1"/>
  <c r="V1900" i="1"/>
  <c r="W1900" i="1" s="1"/>
  <c r="V435" i="1"/>
  <c r="W435" i="1" s="1"/>
  <c r="V4397" i="1"/>
  <c r="W4397" i="1" s="1"/>
  <c r="V4365" i="1"/>
  <c r="W4365" i="1" s="1"/>
  <c r="V433" i="1"/>
  <c r="W433" i="1" s="1"/>
  <c r="V1933" i="1"/>
  <c r="W1933" i="1" s="1"/>
  <c r="V1938" i="1"/>
  <c r="W1938" i="1" s="1"/>
  <c r="V427" i="1"/>
  <c r="W427" i="1" s="1"/>
  <c r="V406" i="1"/>
  <c r="W406" i="1" s="1"/>
  <c r="V4388" i="1"/>
  <c r="W4388" i="1" s="1"/>
  <c r="V4390" i="1"/>
  <c r="W4390" i="1" s="1"/>
  <c r="V1936" i="1"/>
  <c r="W1936" i="1" s="1"/>
  <c r="V434" i="1"/>
  <c r="W434" i="1" s="1"/>
  <c r="V1868" i="1"/>
  <c r="W1868" i="1" s="1"/>
  <c r="V4389" i="1"/>
  <c r="W4389" i="1" s="1"/>
  <c r="V1924" i="1"/>
  <c r="W1924" i="1" s="1"/>
  <c r="V1930" i="1"/>
  <c r="W1930" i="1" s="1"/>
  <c r="V4394" i="1"/>
  <c r="W4394" i="1" s="1"/>
  <c r="V4393" i="1"/>
  <c r="W4393" i="1" s="1"/>
  <c r="V1932" i="1"/>
  <c r="W1932" i="1" s="1"/>
  <c r="V1881" i="1"/>
  <c r="W1881" i="1" s="1"/>
  <c r="V1916" i="1"/>
  <c r="W1916" i="1" s="1"/>
  <c r="V401" i="1"/>
  <c r="W401" i="1" s="1"/>
  <c r="V424" i="1"/>
  <c r="W424" i="1" s="1"/>
  <c r="V1925" i="1"/>
  <c r="W1925" i="1" s="1"/>
  <c r="V373" i="1"/>
  <c r="W373" i="1" s="1"/>
  <c r="V1811" i="1"/>
  <c r="W1811" i="1" s="1"/>
  <c r="V4349" i="1"/>
  <c r="W4349" i="1" s="1"/>
  <c r="V4383" i="1"/>
  <c r="W4383" i="1" s="1"/>
  <c r="V423" i="1"/>
  <c r="W423" i="1" s="1"/>
  <c r="V1923" i="1"/>
  <c r="W1923" i="1" s="1"/>
  <c r="V418" i="1"/>
  <c r="W418" i="1" s="1"/>
  <c r="V430" i="1"/>
  <c r="W430" i="1" s="1"/>
  <c r="V4341" i="1"/>
  <c r="W4341" i="1" s="1"/>
  <c r="V402" i="1"/>
  <c r="W402" i="1" s="1"/>
  <c r="V1816" i="1"/>
  <c r="W1816" i="1" s="1"/>
  <c r="V4381" i="1"/>
  <c r="W4381" i="1" s="1"/>
  <c r="V4379" i="1"/>
  <c r="W4379" i="1" s="1"/>
  <c r="V1918" i="1"/>
  <c r="W1918" i="1" s="1"/>
  <c r="V4380" i="1"/>
  <c r="W4380" i="1" s="1"/>
  <c r="V1804" i="1"/>
  <c r="W1804" i="1" s="1"/>
  <c r="V388" i="1"/>
  <c r="W388" i="1" s="1"/>
  <c r="V1910" i="1"/>
  <c r="W1910" i="1" s="1"/>
  <c r="V1919" i="1"/>
  <c r="W1919" i="1" s="1"/>
  <c r="V1917" i="1"/>
  <c r="W1917" i="1" s="1"/>
  <c r="V411" i="1"/>
  <c r="W411" i="1" s="1"/>
  <c r="V1875" i="1"/>
  <c r="W1875" i="1" s="1"/>
  <c r="V384" i="1"/>
  <c r="W384" i="1" s="1"/>
  <c r="V4360" i="1"/>
  <c r="W4360" i="1" s="1"/>
  <c r="V1912" i="1"/>
  <c r="W1912" i="1" s="1"/>
  <c r="V4351" i="1"/>
  <c r="W4351" i="1" s="1"/>
  <c r="V4376" i="1"/>
  <c r="W4376" i="1" s="1"/>
  <c r="V1911" i="1"/>
  <c r="W1911" i="1" s="1"/>
  <c r="V4336" i="1"/>
  <c r="W4336" i="1" s="1"/>
  <c r="V417" i="1"/>
  <c r="W417" i="1" s="1"/>
  <c r="V4377" i="1"/>
  <c r="W4377" i="1" s="1"/>
  <c r="V409" i="1"/>
  <c r="W409" i="1" s="1"/>
  <c r="V398" i="1"/>
  <c r="W398" i="1" s="1"/>
  <c r="V4353" i="1"/>
  <c r="W4353" i="1" s="1"/>
  <c r="V403" i="1"/>
  <c r="W403" i="1" s="1"/>
  <c r="V416" i="1"/>
  <c r="W416" i="1" s="1"/>
  <c r="V1839" i="1"/>
  <c r="W1839" i="1" s="1"/>
  <c r="V4373" i="1"/>
  <c r="W4373" i="1" s="1"/>
  <c r="V372" i="1"/>
  <c r="W372" i="1" s="1"/>
  <c r="V4280" i="1"/>
  <c r="W4280" i="1" s="1"/>
  <c r="V4362" i="1"/>
  <c r="W4362" i="1" s="1"/>
  <c r="V4374" i="1"/>
  <c r="W4374" i="1" s="1"/>
  <c r="V1887" i="1"/>
  <c r="W1887" i="1" s="1"/>
  <c r="V4210" i="1"/>
  <c r="W4210" i="1" s="1"/>
  <c r="V1908" i="1"/>
  <c r="W1908" i="1" s="1"/>
  <c r="V1909" i="1"/>
  <c r="W1909" i="1" s="1"/>
  <c r="V4372" i="1"/>
  <c r="W4372" i="1" s="1"/>
  <c r="V1857" i="1"/>
  <c r="W1857" i="1" s="1"/>
  <c r="V1894" i="1"/>
  <c r="W1894" i="1" s="1"/>
  <c r="V1874" i="1"/>
  <c r="W1874" i="1" s="1"/>
  <c r="V1902" i="1"/>
  <c r="W1902" i="1" s="1"/>
  <c r="V4370" i="1"/>
  <c r="W4370" i="1" s="1"/>
  <c r="V420" i="1"/>
  <c r="W420" i="1" s="1"/>
  <c r="V1786" i="1"/>
  <c r="W1786" i="1" s="1"/>
  <c r="V1793" i="1"/>
  <c r="W1793" i="1" s="1"/>
  <c r="V363" i="1"/>
  <c r="W363" i="1" s="1"/>
  <c r="V4371" i="1"/>
  <c r="W4371" i="1" s="1"/>
  <c r="V4369" i="1"/>
  <c r="W4369" i="1" s="1"/>
  <c r="V1877" i="1"/>
  <c r="W1877" i="1" s="1"/>
  <c r="V422" i="1"/>
  <c r="W422" i="1" s="1"/>
  <c r="V421" i="1"/>
  <c r="W421" i="1" s="1"/>
  <c r="V1905" i="1"/>
  <c r="W1905" i="1" s="1"/>
  <c r="V4363" i="1"/>
  <c r="W4363" i="1" s="1"/>
  <c r="V1856" i="1"/>
  <c r="W1856" i="1" s="1"/>
  <c r="V1906" i="1"/>
  <c r="W1906" i="1" s="1"/>
  <c r="V1904" i="1"/>
  <c r="W1904" i="1" s="1"/>
  <c r="V1844" i="1"/>
  <c r="W1844" i="1" s="1"/>
  <c r="V1884" i="1"/>
  <c r="W1884" i="1" s="1"/>
  <c r="V4304" i="1"/>
  <c r="W4304" i="1" s="1"/>
  <c r="V1893" i="1"/>
  <c r="W1893" i="1" s="1"/>
  <c r="V1897" i="1"/>
  <c r="W1897" i="1" s="1"/>
  <c r="V1863" i="1"/>
  <c r="W1863" i="1" s="1"/>
  <c r="V419" i="1"/>
  <c r="W419" i="1" s="1"/>
  <c r="V1903" i="1"/>
  <c r="W1903" i="1" s="1"/>
  <c r="V1899" i="1"/>
  <c r="W1899" i="1" s="1"/>
  <c r="V1798" i="1"/>
  <c r="W1798" i="1" s="1"/>
  <c r="V1901" i="1"/>
  <c r="W1901" i="1" s="1"/>
  <c r="V1876" i="1"/>
  <c r="W1876" i="1" s="1"/>
  <c r="V1898" i="1"/>
  <c r="W1898" i="1" s="1"/>
  <c r="V1878" i="1"/>
  <c r="W1878" i="1" s="1"/>
  <c r="V407" i="1"/>
  <c r="W407" i="1" s="1"/>
  <c r="V1860" i="1"/>
  <c r="W1860" i="1" s="1"/>
  <c r="V4299" i="1"/>
  <c r="W4299" i="1" s="1"/>
  <c r="V1880" i="1"/>
  <c r="W1880" i="1" s="1"/>
  <c r="V1895" i="1"/>
  <c r="W1895" i="1" s="1"/>
  <c r="V1891" i="1"/>
  <c r="W1891" i="1" s="1"/>
  <c r="V358" i="1"/>
  <c r="W358" i="1" s="1"/>
  <c r="V1888" i="1"/>
  <c r="W1888" i="1" s="1"/>
  <c r="V1784" i="1"/>
  <c r="W1784" i="1" s="1"/>
  <c r="V4355" i="1"/>
  <c r="W4355" i="1" s="1"/>
  <c r="V1840" i="1"/>
  <c r="W1840" i="1" s="1"/>
  <c r="V1872" i="1"/>
  <c r="W1872" i="1" s="1"/>
  <c r="V4248" i="1"/>
  <c r="W4248" i="1" s="1"/>
  <c r="V1847" i="1"/>
  <c r="W1847" i="1" s="1"/>
  <c r="V1850" i="1"/>
  <c r="W1850" i="1" s="1"/>
  <c r="V1869" i="1"/>
  <c r="W1869" i="1" s="1"/>
  <c r="V1883" i="1"/>
  <c r="W1883" i="1" s="1"/>
  <c r="V4361" i="1"/>
  <c r="W4361" i="1" s="1"/>
  <c r="V415" i="1"/>
  <c r="W415" i="1" s="1"/>
  <c r="V1889" i="1"/>
  <c r="W1889" i="1" s="1"/>
  <c r="V4358" i="1"/>
  <c r="W4358" i="1" s="1"/>
  <c r="V1882" i="1"/>
  <c r="W1882" i="1" s="1"/>
  <c r="V4339" i="1"/>
  <c r="W4339" i="1" s="1"/>
  <c r="V1866" i="1"/>
  <c r="W1866" i="1" s="1"/>
  <c r="V4357" i="1"/>
  <c r="W4357" i="1" s="1"/>
  <c r="V364" i="1"/>
  <c r="W364" i="1" s="1"/>
  <c r="V4242" i="1"/>
  <c r="W4242" i="1" s="1"/>
  <c r="V1835" i="1"/>
  <c r="W1835" i="1" s="1"/>
  <c r="V1842" i="1"/>
  <c r="W1842" i="1" s="1"/>
  <c r="V1870" i="1"/>
  <c r="W1870" i="1" s="1"/>
  <c r="V1879" i="1"/>
  <c r="W1879" i="1" s="1"/>
  <c r="V379" i="1"/>
  <c r="W379" i="1" s="1"/>
  <c r="V1849" i="1"/>
  <c r="W1849" i="1" s="1"/>
  <c r="V1743" i="1"/>
  <c r="W1743" i="1" s="1"/>
  <c r="V4313" i="1"/>
  <c r="W4313" i="1" s="1"/>
  <c r="V4292" i="1"/>
  <c r="W4292" i="1" s="1"/>
  <c r="V1865" i="1"/>
  <c r="W1865" i="1" s="1"/>
  <c r="V1759" i="1"/>
  <c r="W1759" i="1" s="1"/>
  <c r="V1871" i="1"/>
  <c r="W1871" i="1" s="1"/>
  <c r="V1873" i="1"/>
  <c r="W1873" i="1" s="1"/>
  <c r="V1852" i="1"/>
  <c r="W1852" i="1" s="1"/>
  <c r="V1756" i="1"/>
  <c r="W1756" i="1" s="1"/>
  <c r="V4350" i="1"/>
  <c r="W4350" i="1" s="1"/>
  <c r="V1867" i="1"/>
  <c r="W1867" i="1" s="1"/>
  <c r="V1861" i="1"/>
  <c r="W1861" i="1" s="1"/>
  <c r="V1828" i="1"/>
  <c r="W1828" i="1" s="1"/>
  <c r="V399" i="1"/>
  <c r="W399" i="1" s="1"/>
  <c r="V4347" i="1"/>
  <c r="W4347" i="1" s="1"/>
  <c r="V1864" i="1"/>
  <c r="W1864" i="1" s="1"/>
  <c r="V4345" i="1"/>
  <c r="W4345" i="1" s="1"/>
  <c r="V1846" i="1"/>
  <c r="W1846" i="1" s="1"/>
  <c r="V4340" i="1"/>
  <c r="W4340" i="1" s="1"/>
  <c r="V1803" i="1"/>
  <c r="W1803" i="1" s="1"/>
  <c r="V1749" i="1"/>
  <c r="W1749" i="1" s="1"/>
  <c r="V1813" i="1"/>
  <c r="W1813" i="1" s="1"/>
  <c r="V4246" i="1"/>
  <c r="W4246" i="1" s="1"/>
  <c r="V4346" i="1"/>
  <c r="W4346" i="1" s="1"/>
  <c r="V4324" i="1"/>
  <c r="W4324" i="1" s="1"/>
  <c r="V1858" i="1"/>
  <c r="W1858" i="1" s="1"/>
  <c r="V1862" i="1"/>
  <c r="W1862" i="1" s="1"/>
  <c r="V4342" i="1"/>
  <c r="W4342" i="1" s="1"/>
  <c r="V4348" i="1"/>
  <c r="W4348" i="1" s="1"/>
  <c r="V354" i="1"/>
  <c r="W354" i="1" s="1"/>
  <c r="V4214" i="1"/>
  <c r="W4214" i="1" s="1"/>
  <c r="V400" i="1"/>
  <c r="W400" i="1" s="1"/>
  <c r="V405" i="1"/>
  <c r="W405" i="1" s="1"/>
  <c r="V387" i="1"/>
  <c r="W387" i="1" s="1"/>
  <c r="V4343" i="1"/>
  <c r="W4343" i="1" s="1"/>
  <c r="V4323" i="1"/>
  <c r="W4323" i="1" s="1"/>
  <c r="V1823" i="1"/>
  <c r="W1823" i="1" s="1"/>
  <c r="V1854" i="1"/>
  <c r="W1854" i="1" s="1"/>
  <c r="V1853" i="1"/>
  <c r="W1853" i="1" s="1"/>
  <c r="V4305" i="1"/>
  <c r="W4305" i="1" s="1"/>
  <c r="V1838" i="1"/>
  <c r="W1838" i="1" s="1"/>
  <c r="V4309" i="1"/>
  <c r="W4309" i="1" s="1"/>
  <c r="V4337" i="1"/>
  <c r="W4337" i="1" s="1"/>
  <c r="V4326" i="1"/>
  <c r="W4326" i="1" s="1"/>
  <c r="V1826" i="1"/>
  <c r="W1826" i="1" s="1"/>
  <c r="V1848" i="1"/>
  <c r="W1848" i="1" s="1"/>
  <c r="V1841" i="1"/>
  <c r="W1841" i="1" s="1"/>
  <c r="V4328" i="1"/>
  <c r="W4328" i="1" s="1"/>
  <c r="V4314" i="1"/>
  <c r="W4314" i="1" s="1"/>
  <c r="V1834" i="1"/>
  <c r="W1834" i="1" s="1"/>
  <c r="V1855" i="1"/>
  <c r="W1855" i="1" s="1"/>
  <c r="V4238" i="1"/>
  <c r="W4238" i="1" s="1"/>
  <c r="V1782" i="1"/>
  <c r="W1782" i="1" s="1"/>
  <c r="V4264" i="1"/>
  <c r="W4264" i="1" s="1"/>
  <c r="V1822" i="1"/>
  <c r="W1822" i="1" s="1"/>
  <c r="V393" i="1"/>
  <c r="W393" i="1" s="1"/>
  <c r="V1851" i="1"/>
  <c r="W1851" i="1" s="1"/>
  <c r="V4329" i="1"/>
  <c r="W4329" i="1" s="1"/>
  <c r="V1843" i="1"/>
  <c r="W1843" i="1" s="1"/>
  <c r="V1845" i="1"/>
  <c r="W1845" i="1" s="1"/>
  <c r="V1836" i="1"/>
  <c r="W1836" i="1" s="1"/>
  <c r="V1837" i="1"/>
  <c r="W1837" i="1" s="1"/>
  <c r="V394" i="1"/>
  <c r="W394" i="1" s="1"/>
  <c r="V4283" i="1"/>
  <c r="W4283" i="1" s="1"/>
  <c r="V1818" i="1"/>
  <c r="W1818" i="1" s="1"/>
  <c r="V4327" i="1"/>
  <c r="W4327" i="1" s="1"/>
  <c r="V4316" i="1"/>
  <c r="W4316" i="1" s="1"/>
  <c r="V4289" i="1"/>
  <c r="W4289" i="1" s="1"/>
  <c r="V4334" i="1"/>
  <c r="W4334" i="1" s="1"/>
  <c r="V4318" i="1"/>
  <c r="W4318" i="1" s="1"/>
  <c r="V395" i="1"/>
  <c r="W395" i="1" s="1"/>
  <c r="V4217" i="1"/>
  <c r="W4217" i="1" s="1"/>
  <c r="V4310" i="1"/>
  <c r="W4310" i="1" s="1"/>
  <c r="V1827" i="1"/>
  <c r="W1827" i="1" s="1"/>
  <c r="V4322" i="1"/>
  <c r="W4322" i="1" s="1"/>
  <c r="V1792" i="1"/>
  <c r="W1792" i="1" s="1"/>
  <c r="V4321" i="1"/>
  <c r="W4321" i="1" s="1"/>
  <c r="V1831" i="1"/>
  <c r="W1831" i="1" s="1"/>
  <c r="V4330" i="1"/>
  <c r="W4330" i="1" s="1"/>
  <c r="V4331" i="1"/>
  <c r="W4331" i="1" s="1"/>
  <c r="V385" i="1"/>
  <c r="W385" i="1" s="1"/>
  <c r="V1832" i="1"/>
  <c r="W1832" i="1" s="1"/>
  <c r="V386" i="1"/>
  <c r="W386" i="1" s="1"/>
  <c r="V1806" i="1"/>
  <c r="W1806" i="1" s="1"/>
  <c r="V1814" i="1"/>
  <c r="W1814" i="1" s="1"/>
  <c r="V1795" i="1"/>
  <c r="W1795" i="1" s="1"/>
  <c r="V4297" i="1"/>
  <c r="W4297" i="1" s="1"/>
  <c r="V1833" i="1"/>
  <c r="W1833" i="1" s="1"/>
  <c r="V1760" i="1"/>
  <c r="W1760" i="1" s="1"/>
  <c r="V4317" i="1"/>
  <c r="W4317" i="1" s="1"/>
  <c r="V392" i="1"/>
  <c r="W392" i="1" s="1"/>
  <c r="V4325" i="1"/>
  <c r="W4325" i="1" s="1"/>
  <c r="V4320" i="1"/>
  <c r="W4320" i="1" s="1"/>
  <c r="V1817" i="1"/>
  <c r="W1817" i="1" s="1"/>
  <c r="V1829" i="1"/>
  <c r="W1829" i="1" s="1"/>
  <c r="V1815" i="1"/>
  <c r="W1815" i="1" s="1"/>
  <c r="V1830" i="1"/>
  <c r="W1830" i="1" s="1"/>
  <c r="V1821" i="1"/>
  <c r="W1821" i="1" s="1"/>
  <c r="V1754" i="1"/>
  <c r="W1754" i="1" s="1"/>
  <c r="V4319" i="1"/>
  <c r="W4319" i="1" s="1"/>
  <c r="V1825" i="1"/>
  <c r="W1825" i="1" s="1"/>
  <c r="V383" i="1"/>
  <c r="W383" i="1" s="1"/>
  <c r="V4312" i="1"/>
  <c r="W4312" i="1" s="1"/>
  <c r="V390" i="1"/>
  <c r="W390" i="1" s="1"/>
  <c r="V4275" i="1"/>
  <c r="W4275" i="1" s="1"/>
  <c r="V389" i="1"/>
  <c r="W389" i="1" s="1"/>
  <c r="V1819" i="1"/>
  <c r="W1819" i="1" s="1"/>
  <c r="V4300" i="1"/>
  <c r="W4300" i="1" s="1"/>
  <c r="V1807" i="1"/>
  <c r="W1807" i="1" s="1"/>
  <c r="V1824" i="1"/>
  <c r="W1824" i="1" s="1"/>
  <c r="V377" i="1"/>
  <c r="W377" i="1" s="1"/>
  <c r="V1820" i="1"/>
  <c r="W1820" i="1" s="1"/>
  <c r="V4303" i="1"/>
  <c r="W4303" i="1" s="1"/>
  <c r="V1788" i="1"/>
  <c r="W1788" i="1" s="1"/>
  <c r="V4279" i="1"/>
  <c r="W4279" i="1" s="1"/>
  <c r="V1809" i="1"/>
  <c r="W1809" i="1" s="1"/>
  <c r="V1781" i="1"/>
  <c r="W1781" i="1" s="1"/>
  <c r="V1771" i="1"/>
  <c r="W1771" i="1" s="1"/>
  <c r="V4306" i="1"/>
  <c r="W4306" i="1" s="1"/>
  <c r="V4307" i="1"/>
  <c r="W4307" i="1" s="1"/>
  <c r="V4268" i="1"/>
  <c r="W4268" i="1" s="1"/>
  <c r="V1794" i="1"/>
  <c r="W1794" i="1" s="1"/>
  <c r="V366" i="1"/>
  <c r="W366" i="1" s="1"/>
  <c r="V382" i="1"/>
  <c r="W382" i="1" s="1"/>
  <c r="V380" i="1"/>
  <c r="W380" i="1" s="1"/>
  <c r="V4287" i="1"/>
  <c r="W4287" i="1" s="1"/>
  <c r="V4301" i="1"/>
  <c r="W4301" i="1" s="1"/>
  <c r="V4271" i="1"/>
  <c r="W4271" i="1" s="1"/>
  <c r="V1789" i="1"/>
  <c r="W1789" i="1" s="1"/>
  <c r="V1812" i="1"/>
  <c r="W1812" i="1" s="1"/>
  <c r="V1797" i="1"/>
  <c r="W1797" i="1" s="1"/>
  <c r="V1805" i="1"/>
  <c r="W1805" i="1" s="1"/>
  <c r="V381" i="1"/>
  <c r="W381" i="1" s="1"/>
  <c r="V4295" i="1"/>
  <c r="W4295" i="1" s="1"/>
  <c r="V4302" i="1"/>
  <c r="W4302" i="1" s="1"/>
  <c r="V378" i="1"/>
  <c r="W378" i="1" s="1"/>
  <c r="V1802" i="1"/>
  <c r="W1802" i="1" s="1"/>
  <c r="V1799" i="1"/>
  <c r="W1799" i="1" s="1"/>
  <c r="V4296" i="1"/>
  <c r="W4296" i="1" s="1"/>
  <c r="V4298" i="1"/>
  <c r="W4298" i="1" s="1"/>
  <c r="V1751" i="1"/>
  <c r="W1751" i="1" s="1"/>
  <c r="V1787" i="1"/>
  <c r="W1787" i="1" s="1"/>
  <c r="V374" i="1"/>
  <c r="W374" i="1" s="1"/>
  <c r="V4285" i="1"/>
  <c r="W4285" i="1" s="1"/>
  <c r="V1796" i="1"/>
  <c r="W1796" i="1" s="1"/>
  <c r="V1766" i="1"/>
  <c r="W1766" i="1" s="1"/>
  <c r="V1800" i="1"/>
  <c r="W1800" i="1" s="1"/>
  <c r="V4240" i="1"/>
  <c r="W4240" i="1" s="1"/>
  <c r="V371" i="1"/>
  <c r="W371" i="1" s="1"/>
  <c r="V369" i="1"/>
  <c r="W369" i="1" s="1"/>
  <c r="V1791" i="1"/>
  <c r="W1791" i="1" s="1"/>
  <c r="V4282" i="1"/>
  <c r="W4282" i="1" s="1"/>
  <c r="V4192" i="1"/>
  <c r="W4192" i="1" s="1"/>
  <c r="V4269" i="1"/>
  <c r="W4269" i="1" s="1"/>
  <c r="V1779" i="1"/>
  <c r="W1779" i="1" s="1"/>
  <c r="V4265" i="1"/>
  <c r="W4265" i="1" s="1"/>
  <c r="V355" i="1"/>
  <c r="W355" i="1" s="1"/>
  <c r="V376" i="1"/>
  <c r="W376" i="1" s="1"/>
  <c r="V356" i="1"/>
  <c r="W356" i="1" s="1"/>
  <c r="V1745" i="1"/>
  <c r="W1745" i="1" s="1"/>
  <c r="V1752" i="1"/>
  <c r="W1752" i="1" s="1"/>
  <c r="V1777" i="1"/>
  <c r="W1777" i="1" s="1"/>
  <c r="V360" i="1"/>
  <c r="W360" i="1" s="1"/>
  <c r="V1775" i="1"/>
  <c r="W1775" i="1" s="1"/>
  <c r="V1767" i="1"/>
  <c r="W1767" i="1" s="1"/>
  <c r="V4237" i="1"/>
  <c r="W4237" i="1" s="1"/>
  <c r="V353" i="1"/>
  <c r="W353" i="1" s="1"/>
  <c r="V370" i="1"/>
  <c r="W370" i="1" s="1"/>
  <c r="V4244" i="1"/>
  <c r="W4244" i="1" s="1"/>
  <c r="V1764" i="1"/>
  <c r="W1764" i="1" s="1"/>
  <c r="V4254" i="1"/>
  <c r="W4254" i="1" s="1"/>
  <c r="V1765" i="1"/>
  <c r="W1765" i="1" s="1"/>
  <c r="V4245" i="1"/>
  <c r="W4245" i="1" s="1"/>
  <c r="V4270" i="1"/>
  <c r="W4270" i="1" s="1"/>
  <c r="V362" i="1"/>
  <c r="W362" i="1" s="1"/>
  <c r="V359" i="1"/>
  <c r="W359" i="1" s="1"/>
  <c r="V4225" i="1"/>
  <c r="W4225" i="1" s="1"/>
  <c r="V350" i="1"/>
  <c r="W350" i="1" s="1"/>
  <c r="V4193" i="1"/>
  <c r="W4193" i="1" s="1"/>
  <c r="V349" i="1"/>
  <c r="W349" i="1" s="1"/>
  <c r="W1801" i="1"/>
  <c r="W4286" i="1"/>
  <c r="W4272" i="1"/>
  <c r="W4291" i="1"/>
  <c r="W4293" i="1"/>
  <c r="W4290" i="1"/>
  <c r="W4255" i="1"/>
  <c r="W1790" i="1"/>
  <c r="W4284" i="1"/>
  <c r="W1657" i="1"/>
  <c r="W1773" i="1"/>
  <c r="W4273" i="1"/>
  <c r="W1783" i="1"/>
  <c r="W4258" i="1"/>
  <c r="W4247" i="1"/>
  <c r="W4267" i="1"/>
  <c r="W4278" i="1"/>
  <c r="W4260" i="1"/>
  <c r="W4277" i="1"/>
  <c r="W4276" i="1"/>
  <c r="W4261" i="1"/>
  <c r="W4243" i="1"/>
  <c r="W1780" i="1"/>
  <c r="W1776" i="1"/>
  <c r="W4197" i="1"/>
  <c r="W4274" i="1"/>
  <c r="W1774" i="1"/>
  <c r="W4266" i="1"/>
  <c r="W1772" i="1"/>
  <c r="W1735" i="1"/>
  <c r="W4262" i="1"/>
  <c r="W4252" i="1"/>
  <c r="W4227" i="1"/>
  <c r="W1768" i="1"/>
  <c r="W4259" i="1"/>
  <c r="W4263" i="1"/>
  <c r="W4218" i="1"/>
  <c r="W4232" i="1"/>
  <c r="W1729" i="1"/>
  <c r="W4257" i="1"/>
  <c r="W1763" i="1"/>
  <c r="W1739" i="1"/>
  <c r="W1769" i="1"/>
  <c r="W1746" i="1"/>
  <c r="W1762" i="1"/>
  <c r="W1747" i="1"/>
  <c r="W4250" i="1"/>
  <c r="W1733" i="1"/>
  <c r="W1734" i="1"/>
  <c r="W4253" i="1"/>
  <c r="W4229" i="1"/>
  <c r="W1753" i="1"/>
  <c r="W1761" i="1"/>
  <c r="W1757" i="1"/>
  <c r="W157" i="1"/>
  <c r="W4215" i="1"/>
  <c r="W4234" i="1"/>
  <c r="W4230" i="1"/>
  <c r="W1755" i="1"/>
  <c r="W4249" i="1"/>
  <c r="W4241" i="1"/>
  <c r="W4236" i="1"/>
  <c r="W1744" i="1"/>
  <c r="W4207" i="1"/>
  <c r="W1742" i="1"/>
  <c r="W4223" i="1"/>
  <c r="W4224" i="1"/>
  <c r="W4213" i="1"/>
  <c r="W4212" i="1"/>
  <c r="W4235" i="1"/>
  <c r="W4216" i="1"/>
  <c r="W4231" i="1"/>
  <c r="W4239" i="1"/>
  <c r="W1748" i="1"/>
  <c r="W4201" i="1"/>
  <c r="W4226" i="1"/>
  <c r="W4228" i="1"/>
  <c r="W339" i="1"/>
  <c r="W4220" i="1"/>
  <c r="W4222" i="1"/>
  <c r="W348" i="1"/>
  <c r="W4202" i="1"/>
  <c r="W4219" i="1"/>
  <c r="W1708" i="1"/>
  <c r="W4221" i="1"/>
  <c r="W344" i="1"/>
  <c r="W352" i="1"/>
  <c r="W1732" i="1"/>
  <c r="W1741" i="1"/>
  <c r="W1740" i="1"/>
  <c r="W1737" i="1"/>
  <c r="W1736" i="1"/>
  <c r="W351" i="1"/>
  <c r="W1727" i="1"/>
  <c r="W1738" i="1"/>
  <c r="W1724" i="1"/>
  <c r="W345" i="1"/>
  <c r="W4200" i="1"/>
  <c r="W3907" i="1"/>
  <c r="W1731" i="1"/>
  <c r="W1722" i="1"/>
  <c r="W347" i="1"/>
  <c r="W1730" i="1"/>
  <c r="W4211" i="1"/>
  <c r="W4206" i="1"/>
  <c r="W346" i="1"/>
  <c r="W1726" i="1"/>
  <c r="W1728" i="1"/>
  <c r="W1725" i="1"/>
  <c r="W4194" i="1"/>
  <c r="W1696" i="1"/>
  <c r="W342" i="1"/>
  <c r="W3670" i="1"/>
  <c r="W4204" i="1"/>
  <c r="W341" i="1"/>
  <c r="W4209" i="1"/>
  <c r="W3645" i="1"/>
  <c r="W1673" i="1"/>
  <c r="W1723" i="1"/>
  <c r="W4208" i="1"/>
  <c r="W4075" i="1"/>
  <c r="W1707" i="1"/>
  <c r="W4199" i="1"/>
  <c r="W4205" i="1"/>
  <c r="W2993" i="1"/>
  <c r="W4203" i="1"/>
  <c r="W343" i="1"/>
  <c r="W4196" i="1"/>
  <c r="W1717" i="1"/>
  <c r="W4198" i="1"/>
  <c r="W1666" i="1"/>
  <c r="W4195" i="1"/>
  <c r="W4147" i="1"/>
  <c r="W340" i="1"/>
  <c r="W333" i="1"/>
  <c r="W4184" i="1"/>
  <c r="W2278" i="1"/>
  <c r="W1721" i="1"/>
  <c r="W4152" i="1"/>
  <c r="W1667" i="1"/>
  <c r="W4134" i="1"/>
  <c r="W4141" i="1"/>
  <c r="W4005" i="1"/>
  <c r="W1594" i="1"/>
  <c r="W2896" i="1"/>
  <c r="W1720" i="1"/>
  <c r="W4191" i="1"/>
  <c r="W1718" i="1"/>
  <c r="W4190" i="1"/>
  <c r="W1282" i="1"/>
  <c r="W4139" i="1"/>
  <c r="W1719" i="1"/>
  <c r="W4189" i="1"/>
  <c r="W4188" i="1"/>
  <c r="W1715" i="1"/>
  <c r="W1714" i="1"/>
  <c r="W1713" i="1"/>
  <c r="W1716" i="1"/>
  <c r="W4181" i="1"/>
  <c r="W4185" i="1"/>
  <c r="W1587" i="1"/>
  <c r="W338" i="1"/>
  <c r="W1672" i="1"/>
  <c r="W4173" i="1"/>
  <c r="W1310" i="1"/>
  <c r="W1675" i="1"/>
  <c r="W1703" i="1"/>
  <c r="W4067" i="1"/>
  <c r="W1665" i="1"/>
  <c r="W1699" i="1"/>
  <c r="W327" i="1"/>
  <c r="W72" i="1"/>
  <c r="W1335" i="1"/>
  <c r="W4187" i="1"/>
  <c r="W1711" i="1"/>
  <c r="W4186" i="1"/>
  <c r="W1680" i="1"/>
  <c r="W227" i="1"/>
  <c r="W1677" i="1"/>
  <c r="W1571" i="1"/>
  <c r="W3577" i="1"/>
  <c r="W286" i="1"/>
  <c r="W4001" i="1"/>
  <c r="W4092" i="1"/>
  <c r="W337" i="1"/>
  <c r="W335" i="1"/>
  <c r="W4149" i="1"/>
  <c r="W1431" i="1"/>
  <c r="W4144" i="1"/>
  <c r="W1712" i="1"/>
  <c r="W336" i="1"/>
  <c r="W1706" i="1"/>
  <c r="W1710" i="1"/>
  <c r="W4172" i="1"/>
  <c r="W4163" i="1"/>
  <c r="W4183" i="1"/>
  <c r="W1701" i="1"/>
  <c r="W4182" i="1"/>
  <c r="W4080" i="1"/>
  <c r="W324" i="1"/>
  <c r="W334" i="1"/>
  <c r="W1464" i="1"/>
  <c r="W1700" i="1"/>
  <c r="W330" i="1"/>
  <c r="W1702" i="1"/>
  <c r="W323" i="1"/>
  <c r="W3539" i="1"/>
  <c r="W1686" i="1"/>
  <c r="W4157" i="1"/>
  <c r="W1629" i="1"/>
  <c r="W1709" i="1"/>
  <c r="W4127" i="1"/>
  <c r="W1698" i="1"/>
  <c r="W4142" i="1"/>
  <c r="W273" i="1"/>
  <c r="W1688" i="1"/>
  <c r="W1561" i="1"/>
  <c r="W4022" i="1"/>
  <c r="W4176" i="1"/>
  <c r="W1634" i="1"/>
  <c r="W1681" i="1"/>
  <c r="W4099" i="1"/>
  <c r="W1550" i="1"/>
  <c r="W952" i="1"/>
  <c r="W4179" i="1"/>
  <c r="W4098" i="1"/>
  <c r="W4012" i="1"/>
  <c r="W1690" i="1"/>
  <c r="W4050" i="1"/>
  <c r="W4180" i="1"/>
  <c r="W4106" i="1"/>
  <c r="W4177" i="1"/>
  <c r="W4171" i="1"/>
  <c r="W1434" i="1"/>
  <c r="W4178" i="1"/>
  <c r="W1705" i="1"/>
  <c r="W1222" i="1"/>
  <c r="W1693" i="1"/>
  <c r="W1704" i="1"/>
  <c r="W1691" i="1"/>
  <c r="W1692" i="1"/>
  <c r="W263" i="1"/>
  <c r="W4161" i="1"/>
  <c r="W1640" i="1"/>
  <c r="W1679" i="1"/>
  <c r="W1576" i="1"/>
  <c r="W1683" i="1"/>
  <c r="W4175" i="1"/>
  <c r="W4174" i="1"/>
  <c r="W4166" i="1"/>
  <c r="W187" i="1"/>
  <c r="W4138" i="1"/>
  <c r="W4103" i="1"/>
  <c r="W1695" i="1"/>
  <c r="W4158" i="1"/>
  <c r="W1646" i="1"/>
  <c r="W4086" i="1"/>
  <c r="W331" i="1"/>
  <c r="W1697" i="1"/>
  <c r="W4170" i="1"/>
  <c r="W1521" i="1"/>
  <c r="W4167" i="1"/>
  <c r="W1694" i="1"/>
  <c r="W186" i="1"/>
  <c r="W4168" i="1"/>
  <c r="W1553" i="1"/>
  <c r="W332" i="1"/>
  <c r="W1664" i="1"/>
  <c r="W1181" i="1"/>
  <c r="W898" i="1"/>
  <c r="W4088" i="1"/>
  <c r="W4131" i="1"/>
  <c r="W1682" i="1"/>
  <c r="W4160" i="1"/>
  <c r="W54" i="1"/>
  <c r="W1399" i="1"/>
  <c r="W328" i="1"/>
  <c r="W4159" i="1"/>
  <c r="W3878" i="1"/>
  <c r="W1689" i="1"/>
  <c r="W4169" i="1"/>
  <c r="W1685" i="1"/>
  <c r="W3545" i="1"/>
  <c r="W4129" i="1"/>
  <c r="W4162" i="1"/>
  <c r="W4165" i="1"/>
  <c r="W1618" i="1"/>
  <c r="W4164" i="1"/>
  <c r="W4145" i="1"/>
  <c r="W329" i="1"/>
  <c r="W1660" i="1"/>
  <c r="W320" i="1"/>
  <c r="W4148" i="1"/>
  <c r="W4155" i="1"/>
  <c r="W1687" i="1"/>
  <c r="W1447" i="1"/>
  <c r="W4156" i="1"/>
  <c r="W4133" i="1"/>
  <c r="W1599" i="1"/>
  <c r="W326" i="1"/>
  <c r="W1269" i="1"/>
  <c r="W3946" i="1"/>
  <c r="W4154" i="1"/>
  <c r="W4153" i="1"/>
  <c r="W1539" i="1"/>
  <c r="W1684" i="1"/>
  <c r="W4084" i="1"/>
  <c r="W4143" i="1"/>
  <c r="W4151" i="1"/>
  <c r="W4089" i="1"/>
  <c r="W200" i="1"/>
  <c r="W4150" i="1"/>
  <c r="W2914" i="1"/>
  <c r="W1669" i="1"/>
  <c r="W1671" i="1"/>
  <c r="W1670" i="1"/>
  <c r="W1676" i="1"/>
  <c r="W1617" i="1"/>
  <c r="W4146" i="1"/>
  <c r="W1678" i="1"/>
  <c r="W1602" i="1"/>
  <c r="W322" i="1"/>
  <c r="W1650" i="1"/>
  <c r="W4116" i="1"/>
  <c r="W1265" i="1"/>
  <c r="W1674" i="1"/>
  <c r="W1668" i="1"/>
  <c r="W3875" i="1"/>
  <c r="W319" i="1"/>
  <c r="W4136" i="1"/>
  <c r="W4137" i="1"/>
  <c r="W4135" i="1"/>
  <c r="W4125" i="1"/>
  <c r="W1637" i="1"/>
  <c r="W4140" i="1"/>
  <c r="W3790" i="1"/>
  <c r="W295" i="1"/>
  <c r="W1661" i="1"/>
  <c r="W1659" i="1"/>
  <c r="W4123" i="1"/>
  <c r="W3951" i="1"/>
  <c r="W4082" i="1"/>
  <c r="W325" i="1"/>
  <c r="W3905" i="1"/>
  <c r="W2612" i="1"/>
  <c r="W4090" i="1"/>
  <c r="W1581" i="1"/>
  <c r="W4128" i="1"/>
  <c r="W1377" i="1"/>
  <c r="W1600" i="1"/>
  <c r="W1663" i="1"/>
  <c r="W318" i="1"/>
  <c r="W4126" i="1"/>
  <c r="W1662" i="1"/>
  <c r="W4079" i="1"/>
  <c r="W317" i="1"/>
  <c r="W41" i="1"/>
  <c r="W1656" i="1"/>
  <c r="W4094" i="1"/>
  <c r="W4130" i="1"/>
  <c r="W4124" i="1"/>
  <c r="W1610" i="1"/>
  <c r="W4097" i="1"/>
  <c r="W1632" i="1"/>
  <c r="W1651" i="1"/>
  <c r="W4011" i="1"/>
  <c r="W1512" i="1"/>
  <c r="W3650" i="1"/>
  <c r="W4132" i="1"/>
  <c r="W1654" i="1"/>
  <c r="W81" i="1"/>
  <c r="W1641" i="1"/>
  <c r="W1649" i="1"/>
  <c r="W971" i="1"/>
  <c r="W4120" i="1"/>
  <c r="W4112" i="1"/>
  <c r="W1558" i="1"/>
  <c r="W252" i="1"/>
  <c r="W4110" i="1"/>
  <c r="W1658" i="1"/>
  <c r="W4122" i="1"/>
  <c r="W1590" i="1"/>
  <c r="W1554" i="1"/>
  <c r="W1655" i="1"/>
  <c r="W1534" i="1"/>
  <c r="W214" i="1"/>
  <c r="W1611" i="1"/>
  <c r="W1619" i="1"/>
  <c r="W4108" i="1"/>
  <c r="W1653" i="1"/>
  <c r="W1469" i="1"/>
  <c r="W1643" i="1"/>
  <c r="W321" i="1"/>
  <c r="W316" i="1"/>
  <c r="W1312" i="1"/>
  <c r="W255" i="1"/>
  <c r="W4100" i="1"/>
  <c r="W4119" i="1"/>
  <c r="W4087" i="1"/>
  <c r="W4118" i="1"/>
  <c r="W3983" i="1"/>
  <c r="W1624" i="1"/>
  <c r="W4121" i="1"/>
  <c r="W1652" i="1"/>
  <c r="W958" i="1"/>
  <c r="W1557" i="1"/>
  <c r="W1608" i="1"/>
  <c r="W1645" i="1"/>
  <c r="W1555" i="1"/>
  <c r="W4018" i="1"/>
  <c r="W314" i="1"/>
  <c r="W4111" i="1"/>
  <c r="W1648" i="1"/>
  <c r="W4036" i="1"/>
  <c r="W3698" i="1"/>
  <c r="W926" i="1"/>
  <c r="W3824" i="1"/>
  <c r="W1625" i="1"/>
  <c r="W2860" i="1"/>
  <c r="W4115" i="1"/>
  <c r="W4114" i="1"/>
  <c r="W4117" i="1"/>
  <c r="W4104" i="1"/>
  <c r="W1647" i="1"/>
  <c r="W4105" i="1"/>
  <c r="W1642" i="1"/>
  <c r="W4074" i="1"/>
  <c r="W4081" i="1"/>
  <c r="W40" i="1"/>
  <c r="W4113" i="1"/>
  <c r="W1419" i="1"/>
  <c r="W3056" i="1"/>
  <c r="W4107" i="1"/>
  <c r="W1644" i="1"/>
  <c r="W556" i="1"/>
  <c r="W4073" i="1"/>
  <c r="W1631" i="1"/>
  <c r="W163" i="1"/>
  <c r="W4091" i="1"/>
  <c r="W304" i="1"/>
  <c r="W1607" i="1"/>
  <c r="W4109" i="1"/>
  <c r="W1416" i="1"/>
  <c r="W3745" i="1"/>
  <c r="W1638" i="1"/>
  <c r="W1601" i="1"/>
  <c r="W229" i="1"/>
  <c r="W4102" i="1"/>
  <c r="W4096" i="1"/>
  <c r="W313" i="1"/>
  <c r="W4009" i="1"/>
  <c r="W315" i="1"/>
  <c r="W1498" i="1"/>
  <c r="W3963" i="1"/>
  <c r="W1639" i="1"/>
  <c r="W1636" i="1"/>
  <c r="W4033" i="1"/>
  <c r="W2987" i="1"/>
  <c r="W3406" i="1"/>
  <c r="W4101" i="1"/>
  <c r="W1635" i="1"/>
  <c r="W296" i="1"/>
  <c r="W1358" i="1"/>
  <c r="W1221" i="1"/>
  <c r="W4077" i="1"/>
  <c r="W1495" i="1"/>
  <c r="W3691" i="1"/>
  <c r="W3239" i="1"/>
  <c r="W282" i="1"/>
  <c r="W1627" i="1"/>
  <c r="W1591" i="1"/>
  <c r="W1630" i="1"/>
  <c r="W291" i="1"/>
  <c r="W4095" i="1"/>
  <c r="W3846" i="1"/>
  <c r="W1626" i="1"/>
  <c r="W1623" i="1"/>
  <c r="W154" i="1"/>
  <c r="W4093" i="1"/>
  <c r="W284" i="1"/>
  <c r="W2680" i="1"/>
  <c r="W4063" i="1"/>
  <c r="W1615" i="1"/>
  <c r="W3956" i="1"/>
  <c r="W1589" i="1"/>
  <c r="W1633" i="1"/>
  <c r="W1559" i="1"/>
  <c r="W3993" i="1"/>
  <c r="W1063" i="1"/>
  <c r="W312" i="1"/>
  <c r="W1616" i="1"/>
  <c r="W1606" i="1"/>
  <c r="W1604" i="1"/>
  <c r="W1612" i="1"/>
  <c r="W305" i="1"/>
  <c r="W259" i="1"/>
  <c r="W3929" i="1"/>
  <c r="W1572" i="1"/>
  <c r="W4085" i="1"/>
  <c r="W4078" i="1"/>
  <c r="W309" i="1"/>
  <c r="W4023" i="1"/>
  <c r="W267" i="1"/>
  <c r="W4071" i="1"/>
  <c r="W3014" i="1"/>
  <c r="W3472" i="1"/>
  <c r="W4061" i="1"/>
  <c r="W288" i="1"/>
  <c r="W4038" i="1"/>
  <c r="W1613" i="1"/>
  <c r="W4068" i="1"/>
  <c r="W4083" i="1"/>
  <c r="W3999" i="1"/>
  <c r="W257" i="1"/>
  <c r="W1628" i="1"/>
  <c r="W1537" i="1"/>
  <c r="W1153" i="1"/>
  <c r="W311" i="1"/>
  <c r="W4070" i="1"/>
  <c r="W3928" i="1"/>
  <c r="W1585" i="1"/>
  <c r="W1458" i="1"/>
  <c r="W1620" i="1"/>
  <c r="W1046" i="1"/>
  <c r="W3858" i="1"/>
  <c r="W1621" i="1"/>
  <c r="W1622" i="1"/>
  <c r="W1547" i="1"/>
  <c r="W3844" i="1"/>
  <c r="W1592" i="1"/>
  <c r="W1584" i="1"/>
  <c r="W3924" i="1"/>
  <c r="W1442" i="1"/>
  <c r="W3994" i="1"/>
  <c r="W1577" i="1"/>
  <c r="W310" i="1"/>
  <c r="W4026" i="1"/>
  <c r="W1609" i="1"/>
  <c r="W3872" i="1"/>
  <c r="W1614" i="1"/>
  <c r="W4037" i="1"/>
  <c r="W1524" i="1"/>
  <c r="W308" i="1"/>
  <c r="W1579" i="1"/>
  <c r="W4020" i="1"/>
  <c r="W1496" i="1"/>
  <c r="W3108" i="1"/>
  <c r="W307" i="1"/>
  <c r="W885" i="1"/>
  <c r="W4072" i="1"/>
  <c r="W4065" i="1"/>
  <c r="W4066" i="1"/>
  <c r="W297" i="1"/>
  <c r="W3367" i="1"/>
  <c r="W4076" i="1"/>
  <c r="W303" i="1"/>
  <c r="W287" i="1"/>
  <c r="W4069" i="1"/>
  <c r="W1603" i="1"/>
  <c r="W1593" i="1"/>
  <c r="W4057" i="1"/>
  <c r="W4029" i="1"/>
  <c r="W3974" i="1"/>
  <c r="W4059" i="1"/>
  <c r="W270" i="1"/>
  <c r="W4064" i="1"/>
  <c r="W4058" i="1"/>
  <c r="W3795" i="1"/>
  <c r="W1037" i="1"/>
  <c r="W4055" i="1"/>
  <c r="W271" i="1"/>
  <c r="W1596" i="1"/>
  <c r="W306" i="1"/>
  <c r="W4056" i="1"/>
  <c r="W4034" i="1"/>
  <c r="W1598" i="1"/>
  <c r="W3762" i="1"/>
  <c r="W4031" i="1"/>
  <c r="W1570" i="1"/>
  <c r="W266" i="1"/>
  <c r="W46" i="1"/>
  <c r="W1605" i="1"/>
  <c r="W1569" i="1"/>
  <c r="W302" i="1"/>
  <c r="W4046" i="1"/>
  <c r="W4062" i="1"/>
  <c r="W1542" i="1"/>
  <c r="W3880" i="1"/>
  <c r="W269" i="1"/>
  <c r="W1588" i="1"/>
  <c r="W301" i="1"/>
  <c r="W204" i="1"/>
  <c r="W293" i="1"/>
  <c r="W290" i="1"/>
  <c r="W3743" i="1"/>
  <c r="W298" i="1"/>
  <c r="W879" i="1"/>
  <c r="W292" i="1"/>
  <c r="W300" i="1"/>
  <c r="W294" i="1"/>
  <c r="W299" i="1"/>
  <c r="W1597" i="1"/>
  <c r="W4040" i="1"/>
  <c r="W4041" i="1"/>
  <c r="W4047" i="1"/>
  <c r="W1574" i="1"/>
  <c r="W4049" i="1"/>
  <c r="W4053" i="1"/>
  <c r="W4051" i="1"/>
  <c r="W2800" i="1"/>
  <c r="W4016" i="1"/>
  <c r="W3969" i="1"/>
  <c r="W3303" i="1"/>
  <c r="W4028" i="1"/>
  <c r="W4060" i="1"/>
  <c r="W3944" i="1"/>
  <c r="W3088" i="1"/>
  <c r="W4025" i="1"/>
  <c r="W4054" i="1"/>
  <c r="W1595" i="1"/>
  <c r="W74" i="1"/>
  <c r="W4052" i="1"/>
  <c r="W1582" i="1"/>
  <c r="W3430" i="1"/>
  <c r="W3229" i="1"/>
  <c r="W1586" i="1"/>
  <c r="W261" i="1"/>
  <c r="W3917" i="1"/>
  <c r="W4017" i="1"/>
  <c r="W1573" i="1"/>
  <c r="W1583" i="1"/>
  <c r="W1580" i="1"/>
  <c r="W3651" i="1"/>
  <c r="W4048" i="1"/>
  <c r="W4044" i="1"/>
  <c r="W3787" i="1"/>
  <c r="W1385" i="1"/>
  <c r="W1556" i="1"/>
  <c r="W4019" i="1"/>
  <c r="W4035" i="1"/>
  <c r="W656" i="1"/>
  <c r="W279" i="1"/>
  <c r="W278" i="1"/>
  <c r="W3414" i="1"/>
  <c r="W1565" i="1"/>
  <c r="W1499" i="1"/>
  <c r="W3754" i="1"/>
  <c r="W1279" i="1"/>
  <c r="W3810" i="1"/>
  <c r="W3966" i="1"/>
  <c r="W4027" i="1"/>
  <c r="W275" i="1"/>
  <c r="W3822" i="1"/>
  <c r="W3782" i="1"/>
  <c r="W4039" i="1"/>
  <c r="W1568" i="1"/>
  <c r="W3978" i="1"/>
  <c r="W4032" i="1"/>
  <c r="W4045" i="1"/>
  <c r="W1564" i="1"/>
  <c r="W289" i="1"/>
  <c r="W258" i="1"/>
  <c r="W4024" i="1"/>
  <c r="W4042" i="1"/>
  <c r="W4007" i="1"/>
  <c r="W4043" i="1"/>
  <c r="W1459" i="1"/>
  <c r="W1287" i="1"/>
  <c r="W1578" i="1"/>
  <c r="W1551" i="1"/>
  <c r="W3971" i="1"/>
  <c r="W4030" i="1"/>
  <c r="W135" i="1"/>
  <c r="W1456" i="1"/>
  <c r="W285" i="1"/>
  <c r="W4000" i="1"/>
  <c r="W3709" i="1"/>
  <c r="W1536" i="1"/>
  <c r="W3986" i="1"/>
  <c r="W4021" i="1"/>
  <c r="W3183" i="1"/>
  <c r="W2706" i="1"/>
  <c r="W1566" i="1"/>
  <c r="W1505" i="1"/>
  <c r="W1575" i="1"/>
  <c r="W3780" i="1"/>
  <c r="W4002" i="1"/>
  <c r="W246" i="1"/>
  <c r="W1519" i="1"/>
  <c r="W2504" i="1"/>
  <c r="W1481" i="1"/>
  <c r="W3876" i="1"/>
  <c r="W1497" i="1"/>
  <c r="W4004" i="1"/>
  <c r="W3901" i="1"/>
  <c r="W1548" i="1"/>
  <c r="W3496" i="1"/>
  <c r="W4003" i="1"/>
  <c r="W849" i="1"/>
  <c r="W3941" i="1"/>
  <c r="W917" i="1"/>
  <c r="W4013" i="1"/>
  <c r="W4015" i="1"/>
  <c r="W3959" i="1"/>
  <c r="W4014" i="1"/>
  <c r="W1562" i="1"/>
  <c r="W3915" i="1"/>
  <c r="W1443" i="1"/>
  <c r="W2891" i="1"/>
  <c r="W280" i="1"/>
  <c r="W1563" i="1"/>
  <c r="W283" i="1"/>
  <c r="W3997" i="1"/>
  <c r="W1567" i="1"/>
  <c r="W1549" i="1"/>
  <c r="W4006" i="1"/>
  <c r="W1538" i="1"/>
  <c r="W1043" i="1"/>
  <c r="W993" i="1"/>
  <c r="W1533" i="1"/>
  <c r="W3982" i="1"/>
  <c r="W1468" i="1"/>
  <c r="W3932" i="1"/>
  <c r="W3970" i="1"/>
  <c r="W1491" i="1"/>
  <c r="W3804" i="1"/>
  <c r="W1384" i="1"/>
  <c r="W4010" i="1"/>
  <c r="W1552" i="1"/>
  <c r="W4008" i="1"/>
  <c r="W244" i="1"/>
  <c r="W281" i="1"/>
  <c r="W3888" i="1"/>
  <c r="W2736" i="1"/>
  <c r="W3991" i="1"/>
  <c r="W3998" i="1"/>
  <c r="W3995" i="1"/>
  <c r="W3976" i="1"/>
  <c r="W1560" i="1"/>
  <c r="W276" i="1"/>
  <c r="W3866" i="1"/>
  <c r="W277" i="1"/>
  <c r="W3141" i="1"/>
  <c r="W3977" i="1"/>
  <c r="W1515" i="1"/>
  <c r="W1518" i="1"/>
  <c r="W274" i="1"/>
  <c r="W3862" i="1"/>
  <c r="W1404" i="1"/>
  <c r="W3934" i="1"/>
  <c r="W3987" i="1"/>
  <c r="W3625" i="1"/>
  <c r="W3980" i="1"/>
  <c r="W3992" i="1"/>
  <c r="W3614" i="1"/>
  <c r="W1316" i="1"/>
  <c r="W3985" i="1"/>
  <c r="W3358" i="1"/>
  <c r="W1545" i="1"/>
  <c r="W3989" i="1"/>
  <c r="W272" i="1"/>
  <c r="W3897" i="1"/>
  <c r="W3988" i="1"/>
  <c r="W1487" i="1"/>
  <c r="W1540" i="1"/>
  <c r="W3914" i="1"/>
  <c r="W3792" i="1"/>
  <c r="W3990" i="1"/>
  <c r="W3979" i="1"/>
  <c r="W1541" i="1"/>
  <c r="W3954" i="1"/>
  <c r="W3996" i="1"/>
  <c r="W1543" i="1"/>
  <c r="W1546" i="1"/>
  <c r="W1544" i="1"/>
  <c r="W264" i="1"/>
  <c r="W220" i="1"/>
  <c r="W268" i="1"/>
  <c r="W1510" i="1"/>
  <c r="W1526" i="1"/>
  <c r="W1478" i="1"/>
  <c r="W1527" i="1"/>
  <c r="W3984" i="1"/>
  <c r="W118" i="1"/>
  <c r="W1535" i="1"/>
  <c r="W1321" i="1"/>
  <c r="W1514" i="1"/>
  <c r="W1522" i="1"/>
  <c r="W1513" i="1"/>
  <c r="W3975" i="1"/>
  <c r="W3900" i="1"/>
  <c r="W265" i="1"/>
  <c r="W1532" i="1"/>
  <c r="W3981" i="1"/>
  <c r="W3701" i="1"/>
  <c r="W3957" i="1"/>
  <c r="W907" i="1"/>
  <c r="W3380" i="1"/>
  <c r="W1422" i="1"/>
  <c r="W1509" i="1"/>
  <c r="W2320" i="1"/>
  <c r="W3972" i="1"/>
  <c r="W1112" i="1"/>
  <c r="W1523" i="1"/>
  <c r="W1485" i="1"/>
  <c r="W3961" i="1"/>
  <c r="W262" i="1"/>
  <c r="W2939" i="1"/>
  <c r="W3758" i="1"/>
  <c r="W1388" i="1"/>
  <c r="W3973" i="1"/>
  <c r="W3955" i="1"/>
  <c r="W3318" i="1"/>
  <c r="W3964" i="1"/>
  <c r="W1528" i="1"/>
  <c r="W3965" i="1"/>
  <c r="W840" i="1"/>
  <c r="W1455" i="1"/>
  <c r="W3942" i="1"/>
  <c r="W3657" i="1"/>
  <c r="W3940" i="1"/>
  <c r="W3893" i="1"/>
  <c r="W3020" i="1"/>
  <c r="W260" i="1"/>
  <c r="W3962" i="1"/>
  <c r="W3638" i="1"/>
  <c r="W1508" i="1"/>
  <c r="W3967" i="1"/>
  <c r="W248" i="1"/>
  <c r="W3784" i="1"/>
  <c r="W3945" i="1"/>
  <c r="W3958" i="1"/>
  <c r="W3949" i="1"/>
  <c r="W3953" i="1"/>
  <c r="W3968" i="1"/>
  <c r="W1531" i="1"/>
  <c r="W119" i="1"/>
  <c r="W1511" i="1"/>
  <c r="W3960" i="1"/>
  <c r="W3902" i="1"/>
  <c r="W3921" i="1"/>
  <c r="W1425" i="1"/>
  <c r="W1525" i="1"/>
  <c r="W1529" i="1"/>
  <c r="W1530" i="1"/>
  <c r="W3646" i="1"/>
  <c r="W241" i="1"/>
  <c r="W3829" i="1"/>
  <c r="W3952" i="1"/>
  <c r="W1483" i="1"/>
  <c r="W1489" i="1"/>
  <c r="W1309" i="1"/>
  <c r="W3948" i="1"/>
  <c r="W253" i="1"/>
  <c r="W3895" i="1"/>
  <c r="W3936" i="1"/>
  <c r="W3524" i="1"/>
  <c r="W3950" i="1"/>
  <c r="W3777" i="1"/>
  <c r="W3476" i="1"/>
  <c r="W1475" i="1"/>
  <c r="W3939" i="1"/>
  <c r="W3920" i="1"/>
  <c r="W3947" i="1"/>
  <c r="W1299" i="1"/>
  <c r="W3922" i="1"/>
  <c r="W1415" i="1"/>
  <c r="W3885" i="1"/>
  <c r="W1516" i="1"/>
  <c r="W3864" i="1"/>
  <c r="W1500" i="1"/>
  <c r="W1517" i="1"/>
  <c r="W1386" i="1"/>
  <c r="W3159" i="1"/>
  <c r="W1484" i="1"/>
  <c r="W195" i="1"/>
  <c r="W3710" i="1"/>
  <c r="W3896" i="1"/>
  <c r="W235" i="1"/>
  <c r="W3926" i="1"/>
  <c r="W3812" i="1"/>
  <c r="W1446" i="1"/>
  <c r="W3275" i="1"/>
  <c r="W3938" i="1"/>
  <c r="W221" i="1"/>
  <c r="W3943" i="1"/>
  <c r="W3834" i="1"/>
  <c r="W1427" i="1"/>
  <c r="W256" i="1"/>
  <c r="W1504" i="1"/>
  <c r="W1520" i="1"/>
  <c r="W3931" i="1"/>
  <c r="W3927" i="1"/>
  <c r="W3193" i="1"/>
  <c r="W3933" i="1"/>
  <c r="W3312" i="1"/>
  <c r="W1502" i="1"/>
  <c r="W3935" i="1"/>
  <c r="W3899" i="1"/>
  <c r="W3937" i="1"/>
  <c r="W3881" i="1"/>
  <c r="W3811" i="1"/>
  <c r="W1494" i="1"/>
  <c r="W1507" i="1"/>
  <c r="W233" i="1"/>
  <c r="W3873" i="1"/>
  <c r="W3740" i="1"/>
  <c r="W3930" i="1"/>
  <c r="W1428" i="1"/>
  <c r="W3849" i="1"/>
  <c r="W3870" i="1"/>
  <c r="W232" i="1"/>
  <c r="W3355" i="1"/>
  <c r="W3622" i="1"/>
  <c r="W3925" i="1"/>
  <c r="W1506" i="1"/>
  <c r="W3674" i="1"/>
  <c r="W2454" i="1"/>
  <c r="W155" i="1"/>
  <c r="W3664" i="1"/>
  <c r="W3826" i="1"/>
  <c r="W254" i="1"/>
  <c r="W1503" i="1"/>
  <c r="W1493" i="1"/>
  <c r="W249" i="1"/>
  <c r="W1477" i="1"/>
  <c r="W3919" i="1"/>
  <c r="W3877" i="1"/>
  <c r="W3908" i="1"/>
  <c r="W3898" i="1"/>
  <c r="W1438" i="1"/>
  <c r="W1280" i="1"/>
  <c r="W1488" i="1"/>
  <c r="W3916" i="1"/>
  <c r="W3891" i="1"/>
  <c r="W1501" i="1"/>
  <c r="W3918" i="1"/>
  <c r="W1486" i="1"/>
  <c r="W3923" i="1"/>
  <c r="W3911" i="1"/>
  <c r="W3913" i="1"/>
  <c r="W212" i="1"/>
  <c r="W1482" i="1"/>
  <c r="W3672" i="1"/>
  <c r="W3851" i="1"/>
  <c r="W1480" i="1"/>
  <c r="W1444" i="1"/>
  <c r="W3912" i="1"/>
  <c r="W1429" i="1"/>
  <c r="W3819" i="1"/>
  <c r="W1397" i="1"/>
  <c r="W3906" i="1"/>
  <c r="W1492" i="1"/>
  <c r="W3892" i="1"/>
  <c r="W3910" i="1"/>
  <c r="W3868" i="1"/>
  <c r="W1400" i="1"/>
  <c r="W237" i="1"/>
  <c r="W3861" i="1"/>
  <c r="W250" i="1"/>
  <c r="W3903" i="1"/>
  <c r="W1461" i="1"/>
  <c r="W3860" i="1"/>
  <c r="W3909" i="1"/>
  <c r="W1479" i="1"/>
  <c r="W1360" i="1"/>
  <c r="W3882" i="1"/>
  <c r="W3190" i="1"/>
  <c r="W1462" i="1"/>
  <c r="W251" i="1"/>
  <c r="W3883" i="1"/>
  <c r="W1490" i="1"/>
  <c r="W3419" i="1"/>
  <c r="W240" i="1"/>
  <c r="W3904" i="1"/>
  <c r="W1449" i="1"/>
  <c r="W231" i="1"/>
  <c r="W3835" i="1"/>
  <c r="W3843" i="1"/>
  <c r="W247" i="1"/>
  <c r="W3772" i="1"/>
  <c r="W3867" i="1"/>
  <c r="W3889" i="1"/>
  <c r="W3886" i="1"/>
  <c r="W3490" i="1"/>
  <c r="W3801" i="1"/>
  <c r="W2768" i="1"/>
  <c r="W1467" i="1"/>
  <c r="W3869" i="1"/>
  <c r="W3884" i="1"/>
  <c r="W3871" i="1"/>
  <c r="W3857" i="1"/>
  <c r="W3894" i="1"/>
  <c r="W1212" i="1"/>
  <c r="W1106" i="1"/>
  <c r="W3721" i="1"/>
  <c r="W3887" i="1"/>
  <c r="W3697" i="1"/>
  <c r="W3890" i="1"/>
  <c r="W1476" i="1"/>
  <c r="W1474" i="1"/>
  <c r="W245" i="1"/>
  <c r="W3783" i="1"/>
  <c r="W1380" i="1"/>
  <c r="W1470" i="1"/>
  <c r="W1473" i="1"/>
  <c r="W3847" i="1"/>
  <c r="W242" i="1"/>
  <c r="W3853" i="1"/>
  <c r="W1471" i="1"/>
  <c r="W1401" i="1"/>
  <c r="W1466" i="1"/>
  <c r="W3879" i="1"/>
  <c r="W1465" i="1"/>
  <c r="W208" i="1"/>
  <c r="W243" i="1"/>
  <c r="W3842" i="1"/>
  <c r="W1383" i="1"/>
  <c r="W1472" i="1"/>
  <c r="W3840" i="1"/>
  <c r="W1454" i="1"/>
  <c r="W1437" i="1"/>
  <c r="W3794" i="1"/>
  <c r="W3855" i="1"/>
  <c r="W3744" i="1"/>
  <c r="W3808" i="1"/>
  <c r="W3874" i="1"/>
  <c r="W1441" i="1"/>
  <c r="W238" i="1"/>
  <c r="W3859" i="1"/>
  <c r="W1406" i="1"/>
  <c r="W3778" i="1"/>
  <c r="W3779" i="1"/>
  <c r="W1460" i="1"/>
  <c r="W1390" i="1"/>
  <c r="W1433" i="1"/>
  <c r="W3863" i="1"/>
  <c r="W1457" i="1"/>
  <c r="W3666" i="1"/>
  <c r="W1344" i="1"/>
  <c r="W1345" i="1"/>
  <c r="W230" i="1"/>
  <c r="W1436" i="1"/>
  <c r="W236" i="1"/>
  <c r="W1426" i="1"/>
  <c r="W3831" i="1"/>
  <c r="W1463" i="1"/>
  <c r="W3377" i="1"/>
  <c r="W3865" i="1"/>
  <c r="W3856" i="1"/>
  <c r="W3797" i="1"/>
  <c r="W1440" i="1"/>
  <c r="W3813" i="1"/>
  <c r="W3736" i="1"/>
  <c r="W2766" i="1"/>
  <c r="W1451" i="1"/>
  <c r="W2865" i="1"/>
  <c r="W3814" i="1"/>
  <c r="W239" i="1"/>
  <c r="W3750" i="1"/>
  <c r="W3679" i="1"/>
  <c r="W3837" i="1"/>
  <c r="W1445" i="1"/>
  <c r="W1395" i="1"/>
  <c r="W3845" i="1"/>
  <c r="W1402" i="1"/>
  <c r="W3828" i="1"/>
  <c r="W3854" i="1"/>
  <c r="W3517" i="1"/>
  <c r="W3850" i="1"/>
  <c r="W3788" i="1"/>
  <c r="W234" i="1"/>
  <c r="W117" i="1"/>
  <c r="W3832" i="1"/>
  <c r="W1439" i="1"/>
  <c r="W1418" i="1"/>
  <c r="W3852" i="1"/>
  <c r="W1435" i="1"/>
  <c r="W3848" i="1"/>
  <c r="W3839" i="1"/>
  <c r="W1396" i="1"/>
  <c r="W3830" i="1"/>
  <c r="W1293" i="1"/>
  <c r="W1432" i="1"/>
  <c r="W1107" i="1"/>
  <c r="W3841" i="1"/>
  <c r="W1453" i="1"/>
  <c r="W3821" i="1"/>
  <c r="W3802" i="1"/>
  <c r="W1398" i="1"/>
  <c r="W3816" i="1"/>
  <c r="W1430" i="1"/>
  <c r="W3581" i="1"/>
  <c r="W3836" i="1"/>
  <c r="W1448" i="1"/>
  <c r="W3726" i="1"/>
  <c r="W1423" i="1"/>
  <c r="W3771" i="1"/>
  <c r="W1450" i="1"/>
  <c r="W1452" i="1"/>
  <c r="W3755" i="1"/>
  <c r="W1320" i="1"/>
  <c r="W3827" i="1"/>
  <c r="W3789" i="1"/>
  <c r="W3838" i="1"/>
  <c r="W3776" i="1"/>
  <c r="W130" i="1"/>
  <c r="W3292" i="1"/>
  <c r="W3815" i="1"/>
  <c r="W3805" i="1"/>
  <c r="W3793" i="1"/>
  <c r="W1413" i="1"/>
  <c r="W3705" i="1"/>
  <c r="W3375" i="1"/>
  <c r="W228" i="1"/>
  <c r="W3809" i="1"/>
  <c r="W3807" i="1"/>
  <c r="W3818" i="1"/>
  <c r="W3823" i="1"/>
  <c r="W3231" i="1"/>
  <c r="W2777" i="1"/>
  <c r="W1424" i="1"/>
  <c r="W3296" i="1"/>
  <c r="W3825" i="1"/>
  <c r="W3751" i="1"/>
  <c r="W147" i="1"/>
  <c r="W3833" i="1"/>
  <c r="W211" i="1"/>
  <c r="W3737" i="1"/>
  <c r="W1273" i="1"/>
  <c r="W3756" i="1"/>
  <c r="W218" i="1"/>
  <c r="W1368" i="1"/>
  <c r="W1382" i="1"/>
  <c r="W1420" i="1"/>
  <c r="W3800" i="1"/>
  <c r="W3753" i="1"/>
  <c r="W3796" i="1"/>
  <c r="W3748" i="1"/>
  <c r="W3817" i="1"/>
  <c r="W806" i="1"/>
  <c r="W3676" i="1"/>
  <c r="W3820" i="1"/>
  <c r="W3513" i="1"/>
  <c r="W3746" i="1"/>
  <c r="W1409" i="1"/>
  <c r="W156" i="1"/>
  <c r="W1391" i="1"/>
  <c r="W1146" i="1"/>
  <c r="W3648" i="1"/>
  <c r="W3129" i="1"/>
  <c r="W3785" i="1"/>
  <c r="W3092" i="1"/>
  <c r="W3747" i="1"/>
  <c r="W3799" i="1"/>
  <c r="W3803" i="1"/>
  <c r="W1414" i="1"/>
  <c r="W226" i="1"/>
  <c r="W1110" i="1"/>
  <c r="W1365" i="1"/>
  <c r="W219" i="1"/>
  <c r="W3774" i="1"/>
  <c r="W3716" i="1"/>
  <c r="W3711" i="1"/>
  <c r="W3730" i="1"/>
  <c r="W3757" i="1"/>
  <c r="W543" i="1"/>
  <c r="W2719" i="1"/>
  <c r="W2998" i="1"/>
  <c r="W3652" i="1"/>
  <c r="W1052" i="1"/>
  <c r="W1417" i="1"/>
  <c r="W3806" i="1"/>
  <c r="W1421" i="1"/>
  <c r="W1403" i="1"/>
  <c r="W3770" i="1"/>
  <c r="W3798" i="1"/>
  <c r="W3768" i="1"/>
  <c r="W3605" i="1"/>
  <c r="W3741" i="1"/>
  <c r="W3773" i="1"/>
  <c r="W3791" i="1"/>
  <c r="W3781" i="1"/>
  <c r="W1389" i="1"/>
  <c r="W3760" i="1"/>
  <c r="W193" i="1"/>
  <c r="W223" i="1"/>
  <c r="W3501" i="1"/>
  <c r="W1353" i="1"/>
  <c r="W3749" i="1"/>
  <c r="W225" i="1"/>
  <c r="W3715" i="1"/>
  <c r="W3775" i="1"/>
  <c r="W3733" i="1"/>
  <c r="W113" i="1"/>
  <c r="W3368" i="1"/>
  <c r="W3514" i="1"/>
  <c r="W3590" i="1"/>
  <c r="W3769" i="1"/>
  <c r="W1408" i="1"/>
  <c r="W171" i="1"/>
  <c r="W3714" i="1"/>
  <c r="W1411" i="1"/>
  <c r="W3720" i="1"/>
  <c r="W3087" i="1"/>
  <c r="W3786" i="1"/>
  <c r="W3459" i="1"/>
  <c r="W3732" i="1"/>
  <c r="W224" i="1"/>
  <c r="W1262" i="1"/>
  <c r="W1412" i="1"/>
  <c r="W1381" i="1"/>
  <c r="W178" i="1"/>
  <c r="W3761" i="1"/>
  <c r="W1230" i="1"/>
  <c r="W3763" i="1"/>
  <c r="W3766" i="1"/>
  <c r="W1410" i="1"/>
  <c r="W1350" i="1"/>
  <c r="W1407" i="1"/>
  <c r="W3764" i="1"/>
  <c r="W3765" i="1"/>
  <c r="W1394" i="1"/>
  <c r="W1373" i="1"/>
  <c r="W222" i="1"/>
  <c r="W3661" i="1"/>
  <c r="W217" i="1"/>
  <c r="W1405" i="1"/>
  <c r="W1357" i="1"/>
  <c r="W3678" i="1"/>
  <c r="W3759" i="1"/>
  <c r="W3707" i="1"/>
  <c r="W3767" i="1"/>
  <c r="W1392" i="1"/>
  <c r="W1296" i="1"/>
  <c r="W1393" i="1"/>
  <c r="W207" i="1"/>
  <c r="W3689" i="1"/>
  <c r="W3752" i="1"/>
  <c r="W3727" i="1"/>
  <c r="W3742" i="1"/>
  <c r="W1246" i="1"/>
  <c r="W1349" i="1"/>
  <c r="W1295" i="1"/>
  <c r="W2590" i="1"/>
  <c r="W1127" i="1"/>
  <c r="W3722" i="1"/>
  <c r="W1356" i="1"/>
  <c r="W3738" i="1"/>
  <c r="W3544" i="1"/>
  <c r="W3739" i="1"/>
  <c r="W216" i="1"/>
  <c r="W3601" i="1"/>
  <c r="W3723" i="1"/>
  <c r="W2170" i="1"/>
  <c r="W213" i="1"/>
  <c r="W145" i="1"/>
  <c r="W1369" i="1"/>
  <c r="W1256" i="1"/>
  <c r="W3735" i="1"/>
  <c r="W1387" i="1"/>
  <c r="W210" i="1"/>
  <c r="W3510" i="1"/>
  <c r="W3734" i="1"/>
  <c r="W1374" i="1"/>
  <c r="W3631" i="1"/>
  <c r="W3728" i="1"/>
  <c r="W3628" i="1"/>
  <c r="W3724" i="1"/>
  <c r="W3699" i="1"/>
  <c r="W1378" i="1"/>
  <c r="W3731" i="1"/>
  <c r="W3706" i="1"/>
  <c r="W3549" i="1"/>
  <c r="W215" i="1"/>
  <c r="W109" i="1"/>
  <c r="W158" i="1"/>
  <c r="W1121" i="1"/>
  <c r="W1364" i="1"/>
  <c r="W3688" i="1"/>
  <c r="W3671" i="1"/>
  <c r="W3719" i="1"/>
  <c r="W3429" i="1"/>
  <c r="W3685" i="1"/>
  <c r="W3729" i="1"/>
  <c r="W3712" i="1"/>
  <c r="W3173" i="1"/>
  <c r="W1305" i="1"/>
  <c r="W2117" i="1"/>
  <c r="W1297" i="1"/>
  <c r="W1372" i="1"/>
  <c r="W1169" i="1"/>
  <c r="W38" i="1"/>
  <c r="W3680" i="1"/>
  <c r="W151" i="1"/>
  <c r="W3602" i="1"/>
  <c r="W1376" i="1"/>
  <c r="W1370" i="1"/>
  <c r="W1346" i="1"/>
  <c r="W1156" i="1"/>
  <c r="W3521" i="1"/>
  <c r="W202" i="1"/>
  <c r="W3703" i="1"/>
  <c r="W3725" i="1"/>
  <c r="W3642" i="1"/>
  <c r="W3717" i="1"/>
  <c r="W1026" i="1"/>
  <c r="W182" i="1"/>
  <c r="W1379" i="1"/>
  <c r="W134" i="1"/>
  <c r="W1355" i="1"/>
  <c r="W3713" i="1"/>
  <c r="W3696" i="1"/>
  <c r="W3152" i="1"/>
  <c r="W3686" i="1"/>
  <c r="W3610" i="1"/>
  <c r="W3682" i="1"/>
  <c r="W3694" i="1"/>
  <c r="W1363" i="1"/>
  <c r="W143" i="1"/>
  <c r="W3692" i="1"/>
  <c r="W1371" i="1"/>
  <c r="W3704" i="1"/>
  <c r="W3667" i="1"/>
  <c r="W3520" i="1"/>
  <c r="W1194" i="1"/>
  <c r="W209" i="1"/>
  <c r="W3269" i="1"/>
  <c r="W1333" i="1"/>
  <c r="W1111" i="1"/>
  <c r="W181" i="1"/>
  <c r="W3399" i="1"/>
  <c r="W1314" i="1"/>
  <c r="W3665" i="1"/>
  <c r="W3700" i="1"/>
  <c r="W1375" i="1"/>
  <c r="W3718" i="1"/>
  <c r="W931" i="1"/>
  <c r="W176" i="1"/>
  <c r="W1367" i="1"/>
  <c r="W3708" i="1"/>
  <c r="W3632" i="1"/>
  <c r="W788" i="1"/>
  <c r="W3458" i="1"/>
  <c r="W1361" i="1"/>
  <c r="W1327" i="1"/>
  <c r="W3154" i="1"/>
  <c r="W3433" i="1"/>
  <c r="W94" i="1"/>
  <c r="W149" i="1"/>
  <c r="W162" i="1"/>
  <c r="W1352" i="1"/>
  <c r="W1366" i="1"/>
  <c r="W579" i="1"/>
  <c r="W3695" i="1"/>
  <c r="W139" i="1"/>
  <c r="W3623" i="1"/>
  <c r="W3693" i="1"/>
  <c r="W1362" i="1"/>
  <c r="W1167" i="1"/>
  <c r="W1343" i="1"/>
  <c r="W1348" i="1"/>
  <c r="W3690" i="1"/>
  <c r="W3572" i="1"/>
  <c r="W3522" i="1"/>
  <c r="W3702" i="1"/>
  <c r="W1242" i="1"/>
  <c r="W2960" i="1"/>
  <c r="W3640" i="1"/>
  <c r="W1274" i="1"/>
  <c r="W3003" i="1"/>
  <c r="W3656" i="1"/>
  <c r="W2760" i="1"/>
  <c r="W1270" i="1"/>
  <c r="W3663" i="1"/>
  <c r="W3684" i="1"/>
  <c r="W1359" i="1"/>
  <c r="W3669" i="1"/>
  <c r="W3683" i="1"/>
  <c r="W948" i="1"/>
  <c r="W3637" i="1"/>
  <c r="W1257" i="1"/>
  <c r="W3681" i="1"/>
  <c r="W3687" i="1"/>
  <c r="W1248" i="1"/>
  <c r="W174" i="1"/>
  <c r="W3600" i="1"/>
  <c r="W201" i="1"/>
  <c r="W1338" i="1"/>
  <c r="W1332" i="1"/>
  <c r="W1336" i="1"/>
  <c r="W3511" i="1"/>
  <c r="W1354" i="1"/>
  <c r="W2932" i="1"/>
  <c r="W1313" i="1"/>
  <c r="W3675" i="1"/>
  <c r="W1177" i="1"/>
  <c r="W160" i="1"/>
  <c r="W3677" i="1"/>
  <c r="W3595" i="1"/>
  <c r="W3613" i="1"/>
  <c r="W1322" i="1"/>
  <c r="W205" i="1"/>
  <c r="W3166" i="1"/>
  <c r="W1351" i="1"/>
  <c r="W3567" i="1"/>
  <c r="W206" i="1"/>
  <c r="W199" i="1"/>
  <c r="W3620" i="1"/>
  <c r="W1330" i="1"/>
  <c r="W3598" i="1"/>
  <c r="W1251" i="1"/>
  <c r="W1337" i="1"/>
  <c r="W1078" i="1"/>
  <c r="W1341" i="1"/>
  <c r="W1347" i="1"/>
  <c r="W3482" i="1"/>
  <c r="W3673" i="1"/>
  <c r="W3654" i="1"/>
  <c r="W133" i="1"/>
  <c r="W198" i="1"/>
  <c r="W1339" i="1"/>
  <c r="W3662" i="1"/>
  <c r="W3551" i="1"/>
  <c r="W3655" i="1"/>
  <c r="W3641" i="1"/>
  <c r="W3630" i="1"/>
  <c r="W1235" i="1"/>
  <c r="W3457" i="1"/>
  <c r="W3493" i="1"/>
  <c r="W175" i="1"/>
  <c r="W3639" i="1"/>
  <c r="W833" i="1"/>
  <c r="W1325" i="1"/>
  <c r="W1311" i="1"/>
  <c r="W1202" i="1"/>
  <c r="W2216" i="1"/>
  <c r="W203" i="1"/>
  <c r="W1108" i="1"/>
  <c r="W3558" i="1"/>
  <c r="W3643" i="1"/>
  <c r="W2999" i="1"/>
  <c r="W3304" i="1"/>
  <c r="W3647" i="1"/>
  <c r="W3668" i="1"/>
  <c r="W1340" i="1"/>
  <c r="W3543" i="1"/>
  <c r="W3617" i="1"/>
  <c r="W146" i="1"/>
  <c r="W3090" i="1"/>
  <c r="W3659" i="1"/>
  <c r="W3615" i="1"/>
  <c r="W183" i="1"/>
  <c r="W1342" i="1"/>
  <c r="W3582" i="1"/>
  <c r="W3606" i="1"/>
  <c r="W3653" i="1"/>
  <c r="W3649" i="1"/>
  <c r="W3660" i="1"/>
  <c r="W1277" i="1"/>
  <c r="W189" i="1"/>
  <c r="W1334" i="1"/>
  <c r="W3658" i="1"/>
  <c r="W3604" i="1"/>
  <c r="W1275" i="1"/>
  <c r="W196" i="1"/>
  <c r="W1236" i="1"/>
  <c r="W3574" i="1"/>
  <c r="W3131" i="1"/>
  <c r="W3546" i="1"/>
  <c r="W3636" i="1"/>
  <c r="W3569" i="1"/>
  <c r="W1302" i="1"/>
  <c r="W1315" i="1"/>
  <c r="W1264" i="1"/>
  <c r="W3612" i="1"/>
  <c r="W3633" i="1"/>
  <c r="W1207" i="1"/>
  <c r="W3416" i="1"/>
  <c r="W1331" i="1"/>
  <c r="W3611" i="1"/>
  <c r="W2943" i="1"/>
  <c r="W3495" i="1"/>
  <c r="W3644" i="1"/>
  <c r="W2992" i="1"/>
  <c r="W1329" i="1"/>
  <c r="W3553" i="1"/>
  <c r="W3634" i="1"/>
  <c r="W1328" i="1"/>
  <c r="W1326" i="1"/>
  <c r="W2851" i="1"/>
  <c r="W170" i="1"/>
  <c r="W3585" i="1"/>
  <c r="W3635" i="1"/>
  <c r="W3542" i="1"/>
  <c r="W172" i="1"/>
  <c r="W3618" i="1"/>
  <c r="W3619" i="1"/>
  <c r="W3519" i="1"/>
  <c r="W949" i="1"/>
  <c r="W3621" i="1"/>
  <c r="W3589" i="1"/>
  <c r="W1319" i="1"/>
  <c r="W179" i="1"/>
  <c r="W3599" i="1"/>
  <c r="W3629" i="1"/>
  <c r="W3562" i="1"/>
  <c r="W1318" i="1"/>
  <c r="W3626" i="1"/>
  <c r="W194" i="1"/>
  <c r="W3343" i="1"/>
  <c r="W3627" i="1"/>
  <c r="W3608" i="1"/>
  <c r="W191" i="1"/>
  <c r="W1197" i="1"/>
  <c r="W1324" i="1"/>
  <c r="W3556" i="1"/>
  <c r="W3624" i="1"/>
  <c r="W188" i="1"/>
  <c r="W1301" i="1"/>
  <c r="W988" i="1"/>
  <c r="W3573" i="1"/>
  <c r="W3607" i="1"/>
  <c r="W3508" i="1"/>
  <c r="W3583" i="1"/>
  <c r="W3418" i="1"/>
  <c r="W884" i="1"/>
  <c r="W1323" i="1"/>
  <c r="W55" i="1"/>
  <c r="W3584" i="1"/>
  <c r="W1286" i="1"/>
  <c r="W3498" i="1"/>
  <c r="W3554" i="1"/>
  <c r="W3565" i="1"/>
  <c r="W3609" i="1"/>
  <c r="W57" i="1"/>
  <c r="W3587" i="1"/>
  <c r="W1307" i="1"/>
  <c r="W167" i="1"/>
  <c r="W3592" i="1"/>
  <c r="W1170" i="1"/>
  <c r="W1191" i="1"/>
  <c r="W1290" i="1"/>
  <c r="W3525" i="1"/>
  <c r="W3478" i="1"/>
  <c r="W1306" i="1"/>
  <c r="W192" i="1"/>
  <c r="W3616" i="1"/>
  <c r="W3603" i="1"/>
  <c r="W1317" i="1"/>
  <c r="W3591" i="1"/>
  <c r="W197" i="1"/>
  <c r="W190" i="1"/>
  <c r="W3578" i="1"/>
  <c r="W1291" i="1"/>
  <c r="W992" i="1"/>
  <c r="W1072" i="1"/>
  <c r="W3528" i="1"/>
  <c r="W3523" i="1"/>
  <c r="W1158" i="1"/>
  <c r="W1137" i="1"/>
  <c r="W3575" i="1"/>
  <c r="W184" i="1"/>
  <c r="W976" i="1"/>
  <c r="W1308" i="1"/>
  <c r="W3596" i="1"/>
  <c r="W1241" i="1"/>
  <c r="W3548" i="1"/>
  <c r="W3486" i="1"/>
  <c r="W3586" i="1"/>
  <c r="W1281" i="1"/>
  <c r="W3597" i="1"/>
  <c r="W1184" i="1"/>
  <c r="W3505" i="1"/>
  <c r="W1303" i="1"/>
  <c r="W3471" i="1"/>
  <c r="W3559" i="1"/>
  <c r="W3412" i="1"/>
  <c r="W1220" i="1"/>
  <c r="W1304" i="1"/>
  <c r="W3547" i="1"/>
  <c r="W3594" i="1"/>
  <c r="W3533" i="1"/>
  <c r="W686" i="1"/>
  <c r="W3570" i="1"/>
  <c r="W1300" i="1"/>
  <c r="W3466" i="1"/>
  <c r="W35" i="1"/>
  <c r="W1285" i="1"/>
  <c r="W3428" i="1"/>
  <c r="W3030" i="1"/>
  <c r="W1254" i="1"/>
  <c r="W1144" i="1"/>
  <c r="W3540" i="1"/>
  <c r="W786" i="1"/>
  <c r="W3342" i="1"/>
  <c r="W3029" i="1"/>
  <c r="W3571" i="1"/>
  <c r="W3576" i="1"/>
  <c r="W3560" i="1"/>
  <c r="W3588" i="1"/>
  <c r="W3580" i="1"/>
  <c r="W3579" i="1"/>
  <c r="W3593" i="1"/>
  <c r="W185" i="1"/>
  <c r="W1276" i="1"/>
  <c r="W1173" i="1"/>
  <c r="W1298" i="1"/>
  <c r="W3561" i="1"/>
  <c r="W3439" i="1"/>
  <c r="W1294" i="1"/>
  <c r="W3449" i="1"/>
  <c r="W981" i="1"/>
  <c r="W3557" i="1"/>
  <c r="W2660" i="1"/>
  <c r="W1145" i="1"/>
  <c r="W1289" i="1"/>
  <c r="W1284" i="1"/>
  <c r="W3502" i="1"/>
  <c r="W1288" i="1"/>
  <c r="W3566" i="1"/>
  <c r="W58" i="1"/>
  <c r="W1278" i="1"/>
  <c r="W3488" i="1"/>
  <c r="W3568" i="1"/>
  <c r="W1292" i="1"/>
  <c r="W177" i="1"/>
  <c r="W3564" i="1"/>
  <c r="W1124" i="1"/>
  <c r="W1267" i="1"/>
  <c r="W3531" i="1"/>
  <c r="W1213" i="1"/>
  <c r="W1283" i="1"/>
  <c r="W3541" i="1"/>
  <c r="W3345" i="1"/>
  <c r="W3408" i="1"/>
  <c r="W3552" i="1"/>
  <c r="W1258" i="1"/>
  <c r="W3563" i="1"/>
  <c r="W1266" i="1"/>
  <c r="W168" i="1"/>
  <c r="W3427" i="1"/>
  <c r="W2938" i="1"/>
  <c r="W1233" i="1"/>
  <c r="W3489" i="1"/>
  <c r="W1232" i="1"/>
  <c r="W1271" i="1"/>
  <c r="W1172" i="1"/>
  <c r="W3555" i="1"/>
  <c r="W3477" i="1"/>
  <c r="W180" i="1"/>
  <c r="W3499" i="1"/>
  <c r="W3526" i="1"/>
  <c r="W3382" i="1"/>
  <c r="W1268" i="1"/>
  <c r="W3454" i="1"/>
  <c r="W69" i="1"/>
  <c r="W1166" i="1"/>
  <c r="W1229" i="1"/>
  <c r="W3225" i="1"/>
  <c r="W3550" i="1"/>
  <c r="W1263" i="1"/>
  <c r="W1272" i="1"/>
  <c r="W1240" i="1"/>
  <c r="W1217" i="1"/>
  <c r="W3532" i="1"/>
  <c r="W3361" i="1"/>
  <c r="W3456" i="1"/>
  <c r="W173" i="1"/>
  <c r="W3535" i="1"/>
  <c r="W1261" i="1"/>
  <c r="W3536" i="1"/>
  <c r="W164" i="1"/>
  <c r="W3198" i="1"/>
  <c r="W1219" i="1"/>
  <c r="W3529" i="1"/>
  <c r="W3197" i="1"/>
  <c r="W3537" i="1"/>
  <c r="W3481" i="1"/>
  <c r="W969" i="1"/>
  <c r="W169" i="1"/>
  <c r="W3538" i="1"/>
  <c r="W1245" i="1"/>
  <c r="W3036" i="1"/>
  <c r="W3242" i="1"/>
  <c r="W3409" i="1"/>
  <c r="W2656" i="1"/>
  <c r="W1260" i="1"/>
  <c r="W3432" i="1"/>
  <c r="W3479" i="1"/>
  <c r="W1250" i="1"/>
  <c r="W1201" i="1"/>
  <c r="W1244" i="1"/>
  <c r="W161" i="1"/>
  <c r="W3422" i="1"/>
  <c r="W150" i="1"/>
  <c r="W1255" i="1"/>
  <c r="W1259" i="1"/>
  <c r="W3530" i="1"/>
  <c r="W3527" i="1"/>
  <c r="W3491" i="1"/>
  <c r="W3534" i="1"/>
  <c r="W1098" i="1"/>
  <c r="W1038" i="1"/>
  <c r="W995" i="1"/>
  <c r="W3515" i="1"/>
  <c r="W1252" i="1"/>
  <c r="W1157" i="1"/>
  <c r="W1249" i="1"/>
  <c r="W1179" i="1"/>
  <c r="W1238" i="1"/>
  <c r="W1214" i="1"/>
  <c r="W3506" i="1"/>
  <c r="W3395" i="1"/>
  <c r="W1190" i="1"/>
  <c r="W1247" i="1"/>
  <c r="W1237" i="1"/>
  <c r="W3509" i="1"/>
  <c r="W3504" i="1"/>
  <c r="W3196" i="1"/>
  <c r="W3258" i="1"/>
  <c r="W1253" i="1"/>
  <c r="W1243" i="1"/>
  <c r="W3462" i="1"/>
  <c r="W1204" i="1"/>
  <c r="W1087" i="1"/>
  <c r="W3098" i="1"/>
  <c r="W1234" i="1"/>
  <c r="W1226" i="1"/>
  <c r="W2877" i="1"/>
  <c r="W1228" i="1"/>
  <c r="W2778" i="1"/>
  <c r="W892" i="1"/>
  <c r="W3297" i="1"/>
  <c r="W3492" i="1"/>
  <c r="W1215" i="1"/>
  <c r="W1196" i="1"/>
  <c r="W1239" i="1"/>
  <c r="W1218" i="1"/>
  <c r="W3516" i="1"/>
  <c r="W3473" i="1"/>
  <c r="W2980" i="1"/>
  <c r="W3262" i="1"/>
  <c r="W1210" i="1"/>
  <c r="W3518" i="1"/>
  <c r="W159" i="1"/>
  <c r="W3503" i="1"/>
  <c r="W1225" i="1"/>
  <c r="W1150" i="1"/>
  <c r="W3465" i="1"/>
  <c r="W1208" i="1"/>
  <c r="W1178" i="1"/>
  <c r="W3483" i="1"/>
  <c r="W3240" i="1"/>
  <c r="W1154" i="1"/>
  <c r="W3480" i="1"/>
  <c r="W1223" i="1"/>
  <c r="W166" i="1"/>
  <c r="W3485" i="1"/>
  <c r="W3512" i="1"/>
  <c r="W3507" i="1"/>
  <c r="W3447" i="1"/>
  <c r="W1231" i="1"/>
  <c r="W2785" i="1"/>
  <c r="W3467" i="1"/>
  <c r="W2838" i="1"/>
  <c r="W3359" i="1"/>
  <c r="W1203" i="1"/>
  <c r="W1216" i="1"/>
  <c r="W1224" i="1"/>
  <c r="W3038" i="1"/>
  <c r="W165" i="1"/>
  <c r="W1227" i="1"/>
  <c r="W3443" i="1"/>
  <c r="W3421" i="1"/>
  <c r="W1123" i="1"/>
  <c r="W2789" i="1"/>
  <c r="W3389" i="1"/>
  <c r="W3334" i="1"/>
  <c r="W3494" i="1"/>
  <c r="W3464" i="1"/>
  <c r="W3468" i="1"/>
  <c r="W3403" i="1"/>
  <c r="W1115" i="1"/>
  <c r="W3500" i="1"/>
  <c r="W1034" i="1"/>
  <c r="W1119" i="1"/>
  <c r="W3386" i="1"/>
  <c r="W2779" i="1"/>
  <c r="W2930" i="1"/>
  <c r="W2958" i="1"/>
  <c r="W773" i="1"/>
  <c r="W1189" i="1"/>
  <c r="W3497" i="1"/>
  <c r="W3319" i="1"/>
  <c r="W3441" i="1"/>
  <c r="W1205" i="1"/>
  <c r="W3438" i="1"/>
  <c r="W3315" i="1"/>
  <c r="W1185" i="1"/>
  <c r="W3475" i="1"/>
  <c r="W3407" i="1"/>
  <c r="W3404" i="1"/>
  <c r="W3423" i="1"/>
  <c r="W1129" i="1"/>
  <c r="W3461" i="1"/>
  <c r="W3463" i="1"/>
  <c r="W1198" i="1"/>
  <c r="W3487" i="1"/>
  <c r="W43" i="1"/>
  <c r="W3452" i="1"/>
  <c r="W3329" i="1"/>
  <c r="W96" i="1"/>
  <c r="W1195" i="1"/>
  <c r="W3037" i="1"/>
  <c r="W3417" i="1"/>
  <c r="W3445" i="1"/>
  <c r="W3455" i="1"/>
  <c r="W1211" i="1"/>
  <c r="W3390" i="1"/>
  <c r="W1165" i="1"/>
  <c r="W1193" i="1"/>
  <c r="W3113" i="1"/>
  <c r="W3453" i="1"/>
  <c r="W3484" i="1"/>
  <c r="W1209" i="1"/>
  <c r="W2536" i="1"/>
  <c r="W3451" i="1"/>
  <c r="W3434" i="1"/>
  <c r="W3474" i="1"/>
  <c r="W1155" i="1"/>
  <c r="W3118" i="1"/>
  <c r="W751" i="1"/>
  <c r="W3398" i="1"/>
  <c r="W1200" i="1"/>
  <c r="W1105" i="1"/>
  <c r="W1161" i="1"/>
  <c r="W3448" i="1"/>
  <c r="W1199" i="1"/>
  <c r="W3401" i="1"/>
  <c r="W3302" i="1"/>
  <c r="W1020" i="1"/>
  <c r="W1206" i="1"/>
  <c r="W1174" i="1"/>
  <c r="W3288" i="1"/>
  <c r="W3392" i="1"/>
  <c r="W3431" i="1"/>
  <c r="W3446" i="1"/>
  <c r="W1186" i="1"/>
  <c r="W3426" i="1"/>
  <c r="W1180" i="1"/>
  <c r="W3469" i="1"/>
  <c r="W3373" i="1"/>
  <c r="W1171" i="1"/>
  <c r="W1044" i="1"/>
  <c r="W3316" i="1"/>
  <c r="W3268" i="1"/>
  <c r="W927" i="1"/>
  <c r="W3470" i="1"/>
  <c r="W1188" i="1"/>
  <c r="W1187" i="1"/>
  <c r="W3437" i="1"/>
  <c r="W3339" i="1"/>
  <c r="W1183" i="1"/>
  <c r="W2598" i="1"/>
  <c r="W3365" i="1"/>
  <c r="W3440" i="1"/>
  <c r="W3410" i="1"/>
  <c r="W1192" i="1"/>
  <c r="W3444" i="1"/>
  <c r="W3436" i="1"/>
  <c r="W1151" i="1"/>
  <c r="W123" i="1"/>
  <c r="W3460" i="1"/>
  <c r="W137" i="1"/>
  <c r="W1159" i="1"/>
  <c r="W3450" i="1"/>
  <c r="W3420" i="1"/>
  <c r="W3378" i="1"/>
  <c r="W3435" i="1"/>
  <c r="W1139" i="1"/>
  <c r="W1164" i="1"/>
  <c r="W3385" i="1"/>
  <c r="W891" i="1"/>
  <c r="W1176" i="1"/>
  <c r="W3370" i="1"/>
  <c r="W3424" i="1"/>
  <c r="W2792" i="1"/>
  <c r="W3442" i="1"/>
  <c r="W1077" i="1"/>
  <c r="W876" i="1"/>
  <c r="W111" i="1"/>
  <c r="W1131" i="1"/>
  <c r="W131" i="1"/>
  <c r="W2786" i="1"/>
  <c r="W3349" i="1"/>
  <c r="W3363" i="1"/>
  <c r="W1149" i="1"/>
  <c r="W153" i="1"/>
  <c r="W1148" i="1"/>
  <c r="W1006" i="1"/>
  <c r="W1175" i="1"/>
  <c r="W3405" i="1"/>
  <c r="W1152" i="1"/>
  <c r="W3344" i="1"/>
  <c r="W3425" i="1"/>
  <c r="W1014" i="1"/>
  <c r="W1168" i="1"/>
  <c r="W1182" i="1"/>
  <c r="W3415" i="1"/>
  <c r="W3394" i="1"/>
  <c r="W3400" i="1"/>
  <c r="W768" i="1"/>
  <c r="W3413" i="1"/>
  <c r="W1163" i="1"/>
  <c r="W1056" i="1"/>
  <c r="W1092" i="1"/>
  <c r="W1090" i="1"/>
  <c r="W854" i="1"/>
  <c r="W1053" i="1"/>
  <c r="W1122" i="1"/>
  <c r="W3337" i="1"/>
  <c r="W152" i="1"/>
  <c r="W3393" i="1"/>
  <c r="W3362" i="1"/>
  <c r="W939" i="1"/>
  <c r="W3411" i="1"/>
  <c r="W1162" i="1"/>
  <c r="W816" i="1"/>
  <c r="W3232" i="1"/>
  <c r="W82" i="1"/>
  <c r="W3402" i="1"/>
  <c r="W3388" i="1"/>
  <c r="W3397" i="1"/>
  <c r="W1147" i="1"/>
  <c r="W3330" i="1"/>
  <c r="W3387" i="1"/>
  <c r="W1160" i="1"/>
  <c r="W2947" i="1"/>
  <c r="W3396" i="1"/>
  <c r="W3371" i="1"/>
  <c r="W1085" i="1"/>
  <c r="W1140" i="1"/>
  <c r="W3050" i="1"/>
  <c r="W1135" i="1"/>
  <c r="W3366" i="1"/>
  <c r="W3381" i="1"/>
  <c r="W148" i="1"/>
  <c r="W1143" i="1"/>
  <c r="W1099" i="1"/>
  <c r="W3332" i="1"/>
  <c r="W3391" i="1"/>
  <c r="W3376" i="1"/>
  <c r="W3350" i="1"/>
  <c r="W3200" i="1"/>
  <c r="W1093" i="1"/>
  <c r="W1130" i="1"/>
  <c r="W47" i="1"/>
  <c r="W1039" i="1"/>
  <c r="W1027" i="1"/>
  <c r="W3347" i="1"/>
  <c r="W3384" i="1"/>
  <c r="W3282" i="1"/>
  <c r="W3383" i="1"/>
  <c r="W56" i="1"/>
  <c r="W3327" i="1"/>
  <c r="W3379" i="1"/>
  <c r="W3106" i="1"/>
  <c r="W3357" i="1"/>
  <c r="W132" i="1"/>
  <c r="W1113" i="1"/>
  <c r="W1141" i="1"/>
  <c r="W1142" i="1"/>
  <c r="W1132" i="1"/>
  <c r="W3374" i="1"/>
  <c r="W140" i="1"/>
  <c r="W1075" i="1"/>
  <c r="W78" i="1"/>
  <c r="W141" i="1"/>
  <c r="W1126" i="1"/>
  <c r="W3320" i="1"/>
  <c r="W3272" i="1"/>
  <c r="W1067" i="1"/>
  <c r="W1005" i="1"/>
  <c r="W1049" i="1"/>
  <c r="W1128" i="1"/>
  <c r="W3369" i="1"/>
  <c r="W919" i="1"/>
  <c r="W1136" i="1"/>
  <c r="W2949" i="1"/>
  <c r="W144" i="1"/>
  <c r="W1096" i="1"/>
  <c r="W3338" i="1"/>
  <c r="W1134" i="1"/>
  <c r="W1025" i="1"/>
  <c r="W1138" i="1"/>
  <c r="W1133" i="1"/>
  <c r="W774" i="1"/>
  <c r="W3175" i="1"/>
  <c r="W3372" i="1"/>
  <c r="W3290" i="1"/>
  <c r="W2834" i="1"/>
  <c r="W3016" i="1"/>
  <c r="W894" i="1"/>
  <c r="W2784" i="1"/>
  <c r="W1095" i="1"/>
  <c r="W3086" i="1"/>
  <c r="W1117" i="1"/>
  <c r="W3354" i="1"/>
  <c r="W1097" i="1"/>
  <c r="W142" i="1"/>
  <c r="W3356" i="1"/>
  <c r="W1104" i="1"/>
  <c r="W3298" i="1"/>
  <c r="W2783" i="1"/>
  <c r="W3248" i="1"/>
  <c r="W3364" i="1"/>
  <c r="W138" i="1"/>
  <c r="W3331" i="1"/>
  <c r="W3289" i="1"/>
  <c r="W1116" i="1"/>
  <c r="W3062" i="1"/>
  <c r="W3215" i="1"/>
  <c r="W3326" i="1"/>
  <c r="W3360" i="1"/>
  <c r="W1120" i="1"/>
  <c r="W1071" i="1"/>
  <c r="W3348" i="1"/>
  <c r="W3295" i="1"/>
  <c r="W3340" i="1"/>
  <c r="W1118" i="1"/>
  <c r="W122" i="1"/>
  <c r="W1069" i="1"/>
  <c r="W129" i="1"/>
  <c r="W3353" i="1"/>
  <c r="W1114" i="1"/>
  <c r="W1074" i="1"/>
  <c r="W3305" i="1"/>
  <c r="W3351" i="1"/>
  <c r="W1091" i="1"/>
  <c r="W3346" i="1"/>
  <c r="W3307" i="1"/>
  <c r="W1125" i="1"/>
  <c r="W3185" i="1"/>
  <c r="W3294" i="1"/>
  <c r="W3222" i="1"/>
  <c r="W3102" i="1"/>
  <c r="W3310" i="1"/>
  <c r="W1084" i="1"/>
  <c r="W3352" i="1"/>
  <c r="W3314" i="1"/>
  <c r="W957" i="1"/>
  <c r="W3103" i="1"/>
  <c r="W928" i="1"/>
  <c r="W3328" i="1"/>
  <c r="W3195" i="1"/>
  <c r="W3287" i="1"/>
  <c r="W3336" i="1"/>
  <c r="W3324" i="1"/>
  <c r="W3341" i="1"/>
  <c r="W3276" i="1"/>
  <c r="W3293" i="1"/>
  <c r="W1017" i="1"/>
  <c r="W1064" i="1"/>
  <c r="W3333" i="1"/>
  <c r="W1101" i="1"/>
  <c r="W1073" i="1"/>
  <c r="W1061" i="1"/>
  <c r="W1109" i="1"/>
  <c r="W3260" i="1"/>
  <c r="W3322" i="1"/>
  <c r="W3074" i="1"/>
  <c r="W3309" i="1"/>
  <c r="W3283" i="1"/>
  <c r="W3271" i="1"/>
  <c r="W3244" i="1"/>
  <c r="W3321" i="1"/>
  <c r="W3335" i="1"/>
  <c r="W1035" i="1"/>
  <c r="W2994" i="1"/>
  <c r="W3230" i="1"/>
  <c r="W3280" i="1"/>
  <c r="W3148" i="1"/>
  <c r="W3325" i="1"/>
  <c r="W1065" i="1"/>
  <c r="W3270" i="1"/>
  <c r="W1022" i="1"/>
  <c r="W3153" i="1"/>
  <c r="W1059" i="1"/>
  <c r="W1100" i="1"/>
  <c r="W136" i="1"/>
  <c r="W3313" i="1"/>
  <c r="W1102" i="1"/>
  <c r="W1062" i="1"/>
  <c r="W2782" i="1"/>
  <c r="W1103" i="1"/>
  <c r="W3323" i="1"/>
  <c r="W126" i="1"/>
  <c r="W3256" i="1"/>
  <c r="W125" i="1"/>
  <c r="W3277" i="1"/>
  <c r="W3306" i="1"/>
  <c r="W3235" i="1"/>
  <c r="W1088" i="1"/>
  <c r="W1089" i="1"/>
  <c r="W3253" i="1"/>
  <c r="W1030" i="1"/>
  <c r="W3317" i="1"/>
  <c r="W1041" i="1"/>
  <c r="W3279" i="1"/>
  <c r="W3261" i="1"/>
  <c r="W1082" i="1"/>
  <c r="W105" i="1"/>
  <c r="W3208" i="1"/>
  <c r="W1094" i="1"/>
  <c r="W1083" i="1"/>
  <c r="W3311" i="1"/>
  <c r="W3278" i="1"/>
  <c r="W3019" i="1"/>
  <c r="W1011" i="1"/>
  <c r="W3291" i="1"/>
  <c r="W3308" i="1"/>
  <c r="W1080" i="1"/>
  <c r="W1086" i="1"/>
  <c r="W3274" i="1"/>
  <c r="W3301" i="1"/>
  <c r="W3300" i="1"/>
  <c r="W1047" i="1"/>
  <c r="W3255" i="1"/>
  <c r="W3213" i="1"/>
  <c r="W128" i="1"/>
  <c r="W1048" i="1"/>
  <c r="W3219" i="1"/>
  <c r="W3284" i="1"/>
  <c r="W1079" i="1"/>
  <c r="W3266" i="1"/>
  <c r="W908" i="1"/>
  <c r="W1031" i="1"/>
  <c r="W3299" i="1"/>
  <c r="W3281" i="1"/>
  <c r="W3123" i="1"/>
  <c r="W3286" i="1"/>
  <c r="W3273" i="1"/>
  <c r="W1066" i="1"/>
  <c r="W1070" i="1"/>
  <c r="W1076" i="1"/>
  <c r="W983" i="1"/>
  <c r="W1081" i="1"/>
  <c r="W3217" i="1"/>
  <c r="W1057" i="1"/>
  <c r="W1042" i="1"/>
  <c r="W3128" i="1"/>
  <c r="W1068" i="1"/>
  <c r="W2632" i="1"/>
  <c r="W3243" i="1"/>
  <c r="W3285" i="1"/>
  <c r="W846" i="1"/>
  <c r="W3249" i="1"/>
  <c r="W916" i="1"/>
  <c r="W3254" i="1"/>
  <c r="W3257" i="1"/>
  <c r="W3252" i="1"/>
  <c r="W1055" i="1"/>
  <c r="W1045" i="1"/>
  <c r="W3238" i="1"/>
  <c r="W1051" i="1"/>
  <c r="W3245" i="1"/>
  <c r="W3265" i="1"/>
  <c r="W3188" i="1"/>
  <c r="W60" i="1"/>
  <c r="W1023" i="1"/>
  <c r="W3133" i="1"/>
  <c r="W3107" i="1"/>
  <c r="W3267" i="1"/>
  <c r="W127" i="1"/>
  <c r="W1050" i="1"/>
  <c r="W3263" i="1"/>
  <c r="W110" i="1"/>
  <c r="W3150" i="1"/>
  <c r="W121" i="1"/>
  <c r="W3247" i="1"/>
  <c r="W3209" i="1"/>
  <c r="W1060" i="1"/>
  <c r="W1058" i="1"/>
  <c r="W972" i="1"/>
  <c r="W3134" i="1"/>
  <c r="W3259" i="1"/>
  <c r="W3264" i="1"/>
  <c r="W3226" i="1"/>
  <c r="W975" i="1"/>
  <c r="W1054" i="1"/>
  <c r="W923" i="1"/>
  <c r="W3241" i="1"/>
  <c r="W3237" i="1"/>
  <c r="W1009" i="1"/>
  <c r="W980" i="1"/>
  <c r="W3234" i="1"/>
  <c r="W3167" i="1"/>
  <c r="W124" i="1"/>
  <c r="W3233" i="1"/>
  <c r="W1040" i="1"/>
  <c r="W1013" i="1"/>
  <c r="W3046" i="1"/>
  <c r="W3224" i="1"/>
  <c r="W3099" i="1"/>
  <c r="W3250" i="1"/>
  <c r="W3227" i="1"/>
  <c r="W3172" i="1"/>
  <c r="W962" i="1"/>
  <c r="W1015" i="1"/>
  <c r="W3246" i="1"/>
  <c r="W3228" i="1"/>
  <c r="W3194" i="1"/>
  <c r="W1036" i="1"/>
  <c r="W3214" i="1"/>
  <c r="W3251" i="1"/>
  <c r="W3220" i="1"/>
  <c r="W44" i="1"/>
  <c r="W991" i="1"/>
  <c r="W1024" i="1"/>
  <c r="W3216" i="1"/>
  <c r="W978" i="1"/>
  <c r="W3165" i="1"/>
  <c r="W1004" i="1"/>
  <c r="W1032" i="1"/>
  <c r="W3137" i="1"/>
  <c r="W120" i="1"/>
  <c r="W1033" i="1"/>
  <c r="W3221" i="1"/>
  <c r="W3236" i="1"/>
  <c r="W3122" i="1"/>
  <c r="W3207" i="1"/>
  <c r="W3202" i="1"/>
  <c r="W1029" i="1"/>
  <c r="W1021" i="1"/>
  <c r="W103" i="1"/>
  <c r="W985" i="1"/>
  <c r="W3203" i="1"/>
  <c r="W1018" i="1"/>
  <c r="W3218" i="1"/>
  <c r="W3201" i="1"/>
  <c r="W2941" i="1"/>
  <c r="W868" i="1"/>
  <c r="W1028" i="1"/>
  <c r="W3223" i="1"/>
  <c r="W1019" i="1"/>
  <c r="W49" i="1"/>
  <c r="W3205" i="1"/>
  <c r="W3212" i="1"/>
  <c r="W3187" i="1"/>
  <c r="W1016" i="1"/>
  <c r="W950" i="1"/>
  <c r="W100" i="1"/>
  <c r="W3206" i="1"/>
  <c r="W3210" i="1"/>
  <c r="W3204" i="1"/>
  <c r="W994" i="1"/>
  <c r="W1012" i="1"/>
  <c r="W116" i="1"/>
  <c r="W3211" i="1"/>
  <c r="W108" i="1"/>
  <c r="W3179" i="1"/>
  <c r="W1008" i="1"/>
  <c r="W2984" i="1"/>
  <c r="W3151" i="1"/>
  <c r="W1007" i="1"/>
  <c r="W2541" i="1"/>
  <c r="W997" i="1"/>
  <c r="W3163" i="1"/>
  <c r="W3192" i="1"/>
  <c r="W933" i="1"/>
  <c r="W3170" i="1"/>
  <c r="W3184" i="1"/>
  <c r="W1010" i="1"/>
  <c r="W3158" i="1"/>
  <c r="W3189" i="1"/>
  <c r="W3120" i="1"/>
  <c r="W3199" i="1"/>
  <c r="W3162" i="1"/>
  <c r="W3105" i="1"/>
  <c r="W987" i="1"/>
  <c r="W967" i="1"/>
  <c r="W1001" i="1"/>
  <c r="W3169" i="1"/>
  <c r="W3191" i="1"/>
  <c r="W3110" i="1"/>
  <c r="W1003" i="1"/>
  <c r="W3186" i="1"/>
  <c r="W1002" i="1"/>
  <c r="W998" i="1"/>
  <c r="W970" i="1"/>
  <c r="W2864" i="1"/>
  <c r="W115" i="1"/>
  <c r="W3100" i="1"/>
  <c r="W3176" i="1"/>
  <c r="W961" i="1"/>
  <c r="W964" i="1"/>
  <c r="W3178" i="1"/>
  <c r="W986" i="1"/>
  <c r="W3104" i="1"/>
  <c r="W114" i="1"/>
  <c r="W83" i="1"/>
  <c r="W3181" i="1"/>
  <c r="W956" i="1"/>
  <c r="W98" i="1"/>
  <c r="W3171" i="1"/>
  <c r="W3111" i="1"/>
  <c r="W73" i="1"/>
  <c r="W1000" i="1"/>
  <c r="W3144" i="1"/>
  <c r="W999" i="1"/>
  <c r="W3138" i="1"/>
  <c r="W982" i="1"/>
  <c r="W864" i="1"/>
  <c r="W899" i="1"/>
  <c r="W937" i="1"/>
  <c r="W996" i="1"/>
  <c r="W2973" i="1"/>
  <c r="W990" i="1"/>
  <c r="W3182" i="1"/>
  <c r="W3180" i="1"/>
  <c r="W3168" i="1"/>
  <c r="W3109" i="1"/>
  <c r="W960" i="1"/>
  <c r="W946" i="1"/>
  <c r="W3177" i="1"/>
  <c r="W3126" i="1"/>
  <c r="W3155" i="1"/>
  <c r="W3161" i="1"/>
  <c r="W3156" i="1"/>
  <c r="W3146" i="1"/>
  <c r="W3174" i="1"/>
  <c r="W3142" i="1"/>
  <c r="W67" i="1"/>
  <c r="W3084" i="1"/>
  <c r="W989" i="1"/>
  <c r="W3157" i="1"/>
  <c r="W3145" i="1"/>
  <c r="W3160" i="1"/>
  <c r="W3164" i="1"/>
  <c r="W984" i="1"/>
  <c r="W2804" i="1"/>
  <c r="W977" i="1"/>
  <c r="W3135" i="1"/>
  <c r="W112" i="1"/>
  <c r="W3147" i="1"/>
  <c r="W3149" i="1"/>
  <c r="W979" i="1"/>
  <c r="W3116" i="1"/>
  <c r="W3006" i="1"/>
  <c r="W2092" i="1"/>
  <c r="W2637" i="1"/>
  <c r="W943" i="1"/>
  <c r="W963" i="1"/>
  <c r="W2843" i="1"/>
  <c r="W3139" i="1"/>
  <c r="W930" i="1"/>
  <c r="W3143" i="1"/>
  <c r="W3097" i="1"/>
  <c r="W3130" i="1"/>
  <c r="W3132" i="1"/>
  <c r="W3058" i="1"/>
  <c r="W968" i="1"/>
  <c r="W3136" i="1"/>
  <c r="W848" i="1"/>
  <c r="W974" i="1"/>
  <c r="W3115" i="1"/>
  <c r="W3112" i="1"/>
  <c r="W104" i="1"/>
  <c r="W3095" i="1"/>
  <c r="W3140" i="1"/>
  <c r="W3033" i="1"/>
  <c r="W959" i="1"/>
  <c r="W772" i="1"/>
  <c r="W3124" i="1"/>
  <c r="W973" i="1"/>
  <c r="W3089" i="1"/>
  <c r="W577" i="1"/>
  <c r="W955" i="1"/>
  <c r="W3068" i="1"/>
  <c r="W2625" i="1"/>
  <c r="W3127" i="1"/>
  <c r="W3119" i="1"/>
  <c r="W106" i="1"/>
  <c r="W3125" i="1"/>
  <c r="W2821" i="1"/>
  <c r="W965" i="1"/>
  <c r="W3094" i="1"/>
  <c r="W953" i="1"/>
  <c r="W966" i="1"/>
  <c r="W614" i="1"/>
  <c r="W954" i="1"/>
  <c r="W947" i="1"/>
  <c r="W2917" i="1"/>
  <c r="W3096" i="1"/>
  <c r="W2996" i="1"/>
  <c r="W3121" i="1"/>
  <c r="W3063" i="1"/>
  <c r="W3117" i="1"/>
  <c r="W3069" i="1"/>
  <c r="W3114" i="1"/>
  <c r="W901" i="1"/>
  <c r="W951" i="1"/>
  <c r="W3101" i="1"/>
  <c r="W944" i="1"/>
  <c r="W2964" i="1"/>
  <c r="W3091" i="1"/>
  <c r="W107" i="1"/>
  <c r="W942" i="1"/>
  <c r="W945" i="1"/>
  <c r="W3093" i="1"/>
  <c r="W940" i="1"/>
  <c r="W934" i="1"/>
  <c r="W935" i="1"/>
  <c r="W581" i="1"/>
  <c r="W941" i="1"/>
  <c r="W3070" i="1"/>
  <c r="W3079" i="1"/>
  <c r="W842" i="1"/>
  <c r="W2888" i="1"/>
  <c r="W3071" i="1"/>
  <c r="W3076" i="1"/>
  <c r="W925" i="1"/>
  <c r="W3032" i="1"/>
  <c r="W3039" i="1"/>
  <c r="W3052" i="1"/>
  <c r="W914" i="1"/>
  <c r="W938" i="1"/>
  <c r="W936" i="1"/>
  <c r="W880" i="1"/>
  <c r="W3085" i="1"/>
  <c r="W3082" i="1"/>
  <c r="W3013" i="1"/>
  <c r="W2950" i="1"/>
  <c r="W929" i="1"/>
  <c r="W3083" i="1"/>
  <c r="W3080" i="1"/>
  <c r="W932" i="1"/>
  <c r="W101" i="1"/>
  <c r="W3081" i="1"/>
  <c r="W3078" i="1"/>
  <c r="W3075" i="1"/>
  <c r="W3077" i="1"/>
  <c r="W2658" i="1"/>
  <c r="W2982" i="1"/>
  <c r="W713" i="1"/>
  <c r="W86" i="1"/>
  <c r="W3072" i="1"/>
  <c r="W3060" i="1"/>
  <c r="W3064" i="1"/>
  <c r="W102" i="1"/>
  <c r="W3067" i="1"/>
  <c r="W690" i="1"/>
  <c r="W2262" i="1"/>
  <c r="W727" i="1"/>
  <c r="W3055" i="1"/>
  <c r="W915" i="1"/>
  <c r="W924" i="1"/>
  <c r="W2901" i="1"/>
  <c r="W3023" i="1"/>
  <c r="W2962" i="1"/>
  <c r="W3051" i="1"/>
  <c r="W3061" i="1"/>
  <c r="W3041" i="1"/>
  <c r="W3057" i="1"/>
  <c r="W3073" i="1"/>
  <c r="W3049" i="1"/>
  <c r="W3018" i="1"/>
  <c r="W97" i="1"/>
  <c r="W2787" i="1"/>
  <c r="W906" i="1"/>
  <c r="W3066" i="1"/>
  <c r="W920" i="1"/>
  <c r="W2933" i="1"/>
  <c r="W3034" i="1"/>
  <c r="W922" i="1"/>
  <c r="W99" i="1"/>
  <c r="W93" i="1"/>
  <c r="W3065" i="1"/>
  <c r="W3044" i="1"/>
  <c r="W3021" i="1"/>
  <c r="W911" i="1"/>
  <c r="W2990" i="1"/>
  <c r="W874" i="1"/>
  <c r="W2988" i="1"/>
  <c r="W921" i="1"/>
  <c r="W3059" i="1"/>
  <c r="W904" i="1"/>
  <c r="W3053" i="1"/>
  <c r="W95" i="1"/>
  <c r="W2983" i="1"/>
  <c r="W3042" i="1"/>
  <c r="W88" i="1"/>
  <c r="W3054" i="1"/>
  <c r="W2968" i="1"/>
  <c r="W3047" i="1"/>
  <c r="W918" i="1"/>
  <c r="W3026" i="1"/>
  <c r="W3048" i="1"/>
  <c r="W2704" i="1"/>
  <c r="W909" i="1"/>
  <c r="W2867" i="1"/>
  <c r="W668" i="1"/>
  <c r="W900" i="1"/>
  <c r="W2985" i="1"/>
  <c r="W3045" i="1"/>
  <c r="W3043" i="1"/>
  <c r="W910" i="1"/>
  <c r="W912" i="1"/>
  <c r="W2991" i="1"/>
  <c r="W903" i="1"/>
  <c r="W913" i="1"/>
  <c r="W3024" i="1"/>
  <c r="W808" i="1"/>
  <c r="W3040" i="1"/>
  <c r="W905" i="1"/>
  <c r="W3011" i="1"/>
  <c r="W862" i="1"/>
  <c r="W3008" i="1"/>
  <c r="W3031" i="1"/>
  <c r="W2799" i="1"/>
  <c r="W2899" i="1"/>
  <c r="W902" i="1"/>
  <c r="W3035" i="1"/>
  <c r="W2995" i="1"/>
  <c r="W850" i="1"/>
  <c r="W3007" i="1"/>
  <c r="W2808" i="1"/>
  <c r="W857" i="1"/>
  <c r="W3027" i="1"/>
  <c r="W2831" i="1"/>
  <c r="W2948" i="1"/>
  <c r="W775" i="1"/>
  <c r="W36" i="1"/>
  <c r="W896" i="1"/>
  <c r="W3028" i="1"/>
  <c r="W3012" i="1"/>
  <c r="W3010" i="1"/>
  <c r="W3001" i="1"/>
  <c r="W3025" i="1"/>
  <c r="W3022" i="1"/>
  <c r="W3015" i="1"/>
  <c r="W895" i="1"/>
  <c r="W2989" i="1"/>
  <c r="W2936" i="1"/>
  <c r="W77" i="1"/>
  <c r="W90" i="1"/>
  <c r="W897" i="1"/>
  <c r="W3017" i="1"/>
  <c r="W890" i="1"/>
  <c r="W2918" i="1"/>
  <c r="W3009" i="1"/>
  <c r="W812" i="1"/>
  <c r="W856" i="1"/>
  <c r="W2823" i="1"/>
  <c r="W3005" i="1"/>
  <c r="W705" i="1"/>
  <c r="W3002" i="1"/>
  <c r="W3004" i="1"/>
  <c r="W873" i="1"/>
  <c r="W878" i="1"/>
  <c r="W2978" i="1"/>
  <c r="W2794" i="1"/>
  <c r="W877" i="1"/>
  <c r="W3000" i="1"/>
  <c r="W893" i="1"/>
  <c r="W888" i="1"/>
  <c r="W2942" i="1"/>
  <c r="W889" i="1"/>
  <c r="W843" i="1"/>
  <c r="W822" i="1"/>
  <c r="W858" i="1"/>
  <c r="W2969" i="1"/>
  <c r="W881" i="1"/>
  <c r="W887" i="1"/>
  <c r="W711" i="1"/>
  <c r="W2763" i="1"/>
  <c r="W2924" i="1"/>
  <c r="W871" i="1"/>
  <c r="W2937" i="1"/>
  <c r="W852" i="1"/>
  <c r="W2997" i="1"/>
  <c r="W767" i="1"/>
  <c r="W886" i="1"/>
  <c r="W859" i="1"/>
  <c r="W882" i="1"/>
  <c r="W91" i="1"/>
  <c r="W2926" i="1"/>
  <c r="W2944" i="1"/>
  <c r="W872" i="1"/>
  <c r="W2929" i="1"/>
  <c r="W2970" i="1"/>
  <c r="W87" i="1"/>
  <c r="W590" i="1"/>
  <c r="W2986" i="1"/>
  <c r="W2927" i="1"/>
  <c r="W2894" i="1"/>
  <c r="W2746" i="1"/>
  <c r="W883" i="1"/>
  <c r="W776" i="1"/>
  <c r="W2976" i="1"/>
  <c r="W2946" i="1"/>
  <c r="W2966" i="1"/>
  <c r="W2955" i="1"/>
  <c r="W92" i="1"/>
  <c r="W875" i="1"/>
  <c r="W802" i="1"/>
  <c r="W2979" i="1"/>
  <c r="W769" i="1"/>
  <c r="W2981" i="1"/>
  <c r="W2977" i="1"/>
  <c r="W863" i="1"/>
  <c r="W2934" i="1"/>
  <c r="W771" i="1"/>
  <c r="W866" i="1"/>
  <c r="W869" i="1"/>
  <c r="W2965" i="1"/>
  <c r="W870" i="1"/>
  <c r="W2819" i="1"/>
  <c r="W823" i="1"/>
  <c r="W89" i="1"/>
  <c r="W65" i="1"/>
  <c r="W867" i="1"/>
  <c r="W2878" i="1"/>
  <c r="W2954" i="1"/>
  <c r="W2697" i="1"/>
  <c r="W2975" i="1"/>
  <c r="W2971" i="1"/>
  <c r="W810" i="1"/>
  <c r="W2967" i="1"/>
  <c r="W2972" i="1"/>
  <c r="W2686" i="1"/>
  <c r="W2963" i="1"/>
  <c r="W2957" i="1"/>
  <c r="W2974" i="1"/>
  <c r="W2922" i="1"/>
  <c r="W84" i="1"/>
  <c r="W2817" i="1"/>
  <c r="W2956" i="1"/>
  <c r="W51" i="1"/>
  <c r="W2935" i="1"/>
  <c r="W865" i="1"/>
  <c r="W85" i="1"/>
  <c r="W2858" i="1"/>
  <c r="W2848" i="1"/>
  <c r="W2512" i="1"/>
  <c r="W721" i="1"/>
  <c r="W2928" i="1"/>
  <c r="W2923" i="1"/>
  <c r="W2919" i="1"/>
  <c r="W839" i="1"/>
  <c r="W59" i="1"/>
  <c r="W2945" i="1"/>
  <c r="W2953" i="1"/>
  <c r="W2961" i="1"/>
  <c r="W797" i="1"/>
  <c r="W2781" i="1"/>
  <c r="W2675" i="1"/>
  <c r="W809" i="1"/>
  <c r="W2959" i="1"/>
  <c r="W704" i="1"/>
  <c r="W80" i="1"/>
  <c r="W761" i="1"/>
  <c r="W820" i="1"/>
  <c r="W853" i="1"/>
  <c r="W861" i="1"/>
  <c r="W607" i="1"/>
  <c r="W860" i="1"/>
  <c r="W2925" i="1"/>
  <c r="W851" i="1"/>
  <c r="W2870" i="1"/>
  <c r="W2952" i="1"/>
  <c r="W821" i="1"/>
  <c r="W2890" i="1"/>
  <c r="W2623" i="1"/>
  <c r="W2940" i="1"/>
  <c r="W2911" i="1"/>
  <c r="W2881" i="1"/>
  <c r="W2951" i="1"/>
  <c r="W2662" i="1"/>
  <c r="W831" i="1"/>
  <c r="W76" i="1"/>
  <c r="W2913" i="1"/>
  <c r="W829" i="1"/>
  <c r="W2883" i="1"/>
  <c r="W2744" i="1"/>
  <c r="W2907" i="1"/>
  <c r="W2725" i="1"/>
  <c r="W2751" i="1"/>
  <c r="W52" i="1"/>
  <c r="W855" i="1"/>
  <c r="W2931" i="1"/>
  <c r="W2841" i="1"/>
  <c r="W2920" i="1"/>
  <c r="W2679" i="1"/>
  <c r="W819" i="1"/>
  <c r="W814" i="1"/>
  <c r="W2876" i="1"/>
  <c r="W783" i="1"/>
  <c r="W79" i="1"/>
  <c r="W2762" i="1"/>
  <c r="W834" i="1"/>
  <c r="W2893" i="1"/>
  <c r="W2882" i="1"/>
  <c r="W766" i="1"/>
  <c r="W2921" i="1"/>
  <c r="W2844" i="1"/>
  <c r="W2916" i="1"/>
  <c r="W2915" i="1"/>
  <c r="W2508" i="1"/>
  <c r="W651" i="1"/>
  <c r="W2863" i="1"/>
  <c r="W2791" i="1"/>
  <c r="W770" i="1"/>
  <c r="W2892" i="1"/>
  <c r="W2909" i="1"/>
  <c r="W845" i="1"/>
  <c r="W2885" i="1"/>
  <c r="W2829" i="1"/>
  <c r="W2912" i="1"/>
  <c r="W2869" i="1"/>
  <c r="W2895" i="1"/>
  <c r="W2897" i="1"/>
  <c r="W847" i="1"/>
  <c r="W2886" i="1"/>
  <c r="W2759" i="1"/>
  <c r="W844" i="1"/>
  <c r="W2908" i="1"/>
  <c r="W2906" i="1"/>
  <c r="W2898" i="1"/>
  <c r="W2903" i="1"/>
  <c r="W2904" i="1"/>
  <c r="W838" i="1"/>
  <c r="W2854" i="1"/>
  <c r="W790" i="1"/>
  <c r="W2798" i="1"/>
  <c r="W2850" i="1"/>
  <c r="W2755" i="1"/>
  <c r="W841" i="1"/>
  <c r="W2910" i="1"/>
  <c r="W2884" i="1"/>
  <c r="W2837" i="1"/>
  <c r="W2889" i="1"/>
  <c r="W2902" i="1"/>
  <c r="W817" i="1"/>
  <c r="W2900" i="1"/>
  <c r="W2905" i="1"/>
  <c r="W2261" i="1"/>
  <c r="W2771" i="1"/>
  <c r="W837" i="1"/>
  <c r="W836" i="1"/>
  <c r="W2840" i="1"/>
  <c r="W827" i="1"/>
  <c r="W75" i="1"/>
  <c r="W53" i="1"/>
  <c r="W815" i="1"/>
  <c r="W2872" i="1"/>
  <c r="W835" i="1"/>
  <c r="W2857" i="1"/>
  <c r="W803" i="1"/>
  <c r="W2880" i="1"/>
  <c r="W2803" i="1"/>
  <c r="W2849" i="1"/>
  <c r="W832" i="1"/>
  <c r="W2879" i="1"/>
  <c r="W684" i="1"/>
  <c r="W2866" i="1"/>
  <c r="W789" i="1"/>
  <c r="W2845" i="1"/>
  <c r="W777" i="1"/>
  <c r="W2790" i="1"/>
  <c r="W792" i="1"/>
  <c r="W2728" i="1"/>
  <c r="W2741" i="1"/>
  <c r="W830" i="1"/>
  <c r="W2811" i="1"/>
  <c r="W779" i="1"/>
  <c r="W2839" i="1"/>
  <c r="W2478" i="1"/>
  <c r="W2871" i="1"/>
  <c r="W2873" i="1"/>
  <c r="W818" i="1"/>
  <c r="W2887" i="1"/>
  <c r="W824" i="1"/>
  <c r="W826" i="1"/>
  <c r="W2859" i="1"/>
  <c r="W2813" i="1"/>
  <c r="W828" i="1"/>
  <c r="W61" i="1"/>
  <c r="W782" i="1"/>
  <c r="W2874" i="1"/>
  <c r="W2793" i="1"/>
  <c r="W2846" i="1"/>
  <c r="W2861" i="1"/>
  <c r="W825" i="1"/>
  <c r="W2842" i="1"/>
  <c r="W2814" i="1"/>
  <c r="W2820" i="1"/>
  <c r="W2868" i="1"/>
  <c r="W2862" i="1"/>
  <c r="W2875" i="1"/>
  <c r="W2852" i="1"/>
  <c r="W813" i="1"/>
  <c r="W2826" i="1"/>
  <c r="W2770" i="1"/>
  <c r="W811" i="1"/>
  <c r="W2607" i="1"/>
  <c r="W2587" i="1"/>
  <c r="W2752" i="1"/>
  <c r="W2415" i="1"/>
  <c r="W2853" i="1"/>
  <c r="W2856" i="1"/>
  <c r="W793" i="1"/>
  <c r="W2774" i="1"/>
  <c r="W785" i="1"/>
  <c r="W2835" i="1"/>
  <c r="W804" i="1"/>
  <c r="W2833" i="1"/>
  <c r="W2796" i="1"/>
  <c r="W39" i="1"/>
  <c r="W2855" i="1"/>
  <c r="W799" i="1"/>
  <c r="W798" i="1"/>
  <c r="W2828" i="1"/>
  <c r="W2825" i="1"/>
  <c r="W758" i="1"/>
  <c r="W2767" i="1"/>
  <c r="W2727" i="1"/>
  <c r="W2703" i="1"/>
  <c r="W2788" i="1"/>
  <c r="W42" i="1"/>
  <c r="W2806" i="1"/>
  <c r="W2445" i="1"/>
  <c r="W2830" i="1"/>
  <c r="W71" i="1"/>
  <c r="W753" i="1"/>
  <c r="W2847" i="1"/>
  <c r="W784" i="1"/>
  <c r="W70" i="1"/>
  <c r="W807" i="1"/>
  <c r="W2809" i="1"/>
  <c r="W781" i="1"/>
  <c r="W796" i="1"/>
  <c r="W794" i="1"/>
  <c r="W800" i="1"/>
  <c r="W2836" i="1"/>
  <c r="W805" i="1"/>
  <c r="W2832" i="1"/>
  <c r="W2795" i="1"/>
  <c r="W787" i="1"/>
  <c r="W795" i="1"/>
  <c r="W2827" i="1"/>
  <c r="W801" i="1"/>
  <c r="W791" i="1"/>
  <c r="W48" i="1"/>
  <c r="W2802" i="1"/>
  <c r="W50" i="1"/>
  <c r="W2816" i="1"/>
  <c r="W720" i="1"/>
  <c r="W2810" i="1"/>
  <c r="W2807" i="1"/>
  <c r="W2772" i="1"/>
  <c r="W2824" i="1"/>
  <c r="W2812" i="1"/>
  <c r="W2818" i="1"/>
  <c r="W2500" i="1"/>
  <c r="W2748" i="1"/>
  <c r="W2822" i="1"/>
  <c r="W2633" i="1"/>
  <c r="W68" i="1"/>
  <c r="W2609" i="1"/>
  <c r="W2815" i="1"/>
  <c r="W737" i="1"/>
  <c r="W37" i="1"/>
  <c r="W45" i="1"/>
  <c r="W736" i="1"/>
  <c r="W627" i="1"/>
  <c r="W2723" i="1"/>
  <c r="W2712" i="1"/>
  <c r="W63" i="1"/>
  <c r="W64" i="1"/>
  <c r="W2805" i="1"/>
  <c r="W62" i="1"/>
  <c r="W2761" i="1"/>
  <c r="W2709" i="1"/>
  <c r="W2293" i="1"/>
  <c r="W714" i="1"/>
  <c r="W780" i="1"/>
  <c r="W2780" i="1"/>
  <c r="W778" i="1"/>
  <c r="W2689" i="1"/>
  <c r="W2696" i="1"/>
  <c r="W709" i="1"/>
  <c r="W764" i="1"/>
  <c r="W2735" i="1"/>
  <c r="W2567" i="1"/>
  <c r="W2801" i="1"/>
  <c r="W2797" i="1"/>
  <c r="W759" i="1"/>
  <c r="W2739" i="1"/>
  <c r="W66" i="1"/>
  <c r="W2765" i="1"/>
  <c r="W2617" i="1"/>
  <c r="W2773" i="1"/>
  <c r="W750" i="1"/>
  <c r="W650" i="1"/>
  <c r="W765" i="1"/>
  <c r="W763" i="1"/>
  <c r="W2776" i="1"/>
  <c r="W747" i="1"/>
  <c r="W2738" i="1"/>
  <c r="W2775" i="1"/>
  <c r="W755" i="1"/>
  <c r="W701" i="1"/>
  <c r="W2472" i="1"/>
  <c r="W738" i="1"/>
  <c r="W2769" i="1"/>
  <c r="W2672" i="1"/>
  <c r="W762" i="1"/>
  <c r="W2749" i="1"/>
  <c r="W2764" i="1"/>
  <c r="W729" i="1"/>
  <c r="W2645" i="1"/>
  <c r="W733" i="1"/>
  <c r="W741" i="1"/>
  <c r="W2750" i="1"/>
  <c r="W2688" i="1"/>
  <c r="W760" i="1"/>
  <c r="W749" i="1"/>
  <c r="W2757" i="1"/>
  <c r="W2622" i="1"/>
  <c r="W615" i="1"/>
  <c r="W2720" i="1"/>
  <c r="W2745" i="1"/>
  <c r="W2756" i="1"/>
  <c r="W2758" i="1"/>
  <c r="W2402" i="1"/>
  <c r="W2556" i="1"/>
  <c r="W2754" i="1"/>
  <c r="W2737" i="1"/>
  <c r="W644" i="1"/>
  <c r="W2747" i="1"/>
  <c r="W2730" i="1"/>
  <c r="W2753" i="1"/>
  <c r="W756" i="1"/>
  <c r="W2691" i="1"/>
  <c r="W757" i="1"/>
  <c r="W752" i="1"/>
  <c r="W2707" i="1"/>
  <c r="W2716" i="1"/>
  <c r="W754" i="1"/>
  <c r="W34" i="1"/>
  <c r="W2700" i="1"/>
  <c r="W2724" i="1"/>
  <c r="W2740" i="1"/>
  <c r="W2683" i="1"/>
  <c r="W742" i="1"/>
  <c r="W745" i="1"/>
  <c r="W739" i="1"/>
  <c r="W2742" i="1"/>
  <c r="W746" i="1"/>
  <c r="W734" i="1"/>
  <c r="W726" i="1"/>
  <c r="W695" i="1"/>
  <c r="W2743" i="1"/>
  <c r="W2729" i="1"/>
  <c r="W2684" i="1"/>
  <c r="W748" i="1"/>
  <c r="W2537" i="1"/>
  <c r="W744" i="1"/>
  <c r="W2733" i="1"/>
  <c r="W2618" i="1"/>
  <c r="W2731" i="1"/>
  <c r="W2481" i="1"/>
  <c r="W743" i="1"/>
  <c r="W728" i="1"/>
  <c r="W723" i="1"/>
  <c r="W629" i="1"/>
  <c r="W740" i="1"/>
  <c r="W2718" i="1"/>
  <c r="W732" i="1"/>
  <c r="W2734" i="1"/>
  <c r="W2732" i="1"/>
  <c r="W640" i="1"/>
  <c r="W33" i="1"/>
  <c r="W2494" i="1"/>
  <c r="W715" i="1"/>
  <c r="W696" i="1"/>
  <c r="W699" i="1"/>
  <c r="W722" i="1"/>
  <c r="W676" i="1"/>
  <c r="W725" i="1"/>
  <c r="W2531" i="1"/>
  <c r="W735" i="1"/>
  <c r="W682" i="1"/>
  <c r="W2726" i="1"/>
  <c r="W31" i="1"/>
  <c r="W731" i="1"/>
  <c r="W2569" i="1"/>
  <c r="W2715" i="1"/>
  <c r="W716" i="1"/>
  <c r="W2714" i="1"/>
  <c r="W2721" i="1"/>
  <c r="W710" i="1"/>
  <c r="W2722" i="1"/>
  <c r="W724" i="1"/>
  <c r="W2606" i="1"/>
  <c r="W703" i="1"/>
  <c r="W730" i="1"/>
  <c r="W718" i="1"/>
  <c r="W712" i="1"/>
  <c r="W2717" i="1"/>
  <c r="W2439" i="1"/>
  <c r="W2694" i="1"/>
  <c r="W2710" i="1"/>
  <c r="W719" i="1"/>
  <c r="W717" i="1"/>
  <c r="W688" i="1"/>
  <c r="W32" i="1"/>
  <c r="W2708" i="1"/>
  <c r="W2676" i="1"/>
  <c r="W2692" i="1"/>
  <c r="W2572" i="1"/>
  <c r="W2695" i="1"/>
  <c r="W2678" i="1"/>
  <c r="W2631" i="1"/>
  <c r="W702" i="1"/>
  <c r="W2461" i="1"/>
  <c r="W2650" i="1"/>
  <c r="W2711" i="1"/>
  <c r="W2681" i="1"/>
  <c r="W2629" i="1"/>
  <c r="W2690" i="1"/>
  <c r="W2705" i="1"/>
  <c r="W2699" i="1"/>
  <c r="W691" i="1"/>
  <c r="W2713" i="1"/>
  <c r="W687" i="1"/>
  <c r="W2373" i="1"/>
  <c r="W694" i="1"/>
  <c r="W2614" i="1"/>
  <c r="W2667" i="1"/>
  <c r="W2507" i="1"/>
  <c r="W707" i="1"/>
  <c r="W2644" i="1"/>
  <c r="W2702" i="1"/>
  <c r="W2654" i="1"/>
  <c r="W2188" i="1"/>
  <c r="W2565" i="1"/>
  <c r="W2673" i="1"/>
  <c r="W2671" i="1"/>
  <c r="W2448" i="1"/>
  <c r="W706" i="1"/>
  <c r="W2682" i="1"/>
  <c r="W708" i="1"/>
  <c r="W2636" i="1"/>
  <c r="W2657" i="1"/>
  <c r="W2575" i="1"/>
  <c r="W563" i="1"/>
  <c r="W2701" i="1"/>
  <c r="W2698" i="1"/>
  <c r="W2649" i="1"/>
  <c r="W700" i="1"/>
  <c r="W2624" i="1"/>
  <c r="W697" i="1"/>
  <c r="W2437" i="1"/>
  <c r="W2540" i="1"/>
  <c r="W2674" i="1"/>
  <c r="W2648" i="1"/>
  <c r="W674" i="1"/>
  <c r="W2685" i="1"/>
  <c r="W2628" i="1"/>
  <c r="W675" i="1"/>
  <c r="W2668" i="1"/>
  <c r="W2693" i="1"/>
  <c r="W698" i="1"/>
  <c r="W29" i="1"/>
  <c r="W2687" i="1"/>
  <c r="W2670" i="1"/>
  <c r="W659" i="1"/>
  <c r="W2619" i="1"/>
  <c r="W2655" i="1"/>
  <c r="W643" i="1"/>
  <c r="W25" i="1"/>
  <c r="W2630" i="1"/>
  <c r="W693" i="1"/>
  <c r="W2595" i="1"/>
  <c r="W612" i="1"/>
  <c r="W2347" i="1"/>
  <c r="W677" i="1"/>
  <c r="W663" i="1"/>
  <c r="W2677" i="1"/>
  <c r="W2552" i="1"/>
  <c r="W2647" i="1"/>
  <c r="W2309" i="1"/>
  <c r="W689" i="1"/>
  <c r="W683" i="1"/>
  <c r="W631" i="1"/>
  <c r="W2651" i="1"/>
  <c r="W2665" i="1"/>
  <c r="W692" i="1"/>
  <c r="W2641" i="1"/>
  <c r="W2666" i="1"/>
  <c r="W685" i="1"/>
  <c r="W2669" i="1"/>
  <c r="W2663" i="1"/>
  <c r="W2534" i="1"/>
  <c r="W2664" i="1"/>
  <c r="W678" i="1"/>
  <c r="W671" i="1"/>
  <c r="W642" i="1"/>
  <c r="W18" i="1"/>
  <c r="W2600" i="1"/>
  <c r="W30" i="1"/>
  <c r="W2661" i="1"/>
  <c r="W681" i="1"/>
  <c r="W673" i="1"/>
  <c r="W2432" i="1"/>
  <c r="W2352" i="1"/>
  <c r="W2634" i="1"/>
  <c r="W604" i="1"/>
  <c r="W679" i="1"/>
  <c r="W2642" i="1"/>
  <c r="W2423" i="1"/>
  <c r="W28" i="1"/>
  <c r="W2639" i="1"/>
  <c r="W2659" i="1"/>
  <c r="W680" i="1"/>
  <c r="W657" i="1"/>
  <c r="W2638" i="1"/>
  <c r="W24" i="1"/>
  <c r="W2491" i="1"/>
  <c r="W2652" i="1"/>
  <c r="W2503" i="1"/>
  <c r="W2585" i="1"/>
  <c r="W2653" i="1"/>
  <c r="W665" i="1"/>
  <c r="W2646" i="1"/>
  <c r="W2643" i="1"/>
  <c r="W2465" i="1"/>
  <c r="W2640" i="1"/>
  <c r="W658" i="1"/>
  <c r="W2635" i="1"/>
  <c r="W670" i="1"/>
  <c r="W2589" i="1"/>
  <c r="W2577" i="1"/>
  <c r="W2596" i="1"/>
  <c r="W2441" i="1"/>
  <c r="W26" i="1"/>
  <c r="W672" i="1"/>
  <c r="W2592" i="1"/>
  <c r="W27" i="1"/>
  <c r="W2611" i="1"/>
  <c r="W2621" i="1"/>
  <c r="W2591" i="1"/>
  <c r="W2615" i="1"/>
  <c r="W2287" i="1"/>
  <c r="W2523" i="1"/>
  <c r="W2626" i="1"/>
  <c r="W2240" i="1"/>
  <c r="W667" i="1"/>
  <c r="W669" i="1"/>
  <c r="W2604" i="1"/>
  <c r="W2343" i="1"/>
  <c r="W2620" i="1"/>
  <c r="W666" i="1"/>
  <c r="W2627" i="1"/>
  <c r="W664" i="1"/>
  <c r="W2616" i="1"/>
  <c r="W2608" i="1"/>
  <c r="W662" i="1"/>
  <c r="W660" i="1"/>
  <c r="W2610" i="1"/>
  <c r="W2547" i="1"/>
  <c r="W2613" i="1"/>
  <c r="W623" i="1"/>
  <c r="W641" i="1"/>
  <c r="W661" i="1"/>
  <c r="W2602" i="1"/>
  <c r="W2601" i="1"/>
  <c r="W2597" i="1"/>
  <c r="W648" i="1"/>
  <c r="W2605" i="1"/>
  <c r="W2206" i="1"/>
  <c r="W2551" i="1"/>
  <c r="W647" i="1"/>
  <c r="W654" i="1"/>
  <c r="W524" i="1"/>
  <c r="W2593" i="1"/>
  <c r="W2509" i="1"/>
  <c r="W2530" i="1"/>
  <c r="W2570" i="1"/>
  <c r="W2594" i="1"/>
  <c r="W2560" i="1"/>
  <c r="W2371" i="1"/>
  <c r="W655" i="1"/>
  <c r="W2603" i="1"/>
  <c r="W2584" i="1"/>
  <c r="W2578" i="1"/>
  <c r="W2583" i="1"/>
  <c r="W639" i="1"/>
  <c r="W2599" i="1"/>
  <c r="W2515" i="1"/>
  <c r="W2526" i="1"/>
  <c r="W2321" i="1"/>
  <c r="W2286" i="1"/>
  <c r="W2571" i="1"/>
  <c r="W605" i="1"/>
  <c r="W2538" i="1"/>
  <c r="W2581" i="1"/>
  <c r="W2464" i="1"/>
  <c r="W2473" i="1"/>
  <c r="W2573" i="1"/>
  <c r="W653" i="1"/>
  <c r="W2588" i="1"/>
  <c r="W2319" i="1"/>
  <c r="W23" i="1"/>
  <c r="W2568" i="1"/>
  <c r="W2522" i="1"/>
  <c r="W2495" i="1"/>
  <c r="W620" i="1"/>
  <c r="W2579" i="1"/>
  <c r="W2586" i="1"/>
  <c r="W2566" i="1"/>
  <c r="W2325" i="1"/>
  <c r="W628" i="1"/>
  <c r="W2301" i="1"/>
  <c r="W2553" i="1"/>
  <c r="W2576" i="1"/>
  <c r="W2563" i="1"/>
  <c r="W2493" i="1"/>
  <c r="W649" i="1"/>
  <c r="W2525" i="1"/>
  <c r="W2580" i="1"/>
  <c r="W2485" i="1"/>
  <c r="W2459" i="1"/>
  <c r="W2211" i="1"/>
  <c r="W2582" i="1"/>
  <c r="W2574" i="1"/>
  <c r="W22" i="1"/>
  <c r="W2451" i="1"/>
  <c r="W606" i="1"/>
  <c r="W2397" i="1"/>
  <c r="W652" i="1"/>
  <c r="W14" i="1"/>
  <c r="W2411" i="1"/>
  <c r="W2562" i="1"/>
  <c r="W2317" i="1"/>
  <c r="W2535" i="1"/>
  <c r="W2486" i="1"/>
  <c r="W646" i="1"/>
  <c r="W645" i="1"/>
  <c r="W624" i="1"/>
  <c r="W2557" i="1"/>
  <c r="W586" i="1"/>
  <c r="W603" i="1"/>
  <c r="W635" i="1"/>
  <c r="W2559" i="1"/>
  <c r="W558" i="1"/>
  <c r="W520" i="1"/>
  <c r="W2528" i="1"/>
  <c r="W2114" i="1"/>
  <c r="W2555" i="1"/>
  <c r="W2546" i="1"/>
  <c r="W625" i="1"/>
  <c r="W2548" i="1"/>
  <c r="W630" i="1"/>
  <c r="W2387" i="1"/>
  <c r="W551" i="1"/>
  <c r="W634" i="1"/>
  <c r="W636" i="1"/>
  <c r="W2424" i="1"/>
  <c r="W2564" i="1"/>
  <c r="W2533" i="1"/>
  <c r="W2561" i="1"/>
  <c r="W2558" i="1"/>
  <c r="W2550" i="1"/>
  <c r="W2554" i="1"/>
  <c r="W2483" i="1"/>
  <c r="W2460" i="1"/>
  <c r="W632" i="1"/>
  <c r="W567" i="1"/>
  <c r="W2529" i="1"/>
  <c r="W2544" i="1"/>
  <c r="W2513" i="1"/>
  <c r="W21" i="1"/>
  <c r="W599" i="1"/>
  <c r="W2447" i="1"/>
  <c r="W2549" i="1"/>
  <c r="W2314" i="1"/>
  <c r="W20" i="1"/>
  <c r="W2517" i="1"/>
  <c r="W2499" i="1"/>
  <c r="W2542" i="1"/>
  <c r="W8" i="1"/>
  <c r="W2545" i="1"/>
  <c r="W2490" i="1"/>
  <c r="W2543" i="1"/>
  <c r="W2449" i="1"/>
  <c r="W2251" i="1"/>
  <c r="W638" i="1"/>
  <c r="W2539" i="1"/>
  <c r="W637" i="1"/>
  <c r="W622" i="1"/>
  <c r="W2457" i="1"/>
  <c r="W626" i="1"/>
  <c r="W2453" i="1"/>
  <c r="W633" i="1"/>
  <c r="W2506" i="1"/>
  <c r="W2497" i="1"/>
  <c r="W2519" i="1"/>
  <c r="W2527" i="1"/>
  <c r="W2518" i="1"/>
  <c r="W2501" i="1"/>
  <c r="W2422" i="1"/>
  <c r="W2516" i="1"/>
  <c r="W613" i="1"/>
  <c r="W2225" i="1"/>
  <c r="W2380" i="1"/>
  <c r="W2520" i="1"/>
  <c r="W2438" i="1"/>
  <c r="W2452" i="1"/>
  <c r="W19" i="1"/>
  <c r="W17" i="1"/>
  <c r="W2469" i="1"/>
  <c r="W2458" i="1"/>
  <c r="W2466" i="1"/>
  <c r="W2532" i="1"/>
  <c r="W2404" i="1"/>
  <c r="W2253" i="1"/>
  <c r="W2524" i="1"/>
  <c r="W2365" i="1"/>
  <c r="W2511" i="1"/>
  <c r="W2413" i="1"/>
  <c r="W2442" i="1"/>
  <c r="W2470" i="1"/>
  <c r="W548" i="1"/>
  <c r="W2401" i="1"/>
  <c r="W2498" i="1"/>
  <c r="W2446" i="1"/>
  <c r="W2419" i="1"/>
  <c r="W2416" i="1"/>
  <c r="W2521" i="1"/>
  <c r="W2366" i="1"/>
  <c r="W2479" i="1"/>
  <c r="W11" i="1"/>
  <c r="W2514" i="1"/>
  <c r="W2505" i="1"/>
  <c r="W2307" i="1"/>
  <c r="W2463" i="1"/>
  <c r="W621" i="1"/>
  <c r="W617" i="1"/>
  <c r="W2462" i="1"/>
  <c r="W602" i="1"/>
  <c r="W16" i="1"/>
  <c r="W2487" i="1"/>
  <c r="W2407" i="1"/>
  <c r="W2510" i="1"/>
  <c r="W2125" i="1"/>
  <c r="W618" i="1"/>
  <c r="W2409" i="1"/>
  <c r="W13" i="1"/>
  <c r="W2391" i="1"/>
  <c r="W2492" i="1"/>
  <c r="W2488" i="1"/>
  <c r="W2496" i="1"/>
  <c r="W2475" i="1"/>
  <c r="W2219" i="1"/>
  <c r="W2282" i="1"/>
  <c r="W2477" i="1"/>
  <c r="W616" i="1"/>
  <c r="W608" i="1"/>
  <c r="W619" i="1"/>
  <c r="W2502" i="1"/>
  <c r="W2480" i="1"/>
  <c r="W2474" i="1"/>
  <c r="W2489" i="1"/>
  <c r="W2482" i="1"/>
  <c r="W2484" i="1"/>
  <c r="W2431" i="1"/>
  <c r="W611" i="1"/>
  <c r="W15" i="1"/>
  <c r="W2388" i="1"/>
  <c r="W10" i="1"/>
  <c r="W513" i="1"/>
  <c r="W2476" i="1"/>
  <c r="W12" i="1"/>
  <c r="W2468" i="1"/>
  <c r="W2440" i="1"/>
  <c r="W587" i="1"/>
  <c r="W2418" i="1"/>
  <c r="W2467" i="1"/>
  <c r="W609" i="1"/>
  <c r="W2260" i="1"/>
  <c r="W610" i="1"/>
  <c r="W2427" i="1"/>
  <c r="W2471" i="1"/>
  <c r="W2276" i="1"/>
  <c r="W2455" i="1"/>
  <c r="W592" i="1"/>
  <c r="W2403" i="1"/>
  <c r="W2394" i="1"/>
  <c r="W568" i="1"/>
  <c r="W2130" i="1"/>
  <c r="W582" i="1"/>
  <c r="W601" i="1"/>
  <c r="W2308" i="1"/>
  <c r="W544" i="1"/>
  <c r="W2358" i="1"/>
  <c r="W2405" i="1"/>
  <c r="W597" i="1"/>
  <c r="W595" i="1"/>
  <c r="W2429" i="1"/>
  <c r="W593" i="1"/>
  <c r="W2372" i="1"/>
  <c r="W2450" i="1"/>
  <c r="W2456" i="1"/>
  <c r="W2364" i="1"/>
  <c r="W598" i="1"/>
  <c r="W555" i="1"/>
  <c r="W2434" i="1"/>
  <c r="W2316" i="1"/>
  <c r="W2375" i="1"/>
  <c r="W2443" i="1"/>
  <c r="W2444" i="1"/>
  <c r="W600" i="1"/>
  <c r="W2379" i="1"/>
  <c r="W9" i="1"/>
  <c r="W596" i="1"/>
  <c r="W2425" i="1"/>
  <c r="W2393" i="1"/>
  <c r="W2400" i="1"/>
  <c r="W594" i="1"/>
  <c r="W2436" i="1"/>
  <c r="W2428" i="1"/>
  <c r="W2435" i="1"/>
  <c r="W2417" i="1"/>
  <c r="W578" i="1"/>
  <c r="W560" i="1"/>
  <c r="W2302" i="1"/>
  <c r="W591" i="1"/>
  <c r="W2433" i="1"/>
  <c r="W2426" i="1"/>
  <c r="W2430" i="1"/>
  <c r="W2406" i="1"/>
  <c r="W573" i="1"/>
  <c r="W2265" i="1"/>
  <c r="W2421" i="1"/>
  <c r="W2414" i="1"/>
  <c r="W2208" i="1"/>
  <c r="W552" i="1"/>
  <c r="W2412" i="1"/>
  <c r="W2374" i="1"/>
  <c r="W2340" i="1"/>
  <c r="W2420" i="1"/>
  <c r="W583" i="1"/>
  <c r="W2356" i="1"/>
  <c r="W589" i="1"/>
  <c r="W532" i="1"/>
  <c r="W2410" i="1"/>
  <c r="W2346" i="1"/>
  <c r="W2389" i="1"/>
  <c r="W7" i="1"/>
  <c r="W559" i="1"/>
  <c r="W588" i="1"/>
  <c r="W2399" i="1"/>
  <c r="W2288" i="1"/>
  <c r="W2294" i="1"/>
  <c r="W549" i="1"/>
  <c r="W2370" i="1"/>
  <c r="W6" i="1"/>
  <c r="W2310" i="1"/>
  <c r="W2382" i="1"/>
  <c r="W2345" i="1"/>
  <c r="W2398" i="1"/>
  <c r="W525" i="1"/>
  <c r="W2329" i="1"/>
  <c r="W2408" i="1"/>
  <c r="W585" i="1"/>
  <c r="W2361" i="1"/>
  <c r="W2395" i="1"/>
  <c r="W2300" i="1"/>
  <c r="W580" i="1"/>
  <c r="W571" i="1"/>
  <c r="W533" i="1"/>
  <c r="W2383" i="1"/>
  <c r="W2313" i="1"/>
  <c r="W2385" i="1"/>
  <c r="W2354" i="1"/>
  <c r="W584" i="1"/>
  <c r="W2363" i="1"/>
  <c r="W2377" i="1"/>
  <c r="W574" i="1"/>
  <c r="W2381" i="1"/>
  <c r="W2229" i="1"/>
  <c r="W2384" i="1"/>
  <c r="W3" i="1"/>
  <c r="W2378" i="1"/>
  <c r="W2392" i="1"/>
  <c r="W2359" i="1"/>
  <c r="W570" i="1"/>
  <c r="W2396" i="1"/>
  <c r="W2227" i="1"/>
  <c r="W2386" i="1"/>
  <c r="W2285" i="1"/>
  <c r="W2390" i="1"/>
  <c r="W2230" i="1"/>
  <c r="W2244" i="1"/>
  <c r="W569" i="1"/>
  <c r="W572" i="1"/>
  <c r="W575" i="1"/>
  <c r="W576" i="1"/>
  <c r="W2367" i="1"/>
  <c r="W2335" i="1"/>
  <c r="W2360" i="1"/>
  <c r="W2376" i="1"/>
  <c r="W562" i="1"/>
  <c r="W2369" i="1"/>
  <c r="W2247" i="1"/>
  <c r="W566" i="1"/>
  <c r="W2353" i="1"/>
  <c r="W554" i="1"/>
  <c r="W2368" i="1"/>
  <c r="W557" i="1"/>
  <c r="W2333" i="1"/>
  <c r="W564" i="1"/>
  <c r="W565" i="1"/>
  <c r="W2311" i="1"/>
  <c r="W2322" i="1"/>
  <c r="W2348" i="1"/>
  <c r="W5" i="1"/>
  <c r="W2167" i="1"/>
  <c r="W561" i="1"/>
  <c r="W2292" i="1"/>
  <c r="W2342" i="1"/>
  <c r="W2312" i="1"/>
  <c r="W2362" i="1"/>
  <c r="W2264" i="1"/>
  <c r="W528" i="1"/>
  <c r="W2239" i="1"/>
  <c r="W2290" i="1"/>
  <c r="W2355" i="1"/>
  <c r="W546" i="1"/>
  <c r="W550" i="1"/>
  <c r="W2351" i="1"/>
  <c r="W553" i="1"/>
  <c r="W2266" i="1"/>
  <c r="W542" i="1"/>
  <c r="W2303" i="1"/>
  <c r="W4" i="1"/>
  <c r="W2231" i="1"/>
  <c r="W2349" i="1"/>
  <c r="W2338" i="1"/>
  <c r="W2357" i="1"/>
  <c r="W2295" i="1"/>
  <c r="W2326" i="1"/>
  <c r="W2350" i="1"/>
  <c r="W2328" i="1"/>
  <c r="W2215" i="1"/>
  <c r="W2252" i="1"/>
  <c r="W545" i="1"/>
  <c r="W2332" i="1"/>
  <c r="W2318" i="1"/>
  <c r="W2344" i="1"/>
  <c r="W541" i="1"/>
  <c r="W2341" i="1"/>
  <c r="W534" i="1"/>
  <c r="W2299" i="1"/>
  <c r="W2304" i="1"/>
  <c r="W2327" i="1"/>
  <c r="W547" i="1"/>
  <c r="W2222" i="1"/>
  <c r="W2337" i="1"/>
  <c r="W2263" i="1"/>
  <c r="W2339" i="1"/>
  <c r="W2224" i="1"/>
  <c r="W537" i="1"/>
  <c r="W2334" i="1"/>
  <c r="W538" i="1"/>
  <c r="W2330" i="1"/>
  <c r="W2336" i="1"/>
  <c r="W539" i="1"/>
  <c r="W540" i="1"/>
  <c r="W2324" i="1"/>
  <c r="W536" i="1"/>
  <c r="W2305" i="1"/>
  <c r="W535" i="1"/>
  <c r="W2331" i="1"/>
  <c r="W530" i="1"/>
  <c r="W2323" i="1"/>
  <c r="W2306" i="1"/>
  <c r="W2" i="1"/>
  <c r="W2315" i="1"/>
  <c r="W2297" i="1"/>
  <c r="W2296" i="1"/>
  <c r="W2256" i="1"/>
  <c r="W2275" i="1"/>
  <c r="W2250" i="1"/>
  <c r="W2241" i="1"/>
  <c r="W2291" i="1"/>
  <c r="W2279" i="1"/>
  <c r="W2146" i="1"/>
  <c r="W2298" i="1"/>
  <c r="W2267" i="1"/>
  <c r="W2283" i="1"/>
  <c r="W531" i="1"/>
  <c r="W2237" i="1"/>
  <c r="W2248" i="1"/>
  <c r="W2274" i="1"/>
  <c r="W2115" i="1"/>
  <c r="W2269" i="1"/>
  <c r="W2268" i="1"/>
  <c r="W2289" i="1"/>
  <c r="W2280" i="1"/>
  <c r="W2284" i="1"/>
  <c r="W2277" i="1"/>
  <c r="W2245" i="1"/>
  <c r="W2271" i="1"/>
  <c r="W529" i="1"/>
  <c r="W2281" i="1"/>
  <c r="W2273" i="1"/>
  <c r="W2207" i="1"/>
  <c r="W2272" i="1"/>
  <c r="W2254" i="1"/>
  <c r="W2270" i="1"/>
  <c r="W2182" i="1"/>
  <c r="W2210" i="1"/>
  <c r="W2243" i="1"/>
  <c r="W527" i="1"/>
  <c r="W2242" i="1"/>
  <c r="W2246" i="1"/>
  <c r="W2257" i="1"/>
  <c r="W2255" i="1"/>
  <c r="W2249" i="1"/>
  <c r="W2258" i="1"/>
  <c r="W2259" i="1"/>
  <c r="W2197" i="1"/>
  <c r="W2234" i="1"/>
  <c r="W526" i="1"/>
  <c r="W2238" i="1"/>
  <c r="W2236" i="1"/>
  <c r="W2221" i="1"/>
  <c r="W2213" i="1"/>
  <c r="W2232" i="1"/>
  <c r="W523" i="1"/>
  <c r="W2233" i="1"/>
  <c r="W2235" i="1"/>
  <c r="W2228" i="1"/>
  <c r="W2193" i="1"/>
  <c r="W2212" i="1"/>
  <c r="W2132" i="1"/>
  <c r="W2166" i="1"/>
  <c r="W2217" i="1"/>
  <c r="W2180" i="1"/>
  <c r="W2220" i="1"/>
  <c r="W2218" i="1"/>
  <c r="W2223" i="1"/>
  <c r="W2226" i="1"/>
  <c r="W2209" i="1"/>
  <c r="W2159" i="1"/>
  <c r="W2198" i="1"/>
  <c r="W2176" i="1"/>
  <c r="W2199" i="1"/>
  <c r="W2214" i="1"/>
  <c r="W2204" i="1"/>
  <c r="W2172" i="1"/>
  <c r="W2191" i="1"/>
  <c r="W2202" i="1"/>
  <c r="W2205" i="1"/>
  <c r="W2201" i="1"/>
  <c r="W2203" i="1"/>
  <c r="W2200" i="1"/>
  <c r="W2196" i="1"/>
  <c r="W2192" i="1"/>
  <c r="W2190" i="1"/>
  <c r="W521" i="1"/>
  <c r="W515" i="1"/>
  <c r="W2155" i="1"/>
  <c r="W522" i="1"/>
  <c r="W2185" i="1"/>
  <c r="W519" i="1"/>
  <c r="W2187" i="1"/>
  <c r="W2195" i="1"/>
  <c r="W2194" i="1"/>
  <c r="W2174" i="1"/>
  <c r="W2150" i="1"/>
  <c r="W516" i="1"/>
  <c r="W2186" i="1"/>
  <c r="W2158" i="1"/>
  <c r="W518" i="1"/>
  <c r="W2189" i="1"/>
  <c r="W2171" i="1"/>
  <c r="W2175" i="1"/>
  <c r="W2181" i="1"/>
  <c r="W2183" i="1"/>
  <c r="W2177" i="1"/>
  <c r="W2184" i="1"/>
  <c r="W2169" i="1"/>
  <c r="W2179" i="1"/>
  <c r="W2178" i="1"/>
  <c r="W2157" i="1"/>
  <c r="W2173" i="1"/>
  <c r="W2153" i="1"/>
  <c r="W2161" i="1"/>
  <c r="W517" i="1"/>
  <c r="W2165" i="1"/>
  <c r="W2162" i="1"/>
  <c r="W2168" i="1"/>
  <c r="W2120" i="1"/>
  <c r="W2145" i="1"/>
  <c r="W2148" i="1"/>
  <c r="W2154" i="1"/>
  <c r="W2164" i="1"/>
  <c r="W2160" i="1"/>
  <c r="W2163" i="1"/>
  <c r="W2140" i="1"/>
  <c r="W2156" i="1"/>
  <c r="W2151" i="1"/>
  <c r="W2141" i="1"/>
  <c r="W2147" i="1"/>
  <c r="W2137" i="1"/>
  <c r="W2139" i="1"/>
  <c r="W2152" i="1"/>
  <c r="W512" i="1"/>
  <c r="W2134" i="1"/>
  <c r="W2138" i="1"/>
  <c r="W2142" i="1"/>
  <c r="W2149" i="1"/>
  <c r="W2144" i="1"/>
  <c r="W2110" i="1"/>
  <c r="W2143" i="1"/>
  <c r="W2135" i="1"/>
  <c r="W2136" i="1"/>
  <c r="W514" i="1"/>
  <c r="W2131" i="1"/>
  <c r="W2133" i="1"/>
  <c r="W2122" i="1"/>
  <c r="W2129" i="1"/>
  <c r="W508" i="1"/>
  <c r="W2126" i="1"/>
  <c r="W2127" i="1"/>
  <c r="W511" i="1"/>
  <c r="W2119" i="1"/>
  <c r="W2128" i="1"/>
  <c r="W2121" i="1"/>
  <c r="W2124" i="1"/>
  <c r="W2107" i="1"/>
  <c r="W2123" i="1"/>
  <c r="W2106" i="1"/>
  <c r="W2105" i="1"/>
  <c r="W2118" i="1"/>
  <c r="W2113" i="1"/>
  <c r="W2108" i="1"/>
  <c r="W509" i="1"/>
  <c r="W510" i="1"/>
  <c r="W2116" i="1"/>
  <c r="W2099" i="1"/>
  <c r="W2112" i="1"/>
  <c r="W2111" i="1"/>
  <c r="W2109" i="1"/>
  <c r="W2102" i="1"/>
  <c r="W2100" i="1"/>
  <c r="W2101" i="1"/>
  <c r="W507" i="1"/>
  <c r="W2104" i="1"/>
  <c r="W2103" i="1"/>
  <c r="W2098" i="1"/>
  <c r="W2095" i="1"/>
  <c r="W2097" i="1"/>
  <c r="W2093" i="1"/>
  <c r="W2096" i="1"/>
  <c r="W506" i="1"/>
  <c r="W2094" i="1"/>
  <c r="W2088" i="1"/>
  <c r="W2091" i="1"/>
  <c r="W2089" i="1"/>
  <c r="W2087" i="1"/>
  <c r="W2090" i="1"/>
  <c r="U1" i="1"/>
</calcChain>
</file>

<file path=xl/sharedStrings.xml><?xml version="1.0" encoding="utf-8"?>
<sst xmlns="http://schemas.openxmlformats.org/spreadsheetml/2006/main" count="78577" uniqueCount="4948">
  <si>
    <t>fecha_creacion_transaccion</t>
  </si>
  <si>
    <t>ID TRANSACCION</t>
  </si>
  <si>
    <t>Aliado</t>
  </si>
  <si>
    <t>Numero_de_Matricula</t>
  </si>
  <si>
    <t>Orden_Matricula</t>
  </si>
  <si>
    <t>cedula_cliente</t>
  </si>
  <si>
    <t>Nombre_cliente</t>
  </si>
  <si>
    <t>ID Estudiante</t>
  </si>
  <si>
    <t>Periodo</t>
  </si>
  <si>
    <t>CC</t>
  </si>
  <si>
    <t>Tipo de estudiante</t>
  </si>
  <si>
    <t>Programa</t>
  </si>
  <si>
    <t>Nivel</t>
  </si>
  <si>
    <t>Operador</t>
  </si>
  <si>
    <t>Área</t>
  </si>
  <si>
    <t>Operación</t>
  </si>
  <si>
    <t>Cate</t>
  </si>
  <si>
    <t>Subcate</t>
  </si>
  <si>
    <t>Cohorte</t>
  </si>
  <si>
    <t>ROMBO V2</t>
  </si>
  <si>
    <t>OMP</t>
  </si>
  <si>
    <t>Laura Laura Argaez Velez</t>
  </si>
  <si>
    <t>INGENIERIA DE SISTEMAS VIR</t>
  </si>
  <si>
    <t>PRIMER INGRESO</t>
  </si>
  <si>
    <t>PROFESIONAL</t>
  </si>
  <si>
    <t>SENA CONVENIO NACIONAL</t>
  </si>
  <si>
    <t>Estudiante Nuevo</t>
  </si>
  <si>
    <t>Contact</t>
  </si>
  <si>
    <t>Sello Financiero</t>
  </si>
  <si>
    <t>Tiene Sello Financiero (Aprobado Directo)</t>
  </si>
  <si>
    <t>Cohorte 1</t>
  </si>
  <si>
    <t>Saray Alejandra Lopez Quintero</t>
  </si>
  <si>
    <t>ADMINISTRACION EN SALUD VIR</t>
  </si>
  <si>
    <t>TRANSFERENTE EXTERNO</t>
  </si>
  <si>
    <t xml:space="preserve">Martín Alonso  Pizzo  Camayo </t>
  </si>
  <si>
    <t>CEI_BOGOTA</t>
  </si>
  <si>
    <t>Sergio Damian Vega Poveda</t>
  </si>
  <si>
    <t>CONTADURIA PUBLICA</t>
  </si>
  <si>
    <t>SENA CONVENIO BOGOTA</t>
  </si>
  <si>
    <t>Brayan Alexander Téllez Ramírez</t>
  </si>
  <si>
    <t>MKT Y NEGOCIOS INTERNACIONALES</t>
  </si>
  <si>
    <t>Alexander David Pantoja Herrera</t>
  </si>
  <si>
    <t>SEGUR Y SALUD EN EL TRABAJ VIR</t>
  </si>
  <si>
    <t>OMO</t>
  </si>
  <si>
    <t>Fernando Ivann Lopez Ojeda</t>
  </si>
  <si>
    <t>ESP EN AUDIT EN SALUD VIR</t>
  </si>
  <si>
    <t>TRANSFERENTE INTERNO</t>
  </si>
  <si>
    <t>ESPECIALISTA</t>
  </si>
  <si>
    <t>Sara Daniela Cruz Neira</t>
  </si>
  <si>
    <t>FISIOTERAPIA</t>
  </si>
  <si>
    <t>Johan Andres Mosquera Mosquera</t>
  </si>
  <si>
    <t>ADMINISTRACION FINANCIERA VIR</t>
  </si>
  <si>
    <t>Yeimy Milena Rincon Vanegas</t>
  </si>
  <si>
    <t xml:space="preserve">Yolima  Jaque  Velandia </t>
  </si>
  <si>
    <t>juan carlos alfonso pinzon</t>
  </si>
  <si>
    <t>Luisa Fernanda Chavez De la rosa</t>
  </si>
  <si>
    <t>Natalia Natalia Gamboa Gonzalez</t>
  </si>
  <si>
    <t>MERCADEO Y PUBLICIDAD VIR</t>
  </si>
  <si>
    <t>Michell Yajaira Salazar Osorio</t>
  </si>
  <si>
    <t>ESP GCIA SEG SALUD EN TRA VIRT</t>
  </si>
  <si>
    <t>MIGUEL DIMATE VARGAS</t>
  </si>
  <si>
    <t>Keyla Valentina Lopez Diaza</t>
  </si>
  <si>
    <t>FONOAUDIOLOGIA</t>
  </si>
  <si>
    <t>Eleym Paola Perez Marrugo</t>
  </si>
  <si>
    <t>Camilo Camilo Molina Ayarza</t>
  </si>
  <si>
    <t>ING EN CIENCIA DE DATOS VIR</t>
  </si>
  <si>
    <t>MARIA LEONILDE  RODRIGUEZ PINEDA</t>
  </si>
  <si>
    <t>Yojader Yojader Perez Portillo</t>
  </si>
  <si>
    <t>Estefania  Alarcon Gutierrez</t>
  </si>
  <si>
    <t>ADMINISTRACION LOGISTICA</t>
  </si>
  <si>
    <t>Lady Valentina Sierra Rubiano</t>
  </si>
  <si>
    <t>ORLANDO CUERO HINESTROZA</t>
  </si>
  <si>
    <t>ESP GERENCIA DE PROYECTOS VIR</t>
  </si>
  <si>
    <t>Kelly Tatiana Varila Angarita</t>
  </si>
  <si>
    <t>INGRESO SINGULAR (ASISTENTE)</t>
  </si>
  <si>
    <t>Luisa Leon Alcazar</t>
  </si>
  <si>
    <t>MARIEN MEJIA RIAÑO</t>
  </si>
  <si>
    <t>LIC EN MATEMATICAS VIR</t>
  </si>
  <si>
    <t>Sonia Aurora Guevara  Amaya</t>
  </si>
  <si>
    <t>PSICOLOGIA</t>
  </si>
  <si>
    <t>Jean Carlos Carrasco Reyes</t>
  </si>
  <si>
    <t>Libia Stella Linares Laverde</t>
  </si>
  <si>
    <t>Nicol Camila Gómez Gómez</t>
  </si>
  <si>
    <t>TRANSFERENTE EXTERNO (ASISTEN)</t>
  </si>
  <si>
    <t>Rosa Erminia Chaves Rojas</t>
  </si>
  <si>
    <t>Andrés Felipe Lara Ospina</t>
  </si>
  <si>
    <t>TECNOLOGIA EN LOGISTICA VIRT</t>
  </si>
  <si>
    <t>TECNOLOGICO</t>
  </si>
  <si>
    <t>Manuel Humberto Buitrago Bonilla</t>
  </si>
  <si>
    <t>REINGRESO</t>
  </si>
  <si>
    <t>INGENIERIA DE SOFTWARE VIRT</t>
  </si>
  <si>
    <t xml:space="preserve">MARIA DEL CARMEN BAQUERO  MORA </t>
  </si>
  <si>
    <t>Paula Alejandra Cañon Tocasuche</t>
  </si>
  <si>
    <t>Erika Flor Salamanca Avendaño avendaño</t>
  </si>
  <si>
    <t>ESP EN MARKETING DIGITAL VIR</t>
  </si>
  <si>
    <t>Mauricio  Arevalo  Bacca</t>
  </si>
  <si>
    <t>LIC. EN EDUCACION ESPECIAL PRE</t>
  </si>
  <si>
    <t>Juan Esteban Ordoñez Ordoñez</t>
  </si>
  <si>
    <t>Christian Stiven Lievano Cobos</t>
  </si>
  <si>
    <t>ESP EN ALTA GERENCIA VIR</t>
  </si>
  <si>
    <t>Esneyder Santiago Sanabria Pinzon</t>
  </si>
  <si>
    <t>LIC. EN CIENCIAS SOCIALES VIR</t>
  </si>
  <si>
    <t>OLGA CRISTINA GOMEZ  FARIETA</t>
  </si>
  <si>
    <t>Anciny Yulieth Medina Pinzon</t>
  </si>
  <si>
    <t>Laura Yined Cardenas Pineda</t>
  </si>
  <si>
    <t>Leidys Loraigne Berdugo Oñate</t>
  </si>
  <si>
    <t>Edna Katherine Mora Rico</t>
  </si>
  <si>
    <t>ADMINISTRACION FINANCIERA</t>
  </si>
  <si>
    <t>Yulieth Dayana Ramirez Martinez</t>
  </si>
  <si>
    <t>Felipe Alexander Suarez Santiago</t>
  </si>
  <si>
    <t>Jennifer Nicol Tamayo Taylor</t>
  </si>
  <si>
    <t>Yesika Esmeralda Fonseca Orjuela</t>
  </si>
  <si>
    <t>Santiago Santiago Muñoz Chaparro</t>
  </si>
  <si>
    <t>Laura Vanesa Miranda Martinez</t>
  </si>
  <si>
    <t>LIC. EN ARTES VISUALES VIR</t>
  </si>
  <si>
    <t>Anlly Alejandra  Duque Duque</t>
  </si>
  <si>
    <t xml:space="preserve">Exleider  Ospina Vasco </t>
  </si>
  <si>
    <t>Angie Julieth Ortiz Perez</t>
  </si>
  <si>
    <t>ANA JULIA  VARELAS  EUSSE</t>
  </si>
  <si>
    <t>LIC EN EDUCACION INFANTIL VIR</t>
  </si>
  <si>
    <t>Gilberto Eduardo Acebedo Duque</t>
  </si>
  <si>
    <t>Ricardo Ferney Nova Ladino</t>
  </si>
  <si>
    <t>Jesus Alejandro Calderón Botero</t>
  </si>
  <si>
    <t>Dana Zaray García Méndez</t>
  </si>
  <si>
    <t>Einer Einer Monsalve Lizcano</t>
  </si>
  <si>
    <t>Luis Felipe Hormaza Ruiz</t>
  </si>
  <si>
    <t>Erika Patricia Montes Villegas</t>
  </si>
  <si>
    <t>INGENIERIA INDUSTRIAL VIRT</t>
  </si>
  <si>
    <t>Jenny Alexandra Roa Ramirez</t>
  </si>
  <si>
    <t>Daniel Daniel Molano Molano</t>
  </si>
  <si>
    <t>GLORIA YULFREY RUBIANO RAMIREZ</t>
  </si>
  <si>
    <t>Luis Angelica Monterrosaa Martinez</t>
  </si>
  <si>
    <t>Thanya Dayary Gomez Luna</t>
  </si>
  <si>
    <t>PSICOLOGIA VIRTUAL</t>
  </si>
  <si>
    <t xml:space="preserve">Juan de la Cruz  Angulo  Medina </t>
  </si>
  <si>
    <t>Luis eliecer rocha granada</t>
  </si>
  <si>
    <t>Ivan Santiago Fonseca Diaz</t>
  </si>
  <si>
    <t>Leidy jhoana ramos roldan</t>
  </si>
  <si>
    <t>Zulay Yohana  Estrada  Curvelo</t>
  </si>
  <si>
    <t>Andres David Blandon Aguilar</t>
  </si>
  <si>
    <t>ESP EN CIBERSEGURIDAD VIR</t>
  </si>
  <si>
    <t>Wendy Marcela Rodriguez Cueto</t>
  </si>
  <si>
    <t>Diana Lorena Castañeda Lopez</t>
  </si>
  <si>
    <t>Omar Andres Quitian Guitierrez</t>
  </si>
  <si>
    <t>Carlos Ciro Gonzalez Guartos</t>
  </si>
  <si>
    <t>JENNIFER LORENA GONZALEZ SILVA</t>
  </si>
  <si>
    <t>Maleyvi Fernanda Cediel Rojas</t>
  </si>
  <si>
    <t>Natalia Natalia Huertas León</t>
  </si>
  <si>
    <t>Yesmin Adriana Arzuza Garcia</t>
  </si>
  <si>
    <t>Laura Stefania Mesa Cruz</t>
  </si>
  <si>
    <t>Edgar David Duarte  Arboleda</t>
  </si>
  <si>
    <t>Camila Andrea Coy Uribe</t>
  </si>
  <si>
    <t>JUAN ESTEBAN  RAMIREZ VANEGAS</t>
  </si>
  <si>
    <t>DERECHO</t>
  </si>
  <si>
    <t>Aura María Montoya Durango</t>
  </si>
  <si>
    <t>Angie Carolina Rodriguez Suarez</t>
  </si>
  <si>
    <t>Erica Patricia Diaz Daza</t>
  </si>
  <si>
    <t>GERALDINE MOSQUERA SILVA</t>
  </si>
  <si>
    <t>Juan Ramiro Rodriguez Lazaro</t>
  </si>
  <si>
    <t>Adrina Adrina Higuera Garcia</t>
  </si>
  <si>
    <t>ESP GCIA CALIDAD EN SALUD VIRT</t>
  </si>
  <si>
    <t>ROSALBA  CASAS AMAYA</t>
  </si>
  <si>
    <t>diana Patricia  Torres Rodriguez</t>
  </si>
  <si>
    <t>Jesus Andres Medina Gomez</t>
  </si>
  <si>
    <t>WILLIAM  RODRIGUEZ ROMERO</t>
  </si>
  <si>
    <t>NEITSSAN ISLENA REYES REYES</t>
  </si>
  <si>
    <t>Julissa Andrea Rodriguez Vides</t>
  </si>
  <si>
    <t>Lilian Patricia Montaño Ruiz</t>
  </si>
  <si>
    <t>Jessica Paola Leon Herrera</t>
  </si>
  <si>
    <t>JESUS ALVAREZ HERNANDEZ</t>
  </si>
  <si>
    <t>Michelle Yulipsa Caro Bulla</t>
  </si>
  <si>
    <t>Yainer José Gulfo Puente</t>
  </si>
  <si>
    <t>Yeni Alejandra Hincapie Zapata</t>
  </si>
  <si>
    <t>Juan Carlos Ospina Ortiz</t>
  </si>
  <si>
    <t>Dairis Milena Caro Martinez</t>
  </si>
  <si>
    <t>Laura Karina Arias Franco</t>
  </si>
  <si>
    <t>Miguel Angel Infante Rodriguez</t>
  </si>
  <si>
    <t>Ramon rodrigo Jimenez Rengifo</t>
  </si>
  <si>
    <t>Laura Valentina Bohorquez Ostos</t>
  </si>
  <si>
    <t>Laura Alejandra López Díaz</t>
  </si>
  <si>
    <t>LEIDY KATHERINE ESLAVA RAMOS</t>
  </si>
  <si>
    <t>Jhan Carlos Cordero Parada</t>
  </si>
  <si>
    <t>Belen Perez  Melines</t>
  </si>
  <si>
    <t>Mónica Janeth López Ortiz</t>
  </si>
  <si>
    <t>Yuly Andrea Rodriguez Alferez</t>
  </si>
  <si>
    <t>Juan Esteban Muñoz Morales</t>
  </si>
  <si>
    <t>Dariam Selena Miguez Guerrero</t>
  </si>
  <si>
    <t>Gina Katerin Amaya Martin</t>
  </si>
  <si>
    <t>Diana Marcela Pinto Cardenas</t>
  </si>
  <si>
    <t>ADMITIDO NO MATRICULADO</t>
  </si>
  <si>
    <t>Angelica Alejandra Sanchez Fisgativa</t>
  </si>
  <si>
    <t>Dayana Katherine Balaguera Gonzalez</t>
  </si>
  <si>
    <t>Jeimy Lorena Lozano Cadena</t>
  </si>
  <si>
    <t>Vanessa Alexandra Mesa Hernández</t>
  </si>
  <si>
    <t>LICENCIATURA EN EDUCA INFANTIL</t>
  </si>
  <si>
    <t>Zully Alejandra Triana Aguilar</t>
  </si>
  <si>
    <t>Jeffer Alexis Hermida Gómez</t>
  </si>
  <si>
    <t>Fabian Estiven Robayo Criollo</t>
  </si>
  <si>
    <t>Nelly Nelly Jazmin Manco</t>
  </si>
  <si>
    <t>Martha yanneth triviño garcia</t>
  </si>
  <si>
    <t>Heidy Alexandra Navarro Ortiz</t>
  </si>
  <si>
    <t>ESTER YULIETH GUEGIA EXSECUE</t>
  </si>
  <si>
    <t>Flor Elva Herreño Zarate</t>
  </si>
  <si>
    <t>Jorge Ivan Giraldo Velez</t>
  </si>
  <si>
    <t>CONTADURIA PUBLICA VIRTUAL</t>
  </si>
  <si>
    <t>Camila Camila Castaño Morales</t>
  </si>
  <si>
    <t>Rafael Antonio Guerrero Ariza</t>
  </si>
  <si>
    <t>ADMINISTRACION DE EMPRESAS VIR</t>
  </si>
  <si>
    <t xml:space="preserve">Eva Monsalve </t>
  </si>
  <si>
    <t>Katherine Lorena Muelas Nuñez</t>
  </si>
  <si>
    <t>Betsabe Betsabe Torres Urrea</t>
  </si>
  <si>
    <t>Brigny Lorain Acevedo Guerra</t>
  </si>
  <si>
    <t>Juliana Juliana Morales Castaño</t>
  </si>
  <si>
    <t>Nikol Mariana Carrillo Sanchez</t>
  </si>
  <si>
    <t>Emily Zaray Plazas Mendoza</t>
  </si>
  <si>
    <t>JOVENES A LA U</t>
  </si>
  <si>
    <t>Paula Valentina Vargas Pérez</t>
  </si>
  <si>
    <t>Valentina Valentina Quitian Jimenez</t>
  </si>
  <si>
    <t>Dafne Yanina Marin Bustos</t>
  </si>
  <si>
    <t>LIC LENGUAS EXTRANJ INGLES VIR</t>
  </si>
  <si>
    <t>Jeimy Lorena Canticus Martínez</t>
  </si>
  <si>
    <t>TRABAJO SOCIAL VIR</t>
  </si>
  <si>
    <t>Saiza Yuley Patria Prada</t>
  </si>
  <si>
    <t>Valentina Valentina Madrigal Poveda</t>
  </si>
  <si>
    <t>Gustavo Alfonso Enciso Acosta</t>
  </si>
  <si>
    <t>Dario Fernando  Solarte Rosero</t>
  </si>
  <si>
    <t>Joheinis Katherin Prieto Uriana</t>
  </si>
  <si>
    <t>PSICOLOGIA VIR (NUEVO)</t>
  </si>
  <si>
    <t xml:space="preserve">Lorena Rocio Belalcazar Escobar </t>
  </si>
  <si>
    <t>Darlin Andrea Vargas Cordoba</t>
  </si>
  <si>
    <t>Nicole Dahanne Zamora Briceño</t>
  </si>
  <si>
    <t>NEGOCIOS INTERNACIONALES VIR</t>
  </si>
  <si>
    <t>Johan Alexy Coronel Coronel</t>
  </si>
  <si>
    <t>Diana Patricia Correa Zapata</t>
  </si>
  <si>
    <t>Jose Daniel Garcia Echeverry</t>
  </si>
  <si>
    <t>Meliza Meliza Castro Hinestroza</t>
  </si>
  <si>
    <t>Juan Sebastian Cardenas Quintero</t>
  </si>
  <si>
    <t>Daniela Daniela León Alvarado</t>
  </si>
  <si>
    <t>Juan David Villegas Presiga</t>
  </si>
  <si>
    <t>Juan Carlos Viyoga Rojas</t>
  </si>
  <si>
    <t>DERECHO VIRTUAL</t>
  </si>
  <si>
    <t>Laura Laura Galindo Soto</t>
  </si>
  <si>
    <t>RICHARD STIVEN MOSQUERA MOSQUERA</t>
  </si>
  <si>
    <t>Jeanncarlo Jeanncarlo Sarmiento Melo</t>
  </si>
  <si>
    <t>Joel Nicolás Araque Roa</t>
  </si>
  <si>
    <t>Estrella Estrella Mercado Molina</t>
  </si>
  <si>
    <t>Yailen Dayan Mendez Leyton</t>
  </si>
  <si>
    <t>Michelle Michelle Giraldo Loaiza</t>
  </si>
  <si>
    <t>Cesar Alberto Carmona Ceballos</t>
  </si>
  <si>
    <t>luz dary  cifuentes alonso</t>
  </si>
  <si>
    <t>Paula Andrea Moreno Saavedra</t>
  </si>
  <si>
    <t>Sandra Milena Pescador  morales</t>
  </si>
  <si>
    <t>MAESTRIA EN EDUCACION VIR</t>
  </si>
  <si>
    <t>MAESTRIA</t>
  </si>
  <si>
    <t>ALASTIR ABDU BARRERA BERNAL</t>
  </si>
  <si>
    <t>NINA  MUÑOZ  ANACONA</t>
  </si>
  <si>
    <t>Samuel Alejandro Neira Gacha</t>
  </si>
  <si>
    <t>Jose Elander Macias Lazcarro</t>
  </si>
  <si>
    <t>Mónica María Osorio Agudelo</t>
  </si>
  <si>
    <t>Saileth Camila Chacón Baena</t>
  </si>
  <si>
    <t>Andrés Mauricio  Otalvaro Duque</t>
  </si>
  <si>
    <t>Oscar Camilo Montoya Cardenas cardenas</t>
  </si>
  <si>
    <t>Yasser David Orozco Silgado</t>
  </si>
  <si>
    <t>Mardo Alfonso Barajas Hormiga</t>
  </si>
  <si>
    <t>Katherine Katherine Chabur Jimenez</t>
  </si>
  <si>
    <t>Oscar Nicolas Ordoñez Ordoñez</t>
  </si>
  <si>
    <t>Delia Ximena Fernandez Zamudio</t>
  </si>
  <si>
    <t>OMC</t>
  </si>
  <si>
    <t>Nestor Armando Quiroga Silva</t>
  </si>
  <si>
    <t>DIP OPC GRA ANA DAT PYTHON VIR</t>
  </si>
  <si>
    <t>OPCION DE GRADO</t>
  </si>
  <si>
    <t>EDUCACION CONTINUA</t>
  </si>
  <si>
    <t>Karen Lorena Sierra Muñoz</t>
  </si>
  <si>
    <t>ODALIS JOSEFA PAZ  PAUSAYU</t>
  </si>
  <si>
    <t>Leidy Cristina Guitriago Arango</t>
  </si>
  <si>
    <t>Fabela Liced Torres Castañeda</t>
  </si>
  <si>
    <t>Christian Camilo Corrales Garcia</t>
  </si>
  <si>
    <t>Jordan Ashley Bernal Grijalba</t>
  </si>
  <si>
    <t>Carolina Carolina Ramirez Rodriguez</t>
  </si>
  <si>
    <t>ESP GESTION SALUD PUBLICA VIR</t>
  </si>
  <si>
    <t>Zharick Tatiana Hernandez Contreras</t>
  </si>
  <si>
    <t>Karen Gisella Vega Ahumada</t>
  </si>
  <si>
    <t>Dary Luz Caballero Mestra</t>
  </si>
  <si>
    <t>Fabio David Morales Basto</t>
  </si>
  <si>
    <t>Andres Felipe Parra Garzon</t>
  </si>
  <si>
    <t>Adriana Meneses Montero</t>
  </si>
  <si>
    <t>Juan David Garcés Rosero</t>
  </si>
  <si>
    <t>Cindy Guivenny Romero Infante</t>
  </si>
  <si>
    <t>Miguel Angel  Pinchao Fuentes</t>
  </si>
  <si>
    <t xml:space="preserve">Jhon Fredy  Ascensio Tapiero </t>
  </si>
  <si>
    <t>Elis Liliana Caro Castro</t>
  </si>
  <si>
    <t>Andrea Valentina Pinzon Ortega</t>
  </si>
  <si>
    <t>SANDRA IVONNE MOLANO PALOMO</t>
  </si>
  <si>
    <t>Angie Victoria Moreno Salcedo</t>
  </si>
  <si>
    <t>ESP DLLO INT INF ADOLES VIRTUA</t>
  </si>
  <si>
    <t>Sandra Carolina Calderon Jimenez</t>
  </si>
  <si>
    <t>Esteban Mauricio Gafaro Mora</t>
  </si>
  <si>
    <t>Nestor Fabian Espinosa Peñuela</t>
  </si>
  <si>
    <t>Katherine Alejandra Martinez Parra</t>
  </si>
  <si>
    <t>Brayan David Malagon Arias</t>
  </si>
  <si>
    <t>Natalia Natalia Uribe Monsalve</t>
  </si>
  <si>
    <t xml:space="preserve">JHON MARIO  HURTADO   MOSQUERA </t>
  </si>
  <si>
    <t>Dayana Michel Hurtado Reyes</t>
  </si>
  <si>
    <t>Tina Tina Martinez Sanabria</t>
  </si>
  <si>
    <t>Ana Maria Martin Martin</t>
  </si>
  <si>
    <t>Cristian Javier  Montañez Santos</t>
  </si>
  <si>
    <t>Nayib De jesús Vitola Blanco</t>
  </si>
  <si>
    <t>Celsa Rocio Alferez Bonilla</t>
  </si>
  <si>
    <t>Luis Enrique Castro Ezquivel</t>
  </si>
  <si>
    <t>Rafael José Teheran García</t>
  </si>
  <si>
    <t>EMMY YULIETH CONTRERAS MALDONADO</t>
  </si>
  <si>
    <t>Ingrid Ingrid Aponte Villamizar</t>
  </si>
  <si>
    <t>Kevin Stif Sanabria Martinez</t>
  </si>
  <si>
    <t>Laura Tatiana Pardo Pardo</t>
  </si>
  <si>
    <t>MARIA DIOELINA RIOS MORALES</t>
  </si>
  <si>
    <t>Alejandra Morales Barbosa barbosa</t>
  </si>
  <si>
    <t>CURSO MOD DE GRADO CALIDAD VIR</t>
  </si>
  <si>
    <t>ALBARO JAVIER ORTEGA ORTEGA</t>
  </si>
  <si>
    <t>Patricia Judith Arevalo Barreto</t>
  </si>
  <si>
    <t>JHON DEYWER  QUINTANA  BERNAL</t>
  </si>
  <si>
    <t>Julio Cesar Ibarra Araujo</t>
  </si>
  <si>
    <t>Diego Alejandro Ruiz Serrano</t>
  </si>
  <si>
    <t>Delis Yamileth Chilito Alegria</t>
  </si>
  <si>
    <t>Luz Marina Giraldo Berrocal</t>
  </si>
  <si>
    <t>Saray Esther Gamarra Barrios</t>
  </si>
  <si>
    <t>Andrea Johana Parra Contreras</t>
  </si>
  <si>
    <t>JACKELINE RIVERA URIBE</t>
  </si>
  <si>
    <t>Abner Fabian Cordoba Pardo</t>
  </si>
  <si>
    <t>MARIA NIEVES ALBARRACIN MARTINEZ</t>
  </si>
  <si>
    <t>Geraldyn Jissela Oyola Rodríguez</t>
  </si>
  <si>
    <t>JULIAN OSWALDO CABALLERO GONZALEZ</t>
  </si>
  <si>
    <t>Brayan Stiven Tovar Trujillo</t>
  </si>
  <si>
    <t>Andres Felipe Gonzalez Agudelo</t>
  </si>
  <si>
    <t>Aseneth Aseneth Conde Silvestre</t>
  </si>
  <si>
    <t xml:space="preserve">Jorge Eliécer  Sánchez  Chaucanes </t>
  </si>
  <si>
    <t>Yefferson Yefferson Santos Ortiz</t>
  </si>
  <si>
    <t>SEM INTEL NEG CON POWER BI VIR</t>
  </si>
  <si>
    <t>Brayan Andres Peña Chavez</t>
  </si>
  <si>
    <t>Natalia Alexandra Barrera Ospina</t>
  </si>
  <si>
    <t>Santiago Santiago Sandoval Torres</t>
  </si>
  <si>
    <t>Cesar Augusto Alcazar Sabogal</t>
  </si>
  <si>
    <t>Mary Luz Gonzalez Sanchez</t>
  </si>
  <si>
    <t>ESP NEUROPSICOL DE EDUCACI VIR</t>
  </si>
  <si>
    <t>Jairo Alonso Serpa Contreras</t>
  </si>
  <si>
    <t>Cindy Liliana Rizo Becerra</t>
  </si>
  <si>
    <t>Maria Paz Lopez Fajardo</t>
  </si>
  <si>
    <t>David Santiago Mahecha Hernandez</t>
  </si>
  <si>
    <t>Wynny fred Castro  Nuñez</t>
  </si>
  <si>
    <t>Eva Maria Leon Sanchez</t>
  </si>
  <si>
    <t>Martín hernando Rincon  Daza</t>
  </si>
  <si>
    <t>Julia Del Carmen Rodriguez Beltran</t>
  </si>
  <si>
    <t>Tatiana Tatiana Perez Perez</t>
  </si>
  <si>
    <t>Luisa Fernanda Sanchez Bermudez</t>
  </si>
  <si>
    <t>Martha Yolanda Barragán Guzmán</t>
  </si>
  <si>
    <t xml:space="preserve">ADELSO URIANA </t>
  </si>
  <si>
    <t>Cristian Arley Cordon Tavera</t>
  </si>
  <si>
    <t>Claudia Claudia Yañez Caicedo</t>
  </si>
  <si>
    <t>Danisa Estella Bolivar Florian</t>
  </si>
  <si>
    <t>Yury Mayerly Villarraga Jimenez</t>
  </si>
  <si>
    <t>Camila Sofia Alvear Rivas</t>
  </si>
  <si>
    <t>Frank Angel Hernández Gil</t>
  </si>
  <si>
    <t>Walter de jesus parejo lizcano</t>
  </si>
  <si>
    <t>Karol Karol Berdugo Badel</t>
  </si>
  <si>
    <t>Liceth Dayan Diaz Vargas</t>
  </si>
  <si>
    <t>Diana Yurley Villamizar Bermudez</t>
  </si>
  <si>
    <t xml:space="preserve">Claudia Patricia  Dimas  Montoya </t>
  </si>
  <si>
    <t>Lizbeth Dayana Arevalo Diaz</t>
  </si>
  <si>
    <t>Hernan David Charris Fontalvo</t>
  </si>
  <si>
    <t>Angeli Daniela Delgado Perez</t>
  </si>
  <si>
    <t>Danna Alejandra Muñoz Londoño</t>
  </si>
  <si>
    <t>LIC HUMAN Y LENGUA CASTELL VIR</t>
  </si>
  <si>
    <t>Greisy Yadira Quiñones Rodriguez</t>
  </si>
  <si>
    <t>Yerly Marcela Caicedo Garzon</t>
  </si>
  <si>
    <t>SEM EVAL NEUP Y ESTR INTERV ED</t>
  </si>
  <si>
    <t>Angie Carolina Tehevening Ortiz</t>
  </si>
  <si>
    <t>Paula Alejandra Velandia Escobar</t>
  </si>
  <si>
    <t>Nurys Yulenny Sanclemente Lbarguen</t>
  </si>
  <si>
    <t>Yeraldin Yeraldin Patiño Vega</t>
  </si>
  <si>
    <t>Katherine Katherine Mena Murillo</t>
  </si>
  <si>
    <t>Sandra Yamile Reyes Reyes</t>
  </si>
  <si>
    <t>Myriam Elizabeth  Martínez  Cajigas</t>
  </si>
  <si>
    <t>Jefferson Stick Barragán Rosas</t>
  </si>
  <si>
    <t>Yeime Carolina Porras Cicua</t>
  </si>
  <si>
    <t>Luzmila Luzmila Narváez Correa</t>
  </si>
  <si>
    <t>Natalia Salinas Álvarez</t>
  </si>
  <si>
    <t>GONZALO QUESADA CORDOBA</t>
  </si>
  <si>
    <t>Delys Leandra Moreno Mosquera</t>
  </si>
  <si>
    <t>Maria miriam Montenegro  Reyes</t>
  </si>
  <si>
    <t xml:space="preserve">María Omaira  Garcia  Mesa </t>
  </si>
  <si>
    <t>Francy Zabala  Casallas</t>
  </si>
  <si>
    <t>Laura Jasbleidy Santoyo Chavarrio</t>
  </si>
  <si>
    <t>Kethy Julie Medina Soñet</t>
  </si>
  <si>
    <t>Lesly Dahian Galindo Gonzalez</t>
  </si>
  <si>
    <t>Ahoradoxalia Ahoradoxalia Buelvas Arriola</t>
  </si>
  <si>
    <t>Yency Solayda Hoyos Narvaez</t>
  </si>
  <si>
    <t>Jennifer Jennifer Hoyos Diaz</t>
  </si>
  <si>
    <t>diana fernanda gomez monroy</t>
  </si>
  <si>
    <t>Juan Sebastian Gachancipa López</t>
  </si>
  <si>
    <t>Francy Julieth Melendez Unas</t>
  </si>
  <si>
    <t>Leidy Camila Ballen Aldana</t>
  </si>
  <si>
    <t>CUR MOD GRA ESP MARK DIGIT VIR</t>
  </si>
  <si>
    <t>Raul Jose Montiel Montiel</t>
  </si>
  <si>
    <t>Heidy Paola Nuñez Meriño</t>
  </si>
  <si>
    <t>Juan David Guzman Suarez</t>
  </si>
  <si>
    <t>Dayan Sleyn Guzmán Alonso</t>
  </si>
  <si>
    <t>Eleanys Eleanys Diaz Royero</t>
  </si>
  <si>
    <t>Yolanda Estella Barrios Matos</t>
  </si>
  <si>
    <t>Leyder  Hernandez Cervantes</t>
  </si>
  <si>
    <t>Jennifer Katerine Medina Cardenas</t>
  </si>
  <si>
    <t>DIP SEG Y SALUD TRA RIES P VIR</t>
  </si>
  <si>
    <t>Jorge Eduardo  Rios Morales</t>
  </si>
  <si>
    <t>Elia Maria Tapia Lopez</t>
  </si>
  <si>
    <t xml:space="preserve">MARIA LUISA ROJAS </t>
  </si>
  <si>
    <t>Ramir Ramir Solano Figueroa</t>
  </si>
  <si>
    <t>Leidy Viviana Arango Ruiz</t>
  </si>
  <si>
    <t>Felix Yonfredy Fuentes Ortega</t>
  </si>
  <si>
    <t>Karina Karina Montaño Sinisterra</t>
  </si>
  <si>
    <t>Ana Sofia Ducuara Capera</t>
  </si>
  <si>
    <t>Jonathan Jonathan Romero Higuera</t>
  </si>
  <si>
    <t>Frey Hernan  Rodriguez Garzon</t>
  </si>
  <si>
    <t>Keytrin Jazays  Ramos Pastrana</t>
  </si>
  <si>
    <t>Wilmer Ivan Vergara Cortes</t>
  </si>
  <si>
    <t>SHULA DEL CARMEN MORENO  RAMOS</t>
  </si>
  <si>
    <t>Miguel Eduardo Cortes Hernandez</t>
  </si>
  <si>
    <t>Lizeth Viviana Zuluaga Escobar</t>
  </si>
  <si>
    <t>Laura Carolina Suarez Bernal</t>
  </si>
  <si>
    <t>Gladys Gladys Gaitan Murcia</t>
  </si>
  <si>
    <t>Jhon Frey Ortiz Martinez</t>
  </si>
  <si>
    <t>YORLY YISETH PINEDA MORENO</t>
  </si>
  <si>
    <t>Georgia Shiva Muñoz Contreras</t>
  </si>
  <si>
    <t>Estilison Junior Soraca Rios</t>
  </si>
  <si>
    <t>Daniela Carolina Gutierrez Avila</t>
  </si>
  <si>
    <t>Lina Fernanda Linares Rincon</t>
  </si>
  <si>
    <t>Yaritza Del carmen Renteria Serna</t>
  </si>
  <si>
    <t>Fabian Andres Londoño Londoño</t>
  </si>
  <si>
    <t>Ximena Ximena Guarin Leon</t>
  </si>
  <si>
    <t>Valeria Valeria Rondón Loaiza</t>
  </si>
  <si>
    <t>Maria Fernanda Ledesma Murillo</t>
  </si>
  <si>
    <t>Dayana Paola Pedraza Alvarez</t>
  </si>
  <si>
    <t>Karen Lorena Aponza Caracas</t>
  </si>
  <si>
    <t>Valentina Martin Rodriguez</t>
  </si>
  <si>
    <t>SANDRA MILENA MURCIA  OCHOA</t>
  </si>
  <si>
    <t>Yaniris Paola Guzmán Mesa</t>
  </si>
  <si>
    <t>Jhon Luis Oquendo López</t>
  </si>
  <si>
    <t>Geraldine Geraldine Estrada Vanegas</t>
  </si>
  <si>
    <t>sandra patricia lobo mercado</t>
  </si>
  <si>
    <t>Laura Milena Muñoz Sanjuan</t>
  </si>
  <si>
    <t>Diego Fernando Peña Cuartas</t>
  </si>
  <si>
    <t>NORISLANDA NARVAEZ   LASSO</t>
  </si>
  <si>
    <t>José Enrique  Torres  Ríos</t>
  </si>
  <si>
    <t>Claudia Patricia Montero Hernandez</t>
  </si>
  <si>
    <t>DAYAN ALEJANDRA MONTAÑO VALENCIA</t>
  </si>
  <si>
    <t>Erika Tatiana Chaves Luna</t>
  </si>
  <si>
    <t>luz ceni ocoro gonzalez</t>
  </si>
  <si>
    <t>michael david perez ruiz</t>
  </si>
  <si>
    <t>Jose Armando Rodriguez Gonzalez</t>
  </si>
  <si>
    <t>Jeimy Carolina Rojas Porras</t>
  </si>
  <si>
    <t>Flor Yicela Cuero Sinisterra</t>
  </si>
  <si>
    <t>Estefania Estefania Aponza Caracas</t>
  </si>
  <si>
    <t>Marcela Benitez Tejedor</t>
  </si>
  <si>
    <t>Jhoana Jhoana Ocampo Quiceno</t>
  </si>
  <si>
    <t>Juliana Maria Quintero Torres</t>
  </si>
  <si>
    <t>Sandra Patricia Murcia Barreto</t>
  </si>
  <si>
    <t>Geraldine Daniela Bulla Garzon</t>
  </si>
  <si>
    <t>Tatiana Tatiana Piñeros Marulanda</t>
  </si>
  <si>
    <t>Laura Tatiana Suarez Moreno</t>
  </si>
  <si>
    <t>Mildred Zebeth Mendoza Pertuz</t>
  </si>
  <si>
    <t>Luis Angel Caicedo Sachica</t>
  </si>
  <si>
    <t>Maria Del carmen Posso Sucerquia</t>
  </si>
  <si>
    <t>Hernan Dario Isaza Yoja</t>
  </si>
  <si>
    <t>Mayra Daniela Diaz Castillo</t>
  </si>
  <si>
    <t>Daniela Del pilar Robles Gomez</t>
  </si>
  <si>
    <t>Carlos Mauricio Quiroga Gonzalez</t>
  </si>
  <si>
    <t>Nicol Dayana Castañeda Baena</t>
  </si>
  <si>
    <t>Maria Bernarda  porras  Tobon</t>
  </si>
  <si>
    <t>Miguel Angel Romero Rodriguez</t>
  </si>
  <si>
    <t>Rosny Alejandra Espitia Gonzalez</t>
  </si>
  <si>
    <t>Yulimar Yulimar Coronado Robles</t>
  </si>
  <si>
    <t>Michelle Johanna Garcia Pinilla</t>
  </si>
  <si>
    <t>Shirley  Roman  Cubillos</t>
  </si>
  <si>
    <t>LUIS IGNACIO SUAREZ BARRERA</t>
  </si>
  <si>
    <t>Lisseth Dayana Garcia Rueda</t>
  </si>
  <si>
    <t>Laura Julieth Contreras Hortua</t>
  </si>
  <si>
    <t>Maria Lucila Rueda  Correa</t>
  </si>
  <si>
    <t xml:space="preserve">LEONEL SERRANO </t>
  </si>
  <si>
    <t>Mateo Mateo Bermudez Rios</t>
  </si>
  <si>
    <t>DIPLOMADO TELEPSICOLOGIA VIR</t>
  </si>
  <si>
    <t>Chiecko Janoy Queeman Portela</t>
  </si>
  <si>
    <t>Ruben Dario Moyano Lesama</t>
  </si>
  <si>
    <t>ISABELA ROJAS SALCEDO</t>
  </si>
  <si>
    <t>TATIANA TRUJILLO RAMIREZ</t>
  </si>
  <si>
    <t>Yuri Andrea Robles Mancera</t>
  </si>
  <si>
    <t>CUR MOD GRA ANALITI Y BIG DATA</t>
  </si>
  <si>
    <t>Marta Alicia Labastidas Herrera</t>
  </si>
  <si>
    <t>Dayanne Pamela Bejarano Saurez</t>
  </si>
  <si>
    <t>Dayana Marcela Aleman Bernal</t>
  </si>
  <si>
    <t>Liliam Del carmen Rebolledo Sanchez</t>
  </si>
  <si>
    <t>Rovinson Guayabo Gutiérrez</t>
  </si>
  <si>
    <t>Erika Milena Gómez Lopez</t>
  </si>
  <si>
    <t>Cesar Freddy Varela Angucho</t>
  </si>
  <si>
    <t>Leidy Katherine Contreras Vargas</t>
  </si>
  <si>
    <t>Daniela Daniela Quiceno Perez</t>
  </si>
  <si>
    <t>Saira Mardely Castañeda Cortés</t>
  </si>
  <si>
    <t>Luisa Fernanda Alfonso Sanabria</t>
  </si>
  <si>
    <t>Elizabeth Elizabeth Niño Riaño</t>
  </si>
  <si>
    <t>Jeanpool Eduardo Leon Ardila</t>
  </si>
  <si>
    <t>GILBERTO URA REAY</t>
  </si>
  <si>
    <t>Alexandra Alexandra Jimenez Gonzalez</t>
  </si>
  <si>
    <t>ANDRES FABIAN URREA ALBA</t>
  </si>
  <si>
    <t>LUISA FERNANDA CUARTAS CARMONA</t>
  </si>
  <si>
    <t>Yeinar Judith Cantero Reyes</t>
  </si>
  <si>
    <t>Israel Elias Argel Fernandez</t>
  </si>
  <si>
    <t>Cenives Patricia Maturana Renteria</t>
  </si>
  <si>
    <t>SEM PROF EVAL CUL INCLU Y PRAC</t>
  </si>
  <si>
    <t>Ana Milena Arteaga Rodriguez</t>
  </si>
  <si>
    <t>Anio Anio Palomeque Renteria</t>
  </si>
  <si>
    <t>Katie Valentina Horta Moreno</t>
  </si>
  <si>
    <t>Maryuli Castro Mosquera Mosquera</t>
  </si>
  <si>
    <t>Valeria Valeria Saenz Estrada</t>
  </si>
  <si>
    <t>ELIZABETH KATLEEN  BILBAO  RODRIGUEZ</t>
  </si>
  <si>
    <t>GINNA PAOLA RODRIGUEZ OLARTE</t>
  </si>
  <si>
    <t>BOOTC DESLL WEB FULL STACK 400</t>
  </si>
  <si>
    <t>Robinson Antonio Alzate Suaza</t>
  </si>
  <si>
    <t>Nelvic Kalet Rincon Lindarte</t>
  </si>
  <si>
    <t>Nicol Dayana Moreno Guzman</t>
  </si>
  <si>
    <t>Ebinson Ebinson Asprilla Berrio</t>
  </si>
  <si>
    <t>Anyis Milena Asprilla Berrio</t>
  </si>
  <si>
    <t xml:space="preserve">Yuly Marcela  Vargas  Vargas </t>
  </si>
  <si>
    <t>Dayana Katerine Castañeda Gomez</t>
  </si>
  <si>
    <t>Luis Miguel Alba Calvo</t>
  </si>
  <si>
    <t>Maybileni Vallejo Tobar</t>
  </si>
  <si>
    <t>Nicole Ariana Ospina Godoy</t>
  </si>
  <si>
    <t>DIP SEG LOG CIO INTER BASC VIR</t>
  </si>
  <si>
    <t>Yobany Perez  Salcedo</t>
  </si>
  <si>
    <t>Jesus Eduardo Bayona Nieto</t>
  </si>
  <si>
    <t>Anyela Arango Loango</t>
  </si>
  <si>
    <t>Dina Alejandra Hernandez Cifuentes</t>
  </si>
  <si>
    <t>Nicolas Javier Figueroa Villalobos</t>
  </si>
  <si>
    <t>Danna Katherin Carlosama Vargas</t>
  </si>
  <si>
    <t>Estefania Estefania Valencia Oyola</t>
  </si>
  <si>
    <t>Ingrid Nathalia Fajardo Roa</t>
  </si>
  <si>
    <t>Karen Jineth Poveda Alvarez</t>
  </si>
  <si>
    <t>MAESTRIA ADM DE EMPRES MBA VIR</t>
  </si>
  <si>
    <t>Angie Paola Rincon Prada</t>
  </si>
  <si>
    <t>Jessica Jessica Velasquez Gutierrez</t>
  </si>
  <si>
    <t>Cristian Fernando Ardila Gallo</t>
  </si>
  <si>
    <t>Rosa mireya Valiente  Sichaca</t>
  </si>
  <si>
    <t>Diana Patricia Ortega Consuegra</t>
  </si>
  <si>
    <t>Juliana Alexandra Lucero Ramos</t>
  </si>
  <si>
    <t>Yezehila Yezehila Ruiz Ortega</t>
  </si>
  <si>
    <t>Jose Francisco  sopo mendoza</t>
  </si>
  <si>
    <t>Jhon Estiven Quiroz Londoño</t>
  </si>
  <si>
    <t>Cristian Samir Paez Ariza</t>
  </si>
  <si>
    <t>sayulis Dayana Epieyu Epieyu</t>
  </si>
  <si>
    <t>HUMBERTO TRIANA RODRIGUEZ</t>
  </si>
  <si>
    <t>Dayanna Estefania Osorio Vallejo</t>
  </si>
  <si>
    <t>Daniela Daniela Cárdenas Castillo</t>
  </si>
  <si>
    <t>Jenyfer Jenyfer Sanchez Cordoba</t>
  </si>
  <si>
    <t>Sergio Esteban Espitia Maldonado</t>
  </si>
  <si>
    <t>Maria Camila Arenas Velasco</t>
  </si>
  <si>
    <t>Yorly Andrea Valois Murillo</t>
  </si>
  <si>
    <t>Eva Maria Narvaez Navarro</t>
  </si>
  <si>
    <t>Alba Milena Uribe Perez</t>
  </si>
  <si>
    <t xml:space="preserve">Duvan Felipe  Perez Cobos </t>
  </si>
  <si>
    <t>Vanessa Alexandra Novoa Plata</t>
  </si>
  <si>
    <t>William William Chacon Marentes</t>
  </si>
  <si>
    <t xml:space="preserve">Blanca Ilia Gonzalez </t>
  </si>
  <si>
    <t>Olga Maria Banda Mestra</t>
  </si>
  <si>
    <t>Gloria Yoeny Ruiz Silva</t>
  </si>
  <si>
    <t>Luz Helena Santos Florez</t>
  </si>
  <si>
    <t>Maria Jose Polo Herrera</t>
  </si>
  <si>
    <t>Andres Javier Copete Lopez</t>
  </si>
  <si>
    <t>Dayana Marcela Capera Mejia</t>
  </si>
  <si>
    <t>Maria Camila Rendon Castro</t>
  </si>
  <si>
    <t>Brenda Yarisel Ríos Bravo</t>
  </si>
  <si>
    <t>Yuly Marcela Botello Vasquez</t>
  </si>
  <si>
    <t>Luisa Fernanda Castaño Giraldo</t>
  </si>
  <si>
    <t>CODETEC</t>
  </si>
  <si>
    <t>Sandra Yadira Alfonso Prieto</t>
  </si>
  <si>
    <t>Vilma Del rosario Paternina Mogrovejo</t>
  </si>
  <si>
    <t>Luz Mery  Urmendez Hermida</t>
  </si>
  <si>
    <t>Barbara Maria Castro Palacio</t>
  </si>
  <si>
    <t>Maria elsa Buitrago  Cristancho</t>
  </si>
  <si>
    <t>Angie Paola Murillo Estacio</t>
  </si>
  <si>
    <t>Erika Erika Guarin Garcia</t>
  </si>
  <si>
    <t>Katerine Andrea Hoyos Miranda</t>
  </si>
  <si>
    <t>Lina Marcela Garcia Mateus</t>
  </si>
  <si>
    <t>Paula Daniela Carmona Cristancho</t>
  </si>
  <si>
    <t>Martha Inés Ojeda Diaz</t>
  </si>
  <si>
    <t>SEM AUDIT INTER ISO 45001:2018</t>
  </si>
  <si>
    <t>Kelly Marian Gomez Ramirez</t>
  </si>
  <si>
    <t>Paola Andrea Erazo Figueroa</t>
  </si>
  <si>
    <t>Maria Alejandra  Tovar  Corrales</t>
  </si>
  <si>
    <t>Rosa Rosa Bohorquez Bohorquez</t>
  </si>
  <si>
    <t>Diana Marcela Rojas Albarracin</t>
  </si>
  <si>
    <t>CURSO MOD DE GRADO INF VIRTUAL</t>
  </si>
  <si>
    <t>CUR MOD GRA ESP NEUROPS ED VIR</t>
  </si>
  <si>
    <t>WILLIAM HUMBERTO SANDOVAL ALVAREZ</t>
  </si>
  <si>
    <t xml:space="preserve">David  Herrera  Garzón </t>
  </si>
  <si>
    <t>Andrea Paola Parra Escobar</t>
  </si>
  <si>
    <t>Jimar Alexander Mosquera Diez</t>
  </si>
  <si>
    <t>Paula Dayana Garibello Meneses</t>
  </si>
  <si>
    <t>Eva Sandrith Ruiz  Berdugo</t>
  </si>
  <si>
    <t xml:space="preserve">FABIO ALEJANDRO  PARRA  RODRIGUZ </t>
  </si>
  <si>
    <t>Camilo Andres Montealegre Rodriguez</t>
  </si>
  <si>
    <t>PONAL</t>
  </si>
  <si>
    <t>MARY LUZ GUAYARA GUAYARA</t>
  </si>
  <si>
    <t>Nicolas Nicolas Barrera Hernández</t>
  </si>
  <si>
    <t xml:space="preserve">Yacellys Mirella  Caro  Davila </t>
  </si>
  <si>
    <t>José Guillermo Loaiza Sanchez</t>
  </si>
  <si>
    <t>Ivan Ramiro Bohorquez Caicedo</t>
  </si>
  <si>
    <t>Sandra Sandra Soler Garzón</t>
  </si>
  <si>
    <t>Karen  viviana Mejia Hernandez</t>
  </si>
  <si>
    <t>Filiphia Elena James Bryan</t>
  </si>
  <si>
    <t>Aliene Orduz Lopez</t>
  </si>
  <si>
    <t>Angel Humberto  Archila  Paez</t>
  </si>
  <si>
    <t>Yibeth Tatiana Rosas Asa</t>
  </si>
  <si>
    <t>Heidy Vanesa Belalcazar Cardenas</t>
  </si>
  <si>
    <t>Dorian Rafael Barrera Ruiz</t>
  </si>
  <si>
    <t>Paula Daniela Coy Castro</t>
  </si>
  <si>
    <t>Liceth Alejandra Saboyá Romero</t>
  </si>
  <si>
    <t>Gina Paola  Gomezaquira rodriguez</t>
  </si>
  <si>
    <t>Yacira Rocio Gomez Padilla</t>
  </si>
  <si>
    <t>Claudia Guzman Ayala</t>
  </si>
  <si>
    <t>Julieth Alexandra Castañeda Lozano</t>
  </si>
  <si>
    <t>Jasmin Jasmin Ramos Menza</t>
  </si>
  <si>
    <t xml:space="preserve">GARY ILICH   MERCHAN  MAESTRE </t>
  </si>
  <si>
    <t>Nancy Etelvina Fortich Casadiego</t>
  </si>
  <si>
    <t>Martha Elena Astudillo Trujillo</t>
  </si>
  <si>
    <t>Pablo Alberto Martinez Palomar</t>
  </si>
  <si>
    <t xml:space="preserve">Angie Yesenia  Lopera  Rodriguez </t>
  </si>
  <si>
    <t>Edison Javier Baquero Muñoz</t>
  </si>
  <si>
    <t>Ingrid Vanessa Mendoza Duarte</t>
  </si>
  <si>
    <t>Santiago Santiago Ardila Paiba</t>
  </si>
  <si>
    <t>Diego Fernando Bejarano Gonzalez</t>
  </si>
  <si>
    <t>Rosmira Flores Aragon</t>
  </si>
  <si>
    <t>Diana milena Rondón  Triana Rondón</t>
  </si>
  <si>
    <t>Tatiana Tatiana Sanchez Rodriguez</t>
  </si>
  <si>
    <t>Maria Camila Socha Guatame</t>
  </si>
  <si>
    <t>CURSO MOD GRAD GER FINANC VIRT</t>
  </si>
  <si>
    <t>Shadia Sharith Martinez Medina</t>
  </si>
  <si>
    <t>Kathleen Kathleen Rodriguez Rodriguez</t>
  </si>
  <si>
    <t>Mayerly Mayerly Peña Layton</t>
  </si>
  <si>
    <t>Wendy Yurany Ibañez Garcia</t>
  </si>
  <si>
    <t>Ana Isabel Bolaños Supelano</t>
  </si>
  <si>
    <t>Diana Carlina Lasso Carabali</t>
  </si>
  <si>
    <t>Lothar Andres Plata Perdomo</t>
  </si>
  <si>
    <t>OLGA LUZ VASQUEZ DAVILA</t>
  </si>
  <si>
    <t>LUZ BLEYDY BARON  BENITEZ</t>
  </si>
  <si>
    <t>Tatiana Tatiana Arboleda Zapata</t>
  </si>
  <si>
    <t>INGRID ZARZA ORTEGA</t>
  </si>
  <si>
    <t>Brandon Smith smith Rapalino Laguna</t>
  </si>
  <si>
    <t>Linis Paola Acevedo Anaya</t>
  </si>
  <si>
    <t>Jenny Alejandra Santamaria Martinez</t>
  </si>
  <si>
    <t>LUIS MIGUEL SALAZAR TORRES</t>
  </si>
  <si>
    <t>Paola Ximena Nieto Castillo</t>
  </si>
  <si>
    <t>Angie Stefania Polo De la cruz</t>
  </si>
  <si>
    <t>Elver Alfonso Orozco Sanchez</t>
  </si>
  <si>
    <t xml:space="preserve">diana carolina monzon  beltran </t>
  </si>
  <si>
    <t>CESAR ADNRES QUINCHE TRIANA</t>
  </si>
  <si>
    <t>Laura Valentina Tellez Chabur</t>
  </si>
  <si>
    <t>Giovany Alveiro Jimenez Suarez</t>
  </si>
  <si>
    <t>Betty Liliana Manjarres Ortiz</t>
  </si>
  <si>
    <t>Michael Norbey Tobon  Rojas</t>
  </si>
  <si>
    <t>Maria Jose Carreño Vargas</t>
  </si>
  <si>
    <t>Maria Alpina Cepeda Mendoza</t>
  </si>
  <si>
    <t>Hernando Hernando Sanabria Leon</t>
  </si>
  <si>
    <t>Lina Marcela González Sandoval</t>
  </si>
  <si>
    <t>David David Roa Narváez</t>
  </si>
  <si>
    <t>Juan Diego Urrutia Sanchez</t>
  </si>
  <si>
    <t>Diana Marcela Muñoz Garzon</t>
  </si>
  <si>
    <t>Yildreth Dahiana Sutachan Gomez</t>
  </si>
  <si>
    <t>Mayra Alejandra Rodriguez Cortes</t>
  </si>
  <si>
    <t>Angel Leonardo Parra Beltran</t>
  </si>
  <si>
    <t>Juan Pablo Espejo Becerra</t>
  </si>
  <si>
    <t>Dolly Margoth Uribe Trochez</t>
  </si>
  <si>
    <t>CARMELINA MICHELL GONZALEZ EPIEYU</t>
  </si>
  <si>
    <t>Miguel Andrés  Bermudez Moreno</t>
  </si>
  <si>
    <t>SANDRA LUCERO FLORES NOVA</t>
  </si>
  <si>
    <t>Nillere Nierto Diaz Diaz</t>
  </si>
  <si>
    <t>Elsa Janeth Fetecua Gomez</t>
  </si>
  <si>
    <t>Martha Milena Martinez Maturana</t>
  </si>
  <si>
    <t>Jorge Leonardo Aguilar Tique</t>
  </si>
  <si>
    <t>Julian Julian Larahundo Vergara</t>
  </si>
  <si>
    <t>ELSA IRENE BARRETO POLOCHE</t>
  </si>
  <si>
    <t>Maria Juliana Riaño Prieto</t>
  </si>
  <si>
    <t>Maria Francy Triana Caballero</t>
  </si>
  <si>
    <t>Eliana Patricia Henao Henao</t>
  </si>
  <si>
    <t xml:space="preserve">Yesenia  Perez  Sanchez </t>
  </si>
  <si>
    <t>Leidy Maria Gonzales Medina</t>
  </si>
  <si>
    <t>Bladimir Benito Rojas</t>
  </si>
  <si>
    <t>Deisy Johana Vela Rodas</t>
  </si>
  <si>
    <t>Luz Stephanye Rodríguez Muñoz</t>
  </si>
  <si>
    <t>Laurayianelle Laurayianelle Vasquez Sabogal</t>
  </si>
  <si>
    <t>Lenin Alfonso López Villa</t>
  </si>
  <si>
    <t>José David Agudelo Valencia</t>
  </si>
  <si>
    <t xml:space="preserve">Juan De Dios  Quintero  Garcia </t>
  </si>
  <si>
    <t>Bernardo Andres Gonzalez Solarte</t>
  </si>
  <si>
    <t>MAESTRIA ADMIN DE EMPRESAS MBA</t>
  </si>
  <si>
    <t>Elver Duvan Carriazo Restrepo</t>
  </si>
  <si>
    <t>Maria Anais Rodriguez Palacios</t>
  </si>
  <si>
    <t>Luisa Fernanda Cruz Jaramillo</t>
  </si>
  <si>
    <t>Mery Rodriguez Rodriguez</t>
  </si>
  <si>
    <t>LUIS EDUARDO URANGO HOYOS</t>
  </si>
  <si>
    <t>Ana Cecilia Huertas Paipa</t>
  </si>
  <si>
    <t>Luisa Fernanda Espinosa Carvajal</t>
  </si>
  <si>
    <t>Luis Eduardo Palma Castillo</t>
  </si>
  <si>
    <t>MARIA CAMILA ARCOS LOAIZA</t>
  </si>
  <si>
    <t>Carol Carol Coral Sanchez</t>
  </si>
  <si>
    <t>Jose Daniel Gallego Carvajal</t>
  </si>
  <si>
    <t>Patrick Antonio Ocampo Ruiz</t>
  </si>
  <si>
    <t>Lizeth Paola Ospina Sepulveda</t>
  </si>
  <si>
    <t>Camila Andrea López Guevara</t>
  </si>
  <si>
    <t>Ana Maria Aguirre Anacona</t>
  </si>
  <si>
    <t>Jhonner Arvey Garcia Mendez</t>
  </si>
  <si>
    <t>Juan Diego  Guarnizo  Martinez</t>
  </si>
  <si>
    <t>Edilexis Del carmen Bertel Genecco</t>
  </si>
  <si>
    <t>Angie Liced Ravelo Gomez</t>
  </si>
  <si>
    <t>Laura Margarita Jiménez Ramírez</t>
  </si>
  <si>
    <t>David Guillermo Mosquera Ortiz</t>
  </si>
  <si>
    <t>FONDO FEST-ATENEA</t>
  </si>
  <si>
    <t>Mónica Leonor Galeano Triana</t>
  </si>
  <si>
    <t>Juan David Sanchez Pinilla</t>
  </si>
  <si>
    <t>Juan Fernando Martinez Luna</t>
  </si>
  <si>
    <t>Juan Sebastian Chavez Pote</t>
  </si>
  <si>
    <t>Valentina Valentina Vivas Lopez</t>
  </si>
  <si>
    <t>nancy estela pedraza espitia</t>
  </si>
  <si>
    <t>Yamid Adneider Monsalve Aguirre</t>
  </si>
  <si>
    <t>Carlos Gómez Muñoz</t>
  </si>
  <si>
    <t>Gisella Susana Doria Nieto</t>
  </si>
  <si>
    <t>Natividad Natividad Cardenas Rojas</t>
  </si>
  <si>
    <t>Dayanna Esther Romero Uparela</t>
  </si>
  <si>
    <t>Yurleidys Yurleidys Eljach Salcedo</t>
  </si>
  <si>
    <t>Laura Vanesa Monsalve Bernal</t>
  </si>
  <si>
    <t>Luis David Ussa Fontecha</t>
  </si>
  <si>
    <t>Natalia Natalia Peña Claros</t>
  </si>
  <si>
    <t>ESP GERENCIA FINANCIERAV VIR</t>
  </si>
  <si>
    <t>Katherine Katherine Ballen Ramos</t>
  </si>
  <si>
    <t>CUR MOD GR ESP GES SAL PÚB VIR</t>
  </si>
  <si>
    <t>Catherine Catherine Toledo Gonzalez</t>
  </si>
  <si>
    <t>maria rubiola  noreña  hernandez</t>
  </si>
  <si>
    <t>edison patiño higuera</t>
  </si>
  <si>
    <t>Jorge Luis Malaver Moreno</t>
  </si>
  <si>
    <t>Diana Carolina Consuegra Prins</t>
  </si>
  <si>
    <t>Harold David Alonso Rojas</t>
  </si>
  <si>
    <t>Michel Valentina Garzon Espinosa</t>
  </si>
  <si>
    <t>Yarleisi Yarleisi Serna Romero</t>
  </si>
  <si>
    <t>Ediber Ediber Salamanca Arevalo</t>
  </si>
  <si>
    <t>Andrés Orlando Jaimes Ramírez</t>
  </si>
  <si>
    <t>Elizabeth Elizabeth Bran Gomez</t>
  </si>
  <si>
    <t>Kelly Fabiola Arboleda Cordoba</t>
  </si>
  <si>
    <t>Faiber Llanos Cardozo</t>
  </si>
  <si>
    <t>Valentina Valentina Ramos Lopez</t>
  </si>
  <si>
    <t>Flor Marina Ariza Ramirez</t>
  </si>
  <si>
    <t>Jhon Alexander Tapias Gonzalez</t>
  </si>
  <si>
    <t>Juan Eliezer Oñate Hernandez</t>
  </si>
  <si>
    <t>Jesus Alberto Quintero Palmet palmet</t>
  </si>
  <si>
    <t>Nicol Camila sanchez gordillo</t>
  </si>
  <si>
    <t>LUZ JANETH MOSQUERA  GOMEZ</t>
  </si>
  <si>
    <t>Tania Tania Ramirez Botero</t>
  </si>
  <si>
    <t>Camilo Andres Cruz Izaquita</t>
  </si>
  <si>
    <t>Alberto Sanchez Sanabria</t>
  </si>
  <si>
    <t>Jennifer Gomez Gomez</t>
  </si>
  <si>
    <t>CUR MOD GRADO GER PROYECT VIR</t>
  </si>
  <si>
    <t>Sandra Paola Montaño Montaño</t>
  </si>
  <si>
    <t>Karol Ximena Garcia Mora</t>
  </si>
  <si>
    <t>Yurley Mercedes Garcia Pascuas</t>
  </si>
  <si>
    <t>Laura Camila  Gomez Gutierrez</t>
  </si>
  <si>
    <t>Isabel Socha Bermudez</t>
  </si>
  <si>
    <t>Maria Fernanda Mutis Erazo</t>
  </si>
  <si>
    <t>Lorena Lorena Camacho Urrea</t>
  </si>
  <si>
    <t>Sary Gisella Martinez Dagua</t>
  </si>
  <si>
    <t>Carmen Patricia Escobar Funez</t>
  </si>
  <si>
    <t>María Camila Rodríguez Ramírez</t>
  </si>
  <si>
    <t xml:space="preserve">Jorge  Andrés  Poveda  Guerrero </t>
  </si>
  <si>
    <t>CUR MOD GR ESP INTEL ARTIF VIR</t>
  </si>
  <si>
    <t>Martha Leidy Gomez Padua</t>
  </si>
  <si>
    <t>Dilan Sebastián González Sánchez</t>
  </si>
  <si>
    <t>Erika Iyadalitl Arevalo Rodriguez</t>
  </si>
  <si>
    <t>Geraldine Geraldine Torres Araque</t>
  </si>
  <si>
    <t>Maria Jose Carrillo Meriño</t>
  </si>
  <si>
    <t>Delia Fernanda Muñoz Montoya</t>
  </si>
  <si>
    <t>Juan José López Gutierrez</t>
  </si>
  <si>
    <t>MARTHA LUCIA ALAPE PRADA</t>
  </si>
  <si>
    <t>Laura Isabel Moreno Téllez</t>
  </si>
  <si>
    <t>Yudith Cecilia Sanmartin Primera</t>
  </si>
  <si>
    <t>Santiago Santiago Gutiérrez Rojas</t>
  </si>
  <si>
    <t>Angel Eduardo Mendez Gamez</t>
  </si>
  <si>
    <t>Luis Emilio Sánchez Mosquera</t>
  </si>
  <si>
    <t>Ingrid Lorena Bustos Vega</t>
  </si>
  <si>
    <t>Jaider Esteban Ramirez Gonzalez</t>
  </si>
  <si>
    <t>May Alejandra Cuaspa Guala</t>
  </si>
  <si>
    <t>ESP. EN AUDIOLOGIA</t>
  </si>
  <si>
    <t>Cohorte 2</t>
  </si>
  <si>
    <t>Luis Carlos Bohórquez Montes</t>
  </si>
  <si>
    <t>Martha Andrea Arrieta Coronado</t>
  </si>
  <si>
    <t>Mónica Lorena  Montoya Quintero</t>
  </si>
  <si>
    <t>nidia  marlen  hernandes tosio</t>
  </si>
  <si>
    <t>Sirly Patricia Lagares Hoyos</t>
  </si>
  <si>
    <t>Alexander Sanchez Rondon</t>
  </si>
  <si>
    <t>Erick Yair Tellez Cuervo</t>
  </si>
  <si>
    <t>Alveiro Antonio Martinez Berrio</t>
  </si>
  <si>
    <t>FREDY ALEXANDER AREVALO GONZALEZ</t>
  </si>
  <si>
    <t>Ana Bertha Mozo De la rosa</t>
  </si>
  <si>
    <t>Luisa Fernanda Romero Parra</t>
  </si>
  <si>
    <t>Eliana María Silva Ramírez</t>
  </si>
  <si>
    <t>Jhonn Betancur Herrán</t>
  </si>
  <si>
    <t>Yolanda Serrano  Cely</t>
  </si>
  <si>
    <t>BOOTCAMP EN DISEÑO UX/UI VIR</t>
  </si>
  <si>
    <t>Yessi Fiorela Montaño Quiñones</t>
  </si>
  <si>
    <t>Flor Ibel Diaz Oviedo</t>
  </si>
  <si>
    <t>Andrea Carolina Pachon Hernandez</t>
  </si>
  <si>
    <t>Gabriela Gabriela Torres Ramos</t>
  </si>
  <si>
    <t>Tania Estefanía Vargas Suarez</t>
  </si>
  <si>
    <t>luz mayerly  beltran chitiva beltran  chitiva</t>
  </si>
  <si>
    <t>William Alexander Duran Sigua</t>
  </si>
  <si>
    <t>DIP GES RIES SEG Y SAL TRA VIR</t>
  </si>
  <si>
    <t>Jamer Jamith Muñoz Miranda</t>
  </si>
  <si>
    <t>Luisa Maria Ciro Posada</t>
  </si>
  <si>
    <t>Andrés Felipe Cardona Benjumea</t>
  </si>
  <si>
    <t>Yanela Neila Ramírez Cuero</t>
  </si>
  <si>
    <t>Angie Katherine Gonzalez Garcia</t>
  </si>
  <si>
    <t>Reynaldo  Garcia Rueda</t>
  </si>
  <si>
    <t>Laura Maria  Diaz Castro</t>
  </si>
  <si>
    <t>Heidy Heidy Ricardo Meriño</t>
  </si>
  <si>
    <t>Danna Camila Guerra Rincon</t>
  </si>
  <si>
    <t>Juan José Ortiz Ortiz</t>
  </si>
  <si>
    <t>Martza Martza Medina Liz</t>
  </si>
  <si>
    <t>Sandy Yasmin Galvis Galvis</t>
  </si>
  <si>
    <t>Paula Jessenia Gonzalez Contreras</t>
  </si>
  <si>
    <t>Luis Carlos Laurens Gutierrez</t>
  </si>
  <si>
    <t>Maria Celene Galeano Reinosa</t>
  </si>
  <si>
    <t>Danna Yadira Triana Serrato</t>
  </si>
  <si>
    <t>Monica Tatiana Lopez Sierra</t>
  </si>
  <si>
    <t>Deisy Sofia Gonzalez Vidal</t>
  </si>
  <si>
    <t>Maria Jose Rodriguez Martinez</t>
  </si>
  <si>
    <t>Zulma Angelica Paez Rodallega</t>
  </si>
  <si>
    <t>Francy Lorena Fernández Pacho</t>
  </si>
  <si>
    <t>Jhon Alejandro Herrera Pinzon</t>
  </si>
  <si>
    <t>Dayana Dayana Delgado Morales</t>
  </si>
  <si>
    <t xml:space="preserve">Danilo  Chaparro Rodriguez </t>
  </si>
  <si>
    <t>Leonor Maria Ospina Cardenas</t>
  </si>
  <si>
    <t>adys janeth  arteaga rodriguez</t>
  </si>
  <si>
    <t>Duban Enrique Arroyo Santos</t>
  </si>
  <si>
    <t>Yonathan Estiben Reyes Bolivar</t>
  </si>
  <si>
    <t>Ligia Monje Jimenez</t>
  </si>
  <si>
    <t>Paula Andrea Hernandez Velasquez</t>
  </si>
  <si>
    <t>Katerinne Katerinne Aranda Pacheco</t>
  </si>
  <si>
    <t>Fabian Almonacid Herrera</t>
  </si>
  <si>
    <t>Diana Marcela Daza Rodriguez</t>
  </si>
  <si>
    <t>YENY DAMARIS PINEDA LINARES</t>
  </si>
  <si>
    <t>Laura Carolina Beltran Quintero</t>
  </si>
  <si>
    <t xml:space="preserve">José Santos  Caicedo  Cabezas </t>
  </si>
  <si>
    <t>Hemel Isidro Landazábal Pérez</t>
  </si>
  <si>
    <t>Christian Giovanny Carreño Camacho</t>
  </si>
  <si>
    <t>Jimmi Ferney Ipia Ordoñez</t>
  </si>
  <si>
    <t>Marieth Yanina Martínez Ramírez</t>
  </si>
  <si>
    <t>Luisa Fernanda Rolong Rivera</t>
  </si>
  <si>
    <t>Julian Alberto Gomez Mendoza</t>
  </si>
  <si>
    <t>Yulizan Daniela Corpus Ibito</t>
  </si>
  <si>
    <t>LILIA ESTER CORDOBA DIAZ</t>
  </si>
  <si>
    <t>Joel Santiago Rangel Ayala</t>
  </si>
  <si>
    <t>Natalia Andrea Sanchez Albañez</t>
  </si>
  <si>
    <t>Julieth Viviana  Rodríguez Montaño</t>
  </si>
  <si>
    <t>Maria Alejandra  Agamez Martinez</t>
  </si>
  <si>
    <t>Laura Catalina Porras Corredor</t>
  </si>
  <si>
    <t>Salomon Salomon Erazo Ordoñez</t>
  </si>
  <si>
    <t>maria elsa cordoba chaves</t>
  </si>
  <si>
    <t>erica dalia garcia bonilla</t>
  </si>
  <si>
    <t>Arnold Amadi Diago Figueroa</t>
  </si>
  <si>
    <t>CARLOS OMAR ZAPATA ALVAREZ</t>
  </si>
  <si>
    <t>MARILUZ GONZALEZ MUÑOZ</t>
  </si>
  <si>
    <t>Maria Camila  Orrego  Zapata</t>
  </si>
  <si>
    <t>Nancy Esperanza Beltran Beltran</t>
  </si>
  <si>
    <t>Sebastián Sebastián Zarate Pinilla</t>
  </si>
  <si>
    <t>Dubis Del Pilar  Galindo Tete</t>
  </si>
  <si>
    <t>Miller Andres Ortiz Dagua</t>
  </si>
  <si>
    <t>Gustavo Adolfo Murillo Diaz</t>
  </si>
  <si>
    <t>Juan Sebastián Montoya Calvo</t>
  </si>
  <si>
    <t>CLARA INES  BARBOSA  GUTIERREZ</t>
  </si>
  <si>
    <t>Juan David Gras Diaz</t>
  </si>
  <si>
    <t>María Camila Garzón Forero</t>
  </si>
  <si>
    <t>JUAN DAVID  BOTACHE  LIS</t>
  </si>
  <si>
    <t>Andres Felipe Hernandez Sandoval</t>
  </si>
  <si>
    <t>Juan Sebastian Gomez Rondon</t>
  </si>
  <si>
    <t>ALVARO JOSE JIMENEZ CASTRO</t>
  </si>
  <si>
    <t>Liz Mariana  Vergara  Meza</t>
  </si>
  <si>
    <t>Angy Daniela Bastidas Cabrera</t>
  </si>
  <si>
    <t>Jhon Anderson Gallardo Camacho</t>
  </si>
  <si>
    <t>Yeison Leonel Ricaurte  Alvarez</t>
  </si>
  <si>
    <t>Kelin Yojana Cardenas Pamplona</t>
  </si>
  <si>
    <t>Katya Andrea Santodomingo Vizcaino</t>
  </si>
  <si>
    <t>José María  Díaz  Arias</t>
  </si>
  <si>
    <t>Jesus David Florez Salas</t>
  </si>
  <si>
    <t>Erick Dajiber Bermùdez Peña</t>
  </si>
  <si>
    <t>HOME BURGUERS</t>
  </si>
  <si>
    <t>Zuleyma Zuleyma Valecilla Ponce</t>
  </si>
  <si>
    <t>Francisco Hurtado Angulo</t>
  </si>
  <si>
    <t>Anderson Estick Ariza Torres</t>
  </si>
  <si>
    <t>Yobadis Yobadis Bello Mercado</t>
  </si>
  <si>
    <t>Miguel Angel Garcia Rubiano</t>
  </si>
  <si>
    <t xml:space="preserve">Johan Ricardo  Melo  Gonzalez </t>
  </si>
  <si>
    <t>Jeidy Vanesa Guzman Suarez</t>
  </si>
  <si>
    <t>Candelaria del Carmen Vergara Agamez</t>
  </si>
  <si>
    <t>SENA FUNCIONARIOS</t>
  </si>
  <si>
    <t>Alba Luz Baldosea Moreno</t>
  </si>
  <si>
    <t xml:space="preserve">ANA YOLANDA BUSTOS </t>
  </si>
  <si>
    <t>JOSEFINA ARANGO  FARFAN</t>
  </si>
  <si>
    <t>Carmelo Segundo Arrieta Quiroz</t>
  </si>
  <si>
    <t>Valentina Valentina Sanchez Orjuela</t>
  </si>
  <si>
    <t>BAYRON DAVID alonso montaño</t>
  </si>
  <si>
    <t>Viviana Yasmin Castaño Perez</t>
  </si>
  <si>
    <t>Cleidy Nicol Osorio Arango</t>
  </si>
  <si>
    <t>INGRID LORENA ACOSTA PRIETO</t>
  </si>
  <si>
    <t>Katherin Katherin Mora Cortes</t>
  </si>
  <si>
    <t>Doralys Sofia Cadavid Angel</t>
  </si>
  <si>
    <t>amanda  mosquera longa</t>
  </si>
  <si>
    <t>Juan Carlos Silva Angarita</t>
  </si>
  <si>
    <t>Zuleimi Esther Muñoz Rodriguez</t>
  </si>
  <si>
    <t>ANGELICA ANGELICA BERRIO SILGADO</t>
  </si>
  <si>
    <t>Zulma Catalina Peña Zerda</t>
  </si>
  <si>
    <t>Karen Tatiana Palencia Rivera</t>
  </si>
  <si>
    <t>WILMER MUÑOZ ROJAS</t>
  </si>
  <si>
    <t>David Alejandro Galeano Aguirre</t>
  </si>
  <si>
    <t>Juan Sebastián Domínguez García</t>
  </si>
  <si>
    <t>Leidy Yadira Arias Lopez</t>
  </si>
  <si>
    <t>Sadira Fernanda Penagos Jimenez</t>
  </si>
  <si>
    <t>Sindy Marcela Vargas Ramos</t>
  </si>
  <si>
    <t>LAURA CRISTIANA  ROJAS VILLAMIZAR</t>
  </si>
  <si>
    <t>Damian Esteban Patiño Gaona</t>
  </si>
  <si>
    <t>Aura Ruth  Borbón  Cipriam</t>
  </si>
  <si>
    <t>Karen Yineth Sánchez Pérez</t>
  </si>
  <si>
    <t>Alexey Andres Cucunuba Coronado</t>
  </si>
  <si>
    <t>Paula Andrea Polo Campo</t>
  </si>
  <si>
    <t>Janier Jesith Amaya Mejia</t>
  </si>
  <si>
    <t xml:space="preserve">ALEJANDRO RODRIGUEZ OSORIO </t>
  </si>
  <si>
    <t>Danys Patricia Beltran Pedroza</t>
  </si>
  <si>
    <t>Nathalia Andrea Aldana Ortiz</t>
  </si>
  <si>
    <t>Lindy Karina Rincón Avendaño</t>
  </si>
  <si>
    <t>Santiago Santiago Sanchez Hernandez</t>
  </si>
  <si>
    <t>Yeimar Julián Echavarría Cuello</t>
  </si>
  <si>
    <t>Paula Andrea Herrera Padilla</t>
  </si>
  <si>
    <t>Daniela Daniela Ramirez Loaiza</t>
  </si>
  <si>
    <t>Dally Del Morales Morales</t>
  </si>
  <si>
    <t>Sally Mileidy Santos Castillo</t>
  </si>
  <si>
    <t>INEDIE PEÑA CHEUCARAMA</t>
  </si>
  <si>
    <t>Lina Fernanda Camargo Marulanda</t>
  </si>
  <si>
    <t>Yarcony Mabel Sanchez Muñetonez</t>
  </si>
  <si>
    <t>Laura Marcela Gutierrez España</t>
  </si>
  <si>
    <t>Luz Angela Perea Ramirez</t>
  </si>
  <si>
    <t>Claudia Romaña  Hurtado</t>
  </si>
  <si>
    <t>Jose Alejandro  Varón Rodriguez</t>
  </si>
  <si>
    <t>Ibeth Maria Marquez Perez</t>
  </si>
  <si>
    <t>Karen Johanna Carmona Cortes</t>
  </si>
  <si>
    <t>William Jose Serge Navarro</t>
  </si>
  <si>
    <t>ESP INTELIGENC ARTIFICIAL VIR</t>
  </si>
  <si>
    <t>Karen Sofia Caro Correa</t>
  </si>
  <si>
    <t>CINTHIA REINEL LOPEZ</t>
  </si>
  <si>
    <t>Sonia Liliana Cuayal Cuayal</t>
  </si>
  <si>
    <t>Oscar Dwan Velosa Diaz</t>
  </si>
  <si>
    <t>Santiago Santiago Munera Florez</t>
  </si>
  <si>
    <t>Dayana Valentina Barrera Manios</t>
  </si>
  <si>
    <t xml:space="preserve">sindy  beleño  lerma </t>
  </si>
  <si>
    <t>Luisa Fernanda Acevedo Acevedo</t>
  </si>
  <si>
    <t>Darjhy Dajhana Pinzon Gonzalez</t>
  </si>
  <si>
    <t>Katherin Katherin Villadiego Balza</t>
  </si>
  <si>
    <t>Joseph Stevens Camacho Jimenez</t>
  </si>
  <si>
    <t>Ausberto Enrique Pertuz Miranda</t>
  </si>
  <si>
    <t>Judy Irene Vargas Núñez</t>
  </si>
  <si>
    <t>Luis Daniel Gonzalez Velasquez</t>
  </si>
  <si>
    <t>Dani Daniel Acevedo Avendaño</t>
  </si>
  <si>
    <t>Johan David Casallas Calderón</t>
  </si>
  <si>
    <t>Yenis Isabel Perea López</t>
  </si>
  <si>
    <t>Jonathan Jonathan Sánchez Bermúdez</t>
  </si>
  <si>
    <t>Nicole Andrea Rodriguez Gil</t>
  </si>
  <si>
    <t>Wendy Tatiana Aragon Pezzoti</t>
  </si>
  <si>
    <t>Carolai Paola Montes Gomez</t>
  </si>
  <si>
    <t>Elizabeth Elizabeth Montenegro Aguilar</t>
  </si>
  <si>
    <t>ANA LUCIA FUELAGAN FUELANTALA</t>
  </si>
  <si>
    <t>Laura Isabel Cuastumal Hidalgo</t>
  </si>
  <si>
    <t>FANY PADILLA SANCHEZ</t>
  </si>
  <si>
    <t xml:space="preserve">María Bernaldina Betancour  Perales </t>
  </si>
  <si>
    <t>Hanny Hanny Vargas Grajales</t>
  </si>
  <si>
    <t xml:space="preserve">Christian Giovanny  Martinez  Gonzalez </t>
  </si>
  <si>
    <t>Luis mariano Liñan  Fragozo</t>
  </si>
  <si>
    <t>Deissi Tatiana Quintero Quintana</t>
  </si>
  <si>
    <t>Johan Shirley Ramirez Herrera</t>
  </si>
  <si>
    <t>Mariana Mariana Doria Florez</t>
  </si>
  <si>
    <t>Miguel Angel  Hinestroza  Angulo</t>
  </si>
  <si>
    <t>Kelina Kelina Caicedo Cuero</t>
  </si>
  <si>
    <t>Brenda Tatiana Rincon Murillo</t>
  </si>
  <si>
    <t>Maria Nelssy Cubillos Melo</t>
  </si>
  <si>
    <t>Yeny Yeny Useche Salgado</t>
  </si>
  <si>
    <t>Karen Melissa Rios Uscategui</t>
  </si>
  <si>
    <t>Javier Javier Rivera Acosta</t>
  </si>
  <si>
    <t>Laura Alejandra Alonso Bello</t>
  </si>
  <si>
    <t>Luis Jorge Pedroza Silva</t>
  </si>
  <si>
    <t>Isabela Alejandra Monroy Ortiz</t>
  </si>
  <si>
    <t>Nataly Nataly Quiroga Loaiza</t>
  </si>
  <si>
    <t>Daniel Santiago Santana Rangel</t>
  </si>
  <si>
    <t>Maria Isabel Corredor Hernandez</t>
  </si>
  <si>
    <t>Juan Camilo Gañan Suarez</t>
  </si>
  <si>
    <t>Marlon Esneider Rivas Bonilla</t>
  </si>
  <si>
    <t xml:space="preserve">Estefanis pahola  Puerta  Garcia </t>
  </si>
  <si>
    <t>Yasaldis Yasaldis Arias Pabon</t>
  </si>
  <si>
    <t>Rosirys del Carmen  Polo  Luna</t>
  </si>
  <si>
    <t>ERNESTINA GAMBOA BLANDON</t>
  </si>
  <si>
    <t>Jean Carlo  Machuca  Ortiz</t>
  </si>
  <si>
    <t>Beidy Lizeth Monroy Espinosa</t>
  </si>
  <si>
    <t>Anyi Alexandra Narvaez Alvarez</t>
  </si>
  <si>
    <t>Marcela Campaña Quinisquin</t>
  </si>
  <si>
    <t>Leidy Dayana Tapasco Garcia</t>
  </si>
  <si>
    <t>JESSICA ALEJANDRA ARIAS VASQUEZ</t>
  </si>
  <si>
    <t>Jonathan De jesús Montoya Atehortua</t>
  </si>
  <si>
    <t>Natalia Natalia Correa Ortiz</t>
  </si>
  <si>
    <t>BOOT PRIME PASOS MARKT DIG VIR</t>
  </si>
  <si>
    <t>Juan Alejandro Ballesteros Parra</t>
  </si>
  <si>
    <t>Daniel Daniel Erazo Rodríguez</t>
  </si>
  <si>
    <t>Maria Camila Gaviria Echeverri</t>
  </si>
  <si>
    <t>Juan Carlos Mejia Sanchez</t>
  </si>
  <si>
    <t>Diogenes Ramirez Barrera</t>
  </si>
  <si>
    <t>samira  orozco  amaris</t>
  </si>
  <si>
    <t>Ivan Mario  Urueta  Gonzalez</t>
  </si>
  <si>
    <t>TATIANA PEREZ RIAÑO</t>
  </si>
  <si>
    <t>CUR MOD GR ESP AUDIT SALUD VIR</t>
  </si>
  <si>
    <t>Luz Tivisay Hurtado Montaño</t>
  </si>
  <si>
    <t>Benilda Benilda Rincon Peña</t>
  </si>
  <si>
    <t>Vanessa Alexandra Rangel Florez</t>
  </si>
  <si>
    <t>Edith Yolima Caballero Rubio</t>
  </si>
  <si>
    <t>Alixon Jahary Gordillo Acosta</t>
  </si>
  <si>
    <t>Margareth De Argel Cordero cordero</t>
  </si>
  <si>
    <t>Juan Esteban Rojas Cely</t>
  </si>
  <si>
    <t>Yisseth Camila Perez Oviedo</t>
  </si>
  <si>
    <t>Miguel Angel Paramo Caraballo</t>
  </si>
  <si>
    <t>Maria Paula Castañeda Cifuentes</t>
  </si>
  <si>
    <t>Cinthya Valentina Puentes Villalobos</t>
  </si>
  <si>
    <t>Angie Sofia Soto Polanco</t>
  </si>
  <si>
    <t>Juan Jose Castaño Ruiz</t>
  </si>
  <si>
    <t>Manuela Manuela Rojas Osorio</t>
  </si>
  <si>
    <t>Maria Jose Calderon Miranda</t>
  </si>
  <si>
    <t>Bernabe  Duarte  Angel</t>
  </si>
  <si>
    <t>Yarly Yarly Martinez Ballesteros</t>
  </si>
  <si>
    <t>Juan Giovanni Fonseca Plazas</t>
  </si>
  <si>
    <t>María Paula Borja Idrobo</t>
  </si>
  <si>
    <t>Caren Yulied Sichaca Carebuena</t>
  </si>
  <si>
    <t>Leydy Alexandra Porras Celis</t>
  </si>
  <si>
    <t>Maritza Maritza Trujillo Giraldo</t>
  </si>
  <si>
    <t>Robin Stiben Bernal Culma</t>
  </si>
  <si>
    <t>LUIS ALBERTO GARAY SANTOS</t>
  </si>
  <si>
    <t>Jessica Paola Bejarano Montealegre</t>
  </si>
  <si>
    <t>Arelis escobar dussan</t>
  </si>
  <si>
    <t>Sandra Milena Echeverri Perez</t>
  </si>
  <si>
    <t>Francy Enith Peñaloza Castañeda</t>
  </si>
  <si>
    <t>Ana María Hernández Hernández</t>
  </si>
  <si>
    <t>Adriana Maria Lopez Gonzalez</t>
  </si>
  <si>
    <t>Danna Julay Real Cifuente</t>
  </si>
  <si>
    <t xml:space="preserve">SONIA ESMERALDA RODRIGUEZ </t>
  </si>
  <si>
    <t>Juan Camilo Moreno Rincon</t>
  </si>
  <si>
    <t>EDGAR MAURICIO DIAZ PEÑA</t>
  </si>
  <si>
    <t>Jorge Hernan Ospina Duque</t>
  </si>
  <si>
    <t>Yeimmy Lorena Martinez Medina</t>
  </si>
  <si>
    <t>CURSO MOD GRADO GERE SEGUR VIR</t>
  </si>
  <si>
    <t>Martha Cecilia Medina Carrillo</t>
  </si>
  <si>
    <t>Karol Dayan Ramos Martinez</t>
  </si>
  <si>
    <t>Daniela Daniela Villamizar Cañas</t>
  </si>
  <si>
    <t>Daniel Esteban Bustamante Castillo</t>
  </si>
  <si>
    <t>BOOT DES WEB FUL STACK 400 VIR</t>
  </si>
  <si>
    <t>Yeferson Johan Orozco Garzon</t>
  </si>
  <si>
    <t>MARIA OLGA ESPITIA SANCHEZ</t>
  </si>
  <si>
    <t>María Fernanda Truque Ramírez</t>
  </si>
  <si>
    <t>MARIA JULIANA MOJICA FIGUERA</t>
  </si>
  <si>
    <t xml:space="preserve">MARIA SUSANA CARVAJAL </t>
  </si>
  <si>
    <t>Yulieth Stefanía Soriano Cristancho</t>
  </si>
  <si>
    <t>MARIA JOSE RODRIGUEZ RODRIGUEZ</t>
  </si>
  <si>
    <t>Omar Leonardo Freire Torres</t>
  </si>
  <si>
    <t>Xiomara Rosa Estrada Mora</t>
  </si>
  <si>
    <t>Daniel Andres Cardona Rodriguez</t>
  </si>
  <si>
    <t>Elizabeth Elizabeth Perez Valderrama</t>
  </si>
  <si>
    <t>Yamith Enrique Vasquez Acosta</t>
  </si>
  <si>
    <t>Diego Fernando Jimenez Laverde</t>
  </si>
  <si>
    <t>Wendy Vanesa Blanco Vargas</t>
  </si>
  <si>
    <t>Jessica Lorena Rincon Riveros</t>
  </si>
  <si>
    <t>Johan Santiago Pinzon Portuguez</t>
  </si>
  <si>
    <t>BRAYAN SNEYDER  RODRIGUEZ ARDILA</t>
  </si>
  <si>
    <t>Hayleth Hayleth Camacho Bautista</t>
  </si>
  <si>
    <t>Rafael Enrique Gomez Cogollo</t>
  </si>
  <si>
    <t xml:space="preserve">Modesto  Arraez Diaz </t>
  </si>
  <si>
    <t>Daniela Daniela Palacio Serna</t>
  </si>
  <si>
    <t>Luis Fernando Villegas Bravo</t>
  </si>
  <si>
    <t xml:space="preserve">Mercedez Victoria  Mejía Mendoza </t>
  </si>
  <si>
    <t>ANGIE PAOLA GONZALEZ VIUCHE</t>
  </si>
  <si>
    <t>Julian Santiago Velandia Preciado</t>
  </si>
  <si>
    <t>Laura Nicolle Cardenas Moncada</t>
  </si>
  <si>
    <t>BLANCA NUBIA  GIRALDO DE GOMEZ</t>
  </si>
  <si>
    <t>Sonia Sonia Rojas Triana</t>
  </si>
  <si>
    <t>Laura Laura Mosquera Navarro</t>
  </si>
  <si>
    <t>Yuleinys Paola Barliza Epieyu</t>
  </si>
  <si>
    <t>Betzabe Betzabe Amaya Romero</t>
  </si>
  <si>
    <t>Gisell Daniela Guerrero Doria</t>
  </si>
  <si>
    <t>Miladys Miladys García Torres</t>
  </si>
  <si>
    <t>Yeraldy Yeraldy Aguirre Tineo</t>
  </si>
  <si>
    <t>Maira Alejandra Moreno Londoño</t>
  </si>
  <si>
    <t>BETSABE SILVA OLARTE</t>
  </si>
  <si>
    <t>Alisson Nathalia Avila Rodriguez</t>
  </si>
  <si>
    <t>Richard Enrrique Valdez Blanquiceth</t>
  </si>
  <si>
    <t>Leiby Andrea Avellaneda  gomez</t>
  </si>
  <si>
    <t>Mónica Yulieth Londoño Florez</t>
  </si>
  <si>
    <t>Melanie Melanie Restrepo Sepulveda</t>
  </si>
  <si>
    <t>Luis Alberto  Quintero  Valencia</t>
  </si>
  <si>
    <t>JAIR RIASCOS CAMACHO</t>
  </si>
  <si>
    <t xml:space="preserve">Sonia Margarita Lobo Mora </t>
  </si>
  <si>
    <t>Luz Dary Martínez Vergara</t>
  </si>
  <si>
    <t>Maria Angélica Calderón Ramírez</t>
  </si>
  <si>
    <t>Margarita de jesus  Saavedra Porras</t>
  </si>
  <si>
    <t>Thalia Guisella Jimenez Hernandez</t>
  </si>
  <si>
    <t>Luz Adriana Arrieta Luna</t>
  </si>
  <si>
    <t>Maria Luisa Perez Gutierrez</t>
  </si>
  <si>
    <t>Yadiviz Yadiviz Cortazar Garcia</t>
  </si>
  <si>
    <t>Laura Giovanna Bolivar Gamez</t>
  </si>
  <si>
    <t>Dianis Sofia Manjarres Arteaga</t>
  </si>
  <si>
    <t>Freddy Alexander Castro Cabrera</t>
  </si>
  <si>
    <t>Luz Angela Chiguazuque Sanchez</t>
  </si>
  <si>
    <t>Angely Natalia Rodriguez Velandia</t>
  </si>
  <si>
    <t>Melvis Mercedes  Morales  Hernandez</t>
  </si>
  <si>
    <t>Adrian Felipe Rico Arango</t>
  </si>
  <si>
    <t>Mauricio Alexander Guerra Chavez</t>
  </si>
  <si>
    <t>Jerson Ernesto Angel Benavides</t>
  </si>
  <si>
    <t>Neidis María Guevara Conde</t>
  </si>
  <si>
    <t>Climaco  Aragon  Gamboa</t>
  </si>
  <si>
    <t>Katerin Yulieth Gallego Bedoy</t>
  </si>
  <si>
    <t>Alejhandro Euscategui Rivas</t>
  </si>
  <si>
    <t>Angela Paola Pinzón Castañeda</t>
  </si>
  <si>
    <t>Ricardo Leon Mejia Ibañez</t>
  </si>
  <si>
    <t>Gustavo Adolfo Mosquera Campos</t>
  </si>
  <si>
    <t>NINI JOHANNA URUEÑA PAPAMIJA</t>
  </si>
  <si>
    <t>Moises Moises Silva Florez</t>
  </si>
  <si>
    <t>Carlos Arturo Gomez Cardenas</t>
  </si>
  <si>
    <t>Miguel Angel  Fajardo Aga</t>
  </si>
  <si>
    <t>Greisy Matilde  Diaz Centeno</t>
  </si>
  <si>
    <t>Nicol Julieth Canchila Suárez</t>
  </si>
  <si>
    <t>Sayda Patricia Rentería Rivas</t>
  </si>
  <si>
    <t>Consuelo Consuelo Rojas Sarmiento</t>
  </si>
  <si>
    <t>Stefanny Lorena Carrero Valbuena valbuena</t>
  </si>
  <si>
    <t>Maria Elena Padilla Rincon</t>
  </si>
  <si>
    <t>Narly Del socorro Alvis Cabrera</t>
  </si>
  <si>
    <t>Maria Carmenza Giraldo  Campiño</t>
  </si>
  <si>
    <t>Helen Mariana Cuadros Gongora gongora</t>
  </si>
  <si>
    <t>Leidy Johana Maldonado Herrera</t>
  </si>
  <si>
    <t>Cristian Ricardo Castro Restrepo</t>
  </si>
  <si>
    <t>Laura Lizeth Mendez Huerfano</t>
  </si>
  <si>
    <t>Gustavo Adolfo Mendez Huerfano</t>
  </si>
  <si>
    <t>Lalita Sakhi dasi Guetio Villalba</t>
  </si>
  <si>
    <t>Yefrey Tanimuca Souza souza</t>
  </si>
  <si>
    <t>Daniela Alejandra De la Torre Medina</t>
  </si>
  <si>
    <t>Mauricio Mauricio Castañeda Avila</t>
  </si>
  <si>
    <t>Luz Esther Vega Pacheco</t>
  </si>
  <si>
    <t>Yuly Katherine Suescun Soto</t>
  </si>
  <si>
    <t>Nicolle Valentina Castillo Molano</t>
  </si>
  <si>
    <t>Daniel Andres Camayo Ambito</t>
  </si>
  <si>
    <t>Hernando Samuel  Barrios  Figueroa</t>
  </si>
  <si>
    <t>Isabela Isabela Gonzalez Diaz</t>
  </si>
  <si>
    <t>Maria Alejandra Porras Lievano</t>
  </si>
  <si>
    <t>Maria Jose Quiñones Valiente</t>
  </si>
  <si>
    <t>Carolina  Torres  Diaz</t>
  </si>
  <si>
    <t>Jeison Estiven Barba Leon</t>
  </si>
  <si>
    <t>Katherenne Ivanova Gonzalez Borrego</t>
  </si>
  <si>
    <t>Lennys Yuriani Garcia Arcos</t>
  </si>
  <si>
    <t>Jaime Alberto Zambrano Lagos</t>
  </si>
  <si>
    <t>José Tito Linares Urrego</t>
  </si>
  <si>
    <t>Daniela Daniela Rodriguez Bautista</t>
  </si>
  <si>
    <t>Laura Valentina Tunarrosa Bosa</t>
  </si>
  <si>
    <t>Yennifer Patricia  Vargas  Morelos</t>
  </si>
  <si>
    <t>Yebincy Yulieth Rodriguez Nuñez</t>
  </si>
  <si>
    <t>Juan David Peralta Martínez</t>
  </si>
  <si>
    <t>Julian Santiago Sanchez Muñoz</t>
  </si>
  <si>
    <t>Raul Orlando Garcia Pinzon</t>
  </si>
  <si>
    <t>Astrid Carolina Barrera Campo</t>
  </si>
  <si>
    <t>John Alejandro Gomez Umaña</t>
  </si>
  <si>
    <t>Astrid Costanza Bello Torres</t>
  </si>
  <si>
    <t>yasmile rossana fuentes urueta</t>
  </si>
  <si>
    <t>Brandon Jahir Cabra Bulla</t>
  </si>
  <si>
    <t>JORGE AURELIO  DELGADO DIAZ</t>
  </si>
  <si>
    <t>Deisy Gabriela Acosta Buesaquillo</t>
  </si>
  <si>
    <t>Wendy Daniela Bonilla Feria</t>
  </si>
  <si>
    <t>Jose Nestor Bernal Rozo</t>
  </si>
  <si>
    <t>Vivian Andrea Lopez De la pava</t>
  </si>
  <si>
    <t>Deisy Marcela Llano Arredondo</t>
  </si>
  <si>
    <t>jaime armando castro galvis</t>
  </si>
  <si>
    <t>Clara Isabel Suárez Cubides</t>
  </si>
  <si>
    <t>Maria Jose Sierra Santafe</t>
  </si>
  <si>
    <t>Andres Felipe Valderrama Gomez</t>
  </si>
  <si>
    <t>Karen Yurany Osorio Quevedo</t>
  </si>
  <si>
    <t>Jose David Pacheco Julio</t>
  </si>
  <si>
    <t>Jhoan Sebastian Rocha Martinez</t>
  </si>
  <si>
    <t>Alix Samanta  Serna Renteria</t>
  </si>
  <si>
    <t>EDNA LILIANA VARGAS PULIDO</t>
  </si>
  <si>
    <t>Carlos Manuel Arias Esparragoza</t>
  </si>
  <si>
    <t>Mirta Teresa Ojeda Alvarez</t>
  </si>
  <si>
    <t xml:space="preserve">Erika  Perdomo  Chingate </t>
  </si>
  <si>
    <t>maria catalina torres garces</t>
  </si>
  <si>
    <t xml:space="preserve">Leandro Jesús  Funez  Díaz </t>
  </si>
  <si>
    <t>Amparo beatriz guerra escobar</t>
  </si>
  <si>
    <t>Karina Marcela Avila De la rosa</t>
  </si>
  <si>
    <t>Estefany Madeleine Mancilla Ramos</t>
  </si>
  <si>
    <t>Karoll Natalia Montoya Zamudio</t>
  </si>
  <si>
    <t>Valeria  Rodríguez  galeano</t>
  </si>
  <si>
    <t>Isaura Maria Prieto Barrios</t>
  </si>
  <si>
    <t>Maira Alejandra Herrera Viloria</t>
  </si>
  <si>
    <t>Daniela Sofia Robles Contreras</t>
  </si>
  <si>
    <t>Maria Elena Ramos Cañon</t>
  </si>
  <si>
    <t>Alexandra Patricia Gonzalez Martinez</t>
  </si>
  <si>
    <t>Andrés Juan Quintero Riaño</t>
  </si>
  <si>
    <t>Jaime Albeiro Lopez Ovalle</t>
  </si>
  <si>
    <t>JOSE ALEJANDRO MEJIA CAMPO</t>
  </si>
  <si>
    <t>Johana Johana Tunubala Tunubala</t>
  </si>
  <si>
    <t>Sandra Milena Caldera Pinto</t>
  </si>
  <si>
    <t>VICTOR MANUEL  HERAZO PATIÑO</t>
  </si>
  <si>
    <t>CLAUDIA YAMILE  RUBIANO  AMORTEGUI</t>
  </si>
  <si>
    <t>Luisa Fernanda Villa Taborda</t>
  </si>
  <si>
    <t>JONATHAN SNEIDER CADENA RODRIGUEZ</t>
  </si>
  <si>
    <t>Jeinner Jeinner Álvarez Velasquez</t>
  </si>
  <si>
    <t>MARIBEL CARRANZA CHAPARRO</t>
  </si>
  <si>
    <t>Juan David Medina Chavez</t>
  </si>
  <si>
    <t>Mariela Mariela Mena Mosquera</t>
  </si>
  <si>
    <t>Eidy  Torres López</t>
  </si>
  <si>
    <t>Yosani Yosani Alvarez Moreno</t>
  </si>
  <si>
    <t>Madeline Madeline Landazuri Chavez</t>
  </si>
  <si>
    <t>Brayan Esteban Saavedra Espitia</t>
  </si>
  <si>
    <t>Manuel Carrascal Ramirez</t>
  </si>
  <si>
    <t>Nini Johanna Carabali Rodriguez</t>
  </si>
  <si>
    <t>Juan Sebastián Fajardo Ortegon</t>
  </si>
  <si>
    <t>Eduin Jessid  Uribe Delgado</t>
  </si>
  <si>
    <t>Maria Jose Tejada Caicedo</t>
  </si>
  <si>
    <t>Ludys Yanet Zapata Ruiz</t>
  </si>
  <si>
    <t>Deydis Deydis Robledo Padilla</t>
  </si>
  <si>
    <t>Yuli Marisol Sabogal Torres</t>
  </si>
  <si>
    <t>Stefania Stefania Gallego Duque</t>
  </si>
  <si>
    <t>Carlos Eduardo Morales Betancur betancur</t>
  </si>
  <si>
    <t>Carmen Josefa Luna Moreno</t>
  </si>
  <si>
    <t>Cristian Esteban Saavedra Espitia</t>
  </si>
  <si>
    <t>Paola Andrea Ramirez Valencia</t>
  </si>
  <si>
    <t>Jackeline Jackeline Solarte Mora</t>
  </si>
  <si>
    <t>Hernan Hernan Sigindioy Mavisoy</t>
  </si>
  <si>
    <t>Tania Marcela Pérez Pérez</t>
  </si>
  <si>
    <t>Deyanira Deyanira Florez Ssaa</t>
  </si>
  <si>
    <t>Gerardo Parada Perilla</t>
  </si>
  <si>
    <t>Carlos Fabian Olaya Garcia</t>
  </si>
  <si>
    <t>MARIA DEL ROSARIO  OJEDA DIAZ</t>
  </si>
  <si>
    <t>Marlon Davian Vasquez Sierra</t>
  </si>
  <si>
    <t>Daniela Daniela Ramirez Mateus</t>
  </si>
  <si>
    <t>MAEST AMBIEN DIGT EDUC VIR</t>
  </si>
  <si>
    <t>Nicolle Sofia Vela Hernández</t>
  </si>
  <si>
    <t>Johan Ricardo Quiroga Barbosa</t>
  </si>
  <si>
    <t>YEINY YULIETH VARGAS  GARCÍA</t>
  </si>
  <si>
    <t>MARICELA AGUILAR CHIQUILLO</t>
  </si>
  <si>
    <t>Helder Gustavo Lectamo Vivas</t>
  </si>
  <si>
    <t>Oscar Orlando Camacho Parra</t>
  </si>
  <si>
    <t>Daniel Alejandro Cuaspa Arellano</t>
  </si>
  <si>
    <t>BOOTCAMP DATA SCIENCE VIRT</t>
  </si>
  <si>
    <t>Guimer Arley Diaz Ibañez</t>
  </si>
  <si>
    <t>Luisa Fernanda Moreno Hernandez</t>
  </si>
  <si>
    <t>Ana Orfilia Ordoñez Castro</t>
  </si>
  <si>
    <t>Gustavo Adolfo Almanza Alfonso</t>
  </si>
  <si>
    <t>Juan Pablo Guerrero Patiño</t>
  </si>
  <si>
    <t>Denis Julieth Rodriguez Lopez lopez</t>
  </si>
  <si>
    <t>PATRICIA QUIÑONEZ MOLINA</t>
  </si>
  <si>
    <t>Juan Carlos Suarez Vanegas</t>
  </si>
  <si>
    <t>Martha Isabel  Morales  Gomez</t>
  </si>
  <si>
    <t xml:space="preserve">Leidy Dayana  Sánchez  Romero </t>
  </si>
  <si>
    <t xml:space="preserve">Francisco Junior  Miranda  Daza </t>
  </si>
  <si>
    <t>Lili Lili Silva Lavao</t>
  </si>
  <si>
    <t>Darwin Aurelio  Mendez Cubides</t>
  </si>
  <si>
    <t>Liliana Maria  Rodriguez Villegas</t>
  </si>
  <si>
    <t>Jacobo Jacobo Ramírez Hoyos</t>
  </si>
  <si>
    <t>MARIA ELSA GARCIA PEREZ</t>
  </si>
  <si>
    <t>Brigitte Zaray Ayala Jimenez</t>
  </si>
  <si>
    <t>Jeimmy Lorena Guzmán Castillo</t>
  </si>
  <si>
    <t>Wilson Javier Ruiz Perez</t>
  </si>
  <si>
    <t>Leivy Leivy Ramírez Rentería</t>
  </si>
  <si>
    <t>Sandro Santi Surmay Surmay</t>
  </si>
  <si>
    <t>Sonia Ines  Olachica  Ariza</t>
  </si>
  <si>
    <t>DIPLOMADO NIIF VIRTUAL</t>
  </si>
  <si>
    <t>Jannier Oliris Palacios Palacios</t>
  </si>
  <si>
    <t>HECTOR FABIAN MARROQUIN GALINDEZ</t>
  </si>
  <si>
    <t>Johan Nicolas Beltran Perez</t>
  </si>
  <si>
    <t>María Paula Díaz Marchena</t>
  </si>
  <si>
    <t>Luz Estela Rodríguez Bello</t>
  </si>
  <si>
    <t>Harold Edwin Ramos Rivera</t>
  </si>
  <si>
    <t>Maicol Andrés Arellán Arellán</t>
  </si>
  <si>
    <t>Laura Marcela Mesa Torres</t>
  </si>
  <si>
    <t>Sergio Stiven Perez Grijalba</t>
  </si>
  <si>
    <t xml:space="preserve">Jose eulises  zuñiga  Urrutia </t>
  </si>
  <si>
    <t>Luz Amanda Angulo Jaimes</t>
  </si>
  <si>
    <t>Norma Constanza García García</t>
  </si>
  <si>
    <t>Lina Zamanta Barrerra Barrerra</t>
  </si>
  <si>
    <t>Laureano  Casteblanco  Guzman</t>
  </si>
  <si>
    <t>Darcy Tatiana Cifuentes Ayala</t>
  </si>
  <si>
    <t>Yasmin Natalia Orjuela  Fonseca</t>
  </si>
  <si>
    <t>Gustavo Adoladolfo Castillo Figueroa</t>
  </si>
  <si>
    <t>Kennys Paola Suarez Rodriguez</t>
  </si>
  <si>
    <t>Carlos Jose Cardenas Arevalo</t>
  </si>
  <si>
    <t xml:space="preserve">Juan Mario Calderón  </t>
  </si>
  <si>
    <t>Heidy Johanna Buitrago Jimenez</t>
  </si>
  <si>
    <t>Jose Mario Chaverra Ramirez</t>
  </si>
  <si>
    <t>Liliana Andrea Arango Giraldo</t>
  </si>
  <si>
    <t>Johan Sebastian Rodriguez Garcia</t>
  </si>
  <si>
    <t>Rodrigo Rodrigo Silvestre Ortiz</t>
  </si>
  <si>
    <t>Betcy Alejandra Castro Veloza</t>
  </si>
  <si>
    <t>Yomaira Liz Florian Miranda</t>
  </si>
  <si>
    <t>Valeria Stefany Rojas Sánchez</t>
  </si>
  <si>
    <t>Cristian Javier Lara Gomez</t>
  </si>
  <si>
    <t xml:space="preserve">Gentil Malambo  Mendoza </t>
  </si>
  <si>
    <t>Maylett Carola Jay Hernandez</t>
  </si>
  <si>
    <t>Dimas Jesus Lambraño Solar</t>
  </si>
  <si>
    <t>Nevis de jesus Luna Peñate</t>
  </si>
  <si>
    <t>Deisy Patricia Morales Cañon</t>
  </si>
  <si>
    <t>OPC GR DES WEBFULLST SALUD VIR</t>
  </si>
  <si>
    <t>Carmen Cecilia Miranda Paniza</t>
  </si>
  <si>
    <t>SALVADOR ENRIQUE SANABRIA BERNAL</t>
  </si>
  <si>
    <t>Karen Alexandra García García</t>
  </si>
  <si>
    <t>Juan De jesus Vargas Riaño</t>
  </si>
  <si>
    <t>Harol Yesid Sanchez Cuervo</t>
  </si>
  <si>
    <t>Ginela Ginela Díaz Villamizar</t>
  </si>
  <si>
    <t>BENILDA ROSA VEGA  FRAGOSO</t>
  </si>
  <si>
    <t>Noris Noris Palacios Palacios</t>
  </si>
  <si>
    <t>Daniela Paola Díaz Tovar</t>
  </si>
  <si>
    <t>Osmiri del Carmen Canchila Dominguez</t>
  </si>
  <si>
    <t>Sandra Johanna Rodriguez Almario</t>
  </si>
  <si>
    <t>Andrea Natalia Piñeros Moreno</t>
  </si>
  <si>
    <t>Mercy Mercy Carranza Daza</t>
  </si>
  <si>
    <t>Rafael Antonio Polo Alvarez</t>
  </si>
  <si>
    <t>Martha Lucia Valderrama Perez</t>
  </si>
  <si>
    <t>Angie Andrea Vertel Baron</t>
  </si>
  <si>
    <t xml:space="preserve">JUAN DAVID  SUAREZ  HOYOS </t>
  </si>
  <si>
    <t>Ana María Garcia Supelano</t>
  </si>
  <si>
    <t>Maria Alejandra Vargas Perdomo</t>
  </si>
  <si>
    <t xml:space="preserve">Carlos Alberto  Isaza  Franco </t>
  </si>
  <si>
    <t>Andres Felipe Perez Perez</t>
  </si>
  <si>
    <t>Alvaro Segundo Vega Izquierdo</t>
  </si>
  <si>
    <t>Martha Luisa Dizu Corpus</t>
  </si>
  <si>
    <t xml:space="preserve">LEIDY LUCIA MORENO  PEÑA </t>
  </si>
  <si>
    <t>MARTHA LILIANA  PEDRAZA BARRETO</t>
  </si>
  <si>
    <t>Jheison Antonio  Peralta  Perez</t>
  </si>
  <si>
    <t>Mayra Alejandra Ortiz Calambas</t>
  </si>
  <si>
    <t>María  Ramirez  Ipuana</t>
  </si>
  <si>
    <t>Ingri Tatiana Pedraza Pinzon</t>
  </si>
  <si>
    <t>Carolina Carolina Garcia Montoya</t>
  </si>
  <si>
    <t>Samuel Alberto jose Martinez Hernandez</t>
  </si>
  <si>
    <t>Carolina Alzate Prada</t>
  </si>
  <si>
    <t>Olga milena Ardila Castillo</t>
  </si>
  <si>
    <t>Anilsa Milena Cuchimba Iquira</t>
  </si>
  <si>
    <t>Sary Esmeralda Guevara Gaitan</t>
  </si>
  <si>
    <t>Santiago Santiago Gallego Arboleda</t>
  </si>
  <si>
    <t>Yesica Paola Torres Benavides</t>
  </si>
  <si>
    <t>Leidy Gisell Manosalva Granados</t>
  </si>
  <si>
    <t>Angelica Maria Sanchez Ruiz</t>
  </si>
  <si>
    <t>Gabriel Alejandro Rincon Mejia</t>
  </si>
  <si>
    <t>JORGE ANDRES PRADA  MUR</t>
  </si>
  <si>
    <t>Martha Viviana Trujillo Martinez</t>
  </si>
  <si>
    <t>Ener Adolfo jose Cabana Gonzalez</t>
  </si>
  <si>
    <t>Aleida Aleida Cano Valenzuela</t>
  </si>
  <si>
    <t>Alys Juliet Carrascal Hernandez</t>
  </si>
  <si>
    <t>Yorledis Sofia Fuentes Humanez</t>
  </si>
  <si>
    <t>Hanks Hanks Pizarro Diaz</t>
  </si>
  <si>
    <t>Elianis Marcela Payares Valsa</t>
  </si>
  <si>
    <t>Cesar Andres Barreto Manuel</t>
  </si>
  <si>
    <t>Sindy Lorena jose Serrano Salazar</t>
  </si>
  <si>
    <t>Oscar Julian Borja Hincapie</t>
  </si>
  <si>
    <t>Flor Angela Castiblanco Castiblanco</t>
  </si>
  <si>
    <t>Lady Catalina Molina Ortiz</t>
  </si>
  <si>
    <t>Oscar Eduardo Cardona Rodriguez</t>
  </si>
  <si>
    <t>Adriana Carolina Cuero Quiñones</t>
  </si>
  <si>
    <t>Marla Patricia Nuñez Gonzalez</t>
  </si>
  <si>
    <t>Verónica  Ramírez  Blanco</t>
  </si>
  <si>
    <t>FLORENTINO MOSQUERA  ALUMA</t>
  </si>
  <si>
    <t>CAROLL DAYANNA CHEYENNE SERNA PUENTES</t>
  </si>
  <si>
    <t>Jeremy Nallip Herrera Hernandez</t>
  </si>
  <si>
    <t>Juan Guillermo  Ruiz Meza</t>
  </si>
  <si>
    <t>Neidy Johanna Riaño Romero</t>
  </si>
  <si>
    <t>Katherin Jojana Martinez Alvarez</t>
  </si>
  <si>
    <t>Yudith Yudith Palacios Palacios</t>
  </si>
  <si>
    <t>Diana Carolina Camargo Puin</t>
  </si>
  <si>
    <t>David Santiago Amaya Pulgarin</t>
  </si>
  <si>
    <t>MARLENY SINISTERRA LERMA</t>
  </si>
  <si>
    <t>Sabrina Sabrina Martenco Tovar</t>
  </si>
  <si>
    <t>Leonor Ibeth Jimenez Chiquillo</t>
  </si>
  <si>
    <t>Yerleni Yerleni Benavidez Zúñiga</t>
  </si>
  <si>
    <t>María Elena  Castrillo Matute</t>
  </si>
  <si>
    <t>Zulma Alejandra Saavedra Malaver</t>
  </si>
  <si>
    <t>Elvia del Socorro Martinez Villadiego</t>
  </si>
  <si>
    <t>Leidy Dayana Zambrano Rodriguez</t>
  </si>
  <si>
    <t>Geraldine Geraldine Jalilie Gomez</t>
  </si>
  <si>
    <t>Keyder Manuel Cabezas Cortes</t>
  </si>
  <si>
    <t>Luz Yanile Moreno Peña</t>
  </si>
  <si>
    <t>Tashany Clarita Dawkins Mitchell</t>
  </si>
  <si>
    <t>Elmer Leonardo Cabezas Cortes</t>
  </si>
  <si>
    <t>William Esneyder Cañon Simbaqueva</t>
  </si>
  <si>
    <t>Mario Fernando Bueno Sanchez</t>
  </si>
  <si>
    <t>Diego Andres Timana Sanchez</t>
  </si>
  <si>
    <t>Daniella Daniella Avendano Lung</t>
  </si>
  <si>
    <t>Luis Alberto Villamizar Vergara</t>
  </si>
  <si>
    <t>Fabián Andrés Cárdenas Martín</t>
  </si>
  <si>
    <t>Wilmer Wilmer Palacios Palacios</t>
  </si>
  <si>
    <t>Paula Nathalia Angulo Aguilera</t>
  </si>
  <si>
    <t>Libardo Libardo Montilla Vargas</t>
  </si>
  <si>
    <t>Desiret Katherine Garzon Avila</t>
  </si>
  <si>
    <t>Kelly Lucía Fuenmayor Castro</t>
  </si>
  <si>
    <t>Kevin Santiago García Martínez</t>
  </si>
  <si>
    <t xml:space="preserve">juaquin andres cuestas  pulido </t>
  </si>
  <si>
    <t>Diego Fernando Leon Porras</t>
  </si>
  <si>
    <t>Maria Alejandra Culma Castañeda</t>
  </si>
  <si>
    <t>Olga Patricia Arteta Morales</t>
  </si>
  <si>
    <t>Jose Antonio Miranda Martinez</t>
  </si>
  <si>
    <t>Miguel Angel Moran Rodriguez</t>
  </si>
  <si>
    <t>BOOT DES WEB FUL STACK 400 ONL</t>
  </si>
  <si>
    <t>Nicolas Stiven Garcia Ardila</t>
  </si>
  <si>
    <t>Maritza Maritza Torres Caceres</t>
  </si>
  <si>
    <t>Anderson David Polo Galindo</t>
  </si>
  <si>
    <t>Rosa Deiby Agualimpia Caicedo</t>
  </si>
  <si>
    <t>Jessica Paola Saldaña Enciso</t>
  </si>
  <si>
    <t>Maria Camila Diaz Zabaleta</t>
  </si>
  <si>
    <t xml:space="preserve">Mónica Yuliet Ricardo  Barragán </t>
  </si>
  <si>
    <t>Aleydy Aleydy Lotta Piratova</t>
  </si>
  <si>
    <t>Jairo Jairo Ibarbo Sanchez</t>
  </si>
  <si>
    <t>Sara Sara Yepes Ramirez</t>
  </si>
  <si>
    <t>Jazbleydy Jazbleydy Saenz Barreto</t>
  </si>
  <si>
    <t>Ana Maria López Castillo</t>
  </si>
  <si>
    <t>David Nicolas Charris Chacon</t>
  </si>
  <si>
    <t>Diani Lorena Afanadoor Gutierrez</t>
  </si>
  <si>
    <t>Federico Rodriguez Avilez Avilez</t>
  </si>
  <si>
    <t xml:space="preserve">Maria Lucia Maldonado  Suarez </t>
  </si>
  <si>
    <t>Ivan Dario Muñoz  Martínez</t>
  </si>
  <si>
    <t>maria etelvina castañeda salcedo</t>
  </si>
  <si>
    <t>Jorge Leonardo  Suarez  Zuleta</t>
  </si>
  <si>
    <t>Wilmer Daniel  Navas  Gonzalez</t>
  </si>
  <si>
    <t>Camilo Andres Rodriguez Méndez</t>
  </si>
  <si>
    <t>Daniela Daniela González González</t>
  </si>
  <si>
    <t>Yan Carlos carlos Morales German</t>
  </si>
  <si>
    <t>Angelica  Monroy Capera</t>
  </si>
  <si>
    <t>Arnulfo Arnulfo Cardosi Julio</t>
  </si>
  <si>
    <t>Francisco Javier Bernal Romero</t>
  </si>
  <si>
    <t>EDWIN BUITRAGO CORTES</t>
  </si>
  <si>
    <t>Sol Marys Zabaleta Ospino</t>
  </si>
  <si>
    <t>Hugo Arley Huertas Huertas</t>
  </si>
  <si>
    <t>Jose Miguel Cardenas Diaz</t>
  </si>
  <si>
    <t>Giovanni Andres Herrera  Ballesteros</t>
  </si>
  <si>
    <t>Vilma Nidya Mateus Virguez</t>
  </si>
  <si>
    <t>Jeisson Martin Perdigon Ramirez</t>
  </si>
  <si>
    <t>Laura Victoria Rodriguez Buitrago</t>
  </si>
  <si>
    <t>Miguel Adolfo  Osorio  Manotas</t>
  </si>
  <si>
    <t xml:space="preserve">Marino Andrés  López  Osorio </t>
  </si>
  <si>
    <t>oscar fernando ramos benavides</t>
  </si>
  <si>
    <t>Luisa Fernanda Carrasco Fandiño</t>
  </si>
  <si>
    <t>Isabel  Uparela Guzman</t>
  </si>
  <si>
    <t>Victor Alfonso Rocha Acuña</t>
  </si>
  <si>
    <t>Sandra Patricia Reyes Zipacon</t>
  </si>
  <si>
    <t>Kevin Alexander Lugos Cataño</t>
  </si>
  <si>
    <t>Karen Viviana Vacca Parra</t>
  </si>
  <si>
    <t>Ingrid Paola Ayala Ocampo</t>
  </si>
  <si>
    <t>Yobana Karina Peña Mestra</t>
  </si>
  <si>
    <t>Ana Lorena  Palencia Bernal</t>
  </si>
  <si>
    <t>Kenneth Fernando Restrepo Hernandez</t>
  </si>
  <si>
    <t>Tania Alejandra Osorio Piñeros</t>
  </si>
  <si>
    <t xml:space="preserve">Olga Lucia Lozada </t>
  </si>
  <si>
    <t xml:space="preserve">Cristian  Gómez  Rodero </t>
  </si>
  <si>
    <t>Laura Stefany Abreu Martinez</t>
  </si>
  <si>
    <t>Leidy Mariana Mongui Vargas</t>
  </si>
  <si>
    <t>Karhol Slendy Orduña Rodríguez</t>
  </si>
  <si>
    <t>Jenyfer Dayana Laverde Clavijo</t>
  </si>
  <si>
    <t>Samuel Esteban Martinez Paz</t>
  </si>
  <si>
    <t>Amelia Isela Hernandez Vega</t>
  </si>
  <si>
    <t>yanice  Gutierrez  Gutierrez</t>
  </si>
  <si>
    <t>Mariana Mariana Niño Valencia</t>
  </si>
  <si>
    <t>Diana Sirley Salinas Burbano</t>
  </si>
  <si>
    <t>Johana Johana Ruiz Morales</t>
  </si>
  <si>
    <t>Jessika Lorena Murcia Pineda</t>
  </si>
  <si>
    <t>César Felipe Betancourt Hernández</t>
  </si>
  <si>
    <t xml:space="preserve">Johan Andrés  Pascuas  Campos </t>
  </si>
  <si>
    <t>Karina Karina Cordoba Palma</t>
  </si>
  <si>
    <t>Flor Marlene Cardenas Sanchez</t>
  </si>
  <si>
    <t>Wendy Sofia Bejarano Castillo</t>
  </si>
  <si>
    <t>TATIANA MARTINEZ BOHORQUEZ</t>
  </si>
  <si>
    <t>Sandra Rodriguez Guevara</t>
  </si>
  <si>
    <t>Sebastian Andres Amaya Huerfano</t>
  </si>
  <si>
    <t>Nicol Patricia Mena Mosquera</t>
  </si>
  <si>
    <t>Sandra Milena Mena Castro</t>
  </si>
  <si>
    <t>Dayana Stephany Benitez Guevara</t>
  </si>
  <si>
    <t>LAURA SOFIA HERNANDEZ CUERVO</t>
  </si>
  <si>
    <t>Darlin Cristina Peña Rojas</t>
  </si>
  <si>
    <t>NICOLAS  TUMAY  REYES</t>
  </si>
  <si>
    <t>Yadira Girleza Tequia Chavarro</t>
  </si>
  <si>
    <t>Yulieth Marcela Quevedo Torres</t>
  </si>
  <si>
    <t>Maria Paz Cala Orozco</t>
  </si>
  <si>
    <t>Vanessa Diaz Valdelamar</t>
  </si>
  <si>
    <t>Maira Alejandra Rodriguez Sisa</t>
  </si>
  <si>
    <t>Ligia Mireya  Montañez Duarte</t>
  </si>
  <si>
    <t>Marly Gisel Boyaca Quemba</t>
  </si>
  <si>
    <t xml:space="preserve">Sixto Ubadel  Atencia Perez </t>
  </si>
  <si>
    <t>Julian Camilo Vargas Quintero</t>
  </si>
  <si>
    <t>Jenny Paola Puentes Rodriguez</t>
  </si>
  <si>
    <t>Mario Luis Arriola Salgado</t>
  </si>
  <si>
    <t xml:space="preserve">Juan de Jesus  Gonzalez  Salcedo </t>
  </si>
  <si>
    <t>Rafael Rafael Jaimes Velasquez</t>
  </si>
  <si>
    <t>Dolly Yiseth Carrero Londoño</t>
  </si>
  <si>
    <t>Elizabeth Elizabeth Barragan Ruiz</t>
  </si>
  <si>
    <t>Camila Andrea Acosta Diaz</t>
  </si>
  <si>
    <t>Maria Delia Burgos Burgos</t>
  </si>
  <si>
    <t>Duvan Felipe Ortega Sierra</t>
  </si>
  <si>
    <t>Julieth Tatiana Hernández Rubio</t>
  </si>
  <si>
    <t>Maria Alejandra Perdomo Chavarro</t>
  </si>
  <si>
    <t>Tania Valentina Martínez Gutierrez</t>
  </si>
  <si>
    <t>Layne Delacandelaria Muñoz Acosta</t>
  </si>
  <si>
    <t>Fabian Andres Milian Fuentes</t>
  </si>
  <si>
    <t>Diego Rafael Martinez Gutierrez</t>
  </si>
  <si>
    <t>Oscar Arturo Mosquera Florez</t>
  </si>
  <si>
    <t>Yeisi Yeisi Murillo Mena</t>
  </si>
  <si>
    <t xml:space="preserve">Ronald Yesid  Hernandez  Herrera </t>
  </si>
  <si>
    <t>Marin Marin Rodriguez Correa</t>
  </si>
  <si>
    <t>Nicolas Daniel Torres  Niño</t>
  </si>
  <si>
    <t>JUAN DAVID GONZALEZ YARA</t>
  </si>
  <si>
    <t>Kelly Jhojana Agredo Villamil</t>
  </si>
  <si>
    <t>DIP GEST DE TALENTO HUMANO VIR</t>
  </si>
  <si>
    <t>Martha Lucía Vizcaino  Castillo</t>
  </si>
  <si>
    <t>Edwin Ivan Villa Cardenas</t>
  </si>
  <si>
    <t>Jorge Leonardo Daza Hinojosa</t>
  </si>
  <si>
    <t>Karen Dayana Monroy Gil</t>
  </si>
  <si>
    <t>ELIECER MIGUEL RIVEIRA VELILLA</t>
  </si>
  <si>
    <t>Ricardo Andres  Castrillon  Ramirez</t>
  </si>
  <si>
    <t>jacqueline otero vega</t>
  </si>
  <si>
    <t>Nelly Edith Patiño Cano</t>
  </si>
  <si>
    <t>Rafael Rafael Arias Mabesoy</t>
  </si>
  <si>
    <t>Eliecer David Diaz Arroyo</t>
  </si>
  <si>
    <t>Andrea Cecilia Chávez López</t>
  </si>
  <si>
    <t>Sergio Mauricio Blanco Ramirez</t>
  </si>
  <si>
    <t>SANDRA MILENA   SEPULVEDA CASTILLO</t>
  </si>
  <si>
    <t xml:space="preserve">Wilson Arbey  Pérez  Cuetochambo </t>
  </si>
  <si>
    <t>Zaida Zaida Lopez Romero</t>
  </si>
  <si>
    <t>Andres Ricardo Sanchez Ojeda</t>
  </si>
  <si>
    <t>Laura Alejandra Gonzalez Torres</t>
  </si>
  <si>
    <t>Amelia Aladino Diaz</t>
  </si>
  <si>
    <t>Laura Alejandra Mañosca Abella</t>
  </si>
  <si>
    <t>Ninfa Paola Peña Triana</t>
  </si>
  <si>
    <t>ORLANDO ALBERTO TIRADO  GONZALEZ</t>
  </si>
  <si>
    <t>Cesar Augusto Hernandez Velasquez</t>
  </si>
  <si>
    <t xml:space="preserve">Camilo Antonio  Ortega  Velasco </t>
  </si>
  <si>
    <t>Victoria  Trujillos  Rios</t>
  </si>
  <si>
    <t>Dahayanna Marsella Muñoz Garcia</t>
  </si>
  <si>
    <t>Laura Natalia Quintana Beltran</t>
  </si>
  <si>
    <t>Juan Sebastian Alzate Valencia</t>
  </si>
  <si>
    <t>Carina Astrid Castiblanco Rodríguez</t>
  </si>
  <si>
    <t>Gladys Maria Osorio Imitola</t>
  </si>
  <si>
    <t>Raul De jesus Fuentes Rodriguez</t>
  </si>
  <si>
    <t>Maria Jose Peñata Perez</t>
  </si>
  <si>
    <t>Kristian Andrés Marín Molina</t>
  </si>
  <si>
    <t>Hector Arturo Monroy Gonzalez</t>
  </si>
  <si>
    <t>Isabel Maria Smith Ojeda</t>
  </si>
  <si>
    <t>Natalia Natalia Mendoza Causado</t>
  </si>
  <si>
    <t>Huber jaider Muñoz Muñoz</t>
  </si>
  <si>
    <t>MARTHA CECILIA  PEÑA AGUIRRE</t>
  </si>
  <si>
    <t>Lina Veronica Candela Garcia</t>
  </si>
  <si>
    <t>ANA MARIA MARTINEZ CARDENAS</t>
  </si>
  <si>
    <t>Jhon Alexander Bastidas Molano</t>
  </si>
  <si>
    <t>Yirlean Yirlean Montiel Velandia</t>
  </si>
  <si>
    <t xml:space="preserve">Olga Esperanza Rodriguez </t>
  </si>
  <si>
    <t>Ana Aired Gómez Gómez</t>
  </si>
  <si>
    <t>Jaime Jaime Marin Dueñas</t>
  </si>
  <si>
    <t>Oscar Mauricio  Gutierrez  Escobar</t>
  </si>
  <si>
    <t>Luis Alfredo Vertel Alvis</t>
  </si>
  <si>
    <t>Michell Michell Herrera Monsalve</t>
  </si>
  <si>
    <t>Juan Sebastian Cespedes Esquivel</t>
  </si>
  <si>
    <t>fernanado bernal orduz</t>
  </si>
  <si>
    <t>Brenda Valentina Santafe Ortega</t>
  </si>
  <si>
    <t>Willfer Anderson Agudelo Castañeda</t>
  </si>
  <si>
    <t>Yuliza Alejandra Perdomo Parra</t>
  </si>
  <si>
    <t>Isabella Isabella Useche Ocampo</t>
  </si>
  <si>
    <t>Yerson Duvan Angel Garzon</t>
  </si>
  <si>
    <t>César Alfonso alfonso Sáez Polo</t>
  </si>
  <si>
    <t>Juan Esteban Torres Montoya</t>
  </si>
  <si>
    <t xml:space="preserve">Alejandra  Acevedo  Angarita </t>
  </si>
  <si>
    <t>Dary Yadira Rubiano Holguin</t>
  </si>
  <si>
    <t>Diana Carolina Paez Duran</t>
  </si>
  <si>
    <t>Angel Jesus Guevara Saltarin</t>
  </si>
  <si>
    <t xml:space="preserve">Henry Antonio Asprilla </t>
  </si>
  <si>
    <t>NANCY ELIZABETH CANTOR BELTRAN</t>
  </si>
  <si>
    <t>Luisa Fernanda Benitez Arias</t>
  </si>
  <si>
    <t>Michelle Dayana Agudelo Mejia</t>
  </si>
  <si>
    <t>Blanca Dalila Molina Gomez</t>
  </si>
  <si>
    <t>Yohelis María  Vides Morales</t>
  </si>
  <si>
    <t>YEICO ALFREDO VALDEZ PAUTT</t>
  </si>
  <si>
    <t xml:space="preserve">Luigi Enrique Garcia  Gomez </t>
  </si>
  <si>
    <t>Yeider Zahovic Franco Franco</t>
  </si>
  <si>
    <t xml:space="preserve">maricel  moreno moreno </t>
  </si>
  <si>
    <t>Jhoann Sebastian  Rincón Contreras</t>
  </si>
  <si>
    <t>Johnatan Julian Llanos Herrera</t>
  </si>
  <si>
    <t>Daniela Daniela Neira Zutta</t>
  </si>
  <si>
    <t>Angie Lizeth Herrera Martin</t>
  </si>
  <si>
    <t>Tatiana Andrea Ceron Quiceno</t>
  </si>
  <si>
    <t>María Inmaculada Sanjuan Escobar</t>
  </si>
  <si>
    <t>Osmany Helena Ardila Araque</t>
  </si>
  <si>
    <t>Carmenza Buitrago Lozano</t>
  </si>
  <si>
    <t>MARTHA CECILIA CARRILLO ÑUSTES</t>
  </si>
  <si>
    <t>Jofre Alirio Muñoz  Perez</t>
  </si>
  <si>
    <t>Geraldine Galeano Higgins</t>
  </si>
  <si>
    <t>Wilson Yonnel Ramirez Bernal</t>
  </si>
  <si>
    <t>Dina Vanessa Castro Ortiz</t>
  </si>
  <si>
    <t>johan andres  pinto cortes</t>
  </si>
  <si>
    <t>Claudia Milena Sanchez Duarte</t>
  </si>
  <si>
    <t>David Santiago Cucaita Castro</t>
  </si>
  <si>
    <t>Javier José  Rangel Agua</t>
  </si>
  <si>
    <t>Aldair Alberto Bastidas Lopez</t>
  </si>
  <si>
    <t>Jesus Antonio Quintana Gafaro</t>
  </si>
  <si>
    <t xml:space="preserve"> CRISTIAN ALEXANDER  MEJÍA   ALVAREZ</t>
  </si>
  <si>
    <t>Luis Armando Cardenas González</t>
  </si>
  <si>
    <t>Irma Lucia Parra Camacho</t>
  </si>
  <si>
    <t>Yorksadan Yorksadan Sanchez Quina</t>
  </si>
  <si>
    <t>Samir Andres Cardozo Vesga</t>
  </si>
  <si>
    <t>Daniela Daniela Nieto Daza</t>
  </si>
  <si>
    <t>Juan Felipe Cubillos Prado</t>
  </si>
  <si>
    <t>Luis Aderly  Peña   Ortega</t>
  </si>
  <si>
    <t>Henry ricardo Cipagauta Bonilla</t>
  </si>
  <si>
    <t>Loren Andreina Lopez Caceres</t>
  </si>
  <si>
    <t>Alejandra Alejandra Ochoa Benavides</t>
  </si>
  <si>
    <t>Claudia Claudia Mosquera Rodríguez</t>
  </si>
  <si>
    <t xml:space="preserve">Carime luz  Gutiérrez  Moreno </t>
  </si>
  <si>
    <t>Rosario del Carmen Garcia Montalvo</t>
  </si>
  <si>
    <t>Jakeline Andrea Rozo Santacruz</t>
  </si>
  <si>
    <t>Angie Tatiana tatiana Sierra Clavijo</t>
  </si>
  <si>
    <t>Harrison Andrey Lombana Cajica</t>
  </si>
  <si>
    <t>Angie Daian Melo Ríos</t>
  </si>
  <si>
    <t>Juan Manuel Ariza Fontalvo</t>
  </si>
  <si>
    <t xml:space="preserve">Sharay Alexandra  Muñoz  González </t>
  </si>
  <si>
    <t>Maria Fernanda Diaz Quintero</t>
  </si>
  <si>
    <t>Ketty De jesus Noratto Sierra</t>
  </si>
  <si>
    <t>Marisol Marisol Hincapie Garcia</t>
  </si>
  <si>
    <t>Nancy Jacqueline Lopez Villamizar</t>
  </si>
  <si>
    <t>Maria Isabel  Pineda Pineda</t>
  </si>
  <si>
    <t>Fabian Ernesto  Rivera Martinez</t>
  </si>
  <si>
    <t>Lineth Maria Pacheco Luna</t>
  </si>
  <si>
    <t>Lucas Cruz Garavito</t>
  </si>
  <si>
    <t xml:space="preserve">Yennifer Vanesa  Rincón  Rodríguez </t>
  </si>
  <si>
    <t>LEICY YULIETH Cordoba Moreno</t>
  </si>
  <si>
    <t>Jorge Ivan Garcia Zapata</t>
  </si>
  <si>
    <t>heiner martinez rodriguez</t>
  </si>
  <si>
    <t>GABRIEL GAITAN SILVIA</t>
  </si>
  <si>
    <t>María del transito Morales  De Torres</t>
  </si>
  <si>
    <t>Yimer Ivan Rincon Gaitan</t>
  </si>
  <si>
    <t>Andrea Marcela Jimenez Piñeros</t>
  </si>
  <si>
    <t>Ambrosio Romero Dawkins Fox</t>
  </si>
  <si>
    <t>Yeison Arley Quintero Benitez</t>
  </si>
  <si>
    <t>Juan Alvaro  Vera  Piraneque</t>
  </si>
  <si>
    <t>Jessica Katerin Molano Acero</t>
  </si>
  <si>
    <t>Jefferson Jefferson Uribe Toro</t>
  </si>
  <si>
    <t>Jose Gregorio  Gomez Gomez</t>
  </si>
  <si>
    <t>Norma Constanza Andrade Perdomo</t>
  </si>
  <si>
    <t>Angie Natalia Gordillo López</t>
  </si>
  <si>
    <t>LILIA DIAZ LAVAO</t>
  </si>
  <si>
    <t xml:space="preserve">María yeny  hernandez carreño </t>
  </si>
  <si>
    <t>Daniela Daniela Forero Cruz</t>
  </si>
  <si>
    <t>Piedad Piedad Guzman Olaya</t>
  </si>
  <si>
    <t>Marina Del carmen Escobar Solano</t>
  </si>
  <si>
    <t>LUZ ELIANA VERGEL CARDOZO</t>
  </si>
  <si>
    <t>Emma Zurany Quintero Velez</t>
  </si>
  <si>
    <t>Jesus Andres Torres Fuentes</t>
  </si>
  <si>
    <t>Yuri Jimena Prado Vega</t>
  </si>
  <si>
    <t>Estefanía Estefanía García Ciro</t>
  </si>
  <si>
    <t>Luisa Fernanda Sanchez Moreno</t>
  </si>
  <si>
    <t>Jaisson Jaisson Garces Carvajal</t>
  </si>
  <si>
    <t>Luz Adriana  Pulido Sanabria</t>
  </si>
  <si>
    <t>Anyela Anyela Carvajal Rojas</t>
  </si>
  <si>
    <t>Yeny Yeny Chara Carabali</t>
  </si>
  <si>
    <t>Sandro Sandro Guardiola Basilio</t>
  </si>
  <si>
    <t>Yessica Alejandra Luna Ramírez</t>
  </si>
  <si>
    <t>NICOL ALEJANDRA ALBA LOPEZ</t>
  </si>
  <si>
    <t>Mary Jesenia Canticuz Sevillano</t>
  </si>
  <si>
    <t>Erika Carolina Santamaria Gómez</t>
  </si>
  <si>
    <t>Camila Andrea Toloza Yepes</t>
  </si>
  <si>
    <t>Ever Jose Silva Arzuza</t>
  </si>
  <si>
    <t>Miguel Miguel Hurtado Caraballo</t>
  </si>
  <si>
    <t>ANDRES FELIPE ACUÑA MORALES</t>
  </si>
  <si>
    <t>CURSO INGLES - MAESTRIA EN EDU</t>
  </si>
  <si>
    <t>Hervin Hervin Barahona Rodríguez</t>
  </si>
  <si>
    <t xml:space="preserve">Liliola  Pérez  Montoya </t>
  </si>
  <si>
    <t>Lucia Fernanda Lopez Doria</t>
  </si>
  <si>
    <t xml:space="preserve">Lady Yurany Quevedo Gomez </t>
  </si>
  <si>
    <t>Luisa Fernanda Torres Libreros</t>
  </si>
  <si>
    <t>LAURA ISABEL  RIVERA MALES</t>
  </si>
  <si>
    <t>Maria Camila Meneses Rodas</t>
  </si>
  <si>
    <t>Bernave Bernave Moreno Mosquera</t>
  </si>
  <si>
    <t>Yeraldine Yeraldine Vargas Galeano</t>
  </si>
  <si>
    <t>Sonia Liliana liliana Gamarra Ubaque</t>
  </si>
  <si>
    <t>Mauren Julieth Perez Heredia</t>
  </si>
  <si>
    <t>Emanuel Santiago Vasquez Rodriguez</t>
  </si>
  <si>
    <t>Jeffry David Quintero Linares</t>
  </si>
  <si>
    <t>Carolina  Villa Blandón</t>
  </si>
  <si>
    <t>Katherine Baquero  Araujo</t>
  </si>
  <si>
    <t>Jherson David Pertuz Herrera</t>
  </si>
  <si>
    <t>Gloria Estefania Carvajal Urbina</t>
  </si>
  <si>
    <t>Luisa Fernanda Suárez Ramos</t>
  </si>
  <si>
    <t>gladys mahecha aldana</t>
  </si>
  <si>
    <t>Daniel Leonardo Bernal Vanegas</t>
  </si>
  <si>
    <t>Marlin Nayibe Flórez Forero</t>
  </si>
  <si>
    <t>Jhon Sebastian Garcia Chaparro</t>
  </si>
  <si>
    <t>Daisy Tatiana Borja Mejia</t>
  </si>
  <si>
    <t>Naiderlin Maria Escamilla Liñan</t>
  </si>
  <si>
    <t>Monica Irlena Ardila Camacho</t>
  </si>
  <si>
    <t>Leidy Paola Pinilla Orjuela</t>
  </si>
  <si>
    <t>David Stiven Herazo Cortes</t>
  </si>
  <si>
    <t>Juan Felipe Ortiz Osorio</t>
  </si>
  <si>
    <t>Frank Josey Bustamante Restrepo</t>
  </si>
  <si>
    <t>Maria Paula Garcia Ospino</t>
  </si>
  <si>
    <t>Aida Yaneth Cifuentes Pinzon</t>
  </si>
  <si>
    <t>FONDO GOBERNACION CUNDINAMARCA</t>
  </si>
  <si>
    <t>Diana Carolina Bernal Bernal</t>
  </si>
  <si>
    <t>Eveling Vanessa Salgado Tejada</t>
  </si>
  <si>
    <t>Karen Tatiana Mahecha Bernal</t>
  </si>
  <si>
    <t>Jawuim Arlex Ascencio Marulanda</t>
  </si>
  <si>
    <t>Samara Saudith Pulgar Iguaran</t>
  </si>
  <si>
    <t>Gabriela Mychell Gomez Rodriguez</t>
  </si>
  <si>
    <t>BRAYAN ESTIVEN OLAYA SOGAMOSO</t>
  </si>
  <si>
    <t>Jessica Alejandra Pineda Torres</t>
  </si>
  <si>
    <t>Marisol Gomez Gallego</t>
  </si>
  <si>
    <t>LAURA TATIANA RUIZ CASALLAS</t>
  </si>
  <si>
    <t>FREDY ANYUL MORA OCHOA</t>
  </si>
  <si>
    <t>Yeyse Johanna Delgado Florez</t>
  </si>
  <si>
    <t>Paola Andrea García Castillo</t>
  </si>
  <si>
    <t>Jimmy Alexander Cortes Guerrero</t>
  </si>
  <si>
    <t>Yuly Viviana Gil Salamanca</t>
  </si>
  <si>
    <t xml:space="preserve">Jorge  valenzuela  Gutierrez </t>
  </si>
  <si>
    <t xml:space="preserve">Sandra Rocio  Gonzalez  Rodriguez </t>
  </si>
  <si>
    <t>Germán  Calvo  Cortes</t>
  </si>
  <si>
    <t>Melissa Melissa Morales Vasquez</t>
  </si>
  <si>
    <t>Dayanna Paola Rodriguez Rincon</t>
  </si>
  <si>
    <t>Luz Nidia  Guio Tabaco</t>
  </si>
  <si>
    <t>Blanca Flor Cusguen Murillo</t>
  </si>
  <si>
    <t>Jose Esteban Rincon Montes</t>
  </si>
  <si>
    <t>Ciro Arturo Yate Yara</t>
  </si>
  <si>
    <t>Lina Lina Atuesta Atuesta</t>
  </si>
  <si>
    <t>Daniela Katerine Caicedo Galvis</t>
  </si>
  <si>
    <t>juan esteban castro  alarcon</t>
  </si>
  <si>
    <t xml:space="preserve">Liliana  Triana  Triana </t>
  </si>
  <si>
    <t>Angie Paola Herrera Cardozo</t>
  </si>
  <si>
    <t>Luis Enoc Espitia Fontalvo</t>
  </si>
  <si>
    <t>Deyanira Deyanira Cruz Garcia</t>
  </si>
  <si>
    <t>Ana Esperanza Gualteros Velandia</t>
  </si>
  <si>
    <t>Juan Pablo Bazan Aldana</t>
  </si>
  <si>
    <t>HEBERTO RAFAEL SOTO MANJARRES</t>
  </si>
  <si>
    <t>Alexandra Sofia Peña castillo</t>
  </si>
  <si>
    <t>WILLIAM CAMILO PEÑUELA OLAYA</t>
  </si>
  <si>
    <t>INGRID MARCELA PALACIOS  MENA</t>
  </si>
  <si>
    <t>Zaira Tatiana Arias Esparragoza</t>
  </si>
  <si>
    <t>John Alexander Mendez Roa</t>
  </si>
  <si>
    <t>Diego Alejandro Calderón Melón</t>
  </si>
  <si>
    <t>Nilson Arley Hernández López</t>
  </si>
  <si>
    <t>Andres Giovanny Noguera Joaqui</t>
  </si>
  <si>
    <t>Jennifer Eliana Garzon Pinzon</t>
  </si>
  <si>
    <t>Eilen Paola paola Vásquez Gaspar</t>
  </si>
  <si>
    <t>Daniel Camilo Bolaños Rosero</t>
  </si>
  <si>
    <t>Hasbleidy Arevalo Arevalo</t>
  </si>
  <si>
    <t>Katia Yulieth Camero Martínez</t>
  </si>
  <si>
    <t>Alcides  Reatiga Jacome</t>
  </si>
  <si>
    <t>Yocelin Andreis Guzman Alvarez</t>
  </si>
  <si>
    <t>WILDER RAFAEL CAMPO FIGUEROA</t>
  </si>
  <si>
    <t>Erika Lisseth Chaparro Casallas</t>
  </si>
  <si>
    <t>Daneween Daneween Sierra Martinez</t>
  </si>
  <si>
    <t>Dayanis Dayanis Cadena Vanegas</t>
  </si>
  <si>
    <t>IVAN MAURICIO ROJAS CASTRILLON</t>
  </si>
  <si>
    <t>Martin Giuseppe Alvira Melo</t>
  </si>
  <si>
    <t>Cesar Arturo Manco Soto</t>
  </si>
  <si>
    <t>Jeimy Valentina Vasquez Zabala</t>
  </si>
  <si>
    <t>Sergio Andres Zuñiga Guardo</t>
  </si>
  <si>
    <t>Amparo Lili Cogollo Hernandez</t>
  </si>
  <si>
    <t>Miguel Angel Arboleda Alvarez</t>
  </si>
  <si>
    <t>Maria Angelica Cerquera Castillo</t>
  </si>
  <si>
    <t>Yenifer Isabel Martínez Gonzalez</t>
  </si>
  <si>
    <t xml:space="preserve">Yair Jose  Diaz Gonzalez </t>
  </si>
  <si>
    <t>Daniel Fernando Castillo Soleno</t>
  </si>
  <si>
    <t>Merlin Mirley Moreno Palacios</t>
  </si>
  <si>
    <t>Hellen Lorena Rodriguez Perez</t>
  </si>
  <si>
    <t>Karen Julieth Pinzón Nova</t>
  </si>
  <si>
    <t>Andrea Andrea Gaitan Murcia</t>
  </si>
  <si>
    <t>Luz Enith Murillo Benítez</t>
  </si>
  <si>
    <t>YORLEYDIS PAOLA TAPIA TORRES</t>
  </si>
  <si>
    <t>Jaider Yobani Ruiz Moncaleano</t>
  </si>
  <si>
    <t>Daniela Lizeth Getial Casagallo</t>
  </si>
  <si>
    <t>Karen Dayanna Pulido Baron</t>
  </si>
  <si>
    <t>Stepahi Jhissel Coronell Orozco</t>
  </si>
  <si>
    <t>Yudith cristina  Suárez  Valcárcel</t>
  </si>
  <si>
    <t>MARIA DEL CARMEN ORTIZ DE ECHENIQUE</t>
  </si>
  <si>
    <t>Maladys Palacios Diaz</t>
  </si>
  <si>
    <t xml:space="preserve">Patricia  Garrido Sánchez </t>
  </si>
  <si>
    <t>Sebastian Andres Orozco Castellano</t>
  </si>
  <si>
    <t>Diana Carolina Rivera Lara</t>
  </si>
  <si>
    <t>Maria Jesus Valencia Medina</t>
  </si>
  <si>
    <t>YURANIS LEON MOLINA</t>
  </si>
  <si>
    <t>Gloria Amparo Oliveros Gonzalez</t>
  </si>
  <si>
    <t>Elisabeth Elisabeth Trujillo Montenegro</t>
  </si>
  <si>
    <t>Efrain Herrera Arias</t>
  </si>
  <si>
    <t>Jonathan Felipe Jimenez Jimenez</t>
  </si>
  <si>
    <t>Sandy Yornedy Paez Cortes</t>
  </si>
  <si>
    <t>Betty Dayana Madrigal Roa</t>
  </si>
  <si>
    <t>Ivonne Carola Anzola Real</t>
  </si>
  <si>
    <t xml:space="preserve">neyda patricia portilla </t>
  </si>
  <si>
    <t>Verania Estela Carrascal Díaz</t>
  </si>
  <si>
    <t>Maria Victoria Daza Gomez</t>
  </si>
  <si>
    <t>Nicol Valentina Toro Adarve</t>
  </si>
  <si>
    <t>Adriana Marcela Arrieta Lengua</t>
  </si>
  <si>
    <t>luz mary cruz casallas</t>
  </si>
  <si>
    <t>Gabriela Gabriela Segura Hernandez</t>
  </si>
  <si>
    <t>Diego Andrés Portilla Arteaga</t>
  </si>
  <si>
    <t xml:space="preserve">Diana Milena  Ibargüen  Sandoval </t>
  </si>
  <si>
    <t>Laura Lorena Viveros Escobar</t>
  </si>
  <si>
    <t>Haidy Liliana Anacona Pujimuy</t>
  </si>
  <si>
    <t>Mauricio Cogollo Gomez</t>
  </si>
  <si>
    <t>GEINER ALEJANDRO SIRANISICUA  QUITIAN</t>
  </si>
  <si>
    <t>Caterine Caterine Correa Correa</t>
  </si>
  <si>
    <t>Diana paola Ramirez Garzon</t>
  </si>
  <si>
    <t>Sunamary Suna Torregrosa Hernandez</t>
  </si>
  <si>
    <t>Hugo Alejandro Moreno Palma</t>
  </si>
  <si>
    <t>ORIANIS CAROLINA GOMEZ BRITO</t>
  </si>
  <si>
    <t>YUDY ANDREA  RAMON  IBAÑEZ</t>
  </si>
  <si>
    <t>Emilce Johana Plaza Trochez</t>
  </si>
  <si>
    <t>AURA MARIA ORTEGA BORJA</t>
  </si>
  <si>
    <t>MAIRA ALEJANDRA REYES DIAZ</t>
  </si>
  <si>
    <t>Carlos Sebastian Torres Castañeda</t>
  </si>
  <si>
    <t>Zuly Shirley Pedraza Gonzalez</t>
  </si>
  <si>
    <t>Mayerli Ortiz Vergel</t>
  </si>
  <si>
    <t>Nancy Nancy Caceres Vera</t>
  </si>
  <si>
    <t xml:space="preserve">KAREN SOFIA  MANCILLA POVEDA </t>
  </si>
  <si>
    <t>Marcela Cristina Ortiz Diaz</t>
  </si>
  <si>
    <t>DEISY LORENA GOMEZ PLAZAS</t>
  </si>
  <si>
    <t>WILLIAM NORBERTO CARMONA QIMBAYO</t>
  </si>
  <si>
    <t>DIEGO ARMANDO CARVAJAL  PEREZ</t>
  </si>
  <si>
    <t xml:space="preserve">Diego Fernando Monsalve Ramírez </t>
  </si>
  <si>
    <t>carlos andres garcia mecan</t>
  </si>
  <si>
    <t>JOSE LUIS   DE LA ROSA RODRÍGUEZ</t>
  </si>
  <si>
    <t>Diana Rocio  Jara  Reina</t>
  </si>
  <si>
    <t>Johan Daniel Camargo Pachón</t>
  </si>
  <si>
    <t>Lilley Lilley Caicedo Nieto</t>
  </si>
  <si>
    <t>Karol Yurany Tarazona Hernández</t>
  </si>
  <si>
    <t>Luz Fanny Ibarguen Victoria</t>
  </si>
  <si>
    <t>Julieta Carolina  Berrio Ospina</t>
  </si>
  <si>
    <t>Kerly Alexandra Rendón Álvarez</t>
  </si>
  <si>
    <t xml:space="preserve">Luisa Fernanda  Valencia  Salinas </t>
  </si>
  <si>
    <t>Silvia Vanessa Cortes Sanchez</t>
  </si>
  <si>
    <t>|maría Fernanda Romaña Arboleda</t>
  </si>
  <si>
    <t xml:space="preserve">Jhon Edison  Rendon  Quintero </t>
  </si>
  <si>
    <t>MARTHA MERCEDES LOPREZ ENAMORADO</t>
  </si>
  <si>
    <t>Kenny Stiven Varga Velasco</t>
  </si>
  <si>
    <t>Leonor Arevalo Pachon</t>
  </si>
  <si>
    <t>Carmen Carcamo Martinez</t>
  </si>
  <si>
    <t>NANCY ESTELLA LOPERA MONTOYA</t>
  </si>
  <si>
    <t>Daniela Daniela Fonseca Hernandez</t>
  </si>
  <si>
    <t>maria camila ayala giraldo</t>
  </si>
  <si>
    <t>MARIA CONCEPCION  BELTRAN URREGO</t>
  </si>
  <si>
    <t>ROSA ELVIRA VARGAS TORRES</t>
  </si>
  <si>
    <t>Guillermo Andres Guarin Quintero</t>
  </si>
  <si>
    <t>MIRYAM JANETH ROJAS BONILLA</t>
  </si>
  <si>
    <t>Andrés Felipe Ardila Pérez</t>
  </si>
  <si>
    <t>Alieth Yolima Parra Martínez</t>
  </si>
  <si>
    <t>Sindy yomaira Suarez Anaya</t>
  </si>
  <si>
    <t>Sonia Dalila Fonseca Romero</t>
  </si>
  <si>
    <t>Maria Andrea Guzman Torres</t>
  </si>
  <si>
    <t>SHIRLIS YALEIDIS RAMOS PATIÑO</t>
  </si>
  <si>
    <t>ROSALBA RAMOS MORENO</t>
  </si>
  <si>
    <t>Juan Pablo Garcia Badillo</t>
  </si>
  <si>
    <t>Luz Marina Puscus Ramirez</t>
  </si>
  <si>
    <t>Andres Santiago Barragan HERNANDEZ</t>
  </si>
  <si>
    <t>Irina Milena España Gonzalez</t>
  </si>
  <si>
    <t>Jhon Roberht Asprilla Perea</t>
  </si>
  <si>
    <t>Jorge Edgard Dueñas Sarmiento</t>
  </si>
  <si>
    <t>Angie Natalia  Fernández  Carvajal</t>
  </si>
  <si>
    <t>Juliana Juliana Rodriguez Martinez</t>
  </si>
  <si>
    <t>Luis Fernando Martinez Sanchez</t>
  </si>
  <si>
    <t>Margareth Margareth Higuera Torres</t>
  </si>
  <si>
    <t>Deyanira Deyanira Arevalo Gonzalez</t>
  </si>
  <si>
    <t xml:space="preserve">Zenaida  Cardozo </t>
  </si>
  <si>
    <t>Angela Angela Salas Perez</t>
  </si>
  <si>
    <t xml:space="preserve">Jose Alberto  Caceres  Monroy </t>
  </si>
  <si>
    <t>Hednyth Geraldyne Gomez Uribe</t>
  </si>
  <si>
    <t>José Alfredo Ahumada Castro</t>
  </si>
  <si>
    <t>Luz Marina Arevalo Gonzalez</t>
  </si>
  <si>
    <t>Alvaro Alvaro Soto Cifuentes</t>
  </si>
  <si>
    <t>Hermelinda Triana Ayala</t>
  </si>
  <si>
    <t>Camila Gutierrez Castiblanco</t>
  </si>
  <si>
    <t>Juan David Giraldo Yepes</t>
  </si>
  <si>
    <t>Yanira Yanira Parrado Gutierrez</t>
  </si>
  <si>
    <t>Andres Felipe Martinez Valencia</t>
  </si>
  <si>
    <t>Carolina  Cristancho Gutierrez</t>
  </si>
  <si>
    <t>Aidis Paola Castro Martínez</t>
  </si>
  <si>
    <t>Andrea Jaqueline Gallo Neuta</t>
  </si>
  <si>
    <t xml:space="preserve">MARIA ELENA  BELTRAN </t>
  </si>
  <si>
    <t>Jennifer Paola Araujo Julio</t>
  </si>
  <si>
    <t>jhon esteban carvajal barreto</t>
  </si>
  <si>
    <t>Karen juliana  Saganomen Gomez</t>
  </si>
  <si>
    <t>Luis alberto Ruano Malte</t>
  </si>
  <si>
    <t>Mateo Stiven Olivera Alzate</t>
  </si>
  <si>
    <t>LUZ HELENA CASTRO MADERA</t>
  </si>
  <si>
    <t>Elsa Alejandra Barrios Marin</t>
  </si>
  <si>
    <t>Isai David Alvarez Espinosa</t>
  </si>
  <si>
    <t>Luz Marina Mosquera Benitez</t>
  </si>
  <si>
    <t>Gladys garcia perez</t>
  </si>
  <si>
    <t>Yira Paulina Pedraza Rojas</t>
  </si>
  <si>
    <t>Daryluz Daryluz Santiago Zambrano</t>
  </si>
  <si>
    <t>Maria Teresa Rojas Cuadrado</t>
  </si>
  <si>
    <t>ivan  dario ibarra madroñero</t>
  </si>
  <si>
    <t>Jose Gilberto Correa Mora</t>
  </si>
  <si>
    <t>Ruben Dario Hernandez Centeno</t>
  </si>
  <si>
    <t>leison arbey valencia moreno</t>
  </si>
  <si>
    <t>Yoly Vanessa Mosquera Gutierrez</t>
  </si>
  <si>
    <t>Yuveidys Lemos  Quinto</t>
  </si>
  <si>
    <t>María Alejandra Figueroa Rodríguez</t>
  </si>
  <si>
    <t>Carmen Julia Baldovino Banqueth</t>
  </si>
  <si>
    <t>Jose Juan Montaño Romero</t>
  </si>
  <si>
    <t>Karen Esthefany Cortes Cadena</t>
  </si>
  <si>
    <t>Harold Rojas Satizabal</t>
  </si>
  <si>
    <t>Yessenia Yessenia Urango Vargas</t>
  </si>
  <si>
    <t>Jose Camilo Lopez Molina</t>
  </si>
  <si>
    <t>Alba Yesica Parra Moreno</t>
  </si>
  <si>
    <t>Javier Artenio Cabrera Duran</t>
  </si>
  <si>
    <t>Kevin Andrey Barco Cespedes</t>
  </si>
  <si>
    <t>Gustavo Adolfo Perez Perez</t>
  </si>
  <si>
    <t>Angie Katerine Quinto Quinto</t>
  </si>
  <si>
    <t>Michael Jair Castañeda Contreras</t>
  </si>
  <si>
    <t>Vanessa Esther Garcerant Gonzalez</t>
  </si>
  <si>
    <t>Jazmin rocio  cañon  Ortiz</t>
  </si>
  <si>
    <t>Jose Roberto  Guaca  Erazo</t>
  </si>
  <si>
    <t>Leidy Yuliana Yanes Hurtado</t>
  </si>
  <si>
    <t xml:space="preserve">Rocio  Sanchez  Ariza </t>
  </si>
  <si>
    <t>SEM COMPORT APREND Y CAMB ORGA</t>
  </si>
  <si>
    <t>Angela Maria Mendoza Duran</t>
  </si>
  <si>
    <t>Yeison Yeison Rojas Marín</t>
  </si>
  <si>
    <t>María Camila  Giraldo  Gomez</t>
  </si>
  <si>
    <t>Angelica Natalia Barrera Cuevas</t>
  </si>
  <si>
    <t>Yusnays Carolina Cantillo Sierra</t>
  </si>
  <si>
    <t>Liseth Paola Chávez Rangel</t>
  </si>
  <si>
    <t>Manuel Paladines  Diaz</t>
  </si>
  <si>
    <t>Diana Jazmin Rodriguez Paez</t>
  </si>
  <si>
    <t>MERCEDES ALICIA MACHADO RODRIGUEZ</t>
  </si>
  <si>
    <t>wilfrido manuel pastrana sierra</t>
  </si>
  <si>
    <t>Johan Felipe Arcos Almario</t>
  </si>
  <si>
    <t>Odilia yolanda Díaz Mendivelso</t>
  </si>
  <si>
    <t>Jenny Carolina Ramos Rodriguez</t>
  </si>
  <si>
    <t>Oscar Raul Celis Gonzalez</t>
  </si>
  <si>
    <t>Jessica Paola Quiñonez Ospina</t>
  </si>
  <si>
    <t>Evelin Xiomara Zuñiga Gonzalez</t>
  </si>
  <si>
    <t>NANCY PATRICIA RODRIGUEZ RINCON</t>
  </si>
  <si>
    <t>oscar alejandro gutierrez piñeros</t>
  </si>
  <si>
    <t>Karina Marcela Hernandez Lenis</t>
  </si>
  <si>
    <t>Claudia Tatiana Sánchez Villada</t>
  </si>
  <si>
    <t>Estefani Marilin Vallejo Ascuntar</t>
  </si>
  <si>
    <t>Jorgeluis Jorgeluis Hernández Donado</t>
  </si>
  <si>
    <t>Leidys Estefany López Benavides</t>
  </si>
  <si>
    <t>Brigytte Lorena Silva Orduña</t>
  </si>
  <si>
    <t>Yurit Tatiana Rincon García</t>
  </si>
  <si>
    <t>Aura Elisa  Casanova Lagos</t>
  </si>
  <si>
    <t>Valeria Andrea Redondo Gonzalez</t>
  </si>
  <si>
    <t>Keity Lorena Vera Perez</t>
  </si>
  <si>
    <t>Cristian Nicolas Ramírez Rojas</t>
  </si>
  <si>
    <t>Patricia Patricia Gaviria Morales</t>
  </si>
  <si>
    <t>Miguel Angel Rincón Mendez</t>
  </si>
  <si>
    <t>Carlos Julio Moreno Toro</t>
  </si>
  <si>
    <t>Patricia De Jesus Lopez Nuñez</t>
  </si>
  <si>
    <t>Olga Viviana Villa Gomez</t>
  </si>
  <si>
    <t>Carla Sairid Caballero Aguilar</t>
  </si>
  <si>
    <t>Viviana Katherine Ortiz Diaz</t>
  </si>
  <si>
    <t>Maria Alejandra Pinzon Ruiz</t>
  </si>
  <si>
    <t>JOSE LUIS MALDONADO DURAN</t>
  </si>
  <si>
    <t>Maria Camila Cardona Montoya</t>
  </si>
  <si>
    <t>María Isabel Garzon Urrego</t>
  </si>
  <si>
    <t>Enalba Enalba Perez Lozano</t>
  </si>
  <si>
    <t xml:space="preserve">Adelaida rosa  Feria  Fuentes </t>
  </si>
  <si>
    <t>Deissy Stefania Acosta Vallejo</t>
  </si>
  <si>
    <t>Dayra Maricela Inagan Pozo</t>
  </si>
  <si>
    <t>Faiber Faiber Vega Pulido</t>
  </si>
  <si>
    <t>Yasmin Elency  Vera Monsalve</t>
  </si>
  <si>
    <t>Yerisa Andrea Quintero Quintero</t>
  </si>
  <si>
    <t>Heber Armando Gil Correa correa</t>
  </si>
  <si>
    <t>Anyelina Margarita Castillo Charris</t>
  </si>
  <si>
    <t>Daniel Daniel Osorio Ospina</t>
  </si>
  <si>
    <t>María Fernanda Obando Ramirez</t>
  </si>
  <si>
    <t>Keiner Rodrigo Aguilu Tunjano</t>
  </si>
  <si>
    <t>Elder Dario Perez Mercado</t>
  </si>
  <si>
    <t xml:space="preserve">kelly tatiana  monroy  estrada </t>
  </si>
  <si>
    <t>yenyfer tatiana yandun diaz</t>
  </si>
  <si>
    <t>Luis Daniel Henriquez Horta</t>
  </si>
  <si>
    <t>Jose Leonardo Perez Corredor</t>
  </si>
  <si>
    <t>Paula Andrea Santos Amaya</t>
  </si>
  <si>
    <t>Julia Nathalia Noguera  Preciado</t>
  </si>
  <si>
    <t xml:space="preserve">Jacob Brand  Mahecha </t>
  </si>
  <si>
    <t>Leidy Liseth Palacios Mosquera</t>
  </si>
  <si>
    <t>Maria Milena Portilla Bolaños</t>
  </si>
  <si>
    <t>Maryareth Yisel Chinchilla Rincon</t>
  </si>
  <si>
    <t xml:space="preserve">Rafael ramiro Ramírez  Matoma </t>
  </si>
  <si>
    <t>Veronica Veronica Cipagauta Pacheco</t>
  </si>
  <si>
    <t>Vivian Janeth Robles Mateus</t>
  </si>
  <si>
    <t>Luz Dajhana Foronda Restrepo</t>
  </si>
  <si>
    <t>Jaime Andrés Angulo Diaz</t>
  </si>
  <si>
    <t>Anderson Mateo Bueno Pineda</t>
  </si>
  <si>
    <t>Lucina Lucina Mosquera Martinez</t>
  </si>
  <si>
    <t>ROCIO NATALI IBARRA USAMA</t>
  </si>
  <si>
    <t>Enna Felisa Castro Cuero</t>
  </si>
  <si>
    <t>Raimunda Fructuoso Lopez</t>
  </si>
  <si>
    <t>Maria deicy  lasso  garcia</t>
  </si>
  <si>
    <t>Luis Fernando Camargo Paternina</t>
  </si>
  <si>
    <t>Herminia Ospina Garzon</t>
  </si>
  <si>
    <t>Herson Ivan Ortiz Salazar</t>
  </si>
  <si>
    <t>Diego Fernando Pai Pascal</t>
  </si>
  <si>
    <t>Sandy paola  Coy Garcia</t>
  </si>
  <si>
    <t>Josué De jesús Herrera Muñoz</t>
  </si>
  <si>
    <t>Juan Gabriel Morales Bedoya</t>
  </si>
  <si>
    <t>Ferney Ferney Rodriguez Useche</t>
  </si>
  <si>
    <t>Luis Alberto Bustos Osorio</t>
  </si>
  <si>
    <t>Kevin Kevin Muñoz Fernandez</t>
  </si>
  <si>
    <t>Jose David Mercado Mercado</t>
  </si>
  <si>
    <t xml:space="preserve">Javier Eduardo  CASTRILLON  Escudero </t>
  </si>
  <si>
    <t xml:space="preserve">John  Franco  López </t>
  </si>
  <si>
    <t>SEM AUDIT INT DIRECT GEST PROY</t>
  </si>
  <si>
    <t>Angi Mayerli Botello Moncada</t>
  </si>
  <si>
    <t>Gabriel Gabriel Burgos Jimenez</t>
  </si>
  <si>
    <t>Jacqueline Jacqueline Muñoz Cruz</t>
  </si>
  <si>
    <t>Luz Dary Vargas Castañeda</t>
  </si>
  <si>
    <t>SARAY  NAVAS  PERIAÑEZ</t>
  </si>
  <si>
    <t>Suley Dayhana Arcos Mutiz</t>
  </si>
  <si>
    <t>Lucila Del carmen Murillo Machado</t>
  </si>
  <si>
    <t>Luis Miguel Buelvas Romero</t>
  </si>
  <si>
    <t>Einis Gabriela Vanstralhen Feria</t>
  </si>
  <si>
    <t>Yadira Yadira Bermudez Mosquera</t>
  </si>
  <si>
    <t>Nathalia Carolina Argoti Guerrero</t>
  </si>
  <si>
    <t xml:space="preserve">Eugenia  Buitrago  Acevedo </t>
  </si>
  <si>
    <t>Magda Carolina Vasquez Lozada</t>
  </si>
  <si>
    <t>Kedy Duperly Isco Mulcue</t>
  </si>
  <si>
    <t>MILLER ALEXIS TRIANA SANABRIA</t>
  </si>
  <si>
    <t>Luisa Fernanda Gomez Farfan</t>
  </si>
  <si>
    <t>Juan Pablo Zapata Jaramillo jaramillo</t>
  </si>
  <si>
    <t>DIPL OPC GRADO DESLLO WEB VIR</t>
  </si>
  <si>
    <t>Gisell Alexandra Hernández Ospina</t>
  </si>
  <si>
    <t>John Eduard Sánchez Parada</t>
  </si>
  <si>
    <t>LUIS ORLANDO  RODRIGUEZ  IRIRA</t>
  </si>
  <si>
    <t>Jaider Daniel Bohorquez Ramirez</t>
  </si>
  <si>
    <t>Oswaldo Reyes Pineda</t>
  </si>
  <si>
    <t>Jhon Laureano Guevara Córdoba</t>
  </si>
  <si>
    <t>Atenaida Maria Villalobos Marquez</t>
  </si>
  <si>
    <t xml:space="preserve">Yimy Steven Bonces </t>
  </si>
  <si>
    <t>Hugo Erbey Diaz Moreno</t>
  </si>
  <si>
    <t>Sofia Fernanda Morales Arias</t>
  </si>
  <si>
    <t>Griselda Griselda Almario Nuñez</t>
  </si>
  <si>
    <t>Nohora Patricia Cubillos Rodriguez</t>
  </si>
  <si>
    <t>Elizabeth Reina Arce</t>
  </si>
  <si>
    <t>Horacy Nathalie Anaya Valencia</t>
  </si>
  <si>
    <t>Daniela Andrea Polo León</t>
  </si>
  <si>
    <t xml:space="preserve">mishel daniela  silva  bona </t>
  </si>
  <si>
    <t>Angie Janeth Palencia Ojito</t>
  </si>
  <si>
    <t>Yeison Felipe Pulido Diaz</t>
  </si>
  <si>
    <t>ELIADES  AVILA SANTANA</t>
  </si>
  <si>
    <t>Javier Andrés García Piñeros</t>
  </si>
  <si>
    <t>Yasmine Del Carmen  Rocha  Daza</t>
  </si>
  <si>
    <t>Leonardo Javier Zapa Baron</t>
  </si>
  <si>
    <t>Oscar Andres Rojas Giron</t>
  </si>
  <si>
    <t>John jairo Sierra Cera</t>
  </si>
  <si>
    <t>SULMA HERNANDEZ RAMIREZ</t>
  </si>
  <si>
    <t>John Fredy Mateus Ariza</t>
  </si>
  <si>
    <t>JENNIFER TELLEZ HERNADEZ</t>
  </si>
  <si>
    <t>Juan Pablo Orozco Gutiérrez</t>
  </si>
  <si>
    <t>Olga Lucia Coronel Quintero</t>
  </si>
  <si>
    <t>Andres Mauricio Espitia Gomez</t>
  </si>
  <si>
    <t>Yeini Katherine Gutierrez Poloche</t>
  </si>
  <si>
    <t>Lilibeth Fabiola Martinez Ortega</t>
  </si>
  <si>
    <t xml:space="preserve">Johnatan  Ramirez Duque </t>
  </si>
  <si>
    <t>Nelcy alexandra ocampo mosquera</t>
  </si>
  <si>
    <t>José Alejandro Ortiz Ortiz</t>
  </si>
  <si>
    <t>Linda Katherine Jaraba Castellanos</t>
  </si>
  <si>
    <t>LOURDES VIVIANA MUÑOZ DIAZ</t>
  </si>
  <si>
    <t>Angely Johana Paez Tirado</t>
  </si>
  <si>
    <t>Maria Fernanda Isaza Hernández Isaza Hernández</t>
  </si>
  <si>
    <t>Javier  Rodriguez Tirado</t>
  </si>
  <si>
    <t>Mairuth Yohana Villar Pana</t>
  </si>
  <si>
    <t>Lesly Tatiana Gamboa  martinez</t>
  </si>
  <si>
    <t>Deimer  Martínez Díaz</t>
  </si>
  <si>
    <t>Carmela Carmela Ramos Santo</t>
  </si>
  <si>
    <t>Vianys Brigitte Sanjuanelo Rodríguez</t>
  </si>
  <si>
    <t>Laura Vanessa Julio Romero</t>
  </si>
  <si>
    <t>JOAQUIN EMILIO  PINEDA JIMENEZ</t>
  </si>
  <si>
    <t>Nicoll Tatiana Oyola Charry</t>
  </si>
  <si>
    <t>Alvaro Julio Padilla Gracia</t>
  </si>
  <si>
    <t>Sharon Gabriela Acosta Rivera</t>
  </si>
  <si>
    <t>María José Vásquez Molina</t>
  </si>
  <si>
    <t>Marelby Marelby Gomez Gomez</t>
  </si>
  <si>
    <t>Yeraldin Yeraldin Arboleda Machado</t>
  </si>
  <si>
    <t xml:space="preserve">Luz Stella  Rincon  </t>
  </si>
  <si>
    <t>Tatiana Liseth Navia Hernandez</t>
  </si>
  <si>
    <t>Juan David Cartagena Mayorquin</t>
  </si>
  <si>
    <t>Karen Tatiana Fierro Hernández</t>
  </si>
  <si>
    <t>Angie Vanessa Santos Sanchez</t>
  </si>
  <si>
    <t>Carlos Alberto Erazo Ocampo</t>
  </si>
  <si>
    <t>Alcira Peraza de  Neira</t>
  </si>
  <si>
    <t>Consuelo Consuelo Acosta Cordoba</t>
  </si>
  <si>
    <t>Edison Jahir Montaño Naranjo</t>
  </si>
  <si>
    <t>Rossana Catalina Gutierrez Godoy</t>
  </si>
  <si>
    <t>Magaly Magaly Otero Castañeda</t>
  </si>
  <si>
    <t>yeidis delcarmen Escobar  Bertel</t>
  </si>
  <si>
    <t>Maria Alejandra Arango Casallas</t>
  </si>
  <si>
    <t>Camila Andrea  Sánchez  Ojeda</t>
  </si>
  <si>
    <t>ROSALBA DIAZ CASTAÑEDA</t>
  </si>
  <si>
    <t>jaime luis García carpio</t>
  </si>
  <si>
    <t>ESPERANZA ROBAYO CASTIBLANCO</t>
  </si>
  <si>
    <t>Miguel Tomas Ruiz Acosta</t>
  </si>
  <si>
    <t>Yeimi Yulieth Moreno Jerez</t>
  </si>
  <si>
    <t>Edisson Ricardo Barahona Villamil</t>
  </si>
  <si>
    <t>Kimberly Daniela Camacho Rodriguez</t>
  </si>
  <si>
    <t>Alejandra Marcela Galindo Páez</t>
  </si>
  <si>
    <t>Liseth Alejandra Hernandez Murcia</t>
  </si>
  <si>
    <t>ADRIANA PEÑA CAMELO</t>
  </si>
  <si>
    <t>Lucero Lucero Carvajal Puentes</t>
  </si>
  <si>
    <t>Yuli Banneza Parra Motta</t>
  </si>
  <si>
    <t>Jose Gerardo Marin Jaimes</t>
  </si>
  <si>
    <t>Martha Adriana Romero Peñaloza</t>
  </si>
  <si>
    <t>helibardo  Castañeda  Guiza</t>
  </si>
  <si>
    <t>Gabriela Gabriela Gonzalez  umaña</t>
  </si>
  <si>
    <t>Sofia Sofia Ospina Sandoval</t>
  </si>
  <si>
    <t>JOSE JOAQUIN MARTINEZ DIAZ</t>
  </si>
  <si>
    <t>Jose Alejandro Osorio Ramirez</t>
  </si>
  <si>
    <t>Yessica Yurani Castaño Arrieta</t>
  </si>
  <si>
    <t>Luisa Fernanda Rojas Bayona</t>
  </si>
  <si>
    <t>Andrea Fernanda Gelviz Mantilla</t>
  </si>
  <si>
    <t>Yeisi Pineda Gonzalez</t>
  </si>
  <si>
    <t>Ruben Dario Saa Momtaño</t>
  </si>
  <si>
    <t>Andres Santiago Tapiero Quesada</t>
  </si>
  <si>
    <t>ANGIE DANIELA PIRAGAUTA  RODRIGUEZ</t>
  </si>
  <si>
    <t>Juan Sebastian Gomez Veloza</t>
  </si>
  <si>
    <t>Erika Viviana Velasquez Mora</t>
  </si>
  <si>
    <t>Camilo Sebastian Villota Araujo</t>
  </si>
  <si>
    <t>DERLEY VIQUEZ MEDINA</t>
  </si>
  <si>
    <t>Laura Dayhan Alvarez Osorio</t>
  </si>
  <si>
    <t>Eliana Marcela Arroyo Navarro</t>
  </si>
  <si>
    <t>Daniel Felipe Castro Choconta</t>
  </si>
  <si>
    <t>SANDRA LUCELY MELO MELO</t>
  </si>
  <si>
    <t>Claudia Milena Payares Payares</t>
  </si>
  <si>
    <t>Francy Rocio Beltran Gonzalez</t>
  </si>
  <si>
    <t>Claudia Patricia Aleman Batallet</t>
  </si>
  <si>
    <t>Lucio Lucio Viera Cuero</t>
  </si>
  <si>
    <t>Danilo Enrique Insuasty Delgado</t>
  </si>
  <si>
    <t>Norida Naizaque Cufiño</t>
  </si>
  <si>
    <t>Angie Milena Buritica Gutierrez</t>
  </si>
  <si>
    <t>Deisy Carolina Linares Pantano</t>
  </si>
  <si>
    <t>Laura Tatiana Robledo Vargas</t>
  </si>
  <si>
    <t>yajaira coromoto palomino ramirez</t>
  </si>
  <si>
    <t>Silvia Fernanda Bautista Mantilla</t>
  </si>
  <si>
    <t>LEIDY REYES CORONEL</t>
  </si>
  <si>
    <t>Fredesminda Gaitan Molina</t>
  </si>
  <si>
    <t>Ana Maria Arias Vanegas</t>
  </si>
  <si>
    <t>Andres Felipe Patiño Soto</t>
  </si>
  <si>
    <t>Omar Ivan Murcia Melo</t>
  </si>
  <si>
    <t>Yonny Yonny Moreno Moreno</t>
  </si>
  <si>
    <t>Jessica Paola Jara Alba</t>
  </si>
  <si>
    <t>Orlando Orlando Rodriguez Mosquera</t>
  </si>
  <si>
    <t>Libia Rosa Garcia Collante</t>
  </si>
  <si>
    <t>Julian Samir Villalobos Barrios</t>
  </si>
  <si>
    <t>Karen Patricia Perez Molina</t>
  </si>
  <si>
    <t>Diego Leonardo Pinto Valencia</t>
  </si>
  <si>
    <t>Karen Astrid Farfan Vargas</t>
  </si>
  <si>
    <t>Raul Raul Cuesta Chaverra</t>
  </si>
  <si>
    <t>Giseth Carolina Durango Valencia</t>
  </si>
  <si>
    <t>Alejandro Andres Torres Garcia</t>
  </si>
  <si>
    <t>Jhon Alejandro  Urrego Garcia</t>
  </si>
  <si>
    <t>Juan David Herrera Cifuentes</t>
  </si>
  <si>
    <t>Kandy Lorena Gonzalez Sepulveda</t>
  </si>
  <si>
    <t>Julian David Giraldo Rueda</t>
  </si>
  <si>
    <t>JOHNNY  RAFAEL  DURANGO VERTEL</t>
  </si>
  <si>
    <t>Leydi Dahianna Popo Montenegro</t>
  </si>
  <si>
    <t>Nelson David Velasquez Correa</t>
  </si>
  <si>
    <t>Leidy Yohana Miranda Zamora</t>
  </si>
  <si>
    <t>Martha Cecilia Sanchez Amaya</t>
  </si>
  <si>
    <t>Jaime Andres Gonzalez Gomez</t>
  </si>
  <si>
    <t>BLANCA NIDIA RAMOS VIUDARTE</t>
  </si>
  <si>
    <t>Eduardo Luis Rada Tejeda</t>
  </si>
  <si>
    <t>Sharmel Tatiana Pedraza Fernandez</t>
  </si>
  <si>
    <t>Emilce  Velandia  Diaz</t>
  </si>
  <si>
    <t>Karoll Mariana Flórez Arenas</t>
  </si>
  <si>
    <t>Sara Sara Rivero Rivero</t>
  </si>
  <si>
    <t>Angie Viviana Ramirez Patiño</t>
  </si>
  <si>
    <t>Tatiana Milena Giraldo Cañaveral</t>
  </si>
  <si>
    <t>Yesenia Maritza Rivera Rivera</t>
  </si>
  <si>
    <t>Julian David Parra Anzola</t>
  </si>
  <si>
    <t>Karen Jelitza Puerta Meza</t>
  </si>
  <si>
    <t>Yina Luz Manotas Hernandez</t>
  </si>
  <si>
    <t>PEDRO PABLO BARAJAS ESPINOSA</t>
  </si>
  <si>
    <t>Diana De jesus Delgado Benavides</t>
  </si>
  <si>
    <t>Angie Lizeth Chaparro Blanco</t>
  </si>
  <si>
    <t>Darwin Arbey arbey Hernández Baquero</t>
  </si>
  <si>
    <t>Lidia Stella Buitrago Ramirez</t>
  </si>
  <si>
    <t>Nataly Patricia Araujo Diaz</t>
  </si>
  <si>
    <t xml:space="preserve">Alison Zhari Cardoso  Jaramillo </t>
  </si>
  <si>
    <t>Luis Eduardo Quintero Castillejo</t>
  </si>
  <si>
    <t>Leonardo Octavio Thowinsson Vides</t>
  </si>
  <si>
    <t>Gabriel Jaime Yanez Pertus</t>
  </si>
  <si>
    <t>Sebastian Sebastian Sepulveda Vargas</t>
  </si>
  <si>
    <t>Diana Marcela Aguirre Vargas</t>
  </si>
  <si>
    <t>Blas Emiro Paz Wilches</t>
  </si>
  <si>
    <t>Lilia Eugenia Montaño Granja</t>
  </si>
  <si>
    <t>Jhan Carlos Mairongo Plata</t>
  </si>
  <si>
    <t>Christian Johnatan  Prieto  Mondrafon</t>
  </si>
  <si>
    <t>Laura Viviana Igarrero Martínez</t>
  </si>
  <si>
    <t>Any Catalina Lopez Rondon</t>
  </si>
  <si>
    <t>Sommy Londoño Diaz</t>
  </si>
  <si>
    <t>Yelissa Elacio Robledo Gamboa</t>
  </si>
  <si>
    <t>Karen Ximena Ariza Mosquera</t>
  </si>
  <si>
    <t>EDNA JULIETH MUNEVAR ARIZA</t>
  </si>
  <si>
    <t>RUTH MARIA vallecilla  ocampo</t>
  </si>
  <si>
    <t>Maria Fernanda Zapata Gomez</t>
  </si>
  <si>
    <t>Steven Antonio Mejia Acuña</t>
  </si>
  <si>
    <t>Johan Sebastian Forero Acero</t>
  </si>
  <si>
    <t>Ivonne Yarledy Vasquez Herrera</t>
  </si>
  <si>
    <t>Marisol Marisol Cristiano Guarin</t>
  </si>
  <si>
    <t>Katherine Katherine Bolaños Bolaños</t>
  </si>
  <si>
    <t xml:space="preserve">Jennifer Juliana  Ferro  Ortegon </t>
  </si>
  <si>
    <t>Jessica Alejandra Naranjo Restrepo</t>
  </si>
  <si>
    <t>MARIA ADORCINDA VEGA FRANCO</t>
  </si>
  <si>
    <t>Juan Pablo Cuervo Avila</t>
  </si>
  <si>
    <t>Mayerly Mayerly Uribe Sanchez</t>
  </si>
  <si>
    <t>Ivan Daniel Espitia Cuadros</t>
  </si>
  <si>
    <t>humberto manuel  avilez simanca</t>
  </si>
  <si>
    <t>Martin Rafael Sierra Aleman</t>
  </si>
  <si>
    <t>Jose Manuel Bermejo Herazo</t>
  </si>
  <si>
    <t>Luisa Fernanda Daza Martinez</t>
  </si>
  <si>
    <t>Narly Yarlet Mosquera Pino</t>
  </si>
  <si>
    <t>Jeimmy Katherine Granados Granados</t>
  </si>
  <si>
    <t>Leydis Paola Romero Medina</t>
  </si>
  <si>
    <t>Sandra Patricia Murillo Hurtado</t>
  </si>
  <si>
    <t>Roxana Isabel Rico Castro</t>
  </si>
  <si>
    <t>Diana Mileidy Fernandez Vargas</t>
  </si>
  <si>
    <t>Lina Patricia Beitar Cuello</t>
  </si>
  <si>
    <t>William Antonio Yepes Jutinico</t>
  </si>
  <si>
    <t>Albeliz Arianna Rodriguez Pico</t>
  </si>
  <si>
    <t>Karent Plazas Plazas</t>
  </si>
  <si>
    <t>Merles Delcarmen Sarmiento Romero</t>
  </si>
  <si>
    <t xml:space="preserve">Blanca Bustos </t>
  </si>
  <si>
    <t>Leonardo Leonardo Murillo Correa</t>
  </si>
  <si>
    <t>Juanita Juanita Galeano Diaz</t>
  </si>
  <si>
    <t>María Angélica Rivera Rivera</t>
  </si>
  <si>
    <t>Kennis Paola Caballero Caro</t>
  </si>
  <si>
    <t>Carmen Gladis López Rojas</t>
  </si>
  <si>
    <t>Sandra Milena Acosta Rodriguez</t>
  </si>
  <si>
    <t>Pablo Steven Martinez Dimas</t>
  </si>
  <si>
    <t>LIZMARY JOSEFINA ANDRIOLY  AREVALO</t>
  </si>
  <si>
    <t>MARILIN BELLIDO GONZALEZ</t>
  </si>
  <si>
    <t>Azael Humberto Hernandez Garcia</t>
  </si>
  <si>
    <t>Martha Lucia Gutierrez Rios</t>
  </si>
  <si>
    <t>Paola Andrea Reyes Hueso</t>
  </si>
  <si>
    <t>Angela Yulieth Rivera Gil</t>
  </si>
  <si>
    <t>DIANA PATRICIA  DEMLA OSSA  BRAVO</t>
  </si>
  <si>
    <t>Amanda Patricia Gonzalez Guerrero</t>
  </si>
  <si>
    <t>Jasson Yair Rivas Mosquera</t>
  </si>
  <si>
    <t>angela berenice  baez fetecua</t>
  </si>
  <si>
    <t>Salome Salome Vega Mejia</t>
  </si>
  <si>
    <t xml:space="preserve">Erika Johana Vargas  Gutiérrez </t>
  </si>
  <si>
    <t>Victor Alfonso Guerrero Ariztizabal</t>
  </si>
  <si>
    <t>Valentina Valentina Moreno González</t>
  </si>
  <si>
    <t xml:space="preserve">Nathalia  Carrillo García </t>
  </si>
  <si>
    <t>Julian Jancarlo Acero Saenz</t>
  </si>
  <si>
    <t>FUNDAMENTOS D PROGRAMACIÓN VIR</t>
  </si>
  <si>
    <t>Astrid Johana  Beltran Bejarano</t>
  </si>
  <si>
    <t>Julian Giovanny Bohorquez Gonzalez</t>
  </si>
  <si>
    <t>Yeni Paola Vallejo Usme</t>
  </si>
  <si>
    <t>Alveiro Angulo  Alegria</t>
  </si>
  <si>
    <t>Maryi Yulieh Martinez Diaz</t>
  </si>
  <si>
    <t>wendy vanesa  acosta puentes</t>
  </si>
  <si>
    <t>Blanca Ruby Garcia Urueña</t>
  </si>
  <si>
    <t>Daniel Felipe Rodriguez Franco</t>
  </si>
  <si>
    <t>ECONOMIA VIRT</t>
  </si>
  <si>
    <t>Cristian Duvan Malaver Quintero</t>
  </si>
  <si>
    <t>Luisa Fernanda Plata Trejos</t>
  </si>
  <si>
    <t>Diana Alexandra Alvis Benavides</t>
  </si>
  <si>
    <t>briyith paola villamizar castro</t>
  </si>
  <si>
    <t>ELKIN ANDRES BELTRAN MONTOYA</t>
  </si>
  <si>
    <t>Merqui Nebaldo  Cordoba Benitez</t>
  </si>
  <si>
    <t>Diana Carolina  Rodríguez  Martín</t>
  </si>
  <si>
    <t>Leidy Johana Aza Guancha</t>
  </si>
  <si>
    <t xml:space="preserve">Gloria  Bonilla  Bonilla </t>
  </si>
  <si>
    <t>Karina Estela Medina Medina</t>
  </si>
  <si>
    <t>William Guiovanny Martinez Lievano</t>
  </si>
  <si>
    <t>Juan Carlos Arevalo Martínez Arevalo Martínez</t>
  </si>
  <si>
    <t>Alfonso Alejandro  Ruiz Velasquez</t>
  </si>
  <si>
    <t>Denys Denys Niño Puello</t>
  </si>
  <si>
    <t>Sharith Dayana Rugeles Diaz</t>
  </si>
  <si>
    <t>Julieth Paola Chacon Garcia garcia</t>
  </si>
  <si>
    <t>David Esteban Marin Ossa</t>
  </si>
  <si>
    <t>maira alejandra roa velez</t>
  </si>
  <si>
    <t>Luis Alfonso correa Barbosa</t>
  </si>
  <si>
    <t>Patricia Patricia Gonzalez Martinez</t>
  </si>
  <si>
    <t>Daniela Daniela Oviedo Carvajal</t>
  </si>
  <si>
    <t>Geraldine Geraldine Jaramillo Ocampo</t>
  </si>
  <si>
    <t>Stephania Stephania Godoy Montoya</t>
  </si>
  <si>
    <t>Hector Fabian Segura Barragán</t>
  </si>
  <si>
    <t>David Eduardo Bernal Rodriguez</t>
  </si>
  <si>
    <t>Dumar Alfredo Garcia Sepulveda</t>
  </si>
  <si>
    <t>Luis Mario Martinez Martelo</t>
  </si>
  <si>
    <t>Darwin Andres Asprilla Leudo</t>
  </si>
  <si>
    <t>José Álvaro  Lara Manosalva</t>
  </si>
  <si>
    <t>Andrea Carolina Yaspe Iriarte</t>
  </si>
  <si>
    <t>RAUL TAYLOR  ROMERO SARMIENTO</t>
  </si>
  <si>
    <t>Maria Alejandra Fragozo Cabarcas</t>
  </si>
  <si>
    <t>Jorge Isacc Alape Navarro</t>
  </si>
  <si>
    <t>Alfredo Triviño Almario</t>
  </si>
  <si>
    <t>Diego Fernando Rocha Lopez</t>
  </si>
  <si>
    <t>Andres Fernando Mejia Zuluaga</t>
  </si>
  <si>
    <t>Virginia Amparo España Cruz</t>
  </si>
  <si>
    <t>Robin Stiven Mendoza Mosquera</t>
  </si>
  <si>
    <t>Sara Ximena Jaimes Chaparro</t>
  </si>
  <si>
    <t>SEBASTIAN JARAMILLO MEZA</t>
  </si>
  <si>
    <t>Juan David Ruiz Artunduaga</t>
  </si>
  <si>
    <t>Angélica Lorena Quintero Díaz</t>
  </si>
  <si>
    <t>Angie Yurany Turbay Varila</t>
  </si>
  <si>
    <t>Jorge Luis Barrero Sot¿</t>
  </si>
  <si>
    <t>Karen Vannesa Torrez Ibañez</t>
  </si>
  <si>
    <t>Carol Nikol Gil Betancourt</t>
  </si>
  <si>
    <t>Daniel Felipe Bata Hernández</t>
  </si>
  <si>
    <t>Maria Del pilar Sánchez Olave</t>
  </si>
  <si>
    <t xml:space="preserve">Martha Yaneth Yoris </t>
  </si>
  <si>
    <t>Elmer Arnoby Panche Chocue</t>
  </si>
  <si>
    <t>Saylin Yuveily Perea Cuesta</t>
  </si>
  <si>
    <t>Dila Maritza Guerrero Isariza</t>
  </si>
  <si>
    <t>Brayan Steven Sanchez Lopez</t>
  </si>
  <si>
    <t>Leonardo Fabio Mestra Peñate</t>
  </si>
  <si>
    <t>Laura Camila Monroy Zarate</t>
  </si>
  <si>
    <t>Yulimar Yulimar Martinez Julio</t>
  </si>
  <si>
    <t>Luisa Fernanda Cortés Marín</t>
  </si>
  <si>
    <t>Angel Julian Vegas Castillo</t>
  </si>
  <si>
    <t>Lina Vanessa García Sarmiento</t>
  </si>
  <si>
    <t>Yuli Patricia Nava Martínez</t>
  </si>
  <si>
    <t>Héctor  Rangel Lizarazo</t>
  </si>
  <si>
    <t>Hector Eduardo  Piraneque Sarria</t>
  </si>
  <si>
    <t>Jairo Andres Quiceno Duque</t>
  </si>
  <si>
    <t>Alberto segundo  Manjarrez  Iglesia</t>
  </si>
  <si>
    <t>Sandra Marcela Canoles Torres</t>
  </si>
  <si>
    <t>Dayanna Shirley Sanchez Baquero</t>
  </si>
  <si>
    <t>Leidy Laura Arias Arias</t>
  </si>
  <si>
    <t>Valentina Valentina Muñoz Salazar</t>
  </si>
  <si>
    <t>Anyi Sofia Peteche Hernandez</t>
  </si>
  <si>
    <t>Anyela Tatiana Martín Benavides</t>
  </si>
  <si>
    <t>Jessica Tatiana Rodriguez Rocha</t>
  </si>
  <si>
    <t>Candy Yanela Suarez Cerpa</t>
  </si>
  <si>
    <t>Daniel Fernando Dorado Cabrera</t>
  </si>
  <si>
    <t>Luz Mery  Florez  Mena</t>
  </si>
  <si>
    <t>efreen andres martinez daza</t>
  </si>
  <si>
    <t>ANDRES BREHMEN ORTIZ CRUZ</t>
  </si>
  <si>
    <t>Diana Melissa Astaiza Muñoz</t>
  </si>
  <si>
    <t>David Ricardo Ortiz Luna</t>
  </si>
  <si>
    <t>Paulo Cesar Urbina Zuñiga</t>
  </si>
  <si>
    <t>JAVIER ALEXANDER COLMENARES VARGAS</t>
  </si>
  <si>
    <t>Damith Paola Mendoza Posso</t>
  </si>
  <si>
    <t>Karen Ximena Baquero Penagos</t>
  </si>
  <si>
    <t xml:space="preserve">ANA MARIA  CASTILLO  RETAMOZO </t>
  </si>
  <si>
    <t>Erika María naranjo  rincón</t>
  </si>
  <si>
    <t>Jhan Carlos Fontalvo Atencio</t>
  </si>
  <si>
    <t>Monica Delpilar Delgado Legarda</t>
  </si>
  <si>
    <t>GLORIA CECILIA ORDUZ  LENES</t>
  </si>
  <si>
    <t>ASTRID VIVANA LOPEZ BOTERO</t>
  </si>
  <si>
    <t>NORYS SELDA  CONTRERAS  GUTIERREZ</t>
  </si>
  <si>
    <t>Ingrid Johana Gracia Cedeño cedeño</t>
  </si>
  <si>
    <t>JULIO CESAR HERRRERA MESA</t>
  </si>
  <si>
    <t>SEM PRO DIR ES Y COM IA CI VIR</t>
  </si>
  <si>
    <t>Santiago Santiago Bermudez Sandoval</t>
  </si>
  <si>
    <t>Jazmin Andrea Torres Gutierrez</t>
  </si>
  <si>
    <t>Edwin Alonso Avendaño Segovia</t>
  </si>
  <si>
    <t>Panfilo Valdez Cañate</t>
  </si>
  <si>
    <t>Dindolfo Morales Morales</t>
  </si>
  <si>
    <t>ZULY SOCORRO CABRERA OROZCO</t>
  </si>
  <si>
    <t>Dora Ines Moreno Acosta</t>
  </si>
  <si>
    <t>Gilma marcela  Briceño  Palacios</t>
  </si>
  <si>
    <t>Yorledys Yorledys Mena Prestan</t>
  </si>
  <si>
    <t>Juan Diego Ortega Anaya</t>
  </si>
  <si>
    <t>EDILMA TORRES SANCHEZ</t>
  </si>
  <si>
    <t>Doris Amanda Rodriguez Lugo</t>
  </si>
  <si>
    <t>Jesus Alberto David Cisneros</t>
  </si>
  <si>
    <t>Sandra Milena Garcia Gonzalez</t>
  </si>
  <si>
    <t>Rosa Maria Rueda Pico</t>
  </si>
  <si>
    <t>Angie Daniela Insuasty Eraso</t>
  </si>
  <si>
    <t>Mercedes Lucia Naranjo Rojas</t>
  </si>
  <si>
    <t>Juan daniel Polo Valderrama</t>
  </si>
  <si>
    <t>Jose Manuel Olea Yanes</t>
  </si>
  <si>
    <t>Luis Carlos Hernandez Aguas</t>
  </si>
  <si>
    <t>Maria Fernanda Cuaran Mueses</t>
  </si>
  <si>
    <t xml:space="preserve">Carlos Camilo Olaya  Galindo </t>
  </si>
  <si>
    <t>Lady Fernanda Pinzon Devia</t>
  </si>
  <si>
    <t>Maria Natalia Betancourt Celis</t>
  </si>
  <si>
    <t>Jeimmy Johana Silva Quintero</t>
  </si>
  <si>
    <t xml:space="preserve">Juan David  Lara  Cárdenas </t>
  </si>
  <si>
    <t>Angie Paola Gonzalez Ruiz</t>
  </si>
  <si>
    <t>Luz Aida Gutierrez Sanchez</t>
  </si>
  <si>
    <t>HECTOR MANUEL CAMACHO  RINCON</t>
  </si>
  <si>
    <t>Andrés Steven Orjuela Fuentes</t>
  </si>
  <si>
    <t>Maria Alejandra Tibaduiza Leon</t>
  </si>
  <si>
    <t>JUVER MURILLO MORENO</t>
  </si>
  <si>
    <t>clelia perea posso</t>
  </si>
  <si>
    <t>Erika Patricia Lafaurie Lacouture</t>
  </si>
  <si>
    <t>Isabela Isabela Martinez Osuna</t>
  </si>
  <si>
    <t>BIBIANA ELISA CASTRO MORALES</t>
  </si>
  <si>
    <t>Norcy Maria Ortega Pineda</t>
  </si>
  <si>
    <t>Sharon Vanessa Barreto Parra</t>
  </si>
  <si>
    <t>Diana Patricia Camargo Corredor</t>
  </si>
  <si>
    <t>nydia liliana  aya barbosa</t>
  </si>
  <si>
    <t>Brayan Estiven Bernal Calderon</t>
  </si>
  <si>
    <t>Shirley Shirley Gutierrez Garcia</t>
  </si>
  <si>
    <t>Edna Katherin Paja Bernal</t>
  </si>
  <si>
    <t>Andrea Carolina Ramos Arrieta</t>
  </si>
  <si>
    <t>kely Magdalena Gutiérrez Aguirre</t>
  </si>
  <si>
    <t>Anderson Obdulio Vargas Chavarro</t>
  </si>
  <si>
    <t>Nicolle Valentina Tique Correa</t>
  </si>
  <si>
    <t>yessica marlen mejia naranjo</t>
  </si>
  <si>
    <t>Ricardo Ricardo Rueda Robayo</t>
  </si>
  <si>
    <t>ESP EN ANALI Y BIG DATA VIR</t>
  </si>
  <si>
    <t>Maritza  GONZALEZ CHILITO</t>
  </si>
  <si>
    <t xml:space="preserve">Jhonny Andrés  Benítez  Urrego </t>
  </si>
  <si>
    <t>Pablo Andres Falla Garavito</t>
  </si>
  <si>
    <t>Johana Johana Madrid Gonzalez</t>
  </si>
  <si>
    <t>Yenny Gabriela Tolosa Calderon</t>
  </si>
  <si>
    <t xml:space="preserve">Jairo Humberto  Rivera  León </t>
  </si>
  <si>
    <t>Mariana Alejandra Duran Basabe</t>
  </si>
  <si>
    <t>Daniel Fernando Hortua Reyes</t>
  </si>
  <si>
    <t>Hamilton Javier Nisperuza Toribio</t>
  </si>
  <si>
    <t>Dayarly Dayarly Gutiérrez Bohorquez</t>
  </si>
  <si>
    <t>STIVEN ARBEY USUGA CASAS</t>
  </si>
  <si>
    <t>Daniel Santamaria Constante</t>
  </si>
  <si>
    <t>Orlando Orlando Ramirez Garridoo</t>
  </si>
  <si>
    <t>Michael Steven Méndez Parra</t>
  </si>
  <si>
    <t>Mariela Barreto Carvajal</t>
  </si>
  <si>
    <t>wendy Daniela  Rincon Barbosa</t>
  </si>
  <si>
    <t>Kelis Jhoana Paz Barbosa</t>
  </si>
  <si>
    <t>Luznelly Luznelly Altamar Guerrero</t>
  </si>
  <si>
    <t xml:space="preserve">olga beatriz santos </t>
  </si>
  <si>
    <t>Jannier Julian Mendez Otavo</t>
  </si>
  <si>
    <t>Jostin Andrey Mora Mosquera</t>
  </si>
  <si>
    <t>JOSE CRISTOBAL CASTIBLANCO CORTES</t>
  </si>
  <si>
    <t xml:space="preserve">Darlin Eliza  Murillo Moreno </t>
  </si>
  <si>
    <t>EDILTON JOSE CAICEDO CONTRERAS</t>
  </si>
  <si>
    <t>Maria Camila Chavez Martinez</t>
  </si>
  <si>
    <t>Erick Andrés Cruz Joya</t>
  </si>
  <si>
    <t>Lila Margarita  Sarmiento  Torralvo</t>
  </si>
  <si>
    <t xml:space="preserve">Agripina De Jesus  Molina Ternera </t>
  </si>
  <si>
    <t xml:space="preserve">Luis Emilio  Molina  Púa </t>
  </si>
  <si>
    <t>Daniela Vanesa Carpintero Granados</t>
  </si>
  <si>
    <t>Deisy Viviana Salazar Portillo</t>
  </si>
  <si>
    <t>Daniel Ricardo Rojas Mosquera</t>
  </si>
  <si>
    <t>Maia Catalina Escobar Duran</t>
  </si>
  <si>
    <t>Claudia  Valbuena   Chaves</t>
  </si>
  <si>
    <t>Sandra Viviana Jiménez Daza</t>
  </si>
  <si>
    <t>Adriana Yasmin Ruiz Alvarez</t>
  </si>
  <si>
    <t>lisver dahiana canola rojas</t>
  </si>
  <si>
    <t>Maria Fernanda Ortiz Ospina</t>
  </si>
  <si>
    <t>Juan Fernando  Trujillo Murillo</t>
  </si>
  <si>
    <t>Nury Gisela Morales Bautista</t>
  </si>
  <si>
    <t>Shirley Shirley Vallejo Caicedo</t>
  </si>
  <si>
    <t>Zuly Andreyna Ruano Madroñero</t>
  </si>
  <si>
    <t>Emilena Emilena Pimienta Conde</t>
  </si>
  <si>
    <t>amanda  castillo  gaitan</t>
  </si>
  <si>
    <t>jhoana katherine silva urbano</t>
  </si>
  <si>
    <t>Cesar Augusto  Camacho Velasco</t>
  </si>
  <si>
    <t>Ana Maria Franco Peralta</t>
  </si>
  <si>
    <t>Leidy Tatiana  Cardozo Quesada</t>
  </si>
  <si>
    <t>Emerita Rosa Rojas Mendez</t>
  </si>
  <si>
    <t>SECREF</t>
  </si>
  <si>
    <t>Darly Estefania  Jimenez Acosta</t>
  </si>
  <si>
    <t>CUR MOD GRADO ESP CIBERSEG VIR</t>
  </si>
  <si>
    <t>Maria Camila Patiño Betancur</t>
  </si>
  <si>
    <t>Mauricio Mauricio Mendez Alvarado</t>
  </si>
  <si>
    <t>katerine  estupiñan estupiñan</t>
  </si>
  <si>
    <t>Diana Marcela Rueda Pinzon</t>
  </si>
  <si>
    <t>Leonardo Jose Rojas Castiblanco</t>
  </si>
  <si>
    <t>DIANA MILENA PATARROYO RUBIANO</t>
  </si>
  <si>
    <t>Sebastian Sebastian Gaviria Martinez</t>
  </si>
  <si>
    <t>Julio Eduardo Cumaco Roncancio</t>
  </si>
  <si>
    <t>Nathalia Catalina Calvache Ceron</t>
  </si>
  <si>
    <t>Vanesa Vanesa Cano Gomez</t>
  </si>
  <si>
    <t>Gabriel Palacios Castro1</t>
  </si>
  <si>
    <t>Camila Estefania Estrada Guerrero</t>
  </si>
  <si>
    <t>Bianca Michel Arizala Quiñones</t>
  </si>
  <si>
    <t>Ludy Yamile Pinzón Alvarado alvarado</t>
  </si>
  <si>
    <t>María Jose Luna Piñeres</t>
  </si>
  <si>
    <t>Angel David Rivera Silva</t>
  </si>
  <si>
    <t>Isis Isabel Cuello Diaz</t>
  </si>
  <si>
    <t>Arcenio Alberto  Jimenez Guerra</t>
  </si>
  <si>
    <t xml:space="preserve"> Dikcson  Rentería  Mosquera</t>
  </si>
  <si>
    <t>Herly Johana Cuellar Sogamoso</t>
  </si>
  <si>
    <t>Yocaris  Farelo  Ruiz</t>
  </si>
  <si>
    <t>Leydis Carolina Florian Becerra</t>
  </si>
  <si>
    <t>Mariela Gomez Erazo</t>
  </si>
  <si>
    <t>Maria Isabel Caicedo Botero</t>
  </si>
  <si>
    <t>Luis Hernan Mendoza Laguna</t>
  </si>
  <si>
    <t>Ivan Andres Montero Perez</t>
  </si>
  <si>
    <t>Julieth Elisa Vera Sanchez</t>
  </si>
  <si>
    <t>Juan David Gómez Mancipe</t>
  </si>
  <si>
    <t>Ismael Villalba  Ramirez</t>
  </si>
  <si>
    <t xml:space="preserve">Yudi Alejandra  Baron  </t>
  </si>
  <si>
    <t>Cindy Lizeth Suárez Gómez</t>
  </si>
  <si>
    <t xml:space="preserve">José Ariel Valencia  Valencia </t>
  </si>
  <si>
    <t>Karen Liset Londoño Villada</t>
  </si>
  <si>
    <t>Laura Sofia Rivera Martin</t>
  </si>
  <si>
    <t>Vilma Consuelo Almario Chala</t>
  </si>
  <si>
    <t>Genny Katerine Peña Charry</t>
  </si>
  <si>
    <t>Tatiana Tatiana Núñes Valderrama</t>
  </si>
  <si>
    <t>Maria Fernanda Huertas Vargas</t>
  </si>
  <si>
    <t>Carlos Jose Alvarado  Nuñez</t>
  </si>
  <si>
    <t>WILMAN  ANTE MUÑOZ</t>
  </si>
  <si>
    <t>Carlos Felipe Lozano Moreno</t>
  </si>
  <si>
    <t>Leydis Ana Arroyo Laguna</t>
  </si>
  <si>
    <t>Mineya Del Carmen Ramirez Diaz</t>
  </si>
  <si>
    <t>Angie Lizeth Ramos Vallecilla</t>
  </si>
  <si>
    <t>Diana Marcela Tunjano Valvuena</t>
  </si>
  <si>
    <t>CECILIA JAIME MIER</t>
  </si>
  <si>
    <t>KAROL JULIANA PEREZ GARCIA</t>
  </si>
  <si>
    <t>Jonatan David  Marentes  Vasquez</t>
  </si>
  <si>
    <t>Lucy Esperanza  Ortega  Florez</t>
  </si>
  <si>
    <t>Andrea Andrea Martinez Martinez</t>
  </si>
  <si>
    <t>milton rengifo urbano</t>
  </si>
  <si>
    <t>LAUREN VALENTINA ORDUÑA RODRIGUEZ</t>
  </si>
  <si>
    <t>ERIKA JOHANNA BOCANEGRA VIVAS</t>
  </si>
  <si>
    <t>Zulay Jiseth Gutierrez Granados</t>
  </si>
  <si>
    <t>Sonia Cecilia Arevalo Rodríguez</t>
  </si>
  <si>
    <t>Gustavo Alejandro Valderrama Vidal</t>
  </si>
  <si>
    <t>Maira Yiseth Mosquera Mosquera</t>
  </si>
  <si>
    <t>Andres Felipe Quintero Quintero</t>
  </si>
  <si>
    <t>Geyber Orley Rojas Martinez</t>
  </si>
  <si>
    <t>Melco Elquicedec Gonzalez Diaz</t>
  </si>
  <si>
    <t>Nabia Luz Villera Monterrosa</t>
  </si>
  <si>
    <t>Dalcis Cerpa  Amolinar</t>
  </si>
  <si>
    <t>Ana María Obando Quiñones</t>
  </si>
  <si>
    <t>Eidis Viviana Guevara Rodriguez</t>
  </si>
  <si>
    <t>Kimberly Tatiana Bolivar Vela</t>
  </si>
  <si>
    <t>Gustavo Alejandro Perez Montenegro</t>
  </si>
  <si>
    <t xml:space="preserve">Edna Camila  Guarnizo  Castro </t>
  </si>
  <si>
    <t>Daniela Alejandra Ceballos Córdoba</t>
  </si>
  <si>
    <t xml:space="preserve">Carlos Adrian Osorio </t>
  </si>
  <si>
    <t>Eilen Fernanda Valderrama Nitola</t>
  </si>
  <si>
    <t>Zarick Mariana Muñoz Ardila</t>
  </si>
  <si>
    <t>Lidia Stefanny Toledo González</t>
  </si>
  <si>
    <t xml:space="preserve">María Verónica  Henao  Trujillo </t>
  </si>
  <si>
    <t>Daniel Felipe Jaramillo Pimentel</t>
  </si>
  <si>
    <t>Leydi Tatiana Cabrera Guamialamag</t>
  </si>
  <si>
    <t xml:space="preserve">Claudia Gisella Cañaveral  Hernández </t>
  </si>
  <si>
    <t>Lisbeth Lisbeth Galvis Fuentes</t>
  </si>
  <si>
    <t>Luis Javier  Morales   Sarmiento</t>
  </si>
  <si>
    <t>Evelyn Camila Mojica Melo</t>
  </si>
  <si>
    <t>Kerly Yohanna Cabrera Gonzalez</t>
  </si>
  <si>
    <t>ANA CARMELA  RUIZ MARTINEZ</t>
  </si>
  <si>
    <t>Alejandro Alejandro Calderón Vásquez</t>
  </si>
  <si>
    <t>Nestor Fabian Rodriguez Navarro</t>
  </si>
  <si>
    <t>Santiago Santiago Arenas David</t>
  </si>
  <si>
    <t>Maye Gabriela  Guerrero  Erazo</t>
  </si>
  <si>
    <t>Carmen Julia Gomez Ochoa</t>
  </si>
  <si>
    <t>CAROL ZOLANYI MORENO SEGURA</t>
  </si>
  <si>
    <t>Manyibeb Lisbet Echeverri Buritica</t>
  </si>
  <si>
    <t>Paula Fernanda Silva Alvarez</t>
  </si>
  <si>
    <t>Ingrid Tatiana Porras Gomez</t>
  </si>
  <si>
    <t>Cesar Eliecer Cardenas Amado</t>
  </si>
  <si>
    <t>Nubia Chaparro Gonzalez</t>
  </si>
  <si>
    <t>Wilman Enrique Tabera Vasquez</t>
  </si>
  <si>
    <t>Dayana Alejandra Paz Valencia</t>
  </si>
  <si>
    <t>Franklin Darío Rodríguez Durango</t>
  </si>
  <si>
    <t>Yesly Daniela Lopez Tejedor</t>
  </si>
  <si>
    <t>Marian Michell Guzmán Martínez</t>
  </si>
  <si>
    <t>Ingrid Yesenia Montealegre Rojas</t>
  </si>
  <si>
    <t>Santiago Santiago Hurtado Gomez</t>
  </si>
  <si>
    <t>Gina Marcela Torres Daza</t>
  </si>
  <si>
    <t>Diana Emilce Villamil Duran</t>
  </si>
  <si>
    <t>Amy Joanna Bocachica Sabogal</t>
  </si>
  <si>
    <t>Jose Luis Rodriguez Castillo</t>
  </si>
  <si>
    <t>Karol Julieth Pulido Vega</t>
  </si>
  <si>
    <t>Yudy Liliana Hortua Arevalo</t>
  </si>
  <si>
    <t>Valentina Valentina Méndez Orozco</t>
  </si>
  <si>
    <t>Daniel Andres Collazos Escobar</t>
  </si>
  <si>
    <t>Adriana Marcela Osuna Ramirez</t>
  </si>
  <si>
    <t>Angela Maria Vasquez Pacheco</t>
  </si>
  <si>
    <t>Andres Camilo Bolaños Millan</t>
  </si>
  <si>
    <t>Lauren Stiven Caro Muñoz</t>
  </si>
  <si>
    <t>Faysully Faysully Chica Ordoñez</t>
  </si>
  <si>
    <t>Franci Yurani Pinilla Ortiz</t>
  </si>
  <si>
    <t>Jamilton Leandro Ceron Lasso</t>
  </si>
  <si>
    <t>Diana Milena Fonseca Chaparro</t>
  </si>
  <si>
    <t>Yibiney Yibiney Jimenez Hernandez</t>
  </si>
  <si>
    <t>Herminda Vargas Cuellar</t>
  </si>
  <si>
    <t>Wendy Katherine Gutierrez Reyes reyes</t>
  </si>
  <si>
    <t>Leidy Yamile Perez Penagos</t>
  </si>
  <si>
    <t>Juan David Rodriguez Reyes</t>
  </si>
  <si>
    <t>paula andrea pineda sanchez</t>
  </si>
  <si>
    <t>Imar De jesús Saltarin Arteta</t>
  </si>
  <si>
    <t xml:space="preserve">Deibis Cerpa Amolinar </t>
  </si>
  <si>
    <t>Michelle Valeria Pisso Suns</t>
  </si>
  <si>
    <t>Ana sofia Quevedo Morales</t>
  </si>
  <si>
    <t>Nini Jhojana Olmos Ruiz</t>
  </si>
  <si>
    <t>Jhonathan Sneider Galeano Almanza</t>
  </si>
  <si>
    <t>Ever Elin Cuesta Renteria</t>
  </si>
  <si>
    <t>ALEXANDER ANAYA SIERRA</t>
  </si>
  <si>
    <t>DIDIER GONZALO SALAZAR TORRES</t>
  </si>
  <si>
    <t>Liceth Yureydy Martinez Gasca</t>
  </si>
  <si>
    <t>armando beleño bolaño</t>
  </si>
  <si>
    <t>Davinson Ernesto  Rubio Burgos</t>
  </si>
  <si>
    <t>Francy  Contreras  Daza</t>
  </si>
  <si>
    <t xml:space="preserve">Luz Angélica  Peña  Castiblanco </t>
  </si>
  <si>
    <t>Brayan Andrey Cardona Frayle</t>
  </si>
  <si>
    <t>Gloria María García Henao</t>
  </si>
  <si>
    <t>Ketty Yohanna Villalba Nuñez</t>
  </si>
  <si>
    <t>Maritza Isabel Castro Moron</t>
  </si>
  <si>
    <t>Astrid Mildreth Noriega Navarro</t>
  </si>
  <si>
    <t>Alvaro Alonso  Lengua  Diaz</t>
  </si>
  <si>
    <t>Jean Carlos Porras Orjuela</t>
  </si>
  <si>
    <t>Deisy Paola Suarez Tejero</t>
  </si>
  <si>
    <t>Blanca Ester Vargas Perez</t>
  </si>
  <si>
    <t>Natalia Marcela Toro Delgado</t>
  </si>
  <si>
    <t>Laura Alexsandra Camargo Calderon</t>
  </si>
  <si>
    <t>Yaddy Magaly Inchima Ruiz</t>
  </si>
  <si>
    <t>Yeny Fer Polo Torres</t>
  </si>
  <si>
    <t>Ana Felisa  Angarita  Mendivelso</t>
  </si>
  <si>
    <t>Juan David Gonzalez Bedon</t>
  </si>
  <si>
    <t>Ciro Emilio López López</t>
  </si>
  <si>
    <t xml:space="preserve">maria claudia rodriguez </t>
  </si>
  <si>
    <t>Monica Liliana Sandoval Vallejo</t>
  </si>
  <si>
    <t>Walter Antonio Chavez Polo</t>
  </si>
  <si>
    <t>Luisa Fernanda Garzon Ortiz</t>
  </si>
  <si>
    <t>Jhon Neison Vargas  Roldan</t>
  </si>
  <si>
    <t>Daniela Andrea Hernández Alvarado</t>
  </si>
  <si>
    <t>Leidy Catherine Muñoz Rodriguez</t>
  </si>
  <si>
    <t>TORIBIA ANTONIA DAVILA ARENILLA</t>
  </si>
  <si>
    <t>Angelly Juliana Castillo Cruz</t>
  </si>
  <si>
    <t>HECTOR MANUEL BELTRAN BELTRAN</t>
  </si>
  <si>
    <t>Isabella  Villada Arias</t>
  </si>
  <si>
    <t>Jairo Nicolas Vargas Sandoval</t>
  </si>
  <si>
    <t>Natalia Carolina Vargas Sandoval</t>
  </si>
  <si>
    <t>Michel Michel Caro Ortega</t>
  </si>
  <si>
    <t>Alejandro Alejandro Diazgranados Tertuz</t>
  </si>
  <si>
    <t>emiro vargas gonzalez</t>
  </si>
  <si>
    <t>David Eduardo Rodriguez Romero</t>
  </si>
  <si>
    <t>Deneth saudit trespalacios daza</t>
  </si>
  <si>
    <t>Vannesa Gabriela Martinez Moreno</t>
  </si>
  <si>
    <t xml:space="preserve">Rita Arcelia  Calderón  Ballesteros </t>
  </si>
  <si>
    <t>Daniela Daniela Gómez Nieto</t>
  </si>
  <si>
    <t>Maria OMAIRA  Álvarez Gomez</t>
  </si>
  <si>
    <t>Carlos delio Henao Salgado</t>
  </si>
  <si>
    <t>Adriana  Orjuela  Ochoa</t>
  </si>
  <si>
    <t>Jhors Anderson Fernández Diaz</t>
  </si>
  <si>
    <t>Laura Daniela Cohecha Gonzalez</t>
  </si>
  <si>
    <t>Emmanuel Emmanuel Colorado Guerrero</t>
  </si>
  <si>
    <t>ERNESTO  VARGAS  TORRES</t>
  </si>
  <si>
    <t>Yirley Natalia Garzon Salcedo</t>
  </si>
  <si>
    <t>Andrés Felipe Covilla Rincones</t>
  </si>
  <si>
    <t>Fabian Andres Agredo Polindara</t>
  </si>
  <si>
    <t>Tomasa Morelos Vitar</t>
  </si>
  <si>
    <t>CESAR LUIS ESCAMILLA LOZANO</t>
  </si>
  <si>
    <t>Diego Fernando Ipuchima Cabrera</t>
  </si>
  <si>
    <t xml:space="preserve">Lucelly Hinestroza  Pinilla </t>
  </si>
  <si>
    <t>Jeraldyn Elena Redondo Perez</t>
  </si>
  <si>
    <t>Heisen Yuliana Manfula Rodriguez</t>
  </si>
  <si>
    <t>Karina Paola Gomez Gomez</t>
  </si>
  <si>
    <t>Adriana Avellaneda Bobadilla</t>
  </si>
  <si>
    <t>Erith Daniel Vasquez Ramirez</t>
  </si>
  <si>
    <t>Natalia Natalia Sanchez Trujillo</t>
  </si>
  <si>
    <t>Cristina Ines de jesus Ruiz Aroca</t>
  </si>
  <si>
    <t>Yenny Javiera Mahecha Avila</t>
  </si>
  <si>
    <t>Derly Yohana Rivas Caicedo</t>
  </si>
  <si>
    <t>David Enrique Peña Arias</t>
  </si>
  <si>
    <t>Andres  Peña Gomez</t>
  </si>
  <si>
    <t>MIGUEL ANGEL ORTEGON GUZMAN</t>
  </si>
  <si>
    <t>Samuel Alfonso Sanchez Lozano</t>
  </si>
  <si>
    <t xml:space="preserve">Andrés Fabián  Rodríguez  Espitia </t>
  </si>
  <si>
    <t>kevin david tavera rojas</t>
  </si>
  <si>
    <t>Jhuliana Jhuliana Garcia Aguirre</t>
  </si>
  <si>
    <t>Luis David Abella Bañes</t>
  </si>
  <si>
    <t>Yarlin Yarlin Mena Córdoba</t>
  </si>
  <si>
    <t>Danna Katherine Acevedo Cabrera</t>
  </si>
  <si>
    <t>ELIZABETH MELO  SANTAMARIA</t>
  </si>
  <si>
    <t>Hermes Hermes Aleman Martinez</t>
  </si>
  <si>
    <t>Yelis  Campo  Torregrosa</t>
  </si>
  <si>
    <t>Marcial Palomeque Lopez</t>
  </si>
  <si>
    <t>Gloria Amparo Mosquera Gómez</t>
  </si>
  <si>
    <t>Kellvin Tatiana Romero Ramírez</t>
  </si>
  <si>
    <t xml:space="preserve">Emir  Cabezas  Rodriguez </t>
  </si>
  <si>
    <t>Nancy Lorena Pérez Alarcón</t>
  </si>
  <si>
    <t>LUIS ARNULFO BAUTISTA RODRIGUEZ</t>
  </si>
  <si>
    <t>Santiago Micelly Orjuela</t>
  </si>
  <si>
    <t>Juan Carlos Vergel Quintana</t>
  </si>
  <si>
    <t>MARIA MERIDA GALINDO ANDRADE</t>
  </si>
  <si>
    <t>Luisa Fernanda Lindarte Duran</t>
  </si>
  <si>
    <t>Carmen Amalia Zabala Muñoz</t>
  </si>
  <si>
    <t>Yesica Maide Paez Pesillo</t>
  </si>
  <si>
    <t>María Fernanda Huertas Piñeros</t>
  </si>
  <si>
    <t>Lisley Maritzza Muñoz Rodriguez</t>
  </si>
  <si>
    <t>Alexandra Alexandra Chamorro Lasso</t>
  </si>
  <si>
    <t>Favian David Garcia Cabrera</t>
  </si>
  <si>
    <t>Cristian David Sanchez Gonzalez</t>
  </si>
  <si>
    <t>AGRIPINA DOLORES QUINTERO CANO</t>
  </si>
  <si>
    <t>Juan Carlos Chavarro Chicaiza</t>
  </si>
  <si>
    <t>Luz Del carmen Lopez Paredes</t>
  </si>
  <si>
    <t xml:space="preserve">Moises Castro </t>
  </si>
  <si>
    <t>diana marcela  romero ladino</t>
  </si>
  <si>
    <t>Luis Alfonso Martinez Pereira</t>
  </si>
  <si>
    <t>Damaris Damaris Peña Moreno</t>
  </si>
  <si>
    <t>Ingrid Loraine Estepa Romero</t>
  </si>
  <si>
    <t>Yiseth Melisa Cordoba Lazcarro</t>
  </si>
  <si>
    <t>Jose Vicente  Rojas  Beltran</t>
  </si>
  <si>
    <t>Alison Katherine Ruiz Cuesta</t>
  </si>
  <si>
    <t>Danny Luz  Solipa  Gonzalez</t>
  </si>
  <si>
    <t>Linybeth Linybeth Restrepo Montaño</t>
  </si>
  <si>
    <t>Angie Natalia Pinzon Susa</t>
  </si>
  <si>
    <t>Lina Mireya Acevedo Velandia</t>
  </si>
  <si>
    <t>Yarilys Rosalba Cantillo Gonzalez</t>
  </si>
  <si>
    <t>Indira Tatiana Delkadrys Martínez</t>
  </si>
  <si>
    <t>William Ricardo Alvarado Dominguez</t>
  </si>
  <si>
    <t>LUIS CARLOS VALENCIA MURILLO</t>
  </si>
  <si>
    <t>Emilce Emilce Fernández Ramos</t>
  </si>
  <si>
    <t>Lina Maria Rojas Cruz cruz</t>
  </si>
  <si>
    <t>JORGE LEONARDO PALLARES LEYVA</t>
  </si>
  <si>
    <t>Daniela Daniela Valencia Grizalez</t>
  </si>
  <si>
    <t>Yolanda Yolanda Carrillo Garcia</t>
  </si>
  <si>
    <t>Ana Yessica Micanquer Quenan</t>
  </si>
  <si>
    <t>Diego Fernando Salgado Devia</t>
  </si>
  <si>
    <t>Jhon Freddy Sarmiento López</t>
  </si>
  <si>
    <t>Brandon Smith Bravo Ortiz</t>
  </si>
  <si>
    <t>Angela Patricia Saurit Curbelo</t>
  </si>
  <si>
    <t xml:space="preserve">Claudia Fernanda  Candil Pena </t>
  </si>
  <si>
    <t>Eilys Yineth Mañara Figueroa</t>
  </si>
  <si>
    <t>Laura Camila Rodriguez Gonzaléz</t>
  </si>
  <si>
    <t>Nicolle Alexandra Chacon Astudillo</t>
  </si>
  <si>
    <t>Jhian Carlos Forero Ruiz</t>
  </si>
  <si>
    <t>Ingrid Yesenia Pabon Ramirez</t>
  </si>
  <si>
    <t>Yesica Fernanda Gil Esquivel</t>
  </si>
  <si>
    <t>Sharit Mildred Urrea Soler</t>
  </si>
  <si>
    <t>Daira Marlovy Escobar Becerra</t>
  </si>
  <si>
    <t>Sonia Jazmin Cortes Leon</t>
  </si>
  <si>
    <t>Jason Stiven Muñoz Sotelo</t>
  </si>
  <si>
    <t>Cristhian David Velasquez Vega</t>
  </si>
  <si>
    <t>Adriana Lucia Rodriguez Estupiñan</t>
  </si>
  <si>
    <t>Nathally Nathally Paladines Flórez</t>
  </si>
  <si>
    <t>Mauricio  Prada  Suarez</t>
  </si>
  <si>
    <t>Karen Tatiana Melchor Zapata</t>
  </si>
  <si>
    <t>Heli Sneider Suárez Hernández</t>
  </si>
  <si>
    <t>Luis Enrique Acosta Cortes</t>
  </si>
  <si>
    <t xml:space="preserve">luis miguel  soto  Camaño </t>
  </si>
  <si>
    <t>Jonathan Dario Angulo Coime</t>
  </si>
  <si>
    <t>Jhan Carlos Ortegon Arrieta</t>
  </si>
  <si>
    <t>Robert Moises Enamorado Rodriguez</t>
  </si>
  <si>
    <t>Jesica Alejandra Gomez Garzon</t>
  </si>
  <si>
    <t xml:space="preserve">Adriana Maria Calderon  </t>
  </si>
  <si>
    <t>Johan David Guzman Caceres</t>
  </si>
  <si>
    <t>Adriana Adriana Velandia Benitez</t>
  </si>
  <si>
    <t>FRANCISCA SEFERINA  GIRON IBARGUEN</t>
  </si>
  <si>
    <t>Adriana Maria Bravo Gonzalez</t>
  </si>
  <si>
    <t>Erika Alexandra  Acevedo  Peñuela</t>
  </si>
  <si>
    <t>Miller Mateo Rojas Diaz</t>
  </si>
  <si>
    <t>Javier Humberto Gonzalez Torres</t>
  </si>
  <si>
    <t>Yildreth Marlen Castrillo Canaval</t>
  </si>
  <si>
    <t>Liseth Jomar Cardenas Castro</t>
  </si>
  <si>
    <t>Francisco Miguel Caceres Fernandez</t>
  </si>
  <si>
    <t>Arlenis Arlenis Arteaga Banda</t>
  </si>
  <si>
    <t>NORMA CONSTANZA  BERDUGO  MENDEZ</t>
  </si>
  <si>
    <t>ROBINSON GABRIEL CISNERO SORIANO</t>
  </si>
  <si>
    <t>Vivian Paola Hernández Torres</t>
  </si>
  <si>
    <t>Deisy Judith Casallas Otalora</t>
  </si>
  <si>
    <t>Javier Jose España  Hernández</t>
  </si>
  <si>
    <t>Madelayde De la Ossa Avila</t>
  </si>
  <si>
    <t>Oneidy Esperanza  Hernández Sandoval Sandoval</t>
  </si>
  <si>
    <t>Valentina Valentina Cardona Alzate</t>
  </si>
  <si>
    <t>Marisabel Marisabel Urueta Padilla</t>
  </si>
  <si>
    <t>jose del carmen  Baez Rodriguez</t>
  </si>
  <si>
    <t>Jefferson Mauricio Galvis Bogota</t>
  </si>
  <si>
    <t>Madinson Mejia  Torres</t>
  </si>
  <si>
    <t xml:space="preserve">Luz Aida  Plaza  Ospina </t>
  </si>
  <si>
    <t>ANDERSON LOPEZ OSORIO</t>
  </si>
  <si>
    <t>Karina Karina Mendez Ospina</t>
  </si>
  <si>
    <t>Harold Andres Lugo Peña peña</t>
  </si>
  <si>
    <t>Mindrid Anyolina Gómez Tacan</t>
  </si>
  <si>
    <t>Berzabeth Berzabeth Collo Yotengo</t>
  </si>
  <si>
    <t>Viviana Alexandra Florez Suarez</t>
  </si>
  <si>
    <t>Cindy Carolina Rey Castro</t>
  </si>
  <si>
    <t>Roy Esteban Rivera Lyons</t>
  </si>
  <si>
    <t>Yamileth Maria paula Bastidas Estupiñan</t>
  </si>
  <si>
    <t>Ana Yiseth Camelo Montes</t>
  </si>
  <si>
    <t>Maria Solangel Valencia Roman</t>
  </si>
  <si>
    <t>Ronald Mauricio Chavez  Rodriguez</t>
  </si>
  <si>
    <t>Deily Katherine Rincon Muriel</t>
  </si>
  <si>
    <t>Gladis Espinosa Tintinago</t>
  </si>
  <si>
    <t>Maria Nelly Garzon Moncada</t>
  </si>
  <si>
    <t>Esly Mayeli Clavijo Hernández</t>
  </si>
  <si>
    <t>Anyela Lorena Laiton López</t>
  </si>
  <si>
    <t xml:space="preserve">Fabian Esteban Jimenez Rativa </t>
  </si>
  <si>
    <t>Briam stevens Porras Rodriguez</t>
  </si>
  <si>
    <t>Karina Del socorro Leiva Jimenez</t>
  </si>
  <si>
    <t>Stefany Stefany Cante Rodriguez</t>
  </si>
  <si>
    <t>DORIS ZULAY MINA  ROMERO</t>
  </si>
  <si>
    <t>Diego Alejandro Ocampo Cortez</t>
  </si>
  <si>
    <t>Maria Fernanda Vivas Alvarado</t>
  </si>
  <si>
    <t>Diana Milena Chacue Ramos</t>
  </si>
  <si>
    <t>Deyci Fernanda Rojas Angarita</t>
  </si>
  <si>
    <t>Maria Fernanda Vera Gomez</t>
  </si>
  <si>
    <t>Rosa Elena Duran Gonzalez</t>
  </si>
  <si>
    <t>Marla Viviana Castañeda Moreno</t>
  </si>
  <si>
    <t>FABIOLA DEL SOCORRO LLANO VALENCIA</t>
  </si>
  <si>
    <t>Danna Zharick Avendaño Romero</t>
  </si>
  <si>
    <t>Liana Camila Saenz Cantillo</t>
  </si>
  <si>
    <t>ADELA CECILIA CRUZ BELTRAN</t>
  </si>
  <si>
    <t>Lizeth Natalia Diaz Rodriguez</t>
  </si>
  <si>
    <t>KELLY STEFANNY TORRENTE  CAICEDO</t>
  </si>
  <si>
    <t>ZULEY  KARINA AGAMEZ COGOLLO</t>
  </si>
  <si>
    <t>Yennyfer Alexandra Mora Moreno</t>
  </si>
  <si>
    <t>Paula Alejandra Rozo Díaz</t>
  </si>
  <si>
    <t>Angelica Maria Rotavista Zuluaga</t>
  </si>
  <si>
    <t>Michael Alejandro Muñoz Muñoz</t>
  </si>
  <si>
    <t>LEIDY DEL CARMEN  ROMAÑA PALACIOS</t>
  </si>
  <si>
    <t>Julieth Tatiana Pineda Quesada</t>
  </si>
  <si>
    <t>Miguel Angel Enríquez Betancourth</t>
  </si>
  <si>
    <t>Alison Natalia  Salazar  Camargo</t>
  </si>
  <si>
    <t>Maria Claudia Montiel Manjarrez</t>
  </si>
  <si>
    <t>Luis Alfedro Lopez Paternina</t>
  </si>
  <si>
    <t>ANYELA NATALIA CAMACHO MOLANO</t>
  </si>
  <si>
    <t>Maryi Maryi Cardenas Cardenas</t>
  </si>
  <si>
    <t>Jesus Gabriel Burgos Orozco</t>
  </si>
  <si>
    <t>Anny Sofia Lemos Mena</t>
  </si>
  <si>
    <t>Diego Alexander Vargas Moscoso</t>
  </si>
  <si>
    <t>Angie Tatiana Cañon Opera</t>
  </si>
  <si>
    <t>Luisa Fernanda Santacruz Maigual</t>
  </si>
  <si>
    <t>Santiago Santiago Erazo Rivera</t>
  </si>
  <si>
    <t>Neifer Andres Palacios Diaz</t>
  </si>
  <si>
    <t>Jessica Andrea Toro Barcenas</t>
  </si>
  <si>
    <t>Edgar Javier  Rique  Rativa</t>
  </si>
  <si>
    <t>Alisson Natalia Catañeda Forero</t>
  </si>
  <si>
    <t>Nidia Carolina Reina Espejo</t>
  </si>
  <si>
    <t>Sandra Patricia Duarte Laguado</t>
  </si>
  <si>
    <t>Heidy Mariana Hernández Cruz</t>
  </si>
  <si>
    <t>Karen Yulieth Rolon Ascanio</t>
  </si>
  <si>
    <t>Eilin Viviana Lemos Mena</t>
  </si>
  <si>
    <t>Yerlis Marcela  Tapia  Blanco</t>
  </si>
  <si>
    <t>Maria Isabel Carvajal  Villamizar</t>
  </si>
  <si>
    <t>Edwin Edwin Arias Arias</t>
  </si>
  <si>
    <t>Laura Laura Castaño Ramos</t>
  </si>
  <si>
    <t>HELMER JOSE POLO ALVAREZ</t>
  </si>
  <si>
    <t>Edgar Mauricio Barreto Uribe</t>
  </si>
  <si>
    <t>Geraldine Geraldine Ossa Ospina</t>
  </si>
  <si>
    <t>Stephany Stephany Quintero Acosta</t>
  </si>
  <si>
    <t>Estefani Dayana Valero Santiago</t>
  </si>
  <si>
    <t>JOSE IGNACIO DIAZ LEON</t>
  </si>
  <si>
    <t xml:space="preserve">LUIS ELY HINESTROZA Sepulveda </t>
  </si>
  <si>
    <t>Laura Mayerly Rojas Ospina</t>
  </si>
  <si>
    <t>Laura Natalia Cifuentes Castillo</t>
  </si>
  <si>
    <t>Maria Esperanza Velasquez prada</t>
  </si>
  <si>
    <t>Fabian Camilo Casallas Riaño</t>
  </si>
  <si>
    <t>Luisa Fernanda Garzon Arias</t>
  </si>
  <si>
    <t xml:space="preserve">Edwin Andres  Ruge Torrijos </t>
  </si>
  <si>
    <t xml:space="preserve">Heidi Yhojana Martinez  Montoya </t>
  </si>
  <si>
    <t>Nubia Nubia Betancourt Aguilar</t>
  </si>
  <si>
    <t>Yeimy Andrea Jaramillo Hernandez</t>
  </si>
  <si>
    <t>Gustavo Adolfo Angulo Romero</t>
  </si>
  <si>
    <t>Brando Jose Vergara Menco</t>
  </si>
  <si>
    <t>Martha Carolina Pantoja Lopez</t>
  </si>
  <si>
    <t>Ana Milena Gómez Delgado</t>
  </si>
  <si>
    <t>Yajaira del Carmen Alvarez Monsalve</t>
  </si>
  <si>
    <t>Jean Carlos Lesmes Reyes</t>
  </si>
  <si>
    <t>Adelaida Adelaida Rodriguez Rodriguez</t>
  </si>
  <si>
    <t>Sulma Yarley Niño Niño</t>
  </si>
  <si>
    <t>Yuliana Caterine Baez Melgarejo</t>
  </si>
  <si>
    <t>Yenny Juliana Sepulveda Betancourt</t>
  </si>
  <si>
    <t>Gustavo Adolfo Ardila Rodríguez</t>
  </si>
  <si>
    <t>Maria Del mar Ochoa Moreno</t>
  </si>
  <si>
    <t>Segundo Eliecer Angulo  Bolaños</t>
  </si>
  <si>
    <t>Eymi Tatiana Pinzon Fajardo</t>
  </si>
  <si>
    <t>Karen Daniela Cajigas Gordillo</t>
  </si>
  <si>
    <t>Ariadna Del Moreno Blanco blanco</t>
  </si>
  <si>
    <t>Nolvis Ester Redondo Pino</t>
  </si>
  <si>
    <t>Daniela Fernanda Florez Aragón</t>
  </si>
  <si>
    <t>Karelis Karelis Collantes Lascarro</t>
  </si>
  <si>
    <t>Wilson Andres Roso Rincon</t>
  </si>
  <si>
    <t>FABIO  BARRENECHE MELO</t>
  </si>
  <si>
    <t>Zoila Marina  Guerrera Ojeda</t>
  </si>
  <si>
    <t>Sandra Janneth Pérez Ángel</t>
  </si>
  <si>
    <t>Jose Alejandro Benito Revollo</t>
  </si>
  <si>
    <t>Leandro Iván Meza Salazar</t>
  </si>
  <si>
    <t>Sandra Elena Males Zuñiga</t>
  </si>
  <si>
    <t>Aida Nely Males Zuñiga</t>
  </si>
  <si>
    <t>ALAN DAVID HOYOS  PATIÑO</t>
  </si>
  <si>
    <t>Adrianny Carolina Morales Olave</t>
  </si>
  <si>
    <t>Ana Maria Casallas Alvarez</t>
  </si>
  <si>
    <t>Arlet Arlet Lara Davila</t>
  </si>
  <si>
    <t>Juliana Alejandra Dueñez Rodriguez</t>
  </si>
  <si>
    <t>Juan Diego Velasquez Sepulveda</t>
  </si>
  <si>
    <t>claudia  varela delgadillo</t>
  </si>
  <si>
    <t>Julio Cesar  Hernandez Uparela</t>
  </si>
  <si>
    <t>Angela Edilma Duarte  correa</t>
  </si>
  <si>
    <t>María Mónica Soto Acosta</t>
  </si>
  <si>
    <t>Diana Esperanza Rodriguez Paiba</t>
  </si>
  <si>
    <t>Wanda Marcela Ortiz Balvin</t>
  </si>
  <si>
    <t>Dayra Alejandra Martelo Polo</t>
  </si>
  <si>
    <t>Marco Antonio Loaiza Molano</t>
  </si>
  <si>
    <t>Ana Lucia Daza Ocampo</t>
  </si>
  <si>
    <t>LIGIA AMPARO TORRES COGOLLO</t>
  </si>
  <si>
    <t>Manuel Alberto Navarro Palencia</t>
  </si>
  <si>
    <t>Juan Esteban Guevara Rosero</t>
  </si>
  <si>
    <t>Jorge Armando Molina Bravo</t>
  </si>
  <si>
    <t>Berlayne Berlayne Toro Toro</t>
  </si>
  <si>
    <t>DYLAN ARLEY  POVEDA VERGARA</t>
  </si>
  <si>
    <t>Gilma Judith Barragan Acuña</t>
  </si>
  <si>
    <t>Jenny Katherin Piñeros Santa</t>
  </si>
  <si>
    <t>Sonia Liliana Gómez Fernández</t>
  </si>
  <si>
    <t xml:space="preserve">Carlos Andrés  Escamilla  González </t>
  </si>
  <si>
    <t>Amparo Machado Pinzon</t>
  </si>
  <si>
    <t>SANDRA SORACA JIMENEZ</t>
  </si>
  <si>
    <t>Maria Fernanda Cordoba Rivas</t>
  </si>
  <si>
    <t>Yenni Yenni Cortez Cabrera</t>
  </si>
  <si>
    <t>Nayerlis Nayeth Rada De la hoz</t>
  </si>
  <si>
    <t>Deisy Julianna Ortiz Burbano</t>
  </si>
  <si>
    <t>Diana Marcela Gutierrez Salazar</t>
  </si>
  <si>
    <t>Geidy Johanna Russo Aldana</t>
  </si>
  <si>
    <t xml:space="preserve">Jainer Dadid  Barbosa  Perez </t>
  </si>
  <si>
    <t>Camila Camila Cordoba Murillo</t>
  </si>
  <si>
    <t>Ingrid Dayana Alvarez Gonzalez</t>
  </si>
  <si>
    <t>Andres Mauricio Hernandez Briceño</t>
  </si>
  <si>
    <t>Luisa Fernanda Argumedo Moreno</t>
  </si>
  <si>
    <t>Diana Isabel Sanchez Mateus</t>
  </si>
  <si>
    <t>Angie Paola Corredor Cuesta</t>
  </si>
  <si>
    <t>Reinel Alejandro Dussan Reyes</t>
  </si>
  <si>
    <t>ROBERTO CARLOS  MENDOZA PADILLA</t>
  </si>
  <si>
    <t>Claudia esperanza  Martínez Torres</t>
  </si>
  <si>
    <t>Luz Dary Quintero Salazar</t>
  </si>
  <si>
    <t>Heidi Johanna Carrillo Quiroga</t>
  </si>
  <si>
    <t>Nelson Enrique Rodriguez Pava</t>
  </si>
  <si>
    <t>MARTHA CECILIA  BELTRAN AGUILERA</t>
  </si>
  <si>
    <t>Anyi Paola Mosquera Meneses</t>
  </si>
  <si>
    <t>Gladys Gomez Barragan</t>
  </si>
  <si>
    <t>Dayana Yuliet Prado Figueroa</t>
  </si>
  <si>
    <t>Lizette Adriana Vega Barrera</t>
  </si>
  <si>
    <t>Leidy Yuliana Quintin Acosta</t>
  </si>
  <si>
    <t>Laura Camila Malagón Franco</t>
  </si>
  <si>
    <t>Yuri Esperanza Pedraza Gil</t>
  </si>
  <si>
    <t>LUZ MARY MANJARREZ JIMENEZ</t>
  </si>
  <si>
    <t>Vanessa Alejandra Ariza Serrano</t>
  </si>
  <si>
    <t>Liceth Bibiana Cardozo Zabaleta</t>
  </si>
  <si>
    <t>Dominique Gianinna Rosales Gonzales</t>
  </si>
  <si>
    <t>Juan Pablo Betancourt González</t>
  </si>
  <si>
    <t xml:space="preserve">Fabiola  Gomez Gutiérrez </t>
  </si>
  <si>
    <t xml:space="preserve">Karoline Stefania Huérfano Vargas </t>
  </si>
  <si>
    <t>FARID DE JESUS ESCOBAR JIMENEZ</t>
  </si>
  <si>
    <t>Yasira Yasira Perea Perea</t>
  </si>
  <si>
    <t>Estefany Estefany Villadiego Vega</t>
  </si>
  <si>
    <t>Fabián  Silva  Nova</t>
  </si>
  <si>
    <t>Carlos Andres Jerez Moreno</t>
  </si>
  <si>
    <t>SANDRA JEANNETTE LACHE GOMEZ</t>
  </si>
  <si>
    <t>Lorena Lorena Beltran Rodriguez</t>
  </si>
  <si>
    <t>Yuri Amanda Tellez Pelaez</t>
  </si>
  <si>
    <t>Alejandro Alejandro Forero Duarte</t>
  </si>
  <si>
    <t>Ananias Ananias Alonso Cuetochambo</t>
  </si>
  <si>
    <t>Josefa Lucia Tirado Castillo</t>
  </si>
  <si>
    <t>Johan Markuin Saenz Santiago</t>
  </si>
  <si>
    <t xml:space="preserve">Luz dary Carballo  Angarita </t>
  </si>
  <si>
    <t>Lucero Omaira  Vásquez  Paez</t>
  </si>
  <si>
    <t>Aylen Daianna Penagos Martinez</t>
  </si>
  <si>
    <t>Gloria Patricia Claros Malagon</t>
  </si>
  <si>
    <t>Diana Carolina Quenorán Bolaños</t>
  </si>
  <si>
    <t>MICHELLE NATALIA CAICEDO PEÑA</t>
  </si>
  <si>
    <t>Ivonne Julieth Rojas Poveda poveda</t>
  </si>
  <si>
    <t>Jennifer Carolina Calvache Ceron</t>
  </si>
  <si>
    <t>Andrea Liliana Hernandez Valencia</t>
  </si>
  <si>
    <t>Daniel Andres Garzon Cardona</t>
  </si>
  <si>
    <t>DANIELA CHALA RUIZ</t>
  </si>
  <si>
    <t>Yorindel Yuley Corredor Saavedra</t>
  </si>
  <si>
    <t>Ana Sofía Yanquen Londoño</t>
  </si>
  <si>
    <t>Angela Carolina Chamorro Dorado</t>
  </si>
  <si>
    <t>Somer Alexandra Alvarez Camargo</t>
  </si>
  <si>
    <t>Yecenia Yecenia Romero Lopez</t>
  </si>
  <si>
    <t>ROSA INES RODRIGUEZ PINTO</t>
  </si>
  <si>
    <t>Aidali Ramirez Osorio</t>
  </si>
  <si>
    <t>Laura Camila Puerto Camacho</t>
  </si>
  <si>
    <t>Mariana Lucia Uparela Cueto</t>
  </si>
  <si>
    <t>Leydi Janeth Romo Diaz</t>
  </si>
  <si>
    <t>Adriana Marcela Ceballos Navas</t>
  </si>
  <si>
    <t>Ingrid milena  pinilla  leon</t>
  </si>
  <si>
    <t>Joan Sebastian Gutierrez Moreno</t>
  </si>
  <si>
    <t>Darling Natalia Serrano Rodriguez</t>
  </si>
  <si>
    <t>Jheyme Sommer Plazas Galvis</t>
  </si>
  <si>
    <t>Valentina Valentina Ruiz Rincon</t>
  </si>
  <si>
    <t>Juan Carlos Cucuñame Perez</t>
  </si>
  <si>
    <t>Miguel Leonardo Angulo Cruz</t>
  </si>
  <si>
    <t>Crysthian Camilo Díaz Polanía</t>
  </si>
  <si>
    <t>Daniela Daniela Virguez Niño</t>
  </si>
  <si>
    <t xml:space="preserve">Yackson Yesid Mondragon </t>
  </si>
  <si>
    <t>Jhon Jairo Marquez Marimon</t>
  </si>
  <si>
    <t>Marlon Andres Escobar Bahamon</t>
  </si>
  <si>
    <t>oliverio  pomar lozano</t>
  </si>
  <si>
    <t>Dilson Dilson Mina Balanta</t>
  </si>
  <si>
    <t>Isabel Cristina Chaverra Castrillon</t>
  </si>
  <si>
    <t>Nicolle Valeria Doncel Galindo</t>
  </si>
  <si>
    <t>Ana Yicela Hoyos Ortiz</t>
  </si>
  <si>
    <t>Ana Belen Pabon Bohada</t>
  </si>
  <si>
    <t>Flor Maria Quintero Sanabria</t>
  </si>
  <si>
    <t>Fanny andrea Rico Triana</t>
  </si>
  <si>
    <t>Marcela Marcela Diaz Palacios</t>
  </si>
  <si>
    <t>Ornela Osiris Ortiz Otero</t>
  </si>
  <si>
    <t>Laura Patricia Gómez Toloza</t>
  </si>
  <si>
    <t>Laura Bibiana Ramírez Siza</t>
  </si>
  <si>
    <t>Katerin Dayana Tinoco Pallares</t>
  </si>
  <si>
    <t>Cindy Jasbleydi Ramirez Rodríguez</t>
  </si>
  <si>
    <t>Yulisa Isabel Castro Camargo</t>
  </si>
  <si>
    <t>Ludy Noreidy Lombo Vera</t>
  </si>
  <si>
    <t>Maria Mercedes Avellaneda Fuentes</t>
  </si>
  <si>
    <t xml:space="preserve">Luz marina  bulla </t>
  </si>
  <si>
    <t>Sandra Liliana Valenciano Ramirez</t>
  </si>
  <si>
    <t>ADRIANA  MONTENEGRO HEREDIA</t>
  </si>
  <si>
    <t>Ginna Alexandra Rodriguez Rueda</t>
  </si>
  <si>
    <t>ALBERTO GONZALEZ RODRIGUEZ</t>
  </si>
  <si>
    <t xml:space="preserve">David Francisco  Restrepo  Fonseca </t>
  </si>
  <si>
    <t>Liliana Liliana Salas Flérez</t>
  </si>
  <si>
    <t>Alanis Vanessa Rubiano Urquijo</t>
  </si>
  <si>
    <t xml:space="preserve">Fabián  Orjuela  Gómez </t>
  </si>
  <si>
    <t>Clara Inés Pico Clavijo</t>
  </si>
  <si>
    <t>Amanda Fabiola  Rojas Beltran</t>
  </si>
  <si>
    <t>Anderson Vicente Mejia Ojeda</t>
  </si>
  <si>
    <t>Alexandra Fernanda Camacho García</t>
  </si>
  <si>
    <t>Leidys Paola Cordoba Mosquera</t>
  </si>
  <si>
    <t>Giovanni 0 Hoyos Collazos</t>
  </si>
  <si>
    <t>Liceth Karine Botello Clavijo</t>
  </si>
  <si>
    <t>Lina Vanessa Salas Bastidas</t>
  </si>
  <si>
    <t>Julieth Mariana Africano Piamba</t>
  </si>
  <si>
    <t xml:space="preserve">Isabel  Ico Cuervo </t>
  </si>
  <si>
    <t>Laura Daian Cruz Triana</t>
  </si>
  <si>
    <t xml:space="preserve">Isabela Zuleta Lopez </t>
  </si>
  <si>
    <t>Lady Dayana Otalora Rocha</t>
  </si>
  <si>
    <t>Emely Juliana Guzman Gamba</t>
  </si>
  <si>
    <t>Dairon Alejandro Reyes Vargas</t>
  </si>
  <si>
    <t>Paula Yuliana Parra Cardenas</t>
  </si>
  <si>
    <t>Julieth Paulina Pulido Vanegas</t>
  </si>
  <si>
    <t>luz mariana rodriguez florez</t>
  </si>
  <si>
    <t>Anna Milena Quiroz Ceballos</t>
  </si>
  <si>
    <t>Gissel Alejandra Aya Poveda</t>
  </si>
  <si>
    <t>Zulma Stella Menco Leon</t>
  </si>
  <si>
    <t>Lider Alfonso Gaitan Fontalvo</t>
  </si>
  <si>
    <t>Auris María Quintero Anaya</t>
  </si>
  <si>
    <t>Sandra Patricia Castro Quiroga</t>
  </si>
  <si>
    <t>María Angelica Salgado Contreras</t>
  </si>
  <si>
    <t>Cristian Yeisid Amaya Cifuentes</t>
  </si>
  <si>
    <t>Yulie Jasmin PADILLA GARCIA</t>
  </si>
  <si>
    <t>Diana Milena Calderon Silva</t>
  </si>
  <si>
    <t>Laura Camila Rojas Montenegro</t>
  </si>
  <si>
    <t>Doris Nayibe Zea Moreno</t>
  </si>
  <si>
    <t>Gustavo Adolfo Rodríguez Camargo</t>
  </si>
  <si>
    <t>Laura Daniela Correa Jiménez</t>
  </si>
  <si>
    <t>Brandon Joseph López Jacome</t>
  </si>
  <si>
    <t>Dina Luz Ramos Gomez</t>
  </si>
  <si>
    <t>Jhon Edinson  Taquinas  Poto</t>
  </si>
  <si>
    <t>Marlon Estiven López Díaz</t>
  </si>
  <si>
    <t>Hernando  Mendoza  Sanchez</t>
  </si>
  <si>
    <t xml:space="preserve">Luisa Fernanda  Romero  Preciado </t>
  </si>
  <si>
    <t>Joseph Esteban Acuña Rodríguez</t>
  </si>
  <si>
    <t>Katherin Daniela Salas Prada</t>
  </si>
  <si>
    <t>Cristian David Álvarez Rivadeneira</t>
  </si>
  <si>
    <t xml:space="preserve">ERLIN ANTONIO  MARRUGO CANTILLO </t>
  </si>
  <si>
    <t>CONSUELO DEL CARMEN  PEREZ MARTINEZ</t>
  </si>
  <si>
    <t>Lina Esperanza Gonzalez Rairan</t>
  </si>
  <si>
    <t>JOSE BERNARDO  ROJAS RODRIGUEZ</t>
  </si>
  <si>
    <t>VIRGINIA MAGOLA GUZMAN PATIÑO</t>
  </si>
  <si>
    <t>SIGIFREDO LOAIZA GONZALEZ</t>
  </si>
  <si>
    <t>Leyder Fabian Londoño Molina</t>
  </si>
  <si>
    <t>David Santiago Ortiz Cardenas</t>
  </si>
  <si>
    <t>Carmen Sofia Cantillo Ruidiaz</t>
  </si>
  <si>
    <t>Hellen Dayan Aristizabal Palacios</t>
  </si>
  <si>
    <t>cindy paola  mejia  campo</t>
  </si>
  <si>
    <t xml:space="preserve">Walter Camilo  Vargas  Ándele </t>
  </si>
  <si>
    <t xml:space="preserve">DORYS NUBIA  CIFUENTES  CASTRO </t>
  </si>
  <si>
    <t>Leidy Esperanza Mesa Rodríguez</t>
  </si>
  <si>
    <t>Francy Esther Javier Alves</t>
  </si>
  <si>
    <t>Doreicy Maritza Lenis Jimenez</t>
  </si>
  <si>
    <t>Daniel Eduardo Jeromito Verjan</t>
  </si>
  <si>
    <t>Danny Lorena Moreno Soler</t>
  </si>
  <si>
    <t>NIDIA YOHANNA ALFONSO  CAMELO</t>
  </si>
  <si>
    <t>DIP OP GRA DIS EXP USU EMP VIR</t>
  </si>
  <si>
    <t>Yudi yobana Enriquez Obando</t>
  </si>
  <si>
    <t>Maria Del pilar Herrera Escalante</t>
  </si>
  <si>
    <t>Laura Daniela Santamaria Ariza</t>
  </si>
  <si>
    <t>Ginna Marcela Martinez Enriquez</t>
  </si>
  <si>
    <t>Edgar Emiro Torres  Bernal</t>
  </si>
  <si>
    <t>Daissan Xiomara Arias Gonzalez</t>
  </si>
  <si>
    <t>Etilvia Maria Lopez Ballesteros</t>
  </si>
  <si>
    <t>Daniel Felipe Bolaños Mendez</t>
  </si>
  <si>
    <t>Luisa Fernanda Torres Hurtado</t>
  </si>
  <si>
    <t>Johan Sebastian Trujillo Valbuena</t>
  </si>
  <si>
    <t>Carlos Andres Ortega Zambrano</t>
  </si>
  <si>
    <t>Lina Daniela Contreras Leon</t>
  </si>
  <si>
    <t>Marilin Tatiana Rojas Rodriguez</t>
  </si>
  <si>
    <t>ARACELLY TABORDA RESTREPO</t>
  </si>
  <si>
    <t>Camila Andrea Torres Ospina</t>
  </si>
  <si>
    <t>Maria Valentina Alvarez Contreras</t>
  </si>
  <si>
    <t>Nancy Renate Castro Castro</t>
  </si>
  <si>
    <t>DANNY VANESSA CACERES DURAN</t>
  </si>
  <si>
    <t>Julian Samir Valencia Mina</t>
  </si>
  <si>
    <t>Sonia Liliana Quintero Quintero</t>
  </si>
  <si>
    <t>Jorge Andres Rojas Montoya</t>
  </si>
  <si>
    <t>Crhistian Mauricio Noguera Velez</t>
  </si>
  <si>
    <t>Gloria edilma Castro Benavides</t>
  </si>
  <si>
    <t>Consuelo Liney Chaparro Acevedo</t>
  </si>
  <si>
    <t>CUR ESPAÑ ESCRIT SORDO-POS VIR</t>
  </si>
  <si>
    <t>Nicol Vanessa Nieto Salamanca</t>
  </si>
  <si>
    <t>Cristian Alejandro Grimaldos Gallo</t>
  </si>
  <si>
    <t>Kelly Yohanna Acosta Cavadia</t>
  </si>
  <si>
    <t>IRIAN PAOLA RODIÑO COGOLLO</t>
  </si>
  <si>
    <t>Marilyn Tatiana Matiz Muñoz</t>
  </si>
  <si>
    <t>Luis Alfonso  Gonzalez Vega</t>
  </si>
  <si>
    <t>Diego Armando Macias Uribe</t>
  </si>
  <si>
    <t>Olga Aurora Gomez Novoa</t>
  </si>
  <si>
    <t>Mayra Alejandra Romero Hernandez</t>
  </si>
  <si>
    <t>Mario Andres Cabrera Solarte</t>
  </si>
  <si>
    <t xml:space="preserve">Maribel  Salazar  Miranda </t>
  </si>
  <si>
    <t>ISRAEL FERNANDO MUÑOZ AMADO</t>
  </si>
  <si>
    <t>OLIVA MACIAS HERNANDEZ</t>
  </si>
  <si>
    <t>Alejandra Marcela  Cabrera Guaquida</t>
  </si>
  <si>
    <t>Beatriz Elena Martínez Rivera</t>
  </si>
  <si>
    <t>Yuly Andrea Gomez Garcia</t>
  </si>
  <si>
    <t>Angie Tatiana Morales Florido</t>
  </si>
  <si>
    <t>Liliana Constanza Rodriguez Melo</t>
  </si>
  <si>
    <t>Nidia Magali Jurado Rosero</t>
  </si>
  <si>
    <t>Angie Valentina Torres Rodriguez</t>
  </si>
  <si>
    <t>Katerine Paola Martinez Pabon</t>
  </si>
  <si>
    <t>maria del pilar heredia sotaquira</t>
  </si>
  <si>
    <t>Diana Milena Ramirez Rodriguez</t>
  </si>
  <si>
    <t>Diana Vannessa Chamizas Montoya</t>
  </si>
  <si>
    <t>Victor Alexander Moreno Vargas</t>
  </si>
  <si>
    <t>Ruth Ruth Sánchez Acevedo</t>
  </si>
  <si>
    <t>Juan David Martinez Gutierrez</t>
  </si>
  <si>
    <t>Fabian Andres  Aponte Rodriguez</t>
  </si>
  <si>
    <t>Leidys Maria  Garcia  de pertuz</t>
  </si>
  <si>
    <t>Ana Cristina Benavides Novoa</t>
  </si>
  <si>
    <t>Nestor  Molina  Pabón</t>
  </si>
  <si>
    <t xml:space="preserve">Hayver Hernando  Garzón  González </t>
  </si>
  <si>
    <t>Nicolas Nicolas Martinez Torres</t>
  </si>
  <si>
    <t>Laura Maria Moreno Cortes</t>
  </si>
  <si>
    <t>Anderson Anderson Cuesta Asprilla</t>
  </si>
  <si>
    <t>Ledys María  Ortiz Cueto</t>
  </si>
  <si>
    <t>Yeny Paola Zuluaga Pava</t>
  </si>
  <si>
    <t xml:space="preserve">Yerika Andrea  Cortes  Pastrana </t>
  </si>
  <si>
    <t>Sharon briyith  Díaz  Estrada</t>
  </si>
  <si>
    <t>julian andres castillo castillo</t>
  </si>
  <si>
    <t>Kelly Viviana Hidalgo Portela</t>
  </si>
  <si>
    <t>Cindy Milena Blanco Vengoechea</t>
  </si>
  <si>
    <t>Sandra Patricia Salazar Anganoy</t>
  </si>
  <si>
    <t>Lorena Lorena Galvis Pacheco</t>
  </si>
  <si>
    <t>John Mauricio Cordoba Gomez</t>
  </si>
  <si>
    <t>Maryángel Maryángel Gámez Guerrero</t>
  </si>
  <si>
    <t>Cristian Camilo Gómez Sarasa</t>
  </si>
  <si>
    <t>Leydi Yadira Martinez Chacon</t>
  </si>
  <si>
    <t>Valeria Valeria Triana Bautista</t>
  </si>
  <si>
    <t>Sol Veronica Padilla Miranda</t>
  </si>
  <si>
    <t>Rosa Angélina Peréz Godín</t>
  </si>
  <si>
    <t xml:space="preserve">Elizabet  Aldana </t>
  </si>
  <si>
    <t>Maira Alejandra Cardenas Melendez</t>
  </si>
  <si>
    <t>ARGEMIRO MADERO CASTRO</t>
  </si>
  <si>
    <t>Liliana Marcela Cano Parra</t>
  </si>
  <si>
    <t>Ashlie Tatiana Gil Tovar</t>
  </si>
  <si>
    <t>Marserena Nayarith Mejia Almazo</t>
  </si>
  <si>
    <t>Jesus Javier Sinisterra  Montaño</t>
  </si>
  <si>
    <t>Diego Francisco Ortega Rosero</t>
  </si>
  <si>
    <t>Angela Sofia Vincent Posso</t>
  </si>
  <si>
    <t>Yefer Duvan Mancipe Alvarado</t>
  </si>
  <si>
    <t>juan andres Rozo  Forero</t>
  </si>
  <si>
    <t>Fredy Alejandro Rey  galvis</t>
  </si>
  <si>
    <t>Maria Rocio Rojas Zambrano</t>
  </si>
  <si>
    <t>Monica Viviana Triana Torres</t>
  </si>
  <si>
    <t>Olga Lucia Vivas Torres</t>
  </si>
  <si>
    <t>Adriana Castaño  Alzate</t>
  </si>
  <si>
    <t>DORIS CASTAÑEDA NARANJO</t>
  </si>
  <si>
    <t>Maria Ruby Bolivar  Cifuentes</t>
  </si>
  <si>
    <t>yisel johana rodriguez burbano</t>
  </si>
  <si>
    <t>HEIDI ESTHER SEGURA  AMADO</t>
  </si>
  <si>
    <t>Johan Esneider Ramírez Avendaño</t>
  </si>
  <si>
    <t>CANDELARIA DEL CARMEN SOLORZANO MARTINEZ</t>
  </si>
  <si>
    <t>Laura Valentina Chacon Serna</t>
  </si>
  <si>
    <t>Cindy  Laura Vargas Martin</t>
  </si>
  <si>
    <t>Heydi Joana Sevillano Hernández</t>
  </si>
  <si>
    <t>Juliana Andrea Zambrano Mahecha</t>
  </si>
  <si>
    <t>Martha Victoria Guamanga Rengifo</t>
  </si>
  <si>
    <t>JUAN MANUEL ALVAREZ QUIROGA</t>
  </si>
  <si>
    <t>Martha Catalina Vargas Rubiano</t>
  </si>
  <si>
    <t>Gabriel Eduardo Segura Lozano</t>
  </si>
  <si>
    <t>Nicolás Nicolás Morales Galeano</t>
  </si>
  <si>
    <t>Camila Juliana Correcha Sierra</t>
  </si>
  <si>
    <t>Humberto Carlos Medrano Peroza</t>
  </si>
  <si>
    <t>Olga Beatriz Saavedra Marroquin</t>
  </si>
  <si>
    <t>Yurley Yurley Portillo Jaramillo</t>
  </si>
  <si>
    <t>Maudy Stefanny Daza Molina</t>
  </si>
  <si>
    <t>Franklin Yesid Fontecha Forero</t>
  </si>
  <si>
    <t>Yenifer Paola Alcendra Castro</t>
  </si>
  <si>
    <t xml:space="preserve">Yeni Patricia  campo  Pillimue </t>
  </si>
  <si>
    <t>Juan Esteban Falla Hernandez</t>
  </si>
  <si>
    <t>MARIA DE JESUS TERREROS TORRES</t>
  </si>
  <si>
    <t>Daniela Daniela Echeverry López</t>
  </si>
  <si>
    <t>SEM HABILI SERVIC DE SALUD VIR</t>
  </si>
  <si>
    <t>Laura Catalina Rincon Ciro</t>
  </si>
  <si>
    <t>John Carlos Diaz Hernandez</t>
  </si>
  <si>
    <t>Lisbeth Nayeli Nasner Perez</t>
  </si>
  <si>
    <t>Laura Maritza Panqueva González</t>
  </si>
  <si>
    <t>Isabella Isabella Cifuentes Martinez</t>
  </si>
  <si>
    <t>Héctor Josué Nossa Arenas</t>
  </si>
  <si>
    <t>Andrés Camilo Betancourt González</t>
  </si>
  <si>
    <t>BEATRIZ PERALTA ARRIETA</t>
  </si>
  <si>
    <t>catherine pedrosa florez</t>
  </si>
  <si>
    <t xml:space="preserve">edinson  herrera  montilla </t>
  </si>
  <si>
    <t>Edilmer Chaquea Burgos</t>
  </si>
  <si>
    <t>Leidy Viviana Salazar Narvaez</t>
  </si>
  <si>
    <t>Luz Mila  Acuña Reyes</t>
  </si>
  <si>
    <t>Maritza Yamileth Martinez Araujo</t>
  </si>
  <si>
    <t>Javier Alejandro Sanchez Hernandez</t>
  </si>
  <si>
    <t>Julie Andrea Rios Arcila</t>
  </si>
  <si>
    <t>Miriam Rosana Peinado Aragon</t>
  </si>
  <si>
    <t>GRACIELA AGUDELO CARMONA</t>
  </si>
  <si>
    <t>wilmer llarave marin</t>
  </si>
  <si>
    <t>LUZ ESTELA GONZALEZ WOURIYU</t>
  </si>
  <si>
    <t xml:space="preserve">jenny alexandra garcia  lizarazo </t>
  </si>
  <si>
    <t>Luisa Fernanda Serna Rivera</t>
  </si>
  <si>
    <t>Francy Catherin Delgado Montenegro</t>
  </si>
  <si>
    <t>Yanith Yanith Gerardino Duran</t>
  </si>
  <si>
    <t>Kellyn Daniela Romero Bermeo</t>
  </si>
  <si>
    <t>Lina Marcela Herrera Otero</t>
  </si>
  <si>
    <t>DOMINGA DEL CARMEN HUMANES GUZMAN</t>
  </si>
  <si>
    <t>Laura Ximena Gonzalez Orjuela orjuela</t>
  </si>
  <si>
    <t>Yoleidis Patricia Jaraba Escobar</t>
  </si>
  <si>
    <t>Ofir Navarrete Pescador</t>
  </si>
  <si>
    <t>CLAUDIA MARCELA MURILLO  BUSTOS</t>
  </si>
  <si>
    <t>Gloria Isabel portilla Portilla Guerron</t>
  </si>
  <si>
    <t>Janeth Janeth Piñeros Guerra</t>
  </si>
  <si>
    <t>Soranny Liseth Cuesta Murillo</t>
  </si>
  <si>
    <t>Carlos Enrique Ramos  Lobo</t>
  </si>
  <si>
    <t>Elvia Duran Barreto</t>
  </si>
  <si>
    <t>Sharick Mendoza  Rojas</t>
  </si>
  <si>
    <t>Andrea Camila Garcia Franco</t>
  </si>
  <si>
    <t>Juan Andres Rodriguez Niño</t>
  </si>
  <si>
    <t>Viviana Andrea Pedroza Patiño</t>
  </si>
  <si>
    <t>Sebastian Andres Julio De oro</t>
  </si>
  <si>
    <t>Miguel Mateo Martínez Ferrer</t>
  </si>
  <si>
    <t>Gina Paola Rodriguez Molina</t>
  </si>
  <si>
    <t>Juan Andres  Beltran Acuña</t>
  </si>
  <si>
    <t>Daurys Julieth Huila Ramos</t>
  </si>
  <si>
    <t>Zully Vanessa Ortiz Trujillo</t>
  </si>
  <si>
    <t>Julián David Urriago Meneses</t>
  </si>
  <si>
    <t>Luz Mery Asprilla Valencia</t>
  </si>
  <si>
    <t>MANUEL RAFAEL GAMBOA RAMOS</t>
  </si>
  <si>
    <t xml:space="preserve">Dámaso Alonso  Herrera  Guardo </t>
  </si>
  <si>
    <t>Nidia Marlen Espitia Garzon</t>
  </si>
  <si>
    <t>Stiven Daniel Velásquez Zapata</t>
  </si>
  <si>
    <t>Carlos Fernando Leon Herrera</t>
  </si>
  <si>
    <t>Juan Felipe Laverde Bautista</t>
  </si>
  <si>
    <t>Luis Fernando Cortes Tonuzco</t>
  </si>
  <si>
    <t>Johan Manuel Moncada Cano</t>
  </si>
  <si>
    <t>Felipa Maria Moya Gutierrez</t>
  </si>
  <si>
    <t>Cesar Andres Carmona Marin</t>
  </si>
  <si>
    <t xml:space="preserve">Nubia Ines Malagon </t>
  </si>
  <si>
    <t>Ismel Yadira Carrillo Contreras</t>
  </si>
  <si>
    <t>Andrea Prieto Rocha</t>
  </si>
  <si>
    <t>Alden Bermudez Alomia</t>
  </si>
  <si>
    <t>Lenin Elias Valcarcel Martinez</t>
  </si>
  <si>
    <t>Leidy Yurany Cusba Mejia</t>
  </si>
  <si>
    <t>Brayan Andrés Correa Peña</t>
  </si>
  <si>
    <t>AMANDA PATRICIA  FIGUEROA SEVILLA</t>
  </si>
  <si>
    <t>Jhonn Stewart Balceiro Julio</t>
  </si>
  <si>
    <t>Angélica Maria Matute Navarro</t>
  </si>
  <si>
    <t>Mario Alberto Gomez Movil</t>
  </si>
  <si>
    <t>Ingrith Lorena Ortega Gonzalez</t>
  </si>
  <si>
    <t>Carolina Carolina Peñaloza Garzón</t>
  </si>
  <si>
    <t>Sarahy Veruzka Chilanguay Vallejo</t>
  </si>
  <si>
    <t>Alcides Alcides Calao Guevara</t>
  </si>
  <si>
    <t>MARCOS SEGUNDO TOSCANO HERNANDEZ</t>
  </si>
  <si>
    <t>Osman Adrian Quiroga Gonzalez</t>
  </si>
  <si>
    <t>Paula Tatiana Villate Rodríguez</t>
  </si>
  <si>
    <t>David Mateo  Rodríguez Sierra</t>
  </si>
  <si>
    <t>Lina Natalia Torres Sanchez</t>
  </si>
  <si>
    <t>Juan Diego Arbelaez Rios</t>
  </si>
  <si>
    <t>Daniela Andrea Dominguez Rivera</t>
  </si>
  <si>
    <t>Marta Lucero Barrera Rodriguez</t>
  </si>
  <si>
    <t>Laura Camila Hidalgo Roa</t>
  </si>
  <si>
    <t>Stephanie Carolina Oliveros Cantillo</t>
  </si>
  <si>
    <t>Zully Viviana Calderón Naranjo</t>
  </si>
  <si>
    <t>Victor Gonzalo Garcia Lopez</t>
  </si>
  <si>
    <t>Leidy Adriana Muñoz Delgado</t>
  </si>
  <si>
    <t xml:space="preserve">Piedad  Cifuentes  Jaramillo </t>
  </si>
  <si>
    <t>Andrea Carolina Acevedo Reyes</t>
  </si>
  <si>
    <t>Laura Alejandra Mondragon Martinez</t>
  </si>
  <si>
    <t>Linda Lucia Ramirez Arrieta</t>
  </si>
  <si>
    <t>Diana Milena Sanabria Lozano</t>
  </si>
  <si>
    <t>ISAAC SEBASTIAN ESCANDON RESTREPO</t>
  </si>
  <si>
    <t>Cristian Dario Cabrera Melo</t>
  </si>
  <si>
    <t>Ricardo Andrés  Solano Brito</t>
  </si>
  <si>
    <t>Karla Yeraldin Martinez Garcia</t>
  </si>
  <si>
    <t>lidia leonor benavides enriquez</t>
  </si>
  <si>
    <t>Brigitte Georgina Andrade Erazo</t>
  </si>
  <si>
    <t>Claudia Melisa Netekama Yaci</t>
  </si>
  <si>
    <t>Yeiser Yeiser Palacios Mena</t>
  </si>
  <si>
    <t>Alejandro Alejandro Salazar Giraldo</t>
  </si>
  <si>
    <t>Vera Isabel Enriquez Gomez</t>
  </si>
  <si>
    <t>Erika Basilita Silva Pushaina</t>
  </si>
  <si>
    <t>Yurany Stella Chauta Martin</t>
  </si>
  <si>
    <t>JOSE VICENTE LOPEZ AVILA</t>
  </si>
  <si>
    <t>Renzo Renzo Pinilla Celis</t>
  </si>
  <si>
    <t>Tania Alejandra Leguizamon Falla</t>
  </si>
  <si>
    <t>Durley Fanery Viana Zabala</t>
  </si>
  <si>
    <t>andrea isabel  quintanilla  herrera</t>
  </si>
  <si>
    <t xml:space="preserve">Jefferson Jesus Herrera  Petro </t>
  </si>
  <si>
    <t>Jeyi Jeyi Achipiz Achipiz</t>
  </si>
  <si>
    <t>Daniela Daniela Cuartas Hernandez</t>
  </si>
  <si>
    <t>Angie Milady Agudelo Pinilla</t>
  </si>
  <si>
    <t>Edward Enrique enrique Escobar Quiñonez quiñonez</t>
  </si>
  <si>
    <t>JUDITH SOBEIDA RUIZ ALVARADO</t>
  </si>
  <si>
    <t>Carolina Ramirez Rodriguez</t>
  </si>
  <si>
    <t>Keyler Alberto Ospina Rodríguez</t>
  </si>
  <si>
    <t>Maria Paula Tovar Peña</t>
  </si>
  <si>
    <t>Arlen Felipe Velasco Samboni</t>
  </si>
  <si>
    <t>Gisella Fernanda Alvarado Ballesteros</t>
  </si>
  <si>
    <t>Amparo María Nova Barrios</t>
  </si>
  <si>
    <t>Mcjori Ivonne Gonzalez Beltran</t>
  </si>
  <si>
    <t>Jefersson Ricardo Bautista Cañon</t>
  </si>
  <si>
    <t>Diego Alejandro Ramirez Pinto</t>
  </si>
  <si>
    <t>Margarita Joana Salas Obando</t>
  </si>
  <si>
    <t>Eleny Sofía Campo Campo</t>
  </si>
  <si>
    <t>RUTH MERY MUÑOZ PINZON</t>
  </si>
  <si>
    <t>Yen Cecilia Gomez Palacio</t>
  </si>
  <si>
    <t>Leydis Del carmen Doria Martínez</t>
  </si>
  <si>
    <t>Luis Felipe Salazar Rios</t>
  </si>
  <si>
    <t>julia edith bermudez pardo</t>
  </si>
  <si>
    <t xml:space="preserve">AEUGENIA  AMADO </t>
  </si>
  <si>
    <t>BOOT INT ART ACC:APLI PRAC VIR</t>
  </si>
  <si>
    <t>Karolain Yadixa Huerfano Reyes</t>
  </si>
  <si>
    <t>Jefferson Alirio Mendieta Benítez</t>
  </si>
  <si>
    <t>Juan Pablo Moran Maya</t>
  </si>
  <si>
    <t>Efrén Valdemar Ruiz  Pineda</t>
  </si>
  <si>
    <t>Camilo Andres Cespedes Vertel vertel</t>
  </si>
  <si>
    <t>Erica Tatiana Tanigama Jimenez</t>
  </si>
  <si>
    <t>Rafael Junior Bolaño Gutierrez</t>
  </si>
  <si>
    <t>Feyber Alexander Hernandez Chapeton</t>
  </si>
  <si>
    <t>Daniela Daniela Monsalve Quiceno</t>
  </si>
  <si>
    <t xml:space="preserve">Alvaro Cabrera  Mendieta </t>
  </si>
  <si>
    <t>ALINA GARCIA GOMEZ</t>
  </si>
  <si>
    <t>antonio barrios  vargas</t>
  </si>
  <si>
    <t>Olga Milena Chaves Duque</t>
  </si>
  <si>
    <t>Adrianis Julieth Rivas Medina</t>
  </si>
  <si>
    <t>Laura Daniela Castro Mendez</t>
  </si>
  <si>
    <t>Oriana Oriana Diaz Brito</t>
  </si>
  <si>
    <t>Pedro Nicolas Trujillo Triana</t>
  </si>
  <si>
    <t>Johan Sebastian Zambrano Polanco</t>
  </si>
  <si>
    <t>CARLOS ANTONIO Salazar  Zuluaga</t>
  </si>
  <si>
    <t>Rosa Mileydis Vanegas Ospina</t>
  </si>
  <si>
    <t>Zunny Sarai Ramirez Pineda</t>
  </si>
  <si>
    <t>Duban Andres Toscano Castellanos</t>
  </si>
  <si>
    <t>Natalia Andrea Castro Tapia</t>
  </si>
  <si>
    <t>Yesica Marcela Londoño Arboleda</t>
  </si>
  <si>
    <t>Evelyn Tatiana  Ayala Bonilla</t>
  </si>
  <si>
    <t>Jorge Esteban Morales Delvasto</t>
  </si>
  <si>
    <t>Ingrid Johana Sandoval Castro</t>
  </si>
  <si>
    <t>Osvaldo Isaías atencia andrade</t>
  </si>
  <si>
    <t>LEIDY JULIETH BOLAÑOS MORENO</t>
  </si>
  <si>
    <t>Carol Melissa Moreno Polo</t>
  </si>
  <si>
    <t xml:space="preserve">Dislandey Valencia </t>
  </si>
  <si>
    <t>Nasly Pilar Baquero Rodriguez</t>
  </si>
  <si>
    <t>Yolima Lozano Armenta</t>
  </si>
  <si>
    <t>Fransi Lorena Acosta Samboni</t>
  </si>
  <si>
    <t>Angy Valentina Martinez Ramirez</t>
  </si>
  <si>
    <t>YARA SAGAY LONDOÑO MORALES</t>
  </si>
  <si>
    <t>Nicol Dayana Bolivar Pulido</t>
  </si>
  <si>
    <t xml:space="preserve"> SIMON  RAMIREZ  ALDANA </t>
  </si>
  <si>
    <t>Lady Jane Olivos Cruz</t>
  </si>
  <si>
    <t>Sandy Paola Barrios Mercado</t>
  </si>
  <si>
    <t>Nelson Nelson Mendoza Ortiz.</t>
  </si>
  <si>
    <t>Janner Stiven  Hernandez Diaz</t>
  </si>
  <si>
    <t>Jenny Paola Cadena Caceres</t>
  </si>
  <si>
    <t>Johana Katherine Chaparro Silva</t>
  </si>
  <si>
    <t>Mayerli Catherine Mora Cacua</t>
  </si>
  <si>
    <t>Jessica Paola Rodriguez Ballesteros</t>
  </si>
  <si>
    <t>Martha Cecilia Sanabria Beltran</t>
  </si>
  <si>
    <t>LUISA FERNANDA SOSA RIVERA</t>
  </si>
  <si>
    <t>Yazleidy Carolina Martínez Beltrán</t>
  </si>
  <si>
    <t>Oscar Olmedo Melo Martinez</t>
  </si>
  <si>
    <t>LIBIA DIAZ FLOREZ</t>
  </si>
  <si>
    <t>Oralia Mosquera Palacios</t>
  </si>
  <si>
    <t>Luis Carlos Gualdron Gualdron</t>
  </si>
  <si>
    <t>Sebastian  Diaz Romero</t>
  </si>
  <si>
    <t xml:space="preserve">Edith Patiño </t>
  </si>
  <si>
    <t>Luz Angela Sanchez Giraldo</t>
  </si>
  <si>
    <t>OP IBN LIDER Y COMUN ESTRA VIR</t>
  </si>
  <si>
    <t>Edilberto García  Tovar</t>
  </si>
  <si>
    <t>Karol Sofia Castellanos Menesis</t>
  </si>
  <si>
    <t>Jeisson Humberto Pulido Quica</t>
  </si>
  <si>
    <t>Heidy Rodríguez  Mejia</t>
  </si>
  <si>
    <t>Luz Mary Franco Santamaria</t>
  </si>
  <si>
    <t>Mariela Carabali Garcia</t>
  </si>
  <si>
    <t>Harol Stiven Guerrero Garzón garzón</t>
  </si>
  <si>
    <t>Ingrith Yuliana Parra Londoño</t>
  </si>
  <si>
    <t>Karen Johanna Esquivel Boliver</t>
  </si>
  <si>
    <t>Carlos Herrera Gutierrez</t>
  </si>
  <si>
    <t>Erika Natalia Castillo Cardenas</t>
  </si>
  <si>
    <t>Valentina Valentina Sierra Cuero</t>
  </si>
  <si>
    <t>Marlen Lorena Cardenas Fabra</t>
  </si>
  <si>
    <t>Jose Jose Herrera Mayorga</t>
  </si>
  <si>
    <t>Vanesa Tatiana Lopez Ospina ospina</t>
  </si>
  <si>
    <t>Sandra Milena Ardila Vera</t>
  </si>
  <si>
    <t>Luisa Mildredt Perdomo Narvaez</t>
  </si>
  <si>
    <t>Yudi Viviana Pineda Siendua</t>
  </si>
  <si>
    <t>Fallon Maritza Rojas Sanchez</t>
  </si>
  <si>
    <t>Natusha Tesita Alcala Hawkins</t>
  </si>
  <si>
    <t>LIZ CELINA  CELY  MATIZ</t>
  </si>
  <si>
    <t>Amaury Antonio Salazar Almanza</t>
  </si>
  <si>
    <t>Maricela  Santofimio Acosta</t>
  </si>
  <si>
    <t>Jhon Sebastián Peñaranda Peñaranda</t>
  </si>
  <si>
    <t>Juan Sebastian Mejia Agudelo</t>
  </si>
  <si>
    <t>Andrea Sofia Camargo Narvaez</t>
  </si>
  <si>
    <t>Agustin Palacios Timagenes</t>
  </si>
  <si>
    <t>Bertha Ligia  Pantoja  Erazo</t>
  </si>
  <si>
    <t>Cindy Carolina Caceres Ayala</t>
  </si>
  <si>
    <t>Laura Natalia Almario Ramírez</t>
  </si>
  <si>
    <t>Lina Paola Chavez Vargas</t>
  </si>
  <si>
    <t>Juan David Quinayas Imbachi</t>
  </si>
  <si>
    <t>Xiomara Xiomara Lopez Uni</t>
  </si>
  <si>
    <t>Rosalin Reales Hernandez</t>
  </si>
  <si>
    <t>Julián Esteban Velasquez Muñoz</t>
  </si>
  <si>
    <t>DIP PRAC PORT LEAN SIX SIG VIR</t>
  </si>
  <si>
    <t>Andrea Michell Rojas Peña</t>
  </si>
  <si>
    <t>JAWY FERNANDO MAYOR QUINTERO</t>
  </si>
  <si>
    <t>Julieth Julieth Aguirre Arias</t>
  </si>
  <si>
    <t>INELDA MORALES LESMES</t>
  </si>
  <si>
    <t>Yessica Patricia Castro Linares</t>
  </si>
  <si>
    <t>Sophia Sophia Laiton Restrepo</t>
  </si>
  <si>
    <t>Leidy Luz Laza Marquez</t>
  </si>
  <si>
    <t>Luz Mary Urrego Osorio</t>
  </si>
  <si>
    <t>lisandra mayeli pushaina uriana</t>
  </si>
  <si>
    <t>Jhon Fredy  Gaviria Luna</t>
  </si>
  <si>
    <t>Adriana Getney Correa Gasca</t>
  </si>
  <si>
    <t>Viviana Mercedes Zuñiga Navarro</t>
  </si>
  <si>
    <t>OP IBN AGIL PROJEC MANAGEM VIR</t>
  </si>
  <si>
    <t>CESAR ARMANDO  MORALES  AMAYA</t>
  </si>
  <si>
    <t>Hilary Paola Tapias Vasquez</t>
  </si>
  <si>
    <t>Sandra Omaira Piramanrique Bulla</t>
  </si>
  <si>
    <t>Diana Vanessa Ramos Ortega</t>
  </si>
  <si>
    <t>Laura Marcela Arenas Herrera</t>
  </si>
  <si>
    <t>Diego  Bernal Cojo</t>
  </si>
  <si>
    <t>Jhon Jair Zambrano Rojas</t>
  </si>
  <si>
    <t>Angie Carolina Salcedo Muñoz</t>
  </si>
  <si>
    <t>Erica Yisneyda Lizarazo Arias</t>
  </si>
  <si>
    <t>mauricio  villa mejia</t>
  </si>
  <si>
    <t>Jose Orlando Higuita Toro</t>
  </si>
  <si>
    <t>Eimy Sugey Enriquez Garzon</t>
  </si>
  <si>
    <t>Nelsy Amanda Aparicio Quintero</t>
  </si>
  <si>
    <t>Jorge Abraam  amado  Campos</t>
  </si>
  <si>
    <t>MARIA ALICIA  marroquin caicedo</t>
  </si>
  <si>
    <t>Derly Ximena Rodriguez Guevara</t>
  </si>
  <si>
    <t>SONIA MARCELA  ANGEL CORREA</t>
  </si>
  <si>
    <t>Yeferson Jair Velasco Parra</t>
  </si>
  <si>
    <t>Nancy Patricia Nastacuas Realpe</t>
  </si>
  <si>
    <t>José Ricardo  Rodriguez Abril</t>
  </si>
  <si>
    <t>Leidy Viviana Calderón Serrato</t>
  </si>
  <si>
    <t>Yenni Andrea Pinzon Camargo</t>
  </si>
  <si>
    <t>Alfonso  Carrero Muñoz</t>
  </si>
  <si>
    <t>Carlos Alberto Mejia Hinojosa</t>
  </si>
  <si>
    <t>Duavan Jose Nisperuza Rosario</t>
  </si>
  <si>
    <t>Angie Carola Cordoba Palomeque</t>
  </si>
  <si>
    <t>Carlos Enrique Blanco  Arias</t>
  </si>
  <si>
    <t>Juli Alexandra juaginoy Gaitan</t>
  </si>
  <si>
    <t>Mónica Tatiana Medina Cano</t>
  </si>
  <si>
    <t>Luz Marina Mendieta Monsalve</t>
  </si>
  <si>
    <t>Marcela Yaneth Rios Avila</t>
  </si>
  <si>
    <t>Julian Edgardo Sanchez Serrano</t>
  </si>
  <si>
    <t>Noralba Velez Orrego</t>
  </si>
  <si>
    <t>William Andres Rodriguez Molina</t>
  </si>
  <si>
    <t>Jennifer Gessenia Nuñez Monsalve</t>
  </si>
  <si>
    <t>Yansi Tatiana Ortiz Viveros</t>
  </si>
  <si>
    <t>Luis Fernando Montenegro Montenegro</t>
  </si>
  <si>
    <t>JOSE DE LOS SANTOS  CALVO ESQUEA</t>
  </si>
  <si>
    <t>Sandra Milena Varela Munar</t>
  </si>
  <si>
    <t>nancy  gonzalez  chaparro</t>
  </si>
  <si>
    <t>MARIA EUGENIA AMADOR OBANDO</t>
  </si>
  <si>
    <t>Julieth Katherine Morales Garzon</t>
  </si>
  <si>
    <t>Manuel Jose Echeverry Calderon</t>
  </si>
  <si>
    <t>Erika Lorena Villota Giraldo</t>
  </si>
  <si>
    <t>Jaime Alberto Monatañez Gonzalez</t>
  </si>
  <si>
    <t>Erika Yurany Ropero  marin</t>
  </si>
  <si>
    <t>Katherin Viviana Acosta Largo</t>
  </si>
  <si>
    <t>Laura Valentina Corcho Jimenez</t>
  </si>
  <si>
    <t>Lina Vianey Sandoval  Santos</t>
  </si>
  <si>
    <t>Laura Tatiana Ospina Escobar</t>
  </si>
  <si>
    <t>Yusneider Yusneider León Contreras</t>
  </si>
  <si>
    <t>Johanna Smith Velasco Pardo</t>
  </si>
  <si>
    <t>Laura Valeria Forero Moreno</t>
  </si>
  <si>
    <t>ANGE SOFIA RODRIGUEZ MUÑOZ</t>
  </si>
  <si>
    <t>Miguel Angel Coral Novoa</t>
  </si>
  <si>
    <t>Angie Lorena Murcia Bolivar</t>
  </si>
  <si>
    <t>Mauricio Mauricio López Roman</t>
  </si>
  <si>
    <t>Angie Carolay Hernandez Mendoza</t>
  </si>
  <si>
    <t>Liseth Yurani Wilches Gonzalez</t>
  </si>
  <si>
    <t>Viviana Yulith Hernández Ramirez</t>
  </si>
  <si>
    <t>Mariana Mariana Villegas Moreno</t>
  </si>
  <si>
    <t>Lizeth Mariana Leal Niño</t>
  </si>
  <si>
    <t>Gladis Yaneth Arias Cardona</t>
  </si>
  <si>
    <t>Diannys Cecilia Guerrero Acosta</t>
  </si>
  <si>
    <t>Elian Felipe Franco Mora</t>
  </si>
  <si>
    <t>Yeison Arturo Pestana Martinez martinez</t>
  </si>
  <si>
    <t>Erik Damian  castañeda díaz</t>
  </si>
  <si>
    <t xml:space="preserve">Yudi amparo  Oquendo  Marin </t>
  </si>
  <si>
    <t>MARIA  ELENA  VASQUEZ OSORIO</t>
  </si>
  <si>
    <t>Ramiro Alberto Sevillano Rosero</t>
  </si>
  <si>
    <t>Johana Andrea Villani Ladino</t>
  </si>
  <si>
    <t>Luisa Fernanda Hernandez Meza</t>
  </si>
  <si>
    <t>Laura Valeria Enriquez Alcocer</t>
  </si>
  <si>
    <t xml:space="preserve">Orlando  Puerto Cuéllar </t>
  </si>
  <si>
    <t>Geydi Lorena Solarte Rosero</t>
  </si>
  <si>
    <t>Carmen Alicia Mejia Tirado</t>
  </si>
  <si>
    <t>Diana Ines Canticus Jimenez</t>
  </si>
  <si>
    <t>Anny Valentina Liberato Sepulveda</t>
  </si>
  <si>
    <t>Nathalia Jazmin Zambrano Loza</t>
  </si>
  <si>
    <t>Santiago Santiago Peñaloza Vela</t>
  </si>
  <si>
    <t>JESUS MANUEL  ARIAS RAMIREZ</t>
  </si>
  <si>
    <t>Ivan Alejandro Padilla Triana</t>
  </si>
  <si>
    <t>Meivis Sandrith Leones Moscoso</t>
  </si>
  <si>
    <t>Elkin Alexander Verdugo Lozano</t>
  </si>
  <si>
    <t>ALVARO  Garcia  Lopez</t>
  </si>
  <si>
    <t>Lydia Esperanza Malagon Gonzalez</t>
  </si>
  <si>
    <t>Michell Smith Reyes Centeno</t>
  </si>
  <si>
    <t>Mary Cruz Nisperuza Lucas</t>
  </si>
  <si>
    <t xml:space="preserve">DAYANA SALCEDO  CAUSADO </t>
  </si>
  <si>
    <t>Margarita Mercedes Avendaño Abello</t>
  </si>
  <si>
    <t>Geidi Yulied Pajoy Pisso</t>
  </si>
  <si>
    <t>Daniel Esteban Meneses Figueroa</t>
  </si>
  <si>
    <t>Wilmer  Mahecha Perez</t>
  </si>
  <si>
    <t>Melva Maria Vanegas Alvarado</t>
  </si>
  <si>
    <t>Sulys Maria Quintero Pineda</t>
  </si>
  <si>
    <t>Yuli Katerine Martinez Acevedo</t>
  </si>
  <si>
    <t xml:space="preserve">ADUAR VIRGUEZ  RAMOS </t>
  </si>
  <si>
    <t>diana carolina ortiz pava</t>
  </si>
  <si>
    <t>Neyer leonel Acosta  Villarraga</t>
  </si>
  <si>
    <t>Paula Andrea Cabeza Nova</t>
  </si>
  <si>
    <t>Andreu Andreu Gutiérrez López</t>
  </si>
  <si>
    <t>Miguel Sarmiento Figueroa</t>
  </si>
  <si>
    <t>Kelly Vanessa Parra Mena</t>
  </si>
  <si>
    <t>John Fredy Vanegas Albarracin</t>
  </si>
  <si>
    <t>Alba Lucia Gonzalez Torres</t>
  </si>
  <si>
    <t>Jorge Elkin Perez Amador</t>
  </si>
  <si>
    <t>Degnis Patricia Pabon Vidal</t>
  </si>
  <si>
    <t>Yorladis Karina Arteaga Gonzalez</t>
  </si>
  <si>
    <t>Cristina Lesmes Martin</t>
  </si>
  <si>
    <t>Leidy Johanna Herrera Giraldo</t>
  </si>
  <si>
    <t>Maria Del rosario Morales Martinez</t>
  </si>
  <si>
    <t>Adrian Esteban Samboni Mosquera</t>
  </si>
  <si>
    <t>Frank Stiven Romero Moreno</t>
  </si>
  <si>
    <t>Yanine Aylin Gutierrez Arellano</t>
  </si>
  <si>
    <t>Leo Angel Paternina Caldera</t>
  </si>
  <si>
    <t>Yulitza Yulitza Rojas Balmaceda</t>
  </si>
  <si>
    <t xml:space="preserve">Miguel Angel  Melo Perugache </t>
  </si>
  <si>
    <t>Wilian Deiby Carrera Andrade</t>
  </si>
  <si>
    <t>VICTOR JOSE PERALTA TORRES</t>
  </si>
  <si>
    <t>Lenis Jiménez Jiménez Hernández</t>
  </si>
  <si>
    <t>Maria Carolina Gomez Madrid</t>
  </si>
  <si>
    <t>Noel Felipe González Santos</t>
  </si>
  <si>
    <t>Karen Dayana Salinas Gomez</t>
  </si>
  <si>
    <t>Leidy Rocio Castiblanco Romero</t>
  </si>
  <si>
    <t>Maryin Eliana Romero Sinisterra</t>
  </si>
  <si>
    <t>Gustavo Campuzano Arbelaez</t>
  </si>
  <si>
    <t>Patricia Patricia Castañeda Hernandez</t>
  </si>
  <si>
    <t>Luznery Luznery Valoyes Cordoba</t>
  </si>
  <si>
    <t>Deisy Dayana Montenegro Restrepo</t>
  </si>
  <si>
    <t>Leidy Viviana Quintero Herrera</t>
  </si>
  <si>
    <t>Yarli Lina Tedes Burgos</t>
  </si>
  <si>
    <t>Luz Celis Lizbeth Suarez Lopez</t>
  </si>
  <si>
    <t>Ludy Beatriz Rivera Andapiña</t>
  </si>
  <si>
    <t>Francy Johanna Lopez  achuri</t>
  </si>
  <si>
    <t>Monica Yazmin Diaz Pinzon</t>
  </si>
  <si>
    <t>Mireya Mireya Ruge Pardo</t>
  </si>
  <si>
    <t>Lorena Patricia Rojas Peralta</t>
  </si>
  <si>
    <t>Gloria Maria  Montoya Ospina</t>
  </si>
  <si>
    <t>Sandra Milena Rivas Rivas</t>
  </si>
  <si>
    <t>Jorge eliecer  guayabo jespe</t>
  </si>
  <si>
    <t>CIRO ALFONSO BALLESTEROS PARRA</t>
  </si>
  <si>
    <t>Lucy Vannesa Pajaro Barrios</t>
  </si>
  <si>
    <t>JULIAN ESTEBAN SERNA CORDOBA</t>
  </si>
  <si>
    <t>Brayan Brayan Lozano Vargas</t>
  </si>
  <si>
    <t>Sissy Yulisa Florez Caraballo</t>
  </si>
  <si>
    <t>Ana Maria Salinas Varón</t>
  </si>
  <si>
    <t>Darianis Vanessa Zuñiga Mendoza</t>
  </si>
  <si>
    <t>Laura Bibiana Rojas Guzman</t>
  </si>
  <si>
    <t>Daniel Alejandro Arevalo Andrade</t>
  </si>
  <si>
    <t>Luis Steven Tovar Cortes</t>
  </si>
  <si>
    <t>YOLANDA BERNAL MERCHAN</t>
  </si>
  <si>
    <t>Anyerson Bolivar Zamora Varon</t>
  </si>
  <si>
    <t>Luz Stella  Martínez  Reyes</t>
  </si>
  <si>
    <t>Erminda Ortiz Lamprea</t>
  </si>
  <si>
    <t xml:space="preserve">Nancy Adelaida Cano </t>
  </si>
  <si>
    <t>JHON ALEXANDER ARRIAGA  PALACIOS</t>
  </si>
  <si>
    <t>Yarbis Patricia Urango Diaz</t>
  </si>
  <si>
    <t>Ivan Felipe Gomez Montaña</t>
  </si>
  <si>
    <t>BOOT DESARROL WEB DESPLIEG VIR</t>
  </si>
  <si>
    <t>Tatiana Monroy Patiño</t>
  </si>
  <si>
    <t>Angela Katherine Cardenas Acevedo</t>
  </si>
  <si>
    <t>Elsy Carolina Montes Vargas</t>
  </si>
  <si>
    <t>Patricia Lucia Escobar Bustillo</t>
  </si>
  <si>
    <t>Deisy Xiomara Florez Perez</t>
  </si>
  <si>
    <t>Iris Lesbia Quiñones Zúñiga</t>
  </si>
  <si>
    <t>Candelaria Josefa Alvarez Santana</t>
  </si>
  <si>
    <t>Alexis Alexis Gomez Granados</t>
  </si>
  <si>
    <t>Jeimy Johanna Rairan Carrillo</t>
  </si>
  <si>
    <t>Luis Angel Fernandez Jimenez</t>
  </si>
  <si>
    <t>Yeison Andres Acero Cardenas</t>
  </si>
  <si>
    <t>Tania Estefenia Leiton Vallejos</t>
  </si>
  <si>
    <t>Nicolle Alejandra Vanegas Gomez</t>
  </si>
  <si>
    <t>Laura Steffani Ruiz Ramos</t>
  </si>
  <si>
    <t>Veronica Alejandra Ramirez Zapata</t>
  </si>
  <si>
    <t xml:space="preserve">maireth paola gomez negrete </t>
  </si>
  <si>
    <t>Ana Milena Mallama Roncancio</t>
  </si>
  <si>
    <t>Rafael Andres Sanabria Rojas</t>
  </si>
  <si>
    <t>Alejandra Alejandra Goyeneche Guerrero</t>
  </si>
  <si>
    <t>Neyder Alberto Leudo Machado</t>
  </si>
  <si>
    <t>Ana Ana Villamil Floriano</t>
  </si>
  <si>
    <t>Leidys Yohana Quintero Carrillo</t>
  </si>
  <si>
    <t>Jhony  alexander Palacios Guerrero</t>
  </si>
  <si>
    <t>Karly Yulieth Perdomo Cardona</t>
  </si>
  <si>
    <t>Luis Carlos Correa Lopez</t>
  </si>
  <si>
    <t>Diana Catalina Osorio Sanchez</t>
  </si>
  <si>
    <t>SEM PRO LID ORG Y TR TH DG VIR</t>
  </si>
  <si>
    <t>Yenifer Dayana Ayala Espitia</t>
  </si>
  <si>
    <t>Laura Nataly Villamil Ramos</t>
  </si>
  <si>
    <t>Brayan Estiven Hernández Gutiérrez</t>
  </si>
  <si>
    <t>Hailly Camila Mour Hernández</t>
  </si>
  <si>
    <t>angie lucia pinillos montaño</t>
  </si>
  <si>
    <t>Lina Maritza Aranda Aranda</t>
  </si>
  <si>
    <t>Maria Fernanda Florez Mesa</t>
  </si>
  <si>
    <t>Iris Dahiana Mosquera Pérez</t>
  </si>
  <si>
    <t>Maria Edilma Mosquera Perea</t>
  </si>
  <si>
    <t>Edwin Javier Velazco Minayo</t>
  </si>
  <si>
    <t>Rocio Ubaque Jimenez</t>
  </si>
  <si>
    <t>JHOVANNY PALACIOS  PALACIOS</t>
  </si>
  <si>
    <t>Jesly Danitza Agudelo Zambrano</t>
  </si>
  <si>
    <t>CARLOS LIBER  MONROY TRUJILLO</t>
  </si>
  <si>
    <t>Adriana Adriana Manrique Alvarez</t>
  </si>
  <si>
    <t>Dairo David Herazo Castro</t>
  </si>
  <si>
    <t>Ana Teresa Anaya Gutierez</t>
  </si>
  <si>
    <t>Angela Carolina Bolañoz Rueda</t>
  </si>
  <si>
    <t>Maria Del mar Duque Minotta</t>
  </si>
  <si>
    <t>Marcela Marcela Gomez Rojas</t>
  </si>
  <si>
    <t>Luis Fernando  Niño  Salamanca</t>
  </si>
  <si>
    <t>Angie Paola Galeano Agudelo</t>
  </si>
  <si>
    <t>Pedro Gustavo Duque Gamboa</t>
  </si>
  <si>
    <t>Melhani De los angeles Ortiz Martinez</t>
  </si>
  <si>
    <t>Chirly Julieth Zabala Murillo</t>
  </si>
  <si>
    <t>Brayan Jose Martinez Arenales</t>
  </si>
  <si>
    <t>adriana patricia de la oz  polo</t>
  </si>
  <si>
    <t>jhon jaime hoyos castaño</t>
  </si>
  <si>
    <t>Graciela Valdivieso Ortega ortega</t>
  </si>
  <si>
    <t>Veronica Veronica Ardila Garzón</t>
  </si>
  <si>
    <t>Natalia Ximena Minda Cruz</t>
  </si>
  <si>
    <t>Juan Sebastian Parra Salamanca</t>
  </si>
  <si>
    <t>Ivan Dario  Vargas Gomez</t>
  </si>
  <si>
    <t>PAUL SAMET CELIS CUCALON</t>
  </si>
  <si>
    <t>Melissa Andrea Lopez Ponton</t>
  </si>
  <si>
    <t>Darling Silvera Santiago</t>
  </si>
  <si>
    <t>Liliana Patricia Parra Garzon</t>
  </si>
  <si>
    <t>Marleny Marleny Silgado Espitia</t>
  </si>
  <si>
    <t>Leidy Mayerli Ramirez Hernandez</t>
  </si>
  <si>
    <t>Yirley Patricia  Barrera  Montiel</t>
  </si>
  <si>
    <t>Angela Patricia Sanguino Cortes</t>
  </si>
  <si>
    <t>Marelbis Marelbis Palacios Allin</t>
  </si>
  <si>
    <t>Nelcy Yesuri Portocarrero Ortiz</t>
  </si>
  <si>
    <t>Jorge Antonio Pineda Benavides</t>
  </si>
  <si>
    <t>Yofer Estiwar Pinilla Rodríguez</t>
  </si>
  <si>
    <t>Angie Daniela Lopez Perlaza</t>
  </si>
  <si>
    <t>LEDER FERNADO CASTILLO ALEGRIA</t>
  </si>
  <si>
    <t>Claudia Isabel Ballesteros Díaz</t>
  </si>
  <si>
    <t>Nayely Nayely Chimbaco Vaquiro</t>
  </si>
  <si>
    <t>Marcela Johanna Trujillo Padilla</t>
  </si>
  <si>
    <t>Santiago Lozano Trilleras</t>
  </si>
  <si>
    <t>Deicy Yurany Casallas Marciales</t>
  </si>
  <si>
    <t>Antony Farid Escobar Cordillo</t>
  </si>
  <si>
    <t>aydee Llanten Castrillon</t>
  </si>
  <si>
    <t>Lina Marcela Mena Palacios</t>
  </si>
  <si>
    <t>Jose Joel Rodriguez Peres</t>
  </si>
  <si>
    <t xml:space="preserve">Jaqueline Bravo </t>
  </si>
  <si>
    <t>Luis Camilo Pacheco Rivaldo</t>
  </si>
  <si>
    <t>Brayan Sebastian Farfan Campos</t>
  </si>
  <si>
    <t>Maite Mireya  Cortes Godoy</t>
  </si>
  <si>
    <t>Jorge Orlando Vera Muriel</t>
  </si>
  <si>
    <t>LIGORIO LUIS ARCHBOLD HOWARD</t>
  </si>
  <si>
    <t>Carmen Lucia Rosso Muñoz</t>
  </si>
  <si>
    <t>Daniel Ferreira Rincon</t>
  </si>
  <si>
    <t>Linda Katherin Baquero Melendez</t>
  </si>
  <si>
    <t>Sneyder Davila Hernandez</t>
  </si>
  <si>
    <t>OSCAR WILFREDO PORTELA  GIL</t>
  </si>
  <si>
    <t>Carlos Eduaro Charry Muñoz</t>
  </si>
  <si>
    <t>Yeimy Alexandra Gutierrez Ante</t>
  </si>
  <si>
    <t>KAREN STEPHANNY DEL REAL VEJARANO</t>
  </si>
  <si>
    <t>Jhonatan De jesús Villamizar Hernández</t>
  </si>
  <si>
    <t>Pablo Julio Lasso Hernández</t>
  </si>
  <si>
    <t>Lady Katherine Taborda Meneses</t>
  </si>
  <si>
    <t>Libia Bolaño Paez</t>
  </si>
  <si>
    <t>Ibis Gisela Geronimo Acosta</t>
  </si>
  <si>
    <t>Luz Alejandra Camargo Estrada</t>
  </si>
  <si>
    <t>Mariana Estefani Villacorta Ahuanari</t>
  </si>
  <si>
    <t>Jenny Jenny Pantoja Córdoba</t>
  </si>
  <si>
    <t>Ana Elizabeth Vega Carrion</t>
  </si>
  <si>
    <t>Angie Milena Quecano Sánchez</t>
  </si>
  <si>
    <t>Laura Juliana Fonseca Villamil</t>
  </si>
  <si>
    <t>Guillermo Andres Vasquez Mojomboy</t>
  </si>
  <si>
    <t>Naudis Carolina Hernandez Hernandez</t>
  </si>
  <si>
    <t>Leidy Johanna Rodriguez Runsa</t>
  </si>
  <si>
    <t>Gabriel Jaime Granados Galeano</t>
  </si>
  <si>
    <t>Miller Johan Galarza Zuluaga</t>
  </si>
  <si>
    <t>Valentina Valentina Matinez Castro</t>
  </si>
  <si>
    <t>Leidy Viviana Gutierrez Angarita</t>
  </si>
  <si>
    <t>Camila Isabel Rodriguez Lario</t>
  </si>
  <si>
    <t>FELIX ANTONIO SANCHEZ MOSQUERA</t>
  </si>
  <si>
    <t>Leidy Katherine Nuñez Barrios</t>
  </si>
  <si>
    <t>Danna samanta  Cortes  Velasco</t>
  </si>
  <si>
    <t>Darlly Castillo Contreras Contreras</t>
  </si>
  <si>
    <t xml:space="preserve">Ermel  Janamejoy  Molina </t>
  </si>
  <si>
    <t>Diana Milena Rodríguez Escobar</t>
  </si>
  <si>
    <t xml:space="preserve">Juan José  Otero </t>
  </si>
  <si>
    <t>Julio Cesar Arrieta Tirado</t>
  </si>
  <si>
    <t>Maria Del mar Bornachera Gonzalez</t>
  </si>
  <si>
    <t>Bayron Alexis Gómez Getial</t>
  </si>
  <si>
    <t>Mildred Mildred Jacome Pineda</t>
  </si>
  <si>
    <t>Leidy Johanna Serrato Gonzalez</t>
  </si>
  <si>
    <t>deilibeth hernandez fuentes</t>
  </si>
  <si>
    <t>Roberto Bermudez Turizo</t>
  </si>
  <si>
    <t>Ana Mileth Tejada Gómez</t>
  </si>
  <si>
    <t>Brigitte Carolina Martinez Lopez</t>
  </si>
  <si>
    <t>Diana Marcela Arcos Muñoz</t>
  </si>
  <si>
    <t>Deicy Gohanna  Zetabobo Salamanca</t>
  </si>
  <si>
    <t>Maria Daniela Ramirez Saavedra</t>
  </si>
  <si>
    <t>Luz Adriana Campiño  ramirez</t>
  </si>
  <si>
    <t>Maryan Maryan Andrade Cuello</t>
  </si>
  <si>
    <t>Jean Michael Christian Camilo Mendez Garcia</t>
  </si>
  <si>
    <t>Virginia Vanessa Fermin Bermudez</t>
  </si>
  <si>
    <t>Anderson Favian Pereira Pinto</t>
  </si>
  <si>
    <t>Nazly Lizeth Monroy Lucas</t>
  </si>
  <si>
    <t>Yomaris Yomaris Guerrero Bayona</t>
  </si>
  <si>
    <t>Wendy Tatiana Cabrera Rodriguez</t>
  </si>
  <si>
    <t>Maria Elena Paternina Barranco</t>
  </si>
  <si>
    <t>Lizeth Lizeth Arias Lopez</t>
  </si>
  <si>
    <t>Yajaira Yajaira Parra Martinez</t>
  </si>
  <si>
    <t>Brayan Yesith Villa Charris</t>
  </si>
  <si>
    <t>KAROL LORENA MERCADO COVO</t>
  </si>
  <si>
    <t>Liyaneth Dominga Fince Arregoces</t>
  </si>
  <si>
    <t>Ingrid Steicy Riascos Riascos</t>
  </si>
  <si>
    <t>Ana Sofia Viñas Martinez</t>
  </si>
  <si>
    <t>Rigoberto Rigoberto Murillo Plazas</t>
  </si>
  <si>
    <t>Jonnathan Joseph Real Vaca</t>
  </si>
  <si>
    <t>DAMIAM FERNANDO OJEDA AMARIS</t>
  </si>
  <si>
    <t>Maria Del carmen Correa Salamanca</t>
  </si>
  <si>
    <t>Valeria Valeria Ballesteros Quiroga</t>
  </si>
  <si>
    <t>JULIA MARIA ROMERO MARTINEZ</t>
  </si>
  <si>
    <t>Ramiro Antonio Duran Barboza</t>
  </si>
  <si>
    <t>Nieves Maria Mena Chalá</t>
  </si>
  <si>
    <t>Disney Disney Torres Cordoba</t>
  </si>
  <si>
    <t>Nelly Nelly Epia Ceballes</t>
  </si>
  <si>
    <t>Araselis Del carmen Torres Matos</t>
  </si>
  <si>
    <t>Alan Andrés Pacheco Fuentes</t>
  </si>
  <si>
    <t>Benjamin Benjamin Olivera Carrillo</t>
  </si>
  <si>
    <t>Edna Yadira Borbon Lopez lopez</t>
  </si>
  <si>
    <t>Paola Ximena Guerrero Parra</t>
  </si>
  <si>
    <t>Fanny Patricia Romero Bonilla</t>
  </si>
  <si>
    <t>Silvia Patricia Tarazona Méndez</t>
  </si>
  <si>
    <t>Nancy Rocio Pineda Rodriguez</t>
  </si>
  <si>
    <t>JAIRO RAFAEL PALLARES ALVARADO</t>
  </si>
  <si>
    <t>Zileidy Zileidy Lopez Carvajal</t>
  </si>
  <si>
    <t>Adriana Yizeth Hurtado Fontecha</t>
  </si>
  <si>
    <t>Jhon Fredy Moreno Cortes</t>
  </si>
  <si>
    <t>DARWIN ANDRES LOPEZ  MOSQUERA</t>
  </si>
  <si>
    <t>Claudia Patricia Arciniegas Galvan</t>
  </si>
  <si>
    <t>RUBIELA  MOJICA  BOLAÑOS</t>
  </si>
  <si>
    <t>Liany Yogett Barraza Villarreal</t>
  </si>
  <si>
    <t>elisabeth Naranjo garzon</t>
  </si>
  <si>
    <t xml:space="preserve">Erik Estiben  Molano Quintero </t>
  </si>
  <si>
    <t>Yesika Eliana Barajas Reyes</t>
  </si>
  <si>
    <t>Olga Milema Luna Lopez</t>
  </si>
  <si>
    <t>Angelica Angelica Ramirez Penagos</t>
  </si>
  <si>
    <t>Lina Patricia López Monrroy</t>
  </si>
  <si>
    <t>Karol Natalia Osorio Poveda</t>
  </si>
  <si>
    <t>Anibal Anibal Alvarado Andrade</t>
  </si>
  <si>
    <t>Yoleyda Yoleyda Cepeda Sanchez</t>
  </si>
  <si>
    <t>Ferney Ferney Arrieta Granados</t>
  </si>
  <si>
    <t>Luisa Fernanda Herrera Rendon</t>
  </si>
  <si>
    <t>Jonatan Estiben Garzon Vega</t>
  </si>
  <si>
    <t>Lilia Yineth Rubio Triana</t>
  </si>
  <si>
    <t>Yuri Andrea Rubio Triana</t>
  </si>
  <si>
    <t>Karem Karem Salazar Ramírez</t>
  </si>
  <si>
    <t>María Isabel Tovar Pastrana</t>
  </si>
  <si>
    <t>Laura Daniela Amortegui Cucaita</t>
  </si>
  <si>
    <t>cindy sthefanya alarcon cardenas</t>
  </si>
  <si>
    <t>María Fernanda Pelaez Rivero</t>
  </si>
  <si>
    <t>Jenifer Jenifer Calderon De leon</t>
  </si>
  <si>
    <t>Diana Milena Arias Munive</t>
  </si>
  <si>
    <t>Elvis Aleycy Salcedo Plazas</t>
  </si>
  <si>
    <t>Laura Sofhia Meneses Diaz</t>
  </si>
  <si>
    <t>ESTHER MARINA  HUMANEZ JIMENEZ</t>
  </si>
  <si>
    <t>Olber Enrique Epieyu Epieyu</t>
  </si>
  <si>
    <t>Yamile Yamile Caret Basilio</t>
  </si>
  <si>
    <t>Juan Sebastián Puerta Sánchez</t>
  </si>
  <si>
    <t>Patricia Janneth Ortiz Molina</t>
  </si>
  <si>
    <t>Ingrid Banessa Rey Uribe</t>
  </si>
  <si>
    <t>FLORALBA NIÑO MERCHAN</t>
  </si>
  <si>
    <t>FANNY MILENA  BERMUDEZ ZUÑIGA</t>
  </si>
  <si>
    <t xml:space="preserve">Elba Leonor  Eraso  Bolaños </t>
  </si>
  <si>
    <t>Fredy Andres Ocampo Ramirez</t>
  </si>
  <si>
    <t>Jose mauricio Carranza Correa</t>
  </si>
  <si>
    <t>Esmeralda Esmeralda Garcia Pajaro</t>
  </si>
  <si>
    <t>Luz Andrea Pavi Pequi</t>
  </si>
  <si>
    <t>Maria Camila Calderon Valdes</t>
  </si>
  <si>
    <t>Jhon Wylfer Martinez Flautero flautero</t>
  </si>
  <si>
    <t>SANTIAGO DAVID GARCIA TINJACA</t>
  </si>
  <si>
    <t>Brando Brando Vera Castrillon</t>
  </si>
  <si>
    <t>Gisel Daniela Franco Franco</t>
  </si>
  <si>
    <t>LIC EDUC BASICA PRIMARIA DIST</t>
  </si>
  <si>
    <t xml:space="preserve">Maria Samira  Mercado  Martínez </t>
  </si>
  <si>
    <t>Leidy Yojana Rodriguez Calderon</t>
  </si>
  <si>
    <t>José Eliecer Escobar Roa</t>
  </si>
  <si>
    <t>Yesika Yesika Cuesta Moncada</t>
  </si>
  <si>
    <t>Angélica Paola Vargas Sanabria</t>
  </si>
  <si>
    <t xml:space="preserve">John Carlos  Solano  Correa </t>
  </si>
  <si>
    <t>Camila Camila Sanchez Palomino</t>
  </si>
  <si>
    <t>Sergio Andres Ortega Montes</t>
  </si>
  <si>
    <t>Handerson Libardo Sanchez Benavides</t>
  </si>
  <si>
    <t>Nini Johanna Daza Daza</t>
  </si>
  <si>
    <t>Julio César Rivera Contreras</t>
  </si>
  <si>
    <t>Yulieth Andrea Baquero Guevara</t>
  </si>
  <si>
    <t>Eduardo Antonio Garavito Zapata</t>
  </si>
  <si>
    <t>Ray Sebastian de Jesús  Gonzalez  Puello</t>
  </si>
  <si>
    <t>Abrahan David Baldovino Centeno</t>
  </si>
  <si>
    <t>Isaura Suarez De Benavides</t>
  </si>
  <si>
    <t>Edna Rocio Fino Castro</t>
  </si>
  <si>
    <t>David Javier Martinez Solarte</t>
  </si>
  <si>
    <t>Jose Luis  Pacheco  cantillo</t>
  </si>
  <si>
    <t>Monica Fernanda Urrego Santamaria</t>
  </si>
  <si>
    <t>Jeimy Jeimy Ramirez Venancino</t>
  </si>
  <si>
    <t>Carlos Esneider  Herrera  Parrado</t>
  </si>
  <si>
    <t>Diego Andrés Palta Prado</t>
  </si>
  <si>
    <t>Angela Ximena Angulo Palomino</t>
  </si>
  <si>
    <t>Karen Vanessa Abad Vergara</t>
  </si>
  <si>
    <t>Adrian Alexander  Zeballosf Cuathin</t>
  </si>
  <si>
    <t>Esteban Esteban Zapata González</t>
  </si>
  <si>
    <t xml:space="preserve">SERGIO LUIS PEREZ ARRIETA </t>
  </si>
  <si>
    <t>Francy Julieth Periñan Gomez</t>
  </si>
  <si>
    <t>GIANA CONCEPCION ESQUEA ROMERO</t>
  </si>
  <si>
    <t>Yomaira Yomaira Hinestroza Palacios</t>
  </si>
  <si>
    <t>Yasir Manuel Porto Mateus</t>
  </si>
  <si>
    <t>Daniel Felipe Pachon Pinilla</t>
  </si>
  <si>
    <t>MARIANA APONTE  LOAIZA</t>
  </si>
  <si>
    <t>Laura Laura Avendaño Martinez</t>
  </si>
  <si>
    <t>Avelina Alexandra Guerrero Tenganan tenganan</t>
  </si>
  <si>
    <t>Daniel Daniel Galvez Pulgarin</t>
  </si>
  <si>
    <t>JOHN HADMINTON DIAZ  AVENDAÑO</t>
  </si>
  <si>
    <t>MAYRA ALEJANDRA  CHAVEZ  RODRIGUEZ</t>
  </si>
  <si>
    <t>Ligia  Murcia  Trujillo</t>
  </si>
  <si>
    <t>Yury Marcela Palomino Rodriguez</t>
  </si>
  <si>
    <t>Cristian Alejandro Fandiño Mesa</t>
  </si>
  <si>
    <t>Johanna Smith Fernandez Garcia</t>
  </si>
  <si>
    <t>Sara Nataly Prada Martinez</t>
  </si>
  <si>
    <t>Jibily Jhansbleidy Martinez Almeida</t>
  </si>
  <si>
    <t>Marilyn Marilyn Alvarez Truyol</t>
  </si>
  <si>
    <t>Danny Danny Zamora Valencia</t>
  </si>
  <si>
    <t>Leiny Valencia Cuero</t>
  </si>
  <si>
    <t>Juan Carlos Cordero Galviz</t>
  </si>
  <si>
    <t>Jireh Natalia Leon Granados</t>
  </si>
  <si>
    <t>Jhon Helver Patiño Siabato</t>
  </si>
  <si>
    <t>Kevin Fbian Garcés Martínez</t>
  </si>
  <si>
    <t>Olga Lucia Rengifo Delgado</t>
  </si>
  <si>
    <t>Mariana Mariana Mojica Pinto</t>
  </si>
  <si>
    <t>Luisa Fernanda Jiménez Jaramillo</t>
  </si>
  <si>
    <t>Valentina Valentina Lopez Torres</t>
  </si>
  <si>
    <t>Yarines Patricia Perez Herrera</t>
  </si>
  <si>
    <t>YOLY ALEXANDRA COPETE ROJAS</t>
  </si>
  <si>
    <t>Yesica Daniela Montoya Posada</t>
  </si>
  <si>
    <t>Diana Carolina Chunza Sanchez sanchez</t>
  </si>
  <si>
    <t>Dayana Carolina Castro Salas</t>
  </si>
  <si>
    <t>NEBIS YANETH VENERA RODRIGUEZ</t>
  </si>
  <si>
    <t>Elian Elian Abdala Lopez</t>
  </si>
  <si>
    <t xml:space="preserve">Diana cristina  Rojas  Castro </t>
  </si>
  <si>
    <t>Oscar Fernando Salazar Toro</t>
  </si>
  <si>
    <t>Yandra Barrios Villadiego</t>
  </si>
  <si>
    <t>Elvia Alexandra Diaz Toro</t>
  </si>
  <si>
    <t>Karol Yaritza Gamboa Machado</t>
  </si>
  <si>
    <t>Andreina Andreina Acosta Hoyos</t>
  </si>
  <si>
    <t>Jhojan Andres Jerez Perdomo</t>
  </si>
  <si>
    <t>Maribeth Maribeth Córdoba Maturana</t>
  </si>
  <si>
    <t>Yadira Yadira Córdoba Maturana</t>
  </si>
  <si>
    <t>Ana Sofía Barrios Bonilla</t>
  </si>
  <si>
    <t>Liz Yiseny Palacios Renteria</t>
  </si>
  <si>
    <t>Camilo Camilo Ruano Hoyos</t>
  </si>
  <si>
    <t>Orlando Orlando Uni Joaqui</t>
  </si>
  <si>
    <t>Norby Aline Ramos Soplin</t>
  </si>
  <si>
    <t>Yury Etelvina Riveros Rodriguez</t>
  </si>
  <si>
    <t xml:space="preserve">Beatriz Fonseca  Fernandez </t>
  </si>
  <si>
    <t>Maria Elizabeth Lema Lopez</t>
  </si>
  <si>
    <t>Derly Yaneth Peña Quiñonez</t>
  </si>
  <si>
    <t>Eduar Alexis Cordoba Hinestroza</t>
  </si>
  <si>
    <t>Flor Mireya Sierra  Rodriguez</t>
  </si>
  <si>
    <t>Miguel Ángel Gutiérrez Palomino</t>
  </si>
  <si>
    <t>Weimar Edixon Dominguez Rivera</t>
  </si>
  <si>
    <t>Elisa Jasury Estacio Alzamora</t>
  </si>
  <si>
    <t>Jose Gerley Arcos Saldarriaga</t>
  </si>
  <si>
    <t>Cristian David Bastidas Altamiran</t>
  </si>
  <si>
    <t>Johan Andres Ospina Rodriguez</t>
  </si>
  <si>
    <t>Sandra Milena Bastidas Benavides</t>
  </si>
  <si>
    <t>Cielo Maria Rojas Caicedo</t>
  </si>
  <si>
    <t>María Paula Dueñas Garcia</t>
  </si>
  <si>
    <t>Erika Jhojana Ladino Jiménez</t>
  </si>
  <si>
    <t>Angy Andreyna Garcia Rios</t>
  </si>
  <si>
    <t>Paula Andrea Garces Ospina</t>
  </si>
  <si>
    <t>Jeimy Katherine Parra Niño</t>
  </si>
  <si>
    <t>teofilde peña mosquera</t>
  </si>
  <si>
    <t>Miryey Johana Quiñones Tenorio</t>
  </si>
  <si>
    <t>Jesus David Ocon Valverde</t>
  </si>
  <si>
    <t>Nicolle Nicolle Marquez Miranda</t>
  </si>
  <si>
    <t>Ana Justina Palomino Mosquera</t>
  </si>
  <si>
    <t>Valentina Valentina Oviedo Moreno</t>
  </si>
  <si>
    <t>Lizeht Johana Martinez Barrera</t>
  </si>
  <si>
    <t>EHINNER JOHAN RIVERA CAMACHO</t>
  </si>
  <si>
    <t>Yaidy Manuela Ortega Castro</t>
  </si>
  <si>
    <t>Ingrid Yulissa Medina Esquivel</t>
  </si>
  <si>
    <t>Nayra Camila Velandia Fino</t>
  </si>
  <si>
    <t>Edwin Arley Cifuentes Ramirez</t>
  </si>
  <si>
    <t>María Fernanda Ríos Betancourt</t>
  </si>
  <si>
    <t>Angela Diva Parra Mendez</t>
  </si>
  <si>
    <t>German German Orejuela Morera</t>
  </si>
  <si>
    <t>Cesar Andrés Martinez Peñaloza</t>
  </si>
  <si>
    <t>Vanessa Alexandra Mena Cordoba</t>
  </si>
  <si>
    <t>Maria Del pilar Vasquez Serrano</t>
  </si>
  <si>
    <t>JUAN BENJAMIN LARGACHA GUACHETA</t>
  </si>
  <si>
    <t>Laura Rosita Sanabria Rojas</t>
  </si>
  <si>
    <t>Marta Irene Mercado Mercado</t>
  </si>
  <si>
    <t>Nydia Denise Martínez Martínez</t>
  </si>
  <si>
    <t>LIC EN EDUC ESPECIAL VIR (PED)</t>
  </si>
  <si>
    <t>JUAN FELIPE CARDONA MACIAS</t>
  </si>
  <si>
    <t>Ahichelt Yoleth andrea Guisao Vesga</t>
  </si>
  <si>
    <t>Asesor</t>
  </si>
  <si>
    <t>Area</t>
  </si>
  <si>
    <t>Puntos piso 1</t>
  </si>
  <si>
    <t>pregados</t>
  </si>
  <si>
    <t>posgrados</t>
  </si>
  <si>
    <t>reingresos</t>
  </si>
  <si>
    <t>botcamps-bit</t>
  </si>
  <si>
    <t>Fabian Oswaldo Aza Barbosa</t>
  </si>
  <si>
    <t>PAOLA ANDREA CALDERON CETINA</t>
  </si>
  <si>
    <t>PREGRADO</t>
  </si>
  <si>
    <t>Wendy Lizeth Useche  Betancourt</t>
  </si>
  <si>
    <t>FABIAN CONCHA</t>
  </si>
  <si>
    <t>POSGRADOS</t>
  </si>
  <si>
    <t>Bryan Steven Pulido Mancilla</t>
  </si>
  <si>
    <t>JOVANNY ALEXANDER BENAVIDES APRAEZ</t>
  </si>
  <si>
    <t>Natalia Sanchez Guio</t>
  </si>
  <si>
    <t>HEIDY LORENA PRIETO AHUMADA</t>
  </si>
  <si>
    <t>Tania Brigith Herrera Vargas</t>
  </si>
  <si>
    <t>Stefany Lara Sipagauta</t>
  </si>
  <si>
    <t>GINA PAOLA MEDINA FLOREZ</t>
  </si>
  <si>
    <t>Adriana Milena Torres Silva</t>
  </si>
  <si>
    <t>Maria Cecila Aguilar Duran</t>
  </si>
  <si>
    <t>Jefferson Gomez Jimenez</t>
  </si>
  <si>
    <t>IVONNE JINETH RODRIGUEZ ROJAS</t>
  </si>
  <si>
    <t>Ana Maria Cuervo Cárdenas</t>
  </si>
  <si>
    <t>Claudia Milena Garcia Muñoz</t>
  </si>
  <si>
    <t>Adrian Deyvis Acosta Garcia</t>
  </si>
  <si>
    <t>Sergio Alejandro Espinel Cartagena</t>
  </si>
  <si>
    <t>Cristian Eduardo Vinasco Garcia</t>
  </si>
  <si>
    <t>Diana Carolina Gaona Ovalle</t>
  </si>
  <si>
    <t>Erika Esmeralda Melo Salgado</t>
  </si>
  <si>
    <t>Danilo Enrique Valenzuela Silva</t>
  </si>
  <si>
    <t>Leidy Tatiana Mora Moreno</t>
  </si>
  <si>
    <t>Juan Pablo Monroy Urrego</t>
  </si>
  <si>
    <t>Cristian David Bautista Becerra</t>
  </si>
  <si>
    <t>Aura Patricia Quiroz Herrera</t>
  </si>
  <si>
    <t>Kelly Lorena Coy Castro</t>
  </si>
  <si>
    <t>Sharom Nicole Cortes Ramos</t>
  </si>
  <si>
    <t>MARSHIA MILENA JIMéNEZ GóMEZ</t>
  </si>
  <si>
    <t>Maryuri Tatiana Lopez Acosta</t>
  </si>
  <si>
    <t>NELSON JAVIER MORERA RINCON</t>
  </si>
  <si>
    <t>Diana Carolina Torres Silva</t>
  </si>
  <si>
    <t>JENIFFER VARGAS</t>
  </si>
  <si>
    <t>Jessica Andrea Castiblanco Fuentes</t>
  </si>
  <si>
    <t>Jeisson Fabian Molina Ciro</t>
  </si>
  <si>
    <t>REINTEGROS</t>
  </si>
  <si>
    <t>Mary Luz Paez Villamil</t>
  </si>
  <si>
    <t>Damelis Aguilar Zapata</t>
  </si>
  <si>
    <t>Jhon Arley Benavides Ayala</t>
  </si>
  <si>
    <t>Esneider Quiroga Cortes</t>
  </si>
  <si>
    <t>Edwin Fabian Ospina Zambrano</t>
  </si>
  <si>
    <t>Juan Manuel Niño Aldana</t>
  </si>
  <si>
    <t>JEISSON FABIAN MOLINA CIRO</t>
  </si>
  <si>
    <t>Alejandro Emilio Garcia Molano</t>
  </si>
  <si>
    <t>Juan Diego Salazar Gonzalez</t>
  </si>
  <si>
    <t>Natalia Andrea Chaguendo Sáenz</t>
  </si>
  <si>
    <t>Diana Alexandra Castilo Prieto</t>
  </si>
  <si>
    <t>Gerardo Alonso Gonzalez Henao</t>
  </si>
  <si>
    <t>Sandra Bibiana Zorrilla Riveros</t>
  </si>
  <si>
    <t>Raymonth Mateo Rubiano Reyes</t>
  </si>
  <si>
    <t>Angie Paola Baez Morales</t>
  </si>
  <si>
    <t>CATALINA PACHECO BURGOS</t>
  </si>
  <si>
    <t>Brenda Gabriela Lopez Chaux</t>
  </si>
  <si>
    <t>Laura Catalina Florez Dominguez</t>
  </si>
  <si>
    <t>Jeimi Andrea Bejarano León</t>
  </si>
  <si>
    <t>Diana Carolina Orjuela Restrepo</t>
  </si>
  <si>
    <t>Sonia Liliana Murcia</t>
  </si>
  <si>
    <t>Anngy Lorena Carrillo Torres</t>
  </si>
  <si>
    <t>Daniela Alejandra Ensuncho Chingate</t>
  </si>
  <si>
    <t>Adriana Gabriela Farfan Rodriguez</t>
  </si>
  <si>
    <t>Diego Fernando Torres Caballero</t>
  </si>
  <si>
    <t>Paula alexandra barreto díaz</t>
  </si>
  <si>
    <t>Jorge Luis Perea Yance</t>
  </si>
  <si>
    <t>Maria Fernanda Sanchez Martinez</t>
  </si>
  <si>
    <t>Dayana Lized Salcedo Cacais</t>
  </si>
  <si>
    <t>Jesica Lorena Guerrero Portela</t>
  </si>
  <si>
    <t>Jonathan Arias Leiva</t>
  </si>
  <si>
    <t>Yesid Eduardo Quitian Abril</t>
  </si>
  <si>
    <t>Nelly Cuellar Rodriguez</t>
  </si>
  <si>
    <t>Lorena Martinez Pedroza</t>
  </si>
  <si>
    <t>Leidy vergel castrillon</t>
  </si>
  <si>
    <t>Emily Fernanda Rondon Baez</t>
  </si>
  <si>
    <t>Adriana Margarita Anaya Buelvas</t>
  </si>
  <si>
    <t>Ginna Marcela Campo Castro</t>
  </si>
  <si>
    <t>Kevin Alessandro Osorio Lemus</t>
  </si>
  <si>
    <t>Wilson Javier Virviescas Pardo</t>
  </si>
  <si>
    <t>Dayana Katherin Beltran Ordoñez</t>
  </si>
  <si>
    <t>Jenniffer Zulai Gomez Ruiz</t>
  </si>
  <si>
    <t>Brayan stiven sapuy hurtado</t>
  </si>
  <si>
    <t>Diana Carolina Moyano Garzon</t>
  </si>
  <si>
    <t>Nataly Ramirez Monroy</t>
  </si>
  <si>
    <t>Mayerly Astrid Bernal Hernandez</t>
  </si>
  <si>
    <t>Carol Dayana Rada Rmirez</t>
  </si>
  <si>
    <t>Jeny Marlen Ordoñez Mendez</t>
  </si>
  <si>
    <t>JAVIER ORLANDO HERNANDEZ RIVERA</t>
  </si>
  <si>
    <t>OP GRADO - INGLÉS</t>
  </si>
  <si>
    <t>Sirley Viviana Villabon Melo</t>
  </si>
  <si>
    <t>Erika Patricia Munevar Cupajita</t>
  </si>
  <si>
    <t>Fabian Mateo Sepúlveda Salinas</t>
  </si>
  <si>
    <t>Johan Alexis Hernandez Torralaba</t>
  </si>
  <si>
    <t>Consuelo Villada Ocampo</t>
  </si>
  <si>
    <t>Edinson Orozco garcia</t>
  </si>
  <si>
    <t>Helen Patricia Figueroa Jimenez</t>
  </si>
  <si>
    <t>Karol Yiset Moreno Rodriguez</t>
  </si>
  <si>
    <t>Ruben Darío Elles Trujillo</t>
  </si>
  <si>
    <t>Hernando Alexander Sabogal Tuta</t>
  </si>
  <si>
    <t>Cristian Felipe Bernal Carmago</t>
  </si>
  <si>
    <t>Maylin Johana Amortegui Montero</t>
  </si>
  <si>
    <t>Nicolas Esteban Benavides Gomez</t>
  </si>
  <si>
    <t>Juan Carlos Molina Gamba</t>
  </si>
  <si>
    <t>Ingrid Dayana Mora Moreno</t>
  </si>
  <si>
    <t>Jessica Paola Garcia Ochoa</t>
  </si>
  <si>
    <t>Leonardo Laverde Munar</t>
  </si>
  <si>
    <t>Alvaro Javier Montes Perez</t>
  </si>
  <si>
    <t>Maria Camila Joanias Aguilar</t>
  </si>
  <si>
    <t>Yurlei Camila López Argüello</t>
  </si>
  <si>
    <t>Claudia Rocio Jauregui Herrera</t>
  </si>
  <si>
    <t>Jenny Patricia Lagos Roa</t>
  </si>
  <si>
    <t>Genny Marysol Solano Garzon</t>
  </si>
  <si>
    <t>Maria Fernanda Montiel Cipagauta</t>
  </si>
  <si>
    <t>Diana Paola Pineda Garzón</t>
  </si>
  <si>
    <t>María Isabel Gil Huertas</t>
  </si>
  <si>
    <t>Saira Lorena Zamudio Torres</t>
  </si>
  <si>
    <t>Jhon Daney Ríos Ortiz</t>
  </si>
  <si>
    <t>Adriana Coronado Montoya</t>
  </si>
  <si>
    <t>Juan pablo miranda beltran</t>
  </si>
  <si>
    <t>Sergio Murcia Acevedo</t>
  </si>
  <si>
    <t>Zulin Daniela Morales Peña</t>
  </si>
  <si>
    <t>Nelfy Yohanna Rodriguez Parra</t>
  </si>
  <si>
    <t>Johan Sagith Melo Villabon</t>
  </si>
  <si>
    <t>JOHAN SEBASTIAN PARDEYN AGUILAR</t>
  </si>
  <si>
    <t>BIT</t>
  </si>
  <si>
    <t>Sandra Patricia Munar Hernandez</t>
  </si>
  <si>
    <t>Daniel Alexander Bejarano Bejarano</t>
  </si>
  <si>
    <t>Andrey Fernando Sanchez Melo</t>
  </si>
  <si>
    <t>Brian Steven Gutierrez Sanchez</t>
  </si>
  <si>
    <t>Nasly Yired Diaz Muñoz</t>
  </si>
  <si>
    <t>Karen Nathalia Gualteros Martinez</t>
  </si>
  <si>
    <t>Claudia Restrepo Gonzalez</t>
  </si>
  <si>
    <t>Luisa Maria Contreras Opina</t>
  </si>
  <si>
    <t>Yulieth Paola Ramos Candela</t>
  </si>
  <si>
    <t>Camilo Andrés Navas Gonzalez</t>
  </si>
  <si>
    <t>Samir Stiven Ramos Algarra</t>
  </si>
  <si>
    <t>Lizeth Helena Puerto Pinto</t>
  </si>
  <si>
    <t>Sebastián Harvey Castillo Rodríguez</t>
  </si>
  <si>
    <t>Wilman Ferney Guerra Vivia</t>
  </si>
  <si>
    <t>Sara de los Angeles Ordoñez</t>
  </si>
  <si>
    <t>Yesika Grandas Sanabria</t>
  </si>
  <si>
    <t>Angie Daniela Gaitan Bejarano</t>
  </si>
  <si>
    <t>Helmuth Stiven Navas Landazuri</t>
  </si>
  <si>
    <t>Juan Daniel Andrade Herrera</t>
  </si>
  <si>
    <t>Luz Yannet Gil Duran</t>
  </si>
  <si>
    <t>Malory Andrea Mesa Martinez</t>
  </si>
  <si>
    <t>Yara Karina Liberato Sánchez</t>
  </si>
  <si>
    <t>Oscar Mosquera Mosquera</t>
  </si>
  <si>
    <t>Paola Andrea Castaño Castro</t>
  </si>
  <si>
    <t>Yuri Nataly Seco Salazar</t>
  </si>
  <si>
    <t>Monica Dayana Gutierrez Sanchez</t>
  </si>
  <si>
    <t>Laura Daniela Pineda Tovar</t>
  </si>
  <si>
    <t>Maria Valeria Fandiño Aldana</t>
  </si>
  <si>
    <t>Gabriela García González</t>
  </si>
  <si>
    <t>Katherinne andrea palomino gomez</t>
  </si>
  <si>
    <t>Alba rocío guerrero carrillo</t>
  </si>
  <si>
    <t>Javier Felipe Parrado Torres</t>
  </si>
  <si>
    <t>Yulieth Tatiana Ardila Hernandez</t>
  </si>
  <si>
    <t>Karol natalia fontalvo moreno</t>
  </si>
  <si>
    <t>Heidy Johanna Hurtado Guiza</t>
  </si>
  <si>
    <t>Liyid Daniela Perdomo Gomez</t>
  </si>
  <si>
    <t>Javier Orlando Hernandez Rivera</t>
  </si>
  <si>
    <t>Paula angelica vargas pinzon</t>
  </si>
  <si>
    <t>PUNTOS</t>
  </si>
  <si>
    <t>cc</t>
  </si>
  <si>
    <t xml:space="preserve">Cristian Camilo Caballero Reyes </t>
  </si>
  <si>
    <t>Deivid Santiago  Joya Apolin</t>
  </si>
  <si>
    <t xml:space="preserve">Jaider Stiven Trujillo Cuellar </t>
  </si>
  <si>
    <t>Jordy Adrian Muñoz Granada</t>
  </si>
  <si>
    <t xml:space="preserve">Julián Andrés alejo Velasco </t>
  </si>
  <si>
    <t>Laura Katerin Charry Avila</t>
  </si>
  <si>
    <t>Laura Tatiana Rodriguez Vera</t>
  </si>
  <si>
    <t xml:space="preserve">Nuviss Llixeidy Aguirre Virguez </t>
  </si>
  <si>
    <t xml:space="preserve">Paula Andrea Blanco Rojas </t>
  </si>
  <si>
    <t>Brayan Alexander Garcia Ruiz</t>
  </si>
  <si>
    <t>Lider</t>
  </si>
  <si>
    <t>Frederick Frederick Murcia Melchor</t>
  </si>
  <si>
    <t>Edwar Andres Perez Bello</t>
  </si>
  <si>
    <t>Jessica Julissa Silva George</t>
  </si>
  <si>
    <t>Luis Alfonso Velasco Vera</t>
  </si>
  <si>
    <t>Maigalida Denisse Cuaran Erazo</t>
  </si>
  <si>
    <t>Nicolas Nicolas Camargo Cortes</t>
  </si>
  <si>
    <t>Miguel Angel Guaqueta Roa</t>
  </si>
  <si>
    <t>SUR</t>
  </si>
  <si>
    <t>SILVIA ELENA SOSA GALLEGO</t>
  </si>
  <si>
    <t>Sara Vanessa Agudelo Castro</t>
  </si>
  <si>
    <t>Sully Evelin Rosero Sacanambuy</t>
  </si>
  <si>
    <t>Adriana Adriana Cabrera Gonzalez</t>
  </si>
  <si>
    <t>Yeiny Yurany Castro Camacho</t>
  </si>
  <si>
    <t>Jorge Andrés Rincon Rodríguez</t>
  </si>
  <si>
    <t>oralia de jesus alzate ochoa</t>
  </si>
  <si>
    <t>Genís Yolanda Arteaga Requena</t>
  </si>
  <si>
    <t>Yesenia Yesenia Becerra Robledo</t>
  </si>
  <si>
    <t>Geyre Palomar Martinez</t>
  </si>
  <si>
    <t>CUR MOD GR ESP GER TAL HUM VIR</t>
  </si>
  <si>
    <t>Yennys Patricia Molina Ramirez</t>
  </si>
  <si>
    <t>Monica Yulieth  Chaverra  Palacios</t>
  </si>
  <si>
    <t>Karol Michell Cortes Fuentes</t>
  </si>
  <si>
    <t xml:space="preserve">Lina Marcela  Vargas  Caicedo </t>
  </si>
  <si>
    <t>Karol Nathalia Bernal Arango</t>
  </si>
  <si>
    <t xml:space="preserve">Darlys del Carmen  Maza Puerta </t>
  </si>
  <si>
    <t>Florangela Florangela Riveros Sanabria</t>
  </si>
  <si>
    <t>EDUCOPAIS</t>
  </si>
  <si>
    <t>NORTE</t>
  </si>
  <si>
    <t>Tatiana Tatiana Pulgarin Morales</t>
  </si>
  <si>
    <t>Demetrio Romero Barrios</t>
  </si>
  <si>
    <t>Yorleidis Del carmen Puello Yepes</t>
  </si>
  <si>
    <t>Wilson Rafael Escorcia Gonzalez</t>
  </si>
  <si>
    <t>Jeanet Patricia Martínez Pinzón</t>
  </si>
  <si>
    <t>Jhonathan Santiago Pira Raquira</t>
  </si>
  <si>
    <t>Judy Katerine Rios Ortiz</t>
  </si>
  <si>
    <t>GUILLERMO RAFAEL CAMPO CABRERA</t>
  </si>
  <si>
    <t>Angi Daniela Peña Peña</t>
  </si>
  <si>
    <t>Meris Del carmen Calderón Jiménez</t>
  </si>
  <si>
    <t>GRUPO INTERACTIVAS LTDA</t>
  </si>
  <si>
    <t>Esteban Esteban Paternina Martinez</t>
  </si>
  <si>
    <t>Luz Marcela Rodriguez Rodriguez</t>
  </si>
  <si>
    <t>Daniela Andrea Alvarez Bravo</t>
  </si>
  <si>
    <t>John Leonardo Bernal Murcia</t>
  </si>
  <si>
    <t>Gloria Orejuela Laurido</t>
  </si>
  <si>
    <t>Mariana Delgado Vargas</t>
  </si>
  <si>
    <t>Jeidy Johana Castro Gutierrez</t>
  </si>
  <si>
    <t>Diego Andres Cuello Castro</t>
  </si>
  <si>
    <t>Mesias Motta Chacon</t>
  </si>
  <si>
    <t>Noris Noris Garces Campaz</t>
  </si>
  <si>
    <t>Jhon Jairo Riaño Perez</t>
  </si>
  <si>
    <t>Alvaro José Escorcia Galofre</t>
  </si>
  <si>
    <t>Carlos Enrique Burgos Castillo</t>
  </si>
  <si>
    <t>Yisela Maria Julio Urrea</t>
  </si>
  <si>
    <t>Camila Fernanda Losada Menza</t>
  </si>
  <si>
    <t>Diana Marcela Fontalvo Pertuz</t>
  </si>
  <si>
    <t>ESP GER EN TALENTO HUMANO VIR</t>
  </si>
  <si>
    <t>Harol Alberto Hinestroza Machado</t>
  </si>
  <si>
    <t>INNOVACIO EDUCATIVA ONLINE SAS</t>
  </si>
  <si>
    <t>ORIENTE</t>
  </si>
  <si>
    <t>ANGELY JULIANA MUÑOZ ROZO</t>
  </si>
  <si>
    <t>YOBANA  CATHERINE GOMEZ ALARCON</t>
  </si>
  <si>
    <t>LUIS DARIO CERVERA AVILA</t>
  </si>
  <si>
    <t>Maryi Liseth Arango Barrios</t>
  </si>
  <si>
    <t>Edgar Jose Alapez Paez</t>
  </si>
  <si>
    <t>Augenia Catalina Carrero Brochero</t>
  </si>
  <si>
    <t>Andrea Stefania Mendoza Castillo</t>
  </si>
  <si>
    <t>Andrea Catalina Molina Cuervo</t>
  </si>
  <si>
    <t>Jackeline Estefany Bernate Tellez</t>
  </si>
  <si>
    <t>JOIDER MICOLTA PIEDRAHITA</t>
  </si>
  <si>
    <t>Carlos Andres Hernandez Zamudio</t>
  </si>
  <si>
    <t>GLORIA YURANY CUELLAR  RODRIGUEZ</t>
  </si>
  <si>
    <t xml:space="preserve">Rosalina  Perez  Pineda </t>
  </si>
  <si>
    <t>Catalina Catalina Cometa Fierro</t>
  </si>
  <si>
    <t>Diana Lizeth Calderon Bernal</t>
  </si>
  <si>
    <t xml:space="preserve">Gentil Rojas  Cortes </t>
  </si>
  <si>
    <t>CENTRO</t>
  </si>
  <si>
    <t>Nelly Esperanza Camacho Camacho</t>
  </si>
  <si>
    <t>Yuri Tatiana Almeciga Peña</t>
  </si>
  <si>
    <t>Sandra Milena Cobo Llanos</t>
  </si>
  <si>
    <t>Cristian Stiven Castro Perez</t>
  </si>
  <si>
    <t>Tania Carolina Malaver Niño</t>
  </si>
  <si>
    <t>FEISAR EDUARDO PEREZ QUITIAN</t>
  </si>
  <si>
    <t>Yuliet Rocío  Camacho Camacho</t>
  </si>
  <si>
    <t>Braian Enrique García Velez</t>
  </si>
  <si>
    <t>Francisco Jose Navarro Ramos</t>
  </si>
  <si>
    <t>Jhoiner José Primera Torres</t>
  </si>
  <si>
    <t>Francisco Javier Rodriguez Rivas</t>
  </si>
  <si>
    <t>Pedro Anibal Gonzalez  Ruiz</t>
  </si>
  <si>
    <t>Kener Kener Fajardo Ceballos</t>
  </si>
  <si>
    <t xml:space="preserve">Lilibeth  Meza Jiménez  Jiménez </t>
  </si>
  <si>
    <t>CORBAC</t>
  </si>
  <si>
    <t>Jeymy Carolina Arevalo Herrera</t>
  </si>
  <si>
    <t>Darcy Vanessa Pulecio Cuellar</t>
  </si>
  <si>
    <t>JUAN DE JESUS GONZÁLEZ  SALCEDO</t>
  </si>
  <si>
    <t>Dagny Victoria Romero Ortega</t>
  </si>
  <si>
    <t>Gherly Andrea Maldonado Gonzalez</t>
  </si>
  <si>
    <t>Ramon Santiago  Arevalo Forero</t>
  </si>
  <si>
    <t>Kary Patricia Hoyos Romero</t>
  </si>
  <si>
    <t>Karol Tatiana Cabarcas Villaquiran</t>
  </si>
  <si>
    <t>Jenny Margoth Hernandez Basante</t>
  </si>
  <si>
    <t>Ana Teresa  Sibaja  Sibaja</t>
  </si>
  <si>
    <t>Hugo Alberto Romero  Huertas</t>
  </si>
  <si>
    <t>Leidy Lorena Mena Silva</t>
  </si>
  <si>
    <t>Jhon Franky Puerto  Cifuentes</t>
  </si>
  <si>
    <t>Tania Vanessa Ospina Torres</t>
  </si>
  <si>
    <t>Andres Nicolas Ramirez Lopez</t>
  </si>
  <si>
    <t>Eugenia Elena Rey Polo</t>
  </si>
  <si>
    <t>Angela Maria Ballesteros Gualteros</t>
  </si>
  <si>
    <t>Carlos Mario Rendon Aguas</t>
  </si>
  <si>
    <t>Andrea Catalina Cuastumal Escobar</t>
  </si>
  <si>
    <t>Liliana Velásquez  Vanegas</t>
  </si>
  <si>
    <t>Marylin Vanessa Vergara Mercado</t>
  </si>
  <si>
    <t>yudis geovany  guzman isaza</t>
  </si>
  <si>
    <t>Vanessa Alejandra Valencia Pajoy</t>
  </si>
  <si>
    <t>Sandra Leonela Carrillo Rolon</t>
  </si>
  <si>
    <t>Kellys Johana Barraza Barraza</t>
  </si>
  <si>
    <t>Ana María Donado Briñez</t>
  </si>
  <si>
    <t>PROFIN SAS</t>
  </si>
  <si>
    <t>Centro</t>
  </si>
  <si>
    <t>Yessica Andrea Córdoba Martínez</t>
  </si>
  <si>
    <t>Pedro Santiago Arias Caro</t>
  </si>
  <si>
    <t>Geraldine Bibiana Ramírez Chia</t>
  </si>
  <si>
    <t>Angelica Maria Medina Peña</t>
  </si>
  <si>
    <t>Kelly Johana Ruiz Villegas</t>
  </si>
  <si>
    <t>Tatiana Isabel Silgado Araujo</t>
  </si>
  <si>
    <t>Marly lorena  Castro Muñoz</t>
  </si>
  <si>
    <t>Jeisson Andres Colorado Velez</t>
  </si>
  <si>
    <t>JAIDER ENRIQUE SALAZAR  MUÑOS</t>
  </si>
  <si>
    <t>PLÁCIDO ANTONIO VAN STRAHLEN MARTÍNEZ</t>
  </si>
  <si>
    <t>Senen Senen Ramirez Mosquera</t>
  </si>
  <si>
    <t>Yudith Solanlly Forero Sanin</t>
  </si>
  <si>
    <t>Alejandra Alejandra Concha Vargas</t>
  </si>
  <si>
    <t xml:space="preserve">Maritza Moreno Palacios </t>
  </si>
  <si>
    <t>Maria Paola Santana Espitia</t>
  </si>
  <si>
    <t>ESP REVI FIS Y AUDIT FOREN VIR</t>
  </si>
  <si>
    <t>Daniela Daniela Patiño Patiño</t>
  </si>
  <si>
    <t>Jennifer Andrea Ramos Benavides</t>
  </si>
  <si>
    <t>Yeison Camilo Segura Martin</t>
  </si>
  <si>
    <t>Angela Andreina Leon Bastidas</t>
  </si>
  <si>
    <t xml:space="preserve">Alba Lucía Cuta </t>
  </si>
  <si>
    <t>Andrea Jhoanna Lara Murcia</t>
  </si>
  <si>
    <t>Maria Catalina Riascos Insuasty</t>
  </si>
  <si>
    <t>Yoselin Valeria Anchico Grueso</t>
  </si>
  <si>
    <t>Luis Amado Renteria Guevara</t>
  </si>
  <si>
    <t>Ederson Jose Pacheco Calderon</t>
  </si>
  <si>
    <t>Yeyme Yeyme Martinez Valero</t>
  </si>
  <si>
    <t>Cristina Isabel Rodriguez Lopez</t>
  </si>
  <si>
    <t>Ximena Alexandra Ortiz Aguilar</t>
  </si>
  <si>
    <t>Maria José Hurtado Montano</t>
  </si>
  <si>
    <t>MARIO DE JESUS VAHOS MESA</t>
  </si>
  <si>
    <t>Alex Enrique Chavez Valencia</t>
  </si>
  <si>
    <t>Laura Alejandra Sanchez Pereira</t>
  </si>
  <si>
    <t>CARLOS ALFREDO ORTIZ PEÑA</t>
  </si>
  <si>
    <t>Luz Dary Mancera Mancera</t>
  </si>
  <si>
    <t>Yudis Grey Valle Soto</t>
  </si>
  <si>
    <t>Kevin Felipe Avila Avila</t>
  </si>
  <si>
    <t>Daniel Jose Barragan Taboada</t>
  </si>
  <si>
    <t>Cristian Cristian Suarez Alvarez</t>
  </si>
  <si>
    <t>Ana Mayerly Maceto Mendoza</t>
  </si>
  <si>
    <t>Beison  Moreno Mosquera</t>
  </si>
  <si>
    <t>Angie Carolina Hormechea Anaya</t>
  </si>
  <si>
    <t>Astrid Carolina Barrios Varon</t>
  </si>
  <si>
    <t>Dina Luz Ballesteros Cogollo</t>
  </si>
  <si>
    <t>Sofia Sofia Martinez Padilla</t>
  </si>
  <si>
    <t>LUIS FELIPE  PIZARRO CAUSADO</t>
  </si>
  <si>
    <t>Braulio Rafael  Torres  Garzón</t>
  </si>
  <si>
    <t>Maria Lucer Lopez Bolaños</t>
  </si>
  <si>
    <t>María De los ángeles Peterson Valdelamar</t>
  </si>
  <si>
    <t>Cristian Enrique Pacheco Riaño</t>
  </si>
  <si>
    <t xml:space="preserve">Mónica Liset  Briceño  Daza </t>
  </si>
  <si>
    <t>Yenny Johanna Acero Orduz</t>
  </si>
  <si>
    <t>Luz Mariana Prins Navarro</t>
  </si>
  <si>
    <t>Alvaro Augusto Gutierrez Jimenez</t>
  </si>
  <si>
    <t>Hellem Johanna Martinez Martinez</t>
  </si>
  <si>
    <t>Camilo Andres Prieto Anzola</t>
  </si>
  <si>
    <t>Loycineth De los reyes Palmar Aguilar</t>
  </si>
  <si>
    <t>Cristina Cristina Poblador Uyaban</t>
  </si>
  <si>
    <t>Christian Johel Bautista Leal</t>
  </si>
  <si>
    <t>Pablo Andres Munzón Julio</t>
  </si>
  <si>
    <t>Ana Mercedes Avila Suescun</t>
  </si>
  <si>
    <t>Carolina Delrocio Bello Bello</t>
  </si>
  <si>
    <t>Sandra Maribel Gil Aguirre</t>
  </si>
  <si>
    <t>Tatiana Navarro Castrillo</t>
  </si>
  <si>
    <t>Angelica Mariana Ortiz Aguirre</t>
  </si>
  <si>
    <t>Jorge Harvey Velez Bazan</t>
  </si>
  <si>
    <t>Ana Cristina Estupiñan  Ballesteros</t>
  </si>
  <si>
    <t>Angie Andrea Rodriguez Niño</t>
  </si>
  <si>
    <t>Tulio Javier Vera Portilla</t>
  </si>
  <si>
    <t>Claudia Lorena Castillo Socarras</t>
  </si>
  <si>
    <t>MARIA ESPOSORIO GUERRERO ABELLA</t>
  </si>
  <si>
    <t>Maria Liliana Vargas Suarez</t>
  </si>
  <si>
    <t>Sabina Patricia Ariza Royet</t>
  </si>
  <si>
    <t>Jennifer Jennifer Echeverry Socha</t>
  </si>
  <si>
    <t>OPC IBN DIREC ESTRAT RRHH VIR</t>
  </si>
  <si>
    <t>Viviana Marcela Erazo Chindoy</t>
  </si>
  <si>
    <t>Vanessa Vanessa Zuluaga Romero</t>
  </si>
  <si>
    <t xml:space="preserve">Heidi Escobar  Agudelo </t>
  </si>
  <si>
    <t>Andrés Felipe  Gonzalez Collazos</t>
  </si>
  <si>
    <t>William Arley Castro Montenegro</t>
  </si>
  <si>
    <t>FLORENTINO RINCON PULIDO</t>
  </si>
  <si>
    <t>Mariangel Mariangel Cataño C¿ma¿h¿</t>
  </si>
  <si>
    <t>Agapito Mosquera  Andrade</t>
  </si>
  <si>
    <t>Daniela Daniela Parra Tuberquia</t>
  </si>
  <si>
    <t>MONICA YICELA  PUENTES RINCON</t>
  </si>
  <si>
    <t>Chadya Chadya Narváez Alvear</t>
  </si>
  <si>
    <t xml:space="preserve">Claudia patricia  Toledo  Pacheco </t>
  </si>
  <si>
    <t>Alvaro Yair Medina Vasquez</t>
  </si>
  <si>
    <t>INESUP</t>
  </si>
  <si>
    <t>Gisell Katerin Rincon Suarez</t>
  </si>
  <si>
    <t>Taikys Isabel Guzman Morales</t>
  </si>
  <si>
    <t>Claudia Liliana Ramirez Martinez</t>
  </si>
  <si>
    <t>Martha Rocio Olarte Manrique</t>
  </si>
  <si>
    <t>Anyi Carolina Cadena Maya</t>
  </si>
  <si>
    <t>Mayerlys Mariela Mendoza Argel</t>
  </si>
  <si>
    <t>Jonathan Rene Muelas Hurtado</t>
  </si>
  <si>
    <t>Eidy Yohana Arrieta Leon</t>
  </si>
  <si>
    <t>monica patrica lopez cabrera</t>
  </si>
  <si>
    <t>Yoselin Llorente  Acosta</t>
  </si>
  <si>
    <t>Gerardo Trujillo Trujillo</t>
  </si>
  <si>
    <t>KEIDY MANUELA IBARGUEN  PALACIOS</t>
  </si>
  <si>
    <t>Faiber Yessid Cuesta Largacha</t>
  </si>
  <si>
    <t>Anggy Celeste Bernal Recalde</t>
  </si>
  <si>
    <t>Angela Maria Guerrero Romero</t>
  </si>
  <si>
    <t xml:space="preserve">Maria Antonia Acevedo </t>
  </si>
  <si>
    <t>Angie Paola Romero Gonzalez</t>
  </si>
  <si>
    <t>DIP INT ART ACC:APLIC PRAC VIR</t>
  </si>
  <si>
    <t>Brayan Felipe Antolinez Florez</t>
  </si>
  <si>
    <t>Diego Alejandro Montenegro Leon</t>
  </si>
  <si>
    <t>Leonor Stella Bohorquez Gomez</t>
  </si>
  <si>
    <t>Liliana Calderon Gonzalez</t>
  </si>
  <si>
    <t>Michell Carolina Valverde Gutierrez</t>
  </si>
  <si>
    <t>Karen Julieth Hernandez Delgado</t>
  </si>
  <si>
    <t>Katherine Katherine Garcia Fuentes</t>
  </si>
  <si>
    <t>Dagne Yelissa Bermúdez Arboleda</t>
  </si>
  <si>
    <t xml:space="preserve">Edilma María  Ortiz  Naranjo </t>
  </si>
  <si>
    <t xml:space="preserve">ANA BEATRIZ GONZALEZ </t>
  </si>
  <si>
    <t>Tatiana Tatiana Fernandez Mendez</t>
  </si>
  <si>
    <t>Pablo daniel cabrera palacios</t>
  </si>
  <si>
    <t>Jaqueline Jaqueline Peña Sanchez</t>
  </si>
  <si>
    <t>Catalina Catalina Osorio Villa</t>
  </si>
  <si>
    <t xml:space="preserve">Roly Rafael  Lezama  Gomez </t>
  </si>
  <si>
    <t>Brenda Brenda Orozco Sequea</t>
  </si>
  <si>
    <t>Darwin Daniel Rodriguez Torres</t>
  </si>
  <si>
    <t>Jacqueline Jacqueline Paez Vela</t>
  </si>
  <si>
    <t>Diana Brigette Pelaez Daza</t>
  </si>
  <si>
    <t>OPC GRAD DES WEB FULL PSIC VIR</t>
  </si>
  <si>
    <t>CEI_KENNEDY</t>
  </si>
  <si>
    <t>Yennis Esther Robles Prasca</t>
  </si>
  <si>
    <t>GLORIA OFELIA ALARCON ROJAS</t>
  </si>
  <si>
    <t>Diana Valentina Mendoza Garcia</t>
  </si>
  <si>
    <t>RUBI DE JESUS PUENTES  GARIZABAL</t>
  </si>
  <si>
    <t>Diana Marcela Rico Rico</t>
  </si>
  <si>
    <t>María Camila Patiño Lechuga</t>
  </si>
  <si>
    <t>Jeltsy Marleydyn Chapid Huertas</t>
  </si>
  <si>
    <t>Nelly Nelly Perez Perez</t>
  </si>
  <si>
    <t>Laura Catalina Martinez Cordoba</t>
  </si>
  <si>
    <t>Miguel Ángel Vargas Niño</t>
  </si>
  <si>
    <t>Kevin Joel Tovar Salas</t>
  </si>
  <si>
    <t>LENIS SOFIA CARPINTERO SANCHEZ</t>
  </si>
  <si>
    <t xml:space="preserve">Nelson Rafael  Rivera  Mercado </t>
  </si>
  <si>
    <t>Wendy Katherine Reinel Marín</t>
  </si>
  <si>
    <t xml:space="preserve">María siria  Lozano Mosquera </t>
  </si>
  <si>
    <t>Jessica Ximena Patiño Moreno</t>
  </si>
  <si>
    <t>Jesus Alfredo Maussa Benitez</t>
  </si>
  <si>
    <t>Brayan Steven Bello Ruiz</t>
  </si>
  <si>
    <t>Fredy Libardo Camacho Amezquita</t>
  </si>
  <si>
    <t>Luis Mario  Rivera  Garcia</t>
  </si>
  <si>
    <t>Katherin Paola Torres Saavedra</t>
  </si>
  <si>
    <t>CONSTRUY FUTURO - CONSFUTUR</t>
  </si>
  <si>
    <t>Ariak Joe Blanco Chapuengal</t>
  </si>
  <si>
    <t>Luisa María Paneso Gutiérrez</t>
  </si>
  <si>
    <t>Yuber Antonio Castro Carrero</t>
  </si>
  <si>
    <t>Angie Dayana  Molina  Trujillo</t>
  </si>
  <si>
    <t>Ingrid Yurany Calderon Rocha</t>
  </si>
  <si>
    <t>Jenny Andrea Solis Silva</t>
  </si>
  <si>
    <t>Blancheht Yeliza Ricardo Urzola</t>
  </si>
  <si>
    <t>Leidy Tatiana Mosquera Urrutia</t>
  </si>
  <si>
    <t>MARIA EUGENIA ORTIZ GARCIA</t>
  </si>
  <si>
    <t>Hector Luis Castro Sandoval</t>
  </si>
  <si>
    <t>Carlos Arturo  Vasallo Perez</t>
  </si>
  <si>
    <t>Anny Katherinne Idarraga Agudelo</t>
  </si>
  <si>
    <t>Hubert Hubert Grisales Salazar</t>
  </si>
  <si>
    <t>JORGE ARMANDO BARRIOS PUCHE</t>
  </si>
  <si>
    <t>Adriana Marcela Chisco Infante</t>
  </si>
  <si>
    <t xml:space="preserve">Jennifer JULIETH  Villamil  Hoyos </t>
  </si>
  <si>
    <t>Heidy Alexandra Maya Vallejo</t>
  </si>
  <si>
    <t>Nelcy Isabel Suárez Hernández</t>
  </si>
  <si>
    <t>Yuly Andrea  Narvaez Jimenez</t>
  </si>
  <si>
    <t>Arlene Dahl Quintero Huelgas</t>
  </si>
  <si>
    <t>María Trinidad Torres Sánchez</t>
  </si>
  <si>
    <t>AMANDA YUBELY MOSQUERA  LEUDO</t>
  </si>
  <si>
    <t xml:space="preserve">LEIDY MARCELA  TORRES  CORTES </t>
  </si>
  <si>
    <t>Karen Daniela Oquendo Lizcano</t>
  </si>
  <si>
    <t>Mónica Andrea Sánchez Ome</t>
  </si>
  <si>
    <t>Lisseth Katherine Ordoñez Ortega</t>
  </si>
  <si>
    <t>Claudia Patricia Velez Cespedes</t>
  </si>
  <si>
    <t>Edgar Orlando Zarabanda Niño</t>
  </si>
  <si>
    <t>Martha Jimena Sotelo Perez</t>
  </si>
  <si>
    <t>Karin Lorena Diaz Bustos</t>
  </si>
  <si>
    <t>Martha yaneth Cárdenas  Montaña</t>
  </si>
  <si>
    <t xml:space="preserve">ALBEIRO ENRIQUE  ARRIETA  MÁRQUEZ </t>
  </si>
  <si>
    <t>Monica Patricia Gutirrerez Puello</t>
  </si>
  <si>
    <t>Bleymer Andres Garcia Cruz</t>
  </si>
  <si>
    <t>Laura Victonia Patiño Alvarez</t>
  </si>
  <si>
    <t>Yessica Yessica Borda Gonzalez</t>
  </si>
  <si>
    <t>Diomedes Fernando Meza Carvajal</t>
  </si>
  <si>
    <t xml:space="preserve">Luz emilce Castro Guerrero </t>
  </si>
  <si>
    <t>Adelaida  Moncada Vera</t>
  </si>
  <si>
    <t>Luisa Maria Lopez Florez flores</t>
  </si>
  <si>
    <t>Jhony Alejandro Uribe Leal</t>
  </si>
  <si>
    <t>Marco Arbey Benavides Cuastumal</t>
  </si>
  <si>
    <t>Cesar Cesar Zelextheron Narvaez</t>
  </si>
  <si>
    <t>Nelly Yulieth Mora Bonilla</t>
  </si>
  <si>
    <t>Roosbeilis Yelitza Gutierrez Bermudez</t>
  </si>
  <si>
    <t>Julian David Lara Hurtado</t>
  </si>
  <si>
    <t>Heidy Alejandra Hernández Figueroa</t>
  </si>
  <si>
    <t>Nayeth Dayana Correa Lobato</t>
  </si>
  <si>
    <t>Cristian Gerardo Latorre Alvarado</t>
  </si>
  <si>
    <t>Maria Isabel Lara Saiz</t>
  </si>
  <si>
    <t>Denisse Ariadna Álvarez Rozo</t>
  </si>
  <si>
    <t>Edwin Andres Montilla Melendez</t>
  </si>
  <si>
    <t>Samuel Alberto Minota Minota</t>
  </si>
  <si>
    <t>Nelcy Alejandra Patiño Salazar</t>
  </si>
  <si>
    <t>Karen Dayana Tole Aguirre</t>
  </si>
  <si>
    <t>Diego Felipe Gonzalez Mateus mateus</t>
  </si>
  <si>
    <t>Lina Marcela Gonzalez Nasayo</t>
  </si>
  <si>
    <t>Dannys Margarita Romero Londoño</t>
  </si>
  <si>
    <t>YENNYS PAOLA GANDARA MARTINEZ</t>
  </si>
  <si>
    <t>Carlos Alberto Devia Bautista</t>
  </si>
  <si>
    <t>Estefanía Estefanía Cañaveral Holguin</t>
  </si>
  <si>
    <t>Mario Montoya Montoya</t>
  </si>
  <si>
    <t>Marleny Rodriguez Rodriguez</t>
  </si>
  <si>
    <t>Angie Lorena Ariza González</t>
  </si>
  <si>
    <t>EDUCITY</t>
  </si>
  <si>
    <t>Maria Alejandra Rogelis Caballero</t>
  </si>
  <si>
    <t>Edinson Cordoba Berrio Berrio</t>
  </si>
  <si>
    <t xml:space="preserve">Marelbis  Corpas Jiménez </t>
  </si>
  <si>
    <t>Astrid Lorena Palacio Ruiz</t>
  </si>
  <si>
    <t>Deisy Johana Umaña Cardenas</t>
  </si>
  <si>
    <t>Jhon Freys Castro Triana</t>
  </si>
  <si>
    <t>Laura Milena Tamayo Torres</t>
  </si>
  <si>
    <t>Jhon Anderson Suárez Durán</t>
  </si>
  <si>
    <t>Leidys Paola Sanchez Cantillo cantillo</t>
  </si>
  <si>
    <t>Angie Paola Bastidas Armero</t>
  </si>
  <si>
    <t>Luis Adrian Hidalgo Romero</t>
  </si>
  <si>
    <t>Erika Milena Rincon Sierra</t>
  </si>
  <si>
    <t>Sandra Liliana Diaz Gonzalez</t>
  </si>
  <si>
    <t xml:space="preserve">Elsa Sanchez </t>
  </si>
  <si>
    <t>Edwin Yesid  Blanco  Duarte</t>
  </si>
  <si>
    <t xml:space="preserve">José Nicolás  Sánchez  Galeano </t>
  </si>
  <si>
    <t>Liliana Maria Marulanda Ortiz</t>
  </si>
  <si>
    <t>Dairo Rafael Martinez Castillo</t>
  </si>
  <si>
    <t>Lucelmi Lucelmi Velasco Quisoboni</t>
  </si>
  <si>
    <t>Valentina Valentina Moreno Soto</t>
  </si>
  <si>
    <t>Leidy Xiomara Cipamocha Grismaldo</t>
  </si>
  <si>
    <t>Triana  Pantoja Mallarino</t>
  </si>
  <si>
    <t>David Santiago Monroy Pulido</t>
  </si>
  <si>
    <t>Luzdy Yuliana Muñoz Diaz</t>
  </si>
  <si>
    <t>FUNDECRED</t>
  </si>
  <si>
    <t>Aura Melissa Lopez Bernal</t>
  </si>
  <si>
    <t>Omar Andres Palacios Palacios</t>
  </si>
  <si>
    <t>David Ricardo Parrado Coy</t>
  </si>
  <si>
    <t>Katherin Paola Latorre Guzman</t>
  </si>
  <si>
    <t>DANIEL ANTONIO MONRROY  OSPINO</t>
  </si>
  <si>
    <t>Lina Marcela Miranda Serpa</t>
  </si>
  <si>
    <t>Felipe Carreño Silva silva</t>
  </si>
  <si>
    <t>Milena Patricia Hormaza Orozco</t>
  </si>
  <si>
    <t>Giovanny Armando Leon Castro</t>
  </si>
  <si>
    <t xml:space="preserve">Lady Carolina zarate  osorio </t>
  </si>
  <si>
    <t>Martha Graciela Rodriguez Martinez</t>
  </si>
  <si>
    <t>Alicia Esther Crespo Martínez</t>
  </si>
  <si>
    <t>Williams Alexander Peña Baez</t>
  </si>
  <si>
    <t>Monica Juliana Velasquez Cuellar</t>
  </si>
  <si>
    <t>Elizabeth Elizabeth Angel V</t>
  </si>
  <si>
    <t>Sulay Yiseth Suarez Ramirez</t>
  </si>
  <si>
    <t>victor alfonso ladino mahecha</t>
  </si>
  <si>
    <t>Melisa Del carmen Valdelamar Acosta</t>
  </si>
  <si>
    <t>Sandrid Sofía Hernández Ardila</t>
  </si>
  <si>
    <t>Paola Andrea Borja Alvarez</t>
  </si>
  <si>
    <t>Claudina Paola Estrada Torres</t>
  </si>
  <si>
    <t>Andrea Paola Suspez Caceres</t>
  </si>
  <si>
    <t>Juliana Juliana Martinez Duarte</t>
  </si>
  <si>
    <t>Juan Andres Suarez Gabiria</t>
  </si>
  <si>
    <t>JORGE DEIBER CORREDOR ROLDAN</t>
  </si>
  <si>
    <t>Pablo Emilio  Romero  Cruz</t>
  </si>
  <si>
    <t>Huverney Huverney Murcia Cenon</t>
  </si>
  <si>
    <t>Yulisa Yulisa Borja Alvarez</t>
  </si>
  <si>
    <t>Milena Marcela Monterrosa Montiel</t>
  </si>
  <si>
    <t>Kelly Johanna Severiche Ortega</t>
  </si>
  <si>
    <t>Angelica Maria Sabogal Benitez</t>
  </si>
  <si>
    <t>Rosiris María Schmalbach Solis</t>
  </si>
  <si>
    <t>Cristian Esteban Rivera Duarte</t>
  </si>
  <si>
    <t>Mateo Mateo Aguirre Villa</t>
  </si>
  <si>
    <t>Ana Rosmira Franco Gomez</t>
  </si>
  <si>
    <t>Julie Milena Diaz Salguero</t>
  </si>
  <si>
    <t>Maria Alejandra Garcia Garcia</t>
  </si>
  <si>
    <t>Luis Arturo  Florez  Cardona</t>
  </si>
  <si>
    <t>Claudia Marcela López Castillo castillo</t>
  </si>
  <si>
    <t>Helen Johana Mejia Efeer</t>
  </si>
  <si>
    <t>Laura Tatiana Gamez Bolaños</t>
  </si>
  <si>
    <t>LISBETH PEREZ ANGUILA</t>
  </si>
  <si>
    <t>Jhoan Camilo jimenez cuadros</t>
  </si>
  <si>
    <t>Jefery Cuadrado Martinez</t>
  </si>
  <si>
    <t>JUAN JOSE  HERRERA LEON</t>
  </si>
  <si>
    <t>ROBERTO PEINADO HERRERA</t>
  </si>
  <si>
    <t>Carlos Arturo Sossa Rodríguez</t>
  </si>
  <si>
    <t>Xiomara Yised Ibañez Gañindo</t>
  </si>
  <si>
    <t>Santiago Santiago Valencia Vinasco</t>
  </si>
  <si>
    <t>Daniela Daniela Gallón Osorio</t>
  </si>
  <si>
    <t>HUMBERTO  ORTIZ CAMPAZ</t>
  </si>
  <si>
    <t>Cristian Fernando Restrepo Vergara</t>
  </si>
  <si>
    <t>Laura Milena Avila Arevalo</t>
  </si>
  <si>
    <t>Marlon Fernely Morales Silva</t>
  </si>
  <si>
    <t>Narda zulay Puerto  Moncada</t>
  </si>
  <si>
    <t>Javier Alonso Guzman Vera</t>
  </si>
  <si>
    <t>Estefani Jineth Sosa Peña</t>
  </si>
  <si>
    <t>Maria Alejandra Ospino Padilla</t>
  </si>
  <si>
    <t>Juan Pablo Morales Baracaldo</t>
  </si>
  <si>
    <t>Andrea Andrea Torres Vega</t>
  </si>
  <si>
    <t>Yarledis Yarledis Perez Carrillo</t>
  </si>
  <si>
    <t>YEYSON OROZCO  CALLE</t>
  </si>
  <si>
    <t>Shirlys Esther Martelo Sandoval</t>
  </si>
  <si>
    <t>Nacira Maria  Perez  Cueto</t>
  </si>
  <si>
    <t>Katherine Katherine Corredor Corredor</t>
  </si>
  <si>
    <t>Mayra Yulieth Lozano Mena</t>
  </si>
  <si>
    <t>Victor Manuel Cifuentes Candela</t>
  </si>
  <si>
    <t>Karen Lizeth Salamanca Achicanoy</t>
  </si>
  <si>
    <t>Ashley Giselle Montiel Rodríguez</t>
  </si>
  <si>
    <t>Eugenia Eugenia Perez Cabrera</t>
  </si>
  <si>
    <t>Cristian Alexander Bolaños Bolaños</t>
  </si>
  <si>
    <t>Miguel Angel Canchila Montesino</t>
  </si>
  <si>
    <t>Hamilton Leandro Muñoz Ahumada</t>
  </si>
  <si>
    <t>Leydi Yohanna Munevar Sarmiento</t>
  </si>
  <si>
    <t>Ashley Michaelly Oviedo Ocaña</t>
  </si>
  <si>
    <t>Heidy Paola Lagos  hurtado</t>
  </si>
  <si>
    <t>Gessika Mariana Garay Sosa</t>
  </si>
  <si>
    <t>Luz haddy  Callejas  Arevalo</t>
  </si>
  <si>
    <t>Fanny Fanny Bermeo Lozada</t>
  </si>
  <si>
    <t>Andrea Andrea Perez Diaz</t>
  </si>
  <si>
    <t>Juliana Juliana Gonzalez Escobar</t>
  </si>
  <si>
    <t>Maria Ramos  Chacon  Olarte</t>
  </si>
  <si>
    <t>Erika Elisa Eljadue Mejia</t>
  </si>
  <si>
    <t xml:space="preserve">Deisy juelith  Pulido Salamanca </t>
  </si>
  <si>
    <t>Hugo Andres Patiño Chingual</t>
  </si>
  <si>
    <t>Yuriani Steven Gordillo Devia</t>
  </si>
  <si>
    <t>Miguel Ángel Rodríguez Estacio</t>
  </si>
  <si>
    <t>Nayeth Mailen Caballero Medina</t>
  </si>
  <si>
    <t>Maida Marcela Castellanos Tabarez</t>
  </si>
  <si>
    <t>Carlos Eduardo Reyes Gomez</t>
  </si>
  <si>
    <t>Maria Yesmi Fierro Jiménez</t>
  </si>
  <si>
    <t>LAURA SIOMARA  GALINDO GARZON</t>
  </si>
  <si>
    <t>Odilia Gutiérrez  Lopez</t>
  </si>
  <si>
    <t>Didier Duvan Guerrero Cufiño</t>
  </si>
  <si>
    <t>Yina Marcela Paternina Conde</t>
  </si>
  <si>
    <t>Esly Johana Giraldo Jaimes</t>
  </si>
  <si>
    <t>Christian Camilo Donneys Pedroza</t>
  </si>
  <si>
    <t>Samara  Aguirre  Rico</t>
  </si>
  <si>
    <t>Luisa Fernanda Galeano Espósito</t>
  </si>
  <si>
    <t xml:space="preserve">heidy Daniela  Martinez  merchan </t>
  </si>
  <si>
    <t>Lina Paola Hernández Barón</t>
  </si>
  <si>
    <t>Carol Natalia Perez Fonseca</t>
  </si>
  <si>
    <t>Maria Inmaculada Fontalvo Tapias</t>
  </si>
  <si>
    <t>Leddy Yasmin Gomez Martinez</t>
  </si>
  <si>
    <t>Santiago Santiago Ortiz Brochero</t>
  </si>
  <si>
    <t>Alix Adriana Monsalve Ospina</t>
  </si>
  <si>
    <t>Edward Alejandro Jurado Albañil</t>
  </si>
  <si>
    <t>Iris Iris Pabuena Rodelo</t>
  </si>
  <si>
    <t>Raúl Arley Ordoñez Galindo</t>
  </si>
  <si>
    <t>Luz Marina Mosquera Valderrama</t>
  </si>
  <si>
    <t>Martha Fabiola Jaimes Rodriguez</t>
  </si>
  <si>
    <t>Angela Maria Herrera Julio</t>
  </si>
  <si>
    <t>Elkin Jovanny Rangel Ovalle</t>
  </si>
  <si>
    <t>Lida Argenis Avila Quintero</t>
  </si>
  <si>
    <t>MARY  ZUÑIGA  cedeño</t>
  </si>
  <si>
    <t>Sahidith Isabel Bohorquez Polo</t>
  </si>
  <si>
    <t>Maria Eugenia Bruges Epieyu</t>
  </si>
  <si>
    <t>Brayan Mendez Gomez</t>
  </si>
  <si>
    <t>Maria Isabel Martinez Caballero</t>
  </si>
  <si>
    <t>Paula Andrea Amortegui Garcia</t>
  </si>
  <si>
    <t>DAVID RODRIGUEZ RINCON</t>
  </si>
  <si>
    <t>Janice Louise Gerad Berdugo</t>
  </si>
  <si>
    <t>Heidy Maria Garcia Meza</t>
  </si>
  <si>
    <t>Ana Yulissa Medina Gutierrez</t>
  </si>
  <si>
    <t>Claren Lorena Villareal Benitez</t>
  </si>
  <si>
    <t>Angie Gisela Robayo Narvades</t>
  </si>
  <si>
    <t>Karen Liseth Pardo Zeas</t>
  </si>
  <si>
    <t>Sandra Yineth Muñoz Muñoz</t>
  </si>
  <si>
    <t>Francisco  Góngora  Cuenu</t>
  </si>
  <si>
    <t>Jairo Alexander Jaramillo Rios</t>
  </si>
  <si>
    <t>Zeidi Lorein Chaparro Llanos</t>
  </si>
  <si>
    <t>July Vanessa Cardona Giron</t>
  </si>
  <si>
    <t>Francy Dayana Velasco Trujillo</t>
  </si>
  <si>
    <t>MARIA NORA JAIMES MISAS</t>
  </si>
  <si>
    <t>Luz Aurora Penagos Medina</t>
  </si>
  <si>
    <t>Andrea Camila Camacho Avila</t>
  </si>
  <si>
    <t>Mariana Mariana Aguirre Berrio</t>
  </si>
  <si>
    <t>MARICELA NARVAEZ SANCHEZ</t>
  </si>
  <si>
    <t>Lency Yienny Chavez Caicedo</t>
  </si>
  <si>
    <t>Johanna Claudia Calderon Jimenez</t>
  </si>
  <si>
    <t>Angie Rojas Tamayo</t>
  </si>
  <si>
    <t>Lina Vanessa Cantero Diaz</t>
  </si>
  <si>
    <t>Sara Elisa  Sabalza  Castro</t>
  </si>
  <si>
    <t>Cristian Camilo Osorio Hernandez</t>
  </si>
  <si>
    <t>Ana Rosalba  Linares  López</t>
  </si>
  <si>
    <t>LUIS DAVID SUAZA VALENCIA</t>
  </si>
  <si>
    <t>GUSTAVO ARTURO MARTINEZ CORDERO</t>
  </si>
  <si>
    <t>Daniela Alejandra Gomez Rivera</t>
  </si>
  <si>
    <t>Gisela Gisela Ruiz Ricardo</t>
  </si>
  <si>
    <t>Anderson Giovani Ruiz Gallego</t>
  </si>
  <si>
    <t>Deivid Edgardo Velásquez Cárdenas</t>
  </si>
  <si>
    <t>Brayan Jose Peñaranda Julio</t>
  </si>
  <si>
    <t>Angie Ximena Bohorquez Ochoa</t>
  </si>
  <si>
    <t>Jesus Herney guivanny Joven Garcia</t>
  </si>
  <si>
    <t>Jarlen Enrique Coronel Barrios</t>
  </si>
  <si>
    <t>Ronald Ronald Aguas Meza</t>
  </si>
  <si>
    <t>Edson Jamer Gomez Barrera</t>
  </si>
  <si>
    <t>Julieth Samanta Diaz Rojas</t>
  </si>
  <si>
    <t>Monica Julieth Ariza Ramirez</t>
  </si>
  <si>
    <t>Dyllan Mauricio Ortiz Zambrano</t>
  </si>
  <si>
    <t>María Helena Rodrigo Romero</t>
  </si>
  <si>
    <t xml:space="preserve">Andrea  Acuña  Barreto </t>
  </si>
  <si>
    <t>Yilmer Yilmer Carrillo Diaz</t>
  </si>
  <si>
    <t>Jaime Orlando Crispin Moreno</t>
  </si>
  <si>
    <t xml:space="preserve">Rubiela Guerrero  </t>
  </si>
  <si>
    <t>Laura Marcela Pardo Castañeda</t>
  </si>
  <si>
    <t>Anibal Andres Ortiz Gonzalez</t>
  </si>
  <si>
    <t>Lina Maria Velasquez  Gomez</t>
  </si>
  <si>
    <t>Jesus Davos Garcia Villalba</t>
  </si>
  <si>
    <t>Miguel Angel Henao Ramirez</t>
  </si>
  <si>
    <t>Lauren Cristina Sierra Diaz</t>
  </si>
  <si>
    <t>Jesus Americo  perlaza copete</t>
  </si>
  <si>
    <t>Nelcy Del carmen Pérez Villegas</t>
  </si>
  <si>
    <t>Laura Andrea Dunn Sarria</t>
  </si>
  <si>
    <t>NATALIA CAROLINA LOZANO CAAMAÑO</t>
  </si>
  <si>
    <t>Paola Andrea Anaya Medina</t>
  </si>
  <si>
    <t>Duban Alirio Salazar Quiñones</t>
  </si>
  <si>
    <t>Yonadith Elena Borja Jimenez</t>
  </si>
  <si>
    <t>Selene Selene González Molinares</t>
  </si>
  <si>
    <t>Ingrid Yiseth Cardenas Cossio</t>
  </si>
  <si>
    <t>Diana Carolina Chacua Hernandez</t>
  </si>
  <si>
    <t>LUDY YASMIN ARDILA MOJICA</t>
  </si>
  <si>
    <t>Yesid Ferney Montaño Palacios</t>
  </si>
  <si>
    <t>Daniel David Caro Orozco</t>
  </si>
  <si>
    <t>Camilo Alejandro Ibáñez Tovar</t>
  </si>
  <si>
    <t>Deisy Viviana Lopez Ramos</t>
  </si>
  <si>
    <t>Sanyi Marelis Mosquera Rodriguez</t>
  </si>
  <si>
    <t>Yuly Caterine Villegas Vargas</t>
  </si>
  <si>
    <t>ANGELA SOFIA ESCOBAR AMEZQUITA</t>
  </si>
  <si>
    <t>Claribel Estrada Valencia</t>
  </si>
  <si>
    <t>Yenniffer Yenniffer Jaraba Batista</t>
  </si>
  <si>
    <t>Ricardo Ricardo Tovar Hernandez</t>
  </si>
  <si>
    <t>Ingrith Liset Mora Urrea</t>
  </si>
  <si>
    <t>Julian Emiro Verona Quintana</t>
  </si>
  <si>
    <t>Karen Lorena Riveros Guarin</t>
  </si>
  <si>
    <t>Joel De jesus Castellan Vergara</t>
  </si>
  <si>
    <t>Olga Margarita Alvarado Orcasita</t>
  </si>
  <si>
    <t>Derly Enith Atencia Mieles</t>
  </si>
  <si>
    <t>Jimmy Alvaro Gomez Jimenez</t>
  </si>
  <si>
    <t>Adriana María Otero Tapia</t>
  </si>
  <si>
    <t>Maria Carolina Garcia Restrepo</t>
  </si>
  <si>
    <t>Juan Carlos Guzman Madera</t>
  </si>
  <si>
    <t>Edna Rocio Yara Colo</t>
  </si>
  <si>
    <t>Jhon Freddy Cañizares Pacheco</t>
  </si>
  <si>
    <t>ALMA PATRICIA HERRERA AGUDELO</t>
  </si>
  <si>
    <t>Lidny Jizeth Rivera Paiba</t>
  </si>
  <si>
    <t>Karen Gisselle Cubillos Sánchez</t>
  </si>
  <si>
    <t>Geidi Andrea Ruiz Salazar</t>
  </si>
  <si>
    <t>Lyda Fernanda Castro Cortes</t>
  </si>
  <si>
    <t>Elver Yovanny Gomez Ruiz</t>
  </si>
  <si>
    <t>Carolina Obando Ortiz</t>
  </si>
  <si>
    <t>Santiago Santiago Florez Cortes</t>
  </si>
  <si>
    <t xml:space="preserve">YOISY  LACOUTURE </t>
  </si>
  <si>
    <t>SEM PRO DEC INT AN E IA CI VIR</t>
  </si>
  <si>
    <t>Wilmer Pava Perez</t>
  </si>
  <si>
    <t>Tatiana Paola Cohen Arcon</t>
  </si>
  <si>
    <t>Maria Ximena Castillo Aldana</t>
  </si>
  <si>
    <t>SAUDY JULIETH JARAMILLO GARCIA</t>
  </si>
  <si>
    <t>Juan Pablo Gallo Mancilla</t>
  </si>
  <si>
    <t>Fanny Mildey Trullo Bravo</t>
  </si>
  <si>
    <t>Cristian Eduardo Gutierrez Zambrano</t>
  </si>
  <si>
    <t>Viviana Marcela Ricardo Sandoval</t>
  </si>
  <si>
    <t>William Andres Ramada Ariza</t>
  </si>
  <si>
    <t>Lauren Samanta Ortiz Contreras</t>
  </si>
  <si>
    <t>dora nidia osma velasco</t>
  </si>
  <si>
    <t>Lina Mayerly Cardenas Forero</t>
  </si>
  <si>
    <t>Gregorio Gregorio Castro Fuentes</t>
  </si>
  <si>
    <t>Fresia Zamara Calderon Medina</t>
  </si>
  <si>
    <t>German David Tovar Hernandez</t>
  </si>
  <si>
    <t>Yamile Catalina Sanjuan Cantillo</t>
  </si>
  <si>
    <t>Derly Jaqueline Muñoz Mamian</t>
  </si>
  <si>
    <t>Angel Daniel Narvaez Rojas</t>
  </si>
  <si>
    <t>Carol Yizzeth Vasquez Rojas</t>
  </si>
  <si>
    <t>ICBF_CUNDINAMARCA</t>
  </si>
  <si>
    <t>Jennifer Solangie Manrique Naranjo</t>
  </si>
  <si>
    <t>Michael Enrique Mariño Salcedo</t>
  </si>
  <si>
    <t>Angela Patricia Jaramillo Jaramillo</t>
  </si>
  <si>
    <t>Derlis Melisa Chamorro Rojas</t>
  </si>
  <si>
    <t>Valentina Valentina Acevedo Sala</t>
  </si>
  <si>
    <t>Fidelina Fidelina Olave Caicedo</t>
  </si>
  <si>
    <t>Janeth Cepeda Ramirez</t>
  </si>
  <si>
    <t>MAGALIS ELENA  VIDES QUINTERO</t>
  </si>
  <si>
    <t xml:space="preserve">Maria Natividad Sotelo </t>
  </si>
  <si>
    <t>Valentina Valentina Huaca Cuellar</t>
  </si>
  <si>
    <t>LEONIDAS  SUAREZ ARENAS</t>
  </si>
  <si>
    <t>Martin Alexander  Cortes  Salcedo</t>
  </si>
  <si>
    <t>Giovanny Giovanny Correa Correa</t>
  </si>
  <si>
    <t>Luis Alberto Guerra Orozco</t>
  </si>
  <si>
    <t>Katty Alexandra Henriquez Martinez</t>
  </si>
  <si>
    <t>Gigliola Gigliola Caicedo Martinez</t>
  </si>
  <si>
    <t>Ali David Torres Serna</t>
  </si>
  <si>
    <t>Laura Natalia Lugo Villalba</t>
  </si>
  <si>
    <t>Ronald Mauricio Rojas Triana</t>
  </si>
  <si>
    <t>Sebastián Sebastián Briseño Piraquive</t>
  </si>
  <si>
    <t>Maria Fernanda Godoy  navas</t>
  </si>
  <si>
    <t>juan jose rojas triana</t>
  </si>
  <si>
    <t>Libardo Manuel Troncoso Mejia</t>
  </si>
  <si>
    <t>Alceida del carmen  revollo maestre</t>
  </si>
  <si>
    <t>Yenny Mercedes Golu Alegria</t>
  </si>
  <si>
    <t>Anamaria Anamaria Rodriguez Mayorga</t>
  </si>
  <si>
    <t>Bonny Alexander Santos Jaimes</t>
  </si>
  <si>
    <t>wladimir martinez fonseca</t>
  </si>
  <si>
    <t>JHEFFERSON JOSE ALVEAR CORONEL</t>
  </si>
  <si>
    <t>Laura Laura Barriosnuevo Dominguez</t>
  </si>
  <si>
    <t>Marley Yessenia Sanchez Campos</t>
  </si>
  <si>
    <t>Xilena Michell yisell Beltran Ospina</t>
  </si>
  <si>
    <t>Irma Luz Mendez Murcia</t>
  </si>
  <si>
    <t>carolina matoma bucuru</t>
  </si>
  <si>
    <t>Brayan Miguel Cruz Angarita</t>
  </si>
  <si>
    <t>Cristian David Fajardo Barrera</t>
  </si>
  <si>
    <t>Liliana Julieth Cubidez Rincon</t>
  </si>
  <si>
    <t>Nayeth Patricia Ojeda Muñoz</t>
  </si>
  <si>
    <t>Carmen Lizeth Reyes Murillo</t>
  </si>
  <si>
    <t>Norley Norley Rodriguez Murillo</t>
  </si>
  <si>
    <t>Flor Herlinda Guzmán Martínez</t>
  </si>
  <si>
    <t>John Jairo Cardoso Ramirez</t>
  </si>
  <si>
    <t>Marla Camila  Torres Zapata</t>
  </si>
  <si>
    <t>hector moreno plazas</t>
  </si>
  <si>
    <t>Lucy Margarita bienvenida Martinez Vergara</t>
  </si>
  <si>
    <t>Jeferson Sebastian Mesa Moreno</t>
  </si>
  <si>
    <t>Enny Yaisury Mosquera Murillo</t>
  </si>
  <si>
    <t>JOSE ANTONIO DE LA ROSA MARTINEZ</t>
  </si>
  <si>
    <t>CLAUDIO MORENO URRUTIA</t>
  </si>
  <si>
    <t>Fabio Alexander Vaca Vacca</t>
  </si>
  <si>
    <t>Soleni Soleni Garcia Garcia</t>
  </si>
  <si>
    <t>EDGAR EDUARDO LEAL CASTAÑEDA</t>
  </si>
  <si>
    <t>Johanna Melissa Mora Castilla</t>
  </si>
  <si>
    <t>Carlos Andres Viloria Otero</t>
  </si>
  <si>
    <t>Norexi Maigreth Segrera Del prado</t>
  </si>
  <si>
    <t>Monica Nayerly Ochoa Fonseca</t>
  </si>
  <si>
    <t>Jhoiner Jesus Posada Joven</t>
  </si>
  <si>
    <t>Marcela Paola Alvarez Portilla</t>
  </si>
  <si>
    <t>Osiel Osiel Bernal Araque</t>
  </si>
  <si>
    <t>Kevin Alexander Carvajal Ruiz</t>
  </si>
  <si>
    <t>ALEX EDIBERTO CADENA SILVA</t>
  </si>
  <si>
    <t>Beatriz Stella Robayo  Santana</t>
  </si>
  <si>
    <t>German German Gomez Cleves</t>
  </si>
  <si>
    <t>Yiselth Patricia Sánchez Salazar</t>
  </si>
  <si>
    <t>Roberto Antonio Garcia Novoa</t>
  </si>
  <si>
    <t>Valeria Maria Diaz Montes</t>
  </si>
  <si>
    <t>Maria Fernanda Rendon Daza</t>
  </si>
  <si>
    <t>Karine Patricia Riascos Bejarano</t>
  </si>
  <si>
    <t>LAUREN CAMILA TAVERA MARTINES</t>
  </si>
  <si>
    <t>Luz Nereida Murcia Gutierrez</t>
  </si>
  <si>
    <t>Karen Viviana  Ruiz Negrete</t>
  </si>
  <si>
    <t>Mariana Gongora  Perea</t>
  </si>
  <si>
    <t>Carol Viviana Suarez Viloria</t>
  </si>
  <si>
    <t>Maylen Andrea Vega Gutierrez</t>
  </si>
  <si>
    <t>ORLANDO GONZALEZ CUERVO</t>
  </si>
  <si>
    <t>Breyly Anderson Leitón Benavides</t>
  </si>
  <si>
    <t>Sebastián Camilo Chavarría Narvaez</t>
  </si>
  <si>
    <t>Nasly Judith Pavi Mendez</t>
  </si>
  <si>
    <t>Camilo Ernesto Rueda Lopez</t>
  </si>
  <si>
    <t>Gerly Yorley Herrera Osorio</t>
  </si>
  <si>
    <t>Jose German Medina Medina</t>
  </si>
  <si>
    <t xml:space="preserve">Eider Samuel Rodriguez  Arevalo </t>
  </si>
  <si>
    <t>Marilenis Marilenis Brito Cerchiaro</t>
  </si>
  <si>
    <t>SIXTA CECILIA  AREVALO RIVADENEIRA</t>
  </si>
  <si>
    <t>Ana Maria Pineda Marin</t>
  </si>
  <si>
    <t>Fanor Humberto Secue Escue</t>
  </si>
  <si>
    <t>Santiago Santiago Pineda Marin</t>
  </si>
  <si>
    <t>Oscar Alejandro Calderon Florez florez</t>
  </si>
  <si>
    <t>Jhon Otoniel Silva Soto</t>
  </si>
  <si>
    <t>Carmen Edilia Vega Hernandez</t>
  </si>
  <si>
    <t>Meiby Francisca Alomia Bonilla</t>
  </si>
  <si>
    <t>María Isabel Muñoz Aguirre</t>
  </si>
  <si>
    <t>Johana Carolina Ramirez Murcia</t>
  </si>
  <si>
    <t>Julie Carolina Oyola Chiquillo</t>
  </si>
  <si>
    <t>Angie Thalía Delgado López</t>
  </si>
  <si>
    <t>Jheny Cecilia Bolaños Claros</t>
  </si>
  <si>
    <t>Edgar Enrrique Peralta Barros</t>
  </si>
  <si>
    <t>Flor Lucila  Martín  Gordillo</t>
  </si>
  <si>
    <t>Issac David Pabuena Villar</t>
  </si>
  <si>
    <t>Lesli Dalila Villalba Cifuentes</t>
  </si>
  <si>
    <t>Sindy Vanessa Puentes Chavarro</t>
  </si>
  <si>
    <t>CARLOS ALBERTO HURTADO YEPES</t>
  </si>
  <si>
    <t>Carlos Enrique Hernandez Diaz</t>
  </si>
  <si>
    <t>Santiago Santiago Durango Cepeda</t>
  </si>
  <si>
    <t>JOHN JAIRO HURTADO MOSQUERA</t>
  </si>
  <si>
    <t>Yesica Paola Gutierrez Padilla</t>
  </si>
  <si>
    <t>Jesús David Avila Quiroga</t>
  </si>
  <si>
    <t>Maria Delcarmen Mugno Paez</t>
  </si>
  <si>
    <t>Melisa Julieth Lopez Aguirre</t>
  </si>
  <si>
    <t>Maira Rosa Arnedo Perez</t>
  </si>
  <si>
    <t>Yuli Tatiana Rodriguez Valencia</t>
  </si>
  <si>
    <t>Angie Juliana Caceres Perez</t>
  </si>
  <si>
    <t>Maria Flor Pancho Pancho</t>
  </si>
  <si>
    <t>Alejandro Alejandro Jimenez Yepes</t>
  </si>
  <si>
    <t>leidy johanna  beltran  rojas</t>
  </si>
  <si>
    <t>Milton Leandro Guzmán Trujillo</t>
  </si>
  <si>
    <t>Heider Alexander Erazo Jamauca</t>
  </si>
  <si>
    <t>Cindy Jhoana Sierra Acevedo</t>
  </si>
  <si>
    <t>Edson Steven D'croz Ortiz</t>
  </si>
  <si>
    <t>Adriana Paulina Argumedo Bossio</t>
  </si>
  <si>
    <t>Pablo Javier Ramos Rodriguez</t>
  </si>
  <si>
    <t>Juan Manuel Rodriguez Arciniegas</t>
  </si>
  <si>
    <t>Sagey Maria Villegas Ayala</t>
  </si>
  <si>
    <t>Natalia Policarpa Rodriguez Franco</t>
  </si>
  <si>
    <t>GERALDINE ARANDA PACHECO</t>
  </si>
  <si>
    <t>Luz Amanda Lopez  Soto</t>
  </si>
  <si>
    <t>Kervys Johanna Melendez Nieble</t>
  </si>
  <si>
    <t>Nicolas Nicolas Hincapie Reyes</t>
  </si>
  <si>
    <t>Jaidy Samira Rentería Perea</t>
  </si>
  <si>
    <t>Disney Adriana Perez Vasquez</t>
  </si>
  <si>
    <t>Jeniffer Yurley Sanabria Tarazona</t>
  </si>
  <si>
    <t>Vladimir Martínez Mican</t>
  </si>
  <si>
    <t>Leydy Daniela Niño Torres</t>
  </si>
  <si>
    <t>Maria Teodosia Gamarra Domínguez</t>
  </si>
  <si>
    <t>Tatiana Tatiana Cordoba Cordoba</t>
  </si>
  <si>
    <t>German Andres Mayorga Alejo</t>
  </si>
  <si>
    <t>Rosa Alexandra Acelas Ortiz</t>
  </si>
  <si>
    <t>Leinys Guerra Rodriguez</t>
  </si>
  <si>
    <t>Leidy Diana Portocarrero Riascos</t>
  </si>
  <si>
    <t xml:space="preserve">EDGAR URIEL  ARIZA  ALMANZA </t>
  </si>
  <si>
    <t>Karen Soraima  Mendoza  Torres</t>
  </si>
  <si>
    <t>Yoan Andrey Macias Lopera</t>
  </si>
  <si>
    <t>Abelardo Antonio Barrios Beltran</t>
  </si>
  <si>
    <t>Miguel angel Parada  Sabino</t>
  </si>
  <si>
    <t>Luz Neyis Ricaurte Camargo</t>
  </si>
  <si>
    <t>BLANCA NURIS  GRANDA  ORREGO</t>
  </si>
  <si>
    <t xml:space="preserve">Tatiana Mosquera  Sánchez </t>
  </si>
  <si>
    <t>Hermes Hermes Hernandez Centeno</t>
  </si>
  <si>
    <t>Jeferson Orlando Morales Fueltala</t>
  </si>
  <si>
    <t>Katy Julieth Diaz Beltran</t>
  </si>
  <si>
    <t>Yovelis Esperanza Beltran Hernandez</t>
  </si>
  <si>
    <t>Andrys Alfonso de la Hoz Mendoza</t>
  </si>
  <si>
    <t>Inirida Inirida Perez Montero</t>
  </si>
  <si>
    <t>Jorge Hernando Blanco Baquero</t>
  </si>
  <si>
    <t>Alexandra Alexandra Rodriguez Pulido</t>
  </si>
  <si>
    <t>Eduard Steven Quinchia Lopez</t>
  </si>
  <si>
    <t>Karen Margarita Herazo Bello</t>
  </si>
  <si>
    <t>Piedad Celmira Gaviria Garcia</t>
  </si>
  <si>
    <t>ALMA MATTER </t>
  </si>
  <si>
    <t>María Alejandra Barbosa Joaquí</t>
  </si>
  <si>
    <t>Johanna Maria Cerquera Leon</t>
  </si>
  <si>
    <t>Edison Humberto Herrera Amaya</t>
  </si>
  <si>
    <t>Miguel Yovany Garzon Forigua forigua</t>
  </si>
  <si>
    <t>JHONATAN JAVIER MARTELO GARRIDO</t>
  </si>
  <si>
    <t>Laura Milena Castillo Sarmiento</t>
  </si>
  <si>
    <t>Maria Victoria victoria Millan Castillo</t>
  </si>
  <si>
    <t xml:space="preserve">Maria edilfa  Castañeda  Hernández </t>
  </si>
  <si>
    <t>Edier  Aguiar Buitrago</t>
  </si>
  <si>
    <t>Yury Natalia Ramos Chacon</t>
  </si>
  <si>
    <t>Jose David Lopez Celis</t>
  </si>
  <si>
    <t>Kelly Cristina Pacheco González</t>
  </si>
  <si>
    <t>Luis Mario Moreno Avila</t>
  </si>
  <si>
    <t>Tania Alexandra Cafferata Perez</t>
  </si>
  <si>
    <t>Edwin Andres Cardenas Buchely</t>
  </si>
  <si>
    <t>Jhon Edimer  Puerres  Taimal</t>
  </si>
  <si>
    <t>Yeni Rocio Franco Fernandez</t>
  </si>
  <si>
    <t>LINA ESTHER  DELGADO RODERO</t>
  </si>
  <si>
    <t>Darwin Enrique Terraza Berdugo</t>
  </si>
  <si>
    <t xml:space="preserve">Eliecer Alfonso  Carrillo  Arciniegas </t>
  </si>
  <si>
    <t>Danis del cristo Alvarez Perez</t>
  </si>
  <si>
    <t>KAROL JULIANA REYES LOAIZA</t>
  </si>
  <si>
    <t>Maria Del Carmen Valderrama Diaz</t>
  </si>
  <si>
    <t xml:space="preserve">Alix  Souza  </t>
  </si>
  <si>
    <t>MAR ENRIQUE ALTAMAR MERCADO</t>
  </si>
  <si>
    <t>Viola Iveth Banquez Cervantes</t>
  </si>
  <si>
    <t>Maidy Jinette García Zambrano</t>
  </si>
  <si>
    <t>Liatte Adriana Bueno Hernandez</t>
  </si>
  <si>
    <t>Yanexi Maria Castro Beleño</t>
  </si>
  <si>
    <t>Yulieth Paola Faria Hernández</t>
  </si>
  <si>
    <t>Ingrid Viviana Cortes Montaño</t>
  </si>
  <si>
    <t>Anlly Ximena Martínez Santos</t>
  </si>
  <si>
    <t>Patsy Tamara Beltran Acuña</t>
  </si>
  <si>
    <t>Jenny Marcela Rivera Fajardo</t>
  </si>
  <si>
    <t>Jeimi Valeria Rodriguez Cadena</t>
  </si>
  <si>
    <t>Liliana Liliana Barrera Santamaria</t>
  </si>
  <si>
    <t>Madeleys Madeleys Cortes Velasco</t>
  </si>
  <si>
    <t xml:space="preserve">Matilde Beatriz  Daza  Vega </t>
  </si>
  <si>
    <t>Yurleny Stefany Duran Correa</t>
  </si>
  <si>
    <t>Ana Isabel  Bulla Cardenas</t>
  </si>
  <si>
    <t>María Eugenia Oyola González</t>
  </si>
  <si>
    <t>Antonio jose Gomez Clavijo</t>
  </si>
  <si>
    <t xml:space="preserve">NIlliret Yubesny  Ducuara  Rativa </t>
  </si>
  <si>
    <t>Susana Andrea Escobar Vergara</t>
  </si>
  <si>
    <t>Luis Osneider Arcia Sierra</t>
  </si>
  <si>
    <t>rafael angel lopez sanchez</t>
  </si>
  <si>
    <t>javier leonardo monrroy  uscategui</t>
  </si>
  <si>
    <t>ANDRES MANUEL GOMEZ AYALA</t>
  </si>
  <si>
    <t>Maria Lucia Vasquez Castellanos</t>
  </si>
  <si>
    <t>Neudis Neudis Luna Bastidas</t>
  </si>
  <si>
    <t>Milari Yaritxa Guerrero Meneses</t>
  </si>
  <si>
    <t>Kevin Sebastian Pinzon Garavito</t>
  </si>
  <si>
    <t>Maria Alejandra Zambrano Zambrano</t>
  </si>
  <si>
    <t>Lina Johanna Jimenez Aguirre aguirre</t>
  </si>
  <si>
    <t>Diego Rubelio Angel Torres</t>
  </si>
  <si>
    <t>NORFI LUCIA GONZALEZ COCHERO</t>
  </si>
  <si>
    <t>ANDREA GUERRA CALIZ</t>
  </si>
  <si>
    <t>Alexandre Alexandra Pacheco Aguirre</t>
  </si>
  <si>
    <t>Yein Janet Reyes Cardozo</t>
  </si>
  <si>
    <t>GENOVEVA MARIA  VIDES  VERGARA</t>
  </si>
  <si>
    <t>Anderson Anderson Ocoro Martinez</t>
  </si>
  <si>
    <t>Julián Andrés Alejo Velasco</t>
  </si>
  <si>
    <t>Jaider Stiven Trujillo Cuellar</t>
  </si>
  <si>
    <t>Paula Andrea Blanco Rojas</t>
  </si>
  <si>
    <t>Laura Katerine Charry Avila</t>
  </si>
  <si>
    <t>Laura Tatiana Rodriguez</t>
  </si>
  <si>
    <t>Cristian Camilo Caballero Reyes</t>
  </si>
  <si>
    <t>Deivid Santiago Joya Apolin</t>
  </si>
  <si>
    <t>Esteban Camilo Mora Beltran</t>
  </si>
  <si>
    <t>Maria Ines Cetina Cetina</t>
  </si>
  <si>
    <t>Jordy Adrian Muñoz</t>
  </si>
  <si>
    <t>Luisa fernanda cardozo salgado</t>
  </si>
  <si>
    <t>Kelly Johana Porras Parra</t>
  </si>
  <si>
    <t>Maria Catalina Barahona Sabogal</t>
  </si>
  <si>
    <t>Yina Paola Baracaldo Reyes</t>
  </si>
  <si>
    <t>area ( pregrDO POSGRADO(</t>
  </si>
  <si>
    <t>[11:51 a. m., 19/5/2026] NATALY SARMIENTO: maslarga</t>
  </si>
  <si>
    <t>[11:54 a. m., 19/5/2026] Gina Ibero: ASESOR</t>
  </si>
  <si>
    <t>LIDER</t>
  </si>
  <si>
    <t>AREA</t>
  </si>
  <si>
    <t>Catalina Pacheco Burgos</t>
  </si>
  <si>
    <t>Nelson Javier Morera Rincon</t>
  </si>
  <si>
    <t>Heidy Lorena Prieto Ahumada</t>
  </si>
  <si>
    <t>OP NACIONAL</t>
  </si>
  <si>
    <t>Gina Paola Medina Flórez</t>
  </si>
  <si>
    <t>CALIDAD</t>
  </si>
  <si>
    <t>Paola Andrea Calderon Cetina</t>
  </si>
  <si>
    <t>Johan Sebastián Pardeyn Aguilar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</si>
</sst>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Franklin Gothic Book"/>
      <family val="2"/>
    </font>
    <font>
      <sz val="11"/>
      <color rgb="FF002060"/>
      <name val="Franklin Gothic Book"/>
      <family val="2"/>
    </font>
    <font>
      <i/>
      <sz val="11"/>
      <color rgb="FF002060"/>
      <name val="Franklin Gothic Book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MPUMAX\AppData\Local\Microsoft\Windows\INetCache\Content.Outlook\YOSRFT1S\Base%20Liquidacion%20Puntos%20Cohorte1_Comercial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Hoja1"/>
    </sheetNames>
    <sheetDataSet>
      <sheetData sheetId="0" refreshError="1"/>
      <sheetData sheetId="1" refreshError="1">
        <row r="1">
          <cell r="B1" t="str">
            <v>ID TRANSACCION</v>
          </cell>
          <cell r="U1" t="str">
            <v>Lider</v>
          </cell>
        </row>
        <row r="2">
          <cell r="B2">
            <v>20095567</v>
          </cell>
          <cell r="U2" t="str">
            <v>PAOLA ANDREA CALDERON CETINA</v>
          </cell>
        </row>
        <row r="3">
          <cell r="B3">
            <v>20095746</v>
          </cell>
          <cell r="U3" t="str">
            <v>FABIAN CONCHA</v>
          </cell>
        </row>
        <row r="4">
          <cell r="B4">
            <v>20095791</v>
          </cell>
          <cell r="U4" t="str">
            <v>JOVANNY ALEXANDER BENAVIDES APRAEZ</v>
          </cell>
        </row>
        <row r="5">
          <cell r="B5">
            <v>20095810</v>
          </cell>
          <cell r="U5" t="str">
            <v>HEIDY LORENA PRIETO AHUMADA</v>
          </cell>
        </row>
        <row r="6">
          <cell r="B6">
            <v>20095848</v>
          </cell>
          <cell r="U6" t="str">
            <v>HEIDY LORENA PRIETO AHUMADA</v>
          </cell>
        </row>
        <row r="7">
          <cell r="B7">
            <v>20096009</v>
          </cell>
          <cell r="U7" t="str">
            <v>GINA PAOLA MEDINA FLOREZ</v>
          </cell>
        </row>
        <row r="8">
          <cell r="B8">
            <v>20096047</v>
          </cell>
          <cell r="U8" t="str">
            <v>FABIAN CONCHA</v>
          </cell>
        </row>
        <row r="9">
          <cell r="B9">
            <v>20096077</v>
          </cell>
          <cell r="U9" t="str">
            <v>GINA PAOLA MEDINA FLOREZ</v>
          </cell>
        </row>
        <row r="10">
          <cell r="B10">
            <v>20096109</v>
          </cell>
          <cell r="U10" t="str">
            <v>HEIDY LORENA PRIETO AHUMADA</v>
          </cell>
        </row>
        <row r="11">
          <cell r="B11">
            <v>20096226</v>
          </cell>
          <cell r="U11" t="str">
            <v>IVONNE JINETH RODRIGUEZ ROJAS</v>
          </cell>
        </row>
        <row r="12">
          <cell r="B12">
            <v>20096264</v>
          </cell>
          <cell r="U12" t="str">
            <v>HEIDY LORENA PRIETO AHUMADA</v>
          </cell>
        </row>
        <row r="13">
          <cell r="B13">
            <v>20096290</v>
          </cell>
          <cell r="U13" t="str">
            <v>HEIDY LORENA PRIETO AHUMADA</v>
          </cell>
        </row>
        <row r="14">
          <cell r="B14">
            <v>20096419</v>
          </cell>
          <cell r="U14" t="str">
            <v>GINA PAOLA MEDINA FLOREZ</v>
          </cell>
        </row>
        <row r="15">
          <cell r="B15">
            <v>20096689</v>
          </cell>
          <cell r="U15" t="str">
            <v>HEIDY LORENA PRIETO AHUMADA</v>
          </cell>
        </row>
        <row r="16">
          <cell r="B16">
            <v>20096706</v>
          </cell>
          <cell r="U16" t="str">
            <v>IVONNE JINETH RODRIGUEZ ROJAS</v>
          </cell>
        </row>
        <row r="17">
          <cell r="B17">
            <v>20096808</v>
          </cell>
          <cell r="U17" t="str">
            <v>GINA PAOLA MEDINA FLOREZ</v>
          </cell>
        </row>
        <row r="18">
          <cell r="B18">
            <v>20096811</v>
          </cell>
          <cell r="U18" t="str">
            <v>GINA PAOLA MEDINA FLOREZ</v>
          </cell>
        </row>
        <row r="19">
          <cell r="B19">
            <v>20096880</v>
          </cell>
          <cell r="U19" t="str">
            <v>GINA PAOLA MEDINA FLOREZ</v>
          </cell>
        </row>
        <row r="20">
          <cell r="B20">
            <v>20096951</v>
          </cell>
          <cell r="U20" t="str">
            <v>GINA PAOLA MEDINA FLOREZ</v>
          </cell>
        </row>
        <row r="21">
          <cell r="B21">
            <v>20097226</v>
          </cell>
          <cell r="U21" t="str">
            <v>GINA PAOLA MEDINA FLOREZ</v>
          </cell>
        </row>
        <row r="22">
          <cell r="B22">
            <v>20097274</v>
          </cell>
          <cell r="U22" t="str">
            <v>PAOLA ANDREA CALDERON CETINA</v>
          </cell>
        </row>
        <row r="23">
          <cell r="B23">
            <v>20097364</v>
          </cell>
          <cell r="U23" t="str">
            <v>FABIAN CONCHA</v>
          </cell>
        </row>
        <row r="24">
          <cell r="B24">
            <v>20097368</v>
          </cell>
          <cell r="U24" t="str">
            <v>PAOLA ANDREA CALDERON CETINA</v>
          </cell>
        </row>
        <row r="25">
          <cell r="B25">
            <v>20097444</v>
          </cell>
          <cell r="U25" t="str">
            <v>PAOLA ANDREA CALDERON CETINA</v>
          </cell>
        </row>
        <row r="26">
          <cell r="B26">
            <v>20097465</v>
          </cell>
          <cell r="U26" t="str">
            <v>FABIAN CONCHA</v>
          </cell>
        </row>
        <row r="27">
          <cell r="B27">
            <v>20097520</v>
          </cell>
          <cell r="U27" t="str">
            <v>PAOLA ANDREA CALDERON CETINA</v>
          </cell>
        </row>
        <row r="28">
          <cell r="B28">
            <v>20097649</v>
          </cell>
          <cell r="U28" t="str">
            <v>MARSHIA MILENA JIMéNEZ GóMEZ</v>
          </cell>
        </row>
        <row r="29">
          <cell r="B29">
            <v>20097650</v>
          </cell>
          <cell r="U29" t="str">
            <v>NELSON JAVIER MORERA RINCON</v>
          </cell>
        </row>
        <row r="30">
          <cell r="B30">
            <v>20097660</v>
          </cell>
          <cell r="U30" t="str">
            <v>JENIFFER VARGAS</v>
          </cell>
        </row>
        <row r="31">
          <cell r="B31">
            <v>20097664</v>
          </cell>
          <cell r="U31" t="str">
            <v>FABIAN CONCHA</v>
          </cell>
        </row>
        <row r="32">
          <cell r="B32">
            <v>20097721</v>
          </cell>
          <cell r="U32" t="str">
            <v>GINA PAOLA MEDINA FLOREZ</v>
          </cell>
        </row>
        <row r="33">
          <cell r="B33">
            <v>20097786</v>
          </cell>
          <cell r="U33" t="str">
            <v>GINA PAOLA MEDINA FLOREZ</v>
          </cell>
        </row>
        <row r="34">
          <cell r="B34">
            <v>20097819</v>
          </cell>
          <cell r="U34" t="str">
            <v>PAOLA ANDREA CALDERON CETINA</v>
          </cell>
        </row>
        <row r="35">
          <cell r="B35">
            <v>20097825</v>
          </cell>
          <cell r="U35" t="str">
            <v>Jeisson Fabian Molina Ciro</v>
          </cell>
        </row>
        <row r="36">
          <cell r="B36">
            <v>20098016</v>
          </cell>
          <cell r="U36" t="str">
            <v>GINA PAOLA MEDINA FLOREZ</v>
          </cell>
        </row>
        <row r="37">
          <cell r="B37">
            <v>20098087</v>
          </cell>
          <cell r="U37" t="str">
            <v>FABIAN CONCHA</v>
          </cell>
        </row>
        <row r="38">
          <cell r="B38">
            <v>20098121</v>
          </cell>
          <cell r="U38" t="str">
            <v>IVONNE JINETH RODRIGUEZ ROJAS</v>
          </cell>
        </row>
        <row r="39">
          <cell r="B39">
            <v>20098135</v>
          </cell>
          <cell r="U39" t="str">
            <v>FABIAN CONCHA</v>
          </cell>
        </row>
        <row r="40">
          <cell r="B40">
            <v>20098145</v>
          </cell>
          <cell r="U40" t="str">
            <v>HEIDY LORENA PRIETO AHUMADA</v>
          </cell>
        </row>
        <row r="41">
          <cell r="B41">
            <v>20098169</v>
          </cell>
          <cell r="U41" t="str">
            <v>IVONNE JINETH RODRIGUEZ ROJAS</v>
          </cell>
        </row>
        <row r="42">
          <cell r="B42">
            <v>20098301</v>
          </cell>
          <cell r="U42" t="str">
            <v>FABIAN CONCHA</v>
          </cell>
        </row>
        <row r="43">
          <cell r="B43">
            <v>20098642</v>
          </cell>
          <cell r="U43" t="str">
            <v>GINA PAOLA MEDINA FLOREZ</v>
          </cell>
        </row>
        <row r="44">
          <cell r="B44">
            <v>20098978</v>
          </cell>
          <cell r="U44" t="str">
            <v>FABIAN CONCHA</v>
          </cell>
        </row>
        <row r="45">
          <cell r="B45">
            <v>20099093</v>
          </cell>
          <cell r="U45" t="str">
            <v>NELSON JAVIER MORERA RINCON</v>
          </cell>
        </row>
        <row r="46">
          <cell r="B46">
            <v>20099126</v>
          </cell>
          <cell r="U46" t="str">
            <v>FABIAN CONCHA</v>
          </cell>
        </row>
        <row r="47">
          <cell r="B47">
            <v>20099143</v>
          </cell>
          <cell r="U47" t="str">
            <v>JEISSON FABIAN MOLINA CIRO</v>
          </cell>
        </row>
        <row r="48">
          <cell r="B48">
            <v>20099149</v>
          </cell>
          <cell r="U48" t="str">
            <v>JEISSON FABIAN MOLINA CIRO</v>
          </cell>
        </row>
        <row r="49">
          <cell r="B49">
            <v>20099180</v>
          </cell>
          <cell r="U49" t="str">
            <v>PAOLA ANDREA CALDERON CETINA</v>
          </cell>
        </row>
        <row r="50">
          <cell r="B50">
            <v>20099242</v>
          </cell>
          <cell r="U50" t="str">
            <v>GINA PAOLA MEDINA FLOREZ</v>
          </cell>
        </row>
        <row r="51">
          <cell r="B51">
            <v>20099263</v>
          </cell>
          <cell r="U51" t="str">
            <v>GINA PAOLA MEDINA FLOREZ</v>
          </cell>
        </row>
        <row r="52">
          <cell r="B52">
            <v>20099314</v>
          </cell>
          <cell r="U52" t="str">
            <v>HEIDY LORENA PRIETO AHUMADA</v>
          </cell>
        </row>
        <row r="53">
          <cell r="B53">
            <v>20099320</v>
          </cell>
          <cell r="U53" t="str">
            <v>FABIAN CONCHA</v>
          </cell>
        </row>
        <row r="54">
          <cell r="B54">
            <v>20099333</v>
          </cell>
          <cell r="U54" t="str">
            <v>GINA PAOLA MEDINA FLOREZ</v>
          </cell>
        </row>
        <row r="55">
          <cell r="B55">
            <v>20099400</v>
          </cell>
          <cell r="U55" t="str">
            <v>FABIAN CONCHA</v>
          </cell>
        </row>
        <row r="56">
          <cell r="B56">
            <v>20099434</v>
          </cell>
          <cell r="U56" t="str">
            <v>IVONNE JINETH RODRIGUEZ ROJAS</v>
          </cell>
        </row>
        <row r="57">
          <cell r="B57">
            <v>20099540</v>
          </cell>
          <cell r="U57" t="str">
            <v>GINA PAOLA MEDINA FLOREZ</v>
          </cell>
        </row>
        <row r="58">
          <cell r="B58">
            <v>20099556</v>
          </cell>
          <cell r="U58" t="str">
            <v>ANGIE LIZETH GARZON GARCIA</v>
          </cell>
        </row>
        <row r="59">
          <cell r="B59">
            <v>20099604</v>
          </cell>
          <cell r="U59" t="str">
            <v>Jeisson Fabian Molina Ciro</v>
          </cell>
        </row>
        <row r="60">
          <cell r="B60">
            <v>20099609</v>
          </cell>
          <cell r="U60" t="str">
            <v>GINA PAOLA MEDINA FLOREZ</v>
          </cell>
        </row>
        <row r="61">
          <cell r="B61">
            <v>20099777</v>
          </cell>
          <cell r="U61" t="str">
            <v>Jeisson Fabian Molina Ciro</v>
          </cell>
        </row>
        <row r="62">
          <cell r="B62">
            <v>20099844</v>
          </cell>
          <cell r="U62" t="str">
            <v>FABIAN CONCHA</v>
          </cell>
        </row>
        <row r="63">
          <cell r="B63">
            <v>20100062</v>
          </cell>
          <cell r="U63" t="str">
            <v>GINA PAOLA MEDINA FLOREZ</v>
          </cell>
        </row>
        <row r="64">
          <cell r="B64">
            <v>20100140</v>
          </cell>
          <cell r="U64" t="str">
            <v>GINA PAOLA MEDINA FLOREZ</v>
          </cell>
        </row>
        <row r="65">
          <cell r="B65">
            <v>20100257</v>
          </cell>
          <cell r="U65" t="str">
            <v>Jeisson Fabian Molina Ciro</v>
          </cell>
        </row>
        <row r="66">
          <cell r="B66">
            <v>20100312</v>
          </cell>
          <cell r="U66" t="str">
            <v>GINA PAOLA MEDINA FLOREZ</v>
          </cell>
        </row>
        <row r="67">
          <cell r="B67">
            <v>20100363</v>
          </cell>
          <cell r="U67" t="str">
            <v>JOVANNY ALEXANDER BENAVIDES APRAEZ</v>
          </cell>
        </row>
        <row r="68">
          <cell r="B68">
            <v>20100373</v>
          </cell>
          <cell r="U68" t="str">
            <v>GINA PAOLA MEDINA FLOREZ</v>
          </cell>
        </row>
        <row r="69">
          <cell r="B69">
            <v>20100381</v>
          </cell>
          <cell r="U69" t="str">
            <v>GINA PAOLA MEDINA FLOREZ</v>
          </cell>
        </row>
        <row r="70">
          <cell r="B70">
            <v>20100435</v>
          </cell>
          <cell r="U70" t="str">
            <v>Jeisson Fabian Molina Ciro</v>
          </cell>
        </row>
        <row r="71">
          <cell r="B71">
            <v>20100449</v>
          </cell>
          <cell r="U71" t="str">
            <v>FABIAN CONCHA</v>
          </cell>
        </row>
        <row r="72">
          <cell r="B72">
            <v>20100470</v>
          </cell>
          <cell r="U72" t="str">
            <v>GINA PAOLA MEDINA FLOREZ</v>
          </cell>
        </row>
        <row r="73">
          <cell r="B73">
            <v>20100544</v>
          </cell>
          <cell r="U73" t="str">
            <v>GINA PAOLA MEDINA FLOREZ</v>
          </cell>
        </row>
        <row r="74">
          <cell r="B74">
            <v>20100694</v>
          </cell>
          <cell r="U74" t="str">
            <v>GINA PAOLA MEDINA FLOREZ</v>
          </cell>
        </row>
        <row r="75">
          <cell r="B75">
            <v>20100792</v>
          </cell>
          <cell r="U75" t="str">
            <v>FABIAN CONCHA</v>
          </cell>
        </row>
        <row r="76">
          <cell r="B76">
            <v>20100856</v>
          </cell>
          <cell r="U76" t="str">
            <v>IVONNE JINETH RODRIGUEZ ROJAS</v>
          </cell>
        </row>
        <row r="77">
          <cell r="B77">
            <v>20100869</v>
          </cell>
          <cell r="U77" t="str">
            <v>GINA PAOLA MEDINA FLOREZ</v>
          </cell>
        </row>
        <row r="78">
          <cell r="B78">
            <v>20100950</v>
          </cell>
          <cell r="U78" t="str">
            <v>CATALINA PACHECO BURGOS</v>
          </cell>
        </row>
        <row r="79">
          <cell r="B79">
            <v>20100975</v>
          </cell>
          <cell r="U79" t="str">
            <v>PAOLA ANDREA CALDERON CETINA</v>
          </cell>
        </row>
        <row r="80">
          <cell r="B80">
            <v>20101003</v>
          </cell>
          <cell r="U80" t="str">
            <v>GINA PAOLA MEDINA FLOREZ</v>
          </cell>
        </row>
        <row r="81">
          <cell r="B81">
            <v>20101008</v>
          </cell>
          <cell r="U81" t="str">
            <v>GINA PAOLA MEDINA FLOREZ</v>
          </cell>
        </row>
        <row r="82">
          <cell r="B82">
            <v>20101215</v>
          </cell>
          <cell r="U82" t="str">
            <v>MARSHIA MILENA JIMéNEZ GóMEZ</v>
          </cell>
        </row>
        <row r="83">
          <cell r="B83">
            <v>20101264</v>
          </cell>
          <cell r="U83" t="str">
            <v>PAOLA ANDREA CALDERON CETINA</v>
          </cell>
        </row>
        <row r="84">
          <cell r="B84">
            <v>20101358</v>
          </cell>
          <cell r="U84" t="str">
            <v>Jeisson Fabian Molina Ciro</v>
          </cell>
        </row>
        <row r="85">
          <cell r="B85">
            <v>20101369</v>
          </cell>
          <cell r="U85" t="str">
            <v>HEIDY LORENA PRIETO AHUMADA</v>
          </cell>
        </row>
        <row r="86">
          <cell r="B86">
            <v>20101382</v>
          </cell>
          <cell r="U86" t="str">
            <v>Jeisson Fabian Molina Ciro</v>
          </cell>
        </row>
        <row r="87">
          <cell r="B87">
            <v>20101399</v>
          </cell>
          <cell r="U87" t="str">
            <v>PAOLA ANDREA CALDERON CETINA</v>
          </cell>
        </row>
        <row r="88">
          <cell r="B88">
            <v>20101417</v>
          </cell>
          <cell r="U88" t="str">
            <v>CATALINA PACHECO BURGOS</v>
          </cell>
        </row>
        <row r="89">
          <cell r="B89">
            <v>20101497</v>
          </cell>
          <cell r="U89" t="str">
            <v>PAOLA ANDREA CALDERON CETINA</v>
          </cell>
        </row>
        <row r="90">
          <cell r="B90">
            <v>20101499</v>
          </cell>
          <cell r="U90" t="str">
            <v>GINA PAOLA MEDINA FLOREZ</v>
          </cell>
        </row>
        <row r="91">
          <cell r="B91">
            <v>20101545</v>
          </cell>
          <cell r="U91" t="str">
            <v>FABIAN CONCHA</v>
          </cell>
        </row>
        <row r="92">
          <cell r="B92">
            <v>20101557</v>
          </cell>
          <cell r="U92" t="str">
            <v>GINA PAOLA MEDINA FLOREZ</v>
          </cell>
        </row>
        <row r="93">
          <cell r="B93">
            <v>20101615</v>
          </cell>
          <cell r="U93" t="str">
            <v>PAOLA ANDREA CALDERON CETINA</v>
          </cell>
        </row>
        <row r="94">
          <cell r="B94">
            <v>20101627</v>
          </cell>
          <cell r="U94" t="str">
            <v>FABIAN CONCHA</v>
          </cell>
        </row>
        <row r="95">
          <cell r="B95">
            <v>20101636</v>
          </cell>
          <cell r="U95" t="str">
            <v>NELSON JAVIER MORERA RINCON</v>
          </cell>
        </row>
        <row r="96">
          <cell r="B96">
            <v>20101646</v>
          </cell>
          <cell r="U96" t="str">
            <v>MARSHIA MILENA JIMéNEZ GóMEZ</v>
          </cell>
        </row>
        <row r="97">
          <cell r="B97">
            <v>20101668</v>
          </cell>
          <cell r="U97" t="str">
            <v>FABIAN CONCHA</v>
          </cell>
        </row>
        <row r="98">
          <cell r="B98">
            <v>20101709</v>
          </cell>
          <cell r="U98" t="str">
            <v>GINA PAOLA MEDINA FLOREZ</v>
          </cell>
        </row>
        <row r="99">
          <cell r="B99">
            <v>20101770</v>
          </cell>
          <cell r="U99" t="str">
            <v>CATALINA PACHECO BURGOS</v>
          </cell>
        </row>
        <row r="100">
          <cell r="B100">
            <v>20101772</v>
          </cell>
          <cell r="U100" t="str">
            <v>Jeisson Fabian Molina Ciro</v>
          </cell>
        </row>
        <row r="101">
          <cell r="B101">
            <v>20101810</v>
          </cell>
          <cell r="U101" t="str">
            <v>HEIDY LORENA PRIETO AHUMADA</v>
          </cell>
        </row>
        <row r="102">
          <cell r="B102">
            <v>20101960</v>
          </cell>
          <cell r="U102" t="str">
            <v>FABIAN CONCHA</v>
          </cell>
        </row>
        <row r="103">
          <cell r="B103">
            <v>20101963</v>
          </cell>
          <cell r="U103" t="str">
            <v>GINA PAOLA MEDINA FLOREZ</v>
          </cell>
        </row>
        <row r="104">
          <cell r="B104">
            <v>20101981</v>
          </cell>
          <cell r="U104" t="str">
            <v>FABIAN CONCHA</v>
          </cell>
        </row>
        <row r="105">
          <cell r="B105">
            <v>20102034</v>
          </cell>
          <cell r="U105" t="str">
            <v>FABIAN CONCHA</v>
          </cell>
        </row>
        <row r="106">
          <cell r="B106">
            <v>20102046</v>
          </cell>
          <cell r="U106" t="str">
            <v>GINA PAOLA MEDINA FLOREZ</v>
          </cell>
        </row>
        <row r="107">
          <cell r="B107">
            <v>20102145</v>
          </cell>
          <cell r="U107" t="str">
            <v>JEISSON FABIAN MOLINA CIRO</v>
          </cell>
        </row>
        <row r="108">
          <cell r="B108">
            <v>20102156</v>
          </cell>
          <cell r="U108" t="str">
            <v>MARSHIA MILENA JIMéNEZ GóMEZ</v>
          </cell>
        </row>
        <row r="109">
          <cell r="B109">
            <v>20102203</v>
          </cell>
          <cell r="U109" t="str">
            <v>HEIDY LORENA PRIETO AHUMADA</v>
          </cell>
        </row>
        <row r="110">
          <cell r="B110">
            <v>20102211</v>
          </cell>
          <cell r="U110" t="str">
            <v>HEIDY LORENA PRIETO AHUMADA</v>
          </cell>
        </row>
        <row r="111">
          <cell r="B111">
            <v>20102347</v>
          </cell>
          <cell r="U111" t="str">
            <v>GINA PAOLA MEDINA FLOREZ</v>
          </cell>
        </row>
        <row r="112">
          <cell r="B112">
            <v>20102354</v>
          </cell>
          <cell r="U112" t="str">
            <v>GINA PAOLA MEDINA FLOREZ</v>
          </cell>
        </row>
        <row r="113">
          <cell r="B113">
            <v>20102355</v>
          </cell>
          <cell r="U113" t="str">
            <v>HEIDY LORENA PRIETO AHUMADA</v>
          </cell>
        </row>
        <row r="114">
          <cell r="B114">
            <v>20102458</v>
          </cell>
          <cell r="U114" t="str">
            <v>GINA PAOLA MEDINA FLOREZ</v>
          </cell>
        </row>
        <row r="115">
          <cell r="B115">
            <v>20102509</v>
          </cell>
          <cell r="U115" t="str">
            <v>CATALINA PACHECO BURGOS</v>
          </cell>
        </row>
        <row r="116">
          <cell r="B116">
            <v>20102514</v>
          </cell>
          <cell r="U116" t="str">
            <v>FABIAN CONCHA</v>
          </cell>
        </row>
        <row r="117">
          <cell r="B117">
            <v>20102546</v>
          </cell>
          <cell r="U117" t="str">
            <v>HEIDY LORENA PRIETO AHUMADA</v>
          </cell>
        </row>
        <row r="118">
          <cell r="B118">
            <v>20102554</v>
          </cell>
          <cell r="U118" t="str">
            <v>MARSHIA MILENA JIMéNEZ GóMEZ</v>
          </cell>
        </row>
        <row r="119">
          <cell r="B119">
            <v>20102668</v>
          </cell>
          <cell r="U119" t="str">
            <v>GINA PAOLA MEDINA FLOREZ</v>
          </cell>
        </row>
        <row r="120">
          <cell r="B120">
            <v>20102676</v>
          </cell>
          <cell r="U120" t="str">
            <v>GINA PAOLA MEDINA FLOREZ</v>
          </cell>
        </row>
        <row r="121">
          <cell r="B121">
            <v>20102863</v>
          </cell>
          <cell r="U121" t="str">
            <v>IVONNE JINETH RODRIGUEZ ROJAS</v>
          </cell>
        </row>
        <row r="122">
          <cell r="B122">
            <v>20102917</v>
          </cell>
          <cell r="U122" t="str">
            <v>GINA PAOLA MEDINA FLOREZ</v>
          </cell>
        </row>
        <row r="123">
          <cell r="B123">
            <v>20102965</v>
          </cell>
          <cell r="U123" t="e">
            <v>#N/A</v>
          </cell>
        </row>
        <row r="124">
          <cell r="B124">
            <v>20102968</v>
          </cell>
          <cell r="U124" t="str">
            <v>NELSON JAVIER MORERA RINCON</v>
          </cell>
        </row>
        <row r="125">
          <cell r="B125">
            <v>20102972</v>
          </cell>
          <cell r="U125" t="str">
            <v>CATALINA PACHECO BURGOS</v>
          </cell>
        </row>
        <row r="126">
          <cell r="B126">
            <v>20102987</v>
          </cell>
          <cell r="U126" t="str">
            <v>JOVANNY ALEXANDER BENAVIDES APRAEZ</v>
          </cell>
        </row>
        <row r="127">
          <cell r="B127">
            <v>20103023</v>
          </cell>
          <cell r="U127" t="str">
            <v>MARSHIA MILENA JIMéNEZ GóMEZ</v>
          </cell>
        </row>
        <row r="128">
          <cell r="B128">
            <v>20103050</v>
          </cell>
          <cell r="U128" t="str">
            <v>GINA PAOLA MEDINA FLOREZ</v>
          </cell>
        </row>
        <row r="129">
          <cell r="B129">
            <v>20103074</v>
          </cell>
          <cell r="U129" t="str">
            <v>FABIAN CONCHA</v>
          </cell>
        </row>
        <row r="130">
          <cell r="B130">
            <v>20103107</v>
          </cell>
          <cell r="U130" t="str">
            <v>FABIAN CONCHA</v>
          </cell>
        </row>
        <row r="131">
          <cell r="B131">
            <v>20103125</v>
          </cell>
          <cell r="U131" t="str">
            <v>JEISSON FABIAN MOLINA CIRO</v>
          </cell>
        </row>
        <row r="132">
          <cell r="B132">
            <v>20103201</v>
          </cell>
          <cell r="U132" t="str">
            <v>GINA PAOLA MEDINA FLOREZ</v>
          </cell>
        </row>
        <row r="133">
          <cell r="B133">
            <v>20103301</v>
          </cell>
          <cell r="U133" t="str">
            <v>JOVANNY ALEXANDER BENAVIDES APRAEZ</v>
          </cell>
        </row>
        <row r="134">
          <cell r="B134">
            <v>20103303</v>
          </cell>
          <cell r="U134" t="str">
            <v>MARSHIA MILENA JIMéNEZ GóMEZ</v>
          </cell>
        </row>
        <row r="135">
          <cell r="B135">
            <v>20103329</v>
          </cell>
          <cell r="U135" t="str">
            <v>GINA PAOLA MEDINA FLOREZ</v>
          </cell>
        </row>
        <row r="136">
          <cell r="B136">
            <v>20103356</v>
          </cell>
          <cell r="U136" t="str">
            <v>HEIDY LORENA PRIETO AHUMADA</v>
          </cell>
        </row>
        <row r="137">
          <cell r="B137">
            <v>20103362</v>
          </cell>
          <cell r="U137" t="str">
            <v>HEIDY LORENA PRIETO AHUMADA</v>
          </cell>
        </row>
        <row r="138">
          <cell r="B138">
            <v>20103399</v>
          </cell>
          <cell r="U138" t="str">
            <v>HEIDY LORENA PRIETO AHUMADA</v>
          </cell>
        </row>
        <row r="139">
          <cell r="B139">
            <v>20103406</v>
          </cell>
          <cell r="U139" t="str">
            <v>JEISSON FABIAN MOLINA CIRO</v>
          </cell>
        </row>
        <row r="140">
          <cell r="B140">
            <v>20103425</v>
          </cell>
          <cell r="U140" t="str">
            <v>GINA PAOLA MEDINA FLOREZ</v>
          </cell>
        </row>
        <row r="141">
          <cell r="B141">
            <v>20103447</v>
          </cell>
          <cell r="U141" t="str">
            <v>GINA PAOLA MEDINA FLOREZ</v>
          </cell>
        </row>
        <row r="142">
          <cell r="B142">
            <v>20103448</v>
          </cell>
          <cell r="U142" t="str">
            <v>HEIDY LORENA PRIETO AHUMADA</v>
          </cell>
        </row>
        <row r="143">
          <cell r="B143">
            <v>20103449</v>
          </cell>
          <cell r="U143" t="str">
            <v>HEIDY LORENA PRIETO AHUMADA</v>
          </cell>
        </row>
        <row r="144">
          <cell r="B144">
            <v>20103452</v>
          </cell>
          <cell r="U144" t="str">
            <v>HEIDY LORENA PRIETO AHUMADA</v>
          </cell>
        </row>
        <row r="145">
          <cell r="B145">
            <v>20103454</v>
          </cell>
          <cell r="U145" t="str">
            <v>JEISSON FABIAN MOLINA CIRO</v>
          </cell>
        </row>
        <row r="146">
          <cell r="B146">
            <v>20103458</v>
          </cell>
          <cell r="U146" t="str">
            <v>HEIDY LORENA PRIETO AHUMADA</v>
          </cell>
        </row>
        <row r="147">
          <cell r="B147">
            <v>20103466</v>
          </cell>
          <cell r="U147" t="str">
            <v>JOVANNY ALEXANDER BENAVIDES APRAEZ</v>
          </cell>
        </row>
        <row r="148">
          <cell r="B148">
            <v>20103474</v>
          </cell>
          <cell r="U148" t="str">
            <v>MARSHIA MILENA JIMéNEZ GóMEZ</v>
          </cell>
        </row>
        <row r="149">
          <cell r="B149">
            <v>20103486</v>
          </cell>
          <cell r="U149" t="str">
            <v>NELSON JAVIER MORERA RINCON</v>
          </cell>
        </row>
        <row r="150">
          <cell r="B150">
            <v>20103491</v>
          </cell>
          <cell r="U150" t="str">
            <v>NELSON JAVIER MORERA RINCON</v>
          </cell>
        </row>
        <row r="151">
          <cell r="B151">
            <v>20103492</v>
          </cell>
          <cell r="U151" t="str">
            <v>MARSHIA MILENA JIMéNEZ GóMEZ</v>
          </cell>
        </row>
        <row r="152">
          <cell r="B152">
            <v>20103495</v>
          </cell>
          <cell r="U152" t="str">
            <v>MARSHIA MILENA JIMéNEZ GóMEZ</v>
          </cell>
        </row>
        <row r="153">
          <cell r="B153">
            <v>20103519</v>
          </cell>
          <cell r="U153" t="str">
            <v>FABIAN CONCHA</v>
          </cell>
        </row>
        <row r="154">
          <cell r="B154">
            <v>20103529</v>
          </cell>
          <cell r="U154" t="str">
            <v>NELSON JAVIER MORERA RINCON</v>
          </cell>
        </row>
        <row r="155">
          <cell r="B155">
            <v>20103531</v>
          </cell>
          <cell r="U155" t="str">
            <v>HEIDY LORENA PRIETO AHUMADA</v>
          </cell>
        </row>
        <row r="156">
          <cell r="B156">
            <v>20103539</v>
          </cell>
          <cell r="U156" t="str">
            <v>MARSHIA MILENA JIMéNEZ GóMEZ</v>
          </cell>
        </row>
        <row r="157">
          <cell r="B157">
            <v>20103543</v>
          </cell>
          <cell r="U157" t="str">
            <v>IVONNE JINETH RODRIGUEZ ROJAS</v>
          </cell>
        </row>
        <row r="158">
          <cell r="B158">
            <v>20103548</v>
          </cell>
          <cell r="U158" t="str">
            <v>JOVANNY ALEXANDER BENAVIDES APRAEZ</v>
          </cell>
        </row>
        <row r="159">
          <cell r="B159">
            <v>20103555</v>
          </cell>
          <cell r="U159" t="str">
            <v>JOVANNY ALEXANDER BENAVIDES APRAEZ</v>
          </cell>
        </row>
        <row r="160">
          <cell r="B160">
            <v>20103557</v>
          </cell>
          <cell r="U160" t="str">
            <v>MARSHIA MILENA JIMéNEZ GóMEZ</v>
          </cell>
        </row>
        <row r="161">
          <cell r="B161">
            <v>20103596</v>
          </cell>
          <cell r="U161" t="str">
            <v>NELSON JAVIER MORERA RINCON</v>
          </cell>
        </row>
        <row r="162">
          <cell r="B162">
            <v>20103600</v>
          </cell>
          <cell r="U162" t="str">
            <v>GINA PAOLA MEDINA FLOREZ</v>
          </cell>
        </row>
        <row r="163">
          <cell r="B163">
            <v>20103633</v>
          </cell>
          <cell r="U163" t="str">
            <v>FABIAN CONCHA</v>
          </cell>
        </row>
        <row r="164">
          <cell r="B164">
            <v>20103638</v>
          </cell>
          <cell r="U164" t="str">
            <v>JOVANNY ALEXANDER BENAVIDES APRAEZ</v>
          </cell>
        </row>
        <row r="165">
          <cell r="B165">
            <v>20103646</v>
          </cell>
          <cell r="U165" t="str">
            <v>NELSON JAVIER MORERA RINCON</v>
          </cell>
        </row>
        <row r="166">
          <cell r="B166">
            <v>20103647</v>
          </cell>
          <cell r="U166" t="str">
            <v>NELSON JAVIER MORERA RINCON</v>
          </cell>
        </row>
        <row r="167">
          <cell r="B167">
            <v>20103650</v>
          </cell>
          <cell r="U167" t="str">
            <v>PAOLA ANDREA CALDERON CETINA</v>
          </cell>
        </row>
        <row r="168">
          <cell r="B168">
            <v>20103655</v>
          </cell>
          <cell r="U168" t="str">
            <v>PAOLA ANDREA CALDERON CETINA</v>
          </cell>
        </row>
        <row r="169">
          <cell r="B169">
            <v>20103656</v>
          </cell>
          <cell r="U169" t="str">
            <v>CATALINA PACHECO BURGOS</v>
          </cell>
        </row>
        <row r="170">
          <cell r="B170">
            <v>20103657</v>
          </cell>
          <cell r="U170" t="str">
            <v>MARSHIA MILENA JIMéNEZ GóMEZ</v>
          </cell>
        </row>
        <row r="171">
          <cell r="B171">
            <v>20103658</v>
          </cell>
          <cell r="U171" t="str">
            <v>MARSHIA MILENA JIMéNEZ GóMEZ</v>
          </cell>
        </row>
        <row r="172">
          <cell r="B172">
            <v>20103666</v>
          </cell>
          <cell r="U172" t="str">
            <v>GINA PAOLA MEDINA FLOREZ</v>
          </cell>
        </row>
        <row r="173">
          <cell r="B173">
            <v>20103673</v>
          </cell>
          <cell r="U173" t="str">
            <v>PAOLA ANDREA CALDERON CETINA</v>
          </cell>
        </row>
        <row r="174">
          <cell r="B174">
            <v>20103680</v>
          </cell>
          <cell r="U174" t="str">
            <v>NELSON JAVIER MORERA RINCON</v>
          </cell>
        </row>
        <row r="175">
          <cell r="B175">
            <v>20103688</v>
          </cell>
          <cell r="U175" t="str">
            <v>NELSON JAVIER MORERA RINCON</v>
          </cell>
        </row>
        <row r="176">
          <cell r="B176">
            <v>20103703</v>
          </cell>
          <cell r="U176" t="str">
            <v>IVONNE JINETH RODRIGUEZ ROJAS</v>
          </cell>
        </row>
        <row r="177">
          <cell r="B177">
            <v>20103711</v>
          </cell>
          <cell r="U177" t="str">
            <v>PAOLA ANDREA CALDERON CETINA</v>
          </cell>
        </row>
        <row r="178">
          <cell r="B178">
            <v>20103715</v>
          </cell>
          <cell r="U178" t="str">
            <v>MARSHIA MILENA JIMéNEZ GóMEZ</v>
          </cell>
        </row>
        <row r="179">
          <cell r="B179">
            <v>20103718</v>
          </cell>
          <cell r="U179" t="str">
            <v>NELSON JAVIER MORERA RINCON</v>
          </cell>
        </row>
        <row r="180">
          <cell r="B180">
            <v>20103722</v>
          </cell>
          <cell r="U180" t="str">
            <v>JEISSON FABIAN MOLINA CIRO</v>
          </cell>
        </row>
        <row r="181">
          <cell r="B181">
            <v>20103725</v>
          </cell>
          <cell r="U181" t="str">
            <v>MARSHIA MILENA JIMéNEZ GóMEZ</v>
          </cell>
        </row>
        <row r="182">
          <cell r="B182">
            <v>20103726</v>
          </cell>
          <cell r="U182" t="str">
            <v>GINA PAOLA MEDINA FLOREZ</v>
          </cell>
        </row>
        <row r="183">
          <cell r="B183">
            <v>20103731</v>
          </cell>
          <cell r="U183" t="str">
            <v>MARSHIA MILENA JIMéNEZ GóMEZ</v>
          </cell>
        </row>
        <row r="184">
          <cell r="B184">
            <v>20103742</v>
          </cell>
          <cell r="U184" t="str">
            <v>JEISSON FABIAN MOLINA CIRO</v>
          </cell>
        </row>
        <row r="185">
          <cell r="B185">
            <v>20103744</v>
          </cell>
          <cell r="U185" t="str">
            <v>NELSON JAVIER MORERA RINCON</v>
          </cell>
        </row>
        <row r="186">
          <cell r="B186">
            <v>20103775</v>
          </cell>
          <cell r="U186" t="str">
            <v>PAOLA ANDREA CALDERON CETINA</v>
          </cell>
        </row>
        <row r="187">
          <cell r="B187">
            <v>20103781</v>
          </cell>
          <cell r="U187" t="str">
            <v>NELSON JAVIER MORERA RINCON</v>
          </cell>
        </row>
        <row r="188">
          <cell r="B188">
            <v>20103783</v>
          </cell>
          <cell r="U188" t="str">
            <v>PAOLA ANDREA CALDERON CETINA</v>
          </cell>
        </row>
        <row r="189">
          <cell r="B189">
            <v>20103786</v>
          </cell>
          <cell r="U189" t="str">
            <v>NELSON JAVIER MORERA RINCON</v>
          </cell>
        </row>
        <row r="190">
          <cell r="B190">
            <v>20103787</v>
          </cell>
          <cell r="U190" t="str">
            <v>JAVIER ORLANDO HERNANDEZ RIVERA</v>
          </cell>
        </row>
        <row r="191">
          <cell r="B191">
            <v>20103791</v>
          </cell>
          <cell r="U191" t="str">
            <v>NELSON JAVIER MORERA RINCON</v>
          </cell>
        </row>
        <row r="192">
          <cell r="B192">
            <v>20103794</v>
          </cell>
          <cell r="U192" t="str">
            <v>NELSON JAVIER MORERA RINCON</v>
          </cell>
        </row>
        <row r="193">
          <cell r="B193">
            <v>20103803</v>
          </cell>
          <cell r="U193" t="str">
            <v>IVONNE JINETH RODRIGUEZ ROJAS</v>
          </cell>
        </row>
        <row r="194">
          <cell r="B194">
            <v>20103805</v>
          </cell>
          <cell r="U194" t="str">
            <v>NELSON JAVIER MORERA RINCON</v>
          </cell>
        </row>
        <row r="195">
          <cell r="B195">
            <v>20103807</v>
          </cell>
          <cell r="U195" t="str">
            <v>IVONNE JINETH RODRIGUEZ ROJAS</v>
          </cell>
        </row>
        <row r="196">
          <cell r="B196">
            <v>20103815</v>
          </cell>
          <cell r="U196" t="str">
            <v>PAOLA ANDREA CALDERON CETINA</v>
          </cell>
        </row>
        <row r="197">
          <cell r="B197">
            <v>20103816</v>
          </cell>
          <cell r="U197" t="str">
            <v>FABIAN CONCHA</v>
          </cell>
        </row>
        <row r="198">
          <cell r="B198">
            <v>20103819</v>
          </cell>
          <cell r="U198" t="str">
            <v>MARSHIA MILENA JIMéNEZ GóMEZ</v>
          </cell>
        </row>
        <row r="199">
          <cell r="B199">
            <v>20103823</v>
          </cell>
          <cell r="U199" t="str">
            <v>FABIAN CONCHA</v>
          </cell>
        </row>
        <row r="200">
          <cell r="B200">
            <v>20103842</v>
          </cell>
          <cell r="U200" t="str">
            <v>FABIAN CONCHA</v>
          </cell>
        </row>
        <row r="201">
          <cell r="B201">
            <v>20103852</v>
          </cell>
          <cell r="U201" t="str">
            <v>HEIDY LORENA PRIETO AHUMADA</v>
          </cell>
        </row>
        <row r="202">
          <cell r="B202">
            <v>20103853</v>
          </cell>
          <cell r="U202" t="str">
            <v>JOVANNY ALEXANDER BENAVIDES APRAEZ</v>
          </cell>
        </row>
        <row r="203">
          <cell r="B203">
            <v>20103854</v>
          </cell>
          <cell r="U203" t="str">
            <v>IVONNE JINETH RODRIGUEZ ROJAS</v>
          </cell>
        </row>
        <row r="204">
          <cell r="B204">
            <v>20103863</v>
          </cell>
          <cell r="U204" t="str">
            <v>JOVANNY ALEXANDER BENAVIDES APRAEZ</v>
          </cell>
        </row>
        <row r="205">
          <cell r="B205">
            <v>20103865</v>
          </cell>
          <cell r="U205" t="str">
            <v>FABIAN CONCHA</v>
          </cell>
        </row>
        <row r="206">
          <cell r="B206">
            <v>20103868</v>
          </cell>
          <cell r="U206" t="str">
            <v>MARSHIA MILENA JIMéNEZ GóMEZ</v>
          </cell>
        </row>
        <row r="207">
          <cell r="B207">
            <v>20103878</v>
          </cell>
          <cell r="U207" t="str">
            <v>NELSON JAVIER MORERA RINCON</v>
          </cell>
        </row>
        <row r="208">
          <cell r="B208">
            <v>20103880</v>
          </cell>
          <cell r="U208" t="str">
            <v>HEIDY LORENA PRIETO AHUMADA</v>
          </cell>
        </row>
        <row r="209">
          <cell r="B209">
            <v>20103890</v>
          </cell>
          <cell r="U209" t="str">
            <v>MARSHIA MILENA JIMéNEZ GóMEZ</v>
          </cell>
        </row>
        <row r="210">
          <cell r="B210">
            <v>20103893</v>
          </cell>
          <cell r="U210" t="str">
            <v>MARSHIA MILENA JIMéNEZ GóMEZ</v>
          </cell>
        </row>
        <row r="211">
          <cell r="B211">
            <v>20103900</v>
          </cell>
          <cell r="U211" t="str">
            <v>FABIAN CONCHA</v>
          </cell>
        </row>
        <row r="212">
          <cell r="B212">
            <v>20103902</v>
          </cell>
          <cell r="U212" t="str">
            <v>FABIAN CONCHA</v>
          </cell>
        </row>
        <row r="213">
          <cell r="B213">
            <v>20103904</v>
          </cell>
          <cell r="U213" t="str">
            <v>PAOLA ANDREA CALDERON CETINA</v>
          </cell>
        </row>
        <row r="214">
          <cell r="B214">
            <v>20103907</v>
          </cell>
          <cell r="U214" t="str">
            <v>CATALINA PACHECO BURGOS</v>
          </cell>
        </row>
        <row r="215">
          <cell r="B215">
            <v>20103909</v>
          </cell>
          <cell r="U215" t="str">
            <v>IVONNE JINETH RODRIGUEZ ROJAS</v>
          </cell>
        </row>
        <row r="216">
          <cell r="B216">
            <v>20103914</v>
          </cell>
          <cell r="U216" t="str">
            <v>JOVANNY ALEXANDER BENAVIDES APRAEZ</v>
          </cell>
        </row>
        <row r="217">
          <cell r="B217">
            <v>20103915</v>
          </cell>
          <cell r="U217" t="str">
            <v>IVONNE JINETH RODRIGUEZ ROJAS</v>
          </cell>
        </row>
        <row r="218">
          <cell r="B218">
            <v>20103921</v>
          </cell>
          <cell r="U218" t="str">
            <v>HEIDY LORENA PRIETO AHUMADA</v>
          </cell>
        </row>
        <row r="219">
          <cell r="B219">
            <v>20103923</v>
          </cell>
          <cell r="U219" t="str">
            <v>CATALINA PACHECO BURGOS</v>
          </cell>
        </row>
        <row r="220">
          <cell r="B220">
            <v>20103927</v>
          </cell>
          <cell r="U220" t="str">
            <v>CATALINA PACHECO BURGOS</v>
          </cell>
        </row>
        <row r="221">
          <cell r="B221">
            <v>20103934</v>
          </cell>
          <cell r="U221" t="str">
            <v>FABIAN CONCHA</v>
          </cell>
        </row>
        <row r="222">
          <cell r="B222">
            <v>20103942</v>
          </cell>
          <cell r="U222" t="str">
            <v>JEISSON FABIAN MOLINA CIRO</v>
          </cell>
        </row>
        <row r="223">
          <cell r="B223">
            <v>20103945</v>
          </cell>
          <cell r="U223" t="str">
            <v>MARSHIA MILENA JIMéNEZ GóMEZ</v>
          </cell>
        </row>
        <row r="224">
          <cell r="B224">
            <v>20103950</v>
          </cell>
          <cell r="U224" t="str">
            <v>CATALINA PACHECO BURGOS</v>
          </cell>
        </row>
        <row r="225">
          <cell r="B225">
            <v>20103951</v>
          </cell>
          <cell r="U225" t="str">
            <v>PAOLA ANDREA CALDERON CETINA</v>
          </cell>
        </row>
        <row r="226">
          <cell r="B226">
            <v>20103952</v>
          </cell>
          <cell r="U226" t="str">
            <v>PAOLA ANDREA CALDERON CETINA</v>
          </cell>
        </row>
        <row r="227">
          <cell r="B227">
            <v>20103959</v>
          </cell>
          <cell r="U227" t="str">
            <v>JOVANNY ALEXANDER BENAVIDES APRAEZ</v>
          </cell>
        </row>
        <row r="228">
          <cell r="B228">
            <v>20103960</v>
          </cell>
          <cell r="U228" t="str">
            <v>NELSON JAVIER MORERA RINCON</v>
          </cell>
        </row>
        <row r="229">
          <cell r="B229">
            <v>20103961</v>
          </cell>
          <cell r="U229" t="str">
            <v>JOVANNY ALEXANDER BENAVIDES APRAEZ</v>
          </cell>
        </row>
        <row r="230">
          <cell r="B230">
            <v>20103962</v>
          </cell>
          <cell r="U230" t="str">
            <v>HEIDY LORENA PRIETO AHUMADA</v>
          </cell>
        </row>
        <row r="231">
          <cell r="B231">
            <v>20103968</v>
          </cell>
          <cell r="U231" t="str">
            <v>HEIDY LORENA PRIETO AHUMADA</v>
          </cell>
        </row>
        <row r="232">
          <cell r="B232">
            <v>20103972</v>
          </cell>
          <cell r="U232" t="str">
            <v>GINA PAOLA MEDINA FLOREZ</v>
          </cell>
        </row>
        <row r="233">
          <cell r="B233">
            <v>20103973</v>
          </cell>
          <cell r="U233" t="str">
            <v>JAVIER ORLANDO HERNANDEZ RIVERA</v>
          </cell>
        </row>
        <row r="234">
          <cell r="B234">
            <v>20103974</v>
          </cell>
          <cell r="U234" t="str">
            <v>NELSON JAVIER MORERA RINCON</v>
          </cell>
        </row>
        <row r="235">
          <cell r="B235">
            <v>20103977</v>
          </cell>
          <cell r="U235" t="str">
            <v>FABIAN CONCHA</v>
          </cell>
        </row>
        <row r="236">
          <cell r="B236">
            <v>20103980</v>
          </cell>
          <cell r="U236" t="str">
            <v>HEIDY LORENA PRIETO AHUMADA</v>
          </cell>
        </row>
        <row r="237">
          <cell r="B237">
            <v>20103987</v>
          </cell>
          <cell r="U237" t="str">
            <v>IVONNE JINETH RODRIGUEZ ROJAS</v>
          </cell>
        </row>
        <row r="238">
          <cell r="B238">
            <v>20103988</v>
          </cell>
          <cell r="U238" t="str">
            <v>FABIAN CONCHA</v>
          </cell>
        </row>
        <row r="239">
          <cell r="B239">
            <v>20103990</v>
          </cell>
          <cell r="U239" t="str">
            <v>FABIAN CONCHA</v>
          </cell>
        </row>
        <row r="240">
          <cell r="B240">
            <v>20103995</v>
          </cell>
          <cell r="U240" t="str">
            <v>IVONNE JINETH RODRIGUEZ ROJAS</v>
          </cell>
        </row>
        <row r="241">
          <cell r="B241">
            <v>20103996</v>
          </cell>
          <cell r="U241" t="str">
            <v>NELSON JAVIER MORERA RINCON</v>
          </cell>
        </row>
        <row r="242">
          <cell r="B242">
            <v>20104012</v>
          </cell>
          <cell r="U242" t="str">
            <v>HEIDY LORENA PRIETO AHUMADA</v>
          </cell>
        </row>
        <row r="243">
          <cell r="B243">
            <v>20104014</v>
          </cell>
          <cell r="U243" t="str">
            <v>PAOLA ANDREA CALDERON CETINA</v>
          </cell>
        </row>
        <row r="244">
          <cell r="B244">
            <v>20104015</v>
          </cell>
          <cell r="U244" t="str">
            <v>FABIAN CONCHA</v>
          </cell>
        </row>
        <row r="245">
          <cell r="B245">
            <v>20104019</v>
          </cell>
          <cell r="U245" t="str">
            <v>PAOLA ANDREA CALDERON CETINA</v>
          </cell>
        </row>
        <row r="246">
          <cell r="B246">
            <v>20104020</v>
          </cell>
          <cell r="U246" t="str">
            <v>JEISSON FABIAN MOLINA CIRO</v>
          </cell>
        </row>
        <row r="247">
          <cell r="B247">
            <v>20104027</v>
          </cell>
          <cell r="U247" t="str">
            <v>NELSON JAVIER MORERA RINCON</v>
          </cell>
        </row>
        <row r="248">
          <cell r="B248">
            <v>20104037</v>
          </cell>
          <cell r="U248" t="str">
            <v>PAOLA ANDREA CALDERON CETINA</v>
          </cell>
        </row>
        <row r="249">
          <cell r="B249">
            <v>20104042</v>
          </cell>
          <cell r="U249" t="str">
            <v>GINA PAOLA MEDINA FLOREZ</v>
          </cell>
        </row>
        <row r="250">
          <cell r="B250">
            <v>20104043</v>
          </cell>
          <cell r="U250" t="str">
            <v>IVONNE JINETH RODRIGUEZ ROJAS</v>
          </cell>
        </row>
        <row r="251">
          <cell r="B251">
            <v>20104051</v>
          </cell>
          <cell r="U251" t="str">
            <v>JOVANNY ALEXANDER BENAVIDES APRAEZ</v>
          </cell>
        </row>
        <row r="252">
          <cell r="B252">
            <v>20104055</v>
          </cell>
          <cell r="U252" t="str">
            <v>JAVIER ORLANDO HERNANDEZ RIVERA</v>
          </cell>
        </row>
        <row r="253">
          <cell r="B253">
            <v>20104056</v>
          </cell>
          <cell r="U253" t="str">
            <v>NELSON JAVIER MORERA RINCON</v>
          </cell>
        </row>
        <row r="254">
          <cell r="B254">
            <v>20104068</v>
          </cell>
          <cell r="U254" t="str">
            <v>HEIDY LORENA PRIETO AHUMADA</v>
          </cell>
        </row>
        <row r="255">
          <cell r="B255">
            <v>20104069</v>
          </cell>
          <cell r="U255" t="str">
            <v>PAOLA ANDREA CALDERON CETINA</v>
          </cell>
        </row>
        <row r="256">
          <cell r="B256">
            <v>20104070</v>
          </cell>
          <cell r="U256" t="str">
            <v>IVONNE JINETH RODRIGUEZ ROJAS</v>
          </cell>
        </row>
        <row r="257">
          <cell r="B257">
            <v>20104072</v>
          </cell>
          <cell r="U257" t="str">
            <v>IVONNE JINETH RODRIGUEZ ROJAS</v>
          </cell>
        </row>
        <row r="258">
          <cell r="B258">
            <v>20104074</v>
          </cell>
          <cell r="U258" t="str">
            <v>MARSHIA MILENA JIMéNEZ GóMEZ</v>
          </cell>
        </row>
        <row r="259">
          <cell r="B259">
            <v>20104077</v>
          </cell>
          <cell r="U259" t="str">
            <v>IVONNE JINETH RODRIGUEZ ROJAS</v>
          </cell>
        </row>
        <row r="260">
          <cell r="B260">
            <v>20104084</v>
          </cell>
          <cell r="U260" t="str">
            <v>NELSON JAVIER MORERA RINCON</v>
          </cell>
        </row>
        <row r="261">
          <cell r="B261">
            <v>20104086</v>
          </cell>
          <cell r="U261" t="str">
            <v>IVONNE JINETH RODRIGUEZ ROJAS</v>
          </cell>
        </row>
        <row r="262">
          <cell r="B262">
            <v>20104088</v>
          </cell>
          <cell r="U262" t="str">
            <v>HEIDY LORENA PRIETO AHUMADA</v>
          </cell>
        </row>
        <row r="263">
          <cell r="B263">
            <v>20104093</v>
          </cell>
          <cell r="U263" t="str">
            <v>IVONNE JINETH RODRIGUEZ ROJAS</v>
          </cell>
        </row>
        <row r="264">
          <cell r="B264">
            <v>20104098</v>
          </cell>
          <cell r="U264" t="str">
            <v>JEISSON FABIAN MOLINA CIRO</v>
          </cell>
        </row>
        <row r="265">
          <cell r="B265">
            <v>20104104</v>
          </cell>
          <cell r="U265" t="str">
            <v>PAOLA ANDREA CALDERON CETINA</v>
          </cell>
        </row>
        <row r="266">
          <cell r="B266">
            <v>20104110</v>
          </cell>
          <cell r="U266" t="str">
            <v>IVONNE JINETH RODRIGUEZ ROJAS</v>
          </cell>
        </row>
        <row r="267">
          <cell r="B267">
            <v>20104111</v>
          </cell>
          <cell r="U267" t="str">
            <v>MARSHIA MILENA JIMéNEZ GóMEZ</v>
          </cell>
        </row>
        <row r="268">
          <cell r="B268">
            <v>20104114</v>
          </cell>
          <cell r="U268" t="str">
            <v>HEIDY LORENA PRIETO AHUMADA</v>
          </cell>
        </row>
        <row r="269">
          <cell r="B269">
            <v>20104116</v>
          </cell>
          <cell r="U269" t="str">
            <v>NELSON JAVIER MORERA RINCON</v>
          </cell>
        </row>
        <row r="270">
          <cell r="B270">
            <v>20104118</v>
          </cell>
          <cell r="U270" t="str">
            <v>GINA PAOLA MEDINA FLOREZ</v>
          </cell>
        </row>
        <row r="271">
          <cell r="B271">
            <v>20104123</v>
          </cell>
          <cell r="U271" t="str">
            <v>IVONNE JINETH RODRIGUEZ ROJAS</v>
          </cell>
        </row>
        <row r="272">
          <cell r="B272">
            <v>20104126</v>
          </cell>
          <cell r="U272" t="str">
            <v>FABIAN CONCHA</v>
          </cell>
        </row>
        <row r="273">
          <cell r="B273">
            <v>20104132</v>
          </cell>
          <cell r="U273" t="str">
            <v>IVONNE JINETH RODRIGUEZ ROJAS</v>
          </cell>
        </row>
        <row r="274">
          <cell r="B274">
            <v>20104144</v>
          </cell>
          <cell r="U274" t="str">
            <v>FABIAN CONCHA</v>
          </cell>
        </row>
        <row r="275">
          <cell r="B275">
            <v>20104147</v>
          </cell>
          <cell r="U275" t="str">
            <v>JOVANNY ALEXANDER BENAVIDES APRAEZ</v>
          </cell>
        </row>
        <row r="276">
          <cell r="B276">
            <v>20104148</v>
          </cell>
          <cell r="U276" t="str">
            <v>GINA PAOLA MEDINA FLOREZ</v>
          </cell>
        </row>
        <row r="277">
          <cell r="B277">
            <v>20104149</v>
          </cell>
          <cell r="U277" t="str">
            <v>NELSON JAVIER MORERA RINCON</v>
          </cell>
        </row>
        <row r="278">
          <cell r="B278">
            <v>20104153</v>
          </cell>
          <cell r="U278" t="str">
            <v>CATALINA PACHECO BURGOS</v>
          </cell>
        </row>
        <row r="279">
          <cell r="B279">
            <v>20104157</v>
          </cell>
          <cell r="U279" t="str">
            <v>PAOLA ANDREA CALDERON CETINA</v>
          </cell>
        </row>
        <row r="280">
          <cell r="B280">
            <v>20104160</v>
          </cell>
          <cell r="U280" t="str">
            <v>FABIAN CONCHA</v>
          </cell>
        </row>
        <row r="281">
          <cell r="B281">
            <v>20104162</v>
          </cell>
          <cell r="U281" t="str">
            <v>NELSON JAVIER MORERA RINCON</v>
          </cell>
        </row>
        <row r="282">
          <cell r="B282">
            <v>20104163</v>
          </cell>
          <cell r="U282" t="str">
            <v>IVONNE JINETH RODRIGUEZ ROJAS</v>
          </cell>
        </row>
        <row r="283">
          <cell r="B283">
            <v>20104166</v>
          </cell>
          <cell r="U283" t="str">
            <v>CATALINA PACHECO BURGOS</v>
          </cell>
        </row>
        <row r="284">
          <cell r="B284">
            <v>20104168</v>
          </cell>
          <cell r="U284" t="str">
            <v>MARSHIA MILENA JIMéNEZ GóMEZ</v>
          </cell>
        </row>
        <row r="285">
          <cell r="B285">
            <v>20104172</v>
          </cell>
          <cell r="U285" t="str">
            <v>HEIDY LORENA PRIETO AHUMADA</v>
          </cell>
        </row>
        <row r="286">
          <cell r="B286">
            <v>20104183</v>
          </cell>
          <cell r="U286" t="str">
            <v>JAVIER ORLANDO HERNANDEZ RIVERA</v>
          </cell>
        </row>
        <row r="287">
          <cell r="B287">
            <v>20104184</v>
          </cell>
          <cell r="U287" t="str">
            <v>MARSHIA MILENA JIMéNEZ GóMEZ</v>
          </cell>
        </row>
        <row r="288">
          <cell r="B288">
            <v>20104188</v>
          </cell>
          <cell r="U288" t="str">
            <v>GINA PAOLA MEDINA FLOREZ</v>
          </cell>
        </row>
        <row r="289">
          <cell r="B289">
            <v>20104193</v>
          </cell>
          <cell r="U289" t="str">
            <v>MARSHIA MILENA JIMéNEZ GóMEZ</v>
          </cell>
        </row>
        <row r="290">
          <cell r="B290">
            <v>20104194</v>
          </cell>
          <cell r="U290" t="str">
            <v>FABIAN CONCHA</v>
          </cell>
        </row>
        <row r="291">
          <cell r="B291">
            <v>20104199</v>
          </cell>
          <cell r="U291" t="str">
            <v>MARSHIA MILENA JIMéNEZ GóMEZ</v>
          </cell>
        </row>
        <row r="292">
          <cell r="B292">
            <v>20104205</v>
          </cell>
          <cell r="U292" t="str">
            <v>NELSON JAVIER MORERA RINCON</v>
          </cell>
        </row>
        <row r="293">
          <cell r="B293">
            <v>20104212</v>
          </cell>
          <cell r="U293" t="str">
            <v>GINA PAOLA MEDINA FLOREZ</v>
          </cell>
        </row>
        <row r="294">
          <cell r="B294">
            <v>20104214</v>
          </cell>
          <cell r="U294" t="str">
            <v>PAOLA ANDREA CALDERON CETINA</v>
          </cell>
        </row>
        <row r="295">
          <cell r="B295">
            <v>20104228</v>
          </cell>
          <cell r="U295" t="str">
            <v>IVONNE JINETH RODRIGUEZ ROJAS</v>
          </cell>
        </row>
        <row r="296">
          <cell r="B296">
            <v>20104231</v>
          </cell>
          <cell r="U296" t="str">
            <v>MARSHIA MILENA JIMéNEZ GóMEZ</v>
          </cell>
        </row>
        <row r="297">
          <cell r="B297">
            <v>20104239</v>
          </cell>
          <cell r="U297" t="str">
            <v>MARSHIA MILENA JIMéNEZ GóMEZ</v>
          </cell>
        </row>
        <row r="298">
          <cell r="B298">
            <v>20104248</v>
          </cell>
          <cell r="U298" t="str">
            <v>IVONNE JINETH RODRIGUEZ ROJAS</v>
          </cell>
        </row>
        <row r="299">
          <cell r="B299">
            <v>20104249</v>
          </cell>
          <cell r="U299" t="str">
            <v>FABIAN CONCHA</v>
          </cell>
        </row>
        <row r="300">
          <cell r="B300">
            <v>20104253</v>
          </cell>
          <cell r="U300" t="str">
            <v>IVONNE JINETH RODRIGUEZ ROJAS</v>
          </cell>
        </row>
        <row r="301">
          <cell r="B301">
            <v>20104261</v>
          </cell>
          <cell r="U301" t="str">
            <v>HEIDY LORENA PRIETO AHUMADA</v>
          </cell>
        </row>
        <row r="302">
          <cell r="B302">
            <v>20104267</v>
          </cell>
          <cell r="U302" t="str">
            <v>HEIDY LORENA PRIETO AHUMADA</v>
          </cell>
        </row>
        <row r="303">
          <cell r="B303">
            <v>20104269</v>
          </cell>
          <cell r="U303" t="str">
            <v>ANGIE LIZETH GARZON GARCIA</v>
          </cell>
        </row>
        <row r="304">
          <cell r="B304">
            <v>20104270</v>
          </cell>
          <cell r="U304" t="str">
            <v>JEISSON FABIAN MOLINA CIRO</v>
          </cell>
        </row>
        <row r="305">
          <cell r="B305">
            <v>20104272</v>
          </cell>
          <cell r="U305" t="str">
            <v>IVONNE JINETH RODRIGUEZ ROJAS</v>
          </cell>
        </row>
        <row r="306">
          <cell r="B306">
            <v>20104274</v>
          </cell>
          <cell r="U306" t="str">
            <v>GINA PAOLA MEDINA FLOREZ</v>
          </cell>
        </row>
        <row r="307">
          <cell r="B307">
            <v>20104278</v>
          </cell>
          <cell r="U307" t="str">
            <v>NELSON JAVIER MORERA RINCON</v>
          </cell>
        </row>
        <row r="308">
          <cell r="B308">
            <v>20104279</v>
          </cell>
          <cell r="U308" t="str">
            <v>FABIAN CONCHA</v>
          </cell>
        </row>
        <row r="309">
          <cell r="B309">
            <v>20104286</v>
          </cell>
          <cell r="U309" t="str">
            <v>NELSON JAVIER MORERA RINCON</v>
          </cell>
        </row>
        <row r="310">
          <cell r="B310">
            <v>20104292</v>
          </cell>
          <cell r="U310" t="str">
            <v>NELSON JAVIER MORERA RINCON</v>
          </cell>
        </row>
        <row r="311">
          <cell r="B311">
            <v>20104295</v>
          </cell>
          <cell r="U311" t="str">
            <v>PAOLA ANDREA CALDERON CETINA</v>
          </cell>
        </row>
        <row r="312">
          <cell r="B312">
            <v>20104296</v>
          </cell>
          <cell r="U312" t="str">
            <v>NELSON JAVIER MORERA RINCON</v>
          </cell>
        </row>
        <row r="313">
          <cell r="B313">
            <v>20104300</v>
          </cell>
          <cell r="U313" t="str">
            <v>JAVIER ORLANDO HERNANDEZ RIVERA</v>
          </cell>
        </row>
        <row r="314">
          <cell r="B314">
            <v>20104303</v>
          </cell>
          <cell r="U314" t="str">
            <v>NELSON JAVIER MORERA RINCON</v>
          </cell>
        </row>
        <row r="315">
          <cell r="B315">
            <v>20104308</v>
          </cell>
          <cell r="U315" t="str">
            <v>IVONNE JINETH RODRIGUEZ ROJAS</v>
          </cell>
        </row>
        <row r="316">
          <cell r="B316">
            <v>20104309</v>
          </cell>
          <cell r="U316" t="str">
            <v>PAOLA ANDREA CALDERON CETINA</v>
          </cell>
        </row>
        <row r="317">
          <cell r="B317">
            <v>20104312</v>
          </cell>
          <cell r="U317" t="str">
            <v>HEIDY LORENA PRIETO AHUMADA</v>
          </cell>
        </row>
        <row r="318">
          <cell r="B318">
            <v>20104316</v>
          </cell>
          <cell r="U318" t="str">
            <v>MARSHIA MILENA JIMéNEZ GóMEZ</v>
          </cell>
        </row>
        <row r="319">
          <cell r="B319">
            <v>20104318</v>
          </cell>
          <cell r="U319" t="str">
            <v>IVONNE JINETH RODRIGUEZ ROJAS</v>
          </cell>
        </row>
        <row r="320">
          <cell r="B320">
            <v>20104319</v>
          </cell>
          <cell r="U320" t="str">
            <v>FABIAN CONCHA</v>
          </cell>
        </row>
        <row r="321">
          <cell r="B321">
            <v>20104320</v>
          </cell>
          <cell r="U321" t="str">
            <v>JAVIER ORLANDO HERNANDEZ RIVERA</v>
          </cell>
        </row>
        <row r="322">
          <cell r="B322">
            <v>20104329</v>
          </cell>
          <cell r="U322" t="str">
            <v>NELSON JAVIER MORERA RINCON</v>
          </cell>
        </row>
        <row r="323">
          <cell r="B323">
            <v>20104333</v>
          </cell>
          <cell r="U323" t="str">
            <v>NELSON JAVIER MORERA RINCON</v>
          </cell>
        </row>
        <row r="324">
          <cell r="B324">
            <v>20104336</v>
          </cell>
          <cell r="U324" t="str">
            <v>NELSON JAVIER MORERA RINCON</v>
          </cell>
        </row>
        <row r="325">
          <cell r="B325">
            <v>20104338</v>
          </cell>
          <cell r="U325" t="str">
            <v>FABIAN CONCHA</v>
          </cell>
        </row>
        <row r="326">
          <cell r="B326">
            <v>20104343</v>
          </cell>
          <cell r="U326" t="str">
            <v>IVONNE JINETH RODRIGUEZ ROJAS</v>
          </cell>
        </row>
        <row r="327">
          <cell r="B327">
            <v>20104348</v>
          </cell>
          <cell r="U327" t="str">
            <v>IVONNE JINETH RODRIGUEZ ROJAS</v>
          </cell>
        </row>
        <row r="328">
          <cell r="B328">
            <v>20104357</v>
          </cell>
          <cell r="U328" t="str">
            <v>IVONNE JINETH RODRIGUEZ ROJAS</v>
          </cell>
        </row>
        <row r="329">
          <cell r="B329">
            <v>20104366</v>
          </cell>
          <cell r="U329" t="e">
            <v>#N/A</v>
          </cell>
        </row>
        <row r="330">
          <cell r="B330">
            <v>20104367</v>
          </cell>
          <cell r="U330" t="str">
            <v>CATALINA PACHECO BURGOS</v>
          </cell>
        </row>
        <row r="331">
          <cell r="B331">
            <v>20104368</v>
          </cell>
          <cell r="U331" t="str">
            <v>NELSON JAVIER MORERA RINCON</v>
          </cell>
        </row>
        <row r="332">
          <cell r="B332">
            <v>20104369</v>
          </cell>
          <cell r="U332" t="str">
            <v>NELSON JAVIER MORERA RINCON</v>
          </cell>
        </row>
        <row r="333">
          <cell r="B333">
            <v>20104385</v>
          </cell>
          <cell r="U333" t="str">
            <v>JEISSON FABIAN MOLINA CIRO</v>
          </cell>
        </row>
        <row r="334">
          <cell r="B334">
            <v>20104388</v>
          </cell>
          <cell r="U334" t="str">
            <v>FABIAN CONCHA</v>
          </cell>
        </row>
        <row r="335">
          <cell r="B335">
            <v>20104389</v>
          </cell>
          <cell r="U335" t="str">
            <v>JEISSON FABIAN MOLINA CIRO</v>
          </cell>
        </row>
        <row r="336">
          <cell r="B336">
            <v>20104391</v>
          </cell>
          <cell r="U336" t="str">
            <v>PAOLA ANDREA CALDERON CETINA</v>
          </cell>
        </row>
        <row r="337">
          <cell r="B337">
            <v>20104393</v>
          </cell>
          <cell r="U337" t="str">
            <v>JEISSON FABIAN MOLINA CIRO</v>
          </cell>
        </row>
        <row r="338">
          <cell r="B338">
            <v>20104395</v>
          </cell>
          <cell r="U338" t="str">
            <v>HEIDY LORENA PRIETO AHUMADA</v>
          </cell>
        </row>
        <row r="339">
          <cell r="B339">
            <v>20104396</v>
          </cell>
          <cell r="U339" t="str">
            <v>IVONNE JINETH RODRIGUEZ ROJAS</v>
          </cell>
        </row>
        <row r="340">
          <cell r="B340">
            <v>20104397</v>
          </cell>
          <cell r="U340" t="str">
            <v>NELSON JAVIER MORERA RINCON</v>
          </cell>
        </row>
        <row r="341">
          <cell r="B341">
            <v>20104398</v>
          </cell>
          <cell r="U341" t="str">
            <v>PAOLA ANDREA CALDERON CETINA</v>
          </cell>
        </row>
        <row r="342">
          <cell r="B342">
            <v>20104399</v>
          </cell>
          <cell r="U342" t="str">
            <v>MARSHIA MILENA JIMéNEZ GóMEZ</v>
          </cell>
        </row>
        <row r="343">
          <cell r="B343">
            <v>20104400</v>
          </cell>
          <cell r="U343" t="str">
            <v>NELSON JAVIER MORERA RINCON</v>
          </cell>
        </row>
        <row r="344">
          <cell r="B344">
            <v>20104404</v>
          </cell>
          <cell r="U344" t="str">
            <v>IVONNE JINETH RODRIGUEZ ROJAS</v>
          </cell>
        </row>
        <row r="345">
          <cell r="B345">
            <v>20104406</v>
          </cell>
          <cell r="U345" t="str">
            <v>MARSHIA MILENA JIMéNEZ GóMEZ</v>
          </cell>
        </row>
        <row r="346">
          <cell r="B346">
            <v>20104411</v>
          </cell>
          <cell r="U346" t="str">
            <v>FABIAN CONCHA</v>
          </cell>
        </row>
        <row r="347">
          <cell r="B347">
            <v>20104414</v>
          </cell>
          <cell r="U347" t="str">
            <v>IVONNE JINETH RODRIGUEZ ROJAS</v>
          </cell>
        </row>
        <row r="348">
          <cell r="B348">
            <v>20104419</v>
          </cell>
          <cell r="U348" t="str">
            <v>HEIDY LORENA PRIETO AHUMADA</v>
          </cell>
        </row>
        <row r="349">
          <cell r="B349">
            <v>20104423</v>
          </cell>
          <cell r="U349" t="str">
            <v>GINA PAOLA MEDINA FLOREZ</v>
          </cell>
        </row>
        <row r="350">
          <cell r="B350">
            <v>20104430</v>
          </cell>
          <cell r="U350" t="str">
            <v>HEIDY LORENA PRIETO AHUMADA</v>
          </cell>
        </row>
        <row r="351">
          <cell r="B351">
            <v>20104438</v>
          </cell>
          <cell r="U351" t="str">
            <v>HEIDY LORENA PRIETO AHUMADA</v>
          </cell>
        </row>
        <row r="352">
          <cell r="B352">
            <v>20104441</v>
          </cell>
          <cell r="U352" t="str">
            <v>IVONNE JINETH RODRIGUEZ ROJAS</v>
          </cell>
        </row>
        <row r="353">
          <cell r="B353">
            <v>20104442</v>
          </cell>
          <cell r="U353" t="str">
            <v>NELSON JAVIER MORERA RINCON</v>
          </cell>
        </row>
        <row r="354">
          <cell r="B354">
            <v>20104445</v>
          </cell>
          <cell r="U354" t="str">
            <v>GINA PAOLA MEDINA FLOREZ</v>
          </cell>
        </row>
        <row r="355">
          <cell r="B355">
            <v>20104466</v>
          </cell>
          <cell r="U355" t="str">
            <v>MARSHIA MILENA JIMéNEZ GóMEZ</v>
          </cell>
        </row>
        <row r="356">
          <cell r="B356">
            <v>20104472</v>
          </cell>
          <cell r="U356" t="str">
            <v>IVONNE JINETH RODRIGUEZ ROJAS</v>
          </cell>
        </row>
        <row r="357">
          <cell r="B357">
            <v>20104474</v>
          </cell>
          <cell r="U357" t="str">
            <v>JAVIER ORLANDO HERNANDEZ RIVERA</v>
          </cell>
        </row>
        <row r="358">
          <cell r="B358">
            <v>20104476</v>
          </cell>
          <cell r="U358" t="str">
            <v>MARSHIA MILENA JIMéNEZ GóMEZ</v>
          </cell>
        </row>
        <row r="359">
          <cell r="B359">
            <v>20104483</v>
          </cell>
          <cell r="U359" t="str">
            <v>IVONNE JINETH RODRIGUEZ ROJAS</v>
          </cell>
        </row>
        <row r="360">
          <cell r="B360">
            <v>20104486</v>
          </cell>
          <cell r="U360" t="str">
            <v>GINA PAOLA MEDINA FLOREZ</v>
          </cell>
        </row>
        <row r="361">
          <cell r="B361">
            <v>20104487</v>
          </cell>
          <cell r="U361" t="str">
            <v>MARSHIA MILENA JIMéNEZ GóMEZ</v>
          </cell>
        </row>
        <row r="362">
          <cell r="B362">
            <v>20104493</v>
          </cell>
          <cell r="U362" t="str">
            <v>MARSHIA MILENA JIMéNEZ GóMEZ</v>
          </cell>
        </row>
        <row r="363">
          <cell r="B363">
            <v>20104504</v>
          </cell>
          <cell r="U363" t="str">
            <v>FABIAN CONCHA</v>
          </cell>
        </row>
        <row r="364">
          <cell r="B364">
            <v>20104509</v>
          </cell>
          <cell r="U364" t="str">
            <v>MARSHIA MILENA JIMéNEZ GóMEZ</v>
          </cell>
        </row>
        <row r="365">
          <cell r="B365">
            <v>20104513</v>
          </cell>
          <cell r="U365" t="str">
            <v>IVONNE JINETH RODRIGUEZ ROJAS</v>
          </cell>
        </row>
        <row r="366">
          <cell r="B366">
            <v>20104514</v>
          </cell>
          <cell r="U366" t="str">
            <v>IVONNE JINETH RODRIGUEZ ROJAS</v>
          </cell>
        </row>
        <row r="367">
          <cell r="B367">
            <v>20104520</v>
          </cell>
          <cell r="U367" t="str">
            <v>MARSHIA MILENA JIMéNEZ GóMEZ</v>
          </cell>
        </row>
        <row r="368">
          <cell r="B368">
            <v>20104522</v>
          </cell>
          <cell r="U368" t="str">
            <v>JEISSON FABIAN MOLINA CIRO</v>
          </cell>
        </row>
        <row r="369">
          <cell r="B369">
            <v>20104523</v>
          </cell>
          <cell r="U369" t="str">
            <v>NELSON JAVIER MORERA RINCON</v>
          </cell>
        </row>
        <row r="370">
          <cell r="B370">
            <v>20104525</v>
          </cell>
          <cell r="U370" t="str">
            <v>NELSON JAVIER MORERA RINCON</v>
          </cell>
        </row>
        <row r="371">
          <cell r="B371">
            <v>20104532</v>
          </cell>
          <cell r="U371" t="str">
            <v>IVONNE JINETH RODRIGUEZ ROJAS</v>
          </cell>
        </row>
        <row r="372">
          <cell r="B372">
            <v>20104538</v>
          </cell>
          <cell r="U372" t="str">
            <v>NELSON JAVIER MORERA RINCON</v>
          </cell>
        </row>
        <row r="373">
          <cell r="B373">
            <v>20104541</v>
          </cell>
          <cell r="U373" t="str">
            <v>IVONNE JINETH RODRIGUEZ ROJAS</v>
          </cell>
        </row>
        <row r="374">
          <cell r="B374">
            <v>20104557</v>
          </cell>
          <cell r="U374" t="str">
            <v>FABIAN CONCHA</v>
          </cell>
        </row>
        <row r="375">
          <cell r="B375">
            <v>20104567</v>
          </cell>
          <cell r="U375" t="str">
            <v>NELSON JAVIER MORERA RINCON</v>
          </cell>
        </row>
        <row r="376">
          <cell r="B376">
            <v>20104568</v>
          </cell>
          <cell r="U376" t="str">
            <v>NELSON JAVIER MORERA RINCON</v>
          </cell>
        </row>
        <row r="377">
          <cell r="B377">
            <v>20104569</v>
          </cell>
          <cell r="U377" t="str">
            <v>FABIAN CONCHA</v>
          </cell>
        </row>
        <row r="378">
          <cell r="B378">
            <v>20104579</v>
          </cell>
          <cell r="U378" t="str">
            <v>JOVANNY ALEXANDER BENAVIDES APRAEZ</v>
          </cell>
        </row>
        <row r="379">
          <cell r="B379">
            <v>20104584</v>
          </cell>
          <cell r="U379" t="str">
            <v>JEISSON FABIAN MOLINA CIRO</v>
          </cell>
        </row>
        <row r="380">
          <cell r="B380">
            <v>20104585</v>
          </cell>
          <cell r="U380" t="str">
            <v>IVONNE JINETH RODRIGUEZ ROJAS</v>
          </cell>
        </row>
        <row r="381">
          <cell r="B381">
            <v>20104588</v>
          </cell>
          <cell r="U381" t="str">
            <v>IVONNE JINETH RODRIGUEZ ROJAS</v>
          </cell>
        </row>
        <row r="382">
          <cell r="B382">
            <v>20104610</v>
          </cell>
          <cell r="U382" t="str">
            <v>FABIAN CONCHA</v>
          </cell>
        </row>
        <row r="383">
          <cell r="B383">
            <v>20104618</v>
          </cell>
          <cell r="U383" t="str">
            <v>IVONNE JINETH RODRIGUEZ ROJAS</v>
          </cell>
        </row>
        <row r="384">
          <cell r="B384">
            <v>20104620</v>
          </cell>
          <cell r="U384" t="str">
            <v>MARSHIA MILENA JIMéNEZ GóMEZ</v>
          </cell>
        </row>
        <row r="385">
          <cell r="B385">
            <v>20104621</v>
          </cell>
          <cell r="U385" t="str">
            <v>FABIAN CONCHA</v>
          </cell>
        </row>
        <row r="386">
          <cell r="B386">
            <v>20104624</v>
          </cell>
          <cell r="U386" t="str">
            <v>NELSON JAVIER MORERA RINCON</v>
          </cell>
        </row>
        <row r="387">
          <cell r="B387">
            <v>20104636</v>
          </cell>
          <cell r="U387" t="str">
            <v>HEIDY LORENA PRIETO AHUMADA</v>
          </cell>
        </row>
        <row r="388">
          <cell r="B388">
            <v>20104637</v>
          </cell>
          <cell r="U388" t="str">
            <v>PAOLA ANDREA CALDERON CETINA</v>
          </cell>
        </row>
        <row r="389">
          <cell r="B389">
            <v>20104642</v>
          </cell>
          <cell r="U389" t="str">
            <v>NELSON JAVIER MORERA RINCON</v>
          </cell>
        </row>
        <row r="390">
          <cell r="B390">
            <v>20104643</v>
          </cell>
          <cell r="U390" t="str">
            <v>IVONNE JINETH RODRIGUEZ ROJAS</v>
          </cell>
        </row>
        <row r="391">
          <cell r="B391">
            <v>20104647</v>
          </cell>
          <cell r="U391" t="str">
            <v>JEISSON FABIAN MOLINA CIRO</v>
          </cell>
        </row>
        <row r="392">
          <cell r="B392">
            <v>20104650</v>
          </cell>
          <cell r="U392" t="str">
            <v>IVONNE JINETH RODRIGUEZ ROJAS</v>
          </cell>
        </row>
        <row r="393">
          <cell r="B393">
            <v>20104665</v>
          </cell>
          <cell r="U393" t="str">
            <v>NELSON JAVIER MORERA RINCON</v>
          </cell>
        </row>
        <row r="394">
          <cell r="B394">
            <v>20104673</v>
          </cell>
          <cell r="U394" t="str">
            <v>GINA PAOLA MEDINA FLOREZ</v>
          </cell>
        </row>
        <row r="395">
          <cell r="B395">
            <v>20104674</v>
          </cell>
          <cell r="U395" t="str">
            <v>FABIAN CONCHA</v>
          </cell>
        </row>
        <row r="396">
          <cell r="B396">
            <v>20104681</v>
          </cell>
          <cell r="U396" t="str">
            <v>NELSON JAVIER MORERA RINCON</v>
          </cell>
        </row>
        <row r="397">
          <cell r="B397">
            <v>20104684</v>
          </cell>
          <cell r="U397" t="str">
            <v>NELSON JAVIER MORERA RINCON</v>
          </cell>
        </row>
        <row r="398">
          <cell r="B398">
            <v>20104685</v>
          </cell>
          <cell r="U398" t="str">
            <v>JAVIER ORLANDO HERNANDEZ RIVERA</v>
          </cell>
        </row>
        <row r="399">
          <cell r="B399">
            <v>20104687</v>
          </cell>
          <cell r="U399" t="str">
            <v>HEIDY LORENA PRIETO AHUMADA</v>
          </cell>
        </row>
        <row r="400">
          <cell r="B400">
            <v>20104691</v>
          </cell>
          <cell r="U400" t="str">
            <v>IVONNE JINETH RODRIGUEZ ROJAS</v>
          </cell>
        </row>
        <row r="401">
          <cell r="B401">
            <v>20104695</v>
          </cell>
          <cell r="U401" t="str">
            <v>JAVIER ORLANDO HERNANDEZ RIVERA</v>
          </cell>
        </row>
        <row r="402">
          <cell r="B402">
            <v>20104699</v>
          </cell>
          <cell r="U402" t="str">
            <v>ANGIE LIZETH GARZON GARCIA</v>
          </cell>
        </row>
        <row r="403">
          <cell r="B403">
            <v>20104702</v>
          </cell>
          <cell r="U403" t="str">
            <v>NELSON JAVIER MORERA RINCON</v>
          </cell>
        </row>
        <row r="404">
          <cell r="B404">
            <v>20104703</v>
          </cell>
          <cell r="U404" t="str">
            <v>JAVIER ORLANDO HERNANDEZ RIVERA</v>
          </cell>
        </row>
        <row r="405">
          <cell r="B405">
            <v>20104707</v>
          </cell>
          <cell r="U405" t="str">
            <v>IVONNE JINETH RODRIGUEZ ROJAS</v>
          </cell>
        </row>
        <row r="406">
          <cell r="B406">
            <v>20104708</v>
          </cell>
          <cell r="U406" t="str">
            <v>FABIAN CONCHA</v>
          </cell>
        </row>
        <row r="407">
          <cell r="B407">
            <v>20104709</v>
          </cell>
          <cell r="U407" t="str">
            <v>NELSON JAVIER MORERA RINCON</v>
          </cell>
        </row>
        <row r="408">
          <cell r="B408">
            <v>20104713</v>
          </cell>
          <cell r="U408" t="str">
            <v>MARSHIA MILENA JIMéNEZ GóMEZ</v>
          </cell>
        </row>
        <row r="409">
          <cell r="B409">
            <v>20104714</v>
          </cell>
          <cell r="U409" t="str">
            <v>HEIDY LORENA PRIETO AHUMADA</v>
          </cell>
        </row>
        <row r="410">
          <cell r="B410">
            <v>20104715</v>
          </cell>
          <cell r="U410" t="str">
            <v>CATALINA PACHECO BURGOS</v>
          </cell>
        </row>
        <row r="411">
          <cell r="B411">
            <v>20104722</v>
          </cell>
          <cell r="U411" t="str">
            <v>JOVANNY ALEXANDER BENAVIDES APRAEZ</v>
          </cell>
        </row>
        <row r="412">
          <cell r="B412">
            <v>20104729</v>
          </cell>
          <cell r="U412" t="str">
            <v>JEISSON FABIAN MOLINA CIRO</v>
          </cell>
        </row>
        <row r="413">
          <cell r="B413">
            <v>20104732</v>
          </cell>
          <cell r="U413" t="str">
            <v>IVONNE JINETH RODRIGUEZ ROJAS</v>
          </cell>
        </row>
        <row r="414">
          <cell r="B414">
            <v>20104733</v>
          </cell>
          <cell r="U414" t="str">
            <v>ANGIE LIZETH GARZON GARCIA</v>
          </cell>
        </row>
        <row r="415">
          <cell r="B415">
            <v>20104736</v>
          </cell>
          <cell r="U415" t="str">
            <v>IVONNE JINETH RODRIGUEZ ROJAS</v>
          </cell>
        </row>
        <row r="416">
          <cell r="B416">
            <v>20104738</v>
          </cell>
          <cell r="U416" t="str">
            <v>FABIAN CONCHA</v>
          </cell>
        </row>
        <row r="417">
          <cell r="B417">
            <v>20104741</v>
          </cell>
          <cell r="U417" t="str">
            <v>HEIDY LORENA PRIETO AHUMADA</v>
          </cell>
        </row>
        <row r="418">
          <cell r="B418">
            <v>20104742</v>
          </cell>
          <cell r="U418" t="str">
            <v>JOVANNY ALEXANDER BENAVIDES APRAEZ</v>
          </cell>
        </row>
        <row r="419">
          <cell r="B419">
            <v>20104745</v>
          </cell>
          <cell r="U419" t="str">
            <v>GINA PAOLA MEDINA FLOREZ</v>
          </cell>
        </row>
        <row r="420">
          <cell r="B420">
            <v>20104747</v>
          </cell>
          <cell r="U420" t="str">
            <v>PAOLA ANDREA CALDERON CETINA</v>
          </cell>
        </row>
        <row r="421">
          <cell r="B421">
            <v>20104749</v>
          </cell>
          <cell r="U421" t="str">
            <v>JEISSON FABIAN MOLINA CIRO</v>
          </cell>
        </row>
        <row r="422">
          <cell r="B422">
            <v>20104754</v>
          </cell>
          <cell r="U422" t="str">
            <v>NELSON JAVIER MORERA RINCON</v>
          </cell>
        </row>
        <row r="423">
          <cell r="B423">
            <v>20104757</v>
          </cell>
          <cell r="U423" t="str">
            <v>NELSON JAVIER MORERA RINCON</v>
          </cell>
        </row>
        <row r="424">
          <cell r="B424">
            <v>20104759</v>
          </cell>
          <cell r="U424" t="str">
            <v>HEIDY LORENA PRIETO AHUMADA</v>
          </cell>
        </row>
        <row r="425">
          <cell r="B425">
            <v>20104761</v>
          </cell>
          <cell r="U425" t="str">
            <v>JAVIER ORLANDO HERNANDEZ RIVERA</v>
          </cell>
        </row>
        <row r="426">
          <cell r="B426">
            <v>20104763</v>
          </cell>
          <cell r="U426" t="str">
            <v>CATALINA PACHECO BURGOS</v>
          </cell>
        </row>
        <row r="427">
          <cell r="B427">
            <v>20104764</v>
          </cell>
          <cell r="U427" t="str">
            <v>IVONNE JINETH RODRIGUEZ ROJAS</v>
          </cell>
        </row>
        <row r="428">
          <cell r="B428">
            <v>20104765</v>
          </cell>
          <cell r="U428" t="str">
            <v>GINA PAOLA MEDINA FLOREZ</v>
          </cell>
        </row>
        <row r="429">
          <cell r="B429">
            <v>20104779</v>
          </cell>
          <cell r="U429" t="str">
            <v>FABIAN CONCHA</v>
          </cell>
        </row>
        <row r="430">
          <cell r="B430">
            <v>20104781</v>
          </cell>
          <cell r="U430" t="str">
            <v>HEIDY LORENA PRIETO AHUMADA</v>
          </cell>
        </row>
        <row r="431">
          <cell r="B431">
            <v>20104783</v>
          </cell>
          <cell r="U431" t="str">
            <v>MARSHIA MILENA JIMéNEZ GóMEZ</v>
          </cell>
        </row>
        <row r="432">
          <cell r="B432">
            <v>20104787</v>
          </cell>
          <cell r="U432" t="str">
            <v>JOHAN SEBASTIAN PARDEYN AGUILAR</v>
          </cell>
        </row>
        <row r="433">
          <cell r="B433">
            <v>20104789</v>
          </cell>
          <cell r="U433" t="str">
            <v>IVONNE JINETH RODRIGUEZ ROJAS</v>
          </cell>
        </row>
        <row r="434">
          <cell r="B434">
            <v>20104791</v>
          </cell>
          <cell r="U434" t="str">
            <v>JOVANNY ALEXANDER BENAVIDES APRAEZ</v>
          </cell>
        </row>
        <row r="435">
          <cell r="B435">
            <v>20104792</v>
          </cell>
          <cell r="U435" t="str">
            <v>FABIAN CONCHA</v>
          </cell>
        </row>
        <row r="436">
          <cell r="B436">
            <v>20104801</v>
          </cell>
          <cell r="U436" t="str">
            <v>IVONNE JINETH RODRIGUEZ ROJAS</v>
          </cell>
        </row>
        <row r="437">
          <cell r="B437">
            <v>20104806</v>
          </cell>
          <cell r="U437" t="str">
            <v>CATALINA PACHECO BURGOS</v>
          </cell>
        </row>
        <row r="438">
          <cell r="B438">
            <v>20104813</v>
          </cell>
          <cell r="U438" t="str">
            <v>HEIDY LORENA PRIETO AHUMADA</v>
          </cell>
        </row>
        <row r="439">
          <cell r="B439">
            <v>20104817</v>
          </cell>
          <cell r="U439" t="str">
            <v>HEIDY LORENA PRIETO AHUMADA</v>
          </cell>
        </row>
        <row r="440">
          <cell r="B440">
            <v>20104819</v>
          </cell>
          <cell r="U440" t="str">
            <v>JEISSON FABIAN MOLINA CIRO</v>
          </cell>
        </row>
        <row r="441">
          <cell r="B441">
            <v>20104823</v>
          </cell>
          <cell r="U441" t="str">
            <v>JAVIER ORLANDO HERNANDEZ RIVERA</v>
          </cell>
        </row>
        <row r="442">
          <cell r="B442">
            <v>20104824</v>
          </cell>
          <cell r="U442" t="str">
            <v>CATALINA PACHECO BURGOS</v>
          </cell>
        </row>
        <row r="443">
          <cell r="B443">
            <v>20104827</v>
          </cell>
          <cell r="U443" t="str">
            <v>PAOLA ANDREA CALDERON CETINA</v>
          </cell>
        </row>
        <row r="444">
          <cell r="B444">
            <v>20104830</v>
          </cell>
          <cell r="U444" t="str">
            <v>NELSON JAVIER MORERA RINCON</v>
          </cell>
        </row>
        <row r="445">
          <cell r="B445">
            <v>20104832</v>
          </cell>
          <cell r="U445" t="str">
            <v>ANGIE LIZETH GARZON GARCIA</v>
          </cell>
        </row>
        <row r="446">
          <cell r="B446">
            <v>20104835</v>
          </cell>
          <cell r="U446" t="str">
            <v>CATALINA PACHECO BURGOS</v>
          </cell>
        </row>
        <row r="447">
          <cell r="B447">
            <v>20104839</v>
          </cell>
          <cell r="U447" t="str">
            <v>CATALINA PACHECO BURGOS</v>
          </cell>
        </row>
        <row r="448">
          <cell r="B448">
            <v>20104842</v>
          </cell>
          <cell r="U448" t="str">
            <v>NELSON JAVIER MORERA RINCON</v>
          </cell>
        </row>
        <row r="449">
          <cell r="B449">
            <v>20104846</v>
          </cell>
          <cell r="U449" t="str">
            <v>GINA PAOLA MEDINA FLOREZ</v>
          </cell>
        </row>
        <row r="450">
          <cell r="B450">
            <v>20104849</v>
          </cell>
          <cell r="U450" t="str">
            <v>GINA PAOLA MEDINA FLOREZ</v>
          </cell>
        </row>
        <row r="451">
          <cell r="B451">
            <v>20104861</v>
          </cell>
          <cell r="U451" t="str">
            <v>FABIAN CONCHA</v>
          </cell>
        </row>
        <row r="452">
          <cell r="B452">
            <v>20104863</v>
          </cell>
          <cell r="U452" t="str">
            <v>CATALINA PACHECO BURGOS</v>
          </cell>
        </row>
        <row r="453">
          <cell r="B453">
            <v>20104864</v>
          </cell>
          <cell r="U453" t="str">
            <v>HEIDY LORENA PRIETO AHUMADA</v>
          </cell>
        </row>
        <row r="454">
          <cell r="B454">
            <v>20104866</v>
          </cell>
          <cell r="U454" t="str">
            <v>JEISSON FABIAN MOLINA CIRO</v>
          </cell>
        </row>
        <row r="455">
          <cell r="B455">
            <v>20104869</v>
          </cell>
          <cell r="U455" t="str">
            <v>HEIDY LORENA PRIETO AHUMADA</v>
          </cell>
        </row>
        <row r="456">
          <cell r="B456">
            <v>20104872</v>
          </cell>
          <cell r="U456" t="str">
            <v>NELSON JAVIER MORERA RINCON</v>
          </cell>
        </row>
        <row r="457">
          <cell r="B457">
            <v>20104873</v>
          </cell>
          <cell r="U457" t="str">
            <v>HEIDY LORENA PRIETO AHUMADA</v>
          </cell>
        </row>
        <row r="458">
          <cell r="B458">
            <v>20104878</v>
          </cell>
          <cell r="U458" t="str">
            <v>JEISSON FABIAN MOLINA CIRO</v>
          </cell>
        </row>
        <row r="459">
          <cell r="B459">
            <v>20104882</v>
          </cell>
          <cell r="U459" t="str">
            <v>NELSON JAVIER MORERA RINCON</v>
          </cell>
        </row>
        <row r="460">
          <cell r="B460">
            <v>20104884</v>
          </cell>
          <cell r="U460" t="str">
            <v>PAOLA ANDREA CALDERON CETINA</v>
          </cell>
        </row>
        <row r="461">
          <cell r="B461">
            <v>20104885</v>
          </cell>
          <cell r="U461" t="str">
            <v>PAOLA ANDREA CALDERON CETINA</v>
          </cell>
        </row>
        <row r="462">
          <cell r="B462">
            <v>20104888</v>
          </cell>
          <cell r="U462" t="str">
            <v>NELSON JAVIER MORERA RINCON</v>
          </cell>
        </row>
        <row r="463">
          <cell r="B463">
            <v>20104893</v>
          </cell>
          <cell r="U463" t="str">
            <v>ANGIE LIZETH GARZON GARCIA</v>
          </cell>
        </row>
        <row r="464">
          <cell r="B464">
            <v>20104895</v>
          </cell>
          <cell r="U464" t="str">
            <v>NELSON JAVIER MORERA RINCON</v>
          </cell>
        </row>
        <row r="465">
          <cell r="B465">
            <v>20104905</v>
          </cell>
          <cell r="U465" t="str">
            <v>JAVIER ORLANDO HERNANDEZ RIVERA</v>
          </cell>
        </row>
        <row r="466">
          <cell r="B466">
            <v>20104909</v>
          </cell>
          <cell r="U466" t="str">
            <v>JAVIER ORLANDO HERNANDEZ RIVERA</v>
          </cell>
        </row>
        <row r="467">
          <cell r="B467">
            <v>20104911</v>
          </cell>
          <cell r="U467" t="str">
            <v>NELSON JAVIER MORERA RINCON</v>
          </cell>
        </row>
        <row r="468">
          <cell r="B468">
            <v>20104913</v>
          </cell>
          <cell r="U468" t="str">
            <v>PAOLA ANDREA CALDERON CETINA</v>
          </cell>
        </row>
        <row r="469">
          <cell r="B469">
            <v>20104922</v>
          </cell>
          <cell r="U469" t="str">
            <v>NELSON JAVIER MORERA RINCON</v>
          </cell>
        </row>
        <row r="470">
          <cell r="B470">
            <v>20104923</v>
          </cell>
          <cell r="U470" t="str">
            <v>CATALINA PACHECO BURGOS</v>
          </cell>
        </row>
        <row r="471">
          <cell r="B471">
            <v>20104926</v>
          </cell>
          <cell r="U471" t="str">
            <v>CATALINA PACHECO BURGOS</v>
          </cell>
        </row>
        <row r="472">
          <cell r="B472">
            <v>20104933</v>
          </cell>
          <cell r="U472" t="str">
            <v>FABIAN CONCHA</v>
          </cell>
        </row>
        <row r="473">
          <cell r="B473">
            <v>20104934</v>
          </cell>
          <cell r="U473" t="str">
            <v>HEIDY LORENA PRIETO AHUMADA</v>
          </cell>
        </row>
        <row r="474">
          <cell r="B474">
            <v>20104936</v>
          </cell>
          <cell r="U474" t="str">
            <v>JEISSON FABIAN MOLINA CIRO</v>
          </cell>
        </row>
        <row r="475">
          <cell r="B475">
            <v>20104938</v>
          </cell>
          <cell r="U475" t="str">
            <v>PAOLA ANDREA CALDERON CETINA</v>
          </cell>
        </row>
        <row r="476">
          <cell r="B476">
            <v>20104941</v>
          </cell>
          <cell r="U476" t="e">
            <v>#N/A</v>
          </cell>
        </row>
        <row r="477">
          <cell r="B477">
            <v>20104950</v>
          </cell>
          <cell r="U477" t="str">
            <v>GINA PAOLA MEDINA FLOREZ</v>
          </cell>
        </row>
        <row r="478">
          <cell r="B478">
            <v>20104953</v>
          </cell>
          <cell r="U478" t="str">
            <v>NELSON JAVIER MORERA RINCON</v>
          </cell>
        </row>
        <row r="479">
          <cell r="B479">
            <v>20104955</v>
          </cell>
          <cell r="U479" t="str">
            <v>HEIDY LORENA PRIETO AHUMADA</v>
          </cell>
        </row>
        <row r="480">
          <cell r="B480">
            <v>20104960</v>
          </cell>
          <cell r="U480" t="str">
            <v>NELSON JAVIER MORERA RINCON</v>
          </cell>
        </row>
        <row r="481">
          <cell r="B481">
            <v>20104961</v>
          </cell>
          <cell r="U481" t="str">
            <v>CATALINA PACHECO BURGOS</v>
          </cell>
        </row>
        <row r="482">
          <cell r="B482">
            <v>20104965</v>
          </cell>
          <cell r="U482" t="str">
            <v>IVONNE JINETH RODRIGUEZ ROJAS</v>
          </cell>
        </row>
        <row r="483">
          <cell r="B483">
            <v>20104967</v>
          </cell>
          <cell r="U483" t="str">
            <v>JEISSON FABIAN MOLINA CIRO</v>
          </cell>
        </row>
        <row r="484">
          <cell r="B484">
            <v>20104969</v>
          </cell>
          <cell r="U484" t="str">
            <v>FABIAN CONCHA</v>
          </cell>
        </row>
        <row r="485">
          <cell r="B485">
            <v>20104975</v>
          </cell>
          <cell r="U485" t="str">
            <v>JEISSON FABIAN MOLINA CIRO</v>
          </cell>
        </row>
        <row r="486">
          <cell r="B486">
            <v>20104979</v>
          </cell>
          <cell r="U486" t="str">
            <v>IVONNE JINETH RODRIGUEZ ROJAS</v>
          </cell>
        </row>
        <row r="487">
          <cell r="B487">
            <v>20104980</v>
          </cell>
          <cell r="U487" t="str">
            <v>FABIAN CONCHA</v>
          </cell>
        </row>
        <row r="488">
          <cell r="B488">
            <v>20104983</v>
          </cell>
          <cell r="U488" t="str">
            <v>JEISSON FABIAN MOLINA CIRO</v>
          </cell>
        </row>
        <row r="489">
          <cell r="B489">
            <v>20104984</v>
          </cell>
          <cell r="U489" t="str">
            <v>GINA PAOLA MEDINA FLOREZ</v>
          </cell>
        </row>
        <row r="490">
          <cell r="B490">
            <v>20104994</v>
          </cell>
          <cell r="U490" t="str">
            <v>NELSON JAVIER MORERA RINCON</v>
          </cell>
        </row>
        <row r="491">
          <cell r="B491">
            <v>20104995</v>
          </cell>
          <cell r="U491" t="str">
            <v>NELSON JAVIER MORERA RINCON</v>
          </cell>
        </row>
        <row r="492">
          <cell r="B492">
            <v>20104996</v>
          </cell>
          <cell r="U492" t="str">
            <v>GINA PAOLA MEDINA FLOREZ</v>
          </cell>
        </row>
        <row r="493">
          <cell r="B493">
            <v>20105006</v>
          </cell>
          <cell r="U493" t="str">
            <v>GINA PAOLA MEDINA FLOREZ</v>
          </cell>
        </row>
        <row r="494">
          <cell r="B494">
            <v>20105008</v>
          </cell>
          <cell r="U494" t="str">
            <v>MARSHIA MILENA JIMéNEZ GóMEZ</v>
          </cell>
        </row>
        <row r="495">
          <cell r="B495">
            <v>20105010</v>
          </cell>
          <cell r="U495" t="str">
            <v>JAVIER ORLANDO HERNANDEZ RIVERA</v>
          </cell>
        </row>
        <row r="496">
          <cell r="B496">
            <v>20105012</v>
          </cell>
          <cell r="U496" t="str">
            <v>NELSON JAVIER MORERA RINCON</v>
          </cell>
        </row>
        <row r="497">
          <cell r="B497">
            <v>20105020</v>
          </cell>
          <cell r="U497" t="str">
            <v>MARSHIA MILENA JIMéNEZ GóMEZ</v>
          </cell>
        </row>
        <row r="498">
          <cell r="B498">
            <v>20105021</v>
          </cell>
          <cell r="U498" t="str">
            <v>JEISSON FABIAN MOLINA CIRO</v>
          </cell>
        </row>
        <row r="499">
          <cell r="B499">
            <v>20105025</v>
          </cell>
          <cell r="U499" t="str">
            <v>JAVIER ORLANDO HERNANDEZ RIVERA</v>
          </cell>
        </row>
        <row r="500">
          <cell r="B500">
            <v>20105026</v>
          </cell>
          <cell r="U500" t="str">
            <v>HEIDY LORENA PRIETO AHUMADA</v>
          </cell>
        </row>
        <row r="501">
          <cell r="B501">
            <v>20105029</v>
          </cell>
          <cell r="U501" t="str">
            <v>ANGIE LIZETH GARZON GARCIA</v>
          </cell>
        </row>
        <row r="502">
          <cell r="B502">
            <v>20105030</v>
          </cell>
          <cell r="U502" t="str">
            <v>HEIDY LORENA PRIETO AHUMADA</v>
          </cell>
        </row>
        <row r="503">
          <cell r="B503">
            <v>20105035</v>
          </cell>
          <cell r="U503" t="str">
            <v>HEIDY LORENA PRIETO AHUMADA</v>
          </cell>
        </row>
        <row r="504">
          <cell r="B504">
            <v>20105037</v>
          </cell>
          <cell r="U504" t="str">
            <v>FABIAN CONCHA</v>
          </cell>
        </row>
        <row r="505">
          <cell r="B505">
            <v>20105040</v>
          </cell>
          <cell r="U505" t="str">
            <v>JAVIER ORLANDO HERNANDEZ RIVERA</v>
          </cell>
        </row>
        <row r="506">
          <cell r="B506">
            <v>20105041</v>
          </cell>
          <cell r="U506" t="str">
            <v>PAOLA ANDREA CALDERON CETINA</v>
          </cell>
        </row>
        <row r="507">
          <cell r="B507">
            <v>20105052</v>
          </cell>
          <cell r="U507" t="str">
            <v>GINA PAOLA MEDINA FLOREZ</v>
          </cell>
        </row>
        <row r="508">
          <cell r="B508">
            <v>20105063</v>
          </cell>
          <cell r="U508" t="str">
            <v>PAOLA ANDREA CALDERON CETINA</v>
          </cell>
        </row>
        <row r="509">
          <cell r="B509">
            <v>20105065</v>
          </cell>
          <cell r="U509" t="str">
            <v>FABIAN CONCHA</v>
          </cell>
        </row>
        <row r="510">
          <cell r="B510">
            <v>20105069</v>
          </cell>
          <cell r="U510" t="str">
            <v>IVONNE JINETH RODRIGUEZ ROJAS</v>
          </cell>
        </row>
        <row r="511">
          <cell r="B511">
            <v>20105072</v>
          </cell>
          <cell r="U511" t="str">
            <v>GINA PAOLA MEDINA FLOREZ</v>
          </cell>
        </row>
        <row r="512">
          <cell r="B512">
            <v>20105074</v>
          </cell>
          <cell r="U512" t="str">
            <v>GINA PAOLA MEDINA FLOREZ</v>
          </cell>
        </row>
        <row r="513">
          <cell r="B513">
            <v>20105076</v>
          </cell>
          <cell r="U513" t="str">
            <v>NELSON JAVIER MORERA RINCON</v>
          </cell>
        </row>
        <row r="514">
          <cell r="B514">
            <v>20105078</v>
          </cell>
          <cell r="U514" t="str">
            <v>JOVANNY ALEXANDER BENAVIDES APRAEZ</v>
          </cell>
        </row>
        <row r="515">
          <cell r="B515">
            <v>20105079</v>
          </cell>
          <cell r="U515" t="str">
            <v>HEIDY LORENA PRIETO AHUMADA</v>
          </cell>
        </row>
        <row r="516">
          <cell r="B516">
            <v>20105088</v>
          </cell>
          <cell r="U516" t="str">
            <v>HEIDY LORENA PRIETO AHUMADA</v>
          </cell>
        </row>
        <row r="517">
          <cell r="B517">
            <v>20105091</v>
          </cell>
          <cell r="U517" t="str">
            <v>JEISSON FABIAN MOLINA CIRO</v>
          </cell>
        </row>
        <row r="518">
          <cell r="B518">
            <v>20105092</v>
          </cell>
          <cell r="U518" t="str">
            <v>FABIAN CONCHA</v>
          </cell>
        </row>
        <row r="519">
          <cell r="B519">
            <v>20105095</v>
          </cell>
          <cell r="U519" t="str">
            <v>FABIAN CONCHA</v>
          </cell>
        </row>
        <row r="520">
          <cell r="B520">
            <v>20105096</v>
          </cell>
          <cell r="U520" t="str">
            <v>FABIAN CONCHA</v>
          </cell>
        </row>
        <row r="521">
          <cell r="B521">
            <v>20105097</v>
          </cell>
          <cell r="U521" t="str">
            <v>FABIAN CONCHA</v>
          </cell>
        </row>
        <row r="522">
          <cell r="B522">
            <v>20105099</v>
          </cell>
          <cell r="U522" t="str">
            <v>IVONNE JINETH RODRIGUEZ ROJAS</v>
          </cell>
        </row>
        <row r="523">
          <cell r="B523">
            <v>20105102</v>
          </cell>
          <cell r="U523" t="str">
            <v>FABIAN CONCHA</v>
          </cell>
        </row>
        <row r="524">
          <cell r="B524">
            <v>20105108</v>
          </cell>
          <cell r="U524" t="str">
            <v>FABIAN CONCHA</v>
          </cell>
        </row>
        <row r="525">
          <cell r="B525">
            <v>20105117</v>
          </cell>
          <cell r="U525" t="str">
            <v>CATALINA PACHECO BURGOS</v>
          </cell>
        </row>
        <row r="526">
          <cell r="B526">
            <v>20105118</v>
          </cell>
          <cell r="U526" t="str">
            <v>JEISSON FABIAN MOLINA CIRO</v>
          </cell>
        </row>
        <row r="527">
          <cell r="B527">
            <v>20105120</v>
          </cell>
          <cell r="U527" t="str">
            <v>PAOLA ANDREA CALDERON CETINA</v>
          </cell>
        </row>
        <row r="528">
          <cell r="B528">
            <v>20105124</v>
          </cell>
          <cell r="U528" t="str">
            <v>PAOLA ANDREA CALDERON CETINA</v>
          </cell>
        </row>
        <row r="529">
          <cell r="B529">
            <v>20105131</v>
          </cell>
          <cell r="U529" t="str">
            <v>HEIDY LORENA PRIETO AHUMADA</v>
          </cell>
        </row>
        <row r="530">
          <cell r="B530">
            <v>20105136</v>
          </cell>
          <cell r="U530" t="str">
            <v>NELSON JAVIER MORERA RINCON</v>
          </cell>
        </row>
        <row r="531">
          <cell r="B531">
            <v>20105140</v>
          </cell>
          <cell r="U531" t="str">
            <v>FABIAN CONCHA</v>
          </cell>
        </row>
        <row r="532">
          <cell r="B532">
            <v>20105143</v>
          </cell>
          <cell r="U532" t="str">
            <v>FABIAN CONCHA</v>
          </cell>
        </row>
        <row r="533">
          <cell r="B533">
            <v>20105149</v>
          </cell>
          <cell r="U533" t="str">
            <v>NELSON JAVIER MORERA RINCON</v>
          </cell>
        </row>
        <row r="534">
          <cell r="B534">
            <v>20105153</v>
          </cell>
          <cell r="U534" t="str">
            <v>FABIAN CONCHA</v>
          </cell>
        </row>
        <row r="535">
          <cell r="B535">
            <v>20105155</v>
          </cell>
          <cell r="U535" t="str">
            <v>IVONNE JINETH RODRIGUEZ ROJAS</v>
          </cell>
        </row>
        <row r="536">
          <cell r="B536">
            <v>20105156</v>
          </cell>
          <cell r="U536" t="str">
            <v>IVONNE JINETH RODRIGUEZ ROJAS</v>
          </cell>
        </row>
        <row r="537">
          <cell r="B537">
            <v>20105160</v>
          </cell>
          <cell r="U537" t="str">
            <v>NELSON JAVIER MORERA RINCON</v>
          </cell>
        </row>
        <row r="538">
          <cell r="B538">
            <v>20105175</v>
          </cell>
          <cell r="U538" t="str">
            <v>IVONNE JINETH RODRIGUEZ ROJAS</v>
          </cell>
        </row>
        <row r="539">
          <cell r="B539">
            <v>20105176</v>
          </cell>
          <cell r="U539" t="str">
            <v>IVONNE JINETH RODRIGUEZ ROJAS</v>
          </cell>
        </row>
        <row r="540">
          <cell r="B540">
            <v>20105180</v>
          </cell>
          <cell r="U540" t="str">
            <v>IVONNE JINETH RODRIGUEZ ROJAS</v>
          </cell>
        </row>
        <row r="541">
          <cell r="B541">
            <v>20105189</v>
          </cell>
          <cell r="U541" t="str">
            <v>PAOLA ANDREA CALDERON CETINA</v>
          </cell>
        </row>
        <row r="542">
          <cell r="B542">
            <v>20105191</v>
          </cell>
          <cell r="U542" t="str">
            <v>JEISSON FABIAN MOLINA CIRO</v>
          </cell>
        </row>
        <row r="543">
          <cell r="B543">
            <v>20105193</v>
          </cell>
          <cell r="U543" t="str">
            <v>HEIDY LORENA PRIETO AHUMADA</v>
          </cell>
        </row>
        <row r="544">
          <cell r="B544">
            <v>20105195</v>
          </cell>
          <cell r="U544" t="str">
            <v>GINA PAOLA MEDINA FLOREZ</v>
          </cell>
        </row>
        <row r="545">
          <cell r="B545">
            <v>20105197</v>
          </cell>
          <cell r="U545" t="str">
            <v>JEISSON FABIAN MOLINA CIRO</v>
          </cell>
        </row>
        <row r="546">
          <cell r="B546">
            <v>20105199</v>
          </cell>
          <cell r="U546" t="str">
            <v>JAVIER ORLANDO HERNANDEZ RIVERA</v>
          </cell>
        </row>
        <row r="547">
          <cell r="B547">
            <v>20105208</v>
          </cell>
          <cell r="U547" t="str">
            <v>IVONNE JINETH RODRIGUEZ ROJAS</v>
          </cell>
        </row>
        <row r="548">
          <cell r="B548">
            <v>20105215</v>
          </cell>
          <cell r="U548" t="str">
            <v>IVONNE JINETH RODRIGUEZ ROJAS</v>
          </cell>
        </row>
        <row r="549">
          <cell r="B549">
            <v>20105217</v>
          </cell>
          <cell r="U549" t="str">
            <v>IVONNE JINETH RODRIGUEZ ROJAS</v>
          </cell>
        </row>
        <row r="550">
          <cell r="B550">
            <v>20105223</v>
          </cell>
          <cell r="U550" t="str">
            <v>JEISSON FABIAN MOLINA CIRO</v>
          </cell>
        </row>
        <row r="551">
          <cell r="B551">
            <v>20105224</v>
          </cell>
          <cell r="U551" t="str">
            <v>JAVIER ORLANDO HERNANDEZ RIVERA</v>
          </cell>
        </row>
        <row r="552">
          <cell r="B552">
            <v>20105225</v>
          </cell>
          <cell r="U552" t="str">
            <v>NELSON JAVIER MORERA RINCON</v>
          </cell>
        </row>
        <row r="553">
          <cell r="B553">
            <v>20105228</v>
          </cell>
          <cell r="U553" t="str">
            <v>PAOLA ANDREA CALDERON CETINA</v>
          </cell>
        </row>
        <row r="554">
          <cell r="B554">
            <v>20105229</v>
          </cell>
          <cell r="U554" t="str">
            <v>GINA PAOLA MEDINA FLOREZ</v>
          </cell>
        </row>
        <row r="555">
          <cell r="B555">
            <v>20105233</v>
          </cell>
          <cell r="U555" t="str">
            <v>NELSON JAVIER MORERA RINCON</v>
          </cell>
        </row>
        <row r="556">
          <cell r="B556">
            <v>20105234</v>
          </cell>
          <cell r="U556" t="str">
            <v>PAOLA ANDREA CALDERON CETINA</v>
          </cell>
        </row>
        <row r="557">
          <cell r="B557">
            <v>20105240</v>
          </cell>
          <cell r="U557" t="str">
            <v>GINA PAOLA MEDINA FLOREZ</v>
          </cell>
        </row>
        <row r="558">
          <cell r="B558">
            <v>20105241</v>
          </cell>
          <cell r="U558" t="str">
            <v>JOVANNY ALEXANDER BENAVIDES APRAEZ</v>
          </cell>
        </row>
        <row r="559">
          <cell r="B559">
            <v>20105245</v>
          </cell>
          <cell r="U559" t="str">
            <v>IVONNE JINETH RODRIGUEZ ROJAS</v>
          </cell>
        </row>
        <row r="560">
          <cell r="B560">
            <v>20105246</v>
          </cell>
          <cell r="U560" t="str">
            <v>GINA PAOLA MEDINA FLOREZ</v>
          </cell>
        </row>
        <row r="561">
          <cell r="B561">
            <v>20105250</v>
          </cell>
          <cell r="U561" t="str">
            <v>NELSON JAVIER MORERA RINCON</v>
          </cell>
        </row>
        <row r="562">
          <cell r="B562">
            <v>20105253</v>
          </cell>
          <cell r="U562" t="str">
            <v>NELSON JAVIER MORERA RINCON</v>
          </cell>
        </row>
        <row r="563">
          <cell r="B563">
            <v>20105255</v>
          </cell>
          <cell r="U563" t="str">
            <v>PAOLA ANDREA CALDERON CETINA</v>
          </cell>
        </row>
        <row r="564">
          <cell r="B564">
            <v>20105257</v>
          </cell>
          <cell r="U564" t="str">
            <v>HEIDY LORENA PRIETO AHUMADA</v>
          </cell>
        </row>
        <row r="565">
          <cell r="B565">
            <v>20105259</v>
          </cell>
          <cell r="U565" t="str">
            <v>FABIAN CONCHA</v>
          </cell>
        </row>
        <row r="566">
          <cell r="B566">
            <v>20105264</v>
          </cell>
          <cell r="U566" t="str">
            <v>NELSON JAVIER MORERA RINCON</v>
          </cell>
        </row>
        <row r="567">
          <cell r="B567">
            <v>20105267</v>
          </cell>
          <cell r="U567" t="str">
            <v>GINA PAOLA MEDINA FLOREZ</v>
          </cell>
        </row>
        <row r="568">
          <cell r="B568">
            <v>20105268</v>
          </cell>
          <cell r="U568" t="str">
            <v>ANGIE LIZETH GARZON GARCIA</v>
          </cell>
        </row>
        <row r="569">
          <cell r="B569">
            <v>20105269</v>
          </cell>
          <cell r="U569" t="str">
            <v>CATALINA PACHECO BURGOS</v>
          </cell>
        </row>
        <row r="570">
          <cell r="B570">
            <v>20105271</v>
          </cell>
          <cell r="U570" t="str">
            <v>HEIDY LORENA PRIETO AHUMADA</v>
          </cell>
        </row>
        <row r="571">
          <cell r="B571">
            <v>20105272</v>
          </cell>
          <cell r="U571" t="str">
            <v>FABIAN CONCHA</v>
          </cell>
        </row>
        <row r="572">
          <cell r="B572">
            <v>20105273</v>
          </cell>
          <cell r="U572" t="str">
            <v>GINA PAOLA MEDINA FLOREZ</v>
          </cell>
        </row>
        <row r="573">
          <cell r="B573">
            <v>20105281</v>
          </cell>
          <cell r="U573" t="str">
            <v>CATALINA PACHECO BURGOS</v>
          </cell>
        </row>
        <row r="574">
          <cell r="B574">
            <v>20105285</v>
          </cell>
          <cell r="U574" t="str">
            <v>GINA PAOLA MEDINA FLOREZ</v>
          </cell>
        </row>
        <row r="575">
          <cell r="B575">
            <v>20105288</v>
          </cell>
          <cell r="U575" t="str">
            <v>JAVIER ORLANDO HERNANDEZ RIVERA</v>
          </cell>
        </row>
        <row r="576">
          <cell r="B576">
            <v>20105289</v>
          </cell>
          <cell r="U576" t="str">
            <v>HEIDY LORENA PRIETO AHUMADA</v>
          </cell>
        </row>
        <row r="577">
          <cell r="B577">
            <v>20105290</v>
          </cell>
          <cell r="U577" t="str">
            <v>PAOLA ANDREA CALDERON CETINA</v>
          </cell>
        </row>
        <row r="578">
          <cell r="B578">
            <v>20105295</v>
          </cell>
          <cell r="U578" t="str">
            <v>FABIAN CONCHA</v>
          </cell>
        </row>
        <row r="579">
          <cell r="B579">
            <v>20105298</v>
          </cell>
          <cell r="U579" t="str">
            <v>CATALINA PACHECO BURGOS</v>
          </cell>
        </row>
        <row r="580">
          <cell r="B580">
            <v>20105300</v>
          </cell>
          <cell r="U580" t="str">
            <v>PAOLA ANDREA CALDERON CETINA</v>
          </cell>
        </row>
        <row r="581">
          <cell r="B581">
            <v>20105301</v>
          </cell>
          <cell r="U581" t="str">
            <v>HEIDY LORENA PRIETO AHUMADA</v>
          </cell>
        </row>
        <row r="582">
          <cell r="B582">
            <v>20105304</v>
          </cell>
          <cell r="U582" t="str">
            <v>NELSON JAVIER MORERA RINCON</v>
          </cell>
        </row>
        <row r="583">
          <cell r="B583">
            <v>20105305</v>
          </cell>
          <cell r="U583" t="str">
            <v>NELSON JAVIER MORERA RINCON</v>
          </cell>
        </row>
        <row r="584">
          <cell r="B584">
            <v>20105314</v>
          </cell>
          <cell r="U584" t="str">
            <v>FABIAN CONCHA</v>
          </cell>
        </row>
        <row r="585">
          <cell r="B585">
            <v>20105318</v>
          </cell>
          <cell r="U585" t="str">
            <v>MARSHIA MILENA JIMéNEZ GóMEZ</v>
          </cell>
        </row>
        <row r="586">
          <cell r="B586">
            <v>20105323</v>
          </cell>
          <cell r="U586" t="str">
            <v>FABIAN CONCHA</v>
          </cell>
        </row>
        <row r="587">
          <cell r="B587">
            <v>20105326</v>
          </cell>
          <cell r="U587" t="str">
            <v>PAOLA ANDREA CALDERON CETINA</v>
          </cell>
        </row>
        <row r="588">
          <cell r="B588">
            <v>20105333</v>
          </cell>
          <cell r="U588" t="str">
            <v>NELSON JAVIER MORERA RINCON</v>
          </cell>
        </row>
        <row r="589">
          <cell r="B589">
            <v>20105350</v>
          </cell>
          <cell r="U589" t="str">
            <v>NELSON JAVIER MORERA RINCON</v>
          </cell>
        </row>
        <row r="590">
          <cell r="B590">
            <v>20105351</v>
          </cell>
          <cell r="U590" t="str">
            <v>NELSON JAVIER MORERA RINCON</v>
          </cell>
        </row>
        <row r="591">
          <cell r="B591">
            <v>20105356</v>
          </cell>
          <cell r="U591" t="str">
            <v>IVONNE JINETH RODRIGUEZ ROJAS</v>
          </cell>
        </row>
        <row r="592">
          <cell r="B592">
            <v>20105362</v>
          </cell>
          <cell r="U592" t="str">
            <v>GINA PAOLA MEDINA FLOREZ</v>
          </cell>
        </row>
        <row r="593">
          <cell r="B593">
            <v>20105364</v>
          </cell>
          <cell r="U593" t="str">
            <v>MARSHIA MILENA JIMéNEZ GóMEZ</v>
          </cell>
        </row>
        <row r="594">
          <cell r="B594">
            <v>20105367</v>
          </cell>
          <cell r="U594" t="str">
            <v>MARSHIA MILENA JIMéNEZ GóMEZ</v>
          </cell>
        </row>
        <row r="595">
          <cell r="B595">
            <v>20105368</v>
          </cell>
          <cell r="U595" t="str">
            <v>GINA PAOLA MEDINA FLOREZ</v>
          </cell>
        </row>
        <row r="596">
          <cell r="B596">
            <v>20105372</v>
          </cell>
          <cell r="U596" t="str">
            <v>IVONNE JINETH RODRIGUEZ ROJAS</v>
          </cell>
        </row>
        <row r="597">
          <cell r="B597">
            <v>20105373</v>
          </cell>
          <cell r="U597" t="str">
            <v>FABIAN CONCHA</v>
          </cell>
        </row>
        <row r="598">
          <cell r="B598">
            <v>20105374</v>
          </cell>
          <cell r="U598" t="str">
            <v>PAOLA ANDREA CALDERON CETINA</v>
          </cell>
        </row>
        <row r="599">
          <cell r="B599">
            <v>20105376</v>
          </cell>
          <cell r="U599" t="str">
            <v>NELSON JAVIER MORERA RINCON</v>
          </cell>
        </row>
        <row r="600">
          <cell r="B600">
            <v>20105377</v>
          </cell>
          <cell r="U600" t="str">
            <v>JOVANNY ALEXANDER BENAVIDES APRAEZ</v>
          </cell>
        </row>
        <row r="601">
          <cell r="B601">
            <v>20105380</v>
          </cell>
          <cell r="U601" t="str">
            <v>JEISSON FABIAN MOLINA CIRO</v>
          </cell>
        </row>
        <row r="602">
          <cell r="B602">
            <v>20105388</v>
          </cell>
          <cell r="U602" t="str">
            <v>JEISSON FABIAN MOLINA CIRO</v>
          </cell>
        </row>
        <row r="603">
          <cell r="B603">
            <v>20105403</v>
          </cell>
          <cell r="U603" t="str">
            <v>MARSHIA MILENA JIMéNEZ GóMEZ</v>
          </cell>
        </row>
        <row r="604">
          <cell r="B604">
            <v>20105414</v>
          </cell>
          <cell r="U604" t="str">
            <v>FABIAN CONCHA</v>
          </cell>
        </row>
        <row r="605">
          <cell r="B605">
            <v>20105417</v>
          </cell>
          <cell r="U605" t="str">
            <v>IVONNE JINETH RODRIGUEZ ROJAS</v>
          </cell>
        </row>
        <row r="606">
          <cell r="B606">
            <v>20105426</v>
          </cell>
          <cell r="U606" t="str">
            <v>FABIAN CONCHA</v>
          </cell>
        </row>
        <row r="607">
          <cell r="B607">
            <v>20105427</v>
          </cell>
          <cell r="U607" t="str">
            <v>NELSON JAVIER MORERA RINCON</v>
          </cell>
        </row>
        <row r="608">
          <cell r="B608">
            <v>20105428</v>
          </cell>
          <cell r="U608" t="str">
            <v>HEIDY LORENA PRIETO AHUMADA</v>
          </cell>
        </row>
        <row r="609">
          <cell r="B609">
            <v>20105436</v>
          </cell>
          <cell r="U609" t="str">
            <v>HEIDY LORENA PRIETO AHUMADA</v>
          </cell>
        </row>
        <row r="610">
          <cell r="B610">
            <v>20105438</v>
          </cell>
          <cell r="U610" t="str">
            <v>IVONNE JINETH RODRIGUEZ ROJAS</v>
          </cell>
        </row>
        <row r="611">
          <cell r="B611">
            <v>20105440</v>
          </cell>
          <cell r="U611" t="str">
            <v>NELSON JAVIER MORERA RINCON</v>
          </cell>
        </row>
        <row r="612">
          <cell r="B612">
            <v>20105443</v>
          </cell>
          <cell r="U612" t="str">
            <v>NELSON JAVIER MORERA RINCON</v>
          </cell>
        </row>
        <row r="613">
          <cell r="B613">
            <v>20105448</v>
          </cell>
          <cell r="U613" t="str">
            <v>PAOLA ANDREA CALDERON CETINA</v>
          </cell>
        </row>
        <row r="614">
          <cell r="B614">
            <v>20105453</v>
          </cell>
          <cell r="U614" t="str">
            <v>FABIAN CONCHA</v>
          </cell>
        </row>
        <row r="615">
          <cell r="B615">
            <v>20105458</v>
          </cell>
          <cell r="U615" t="str">
            <v>IVONNE JINETH RODRIGUEZ ROJAS</v>
          </cell>
        </row>
        <row r="616">
          <cell r="B616">
            <v>20105482</v>
          </cell>
          <cell r="U616" t="str">
            <v>IVONNE JINETH RODRIGUEZ ROJAS</v>
          </cell>
        </row>
        <row r="617">
          <cell r="B617">
            <v>20105492</v>
          </cell>
          <cell r="U617" t="str">
            <v>PAOLA ANDREA CALDERON CETINA</v>
          </cell>
        </row>
        <row r="618">
          <cell r="B618">
            <v>20105503</v>
          </cell>
          <cell r="U618" t="str">
            <v>PAOLA ANDREA CALDERON CETINA</v>
          </cell>
        </row>
        <row r="619">
          <cell r="B619">
            <v>20105504</v>
          </cell>
          <cell r="U619" t="str">
            <v>PAOLA ANDREA CALDERON CETINA</v>
          </cell>
        </row>
        <row r="620">
          <cell r="B620">
            <v>20105521</v>
          </cell>
          <cell r="U620" t="str">
            <v>IVONNE JINETH RODRIGUEZ ROJAS</v>
          </cell>
        </row>
        <row r="621">
          <cell r="B621">
            <v>20105548</v>
          </cell>
          <cell r="U621" t="str">
            <v>FABIAN CONCHA</v>
          </cell>
        </row>
        <row r="622">
          <cell r="B622">
            <v>20105551</v>
          </cell>
          <cell r="U622" t="str">
            <v>PAOLA ANDREA CALDERON CETINA</v>
          </cell>
        </row>
        <row r="623">
          <cell r="B623">
            <v>20105562</v>
          </cell>
          <cell r="U623" t="str">
            <v>ANGIE LIZETH GARZON GARCIA</v>
          </cell>
        </row>
        <row r="624">
          <cell r="B624">
            <v>20105572</v>
          </cell>
          <cell r="U624" t="str">
            <v>JOVANNY ALEXANDER BENAVIDES APRAEZ</v>
          </cell>
        </row>
        <row r="625">
          <cell r="B625">
            <v>20105578</v>
          </cell>
          <cell r="U625" t="str">
            <v>IVONNE JINETH RODRIGUEZ ROJAS</v>
          </cell>
        </row>
        <row r="626">
          <cell r="B626">
            <v>20105587</v>
          </cell>
          <cell r="U626" t="str">
            <v>GINA PAOLA MEDINA FLOREZ</v>
          </cell>
        </row>
        <row r="627">
          <cell r="B627">
            <v>20105589</v>
          </cell>
          <cell r="U627" t="str">
            <v>IVONNE JINETH RODRIGUEZ ROJAS</v>
          </cell>
        </row>
        <row r="628">
          <cell r="B628">
            <v>20105590</v>
          </cell>
          <cell r="U628" t="str">
            <v>GINA PAOLA MEDINA FLOREZ</v>
          </cell>
        </row>
        <row r="629">
          <cell r="B629">
            <v>20105596</v>
          </cell>
          <cell r="U629" t="str">
            <v>FABIAN CONCHA</v>
          </cell>
        </row>
        <row r="630">
          <cell r="B630">
            <v>20105600</v>
          </cell>
          <cell r="U630" t="str">
            <v>PAOLA ANDREA CALDERON CETINA</v>
          </cell>
        </row>
        <row r="631">
          <cell r="B631">
            <v>20105604</v>
          </cell>
          <cell r="U631" t="str">
            <v>IVONNE JINETH RODRIGUEZ ROJAS</v>
          </cell>
        </row>
        <row r="632">
          <cell r="B632">
            <v>20105608</v>
          </cell>
          <cell r="U632" t="str">
            <v>IVONNE JINETH RODRIGUEZ ROJAS</v>
          </cell>
        </row>
        <row r="633">
          <cell r="B633">
            <v>20105620</v>
          </cell>
          <cell r="U633" t="str">
            <v>IVONNE JINETH RODRIGUEZ ROJAS</v>
          </cell>
        </row>
        <row r="634">
          <cell r="B634">
            <v>20105625</v>
          </cell>
          <cell r="U634" t="str">
            <v>GINA PAOLA MEDINA FLOREZ</v>
          </cell>
        </row>
        <row r="635">
          <cell r="B635">
            <v>20105629</v>
          </cell>
          <cell r="U635" t="str">
            <v/>
          </cell>
        </row>
        <row r="636">
          <cell r="B636">
            <v>20105636</v>
          </cell>
          <cell r="U636" t="str">
            <v>GINA PAOLA MEDINA FLOREZ</v>
          </cell>
        </row>
        <row r="637">
          <cell r="B637">
            <v>20105640</v>
          </cell>
          <cell r="U637" t="str">
            <v>NELSON JAVIER MORERA RINCON</v>
          </cell>
        </row>
        <row r="638">
          <cell r="B638">
            <v>20105643</v>
          </cell>
          <cell r="U638" t="str">
            <v>MARSHIA MILENA JIMéNEZ GóMEZ</v>
          </cell>
        </row>
        <row r="639">
          <cell r="B639">
            <v>20105654</v>
          </cell>
          <cell r="U639" t="str">
            <v>PAOLA ANDREA CALDERON CETINA</v>
          </cell>
        </row>
        <row r="640">
          <cell r="B640">
            <v>20105659</v>
          </cell>
          <cell r="U640" t="str">
            <v>MARSHIA MILENA JIMéNEZ GóMEZ</v>
          </cell>
        </row>
        <row r="641">
          <cell r="B641">
            <v>20105660</v>
          </cell>
          <cell r="U641" t="str">
            <v>MARSHIA MILENA JIMéNEZ GóMEZ</v>
          </cell>
        </row>
        <row r="642">
          <cell r="B642">
            <v>20105668</v>
          </cell>
          <cell r="U642" t="str">
            <v>JAVIER ORLANDO HERNANDEZ RIVERA</v>
          </cell>
        </row>
        <row r="643">
          <cell r="B643">
            <v>20105670</v>
          </cell>
          <cell r="U643" t="str">
            <v>PAOLA ANDREA CALDERON CETINA</v>
          </cell>
        </row>
        <row r="644">
          <cell r="B644">
            <v>20105672</v>
          </cell>
          <cell r="U644" t="str">
            <v>FABIAN CONCHA</v>
          </cell>
        </row>
        <row r="645">
          <cell r="B645">
            <v>20105675</v>
          </cell>
          <cell r="U645" t="str">
            <v>JAVIER ORLANDO HERNANDEZ RIVERA</v>
          </cell>
        </row>
        <row r="646">
          <cell r="B646">
            <v>20105676</v>
          </cell>
          <cell r="U646" t="str">
            <v>JEISSON FABIAN MOLINA CIRO</v>
          </cell>
        </row>
        <row r="647">
          <cell r="B647">
            <v>20105679</v>
          </cell>
          <cell r="U647" t="str">
            <v>PAOLA ANDREA CALDERON CETINA</v>
          </cell>
        </row>
        <row r="648">
          <cell r="B648">
            <v>20105694</v>
          </cell>
          <cell r="U648" t="str">
            <v>JOVANNY ALEXANDER BENAVIDES APRAEZ</v>
          </cell>
        </row>
        <row r="649">
          <cell r="B649">
            <v>20105696</v>
          </cell>
          <cell r="U649" t="str">
            <v>NELSON JAVIER MORERA RINCON</v>
          </cell>
        </row>
        <row r="650">
          <cell r="B650">
            <v>20105701</v>
          </cell>
          <cell r="U650" t="str">
            <v>FABIAN CONCHA</v>
          </cell>
        </row>
        <row r="651">
          <cell r="B651">
            <v>20105707</v>
          </cell>
          <cell r="U651" t="str">
            <v>PAOLA ANDREA CALDERON CETINA</v>
          </cell>
        </row>
        <row r="652">
          <cell r="B652">
            <v>20105711</v>
          </cell>
          <cell r="U652" t="str">
            <v>FABIAN CONCHA</v>
          </cell>
        </row>
        <row r="653">
          <cell r="B653">
            <v>20105712</v>
          </cell>
          <cell r="U653" t="str">
            <v>CATALINA PACHECO BURGOS</v>
          </cell>
        </row>
        <row r="654">
          <cell r="B654">
            <v>20105716</v>
          </cell>
          <cell r="U654" t="str">
            <v>NELSON JAVIER MORERA RINCON</v>
          </cell>
        </row>
        <row r="655">
          <cell r="B655">
            <v>20105720</v>
          </cell>
          <cell r="U655" t="str">
            <v>NELSON JAVIER MORERA RINCON</v>
          </cell>
        </row>
        <row r="656">
          <cell r="B656">
            <v>20105742</v>
          </cell>
          <cell r="U656" t="str">
            <v>PAOLA ANDREA CALDERON CETINA</v>
          </cell>
        </row>
        <row r="657">
          <cell r="B657">
            <v>20105745</v>
          </cell>
          <cell r="U657" t="str">
            <v>IVONNE JINETH RODRIGUEZ ROJAS</v>
          </cell>
        </row>
        <row r="658">
          <cell r="B658">
            <v>20105758</v>
          </cell>
          <cell r="U658" t="str">
            <v>NELSON JAVIER MORERA RINCON</v>
          </cell>
        </row>
        <row r="659">
          <cell r="B659">
            <v>20105760</v>
          </cell>
          <cell r="U659" t="str">
            <v>MARSHIA MILENA JIMéNEZ GóMEZ</v>
          </cell>
        </row>
        <row r="660">
          <cell r="B660">
            <v>20105766</v>
          </cell>
          <cell r="U660" t="str">
            <v>MARSHIA MILENA JIMéNEZ GóMEZ</v>
          </cell>
        </row>
        <row r="661">
          <cell r="B661">
            <v>20105772</v>
          </cell>
          <cell r="U661" t="str">
            <v>PAOLA ANDREA CALDERON CETINA</v>
          </cell>
        </row>
        <row r="662">
          <cell r="B662">
            <v>20105774</v>
          </cell>
          <cell r="U662" t="str">
            <v>GINA PAOLA MEDINA FLOREZ</v>
          </cell>
        </row>
        <row r="663">
          <cell r="B663">
            <v>20105784</v>
          </cell>
          <cell r="U663" t="str">
            <v>JAVIER ORLANDO HERNANDEZ RIVERA</v>
          </cell>
        </row>
        <row r="664">
          <cell r="B664">
            <v>20105790</v>
          </cell>
          <cell r="U664" t="str">
            <v>HEIDY LORENA PRIETO AHUMADA</v>
          </cell>
        </row>
        <row r="665">
          <cell r="B665">
            <v>20105797</v>
          </cell>
          <cell r="U665" t="str">
            <v>FABIAN CONCHA</v>
          </cell>
        </row>
        <row r="666">
          <cell r="B666">
            <v>20105799</v>
          </cell>
          <cell r="U666" t="str">
            <v>FABIAN CONCHA</v>
          </cell>
        </row>
        <row r="667">
          <cell r="B667">
            <v>20105802</v>
          </cell>
          <cell r="U667" t="str">
            <v>GINA PAOLA MEDINA FLOREZ</v>
          </cell>
        </row>
        <row r="668">
          <cell r="B668">
            <v>20105807</v>
          </cell>
          <cell r="U668" t="str">
            <v>HEIDY LORENA PRIETO AHUMADA</v>
          </cell>
        </row>
        <row r="669">
          <cell r="B669">
            <v>20105808</v>
          </cell>
          <cell r="U669" t="str">
            <v>JAVIER ORLANDO HERNANDEZ RIVERA</v>
          </cell>
        </row>
        <row r="670">
          <cell r="B670">
            <v>20105809</v>
          </cell>
          <cell r="U670" t="str">
            <v>JEISSON FABIAN MOLINA CIRO</v>
          </cell>
        </row>
        <row r="671">
          <cell r="B671">
            <v>20105811</v>
          </cell>
          <cell r="U671" t="str">
            <v>HEIDY LORENA PRIETO AHUMADA</v>
          </cell>
        </row>
        <row r="672">
          <cell r="B672">
            <v>20105823</v>
          </cell>
          <cell r="U672" t="str">
            <v>FABIAN CONCHA</v>
          </cell>
        </row>
        <row r="673">
          <cell r="B673">
            <v>20105828</v>
          </cell>
          <cell r="U673" t="str">
            <v>IVONNE JINETH RODRIGUEZ ROJAS</v>
          </cell>
        </row>
        <row r="674">
          <cell r="B674">
            <v>20105829</v>
          </cell>
          <cell r="U674" t="str">
            <v>NELSON JAVIER MORERA RINCON</v>
          </cell>
        </row>
        <row r="675">
          <cell r="B675">
            <v>20105832</v>
          </cell>
          <cell r="U675" t="str">
            <v>NELSON JAVIER MORERA RINCON</v>
          </cell>
        </row>
        <row r="676">
          <cell r="B676">
            <v>20105837</v>
          </cell>
          <cell r="U676" t="str">
            <v>GINA PAOLA MEDINA FLOREZ</v>
          </cell>
        </row>
        <row r="677">
          <cell r="B677">
            <v>20105840</v>
          </cell>
          <cell r="U677" t="str">
            <v>IVONNE JINETH RODRIGUEZ ROJAS</v>
          </cell>
        </row>
        <row r="678">
          <cell r="B678">
            <v>20105845</v>
          </cell>
          <cell r="U678" t="str">
            <v>IVONNE JINETH RODRIGUEZ ROJAS</v>
          </cell>
        </row>
        <row r="679">
          <cell r="B679">
            <v>20105851</v>
          </cell>
          <cell r="U679" t="str">
            <v>NELSON JAVIER MORERA RINCON</v>
          </cell>
        </row>
        <row r="680">
          <cell r="B680">
            <v>20105852</v>
          </cell>
          <cell r="U680" t="str">
            <v>JAVIER ORLANDO HERNANDEZ RIVERA</v>
          </cell>
        </row>
        <row r="681">
          <cell r="B681">
            <v>20105866</v>
          </cell>
          <cell r="U681" t="str">
            <v>PAOLA ANDREA CALDERON CETINA</v>
          </cell>
        </row>
        <row r="682">
          <cell r="B682">
            <v>20105867</v>
          </cell>
          <cell r="U682" t="str">
            <v>JOHAN SEBASTIAN PARDEYN AGUILAR</v>
          </cell>
        </row>
        <row r="683">
          <cell r="B683">
            <v>20105869</v>
          </cell>
          <cell r="U683" t="str">
            <v>IVONNE JINETH RODRIGUEZ ROJAS</v>
          </cell>
        </row>
        <row r="684">
          <cell r="B684">
            <v>20105873</v>
          </cell>
          <cell r="U684" t="str">
            <v>IVONNE JINETH RODRIGUEZ ROJAS</v>
          </cell>
        </row>
        <row r="685">
          <cell r="B685">
            <v>20105887</v>
          </cell>
          <cell r="U685" t="str">
            <v>IVONNE JINETH RODRIGUEZ ROJAS</v>
          </cell>
        </row>
        <row r="686">
          <cell r="B686">
            <v>20105889</v>
          </cell>
          <cell r="U686" t="str">
            <v>NELSON JAVIER MORERA RINCON</v>
          </cell>
        </row>
        <row r="687">
          <cell r="B687">
            <v>20105891</v>
          </cell>
          <cell r="U687" t="str">
            <v>JEISSON FABIAN MOLINA CIRO</v>
          </cell>
        </row>
        <row r="688">
          <cell r="B688">
            <v>20105896</v>
          </cell>
          <cell r="U688" t="str">
            <v>NELSON JAVIER MORERA RINCON</v>
          </cell>
        </row>
        <row r="689">
          <cell r="B689">
            <v>20105904</v>
          </cell>
          <cell r="U689" t="str">
            <v>HEIDY LORENA PRIETO AHUMADA</v>
          </cell>
        </row>
        <row r="690">
          <cell r="B690">
            <v>20105907</v>
          </cell>
          <cell r="U690" t="str">
            <v>IVONNE JINETH RODRIGUEZ ROJAS</v>
          </cell>
        </row>
        <row r="691">
          <cell r="B691">
            <v>20105908</v>
          </cell>
          <cell r="U691" t="str">
            <v>HEIDY LORENA PRIETO AHUMADA</v>
          </cell>
        </row>
        <row r="692">
          <cell r="B692">
            <v>20105912</v>
          </cell>
          <cell r="U692" t="str">
            <v>PAOLA ANDREA CALDERON CETINA</v>
          </cell>
        </row>
        <row r="693">
          <cell r="B693">
            <v>20105919</v>
          </cell>
          <cell r="U693" t="str">
            <v>IVONNE JINETH RODRIGUEZ ROJAS</v>
          </cell>
        </row>
        <row r="694">
          <cell r="B694">
            <v>20105921</v>
          </cell>
          <cell r="U694" t="str">
            <v>GINA PAOLA MEDINA FLOREZ</v>
          </cell>
        </row>
        <row r="695">
          <cell r="B695">
            <v>20105922</v>
          </cell>
          <cell r="U695" t="str">
            <v>MARSHIA MILENA JIMéNEZ GóMEZ</v>
          </cell>
        </row>
        <row r="696">
          <cell r="B696">
            <v>20105925</v>
          </cell>
          <cell r="U696" t="str">
            <v>FABIAN CONCHA</v>
          </cell>
        </row>
        <row r="697">
          <cell r="B697">
            <v>20105927</v>
          </cell>
          <cell r="U697" t="str">
            <v>IVONNE JINETH RODRIGUEZ ROJAS</v>
          </cell>
        </row>
        <row r="698">
          <cell r="B698">
            <v>20105929</v>
          </cell>
          <cell r="U698" t="str">
            <v>IVONNE JINETH RODRIGUEZ ROJAS</v>
          </cell>
        </row>
        <row r="699">
          <cell r="B699">
            <v>20105931</v>
          </cell>
          <cell r="U699" t="str">
            <v>NELSON JAVIER MORERA RINCON</v>
          </cell>
        </row>
        <row r="700">
          <cell r="B700">
            <v>20105932</v>
          </cell>
          <cell r="U700" t="str">
            <v>JOVANNY ALEXANDER BENAVIDES APRAEZ</v>
          </cell>
        </row>
        <row r="701">
          <cell r="B701">
            <v>20105935</v>
          </cell>
          <cell r="U701" t="str">
            <v>NELSON JAVIER MORERA RINCON</v>
          </cell>
        </row>
        <row r="702">
          <cell r="B702">
            <v>20105936</v>
          </cell>
          <cell r="U702" t="str">
            <v>GINA PAOLA MEDINA FLOREZ</v>
          </cell>
        </row>
        <row r="703">
          <cell r="B703">
            <v>20105941</v>
          </cell>
          <cell r="U703" t="str">
            <v>GINA PAOLA MEDINA FLOREZ</v>
          </cell>
        </row>
        <row r="704">
          <cell r="B704">
            <v>20105955</v>
          </cell>
          <cell r="U704" t="str">
            <v>FABIAN CONCHA</v>
          </cell>
        </row>
        <row r="705">
          <cell r="B705">
            <v>20105978</v>
          </cell>
          <cell r="U705" t="str">
            <v>ANGIE LIZETH GARZON GARCIA</v>
          </cell>
        </row>
        <row r="706">
          <cell r="B706">
            <v>20106014</v>
          </cell>
          <cell r="U706" t="str">
            <v>GINA PAOLA MEDINA FLOREZ</v>
          </cell>
        </row>
        <row r="707">
          <cell r="B707">
            <v>20106015</v>
          </cell>
          <cell r="U707" t="str">
            <v>IVONNE JINETH RODRIGUEZ ROJAS</v>
          </cell>
        </row>
        <row r="708">
          <cell r="B708">
            <v>20106025</v>
          </cell>
          <cell r="U708" t="str">
            <v>NELSON JAVIER MORERA RINCON</v>
          </cell>
        </row>
        <row r="709">
          <cell r="B709">
            <v>20106028</v>
          </cell>
          <cell r="U709" t="str">
            <v>IVONNE JINETH RODRIGUEZ ROJAS</v>
          </cell>
        </row>
        <row r="710">
          <cell r="B710">
            <v>20106033</v>
          </cell>
          <cell r="U710" t="str">
            <v>PAOLA ANDREA CALDERON CETINA</v>
          </cell>
        </row>
        <row r="711">
          <cell r="B711">
            <v>20106042</v>
          </cell>
          <cell r="U711" t="str">
            <v>JOHAN SEBASTIAN PARDEYN AGUILAR</v>
          </cell>
        </row>
        <row r="712">
          <cell r="B712">
            <v>20106045</v>
          </cell>
          <cell r="U712" t="str">
            <v>FABIAN CONCHA</v>
          </cell>
        </row>
        <row r="713">
          <cell r="B713">
            <v>20106060</v>
          </cell>
          <cell r="U713" t="str">
            <v>JEISSON FABIAN MOLINA CIRO</v>
          </cell>
        </row>
        <row r="714">
          <cell r="B714">
            <v>20106074</v>
          </cell>
          <cell r="U714" t="str">
            <v>MARSHIA MILENA JIMéNEZ GóMEZ</v>
          </cell>
        </row>
        <row r="715">
          <cell r="B715">
            <v>20106079</v>
          </cell>
          <cell r="U715" t="str">
            <v>IVONNE JINETH RODRIGUEZ ROJAS</v>
          </cell>
        </row>
        <row r="716">
          <cell r="B716">
            <v>20106091</v>
          </cell>
          <cell r="U716" t="str">
            <v>HEIDY LORENA PRIETO AHUMADA</v>
          </cell>
        </row>
        <row r="717">
          <cell r="B717">
            <v>20106094</v>
          </cell>
          <cell r="U717" t="str">
            <v>PAOLA ANDREA CALDERON CETINA</v>
          </cell>
        </row>
        <row r="718">
          <cell r="B718">
            <v>20106106</v>
          </cell>
          <cell r="U718" t="str">
            <v>JAVIER ORLANDO HERNANDEZ RIVERA</v>
          </cell>
        </row>
        <row r="719">
          <cell r="B719">
            <v>20106111</v>
          </cell>
          <cell r="U719" t="str">
            <v>IVONNE JINETH RODRIGUEZ ROJAS</v>
          </cell>
        </row>
        <row r="720">
          <cell r="B720">
            <v>20106120</v>
          </cell>
          <cell r="U720" t="str">
            <v>PAOLA ANDREA CALDERON CETINA</v>
          </cell>
        </row>
        <row r="721">
          <cell r="B721">
            <v>20106122</v>
          </cell>
          <cell r="U721" t="str">
            <v>PAOLA ANDREA CALDERON CETINA</v>
          </cell>
        </row>
        <row r="722">
          <cell r="B722">
            <v>20106129</v>
          </cell>
          <cell r="U722" t="str">
            <v>FABIAN CONCHA</v>
          </cell>
        </row>
        <row r="723">
          <cell r="B723">
            <v>20106131</v>
          </cell>
          <cell r="U723" t="str">
            <v>NELSON JAVIER MORERA RINCON</v>
          </cell>
        </row>
        <row r="724">
          <cell r="B724">
            <v>20106150</v>
          </cell>
          <cell r="U724" t="str">
            <v>MARSHIA MILENA JIMéNEZ GóMEZ</v>
          </cell>
        </row>
        <row r="725">
          <cell r="B725">
            <v>20106151</v>
          </cell>
          <cell r="U725" t="str">
            <v>FABIAN CONCHA</v>
          </cell>
        </row>
        <row r="726">
          <cell r="B726">
            <v>20106152</v>
          </cell>
          <cell r="U726" t="str">
            <v>NELSON JAVIER MORERA RINCON</v>
          </cell>
        </row>
        <row r="727">
          <cell r="B727">
            <v>20106153</v>
          </cell>
          <cell r="U727" t="str">
            <v>PAOLA ANDREA CALDERON CETINA</v>
          </cell>
        </row>
        <row r="728">
          <cell r="B728">
            <v>20106163</v>
          </cell>
          <cell r="U728" t="str">
            <v>JEISSON FABIAN MOLINA CIRO</v>
          </cell>
        </row>
        <row r="729">
          <cell r="B729">
            <v>20106173</v>
          </cell>
          <cell r="U729" t="str">
            <v>MARSHIA MILENA JIMéNEZ GóMEZ</v>
          </cell>
        </row>
        <row r="730">
          <cell r="B730">
            <v>20106176</v>
          </cell>
          <cell r="U730" t="str">
            <v>IVONNE JINETH RODRIGUEZ ROJAS</v>
          </cell>
        </row>
        <row r="731">
          <cell r="B731">
            <v>20106184</v>
          </cell>
          <cell r="U731" t="str">
            <v>JEISSON FABIAN MOLINA CIRO</v>
          </cell>
        </row>
        <row r="732">
          <cell r="B732">
            <v>20106185</v>
          </cell>
          <cell r="U732" t="str">
            <v>ANGIE LIZETH GARZON GARCIA</v>
          </cell>
        </row>
        <row r="733">
          <cell r="B733">
            <v>20106188</v>
          </cell>
          <cell r="U733" t="str">
            <v>IVONNE JINETH RODRIGUEZ ROJAS</v>
          </cell>
        </row>
        <row r="734">
          <cell r="B734">
            <v>20106197</v>
          </cell>
          <cell r="U734" t="str">
            <v>NELSON JAVIER MORERA RINCON</v>
          </cell>
        </row>
        <row r="735">
          <cell r="B735">
            <v>20106203</v>
          </cell>
          <cell r="U735" t="str">
            <v>JEISSON FABIAN MOLINA CIRO</v>
          </cell>
        </row>
        <row r="736">
          <cell r="B736">
            <v>20106204</v>
          </cell>
          <cell r="U736" t="str">
            <v>GINA PAOLA MEDINA FLOREZ</v>
          </cell>
        </row>
        <row r="737">
          <cell r="B737">
            <v>20106205</v>
          </cell>
          <cell r="U737" t="str">
            <v>IVONNE JINETH RODRIGUEZ ROJAS</v>
          </cell>
        </row>
        <row r="738">
          <cell r="B738">
            <v>20106206</v>
          </cell>
          <cell r="U738" t="str">
            <v>ANGIE LIZETH GARZON GARCIA</v>
          </cell>
        </row>
        <row r="739">
          <cell r="B739">
            <v>20106208</v>
          </cell>
          <cell r="U739" t="str">
            <v>HEIDY LORENA PRIETO AHUMADA</v>
          </cell>
        </row>
        <row r="740">
          <cell r="B740">
            <v>20106216</v>
          </cell>
          <cell r="U740" t="str">
            <v>MARSHIA MILENA JIMéNEZ GóMEZ</v>
          </cell>
        </row>
        <row r="741">
          <cell r="B741">
            <v>20106217</v>
          </cell>
          <cell r="U741" t="str">
            <v>MARSHIA MILENA JIMéNEZ GóMEZ</v>
          </cell>
        </row>
        <row r="742">
          <cell r="B742">
            <v>20106225</v>
          </cell>
          <cell r="U742" t="str">
            <v>IVONNE JINETH RODRIGUEZ ROJAS</v>
          </cell>
        </row>
        <row r="743">
          <cell r="B743">
            <v>20106233</v>
          </cell>
          <cell r="U743" t="str">
            <v>HEIDY LORENA PRIETO AHUMADA</v>
          </cell>
        </row>
        <row r="744">
          <cell r="B744">
            <v>20106239</v>
          </cell>
          <cell r="U744" t="str">
            <v>FABIAN CONCHA</v>
          </cell>
        </row>
        <row r="745">
          <cell r="B745">
            <v>20106243</v>
          </cell>
          <cell r="U745" t="str">
            <v>PAOLA ANDREA CALDERON CETINA</v>
          </cell>
        </row>
        <row r="746">
          <cell r="B746">
            <v>20106245</v>
          </cell>
          <cell r="U746" t="str">
            <v>NELSON JAVIER MORERA RINCON</v>
          </cell>
        </row>
        <row r="747">
          <cell r="B747">
            <v>20106254</v>
          </cell>
          <cell r="U747" t="str">
            <v>NELSON JAVIER MORERA RINCON</v>
          </cell>
        </row>
        <row r="748">
          <cell r="B748">
            <v>20106258</v>
          </cell>
          <cell r="U748" t="str">
            <v>FABIAN CONCHA</v>
          </cell>
        </row>
        <row r="749">
          <cell r="B749">
            <v>20106261</v>
          </cell>
          <cell r="U749" t="str">
            <v>PAOLA ANDREA CALDERON CETINA</v>
          </cell>
        </row>
        <row r="750">
          <cell r="B750">
            <v>20106276</v>
          </cell>
          <cell r="U750" t="str">
            <v>JEISSON FABIAN MOLINA CIRO</v>
          </cell>
        </row>
        <row r="751">
          <cell r="B751">
            <v>20106281</v>
          </cell>
          <cell r="U751" t="str">
            <v>JEISSON FABIAN MOLINA CIRO</v>
          </cell>
        </row>
        <row r="752">
          <cell r="B752">
            <v>20106296</v>
          </cell>
          <cell r="U752" t="str">
            <v>NELSON JAVIER MORERA RINCON</v>
          </cell>
        </row>
        <row r="753">
          <cell r="B753">
            <v>20106299</v>
          </cell>
          <cell r="U753" t="str">
            <v>FABIAN CONCHA</v>
          </cell>
        </row>
        <row r="754">
          <cell r="B754">
            <v>20106315</v>
          </cell>
          <cell r="U754" t="str">
            <v>NELSON JAVIER MORERA RINCON</v>
          </cell>
        </row>
        <row r="755">
          <cell r="B755">
            <v>20106325</v>
          </cell>
          <cell r="U755" t="str">
            <v>NELSON JAVIER MORERA RINCON</v>
          </cell>
        </row>
        <row r="756">
          <cell r="B756">
            <v>20106333</v>
          </cell>
          <cell r="U756" t="str">
            <v>GINA PAOLA MEDINA FLOREZ</v>
          </cell>
        </row>
        <row r="757">
          <cell r="B757">
            <v>20106335</v>
          </cell>
          <cell r="U757" t="str">
            <v>FABIAN CONCHA</v>
          </cell>
        </row>
        <row r="758">
          <cell r="B758">
            <v>20106337</v>
          </cell>
          <cell r="U758" t="str">
            <v>JEISSON FABIAN MOLINA CIRO</v>
          </cell>
        </row>
        <row r="759">
          <cell r="B759">
            <v>20106338</v>
          </cell>
          <cell r="U759" t="str">
            <v>IVONNE JINETH RODRIGUEZ ROJAS</v>
          </cell>
        </row>
        <row r="760">
          <cell r="B760">
            <v>20106343</v>
          </cell>
          <cell r="U760" t="str">
            <v>MARSHIA MILENA JIMéNEZ GóMEZ</v>
          </cell>
        </row>
        <row r="761">
          <cell r="B761">
            <v>20106350</v>
          </cell>
          <cell r="U761" t="str">
            <v>IVONNE JINETH RODRIGUEZ ROJAS</v>
          </cell>
        </row>
        <row r="762">
          <cell r="B762">
            <v>20106352</v>
          </cell>
          <cell r="U762" t="str">
            <v>JEISSON FABIAN MOLINA CIRO</v>
          </cell>
        </row>
        <row r="763">
          <cell r="B763">
            <v>20106357</v>
          </cell>
          <cell r="U763" t="str">
            <v>PAOLA ANDREA CALDERON CETINA</v>
          </cell>
        </row>
        <row r="764">
          <cell r="B764">
            <v>20106363</v>
          </cell>
          <cell r="U764" t="str">
            <v>NELSON JAVIER MORERA RINCON</v>
          </cell>
        </row>
        <row r="765">
          <cell r="B765">
            <v>20106366</v>
          </cell>
          <cell r="U765" t="str">
            <v>MARSHIA MILENA JIMéNEZ GóMEZ</v>
          </cell>
        </row>
        <row r="766">
          <cell r="B766">
            <v>20106371</v>
          </cell>
          <cell r="U766" t="str">
            <v>HEIDY LORENA PRIETO AHUMADA</v>
          </cell>
        </row>
        <row r="767">
          <cell r="B767">
            <v>20106372</v>
          </cell>
          <cell r="U767" t="str">
            <v>NELSON JAVIER MORERA RINCON</v>
          </cell>
        </row>
        <row r="768">
          <cell r="B768">
            <v>20106373</v>
          </cell>
          <cell r="U768" t="str">
            <v>MARSHIA MILENA JIMéNEZ GóMEZ</v>
          </cell>
        </row>
        <row r="769">
          <cell r="B769">
            <v>20106377</v>
          </cell>
          <cell r="U769" t="str">
            <v>HEIDY LORENA PRIETO AHUMADA</v>
          </cell>
        </row>
        <row r="770">
          <cell r="B770">
            <v>20106378</v>
          </cell>
          <cell r="U770" t="str">
            <v>IVONNE JINETH RODRIGUEZ ROJAS</v>
          </cell>
        </row>
        <row r="771">
          <cell r="B771">
            <v>20106381</v>
          </cell>
          <cell r="U771" t="str">
            <v>MARSHIA MILENA JIMéNEZ GóMEZ</v>
          </cell>
        </row>
        <row r="772">
          <cell r="B772">
            <v>20106387</v>
          </cell>
          <cell r="U772" t="str">
            <v>MARSHIA MILENA JIMéNEZ GóMEZ</v>
          </cell>
        </row>
        <row r="773">
          <cell r="B773">
            <v>20106390</v>
          </cell>
          <cell r="U773" t="str">
            <v>MARSHIA MILENA JIMéNEZ GóMEZ</v>
          </cell>
        </row>
        <row r="774">
          <cell r="B774">
            <v>20106403</v>
          </cell>
          <cell r="U774" t="str">
            <v>MARSHIA MILENA JIMéNEZ GóMEZ</v>
          </cell>
        </row>
        <row r="775">
          <cell r="B775">
            <v>20106423</v>
          </cell>
          <cell r="U775" t="str">
            <v>PAOLA ANDREA CALDERON CETINA</v>
          </cell>
        </row>
        <row r="776">
          <cell r="B776">
            <v>20106428</v>
          </cell>
          <cell r="U776" t="str">
            <v>PAOLA ANDREA CALDERON CETINA</v>
          </cell>
        </row>
        <row r="777">
          <cell r="B777">
            <v>20106440</v>
          </cell>
          <cell r="U777" t="str">
            <v>GINA PAOLA MEDINA FLOREZ</v>
          </cell>
        </row>
        <row r="778">
          <cell r="B778">
            <v>20106443</v>
          </cell>
          <cell r="U778" t="str">
            <v>JOHAN SEBASTIAN PARDEYN AGUILAR</v>
          </cell>
        </row>
        <row r="779">
          <cell r="B779">
            <v>20106444</v>
          </cell>
          <cell r="U779" t="str">
            <v>IVONNE JINETH RODRIGUEZ ROJAS</v>
          </cell>
        </row>
        <row r="780">
          <cell r="B780">
            <v>20106445</v>
          </cell>
          <cell r="U780" t="str">
            <v>IVONNE JINETH RODRIGUEZ ROJAS</v>
          </cell>
        </row>
        <row r="781">
          <cell r="B781">
            <v>20106449</v>
          </cell>
          <cell r="U781" t="str">
            <v>IVONNE JINETH RODRIGUEZ ROJAS</v>
          </cell>
        </row>
        <row r="782">
          <cell r="B782">
            <v>20106455</v>
          </cell>
          <cell r="U782" t="str">
            <v>MARSHIA MILENA JIMéNEZ GóMEZ</v>
          </cell>
        </row>
        <row r="783">
          <cell r="B783">
            <v>20106477</v>
          </cell>
          <cell r="U783" t="str">
            <v>GINA PAOLA MEDINA FLOREZ</v>
          </cell>
        </row>
        <row r="784">
          <cell r="B784">
            <v>20106478</v>
          </cell>
          <cell r="U784" t="str">
            <v>GINA PAOLA MEDINA FLOREZ</v>
          </cell>
        </row>
        <row r="785">
          <cell r="B785">
            <v>20106482</v>
          </cell>
          <cell r="U785" t="str">
            <v>NELSON JAVIER MORERA RINCON</v>
          </cell>
        </row>
        <row r="786">
          <cell r="B786">
            <v>20106483</v>
          </cell>
          <cell r="U786" t="str">
            <v>FABIAN CONCHA</v>
          </cell>
        </row>
        <row r="787">
          <cell r="B787">
            <v>20106485</v>
          </cell>
          <cell r="U787" t="str">
            <v>IVONNE JINETH RODRIGUEZ ROJAS</v>
          </cell>
        </row>
        <row r="788">
          <cell r="B788">
            <v>20106492</v>
          </cell>
          <cell r="U788" t="str">
            <v>FABIAN CONCHA</v>
          </cell>
        </row>
        <row r="789">
          <cell r="B789">
            <v>20106508</v>
          </cell>
          <cell r="U789" t="str">
            <v>FABIAN CONCHA</v>
          </cell>
        </row>
        <row r="790">
          <cell r="B790">
            <v>20106519</v>
          </cell>
          <cell r="U790" t="str">
            <v>PAOLA ANDREA CALDERON CETINA</v>
          </cell>
        </row>
        <row r="791">
          <cell r="B791">
            <v>20106525</v>
          </cell>
          <cell r="U791" t="str">
            <v>FABIAN CONCHA</v>
          </cell>
        </row>
        <row r="792">
          <cell r="B792">
            <v>20106527</v>
          </cell>
          <cell r="U792" t="str">
            <v>JEISSON FABIAN MOLINA CIRO</v>
          </cell>
        </row>
        <row r="793">
          <cell r="B793">
            <v>20106530</v>
          </cell>
          <cell r="U793" t="str">
            <v>FABIAN CONCHA</v>
          </cell>
        </row>
        <row r="794">
          <cell r="B794">
            <v>20106535</v>
          </cell>
          <cell r="U794" t="str">
            <v>JEISSON FABIAN MOLINA CIRO</v>
          </cell>
        </row>
        <row r="795">
          <cell r="B795">
            <v>20106536</v>
          </cell>
          <cell r="U795" t="str">
            <v>GINA PAOLA MEDINA FLOREZ</v>
          </cell>
        </row>
        <row r="796">
          <cell r="B796">
            <v>20106541</v>
          </cell>
          <cell r="U796" t="str">
            <v>IVONNE JINETH RODRIGUEZ ROJAS</v>
          </cell>
        </row>
        <row r="797">
          <cell r="B797">
            <v>20106544</v>
          </cell>
          <cell r="U797" t="str">
            <v>GINA PAOLA MEDINA FLOREZ</v>
          </cell>
        </row>
        <row r="798">
          <cell r="B798">
            <v>20106547</v>
          </cell>
          <cell r="U798" t="str">
            <v>GINA PAOLA MEDINA FLOREZ</v>
          </cell>
        </row>
        <row r="799">
          <cell r="B799">
            <v>20106565</v>
          </cell>
          <cell r="U799" t="str">
            <v>IVONNE JINETH RODRIGUEZ ROJAS</v>
          </cell>
        </row>
        <row r="800">
          <cell r="B800">
            <v>20106571</v>
          </cell>
          <cell r="U800" t="str">
            <v>JAVIER ORLANDO HERNANDEZ RIVERA</v>
          </cell>
        </row>
        <row r="801">
          <cell r="B801">
            <v>20106572</v>
          </cell>
          <cell r="U801" t="str">
            <v>CATALINA PACHECO BURGOS</v>
          </cell>
        </row>
        <row r="802">
          <cell r="B802">
            <v>20106573</v>
          </cell>
          <cell r="U802" t="str">
            <v>IVONNE JINETH RODRIGUEZ ROJAS</v>
          </cell>
        </row>
        <row r="803">
          <cell r="B803">
            <v>20106576</v>
          </cell>
          <cell r="U803" t="str">
            <v>IVONNE JINETH RODRIGUEZ ROJAS</v>
          </cell>
        </row>
        <row r="804">
          <cell r="B804">
            <v>20106577</v>
          </cell>
          <cell r="U804" t="str">
            <v>JEISSON FABIAN MOLINA CIRO</v>
          </cell>
        </row>
        <row r="805">
          <cell r="B805">
            <v>20106581</v>
          </cell>
          <cell r="U805" t="str">
            <v>IVONNE JINETH RODRIGUEZ ROJAS</v>
          </cell>
        </row>
        <row r="806">
          <cell r="B806">
            <v>20106587</v>
          </cell>
          <cell r="U806" t="str">
            <v>IVONNE JINETH RODRIGUEZ ROJAS</v>
          </cell>
        </row>
        <row r="807">
          <cell r="B807">
            <v>20106599</v>
          </cell>
          <cell r="U807" t="str">
            <v>FABIAN CONCHA</v>
          </cell>
        </row>
        <row r="808">
          <cell r="B808">
            <v>20106602</v>
          </cell>
          <cell r="U808" t="str">
            <v>FABIAN CONCHA</v>
          </cell>
        </row>
        <row r="809">
          <cell r="B809">
            <v>20106618</v>
          </cell>
          <cell r="U809" t="str">
            <v>FABIAN CONCHA</v>
          </cell>
        </row>
        <row r="810">
          <cell r="B810">
            <v>20106633</v>
          </cell>
          <cell r="U810" t="str">
            <v>IVONNE JINETH RODRIGUEZ ROJAS</v>
          </cell>
        </row>
        <row r="811">
          <cell r="B811">
            <v>20106634</v>
          </cell>
          <cell r="U811" t="str">
            <v>JEISSON FABIAN MOLINA CIRO</v>
          </cell>
        </row>
        <row r="812">
          <cell r="B812">
            <v>20106643</v>
          </cell>
          <cell r="U812" t="str">
            <v>JAVIER ORLANDO HERNANDEZ RIVERA</v>
          </cell>
        </row>
        <row r="813">
          <cell r="B813">
            <v>20106650</v>
          </cell>
          <cell r="U813" t="str">
            <v>IVONNE JINETH RODRIGUEZ ROJAS</v>
          </cell>
        </row>
        <row r="814">
          <cell r="B814">
            <v>20106662</v>
          </cell>
          <cell r="U814" t="str">
            <v>CATALINA PACHECO BURGOS</v>
          </cell>
        </row>
        <row r="815">
          <cell r="B815">
            <v>20106663</v>
          </cell>
          <cell r="U815" t="str">
            <v>ANGIE LIZETH GARZON GARCIA</v>
          </cell>
        </row>
        <row r="816">
          <cell r="B816">
            <v>20106667</v>
          </cell>
          <cell r="U816" t="str">
            <v>PAOLA ANDREA CALDERON CETINA</v>
          </cell>
        </row>
        <row r="817">
          <cell r="B817">
            <v>20106669</v>
          </cell>
          <cell r="U817" t="str">
            <v>FABIAN CONCHA</v>
          </cell>
        </row>
        <row r="818">
          <cell r="B818">
            <v>20106678</v>
          </cell>
          <cell r="U818" t="str">
            <v>HEIDY LORENA PRIETO AHUMADA</v>
          </cell>
        </row>
        <row r="819">
          <cell r="B819">
            <v>20106680</v>
          </cell>
          <cell r="U819" t="str">
            <v>IVONNE JINETH RODRIGUEZ ROJAS</v>
          </cell>
        </row>
        <row r="820">
          <cell r="B820">
            <v>20106685</v>
          </cell>
          <cell r="U820" t="str">
            <v>FABIAN CONCHA</v>
          </cell>
        </row>
        <row r="821">
          <cell r="B821">
            <v>20106686</v>
          </cell>
          <cell r="U821" t="str">
            <v>IVONNE JINETH RODRIGUEZ ROJAS</v>
          </cell>
        </row>
        <row r="822">
          <cell r="B822">
            <v>20106688</v>
          </cell>
          <cell r="U822" t="str">
            <v>IVONNE JINETH RODRIGUEZ ROJAS</v>
          </cell>
        </row>
        <row r="823">
          <cell r="B823">
            <v>20106695</v>
          </cell>
          <cell r="U823" t="str">
            <v>IVONNE JINETH RODRIGUEZ ROJAS</v>
          </cell>
        </row>
        <row r="824">
          <cell r="B824">
            <v>20106703</v>
          </cell>
          <cell r="U824" t="str">
            <v>MARSHIA MILENA JIMéNEZ GóMEZ</v>
          </cell>
        </row>
        <row r="825">
          <cell r="B825">
            <v>20106704</v>
          </cell>
          <cell r="U825" t="str">
            <v>NELSON JAVIER MORERA RINCON</v>
          </cell>
        </row>
        <row r="826">
          <cell r="B826">
            <v>20106711</v>
          </cell>
          <cell r="U826" t="str">
            <v>PAOLA ANDREA CALDERON CETINA</v>
          </cell>
        </row>
        <row r="827">
          <cell r="B827">
            <v>20106713</v>
          </cell>
          <cell r="U827" t="str">
            <v>NELSON JAVIER MORERA RINCON</v>
          </cell>
        </row>
        <row r="828">
          <cell r="B828">
            <v>20106714</v>
          </cell>
          <cell r="U828" t="str">
            <v>IVONNE JINETH RODRIGUEZ ROJAS</v>
          </cell>
        </row>
        <row r="829">
          <cell r="B829">
            <v>20106720</v>
          </cell>
          <cell r="U829" t="str">
            <v>GINA PAOLA MEDINA FLOREZ</v>
          </cell>
        </row>
        <row r="830">
          <cell r="B830">
            <v>20106722</v>
          </cell>
          <cell r="U830" t="str">
            <v>IVONNE JINETH RODRIGUEZ ROJAS</v>
          </cell>
        </row>
        <row r="831">
          <cell r="B831">
            <v>20106726</v>
          </cell>
          <cell r="U831" t="str">
            <v>GINA PAOLA MEDINA FLOREZ</v>
          </cell>
        </row>
        <row r="832">
          <cell r="B832">
            <v>20106729</v>
          </cell>
          <cell r="U832" t="str">
            <v/>
          </cell>
        </row>
        <row r="833">
          <cell r="B833">
            <v>20106737</v>
          </cell>
          <cell r="U833" t="str">
            <v>JOVANNY ALEXANDER BENAVIDES APRAEZ</v>
          </cell>
        </row>
        <row r="834">
          <cell r="B834">
            <v>20106738</v>
          </cell>
          <cell r="U834" t="str">
            <v>HEIDY LORENA PRIETO AHUMADA</v>
          </cell>
        </row>
        <row r="835">
          <cell r="B835">
            <v>20106744</v>
          </cell>
          <cell r="U835" t="str">
            <v>IVONNE JINETH RODRIGUEZ ROJAS</v>
          </cell>
        </row>
        <row r="836">
          <cell r="B836">
            <v>20106745</v>
          </cell>
          <cell r="U836" t="str">
            <v>IVONNE JINETH RODRIGUEZ ROJAS</v>
          </cell>
        </row>
        <row r="837">
          <cell r="B837">
            <v>20106747</v>
          </cell>
          <cell r="U837" t="str">
            <v>IVONNE JINETH RODRIGUEZ ROJAS</v>
          </cell>
        </row>
        <row r="838">
          <cell r="B838">
            <v>20106752</v>
          </cell>
          <cell r="U838" t="str">
            <v>FABIAN CONCHA</v>
          </cell>
        </row>
        <row r="839">
          <cell r="B839">
            <v>20106755</v>
          </cell>
          <cell r="U839" t="str">
            <v>GINA PAOLA MEDINA FLOREZ</v>
          </cell>
        </row>
        <row r="840">
          <cell r="B840">
            <v>20106757</v>
          </cell>
          <cell r="U840" t="str">
            <v>FABIAN CONCHA</v>
          </cell>
        </row>
        <row r="841">
          <cell r="B841">
            <v>20106762</v>
          </cell>
          <cell r="U841" t="str">
            <v>IVONNE JINETH RODRIGUEZ ROJAS</v>
          </cell>
        </row>
        <row r="842">
          <cell r="B842">
            <v>20106763</v>
          </cell>
          <cell r="U842" t="str">
            <v>FABIAN CONCHA</v>
          </cell>
        </row>
        <row r="843">
          <cell r="B843">
            <v>20106767</v>
          </cell>
          <cell r="U843" t="str">
            <v>PAOLA ANDREA CALDERON CETINA</v>
          </cell>
        </row>
        <row r="844">
          <cell r="B844">
            <v>20106770</v>
          </cell>
          <cell r="U844" t="str">
            <v>MARSHIA MILENA JIMéNEZ GóMEZ</v>
          </cell>
        </row>
        <row r="845">
          <cell r="B845">
            <v>20106776</v>
          </cell>
          <cell r="U845" t="str">
            <v>JEISSON FABIAN MOLINA CIRO</v>
          </cell>
        </row>
        <row r="846">
          <cell r="B846">
            <v>20106816</v>
          </cell>
          <cell r="U846" t="str">
            <v>GINA PAOLA MEDINA FLOREZ</v>
          </cell>
        </row>
        <row r="847">
          <cell r="B847">
            <v>20106817</v>
          </cell>
          <cell r="U847" t="str">
            <v>JAVIER ORLANDO HERNANDEZ RIVERA</v>
          </cell>
        </row>
        <row r="848">
          <cell r="B848">
            <v>20106841</v>
          </cell>
          <cell r="U848" t="str">
            <v>FABIAN CONCHA</v>
          </cell>
        </row>
        <row r="849">
          <cell r="B849">
            <v>20106843</v>
          </cell>
          <cell r="U849" t="str">
            <v>NELSON JAVIER MORERA RINCON</v>
          </cell>
        </row>
        <row r="850">
          <cell r="B850">
            <v>20106846</v>
          </cell>
          <cell r="U850" t="str">
            <v>NELSON JAVIER MORERA RINCON</v>
          </cell>
        </row>
        <row r="851">
          <cell r="B851">
            <v>20106848</v>
          </cell>
          <cell r="U851" t="str">
            <v>IVONNE JINETH RODRIGUEZ ROJAS</v>
          </cell>
        </row>
        <row r="852">
          <cell r="B852">
            <v>20106850</v>
          </cell>
          <cell r="U852" t="str">
            <v>FABIAN CONCHA</v>
          </cell>
        </row>
        <row r="853">
          <cell r="B853">
            <v>20106859</v>
          </cell>
          <cell r="U853" t="str">
            <v>PAOLA ANDREA CALDERON CETINA</v>
          </cell>
        </row>
        <row r="854">
          <cell r="B854">
            <v>20106863</v>
          </cell>
          <cell r="U854" t="str">
            <v>FABIAN CONCHA</v>
          </cell>
        </row>
        <row r="855">
          <cell r="B855">
            <v>20106865</v>
          </cell>
          <cell r="U855" t="str">
            <v>HEIDY LORENA PRIETO AHUMADA</v>
          </cell>
        </row>
        <row r="856">
          <cell r="B856">
            <v>20106866</v>
          </cell>
          <cell r="U856" t="str">
            <v>ANGIE LIZETH GARZON GARCIA</v>
          </cell>
        </row>
        <row r="857">
          <cell r="B857">
            <v>20106877</v>
          </cell>
          <cell r="U857" t="str">
            <v>NELSON JAVIER MORERA RINCON</v>
          </cell>
        </row>
        <row r="858">
          <cell r="B858">
            <v>20106884</v>
          </cell>
          <cell r="U858" t="str">
            <v>HEIDY LORENA PRIETO AHUMADA</v>
          </cell>
        </row>
        <row r="859">
          <cell r="B859">
            <v>20106905</v>
          </cell>
          <cell r="U859" t="str">
            <v>ANGIE LIZETH GARZON GARCIA</v>
          </cell>
        </row>
        <row r="860">
          <cell r="B860">
            <v>20106911</v>
          </cell>
          <cell r="U860" t="str">
            <v>IVONNE JINETH RODRIGUEZ ROJAS</v>
          </cell>
        </row>
        <row r="861">
          <cell r="B861">
            <v>20106912</v>
          </cell>
          <cell r="U861" t="str">
            <v>GINA PAOLA MEDINA FLOREZ</v>
          </cell>
        </row>
        <row r="862">
          <cell r="B862">
            <v>20106917</v>
          </cell>
          <cell r="U862" t="str">
            <v>PAOLA ANDREA CALDERON CETINA</v>
          </cell>
        </row>
        <row r="863">
          <cell r="B863">
            <v>20106929</v>
          </cell>
          <cell r="U863" t="str">
            <v>GINA PAOLA MEDINA FLOREZ</v>
          </cell>
        </row>
        <row r="864">
          <cell r="B864">
            <v>20106930</v>
          </cell>
          <cell r="U864" t="str">
            <v>HEIDY LORENA PRIETO AHUMADA</v>
          </cell>
        </row>
        <row r="865">
          <cell r="B865">
            <v>20106933</v>
          </cell>
          <cell r="U865" t="str">
            <v>PAOLA ANDREA CALDERON CETINA</v>
          </cell>
        </row>
        <row r="866">
          <cell r="B866">
            <v>20106937</v>
          </cell>
          <cell r="U866" t="str">
            <v>CATALINA PACHECO BURGOS</v>
          </cell>
        </row>
        <row r="867">
          <cell r="B867">
            <v>20106950</v>
          </cell>
          <cell r="U867" t="str">
            <v>HEIDY LORENA PRIETO AHUMADA</v>
          </cell>
        </row>
        <row r="868">
          <cell r="B868">
            <v>20106952</v>
          </cell>
          <cell r="U868" t="str">
            <v>CATALINA PACHECO BURGOS</v>
          </cell>
        </row>
        <row r="869">
          <cell r="B869">
            <v>20106956</v>
          </cell>
          <cell r="U869" t="str">
            <v>IVONNE JINETH RODRIGUEZ ROJAS</v>
          </cell>
        </row>
        <row r="870">
          <cell r="B870">
            <v>20106971</v>
          </cell>
          <cell r="U870" t="str">
            <v>CATALINA PACHECO BURGOS</v>
          </cell>
        </row>
        <row r="871">
          <cell r="B871">
            <v>20106973</v>
          </cell>
          <cell r="U871" t="str">
            <v>PAOLA ANDREA CALDERON CETINA</v>
          </cell>
        </row>
        <row r="872">
          <cell r="B872">
            <v>20106979</v>
          </cell>
          <cell r="U872" t="str">
            <v>IVONNE JINETH RODRIGUEZ ROJAS</v>
          </cell>
        </row>
        <row r="873">
          <cell r="B873">
            <v>20106980</v>
          </cell>
          <cell r="U873" t="str">
            <v>IVONNE JINETH RODRIGUEZ ROJAS</v>
          </cell>
        </row>
        <row r="874">
          <cell r="B874">
            <v>20106984</v>
          </cell>
          <cell r="U874" t="str">
            <v>ANGIE LIZETH GARZON GARCIA</v>
          </cell>
        </row>
        <row r="875">
          <cell r="B875">
            <v>20106993</v>
          </cell>
          <cell r="U875" t="str">
            <v>GINA PAOLA MEDINA FLOREZ</v>
          </cell>
        </row>
        <row r="876">
          <cell r="B876">
            <v>20106995</v>
          </cell>
          <cell r="U876" t="str">
            <v>PAOLA ANDREA CALDERON CETINA</v>
          </cell>
        </row>
        <row r="877">
          <cell r="B877">
            <v>20107006</v>
          </cell>
          <cell r="U877" t="str">
            <v>FABIAN CONCHA</v>
          </cell>
        </row>
        <row r="878">
          <cell r="B878">
            <v>20107010</v>
          </cell>
          <cell r="U878" t="str">
            <v>IVONNE JINETH RODRIGUEZ ROJAS</v>
          </cell>
        </row>
        <row r="879">
          <cell r="B879">
            <v>20107022</v>
          </cell>
          <cell r="U879" t="str">
            <v>PAOLA ANDREA CALDERON CETINA</v>
          </cell>
        </row>
        <row r="880">
          <cell r="B880">
            <v>20107026</v>
          </cell>
          <cell r="U880" t="str">
            <v>FABIAN CONCHA</v>
          </cell>
        </row>
        <row r="881">
          <cell r="B881">
            <v>20107035</v>
          </cell>
          <cell r="U881" t="str">
            <v>GINA PAOLA MEDINA FLOREZ</v>
          </cell>
        </row>
        <row r="882">
          <cell r="B882">
            <v>20107041</v>
          </cell>
          <cell r="U882" t="str">
            <v>NELSON JAVIER MORERA RINCON</v>
          </cell>
        </row>
        <row r="883">
          <cell r="B883">
            <v>20107064</v>
          </cell>
          <cell r="U883" t="str">
            <v>IVONNE JINETH RODRIGUEZ ROJAS</v>
          </cell>
        </row>
        <row r="884">
          <cell r="B884">
            <v>20107069</v>
          </cell>
          <cell r="U884" t="str">
            <v>MARSHIA MILENA JIMéNEZ GóMEZ</v>
          </cell>
        </row>
        <row r="885">
          <cell r="B885">
            <v>20107090</v>
          </cell>
          <cell r="U885" t="str">
            <v>PAOLA ANDREA CALDERON CETINA</v>
          </cell>
        </row>
        <row r="886">
          <cell r="B886">
            <v>20107094</v>
          </cell>
          <cell r="U886" t="str">
            <v>FABIAN CONCHA</v>
          </cell>
        </row>
        <row r="887">
          <cell r="B887">
            <v>20107100</v>
          </cell>
          <cell r="U887" t="str">
            <v>NELSON JAVIER MORERA RINCON</v>
          </cell>
        </row>
        <row r="888">
          <cell r="B888">
            <v>20107105</v>
          </cell>
          <cell r="U888" t="str">
            <v>FABIAN CONCHA</v>
          </cell>
        </row>
        <row r="889">
          <cell r="B889">
            <v>20107111</v>
          </cell>
          <cell r="U889" t="str">
            <v>FABIAN CONCHA</v>
          </cell>
        </row>
        <row r="890">
          <cell r="B890">
            <v>20107112</v>
          </cell>
          <cell r="U890" t="str">
            <v>PAOLA ANDREA CALDERON CETINA</v>
          </cell>
        </row>
        <row r="891">
          <cell r="B891">
            <v>20107117</v>
          </cell>
          <cell r="U891" t="str">
            <v>CATALINA PACHECO BURGOS</v>
          </cell>
        </row>
        <row r="892">
          <cell r="B892">
            <v>20107199</v>
          </cell>
          <cell r="U892" t="str">
            <v>IVONNE JINETH RODRIGUEZ ROJAS</v>
          </cell>
        </row>
        <row r="893">
          <cell r="B893">
            <v>20107214</v>
          </cell>
          <cell r="U893" t="str">
            <v>HEIDY LORENA PRIETO AHUMADA</v>
          </cell>
        </row>
        <row r="894">
          <cell r="B894">
            <v>20107223</v>
          </cell>
          <cell r="U894" t="str">
            <v>IVONNE JINETH RODRIGUEZ ROJAS</v>
          </cell>
        </row>
        <row r="895">
          <cell r="B895">
            <v>20107233</v>
          </cell>
          <cell r="U895" t="str">
            <v>IVONNE JINETH RODRIGUEZ ROJAS</v>
          </cell>
        </row>
        <row r="896">
          <cell r="B896">
            <v>20107239</v>
          </cell>
          <cell r="U896" t="str">
            <v>FABIAN CONCHA</v>
          </cell>
        </row>
        <row r="897">
          <cell r="B897">
            <v>20107241</v>
          </cell>
          <cell r="U897" t="str">
            <v>IVONNE JINETH RODRIGUEZ ROJAS</v>
          </cell>
        </row>
        <row r="898">
          <cell r="B898">
            <v>20107245</v>
          </cell>
          <cell r="U898" t="str">
            <v>PAOLA ANDREA CALDERON CETINA</v>
          </cell>
        </row>
        <row r="899">
          <cell r="B899">
            <v>20107273</v>
          </cell>
          <cell r="U899" t="str">
            <v>CATALINA PACHECO BURGOS</v>
          </cell>
        </row>
        <row r="900">
          <cell r="B900">
            <v>20107285</v>
          </cell>
          <cell r="U900" t="str">
            <v>HEIDY LORENA PRIETO AHUMADA</v>
          </cell>
        </row>
        <row r="901">
          <cell r="B901">
            <v>20107298</v>
          </cell>
          <cell r="U901" t="str">
            <v>JAVIER ORLANDO HERNANDEZ RIVERA</v>
          </cell>
        </row>
        <row r="902">
          <cell r="B902">
            <v>20107304</v>
          </cell>
          <cell r="U902" t="str">
            <v>HEIDY LORENA PRIETO AHUMADA</v>
          </cell>
        </row>
        <row r="903">
          <cell r="B903">
            <v>20107305</v>
          </cell>
          <cell r="U903" t="str">
            <v>IVONNE JINETH RODRIGUEZ ROJAS</v>
          </cell>
        </row>
        <row r="904">
          <cell r="B904">
            <v>20107311</v>
          </cell>
          <cell r="U904" t="str">
            <v>HEIDY LORENA PRIETO AHUMADA</v>
          </cell>
        </row>
        <row r="905">
          <cell r="B905">
            <v>20107313</v>
          </cell>
          <cell r="U905" t="str">
            <v>FABIAN CONCHA</v>
          </cell>
        </row>
        <row r="906">
          <cell r="B906">
            <v>20107314</v>
          </cell>
          <cell r="U906" t="str">
            <v>PAOLA ANDREA CALDERON CETINA</v>
          </cell>
        </row>
        <row r="907">
          <cell r="B907">
            <v>20107326</v>
          </cell>
          <cell r="U907" t="str">
            <v>NELSON JAVIER MORERA RINCON</v>
          </cell>
        </row>
        <row r="908">
          <cell r="B908">
            <v>20107331</v>
          </cell>
          <cell r="U908" t="str">
            <v>FABIAN CONCHA</v>
          </cell>
        </row>
        <row r="909">
          <cell r="B909">
            <v>20107359</v>
          </cell>
          <cell r="U909" t="str">
            <v>FABIAN CONCHA</v>
          </cell>
        </row>
        <row r="910">
          <cell r="B910">
            <v>20107370</v>
          </cell>
          <cell r="U910" t="str">
            <v>MARSHIA MILENA JIMéNEZ GóMEZ</v>
          </cell>
        </row>
        <row r="911">
          <cell r="B911">
            <v>20107390</v>
          </cell>
          <cell r="U911" t="str">
            <v>NELSON JAVIER MORERA RINCON</v>
          </cell>
        </row>
        <row r="912">
          <cell r="B912">
            <v>20107398</v>
          </cell>
          <cell r="U912" t="str">
            <v>IVONNE JINETH RODRIGUEZ ROJAS</v>
          </cell>
        </row>
        <row r="913">
          <cell r="B913">
            <v>20107402</v>
          </cell>
          <cell r="U913" t="str">
            <v>NELSON JAVIER MORERA RINCON</v>
          </cell>
        </row>
        <row r="914">
          <cell r="B914">
            <v>20107404</v>
          </cell>
          <cell r="U914" t="str">
            <v>IVONNE JINETH RODRIGUEZ ROJAS</v>
          </cell>
        </row>
        <row r="915">
          <cell r="B915">
            <v>20107406</v>
          </cell>
          <cell r="U915" t="str">
            <v>IVONNE JINETH RODRIGUEZ ROJAS</v>
          </cell>
        </row>
        <row r="916">
          <cell r="B916">
            <v>20107407</v>
          </cell>
          <cell r="U916" t="str">
            <v>HEIDY LORENA PRIETO AHUMADA</v>
          </cell>
        </row>
        <row r="917">
          <cell r="B917">
            <v>20107461</v>
          </cell>
          <cell r="U917" t="str">
            <v>PAOLA ANDREA CALDERON CETINA</v>
          </cell>
        </row>
        <row r="918">
          <cell r="B918">
            <v>20107468</v>
          </cell>
          <cell r="U918" t="e">
            <v>#N/A</v>
          </cell>
        </row>
        <row r="919">
          <cell r="B919">
            <v>20107471</v>
          </cell>
          <cell r="U919" t="str">
            <v>HEIDY LORENA PRIETO AHUMADA</v>
          </cell>
        </row>
        <row r="920">
          <cell r="B920">
            <v>20107477</v>
          </cell>
          <cell r="U920" t="str">
            <v>JOHAN SEBASTIAN PARDEYN AGUILAR</v>
          </cell>
        </row>
        <row r="921">
          <cell r="B921">
            <v>20107484</v>
          </cell>
          <cell r="U921" t="str">
            <v>PAOLA ANDREA CALDERON CETINA</v>
          </cell>
        </row>
        <row r="922">
          <cell r="B922">
            <v>20107507</v>
          </cell>
          <cell r="U922" t="str">
            <v>JOHAN SEBASTIAN PARDEYN AGUILAR</v>
          </cell>
        </row>
        <row r="923">
          <cell r="B923">
            <v>20107508</v>
          </cell>
          <cell r="U923" t="str">
            <v>JOHAN SEBASTIAN PARDEYN AGUILAR</v>
          </cell>
        </row>
        <row r="924">
          <cell r="B924">
            <v>20107519</v>
          </cell>
          <cell r="U924" t="str">
            <v>NELSON JAVIER MORERA RINCON</v>
          </cell>
        </row>
        <row r="925">
          <cell r="B925">
            <v>20107520</v>
          </cell>
          <cell r="U925" t="str">
            <v>MARSHIA MILENA JIMéNEZ GóMEZ</v>
          </cell>
        </row>
        <row r="926">
          <cell r="B926">
            <v>20107522</v>
          </cell>
          <cell r="U926" t="str">
            <v>FABIAN CONCHA</v>
          </cell>
        </row>
        <row r="927">
          <cell r="B927">
            <v>20107525</v>
          </cell>
          <cell r="U927" t="str">
            <v>IVONNE JINETH RODRIGUEZ ROJAS</v>
          </cell>
        </row>
        <row r="928">
          <cell r="B928">
            <v>20107555</v>
          </cell>
          <cell r="U928" t="str">
            <v>JAVIER ORLANDO HERNANDEZ RIVERA</v>
          </cell>
        </row>
        <row r="929">
          <cell r="B929">
            <v>20107577</v>
          </cell>
          <cell r="U929" t="str">
            <v>JAVIER ORLANDO HERNANDEZ RIVERA</v>
          </cell>
        </row>
        <row r="930">
          <cell r="B930">
            <v>20107586</v>
          </cell>
          <cell r="U930" t="str">
            <v>JEISSON FABIAN MOLINA CIRO</v>
          </cell>
        </row>
        <row r="931">
          <cell r="B931">
            <v>20107595</v>
          </cell>
          <cell r="U931" t="str">
            <v>CATALINA PACHECO BURGOS</v>
          </cell>
        </row>
        <row r="932">
          <cell r="B932">
            <v>20107606</v>
          </cell>
          <cell r="U932" t="str">
            <v>PAOLA ANDREA CALDERON CETINA</v>
          </cell>
        </row>
        <row r="933">
          <cell r="B933">
            <v>20107640</v>
          </cell>
          <cell r="U933" t="str">
            <v>JAVIER ORLANDO HERNANDEZ RIVERA</v>
          </cell>
        </row>
        <row r="934">
          <cell r="B934">
            <v>20107708</v>
          </cell>
          <cell r="U934" t="str">
            <v>MARSHIA MILENA JIMéNEZ GóMEZ</v>
          </cell>
        </row>
        <row r="935">
          <cell r="B935">
            <v>20107744</v>
          </cell>
          <cell r="U935" t="str">
            <v>PAOLA ANDREA CALDERON CETINA</v>
          </cell>
        </row>
        <row r="936">
          <cell r="B936">
            <v>20107758</v>
          </cell>
          <cell r="U936" t="str">
            <v>NELSON JAVIER MORERA RINCON</v>
          </cell>
        </row>
        <row r="937">
          <cell r="B937">
            <v>20107760</v>
          </cell>
          <cell r="U937" t="str">
            <v>JEISSON FABIAN MOLINA CIRO</v>
          </cell>
        </row>
        <row r="938">
          <cell r="B938">
            <v>20107773</v>
          </cell>
          <cell r="U938" t="str">
            <v>HEIDY LORENA PRIETO AHUMADA</v>
          </cell>
        </row>
        <row r="939">
          <cell r="B939">
            <v>20107782</v>
          </cell>
          <cell r="U939" t="str">
            <v>CATALINA PACHECO BURGOS</v>
          </cell>
        </row>
        <row r="940">
          <cell r="B940">
            <v>20107789</v>
          </cell>
          <cell r="U940" t="str">
            <v>NELSON JAVIER MORERA RINCON</v>
          </cell>
        </row>
        <row r="941">
          <cell r="B941">
            <v>20107795</v>
          </cell>
          <cell r="U941" t="str">
            <v>PAOLA ANDREA CALDERON CETINA</v>
          </cell>
        </row>
        <row r="942">
          <cell r="B942">
            <v>20107800</v>
          </cell>
          <cell r="U942" t="str">
            <v>MARSHIA MILENA JIMéNEZ GóMEZ</v>
          </cell>
        </row>
        <row r="943">
          <cell r="B943">
            <v>20107801</v>
          </cell>
          <cell r="U943" t="str">
            <v>MARSHIA MILENA JIMéNEZ GóMEZ</v>
          </cell>
        </row>
        <row r="944">
          <cell r="B944">
            <v>20107821</v>
          </cell>
          <cell r="U944" t="str">
            <v>FABIAN CONCHA</v>
          </cell>
        </row>
        <row r="945">
          <cell r="B945">
            <v>20107833</v>
          </cell>
          <cell r="U945" t="str">
            <v>NELSON JAVIER MORERA RINCON</v>
          </cell>
        </row>
        <row r="946">
          <cell r="B946">
            <v>20107837</v>
          </cell>
          <cell r="U946" t="str">
            <v>JAVIER ORLANDO HERNANDEZ RIVERA</v>
          </cell>
        </row>
        <row r="947">
          <cell r="B947">
            <v>20107844</v>
          </cell>
          <cell r="U947" t="str">
            <v>CATALINA PACHECO BURGOS</v>
          </cell>
        </row>
        <row r="948">
          <cell r="B948">
            <v>20107858</v>
          </cell>
          <cell r="U948" t="str">
            <v>JAVIER ORLANDO HERNANDEZ RIVERA</v>
          </cell>
        </row>
        <row r="949">
          <cell r="B949">
            <v>20107872</v>
          </cell>
          <cell r="U949" t="str">
            <v>IVONNE JINETH RODRIGUEZ ROJAS</v>
          </cell>
        </row>
        <row r="950">
          <cell r="B950">
            <v>20107876</v>
          </cell>
          <cell r="U950" t="str">
            <v>FABIAN CONCHA</v>
          </cell>
        </row>
        <row r="951">
          <cell r="B951">
            <v>20107883</v>
          </cell>
          <cell r="U951" t="str">
            <v>CATALINA PACHECO BURGOS</v>
          </cell>
        </row>
        <row r="952">
          <cell r="B952">
            <v>20107891</v>
          </cell>
          <cell r="U952" t="str">
            <v>IVONNE JINETH RODRIGUEZ ROJAS</v>
          </cell>
        </row>
        <row r="953">
          <cell r="B953">
            <v>20107901</v>
          </cell>
          <cell r="U953" t="str">
            <v>FABIAN CONCHA</v>
          </cell>
        </row>
        <row r="954">
          <cell r="B954">
            <v>20107915</v>
          </cell>
          <cell r="U954" t="str">
            <v>NELSON JAVIER MORERA RINCON</v>
          </cell>
        </row>
        <row r="955">
          <cell r="B955">
            <v>20107921</v>
          </cell>
          <cell r="U955" t="str">
            <v>PAOLA ANDREA CALDERON CETINA</v>
          </cell>
        </row>
        <row r="956">
          <cell r="B956">
            <v>20107923</v>
          </cell>
          <cell r="U956" t="str">
            <v>IVONNE JINETH RODRIGUEZ ROJAS</v>
          </cell>
        </row>
        <row r="957">
          <cell r="B957">
            <v>20107927</v>
          </cell>
          <cell r="U957" t="str">
            <v>NELSON JAVIER MORERA RINCON</v>
          </cell>
        </row>
        <row r="958">
          <cell r="B958">
            <v>20107943</v>
          </cell>
          <cell r="U958" t="str">
            <v>FABIAN CONCHA</v>
          </cell>
        </row>
        <row r="959">
          <cell r="B959">
            <v>20107952</v>
          </cell>
          <cell r="U959" t="str">
            <v>IVONNE JINETH RODRIGUEZ ROJAS</v>
          </cell>
        </row>
        <row r="960">
          <cell r="B960">
            <v>20107953</v>
          </cell>
          <cell r="U960" t="str">
            <v>FABIAN CONCHA</v>
          </cell>
        </row>
        <row r="961">
          <cell r="B961">
            <v>20107957</v>
          </cell>
          <cell r="U961" t="str">
            <v>FABIAN CONCHA</v>
          </cell>
        </row>
        <row r="962">
          <cell r="B962">
            <v>20107970</v>
          </cell>
          <cell r="U962" t="str">
            <v>NELSON JAVIER MORERA RINCON</v>
          </cell>
        </row>
        <row r="963">
          <cell r="B963">
            <v>20107980</v>
          </cell>
          <cell r="U963" t="str">
            <v>FABIAN CONCHA</v>
          </cell>
        </row>
        <row r="964">
          <cell r="B964">
            <v>20108017</v>
          </cell>
          <cell r="U964" t="str">
            <v>JAVIER ORLANDO HERNANDEZ RIVERA</v>
          </cell>
        </row>
        <row r="965">
          <cell r="B965">
            <v>20108034</v>
          </cell>
          <cell r="U965" t="str">
            <v>IVONNE JINETH RODRIGUEZ ROJAS</v>
          </cell>
        </row>
        <row r="966">
          <cell r="B966">
            <v>20108067</v>
          </cell>
          <cell r="U966" t="str">
            <v>ANGIE LIZETH GARZON GARCIA</v>
          </cell>
        </row>
        <row r="967">
          <cell r="B967">
            <v>20108071</v>
          </cell>
          <cell r="U967" t="str">
            <v>CATALINA PACHECO BURGOS</v>
          </cell>
        </row>
        <row r="968">
          <cell r="B968">
            <v>20108072</v>
          </cell>
          <cell r="U968" t="str">
            <v>FABIAN CONCHA</v>
          </cell>
        </row>
        <row r="969">
          <cell r="B969">
            <v>20108074</v>
          </cell>
          <cell r="U969" t="str">
            <v>JOHAN SEBASTIAN PARDEYN AGUILAR</v>
          </cell>
        </row>
        <row r="970">
          <cell r="B970">
            <v>20108080</v>
          </cell>
          <cell r="U970" t="str">
            <v>PAOLA ANDREA CALDERON CETINA</v>
          </cell>
        </row>
        <row r="971">
          <cell r="B971">
            <v>20108091</v>
          </cell>
          <cell r="U971" t="str">
            <v>GINA PAOLA MEDINA FLOREZ</v>
          </cell>
        </row>
        <row r="972">
          <cell r="B972">
            <v>20108102</v>
          </cell>
          <cell r="U972" t="str">
            <v>JOVANNY ALEXANDER BENAVIDES APRAEZ</v>
          </cell>
        </row>
        <row r="973">
          <cell r="B973">
            <v>20108111</v>
          </cell>
          <cell r="U973" t="str">
            <v>JAVIER ORLANDO HERNANDEZ RIVERA</v>
          </cell>
        </row>
        <row r="974">
          <cell r="B974">
            <v>20108120</v>
          </cell>
          <cell r="U974" t="str">
            <v>GINA PAOLA MEDINA FLOREZ</v>
          </cell>
        </row>
        <row r="975">
          <cell r="B975">
            <v>20108126</v>
          </cell>
          <cell r="U975" t="str">
            <v>HEIDY LORENA PRIETO AHUMADA</v>
          </cell>
        </row>
        <row r="976">
          <cell r="B976">
            <v>20108136</v>
          </cell>
          <cell r="U976" t="str">
            <v>MARSHIA MILENA JIMéNEZ GóMEZ</v>
          </cell>
        </row>
        <row r="977">
          <cell r="B977">
            <v>20108143</v>
          </cell>
          <cell r="U977" t="str">
            <v>ANGIE LIZETH GARZON GARCIA</v>
          </cell>
        </row>
        <row r="978">
          <cell r="B978">
            <v>20108144</v>
          </cell>
          <cell r="U978" t="str">
            <v>GINA PAOLA MEDINA FLOREZ</v>
          </cell>
        </row>
        <row r="979">
          <cell r="B979">
            <v>20108145</v>
          </cell>
          <cell r="U979" t="str">
            <v>FABIAN CONCHA</v>
          </cell>
        </row>
        <row r="980">
          <cell r="B980">
            <v>20108148</v>
          </cell>
          <cell r="U980" t="str">
            <v>CATALINA PACHECO BURGOS</v>
          </cell>
        </row>
        <row r="981">
          <cell r="B981">
            <v>20108158</v>
          </cell>
          <cell r="U981" t="str">
            <v>PAOLA ANDREA CALDERON CETINA</v>
          </cell>
        </row>
        <row r="982">
          <cell r="B982">
            <v>20108161</v>
          </cell>
          <cell r="U982" t="str">
            <v>FABIAN CONCHA</v>
          </cell>
        </row>
        <row r="983">
          <cell r="B983">
            <v>20108166</v>
          </cell>
          <cell r="U983" t="str">
            <v>FABIAN CONCHA</v>
          </cell>
        </row>
        <row r="984">
          <cell r="B984">
            <v>20108176</v>
          </cell>
          <cell r="U984" t="str">
            <v>HEIDY LORENA PRIETO AHUMADA</v>
          </cell>
        </row>
        <row r="985">
          <cell r="B985">
            <v>20108180</v>
          </cell>
          <cell r="U985" t="str">
            <v>JAVIER ORLANDO HERNANDEZ RIVERA</v>
          </cell>
        </row>
        <row r="986">
          <cell r="B986">
            <v>20108186</v>
          </cell>
          <cell r="U986" t="str">
            <v>PAOLA ANDREA CALDERON CETINA</v>
          </cell>
        </row>
        <row r="987">
          <cell r="B987">
            <v>20108202</v>
          </cell>
          <cell r="U987" t="str">
            <v>MARSHIA MILENA JIMéNEZ GóMEZ</v>
          </cell>
        </row>
        <row r="988">
          <cell r="B988">
            <v>20108206</v>
          </cell>
          <cell r="U988" t="str">
            <v>IVONNE JINETH RODRIGUEZ ROJAS</v>
          </cell>
        </row>
        <row r="989">
          <cell r="B989">
            <v>20108213</v>
          </cell>
          <cell r="U989" t="str">
            <v>JOVANNY ALEXANDER BENAVIDES APRAEZ</v>
          </cell>
        </row>
        <row r="990">
          <cell r="B990">
            <v>20108215</v>
          </cell>
          <cell r="U990" t="str">
            <v>FABIAN CONCHA</v>
          </cell>
        </row>
        <row r="991">
          <cell r="B991">
            <v>20108242</v>
          </cell>
          <cell r="U991" t="str">
            <v>NELSON JAVIER MORERA RINCON</v>
          </cell>
        </row>
        <row r="992">
          <cell r="B992">
            <v>20108245</v>
          </cell>
          <cell r="U992" t="str">
            <v>IVONNE JINETH RODRIGUEZ ROJAS</v>
          </cell>
        </row>
        <row r="993">
          <cell r="B993">
            <v>20108246</v>
          </cell>
          <cell r="U993" t="str">
            <v>PAOLA ANDREA CALDERON CETINA</v>
          </cell>
        </row>
        <row r="994">
          <cell r="B994">
            <v>20108257</v>
          </cell>
          <cell r="U994" t="str">
            <v>PAOLA ANDREA CALDERON CETINA</v>
          </cell>
        </row>
        <row r="995">
          <cell r="B995">
            <v>20108258</v>
          </cell>
          <cell r="U995" t="str">
            <v>MARSHIA MILENA JIMéNEZ GóMEZ</v>
          </cell>
        </row>
        <row r="996">
          <cell r="B996">
            <v>20108282</v>
          </cell>
          <cell r="U996" t="str">
            <v>JEISSON FABIAN MOLINA CIRO</v>
          </cell>
        </row>
        <row r="997">
          <cell r="B997">
            <v>20108300</v>
          </cell>
          <cell r="U997" t="str">
            <v>NELSON JAVIER MORERA RINCON</v>
          </cell>
        </row>
        <row r="998">
          <cell r="B998">
            <v>20108305</v>
          </cell>
          <cell r="U998" t="str">
            <v>GINA PAOLA MEDINA FLOREZ</v>
          </cell>
        </row>
        <row r="999">
          <cell r="B999">
            <v>20108318</v>
          </cell>
          <cell r="U999" t="str">
            <v>IVONNE JINETH RODRIGUEZ ROJAS</v>
          </cell>
        </row>
        <row r="1000">
          <cell r="B1000">
            <v>20108340</v>
          </cell>
          <cell r="U1000" t="str">
            <v>NELSON JAVIER MORERA RINCON</v>
          </cell>
        </row>
        <row r="1001">
          <cell r="B1001">
            <v>20108345</v>
          </cell>
          <cell r="U1001" t="str">
            <v>NELSON JAVIER MORERA RINCON</v>
          </cell>
        </row>
        <row r="1002">
          <cell r="B1002">
            <v>20108347</v>
          </cell>
          <cell r="U1002" t="str">
            <v>IVONNE JINETH RODRIGUEZ ROJAS</v>
          </cell>
        </row>
        <row r="1003">
          <cell r="B1003">
            <v>20108353</v>
          </cell>
          <cell r="U1003" t="str">
            <v>HEIDY LORENA PRIETO AHUMADA</v>
          </cell>
        </row>
        <row r="1004">
          <cell r="B1004">
            <v>20108354</v>
          </cell>
          <cell r="U1004" t="str">
            <v>MARSHIA MILENA JIMéNEZ GóMEZ</v>
          </cell>
        </row>
        <row r="1005">
          <cell r="B1005">
            <v>20108378</v>
          </cell>
          <cell r="U1005" t="str">
            <v>JEISSON FABIAN MOLINA CIRO</v>
          </cell>
        </row>
        <row r="1006">
          <cell r="B1006">
            <v>20108387</v>
          </cell>
          <cell r="U1006" t="str">
            <v>MARSHIA MILENA JIMéNEZ GóMEZ</v>
          </cell>
        </row>
        <row r="1007">
          <cell r="B1007">
            <v>20108394</v>
          </cell>
          <cell r="U1007" t="str">
            <v>MARSHIA MILENA JIMéNEZ GóMEZ</v>
          </cell>
        </row>
        <row r="1008">
          <cell r="B1008">
            <v>20108401</v>
          </cell>
          <cell r="U1008" t="str">
            <v>NELSON JAVIER MORERA RINCON</v>
          </cell>
        </row>
        <row r="1009">
          <cell r="B1009">
            <v>20108405</v>
          </cell>
          <cell r="U1009" t="str">
            <v>PAOLA ANDREA CALDERON CETINA</v>
          </cell>
        </row>
        <row r="1010">
          <cell r="B1010">
            <v>20108408</v>
          </cell>
          <cell r="U1010" t="str">
            <v>IVONNE JINETH RODRIGUEZ ROJAS</v>
          </cell>
        </row>
        <row r="1011">
          <cell r="B1011">
            <v>20108413</v>
          </cell>
          <cell r="U1011" t="str">
            <v>HEIDY LORENA PRIETO AHUMADA</v>
          </cell>
        </row>
        <row r="1012">
          <cell r="B1012">
            <v>20108415</v>
          </cell>
          <cell r="U1012" t="str">
            <v>NELSON JAVIER MORERA RINCON</v>
          </cell>
        </row>
        <row r="1013">
          <cell r="B1013">
            <v>20108414</v>
          </cell>
          <cell r="U1013" t="str">
            <v>HEIDY LORENA PRIETO AHUMADA</v>
          </cell>
        </row>
        <row r="1014">
          <cell r="B1014">
            <v>20108428</v>
          </cell>
          <cell r="U1014" t="str">
            <v>NELSON JAVIER MORERA RINCON</v>
          </cell>
        </row>
        <row r="1015">
          <cell r="B1015">
            <v>20108430</v>
          </cell>
          <cell r="U1015" t="str">
            <v>FABIAN CONCHA</v>
          </cell>
        </row>
        <row r="1016">
          <cell r="B1016">
            <v>20108432</v>
          </cell>
          <cell r="U1016" t="str">
            <v>JAVIER ORLANDO HERNANDEZ RIVERA</v>
          </cell>
        </row>
        <row r="1017">
          <cell r="B1017">
            <v>20108436</v>
          </cell>
          <cell r="U1017" t="str">
            <v>IVONNE JINETH RODRIGUEZ ROJAS</v>
          </cell>
        </row>
        <row r="1018">
          <cell r="B1018">
            <v>20108439</v>
          </cell>
          <cell r="U1018" t="str">
            <v>GINA PAOLA MEDINA FLOREZ</v>
          </cell>
        </row>
        <row r="1019">
          <cell r="B1019">
            <v>20108443</v>
          </cell>
          <cell r="U1019" t="str">
            <v>CATALINA PACHECO BURGOS</v>
          </cell>
        </row>
        <row r="1020">
          <cell r="B1020">
            <v>20108444</v>
          </cell>
          <cell r="U1020" t="str">
            <v>IVONNE JINETH RODRIGUEZ ROJAS</v>
          </cell>
        </row>
        <row r="1021">
          <cell r="B1021">
            <v>20108447</v>
          </cell>
          <cell r="U1021" t="str">
            <v>IVONNE JINETH RODRIGUEZ ROJAS</v>
          </cell>
        </row>
        <row r="1022">
          <cell r="B1022">
            <v>20108450</v>
          </cell>
          <cell r="U1022" t="str">
            <v>PAOLA ANDREA CALDERON CETINA</v>
          </cell>
        </row>
        <row r="1023">
          <cell r="B1023">
            <v>20108463</v>
          </cell>
          <cell r="U1023" t="str">
            <v>IVONNE JINETH RODRIGUEZ ROJAS</v>
          </cell>
        </row>
        <row r="1024">
          <cell r="B1024">
            <v>20108467</v>
          </cell>
          <cell r="U1024" t="str">
            <v>HEIDY LORENA PRIETO AHUMADA</v>
          </cell>
        </row>
        <row r="1025">
          <cell r="B1025">
            <v>20108469</v>
          </cell>
          <cell r="U1025" t="str">
            <v>PAOLA ANDREA CALDERON CETINA</v>
          </cell>
        </row>
        <row r="1026">
          <cell r="B1026">
            <v>20108471</v>
          </cell>
          <cell r="U1026" t="str">
            <v>GINA PAOLA MEDINA FLOREZ</v>
          </cell>
        </row>
        <row r="1027">
          <cell r="B1027">
            <v>20108474</v>
          </cell>
          <cell r="U1027" t="str">
            <v>JEISSON FABIAN MOLINA CIRO</v>
          </cell>
        </row>
        <row r="1028">
          <cell r="B1028">
            <v>20108475</v>
          </cell>
          <cell r="U1028" t="str">
            <v>IVONNE JINETH RODRIGUEZ ROJAS</v>
          </cell>
        </row>
        <row r="1029">
          <cell r="B1029">
            <v>20108476</v>
          </cell>
          <cell r="U1029" t="str">
            <v>JOVANNY ALEXANDER BENAVIDES APRAEZ</v>
          </cell>
        </row>
        <row r="1030">
          <cell r="B1030">
            <v>20108479</v>
          </cell>
          <cell r="U1030" t="str">
            <v>IVONNE JINETH RODRIGUEZ ROJAS</v>
          </cell>
        </row>
        <row r="1031">
          <cell r="B1031">
            <v>20108494</v>
          </cell>
          <cell r="U1031" t="str">
            <v>HEIDY LORENA PRIETO AHUMADA</v>
          </cell>
        </row>
        <row r="1032">
          <cell r="B1032">
            <v>20108498</v>
          </cell>
          <cell r="U1032" t="str">
            <v>GINA PAOLA MEDINA FLOREZ</v>
          </cell>
        </row>
        <row r="1033">
          <cell r="B1033">
            <v>20108501</v>
          </cell>
          <cell r="U1033" t="str">
            <v>IVONNE JINETH RODRIGUEZ ROJAS</v>
          </cell>
        </row>
        <row r="1034">
          <cell r="B1034">
            <v>20108504</v>
          </cell>
          <cell r="U1034" t="str">
            <v>MARSHIA MILENA JIMéNEZ GóMEZ</v>
          </cell>
        </row>
        <row r="1035">
          <cell r="B1035">
            <v>20108510</v>
          </cell>
          <cell r="U1035" t="str">
            <v>FABIAN CONCHA</v>
          </cell>
        </row>
        <row r="1036">
          <cell r="B1036">
            <v>20108511</v>
          </cell>
          <cell r="U1036" t="str">
            <v>JEISSON FABIAN MOLINA CIRO</v>
          </cell>
        </row>
        <row r="1037">
          <cell r="B1037">
            <v>20108514</v>
          </cell>
          <cell r="U1037" t="str">
            <v>IVONNE JINETH RODRIGUEZ ROJAS</v>
          </cell>
        </row>
        <row r="1038">
          <cell r="B1038">
            <v>20108521</v>
          </cell>
          <cell r="U1038" t="str">
            <v>JOVANNY ALEXANDER BENAVIDES APRAEZ</v>
          </cell>
        </row>
        <row r="1039">
          <cell r="B1039">
            <v>20108527</v>
          </cell>
          <cell r="U1039" t="str">
            <v>IVONNE JINETH RODRIGUEZ ROJAS</v>
          </cell>
        </row>
        <row r="1040">
          <cell r="B1040">
            <v>20108528</v>
          </cell>
          <cell r="U1040" t="str">
            <v>PAOLA ANDREA CALDERON CETINA</v>
          </cell>
        </row>
        <row r="1041">
          <cell r="B1041">
            <v>20108529</v>
          </cell>
          <cell r="U1041" t="str">
            <v>FABIAN CONCHA</v>
          </cell>
        </row>
        <row r="1042">
          <cell r="B1042">
            <v>20108532</v>
          </cell>
          <cell r="U1042" t="str">
            <v>NELSON JAVIER MORERA RINCON</v>
          </cell>
        </row>
        <row r="1043">
          <cell r="B1043">
            <v>20108533</v>
          </cell>
          <cell r="U1043" t="str">
            <v>NELSON JAVIER MORERA RINCON</v>
          </cell>
        </row>
        <row r="1044">
          <cell r="B1044">
            <v>20108536</v>
          </cell>
          <cell r="U1044" t="str">
            <v>HEIDY LORENA PRIETO AHUMADA</v>
          </cell>
        </row>
        <row r="1045">
          <cell r="B1045">
            <v>20108543</v>
          </cell>
          <cell r="U1045" t="str">
            <v>FABIAN CONCHA</v>
          </cell>
        </row>
        <row r="1046">
          <cell r="B1046">
            <v>20108550</v>
          </cell>
          <cell r="U1046" t="str">
            <v>MARSHIA MILENA JIMéNEZ GóMEZ</v>
          </cell>
        </row>
        <row r="1047">
          <cell r="B1047">
            <v>20108552</v>
          </cell>
          <cell r="U1047" t="str">
            <v>IVONNE JINETH RODRIGUEZ ROJAS</v>
          </cell>
        </row>
        <row r="1048">
          <cell r="B1048">
            <v>20108561</v>
          </cell>
          <cell r="U1048" t="str">
            <v>CATALINA PACHECO BURGOS</v>
          </cell>
        </row>
        <row r="1049">
          <cell r="B1049">
            <v>20108563</v>
          </cell>
          <cell r="U1049" t="str">
            <v>FABIAN CONCHA</v>
          </cell>
        </row>
        <row r="1050">
          <cell r="B1050">
            <v>20108564</v>
          </cell>
          <cell r="U1050" t="str">
            <v>JAVIER ORLANDO HERNANDEZ RIVERA</v>
          </cell>
        </row>
        <row r="1051">
          <cell r="B1051">
            <v>20108568</v>
          </cell>
          <cell r="U1051" t="str">
            <v>JAVIER ORLANDO HERNANDEZ RIVERA</v>
          </cell>
        </row>
        <row r="1052">
          <cell r="B1052">
            <v>20108570</v>
          </cell>
          <cell r="U1052" t="str">
            <v>FABIAN CONCHA</v>
          </cell>
        </row>
        <row r="1053">
          <cell r="B1053">
            <v>20108581</v>
          </cell>
          <cell r="U1053" t="str">
            <v>JEISSON FABIAN MOLINA CIRO</v>
          </cell>
        </row>
        <row r="1054">
          <cell r="B1054">
            <v>20108582</v>
          </cell>
          <cell r="U1054" t="str">
            <v>FABIAN CONCHA</v>
          </cell>
        </row>
        <row r="1055">
          <cell r="B1055">
            <v>20108584</v>
          </cell>
          <cell r="U1055" t="str">
            <v>FABIAN CONCHA</v>
          </cell>
        </row>
        <row r="1056">
          <cell r="B1056">
            <v>20108591</v>
          </cell>
          <cell r="U1056" t="str">
            <v>GINA PAOLA MEDINA FLOREZ</v>
          </cell>
        </row>
        <row r="1057">
          <cell r="B1057">
            <v>20108597</v>
          </cell>
          <cell r="U1057" t="str">
            <v>JEISSON FABIAN MOLINA CIRO</v>
          </cell>
        </row>
        <row r="1058">
          <cell r="B1058">
            <v>20108598</v>
          </cell>
          <cell r="U1058" t="str">
            <v>PAOLA ANDREA CALDERON CETINA</v>
          </cell>
        </row>
        <row r="1059">
          <cell r="B1059">
            <v>20108599</v>
          </cell>
          <cell r="U1059" t="str">
            <v>HEIDY LORENA PRIETO AHUMADA</v>
          </cell>
        </row>
        <row r="1060">
          <cell r="B1060">
            <v>20108606</v>
          </cell>
          <cell r="U1060" t="str">
            <v>IVONNE JINETH RODRIGUEZ ROJAS</v>
          </cell>
        </row>
        <row r="1061">
          <cell r="B1061">
            <v>20108611</v>
          </cell>
          <cell r="U1061" t="str">
            <v>ANGIE LIZETH GARZON GARCIA</v>
          </cell>
        </row>
        <row r="1062">
          <cell r="B1062">
            <v>20108613</v>
          </cell>
          <cell r="U1062" t="str">
            <v>MARSHIA MILENA JIMéNEZ GóMEZ</v>
          </cell>
        </row>
        <row r="1063">
          <cell r="B1063">
            <v>20108616</v>
          </cell>
          <cell r="U1063" t="str">
            <v>PAOLA ANDREA CALDERON CETINA</v>
          </cell>
        </row>
        <row r="1064">
          <cell r="B1064">
            <v>20108620</v>
          </cell>
          <cell r="U1064" t="str">
            <v>JEISSON FABIAN MOLINA CIRO</v>
          </cell>
        </row>
        <row r="1065">
          <cell r="B1065">
            <v>20108623</v>
          </cell>
          <cell r="U1065" t="str">
            <v>NELSON JAVIER MORERA RINCON</v>
          </cell>
        </row>
        <row r="1066">
          <cell r="B1066">
            <v>20108629</v>
          </cell>
          <cell r="U1066" t="str">
            <v>MARSHIA MILENA JIMéNEZ GóMEZ</v>
          </cell>
        </row>
        <row r="1067">
          <cell r="B1067">
            <v>20108630</v>
          </cell>
          <cell r="U1067" t="str">
            <v>IVONNE JINETH RODRIGUEZ ROJAS</v>
          </cell>
        </row>
        <row r="1068">
          <cell r="B1068">
            <v>20108638</v>
          </cell>
          <cell r="U1068" t="str">
            <v>PAOLA ANDREA CALDERON CETINA</v>
          </cell>
        </row>
        <row r="1069">
          <cell r="B1069">
            <v>20108640</v>
          </cell>
          <cell r="U1069" t="str">
            <v>HEIDY LORENA PRIETO AHUMADA</v>
          </cell>
        </row>
        <row r="1070">
          <cell r="B1070">
            <v>20108649</v>
          </cell>
          <cell r="U1070" t="str">
            <v>CATALINA PACHECO BURGOS</v>
          </cell>
        </row>
        <row r="1071">
          <cell r="B1071">
            <v>20108650</v>
          </cell>
          <cell r="U1071" t="str">
            <v>FABIAN CONCHA</v>
          </cell>
        </row>
        <row r="1072">
          <cell r="B1072">
            <v>20108658</v>
          </cell>
          <cell r="U1072" t="str">
            <v>NELSON JAVIER MORERA RINCON</v>
          </cell>
        </row>
        <row r="1073">
          <cell r="B1073">
            <v>20108663</v>
          </cell>
          <cell r="U1073" t="str">
            <v>IVONNE JINETH RODRIGUEZ ROJAS</v>
          </cell>
        </row>
        <row r="1074">
          <cell r="B1074">
            <v>20108692</v>
          </cell>
          <cell r="U1074" t="str">
            <v>GINA PAOLA MEDINA FLOREZ</v>
          </cell>
        </row>
        <row r="1075">
          <cell r="B1075">
            <v>20108693</v>
          </cell>
          <cell r="U1075" t="str">
            <v>HEIDY LORENA PRIETO AHUMADA</v>
          </cell>
        </row>
        <row r="1076">
          <cell r="B1076">
            <v>20108703</v>
          </cell>
          <cell r="U1076" t="str">
            <v>NELSON JAVIER MORERA RINCON</v>
          </cell>
        </row>
        <row r="1077">
          <cell r="B1077">
            <v>20108707</v>
          </cell>
          <cell r="U1077" t="str">
            <v>HEIDY LORENA PRIETO AHUMADA</v>
          </cell>
        </row>
        <row r="1078">
          <cell r="B1078">
            <v>20108720</v>
          </cell>
          <cell r="U1078" t="str">
            <v>NELSON JAVIER MORERA RINCON</v>
          </cell>
        </row>
        <row r="1079">
          <cell r="B1079">
            <v>20108723</v>
          </cell>
          <cell r="U1079" t="str">
            <v>FABIAN CONCHA</v>
          </cell>
        </row>
        <row r="1080">
          <cell r="B1080">
            <v>20108731</v>
          </cell>
          <cell r="U1080" t="str">
            <v>HEIDY LORENA PRIETO AHUMADA</v>
          </cell>
        </row>
        <row r="1081">
          <cell r="B1081">
            <v>20108735</v>
          </cell>
          <cell r="U1081" t="str">
            <v>PAOLA ANDREA CALDERON CETINA</v>
          </cell>
        </row>
        <row r="1082">
          <cell r="B1082">
            <v>20108737</v>
          </cell>
          <cell r="U1082" t="str">
            <v>IVONNE JINETH RODRIGUEZ ROJAS</v>
          </cell>
        </row>
        <row r="1083">
          <cell r="B1083">
            <v>20108739</v>
          </cell>
          <cell r="U1083" t="str">
            <v>PAOLA ANDREA CALDERON CETINA</v>
          </cell>
        </row>
        <row r="1084">
          <cell r="B1084">
            <v>20108749</v>
          </cell>
          <cell r="U1084" t="str">
            <v>GINA PAOLA MEDINA FLOREZ</v>
          </cell>
        </row>
        <row r="1085">
          <cell r="B1085">
            <v>20108757</v>
          </cell>
          <cell r="U1085" t="str">
            <v>JOVANNY ALEXANDER BENAVIDES APRAEZ</v>
          </cell>
        </row>
        <row r="1086">
          <cell r="B1086">
            <v>20108760</v>
          </cell>
          <cell r="U1086" t="str">
            <v>PAOLA ANDREA CALDERON CETINA</v>
          </cell>
        </row>
        <row r="1087">
          <cell r="B1087">
            <v>20108764</v>
          </cell>
          <cell r="U1087" t="str">
            <v>MARSHIA MILENA JIMéNEZ GóMEZ</v>
          </cell>
        </row>
        <row r="1088">
          <cell r="B1088">
            <v>20108772</v>
          </cell>
          <cell r="U1088" t="str">
            <v>MARSHIA MILENA JIMéNEZ GóMEZ</v>
          </cell>
        </row>
        <row r="1089">
          <cell r="B1089">
            <v>20108780</v>
          </cell>
          <cell r="U1089" t="str">
            <v>FABIAN CONCHA</v>
          </cell>
        </row>
        <row r="1090">
          <cell r="B1090">
            <v>20108782</v>
          </cell>
          <cell r="U1090" t="str">
            <v>PAOLA ANDREA CALDERON CETINA</v>
          </cell>
        </row>
        <row r="1091">
          <cell r="B1091">
            <v>20108783</v>
          </cell>
          <cell r="U1091" t="str">
            <v>MARSHIA MILENA JIMéNEZ GóMEZ</v>
          </cell>
        </row>
        <row r="1092">
          <cell r="B1092">
            <v>20108786</v>
          </cell>
          <cell r="U1092" t="str">
            <v>IVONNE JINETH RODRIGUEZ ROJAS</v>
          </cell>
        </row>
        <row r="1093">
          <cell r="B1093">
            <v>20108802</v>
          </cell>
          <cell r="U1093" t="str">
            <v>CATALINA PACHECO BURGOS</v>
          </cell>
        </row>
        <row r="1094">
          <cell r="B1094">
            <v>20108808</v>
          </cell>
          <cell r="U1094" t="str">
            <v>HEIDY LORENA PRIETO AHUMADA</v>
          </cell>
        </row>
        <row r="1095">
          <cell r="B1095">
            <v>20108845</v>
          </cell>
          <cell r="U1095" t="str">
            <v>FABIAN CONCHA</v>
          </cell>
        </row>
        <row r="1096">
          <cell r="B1096">
            <v>20108850</v>
          </cell>
          <cell r="U1096" t="str">
            <v/>
          </cell>
        </row>
        <row r="1097">
          <cell r="B1097">
            <v>20108853</v>
          </cell>
          <cell r="U1097" t="str">
            <v>JEISSON FABIAN MOLINA CIRO</v>
          </cell>
        </row>
        <row r="1098">
          <cell r="B1098">
            <v>20108854</v>
          </cell>
          <cell r="U1098" t="str">
            <v>HEIDY LORENA PRIETO AHUMADA</v>
          </cell>
        </row>
        <row r="1099">
          <cell r="B1099">
            <v>20108873</v>
          </cell>
          <cell r="U1099" t="str">
            <v>NELSON JAVIER MORERA RINCON</v>
          </cell>
        </row>
        <row r="1100">
          <cell r="B1100">
            <v>20108876</v>
          </cell>
          <cell r="U1100" t="str">
            <v>NELSON JAVIER MORERA RINCON</v>
          </cell>
        </row>
        <row r="1101">
          <cell r="B1101">
            <v>20108884</v>
          </cell>
          <cell r="U1101" t="str">
            <v>JEISSON FABIAN MOLINA CIRO</v>
          </cell>
        </row>
        <row r="1102">
          <cell r="B1102">
            <v>20108937</v>
          </cell>
          <cell r="U1102" t="str">
            <v>IVONNE JINETH RODRIGUEZ ROJAS</v>
          </cell>
        </row>
        <row r="1103">
          <cell r="B1103">
            <v>20108940</v>
          </cell>
          <cell r="U1103" t="str">
            <v>NELSON JAVIER MORERA RINCON</v>
          </cell>
        </row>
        <row r="1104">
          <cell r="B1104">
            <v>20108942</v>
          </cell>
          <cell r="U1104" t="str">
            <v>PAOLA ANDREA CALDERON CETINA</v>
          </cell>
        </row>
        <row r="1105">
          <cell r="B1105">
            <v>20108954</v>
          </cell>
          <cell r="U1105" t="str">
            <v>FABIAN CONCHA</v>
          </cell>
        </row>
        <row r="1106">
          <cell r="B1106">
            <v>20108955</v>
          </cell>
          <cell r="U1106" t="str">
            <v>HEIDY LORENA PRIETO AHUMADA</v>
          </cell>
        </row>
        <row r="1107">
          <cell r="B1107">
            <v>20108960</v>
          </cell>
          <cell r="U1107" t="str">
            <v>JAVIER ORLANDO HERNANDEZ RIVERA</v>
          </cell>
        </row>
        <row r="1108">
          <cell r="B1108">
            <v>20108963</v>
          </cell>
          <cell r="U1108" t="str">
            <v>IVONNE JINETH RODRIGUEZ ROJAS</v>
          </cell>
        </row>
        <row r="1109">
          <cell r="B1109">
            <v>20108980</v>
          </cell>
          <cell r="U1109" t="str">
            <v>GINA PAOLA MEDINA FLOREZ</v>
          </cell>
        </row>
        <row r="1110">
          <cell r="B1110">
            <v>20108994</v>
          </cell>
          <cell r="U1110" t="str">
            <v>IVONNE JINETH RODRIGUEZ ROJAS</v>
          </cell>
        </row>
        <row r="1111">
          <cell r="B1111">
            <v>20108999</v>
          </cell>
          <cell r="U1111" t="str">
            <v>IVONNE JINETH RODRIGUEZ ROJAS</v>
          </cell>
        </row>
        <row r="1112">
          <cell r="B1112">
            <v>20109012</v>
          </cell>
          <cell r="U1112" t="str">
            <v>JEISSON FABIAN MOLINA CIRO</v>
          </cell>
        </row>
        <row r="1113">
          <cell r="B1113">
            <v>20109013</v>
          </cell>
          <cell r="U1113" t="str">
            <v>JOVANNY ALEXANDER BENAVIDES APRAEZ</v>
          </cell>
        </row>
        <row r="1114">
          <cell r="B1114">
            <v>20109015</v>
          </cell>
          <cell r="U1114" t="str">
            <v>JEISSON FABIAN MOLINA CIRO</v>
          </cell>
        </row>
        <row r="1115">
          <cell r="B1115">
            <v>20109020</v>
          </cell>
          <cell r="U1115" t="str">
            <v>CATALINA PACHECO BURGOS</v>
          </cell>
        </row>
        <row r="1116">
          <cell r="B1116">
            <v>20109028</v>
          </cell>
          <cell r="U1116" t="str">
            <v>IVONNE JINETH RODRIGUEZ ROJAS</v>
          </cell>
        </row>
        <row r="1117">
          <cell r="B1117">
            <v>20109039</v>
          </cell>
          <cell r="U1117" t="str">
            <v>JAVIER ORLANDO HERNANDEZ RIVERA</v>
          </cell>
        </row>
        <row r="1118">
          <cell r="B1118">
            <v>20109058</v>
          </cell>
          <cell r="U1118" t="str">
            <v>HEIDY LORENA PRIETO AHUMADA</v>
          </cell>
        </row>
        <row r="1119">
          <cell r="B1119">
            <v>20109088</v>
          </cell>
          <cell r="U1119" t="str">
            <v>CATALINA PACHECO BURGOS</v>
          </cell>
        </row>
        <row r="1120">
          <cell r="B1120">
            <v>20109091</v>
          </cell>
          <cell r="U1120" t="str">
            <v>NELSON JAVIER MORERA RINCON</v>
          </cell>
        </row>
        <row r="1121">
          <cell r="B1121">
            <v>20109102</v>
          </cell>
          <cell r="U1121" t="str">
            <v>MARSHIA MILENA JIMéNEZ GóMEZ</v>
          </cell>
        </row>
        <row r="1122">
          <cell r="B1122">
            <v>20109107</v>
          </cell>
          <cell r="U1122" t="str">
            <v>MARSHIA MILENA JIMéNEZ GóMEZ</v>
          </cell>
        </row>
        <row r="1123">
          <cell r="B1123">
            <v>20109119</v>
          </cell>
          <cell r="U1123" t="str">
            <v>IVONNE JINETH RODRIGUEZ ROJAS</v>
          </cell>
        </row>
        <row r="1124">
          <cell r="B1124">
            <v>20109136</v>
          </cell>
          <cell r="U1124" t="str">
            <v>MARSHIA MILENA JIMéNEZ GóMEZ</v>
          </cell>
        </row>
        <row r="1125">
          <cell r="B1125">
            <v>20109137</v>
          </cell>
          <cell r="U1125" t="str">
            <v/>
          </cell>
        </row>
        <row r="1126">
          <cell r="B1126">
            <v>20109148</v>
          </cell>
          <cell r="U1126" t="str">
            <v>JOHAN SEBASTIAN PARDEYN AGUILAR</v>
          </cell>
        </row>
        <row r="1127">
          <cell r="B1127">
            <v>20109161</v>
          </cell>
          <cell r="U1127" t="str">
            <v>IVONNE JINETH RODRIGUEZ ROJAS</v>
          </cell>
        </row>
        <row r="1128">
          <cell r="B1128">
            <v>20109167</v>
          </cell>
          <cell r="U1128" t="str">
            <v>PAOLA ANDREA CALDERON CETINA</v>
          </cell>
        </row>
        <row r="1129">
          <cell r="B1129">
            <v>20109170</v>
          </cell>
          <cell r="U1129" t="str">
            <v>NELSON JAVIER MORERA RINCON</v>
          </cell>
        </row>
        <row r="1130">
          <cell r="B1130">
            <v>20109179</v>
          </cell>
          <cell r="U1130" t="str">
            <v>NELSON JAVIER MORERA RINCON</v>
          </cell>
        </row>
        <row r="1131">
          <cell r="B1131">
            <v>20109181</v>
          </cell>
          <cell r="U1131" t="str">
            <v>PAOLA ANDREA CALDERON CETINA</v>
          </cell>
        </row>
        <row r="1132">
          <cell r="B1132">
            <v>20109184</v>
          </cell>
          <cell r="U1132" t="str">
            <v>NELSON JAVIER MORERA RINCON</v>
          </cell>
        </row>
        <row r="1133">
          <cell r="B1133">
            <v>20109194</v>
          </cell>
          <cell r="U1133" t="str">
            <v>JEISSON FABIAN MOLINA CIRO</v>
          </cell>
        </row>
        <row r="1134">
          <cell r="B1134">
            <v>20109195</v>
          </cell>
          <cell r="U1134" t="str">
            <v>NELSON JAVIER MORERA RINCON</v>
          </cell>
        </row>
        <row r="1135">
          <cell r="B1135">
            <v>20109201</v>
          </cell>
          <cell r="U1135" t="str">
            <v>MARSHIA MILENA JIMéNEZ GóMEZ</v>
          </cell>
        </row>
        <row r="1136">
          <cell r="B1136">
            <v>20109205</v>
          </cell>
          <cell r="U1136" t="str">
            <v>IVONNE JINETH RODRIGUEZ ROJAS</v>
          </cell>
        </row>
        <row r="1137">
          <cell r="B1137">
            <v>20109208</v>
          </cell>
          <cell r="U1137" t="str">
            <v>PAOLA ANDREA CALDERON CETINA</v>
          </cell>
        </row>
        <row r="1138">
          <cell r="B1138">
            <v>20109211</v>
          </cell>
          <cell r="U1138" t="str">
            <v>NELSON JAVIER MORERA RINCON</v>
          </cell>
        </row>
        <row r="1139">
          <cell r="B1139">
            <v>20109215</v>
          </cell>
          <cell r="U1139" t="str">
            <v>FABIAN CONCHA</v>
          </cell>
        </row>
        <row r="1140">
          <cell r="B1140">
            <v>20109227</v>
          </cell>
          <cell r="U1140" t="str">
            <v>MARSHIA MILENA JIMéNEZ GóMEZ</v>
          </cell>
        </row>
        <row r="1141">
          <cell r="B1141">
            <v>20109229</v>
          </cell>
          <cell r="U1141" t="str">
            <v>FABIAN CONCHA</v>
          </cell>
        </row>
        <row r="1142">
          <cell r="B1142">
            <v>20109239</v>
          </cell>
          <cell r="U1142" t="str">
            <v>IVONNE JINETH RODRIGUEZ ROJAS</v>
          </cell>
        </row>
        <row r="1143">
          <cell r="B1143">
            <v>20109241</v>
          </cell>
          <cell r="U1143" t="str">
            <v>IVONNE JINETH RODRIGUEZ ROJAS</v>
          </cell>
        </row>
        <row r="1144">
          <cell r="B1144">
            <v>20109246</v>
          </cell>
          <cell r="U1144" t="str">
            <v>IVONNE JINETH RODRIGUEZ ROJAS</v>
          </cell>
        </row>
        <row r="1145">
          <cell r="B1145">
            <v>20109248</v>
          </cell>
          <cell r="U1145" t="str">
            <v>FABIAN CONCHA</v>
          </cell>
        </row>
        <row r="1146">
          <cell r="B1146">
            <v>20109256</v>
          </cell>
          <cell r="U1146" t="str">
            <v>JEISSON FABIAN MOLINA CIRO</v>
          </cell>
        </row>
        <row r="1147">
          <cell r="B1147">
            <v>20109263</v>
          </cell>
          <cell r="U1147" t="str">
            <v>JAVIER ORLANDO HERNANDEZ RIVERA</v>
          </cell>
        </row>
        <row r="1148">
          <cell r="B1148">
            <v>20109267</v>
          </cell>
          <cell r="U1148" t="str">
            <v>IVONNE JINETH RODRIGUEZ ROJAS</v>
          </cell>
        </row>
        <row r="1149">
          <cell r="B1149">
            <v>20109273</v>
          </cell>
          <cell r="U1149" t="str">
            <v>PAOLA ANDREA CALDERON CETINA</v>
          </cell>
        </row>
        <row r="1150">
          <cell r="B1150">
            <v>20109278</v>
          </cell>
          <cell r="U1150" t="str">
            <v>IVONNE JINETH RODRIGUEZ ROJAS</v>
          </cell>
        </row>
        <row r="1151">
          <cell r="B1151">
            <v>20109279</v>
          </cell>
          <cell r="U1151" t="str">
            <v>MARSHIA MILENA JIMéNEZ GóMEZ</v>
          </cell>
        </row>
        <row r="1152">
          <cell r="B1152">
            <v>20109281</v>
          </cell>
          <cell r="U1152" t="str">
            <v>MARSHIA MILENA JIMéNEZ GóMEZ</v>
          </cell>
        </row>
        <row r="1153">
          <cell r="B1153">
            <v>20109284</v>
          </cell>
          <cell r="U1153" t="str">
            <v>IVONNE JINETH RODRIGUEZ ROJAS</v>
          </cell>
        </row>
        <row r="1154">
          <cell r="B1154">
            <v>20109285</v>
          </cell>
          <cell r="U1154" t="str">
            <v>GINA PAOLA MEDINA FLOREZ</v>
          </cell>
        </row>
        <row r="1155">
          <cell r="B1155">
            <v>20109325</v>
          </cell>
          <cell r="U1155" t="str">
            <v>HEIDY LORENA PRIETO AHUMADA</v>
          </cell>
        </row>
        <row r="1156">
          <cell r="B1156">
            <v>20109330</v>
          </cell>
          <cell r="U1156" t="str">
            <v>MARSHIA MILENA JIMéNEZ GóMEZ</v>
          </cell>
        </row>
        <row r="1157">
          <cell r="B1157">
            <v>20109345</v>
          </cell>
          <cell r="U1157" t="str">
            <v>JAVIER ORLANDO HERNANDEZ RIVERA</v>
          </cell>
        </row>
        <row r="1158">
          <cell r="B1158">
            <v>20109355</v>
          </cell>
          <cell r="U1158" t="str">
            <v>FABIAN CONCHA</v>
          </cell>
        </row>
        <row r="1159">
          <cell r="B1159">
            <v>20109360</v>
          </cell>
          <cell r="U1159" t="str">
            <v>GINA PAOLA MEDINA FLOREZ</v>
          </cell>
        </row>
        <row r="1160">
          <cell r="B1160">
            <v>20109364</v>
          </cell>
          <cell r="U1160" t="str">
            <v>ANGIE LIZETH GARZON GARCIA</v>
          </cell>
        </row>
        <row r="1161">
          <cell r="B1161">
            <v>20109370</v>
          </cell>
          <cell r="U1161" t="str">
            <v>HEIDY LORENA PRIETO AHUMADA</v>
          </cell>
        </row>
        <row r="1162">
          <cell r="B1162">
            <v>20109372</v>
          </cell>
          <cell r="U1162" t="str">
            <v/>
          </cell>
        </row>
        <row r="1163">
          <cell r="B1163">
            <v>20109377</v>
          </cell>
          <cell r="U1163" t="str">
            <v>HEIDY LORENA PRIETO AHUMADA</v>
          </cell>
        </row>
        <row r="1164">
          <cell r="B1164">
            <v>20109395</v>
          </cell>
          <cell r="U1164" t="str">
            <v>IVONNE JINETH RODRIGUEZ ROJAS</v>
          </cell>
        </row>
        <row r="1165">
          <cell r="B1165">
            <v>20109411</v>
          </cell>
          <cell r="U1165" t="str">
            <v>NELSON JAVIER MORERA RINCON</v>
          </cell>
        </row>
        <row r="1166">
          <cell r="B1166">
            <v>20109413</v>
          </cell>
          <cell r="U1166" t="str">
            <v>NELSON JAVIER MORERA RINCON</v>
          </cell>
        </row>
        <row r="1167">
          <cell r="B1167">
            <v>20109419</v>
          </cell>
          <cell r="U1167" t="str">
            <v>GINA PAOLA MEDINA FLOREZ</v>
          </cell>
        </row>
        <row r="1168">
          <cell r="B1168">
            <v>20109426</v>
          </cell>
          <cell r="U1168" t="str">
            <v>JOHAN SEBASTIAN PARDEYN AGUILAR</v>
          </cell>
        </row>
        <row r="1169">
          <cell r="B1169">
            <v>20109428</v>
          </cell>
          <cell r="U1169" t="str">
            <v>IVONNE JINETH RODRIGUEZ ROJAS</v>
          </cell>
        </row>
        <row r="1170">
          <cell r="B1170">
            <v>20109445</v>
          </cell>
          <cell r="U1170" t="str">
            <v>CATALINA PACHECO BURGOS</v>
          </cell>
        </row>
        <row r="1171">
          <cell r="B1171">
            <v>20109450</v>
          </cell>
          <cell r="U1171" t="str">
            <v>JAVIER ORLANDO HERNANDEZ RIVERA</v>
          </cell>
        </row>
        <row r="1172">
          <cell r="B1172">
            <v>20109452</v>
          </cell>
          <cell r="U1172" t="str">
            <v>PAOLA ANDREA CALDERON CETINA</v>
          </cell>
        </row>
        <row r="1173">
          <cell r="B1173">
            <v>20109464</v>
          </cell>
          <cell r="U1173" t="str">
            <v>PAOLA ANDREA CALDERON CETINA</v>
          </cell>
        </row>
        <row r="1174">
          <cell r="B1174">
            <v>20109485</v>
          </cell>
          <cell r="U1174" t="str">
            <v>JAVIER ORLANDO HERNANDEZ RIVERA</v>
          </cell>
        </row>
        <row r="1175">
          <cell r="B1175">
            <v>20109487</v>
          </cell>
          <cell r="U1175" t="str">
            <v>PAOLA ANDREA CALDERON CETINA</v>
          </cell>
        </row>
        <row r="1176">
          <cell r="B1176">
            <v>20109498</v>
          </cell>
          <cell r="U1176" t="str">
            <v>MARSHIA MILENA JIMéNEZ GóMEZ</v>
          </cell>
        </row>
        <row r="1177">
          <cell r="B1177">
            <v>20109500</v>
          </cell>
          <cell r="U1177" t="str">
            <v>MARSHIA MILENA JIMéNEZ GóMEZ</v>
          </cell>
        </row>
        <row r="1178">
          <cell r="B1178">
            <v>20109501</v>
          </cell>
          <cell r="U1178" t="str">
            <v>MARSHIA MILENA JIMéNEZ GóMEZ</v>
          </cell>
        </row>
        <row r="1179">
          <cell r="B1179">
            <v>20109504</v>
          </cell>
          <cell r="U1179" t="str">
            <v>MARSHIA MILENA JIMéNEZ GóMEZ</v>
          </cell>
        </row>
        <row r="1180">
          <cell r="B1180">
            <v>20109514</v>
          </cell>
          <cell r="U1180" t="str">
            <v>JEISSON FABIAN MOLINA CIRO</v>
          </cell>
        </row>
        <row r="1181">
          <cell r="B1181">
            <v>20109518</v>
          </cell>
          <cell r="U1181" t="str">
            <v>MARSHIA MILENA JIMéNEZ GóMEZ</v>
          </cell>
        </row>
        <row r="1182">
          <cell r="B1182">
            <v>20109524</v>
          </cell>
          <cell r="U1182" t="str">
            <v>FABIAN CONCHA</v>
          </cell>
        </row>
        <row r="1183">
          <cell r="B1183">
            <v>20109530</v>
          </cell>
          <cell r="U1183" t="str">
            <v>JOVANNY ALEXANDER BENAVIDES APRAEZ</v>
          </cell>
        </row>
        <row r="1184">
          <cell r="B1184">
            <v>20109546</v>
          </cell>
          <cell r="U1184" t="str">
            <v/>
          </cell>
        </row>
        <row r="1185">
          <cell r="B1185">
            <v>20109562</v>
          </cell>
          <cell r="U1185" t="str">
            <v>GINA PAOLA MEDINA FLOREZ</v>
          </cell>
        </row>
        <row r="1186">
          <cell r="B1186">
            <v>20109566</v>
          </cell>
          <cell r="U1186" t="str">
            <v>MARSHIA MILENA JIMéNEZ GóMEZ</v>
          </cell>
        </row>
        <row r="1187">
          <cell r="B1187">
            <v>20109574</v>
          </cell>
          <cell r="U1187" t="str">
            <v>NELSON JAVIER MORERA RINCON</v>
          </cell>
        </row>
        <row r="1188">
          <cell r="B1188">
            <v>20109575</v>
          </cell>
          <cell r="U1188" t="str">
            <v>NELSON JAVIER MORERA RINCON</v>
          </cell>
        </row>
        <row r="1189">
          <cell r="B1189">
            <v>20109578</v>
          </cell>
          <cell r="U1189" t="str">
            <v>IVONNE JINETH RODRIGUEZ ROJAS</v>
          </cell>
        </row>
        <row r="1190">
          <cell r="B1190">
            <v>20109586</v>
          </cell>
          <cell r="U1190" t="str">
            <v>JAVIER ORLANDO HERNANDEZ RIVERA</v>
          </cell>
        </row>
        <row r="1191">
          <cell r="B1191">
            <v>20109589</v>
          </cell>
          <cell r="U1191" t="str">
            <v>JAVIER ORLANDO HERNANDEZ RIVERA</v>
          </cell>
        </row>
        <row r="1192">
          <cell r="B1192">
            <v>20109590</v>
          </cell>
          <cell r="U1192" t="str">
            <v>IVONNE JINETH RODRIGUEZ ROJAS</v>
          </cell>
        </row>
        <row r="1193">
          <cell r="B1193">
            <v>20109599</v>
          </cell>
          <cell r="U1193" t="str">
            <v>NELSON JAVIER MORERA RINCON</v>
          </cell>
        </row>
        <row r="1194">
          <cell r="B1194">
            <v>20109607</v>
          </cell>
          <cell r="U1194" t="str">
            <v>IVONNE JINETH RODRIGUEZ ROJAS</v>
          </cell>
        </row>
        <row r="1195">
          <cell r="B1195">
            <v>20109614</v>
          </cell>
          <cell r="U1195" t="str">
            <v>GINA PAOLA MEDINA FLOREZ</v>
          </cell>
        </row>
        <row r="1196">
          <cell r="B1196">
            <v>20109615</v>
          </cell>
          <cell r="U1196" t="str">
            <v>FABIAN CONCHA</v>
          </cell>
        </row>
        <row r="1197">
          <cell r="B1197">
            <v>20109622</v>
          </cell>
          <cell r="U1197" t="str">
            <v>IVONNE JINETH RODRIGUEZ ROJAS</v>
          </cell>
        </row>
        <row r="1198">
          <cell r="B1198">
            <v>20109634</v>
          </cell>
          <cell r="U1198" t="str">
            <v>IVONNE JINETH RODRIGUEZ ROJAS</v>
          </cell>
        </row>
        <row r="1199">
          <cell r="B1199">
            <v>20109636</v>
          </cell>
          <cell r="U1199" t="str">
            <v>NELSON JAVIER MORERA RINCON</v>
          </cell>
        </row>
        <row r="1200">
          <cell r="B1200">
            <v>20109649</v>
          </cell>
          <cell r="U1200" t="str">
            <v>IVONNE JINETH RODRIGUEZ ROJAS</v>
          </cell>
        </row>
        <row r="1201">
          <cell r="B1201">
            <v>20109685</v>
          </cell>
          <cell r="U1201" t="str">
            <v/>
          </cell>
        </row>
        <row r="1202">
          <cell r="B1202">
            <v>20109699</v>
          </cell>
          <cell r="U1202" t="str">
            <v>HEIDY LORENA PRIETO AHUMADA</v>
          </cell>
        </row>
        <row r="1203">
          <cell r="B1203">
            <v>20109703</v>
          </cell>
          <cell r="U1203" t="str">
            <v>GINA PAOLA MEDINA FLOREZ</v>
          </cell>
        </row>
        <row r="1204">
          <cell r="B1204">
            <v>20109705</v>
          </cell>
          <cell r="U1204" t="str">
            <v>IVONNE JINETH RODRIGUEZ ROJAS</v>
          </cell>
        </row>
        <row r="1205">
          <cell r="B1205">
            <v>20109716</v>
          </cell>
          <cell r="U1205" t="str">
            <v>HEIDY LORENA PRIETO AHUMADA</v>
          </cell>
        </row>
        <row r="1206">
          <cell r="B1206">
            <v>20109717</v>
          </cell>
          <cell r="U1206" t="str">
            <v>IVONNE JINETH RODRIGUEZ ROJAS</v>
          </cell>
        </row>
        <row r="1207">
          <cell r="B1207">
            <v>20109720</v>
          </cell>
          <cell r="U1207" t="str">
            <v>FABIAN CONCHA</v>
          </cell>
        </row>
        <row r="1208">
          <cell r="B1208">
            <v>20109728</v>
          </cell>
          <cell r="U1208" t="str">
            <v>JOHAN SEBASTIAN PARDEYN AGUILAR</v>
          </cell>
        </row>
        <row r="1209">
          <cell r="B1209">
            <v>20109730</v>
          </cell>
          <cell r="U1209" t="str">
            <v>HEIDY LORENA PRIETO AHUMADA</v>
          </cell>
        </row>
        <row r="1210">
          <cell r="B1210">
            <v>20109732</v>
          </cell>
          <cell r="U1210" t="str">
            <v>MARSHIA MILENA JIMéNEZ GóMEZ</v>
          </cell>
        </row>
        <row r="1211">
          <cell r="B1211">
            <v>20109734</v>
          </cell>
          <cell r="U1211" t="str">
            <v>NELSON JAVIER MORERA RINCON</v>
          </cell>
        </row>
        <row r="1212">
          <cell r="B1212">
            <v>20109736</v>
          </cell>
          <cell r="U1212" t="str">
            <v>NELSON JAVIER MORERA RINCON</v>
          </cell>
        </row>
        <row r="1213">
          <cell r="B1213">
            <v>20109739</v>
          </cell>
          <cell r="U1213" t="str">
            <v>IVONNE JINETH RODRIGUEZ ROJAS</v>
          </cell>
        </row>
        <row r="1214">
          <cell r="B1214">
            <v>20109741</v>
          </cell>
          <cell r="U1214" t="str">
            <v>IVONNE JINETH RODRIGUEZ ROJAS</v>
          </cell>
        </row>
        <row r="1215">
          <cell r="B1215">
            <v>20109744</v>
          </cell>
          <cell r="U1215" t="str">
            <v>CATALINA PACHECO BURGOS</v>
          </cell>
        </row>
        <row r="1216">
          <cell r="B1216">
            <v>20109752</v>
          </cell>
          <cell r="U1216" t="str">
            <v>PAOLA ANDREA CALDERON CETINA</v>
          </cell>
        </row>
        <row r="1217">
          <cell r="B1217">
            <v>20109754</v>
          </cell>
          <cell r="U1217" t="str">
            <v>NELSON JAVIER MORERA RINCON</v>
          </cell>
        </row>
        <row r="1218">
          <cell r="B1218">
            <v>20109761</v>
          </cell>
          <cell r="U1218" t="str">
            <v>NELSON JAVIER MORERA RINCON</v>
          </cell>
        </row>
        <row r="1219">
          <cell r="B1219">
            <v>20109765</v>
          </cell>
          <cell r="U1219" t="str">
            <v>IVONNE JINETH RODRIGUEZ ROJAS</v>
          </cell>
        </row>
        <row r="1220">
          <cell r="B1220">
            <v>20109769</v>
          </cell>
          <cell r="U1220" t="str">
            <v>JAVIER ORLANDO HERNANDEZ RIVERA</v>
          </cell>
        </row>
        <row r="1221">
          <cell r="B1221">
            <v>20109774</v>
          </cell>
          <cell r="U1221" t="str">
            <v>PAOLA ANDREA CALDERON CETINA</v>
          </cell>
        </row>
        <row r="1222">
          <cell r="B1222">
            <v>20109777</v>
          </cell>
          <cell r="U1222" t="str">
            <v>PAOLA ANDREA CALDERON CETINA</v>
          </cell>
        </row>
        <row r="1223">
          <cell r="B1223">
            <v>20109789</v>
          </cell>
          <cell r="U1223" t="str">
            <v/>
          </cell>
        </row>
        <row r="1224">
          <cell r="B1224">
            <v>20109790</v>
          </cell>
          <cell r="U1224" t="str">
            <v>FABIAN CONCHA</v>
          </cell>
        </row>
        <row r="1225">
          <cell r="B1225">
            <v>20109796</v>
          </cell>
          <cell r="U1225" t="str">
            <v>HEIDY LORENA PRIETO AHUMADA</v>
          </cell>
        </row>
        <row r="1226">
          <cell r="B1226">
            <v>20109801</v>
          </cell>
          <cell r="U1226" t="str">
            <v>JEISSON FABIAN MOLINA CIRO</v>
          </cell>
        </row>
        <row r="1227">
          <cell r="B1227">
            <v>20109817</v>
          </cell>
          <cell r="U1227" t="str">
            <v>JAVIER ORLANDO HERNANDEZ RIVERA</v>
          </cell>
        </row>
        <row r="1228">
          <cell r="B1228">
            <v>20109824</v>
          </cell>
          <cell r="U1228" t="str">
            <v>JEISSON FABIAN MOLINA CIRO</v>
          </cell>
        </row>
        <row r="1229">
          <cell r="B1229">
            <v>20109826</v>
          </cell>
          <cell r="U1229" t="str">
            <v>ANGIE LIZETH GARZON GARCIA</v>
          </cell>
        </row>
        <row r="1230">
          <cell r="B1230">
            <v>20109829</v>
          </cell>
          <cell r="U1230" t="str">
            <v>IVONNE JINETH RODRIGUEZ ROJAS</v>
          </cell>
        </row>
        <row r="1231">
          <cell r="B1231">
            <v>20109832</v>
          </cell>
          <cell r="U1231" t="str">
            <v>IVONNE JINETH RODRIGUEZ ROJAS</v>
          </cell>
        </row>
        <row r="1232">
          <cell r="B1232">
            <v>20109842</v>
          </cell>
          <cell r="U1232" t="str">
            <v>IVONNE JINETH RODRIGUEZ ROJAS</v>
          </cell>
        </row>
        <row r="1233">
          <cell r="B1233">
            <v>20109844</v>
          </cell>
          <cell r="U1233" t="str">
            <v>NELSON JAVIER MORERA RINCON</v>
          </cell>
        </row>
        <row r="1234">
          <cell r="B1234">
            <v>20109845</v>
          </cell>
          <cell r="U1234" t="str">
            <v>FABIAN CONCHA</v>
          </cell>
        </row>
        <row r="1235">
          <cell r="B1235">
            <v>20109859</v>
          </cell>
          <cell r="U1235" t="str">
            <v>MARSHIA MILENA JIMéNEZ GóMEZ</v>
          </cell>
        </row>
        <row r="1236">
          <cell r="B1236">
            <v>20109861</v>
          </cell>
          <cell r="U1236" t="str">
            <v>FABIAN CONCHA</v>
          </cell>
        </row>
        <row r="1237">
          <cell r="B1237">
            <v>20109863</v>
          </cell>
          <cell r="U1237" t="str">
            <v>PAOLA ANDREA CALDERON CETINA</v>
          </cell>
        </row>
        <row r="1238">
          <cell r="B1238">
            <v>20109865</v>
          </cell>
          <cell r="U1238" t="str">
            <v>HEIDY LORENA PRIETO AHUMADA</v>
          </cell>
        </row>
        <row r="1239">
          <cell r="B1239">
            <v>20109866</v>
          </cell>
          <cell r="U1239" t="str">
            <v>IVONNE JINETH RODRIGUEZ ROJAS</v>
          </cell>
        </row>
        <row r="1240">
          <cell r="B1240">
            <v>20109868</v>
          </cell>
          <cell r="U1240" t="str">
            <v>IVONNE JINETH RODRIGUEZ ROJAS</v>
          </cell>
        </row>
        <row r="1241">
          <cell r="B1241">
            <v>20109880</v>
          </cell>
          <cell r="U1241" t="str">
            <v>JEISSON FABIAN MOLINA CIRO</v>
          </cell>
        </row>
        <row r="1242">
          <cell r="B1242">
            <v>20109882</v>
          </cell>
          <cell r="U1242" t="str">
            <v>GINA PAOLA MEDINA FLOREZ</v>
          </cell>
        </row>
        <row r="1243">
          <cell r="B1243">
            <v>20109887</v>
          </cell>
          <cell r="U1243" t="str">
            <v>IVONNE JINETH RODRIGUEZ ROJAS</v>
          </cell>
        </row>
        <row r="1244">
          <cell r="B1244">
            <v>20109889</v>
          </cell>
          <cell r="U1244" t="str">
            <v>IVONNE JINETH RODRIGUEZ ROJAS</v>
          </cell>
        </row>
        <row r="1245">
          <cell r="B1245">
            <v>20109897</v>
          </cell>
          <cell r="U1245" t="str">
            <v>FABIAN CONCHA</v>
          </cell>
        </row>
        <row r="1246">
          <cell r="B1246">
            <v>20109898</v>
          </cell>
          <cell r="U1246" t="str">
            <v>ANGIE LIZETH GARZON GARCIA</v>
          </cell>
        </row>
        <row r="1247">
          <cell r="B1247">
            <v>20109903</v>
          </cell>
          <cell r="U1247" t="str">
            <v>FABIAN CONCHA</v>
          </cell>
        </row>
        <row r="1248">
          <cell r="B1248">
            <v>20109904</v>
          </cell>
          <cell r="U1248" t="str">
            <v>JEISSON FABIAN MOLINA CIRO</v>
          </cell>
        </row>
        <row r="1249">
          <cell r="B1249">
            <v>20109905</v>
          </cell>
          <cell r="U1249" t="str">
            <v>FABIAN CONCHA</v>
          </cell>
        </row>
        <row r="1250">
          <cell r="B1250">
            <v>20109911</v>
          </cell>
          <cell r="U1250" t="str">
            <v>IVONNE JINETH RODRIGUEZ ROJAS</v>
          </cell>
        </row>
        <row r="1251">
          <cell r="B1251">
            <v>20109912</v>
          </cell>
          <cell r="U1251" t="str">
            <v>MARSHIA MILENA JIMéNEZ GóMEZ</v>
          </cell>
        </row>
        <row r="1252">
          <cell r="B1252">
            <v>20109913</v>
          </cell>
          <cell r="U1252" t="str">
            <v>ANGIE LIZETH GARZON GARCIA</v>
          </cell>
        </row>
        <row r="1253">
          <cell r="B1253">
            <v>20109915</v>
          </cell>
          <cell r="U1253" t="str">
            <v>IVONNE JINETH RODRIGUEZ ROJAS</v>
          </cell>
        </row>
        <row r="1254">
          <cell r="B1254">
            <v>20109923</v>
          </cell>
          <cell r="U1254" t="str">
            <v>CATALINA PACHECO BURGOS</v>
          </cell>
        </row>
        <row r="1255">
          <cell r="B1255">
            <v>20109937</v>
          </cell>
          <cell r="U1255" t="str">
            <v>NELSON JAVIER MORERA RINCON</v>
          </cell>
        </row>
        <row r="1256">
          <cell r="B1256">
            <v>20109947</v>
          </cell>
          <cell r="U1256" t="str">
            <v>IVONNE JINETH RODRIGUEZ ROJAS</v>
          </cell>
        </row>
        <row r="1257">
          <cell r="B1257">
            <v>20109949</v>
          </cell>
          <cell r="U1257" t="str">
            <v>IVONNE JINETH RODRIGUEZ ROJAS</v>
          </cell>
        </row>
        <row r="1258">
          <cell r="B1258">
            <v>20109963</v>
          </cell>
          <cell r="U1258" t="str">
            <v>GINA PAOLA MEDINA FLOREZ</v>
          </cell>
        </row>
        <row r="1259">
          <cell r="B1259">
            <v>20109966</v>
          </cell>
          <cell r="U1259" t="str">
            <v>GINA PAOLA MEDINA FLOREZ</v>
          </cell>
        </row>
        <row r="1260">
          <cell r="B1260">
            <v>20109984</v>
          </cell>
          <cell r="U1260" t="str">
            <v>FABIAN CONCHA</v>
          </cell>
        </row>
        <row r="1261">
          <cell r="B1261">
            <v>20109992</v>
          </cell>
          <cell r="U1261" t="str">
            <v>JOVANNY ALEXANDER BENAVIDES APRAEZ</v>
          </cell>
        </row>
        <row r="1262">
          <cell r="B1262">
            <v>20109993</v>
          </cell>
          <cell r="U1262" t="str">
            <v>HEIDY LORENA PRIETO AHUMADA</v>
          </cell>
        </row>
        <row r="1263">
          <cell r="B1263">
            <v>20110001</v>
          </cell>
          <cell r="U1263" t="str">
            <v>IVONNE JINETH RODRIGUEZ ROJAS</v>
          </cell>
        </row>
        <row r="1264">
          <cell r="B1264">
            <v>20110004</v>
          </cell>
          <cell r="U1264" t="str">
            <v>IVONNE JINETH RODRIGUEZ ROJAS</v>
          </cell>
        </row>
        <row r="1265">
          <cell r="B1265">
            <v>20110008</v>
          </cell>
          <cell r="U1265" t="str">
            <v>NELSON JAVIER MORERA RINCON</v>
          </cell>
        </row>
        <row r="1266">
          <cell r="B1266">
            <v>20110011</v>
          </cell>
          <cell r="U1266" t="str">
            <v>PAOLA ANDREA CALDERON CETINA</v>
          </cell>
        </row>
        <row r="1267">
          <cell r="B1267">
            <v>20110023</v>
          </cell>
          <cell r="U1267" t="str">
            <v>FABIAN CONCHA</v>
          </cell>
        </row>
        <row r="1268">
          <cell r="B1268">
            <v>20110036</v>
          </cell>
          <cell r="U1268" t="str">
            <v>NELSON JAVIER MORERA RINCON</v>
          </cell>
        </row>
        <row r="1269">
          <cell r="B1269">
            <v>20110040</v>
          </cell>
          <cell r="U1269" t="str">
            <v>FABIAN CONCHA</v>
          </cell>
        </row>
        <row r="1270">
          <cell r="B1270">
            <v>20110046</v>
          </cell>
          <cell r="U1270" t="str">
            <v>JAVIER ORLANDO HERNANDEZ RIVERA</v>
          </cell>
        </row>
        <row r="1271">
          <cell r="B1271">
            <v>20110052</v>
          </cell>
          <cell r="U1271" t="str">
            <v>JAVIER ORLANDO HERNANDEZ RIVERA</v>
          </cell>
        </row>
        <row r="1272">
          <cell r="B1272">
            <v>20110059</v>
          </cell>
          <cell r="U1272" t="str">
            <v>NELSON JAVIER MORERA RINCON</v>
          </cell>
        </row>
        <row r="1273">
          <cell r="B1273">
            <v>20110069</v>
          </cell>
          <cell r="U1273" t="str">
            <v>CATALINA PACHECO BURGOS</v>
          </cell>
        </row>
        <row r="1274">
          <cell r="B1274">
            <v>20110075</v>
          </cell>
          <cell r="U1274" t="str">
            <v>IVONNE JINETH RODRIGUEZ ROJAS</v>
          </cell>
        </row>
        <row r="1275">
          <cell r="B1275">
            <v>20110081</v>
          </cell>
          <cell r="U1275" t="str">
            <v>MARSHIA MILENA JIMéNEZ GóMEZ</v>
          </cell>
        </row>
        <row r="1276">
          <cell r="B1276">
            <v>20110083</v>
          </cell>
          <cell r="U1276" t="str">
            <v>NELSON JAVIER MORERA RINCON</v>
          </cell>
        </row>
        <row r="1277">
          <cell r="B1277">
            <v>20110089</v>
          </cell>
          <cell r="U1277" t="str">
            <v>JOVANNY ALEXANDER BENAVIDES APRAEZ</v>
          </cell>
        </row>
        <row r="1278">
          <cell r="B1278">
            <v>20110091</v>
          </cell>
          <cell r="U1278" t="str">
            <v>CATALINA PACHECO BURGOS</v>
          </cell>
        </row>
        <row r="1279">
          <cell r="B1279">
            <v>20110094</v>
          </cell>
          <cell r="U1279" t="str">
            <v>PAOLA ANDREA CALDERON CETINA</v>
          </cell>
        </row>
        <row r="1280">
          <cell r="B1280">
            <v>20110096</v>
          </cell>
          <cell r="U1280" t="str">
            <v>MARSHIA MILENA JIMéNEZ GóMEZ</v>
          </cell>
        </row>
        <row r="1281">
          <cell r="B1281">
            <v>20110110</v>
          </cell>
          <cell r="U1281" t="str">
            <v>GINA PAOLA MEDINA FLOREZ</v>
          </cell>
        </row>
        <row r="1282">
          <cell r="B1282">
            <v>20110113</v>
          </cell>
          <cell r="U1282" t="str">
            <v>IVONNE JINETH RODRIGUEZ ROJAS</v>
          </cell>
        </row>
        <row r="1283">
          <cell r="B1283">
            <v>20110119</v>
          </cell>
          <cell r="U1283" t="str">
            <v>JAVIER ORLANDO HERNANDEZ RIVERA</v>
          </cell>
        </row>
        <row r="1284">
          <cell r="B1284">
            <v>20110121</v>
          </cell>
          <cell r="U1284" t="str">
            <v>IVONNE JINETH RODRIGUEZ ROJAS</v>
          </cell>
        </row>
        <row r="1285">
          <cell r="B1285">
            <v>20110138</v>
          </cell>
          <cell r="U1285" t="str">
            <v>ANGIE LIZETH GARZON GARCIA</v>
          </cell>
        </row>
        <row r="1286">
          <cell r="B1286">
            <v>20110139</v>
          </cell>
          <cell r="U1286" t="str">
            <v>JEISSON FABIAN MOLINA CIRO</v>
          </cell>
        </row>
        <row r="1287">
          <cell r="B1287">
            <v>20110142</v>
          </cell>
          <cell r="U1287" t="str">
            <v>NELSON JAVIER MORERA RINCON</v>
          </cell>
        </row>
        <row r="1288">
          <cell r="B1288">
            <v>20110145</v>
          </cell>
          <cell r="U1288" t="str">
            <v>PAOLA ANDREA CALDERON CETINA</v>
          </cell>
        </row>
        <row r="1289">
          <cell r="B1289">
            <v>20110150</v>
          </cell>
          <cell r="U1289" t="str">
            <v>IVONNE JINETH RODRIGUEZ ROJAS</v>
          </cell>
        </row>
        <row r="1290">
          <cell r="B1290">
            <v>20110161</v>
          </cell>
          <cell r="U1290" t="str">
            <v>NELSON JAVIER MORERA RINCON</v>
          </cell>
        </row>
        <row r="1291">
          <cell r="B1291">
            <v>20110167</v>
          </cell>
          <cell r="U1291" t="str">
            <v>MARSHIA MILENA JIMéNEZ GóMEZ</v>
          </cell>
        </row>
        <row r="1292">
          <cell r="B1292">
            <v>20110173</v>
          </cell>
          <cell r="U1292" t="str">
            <v>IVONNE JINETH RODRIGUEZ ROJAS</v>
          </cell>
        </row>
        <row r="1293">
          <cell r="B1293">
            <v>20110175</v>
          </cell>
          <cell r="U1293" t="str">
            <v>NELSON JAVIER MORERA RINCON</v>
          </cell>
        </row>
        <row r="1294">
          <cell r="B1294">
            <v>20110179</v>
          </cell>
          <cell r="U1294" t="str">
            <v>JEISSON FABIAN MOLINA CIRO</v>
          </cell>
        </row>
        <row r="1295">
          <cell r="B1295">
            <v>20110194</v>
          </cell>
          <cell r="U1295" t="str">
            <v>FABIAN CONCHA</v>
          </cell>
        </row>
        <row r="1296">
          <cell r="B1296">
            <v>20110204</v>
          </cell>
          <cell r="U1296" t="str">
            <v>NELSON JAVIER MORERA RINCON</v>
          </cell>
        </row>
        <row r="1297">
          <cell r="B1297">
            <v>20110205</v>
          </cell>
          <cell r="U1297" t="str">
            <v>CATALINA PACHECO BURGOS</v>
          </cell>
        </row>
        <row r="1298">
          <cell r="B1298">
            <v>20110210</v>
          </cell>
          <cell r="U1298" t="str">
            <v>PAOLA ANDREA CALDERON CETINA</v>
          </cell>
        </row>
        <row r="1299">
          <cell r="B1299">
            <v>20110212</v>
          </cell>
          <cell r="U1299" t="str">
            <v>MARSHIA MILENA JIMéNEZ GóMEZ</v>
          </cell>
        </row>
        <row r="1300">
          <cell r="B1300">
            <v>20110252</v>
          </cell>
          <cell r="U1300" t="str">
            <v>IVONNE JINETH RODRIGUEZ ROJAS</v>
          </cell>
        </row>
        <row r="1301">
          <cell r="B1301">
            <v>20110255</v>
          </cell>
          <cell r="U1301" t="str">
            <v>MARSHIA MILENA JIMéNEZ GóMEZ</v>
          </cell>
        </row>
        <row r="1302">
          <cell r="B1302">
            <v>20110256</v>
          </cell>
          <cell r="U1302" t="str">
            <v>IVONNE JINETH RODRIGUEZ ROJAS</v>
          </cell>
        </row>
        <row r="1303">
          <cell r="B1303">
            <v>20110263</v>
          </cell>
          <cell r="U1303" t="str">
            <v>JEISSON FABIAN MOLINA CIRO</v>
          </cell>
        </row>
        <row r="1304">
          <cell r="B1304">
            <v>20110265</v>
          </cell>
          <cell r="U1304" t="str">
            <v>IVONNE JINETH RODRIGUEZ ROJAS</v>
          </cell>
        </row>
        <row r="1305">
          <cell r="B1305">
            <v>20110271</v>
          </cell>
          <cell r="U1305" t="str">
            <v>CATALINA PACHECO BURGOS</v>
          </cell>
        </row>
        <row r="1306">
          <cell r="B1306">
            <v>20110279</v>
          </cell>
          <cell r="U1306" t="str">
            <v>FABIAN CONCHA</v>
          </cell>
        </row>
        <row r="1307">
          <cell r="B1307">
            <v>20110281</v>
          </cell>
          <cell r="U1307" t="str">
            <v>IVONNE JINETH RODRIGUEZ ROJAS</v>
          </cell>
        </row>
        <row r="1308">
          <cell r="B1308">
            <v>20110288</v>
          </cell>
          <cell r="U1308" t="str">
            <v>JEISSON FABIAN MOLINA CIRO</v>
          </cell>
        </row>
        <row r="1309">
          <cell r="B1309">
            <v>20110311</v>
          </cell>
          <cell r="U1309" t="str">
            <v>FABIAN CONCHA</v>
          </cell>
        </row>
        <row r="1310">
          <cell r="B1310">
            <v>20110317</v>
          </cell>
          <cell r="U1310" t="str">
            <v>IVONNE JINETH RODRIGUEZ ROJAS</v>
          </cell>
        </row>
        <row r="1311">
          <cell r="B1311">
            <v>20110324</v>
          </cell>
          <cell r="U1311" t="str">
            <v>HEIDY LORENA PRIETO AHUMADA</v>
          </cell>
        </row>
        <row r="1312">
          <cell r="B1312">
            <v>20110326</v>
          </cell>
          <cell r="U1312" t="str">
            <v>MARSHIA MILENA JIMéNEZ GóMEZ</v>
          </cell>
        </row>
        <row r="1313">
          <cell r="B1313">
            <v>20110329</v>
          </cell>
          <cell r="U1313" t="str">
            <v>CATALINA PACHECO BURGOS</v>
          </cell>
        </row>
        <row r="1314">
          <cell r="B1314">
            <v>20110340</v>
          </cell>
          <cell r="U1314" t="str">
            <v>FABIAN CONCHA</v>
          </cell>
        </row>
        <row r="1315">
          <cell r="B1315">
            <v>20110344</v>
          </cell>
          <cell r="U1315" t="str">
            <v>IVONNE JINETH RODRIGUEZ ROJAS</v>
          </cell>
        </row>
        <row r="1316">
          <cell r="B1316">
            <v>20110347</v>
          </cell>
          <cell r="U1316" t="str">
            <v>MARSHIA MILENA JIMéNEZ GóMEZ</v>
          </cell>
        </row>
        <row r="1317">
          <cell r="B1317">
            <v>20110356</v>
          </cell>
          <cell r="U1317" t="str">
            <v>FABIAN CONCHA</v>
          </cell>
        </row>
        <row r="1318">
          <cell r="B1318">
            <v>20110357</v>
          </cell>
          <cell r="U1318" t="str">
            <v>JEISSON FABIAN MOLINA CIRO</v>
          </cell>
        </row>
        <row r="1319">
          <cell r="B1319">
            <v>20110375</v>
          </cell>
          <cell r="U1319" t="str">
            <v>MARSHIA MILENA JIMéNEZ GóMEZ</v>
          </cell>
        </row>
        <row r="1320">
          <cell r="B1320">
            <v>20110377</v>
          </cell>
          <cell r="U1320" t="str">
            <v>CATALINA PACHECO BURGOS</v>
          </cell>
        </row>
        <row r="1321">
          <cell r="B1321">
            <v>20110378</v>
          </cell>
          <cell r="U1321" t="str">
            <v>IVONNE JINETH RODRIGUEZ ROJAS</v>
          </cell>
        </row>
        <row r="1322">
          <cell r="B1322">
            <v>20110383</v>
          </cell>
          <cell r="U1322" t="str">
            <v>ANGIE LIZETH GARZON GARCIA</v>
          </cell>
        </row>
        <row r="1323">
          <cell r="B1323">
            <v>20110386</v>
          </cell>
          <cell r="U1323" t="str">
            <v>HEIDY LORENA PRIETO AHUMADA</v>
          </cell>
        </row>
        <row r="1324">
          <cell r="B1324">
            <v>20110389</v>
          </cell>
          <cell r="U1324" t="str">
            <v>PAOLA ANDREA CALDERON CETINA</v>
          </cell>
        </row>
        <row r="1325">
          <cell r="B1325">
            <v>20110392</v>
          </cell>
          <cell r="U1325" t="str">
            <v>PAOLA ANDREA CALDERON CETINA</v>
          </cell>
        </row>
        <row r="1326">
          <cell r="B1326">
            <v>20110398</v>
          </cell>
          <cell r="U1326" t="str">
            <v>JAVIER ORLANDO HERNANDEZ RIVERA</v>
          </cell>
        </row>
        <row r="1327">
          <cell r="B1327">
            <v>20110403</v>
          </cell>
          <cell r="U1327" t="str">
            <v>NELSON JAVIER MORERA RINCON</v>
          </cell>
        </row>
        <row r="1328">
          <cell r="B1328">
            <v>20110404</v>
          </cell>
          <cell r="U1328" t="str">
            <v>MARSHIA MILENA JIMéNEZ GóMEZ</v>
          </cell>
        </row>
        <row r="1329">
          <cell r="B1329">
            <v>20110407</v>
          </cell>
          <cell r="U1329" t="str">
            <v>JOHAN SEBASTIAN PARDEYN AGUILAR</v>
          </cell>
        </row>
        <row r="1330">
          <cell r="B1330">
            <v>20110423</v>
          </cell>
          <cell r="U1330" t="str">
            <v>PAOLA ANDREA CALDERON CETINA</v>
          </cell>
        </row>
        <row r="1331">
          <cell r="B1331">
            <v>20110426</v>
          </cell>
          <cell r="U1331" t="str">
            <v>IVONNE JINETH RODRIGUEZ ROJAS</v>
          </cell>
        </row>
        <row r="1332">
          <cell r="B1332">
            <v>20110427</v>
          </cell>
          <cell r="U1332" t="str">
            <v>NELSON JAVIER MORERA RINCON</v>
          </cell>
        </row>
        <row r="1333">
          <cell r="B1333">
            <v>20110443</v>
          </cell>
          <cell r="U1333" t="str">
            <v>IVONNE JINETH RODRIGUEZ ROJAS</v>
          </cell>
        </row>
        <row r="1334">
          <cell r="B1334">
            <v>20110454</v>
          </cell>
          <cell r="U1334" t="str">
            <v>ANGIE LIZETH GARZON GARCIA</v>
          </cell>
        </row>
        <row r="1335">
          <cell r="B1335">
            <v>20110456</v>
          </cell>
          <cell r="U1335" t="str">
            <v>JEISSON FABIAN MOLINA CIRO</v>
          </cell>
        </row>
        <row r="1336">
          <cell r="B1336">
            <v>20110457</v>
          </cell>
          <cell r="U1336" t="str">
            <v>IVONNE JINETH RODRIGUEZ ROJAS</v>
          </cell>
        </row>
        <row r="1337">
          <cell r="B1337">
            <v>20110471</v>
          </cell>
          <cell r="U1337" t="str">
            <v>JEISSON FABIAN MOLINA CIRO</v>
          </cell>
        </row>
        <row r="1338">
          <cell r="B1338">
            <v>20110474</v>
          </cell>
          <cell r="U1338" t="str">
            <v>IVONNE JINETH RODRIGUEZ ROJAS</v>
          </cell>
        </row>
        <row r="1339">
          <cell r="B1339">
            <v>20110479</v>
          </cell>
          <cell r="U1339" t="str">
            <v>PAOLA ANDREA CALDERON CETINA</v>
          </cell>
        </row>
        <row r="1340">
          <cell r="B1340">
            <v>20110485</v>
          </cell>
          <cell r="U1340" t="str">
            <v>CATALINA PACHECO BURGOS</v>
          </cell>
        </row>
        <row r="1341">
          <cell r="B1341">
            <v>20110491</v>
          </cell>
          <cell r="U1341" t="str">
            <v>HEIDY LORENA PRIETO AHUMADA</v>
          </cell>
        </row>
        <row r="1342">
          <cell r="B1342">
            <v>20110502</v>
          </cell>
          <cell r="U1342" t="str">
            <v>JOHAN SEBASTIAN PARDEYN AGUILAR</v>
          </cell>
        </row>
        <row r="1343">
          <cell r="B1343">
            <v>20110506</v>
          </cell>
          <cell r="U1343" t="str">
            <v>JOHAN SEBASTIAN PARDEYN AGUILAR</v>
          </cell>
        </row>
        <row r="1344">
          <cell r="B1344">
            <v>20110507</v>
          </cell>
          <cell r="U1344" t="str">
            <v>FABIAN CONCHA</v>
          </cell>
        </row>
        <row r="1345">
          <cell r="B1345">
            <v>20110508</v>
          </cell>
          <cell r="U1345" t="str">
            <v>HEIDY LORENA PRIETO AHUMADA</v>
          </cell>
        </row>
        <row r="1346">
          <cell r="B1346">
            <v>20110510</v>
          </cell>
          <cell r="U1346" t="str">
            <v>NELSON JAVIER MORERA RINCON</v>
          </cell>
        </row>
        <row r="1347">
          <cell r="B1347">
            <v>20110513</v>
          </cell>
          <cell r="U1347" t="str">
            <v>FABIAN CONCHA</v>
          </cell>
        </row>
        <row r="1348">
          <cell r="B1348">
            <v>20110521</v>
          </cell>
          <cell r="U1348" t="str">
            <v>JOVANNY ALEXANDER BENAVIDES APRAEZ</v>
          </cell>
        </row>
        <row r="1349">
          <cell r="B1349">
            <v>20110552</v>
          </cell>
          <cell r="U1349" t="str">
            <v>IVONNE JINETH RODRIGUEZ ROJAS</v>
          </cell>
        </row>
        <row r="1350">
          <cell r="B1350">
            <v>20110555</v>
          </cell>
          <cell r="U1350" t="str">
            <v>HEIDY LORENA PRIETO AHUMADA</v>
          </cell>
        </row>
        <row r="1351">
          <cell r="B1351">
            <v>20110556</v>
          </cell>
          <cell r="U1351" t="str">
            <v>JOHAN SEBASTIAN PARDEYN AGUILAR</v>
          </cell>
        </row>
        <row r="1352">
          <cell r="B1352">
            <v>20110560</v>
          </cell>
          <cell r="U1352" t="str">
            <v>HEIDY LORENA PRIETO AHUMADA</v>
          </cell>
        </row>
        <row r="1353">
          <cell r="B1353">
            <v>20110562</v>
          </cell>
          <cell r="U1353" t="str">
            <v>MARSHIA MILENA JIMéNEZ GóMEZ</v>
          </cell>
        </row>
        <row r="1354">
          <cell r="B1354">
            <v>20110567</v>
          </cell>
          <cell r="U1354" t="str">
            <v>HEIDY LORENA PRIETO AHUMADA</v>
          </cell>
        </row>
        <row r="1355">
          <cell r="B1355">
            <v>20110569</v>
          </cell>
          <cell r="U1355" t="str">
            <v>NELSON JAVIER MORERA RINCON</v>
          </cell>
        </row>
        <row r="1356">
          <cell r="B1356">
            <v>20110574</v>
          </cell>
          <cell r="U1356" t="str">
            <v>MARSHIA MILENA JIMéNEZ GóMEZ</v>
          </cell>
        </row>
        <row r="1357">
          <cell r="B1357">
            <v>20110575</v>
          </cell>
          <cell r="U1357" t="str">
            <v>NELSON JAVIER MORERA RINCON</v>
          </cell>
        </row>
        <row r="1358">
          <cell r="B1358">
            <v>20110582</v>
          </cell>
          <cell r="U1358" t="str">
            <v>GINA PAOLA MEDINA FLOREZ</v>
          </cell>
        </row>
        <row r="1359">
          <cell r="B1359">
            <v>20110585</v>
          </cell>
          <cell r="U1359" t="str">
            <v>NELSON JAVIER MORERA RINCON</v>
          </cell>
        </row>
        <row r="1360">
          <cell r="B1360">
            <v>20110586</v>
          </cell>
          <cell r="U1360" t="str">
            <v>HEIDY LORENA PRIETO AHUMADA</v>
          </cell>
        </row>
        <row r="1361">
          <cell r="B1361">
            <v>20110590</v>
          </cell>
          <cell r="U1361" t="str">
            <v>HEIDY LORENA PRIETO AHUMADA</v>
          </cell>
        </row>
        <row r="1362">
          <cell r="B1362">
            <v>20110604</v>
          </cell>
          <cell r="U1362" t="str">
            <v>IVONNE JINETH RODRIGUEZ ROJAS</v>
          </cell>
        </row>
        <row r="1363">
          <cell r="B1363">
            <v>20110607</v>
          </cell>
          <cell r="U1363" t="str">
            <v>FABIAN CONCHA</v>
          </cell>
        </row>
        <row r="1364">
          <cell r="B1364">
            <v>20110608</v>
          </cell>
          <cell r="U1364" t="e">
            <v>#N/A</v>
          </cell>
        </row>
        <row r="1365">
          <cell r="B1365">
            <v>20110610</v>
          </cell>
          <cell r="U1365" t="str">
            <v>NELSON JAVIER MORERA RINCON</v>
          </cell>
        </row>
        <row r="1366">
          <cell r="B1366">
            <v>20110611</v>
          </cell>
          <cell r="U1366" t="str">
            <v>IVONNE JINETH RODRIGUEZ ROJAS</v>
          </cell>
        </row>
        <row r="1367">
          <cell r="B1367">
            <v>20110615</v>
          </cell>
          <cell r="U1367" t="str">
            <v>JEISSON FABIAN MOLINA CIRO</v>
          </cell>
        </row>
        <row r="1368">
          <cell r="B1368">
            <v>20110618</v>
          </cell>
          <cell r="U1368" t="str">
            <v>FABIAN CONCHA</v>
          </cell>
        </row>
        <row r="1369">
          <cell r="B1369">
            <v>20110621</v>
          </cell>
          <cell r="U1369" t="str">
            <v>HEIDY LORENA PRIETO AHUMADA</v>
          </cell>
        </row>
        <row r="1370">
          <cell r="B1370">
            <v>20110656</v>
          </cell>
          <cell r="U1370" t="str">
            <v>JAVIER ORLANDO HERNANDEZ RIVERA</v>
          </cell>
        </row>
        <row r="1371">
          <cell r="B1371">
            <v>20110664</v>
          </cell>
          <cell r="U1371" t="str">
            <v>JOVANNY ALEXANDER BENAVIDES APRAEZ</v>
          </cell>
        </row>
        <row r="1372">
          <cell r="B1372">
            <v>20110670</v>
          </cell>
          <cell r="U1372" t="str">
            <v>HEIDY LORENA PRIETO AHUMADA</v>
          </cell>
        </row>
        <row r="1373">
          <cell r="B1373">
            <v>20110679</v>
          </cell>
          <cell r="U1373" t="str">
            <v>GINA PAOLA MEDINA FLOREZ</v>
          </cell>
        </row>
        <row r="1374">
          <cell r="B1374">
            <v>20110689</v>
          </cell>
          <cell r="U1374" t="str">
            <v>JAVIER ORLANDO HERNANDEZ RIVERA</v>
          </cell>
        </row>
        <row r="1375">
          <cell r="B1375">
            <v>20110695</v>
          </cell>
          <cell r="U1375" t="str">
            <v>FABIAN CONCHA</v>
          </cell>
        </row>
        <row r="1376">
          <cell r="B1376">
            <v>20110698</v>
          </cell>
          <cell r="U1376" t="str">
            <v>NELSON JAVIER MORERA RINCON</v>
          </cell>
        </row>
        <row r="1377">
          <cell r="B1377">
            <v>20110701</v>
          </cell>
          <cell r="U1377" t="str">
            <v>JEISSON FABIAN MOLINA CIRO</v>
          </cell>
        </row>
        <row r="1378">
          <cell r="B1378">
            <v>20110710</v>
          </cell>
          <cell r="U1378" t="str">
            <v/>
          </cell>
        </row>
        <row r="1379">
          <cell r="B1379">
            <v>20110717</v>
          </cell>
          <cell r="U1379" t="str">
            <v>PAOLA ANDREA CALDERON CETINA</v>
          </cell>
        </row>
        <row r="1380">
          <cell r="B1380">
            <v>20110741</v>
          </cell>
          <cell r="U1380" t="str">
            <v>CATALINA PACHECO BURGOS</v>
          </cell>
        </row>
        <row r="1381">
          <cell r="B1381">
            <v>20110745</v>
          </cell>
          <cell r="U1381" t="str">
            <v>HEIDY LORENA PRIETO AHUMADA</v>
          </cell>
        </row>
        <row r="1382">
          <cell r="B1382">
            <v>20110753</v>
          </cell>
          <cell r="U1382" t="str">
            <v>NELSON JAVIER MORERA RINCON</v>
          </cell>
        </row>
        <row r="1383">
          <cell r="B1383">
            <v>20110757</v>
          </cell>
          <cell r="U1383" t="str">
            <v>JAVIER ORLANDO HERNANDEZ RIVERA</v>
          </cell>
        </row>
        <row r="1384">
          <cell r="B1384">
            <v>20110783</v>
          </cell>
          <cell r="U1384" t="str">
            <v>IVONNE JINETH RODRIGUEZ ROJAS</v>
          </cell>
        </row>
        <row r="1385">
          <cell r="B1385">
            <v>20110790</v>
          </cell>
          <cell r="U1385" t="str">
            <v>PAOLA ANDREA CALDERON CETINA</v>
          </cell>
        </row>
        <row r="1386">
          <cell r="B1386">
            <v>20110793</v>
          </cell>
          <cell r="U1386" t="str">
            <v>MARSHIA MILENA JIMéNEZ GóMEZ</v>
          </cell>
        </row>
        <row r="1387">
          <cell r="B1387">
            <v>20110795</v>
          </cell>
          <cell r="U1387" t="str">
            <v>IVONNE JINETH RODRIGUEZ ROJAS</v>
          </cell>
        </row>
        <row r="1388">
          <cell r="B1388">
            <v>20110796</v>
          </cell>
          <cell r="U1388" t="str">
            <v>JEISSON FABIAN MOLINA CIRO</v>
          </cell>
        </row>
        <row r="1389">
          <cell r="B1389">
            <v>20110820</v>
          </cell>
          <cell r="U1389" t="str">
            <v>NELSON JAVIER MORERA RINCON</v>
          </cell>
        </row>
        <row r="1390">
          <cell r="B1390">
            <v>20110847</v>
          </cell>
          <cell r="U1390" t="str">
            <v>NELSON JAVIER MORERA RINCON</v>
          </cell>
        </row>
        <row r="1391">
          <cell r="B1391">
            <v>20110859</v>
          </cell>
          <cell r="U1391" t="str">
            <v>IVONNE JINETH RODRIGUEZ ROJAS</v>
          </cell>
        </row>
        <row r="1392">
          <cell r="B1392">
            <v>20110864</v>
          </cell>
          <cell r="U1392" t="str">
            <v>FABIAN CONCHA</v>
          </cell>
        </row>
        <row r="1393">
          <cell r="B1393">
            <v>20110881</v>
          </cell>
          <cell r="U1393" t="str">
            <v>IVONNE JINETH RODRIGUEZ ROJAS</v>
          </cell>
        </row>
        <row r="1394">
          <cell r="B1394">
            <v>20110897</v>
          </cell>
          <cell r="U1394" t="str">
            <v>IVONNE JINETH RODRIGUEZ ROJAS</v>
          </cell>
        </row>
        <row r="1395">
          <cell r="B1395">
            <v>20110898</v>
          </cell>
          <cell r="U1395" t="str">
            <v>IVONNE JINETH RODRIGUEZ ROJAS</v>
          </cell>
        </row>
        <row r="1396">
          <cell r="B1396">
            <v>20110900</v>
          </cell>
          <cell r="U1396" t="str">
            <v>NELSON JAVIER MORERA RINCON</v>
          </cell>
        </row>
        <row r="1397">
          <cell r="B1397">
            <v>20110911</v>
          </cell>
          <cell r="U1397" t="str">
            <v>NELSON JAVIER MORERA RINCON</v>
          </cell>
        </row>
        <row r="1398">
          <cell r="B1398">
            <v>20110918</v>
          </cell>
          <cell r="U1398" t="str">
            <v>JEISSON FABIAN MOLINA CIRO</v>
          </cell>
        </row>
        <row r="1399">
          <cell r="B1399">
            <v>20110928</v>
          </cell>
          <cell r="U1399" t="str">
            <v>FABIAN CONCHA</v>
          </cell>
        </row>
        <row r="1400">
          <cell r="B1400">
            <v>20110940</v>
          </cell>
          <cell r="U1400" t="str">
            <v>NELSON JAVIER MORERA RINCON</v>
          </cell>
        </row>
        <row r="1401">
          <cell r="B1401">
            <v>20110964</v>
          </cell>
          <cell r="U1401" t="str">
            <v>HEIDY LORENA PRIETO AHUMADA</v>
          </cell>
        </row>
        <row r="1402">
          <cell r="B1402">
            <v>20110971</v>
          </cell>
          <cell r="U1402" t="str">
            <v>NELSON JAVIER MORERA RINCON</v>
          </cell>
        </row>
        <row r="1403">
          <cell r="B1403">
            <v>20110993</v>
          </cell>
          <cell r="U1403" t="str">
            <v>IVONNE JINETH RODRIGUEZ ROJAS</v>
          </cell>
        </row>
        <row r="1404">
          <cell r="B1404">
            <v>20110998</v>
          </cell>
          <cell r="U1404" t="str">
            <v>GINA PAOLA MEDINA FLOREZ</v>
          </cell>
        </row>
        <row r="1405">
          <cell r="B1405">
            <v>20111006</v>
          </cell>
          <cell r="U1405" t="str">
            <v>MARSHIA MILENA JIMéNEZ GóMEZ</v>
          </cell>
        </row>
        <row r="1406">
          <cell r="B1406">
            <v>20111007</v>
          </cell>
          <cell r="U1406" t="str">
            <v>FABIAN CONCHA</v>
          </cell>
        </row>
        <row r="1407">
          <cell r="B1407">
            <v>20111008</v>
          </cell>
          <cell r="U1407" t="str">
            <v>IVONNE JINETH RODRIGUEZ ROJAS</v>
          </cell>
        </row>
        <row r="1408">
          <cell r="B1408">
            <v>20111018</v>
          </cell>
          <cell r="U1408" t="str">
            <v>FABIAN CONCHA</v>
          </cell>
        </row>
        <row r="1409">
          <cell r="B1409">
            <v>20111022</v>
          </cell>
          <cell r="U1409" t="str">
            <v>ANGIE LIZETH GARZON GARCIA</v>
          </cell>
        </row>
        <row r="1410">
          <cell r="B1410">
            <v>20111023</v>
          </cell>
          <cell r="U1410" t="str">
            <v>FABIAN CONCHA</v>
          </cell>
        </row>
        <row r="1411">
          <cell r="B1411">
            <v>20111025</v>
          </cell>
          <cell r="U1411" t="str">
            <v>FABIAN CONCHA</v>
          </cell>
        </row>
        <row r="1412">
          <cell r="B1412">
            <v>20111026</v>
          </cell>
          <cell r="U1412" t="str">
            <v>PAOLA ANDREA CALDERON CETINA</v>
          </cell>
        </row>
        <row r="1413">
          <cell r="B1413">
            <v>20111028</v>
          </cell>
          <cell r="U1413" t="str">
            <v>FABIAN CONCHA</v>
          </cell>
        </row>
        <row r="1414">
          <cell r="B1414">
            <v>20111031</v>
          </cell>
          <cell r="U1414" t="str">
            <v>FABIAN CONCHA</v>
          </cell>
        </row>
        <row r="1415">
          <cell r="B1415">
            <v>20111050</v>
          </cell>
          <cell r="U1415" t="str">
            <v>JOHAN SEBASTIAN PARDEYN AGUILAR</v>
          </cell>
        </row>
        <row r="1416">
          <cell r="B1416">
            <v>20111059</v>
          </cell>
          <cell r="U1416" t="str">
            <v>NELSON JAVIER MORERA RINCON</v>
          </cell>
        </row>
        <row r="1417">
          <cell r="B1417">
            <v>20111060</v>
          </cell>
          <cell r="U1417" t="str">
            <v>CATALINA PACHECO BURGOS</v>
          </cell>
        </row>
        <row r="1418">
          <cell r="B1418">
            <v>20111092</v>
          </cell>
          <cell r="U1418" t="str">
            <v>IVONNE JINETH RODRIGUEZ ROJAS</v>
          </cell>
        </row>
        <row r="1419">
          <cell r="B1419">
            <v>20111100</v>
          </cell>
          <cell r="U1419" t="str">
            <v>CATALINA PACHECO BURGOS</v>
          </cell>
        </row>
        <row r="1420">
          <cell r="B1420">
            <v>20111101</v>
          </cell>
          <cell r="U1420" t="str">
            <v>IVONNE JINETH RODRIGUEZ ROJAS</v>
          </cell>
        </row>
        <row r="1421">
          <cell r="B1421">
            <v>20111106</v>
          </cell>
          <cell r="U1421" t="str">
            <v>FABIAN CONCHA</v>
          </cell>
        </row>
        <row r="1422">
          <cell r="B1422">
            <v>20111108</v>
          </cell>
          <cell r="U1422" t="str">
            <v>JEISSON FABIAN MOLINA CIRO</v>
          </cell>
        </row>
        <row r="1423">
          <cell r="B1423">
            <v>20111115</v>
          </cell>
          <cell r="U1423" t="str">
            <v>CATALINA PACHECO BURGOS</v>
          </cell>
        </row>
        <row r="1424">
          <cell r="B1424">
            <v>20111116</v>
          </cell>
          <cell r="U1424" t="str">
            <v>JEISSON FABIAN MOLINA CIRO</v>
          </cell>
        </row>
        <row r="1425">
          <cell r="B1425">
            <v>20111118</v>
          </cell>
          <cell r="U1425" t="str">
            <v>NELSON JAVIER MORERA RINCON</v>
          </cell>
        </row>
        <row r="1426">
          <cell r="B1426">
            <v>20111121</v>
          </cell>
          <cell r="U1426" t="str">
            <v>GINA PAOLA MEDINA FLOREZ</v>
          </cell>
        </row>
        <row r="1427">
          <cell r="B1427">
            <v>20111125</v>
          </cell>
          <cell r="U1427" t="str">
            <v>PAOLA ANDREA CALDERON CETINA</v>
          </cell>
        </row>
        <row r="1428">
          <cell r="B1428">
            <v>20111126</v>
          </cell>
          <cell r="U1428" t="str">
            <v>MARSHIA MILENA JIMéNEZ GóMEZ</v>
          </cell>
        </row>
        <row r="1429">
          <cell r="B1429">
            <v>20111129</v>
          </cell>
          <cell r="U1429" t="str">
            <v>NELSON JAVIER MORERA RINCON</v>
          </cell>
        </row>
        <row r="1430">
          <cell r="B1430">
            <v>20111132</v>
          </cell>
          <cell r="U1430" t="str">
            <v>FABIAN CONCHA</v>
          </cell>
        </row>
        <row r="1431">
          <cell r="B1431">
            <v>20111139</v>
          </cell>
          <cell r="U1431" t="str">
            <v>FABIAN CONCHA</v>
          </cell>
        </row>
        <row r="1432">
          <cell r="B1432">
            <v>20111151</v>
          </cell>
          <cell r="U1432" t="str">
            <v>IVONNE JINETH RODRIGUEZ ROJAS</v>
          </cell>
        </row>
        <row r="1433">
          <cell r="B1433">
            <v>20111164</v>
          </cell>
          <cell r="U1433" t="str">
            <v>IVONNE JINETH RODRIGUEZ ROJAS</v>
          </cell>
        </row>
        <row r="1434">
          <cell r="B1434">
            <v>20111165</v>
          </cell>
          <cell r="U1434" t="str">
            <v>IVONNE JINETH RODRIGUEZ ROJAS</v>
          </cell>
        </row>
        <row r="1435">
          <cell r="B1435">
            <v>20111173</v>
          </cell>
          <cell r="U1435" t="str">
            <v>HEIDY LORENA PRIETO AHUMADA</v>
          </cell>
        </row>
        <row r="1436">
          <cell r="B1436">
            <v>20111177</v>
          </cell>
          <cell r="U1436" t="str">
            <v>FABIAN CONCHA</v>
          </cell>
        </row>
        <row r="1437">
          <cell r="B1437">
            <v>20111194</v>
          </cell>
          <cell r="U1437" t="str">
            <v>JEISSON FABIAN MOLINA CIRO</v>
          </cell>
        </row>
        <row r="1438">
          <cell r="B1438">
            <v>20111203</v>
          </cell>
          <cell r="U1438" t="str">
            <v>PAOLA ANDREA CALDERON CETINA</v>
          </cell>
        </row>
        <row r="1439">
          <cell r="B1439">
            <v>20111210</v>
          </cell>
          <cell r="U1439" t="str">
            <v>JAVIER ORLANDO HERNANDEZ RIVERA</v>
          </cell>
        </row>
        <row r="1440">
          <cell r="B1440">
            <v>20111219</v>
          </cell>
          <cell r="U1440" t="str">
            <v>HEIDY LORENA PRIETO AHUMADA</v>
          </cell>
        </row>
        <row r="1441">
          <cell r="B1441">
            <v>20111224</v>
          </cell>
          <cell r="U1441" t="str">
            <v>PAOLA ANDREA CALDERON CETINA</v>
          </cell>
        </row>
        <row r="1442">
          <cell r="B1442">
            <v>20111229</v>
          </cell>
          <cell r="U1442" t="str">
            <v>MARSHIA MILENA JIMéNEZ GóMEZ</v>
          </cell>
        </row>
        <row r="1443">
          <cell r="B1443">
            <v>20111231</v>
          </cell>
          <cell r="U1443" t="str">
            <v>PAOLA ANDREA CALDERON CETINA</v>
          </cell>
        </row>
        <row r="1444">
          <cell r="B1444">
            <v>20111242</v>
          </cell>
          <cell r="U1444" t="str">
            <v>IVONNE JINETH RODRIGUEZ ROJAS</v>
          </cell>
        </row>
        <row r="1445">
          <cell r="B1445">
            <v>20111245</v>
          </cell>
          <cell r="U1445" t="str">
            <v>FABIAN CONCHA</v>
          </cell>
        </row>
        <row r="1446">
          <cell r="B1446">
            <v>20111261</v>
          </cell>
          <cell r="U1446" t="str">
            <v>MARSHIA MILENA JIMéNEZ GóMEZ</v>
          </cell>
        </row>
        <row r="1447">
          <cell r="B1447">
            <v>20111266</v>
          </cell>
          <cell r="U1447" t="str">
            <v>IVONNE JINETH RODRIGUEZ ROJAS</v>
          </cell>
        </row>
        <row r="1448">
          <cell r="B1448">
            <v>20111267</v>
          </cell>
          <cell r="U1448" t="str">
            <v>MARSHIA MILENA JIMéNEZ GóMEZ</v>
          </cell>
        </row>
        <row r="1449">
          <cell r="B1449">
            <v>20111280</v>
          </cell>
          <cell r="U1449" t="str">
            <v>FABIAN CONCHA</v>
          </cell>
        </row>
        <row r="1450">
          <cell r="B1450">
            <v>20111281</v>
          </cell>
          <cell r="U1450" t="str">
            <v>JEISSON FABIAN MOLINA CIRO</v>
          </cell>
        </row>
        <row r="1451">
          <cell r="B1451">
            <v>20111282</v>
          </cell>
          <cell r="U1451" t="str">
            <v>JEISSON FABIAN MOLINA CIRO</v>
          </cell>
        </row>
        <row r="1452">
          <cell r="B1452">
            <v>20111297</v>
          </cell>
          <cell r="U1452" t="str">
            <v>PAOLA ANDREA CALDERON CETINA</v>
          </cell>
        </row>
        <row r="1453">
          <cell r="B1453">
            <v>20111300</v>
          </cell>
          <cell r="U1453" t="str">
            <v>PAOLA ANDREA CALDERON CETINA</v>
          </cell>
        </row>
        <row r="1454">
          <cell r="B1454">
            <v>20111305</v>
          </cell>
          <cell r="U1454" t="str">
            <v>JOHAN SEBASTIAN PARDEYN AGUILAR</v>
          </cell>
        </row>
        <row r="1455">
          <cell r="B1455">
            <v>20111322</v>
          </cell>
          <cell r="U1455" t="str">
            <v>JEISSON FABIAN MOLINA CIRO</v>
          </cell>
        </row>
        <row r="1456">
          <cell r="B1456">
            <v>20111323</v>
          </cell>
          <cell r="U1456" t="str">
            <v>JEISSON FABIAN MOLINA CIRO</v>
          </cell>
        </row>
        <row r="1457">
          <cell r="B1457">
            <v>20111329</v>
          </cell>
          <cell r="U1457" t="str">
            <v>IVONNE JINETH RODRIGUEZ ROJAS</v>
          </cell>
        </row>
        <row r="1458">
          <cell r="B1458">
            <v>20111337</v>
          </cell>
          <cell r="U1458" t="str">
            <v>FABIAN CONCHA</v>
          </cell>
        </row>
        <row r="1459">
          <cell r="B1459">
            <v>20111347</v>
          </cell>
          <cell r="U1459" t="str">
            <v>NELSON JAVIER MORERA RINCON</v>
          </cell>
        </row>
        <row r="1460">
          <cell r="B1460">
            <v>20111348</v>
          </cell>
          <cell r="U1460" t="str">
            <v>FABIAN CONCHA</v>
          </cell>
        </row>
        <row r="1461">
          <cell r="B1461">
            <v>20111351</v>
          </cell>
          <cell r="U1461" t="str">
            <v>NELSON JAVIER MORERA RINCON</v>
          </cell>
        </row>
        <row r="1462">
          <cell r="B1462">
            <v>20111359</v>
          </cell>
          <cell r="U1462" t="str">
            <v>NELSON JAVIER MORERA RINCON</v>
          </cell>
        </row>
        <row r="1463">
          <cell r="B1463">
            <v>20111382</v>
          </cell>
          <cell r="U1463" t="str">
            <v>CATALINA PACHECO BURGOS</v>
          </cell>
        </row>
        <row r="1464">
          <cell r="B1464">
            <v>20111390</v>
          </cell>
          <cell r="U1464" t="str">
            <v>CATALINA PACHECO BURGOS</v>
          </cell>
        </row>
        <row r="1465">
          <cell r="B1465">
            <v>20111391</v>
          </cell>
          <cell r="U1465" t="str">
            <v>CATALINA PACHECO BURGOS</v>
          </cell>
        </row>
        <row r="1466">
          <cell r="B1466">
            <v>20111402</v>
          </cell>
          <cell r="U1466" t="str">
            <v>IVONNE JINETH RODRIGUEZ ROJAS</v>
          </cell>
        </row>
        <row r="1467">
          <cell r="B1467">
            <v>20111407</v>
          </cell>
          <cell r="U1467" t="str">
            <v>HEIDY LORENA PRIETO AHUMADA</v>
          </cell>
        </row>
        <row r="1468">
          <cell r="B1468">
            <v>20111409</v>
          </cell>
          <cell r="U1468" t="str">
            <v>GINA PAOLA MEDINA FLOREZ</v>
          </cell>
        </row>
        <row r="1469">
          <cell r="B1469">
            <v>20111413</v>
          </cell>
          <cell r="U1469" t="str">
            <v>FABIAN CONCHA</v>
          </cell>
        </row>
        <row r="1470">
          <cell r="B1470">
            <v>20111414</v>
          </cell>
          <cell r="U1470" t="str">
            <v>FABIAN CONCHA</v>
          </cell>
        </row>
        <row r="1471">
          <cell r="B1471">
            <v>20111416</v>
          </cell>
          <cell r="U1471" t="str">
            <v>JEISSON FABIAN MOLINA CIRO</v>
          </cell>
        </row>
        <row r="1472">
          <cell r="B1472">
            <v>20111417</v>
          </cell>
          <cell r="U1472" t="str">
            <v>GINA PAOLA MEDINA FLOREZ</v>
          </cell>
        </row>
        <row r="1473">
          <cell r="B1473">
            <v>20111421</v>
          </cell>
          <cell r="U1473" t="str">
            <v>NELSON JAVIER MORERA RINCON</v>
          </cell>
        </row>
        <row r="1474">
          <cell r="B1474">
            <v>20111422</v>
          </cell>
          <cell r="U1474" t="str">
            <v>JEISSON FABIAN MOLINA CIRO</v>
          </cell>
        </row>
        <row r="1475">
          <cell r="B1475">
            <v>20111442</v>
          </cell>
          <cell r="U1475" t="str">
            <v>IVONNE JINETH RODRIGUEZ ROJAS</v>
          </cell>
        </row>
        <row r="1476">
          <cell r="B1476">
            <v>20111456</v>
          </cell>
          <cell r="U1476" t="str">
            <v>HEIDY LORENA PRIETO AHUMADA</v>
          </cell>
        </row>
        <row r="1477">
          <cell r="B1477">
            <v>20111469</v>
          </cell>
          <cell r="U1477" t="str">
            <v>CATALINA PACHECO BURGOS</v>
          </cell>
        </row>
        <row r="1478">
          <cell r="B1478">
            <v>20111478</v>
          </cell>
          <cell r="U1478" t="str">
            <v>JOHAN SEBASTIAN PARDEYN AGUILAR</v>
          </cell>
        </row>
        <row r="1479">
          <cell r="B1479">
            <v>20111488</v>
          </cell>
          <cell r="U1479" t="str">
            <v>NELSON JAVIER MORERA RINCON</v>
          </cell>
        </row>
        <row r="1480">
          <cell r="B1480">
            <v>20111509</v>
          </cell>
          <cell r="U1480" t="str">
            <v>IVONNE JINETH RODRIGUEZ ROJAS</v>
          </cell>
        </row>
        <row r="1481">
          <cell r="B1481">
            <v>20111513</v>
          </cell>
          <cell r="U1481" t="str">
            <v>NELSON JAVIER MORERA RINCON</v>
          </cell>
        </row>
        <row r="1482">
          <cell r="B1482">
            <v>20111519</v>
          </cell>
          <cell r="U1482" t="str">
            <v>IVONNE JINETH RODRIGUEZ ROJAS</v>
          </cell>
        </row>
        <row r="1483">
          <cell r="B1483">
            <v>20111521</v>
          </cell>
          <cell r="U1483" t="str">
            <v>NELSON JAVIER MORERA RINCON</v>
          </cell>
        </row>
        <row r="1484">
          <cell r="B1484">
            <v>20111524</v>
          </cell>
          <cell r="U1484" t="str">
            <v>JOVANNY ALEXANDER BENAVIDES APRAEZ</v>
          </cell>
        </row>
        <row r="1485">
          <cell r="B1485">
            <v>20111534</v>
          </cell>
          <cell r="U1485" t="str">
            <v>CATALINA PACHECO BURGOS</v>
          </cell>
        </row>
        <row r="1486">
          <cell r="B1486">
            <v>20111543</v>
          </cell>
          <cell r="U1486" t="str">
            <v>CATALINA PACHECO BURGOS</v>
          </cell>
        </row>
        <row r="1487">
          <cell r="B1487">
            <v>20111554</v>
          </cell>
          <cell r="U1487" t="str">
            <v>FABIAN CONCHA</v>
          </cell>
        </row>
        <row r="1488">
          <cell r="B1488">
            <v>20111588</v>
          </cell>
          <cell r="U1488" t="str">
            <v>MARSHIA MILENA JIMéNEZ GóMEZ</v>
          </cell>
        </row>
        <row r="1489">
          <cell r="B1489">
            <v>20111598</v>
          </cell>
          <cell r="U1489" t="str">
            <v>JAVIER ORLANDO HERNANDEZ RIVERA</v>
          </cell>
        </row>
        <row r="1490">
          <cell r="B1490">
            <v>20111622</v>
          </cell>
          <cell r="U1490" t="str">
            <v>ANGIE LIZETH GARZON GARCIA</v>
          </cell>
        </row>
        <row r="1491">
          <cell r="B1491">
            <v>20111626</v>
          </cell>
          <cell r="U1491" t="str">
            <v>NELSON JAVIER MORERA RINCON</v>
          </cell>
        </row>
        <row r="1492">
          <cell r="B1492">
            <v>20111631</v>
          </cell>
          <cell r="U1492" t="str">
            <v>HEIDY LORENA PRIETO AHUMADA</v>
          </cell>
        </row>
        <row r="1493">
          <cell r="B1493">
            <v>20111659</v>
          </cell>
          <cell r="U1493" t="str">
            <v>CATALINA PACHECO BURGOS</v>
          </cell>
        </row>
        <row r="1494">
          <cell r="B1494">
            <v>20111667</v>
          </cell>
          <cell r="U1494" t="str">
            <v>JOVANNY ALEXANDER BENAVIDES APRAEZ</v>
          </cell>
        </row>
        <row r="1495">
          <cell r="B1495">
            <v>20111672</v>
          </cell>
          <cell r="U1495" t="str">
            <v>MARSHIA MILENA JIMéNEZ GóMEZ</v>
          </cell>
        </row>
        <row r="1496">
          <cell r="B1496">
            <v>20111674</v>
          </cell>
          <cell r="U1496" t="str">
            <v>GINA PAOLA MEDINA FLOREZ</v>
          </cell>
        </row>
        <row r="1497">
          <cell r="B1497">
            <v>20111678</v>
          </cell>
          <cell r="U1497" t="str">
            <v>NELSON JAVIER MORERA RINCON</v>
          </cell>
        </row>
        <row r="1498">
          <cell r="B1498">
            <v>20111687</v>
          </cell>
          <cell r="U1498" t="str">
            <v>PAOLA ANDREA CALDERON CETINA</v>
          </cell>
        </row>
        <row r="1499">
          <cell r="B1499">
            <v>20111691</v>
          </cell>
          <cell r="U1499" t="str">
            <v>FABIAN CONCHA</v>
          </cell>
        </row>
        <row r="1500">
          <cell r="B1500">
            <v>20111699</v>
          </cell>
          <cell r="U1500" t="str">
            <v>FABIAN CONCHA</v>
          </cell>
        </row>
        <row r="1501">
          <cell r="B1501">
            <v>20111703</v>
          </cell>
          <cell r="U1501" t="str">
            <v>NELSON JAVIER MORERA RINCON</v>
          </cell>
        </row>
        <row r="1502">
          <cell r="B1502">
            <v>20111709</v>
          </cell>
          <cell r="U1502" t="str">
            <v>NELSON JAVIER MORERA RINCON</v>
          </cell>
        </row>
        <row r="1503">
          <cell r="B1503">
            <v>20111712</v>
          </cell>
          <cell r="U1503" t="str">
            <v>PAOLA ANDREA CALDERON CETINA</v>
          </cell>
        </row>
        <row r="1504">
          <cell r="B1504">
            <v>20111720</v>
          </cell>
          <cell r="U1504" t="str">
            <v>CATALINA PACHECO BURGOS</v>
          </cell>
        </row>
        <row r="1505">
          <cell r="B1505">
            <v>20111728</v>
          </cell>
          <cell r="U1505" t="str">
            <v>FABIAN CONCHA</v>
          </cell>
        </row>
        <row r="1506">
          <cell r="B1506">
            <v>20111729</v>
          </cell>
          <cell r="U1506" t="str">
            <v>JEISSON FABIAN MOLINA CIRO</v>
          </cell>
        </row>
        <row r="1507">
          <cell r="B1507">
            <v>20111732</v>
          </cell>
          <cell r="U1507" t="str">
            <v>FABIAN CONCHA</v>
          </cell>
        </row>
        <row r="1508">
          <cell r="B1508">
            <v>20111734</v>
          </cell>
          <cell r="U1508" t="str">
            <v>IVONNE JINETH RODRIGUEZ ROJAS</v>
          </cell>
        </row>
        <row r="1509">
          <cell r="B1509">
            <v>20111737</v>
          </cell>
          <cell r="U1509" t="str">
            <v>IVONNE JINETH RODRIGUEZ ROJAS</v>
          </cell>
        </row>
        <row r="1510">
          <cell r="B1510">
            <v>20111749</v>
          </cell>
          <cell r="U1510" t="str">
            <v>FABIAN CONCHA</v>
          </cell>
        </row>
        <row r="1511">
          <cell r="B1511">
            <v>20111751</v>
          </cell>
          <cell r="U1511" t="str">
            <v>FABIAN CONCHA</v>
          </cell>
        </row>
        <row r="1512">
          <cell r="B1512">
            <v>20111754</v>
          </cell>
          <cell r="U1512" t="str">
            <v>JOVANNY ALEXANDER BENAVIDES APRAEZ</v>
          </cell>
        </row>
        <row r="1513">
          <cell r="B1513">
            <v>20111758</v>
          </cell>
          <cell r="U1513" t="str">
            <v>FABIAN CONCHA</v>
          </cell>
        </row>
        <row r="1514">
          <cell r="B1514">
            <v>20111760</v>
          </cell>
          <cell r="U1514" t="str">
            <v>HEIDY LORENA PRIETO AHUMADA</v>
          </cell>
        </row>
        <row r="1515">
          <cell r="B1515">
            <v>20111763</v>
          </cell>
          <cell r="U1515" t="str">
            <v>IVONNE JINETH RODRIGUEZ ROJAS</v>
          </cell>
        </row>
        <row r="1516">
          <cell r="B1516">
            <v>20111768</v>
          </cell>
          <cell r="U1516" t="str">
            <v>JAVIER ORLANDO HERNANDEZ RIVERA</v>
          </cell>
        </row>
        <row r="1517">
          <cell r="B1517">
            <v>20111772</v>
          </cell>
          <cell r="U1517" t="str">
            <v>JEISSON FABIAN MOLINA CIRO</v>
          </cell>
        </row>
        <row r="1518">
          <cell r="B1518">
            <v>20111777</v>
          </cell>
          <cell r="U1518" t="str">
            <v>MARSHIA MILENA JIMéNEZ GóMEZ</v>
          </cell>
        </row>
        <row r="1519">
          <cell r="B1519">
            <v>20111783</v>
          </cell>
          <cell r="U1519" t="str">
            <v>JAVIER ORLANDO HERNANDEZ RIVERA</v>
          </cell>
        </row>
        <row r="1520">
          <cell r="B1520">
            <v>20111791</v>
          </cell>
          <cell r="U1520" t="str">
            <v>FABIAN CONCHA</v>
          </cell>
        </row>
        <row r="1521">
          <cell r="B1521">
            <v>20111795</v>
          </cell>
          <cell r="U1521" t="str">
            <v>JEISSON FABIAN MOLINA CIRO</v>
          </cell>
        </row>
        <row r="1522">
          <cell r="B1522">
            <v>20111802</v>
          </cell>
          <cell r="U1522" t="str">
            <v>JAVIER ORLANDO HERNANDEZ RIVERA</v>
          </cell>
        </row>
        <row r="1523">
          <cell r="B1523">
            <v>20111805</v>
          </cell>
          <cell r="U1523" t="str">
            <v>JAVIER ORLANDO HERNANDEZ RIVERA</v>
          </cell>
        </row>
        <row r="1524">
          <cell r="B1524">
            <v>20111812</v>
          </cell>
          <cell r="U1524" t="str">
            <v>HEIDY LORENA PRIETO AHUMADA</v>
          </cell>
        </row>
        <row r="1525">
          <cell r="B1525">
            <v>20111824</v>
          </cell>
          <cell r="U1525" t="str">
            <v>FABIAN CONCHA</v>
          </cell>
        </row>
        <row r="1526">
          <cell r="B1526">
            <v>20111833</v>
          </cell>
          <cell r="U1526" t="str">
            <v>PAOLA ANDREA CALDERON CETINA</v>
          </cell>
        </row>
        <row r="1527">
          <cell r="B1527">
            <v>20111835</v>
          </cell>
          <cell r="U1527" t="str">
            <v>IVONNE JINETH RODRIGUEZ ROJAS</v>
          </cell>
        </row>
        <row r="1528">
          <cell r="B1528">
            <v>20111838</v>
          </cell>
          <cell r="U1528" t="str">
            <v>FABIAN CONCHA</v>
          </cell>
        </row>
        <row r="1529">
          <cell r="B1529">
            <v>20111841</v>
          </cell>
          <cell r="U1529" t="str">
            <v>MARSHIA MILENA JIMéNEZ GóMEZ</v>
          </cell>
        </row>
        <row r="1530">
          <cell r="B1530">
            <v>20111861</v>
          </cell>
          <cell r="U1530" t="str">
            <v>MARSHIA MILENA JIMéNEZ GóMEZ</v>
          </cell>
        </row>
        <row r="1531">
          <cell r="B1531">
            <v>20111870</v>
          </cell>
          <cell r="U1531" t="str">
            <v>JAVIER ORLANDO HERNANDEZ RIVERA</v>
          </cell>
        </row>
        <row r="1532">
          <cell r="B1532">
            <v>20111877</v>
          </cell>
          <cell r="U1532" t="str">
            <v>JEISSON FABIAN MOLINA CIRO</v>
          </cell>
        </row>
        <row r="1533">
          <cell r="B1533">
            <v>20111879</v>
          </cell>
          <cell r="U1533" t="str">
            <v>IVONNE JINETH RODRIGUEZ ROJAS</v>
          </cell>
        </row>
        <row r="1534">
          <cell r="B1534">
            <v>20111880</v>
          </cell>
          <cell r="U1534" t="str">
            <v>FABIAN CONCHA</v>
          </cell>
        </row>
        <row r="1535">
          <cell r="B1535">
            <v>20111884</v>
          </cell>
          <cell r="U1535" t="str">
            <v>FABIAN CONCHA</v>
          </cell>
        </row>
        <row r="1536">
          <cell r="B1536">
            <v>20111887</v>
          </cell>
          <cell r="U1536" t="str">
            <v>JOVANNY ALEXANDER BENAVIDES APRAEZ</v>
          </cell>
        </row>
        <row r="1537">
          <cell r="B1537">
            <v>20111908</v>
          </cell>
          <cell r="U1537" t="str">
            <v>FABIAN CONCHA</v>
          </cell>
        </row>
        <row r="1538">
          <cell r="B1538">
            <v>20111911</v>
          </cell>
          <cell r="U1538" t="str">
            <v>JEISSON FABIAN MOLINA CIRO</v>
          </cell>
        </row>
        <row r="1539">
          <cell r="B1539">
            <v>20111935</v>
          </cell>
          <cell r="U1539" t="str">
            <v>NELSON JAVIER MORERA RINCON</v>
          </cell>
        </row>
        <row r="1540">
          <cell r="B1540">
            <v>20111947</v>
          </cell>
          <cell r="U1540" t="str">
            <v>MARSHIA MILENA JIMéNEZ GóMEZ</v>
          </cell>
        </row>
        <row r="1541">
          <cell r="B1541">
            <v>20111952</v>
          </cell>
          <cell r="U1541" t="str">
            <v>IVONNE JINETH RODRIGUEZ ROJAS</v>
          </cell>
        </row>
        <row r="1542">
          <cell r="B1542">
            <v>20111953</v>
          </cell>
          <cell r="U1542" t="str">
            <v>FABIAN CONCHA</v>
          </cell>
        </row>
        <row r="1543">
          <cell r="B1543">
            <v>20111957</v>
          </cell>
          <cell r="U1543" t="str">
            <v>FABIAN CONCHA</v>
          </cell>
        </row>
        <row r="1544">
          <cell r="B1544">
            <v>20111971</v>
          </cell>
          <cell r="U1544" t="str">
            <v>JEISSON FABIAN MOLINA CIRO</v>
          </cell>
        </row>
        <row r="1545">
          <cell r="B1545">
            <v>20111972</v>
          </cell>
          <cell r="U1545" t="str">
            <v>MARSHIA MILENA JIMéNEZ GóMEZ</v>
          </cell>
        </row>
        <row r="1546">
          <cell r="B1546">
            <v>20111974</v>
          </cell>
          <cell r="U1546" t="str">
            <v>PAOLA ANDREA CALDERON CETINA</v>
          </cell>
        </row>
        <row r="1547">
          <cell r="B1547">
            <v>20111981</v>
          </cell>
          <cell r="U1547" t="str">
            <v>JOVANNY ALEXANDER BENAVIDES APRAEZ</v>
          </cell>
        </row>
        <row r="1548">
          <cell r="B1548">
            <v>20111982</v>
          </cell>
          <cell r="U1548" t="str">
            <v>HEIDY LORENA PRIETO AHUMADA</v>
          </cell>
        </row>
        <row r="1549">
          <cell r="B1549">
            <v>20111983</v>
          </cell>
          <cell r="U1549" t="str">
            <v>HEIDY LORENA PRIETO AHUMADA</v>
          </cell>
        </row>
        <row r="1550">
          <cell r="B1550">
            <v>20111991</v>
          </cell>
          <cell r="U1550" t="str">
            <v>IVONNE JINETH RODRIGUEZ ROJAS</v>
          </cell>
        </row>
        <row r="1551">
          <cell r="B1551">
            <v>20111994</v>
          </cell>
          <cell r="U1551" t="str">
            <v>NELSON JAVIER MORERA RINCON</v>
          </cell>
        </row>
        <row r="1552">
          <cell r="B1552">
            <v>20112016</v>
          </cell>
          <cell r="U1552" t="str">
            <v>CATALINA PACHECO BURGOS</v>
          </cell>
        </row>
        <row r="1553">
          <cell r="B1553">
            <v>20112017</v>
          </cell>
          <cell r="U1553" t="str">
            <v>FABIAN CONCHA</v>
          </cell>
        </row>
        <row r="1554">
          <cell r="B1554">
            <v>20112025</v>
          </cell>
          <cell r="U1554" t="str">
            <v>CATALINA PACHECO BURGOS</v>
          </cell>
        </row>
        <row r="1555">
          <cell r="B1555">
            <v>20112029</v>
          </cell>
          <cell r="U1555" t="str">
            <v>MARSHIA MILENA JIMéNEZ GóMEZ</v>
          </cell>
        </row>
        <row r="1556">
          <cell r="B1556">
            <v>20112033</v>
          </cell>
          <cell r="U1556" t="str">
            <v>IVONNE JINETH RODRIGUEZ ROJAS</v>
          </cell>
        </row>
        <row r="1557">
          <cell r="B1557">
            <v>20112045</v>
          </cell>
          <cell r="U1557" t="str">
            <v>MARSHIA MILENA JIMéNEZ GóMEZ</v>
          </cell>
        </row>
        <row r="1558">
          <cell r="B1558">
            <v>20112054</v>
          </cell>
          <cell r="U1558" t="str">
            <v>IVONNE JINETH RODRIGUEZ ROJAS</v>
          </cell>
        </row>
        <row r="1559">
          <cell r="B1559">
            <v>20112058</v>
          </cell>
          <cell r="U1559" t="str">
            <v>GINA PAOLA MEDINA FLOREZ</v>
          </cell>
        </row>
        <row r="1560">
          <cell r="B1560">
            <v>20112063</v>
          </cell>
          <cell r="U1560" t="str">
            <v>MARSHIA MILENA JIMéNEZ GóMEZ</v>
          </cell>
        </row>
        <row r="1561">
          <cell r="B1561">
            <v>20112068</v>
          </cell>
          <cell r="U1561" t="str">
            <v>IVONNE JINETH RODRIGUEZ ROJAS</v>
          </cell>
        </row>
        <row r="1562">
          <cell r="B1562">
            <v>20112075</v>
          </cell>
          <cell r="U1562" t="str">
            <v>GINA PAOLA MEDINA FLOREZ</v>
          </cell>
        </row>
        <row r="1563">
          <cell r="B1563">
            <v>20112076</v>
          </cell>
          <cell r="U1563" t="str">
            <v>JOHAN SEBASTIAN PARDEYN AGUILAR</v>
          </cell>
        </row>
        <row r="1564">
          <cell r="B1564">
            <v>20112083</v>
          </cell>
          <cell r="U1564" t="str">
            <v>PAOLA ANDREA CALDERON CETINA</v>
          </cell>
        </row>
        <row r="1565">
          <cell r="B1565">
            <v>20112096</v>
          </cell>
          <cell r="U1565" t="str">
            <v>JAVIER ORLANDO HERNANDEZ RIVERA</v>
          </cell>
        </row>
        <row r="1566">
          <cell r="B1566">
            <v>20112102</v>
          </cell>
          <cell r="U1566" t="str">
            <v>IVONNE JINETH RODRIGUEZ ROJAS</v>
          </cell>
        </row>
        <row r="1567">
          <cell r="B1567">
            <v>20112107</v>
          </cell>
          <cell r="U1567" t="str">
            <v>IVONNE JINETH RODRIGUEZ ROJAS</v>
          </cell>
        </row>
        <row r="1568">
          <cell r="B1568">
            <v>20112110</v>
          </cell>
          <cell r="U1568" t="str">
            <v>HEIDY LORENA PRIETO AHUMADA</v>
          </cell>
        </row>
        <row r="1569">
          <cell r="B1569">
            <v>20112114</v>
          </cell>
          <cell r="U1569" t="str">
            <v>PAOLA ANDREA CALDERON CETINA</v>
          </cell>
        </row>
        <row r="1570">
          <cell r="B1570">
            <v>20112120</v>
          </cell>
          <cell r="U1570" t="str">
            <v>PAOLA ANDREA CALDERON CETINA</v>
          </cell>
        </row>
        <row r="1571">
          <cell r="B1571">
            <v>20112123</v>
          </cell>
          <cell r="U1571" t="str">
            <v>JOHAN SEBASTIAN PARDEYN AGUILAR</v>
          </cell>
        </row>
        <row r="1572">
          <cell r="B1572">
            <v>20112148</v>
          </cell>
          <cell r="U1572" t="str">
            <v>IVONNE JINETH RODRIGUEZ ROJAS</v>
          </cell>
        </row>
        <row r="1573">
          <cell r="B1573">
            <v>20112149</v>
          </cell>
          <cell r="U1573" t="str">
            <v>IVONNE JINETH RODRIGUEZ ROJAS</v>
          </cell>
        </row>
        <row r="1574">
          <cell r="B1574">
            <v>20112155</v>
          </cell>
          <cell r="U1574" t="str">
            <v>GINA PAOLA MEDINA FLOREZ</v>
          </cell>
        </row>
        <row r="1575">
          <cell r="B1575">
            <v>20112165</v>
          </cell>
          <cell r="U1575" t="str">
            <v>HEIDY LORENA PRIETO AHUMADA</v>
          </cell>
        </row>
        <row r="1576">
          <cell r="B1576">
            <v>20112177</v>
          </cell>
          <cell r="U1576" t="str">
            <v>CATALINA PACHECO BURGOS</v>
          </cell>
        </row>
        <row r="1577">
          <cell r="B1577">
            <v>20112180</v>
          </cell>
          <cell r="U1577" t="str">
            <v>JAVIER ORLANDO HERNANDEZ RIVERA</v>
          </cell>
        </row>
        <row r="1578">
          <cell r="B1578">
            <v>20112186</v>
          </cell>
          <cell r="U1578" t="str">
            <v>IVONNE JINETH RODRIGUEZ ROJAS</v>
          </cell>
        </row>
        <row r="1579">
          <cell r="B1579">
            <v>20112198</v>
          </cell>
          <cell r="U1579" t="str">
            <v>PAOLA ANDREA CALDERON CETINA</v>
          </cell>
        </row>
        <row r="1580">
          <cell r="B1580">
            <v>20112203</v>
          </cell>
          <cell r="U1580" t="str">
            <v>FABIAN CONCHA</v>
          </cell>
        </row>
        <row r="1581">
          <cell r="B1581">
            <v>20112219</v>
          </cell>
          <cell r="U1581" t="str">
            <v>IVONNE JINETH RODRIGUEZ ROJAS</v>
          </cell>
        </row>
        <row r="1582">
          <cell r="B1582">
            <v>20112226</v>
          </cell>
          <cell r="U1582" t="str">
            <v>JEISSON FABIAN MOLINA CIRO</v>
          </cell>
        </row>
        <row r="1583">
          <cell r="B1583">
            <v>20112241</v>
          </cell>
          <cell r="U1583" t="str">
            <v>JOVANNY ALEXANDER BENAVIDES APRAEZ</v>
          </cell>
        </row>
        <row r="1584">
          <cell r="B1584">
            <v>20112242</v>
          </cell>
          <cell r="U1584" t="str">
            <v>MARSHIA MILENA JIMéNEZ GóMEZ</v>
          </cell>
        </row>
        <row r="1585">
          <cell r="B1585">
            <v>20112243</v>
          </cell>
          <cell r="U1585" t="str">
            <v>IVONNE JINETH RODRIGUEZ ROJAS</v>
          </cell>
        </row>
        <row r="1586">
          <cell r="B1586">
            <v>20112246</v>
          </cell>
          <cell r="U1586" t="str">
            <v>PAOLA ANDREA CALDERON CETINA</v>
          </cell>
        </row>
        <row r="1587">
          <cell r="B1587">
            <v>20112248</v>
          </cell>
          <cell r="U1587" t="str">
            <v>FABIAN CONCHA</v>
          </cell>
        </row>
        <row r="1588">
          <cell r="B1588">
            <v>20112259</v>
          </cell>
          <cell r="U1588" t="str">
            <v>JAVIER ORLANDO HERNANDEZ RIVERA</v>
          </cell>
        </row>
        <row r="1589">
          <cell r="B1589">
            <v>20112271</v>
          </cell>
          <cell r="U1589" t="str">
            <v>FABIAN CONCHA</v>
          </cell>
        </row>
        <row r="1590">
          <cell r="B1590">
            <v>20112274</v>
          </cell>
          <cell r="U1590" t="str">
            <v>FABIAN CONCHA</v>
          </cell>
        </row>
        <row r="1591">
          <cell r="B1591">
            <v>20112281</v>
          </cell>
          <cell r="U1591" t="str">
            <v>PAOLA ANDREA CALDERON CETINA</v>
          </cell>
        </row>
        <row r="1592">
          <cell r="B1592">
            <v>20112282</v>
          </cell>
          <cell r="U1592" t="str">
            <v>HEIDY LORENA PRIETO AHUMADA</v>
          </cell>
        </row>
        <row r="1593">
          <cell r="B1593">
            <v>20112283</v>
          </cell>
          <cell r="U1593" t="str">
            <v>NELSON JAVIER MORERA RINCON</v>
          </cell>
        </row>
        <row r="1594">
          <cell r="B1594">
            <v>20112292</v>
          </cell>
          <cell r="U1594" t="str">
            <v>GINA PAOLA MEDINA FLOREZ</v>
          </cell>
        </row>
        <row r="1595">
          <cell r="B1595">
            <v>20112296</v>
          </cell>
          <cell r="U1595" t="str">
            <v>MARSHIA MILENA JIMéNEZ GóMEZ</v>
          </cell>
        </row>
        <row r="1596">
          <cell r="B1596">
            <v>20112306</v>
          </cell>
          <cell r="U1596" t="str">
            <v>FABIAN CONCHA</v>
          </cell>
        </row>
        <row r="1597">
          <cell r="B1597">
            <v>20112308</v>
          </cell>
          <cell r="U1597" t="str">
            <v>JAVIER ORLANDO HERNANDEZ RIVERA</v>
          </cell>
        </row>
        <row r="1598">
          <cell r="B1598">
            <v>20112311</v>
          </cell>
          <cell r="U1598" t="str">
            <v>PAOLA ANDREA CALDERON CETINA</v>
          </cell>
        </row>
        <row r="1599">
          <cell r="B1599">
            <v>20112318</v>
          </cell>
          <cell r="U1599" t="str">
            <v>IVONNE JINETH RODRIGUEZ ROJAS</v>
          </cell>
        </row>
        <row r="1600">
          <cell r="B1600">
            <v>20112321</v>
          </cell>
          <cell r="U1600" t="str">
            <v>FABIAN CONCHA</v>
          </cell>
        </row>
        <row r="1601">
          <cell r="B1601">
            <v>20112342</v>
          </cell>
          <cell r="U1601" t="str">
            <v>HEIDY LORENA PRIETO AHUMADA</v>
          </cell>
        </row>
        <row r="1602">
          <cell r="B1602">
            <v>20112369</v>
          </cell>
          <cell r="U1602" t="str">
            <v>FABIAN CONCHA</v>
          </cell>
        </row>
        <row r="1603">
          <cell r="B1603">
            <v>20112416</v>
          </cell>
          <cell r="U1603" t="str">
            <v>MARSHIA MILENA JIMéNEZ GóMEZ</v>
          </cell>
        </row>
        <row r="1604">
          <cell r="B1604">
            <v>20112426</v>
          </cell>
          <cell r="U1604" t="str">
            <v>IVONNE JINETH RODRIGUEZ ROJAS</v>
          </cell>
        </row>
        <row r="1605">
          <cell r="B1605">
            <v>20112435</v>
          </cell>
          <cell r="U1605" t="str">
            <v>IVONNE JINETH RODRIGUEZ ROJAS</v>
          </cell>
        </row>
        <row r="1606">
          <cell r="B1606">
            <v>20112460</v>
          </cell>
          <cell r="U1606" t="str">
            <v>JAVIER ORLANDO HERNANDEZ RIVERA</v>
          </cell>
        </row>
        <row r="1607">
          <cell r="B1607">
            <v>20112467</v>
          </cell>
          <cell r="U1607" t="str">
            <v>MARSHIA MILENA JIMéNEZ GóMEZ</v>
          </cell>
        </row>
        <row r="1608">
          <cell r="B1608">
            <v>20112477</v>
          </cell>
          <cell r="U1608" t="str">
            <v>MARSHIA MILENA JIMéNEZ GóMEZ</v>
          </cell>
        </row>
        <row r="1609">
          <cell r="B1609">
            <v>20112512</v>
          </cell>
          <cell r="U1609" t="str">
            <v>PAOLA ANDREA CALDERON CETINA</v>
          </cell>
        </row>
        <row r="1610">
          <cell r="B1610">
            <v>20112515</v>
          </cell>
          <cell r="U1610" t="str">
            <v>FABIAN CONCHA</v>
          </cell>
        </row>
        <row r="1611">
          <cell r="B1611">
            <v>20112532</v>
          </cell>
          <cell r="U1611" t="str">
            <v>MARSHIA MILENA JIMéNEZ GóMEZ</v>
          </cell>
        </row>
        <row r="1612">
          <cell r="B1612">
            <v>20112535</v>
          </cell>
          <cell r="U1612" t="str">
            <v>PAOLA ANDREA CALDERON CETINA</v>
          </cell>
        </row>
        <row r="1613">
          <cell r="B1613">
            <v>20112538</v>
          </cell>
          <cell r="U1613" t="str">
            <v>PAOLA ANDREA CALDERON CETINA</v>
          </cell>
        </row>
        <row r="1614">
          <cell r="B1614">
            <v>20112542</v>
          </cell>
          <cell r="U1614" t="str">
            <v>FABIAN CONCHA</v>
          </cell>
        </row>
        <row r="1615">
          <cell r="B1615">
            <v>20112548</v>
          </cell>
          <cell r="U1615" t="str">
            <v>FABIAN CONCHA</v>
          </cell>
        </row>
        <row r="1616">
          <cell r="B1616">
            <v>20112551</v>
          </cell>
          <cell r="U1616" t="str">
            <v>GINA PAOLA MEDINA FLOREZ</v>
          </cell>
        </row>
        <row r="1617">
          <cell r="B1617">
            <v>20112559</v>
          </cell>
          <cell r="U1617" t="str">
            <v>CATALINA PACHECO BURGOS</v>
          </cell>
        </row>
        <row r="1618">
          <cell r="B1618">
            <v>20112570</v>
          </cell>
          <cell r="U1618" t="str">
            <v>PAOLA ANDREA CALDERON CETINA</v>
          </cell>
        </row>
        <row r="1619">
          <cell r="B1619">
            <v>20112583</v>
          </cell>
          <cell r="U1619" t="str">
            <v>PAOLA ANDREA CALDERON CETINA</v>
          </cell>
        </row>
        <row r="1620">
          <cell r="B1620">
            <v>20112587</v>
          </cell>
          <cell r="U1620" t="str">
            <v>CATALINA PACHECO BURGOS</v>
          </cell>
        </row>
        <row r="1621">
          <cell r="B1621">
            <v>20112596</v>
          </cell>
          <cell r="U1621" t="str">
            <v>CATALINA PACHECO BURGOS</v>
          </cell>
        </row>
        <row r="1622">
          <cell r="B1622">
            <v>20112614</v>
          </cell>
          <cell r="U1622" t="str">
            <v>IVONNE JINETH RODRIGUEZ ROJAS</v>
          </cell>
        </row>
        <row r="1623">
          <cell r="B1623">
            <v>20112622</v>
          </cell>
          <cell r="U1623" t="str">
            <v>FABIAN CONCHA</v>
          </cell>
        </row>
        <row r="1624">
          <cell r="B1624">
            <v>20112633</v>
          </cell>
          <cell r="U1624" t="str">
            <v>PAOLA ANDREA CALDERON CETINA</v>
          </cell>
        </row>
        <row r="1625">
          <cell r="B1625">
            <v>20112636</v>
          </cell>
          <cell r="U1625" t="e">
            <v>#N/A</v>
          </cell>
        </row>
        <row r="1626">
          <cell r="B1626">
            <v>20112695</v>
          </cell>
          <cell r="U1626" t="str">
            <v>JOHAN SEBASTIAN PARDEYN AGUILAR</v>
          </cell>
        </row>
        <row r="1627">
          <cell r="B1627">
            <v>20112696</v>
          </cell>
          <cell r="U1627" t="str">
            <v>PAOLA ANDREA CALDERON CETINA</v>
          </cell>
        </row>
        <row r="1628">
          <cell r="B1628">
            <v>20112698</v>
          </cell>
          <cell r="U1628" t="str">
            <v>HEIDY LORENA PRIETO AHUMADA</v>
          </cell>
        </row>
        <row r="1629">
          <cell r="B1629">
            <v>20112700</v>
          </cell>
          <cell r="U1629" t="str">
            <v>FABIAN CONCHA</v>
          </cell>
        </row>
        <row r="1630">
          <cell r="B1630">
            <v>20112714</v>
          </cell>
          <cell r="U1630" t="str">
            <v>FABIAN CONCHA</v>
          </cell>
        </row>
        <row r="1631">
          <cell r="B1631">
            <v>20112723</v>
          </cell>
          <cell r="U1631" t="str">
            <v>HEIDY LORENA PRIETO AHUMADA</v>
          </cell>
        </row>
        <row r="1632">
          <cell r="B1632">
            <v>20112736</v>
          </cell>
          <cell r="U1632" t="str">
            <v>NELSON JAVIER MORERA RINCON</v>
          </cell>
        </row>
        <row r="1633">
          <cell r="B1633">
            <v>20112737</v>
          </cell>
          <cell r="U1633" t="str">
            <v>IVONNE JINETH RODRIGUEZ ROJAS</v>
          </cell>
        </row>
        <row r="1634">
          <cell r="B1634">
            <v>20112738</v>
          </cell>
          <cell r="U1634" t="str">
            <v>IVONNE JINETH RODRIGUEZ ROJAS</v>
          </cell>
        </row>
        <row r="1635">
          <cell r="B1635">
            <v>20112739</v>
          </cell>
          <cell r="U1635" t="str">
            <v>IVONNE JINETH RODRIGUEZ ROJAS</v>
          </cell>
        </row>
        <row r="1636">
          <cell r="B1636">
            <v>20112759</v>
          </cell>
          <cell r="U1636" t="str">
            <v>GINA PAOLA MEDINA FLOREZ</v>
          </cell>
        </row>
        <row r="1637">
          <cell r="B1637">
            <v>20112761</v>
          </cell>
          <cell r="U1637" t="str">
            <v>CATALINA PACHECO BURGOS</v>
          </cell>
        </row>
        <row r="1638">
          <cell r="B1638">
            <v>20112769</v>
          </cell>
          <cell r="U1638" t="str">
            <v>GINA PAOLA MEDINA FLOREZ</v>
          </cell>
        </row>
        <row r="1639">
          <cell r="B1639">
            <v>20112770</v>
          </cell>
          <cell r="U1639" t="str">
            <v>NELSON JAVIER MORERA RINCON</v>
          </cell>
        </row>
        <row r="1640">
          <cell r="B1640">
            <v>20112771</v>
          </cell>
          <cell r="U1640" t="str">
            <v>FABIAN CONCHA</v>
          </cell>
        </row>
        <row r="1641">
          <cell r="B1641">
            <v>20112772</v>
          </cell>
          <cell r="U1641" t="str">
            <v>IVONNE JINETH RODRIGUEZ ROJAS</v>
          </cell>
        </row>
        <row r="1642">
          <cell r="B1642">
            <v>20112782</v>
          </cell>
          <cell r="U1642" t="str">
            <v>IVONNE JINETH RODRIGUEZ ROJAS</v>
          </cell>
        </row>
        <row r="1643">
          <cell r="B1643">
            <v>20112783</v>
          </cell>
          <cell r="U1643" t="str">
            <v>MARSHIA MILENA JIMéNEZ GóMEZ</v>
          </cell>
        </row>
        <row r="1644">
          <cell r="B1644">
            <v>20112790</v>
          </cell>
          <cell r="U1644" t="str">
            <v>NELSON JAVIER MORERA RINCON</v>
          </cell>
        </row>
        <row r="1645">
          <cell r="B1645">
            <v>20112791</v>
          </cell>
          <cell r="U1645" t="str">
            <v>JAVIER ORLANDO HERNANDEZ RIVERA</v>
          </cell>
        </row>
        <row r="1646">
          <cell r="B1646">
            <v>20112801</v>
          </cell>
          <cell r="U1646" t="str">
            <v>HEIDY LORENA PRIETO AHUMADA</v>
          </cell>
        </row>
        <row r="1647">
          <cell r="B1647">
            <v>20112824</v>
          </cell>
          <cell r="U1647" t="str">
            <v>JAVIER ORLANDO HERNANDEZ RIVERA</v>
          </cell>
        </row>
        <row r="1648">
          <cell r="B1648">
            <v>20112860</v>
          </cell>
          <cell r="U1648" t="str">
            <v>PAOLA ANDREA CALDERON CETINA</v>
          </cell>
        </row>
        <row r="1649">
          <cell r="B1649">
            <v>20112867</v>
          </cell>
          <cell r="U1649" t="str">
            <v>IVONNE JINETH RODRIGUEZ ROJAS</v>
          </cell>
        </row>
        <row r="1650">
          <cell r="B1650">
            <v>20112871</v>
          </cell>
          <cell r="U1650" t="str">
            <v>JOHAN SEBASTIAN PARDEYN AGUILAR</v>
          </cell>
        </row>
        <row r="1651">
          <cell r="B1651">
            <v>20112872</v>
          </cell>
          <cell r="U1651" t="str">
            <v>PAOLA ANDREA CALDERON CETINA</v>
          </cell>
        </row>
        <row r="1652">
          <cell r="B1652">
            <v>20112883</v>
          </cell>
          <cell r="U1652" t="str">
            <v>JEISSON FABIAN MOLINA CIRO</v>
          </cell>
        </row>
        <row r="1653">
          <cell r="B1653">
            <v>20112897</v>
          </cell>
          <cell r="U1653" t="str">
            <v>JEISSON FABIAN MOLINA CIRO</v>
          </cell>
        </row>
        <row r="1654">
          <cell r="B1654">
            <v>20112903</v>
          </cell>
          <cell r="U1654" t="str">
            <v>FABIAN CONCHA</v>
          </cell>
        </row>
        <row r="1655">
          <cell r="B1655">
            <v>20112910</v>
          </cell>
          <cell r="U1655" t="str">
            <v>JAVIER ORLANDO HERNANDEZ RIVERA</v>
          </cell>
        </row>
        <row r="1656">
          <cell r="B1656">
            <v>20112918</v>
          </cell>
          <cell r="U1656" t="str">
            <v>JOVANNY ALEXANDER BENAVIDES APRAEZ</v>
          </cell>
        </row>
        <row r="1657">
          <cell r="B1657">
            <v>20112920</v>
          </cell>
          <cell r="U1657" t="str">
            <v>HEIDY LORENA PRIETO AHUMADA</v>
          </cell>
        </row>
        <row r="1658">
          <cell r="B1658">
            <v>20112923</v>
          </cell>
          <cell r="U1658" t="str">
            <v>HEIDY LORENA PRIETO AHUMADA</v>
          </cell>
        </row>
        <row r="1659">
          <cell r="B1659">
            <v>20112931</v>
          </cell>
          <cell r="U1659" t="str">
            <v>FABIAN CONCHA</v>
          </cell>
        </row>
        <row r="1660">
          <cell r="B1660">
            <v>20112945</v>
          </cell>
          <cell r="U1660" t="str">
            <v>CATALINA PACHECO BURGOS</v>
          </cell>
        </row>
        <row r="1661">
          <cell r="B1661">
            <v>20112951</v>
          </cell>
          <cell r="U1661" t="str">
            <v>FABIAN CONCHA</v>
          </cell>
        </row>
        <row r="1662">
          <cell r="B1662">
            <v>20112957</v>
          </cell>
          <cell r="U1662" t="str">
            <v>FABIAN CONCHA</v>
          </cell>
        </row>
        <row r="1663">
          <cell r="B1663">
            <v>20112961</v>
          </cell>
          <cell r="U1663" t="str">
            <v>NELSON JAVIER MORERA RINCON</v>
          </cell>
        </row>
        <row r="1664">
          <cell r="B1664">
            <v>20112964</v>
          </cell>
          <cell r="U1664" t="str">
            <v>GINA PAOLA MEDINA FLOREZ</v>
          </cell>
        </row>
        <row r="1665">
          <cell r="B1665">
            <v>20112966</v>
          </cell>
          <cell r="U1665" t="str">
            <v>NELSON JAVIER MORERA RINCON</v>
          </cell>
        </row>
        <row r="1666">
          <cell r="B1666">
            <v>20112970</v>
          </cell>
          <cell r="U1666" t="str">
            <v>FABIAN CONCHA</v>
          </cell>
        </row>
        <row r="1667">
          <cell r="B1667">
            <v>20112971</v>
          </cell>
          <cell r="U1667" t="str">
            <v>PAOLA ANDREA CALDERON CETINA</v>
          </cell>
        </row>
        <row r="1668">
          <cell r="B1668">
            <v>20112979</v>
          </cell>
          <cell r="U1668" t="str">
            <v>FABIAN CONCHA</v>
          </cell>
        </row>
        <row r="1669">
          <cell r="B1669">
            <v>20112984</v>
          </cell>
          <cell r="U1669" t="str">
            <v>HEIDY LORENA PRIETO AHUMADA</v>
          </cell>
        </row>
        <row r="1670">
          <cell r="B1670">
            <v>20113000</v>
          </cell>
          <cell r="U1670" t="str">
            <v>PAOLA ANDREA CALDERON CETINA</v>
          </cell>
        </row>
        <row r="1671">
          <cell r="B1671">
            <v>20113001</v>
          </cell>
          <cell r="U1671" t="str">
            <v>JEISSON FABIAN MOLINA CIRO</v>
          </cell>
        </row>
        <row r="1672">
          <cell r="B1672">
            <v>20113012</v>
          </cell>
          <cell r="U1672" t="str">
            <v>IVONNE JINETH RODRIGUEZ ROJAS</v>
          </cell>
        </row>
        <row r="1673">
          <cell r="B1673">
            <v>20113013</v>
          </cell>
          <cell r="U1673" t="str">
            <v>MARSHIA MILENA JIMéNEZ GóMEZ</v>
          </cell>
        </row>
        <row r="1674">
          <cell r="B1674">
            <v>20113017</v>
          </cell>
          <cell r="U1674" t="str">
            <v>IVONNE JINETH RODRIGUEZ ROJAS</v>
          </cell>
        </row>
        <row r="1675">
          <cell r="B1675">
            <v>20113033</v>
          </cell>
          <cell r="U1675" t="str">
            <v>IVONNE JINETH RODRIGUEZ ROJAS</v>
          </cell>
        </row>
        <row r="1676">
          <cell r="B1676">
            <v>20113044</v>
          </cell>
          <cell r="U1676" t="str">
            <v>MARSHIA MILENA JIMéNEZ GóMEZ</v>
          </cell>
        </row>
        <row r="1677">
          <cell r="B1677">
            <v>20113047</v>
          </cell>
          <cell r="U1677" t="str">
            <v>IVONNE JINETH RODRIGUEZ ROJAS</v>
          </cell>
        </row>
        <row r="1678">
          <cell r="B1678">
            <v>20113048</v>
          </cell>
          <cell r="U1678" t="str">
            <v>IVONNE JINETH RODRIGUEZ ROJAS</v>
          </cell>
        </row>
        <row r="1679">
          <cell r="B1679">
            <v>20113063</v>
          </cell>
          <cell r="U1679" t="str">
            <v>FABIAN CONCHA</v>
          </cell>
        </row>
        <row r="1680">
          <cell r="B1680">
            <v>20113067</v>
          </cell>
          <cell r="U1680" t="str">
            <v>FABIAN CONCHA</v>
          </cell>
        </row>
        <row r="1681">
          <cell r="B1681">
            <v>20113072</v>
          </cell>
          <cell r="U1681" t="str">
            <v>FABIAN CONCHA</v>
          </cell>
        </row>
        <row r="1682">
          <cell r="B1682">
            <v>20113076</v>
          </cell>
          <cell r="U1682" t="str">
            <v>JOVANNY ALEXANDER BENAVIDES APRAEZ</v>
          </cell>
        </row>
        <row r="1683">
          <cell r="B1683">
            <v>20113077</v>
          </cell>
          <cell r="U1683" t="str">
            <v>PAOLA ANDREA CALDERON CETINA</v>
          </cell>
        </row>
        <row r="1684">
          <cell r="B1684">
            <v>20113078</v>
          </cell>
          <cell r="U1684" t="str">
            <v>NELSON JAVIER MORERA RINCON</v>
          </cell>
        </row>
        <row r="1685">
          <cell r="B1685">
            <v>20113085</v>
          </cell>
          <cell r="U1685" t="str">
            <v>PAOLA ANDREA CALDERON CETINA</v>
          </cell>
        </row>
        <row r="1686">
          <cell r="B1686">
            <v>20113108</v>
          </cell>
          <cell r="U1686" t="str">
            <v>GINA PAOLA MEDINA FLOREZ</v>
          </cell>
        </row>
        <row r="1687">
          <cell r="B1687">
            <v>20113129</v>
          </cell>
          <cell r="U1687" t="str">
            <v>FABIAN CONCHA</v>
          </cell>
        </row>
        <row r="1688">
          <cell r="B1688">
            <v>20113131</v>
          </cell>
          <cell r="U1688" t="str">
            <v>IVONNE JINETH RODRIGUEZ ROJAS</v>
          </cell>
        </row>
        <row r="1689">
          <cell r="B1689">
            <v>20113137</v>
          </cell>
          <cell r="U1689" t="str">
            <v>CATALINA PACHECO BURGOS</v>
          </cell>
        </row>
        <row r="1690">
          <cell r="B1690">
            <v>20113138</v>
          </cell>
          <cell r="U1690" t="str">
            <v>IVONNE JINETH RODRIGUEZ ROJAS</v>
          </cell>
        </row>
        <row r="1691">
          <cell r="B1691">
            <v>20113141</v>
          </cell>
          <cell r="U1691" t="str">
            <v>MARSHIA MILENA JIMéNEZ GóMEZ</v>
          </cell>
        </row>
        <row r="1692">
          <cell r="B1692">
            <v>20113144</v>
          </cell>
          <cell r="U1692" t="str">
            <v>MARSHIA MILENA JIMéNEZ GóMEZ</v>
          </cell>
        </row>
        <row r="1693">
          <cell r="B1693">
            <v>20113166</v>
          </cell>
          <cell r="U1693" t="str">
            <v>IVONNE JINETH RODRIGUEZ ROJAS</v>
          </cell>
        </row>
        <row r="1694">
          <cell r="B1694">
            <v>20113169</v>
          </cell>
          <cell r="U1694" t="str">
            <v>JOHAN SEBASTIAN PARDEYN AGUILAR</v>
          </cell>
        </row>
        <row r="1695">
          <cell r="B1695">
            <v>20113172</v>
          </cell>
          <cell r="U1695" t="str">
            <v>NELSON JAVIER MORERA RINCON</v>
          </cell>
        </row>
        <row r="1696">
          <cell r="B1696">
            <v>20113179</v>
          </cell>
          <cell r="U1696" t="str">
            <v>PAOLA ANDREA CALDERON CETINA</v>
          </cell>
        </row>
        <row r="1697">
          <cell r="B1697">
            <v>20113180</v>
          </cell>
          <cell r="U1697" t="str">
            <v>FABIAN CONCHA</v>
          </cell>
        </row>
        <row r="1698">
          <cell r="B1698">
            <v>20113181</v>
          </cell>
          <cell r="U1698" t="str">
            <v>MARSHIA MILENA JIMéNEZ GóMEZ</v>
          </cell>
        </row>
        <row r="1699">
          <cell r="B1699">
            <v>20113183</v>
          </cell>
          <cell r="U1699" t="str">
            <v>MARSHIA MILENA JIMéNEZ GóMEZ</v>
          </cell>
        </row>
        <row r="1700">
          <cell r="B1700">
            <v>20113184</v>
          </cell>
          <cell r="U1700" t="str">
            <v>PAOLA ANDREA CALDERON CETINA</v>
          </cell>
        </row>
        <row r="1701">
          <cell r="B1701">
            <v>20113185</v>
          </cell>
          <cell r="U1701" t="str">
            <v>FABIAN CONCHA</v>
          </cell>
        </row>
        <row r="1702">
          <cell r="B1702">
            <v>20113188</v>
          </cell>
          <cell r="U1702" t="str">
            <v>FABIAN CONCHA</v>
          </cell>
        </row>
        <row r="1703">
          <cell r="B1703">
            <v>20113191</v>
          </cell>
          <cell r="U1703" t="str">
            <v>NELSON JAVIER MORERA RINCON</v>
          </cell>
        </row>
        <row r="1704">
          <cell r="B1704">
            <v>20113196</v>
          </cell>
          <cell r="U1704" t="str">
            <v>JOVANNY ALEXANDER BENAVIDES APRAEZ</v>
          </cell>
        </row>
        <row r="1705">
          <cell r="B1705">
            <v>20113197</v>
          </cell>
          <cell r="U1705" t="str">
            <v>FABIAN CONCHA</v>
          </cell>
        </row>
        <row r="1706">
          <cell r="B1706">
            <v>20113202</v>
          </cell>
          <cell r="U1706" t="str">
            <v>PAOLA ANDREA CALDERON CETINA</v>
          </cell>
        </row>
        <row r="1707">
          <cell r="B1707">
            <v>20113208</v>
          </cell>
          <cell r="U1707" t="str">
            <v>PAOLA ANDREA CALDERON CETINA</v>
          </cell>
        </row>
        <row r="1708">
          <cell r="B1708">
            <v>20113213</v>
          </cell>
          <cell r="U1708" t="str">
            <v>GINA PAOLA MEDINA FLOREZ</v>
          </cell>
        </row>
        <row r="1709">
          <cell r="B1709">
            <v>20113215</v>
          </cell>
          <cell r="U1709" t="str">
            <v>FABIAN CONCHA</v>
          </cell>
        </row>
        <row r="1710">
          <cell r="B1710">
            <v>20113233</v>
          </cell>
          <cell r="U1710" t="str">
            <v>IVONNE JINETH RODRIGUEZ ROJAS</v>
          </cell>
        </row>
        <row r="1711">
          <cell r="B1711">
            <v>20113235</v>
          </cell>
          <cell r="U1711" t="str">
            <v>MARSHIA MILENA JIMéNEZ GóMEZ</v>
          </cell>
        </row>
        <row r="1712">
          <cell r="B1712">
            <v>20113236</v>
          </cell>
          <cell r="U1712" t="str">
            <v>ANGIE LIZETH GARZON GARCIA</v>
          </cell>
        </row>
        <row r="1713">
          <cell r="B1713">
            <v>20113241</v>
          </cell>
          <cell r="U1713" t="str">
            <v>JAVIER ORLANDO HERNANDEZ RIVERA</v>
          </cell>
        </row>
        <row r="1714">
          <cell r="B1714">
            <v>20113254</v>
          </cell>
          <cell r="U1714" t="str">
            <v>FABIAN CONCHA</v>
          </cell>
        </row>
        <row r="1715">
          <cell r="B1715">
            <v>20113258</v>
          </cell>
          <cell r="U1715" t="str">
            <v>PAOLA ANDREA CALDERON CETINA</v>
          </cell>
        </row>
        <row r="1716">
          <cell r="B1716">
            <v>20113268</v>
          </cell>
          <cell r="U1716" t="str">
            <v>NELSON JAVIER MORERA RINCON</v>
          </cell>
        </row>
        <row r="1717">
          <cell r="B1717">
            <v>20113273</v>
          </cell>
          <cell r="U1717" t="str">
            <v>IVONNE JINETH RODRIGUEZ ROJAS</v>
          </cell>
        </row>
        <row r="1718">
          <cell r="B1718">
            <v>20113275</v>
          </cell>
          <cell r="U1718" t="str">
            <v>NELSON JAVIER MORERA RINCON</v>
          </cell>
        </row>
        <row r="1719">
          <cell r="B1719">
            <v>20113281</v>
          </cell>
          <cell r="U1719" t="str">
            <v/>
          </cell>
        </row>
        <row r="1720">
          <cell r="B1720">
            <v>20113285</v>
          </cell>
          <cell r="U1720" t="str">
            <v>FABIAN CONCHA</v>
          </cell>
        </row>
        <row r="1721">
          <cell r="B1721">
            <v>20113291</v>
          </cell>
          <cell r="U1721" t="str">
            <v>JOVANNY ALEXANDER BENAVIDES APRAEZ</v>
          </cell>
        </row>
        <row r="1722">
          <cell r="B1722">
            <v>20113298</v>
          </cell>
          <cell r="U1722" t="str">
            <v>FABIAN CONCHA</v>
          </cell>
        </row>
        <row r="1723">
          <cell r="B1723">
            <v>20113299</v>
          </cell>
          <cell r="U1723" t="str">
            <v>FABIAN CONCHA</v>
          </cell>
        </row>
        <row r="1724">
          <cell r="B1724">
            <v>20113302</v>
          </cell>
          <cell r="U1724" t="str">
            <v>HEIDY LORENA PRIETO AHUMADA</v>
          </cell>
        </row>
        <row r="1725">
          <cell r="B1725">
            <v>20113303</v>
          </cell>
          <cell r="U1725" t="str">
            <v>PAOLA ANDREA CALDERON CETINA</v>
          </cell>
        </row>
        <row r="1726">
          <cell r="B1726">
            <v>20113306</v>
          </cell>
          <cell r="U1726" t="str">
            <v>NELSON JAVIER MORERA RINCON</v>
          </cell>
        </row>
        <row r="1727">
          <cell r="B1727">
            <v>20113341</v>
          </cell>
          <cell r="U1727" t="str">
            <v>JAVIER ORLANDO HERNANDEZ RIVERA</v>
          </cell>
        </row>
        <row r="1728">
          <cell r="B1728">
            <v>20113377</v>
          </cell>
          <cell r="U1728" t="str">
            <v>NELSON JAVIER MORERA RINCON</v>
          </cell>
        </row>
        <row r="1729">
          <cell r="B1729">
            <v>20113378</v>
          </cell>
          <cell r="U1729" t="str">
            <v>JAVIER ORLANDO HERNANDEZ RIVERA</v>
          </cell>
        </row>
        <row r="1730">
          <cell r="B1730">
            <v>20113381</v>
          </cell>
          <cell r="U1730" t="str">
            <v>NELSON JAVIER MORERA RINCON</v>
          </cell>
        </row>
        <row r="1731">
          <cell r="B1731">
            <v>20113392</v>
          </cell>
          <cell r="U1731" t="str">
            <v/>
          </cell>
        </row>
        <row r="1732">
          <cell r="B1732">
            <v>20113412</v>
          </cell>
          <cell r="U1732" t="str">
            <v>ANGIE LIZETH GARZON GARCIA</v>
          </cell>
        </row>
        <row r="1733">
          <cell r="B1733">
            <v>20113427</v>
          </cell>
          <cell r="U1733" t="str">
            <v>IVONNE JINETH RODRIGUEZ ROJAS</v>
          </cell>
        </row>
        <row r="1734">
          <cell r="B1734">
            <v>20113444</v>
          </cell>
          <cell r="U1734" t="str">
            <v>NELSON JAVIER MORERA RINCON</v>
          </cell>
        </row>
        <row r="1735">
          <cell r="B1735">
            <v>20113445</v>
          </cell>
          <cell r="U1735" t="str">
            <v>FABIAN CONCHA</v>
          </cell>
        </row>
        <row r="1736">
          <cell r="B1736">
            <v>20113449</v>
          </cell>
          <cell r="U1736" t="str">
            <v>IVONNE JINETH RODRIGUEZ ROJAS</v>
          </cell>
        </row>
        <row r="1737">
          <cell r="B1737">
            <v>20113452</v>
          </cell>
          <cell r="U1737" t="str">
            <v>JEISSON FABIAN MOLINA CIRO</v>
          </cell>
        </row>
        <row r="1738">
          <cell r="B1738">
            <v>20113456</v>
          </cell>
          <cell r="U1738" t="str">
            <v>JAVIER ORLANDO HERNANDEZ RIVERA</v>
          </cell>
        </row>
        <row r="1739">
          <cell r="B1739">
            <v>20113460</v>
          </cell>
          <cell r="U1739" t="str">
            <v>FABIAN CONCHA</v>
          </cell>
        </row>
        <row r="1740">
          <cell r="B1740">
            <v>20113464</v>
          </cell>
          <cell r="U1740" t="str">
            <v>IVONNE JINETH RODRIGUEZ ROJAS</v>
          </cell>
        </row>
        <row r="1741">
          <cell r="B1741">
            <v>20113468</v>
          </cell>
          <cell r="U1741" t="str">
            <v>MARSHIA MILENA JIMéNEZ GóMEZ</v>
          </cell>
        </row>
        <row r="1742">
          <cell r="B1742">
            <v>20113471</v>
          </cell>
          <cell r="U1742" t="str">
            <v>FABIAN CONCHA</v>
          </cell>
        </row>
        <row r="1743">
          <cell r="B1743">
            <v>20113475</v>
          </cell>
          <cell r="U1743" t="str">
            <v>NELSON JAVIER MORERA RINCON</v>
          </cell>
        </row>
        <row r="1744">
          <cell r="B1744">
            <v>20113482</v>
          </cell>
          <cell r="U1744" t="str">
            <v>FABIAN CONCHA</v>
          </cell>
        </row>
        <row r="1745">
          <cell r="B1745">
            <v>20113492</v>
          </cell>
          <cell r="U1745" t="str">
            <v>NELSON JAVIER MORERA RINCON</v>
          </cell>
        </row>
        <row r="1746">
          <cell r="B1746">
            <v>20113495</v>
          </cell>
          <cell r="U1746" t="str">
            <v>NELSON JAVIER MORERA RINCON</v>
          </cell>
        </row>
        <row r="1747">
          <cell r="B1747">
            <v>20113507</v>
          </cell>
          <cell r="U1747" t="str">
            <v>PAOLA ANDREA CALDERON CETINA</v>
          </cell>
        </row>
        <row r="1748">
          <cell r="B1748">
            <v>20113523</v>
          </cell>
          <cell r="U1748" t="str">
            <v>GINA PAOLA MEDINA FLOREZ</v>
          </cell>
        </row>
        <row r="1749">
          <cell r="B1749">
            <v>20113527</v>
          </cell>
          <cell r="U1749" t="str">
            <v>JEISSON FABIAN MOLINA CIRO</v>
          </cell>
        </row>
        <row r="1750">
          <cell r="B1750">
            <v>20113551</v>
          </cell>
          <cell r="U1750" t="str">
            <v>IVONNE JINETH RODRIGUEZ ROJAS</v>
          </cell>
        </row>
        <row r="1751">
          <cell r="B1751">
            <v>20113556</v>
          </cell>
          <cell r="U1751" t="str">
            <v>NELSON JAVIER MORERA RINCON</v>
          </cell>
        </row>
        <row r="1752">
          <cell r="B1752">
            <v>20113576</v>
          </cell>
          <cell r="U1752" t="str">
            <v>PAOLA ANDREA CALDERON CETINA</v>
          </cell>
        </row>
        <row r="1753">
          <cell r="B1753">
            <v>20113608</v>
          </cell>
          <cell r="U1753" t="str">
            <v>GINA PAOLA MEDINA FLOREZ</v>
          </cell>
        </row>
        <row r="1754">
          <cell r="B1754">
            <v>20113621</v>
          </cell>
          <cell r="U1754" t="str">
            <v>NELSON JAVIER MORERA RINCON</v>
          </cell>
        </row>
        <row r="1755">
          <cell r="B1755">
            <v>20113636</v>
          </cell>
          <cell r="U1755" t="str">
            <v>JOVANNY ALEXANDER BENAVIDES APRAEZ</v>
          </cell>
        </row>
        <row r="1756">
          <cell r="B1756">
            <v>20113650</v>
          </cell>
          <cell r="U1756" t="str">
            <v>JOVANNY ALEXANDER BENAVIDES APRAEZ</v>
          </cell>
        </row>
        <row r="1757">
          <cell r="B1757">
            <v>20113696</v>
          </cell>
          <cell r="U1757" t="str">
            <v>NELSON JAVIER MORERA RINCON</v>
          </cell>
        </row>
        <row r="1758">
          <cell r="B1758">
            <v>20113709</v>
          </cell>
          <cell r="U1758" t="str">
            <v>HEIDY LORENA PRIETO AHUMADA</v>
          </cell>
        </row>
        <row r="1759">
          <cell r="B1759">
            <v>20113717</v>
          </cell>
          <cell r="U1759" t="str">
            <v>JOVANNY ALEXANDER BENAVIDES APRAEZ</v>
          </cell>
        </row>
        <row r="1760">
          <cell r="B1760">
            <v>20113723</v>
          </cell>
          <cell r="U1760" t="str">
            <v>IVONNE JINETH RODRIGUEZ ROJAS</v>
          </cell>
        </row>
        <row r="1761">
          <cell r="B1761">
            <v>20113724</v>
          </cell>
          <cell r="U1761" t="str">
            <v>FABIAN CONCHA</v>
          </cell>
        </row>
        <row r="1762">
          <cell r="B1762">
            <v>20113730</v>
          </cell>
          <cell r="U1762" t="str">
            <v>IVONNE JINETH RODRIGUEZ ROJAS</v>
          </cell>
        </row>
        <row r="1763">
          <cell r="B1763">
            <v>20113735</v>
          </cell>
          <cell r="U1763" t="str">
            <v>FABIAN CONCHA</v>
          </cell>
        </row>
        <row r="1764">
          <cell r="B1764">
            <v>20113740</v>
          </cell>
          <cell r="U1764" t="str">
            <v>MARSHIA MILENA JIMéNEZ GóMEZ</v>
          </cell>
        </row>
        <row r="1765">
          <cell r="B1765">
            <v>20113747</v>
          </cell>
          <cell r="U1765" t="str">
            <v>IVONNE JINETH RODRIGUEZ ROJAS</v>
          </cell>
        </row>
        <row r="1766">
          <cell r="B1766">
            <v>20113755</v>
          </cell>
          <cell r="U1766" t="str">
            <v>IVONNE JINETH RODRIGUEZ ROJAS</v>
          </cell>
        </row>
        <row r="1767">
          <cell r="B1767">
            <v>20113761</v>
          </cell>
          <cell r="U1767" t="str">
            <v>PAOLA ANDREA CALDERON CETINA</v>
          </cell>
        </row>
        <row r="1768">
          <cell r="B1768">
            <v>20113777</v>
          </cell>
          <cell r="U1768" t="str">
            <v>GINA PAOLA MEDINA FLOREZ</v>
          </cell>
        </row>
        <row r="1769">
          <cell r="B1769">
            <v>20113781</v>
          </cell>
          <cell r="U1769" t="str">
            <v>GINA PAOLA MEDINA FLOREZ</v>
          </cell>
        </row>
        <row r="1770">
          <cell r="B1770">
            <v>20113790</v>
          </cell>
          <cell r="U1770" t="str">
            <v>PAOLA ANDREA CALDERON CETINA</v>
          </cell>
        </row>
        <row r="1771">
          <cell r="B1771">
            <v>20113804</v>
          </cell>
          <cell r="U1771" t="str">
            <v>NELSON JAVIER MORERA RINCON</v>
          </cell>
        </row>
        <row r="1772">
          <cell r="B1772">
            <v>20113805</v>
          </cell>
          <cell r="U1772" t="str">
            <v>GINA PAOLA MEDINA FLOREZ</v>
          </cell>
        </row>
        <row r="1773">
          <cell r="B1773">
            <v>20113807</v>
          </cell>
          <cell r="U1773" t="str">
            <v>HEIDY LORENA PRIETO AHUMADA</v>
          </cell>
        </row>
        <row r="1774">
          <cell r="B1774">
            <v>20113808</v>
          </cell>
          <cell r="U1774" t="str">
            <v>JOVANNY ALEXANDER BENAVIDES APRAEZ</v>
          </cell>
        </row>
        <row r="1775">
          <cell r="B1775">
            <v>20113809</v>
          </cell>
          <cell r="U1775" t="str">
            <v>FABIAN CONCHA</v>
          </cell>
        </row>
        <row r="1776">
          <cell r="B1776">
            <v>20113839</v>
          </cell>
          <cell r="U1776" t="str">
            <v>GINA PAOLA MEDINA FLOREZ</v>
          </cell>
        </row>
        <row r="1777">
          <cell r="B1777">
            <v>20113842</v>
          </cell>
          <cell r="U1777" t="str">
            <v>FABIAN CONCHA</v>
          </cell>
        </row>
        <row r="1778">
          <cell r="B1778">
            <v>20113855</v>
          </cell>
          <cell r="U1778" t="str">
            <v>PAOLA ANDREA CALDERON CETINA</v>
          </cell>
        </row>
        <row r="1779">
          <cell r="B1779">
            <v>20113861</v>
          </cell>
          <cell r="U1779" t="str">
            <v>PAOLA ANDREA CALDERON CETINA</v>
          </cell>
        </row>
        <row r="1780">
          <cell r="B1780">
            <v>20113866</v>
          </cell>
          <cell r="U1780" t="str">
            <v>IVONNE JINETH RODRIGUEZ ROJAS</v>
          </cell>
        </row>
        <row r="1781">
          <cell r="B1781">
            <v>20113887</v>
          </cell>
          <cell r="U1781" t="str">
            <v>NELSON JAVIER MORERA RINCON</v>
          </cell>
        </row>
        <row r="1782">
          <cell r="B1782">
            <v>20113893</v>
          </cell>
          <cell r="U1782" t="str">
            <v>CATALINA PACHECO BURGOS</v>
          </cell>
        </row>
        <row r="1783">
          <cell r="B1783">
            <v>20113896</v>
          </cell>
          <cell r="U1783" t="str">
            <v>GINA PAOLA MEDINA FLOREZ</v>
          </cell>
        </row>
        <row r="1784">
          <cell r="B1784">
            <v>20113900</v>
          </cell>
          <cell r="U1784" t="str">
            <v>NELSON JAVIER MORERA RINCON</v>
          </cell>
        </row>
        <row r="1785">
          <cell r="B1785">
            <v>20113911</v>
          </cell>
          <cell r="U1785" t="str">
            <v>HEIDY LORENA PRIETO AHUMADA</v>
          </cell>
        </row>
        <row r="1786">
          <cell r="B1786">
            <v>20113918</v>
          </cell>
          <cell r="U1786" t="str">
            <v>FABIAN CONCHA</v>
          </cell>
        </row>
        <row r="1787">
          <cell r="B1787">
            <v>20113945</v>
          </cell>
          <cell r="U1787" t="str">
            <v>JEISSON FABIAN MOLINA CIRO</v>
          </cell>
        </row>
        <row r="1788">
          <cell r="B1788">
            <v>20113946</v>
          </cell>
          <cell r="U1788" t="str">
            <v>PAOLA ANDREA CALDERON CETINA</v>
          </cell>
        </row>
        <row r="1789">
          <cell r="B1789">
            <v>20113962</v>
          </cell>
          <cell r="U1789" t="str">
            <v>IVONNE JINETH RODRIGUEZ ROJAS</v>
          </cell>
        </row>
        <row r="1790">
          <cell r="B1790">
            <v>20113970</v>
          </cell>
          <cell r="U1790" t="str">
            <v>JEISSON FABIAN MOLINA CIRO</v>
          </cell>
        </row>
        <row r="1791">
          <cell r="B1791">
            <v>20113985</v>
          </cell>
          <cell r="U1791" t="str">
            <v>JEISSON FABIAN MOLINA CIRO</v>
          </cell>
        </row>
        <row r="1792">
          <cell r="B1792">
            <v>20113988</v>
          </cell>
          <cell r="U1792" t="str">
            <v>IVONNE JINETH RODRIGUEZ ROJAS</v>
          </cell>
        </row>
        <row r="1793">
          <cell r="B1793">
            <v>20113998</v>
          </cell>
          <cell r="U1793" t="str">
            <v>FABIAN CONCHA</v>
          </cell>
        </row>
        <row r="1794">
          <cell r="B1794">
            <v>20114036</v>
          </cell>
          <cell r="U1794" t="str">
            <v>HEIDY LORENA PRIETO AHUMADA</v>
          </cell>
        </row>
        <row r="1795">
          <cell r="B1795">
            <v>20114041</v>
          </cell>
          <cell r="U1795" t="str">
            <v>JAVIER ORLANDO HERNANDEZ RIVERA</v>
          </cell>
        </row>
        <row r="1796">
          <cell r="B1796">
            <v>20114045</v>
          </cell>
          <cell r="U1796" t="str">
            <v>IVONNE JINETH RODRIGUEZ ROJAS</v>
          </cell>
        </row>
        <row r="1797">
          <cell r="B1797">
            <v>20114047</v>
          </cell>
          <cell r="U1797" t="str">
            <v>JAVIER ORLANDO HERNANDEZ RIVERA</v>
          </cell>
        </row>
        <row r="1798">
          <cell r="B1798">
            <v>20114054</v>
          </cell>
          <cell r="U1798" t="str">
            <v>IVONNE JINETH RODRIGUEZ ROJAS</v>
          </cell>
        </row>
        <row r="1799">
          <cell r="B1799">
            <v>20114073</v>
          </cell>
          <cell r="U1799" t="str">
            <v>ANGIE LIZETH GARZON GARCIA</v>
          </cell>
        </row>
        <row r="1800">
          <cell r="B1800">
            <v>20114074</v>
          </cell>
          <cell r="U1800" t="str">
            <v>MARSHIA MILENA JIMéNEZ GóMEZ</v>
          </cell>
        </row>
        <row r="1801">
          <cell r="B1801">
            <v>20114076</v>
          </cell>
          <cell r="U1801" t="str">
            <v>NELSON JAVIER MORERA RINCON</v>
          </cell>
        </row>
        <row r="1802">
          <cell r="B1802">
            <v>20114080</v>
          </cell>
          <cell r="U1802" t="str">
            <v>CATALINA PACHECO BURGOS</v>
          </cell>
        </row>
        <row r="1803">
          <cell r="B1803">
            <v>20114086</v>
          </cell>
          <cell r="U1803" t="str">
            <v>IVONNE JINETH RODRIGUEZ ROJAS</v>
          </cell>
        </row>
        <row r="1804">
          <cell r="B1804">
            <v>20114088</v>
          </cell>
          <cell r="U1804" t="str">
            <v>IVONNE JINETH RODRIGUEZ ROJAS</v>
          </cell>
        </row>
        <row r="1805">
          <cell r="B1805">
            <v>20114097</v>
          </cell>
          <cell r="U1805" t="str">
            <v>GINA PAOLA MEDINA FLOREZ</v>
          </cell>
        </row>
        <row r="1806">
          <cell r="B1806">
            <v>20114101</v>
          </cell>
          <cell r="U1806" t="str">
            <v>MARSHIA MILENA JIMéNEZ GóMEZ</v>
          </cell>
        </row>
        <row r="1807">
          <cell r="B1807">
            <v>20114108</v>
          </cell>
          <cell r="U1807" t="str">
            <v>JOVANNY ALEXANDER BENAVIDES APRAEZ</v>
          </cell>
        </row>
        <row r="1808">
          <cell r="B1808">
            <v>20114114</v>
          </cell>
          <cell r="U1808" t="str">
            <v>MARSHIA MILENA JIMéNEZ GóMEZ</v>
          </cell>
        </row>
        <row r="1809">
          <cell r="B1809">
            <v>20114117</v>
          </cell>
          <cell r="U1809" t="str">
            <v>FABIAN CONCHA</v>
          </cell>
        </row>
        <row r="1810">
          <cell r="B1810">
            <v>20114140</v>
          </cell>
          <cell r="U1810" t="str">
            <v>HEIDY LORENA PRIETO AHUMADA</v>
          </cell>
        </row>
        <row r="1811">
          <cell r="B1811">
            <v>20114141</v>
          </cell>
          <cell r="U1811" t="str">
            <v/>
          </cell>
        </row>
        <row r="1812">
          <cell r="B1812">
            <v>20114144</v>
          </cell>
          <cell r="U1812" t="str">
            <v>CATALINA PACHECO BURGOS</v>
          </cell>
        </row>
        <row r="1813">
          <cell r="B1813">
            <v>20114151</v>
          </cell>
          <cell r="U1813" t="str">
            <v>JAVIER ORLANDO HERNANDEZ RIVERA</v>
          </cell>
        </row>
        <row r="1814">
          <cell r="B1814">
            <v>20114163</v>
          </cell>
          <cell r="U1814" t="str">
            <v>PAOLA ANDREA CALDERON CETINA</v>
          </cell>
        </row>
        <row r="1815">
          <cell r="B1815">
            <v>20114168</v>
          </cell>
          <cell r="U1815" t="str">
            <v>MARSHIA MILENA JIMéNEZ GóMEZ</v>
          </cell>
        </row>
        <row r="1816">
          <cell r="B1816">
            <v>20114170</v>
          </cell>
          <cell r="U1816" t="str">
            <v>NELSON JAVIER MORERA RINCON</v>
          </cell>
        </row>
        <row r="1817">
          <cell r="B1817">
            <v>20114176</v>
          </cell>
          <cell r="U1817" t="str">
            <v>NELSON JAVIER MORERA RINCON</v>
          </cell>
        </row>
        <row r="1818">
          <cell r="B1818">
            <v>20114210</v>
          </cell>
          <cell r="U1818" t="str">
            <v>FABIAN CONCHA</v>
          </cell>
        </row>
        <row r="1819">
          <cell r="B1819">
            <v>20114213</v>
          </cell>
          <cell r="U1819" t="str">
            <v>HEIDY LORENA PRIETO AHUMADA</v>
          </cell>
        </row>
        <row r="1820">
          <cell r="B1820">
            <v>20114214</v>
          </cell>
          <cell r="U1820" t="str">
            <v>JOHAN SEBASTIAN PARDEYN AGUILAR</v>
          </cell>
        </row>
        <row r="1821">
          <cell r="B1821">
            <v>20114222</v>
          </cell>
          <cell r="U1821" t="str">
            <v>FABIAN CONCHA</v>
          </cell>
        </row>
        <row r="1822">
          <cell r="B1822">
            <v>20114236</v>
          </cell>
          <cell r="U1822" t="str">
            <v>MARSHIA MILENA JIMéNEZ GóMEZ</v>
          </cell>
        </row>
        <row r="1823">
          <cell r="B1823">
            <v>20114257</v>
          </cell>
          <cell r="U1823" t="str">
            <v>IVONNE JINETH RODRIGUEZ ROJAS</v>
          </cell>
        </row>
        <row r="1824">
          <cell r="B1824">
            <v>20114264</v>
          </cell>
          <cell r="U1824" t="str">
            <v>GINA PAOLA MEDINA FLOREZ</v>
          </cell>
        </row>
        <row r="1825">
          <cell r="B1825">
            <v>20114273</v>
          </cell>
          <cell r="U1825" t="str">
            <v>FABIAN CONCHA</v>
          </cell>
        </row>
        <row r="1826">
          <cell r="B1826">
            <v>20114276</v>
          </cell>
          <cell r="U1826" t="str">
            <v>JOVANNY ALEXANDER BENAVIDES APRAEZ</v>
          </cell>
        </row>
        <row r="1827">
          <cell r="B1827">
            <v>20114287</v>
          </cell>
          <cell r="U1827" t="str">
            <v>IVONNE JINETH RODRIGUEZ ROJAS</v>
          </cell>
        </row>
        <row r="1828">
          <cell r="B1828">
            <v>20114288</v>
          </cell>
          <cell r="U1828" t="str">
            <v>JOVANNY ALEXANDER BENAVIDES APRAEZ</v>
          </cell>
        </row>
        <row r="1829">
          <cell r="B1829">
            <v>20114310</v>
          </cell>
          <cell r="U1829" t="str">
            <v>NELSON JAVIER MORERA RINCON</v>
          </cell>
        </row>
        <row r="1830">
          <cell r="B1830">
            <v>20114337</v>
          </cell>
          <cell r="U1830" t="str">
            <v>GINA PAOLA MEDINA FLOREZ</v>
          </cell>
        </row>
        <row r="1831">
          <cell r="B1831">
            <v>20114360</v>
          </cell>
          <cell r="U1831" t="str">
            <v>PAOLA ANDREA CALDERON CETINA</v>
          </cell>
        </row>
        <row r="1832">
          <cell r="B1832">
            <v>20114367</v>
          </cell>
          <cell r="U1832" t="str">
            <v>MARSHIA MILENA JIMéNEZ GóMEZ</v>
          </cell>
        </row>
        <row r="1833">
          <cell r="B1833">
            <v>20114372</v>
          </cell>
          <cell r="U1833" t="str">
            <v>IVONNE JINETH RODRIGUEZ ROJAS</v>
          </cell>
        </row>
        <row r="1834">
          <cell r="B1834">
            <v>20114381</v>
          </cell>
          <cell r="U1834" t="str">
            <v>FABIAN CONCHA</v>
          </cell>
        </row>
        <row r="1835">
          <cell r="B1835">
            <v>20114383</v>
          </cell>
          <cell r="U1835" t="str">
            <v>IVONNE JINETH RODRIGUEZ ROJAS</v>
          </cell>
        </row>
        <row r="1836">
          <cell r="B1836">
            <v>20114404</v>
          </cell>
          <cell r="U1836" t="str">
            <v>IVONNE JINETH RODRIGUEZ ROJAS</v>
          </cell>
        </row>
        <row r="1837">
          <cell r="B1837">
            <v>20114405</v>
          </cell>
          <cell r="U1837" t="str">
            <v>FABIAN CONCHA</v>
          </cell>
        </row>
        <row r="1838">
          <cell r="B1838">
            <v>20114406</v>
          </cell>
          <cell r="U1838" t="str">
            <v>MARSHIA MILENA JIMéNEZ GóMEZ</v>
          </cell>
        </row>
        <row r="1839">
          <cell r="B1839">
            <v>20114407</v>
          </cell>
          <cell r="U1839" t="str">
            <v>IVONNE JINETH RODRIGUEZ ROJAS</v>
          </cell>
        </row>
        <row r="1840">
          <cell r="B1840">
            <v>20114409</v>
          </cell>
          <cell r="U1840" t="str">
            <v>JOHAN SEBASTIAN PARDEYN AGUILAR</v>
          </cell>
        </row>
        <row r="1841">
          <cell r="B1841">
            <v>20114413</v>
          </cell>
          <cell r="U1841" t="str">
            <v>JEISSON FABIAN MOLINA CIRO</v>
          </cell>
        </row>
        <row r="1842">
          <cell r="B1842">
            <v>20114426</v>
          </cell>
          <cell r="U1842" t="str">
            <v>IVONNE JINETH RODRIGUEZ ROJAS</v>
          </cell>
        </row>
        <row r="1843">
          <cell r="B1843">
            <v>20114431</v>
          </cell>
          <cell r="U1843" t="str">
            <v>FABIAN CONCHA</v>
          </cell>
        </row>
        <row r="1844">
          <cell r="B1844">
            <v>20114434</v>
          </cell>
          <cell r="U1844" t="str">
            <v>NELSON JAVIER MORERA RINCON</v>
          </cell>
        </row>
        <row r="1845">
          <cell r="B1845">
            <v>20114448</v>
          </cell>
          <cell r="U1845" t="str">
            <v>IVONNE JINETH RODRIGUEZ ROJAS</v>
          </cell>
        </row>
        <row r="1846">
          <cell r="B1846">
            <v>20114455</v>
          </cell>
          <cell r="U1846" t="str">
            <v>IVONNE JINETH RODRIGUEZ ROJAS</v>
          </cell>
        </row>
        <row r="1847">
          <cell r="B1847">
            <v>20114460</v>
          </cell>
          <cell r="U1847" t="str">
            <v>IVONNE JINETH RODRIGUEZ ROJAS</v>
          </cell>
        </row>
        <row r="1848">
          <cell r="B1848">
            <v>20114463</v>
          </cell>
          <cell r="U1848" t="str">
            <v>FABIAN CONCHA</v>
          </cell>
        </row>
        <row r="1849">
          <cell r="B1849">
            <v>20114464</v>
          </cell>
          <cell r="U1849" t="str">
            <v>JOVANNY ALEXANDER BENAVIDES APRAEZ</v>
          </cell>
        </row>
        <row r="1850">
          <cell r="B1850">
            <v>20114479</v>
          </cell>
          <cell r="U1850" t="str">
            <v>MARSHIA MILENA JIMéNEZ GóMEZ</v>
          </cell>
        </row>
        <row r="1851">
          <cell r="B1851">
            <v>20114486</v>
          </cell>
          <cell r="U1851" t="str">
            <v/>
          </cell>
        </row>
        <row r="1852">
          <cell r="B1852">
            <v>20114488</v>
          </cell>
          <cell r="U1852" t="str">
            <v>FABIAN CONCHA</v>
          </cell>
        </row>
        <row r="1853">
          <cell r="B1853">
            <v>20114495</v>
          </cell>
          <cell r="U1853" t="str">
            <v>JAVIER ORLANDO HERNANDEZ RIVERA</v>
          </cell>
        </row>
        <row r="1854">
          <cell r="B1854">
            <v>20114506</v>
          </cell>
          <cell r="U1854" t="str">
            <v>JAVIER ORLANDO HERNANDEZ RIVERA</v>
          </cell>
        </row>
        <row r="1855">
          <cell r="B1855">
            <v>20114513</v>
          </cell>
          <cell r="U1855" t="str">
            <v>IVONNE JINETH RODRIGUEZ ROJAS</v>
          </cell>
        </row>
        <row r="1856">
          <cell r="B1856">
            <v>20114514</v>
          </cell>
          <cell r="U1856" t="str">
            <v>JOHAN SEBASTIAN PARDEYN AGUILAR</v>
          </cell>
        </row>
        <row r="1857">
          <cell r="B1857">
            <v>20114517</v>
          </cell>
          <cell r="U1857" t="str">
            <v>PAOLA ANDREA CALDERON CETINA</v>
          </cell>
        </row>
        <row r="1858">
          <cell r="B1858">
            <v>20114523</v>
          </cell>
          <cell r="U1858" t="str">
            <v>ANGIE LIZETH GARZON GARCIA</v>
          </cell>
        </row>
        <row r="1859">
          <cell r="B1859">
            <v>20114531</v>
          </cell>
          <cell r="U1859" t="str">
            <v>FABIAN CONCHA</v>
          </cell>
        </row>
        <row r="1860">
          <cell r="B1860">
            <v>20114593</v>
          </cell>
          <cell r="U1860" t="str">
            <v>FABIAN CONCHA</v>
          </cell>
        </row>
        <row r="1861">
          <cell r="B1861">
            <v>20114594</v>
          </cell>
          <cell r="U1861" t="str">
            <v>FABIAN CONCHA</v>
          </cell>
        </row>
        <row r="1862">
          <cell r="B1862">
            <v>20114598</v>
          </cell>
          <cell r="U1862" t="str">
            <v>IVONNE JINETH RODRIGUEZ ROJAS</v>
          </cell>
        </row>
        <row r="1863">
          <cell r="B1863">
            <v>20114604</v>
          </cell>
          <cell r="U1863" t="str">
            <v>JAVIER ORLANDO HERNANDEZ RIVERA</v>
          </cell>
        </row>
        <row r="1864">
          <cell r="B1864">
            <v>20114622</v>
          </cell>
          <cell r="U1864" t="str">
            <v>HEIDY LORENA PRIETO AHUMADA</v>
          </cell>
        </row>
        <row r="1865">
          <cell r="B1865">
            <v>20114661</v>
          </cell>
          <cell r="U1865" t="str">
            <v>GINA PAOLA MEDINA FLOREZ</v>
          </cell>
        </row>
        <row r="1866">
          <cell r="B1866">
            <v>20114662</v>
          </cell>
          <cell r="U1866" t="str">
            <v>NELSON JAVIER MORERA RINCON</v>
          </cell>
        </row>
        <row r="1867">
          <cell r="B1867">
            <v>20114665</v>
          </cell>
          <cell r="U1867" t="str">
            <v>NELSON JAVIER MORERA RINCON</v>
          </cell>
        </row>
        <row r="1868">
          <cell r="B1868">
            <v>20114673</v>
          </cell>
          <cell r="U1868" t="str">
            <v>JAVIER ORLANDO HERNANDEZ RIVERA</v>
          </cell>
        </row>
        <row r="1869">
          <cell r="B1869">
            <v>20114675</v>
          </cell>
          <cell r="U1869" t="str">
            <v>HEIDY LORENA PRIETO AHUMADA</v>
          </cell>
        </row>
        <row r="1870">
          <cell r="B1870">
            <v>20114676</v>
          </cell>
          <cell r="U1870" t="str">
            <v>GINA PAOLA MEDINA FLOREZ</v>
          </cell>
        </row>
        <row r="1871">
          <cell r="B1871">
            <v>20114677</v>
          </cell>
          <cell r="U1871" t="str">
            <v>ANGIE LIZETH GARZON GARCIA</v>
          </cell>
        </row>
        <row r="1872">
          <cell r="B1872">
            <v>20114678</v>
          </cell>
          <cell r="U1872" t="str">
            <v>NELSON JAVIER MORERA RINCON</v>
          </cell>
        </row>
        <row r="1873">
          <cell r="B1873">
            <v>20114680</v>
          </cell>
          <cell r="U1873" t="str">
            <v>JOVANNY ALEXANDER BENAVIDES APRAEZ</v>
          </cell>
        </row>
        <row r="1874">
          <cell r="B1874">
            <v>20114684</v>
          </cell>
          <cell r="U1874" t="str">
            <v>IVONNE JINETH RODRIGUEZ ROJAS</v>
          </cell>
        </row>
        <row r="1875">
          <cell r="B1875">
            <v>20114685</v>
          </cell>
          <cell r="U1875" t="str">
            <v>IVONNE JINETH RODRIGUEZ ROJAS</v>
          </cell>
        </row>
        <row r="1876">
          <cell r="B1876">
            <v>20114686</v>
          </cell>
          <cell r="U1876" t="str">
            <v>JAVIER ORLANDO HERNANDEZ RIVERA</v>
          </cell>
        </row>
        <row r="1877">
          <cell r="B1877">
            <v>20114687</v>
          </cell>
          <cell r="U1877" t="str">
            <v>IVONNE JINETH RODRIGUEZ ROJAS</v>
          </cell>
        </row>
        <row r="1878">
          <cell r="B1878">
            <v>20114688</v>
          </cell>
          <cell r="U1878" t="str">
            <v>FABIAN CONCHA</v>
          </cell>
        </row>
        <row r="1879">
          <cell r="B1879">
            <v>20114690</v>
          </cell>
          <cell r="U1879" t="str">
            <v>MARSHIA MILENA JIMéNEZ GóMEZ</v>
          </cell>
        </row>
        <row r="1880">
          <cell r="B1880">
            <v>20114692</v>
          </cell>
          <cell r="U1880" t="str">
            <v>MARSHIA MILENA JIMéNEZ GóMEZ</v>
          </cell>
        </row>
        <row r="1881">
          <cell r="B1881">
            <v>20114708</v>
          </cell>
          <cell r="U1881" t="str">
            <v>GINA PAOLA MEDINA FLOREZ</v>
          </cell>
        </row>
        <row r="1882">
          <cell r="B1882">
            <v>20114715</v>
          </cell>
          <cell r="U1882" t="str">
            <v>NELSON JAVIER MORERA RINCON</v>
          </cell>
        </row>
        <row r="1883">
          <cell r="B1883">
            <v>20114716</v>
          </cell>
          <cell r="U1883" t="str">
            <v>CATALINA PACHECO BURGOS</v>
          </cell>
        </row>
        <row r="1884">
          <cell r="B1884">
            <v>20114719</v>
          </cell>
          <cell r="U1884" t="str">
            <v>IVONNE JINETH RODRIGUEZ ROJAS</v>
          </cell>
        </row>
        <row r="1885">
          <cell r="B1885">
            <v>20114720</v>
          </cell>
          <cell r="U1885" t="str">
            <v>IVONNE JINETH RODRIGUEZ ROJAS</v>
          </cell>
        </row>
        <row r="1886">
          <cell r="B1886">
            <v>20114721</v>
          </cell>
          <cell r="U1886" t="str">
            <v>JOHAN SEBASTIAN PARDEYN AGUILAR</v>
          </cell>
        </row>
        <row r="1887">
          <cell r="B1887">
            <v>20114740</v>
          </cell>
          <cell r="U1887" t="str">
            <v>PAOLA ANDREA CALDERON CETINA</v>
          </cell>
        </row>
        <row r="1888">
          <cell r="B1888">
            <v>20114793</v>
          </cell>
          <cell r="U1888" t="str">
            <v>HEIDY LORENA PRIETO AHUMADA</v>
          </cell>
        </row>
        <row r="1889">
          <cell r="B1889">
            <v>20114817</v>
          </cell>
          <cell r="U1889" t="str">
            <v>FABIAN CONCHA</v>
          </cell>
        </row>
        <row r="1890">
          <cell r="B1890">
            <v>20114842</v>
          </cell>
          <cell r="U1890" t="str">
            <v>NELSON JAVIER MORERA RINCON</v>
          </cell>
        </row>
        <row r="1891">
          <cell r="B1891">
            <v>20114844</v>
          </cell>
          <cell r="U1891" t="str">
            <v/>
          </cell>
        </row>
        <row r="1892">
          <cell r="B1892">
            <v>20114871</v>
          </cell>
          <cell r="U1892" t="str">
            <v>IVONNE JINETH RODRIGUEZ ROJAS</v>
          </cell>
        </row>
        <row r="1893">
          <cell r="B1893">
            <v>20114873</v>
          </cell>
          <cell r="U1893" t="str">
            <v>FABIAN CONCHA</v>
          </cell>
        </row>
        <row r="1894">
          <cell r="B1894">
            <v>20114875</v>
          </cell>
          <cell r="U1894" t="str">
            <v>GINA PAOLA MEDINA FLOREZ</v>
          </cell>
        </row>
        <row r="1895">
          <cell r="B1895">
            <v>20114894</v>
          </cell>
          <cell r="U1895" t="str">
            <v>NELSON JAVIER MORERA RINCON</v>
          </cell>
        </row>
        <row r="1896">
          <cell r="B1896">
            <v>20114915</v>
          </cell>
          <cell r="U1896" t="str">
            <v>CATALINA PACHECO BURGOS</v>
          </cell>
        </row>
        <row r="1897">
          <cell r="B1897">
            <v>20114925</v>
          </cell>
          <cell r="U1897" t="str">
            <v>IVONNE JINETH RODRIGUEZ ROJAS</v>
          </cell>
        </row>
        <row r="1898">
          <cell r="B1898">
            <v>20114935</v>
          </cell>
          <cell r="U1898" t="str">
            <v>PAOLA ANDREA CALDERON CETINA</v>
          </cell>
        </row>
        <row r="1899">
          <cell r="B1899">
            <v>20114964</v>
          </cell>
          <cell r="U1899" t="str">
            <v>PAOLA ANDREA CALDERON CETINA</v>
          </cell>
        </row>
        <row r="1900">
          <cell r="B1900">
            <v>20114966</v>
          </cell>
          <cell r="U1900" t="str">
            <v>FABIAN CONCHA</v>
          </cell>
        </row>
        <row r="1901">
          <cell r="B1901">
            <v>20114973</v>
          </cell>
          <cell r="U1901" t="str">
            <v>CATALINA PACHECO BURGOS</v>
          </cell>
        </row>
        <row r="1902">
          <cell r="B1902">
            <v>20114990</v>
          </cell>
          <cell r="U1902" t="str">
            <v>HEIDY LORENA PRIETO AHUMADA</v>
          </cell>
        </row>
        <row r="1903">
          <cell r="B1903">
            <v>20114991</v>
          </cell>
          <cell r="U1903" t="str">
            <v>GINA PAOLA MEDINA FLOREZ</v>
          </cell>
        </row>
        <row r="1904">
          <cell r="B1904">
            <v>20114997</v>
          </cell>
          <cell r="U1904" t="str">
            <v>JAVIER ORLANDO HERNANDEZ RIVERA</v>
          </cell>
        </row>
        <row r="1905">
          <cell r="B1905">
            <v>20115004</v>
          </cell>
          <cell r="U1905" t="str">
            <v>HEIDY LORENA PRIETO AHUMADA</v>
          </cell>
        </row>
        <row r="1906">
          <cell r="B1906">
            <v>20115009</v>
          </cell>
          <cell r="U1906" t="str">
            <v>FABIAN CONCHA</v>
          </cell>
        </row>
        <row r="1907">
          <cell r="B1907">
            <v>20115012</v>
          </cell>
          <cell r="U1907" t="str">
            <v>FABIAN CONCHA</v>
          </cell>
        </row>
        <row r="1908">
          <cell r="B1908">
            <v>20115013</v>
          </cell>
          <cell r="U1908" t="str">
            <v>PAOLA ANDREA CALDERON CETINA</v>
          </cell>
        </row>
        <row r="1909">
          <cell r="B1909">
            <v>20115018</v>
          </cell>
          <cell r="U1909" t="str">
            <v>IVONNE JINETH RODRIGUEZ ROJAS</v>
          </cell>
        </row>
        <row r="1910">
          <cell r="B1910">
            <v>20115024</v>
          </cell>
          <cell r="U1910" t="str">
            <v>MARSHIA MILENA JIMéNEZ GóMEZ</v>
          </cell>
        </row>
        <row r="1911">
          <cell r="B1911">
            <v>20115028</v>
          </cell>
          <cell r="U1911" t="str">
            <v>NELSON JAVIER MORERA RINCON</v>
          </cell>
        </row>
        <row r="1912">
          <cell r="B1912">
            <v>20115033</v>
          </cell>
          <cell r="U1912" t="str">
            <v>JOHAN SEBASTIAN PARDEYN AGUILAR</v>
          </cell>
        </row>
        <row r="1913">
          <cell r="B1913">
            <v>20115052</v>
          </cell>
          <cell r="U1913" t="str">
            <v>JEISSON FABIAN MOLINA CIRO</v>
          </cell>
        </row>
        <row r="1914">
          <cell r="B1914">
            <v>20115066</v>
          </cell>
          <cell r="U1914" t="str">
            <v>FABIAN CONCHA</v>
          </cell>
        </row>
        <row r="1915">
          <cell r="B1915">
            <v>20115070</v>
          </cell>
          <cell r="U1915" t="str">
            <v>FABIAN CONCHA</v>
          </cell>
        </row>
        <row r="1916">
          <cell r="B1916">
            <v>20115075</v>
          </cell>
          <cell r="U1916" t="str">
            <v>IVONNE JINETH RODRIGUEZ ROJAS</v>
          </cell>
        </row>
        <row r="1917">
          <cell r="B1917">
            <v>20115086</v>
          </cell>
          <cell r="U1917" t="str">
            <v>IVONNE JINETH RODRIGUEZ ROJAS</v>
          </cell>
        </row>
        <row r="1918">
          <cell r="B1918">
            <v>20115092</v>
          </cell>
          <cell r="U1918" t="str">
            <v>IVONNE JINETH RODRIGUEZ ROJAS</v>
          </cell>
        </row>
        <row r="1919">
          <cell r="B1919">
            <v>20115094</v>
          </cell>
          <cell r="U1919" t="str">
            <v>FABIAN CONCHA</v>
          </cell>
        </row>
        <row r="1920">
          <cell r="B1920">
            <v>20115117</v>
          </cell>
          <cell r="U1920" t="str">
            <v>FABIAN CONCHA</v>
          </cell>
        </row>
        <row r="1921">
          <cell r="B1921">
            <v>20115121</v>
          </cell>
          <cell r="U1921" t="str">
            <v>CATALINA PACHECO BURGOS</v>
          </cell>
        </row>
        <row r="1922">
          <cell r="B1922">
            <v>20115129</v>
          </cell>
          <cell r="U1922" t="str">
            <v>IVONNE JINETH RODRIGUEZ ROJAS</v>
          </cell>
        </row>
        <row r="1923">
          <cell r="B1923">
            <v>20115150</v>
          </cell>
          <cell r="U1923" t="str">
            <v>NELSON JAVIER MORERA RINCON</v>
          </cell>
        </row>
        <row r="1924">
          <cell r="B1924">
            <v>20115165</v>
          </cell>
          <cell r="U1924" t="str">
            <v>NELSON JAVIER MORERA RINCON</v>
          </cell>
        </row>
        <row r="1925">
          <cell r="B1925">
            <v>20115166</v>
          </cell>
          <cell r="U1925" t="str">
            <v>JOVANNY ALEXANDER BENAVIDES APRAEZ</v>
          </cell>
        </row>
        <row r="1926">
          <cell r="B1926">
            <v>20115168</v>
          </cell>
          <cell r="U1926" t="str">
            <v>IVONNE JINETH RODRIGUEZ ROJAS</v>
          </cell>
        </row>
        <row r="1927">
          <cell r="B1927">
            <v>20115175</v>
          </cell>
          <cell r="U1927" t="str">
            <v>FABIAN CONCHA</v>
          </cell>
        </row>
        <row r="1928">
          <cell r="B1928">
            <v>20115180</v>
          </cell>
          <cell r="U1928" t="str">
            <v>FABIAN CONCHA</v>
          </cell>
        </row>
        <row r="1929">
          <cell r="B1929">
            <v>20115182</v>
          </cell>
          <cell r="U1929" t="str">
            <v>GINA PAOLA MEDINA FLOREZ</v>
          </cell>
        </row>
        <row r="1930">
          <cell r="B1930">
            <v>20115188</v>
          </cell>
          <cell r="U1930" t="str">
            <v>GINA PAOLA MEDINA FLOREZ</v>
          </cell>
        </row>
        <row r="1931">
          <cell r="B1931">
            <v>20115190</v>
          </cell>
          <cell r="U1931" t="str">
            <v>FABIAN CONCHA</v>
          </cell>
        </row>
        <row r="1932">
          <cell r="B1932">
            <v>20115196</v>
          </cell>
          <cell r="U1932" t="str">
            <v>NELSON JAVIER MORERA RINCON</v>
          </cell>
        </row>
        <row r="1933">
          <cell r="B1933">
            <v>20115209</v>
          </cell>
          <cell r="U1933" t="str">
            <v>IVONNE JINETH RODRIGUEZ ROJAS</v>
          </cell>
        </row>
        <row r="1934">
          <cell r="B1934">
            <v>20115211</v>
          </cell>
          <cell r="U1934" t="str">
            <v>FABIAN CONCHA</v>
          </cell>
        </row>
        <row r="1935">
          <cell r="B1935">
            <v>20115217</v>
          </cell>
          <cell r="U1935" t="str">
            <v>IVONNE JINETH RODRIGUEZ ROJAS</v>
          </cell>
        </row>
        <row r="1936">
          <cell r="B1936">
            <v>20115234</v>
          </cell>
          <cell r="U1936" t="str">
            <v>JAVIER ORLANDO HERNANDEZ RIVERA</v>
          </cell>
        </row>
        <row r="1937">
          <cell r="B1937">
            <v>20115236</v>
          </cell>
          <cell r="U1937" t="str">
            <v>FABIAN CONCHA</v>
          </cell>
        </row>
        <row r="1938">
          <cell r="B1938">
            <v>20115241</v>
          </cell>
          <cell r="U1938" t="str">
            <v>NELSON JAVIER MORERA RINCON</v>
          </cell>
        </row>
        <row r="1939">
          <cell r="B1939">
            <v>20115245</v>
          </cell>
          <cell r="U1939" t="str">
            <v>CATALINA PACHECO BURGOS</v>
          </cell>
        </row>
        <row r="1940">
          <cell r="B1940">
            <v>20115246</v>
          </cell>
          <cell r="U1940" t="str">
            <v>HEIDY LORENA PRIETO AHUMADA</v>
          </cell>
        </row>
        <row r="1941">
          <cell r="B1941">
            <v>20115260</v>
          </cell>
          <cell r="U1941" t="str">
            <v>JAVIER ORLANDO HERNANDEZ RIVERA</v>
          </cell>
        </row>
        <row r="1942">
          <cell r="B1942">
            <v>20115261</v>
          </cell>
          <cell r="U1942" t="str">
            <v>IVONNE JINETH RODRIGUEZ ROJAS</v>
          </cell>
        </row>
        <row r="1943">
          <cell r="B1943">
            <v>20115262</v>
          </cell>
          <cell r="U1943" t="str">
            <v>JAVIER ORLANDO HERNANDEZ RIVERA</v>
          </cell>
        </row>
        <row r="1944">
          <cell r="B1944">
            <v>20115267</v>
          </cell>
          <cell r="U1944" t="str">
            <v>IVONNE JINETH RODRIGUEZ ROJAS</v>
          </cell>
        </row>
        <row r="1945">
          <cell r="B1945">
            <v>20115273</v>
          </cell>
          <cell r="U1945" t="str">
            <v>IVONNE JINETH RODRIGUEZ ROJAS</v>
          </cell>
        </row>
        <row r="1946">
          <cell r="B1946">
            <v>20115285</v>
          </cell>
          <cell r="U1946" t="str">
            <v>GINA PAOLA MEDINA FLOREZ</v>
          </cell>
        </row>
        <row r="1947">
          <cell r="B1947">
            <v>20115291</v>
          </cell>
          <cell r="U1947" t="str">
            <v>HEIDY LORENA PRIETO AHUMADA</v>
          </cell>
        </row>
        <row r="1948">
          <cell r="B1948">
            <v>20115322</v>
          </cell>
          <cell r="U1948" t="str">
            <v>JOVANNY ALEXANDER BENAVIDES APRAEZ</v>
          </cell>
        </row>
        <row r="1949">
          <cell r="B1949">
            <v>20115331</v>
          </cell>
          <cell r="U1949" t="str">
            <v>NELSON JAVIER MORERA RINCON</v>
          </cell>
        </row>
        <row r="1950">
          <cell r="B1950">
            <v>20115336</v>
          </cell>
          <cell r="U1950" t="str">
            <v>IVONNE JINETH RODRIGUEZ ROJAS</v>
          </cell>
        </row>
        <row r="1951">
          <cell r="B1951">
            <v>20115344</v>
          </cell>
          <cell r="U1951" t="str">
            <v>FABIAN CONCHA</v>
          </cell>
        </row>
        <row r="1952">
          <cell r="B1952">
            <v>20115348</v>
          </cell>
          <cell r="U1952" t="str">
            <v>MARSHIA MILENA JIMéNEZ GóMEZ</v>
          </cell>
        </row>
        <row r="1953">
          <cell r="B1953">
            <v>20115357</v>
          </cell>
          <cell r="U1953" t="str">
            <v>IVONNE JINETH RODRIGUEZ ROJAS</v>
          </cell>
        </row>
        <row r="1954">
          <cell r="B1954">
            <v>20115366</v>
          </cell>
          <cell r="U1954" t="str">
            <v>FABIAN CONCHA</v>
          </cell>
        </row>
        <row r="1955">
          <cell r="B1955">
            <v>20115370</v>
          </cell>
          <cell r="U1955" t="str">
            <v>CATALINA PACHECO BURGOS</v>
          </cell>
        </row>
        <row r="1956">
          <cell r="B1956">
            <v>20115380</v>
          </cell>
          <cell r="U1956" t="str">
            <v>MARSHIA MILENA JIMéNEZ GóMEZ</v>
          </cell>
        </row>
        <row r="1957">
          <cell r="B1957">
            <v>20115392</v>
          </cell>
          <cell r="U1957" t="str">
            <v>GINA PAOLA MEDINA FLOREZ</v>
          </cell>
        </row>
        <row r="1958">
          <cell r="B1958">
            <v>20115396</v>
          </cell>
          <cell r="U1958" t="str">
            <v>PAOLA ANDREA CALDERON CETINA</v>
          </cell>
        </row>
        <row r="1959">
          <cell r="B1959">
            <v>20115404</v>
          </cell>
          <cell r="U1959" t="str">
            <v>FABIAN CONCHA</v>
          </cell>
        </row>
        <row r="1960">
          <cell r="B1960">
            <v>20115426</v>
          </cell>
          <cell r="U1960" t="str">
            <v>JAVIER ORLANDO HERNANDEZ RIVERA</v>
          </cell>
        </row>
        <row r="1961">
          <cell r="B1961">
            <v>20115428</v>
          </cell>
          <cell r="U1961" t="str">
            <v>NELSON JAVIER MORERA RINCON</v>
          </cell>
        </row>
        <row r="1962">
          <cell r="B1962">
            <v>20115455</v>
          </cell>
          <cell r="U1962" t="str">
            <v>JOHAN SEBASTIAN PARDEYN AGUILAR</v>
          </cell>
        </row>
        <row r="1963">
          <cell r="B1963">
            <v>20115456</v>
          </cell>
          <cell r="U1963" t="str">
            <v>IVONNE JINETH RODRIGUEZ ROJAS</v>
          </cell>
        </row>
        <row r="1964">
          <cell r="B1964">
            <v>20115459</v>
          </cell>
          <cell r="U1964" t="str">
            <v>PAOLA ANDREA CALDERON CETINA</v>
          </cell>
        </row>
        <row r="1965">
          <cell r="B1965">
            <v>20115465</v>
          </cell>
          <cell r="U1965" t="str">
            <v>PAOLA ANDREA CALDERON CETINA</v>
          </cell>
        </row>
        <row r="1966">
          <cell r="B1966">
            <v>20115469</v>
          </cell>
          <cell r="U1966" t="str">
            <v>IVONNE JINETH RODRIGUEZ ROJAS</v>
          </cell>
        </row>
        <row r="1967">
          <cell r="B1967">
            <v>20115471</v>
          </cell>
          <cell r="U1967" t="str">
            <v>NELSON JAVIER MORERA RINCON</v>
          </cell>
        </row>
        <row r="1968">
          <cell r="B1968">
            <v>20115473</v>
          </cell>
          <cell r="U1968" t="str">
            <v>NELSON JAVIER MORERA RINCON</v>
          </cell>
        </row>
        <row r="1969">
          <cell r="B1969">
            <v>20115487</v>
          </cell>
          <cell r="U1969" t="str">
            <v>NELSON JAVIER MORERA RINCON</v>
          </cell>
        </row>
        <row r="1970">
          <cell r="B1970">
            <v>20115492</v>
          </cell>
          <cell r="U1970" t="str">
            <v>HEIDY LORENA PRIETO AHUMADA</v>
          </cell>
        </row>
        <row r="1971">
          <cell r="B1971">
            <v>20115495</v>
          </cell>
          <cell r="U1971" t="str">
            <v>IVONNE JINETH RODRIGUEZ ROJAS</v>
          </cell>
        </row>
        <row r="1972">
          <cell r="B1972">
            <v>20115502</v>
          </cell>
          <cell r="U1972" t="str">
            <v>JEISSON FABIAN MOLINA CIRO</v>
          </cell>
        </row>
        <row r="1973">
          <cell r="B1973">
            <v>20115515</v>
          </cell>
          <cell r="U1973" t="str">
            <v>NELSON JAVIER MORERA RINCON</v>
          </cell>
        </row>
        <row r="1974">
          <cell r="B1974">
            <v>20115516</v>
          </cell>
          <cell r="U1974" t="str">
            <v>FABIAN CONCHA</v>
          </cell>
        </row>
        <row r="1975">
          <cell r="B1975">
            <v>20115519</v>
          </cell>
          <cell r="U1975" t="str">
            <v>IVONNE JINETH RODRIGUEZ ROJAS</v>
          </cell>
        </row>
        <row r="1976">
          <cell r="B1976">
            <v>20115522</v>
          </cell>
          <cell r="U1976" t="str">
            <v>JEISSON FABIAN MOLINA CIRO</v>
          </cell>
        </row>
        <row r="1977">
          <cell r="B1977">
            <v>20115528</v>
          </cell>
          <cell r="U1977" t="str">
            <v>FABIAN CONCHA</v>
          </cell>
        </row>
        <row r="1978">
          <cell r="B1978">
            <v>20115530</v>
          </cell>
          <cell r="U1978" t="str">
            <v>CATALINA PACHECO BURGOS</v>
          </cell>
        </row>
        <row r="1979">
          <cell r="B1979">
            <v>20115532</v>
          </cell>
          <cell r="U1979" t="str">
            <v/>
          </cell>
        </row>
        <row r="1980">
          <cell r="B1980">
            <v>20115555</v>
          </cell>
          <cell r="U1980" t="str">
            <v>JEISSON FABIAN MOLINA CIRO</v>
          </cell>
        </row>
        <row r="1981">
          <cell r="B1981">
            <v>20115571</v>
          </cell>
          <cell r="U1981" t="str">
            <v>FABIAN CONCHA</v>
          </cell>
        </row>
        <row r="1982">
          <cell r="B1982">
            <v>20115577</v>
          </cell>
          <cell r="U1982" t="str">
            <v>IVONNE JINETH RODRIGUEZ ROJAS</v>
          </cell>
        </row>
        <row r="1983">
          <cell r="B1983">
            <v>20115591</v>
          </cell>
          <cell r="U1983" t="str">
            <v>CATALINA PACHECO BURGOS</v>
          </cell>
        </row>
        <row r="1984">
          <cell r="B1984">
            <v>20115594</v>
          </cell>
          <cell r="U1984" t="str">
            <v>GINA PAOLA MEDINA FLOREZ</v>
          </cell>
        </row>
        <row r="1985">
          <cell r="B1985">
            <v>20115596</v>
          </cell>
          <cell r="U1985" t="str">
            <v>FABIAN CONCHA</v>
          </cell>
        </row>
        <row r="1986">
          <cell r="B1986">
            <v>20115597</v>
          </cell>
          <cell r="U1986" t="str">
            <v>NELSON JAVIER MORERA RINCON</v>
          </cell>
        </row>
        <row r="1987">
          <cell r="B1987">
            <v>20115598</v>
          </cell>
          <cell r="U1987" t="str">
            <v>FABIAN CONCHA</v>
          </cell>
        </row>
        <row r="1988">
          <cell r="B1988">
            <v>20115600</v>
          </cell>
          <cell r="U1988" t="str">
            <v>NELSON JAVIER MORERA RINCON</v>
          </cell>
        </row>
        <row r="1989">
          <cell r="B1989">
            <v>20115602</v>
          </cell>
          <cell r="U1989" t="str">
            <v>JOVANNY ALEXANDER BENAVIDES APRAEZ</v>
          </cell>
        </row>
        <row r="1990">
          <cell r="B1990">
            <v>20115605</v>
          </cell>
          <cell r="U1990" t="str">
            <v>NELSON JAVIER MORERA RINCON</v>
          </cell>
        </row>
        <row r="1991">
          <cell r="B1991">
            <v>20115607</v>
          </cell>
          <cell r="U1991" t="str">
            <v>JEISSON FABIAN MOLINA CIRO</v>
          </cell>
        </row>
        <row r="1992">
          <cell r="B1992">
            <v>20115617</v>
          </cell>
          <cell r="U1992" t="str">
            <v>FABIAN CONCHA</v>
          </cell>
        </row>
        <row r="1993">
          <cell r="B1993">
            <v>20115620</v>
          </cell>
          <cell r="U1993" t="str">
            <v>IVONNE JINETH RODRIGUEZ ROJAS</v>
          </cell>
        </row>
        <row r="1994">
          <cell r="B1994">
            <v>20115624</v>
          </cell>
          <cell r="U1994" t="str">
            <v>FABIAN CONCHA</v>
          </cell>
        </row>
        <row r="1995">
          <cell r="B1995">
            <v>20115632</v>
          </cell>
          <cell r="U1995" t="str">
            <v>NELSON JAVIER MORERA RINCON</v>
          </cell>
        </row>
        <row r="1996">
          <cell r="B1996">
            <v>20115638</v>
          </cell>
          <cell r="U1996" t="str">
            <v>JEISSON FABIAN MOLINA CIRO</v>
          </cell>
        </row>
        <row r="1997">
          <cell r="B1997">
            <v>20115645</v>
          </cell>
          <cell r="U1997" t="str">
            <v>FABIAN CONCHA</v>
          </cell>
        </row>
        <row r="1998">
          <cell r="B1998">
            <v>20115653</v>
          </cell>
          <cell r="U1998" t="str">
            <v>MARSHIA MILENA JIMéNEZ GóMEZ</v>
          </cell>
        </row>
        <row r="1999">
          <cell r="B1999">
            <v>20115660</v>
          </cell>
          <cell r="U1999" t="str">
            <v>FABIAN CONCHA</v>
          </cell>
        </row>
        <row r="2000">
          <cell r="B2000">
            <v>20115665</v>
          </cell>
          <cell r="U2000" t="str">
            <v>FABIAN CONCHA</v>
          </cell>
        </row>
        <row r="2001">
          <cell r="B2001">
            <v>20115673</v>
          </cell>
          <cell r="U2001" t="str">
            <v>FABIAN CONCHA</v>
          </cell>
        </row>
        <row r="2002">
          <cell r="B2002">
            <v>20115675</v>
          </cell>
          <cell r="U2002" t="str">
            <v>MARSHIA MILENA JIMéNEZ GóMEZ</v>
          </cell>
        </row>
        <row r="2003">
          <cell r="B2003">
            <v>20115683</v>
          </cell>
          <cell r="U2003" t="str">
            <v>IVONNE JINETH RODRIGUEZ ROJAS</v>
          </cell>
        </row>
        <row r="2004">
          <cell r="B2004">
            <v>20115687</v>
          </cell>
          <cell r="U2004" t="str">
            <v>JEISSON FABIAN MOLINA CIRO</v>
          </cell>
        </row>
        <row r="2005">
          <cell r="B2005">
            <v>20115688</v>
          </cell>
          <cell r="U2005" t="str">
            <v>IVONNE JINETH RODRIGUEZ ROJAS</v>
          </cell>
        </row>
        <row r="2006">
          <cell r="B2006">
            <v>20115698</v>
          </cell>
          <cell r="U2006" t="str">
            <v>NELSON JAVIER MORERA RINCON</v>
          </cell>
        </row>
        <row r="2007">
          <cell r="B2007">
            <v>20115705</v>
          </cell>
          <cell r="U2007" t="str">
            <v>HEIDY LORENA PRIETO AHUMADA</v>
          </cell>
        </row>
        <row r="2008">
          <cell r="B2008">
            <v>20115710</v>
          </cell>
          <cell r="U2008" t="str">
            <v>MARSHIA MILENA JIMéNEZ GóMEZ</v>
          </cell>
        </row>
        <row r="2009">
          <cell r="B2009">
            <v>20115719</v>
          </cell>
          <cell r="U2009" t="str">
            <v>HEIDY LORENA PRIETO AHUMADA</v>
          </cell>
        </row>
        <row r="2010">
          <cell r="B2010">
            <v>20115734</v>
          </cell>
          <cell r="U2010" t="str">
            <v>IVONNE JINETH RODRIGUEZ ROJAS</v>
          </cell>
        </row>
        <row r="2011">
          <cell r="B2011">
            <v>20115741</v>
          </cell>
          <cell r="U2011" t="str">
            <v>MARSHIA MILENA JIMéNEZ GóMEZ</v>
          </cell>
        </row>
        <row r="2012">
          <cell r="B2012">
            <v>20115742</v>
          </cell>
          <cell r="U2012" t="str">
            <v>HEIDY LORENA PRIETO AHUMADA</v>
          </cell>
        </row>
        <row r="2013">
          <cell r="B2013">
            <v>20115744</v>
          </cell>
          <cell r="U2013" t="str">
            <v>JEISSON FABIAN MOLINA CIRO</v>
          </cell>
        </row>
        <row r="2014">
          <cell r="B2014">
            <v>20115761</v>
          </cell>
          <cell r="U2014" t="str">
            <v>IVONNE JINETH RODRIGUEZ ROJAS</v>
          </cell>
        </row>
        <row r="2015">
          <cell r="B2015">
            <v>20115762</v>
          </cell>
          <cell r="U2015" t="str">
            <v>IVONNE JINETH RODRIGUEZ ROJAS</v>
          </cell>
        </row>
        <row r="2016">
          <cell r="B2016">
            <v>20115775</v>
          </cell>
          <cell r="U2016" t="str">
            <v>MARSHIA MILENA JIMéNEZ GóMEZ</v>
          </cell>
        </row>
        <row r="2017">
          <cell r="B2017">
            <v>20115777</v>
          </cell>
          <cell r="U2017" t="str">
            <v>FABIAN CONCHA</v>
          </cell>
        </row>
        <row r="2018">
          <cell r="B2018">
            <v>20115782</v>
          </cell>
          <cell r="U2018" t="str">
            <v>JEISSON FABIAN MOLINA CIRO</v>
          </cell>
        </row>
        <row r="2019">
          <cell r="B2019">
            <v>20115784</v>
          </cell>
          <cell r="U2019" t="str">
            <v>CATALINA PACHECO BURGOS</v>
          </cell>
        </row>
        <row r="2020">
          <cell r="B2020">
            <v>20115787</v>
          </cell>
          <cell r="U2020" t="str">
            <v>JOVANNY ALEXANDER BENAVIDES APRAEZ</v>
          </cell>
        </row>
        <row r="2021">
          <cell r="B2021">
            <v>20115790</v>
          </cell>
          <cell r="U2021" t="str">
            <v>GINA PAOLA MEDINA FLOREZ</v>
          </cell>
        </row>
        <row r="2022">
          <cell r="B2022">
            <v>20115793</v>
          </cell>
          <cell r="U2022" t="str">
            <v>FABIAN CONCHA</v>
          </cell>
        </row>
        <row r="2023">
          <cell r="B2023">
            <v>20115802</v>
          </cell>
          <cell r="U2023" t="str">
            <v>JAVIER ORLANDO HERNANDEZ RIVERA</v>
          </cell>
        </row>
        <row r="2024">
          <cell r="B2024">
            <v>20115805</v>
          </cell>
          <cell r="U2024" t="str">
            <v>CATALINA PACHECO BURGOS</v>
          </cell>
        </row>
        <row r="2025">
          <cell r="B2025">
            <v>20115811</v>
          </cell>
          <cell r="U2025" t="str">
            <v>HEIDY LORENA PRIETO AHUMADA</v>
          </cell>
        </row>
        <row r="2026">
          <cell r="B2026">
            <v>20115812</v>
          </cell>
          <cell r="U2026" t="str">
            <v/>
          </cell>
        </row>
        <row r="2027">
          <cell r="B2027">
            <v>20115817</v>
          </cell>
          <cell r="U2027" t="str">
            <v>JAVIER ORLANDO HERNANDEZ RIVERA</v>
          </cell>
        </row>
        <row r="2028">
          <cell r="B2028">
            <v>20115829</v>
          </cell>
          <cell r="U2028" t="str">
            <v>CATALINA PACHECO BURGOS</v>
          </cell>
        </row>
        <row r="2029">
          <cell r="B2029">
            <v>20115841</v>
          </cell>
          <cell r="U2029" t="str">
            <v>FABIAN CONCHA</v>
          </cell>
        </row>
        <row r="2030">
          <cell r="B2030">
            <v>20115845</v>
          </cell>
          <cell r="U2030" t="str">
            <v>NELSON JAVIER MORERA RINCON</v>
          </cell>
        </row>
        <row r="2031">
          <cell r="B2031">
            <v>20115846</v>
          </cell>
          <cell r="U2031" t="str">
            <v>MARSHIA MILENA JIMéNEZ GóMEZ</v>
          </cell>
        </row>
        <row r="2032">
          <cell r="B2032">
            <v>20115847</v>
          </cell>
          <cell r="U2032" t="str">
            <v>FABIAN CONCHA</v>
          </cell>
        </row>
        <row r="2033">
          <cell r="B2033">
            <v>20115850</v>
          </cell>
          <cell r="U2033" t="str">
            <v>NELSON JAVIER MORERA RINCON</v>
          </cell>
        </row>
        <row r="2034">
          <cell r="B2034">
            <v>20115853</v>
          </cell>
          <cell r="U2034" t="str">
            <v>NELSON JAVIER MORERA RINCON</v>
          </cell>
        </row>
        <row r="2035">
          <cell r="B2035">
            <v>20115855</v>
          </cell>
          <cell r="U2035" t="str">
            <v>NELSON JAVIER MORERA RINCON</v>
          </cell>
        </row>
        <row r="2036">
          <cell r="B2036">
            <v>20115859</v>
          </cell>
          <cell r="U2036" t="str">
            <v>PAOLA ANDREA CALDERON CETINA</v>
          </cell>
        </row>
        <row r="2037">
          <cell r="B2037">
            <v>20115861</v>
          </cell>
          <cell r="U2037" t="str">
            <v>IVONNE JINETH RODRIGUEZ ROJAS</v>
          </cell>
        </row>
        <row r="2038">
          <cell r="B2038">
            <v>20115869</v>
          </cell>
          <cell r="U2038" t="str">
            <v>HEIDY LORENA PRIETO AHUMADA</v>
          </cell>
        </row>
        <row r="2039">
          <cell r="B2039">
            <v>20115873</v>
          </cell>
          <cell r="U2039" t="str">
            <v>NELSON JAVIER MORERA RINCON</v>
          </cell>
        </row>
        <row r="2040">
          <cell r="B2040">
            <v>20115878</v>
          </cell>
          <cell r="U2040" t="str">
            <v>FABIAN CONCHA</v>
          </cell>
        </row>
        <row r="2041">
          <cell r="B2041">
            <v>20115880</v>
          </cell>
          <cell r="U2041" t="str">
            <v>NELSON JAVIER MORERA RINCON</v>
          </cell>
        </row>
        <row r="2042">
          <cell r="B2042">
            <v>20115882</v>
          </cell>
          <cell r="U2042" t="str">
            <v>PAOLA ANDREA CALDERON CETINA</v>
          </cell>
        </row>
        <row r="2043">
          <cell r="B2043">
            <v>20115893</v>
          </cell>
          <cell r="U2043" t="str">
            <v>NELSON JAVIER MORERA RINCON</v>
          </cell>
        </row>
        <row r="2044">
          <cell r="B2044">
            <v>20115894</v>
          </cell>
          <cell r="U2044" t="str">
            <v>IVONNE JINETH RODRIGUEZ ROJAS</v>
          </cell>
        </row>
        <row r="2045">
          <cell r="B2045">
            <v>20115897</v>
          </cell>
          <cell r="U2045" t="str">
            <v>IVONNE JINETH RODRIGUEZ ROJAS</v>
          </cell>
        </row>
        <row r="2046">
          <cell r="B2046">
            <v>20115902</v>
          </cell>
          <cell r="U2046" t="str">
            <v>HEIDY LORENA PRIETO AHUMADA</v>
          </cell>
        </row>
        <row r="2047">
          <cell r="B2047">
            <v>20115913</v>
          </cell>
          <cell r="U2047" t="str">
            <v>GINA PAOLA MEDINA FLOREZ</v>
          </cell>
        </row>
        <row r="2048">
          <cell r="B2048">
            <v>20115928</v>
          </cell>
          <cell r="U2048" t="str">
            <v>PAOLA ANDREA CALDERON CETINA</v>
          </cell>
        </row>
        <row r="2049">
          <cell r="B2049">
            <v>20115933</v>
          </cell>
          <cell r="U2049" t="str">
            <v>PAOLA ANDREA CALDERON CETINA</v>
          </cell>
        </row>
        <row r="2050">
          <cell r="B2050">
            <v>20115948</v>
          </cell>
          <cell r="U2050" t="str">
            <v>IVONNE JINETH RODRIGUEZ ROJAS</v>
          </cell>
        </row>
        <row r="2051">
          <cell r="B2051">
            <v>20115953</v>
          </cell>
          <cell r="U2051" t="str">
            <v>FABIAN CONCHA</v>
          </cell>
        </row>
        <row r="2052">
          <cell r="B2052">
            <v>20115974</v>
          </cell>
          <cell r="U2052" t="str">
            <v>JEISSON FABIAN MOLINA CIRO</v>
          </cell>
        </row>
        <row r="2053">
          <cell r="B2053">
            <v>20115975</v>
          </cell>
          <cell r="U2053" t="str">
            <v>FABIAN CONCHA</v>
          </cell>
        </row>
        <row r="2054">
          <cell r="B2054">
            <v>20115977</v>
          </cell>
          <cell r="U2054" t="str">
            <v>HEIDY LORENA PRIETO AHUMADA</v>
          </cell>
        </row>
        <row r="2055">
          <cell r="B2055">
            <v>20115990</v>
          </cell>
          <cell r="U2055" t="str">
            <v>JEISSON FABIAN MOLINA CIRO</v>
          </cell>
        </row>
        <row r="2056">
          <cell r="B2056">
            <v>20115994</v>
          </cell>
          <cell r="U2056" t="str">
            <v>NELSON JAVIER MORERA RINCON</v>
          </cell>
        </row>
        <row r="2057">
          <cell r="B2057">
            <v>20115995</v>
          </cell>
          <cell r="U2057" t="str">
            <v>HEIDY LORENA PRIETO AHUMADA</v>
          </cell>
        </row>
        <row r="2058">
          <cell r="B2058">
            <v>20115998</v>
          </cell>
          <cell r="U2058" t="str">
            <v>CATALINA PACHECO BURGOS</v>
          </cell>
        </row>
        <row r="2059">
          <cell r="B2059">
            <v>20116003</v>
          </cell>
          <cell r="U2059" t="str">
            <v>MARSHIA MILENA JIMéNEZ GóMEZ</v>
          </cell>
        </row>
        <row r="2060">
          <cell r="B2060">
            <v>20116006</v>
          </cell>
          <cell r="U2060" t="str">
            <v>HEIDY LORENA PRIETO AHUMADA</v>
          </cell>
        </row>
        <row r="2061">
          <cell r="B2061">
            <v>20116007</v>
          </cell>
          <cell r="U2061" t="str">
            <v>FABIAN CONCHA</v>
          </cell>
        </row>
        <row r="2062">
          <cell r="B2062">
            <v>20116011</v>
          </cell>
          <cell r="U2062" t="str">
            <v>ANGIE LIZETH GARZON GARCIA</v>
          </cell>
        </row>
        <row r="2063">
          <cell r="B2063">
            <v>20116012</v>
          </cell>
          <cell r="U2063" t="str">
            <v>MARSHIA MILENA JIMéNEZ GóMEZ</v>
          </cell>
        </row>
        <row r="2064">
          <cell r="B2064">
            <v>20116016</v>
          </cell>
          <cell r="U2064" t="str">
            <v>NELSON JAVIER MORERA RINCON</v>
          </cell>
        </row>
        <row r="2065">
          <cell r="B2065">
            <v>20116018</v>
          </cell>
          <cell r="U2065" t="str">
            <v>IVONNE JINETH RODRIGUEZ ROJAS</v>
          </cell>
        </row>
        <row r="2066">
          <cell r="B2066">
            <v>20116020</v>
          </cell>
          <cell r="U2066" t="str">
            <v>JAVIER ORLANDO HERNANDEZ RIVERA</v>
          </cell>
        </row>
        <row r="2067">
          <cell r="B2067">
            <v>20116021</v>
          </cell>
          <cell r="U2067" t="str">
            <v>ANGIE LIZETH GARZON GARCIA</v>
          </cell>
        </row>
        <row r="2068">
          <cell r="B2068">
            <v>20116025</v>
          </cell>
          <cell r="U2068" t="str">
            <v>MARSHIA MILENA JIMéNEZ GóMEZ</v>
          </cell>
        </row>
        <row r="2069">
          <cell r="B2069">
            <v>20116027</v>
          </cell>
          <cell r="U2069" t="str">
            <v>IVONNE JINETH RODRIGUEZ ROJAS</v>
          </cell>
        </row>
        <row r="2070">
          <cell r="B2070">
            <v>20116032</v>
          </cell>
          <cell r="U2070" t="str">
            <v>IVONNE JINETH RODRIGUEZ ROJAS</v>
          </cell>
        </row>
        <row r="2071">
          <cell r="B2071">
            <v>20116034</v>
          </cell>
          <cell r="U2071" t="str">
            <v>IVONNE JINETH RODRIGUEZ ROJAS</v>
          </cell>
        </row>
        <row r="2072">
          <cell r="B2072">
            <v>20116035</v>
          </cell>
          <cell r="U2072" t="str">
            <v>JEISSON FABIAN MOLINA CIRO</v>
          </cell>
        </row>
        <row r="2073">
          <cell r="B2073">
            <v>20116038</v>
          </cell>
          <cell r="U2073" t="str">
            <v>JEISSON FABIAN MOLINA CIRO</v>
          </cell>
        </row>
        <row r="2074">
          <cell r="B2074">
            <v>20116039</v>
          </cell>
          <cell r="U2074" t="str">
            <v>JEISSON FABIAN MOLINA CIRO</v>
          </cell>
        </row>
        <row r="2075">
          <cell r="B2075">
            <v>20116047</v>
          </cell>
          <cell r="U2075" t="str">
            <v>GINA PAOLA MEDINA FLOREZ</v>
          </cell>
        </row>
        <row r="2076">
          <cell r="B2076">
            <v>20116049</v>
          </cell>
          <cell r="U2076" t="str">
            <v>FABIAN CONCHA</v>
          </cell>
        </row>
        <row r="2077">
          <cell r="B2077">
            <v>20116057</v>
          </cell>
          <cell r="U2077" t="str">
            <v>PAOLA ANDREA CALDERON CETINA</v>
          </cell>
        </row>
        <row r="2078">
          <cell r="B2078">
            <v>20116069</v>
          </cell>
          <cell r="U2078" t="str">
            <v>GINA PAOLA MEDINA FLOREZ</v>
          </cell>
        </row>
        <row r="2079">
          <cell r="B2079">
            <v>20116070</v>
          </cell>
          <cell r="U2079" t="str">
            <v>NELSON JAVIER MORERA RINCON</v>
          </cell>
        </row>
        <row r="2080">
          <cell r="B2080">
            <v>20116079</v>
          </cell>
          <cell r="U2080" t="str">
            <v>ANGIE LIZETH GARZON GARCIA</v>
          </cell>
        </row>
        <row r="2081">
          <cell r="B2081">
            <v>20116084</v>
          </cell>
          <cell r="U2081" t="str">
            <v>NELSON JAVIER MORERA RINCON</v>
          </cell>
        </row>
        <row r="2082">
          <cell r="B2082">
            <v>20116088</v>
          </cell>
          <cell r="U2082" t="str">
            <v>JOHAN SEBASTIAN PARDEYN AGUILAR</v>
          </cell>
        </row>
        <row r="2083">
          <cell r="B2083">
            <v>20116096</v>
          </cell>
          <cell r="U2083" t="str">
            <v>FABIAN CONCHA</v>
          </cell>
        </row>
        <row r="2084">
          <cell r="B2084">
            <v>20116098</v>
          </cell>
          <cell r="U2084" t="str">
            <v>PAOLA ANDREA CALDERON CETINA</v>
          </cell>
        </row>
        <row r="2085">
          <cell r="B2085">
            <v>20116099</v>
          </cell>
          <cell r="U2085" t="str">
            <v>IVONNE JINETH RODRIGUEZ ROJAS</v>
          </cell>
        </row>
        <row r="2086">
          <cell r="B2086">
            <v>20116100</v>
          </cell>
          <cell r="U2086" t="str">
            <v>NELSON JAVIER MORERA RINCON</v>
          </cell>
        </row>
        <row r="2087">
          <cell r="B2087">
            <v>20116105</v>
          </cell>
          <cell r="U2087" t="str">
            <v>NELSON JAVIER MORERA RINCON</v>
          </cell>
        </row>
        <row r="2088">
          <cell r="B2088">
            <v>20116115</v>
          </cell>
          <cell r="U2088" t="str">
            <v>IVONNE JINETH RODRIGUEZ ROJAS</v>
          </cell>
        </row>
        <row r="2089">
          <cell r="B2089">
            <v>20116117</v>
          </cell>
          <cell r="U2089" t="str">
            <v>FABIAN CONCHA</v>
          </cell>
        </row>
        <row r="2090">
          <cell r="B2090">
            <v>20116121</v>
          </cell>
          <cell r="U2090" t="str">
            <v>GINA PAOLA MEDINA FLOREZ</v>
          </cell>
        </row>
        <row r="2091">
          <cell r="B2091">
            <v>20116125</v>
          </cell>
          <cell r="U2091" t="str">
            <v>IVONNE JINETH RODRIGUEZ ROJAS</v>
          </cell>
        </row>
        <row r="2092">
          <cell r="B2092">
            <v>20116131</v>
          </cell>
          <cell r="U2092" t="str">
            <v>FABIAN CONCHA</v>
          </cell>
        </row>
        <row r="2093">
          <cell r="B2093">
            <v>20116139</v>
          </cell>
          <cell r="U2093" t="str">
            <v>PAOLA ANDREA CALDERON CETINA</v>
          </cell>
        </row>
        <row r="2094">
          <cell r="B2094">
            <v>20116151</v>
          </cell>
          <cell r="U2094" t="str">
            <v>JOHAN SEBASTIAN PARDEYN AGUILAR</v>
          </cell>
        </row>
        <row r="2095">
          <cell r="B2095">
            <v>20116155</v>
          </cell>
          <cell r="U2095" t="str">
            <v>CATALINA PACHECO BURGOS</v>
          </cell>
        </row>
        <row r="2096">
          <cell r="B2096">
            <v>20116157</v>
          </cell>
          <cell r="U2096" t="str">
            <v>ANGIE LIZETH GARZON GARCIA</v>
          </cell>
        </row>
        <row r="2097">
          <cell r="B2097">
            <v>20116160</v>
          </cell>
          <cell r="U2097" t="str">
            <v>IVONNE JINETH RODRIGUEZ ROJAS</v>
          </cell>
        </row>
        <row r="2098">
          <cell r="B2098">
            <v>20116166</v>
          </cell>
          <cell r="U2098" t="str">
            <v>NELSON JAVIER MORERA RINCON</v>
          </cell>
        </row>
        <row r="2099">
          <cell r="B2099">
            <v>20116168</v>
          </cell>
          <cell r="U2099" t="str">
            <v>MARSHIA MILENA JIMéNEZ GóMEZ</v>
          </cell>
        </row>
        <row r="2100">
          <cell r="B2100">
            <v>20116171</v>
          </cell>
          <cell r="U2100" t="str">
            <v>HEIDY LORENA PRIETO AHUMADA</v>
          </cell>
        </row>
        <row r="2101">
          <cell r="B2101">
            <v>20116181</v>
          </cell>
          <cell r="U2101" t="str">
            <v>JEISSON FABIAN MOLINA CIRO</v>
          </cell>
        </row>
        <row r="2102">
          <cell r="B2102">
            <v>20116185</v>
          </cell>
          <cell r="U2102" t="str">
            <v>FABIAN CONCHA</v>
          </cell>
        </row>
        <row r="2103">
          <cell r="B2103">
            <v>20116189</v>
          </cell>
          <cell r="U2103" t="str">
            <v>IVONNE JINETH RODRIGUEZ ROJAS</v>
          </cell>
        </row>
        <row r="2104">
          <cell r="B2104">
            <v>20116190</v>
          </cell>
          <cell r="U2104" t="str">
            <v>IVONNE JINETH RODRIGUEZ ROJAS</v>
          </cell>
        </row>
        <row r="2105">
          <cell r="B2105">
            <v>20116192</v>
          </cell>
          <cell r="U2105" t="str">
            <v>FABIAN CONCHA</v>
          </cell>
        </row>
        <row r="2106">
          <cell r="B2106">
            <v>20116197</v>
          </cell>
          <cell r="U2106" t="str">
            <v>JOVANNY ALEXANDER BENAVIDES APRAEZ</v>
          </cell>
        </row>
        <row r="2107">
          <cell r="B2107">
            <v>20116214</v>
          </cell>
          <cell r="U2107" t="str">
            <v>GINA PAOLA MEDINA FLOREZ</v>
          </cell>
        </row>
        <row r="2108">
          <cell r="B2108">
            <v>20116219</v>
          </cell>
          <cell r="U2108" t="str">
            <v>FABIAN CONCHA</v>
          </cell>
        </row>
        <row r="2109">
          <cell r="B2109">
            <v>20116221</v>
          </cell>
          <cell r="U2109" t="str">
            <v>HEIDY LORENA PRIETO AHUMADA</v>
          </cell>
        </row>
        <row r="2110">
          <cell r="B2110">
            <v>20116224</v>
          </cell>
          <cell r="U2110" t="str">
            <v>IVONNE JINETH RODRIGUEZ ROJAS</v>
          </cell>
        </row>
        <row r="2111">
          <cell r="B2111">
            <v>20116228</v>
          </cell>
          <cell r="U2111" t="str">
            <v>PAOLA ANDREA CALDERON CETINA</v>
          </cell>
        </row>
        <row r="2112">
          <cell r="B2112">
            <v>20116232</v>
          </cell>
          <cell r="U2112" t="str">
            <v>IVONNE JINETH RODRIGUEZ ROJAS</v>
          </cell>
        </row>
        <row r="2113">
          <cell r="B2113">
            <v>20116246</v>
          </cell>
          <cell r="U2113" t="str">
            <v>IVONNE JINETH RODRIGUEZ ROJAS</v>
          </cell>
        </row>
        <row r="2114">
          <cell r="B2114">
            <v>20116247</v>
          </cell>
          <cell r="U2114" t="str">
            <v>PAOLA ANDREA CALDERON CETINA</v>
          </cell>
        </row>
        <row r="2115">
          <cell r="B2115">
            <v>20116257</v>
          </cell>
          <cell r="U2115" t="str">
            <v>IVONNE JINETH RODRIGUEZ ROJAS</v>
          </cell>
        </row>
        <row r="2116">
          <cell r="B2116">
            <v>20116258</v>
          </cell>
          <cell r="U2116" t="str">
            <v>FABIAN CONCHA</v>
          </cell>
        </row>
        <row r="2117">
          <cell r="B2117">
            <v>20116269</v>
          </cell>
          <cell r="U2117" t="str">
            <v>PAOLA ANDREA CALDERON CETINA</v>
          </cell>
        </row>
        <row r="2118">
          <cell r="B2118">
            <v>20116271</v>
          </cell>
          <cell r="U2118" t="str">
            <v>IVONNE JINETH RODRIGUEZ ROJAS</v>
          </cell>
        </row>
        <row r="2119">
          <cell r="B2119">
            <v>20116281</v>
          </cell>
          <cell r="U2119" t="str">
            <v>IVONNE JINETH RODRIGUEZ ROJAS</v>
          </cell>
        </row>
        <row r="2120">
          <cell r="B2120">
            <v>20116283</v>
          </cell>
          <cell r="U2120" t="str">
            <v>MARSHIA MILENA JIMéNEZ GóMEZ</v>
          </cell>
        </row>
        <row r="2121">
          <cell r="B2121">
            <v>20116285</v>
          </cell>
          <cell r="U2121" t="str">
            <v>NELSON JAVIER MORERA RINCON</v>
          </cell>
        </row>
        <row r="2122">
          <cell r="B2122">
            <v>20116286</v>
          </cell>
          <cell r="U2122" t="str">
            <v>JEISSON FABIAN MOLINA CIRO</v>
          </cell>
        </row>
        <row r="2123">
          <cell r="B2123">
            <v>20116288</v>
          </cell>
          <cell r="U2123" t="str">
            <v>HEIDY LORENA PRIETO AHUMADA</v>
          </cell>
        </row>
        <row r="2124">
          <cell r="B2124">
            <v>20116292</v>
          </cell>
          <cell r="U2124" t="str">
            <v>FABIAN CONCHA</v>
          </cell>
        </row>
        <row r="2125">
          <cell r="B2125">
            <v>20116295</v>
          </cell>
          <cell r="U2125" t="str">
            <v>IVONNE JINETH RODRIGUEZ ROJAS</v>
          </cell>
        </row>
        <row r="2126">
          <cell r="B2126">
            <v>20116297</v>
          </cell>
          <cell r="U2126" t="str">
            <v>IVONNE JINETH RODRIGUEZ ROJAS</v>
          </cell>
        </row>
        <row r="2127">
          <cell r="B2127">
            <v>20116308</v>
          </cell>
          <cell r="U2127" t="str">
            <v>NELSON JAVIER MORERA RINCON</v>
          </cell>
        </row>
        <row r="2128">
          <cell r="B2128">
            <v>20116309</v>
          </cell>
          <cell r="U2128" t="str">
            <v>HEIDY LORENA PRIETO AHUMADA</v>
          </cell>
        </row>
        <row r="2129">
          <cell r="B2129">
            <v>20116323</v>
          </cell>
          <cell r="U2129" t="str">
            <v>FABIAN CONCHA</v>
          </cell>
        </row>
        <row r="2130">
          <cell r="B2130">
            <v>20116328</v>
          </cell>
          <cell r="U2130" t="str">
            <v>FABIAN CONCHA</v>
          </cell>
        </row>
        <row r="2131">
          <cell r="B2131">
            <v>20116329</v>
          </cell>
          <cell r="U2131" t="str">
            <v/>
          </cell>
        </row>
        <row r="2132">
          <cell r="B2132">
            <v>20116331</v>
          </cell>
          <cell r="U2132" t="str">
            <v>IVONNE JINETH RODRIGUEZ ROJAS</v>
          </cell>
        </row>
        <row r="2133">
          <cell r="B2133">
            <v>20116334</v>
          </cell>
          <cell r="U2133" t="str">
            <v>IVONNE JINETH RODRIGUEZ ROJAS</v>
          </cell>
        </row>
        <row r="2134">
          <cell r="B2134">
            <v>20116342</v>
          </cell>
          <cell r="U2134" t="str">
            <v>FABIAN CONCHA</v>
          </cell>
        </row>
        <row r="2135">
          <cell r="B2135">
            <v>20116343</v>
          </cell>
          <cell r="U2135" t="str">
            <v>FABIAN CONCHA</v>
          </cell>
        </row>
        <row r="2136">
          <cell r="B2136">
            <v>20116345</v>
          </cell>
          <cell r="U2136" t="str">
            <v>HEIDY LORENA PRIETO AHUMADA</v>
          </cell>
        </row>
        <row r="2137">
          <cell r="B2137">
            <v>20116347</v>
          </cell>
          <cell r="U2137" t="str">
            <v>IVONNE JINETH RODRIGUEZ ROJAS</v>
          </cell>
        </row>
        <row r="2138">
          <cell r="B2138">
            <v>20116348</v>
          </cell>
          <cell r="U2138" t="str">
            <v>FABIAN CONCHA</v>
          </cell>
        </row>
        <row r="2139">
          <cell r="B2139">
            <v>20116352</v>
          </cell>
          <cell r="U2139" t="str">
            <v>IVONNE JINETH RODRIGUEZ ROJAS</v>
          </cell>
        </row>
        <row r="2140">
          <cell r="B2140">
            <v>20116354</v>
          </cell>
          <cell r="U2140" t="str">
            <v>PAOLA ANDREA CALDERON CETINA</v>
          </cell>
        </row>
        <row r="2141">
          <cell r="B2141">
            <v>20116360</v>
          </cell>
          <cell r="U2141" t="str">
            <v>NELSON JAVIER MORERA RINCON</v>
          </cell>
        </row>
        <row r="2142">
          <cell r="B2142">
            <v>20116362</v>
          </cell>
          <cell r="U2142" t="str">
            <v>PAOLA ANDREA CALDERON CETINA</v>
          </cell>
        </row>
        <row r="2143">
          <cell r="B2143">
            <v>20116364</v>
          </cell>
          <cell r="U2143" t="str">
            <v>JAVIER ORLANDO HERNANDEZ RIVERA</v>
          </cell>
        </row>
        <row r="2144">
          <cell r="B2144">
            <v>20116367</v>
          </cell>
          <cell r="U2144" t="str">
            <v>IVONNE JINETH RODRIGUEZ ROJAS</v>
          </cell>
        </row>
        <row r="2145">
          <cell r="B2145">
            <v>20116368</v>
          </cell>
          <cell r="U2145" t="str">
            <v>IVONNE JINETH RODRIGUEZ ROJAS</v>
          </cell>
        </row>
        <row r="2146">
          <cell r="B2146">
            <v>20116370</v>
          </cell>
          <cell r="U2146" t="str">
            <v>JOHAN SEBASTIAN PARDEYN AGUILAR</v>
          </cell>
        </row>
        <row r="2147">
          <cell r="B2147">
            <v>20116374</v>
          </cell>
          <cell r="U2147" t="str">
            <v>PAOLA ANDREA CALDERON CETINA</v>
          </cell>
        </row>
        <row r="2148">
          <cell r="B2148">
            <v>20116380</v>
          </cell>
          <cell r="U2148" t="str">
            <v>JAVIER ORLANDO HERNANDEZ RIVERA</v>
          </cell>
        </row>
        <row r="2149">
          <cell r="B2149">
            <v>20116387</v>
          </cell>
          <cell r="U2149" t="str">
            <v>FABIAN CONCHA</v>
          </cell>
        </row>
        <row r="2150">
          <cell r="B2150">
            <v>20116412</v>
          </cell>
          <cell r="U2150" t="str">
            <v>FABIAN CONCHA</v>
          </cell>
        </row>
        <row r="2151">
          <cell r="B2151">
            <v>20116416</v>
          </cell>
          <cell r="U2151" t="str">
            <v>IVONNE JINETH RODRIGUEZ ROJAS</v>
          </cell>
        </row>
        <row r="2152">
          <cell r="B2152">
            <v>20116417</v>
          </cell>
          <cell r="U2152" t="str">
            <v>NELSON JAVIER MORERA RINCON</v>
          </cell>
        </row>
        <row r="2153">
          <cell r="B2153">
            <v>20116418</v>
          </cell>
          <cell r="U2153" t="str">
            <v>MARSHIA MILENA JIMéNEZ GóMEZ</v>
          </cell>
        </row>
        <row r="2154">
          <cell r="B2154">
            <v>20116449</v>
          </cell>
          <cell r="U2154" t="str">
            <v>IVONNE JINETH RODRIGUEZ ROJAS</v>
          </cell>
        </row>
        <row r="2155">
          <cell r="B2155">
            <v>20116461</v>
          </cell>
          <cell r="U2155" t="str">
            <v>JEISSON FABIAN MOLINA CIRO</v>
          </cell>
        </row>
        <row r="2156">
          <cell r="B2156">
            <v>20116470</v>
          </cell>
          <cell r="U2156" t="str">
            <v>NELSON JAVIER MORERA RINCON</v>
          </cell>
        </row>
        <row r="2157">
          <cell r="B2157">
            <v>20116492</v>
          </cell>
          <cell r="U2157" t="str">
            <v>NELSON JAVIER MORERA RINCON</v>
          </cell>
        </row>
        <row r="2158">
          <cell r="B2158">
            <v>20116495</v>
          </cell>
          <cell r="U2158" t="str">
            <v>MARSHIA MILENA JIMéNEZ GóMEZ</v>
          </cell>
        </row>
        <row r="2159">
          <cell r="B2159">
            <v>20116502</v>
          </cell>
          <cell r="U2159" t="str">
            <v>IVONNE JINETH RODRIGUEZ ROJAS</v>
          </cell>
        </row>
        <row r="2160">
          <cell r="B2160">
            <v>20116525</v>
          </cell>
          <cell r="U2160" t="str">
            <v>CATALINA PACHECO BURGOS</v>
          </cell>
        </row>
        <row r="2161">
          <cell r="B2161">
            <v>20116526</v>
          </cell>
          <cell r="U2161" t="str">
            <v>JOHAN SEBASTIAN PARDEYN AGUILAR</v>
          </cell>
        </row>
        <row r="2162">
          <cell r="B2162">
            <v>20116550</v>
          </cell>
          <cell r="U2162" t="str">
            <v>FABIAN CONCHA</v>
          </cell>
        </row>
        <row r="2163">
          <cell r="B2163">
            <v>20116551</v>
          </cell>
          <cell r="U2163" t="str">
            <v>NELSON JAVIER MORERA RINCON</v>
          </cell>
        </row>
        <row r="2164">
          <cell r="B2164">
            <v>20116559</v>
          </cell>
          <cell r="U2164" t="str">
            <v>MARSHIA MILENA JIMéNEZ GóMEZ</v>
          </cell>
        </row>
        <row r="2165">
          <cell r="B2165">
            <v>20116566</v>
          </cell>
          <cell r="U2165" t="str">
            <v>NELSON JAVIER MORERA RINCON</v>
          </cell>
        </row>
        <row r="2166">
          <cell r="B2166">
            <v>20116569</v>
          </cell>
          <cell r="U2166" t="str">
            <v>PAOLA ANDREA CALDERON CETINA</v>
          </cell>
        </row>
        <row r="2167">
          <cell r="B2167">
            <v>20116571</v>
          </cell>
          <cell r="U2167" t="str">
            <v>IVONNE JINETH RODRIGUEZ ROJAS</v>
          </cell>
        </row>
        <row r="2168">
          <cell r="B2168">
            <v>20116576</v>
          </cell>
          <cell r="U2168" t="str">
            <v>HEIDY LORENA PRIETO AHUMADA</v>
          </cell>
        </row>
        <row r="2169">
          <cell r="B2169">
            <v>20116602</v>
          </cell>
          <cell r="U2169" t="str">
            <v>JOHAN SEBASTIAN PARDEYN AGUILAR</v>
          </cell>
        </row>
        <row r="2170">
          <cell r="B2170">
            <v>20116606</v>
          </cell>
          <cell r="U2170" t="str">
            <v>NELSON JAVIER MORERA RINCON</v>
          </cell>
        </row>
        <row r="2171">
          <cell r="B2171">
            <v>20116608</v>
          </cell>
          <cell r="U2171" t="str">
            <v>FABIAN CONCHA</v>
          </cell>
        </row>
        <row r="2172">
          <cell r="B2172">
            <v>20116609</v>
          </cell>
          <cell r="U2172" t="str">
            <v>HEIDY LORENA PRIETO AHUMADA</v>
          </cell>
        </row>
        <row r="2173">
          <cell r="B2173">
            <v>20116613</v>
          </cell>
          <cell r="U2173" t="str">
            <v>JAVIER ORLANDO HERNANDEZ RIVERA</v>
          </cell>
        </row>
        <row r="2174">
          <cell r="B2174">
            <v>20116629</v>
          </cell>
          <cell r="U2174" t="str">
            <v>MARSHIA MILENA JIMéNEZ GóMEZ</v>
          </cell>
        </row>
        <row r="2175">
          <cell r="B2175">
            <v>20116652</v>
          </cell>
          <cell r="U2175" t="str">
            <v>PAOLA ANDREA CALDERON CETINA</v>
          </cell>
        </row>
        <row r="2176">
          <cell r="B2176">
            <v>20116663</v>
          </cell>
          <cell r="U2176" t="str">
            <v>NELSON JAVIER MORERA RINCON</v>
          </cell>
        </row>
        <row r="2177">
          <cell r="B2177">
            <v>20116670</v>
          </cell>
          <cell r="U2177" t="str">
            <v>FABIAN CONCHA</v>
          </cell>
        </row>
        <row r="2178">
          <cell r="B2178">
            <v>20116679</v>
          </cell>
          <cell r="U2178" t="str">
            <v>IVONNE JINETH RODRIGUEZ ROJAS</v>
          </cell>
        </row>
        <row r="2179">
          <cell r="B2179">
            <v>20116684</v>
          </cell>
          <cell r="U2179" t="str">
            <v>IVONNE JINETH RODRIGUEZ ROJAS</v>
          </cell>
        </row>
        <row r="2180">
          <cell r="B2180">
            <v>20116686</v>
          </cell>
          <cell r="U2180" t="str">
            <v>IVONNE JINETH RODRIGUEZ ROJAS</v>
          </cell>
        </row>
        <row r="2181">
          <cell r="B2181">
            <v>20116699</v>
          </cell>
          <cell r="U2181" t="str">
            <v>HEIDY LORENA PRIETO AHUMADA</v>
          </cell>
        </row>
        <row r="2182">
          <cell r="B2182">
            <v>20116723</v>
          </cell>
          <cell r="U2182" t="str">
            <v>MARSHIA MILENA JIMéNEZ GóMEZ</v>
          </cell>
        </row>
        <row r="2183">
          <cell r="B2183">
            <v>20116724</v>
          </cell>
          <cell r="U2183" t="str">
            <v>IVONNE JINETH RODRIGUEZ ROJAS</v>
          </cell>
        </row>
        <row r="2184">
          <cell r="B2184">
            <v>20116735</v>
          </cell>
          <cell r="U2184" t="str">
            <v>IVONNE JINETH RODRIGUEZ ROJAS</v>
          </cell>
        </row>
        <row r="2185">
          <cell r="B2185">
            <v>20116739</v>
          </cell>
          <cell r="U2185" t="str">
            <v>JAVIER ORLANDO HERNANDEZ RIVERA</v>
          </cell>
        </row>
        <row r="2186">
          <cell r="B2186">
            <v>20116752</v>
          </cell>
          <cell r="U2186" t="str">
            <v>HEIDY LORENA PRIETO AHUMADA</v>
          </cell>
        </row>
        <row r="2187">
          <cell r="B2187">
            <v>20116754</v>
          </cell>
          <cell r="U2187" t="str">
            <v>IVONNE JINETH RODRIGUEZ ROJAS</v>
          </cell>
        </row>
        <row r="2188">
          <cell r="B2188">
            <v>20116756</v>
          </cell>
          <cell r="U2188" t="str">
            <v>MARSHIA MILENA JIMéNEZ GóMEZ</v>
          </cell>
        </row>
        <row r="2189">
          <cell r="B2189">
            <v>20116771</v>
          </cell>
          <cell r="U2189" t="str">
            <v>CATALINA PACHECO BURGOS</v>
          </cell>
        </row>
        <row r="2190">
          <cell r="B2190">
            <v>20116781</v>
          </cell>
          <cell r="U2190" t="str">
            <v>JEISSON FABIAN MOLINA CIRO</v>
          </cell>
        </row>
        <row r="2191">
          <cell r="B2191">
            <v>20116804</v>
          </cell>
          <cell r="U2191" t="str">
            <v>JOHAN SEBASTIAN PARDEYN AGUILAR</v>
          </cell>
        </row>
        <row r="2192">
          <cell r="B2192">
            <v>20116812</v>
          </cell>
          <cell r="U2192" t="str">
            <v>MARSHIA MILENA JIMéNEZ GóMEZ</v>
          </cell>
        </row>
        <row r="2193">
          <cell r="B2193">
            <v>20116849</v>
          </cell>
          <cell r="U2193" t="str">
            <v>HEIDY LORENA PRIETO AHUMADA</v>
          </cell>
        </row>
        <row r="2194">
          <cell r="B2194">
            <v>20116851</v>
          </cell>
          <cell r="U2194" t="str">
            <v>GINA PAOLA MEDINA FLOREZ</v>
          </cell>
        </row>
        <row r="2195">
          <cell r="B2195">
            <v>20116854</v>
          </cell>
          <cell r="U2195" t="str">
            <v>FABIAN CONCHA</v>
          </cell>
        </row>
        <row r="2196">
          <cell r="B2196">
            <v>20116898</v>
          </cell>
          <cell r="U2196" t="str">
            <v>IVONNE JINETH RODRIGUEZ ROJAS</v>
          </cell>
        </row>
        <row r="2197">
          <cell r="B2197">
            <v>20116902</v>
          </cell>
          <cell r="U2197" t="str">
            <v>JOVANNY ALEXANDER BENAVIDES APRAEZ</v>
          </cell>
        </row>
        <row r="2198">
          <cell r="B2198">
            <v>20116903</v>
          </cell>
          <cell r="U2198" t="str">
            <v>IVONNE JINETH RODRIGUEZ ROJAS</v>
          </cell>
        </row>
        <row r="2199">
          <cell r="B2199">
            <v>20116912</v>
          </cell>
          <cell r="U2199" t="str">
            <v>JEISSON FABIAN MOLINA CIRO</v>
          </cell>
        </row>
        <row r="2200">
          <cell r="B2200">
            <v>20116940</v>
          </cell>
          <cell r="U2200" t="str">
            <v>PAOLA ANDREA CALDERON CETINA</v>
          </cell>
        </row>
        <row r="2201">
          <cell r="B2201">
            <v>20116942</v>
          </cell>
          <cell r="U2201" t="str">
            <v>JAVIER ORLANDO HERNANDEZ RIVERA</v>
          </cell>
        </row>
        <row r="2202">
          <cell r="B2202">
            <v>20116965</v>
          </cell>
          <cell r="U2202" t="str">
            <v>FABIAN CONCHA</v>
          </cell>
        </row>
        <row r="2203">
          <cell r="B2203">
            <v>20116970</v>
          </cell>
          <cell r="U2203" t="str">
            <v>JOVANNY ALEXANDER BENAVIDES APRAEZ</v>
          </cell>
        </row>
        <row r="2204">
          <cell r="B2204">
            <v>20116982</v>
          </cell>
          <cell r="U2204" t="str">
            <v>FABIAN CONCHA</v>
          </cell>
        </row>
        <row r="2205">
          <cell r="B2205">
            <v>20116984</v>
          </cell>
          <cell r="U2205" t="str">
            <v>MARSHIA MILENA JIMéNEZ GóMEZ</v>
          </cell>
        </row>
        <row r="2206">
          <cell r="B2206">
            <v>20116985</v>
          </cell>
          <cell r="U2206" t="str">
            <v>GINA PAOLA MEDINA FLOREZ</v>
          </cell>
        </row>
        <row r="2207">
          <cell r="B2207">
            <v>20116993</v>
          </cell>
          <cell r="U2207" t="str">
            <v>PAOLA ANDREA CALDERON CETINA</v>
          </cell>
        </row>
        <row r="2208">
          <cell r="B2208">
            <v>20116996</v>
          </cell>
          <cell r="U2208" t="str">
            <v>MARSHIA MILENA JIMéNEZ GóMEZ</v>
          </cell>
        </row>
        <row r="2209">
          <cell r="B2209">
            <v>20117002</v>
          </cell>
          <cell r="U2209" t="str">
            <v>IVONNE JINETH RODRIGUEZ ROJAS</v>
          </cell>
        </row>
        <row r="2210">
          <cell r="B2210">
            <v>20117012</v>
          </cell>
          <cell r="U2210" t="str">
            <v>IVONNE JINETH RODRIGUEZ ROJAS</v>
          </cell>
        </row>
        <row r="2211">
          <cell r="B2211">
            <v>20117025</v>
          </cell>
          <cell r="U2211" t="str">
            <v>NELSON JAVIER MORERA RINCON</v>
          </cell>
        </row>
        <row r="2212">
          <cell r="B2212">
            <v>20117032</v>
          </cell>
          <cell r="U2212" t="str">
            <v>FABIAN CONCHA</v>
          </cell>
        </row>
        <row r="2213">
          <cell r="B2213">
            <v>20117037</v>
          </cell>
          <cell r="U2213" t="str">
            <v>IVONNE JINETH RODRIGUEZ ROJAS</v>
          </cell>
        </row>
        <row r="2214">
          <cell r="B2214">
            <v>20117046</v>
          </cell>
          <cell r="U2214" t="str">
            <v>GINA PAOLA MEDINA FLOREZ</v>
          </cell>
        </row>
        <row r="2215">
          <cell r="B2215">
            <v>20117054</v>
          </cell>
          <cell r="U2215" t="str">
            <v>PAOLA ANDREA CALDERON CETINA</v>
          </cell>
        </row>
        <row r="2216">
          <cell r="B2216">
            <v>20117059</v>
          </cell>
          <cell r="U2216" t="str">
            <v>JAVIER ORLANDO HERNANDEZ RIVERA</v>
          </cell>
        </row>
        <row r="2217">
          <cell r="B2217">
            <v>20117063</v>
          </cell>
          <cell r="U2217" t="str">
            <v>IVONNE JINETH RODRIGUEZ ROJAS</v>
          </cell>
        </row>
        <row r="2218">
          <cell r="B2218">
            <v>20117072</v>
          </cell>
          <cell r="U2218" t="str">
            <v>HEIDY LORENA PRIETO AHUMADA</v>
          </cell>
        </row>
        <row r="2219">
          <cell r="B2219">
            <v>20117077</v>
          </cell>
          <cell r="U2219" t="str">
            <v>GINA PAOLA MEDINA FLOREZ</v>
          </cell>
        </row>
        <row r="2220">
          <cell r="B2220">
            <v>20117097</v>
          </cell>
          <cell r="U2220" t="str">
            <v>FABIAN CONCHA</v>
          </cell>
        </row>
        <row r="2221">
          <cell r="B2221">
            <v>20117101</v>
          </cell>
          <cell r="U2221" t="str">
            <v>JAVIER ORLANDO HERNANDEZ RIVERA</v>
          </cell>
        </row>
        <row r="2222">
          <cell r="B2222">
            <v>20117124</v>
          </cell>
          <cell r="U2222" t="str">
            <v>CATALINA PACHECO BURGOS</v>
          </cell>
        </row>
        <row r="2223">
          <cell r="B2223">
            <v>20117127</v>
          </cell>
          <cell r="U2223" t="str">
            <v>FABIAN CONCHA</v>
          </cell>
        </row>
        <row r="2224">
          <cell r="B2224">
            <v>20117130</v>
          </cell>
          <cell r="U2224" t="str">
            <v>JEISSON FABIAN MOLINA CIRO</v>
          </cell>
        </row>
        <row r="2225">
          <cell r="B2225">
            <v>20117144</v>
          </cell>
          <cell r="U2225" t="str">
            <v>IVONNE JINETH RODRIGUEZ ROJAS</v>
          </cell>
        </row>
        <row r="2226">
          <cell r="B2226">
            <v>20117149</v>
          </cell>
          <cell r="U2226" t="str">
            <v>FABIAN CONCHA</v>
          </cell>
        </row>
        <row r="2227">
          <cell r="B2227">
            <v>20117161</v>
          </cell>
          <cell r="U2227" t="str">
            <v>FABIAN CONCHA</v>
          </cell>
        </row>
        <row r="2228">
          <cell r="B2228">
            <v>20117187</v>
          </cell>
          <cell r="U2228" t="str">
            <v>GINA PAOLA MEDINA FLOREZ</v>
          </cell>
        </row>
        <row r="2229">
          <cell r="B2229">
            <v>20117220</v>
          </cell>
          <cell r="U2229" t="str">
            <v>HEIDY LORENA PRIETO AHUMADA</v>
          </cell>
        </row>
        <row r="2230">
          <cell r="B2230">
            <v>20117258</v>
          </cell>
          <cell r="U2230" t="str">
            <v>FABIAN CONCHA</v>
          </cell>
        </row>
        <row r="2231">
          <cell r="B2231">
            <v>20117267</v>
          </cell>
          <cell r="U2231" t="str">
            <v>MARSHIA MILENA JIMéNEZ GóMEZ</v>
          </cell>
        </row>
        <row r="2232">
          <cell r="B2232">
            <v>20117271</v>
          </cell>
          <cell r="U2232" t="str">
            <v>FABIAN CONCHA</v>
          </cell>
        </row>
        <row r="2233">
          <cell r="B2233">
            <v>20117273</v>
          </cell>
          <cell r="U2233" t="str">
            <v>MARSHIA MILENA JIMéNEZ GóMEZ</v>
          </cell>
        </row>
        <row r="2234">
          <cell r="B2234">
            <v>20117277</v>
          </cell>
          <cell r="U2234" t="str">
            <v>NELSON JAVIER MORERA RINCON</v>
          </cell>
        </row>
        <row r="2235">
          <cell r="B2235">
            <v>20117292</v>
          </cell>
          <cell r="U2235" t="str">
            <v>IVONNE JINETH RODRIGUEZ ROJAS</v>
          </cell>
        </row>
        <row r="2236">
          <cell r="B2236">
            <v>20117294</v>
          </cell>
          <cell r="U2236" t="str">
            <v>FABIAN CONCHA</v>
          </cell>
        </row>
        <row r="2237">
          <cell r="B2237">
            <v>20117309</v>
          </cell>
          <cell r="U2237" t="str">
            <v>FABIAN CONCHA</v>
          </cell>
        </row>
        <row r="2238">
          <cell r="B2238">
            <v>20117310</v>
          </cell>
          <cell r="U2238" t="str">
            <v>JAVIER ORLANDO HERNANDEZ RIVERA</v>
          </cell>
        </row>
        <row r="2239">
          <cell r="B2239">
            <v>20117311</v>
          </cell>
          <cell r="U2239" t="str">
            <v>NELSON JAVIER MORERA RINCON</v>
          </cell>
        </row>
        <row r="2240">
          <cell r="B2240">
            <v>20117315</v>
          </cell>
          <cell r="U2240" t="str">
            <v>PAOLA ANDREA CALDERON CETINA</v>
          </cell>
        </row>
        <row r="2241">
          <cell r="B2241">
            <v>20117319</v>
          </cell>
          <cell r="U2241" t="str">
            <v>JEISSON FABIAN MOLINA CIRO</v>
          </cell>
        </row>
        <row r="2242">
          <cell r="B2242">
            <v>20117324</v>
          </cell>
          <cell r="U2242" t="str">
            <v>NELSON JAVIER MORERA RINCON</v>
          </cell>
        </row>
        <row r="2243">
          <cell r="B2243">
            <v>20117325</v>
          </cell>
          <cell r="U2243" t="str">
            <v>CATALINA PACHECO BURGOS</v>
          </cell>
        </row>
        <row r="2244">
          <cell r="B2244">
            <v>20117328</v>
          </cell>
          <cell r="U2244" t="str">
            <v>PAOLA ANDREA CALDERON CETINA</v>
          </cell>
        </row>
        <row r="2245">
          <cell r="B2245">
            <v>20117330</v>
          </cell>
          <cell r="U2245" t="str">
            <v>HEIDY LORENA PRIETO AHUMADA</v>
          </cell>
        </row>
        <row r="2246">
          <cell r="B2246">
            <v>20117331</v>
          </cell>
          <cell r="U2246" t="str">
            <v>MARSHIA MILENA JIMéNEZ GóMEZ</v>
          </cell>
        </row>
        <row r="2247">
          <cell r="B2247">
            <v>20117332</v>
          </cell>
          <cell r="U2247" t="str">
            <v>JOVANNY ALEXANDER BENAVIDES APRAEZ</v>
          </cell>
        </row>
        <row r="2248">
          <cell r="B2248">
            <v>20117338</v>
          </cell>
          <cell r="U2248" t="str">
            <v>IVONNE JINETH RODRIGUEZ ROJAS</v>
          </cell>
        </row>
        <row r="2249">
          <cell r="B2249">
            <v>20117339</v>
          </cell>
          <cell r="U2249" t="str">
            <v>PAOLA ANDREA CALDERON CETINA</v>
          </cell>
        </row>
        <row r="2250">
          <cell r="B2250">
            <v>20117342</v>
          </cell>
          <cell r="U2250" t="str">
            <v>IVONNE JINETH RODRIGUEZ ROJAS</v>
          </cell>
        </row>
        <row r="2251">
          <cell r="B2251">
            <v>20117347</v>
          </cell>
          <cell r="U2251" t="str">
            <v>FABIAN CONCHA</v>
          </cell>
        </row>
        <row r="2252">
          <cell r="B2252">
            <v>20117355</v>
          </cell>
          <cell r="U2252" t="str">
            <v>MARSHIA MILENA JIMéNEZ GóMEZ</v>
          </cell>
        </row>
        <row r="2253">
          <cell r="B2253">
            <v>20117358</v>
          </cell>
          <cell r="U2253" t="str">
            <v/>
          </cell>
        </row>
        <row r="2254">
          <cell r="B2254">
            <v>20117368</v>
          </cell>
          <cell r="U2254" t="str">
            <v>HEIDY LORENA PRIETO AHUMADA</v>
          </cell>
        </row>
        <row r="2255">
          <cell r="B2255">
            <v>20117377</v>
          </cell>
          <cell r="U2255" t="str">
            <v>IVONNE JINETH RODRIGUEZ ROJAS</v>
          </cell>
        </row>
        <row r="2256">
          <cell r="B2256">
            <v>20117379</v>
          </cell>
          <cell r="U2256" t="str">
            <v>JAVIER ORLANDO HERNANDEZ RIVERA</v>
          </cell>
        </row>
        <row r="2257">
          <cell r="B2257">
            <v>20117395</v>
          </cell>
          <cell r="U2257" t="str">
            <v>MARSHIA MILENA JIMéNEZ GóMEZ</v>
          </cell>
        </row>
        <row r="2258">
          <cell r="B2258">
            <v>20117402</v>
          </cell>
          <cell r="U2258" t="str">
            <v>FABIAN CONCHA</v>
          </cell>
        </row>
        <row r="2259">
          <cell r="B2259">
            <v>20117407</v>
          </cell>
          <cell r="U2259" t="str">
            <v>MARSHIA MILENA JIMéNEZ GóMEZ</v>
          </cell>
        </row>
        <row r="2260">
          <cell r="B2260">
            <v>20117414</v>
          </cell>
          <cell r="U2260" t="str">
            <v>JEISSON FABIAN MOLINA CIRO</v>
          </cell>
        </row>
        <row r="2261">
          <cell r="B2261">
            <v>20117419</v>
          </cell>
          <cell r="U2261" t="str">
            <v>NELSON JAVIER MORERA RINCON</v>
          </cell>
        </row>
        <row r="2262">
          <cell r="B2262">
            <v>20117433</v>
          </cell>
          <cell r="U2262" t="str">
            <v>NELSON JAVIER MORERA RINCON</v>
          </cell>
        </row>
        <row r="2263">
          <cell r="B2263">
            <v>20117446</v>
          </cell>
          <cell r="U2263" t="str">
            <v>HEIDY LORENA PRIETO AHUMADA</v>
          </cell>
        </row>
        <row r="2264">
          <cell r="B2264">
            <v>20117451</v>
          </cell>
          <cell r="U2264" t="str">
            <v>IVONNE JINETH RODRIGUEZ ROJAS</v>
          </cell>
        </row>
        <row r="2265">
          <cell r="B2265">
            <v>20117455</v>
          </cell>
          <cell r="U2265" t="str">
            <v>FABIAN CONCHA</v>
          </cell>
        </row>
        <row r="2266">
          <cell r="B2266">
            <v>20117456</v>
          </cell>
          <cell r="U2266" t="str">
            <v>NELSON JAVIER MORERA RINCON</v>
          </cell>
        </row>
        <row r="2267">
          <cell r="B2267">
            <v>20117471</v>
          </cell>
          <cell r="U2267" t="str">
            <v>NELSON JAVIER MORERA RINCON</v>
          </cell>
        </row>
        <row r="2268">
          <cell r="B2268">
            <v>20117483</v>
          </cell>
          <cell r="U2268" t="str">
            <v>MARSHIA MILENA JIMéNEZ GóMEZ</v>
          </cell>
        </row>
        <row r="2269">
          <cell r="B2269">
            <v>20117485</v>
          </cell>
          <cell r="U2269" t="str">
            <v>IVONNE JINETH RODRIGUEZ ROJAS</v>
          </cell>
        </row>
        <row r="2270">
          <cell r="B2270">
            <v>20117492</v>
          </cell>
          <cell r="U2270" t="str">
            <v>GINA PAOLA MEDINA FLOREZ</v>
          </cell>
        </row>
        <row r="2271">
          <cell r="B2271">
            <v>20117515</v>
          </cell>
          <cell r="U2271" t="str">
            <v>FABIAN CONCHA</v>
          </cell>
        </row>
        <row r="2272">
          <cell r="B2272">
            <v>20117516</v>
          </cell>
          <cell r="U2272" t="str">
            <v>CATALINA PACHECO BURGOS</v>
          </cell>
        </row>
        <row r="2273">
          <cell r="B2273">
            <v>20117518</v>
          </cell>
          <cell r="U2273" t="str">
            <v>IVONNE JINETH RODRIGUEZ ROJAS</v>
          </cell>
        </row>
        <row r="2274">
          <cell r="B2274">
            <v>20117547</v>
          </cell>
          <cell r="U2274" t="str">
            <v>MARSHIA MILENA JIMéNEZ GóMEZ</v>
          </cell>
        </row>
        <row r="2275">
          <cell r="B2275">
            <v>20117551</v>
          </cell>
          <cell r="U2275" t="str">
            <v>MARSHIA MILENA JIMéNEZ GóMEZ</v>
          </cell>
        </row>
        <row r="2276">
          <cell r="B2276">
            <v>20117561</v>
          </cell>
          <cell r="U2276" t="str">
            <v>JOVANNY ALEXANDER BENAVIDES APRAEZ</v>
          </cell>
        </row>
        <row r="2277">
          <cell r="B2277">
            <v>20117564</v>
          </cell>
          <cell r="U2277" t="str">
            <v>FABIAN CONCHA</v>
          </cell>
        </row>
        <row r="2278">
          <cell r="B2278">
            <v>20117568</v>
          </cell>
          <cell r="U2278" t="str">
            <v>NELSON JAVIER MORERA RINCON</v>
          </cell>
        </row>
        <row r="2279">
          <cell r="B2279">
            <v>20117570</v>
          </cell>
          <cell r="U2279" t="str">
            <v>FABIAN CONCHA</v>
          </cell>
        </row>
        <row r="2280">
          <cell r="B2280">
            <v>20117575</v>
          </cell>
          <cell r="U2280" t="str">
            <v>IVONNE JINETH RODRIGUEZ ROJAS</v>
          </cell>
        </row>
        <row r="2281">
          <cell r="B2281">
            <v>20117587</v>
          </cell>
          <cell r="U2281" t="str">
            <v>JAVIER ORLANDO HERNANDEZ RIVERA</v>
          </cell>
        </row>
        <row r="2282">
          <cell r="B2282">
            <v>20117591</v>
          </cell>
          <cell r="U2282" t="str">
            <v>NELSON JAVIER MORERA RINCON</v>
          </cell>
        </row>
        <row r="2283">
          <cell r="B2283">
            <v>20117593</v>
          </cell>
          <cell r="U2283" t="str">
            <v>IVONNE JINETH RODRIGUEZ ROJAS</v>
          </cell>
        </row>
        <row r="2284">
          <cell r="B2284">
            <v>20117595</v>
          </cell>
          <cell r="U2284" t="str">
            <v>FABIAN CONCHA</v>
          </cell>
        </row>
        <row r="2285">
          <cell r="B2285">
            <v>20117604</v>
          </cell>
          <cell r="U2285" t="str">
            <v>PAOLA ANDREA CALDERON CETINA</v>
          </cell>
        </row>
        <row r="2286">
          <cell r="B2286">
            <v>20117614</v>
          </cell>
          <cell r="U2286" t="str">
            <v>MARSHIA MILENA JIMéNEZ GóMEZ</v>
          </cell>
        </row>
        <row r="2287">
          <cell r="B2287">
            <v>20117616</v>
          </cell>
          <cell r="U2287" t="str">
            <v>ANGIE LIZETH GARZON GARCIA</v>
          </cell>
        </row>
        <row r="2288">
          <cell r="B2288">
            <v>20117626</v>
          </cell>
          <cell r="U2288" t="str">
            <v>JEISSON FABIAN MOLINA CIRO</v>
          </cell>
        </row>
        <row r="2289">
          <cell r="B2289">
            <v>20117652</v>
          </cell>
          <cell r="U2289" t="str">
            <v>FABIAN CONCHA</v>
          </cell>
        </row>
        <row r="2290">
          <cell r="B2290">
            <v>20117653</v>
          </cell>
          <cell r="U2290" t="str">
            <v>FABIAN CONCHA</v>
          </cell>
        </row>
        <row r="2291">
          <cell r="B2291">
            <v>20117654</v>
          </cell>
          <cell r="U2291" t="str">
            <v>PAOLA ANDREA CALDERON CETINA</v>
          </cell>
        </row>
        <row r="2292">
          <cell r="B2292">
            <v>20117657</v>
          </cell>
          <cell r="U2292" t="str">
            <v>JAVIER ORLANDO HERNANDEZ RIVERA</v>
          </cell>
        </row>
        <row r="2293">
          <cell r="B2293">
            <v>20117661</v>
          </cell>
          <cell r="U2293" t="str">
            <v>JAVIER ORLANDO HERNANDEZ RIVERA</v>
          </cell>
        </row>
        <row r="2294">
          <cell r="B2294">
            <v>20117665</v>
          </cell>
          <cell r="U2294" t="str">
            <v>PAOLA ANDREA CALDERON CETINA</v>
          </cell>
        </row>
        <row r="2295">
          <cell r="B2295">
            <v>20117683</v>
          </cell>
          <cell r="U2295" t="str">
            <v>FABIAN CONCHA</v>
          </cell>
        </row>
        <row r="2296">
          <cell r="B2296">
            <v>20117684</v>
          </cell>
          <cell r="U2296" t="str">
            <v>PAOLA ANDREA CALDERON CETINA</v>
          </cell>
        </row>
        <row r="2297">
          <cell r="B2297">
            <v>20117688</v>
          </cell>
          <cell r="U2297" t="str">
            <v>HEIDY LORENA PRIETO AHUMADA</v>
          </cell>
        </row>
        <row r="2298">
          <cell r="B2298">
            <v>20117693</v>
          </cell>
          <cell r="U2298" t="str">
            <v>JOHAN SEBASTIAN PARDEYN AGUILAR</v>
          </cell>
        </row>
        <row r="2299">
          <cell r="B2299">
            <v>20117694</v>
          </cell>
          <cell r="U2299" t="str">
            <v>IVONNE JINETH RODRIGUEZ ROJAS</v>
          </cell>
        </row>
        <row r="2300">
          <cell r="B2300">
            <v>20117701</v>
          </cell>
          <cell r="U2300" t="str">
            <v>MARSHIA MILENA JIMéNEZ GóMEZ</v>
          </cell>
        </row>
        <row r="2301">
          <cell r="B2301">
            <v>20117705</v>
          </cell>
          <cell r="U2301" t="str">
            <v>HEIDY LORENA PRIETO AHUMADA</v>
          </cell>
        </row>
        <row r="2302">
          <cell r="B2302">
            <v>20117706</v>
          </cell>
          <cell r="U2302" t="str">
            <v>JEISSON FABIAN MOLINA CIRO</v>
          </cell>
        </row>
        <row r="2303">
          <cell r="B2303">
            <v>20117712</v>
          </cell>
          <cell r="U2303" t="str">
            <v>IVONNE JINETH RODRIGUEZ ROJAS</v>
          </cell>
        </row>
        <row r="2304">
          <cell r="B2304">
            <v>20117719</v>
          </cell>
          <cell r="U2304" t="str">
            <v>IVONNE JINETH RODRIGUEZ ROJAS</v>
          </cell>
        </row>
        <row r="2305">
          <cell r="B2305">
            <v>20117720</v>
          </cell>
          <cell r="U2305" t="str">
            <v>JEISSON FABIAN MOLINA CIRO</v>
          </cell>
        </row>
        <row r="2306">
          <cell r="B2306">
            <v>20117738</v>
          </cell>
          <cell r="U2306" t="str">
            <v>JAVIER ORLANDO HERNANDEZ RIVERA</v>
          </cell>
        </row>
        <row r="2307">
          <cell r="B2307">
            <v>20117746</v>
          </cell>
          <cell r="U2307" t="str">
            <v>IVONNE JINETH RODRIGUEZ ROJAS</v>
          </cell>
        </row>
        <row r="2308">
          <cell r="B2308">
            <v>20117747</v>
          </cell>
          <cell r="U2308" t="str">
            <v>CATALINA PACHECO BURGOS</v>
          </cell>
        </row>
        <row r="2309">
          <cell r="B2309">
            <v>20117750</v>
          </cell>
          <cell r="U2309" t="str">
            <v>JAVIER ORLANDO HERNANDEZ RIVERA</v>
          </cell>
        </row>
        <row r="2310">
          <cell r="B2310">
            <v>20117757</v>
          </cell>
          <cell r="U2310" t="str">
            <v>HEIDY LORENA PRIETO AHUMADA</v>
          </cell>
        </row>
        <row r="2311">
          <cell r="B2311">
            <v>20117763</v>
          </cell>
          <cell r="U2311" t="str">
            <v/>
          </cell>
        </row>
        <row r="2312">
          <cell r="B2312">
            <v>20117771</v>
          </cell>
          <cell r="U2312" t="str">
            <v>CATALINA PACHECO BURGOS</v>
          </cell>
        </row>
        <row r="2313">
          <cell r="B2313">
            <v>20117782</v>
          </cell>
          <cell r="U2313" t="str">
            <v>MARSHIA MILENA JIMéNEZ GóMEZ</v>
          </cell>
        </row>
        <row r="2314">
          <cell r="B2314">
            <v>20117791</v>
          </cell>
          <cell r="U2314" t="str">
            <v>MARSHIA MILENA JIMéNEZ GóMEZ</v>
          </cell>
        </row>
        <row r="2315">
          <cell r="B2315">
            <v>20117794</v>
          </cell>
          <cell r="U2315" t="str">
            <v>IVONNE JINETH RODRIGUEZ ROJAS</v>
          </cell>
        </row>
        <row r="2316">
          <cell r="B2316">
            <v>20117797</v>
          </cell>
          <cell r="U2316" t="str">
            <v>PAOLA ANDREA CALDERON CETINA</v>
          </cell>
        </row>
        <row r="2317">
          <cell r="B2317">
            <v>20117804</v>
          </cell>
          <cell r="U2317" t="str">
            <v>JAVIER ORLANDO HERNANDEZ RIVERA</v>
          </cell>
        </row>
        <row r="2318">
          <cell r="B2318">
            <v>20117812</v>
          </cell>
          <cell r="U2318" t="str">
            <v>IVONNE JINETH RODRIGUEZ ROJAS</v>
          </cell>
        </row>
        <row r="2319">
          <cell r="B2319">
            <v>20117814</v>
          </cell>
          <cell r="U2319" t="str">
            <v>IVONNE JINETH RODRIGUEZ ROJAS</v>
          </cell>
        </row>
        <row r="2320">
          <cell r="B2320">
            <v>20117825</v>
          </cell>
          <cell r="U2320" t="str">
            <v>CATALINA PACHECO BURGOS</v>
          </cell>
        </row>
        <row r="2321">
          <cell r="B2321">
            <v>20117829</v>
          </cell>
          <cell r="U2321" t="str">
            <v>PAOLA ANDREA CALDERON CETINA</v>
          </cell>
        </row>
        <row r="2322">
          <cell r="B2322">
            <v>20117833</v>
          </cell>
          <cell r="U2322" t="str">
            <v>NELSON JAVIER MORERA RINCON</v>
          </cell>
        </row>
        <row r="2323">
          <cell r="B2323">
            <v>20117854</v>
          </cell>
          <cell r="U2323" t="str">
            <v>GINA PAOLA MEDINA FLOREZ</v>
          </cell>
        </row>
        <row r="2324">
          <cell r="B2324">
            <v>20117860</v>
          </cell>
          <cell r="U2324" t="str">
            <v>MARSHIA MILENA JIMéNEZ GóMEZ</v>
          </cell>
        </row>
        <row r="2325">
          <cell r="B2325">
            <v>20117861</v>
          </cell>
          <cell r="U2325" t="str">
            <v>FABIAN CONCHA</v>
          </cell>
        </row>
        <row r="2326">
          <cell r="B2326">
            <v>20117873</v>
          </cell>
          <cell r="U2326" t="str">
            <v>FABIAN CONCHA</v>
          </cell>
        </row>
        <row r="2327">
          <cell r="B2327">
            <v>20117885</v>
          </cell>
          <cell r="U2327" t="str">
            <v>JAVIER ORLANDO HERNANDEZ RIVERA</v>
          </cell>
        </row>
        <row r="2328">
          <cell r="B2328">
            <v>20117890</v>
          </cell>
          <cell r="U2328" t="str">
            <v>NELSON JAVIER MORERA RINCON</v>
          </cell>
        </row>
        <row r="2329">
          <cell r="B2329">
            <v>20117891</v>
          </cell>
          <cell r="U2329" t="str">
            <v>CATALINA PACHECO BURGOS</v>
          </cell>
        </row>
        <row r="2330">
          <cell r="B2330">
            <v>20117892</v>
          </cell>
          <cell r="U2330" t="str">
            <v>FABIAN CONCHA</v>
          </cell>
        </row>
        <row r="2331">
          <cell r="B2331">
            <v>20117893</v>
          </cell>
          <cell r="U2331" t="str">
            <v>IVONNE JINETH RODRIGUEZ ROJAS</v>
          </cell>
        </row>
        <row r="2332">
          <cell r="B2332">
            <v>20117903</v>
          </cell>
          <cell r="U2332" t="str">
            <v>JAVIER ORLANDO HERNANDEZ RIVERA</v>
          </cell>
        </row>
        <row r="2333">
          <cell r="B2333">
            <v>20117913</v>
          </cell>
          <cell r="U2333" t="str">
            <v>PAOLA ANDREA CALDERON CETINA</v>
          </cell>
        </row>
        <row r="2334">
          <cell r="B2334">
            <v>20117923</v>
          </cell>
          <cell r="U2334" t="str">
            <v>JOVANNY ALEXANDER BENAVIDES APRAEZ</v>
          </cell>
        </row>
        <row r="2335">
          <cell r="B2335">
            <v>20117924</v>
          </cell>
          <cell r="U2335" t="str">
            <v>PAOLA ANDREA CALDERON CETINA</v>
          </cell>
        </row>
        <row r="2336">
          <cell r="B2336">
            <v>20117929</v>
          </cell>
          <cell r="U2336" t="str">
            <v>JAVIER ORLANDO HERNANDEZ RIVERA</v>
          </cell>
        </row>
        <row r="2337">
          <cell r="B2337">
            <v>20117932</v>
          </cell>
          <cell r="U2337" t="str">
            <v/>
          </cell>
        </row>
        <row r="2338">
          <cell r="B2338">
            <v>20117936</v>
          </cell>
          <cell r="U2338" t="str">
            <v>PAOLA ANDREA CALDERON CETINA</v>
          </cell>
        </row>
        <row r="2339">
          <cell r="B2339">
            <v>20117945</v>
          </cell>
          <cell r="U2339" t="str">
            <v>IVONNE JINETH RODRIGUEZ ROJAS</v>
          </cell>
        </row>
        <row r="2340">
          <cell r="B2340">
            <v>20117946</v>
          </cell>
          <cell r="U2340" t="str">
            <v>NELSON JAVIER MORERA RINCON</v>
          </cell>
        </row>
        <row r="2341">
          <cell r="B2341">
            <v>20117949</v>
          </cell>
          <cell r="U2341" t="str">
            <v>PAOLA ANDREA CALDERON CETINA</v>
          </cell>
        </row>
        <row r="2342">
          <cell r="B2342">
            <v>20117952</v>
          </cell>
          <cell r="U2342" t="str">
            <v>GINA PAOLA MEDINA FLOREZ</v>
          </cell>
        </row>
        <row r="2343">
          <cell r="B2343">
            <v>20117953</v>
          </cell>
          <cell r="U2343" t="str">
            <v>JAVIER ORLANDO HERNANDEZ RIVERA</v>
          </cell>
        </row>
        <row r="2344">
          <cell r="B2344">
            <v>20117965</v>
          </cell>
          <cell r="U2344" t="str">
            <v>IVONNE JINETH RODRIGUEZ ROJAS</v>
          </cell>
        </row>
        <row r="2345">
          <cell r="B2345">
            <v>20117966</v>
          </cell>
          <cell r="U2345" t="str">
            <v>PAOLA ANDREA CALDERON CETINA</v>
          </cell>
        </row>
        <row r="2346">
          <cell r="B2346">
            <v>20117972</v>
          </cell>
          <cell r="U2346" t="str">
            <v>HEIDY LORENA PRIETO AHUMADA</v>
          </cell>
        </row>
        <row r="2347">
          <cell r="B2347">
            <v>20117976</v>
          </cell>
          <cell r="U2347" t="str">
            <v>IVONNE JINETH RODRIGUEZ ROJAS</v>
          </cell>
        </row>
        <row r="2348">
          <cell r="B2348">
            <v>20117979</v>
          </cell>
          <cell r="U2348" t="str">
            <v>JEISSON FABIAN MOLINA CIRO</v>
          </cell>
        </row>
        <row r="2349">
          <cell r="B2349">
            <v>20117983</v>
          </cell>
          <cell r="U2349" t="str">
            <v>HEIDY LORENA PRIETO AHUMADA</v>
          </cell>
        </row>
        <row r="2350">
          <cell r="B2350">
            <v>20117999</v>
          </cell>
          <cell r="U2350" t="str">
            <v>HEIDY LORENA PRIETO AHUMADA</v>
          </cell>
        </row>
        <row r="2351">
          <cell r="B2351">
            <v>20118006</v>
          </cell>
          <cell r="U2351" t="str">
            <v>JAVIER ORLANDO HERNANDEZ RIVERA</v>
          </cell>
        </row>
        <row r="2352">
          <cell r="B2352">
            <v>20118013</v>
          </cell>
          <cell r="U2352" t="str">
            <v>HEIDY LORENA PRIETO AHUMADA</v>
          </cell>
        </row>
        <row r="2353">
          <cell r="B2353">
            <v>20118042</v>
          </cell>
          <cell r="U2353" t="str">
            <v>MARSHIA MILENA JIMéNEZ GóMEZ</v>
          </cell>
        </row>
        <row r="2354">
          <cell r="B2354">
            <v>20118050</v>
          </cell>
          <cell r="U2354" t="str">
            <v>MARSHIA MILENA JIMéNEZ GóMEZ</v>
          </cell>
        </row>
        <row r="2355">
          <cell r="B2355">
            <v>20118051</v>
          </cell>
          <cell r="U2355" t="str">
            <v>JAVIER ORLANDO HERNANDEZ RIVERA</v>
          </cell>
        </row>
        <row r="2356">
          <cell r="B2356">
            <v>20118052</v>
          </cell>
          <cell r="U2356" t="str">
            <v>MARSHIA MILENA JIMéNEZ GóMEZ</v>
          </cell>
        </row>
        <row r="2357">
          <cell r="B2357">
            <v>20118059</v>
          </cell>
          <cell r="U2357" t="str">
            <v>FABIAN CONCHA</v>
          </cell>
        </row>
        <row r="2358">
          <cell r="B2358">
            <v>20118086</v>
          </cell>
          <cell r="U2358" t="str">
            <v>FABIAN CONCHA</v>
          </cell>
        </row>
        <row r="2359">
          <cell r="B2359">
            <v>20118093</v>
          </cell>
          <cell r="U2359" t="e">
            <v>#N/A</v>
          </cell>
        </row>
        <row r="2360">
          <cell r="B2360">
            <v>20118103</v>
          </cell>
          <cell r="U2360" t="str">
            <v>NELSON JAVIER MORERA RINCON</v>
          </cell>
        </row>
        <row r="2361">
          <cell r="B2361">
            <v>20118104</v>
          </cell>
          <cell r="U2361" t="str">
            <v>NELSON JAVIER MORERA RINCON</v>
          </cell>
        </row>
        <row r="2362">
          <cell r="B2362">
            <v>20118113</v>
          </cell>
          <cell r="U2362" t="str">
            <v>FABIAN CONCHA</v>
          </cell>
        </row>
        <row r="2363">
          <cell r="B2363">
            <v>20118116</v>
          </cell>
          <cell r="U2363" t="str">
            <v>JEISSON FABIAN MOLINA CIRO</v>
          </cell>
        </row>
        <row r="2364">
          <cell r="B2364">
            <v>20118117</v>
          </cell>
          <cell r="U2364" t="str">
            <v>JOVANNY ALEXANDER BENAVIDES APRAEZ</v>
          </cell>
        </row>
        <row r="2365">
          <cell r="B2365">
            <v>20118130</v>
          </cell>
          <cell r="U2365" t="str">
            <v/>
          </cell>
        </row>
        <row r="2366">
          <cell r="B2366">
            <v>20118131</v>
          </cell>
          <cell r="U2366" t="str">
            <v>HEIDY LORENA PRIETO AHUMADA</v>
          </cell>
        </row>
        <row r="2367">
          <cell r="B2367">
            <v>20118135</v>
          </cell>
          <cell r="U2367" t="str">
            <v>JEISSON FABIAN MOLINA CIRO</v>
          </cell>
        </row>
        <row r="2368">
          <cell r="B2368">
            <v>20118139</v>
          </cell>
          <cell r="U2368" t="str">
            <v>MARSHIA MILENA JIMéNEZ GóMEZ</v>
          </cell>
        </row>
        <row r="2369">
          <cell r="B2369">
            <v>20118147</v>
          </cell>
          <cell r="U2369" t="str">
            <v>FABIAN CONCHA</v>
          </cell>
        </row>
        <row r="2370">
          <cell r="B2370">
            <v>20118150</v>
          </cell>
          <cell r="U2370" t="str">
            <v>GINA PAOLA MEDINA FLOREZ</v>
          </cell>
        </row>
        <row r="2371">
          <cell r="B2371">
            <v>20118157</v>
          </cell>
          <cell r="U2371" t="str">
            <v>IVONNE JINETH RODRIGUEZ ROJAS</v>
          </cell>
        </row>
        <row r="2372">
          <cell r="B2372">
            <v>20118166</v>
          </cell>
          <cell r="U2372" t="str">
            <v>HEIDY LORENA PRIETO AHUMADA</v>
          </cell>
        </row>
        <row r="2373">
          <cell r="B2373">
            <v>20118189</v>
          </cell>
          <cell r="U2373" t="str">
            <v>MARSHIA MILENA JIMéNEZ GóMEZ</v>
          </cell>
        </row>
        <row r="2374">
          <cell r="B2374">
            <v>20118200</v>
          </cell>
          <cell r="U2374" t="str">
            <v>IVONNE JINETH RODRIGUEZ ROJAS</v>
          </cell>
        </row>
        <row r="2375">
          <cell r="B2375">
            <v>20118211</v>
          </cell>
          <cell r="U2375" t="str">
            <v>FABIAN CONCHA</v>
          </cell>
        </row>
        <row r="2376">
          <cell r="B2376">
            <v>20118217</v>
          </cell>
          <cell r="U2376" t="str">
            <v>IVONNE JINETH RODRIGUEZ ROJAS</v>
          </cell>
        </row>
        <row r="2377">
          <cell r="B2377">
            <v>20118224</v>
          </cell>
          <cell r="U2377" t="str">
            <v>HEIDY LORENA PRIETO AHUMADA</v>
          </cell>
        </row>
        <row r="2378">
          <cell r="B2378">
            <v>20118234</v>
          </cell>
          <cell r="U2378" t="str">
            <v>HEIDY LORENA PRIETO AHUMADA</v>
          </cell>
        </row>
        <row r="2379">
          <cell r="B2379">
            <v>20118237</v>
          </cell>
          <cell r="U2379" t="str">
            <v>CATALINA PACHECO BURGOS</v>
          </cell>
        </row>
        <row r="2380">
          <cell r="B2380">
            <v>20118255</v>
          </cell>
          <cell r="U2380" t="str">
            <v>HEIDY LORENA PRIETO AHUMADA</v>
          </cell>
        </row>
        <row r="2381">
          <cell r="B2381">
            <v>20118262</v>
          </cell>
          <cell r="U2381" t="str">
            <v>JEISSON FABIAN MOLINA CIRO</v>
          </cell>
        </row>
        <row r="2382">
          <cell r="B2382">
            <v>20118266</v>
          </cell>
          <cell r="U2382" t="str">
            <v>FABIAN CONCHA</v>
          </cell>
        </row>
        <row r="2383">
          <cell r="B2383">
            <v>20118267</v>
          </cell>
          <cell r="U2383" t="str">
            <v>JAVIER ORLANDO HERNANDEZ RIVERA</v>
          </cell>
        </row>
        <row r="2384">
          <cell r="B2384">
            <v>20118272</v>
          </cell>
          <cell r="U2384" t="str">
            <v>IVONNE JINETH RODRIGUEZ ROJAS</v>
          </cell>
        </row>
        <row r="2385">
          <cell r="B2385">
            <v>20118273</v>
          </cell>
          <cell r="U2385" t="str">
            <v>HEIDY LORENA PRIETO AHUMADA</v>
          </cell>
        </row>
        <row r="2386">
          <cell r="B2386">
            <v>20118274</v>
          </cell>
          <cell r="U2386" t="str">
            <v>NELSON JAVIER MORERA RINCON</v>
          </cell>
        </row>
        <row r="2387">
          <cell r="B2387">
            <v>20118286</v>
          </cell>
          <cell r="U2387" t="str">
            <v>JEISSON FABIAN MOLINA CIRO</v>
          </cell>
        </row>
        <row r="2388">
          <cell r="B2388">
            <v>20118288</v>
          </cell>
          <cell r="U2388" t="str">
            <v>JAVIER ORLANDO HERNANDEZ RIVERA</v>
          </cell>
        </row>
        <row r="2389">
          <cell r="B2389">
            <v>20118321</v>
          </cell>
          <cell r="U2389" t="str">
            <v>FABIAN CONCHA</v>
          </cell>
        </row>
        <row r="2390">
          <cell r="B2390">
            <v>20118343</v>
          </cell>
          <cell r="U2390" t="str">
            <v>JEISSON FABIAN MOLINA CIRO</v>
          </cell>
        </row>
        <row r="2391">
          <cell r="B2391">
            <v>20118349</v>
          </cell>
          <cell r="U2391" t="str">
            <v>MARSHIA MILENA JIMéNEZ GóMEZ</v>
          </cell>
        </row>
        <row r="2392">
          <cell r="B2392">
            <v>20118350</v>
          </cell>
          <cell r="U2392" t="str">
            <v>CATALINA PACHECO BURGOS</v>
          </cell>
        </row>
        <row r="2393">
          <cell r="B2393">
            <v>20118365</v>
          </cell>
          <cell r="U2393" t="str">
            <v>MARSHIA MILENA JIMéNEZ GóMEZ</v>
          </cell>
        </row>
        <row r="2394">
          <cell r="B2394">
            <v>20118368</v>
          </cell>
          <cell r="U2394" t="str">
            <v>PAOLA ANDREA CALDERON CETINA</v>
          </cell>
        </row>
        <row r="2395">
          <cell r="B2395">
            <v>20118369</v>
          </cell>
          <cell r="U2395" t="str">
            <v>JEISSON FABIAN MOLINA CIRO</v>
          </cell>
        </row>
        <row r="2396">
          <cell r="B2396">
            <v>20118370</v>
          </cell>
          <cell r="U2396" t="str">
            <v>JAVIER ORLANDO HERNANDEZ RIVERA</v>
          </cell>
        </row>
        <row r="2397">
          <cell r="B2397">
            <v>20118372</v>
          </cell>
          <cell r="U2397" t="str">
            <v>GINA PAOLA MEDINA FLOREZ</v>
          </cell>
        </row>
        <row r="2398">
          <cell r="B2398">
            <v>20118383</v>
          </cell>
          <cell r="U2398" t="str">
            <v>JEISSON FABIAN MOLINA CIRO</v>
          </cell>
        </row>
        <row r="2399">
          <cell r="B2399">
            <v>20118386</v>
          </cell>
          <cell r="U2399" t="str">
            <v>CATALINA PACHECO BURGOS</v>
          </cell>
        </row>
        <row r="2400">
          <cell r="B2400">
            <v>20118393</v>
          </cell>
          <cell r="U2400" t="str">
            <v>JAVIER ORLANDO HERNANDEZ RIVERA</v>
          </cell>
        </row>
        <row r="2401">
          <cell r="B2401">
            <v>20118394</v>
          </cell>
          <cell r="U2401" t="str">
            <v>PAOLA ANDREA CALDERON CETINA</v>
          </cell>
        </row>
        <row r="2402">
          <cell r="B2402">
            <v>20118395</v>
          </cell>
          <cell r="U2402" t="str">
            <v>GINA PAOLA MEDINA FLOREZ</v>
          </cell>
        </row>
        <row r="2403">
          <cell r="B2403">
            <v>20118396</v>
          </cell>
          <cell r="U2403" t="str">
            <v>IVONNE JINETH RODRIGUEZ ROJAS</v>
          </cell>
        </row>
        <row r="2404">
          <cell r="B2404">
            <v>20118399</v>
          </cell>
          <cell r="U2404" t="str">
            <v>HEIDY LORENA PRIETO AHUMADA</v>
          </cell>
        </row>
        <row r="2405">
          <cell r="B2405">
            <v>20118405</v>
          </cell>
          <cell r="U2405" t="str">
            <v>CATALINA PACHECO BURGOS</v>
          </cell>
        </row>
        <row r="2406">
          <cell r="B2406">
            <v>20118414</v>
          </cell>
          <cell r="U2406" t="str">
            <v/>
          </cell>
        </row>
        <row r="2407">
          <cell r="B2407">
            <v>20118417</v>
          </cell>
          <cell r="U2407" t="str">
            <v>HEIDY LORENA PRIETO AHUMADA</v>
          </cell>
        </row>
        <row r="2408">
          <cell r="B2408">
            <v>20118418</v>
          </cell>
          <cell r="U2408" t="str">
            <v>MARSHIA MILENA JIMéNEZ GóMEZ</v>
          </cell>
        </row>
        <row r="2409">
          <cell r="B2409">
            <v>20118425</v>
          </cell>
          <cell r="U2409" t="str">
            <v>NELSON JAVIER MORERA RINCON</v>
          </cell>
        </row>
        <row r="2410">
          <cell r="B2410">
            <v>20118428</v>
          </cell>
          <cell r="U2410" t="str">
            <v>HEIDY LORENA PRIETO AHUMADA</v>
          </cell>
        </row>
        <row r="2411">
          <cell r="B2411">
            <v>20118430</v>
          </cell>
          <cell r="U2411" t="str">
            <v>JEISSON FABIAN MOLINA CIRO</v>
          </cell>
        </row>
        <row r="2412">
          <cell r="B2412">
            <v>20118431</v>
          </cell>
          <cell r="U2412" t="str">
            <v>JAVIER ORLANDO HERNANDEZ RIVERA</v>
          </cell>
        </row>
        <row r="2413">
          <cell r="B2413">
            <v>20118438</v>
          </cell>
          <cell r="U2413" t="str">
            <v>JEISSON FABIAN MOLINA CIRO</v>
          </cell>
        </row>
        <row r="2414">
          <cell r="B2414">
            <v>20118444</v>
          </cell>
          <cell r="U2414" t="str">
            <v>IVONNE JINETH RODRIGUEZ ROJAS</v>
          </cell>
        </row>
        <row r="2415">
          <cell r="B2415">
            <v>20118458</v>
          </cell>
          <cell r="U2415" t="str">
            <v>FABIAN CONCHA</v>
          </cell>
        </row>
        <row r="2416">
          <cell r="B2416">
            <v>20118459</v>
          </cell>
          <cell r="U2416" t="str">
            <v>IVONNE JINETH RODRIGUEZ ROJAS</v>
          </cell>
        </row>
        <row r="2417">
          <cell r="B2417">
            <v>20118466</v>
          </cell>
          <cell r="U2417" t="str">
            <v>IVONNE JINETH RODRIGUEZ ROJAS</v>
          </cell>
        </row>
        <row r="2418">
          <cell r="B2418">
            <v>20118470</v>
          </cell>
          <cell r="U2418" t="str">
            <v>JOVANNY ALEXANDER BENAVIDES APRAEZ</v>
          </cell>
        </row>
        <row r="2419">
          <cell r="B2419">
            <v>20118476</v>
          </cell>
          <cell r="U2419" t="str">
            <v>JOHAN SEBASTIAN PARDEYN AGUILAR</v>
          </cell>
        </row>
        <row r="2420">
          <cell r="B2420">
            <v>20118481</v>
          </cell>
          <cell r="U2420" t="str">
            <v>MARSHIA MILENA JIMéNEZ GóMEZ</v>
          </cell>
        </row>
        <row r="2421">
          <cell r="B2421">
            <v>20118482</v>
          </cell>
          <cell r="U2421" t="str">
            <v>GINA PAOLA MEDINA FLOREZ</v>
          </cell>
        </row>
        <row r="2422">
          <cell r="B2422">
            <v>20118496</v>
          </cell>
          <cell r="U2422" t="str">
            <v>IVONNE JINETH RODRIGUEZ ROJAS</v>
          </cell>
        </row>
        <row r="2423">
          <cell r="B2423">
            <v>20118498</v>
          </cell>
          <cell r="U2423" t="str">
            <v>PAOLA ANDREA CALDERON CETINA</v>
          </cell>
        </row>
        <row r="2424">
          <cell r="B2424">
            <v>20118507</v>
          </cell>
          <cell r="U2424" t="str">
            <v>HEIDY LORENA PRIETO AHUMADA</v>
          </cell>
        </row>
        <row r="2425">
          <cell r="B2425">
            <v>20118538</v>
          </cell>
          <cell r="U2425" t="str">
            <v/>
          </cell>
        </row>
        <row r="2426">
          <cell r="B2426">
            <v>20118543</v>
          </cell>
          <cell r="U2426" t="str">
            <v>PAOLA ANDREA CALDERON CETINA</v>
          </cell>
        </row>
        <row r="2427">
          <cell r="B2427">
            <v>20118552</v>
          </cell>
          <cell r="U2427" t="str">
            <v>MARSHIA MILENA JIMéNEZ GóMEZ</v>
          </cell>
        </row>
        <row r="2428">
          <cell r="B2428">
            <v>20118556</v>
          </cell>
          <cell r="U2428" t="str">
            <v>HEIDY LORENA PRIETO AHUMADA</v>
          </cell>
        </row>
        <row r="2429">
          <cell r="B2429">
            <v>20118562</v>
          </cell>
          <cell r="U2429" t="str">
            <v>IVONNE JINETH RODRIGUEZ ROJAS</v>
          </cell>
        </row>
        <row r="2430">
          <cell r="B2430">
            <v>20118573</v>
          </cell>
          <cell r="U2430" t="str">
            <v>JAVIER ORLANDO HERNANDEZ RIVERA</v>
          </cell>
        </row>
        <row r="2431">
          <cell r="B2431">
            <v>20118577</v>
          </cell>
          <cell r="U2431" t="str">
            <v>JOHAN SEBASTIAN PARDEYN AGUILAR</v>
          </cell>
        </row>
        <row r="2432">
          <cell r="B2432">
            <v>20118581</v>
          </cell>
          <cell r="U2432" t="str">
            <v>NELSON JAVIER MORERA RINCON</v>
          </cell>
        </row>
        <row r="2433">
          <cell r="B2433">
            <v>20118585</v>
          </cell>
          <cell r="U2433" t="str">
            <v>JEISSON FABIAN MOLINA CIRO</v>
          </cell>
        </row>
        <row r="2434">
          <cell r="B2434">
            <v>20118591</v>
          </cell>
          <cell r="U2434" t="str">
            <v>HEIDY LORENA PRIETO AHUMADA</v>
          </cell>
        </row>
        <row r="2435">
          <cell r="B2435">
            <v>20118593</v>
          </cell>
          <cell r="U2435" t="str">
            <v>IVONNE JINETH RODRIGUEZ ROJAS</v>
          </cell>
        </row>
        <row r="2436">
          <cell r="B2436">
            <v>20118594</v>
          </cell>
          <cell r="U2436" t="str">
            <v>IVONNE JINETH RODRIGUEZ ROJAS</v>
          </cell>
        </row>
        <row r="2437">
          <cell r="B2437">
            <v>20118600</v>
          </cell>
          <cell r="U2437" t="str">
            <v>FABIAN CONCHA</v>
          </cell>
        </row>
        <row r="2438">
          <cell r="B2438">
            <v>20118602</v>
          </cell>
          <cell r="U2438" t="str">
            <v>IVONNE JINETH RODRIGUEZ ROJAS</v>
          </cell>
        </row>
        <row r="2439">
          <cell r="B2439">
            <v>20118603</v>
          </cell>
          <cell r="U2439" t="str">
            <v>IVONNE JINETH RODRIGUEZ ROJAS</v>
          </cell>
        </row>
        <row r="2440">
          <cell r="B2440">
            <v>20118605</v>
          </cell>
          <cell r="U2440" t="str">
            <v>PAOLA ANDREA CALDERON CETINA</v>
          </cell>
        </row>
        <row r="2441">
          <cell r="B2441">
            <v>20118608</v>
          </cell>
          <cell r="U2441" t="str">
            <v>IVONNE JINETH RODRIGUEZ ROJAS</v>
          </cell>
        </row>
        <row r="2442">
          <cell r="B2442">
            <v>20118609</v>
          </cell>
          <cell r="U2442" t="str">
            <v>NELSON JAVIER MORERA RINCON</v>
          </cell>
        </row>
        <row r="2443">
          <cell r="B2443">
            <v>20118610</v>
          </cell>
          <cell r="U2443" t="str">
            <v>JOHAN SEBASTIAN PARDEYN AGUILAR</v>
          </cell>
        </row>
        <row r="2444">
          <cell r="B2444">
            <v>20118611</v>
          </cell>
          <cell r="U2444" t="str">
            <v>JAVIER ORLANDO HERNANDEZ RIVERA</v>
          </cell>
        </row>
        <row r="2445">
          <cell r="B2445">
            <v>20118619</v>
          </cell>
          <cell r="U2445" t="str">
            <v>MARSHIA MILENA JIMéNEZ GóMEZ</v>
          </cell>
        </row>
        <row r="2446">
          <cell r="B2446">
            <v>20118623</v>
          </cell>
          <cell r="U2446" t="str">
            <v>FABIAN CONCHA</v>
          </cell>
        </row>
        <row r="2447">
          <cell r="B2447">
            <v>20118624</v>
          </cell>
          <cell r="U2447" t="str">
            <v>NELSON JAVIER MORERA RINCON</v>
          </cell>
        </row>
        <row r="2448">
          <cell r="B2448">
            <v>20118634</v>
          </cell>
          <cell r="U2448" t="str">
            <v>JOHAN SEBASTIAN PARDEYN AGUILAR</v>
          </cell>
        </row>
        <row r="2449">
          <cell r="B2449">
            <v>20118638</v>
          </cell>
          <cell r="U2449" t="str">
            <v>IVONNE JINETH RODRIGUEZ ROJAS</v>
          </cell>
        </row>
        <row r="2450">
          <cell r="B2450">
            <v>20118639</v>
          </cell>
          <cell r="U2450" t="str">
            <v>NELSON JAVIER MORERA RINCON</v>
          </cell>
        </row>
        <row r="2451">
          <cell r="B2451">
            <v>20118667</v>
          </cell>
          <cell r="U2451" t="str">
            <v>NELSON JAVIER MORERA RINCON</v>
          </cell>
        </row>
        <row r="2452">
          <cell r="B2452">
            <v>20118669</v>
          </cell>
          <cell r="U2452" t="str">
            <v>MARSHIA MILENA JIMéNEZ GóMEZ</v>
          </cell>
        </row>
        <row r="2453">
          <cell r="B2453">
            <v>20118674</v>
          </cell>
          <cell r="U2453" t="str">
            <v>JAVIER ORLANDO HERNANDEZ RIVERA</v>
          </cell>
        </row>
        <row r="2454">
          <cell r="B2454">
            <v>20118679</v>
          </cell>
          <cell r="U2454" t="str">
            <v>IVONNE JINETH RODRIGUEZ ROJAS</v>
          </cell>
        </row>
        <row r="2455">
          <cell r="B2455">
            <v>20118680</v>
          </cell>
          <cell r="U2455" t="str">
            <v>JEISSON FABIAN MOLINA CIRO</v>
          </cell>
        </row>
        <row r="2456">
          <cell r="B2456">
            <v>20118681</v>
          </cell>
          <cell r="U2456" t="str">
            <v>IVONNE JINETH RODRIGUEZ ROJAS</v>
          </cell>
        </row>
        <row r="2457">
          <cell r="B2457">
            <v>20118689</v>
          </cell>
          <cell r="U2457" t="str">
            <v>PAOLA ANDREA CALDERON CETINA</v>
          </cell>
        </row>
        <row r="2458">
          <cell r="B2458">
            <v>20118706</v>
          </cell>
          <cell r="U2458" t="str">
            <v>IVONNE JINETH RODRIGUEZ ROJAS</v>
          </cell>
        </row>
        <row r="2459">
          <cell r="B2459">
            <v>20118709</v>
          </cell>
          <cell r="U2459" t="str">
            <v>GINA PAOLA MEDINA FLOREZ</v>
          </cell>
        </row>
        <row r="2460">
          <cell r="B2460">
            <v>20118711</v>
          </cell>
          <cell r="U2460" t="str">
            <v>IVONNE JINETH RODRIGUEZ ROJAS</v>
          </cell>
        </row>
        <row r="2461">
          <cell r="B2461">
            <v>20118726</v>
          </cell>
          <cell r="U2461" t="str">
            <v>IVONNE JINETH RODRIGUEZ ROJAS</v>
          </cell>
        </row>
        <row r="2462">
          <cell r="B2462">
            <v>20118735</v>
          </cell>
          <cell r="U2462" t="str">
            <v>FABIAN CONCHA</v>
          </cell>
        </row>
        <row r="2463">
          <cell r="B2463">
            <v>20118738</v>
          </cell>
          <cell r="U2463" t="str">
            <v>JAVIER ORLANDO HERNANDEZ RIVERA</v>
          </cell>
        </row>
        <row r="2464">
          <cell r="B2464">
            <v>20118739</v>
          </cell>
          <cell r="U2464" t="str">
            <v>CATALINA PACHECO BURGOS</v>
          </cell>
        </row>
        <row r="2465">
          <cell r="B2465">
            <v>20118743</v>
          </cell>
          <cell r="U2465" t="str">
            <v>JOHAN SEBASTIAN PARDEYN AGUILAR</v>
          </cell>
        </row>
        <row r="2466">
          <cell r="B2466">
            <v>20118751</v>
          </cell>
          <cell r="U2466" t="str">
            <v>FABIAN CONCHA</v>
          </cell>
        </row>
        <row r="2467">
          <cell r="B2467">
            <v>20118753</v>
          </cell>
          <cell r="U2467" t="str">
            <v>GINA PAOLA MEDINA FLOREZ</v>
          </cell>
        </row>
        <row r="2468">
          <cell r="B2468">
            <v>20118765</v>
          </cell>
          <cell r="U2468" t="str">
            <v>MARSHIA MILENA JIMéNEZ GóMEZ</v>
          </cell>
        </row>
        <row r="2469">
          <cell r="B2469">
            <v>20118766</v>
          </cell>
          <cell r="U2469" t="str">
            <v>IVONNE JINETH RODRIGUEZ ROJAS</v>
          </cell>
        </row>
        <row r="2470">
          <cell r="B2470">
            <v>20118770</v>
          </cell>
          <cell r="U2470" t="str">
            <v>CATALINA PACHECO BURGOS</v>
          </cell>
        </row>
        <row r="2471">
          <cell r="B2471">
            <v>20118777</v>
          </cell>
          <cell r="U2471" t="str">
            <v>IVONNE JINETH RODRIGUEZ ROJAS</v>
          </cell>
        </row>
        <row r="2472">
          <cell r="B2472">
            <v>20118782</v>
          </cell>
          <cell r="U2472" t="str">
            <v>HEIDY LORENA PRIETO AHUMADA</v>
          </cell>
        </row>
        <row r="2473">
          <cell r="B2473">
            <v>20118784</v>
          </cell>
          <cell r="U2473" t="str">
            <v>HEIDY LORENA PRIETO AHUMADA</v>
          </cell>
        </row>
        <row r="2474">
          <cell r="B2474">
            <v>20118795</v>
          </cell>
          <cell r="U2474" t="str">
            <v>IVONNE JINETH RODRIGUEZ ROJAS</v>
          </cell>
        </row>
        <row r="2475">
          <cell r="B2475">
            <v>20118802</v>
          </cell>
          <cell r="U2475" t="str">
            <v>HEIDY LORENA PRIETO AHUMADA</v>
          </cell>
        </row>
        <row r="2476">
          <cell r="B2476">
            <v>20118806</v>
          </cell>
          <cell r="U2476" t="str">
            <v>GINA PAOLA MEDINA FLOREZ</v>
          </cell>
        </row>
        <row r="2477">
          <cell r="B2477">
            <v>20118809</v>
          </cell>
          <cell r="U2477" t="str">
            <v>FABIAN CONCHA</v>
          </cell>
        </row>
        <row r="2478">
          <cell r="B2478">
            <v>20118810</v>
          </cell>
          <cell r="U2478" t="str">
            <v>GINA PAOLA MEDINA FLOREZ</v>
          </cell>
        </row>
        <row r="2479">
          <cell r="B2479">
            <v>20118812</v>
          </cell>
          <cell r="U2479" t="str">
            <v>NELSON JAVIER MORERA RINCON</v>
          </cell>
        </row>
        <row r="2480">
          <cell r="B2480">
            <v>20118821</v>
          </cell>
          <cell r="U2480" t="str">
            <v>MARSHIA MILENA JIMéNEZ GóMEZ</v>
          </cell>
        </row>
        <row r="2481">
          <cell r="B2481">
            <v>20118825</v>
          </cell>
          <cell r="U2481" t="str">
            <v>IVONNE JINETH RODRIGUEZ ROJAS</v>
          </cell>
        </row>
        <row r="2482">
          <cell r="B2482">
            <v>20118829</v>
          </cell>
          <cell r="U2482" t="str">
            <v>ANGIE LIZETH GARZON GARCIA</v>
          </cell>
        </row>
        <row r="2483">
          <cell r="B2483">
            <v>20118831</v>
          </cell>
          <cell r="U2483" t="str">
            <v>GINA PAOLA MEDINA FLOREZ</v>
          </cell>
        </row>
        <row r="2484">
          <cell r="B2484">
            <v>20118836</v>
          </cell>
          <cell r="U2484" t="str">
            <v>CATALINA PACHECO BURGOS</v>
          </cell>
        </row>
        <row r="2485">
          <cell r="B2485">
            <v>20118846</v>
          </cell>
          <cell r="U2485" t="e">
            <v>#N/A</v>
          </cell>
        </row>
        <row r="2486">
          <cell r="B2486">
            <v>20118858</v>
          </cell>
          <cell r="U2486" t="str">
            <v>FABIAN CONCHA</v>
          </cell>
        </row>
        <row r="2487">
          <cell r="B2487">
            <v>20118862</v>
          </cell>
          <cell r="U2487" t="str">
            <v>NELSON JAVIER MORERA RINCON</v>
          </cell>
        </row>
        <row r="2488">
          <cell r="B2488">
            <v>20118869</v>
          </cell>
          <cell r="U2488" t="str">
            <v>NELSON JAVIER MORERA RINCON</v>
          </cell>
        </row>
        <row r="2489">
          <cell r="B2489">
            <v>20118873</v>
          </cell>
          <cell r="U2489" t="str">
            <v>HEIDY LORENA PRIETO AHUMADA</v>
          </cell>
        </row>
        <row r="2490">
          <cell r="B2490">
            <v>20118878</v>
          </cell>
          <cell r="U2490" t="str">
            <v>PAOLA ANDREA CALDERON CETINA</v>
          </cell>
        </row>
        <row r="2491">
          <cell r="B2491">
            <v>20118892</v>
          </cell>
          <cell r="U2491" t="str">
            <v>IVONNE JINETH RODRIGUEZ ROJAS</v>
          </cell>
        </row>
        <row r="2492">
          <cell r="B2492">
            <v>20118893</v>
          </cell>
          <cell r="U2492" t="str">
            <v>FABIAN CONCHA</v>
          </cell>
        </row>
        <row r="2493">
          <cell r="B2493">
            <v>20118898</v>
          </cell>
          <cell r="U2493" t="str">
            <v>IVONNE JINETH RODRIGUEZ ROJAS</v>
          </cell>
        </row>
        <row r="2494">
          <cell r="B2494">
            <v>20118903</v>
          </cell>
          <cell r="U2494" t="str">
            <v>IVONNE JINETH RODRIGUEZ ROJAS</v>
          </cell>
        </row>
        <row r="2495">
          <cell r="B2495">
            <v>20118914</v>
          </cell>
          <cell r="U2495" t="str">
            <v>PAOLA ANDREA CALDERON CETINA</v>
          </cell>
        </row>
        <row r="2496">
          <cell r="B2496">
            <v>20118919</v>
          </cell>
          <cell r="U2496" t="str">
            <v>PAOLA ANDREA CALDERON CETINA</v>
          </cell>
        </row>
        <row r="2497">
          <cell r="B2497">
            <v>20118921</v>
          </cell>
          <cell r="U2497" t="str">
            <v>JOHAN SEBASTIAN PARDEYN AGUILAR</v>
          </cell>
        </row>
        <row r="2498">
          <cell r="B2498">
            <v>20118927</v>
          </cell>
          <cell r="U2498" t="str">
            <v>MARSHIA MILENA JIMéNEZ GóMEZ</v>
          </cell>
        </row>
        <row r="2499">
          <cell r="B2499">
            <v>20118933</v>
          </cell>
          <cell r="U2499" t="str">
            <v>IVONNE JINETH RODRIGUEZ ROJAS</v>
          </cell>
        </row>
        <row r="2500">
          <cell r="B2500">
            <v>20118942</v>
          </cell>
          <cell r="U2500" t="str">
            <v>FABIAN CONCHA</v>
          </cell>
        </row>
        <row r="2501">
          <cell r="B2501">
            <v>20118953</v>
          </cell>
          <cell r="U2501" t="str">
            <v>IVONNE JINETH RODRIGUEZ ROJAS</v>
          </cell>
        </row>
        <row r="2502">
          <cell r="B2502">
            <v>20118956</v>
          </cell>
          <cell r="U2502" t="str">
            <v>JAVIER ORLANDO HERNANDEZ RIVERA</v>
          </cell>
        </row>
        <row r="2503">
          <cell r="B2503">
            <v>20118960</v>
          </cell>
          <cell r="U2503" t="str">
            <v>JAVIER ORLANDO HERNANDEZ RIVERA</v>
          </cell>
        </row>
        <row r="2504">
          <cell r="B2504">
            <v>20118969</v>
          </cell>
          <cell r="U2504" t="str">
            <v>JAVIER ORLANDO HERNANDEZ RIVERA</v>
          </cell>
        </row>
        <row r="2505">
          <cell r="B2505">
            <v>20118984</v>
          </cell>
          <cell r="U2505" t="str">
            <v>NELSON JAVIER MORERA RINCON</v>
          </cell>
        </row>
        <row r="2506">
          <cell r="B2506">
            <v>20118991</v>
          </cell>
          <cell r="U2506" t="str">
            <v>MARSHIA MILENA JIMéNEZ GóMEZ</v>
          </cell>
        </row>
        <row r="2507">
          <cell r="B2507">
            <v>20118994</v>
          </cell>
          <cell r="U2507" t="str">
            <v>ANGIE LIZETH GARZON GARCIA</v>
          </cell>
        </row>
        <row r="2508">
          <cell r="B2508">
            <v>20119003</v>
          </cell>
          <cell r="U2508" t="str">
            <v>FABIAN CONCHA</v>
          </cell>
        </row>
        <row r="2509">
          <cell r="B2509">
            <v>20119012</v>
          </cell>
          <cell r="U2509" t="str">
            <v>IVONNE JINETH RODRIGUEZ ROJAS</v>
          </cell>
        </row>
        <row r="2510">
          <cell r="B2510">
            <v>20119029</v>
          </cell>
          <cell r="U2510" t="str">
            <v>GINA PAOLA MEDINA FLOREZ</v>
          </cell>
        </row>
        <row r="2511">
          <cell r="B2511">
            <v>20119033</v>
          </cell>
          <cell r="U2511" t="str">
            <v>IVONNE JINETH RODRIGUEZ ROJAS</v>
          </cell>
        </row>
        <row r="2512">
          <cell r="B2512">
            <v>20119044</v>
          </cell>
          <cell r="U2512" t="str">
            <v>GINA PAOLA MEDINA FLOREZ</v>
          </cell>
        </row>
        <row r="2513">
          <cell r="B2513">
            <v>20119054</v>
          </cell>
          <cell r="U2513" t="str">
            <v>HEIDY LORENA PRIETO AHUMADA</v>
          </cell>
        </row>
        <row r="2514">
          <cell r="B2514">
            <v>20119055</v>
          </cell>
          <cell r="U2514" t="str">
            <v>IVONNE JINETH RODRIGUEZ ROJAS</v>
          </cell>
        </row>
        <row r="2515">
          <cell r="B2515">
            <v>20119056</v>
          </cell>
          <cell r="U2515" t="str">
            <v>JOHAN SEBASTIAN PARDEYN AGUILAR</v>
          </cell>
        </row>
        <row r="2516">
          <cell r="B2516">
            <v>20119059</v>
          </cell>
          <cell r="U2516" t="str">
            <v>FABIAN CONCHA</v>
          </cell>
        </row>
        <row r="2517">
          <cell r="B2517">
            <v>20119060</v>
          </cell>
          <cell r="U2517" t="str">
            <v>GINA PAOLA MEDINA FLOREZ</v>
          </cell>
        </row>
        <row r="2518">
          <cell r="B2518">
            <v>20119062</v>
          </cell>
          <cell r="U2518" t="str">
            <v>IVONNE JINETH RODRIGUEZ ROJAS</v>
          </cell>
        </row>
        <row r="2519">
          <cell r="B2519">
            <v>20119067</v>
          </cell>
          <cell r="U2519" t="str">
            <v>HEIDY LORENA PRIETO AHUMADA</v>
          </cell>
        </row>
        <row r="2520">
          <cell r="B2520">
            <v>20119069</v>
          </cell>
          <cell r="U2520" t="str">
            <v>MARSHIA MILENA JIMéNEZ GóMEZ</v>
          </cell>
        </row>
        <row r="2521">
          <cell r="B2521">
            <v>20119071</v>
          </cell>
          <cell r="U2521" t="str">
            <v>FABIAN CONCHA</v>
          </cell>
        </row>
        <row r="2522">
          <cell r="B2522">
            <v>20119075</v>
          </cell>
          <cell r="U2522" t="str">
            <v>HEIDY LORENA PRIETO AHUMADA</v>
          </cell>
        </row>
        <row r="2523">
          <cell r="B2523">
            <v>20119079</v>
          </cell>
          <cell r="U2523" t="str">
            <v>JOHAN SEBASTIAN PARDEYN AGUILAR</v>
          </cell>
        </row>
        <row r="2524">
          <cell r="B2524">
            <v>20119082</v>
          </cell>
          <cell r="U2524" t="str">
            <v>IVONNE JINETH RODRIGUEZ ROJAS</v>
          </cell>
        </row>
        <row r="2525">
          <cell r="B2525">
            <v>20119085</v>
          </cell>
          <cell r="U2525" t="str">
            <v>IVONNE JINETH RODRIGUEZ ROJAS</v>
          </cell>
        </row>
        <row r="2526">
          <cell r="B2526">
            <v>20119088</v>
          </cell>
          <cell r="U2526" t="str">
            <v>HEIDY LORENA PRIETO AHUMADA</v>
          </cell>
        </row>
        <row r="2527">
          <cell r="B2527">
            <v>20119093</v>
          </cell>
          <cell r="U2527" t="str">
            <v>JAVIER ORLANDO HERNANDEZ RIVERA</v>
          </cell>
        </row>
        <row r="2528">
          <cell r="B2528">
            <v>20119096</v>
          </cell>
          <cell r="U2528" t="str">
            <v>IVONNE JINETH RODRIGUEZ ROJAS</v>
          </cell>
        </row>
        <row r="2529">
          <cell r="B2529">
            <v>20119099</v>
          </cell>
          <cell r="U2529" t="str">
            <v>JEISSON FABIAN MOLINA CIRO</v>
          </cell>
        </row>
        <row r="2530">
          <cell r="B2530">
            <v>20119102</v>
          </cell>
          <cell r="U2530" t="str">
            <v>NELSON JAVIER MORERA RINCON</v>
          </cell>
        </row>
        <row r="2531">
          <cell r="B2531">
            <v>20119107</v>
          </cell>
          <cell r="U2531" t="str">
            <v>PAOLA ANDREA CALDERON CETINA</v>
          </cell>
        </row>
        <row r="2532">
          <cell r="B2532">
            <v>20119108</v>
          </cell>
          <cell r="U2532" t="str">
            <v>FABIAN CONCHA</v>
          </cell>
        </row>
        <row r="2533">
          <cell r="B2533">
            <v>20119135</v>
          </cell>
          <cell r="U2533" t="str">
            <v>GINA PAOLA MEDINA FLOREZ</v>
          </cell>
        </row>
        <row r="2534">
          <cell r="B2534">
            <v>20119136</v>
          </cell>
          <cell r="U2534" t="str">
            <v>JAVIER ORLANDO HERNANDEZ RIVERA</v>
          </cell>
        </row>
        <row r="2535">
          <cell r="B2535">
            <v>20119140</v>
          </cell>
          <cell r="U2535" t="str">
            <v>IVONNE JINETH RODRIGUEZ ROJAS</v>
          </cell>
        </row>
        <row r="2536">
          <cell r="B2536">
            <v>20119142</v>
          </cell>
          <cell r="U2536" t="str">
            <v>CATALINA PACHECO BURGOS</v>
          </cell>
        </row>
        <row r="2537">
          <cell r="B2537">
            <v>20119151</v>
          </cell>
          <cell r="U2537" t="str">
            <v/>
          </cell>
        </row>
        <row r="2538">
          <cell r="B2538">
            <v>20119160</v>
          </cell>
          <cell r="U2538" t="str">
            <v>HEIDY LORENA PRIETO AHUMADA</v>
          </cell>
        </row>
        <row r="2539">
          <cell r="B2539">
            <v>20119161</v>
          </cell>
          <cell r="U2539" t="str">
            <v>NELSON JAVIER MORERA RINCON</v>
          </cell>
        </row>
        <row r="2540">
          <cell r="B2540">
            <v>20119163</v>
          </cell>
          <cell r="U2540" t="str">
            <v>HEIDY LORENA PRIETO AHUMADA</v>
          </cell>
        </row>
        <row r="2541">
          <cell r="B2541">
            <v>20119167</v>
          </cell>
          <cell r="U2541" t="str">
            <v>MARSHIA MILENA JIMéNEZ GóMEZ</v>
          </cell>
        </row>
        <row r="2542">
          <cell r="B2542">
            <v>20119169</v>
          </cell>
          <cell r="U2542" t="str">
            <v>PAOLA ANDREA CALDERON CETINA</v>
          </cell>
        </row>
        <row r="2543">
          <cell r="B2543">
            <v>20119171</v>
          </cell>
          <cell r="U2543" t="str">
            <v>PAOLA ANDREA CALDERON CETINA</v>
          </cell>
        </row>
        <row r="2544">
          <cell r="B2544">
            <v>20119172</v>
          </cell>
          <cell r="U2544" t="str">
            <v>IVONNE JINETH RODRIGUEZ ROJAS</v>
          </cell>
        </row>
        <row r="2545">
          <cell r="B2545">
            <v>20119182</v>
          </cell>
          <cell r="U2545" t="str">
            <v>JAVIER ORLANDO HERNANDEZ RIVERA</v>
          </cell>
        </row>
        <row r="2546">
          <cell r="B2546">
            <v>20119184</v>
          </cell>
          <cell r="U2546" t="str">
            <v>IVONNE JINETH RODRIGUEZ ROJAS</v>
          </cell>
        </row>
        <row r="2547">
          <cell r="B2547">
            <v>20119186</v>
          </cell>
          <cell r="U2547" t="str">
            <v>JAVIER ORLANDO HERNANDEZ RIVERA</v>
          </cell>
        </row>
        <row r="2548">
          <cell r="B2548">
            <v>20119206</v>
          </cell>
          <cell r="U2548" t="str">
            <v>IVONNE JINETH RODRIGUEZ ROJAS</v>
          </cell>
        </row>
        <row r="2549">
          <cell r="B2549">
            <v>20119210</v>
          </cell>
          <cell r="U2549" t="str">
            <v>GINA PAOLA MEDINA FLOREZ</v>
          </cell>
        </row>
        <row r="2550">
          <cell r="B2550">
            <v>20119212</v>
          </cell>
          <cell r="U2550" t="str">
            <v>MARSHIA MILENA JIMéNEZ GóMEZ</v>
          </cell>
        </row>
        <row r="2551">
          <cell r="B2551">
            <v>20119215</v>
          </cell>
          <cell r="U2551" t="str">
            <v>JEISSON FABIAN MOLINA CIRO</v>
          </cell>
        </row>
        <row r="2552">
          <cell r="B2552">
            <v>20119228</v>
          </cell>
          <cell r="U2552" t="str">
            <v>JOVANNY ALEXANDER BENAVIDES APRAEZ</v>
          </cell>
        </row>
        <row r="2553">
          <cell r="B2553">
            <v>20119234</v>
          </cell>
          <cell r="U2553" t="str">
            <v>JOHAN SEBASTIAN PARDEYN AGUILAR</v>
          </cell>
        </row>
        <row r="2554">
          <cell r="B2554">
            <v>20119237</v>
          </cell>
          <cell r="U2554" t="str">
            <v>CATALINA PACHECO BURGOS</v>
          </cell>
        </row>
        <row r="2555">
          <cell r="B2555">
            <v>20119239</v>
          </cell>
          <cell r="U2555" t="str">
            <v>IVONNE JINETH RODRIGUEZ ROJAS</v>
          </cell>
        </row>
        <row r="2556">
          <cell r="B2556">
            <v>20119242</v>
          </cell>
          <cell r="U2556" t="str">
            <v>IVONNE JINETH RODRIGUEZ ROJAS</v>
          </cell>
        </row>
        <row r="2557">
          <cell r="B2557">
            <v>20119243</v>
          </cell>
          <cell r="U2557" t="str">
            <v>FABIAN CONCHA</v>
          </cell>
        </row>
        <row r="2558">
          <cell r="B2558">
            <v>20119244</v>
          </cell>
          <cell r="U2558" t="str">
            <v>FABIAN CONCHA</v>
          </cell>
        </row>
        <row r="2559">
          <cell r="B2559">
            <v>20119249</v>
          </cell>
          <cell r="U2559" t="str">
            <v>HEIDY LORENA PRIETO AHUMADA</v>
          </cell>
        </row>
        <row r="2560">
          <cell r="B2560">
            <v>20119250</v>
          </cell>
          <cell r="U2560" t="str">
            <v>JAVIER ORLANDO HERNANDEZ RIVERA</v>
          </cell>
        </row>
        <row r="2561">
          <cell r="B2561">
            <v>20119261</v>
          </cell>
          <cell r="U2561" t="str">
            <v>MARSHIA MILENA JIMéNEZ GóMEZ</v>
          </cell>
        </row>
        <row r="2562">
          <cell r="B2562">
            <v>20119264</v>
          </cell>
          <cell r="U2562" t="str">
            <v>JAVIER ORLANDO HERNANDEZ RIVERA</v>
          </cell>
        </row>
        <row r="2563">
          <cell r="B2563">
            <v>20119273</v>
          </cell>
          <cell r="U2563" t="str">
            <v>FABIAN CONCHA</v>
          </cell>
        </row>
        <row r="2564">
          <cell r="B2564">
            <v>20119278</v>
          </cell>
          <cell r="U2564" t="str">
            <v>IVONNE JINETH RODRIGUEZ ROJAS</v>
          </cell>
        </row>
        <row r="2565">
          <cell r="B2565">
            <v>20119284</v>
          </cell>
          <cell r="U2565" t="str">
            <v>FABIAN CONCHA</v>
          </cell>
        </row>
        <row r="2566">
          <cell r="B2566">
            <v>20119285</v>
          </cell>
          <cell r="U2566" t="str">
            <v>JEISSON FABIAN MOLINA CIRO</v>
          </cell>
        </row>
        <row r="2567">
          <cell r="B2567">
            <v>20119286</v>
          </cell>
          <cell r="U2567" t="str">
            <v>FABIAN CONCHA</v>
          </cell>
        </row>
        <row r="2568">
          <cell r="B2568">
            <v>20119288</v>
          </cell>
          <cell r="U2568" t="str">
            <v>PAOLA ANDREA CALDERON CETINA</v>
          </cell>
        </row>
        <row r="2569">
          <cell r="B2569">
            <v>20119289</v>
          </cell>
          <cell r="U2569" t="str">
            <v>JOVANNY ALEXANDER BENAVIDES APRAEZ</v>
          </cell>
        </row>
        <row r="2570">
          <cell r="B2570">
            <v>20119291</v>
          </cell>
          <cell r="U2570" t="str">
            <v>JEISSON FABIAN MOLINA CIRO</v>
          </cell>
        </row>
        <row r="2571">
          <cell r="B2571">
            <v>20119300</v>
          </cell>
          <cell r="U2571" t="str">
            <v>JEISSON FABIAN MOLINA CIRO</v>
          </cell>
        </row>
        <row r="2572">
          <cell r="B2572">
            <v>20119302</v>
          </cell>
          <cell r="U2572" t="str">
            <v>NELSON JAVIER MORERA RINCON</v>
          </cell>
        </row>
        <row r="2573">
          <cell r="B2573">
            <v>20119307</v>
          </cell>
          <cell r="U2573" t="str">
            <v>ANGIE LIZETH GARZON GARCIA</v>
          </cell>
        </row>
        <row r="2574">
          <cell r="B2574">
            <v>20119312</v>
          </cell>
          <cell r="U2574" t="str">
            <v>JEISSON FABIAN MOLINA CIRO</v>
          </cell>
        </row>
        <row r="2575">
          <cell r="B2575">
            <v>20119326</v>
          </cell>
          <cell r="U2575" t="str">
            <v>JOVANNY ALEXANDER BENAVIDES APRAEZ</v>
          </cell>
        </row>
        <row r="2576">
          <cell r="B2576">
            <v>20119334</v>
          </cell>
          <cell r="U2576" t="str">
            <v>HEIDY LORENA PRIETO AHUMADA</v>
          </cell>
        </row>
        <row r="2577">
          <cell r="B2577">
            <v>20119346</v>
          </cell>
          <cell r="U2577" t="str">
            <v>IVONNE JINETH RODRIGUEZ ROJAS</v>
          </cell>
        </row>
        <row r="2578">
          <cell r="B2578">
            <v>20119348</v>
          </cell>
          <cell r="U2578" t="str">
            <v>FABIAN CONCHA</v>
          </cell>
        </row>
        <row r="2579">
          <cell r="B2579">
            <v>20119352</v>
          </cell>
          <cell r="U2579" t="str">
            <v>JAVIER ORLANDO HERNANDEZ RIVERA</v>
          </cell>
        </row>
        <row r="2580">
          <cell r="B2580">
            <v>20119381</v>
          </cell>
          <cell r="U2580" t="str">
            <v>JAVIER ORLANDO HERNANDEZ RIVERA</v>
          </cell>
        </row>
        <row r="2581">
          <cell r="B2581">
            <v>20119398</v>
          </cell>
          <cell r="U2581" t="str">
            <v>JAVIER ORLANDO HERNANDEZ RIVERA</v>
          </cell>
        </row>
        <row r="2582">
          <cell r="B2582">
            <v>20119399</v>
          </cell>
          <cell r="U2582" t="e">
            <v>#N/A</v>
          </cell>
        </row>
        <row r="2583">
          <cell r="B2583">
            <v>20119440</v>
          </cell>
          <cell r="U2583" t="str">
            <v>PAOLA ANDREA CALDERON CETINA</v>
          </cell>
        </row>
        <row r="2584">
          <cell r="B2584">
            <v>20119462</v>
          </cell>
          <cell r="U2584" t="str">
            <v>JOVANNY ALEXANDER BENAVIDES APRAEZ</v>
          </cell>
        </row>
        <row r="2585">
          <cell r="B2585">
            <v>20119490</v>
          </cell>
          <cell r="U2585" t="str">
            <v>PAOLA ANDREA CALDERON CETINA</v>
          </cell>
        </row>
        <row r="2586">
          <cell r="B2586">
            <v>20119491</v>
          </cell>
          <cell r="U2586" t="str">
            <v>FABIAN CONCHA</v>
          </cell>
        </row>
        <row r="2587">
          <cell r="B2587">
            <v>20119503</v>
          </cell>
          <cell r="U2587" t="str">
            <v>JEISSON FABIAN MOLINA CIRO</v>
          </cell>
        </row>
        <row r="2588">
          <cell r="B2588">
            <v>20119539</v>
          </cell>
          <cell r="U2588" t="str">
            <v>GINA PAOLA MEDINA FLOREZ</v>
          </cell>
        </row>
        <row r="2589">
          <cell r="B2589">
            <v>20119540</v>
          </cell>
          <cell r="U2589" t="str">
            <v>NELSON JAVIER MORERA RINCON</v>
          </cell>
        </row>
        <row r="2590">
          <cell r="B2590">
            <v>20119551</v>
          </cell>
          <cell r="U2590" t="str">
            <v>CATALINA PACHECO BURGOS</v>
          </cell>
        </row>
        <row r="2591">
          <cell r="B2591">
            <v>20119571</v>
          </cell>
          <cell r="U2591" t="str">
            <v>HEIDY LORENA PRIETO AHUMADA</v>
          </cell>
        </row>
        <row r="2592">
          <cell r="B2592">
            <v>20119583</v>
          </cell>
          <cell r="U2592" t="str">
            <v>IVONNE JINETH RODRIGUEZ ROJAS</v>
          </cell>
        </row>
        <row r="2593">
          <cell r="B2593">
            <v>20119601</v>
          </cell>
          <cell r="U2593" t="str">
            <v>JEISSON FABIAN MOLINA CIRO</v>
          </cell>
        </row>
        <row r="2594">
          <cell r="B2594">
            <v>20119613</v>
          </cell>
          <cell r="U2594" t="str">
            <v>CATALINA PACHECO BURGOS</v>
          </cell>
        </row>
        <row r="2595">
          <cell r="B2595">
            <v>20119622</v>
          </cell>
          <cell r="U2595" t="str">
            <v>JAVIER ORLANDO HERNANDEZ RIVERA</v>
          </cell>
        </row>
        <row r="2596">
          <cell r="B2596">
            <v>20119637</v>
          </cell>
          <cell r="U2596" t="str">
            <v>IVONNE JINETH RODRIGUEZ ROJAS</v>
          </cell>
        </row>
        <row r="2597">
          <cell r="B2597">
            <v>20119644</v>
          </cell>
          <cell r="U2597" t="str">
            <v>PAOLA ANDREA CALDERON CETINA</v>
          </cell>
        </row>
        <row r="2598">
          <cell r="B2598">
            <v>20119650</v>
          </cell>
          <cell r="U2598" t="str">
            <v>ANGIE LIZETH GARZON GARCIA</v>
          </cell>
        </row>
        <row r="2599">
          <cell r="B2599">
            <v>20119665</v>
          </cell>
          <cell r="U2599" t="str">
            <v>IVONNE JINETH RODRIGUEZ ROJAS</v>
          </cell>
        </row>
        <row r="2600">
          <cell r="B2600">
            <v>20119702</v>
          </cell>
          <cell r="U2600" t="str">
            <v>FABIAN CONCHA</v>
          </cell>
        </row>
        <row r="2601">
          <cell r="B2601">
            <v>20119707</v>
          </cell>
          <cell r="U2601" t="str">
            <v>JAVIER ORLANDO HERNANDEZ RIVERA</v>
          </cell>
        </row>
        <row r="2602">
          <cell r="B2602">
            <v>20119737</v>
          </cell>
          <cell r="U2602" t="str">
            <v>JOHAN SEBASTIAN PARDEYN AGUILAR</v>
          </cell>
        </row>
        <row r="2603">
          <cell r="B2603">
            <v>20119753</v>
          </cell>
          <cell r="U2603" t="str">
            <v>JEISSON FABIAN MOLINA CIRO</v>
          </cell>
        </row>
        <row r="2604">
          <cell r="B2604">
            <v>20119782</v>
          </cell>
          <cell r="U2604" t="str">
            <v>GINA PAOLA MEDINA FLOREZ</v>
          </cell>
        </row>
        <row r="2605">
          <cell r="B2605">
            <v>20119802</v>
          </cell>
          <cell r="U2605" t="str">
            <v>JEISSON FABIAN MOLINA CIRO</v>
          </cell>
        </row>
        <row r="2606">
          <cell r="B2606">
            <v>20119805</v>
          </cell>
          <cell r="U2606" t="str">
            <v>JAVIER ORLANDO HERNANDEZ RIVERA</v>
          </cell>
        </row>
        <row r="2607">
          <cell r="B2607">
            <v>20119814</v>
          </cell>
          <cell r="U2607" t="str">
            <v>MARSHIA MILENA JIMéNEZ GóMEZ</v>
          </cell>
        </row>
        <row r="2608">
          <cell r="B2608">
            <v>20119817</v>
          </cell>
          <cell r="U2608" t="str">
            <v/>
          </cell>
        </row>
        <row r="2609">
          <cell r="B2609">
            <v>20119831</v>
          </cell>
          <cell r="U2609" t="str">
            <v>CATALINA PACHECO BURGOS</v>
          </cell>
        </row>
        <row r="2610">
          <cell r="B2610">
            <v>20119832</v>
          </cell>
          <cell r="U2610" t="str">
            <v>PAOLA ANDREA CALDERON CETINA</v>
          </cell>
        </row>
        <row r="2611">
          <cell r="B2611">
            <v>20119837</v>
          </cell>
          <cell r="U2611" t="str">
            <v>FABIAN CONCHA</v>
          </cell>
        </row>
        <row r="2612">
          <cell r="B2612">
            <v>20119839</v>
          </cell>
          <cell r="U2612" t="str">
            <v>NELSON JAVIER MORERA RINCON</v>
          </cell>
        </row>
        <row r="2613">
          <cell r="B2613">
            <v>20119847</v>
          </cell>
          <cell r="U2613" t="str">
            <v>FABIAN CONCHA</v>
          </cell>
        </row>
        <row r="2614">
          <cell r="B2614">
            <v>20119850</v>
          </cell>
          <cell r="U2614" t="str">
            <v/>
          </cell>
        </row>
        <row r="2615">
          <cell r="B2615">
            <v>20119854</v>
          </cell>
          <cell r="U2615" t="str">
            <v>GINA PAOLA MEDINA FLOREZ</v>
          </cell>
        </row>
        <row r="2616">
          <cell r="B2616">
            <v>20119860</v>
          </cell>
          <cell r="U2616" t="str">
            <v>IVONNE JINETH RODRIGUEZ ROJAS</v>
          </cell>
        </row>
        <row r="2617">
          <cell r="B2617">
            <v>20119865</v>
          </cell>
          <cell r="U2617" t="str">
            <v>IVONNE JINETH RODRIGUEZ ROJAS</v>
          </cell>
        </row>
        <row r="2618">
          <cell r="B2618">
            <v>20119867</v>
          </cell>
          <cell r="U2618" t="str">
            <v>IVONNE JINETH RODRIGUEZ ROJAS</v>
          </cell>
        </row>
        <row r="2619">
          <cell r="B2619">
            <v>20119871</v>
          </cell>
          <cell r="U2619" t="str">
            <v>MARSHIA MILENA JIMéNEZ GóMEZ</v>
          </cell>
        </row>
        <row r="2620">
          <cell r="B2620">
            <v>20119874</v>
          </cell>
          <cell r="U2620" t="str">
            <v>PAOLA ANDREA CALDERON CETINA</v>
          </cell>
        </row>
        <row r="2621">
          <cell r="B2621">
            <v>20119881</v>
          </cell>
          <cell r="U2621" t="str">
            <v>PAOLA ANDREA CALDERON CETINA</v>
          </cell>
        </row>
        <row r="2622">
          <cell r="B2622">
            <v>20119894</v>
          </cell>
          <cell r="U2622" t="str">
            <v>MARSHIA MILENA JIMéNEZ GóMEZ</v>
          </cell>
        </row>
        <row r="2623">
          <cell r="B2623">
            <v>20119900</v>
          </cell>
          <cell r="U2623" t="str">
            <v>JAVIER ORLANDO HERNANDEZ RIVERA</v>
          </cell>
        </row>
        <row r="2624">
          <cell r="B2624">
            <v>20119910</v>
          </cell>
          <cell r="U2624" t="str">
            <v>IVONNE JINETH RODRIGUEZ ROJAS</v>
          </cell>
        </row>
        <row r="2625">
          <cell r="B2625">
            <v>20119953</v>
          </cell>
          <cell r="U2625" t="str">
            <v>IVONNE JINETH RODRIGUEZ ROJAS</v>
          </cell>
        </row>
        <row r="2626">
          <cell r="B2626">
            <v>20119970</v>
          </cell>
          <cell r="U2626" t="str">
            <v>IVONNE JINETH RODRIGUEZ ROJAS</v>
          </cell>
        </row>
        <row r="2627">
          <cell r="B2627">
            <v>20119978</v>
          </cell>
          <cell r="U2627" t="str">
            <v>PAOLA ANDREA CALDERON CETINA</v>
          </cell>
        </row>
        <row r="2628">
          <cell r="B2628">
            <v>20119980</v>
          </cell>
          <cell r="U2628" t="str">
            <v>GINA PAOLA MEDINA FLOREZ</v>
          </cell>
        </row>
        <row r="2629">
          <cell r="B2629">
            <v>20119986</v>
          </cell>
          <cell r="U2629" t="str">
            <v>MARSHIA MILENA JIMéNEZ GóMEZ</v>
          </cell>
        </row>
        <row r="2630">
          <cell r="B2630">
            <v>20119989</v>
          </cell>
          <cell r="U2630" t="str">
            <v>ANGIE LIZETH GARZON GARCIA</v>
          </cell>
        </row>
        <row r="2631">
          <cell r="B2631">
            <v>20119994</v>
          </cell>
          <cell r="U2631" t="str">
            <v>GINA PAOLA MEDINA FLOREZ</v>
          </cell>
        </row>
        <row r="2632">
          <cell r="B2632">
            <v>20120024</v>
          </cell>
          <cell r="U2632" t="str">
            <v>IVONNE JINETH RODRIGUEZ ROJAS</v>
          </cell>
        </row>
        <row r="2633">
          <cell r="B2633">
            <v>20120027</v>
          </cell>
          <cell r="U2633" t="str">
            <v>FABIAN CONCHA</v>
          </cell>
        </row>
        <row r="2634">
          <cell r="B2634">
            <v>20120035</v>
          </cell>
          <cell r="U2634" t="str">
            <v>JAVIER ORLANDO HERNANDEZ RIVERA</v>
          </cell>
        </row>
        <row r="2635">
          <cell r="B2635">
            <v>20120036</v>
          </cell>
          <cell r="U2635" t="str">
            <v>NELSON JAVIER MORERA RINCON</v>
          </cell>
        </row>
        <row r="2636">
          <cell r="B2636">
            <v>20120039</v>
          </cell>
          <cell r="U2636" t="str">
            <v>JOHAN SEBASTIAN PARDEYN AGUILAR</v>
          </cell>
        </row>
        <row r="2637">
          <cell r="B2637">
            <v>20120044</v>
          </cell>
          <cell r="U2637" t="str">
            <v>IVONNE JINETH RODRIGUEZ ROJAS</v>
          </cell>
        </row>
        <row r="2638">
          <cell r="B2638">
            <v>20120049</v>
          </cell>
          <cell r="U2638" t="str">
            <v>IVONNE JINETH RODRIGUEZ ROJAS</v>
          </cell>
        </row>
        <row r="2639">
          <cell r="B2639">
            <v>20120083</v>
          </cell>
          <cell r="U2639" t="str">
            <v>JEISSON FABIAN MOLINA CIRO</v>
          </cell>
        </row>
        <row r="2640">
          <cell r="B2640">
            <v>20120093</v>
          </cell>
          <cell r="U2640" t="str">
            <v>JEISSON FABIAN MOLINA CIRO</v>
          </cell>
        </row>
        <row r="2641">
          <cell r="B2641">
            <v>20120100</v>
          </cell>
          <cell r="U2641" t="str">
            <v>IVONNE JINETH RODRIGUEZ ROJAS</v>
          </cell>
        </row>
        <row r="2642">
          <cell r="B2642">
            <v>20120111</v>
          </cell>
          <cell r="U2642" t="str">
            <v>FABIAN CONCHA</v>
          </cell>
        </row>
        <row r="2643">
          <cell r="B2643">
            <v>20120123</v>
          </cell>
          <cell r="U2643" t="str">
            <v>IVONNE JINETH RODRIGUEZ ROJAS</v>
          </cell>
        </row>
        <row r="2644">
          <cell r="B2644">
            <v>20120125</v>
          </cell>
          <cell r="U2644" t="str">
            <v>JEISSON FABIAN MOLINA CIRO</v>
          </cell>
        </row>
        <row r="2645">
          <cell r="B2645">
            <v>20120128</v>
          </cell>
          <cell r="U2645" t="str">
            <v>JEISSON FABIAN MOLINA CIRO</v>
          </cell>
        </row>
        <row r="2646">
          <cell r="B2646">
            <v>20120130</v>
          </cell>
          <cell r="U2646" t="str">
            <v>FABIAN CONCHA</v>
          </cell>
        </row>
        <row r="2647">
          <cell r="B2647">
            <v>20120134</v>
          </cell>
          <cell r="U2647" t="str">
            <v>NELSON JAVIER MORERA RINCON</v>
          </cell>
        </row>
        <row r="2648">
          <cell r="B2648">
            <v>20120135</v>
          </cell>
          <cell r="U2648" t="str">
            <v>JAVIER ORLANDO HERNANDEZ RIVERA</v>
          </cell>
        </row>
        <row r="2649">
          <cell r="B2649">
            <v>20120146</v>
          </cell>
          <cell r="U2649" t="str">
            <v>ANGIE LIZETH GARZON GARCIA</v>
          </cell>
        </row>
        <row r="2650">
          <cell r="B2650">
            <v>20120154</v>
          </cell>
          <cell r="U2650" t="str">
            <v>IVONNE JINETH RODRIGUEZ ROJAS</v>
          </cell>
        </row>
        <row r="2651">
          <cell r="B2651">
            <v>20120165</v>
          </cell>
          <cell r="U2651" t="str">
            <v>IVONNE JINETH RODRIGUEZ ROJAS</v>
          </cell>
        </row>
        <row r="2652">
          <cell r="B2652">
            <v>20120171</v>
          </cell>
          <cell r="U2652" t="str">
            <v>IVONNE JINETH RODRIGUEZ ROJAS</v>
          </cell>
        </row>
        <row r="2653">
          <cell r="B2653">
            <v>20120174</v>
          </cell>
          <cell r="U2653" t="str">
            <v>JAVIER ORLANDO HERNANDEZ RIVERA</v>
          </cell>
        </row>
        <row r="2654">
          <cell r="B2654">
            <v>20120176</v>
          </cell>
          <cell r="U2654" t="str">
            <v>JEISSON FABIAN MOLINA CIRO</v>
          </cell>
        </row>
        <row r="2655">
          <cell r="B2655">
            <v>20120182</v>
          </cell>
          <cell r="U2655" t="str">
            <v>PAOLA ANDREA CALDERON CETINA</v>
          </cell>
        </row>
        <row r="2656">
          <cell r="B2656">
            <v>20120187</v>
          </cell>
          <cell r="U2656" t="str">
            <v>JEISSON FABIAN MOLINA CIRO</v>
          </cell>
        </row>
        <row r="2657">
          <cell r="B2657">
            <v>20120197</v>
          </cell>
          <cell r="U2657" t="str">
            <v>MARSHIA MILENA JIMéNEZ GóMEZ</v>
          </cell>
        </row>
        <row r="2658">
          <cell r="B2658">
            <v>20120200</v>
          </cell>
          <cell r="U2658" t="str">
            <v>MARSHIA MILENA JIMéNEZ GóMEZ</v>
          </cell>
        </row>
        <row r="2659">
          <cell r="B2659">
            <v>20120230</v>
          </cell>
          <cell r="U2659" t="str">
            <v>FABIAN CONCHA</v>
          </cell>
        </row>
        <row r="2660">
          <cell r="B2660">
            <v>20120233</v>
          </cell>
          <cell r="U2660" t="str">
            <v>GINA PAOLA MEDINA FLOREZ</v>
          </cell>
        </row>
        <row r="2661">
          <cell r="B2661">
            <v>20120238</v>
          </cell>
          <cell r="U2661" t="str">
            <v>JAVIER ORLANDO HERNANDEZ RIVERA</v>
          </cell>
        </row>
        <row r="2662">
          <cell r="B2662">
            <v>20120245</v>
          </cell>
          <cell r="U2662" t="str">
            <v>FABIAN CONCHA</v>
          </cell>
        </row>
        <row r="2663">
          <cell r="B2663">
            <v>20120277</v>
          </cell>
          <cell r="U2663" t="str">
            <v>JEISSON FABIAN MOLINA CIRO</v>
          </cell>
        </row>
        <row r="2664">
          <cell r="B2664">
            <v>20120278</v>
          </cell>
          <cell r="U2664" t="str">
            <v>MARSHIA MILENA JIMéNEZ GóMEZ</v>
          </cell>
        </row>
        <row r="2665">
          <cell r="B2665">
            <v>20120279</v>
          </cell>
          <cell r="U2665" t="str">
            <v>NELSON JAVIER MORERA RINCON</v>
          </cell>
        </row>
        <row r="2666">
          <cell r="B2666">
            <v>20120284</v>
          </cell>
          <cell r="U2666" t="str">
            <v>GINA PAOLA MEDINA FLOREZ</v>
          </cell>
        </row>
        <row r="2667">
          <cell r="B2667">
            <v>20120295</v>
          </cell>
          <cell r="U2667" t="str">
            <v>JAVIER ORLANDO HERNANDEZ RIVERA</v>
          </cell>
        </row>
        <row r="2668">
          <cell r="B2668">
            <v>20120301</v>
          </cell>
          <cell r="U2668" t="str">
            <v>GINA PAOLA MEDINA FLOREZ</v>
          </cell>
        </row>
        <row r="2669">
          <cell r="B2669">
            <v>20120313</v>
          </cell>
          <cell r="U2669" t="str">
            <v>JOVANNY ALEXANDER BENAVIDES APRAEZ</v>
          </cell>
        </row>
        <row r="2670">
          <cell r="B2670">
            <v>20120317</v>
          </cell>
          <cell r="U2670" t="str">
            <v>NELSON JAVIER MORERA RINCON</v>
          </cell>
        </row>
        <row r="2671">
          <cell r="B2671">
            <v>20120321</v>
          </cell>
          <cell r="U2671" t="str">
            <v>JAVIER ORLANDO HERNANDEZ RIVERA</v>
          </cell>
        </row>
        <row r="2672">
          <cell r="B2672">
            <v>20120330</v>
          </cell>
          <cell r="U2672" t="str">
            <v>PAOLA ANDREA CALDERON CETINA</v>
          </cell>
        </row>
        <row r="2673">
          <cell r="B2673">
            <v>20120336</v>
          </cell>
          <cell r="U2673" t="str">
            <v>IVONNE JINETH RODRIGUEZ ROJAS</v>
          </cell>
        </row>
        <row r="2674">
          <cell r="B2674">
            <v>20120339</v>
          </cell>
          <cell r="U2674" t="str">
            <v>JEISSON FABIAN MOLINA CIRO</v>
          </cell>
        </row>
        <row r="2675">
          <cell r="B2675">
            <v>20120342</v>
          </cell>
          <cell r="U2675" t="str">
            <v>JAVIER ORLANDO HERNANDEZ RIVERA</v>
          </cell>
        </row>
        <row r="2676">
          <cell r="B2676">
            <v>20120346</v>
          </cell>
          <cell r="U2676" t="str">
            <v>JAVIER ORLANDO HERNANDEZ RIVERA</v>
          </cell>
        </row>
        <row r="2677">
          <cell r="B2677">
            <v>20120348</v>
          </cell>
          <cell r="U2677" t="str">
            <v>JEISSON FABIAN MOLINA CIRO</v>
          </cell>
        </row>
        <row r="2678">
          <cell r="B2678">
            <v>20120349</v>
          </cell>
          <cell r="U2678" t="str">
            <v>IVONNE JINETH RODRIGUEZ ROJAS</v>
          </cell>
        </row>
        <row r="2679">
          <cell r="B2679">
            <v>20120351</v>
          </cell>
          <cell r="U2679" t="str">
            <v>GINA PAOLA MEDINA FLOREZ</v>
          </cell>
        </row>
        <row r="2680">
          <cell r="B2680">
            <v>20120364</v>
          </cell>
          <cell r="U2680" t="str">
            <v>PAOLA ANDREA CALDERON CETINA</v>
          </cell>
        </row>
        <row r="2681">
          <cell r="B2681">
            <v>20120367</v>
          </cell>
          <cell r="U2681" t="str">
            <v>PAOLA ANDREA CALDERON CETINA</v>
          </cell>
        </row>
        <row r="2682">
          <cell r="B2682">
            <v>20120372</v>
          </cell>
          <cell r="U2682" t="str">
            <v>GINA PAOLA MEDINA FLOREZ</v>
          </cell>
        </row>
        <row r="2683">
          <cell r="B2683">
            <v>20120385</v>
          </cell>
          <cell r="U2683" t="str">
            <v>HEIDY LORENA PRIETO AHUMADA</v>
          </cell>
        </row>
        <row r="2684">
          <cell r="B2684">
            <v>20120390</v>
          </cell>
          <cell r="U2684" t="str">
            <v>MARSHIA MILENA JIMéNEZ GóMEZ</v>
          </cell>
        </row>
        <row r="2685">
          <cell r="B2685">
            <v>20120399</v>
          </cell>
          <cell r="U2685" t="str">
            <v>PAOLA ANDREA CALDERON CETINA</v>
          </cell>
        </row>
        <row r="2686">
          <cell r="B2686">
            <v>20120401</v>
          </cell>
          <cell r="U2686" t="str">
            <v>PAOLA ANDREA CALDERON CETINA</v>
          </cell>
        </row>
        <row r="2687">
          <cell r="B2687">
            <v>20120403</v>
          </cell>
          <cell r="U2687" t="str">
            <v>GINA PAOLA MEDINA FLOREZ</v>
          </cell>
        </row>
        <row r="2688">
          <cell r="B2688">
            <v>20120408</v>
          </cell>
          <cell r="U2688" t="str">
            <v>IVONNE JINETH RODRIGUEZ ROJAS</v>
          </cell>
        </row>
        <row r="2689">
          <cell r="B2689">
            <v>20120414</v>
          </cell>
          <cell r="U2689" t="str">
            <v>NELSON JAVIER MORERA RINCON</v>
          </cell>
        </row>
        <row r="2690">
          <cell r="B2690">
            <v>20120423</v>
          </cell>
          <cell r="U2690" t="str">
            <v>FABIAN CONCHA</v>
          </cell>
        </row>
        <row r="2691">
          <cell r="B2691">
            <v>20120427</v>
          </cell>
          <cell r="U2691" t="str">
            <v>FABIAN CONCHA</v>
          </cell>
        </row>
        <row r="2692">
          <cell r="B2692">
            <v>20120429</v>
          </cell>
          <cell r="U2692" t="str">
            <v>JEISSON FABIAN MOLINA CIRO</v>
          </cell>
        </row>
        <row r="2693">
          <cell r="B2693">
            <v>20120438</v>
          </cell>
          <cell r="U2693" t="str">
            <v>HEIDY LORENA PRIETO AHUMADA</v>
          </cell>
        </row>
        <row r="2694">
          <cell r="B2694">
            <v>20120441</v>
          </cell>
          <cell r="U2694" t="str">
            <v>JEISSON FABIAN MOLINA CIRO</v>
          </cell>
        </row>
        <row r="2695">
          <cell r="B2695">
            <v>20120444</v>
          </cell>
          <cell r="U2695" t="str">
            <v>FABIAN CONCHA</v>
          </cell>
        </row>
        <row r="2696">
          <cell r="B2696">
            <v>20120458</v>
          </cell>
          <cell r="U2696" t="str">
            <v>GINA PAOLA MEDINA FLOREZ</v>
          </cell>
        </row>
        <row r="2697">
          <cell r="B2697">
            <v>20120461</v>
          </cell>
          <cell r="U2697" t="str">
            <v>CATALINA PACHECO BURGOS</v>
          </cell>
        </row>
        <row r="2698">
          <cell r="B2698">
            <v>20120463</v>
          </cell>
          <cell r="U2698" t="str">
            <v>HEIDY LORENA PRIETO AHUMADA</v>
          </cell>
        </row>
        <row r="2699">
          <cell r="B2699">
            <v>20120464</v>
          </cell>
          <cell r="U2699" t="str">
            <v>CATALINA PACHECO BURGOS</v>
          </cell>
        </row>
        <row r="2700">
          <cell r="B2700">
            <v>20120466</v>
          </cell>
          <cell r="U2700" t="str">
            <v>JEISSON FABIAN MOLINA CIRO</v>
          </cell>
        </row>
        <row r="2701">
          <cell r="B2701">
            <v>20120480</v>
          </cell>
          <cell r="U2701" t="str">
            <v>JAVIER ORLANDO HERNANDEZ RIVERA</v>
          </cell>
        </row>
        <row r="2702">
          <cell r="B2702">
            <v>20120488</v>
          </cell>
          <cell r="U2702" t="str">
            <v>FABIAN CONCHA</v>
          </cell>
        </row>
        <row r="2703">
          <cell r="B2703">
            <v>20120489</v>
          </cell>
          <cell r="U2703" t="str">
            <v>FABIAN CONCHA</v>
          </cell>
        </row>
        <row r="2704">
          <cell r="B2704">
            <v>20120494</v>
          </cell>
          <cell r="U2704" t="str">
            <v>JAVIER ORLANDO HERNANDEZ RIVERA</v>
          </cell>
        </row>
        <row r="2705">
          <cell r="B2705">
            <v>20120496</v>
          </cell>
          <cell r="U2705" t="str">
            <v>IVONNE JINETH RODRIGUEZ ROJAS</v>
          </cell>
        </row>
        <row r="2706">
          <cell r="B2706">
            <v>20120504</v>
          </cell>
          <cell r="U2706" t="str">
            <v>MARSHIA MILENA JIMéNEZ GóMEZ</v>
          </cell>
        </row>
        <row r="2707">
          <cell r="B2707">
            <v>20120513</v>
          </cell>
          <cell r="U2707" t="str">
            <v>ANGIE LIZETH GARZON GARCIA</v>
          </cell>
        </row>
        <row r="2708">
          <cell r="B2708">
            <v>20120544</v>
          </cell>
          <cell r="U2708" t="str">
            <v>GINA PAOLA MEDINA FLOREZ</v>
          </cell>
        </row>
        <row r="2709">
          <cell r="B2709">
            <v>20120554</v>
          </cell>
          <cell r="U2709" t="str">
            <v>MARSHIA MILENA JIMéNEZ GóMEZ</v>
          </cell>
        </row>
        <row r="2710">
          <cell r="B2710">
            <v>20120557</v>
          </cell>
          <cell r="U2710" t="str">
            <v>JOVANNY ALEXANDER BENAVIDES APRAEZ</v>
          </cell>
        </row>
        <row r="2711">
          <cell r="B2711">
            <v>20120559</v>
          </cell>
          <cell r="U2711" t="str">
            <v>NELSON JAVIER MORERA RINCON</v>
          </cell>
        </row>
        <row r="2712">
          <cell r="B2712">
            <v>20120562</v>
          </cell>
          <cell r="U2712" t="str">
            <v>MARSHIA MILENA JIMéNEZ GóMEZ</v>
          </cell>
        </row>
        <row r="2713">
          <cell r="B2713">
            <v>20120574</v>
          </cell>
          <cell r="U2713" t="str">
            <v>MARSHIA MILENA JIMéNEZ GóMEZ</v>
          </cell>
        </row>
        <row r="2714">
          <cell r="B2714">
            <v>20120594</v>
          </cell>
          <cell r="U2714" t="str">
            <v>IVONNE JINETH RODRIGUEZ ROJAS</v>
          </cell>
        </row>
        <row r="2715">
          <cell r="B2715">
            <v>20120608</v>
          </cell>
          <cell r="U2715" t="str">
            <v>IVONNE JINETH RODRIGUEZ ROJAS</v>
          </cell>
        </row>
        <row r="2716">
          <cell r="B2716">
            <v>20120619</v>
          </cell>
          <cell r="U2716" t="str">
            <v>JAVIER ORLANDO HERNANDEZ RIVERA</v>
          </cell>
        </row>
        <row r="2717">
          <cell r="B2717">
            <v>20120620</v>
          </cell>
          <cell r="U2717" t="str">
            <v>FABIAN CONCHA</v>
          </cell>
        </row>
        <row r="2718">
          <cell r="B2718">
            <v>20120622</v>
          </cell>
          <cell r="U2718" t="str">
            <v>MARSHIA MILENA JIMéNEZ GóMEZ</v>
          </cell>
        </row>
        <row r="2719">
          <cell r="B2719">
            <v>20120627</v>
          </cell>
          <cell r="U2719" t="str">
            <v>NELSON JAVIER MORERA RINCON</v>
          </cell>
        </row>
        <row r="2720">
          <cell r="B2720">
            <v>20120629</v>
          </cell>
          <cell r="U2720" t="str">
            <v>JEISSON FABIAN MOLINA CIRO</v>
          </cell>
        </row>
        <row r="2721">
          <cell r="B2721">
            <v>20120630</v>
          </cell>
          <cell r="U2721" t="str">
            <v>MARSHIA MILENA JIMéNEZ GóMEZ</v>
          </cell>
        </row>
        <row r="2722">
          <cell r="B2722">
            <v>20120639</v>
          </cell>
          <cell r="U2722" t="str">
            <v>FABIAN CONCHA</v>
          </cell>
        </row>
        <row r="2723">
          <cell r="B2723">
            <v>20120649</v>
          </cell>
          <cell r="U2723" t="str">
            <v>NELSON JAVIER MORERA RINCON</v>
          </cell>
        </row>
        <row r="2724">
          <cell r="B2724">
            <v>20120652</v>
          </cell>
          <cell r="U2724" t="str">
            <v>NELSON JAVIER MORERA RINCON</v>
          </cell>
        </row>
        <row r="2725">
          <cell r="B2725">
            <v>20120664</v>
          </cell>
          <cell r="U2725" t="str">
            <v>ANGIE LIZETH GARZON GARCIA</v>
          </cell>
        </row>
        <row r="2726">
          <cell r="B2726">
            <v>20120687</v>
          </cell>
          <cell r="U2726" t="str">
            <v>HEIDY LORENA PRIETO AHUMADA</v>
          </cell>
        </row>
        <row r="2727">
          <cell r="B2727">
            <v>20120695</v>
          </cell>
          <cell r="U2727" t="str">
            <v>HEIDY LORENA PRIETO AHUMADA</v>
          </cell>
        </row>
        <row r="2728">
          <cell r="B2728">
            <v>20120704</v>
          </cell>
          <cell r="U2728" t="str">
            <v>PAOLA ANDREA CALDERON CETINA</v>
          </cell>
        </row>
        <row r="2729">
          <cell r="B2729">
            <v>20120708</v>
          </cell>
          <cell r="U2729" t="str">
            <v>FABIAN CONCHA</v>
          </cell>
        </row>
        <row r="2730">
          <cell r="B2730">
            <v>20120716</v>
          </cell>
          <cell r="U2730" t="str">
            <v>FABIAN CONCHA</v>
          </cell>
        </row>
        <row r="2731">
          <cell r="B2731">
            <v>20120724</v>
          </cell>
          <cell r="U2731" t="str">
            <v>IVONNE JINETH RODRIGUEZ ROJAS</v>
          </cell>
        </row>
        <row r="2732">
          <cell r="B2732">
            <v>20120725</v>
          </cell>
          <cell r="U2732" t="str">
            <v>JOHAN SEBASTIAN PARDEYN AGUILAR</v>
          </cell>
        </row>
        <row r="2733">
          <cell r="B2733">
            <v>20120727</v>
          </cell>
          <cell r="U2733" t="str">
            <v>HEIDY LORENA PRIETO AHUMADA</v>
          </cell>
        </row>
        <row r="2734">
          <cell r="B2734">
            <v>20120733</v>
          </cell>
          <cell r="U2734" t="str">
            <v>FABIAN CONCHA</v>
          </cell>
        </row>
        <row r="2735">
          <cell r="B2735">
            <v>20120753</v>
          </cell>
          <cell r="U2735" t="str">
            <v>GINA PAOLA MEDINA FLOREZ</v>
          </cell>
        </row>
        <row r="2736">
          <cell r="B2736">
            <v>20120759</v>
          </cell>
          <cell r="U2736" t="str">
            <v>ANGIE LIZETH GARZON GARCIA</v>
          </cell>
        </row>
        <row r="2737">
          <cell r="B2737">
            <v>20120763</v>
          </cell>
          <cell r="U2737" t="str">
            <v>JAVIER ORLANDO HERNANDEZ RIVERA</v>
          </cell>
        </row>
        <row r="2738">
          <cell r="B2738">
            <v>20120768</v>
          </cell>
          <cell r="U2738" t="str">
            <v>PAOLA ANDREA CALDERON CETINA</v>
          </cell>
        </row>
        <row r="2739">
          <cell r="B2739">
            <v>20120770</v>
          </cell>
          <cell r="U2739" t="str">
            <v>JAVIER ORLANDO HERNANDEZ RIVERA</v>
          </cell>
        </row>
        <row r="2740">
          <cell r="B2740">
            <v>20120772</v>
          </cell>
          <cell r="U2740" t="str">
            <v>MARSHIA MILENA JIMéNEZ GóMEZ</v>
          </cell>
        </row>
        <row r="2741">
          <cell r="B2741">
            <v>20120775</v>
          </cell>
          <cell r="U2741" t="str">
            <v>ANGIE LIZETH GARZON GARCIA</v>
          </cell>
        </row>
        <row r="2742">
          <cell r="B2742">
            <v>20120776</v>
          </cell>
          <cell r="U2742" t="str">
            <v>NELSON JAVIER MORERA RINCON</v>
          </cell>
        </row>
        <row r="2743">
          <cell r="B2743">
            <v>20120782</v>
          </cell>
          <cell r="U2743" t="str">
            <v>NELSON JAVIER MORERA RINCON</v>
          </cell>
        </row>
        <row r="2744">
          <cell r="B2744">
            <v>20120783</v>
          </cell>
          <cell r="U2744" t="str">
            <v>IVONNE JINETH RODRIGUEZ ROJAS</v>
          </cell>
        </row>
        <row r="2745">
          <cell r="B2745">
            <v>20120788</v>
          </cell>
          <cell r="U2745" t="str">
            <v>CATALINA PACHECO BURGOS</v>
          </cell>
        </row>
        <row r="2746">
          <cell r="B2746">
            <v>20120794</v>
          </cell>
          <cell r="U2746" t="str">
            <v>GINA PAOLA MEDINA FLOREZ</v>
          </cell>
        </row>
        <row r="2747">
          <cell r="B2747">
            <v>20120797</v>
          </cell>
          <cell r="U2747" t="str">
            <v>PAOLA ANDREA CALDERON CETINA</v>
          </cell>
        </row>
        <row r="2748">
          <cell r="B2748">
            <v>20120808</v>
          </cell>
          <cell r="U2748" t="str">
            <v>MARSHIA MILENA JIMéNEZ GóMEZ</v>
          </cell>
        </row>
        <row r="2749">
          <cell r="B2749">
            <v>20120815</v>
          </cell>
          <cell r="U2749" t="str">
            <v>PAOLA ANDREA CALDERON CETINA</v>
          </cell>
        </row>
        <row r="2750">
          <cell r="B2750">
            <v>20120818</v>
          </cell>
          <cell r="U2750" t="str">
            <v>NELSON JAVIER MORERA RINCON</v>
          </cell>
        </row>
        <row r="2751">
          <cell r="B2751">
            <v>20120821</v>
          </cell>
          <cell r="U2751" t="str">
            <v>JOHAN SEBASTIAN PARDEYN AGUILAR</v>
          </cell>
        </row>
        <row r="2752">
          <cell r="B2752">
            <v>20120823</v>
          </cell>
          <cell r="U2752" t="str">
            <v>GINA PAOLA MEDINA FLOREZ</v>
          </cell>
        </row>
        <row r="2753">
          <cell r="B2753">
            <v>20120824</v>
          </cell>
          <cell r="U2753" t="str">
            <v>CATALINA PACHECO BURGOS</v>
          </cell>
        </row>
        <row r="2754">
          <cell r="B2754">
            <v>20120826</v>
          </cell>
          <cell r="U2754" t="str">
            <v>IVONNE JINETH RODRIGUEZ ROJAS</v>
          </cell>
        </row>
        <row r="2755">
          <cell r="B2755">
            <v>20120827</v>
          </cell>
          <cell r="U2755" t="str">
            <v>NELSON JAVIER MORERA RINCON</v>
          </cell>
        </row>
        <row r="2756">
          <cell r="B2756">
            <v>20120836</v>
          </cell>
          <cell r="U2756" t="str">
            <v>CATALINA PACHECO BURGOS</v>
          </cell>
        </row>
        <row r="2757">
          <cell r="B2757">
            <v>20120838</v>
          </cell>
          <cell r="U2757" t="str">
            <v>MARSHIA MILENA JIMéNEZ GóMEZ</v>
          </cell>
        </row>
        <row r="2758">
          <cell r="B2758">
            <v>20120842</v>
          </cell>
          <cell r="U2758" t="str">
            <v>NELSON JAVIER MORERA RINCON</v>
          </cell>
        </row>
        <row r="2759">
          <cell r="B2759">
            <v>20120843</v>
          </cell>
          <cell r="U2759" t="str">
            <v>JAVIER ORLANDO HERNANDEZ RIVERA</v>
          </cell>
        </row>
        <row r="2760">
          <cell r="B2760">
            <v>20120849</v>
          </cell>
          <cell r="U2760" t="str">
            <v>HEIDY LORENA PRIETO AHUMADA</v>
          </cell>
        </row>
        <row r="2761">
          <cell r="B2761">
            <v>20120850</v>
          </cell>
          <cell r="U2761" t="str">
            <v>HEIDY LORENA PRIETO AHUMADA</v>
          </cell>
        </row>
        <row r="2762">
          <cell r="B2762">
            <v>20120855</v>
          </cell>
          <cell r="U2762" t="str">
            <v>GINA PAOLA MEDINA FLOREZ</v>
          </cell>
        </row>
        <row r="2763">
          <cell r="B2763">
            <v>20120856</v>
          </cell>
          <cell r="U2763" t="str">
            <v>NELSON JAVIER MORERA RINCON</v>
          </cell>
        </row>
        <row r="2764">
          <cell r="B2764">
            <v>20120858</v>
          </cell>
          <cell r="U2764" t="str">
            <v>IVONNE JINETH RODRIGUEZ ROJAS</v>
          </cell>
        </row>
        <row r="2765">
          <cell r="B2765">
            <v>20120861</v>
          </cell>
          <cell r="U2765" t="str">
            <v>MARSHIA MILENA JIMéNEZ GóMEZ</v>
          </cell>
        </row>
        <row r="2766">
          <cell r="B2766">
            <v>20120862</v>
          </cell>
          <cell r="U2766" t="str">
            <v>IVONNE JINETH RODRIGUEZ ROJAS</v>
          </cell>
        </row>
        <row r="2767">
          <cell r="B2767">
            <v>20120865</v>
          </cell>
          <cell r="U2767" t="str">
            <v>IVONNE JINETH RODRIGUEZ ROJAS</v>
          </cell>
        </row>
        <row r="2768">
          <cell r="B2768">
            <v>20120869</v>
          </cell>
          <cell r="U2768" t="str">
            <v>HEIDY LORENA PRIETO AHUMADA</v>
          </cell>
        </row>
        <row r="2769">
          <cell r="B2769">
            <v>20120880</v>
          </cell>
          <cell r="U2769" t="str">
            <v>IVONNE JINETH RODRIGUEZ ROJAS</v>
          </cell>
        </row>
        <row r="2770">
          <cell r="B2770">
            <v>20120884</v>
          </cell>
          <cell r="U2770" t="str">
            <v>PAOLA ANDREA CALDERON CETINA</v>
          </cell>
        </row>
        <row r="2771">
          <cell r="B2771">
            <v>20120885</v>
          </cell>
          <cell r="U2771" t="str">
            <v>IVONNE JINETH RODRIGUEZ ROJAS</v>
          </cell>
        </row>
        <row r="2772">
          <cell r="B2772">
            <v>20120886</v>
          </cell>
          <cell r="U2772" t="str">
            <v>MARSHIA MILENA JIMéNEZ GóMEZ</v>
          </cell>
        </row>
        <row r="2773">
          <cell r="B2773">
            <v>20120906</v>
          </cell>
          <cell r="U2773" t="str">
            <v>HEIDY LORENA PRIETO AHUMADA</v>
          </cell>
        </row>
        <row r="2774">
          <cell r="B2774">
            <v>20120920</v>
          </cell>
          <cell r="U2774" t="str">
            <v>IVONNE JINETH RODRIGUEZ ROJAS</v>
          </cell>
        </row>
        <row r="2775">
          <cell r="B2775">
            <v>20120925</v>
          </cell>
          <cell r="U2775" t="str">
            <v>JEISSON FABIAN MOLINA CIRO</v>
          </cell>
        </row>
        <row r="2776">
          <cell r="B2776">
            <v>20120930</v>
          </cell>
          <cell r="U2776" t="str">
            <v>IVONNE JINETH RODRIGUEZ ROJAS</v>
          </cell>
        </row>
        <row r="2777">
          <cell r="B2777">
            <v>20120931</v>
          </cell>
          <cell r="U2777" t="str">
            <v>MARSHIA MILENA JIMéNEZ GóMEZ</v>
          </cell>
        </row>
        <row r="2778">
          <cell r="B2778">
            <v>20120932</v>
          </cell>
          <cell r="U2778" t="str">
            <v>CATALINA PACHECO BURGOS</v>
          </cell>
        </row>
        <row r="2779">
          <cell r="B2779">
            <v>20120938</v>
          </cell>
          <cell r="U2779" t="str">
            <v>IVONNE JINETH RODRIGUEZ ROJAS</v>
          </cell>
        </row>
        <row r="2780">
          <cell r="B2780">
            <v>20120939</v>
          </cell>
          <cell r="U2780" t="str">
            <v>NELSON JAVIER MORERA RINCON</v>
          </cell>
        </row>
        <row r="2781">
          <cell r="B2781">
            <v>20120941</v>
          </cell>
          <cell r="U2781" t="str">
            <v>IVONNE JINETH RODRIGUEZ ROJAS</v>
          </cell>
        </row>
        <row r="2782">
          <cell r="B2782">
            <v>20120947</v>
          </cell>
          <cell r="U2782" t="str">
            <v>IVONNE JINETH RODRIGUEZ ROJAS</v>
          </cell>
        </row>
        <row r="2783">
          <cell r="B2783">
            <v>20120953</v>
          </cell>
          <cell r="U2783" t="str">
            <v>FABIAN CONCHA</v>
          </cell>
        </row>
        <row r="2784">
          <cell r="B2784">
            <v>20120956</v>
          </cell>
          <cell r="U2784" t="str">
            <v>NELSON JAVIER MORERA RINCON</v>
          </cell>
        </row>
        <row r="2785">
          <cell r="B2785">
            <v>20120972</v>
          </cell>
          <cell r="U2785" t="str">
            <v>IVONNE JINETH RODRIGUEZ ROJAS</v>
          </cell>
        </row>
        <row r="2786">
          <cell r="B2786">
            <v>20120982</v>
          </cell>
          <cell r="U2786" t="str">
            <v>HEIDY LORENA PRIETO AHUMADA</v>
          </cell>
        </row>
        <row r="2787">
          <cell r="B2787">
            <v>20120983</v>
          </cell>
          <cell r="U2787" t="str">
            <v>JEISSON FABIAN MOLINA CIRO</v>
          </cell>
        </row>
        <row r="2788">
          <cell r="B2788">
            <v>20120997</v>
          </cell>
          <cell r="U2788" t="str">
            <v>FABIAN CONCHA</v>
          </cell>
        </row>
        <row r="2789">
          <cell r="B2789">
            <v>20120998</v>
          </cell>
          <cell r="U2789" t="str">
            <v>GINA PAOLA MEDINA FLOREZ</v>
          </cell>
        </row>
        <row r="2790">
          <cell r="B2790">
            <v>20121000</v>
          </cell>
          <cell r="U2790" t="str">
            <v>IVONNE JINETH RODRIGUEZ ROJAS</v>
          </cell>
        </row>
        <row r="2791">
          <cell r="B2791">
            <v>20121003</v>
          </cell>
          <cell r="U2791" t="str">
            <v>IVONNE JINETH RODRIGUEZ ROJAS</v>
          </cell>
        </row>
        <row r="2792">
          <cell r="B2792">
            <v>20121010</v>
          </cell>
          <cell r="U2792" t="str">
            <v>HEIDY LORENA PRIETO AHUMADA</v>
          </cell>
        </row>
        <row r="2793">
          <cell r="B2793">
            <v>20121021</v>
          </cell>
          <cell r="U2793" t="str">
            <v>JAVIER ORLANDO HERNANDEZ RIVERA</v>
          </cell>
        </row>
        <row r="2794">
          <cell r="B2794">
            <v>20121025</v>
          </cell>
          <cell r="U2794" t="str">
            <v>JAVIER ORLANDO HERNANDEZ RIVERA</v>
          </cell>
        </row>
        <row r="2795">
          <cell r="B2795">
            <v>20121028</v>
          </cell>
          <cell r="U2795" t="str">
            <v>HEIDY LORENA PRIETO AHUMADA</v>
          </cell>
        </row>
        <row r="2796">
          <cell r="B2796">
            <v>20121043</v>
          </cell>
          <cell r="U2796" t="str">
            <v>JEISSON FABIAN MOLINA CIRO</v>
          </cell>
        </row>
        <row r="2797">
          <cell r="B2797">
            <v>20121046</v>
          </cell>
          <cell r="U2797" t="str">
            <v>NELSON JAVIER MORERA RINCON</v>
          </cell>
        </row>
        <row r="2798">
          <cell r="B2798">
            <v>20121066</v>
          </cell>
          <cell r="U2798" t="str">
            <v>HEIDY LORENA PRIETO AHUMADA</v>
          </cell>
        </row>
        <row r="2799">
          <cell r="B2799">
            <v>20121077</v>
          </cell>
          <cell r="U2799" t="str">
            <v>HEIDY LORENA PRIETO AHUMADA</v>
          </cell>
        </row>
        <row r="2800">
          <cell r="B2800">
            <v>20121084</v>
          </cell>
          <cell r="U2800" t="str">
            <v>IVONNE JINETH RODRIGUEZ ROJAS</v>
          </cell>
        </row>
        <row r="2801">
          <cell r="B2801">
            <v>20121085</v>
          </cell>
          <cell r="U2801" t="str">
            <v>ANGIE LIZETH GARZON GARCIA</v>
          </cell>
        </row>
        <row r="2802">
          <cell r="B2802">
            <v>20121089</v>
          </cell>
          <cell r="U2802" t="str">
            <v>MARSHIA MILENA JIMéNEZ GóMEZ</v>
          </cell>
        </row>
        <row r="2803">
          <cell r="B2803">
            <v>20121093</v>
          </cell>
          <cell r="U2803" t="str">
            <v/>
          </cell>
        </row>
        <row r="2804">
          <cell r="B2804">
            <v>20121099</v>
          </cell>
          <cell r="U2804" t="str">
            <v>IVONNE JINETH RODRIGUEZ ROJAS</v>
          </cell>
        </row>
        <row r="2805">
          <cell r="B2805">
            <v>20121101</v>
          </cell>
          <cell r="U2805" t="str">
            <v>ANGIE LIZETH GARZON GARCIA</v>
          </cell>
        </row>
        <row r="2806">
          <cell r="B2806">
            <v>20121103</v>
          </cell>
          <cell r="U2806" t="str">
            <v>FABIAN CONCHA</v>
          </cell>
        </row>
        <row r="2807">
          <cell r="B2807">
            <v>20121117</v>
          </cell>
          <cell r="U2807" t="str">
            <v>MARSHIA MILENA JIMéNEZ GóMEZ</v>
          </cell>
        </row>
        <row r="2808">
          <cell r="B2808">
            <v>20121126</v>
          </cell>
          <cell r="U2808" t="str">
            <v>MARSHIA MILENA JIMéNEZ GóMEZ</v>
          </cell>
        </row>
        <row r="2809">
          <cell r="B2809">
            <v>20121128</v>
          </cell>
          <cell r="U2809" t="str">
            <v>MARSHIA MILENA JIMéNEZ GóMEZ</v>
          </cell>
        </row>
        <row r="2810">
          <cell r="B2810">
            <v>20121139</v>
          </cell>
          <cell r="U2810" t="str">
            <v>JAVIER ORLANDO HERNANDEZ RIVERA</v>
          </cell>
        </row>
        <row r="2811">
          <cell r="B2811">
            <v>20121140</v>
          </cell>
          <cell r="U2811" t="str">
            <v>GINA PAOLA MEDINA FLOREZ</v>
          </cell>
        </row>
        <row r="2812">
          <cell r="B2812">
            <v>20121159</v>
          </cell>
          <cell r="U2812" t="str">
            <v>GINA PAOLA MEDINA FLOREZ</v>
          </cell>
        </row>
        <row r="2813">
          <cell r="B2813">
            <v>20121165</v>
          </cell>
          <cell r="U2813" t="str">
            <v>FABIAN CONCHA</v>
          </cell>
        </row>
        <row r="2814">
          <cell r="B2814">
            <v>20121178</v>
          </cell>
          <cell r="U2814" t="str">
            <v>HEIDY LORENA PRIETO AHUMADA</v>
          </cell>
        </row>
        <row r="2815">
          <cell r="B2815">
            <v>20121183</v>
          </cell>
          <cell r="U2815" t="str">
            <v>HEIDY LORENA PRIETO AHUMADA</v>
          </cell>
        </row>
        <row r="2816">
          <cell r="B2816">
            <v>20121191</v>
          </cell>
          <cell r="U2816" t="str">
            <v>CATALINA PACHECO BURGOS</v>
          </cell>
        </row>
        <row r="2817">
          <cell r="B2817">
            <v>20121204</v>
          </cell>
          <cell r="U2817" t="str">
            <v>FABIAN CONCHA</v>
          </cell>
        </row>
        <row r="2818">
          <cell r="B2818">
            <v>20121205</v>
          </cell>
          <cell r="U2818" t="str">
            <v>JEISSON FABIAN MOLINA CIRO</v>
          </cell>
        </row>
        <row r="2819">
          <cell r="B2819">
            <v>20121206</v>
          </cell>
          <cell r="U2819" t="str">
            <v>MARSHIA MILENA JIMéNEZ GóMEZ</v>
          </cell>
        </row>
        <row r="2820">
          <cell r="B2820">
            <v>20121212</v>
          </cell>
          <cell r="U2820" t="str">
            <v>JEISSON FABIAN MOLINA CIRO</v>
          </cell>
        </row>
        <row r="2821">
          <cell r="B2821">
            <v>20121224</v>
          </cell>
          <cell r="U2821" t="str">
            <v>JOVANNY ALEXANDER BENAVIDES APRAEZ</v>
          </cell>
        </row>
        <row r="2822">
          <cell r="B2822">
            <v>20121233</v>
          </cell>
          <cell r="U2822" t="str">
            <v>FABIAN CONCHA</v>
          </cell>
        </row>
        <row r="2823">
          <cell r="B2823">
            <v>20121236</v>
          </cell>
          <cell r="U2823" t="str">
            <v>GINA PAOLA MEDINA FLOREZ</v>
          </cell>
        </row>
        <row r="2824">
          <cell r="B2824">
            <v>20121242</v>
          </cell>
          <cell r="U2824" t="str">
            <v>ANGIE LIZETH GARZON GARCIA</v>
          </cell>
        </row>
        <row r="2825">
          <cell r="B2825">
            <v>20121245</v>
          </cell>
          <cell r="U2825" t="str">
            <v>FABIAN CONCHA</v>
          </cell>
        </row>
        <row r="2826">
          <cell r="B2826">
            <v>20121246</v>
          </cell>
          <cell r="U2826" t="str">
            <v>JAVIER ORLANDO HERNANDEZ RIVERA</v>
          </cell>
        </row>
        <row r="2827">
          <cell r="B2827">
            <v>20121251</v>
          </cell>
          <cell r="U2827" t="str">
            <v>IVONNE JINETH RODRIGUEZ ROJAS</v>
          </cell>
        </row>
        <row r="2828">
          <cell r="B2828">
            <v>20121253</v>
          </cell>
          <cell r="U2828" t="str">
            <v>JAVIER ORLANDO HERNANDEZ RIVERA</v>
          </cell>
        </row>
        <row r="2829">
          <cell r="B2829">
            <v>20121256</v>
          </cell>
          <cell r="U2829" t="str">
            <v>IVONNE JINETH RODRIGUEZ ROJAS</v>
          </cell>
        </row>
        <row r="2830">
          <cell r="B2830">
            <v>20121259</v>
          </cell>
          <cell r="U2830" t="str">
            <v>IVONNE JINETH RODRIGUEZ ROJAS</v>
          </cell>
        </row>
        <row r="2831">
          <cell r="B2831">
            <v>20121261</v>
          </cell>
          <cell r="U2831" t="str">
            <v>GINA PAOLA MEDINA FLOREZ</v>
          </cell>
        </row>
        <row r="2832">
          <cell r="B2832">
            <v>20121262</v>
          </cell>
          <cell r="U2832" t="str">
            <v>IVONNE JINETH RODRIGUEZ ROJAS</v>
          </cell>
        </row>
        <row r="2833">
          <cell r="B2833">
            <v>20121266</v>
          </cell>
          <cell r="U2833" t="str">
            <v>JEISSON FABIAN MOLINA CIRO</v>
          </cell>
        </row>
        <row r="2834">
          <cell r="B2834">
            <v>20121270</v>
          </cell>
          <cell r="U2834" t="str">
            <v>IVONNE JINETH RODRIGUEZ ROJAS</v>
          </cell>
        </row>
        <row r="2835">
          <cell r="B2835">
            <v>20121277</v>
          </cell>
          <cell r="U2835" t="str">
            <v>FABIAN CONCHA</v>
          </cell>
        </row>
        <row r="2836">
          <cell r="B2836">
            <v>20121291</v>
          </cell>
          <cell r="U2836" t="str">
            <v>IVONNE JINETH RODRIGUEZ ROJAS</v>
          </cell>
        </row>
        <row r="2837">
          <cell r="B2837">
            <v>20121308</v>
          </cell>
          <cell r="U2837" t="str">
            <v>HEIDY LORENA PRIETO AHUMADA</v>
          </cell>
        </row>
        <row r="2838">
          <cell r="B2838">
            <v>20121310</v>
          </cell>
          <cell r="U2838" t="str">
            <v>MARSHIA MILENA JIMéNEZ GóMEZ</v>
          </cell>
        </row>
        <row r="2839">
          <cell r="B2839">
            <v>20121313</v>
          </cell>
          <cell r="U2839" t="str">
            <v>FABIAN CONCHA</v>
          </cell>
        </row>
        <row r="2840">
          <cell r="B2840">
            <v>20121332</v>
          </cell>
          <cell r="U2840" t="str">
            <v>GINA PAOLA MEDINA FLOREZ</v>
          </cell>
        </row>
        <row r="2841">
          <cell r="B2841">
            <v>20121337</v>
          </cell>
          <cell r="U2841" t="str">
            <v>JAVIER ORLANDO HERNANDEZ RIVERA</v>
          </cell>
        </row>
        <row r="2842">
          <cell r="B2842">
            <v>20121347</v>
          </cell>
          <cell r="U2842" t="str">
            <v>FABIAN CONCHA</v>
          </cell>
        </row>
        <row r="2843">
          <cell r="B2843">
            <v>20121353</v>
          </cell>
          <cell r="U2843" t="str">
            <v>MARSHIA MILENA JIMéNEZ GóMEZ</v>
          </cell>
        </row>
        <row r="2844">
          <cell r="B2844">
            <v>20121368</v>
          </cell>
          <cell r="U2844" t="str">
            <v>ANGIE LIZETH GARZON GARCIA</v>
          </cell>
        </row>
        <row r="2845">
          <cell r="B2845">
            <v>20121376</v>
          </cell>
          <cell r="U2845" t="str">
            <v>HEIDY LORENA PRIETO AHUMADA</v>
          </cell>
        </row>
        <row r="2846">
          <cell r="B2846">
            <v>20121381</v>
          </cell>
          <cell r="U2846" t="str">
            <v>NELSON JAVIER MORERA RINCON</v>
          </cell>
        </row>
        <row r="2847">
          <cell r="B2847">
            <v>20121382</v>
          </cell>
          <cell r="U2847" t="str">
            <v>CATALINA PACHECO BURGOS</v>
          </cell>
        </row>
        <row r="2848">
          <cell r="B2848">
            <v>20121387</v>
          </cell>
          <cell r="U2848" t="str">
            <v>PAOLA ANDREA CALDERON CETINA</v>
          </cell>
        </row>
        <row r="2849">
          <cell r="B2849">
            <v>20121390</v>
          </cell>
          <cell r="U2849" t="str">
            <v>FABIAN CONCHA</v>
          </cell>
        </row>
        <row r="2850">
          <cell r="B2850">
            <v>20121397</v>
          </cell>
          <cell r="U2850" t="str">
            <v>FABIAN CONCHA</v>
          </cell>
        </row>
        <row r="2851">
          <cell r="B2851">
            <v>20121421</v>
          </cell>
          <cell r="U2851" t="str">
            <v>PAOLA ANDREA CALDERON CETINA</v>
          </cell>
        </row>
        <row r="2852">
          <cell r="B2852">
            <v>20121423</v>
          </cell>
          <cell r="U2852" t="str">
            <v>FABIAN CONCHA</v>
          </cell>
        </row>
        <row r="2853">
          <cell r="B2853">
            <v>20121424</v>
          </cell>
          <cell r="U2853" t="str">
            <v>FABIAN CONCHA</v>
          </cell>
        </row>
        <row r="2854">
          <cell r="B2854">
            <v>20121430</v>
          </cell>
          <cell r="U2854" t="str">
            <v>CATALINA PACHECO BURGOS</v>
          </cell>
        </row>
        <row r="2855">
          <cell r="B2855">
            <v>20121433</v>
          </cell>
          <cell r="U2855" t="str">
            <v>JAVIER ORLANDO HERNANDEZ RIVERA</v>
          </cell>
        </row>
        <row r="2856">
          <cell r="B2856">
            <v>20121441</v>
          </cell>
          <cell r="U2856" t="str">
            <v>JAVIER ORLANDO HERNANDEZ RIVERA</v>
          </cell>
        </row>
        <row r="2857">
          <cell r="B2857">
            <v>20121453</v>
          </cell>
          <cell r="U2857" t="str">
            <v>IVONNE JINETH RODRIGUEZ ROJAS</v>
          </cell>
        </row>
        <row r="2858">
          <cell r="B2858">
            <v>20121454</v>
          </cell>
          <cell r="U2858" t="str">
            <v>CATALINA PACHECO BURGOS</v>
          </cell>
        </row>
        <row r="2859">
          <cell r="B2859">
            <v>20121463</v>
          </cell>
          <cell r="U2859" t="str">
            <v>FABIAN CONCHA</v>
          </cell>
        </row>
        <row r="2860">
          <cell r="B2860">
            <v>20121470</v>
          </cell>
          <cell r="U2860" t="str">
            <v>FABIAN CONCHA</v>
          </cell>
        </row>
        <row r="2861">
          <cell r="B2861">
            <v>20121476</v>
          </cell>
          <cell r="U2861" t="str">
            <v>IVONNE JINETH RODRIGUEZ ROJAS</v>
          </cell>
        </row>
        <row r="2862">
          <cell r="B2862">
            <v>20121484</v>
          </cell>
          <cell r="U2862" t="str">
            <v>NELSON JAVIER MORERA RINCON</v>
          </cell>
        </row>
        <row r="2863">
          <cell r="B2863">
            <v>20121496</v>
          </cell>
          <cell r="U2863" t="str">
            <v>JAVIER ORLANDO HERNANDEZ RIVERA</v>
          </cell>
        </row>
        <row r="2864">
          <cell r="B2864">
            <v>20121509</v>
          </cell>
          <cell r="U2864" t="str">
            <v>CATALINA PACHECO BURGOS</v>
          </cell>
        </row>
        <row r="2865">
          <cell r="B2865">
            <v>20121511</v>
          </cell>
          <cell r="U2865" t="str">
            <v>IVONNE JINETH RODRIGUEZ ROJAS</v>
          </cell>
        </row>
        <row r="2866">
          <cell r="B2866">
            <v>20121538</v>
          </cell>
          <cell r="U2866" t="str">
            <v>IVONNE JINETH RODRIGUEZ ROJAS</v>
          </cell>
        </row>
        <row r="2867">
          <cell r="B2867">
            <v>20121551</v>
          </cell>
          <cell r="U2867" t="str">
            <v>IVONNE JINETH RODRIGUEZ ROJAS</v>
          </cell>
        </row>
        <row r="2868">
          <cell r="B2868">
            <v>20121561</v>
          </cell>
          <cell r="U2868" t="str">
            <v>NELSON JAVIER MORERA RINCON</v>
          </cell>
        </row>
        <row r="2869">
          <cell r="B2869">
            <v>20121562</v>
          </cell>
          <cell r="U2869" t="str">
            <v>JOHAN SEBASTIAN PARDEYN AGUILAR</v>
          </cell>
        </row>
        <row r="2870">
          <cell r="B2870">
            <v>20121573</v>
          </cell>
          <cell r="U2870" t="str">
            <v>FABIAN CONCHA</v>
          </cell>
        </row>
        <row r="2871">
          <cell r="B2871">
            <v>20121578</v>
          </cell>
          <cell r="U2871" t="str">
            <v>ANGIE LIZETH GARZON GARCIA</v>
          </cell>
        </row>
        <row r="2872">
          <cell r="B2872">
            <v>20121582</v>
          </cell>
          <cell r="U2872" t="str">
            <v>FABIAN CONCHA</v>
          </cell>
        </row>
        <row r="2873">
          <cell r="B2873">
            <v>20121591</v>
          </cell>
          <cell r="U2873" t="str">
            <v>NELSON JAVIER MORERA RINCON</v>
          </cell>
        </row>
        <row r="2874">
          <cell r="B2874">
            <v>20121594</v>
          </cell>
          <cell r="U2874" t="str">
            <v>MARSHIA MILENA JIMéNEZ GóMEZ</v>
          </cell>
        </row>
        <row r="2875">
          <cell r="B2875">
            <v>20121595</v>
          </cell>
          <cell r="U2875" t="str">
            <v>CATALINA PACHECO BURGOS</v>
          </cell>
        </row>
        <row r="2876">
          <cell r="B2876">
            <v>20121613</v>
          </cell>
          <cell r="U2876" t="str">
            <v>GINA PAOLA MEDINA FLOREZ</v>
          </cell>
        </row>
        <row r="2877">
          <cell r="B2877">
            <v>20121617</v>
          </cell>
          <cell r="U2877" t="str">
            <v>IVONNE JINETH RODRIGUEZ ROJAS</v>
          </cell>
        </row>
        <row r="2878">
          <cell r="B2878">
            <v>20121619</v>
          </cell>
          <cell r="U2878" t="str">
            <v>FABIAN CONCHA</v>
          </cell>
        </row>
        <row r="2879">
          <cell r="B2879">
            <v>20121632</v>
          </cell>
          <cell r="U2879" t="str">
            <v>HEIDY LORENA PRIETO AHUMADA</v>
          </cell>
        </row>
        <row r="2880">
          <cell r="B2880">
            <v>20121639</v>
          </cell>
          <cell r="U2880" t="str">
            <v>MARSHIA MILENA JIMéNEZ GóMEZ</v>
          </cell>
        </row>
        <row r="2881">
          <cell r="B2881">
            <v>20121648</v>
          </cell>
          <cell r="U2881" t="str">
            <v>NELSON JAVIER MORERA RINCON</v>
          </cell>
        </row>
        <row r="2882">
          <cell r="B2882">
            <v>20121655</v>
          </cell>
          <cell r="U2882" t="str">
            <v>NELSON JAVIER MORERA RINCON</v>
          </cell>
        </row>
        <row r="2883">
          <cell r="B2883">
            <v>20121661</v>
          </cell>
          <cell r="U2883" t="str">
            <v>CATALINA PACHECO BURGOS</v>
          </cell>
        </row>
        <row r="2884">
          <cell r="B2884">
            <v>20121662</v>
          </cell>
          <cell r="U2884" t="str">
            <v>FABIAN CONCHA</v>
          </cell>
        </row>
        <row r="2885">
          <cell r="B2885">
            <v>20121667</v>
          </cell>
          <cell r="U2885" t="str">
            <v>MARSHIA MILENA JIMéNEZ GóMEZ</v>
          </cell>
        </row>
        <row r="2886">
          <cell r="B2886">
            <v>20121688</v>
          </cell>
          <cell r="U2886" t="str">
            <v>JEISSON FABIAN MOLINA CIRO</v>
          </cell>
        </row>
        <row r="2887">
          <cell r="B2887">
            <v>20121702</v>
          </cell>
          <cell r="U2887" t="str">
            <v>MARSHIA MILENA JIMéNEZ GóMEZ</v>
          </cell>
        </row>
        <row r="2888">
          <cell r="B2888">
            <v>20121705</v>
          </cell>
          <cell r="U2888" t="str">
            <v>PAOLA ANDREA CALDERON CETINA</v>
          </cell>
        </row>
        <row r="2889">
          <cell r="B2889">
            <v>20121712</v>
          </cell>
          <cell r="U2889" t="str">
            <v>GINA PAOLA MEDINA FLOREZ</v>
          </cell>
        </row>
        <row r="2890">
          <cell r="B2890">
            <v>20121721</v>
          </cell>
          <cell r="U2890" t="str">
            <v>MARSHIA MILENA JIMéNEZ GóMEZ</v>
          </cell>
        </row>
        <row r="2891">
          <cell r="B2891">
            <v>20121724</v>
          </cell>
          <cell r="U2891" t="str">
            <v>JEISSON FABIAN MOLINA CIRO</v>
          </cell>
        </row>
        <row r="2892">
          <cell r="B2892">
            <v>20121728</v>
          </cell>
          <cell r="U2892" t="str">
            <v>JAVIER ORLANDO HERNANDEZ RIVERA</v>
          </cell>
        </row>
        <row r="2893">
          <cell r="B2893">
            <v>20121739</v>
          </cell>
          <cell r="U2893" t="str">
            <v>HEIDY LORENA PRIETO AHUMADA</v>
          </cell>
        </row>
        <row r="2894">
          <cell r="B2894">
            <v>20121741</v>
          </cell>
          <cell r="U2894" t="str">
            <v>NELSON JAVIER MORERA RINCON</v>
          </cell>
        </row>
        <row r="2895">
          <cell r="B2895">
            <v>20121743</v>
          </cell>
          <cell r="U2895" t="str">
            <v>JAVIER ORLANDO HERNANDEZ RIVERA</v>
          </cell>
        </row>
        <row r="2896">
          <cell r="B2896">
            <v>20121752</v>
          </cell>
          <cell r="U2896" t="str">
            <v>FABIAN CONCHA</v>
          </cell>
        </row>
        <row r="2897">
          <cell r="B2897">
            <v>20121754</v>
          </cell>
          <cell r="U2897" t="str">
            <v>NELSON JAVIER MORERA RINCON</v>
          </cell>
        </row>
        <row r="2898">
          <cell r="B2898">
            <v>20121758</v>
          </cell>
          <cell r="U2898" t="str">
            <v>JOHAN SEBASTIAN PARDEYN AGUILAR</v>
          </cell>
        </row>
        <row r="2899">
          <cell r="B2899">
            <v>20121765</v>
          </cell>
          <cell r="U2899" t="str">
            <v>NELSON JAVIER MORERA RINCON</v>
          </cell>
        </row>
        <row r="2900">
          <cell r="B2900">
            <v>20121776</v>
          </cell>
          <cell r="U2900" t="str">
            <v>FABIAN CONCHA</v>
          </cell>
        </row>
        <row r="2901">
          <cell r="B2901">
            <v>20121777</v>
          </cell>
          <cell r="U2901" t="str">
            <v>NELSON JAVIER MORERA RINCON</v>
          </cell>
        </row>
        <row r="2902">
          <cell r="B2902">
            <v>20121787</v>
          </cell>
          <cell r="U2902" t="str">
            <v>JOHAN SEBASTIAN PARDEYN AGUILAR</v>
          </cell>
        </row>
        <row r="2903">
          <cell r="B2903">
            <v>20121795</v>
          </cell>
          <cell r="U2903" t="str">
            <v>FABIAN CONCHA</v>
          </cell>
        </row>
        <row r="2904">
          <cell r="B2904">
            <v>20121808</v>
          </cell>
          <cell r="U2904" t="str">
            <v>MARSHIA MILENA JIMéNEZ GóMEZ</v>
          </cell>
        </row>
        <row r="2905">
          <cell r="B2905">
            <v>20121817</v>
          </cell>
          <cell r="U2905" t="str">
            <v>NELSON JAVIER MORERA RINCON</v>
          </cell>
        </row>
        <row r="2906">
          <cell r="B2906">
            <v>20121829</v>
          </cell>
          <cell r="U2906" t="str">
            <v>FABIAN CONCHA</v>
          </cell>
        </row>
        <row r="2907">
          <cell r="B2907">
            <v>20121832</v>
          </cell>
          <cell r="U2907" t="str">
            <v>FABIAN CONCHA</v>
          </cell>
        </row>
        <row r="2908">
          <cell r="B2908">
            <v>20121834</v>
          </cell>
          <cell r="U2908" t="str">
            <v>JEISSON FABIAN MOLINA CIRO</v>
          </cell>
        </row>
        <row r="2909">
          <cell r="B2909">
            <v>20121836</v>
          </cell>
          <cell r="U2909" t="str">
            <v>HEIDY LORENA PRIETO AHUMADA</v>
          </cell>
        </row>
        <row r="2910">
          <cell r="B2910">
            <v>20121838</v>
          </cell>
          <cell r="U2910" t="str">
            <v>IVONNE JINETH RODRIGUEZ ROJAS</v>
          </cell>
        </row>
        <row r="2911">
          <cell r="B2911">
            <v>20121841</v>
          </cell>
          <cell r="U2911" t="str">
            <v>NELSON JAVIER MORERA RINCON</v>
          </cell>
        </row>
        <row r="2912">
          <cell r="B2912">
            <v>20121845</v>
          </cell>
          <cell r="U2912" t="str">
            <v>JOHAN SEBASTIAN PARDEYN AGUILAR</v>
          </cell>
        </row>
        <row r="2913">
          <cell r="B2913">
            <v>20121855</v>
          </cell>
          <cell r="U2913" t="str">
            <v>CATALINA PACHECO BURGOS</v>
          </cell>
        </row>
        <row r="2914">
          <cell r="B2914">
            <v>20121861</v>
          </cell>
          <cell r="U2914" t="str">
            <v>JAVIER ORLANDO HERNANDEZ RIVERA</v>
          </cell>
        </row>
        <row r="2915">
          <cell r="B2915">
            <v>20121862</v>
          </cell>
          <cell r="U2915" t="str">
            <v>IVONNE JINETH RODRIGUEZ ROJAS</v>
          </cell>
        </row>
        <row r="2916">
          <cell r="B2916">
            <v>20121869</v>
          </cell>
          <cell r="U2916" t="str">
            <v>GINA PAOLA MEDINA FLOREZ</v>
          </cell>
        </row>
        <row r="2917">
          <cell r="B2917">
            <v>20121878</v>
          </cell>
          <cell r="U2917" t="str">
            <v>MARSHIA MILENA JIMéNEZ GóMEZ</v>
          </cell>
        </row>
        <row r="2918">
          <cell r="B2918">
            <v>20121889</v>
          </cell>
          <cell r="U2918" t="str">
            <v>NELSON JAVIER MORERA RINCON</v>
          </cell>
        </row>
        <row r="2919">
          <cell r="B2919">
            <v>20121893</v>
          </cell>
          <cell r="U2919" t="str">
            <v>FABIAN CONCHA</v>
          </cell>
        </row>
        <row r="2920">
          <cell r="B2920">
            <v>20121923</v>
          </cell>
          <cell r="U2920" t="str">
            <v>ANGIE LIZETH GARZON GARCIA</v>
          </cell>
        </row>
        <row r="2921">
          <cell r="B2921">
            <v>20121941</v>
          </cell>
          <cell r="U2921" t="str">
            <v>JEISSON FABIAN MOLINA CIRO</v>
          </cell>
        </row>
        <row r="2922">
          <cell r="B2922">
            <v>20121944</v>
          </cell>
          <cell r="U2922" t="str">
            <v>IVONNE JINETH RODRIGUEZ ROJAS</v>
          </cell>
        </row>
        <row r="2923">
          <cell r="B2923">
            <v>20121948</v>
          </cell>
          <cell r="U2923" t="str">
            <v>MARSHIA MILENA JIMéNEZ GóMEZ</v>
          </cell>
        </row>
        <row r="2924">
          <cell r="B2924">
            <v>20121949</v>
          </cell>
          <cell r="U2924" t="str">
            <v>IVONNE JINETH RODRIGUEZ ROJAS</v>
          </cell>
        </row>
        <row r="2925">
          <cell r="B2925">
            <v>20121955</v>
          </cell>
          <cell r="U2925" t="str">
            <v>HEIDY LORENA PRIETO AHUMADA</v>
          </cell>
        </row>
        <row r="2926">
          <cell r="B2926">
            <v>20121956</v>
          </cell>
          <cell r="U2926" t="str">
            <v>FABIAN CONCHA</v>
          </cell>
        </row>
        <row r="2927">
          <cell r="B2927">
            <v>20121960</v>
          </cell>
          <cell r="U2927" t="str">
            <v>FABIAN CONCHA</v>
          </cell>
        </row>
        <row r="2928">
          <cell r="B2928">
            <v>20121962</v>
          </cell>
          <cell r="U2928" t="str">
            <v>JEISSON FABIAN MOLINA CIRO</v>
          </cell>
        </row>
        <row r="2929">
          <cell r="B2929">
            <v>20121964</v>
          </cell>
          <cell r="U2929" t="str">
            <v>HEIDY LORENA PRIETO AHUMADA</v>
          </cell>
        </row>
        <row r="2930">
          <cell r="B2930">
            <v>20121967</v>
          </cell>
          <cell r="U2930" t="str">
            <v>JEISSON FABIAN MOLINA CIRO</v>
          </cell>
        </row>
        <row r="2931">
          <cell r="B2931">
            <v>20121972</v>
          </cell>
          <cell r="U2931" t="str">
            <v>JAVIER ORLANDO HERNANDEZ RIVERA</v>
          </cell>
        </row>
        <row r="2932">
          <cell r="B2932">
            <v>20121978</v>
          </cell>
          <cell r="U2932" t="str">
            <v>NELSON JAVIER MORERA RINCON</v>
          </cell>
        </row>
        <row r="2933">
          <cell r="B2933">
            <v>20121982</v>
          </cell>
          <cell r="U2933" t="str">
            <v>HEIDY LORENA PRIETO AHUMADA</v>
          </cell>
        </row>
        <row r="2934">
          <cell r="B2934">
            <v>20121985</v>
          </cell>
          <cell r="U2934" t="str">
            <v>JEISSON FABIAN MOLINA CIRO</v>
          </cell>
        </row>
        <row r="2935">
          <cell r="B2935">
            <v>20121988</v>
          </cell>
          <cell r="U2935" t="str">
            <v>FABIAN CONCHA</v>
          </cell>
        </row>
        <row r="2936">
          <cell r="B2936">
            <v>20121996</v>
          </cell>
          <cell r="U2936" t="e">
            <v>#N/A</v>
          </cell>
        </row>
        <row r="2937">
          <cell r="B2937">
            <v>20122009</v>
          </cell>
          <cell r="U2937" t="str">
            <v>JOVANNY ALEXANDER BENAVIDES APRAEZ</v>
          </cell>
        </row>
        <row r="2938">
          <cell r="B2938">
            <v>20122023</v>
          </cell>
          <cell r="U2938" t="str">
            <v>FABIAN CONCHA</v>
          </cell>
        </row>
        <row r="2939">
          <cell r="B2939">
            <v>20122028</v>
          </cell>
          <cell r="U2939" t="str">
            <v>NELSON JAVIER MORERA RINCON</v>
          </cell>
        </row>
        <row r="2940">
          <cell r="B2940">
            <v>20122032</v>
          </cell>
          <cell r="U2940" t="str">
            <v>JOVANNY ALEXANDER BENAVIDES APRAEZ</v>
          </cell>
        </row>
        <row r="2941">
          <cell r="B2941">
            <v>20122033</v>
          </cell>
          <cell r="U2941" t="str">
            <v>IVONNE JINETH RODRIGUEZ ROJAS</v>
          </cell>
        </row>
        <row r="2942">
          <cell r="B2942">
            <v>20122039</v>
          </cell>
          <cell r="U2942" t="str">
            <v>IVONNE JINETH RODRIGUEZ ROJAS</v>
          </cell>
        </row>
        <row r="2943">
          <cell r="B2943">
            <v>20122044</v>
          </cell>
          <cell r="U2943" t="str">
            <v>IVONNE JINETH RODRIGUEZ ROJAS</v>
          </cell>
        </row>
        <row r="2944">
          <cell r="B2944">
            <v>20122047</v>
          </cell>
          <cell r="U2944" t="str">
            <v>CATALINA PACHECO BURGOS</v>
          </cell>
        </row>
        <row r="2945">
          <cell r="B2945">
            <v>20122051</v>
          </cell>
          <cell r="U2945" t="str">
            <v>JEISSON FABIAN MOLINA CIRO</v>
          </cell>
        </row>
        <row r="2946">
          <cell r="B2946">
            <v>20122058</v>
          </cell>
          <cell r="U2946" t="str">
            <v>HEIDY LORENA PRIETO AHUMADA</v>
          </cell>
        </row>
        <row r="2947">
          <cell r="B2947">
            <v>20122059</v>
          </cell>
          <cell r="U2947" t="str">
            <v>MARSHIA MILENA JIMéNEZ GóMEZ</v>
          </cell>
        </row>
        <row r="2948">
          <cell r="B2948">
            <v>20122060</v>
          </cell>
          <cell r="U2948" t="str">
            <v>FABIAN CONCHA</v>
          </cell>
        </row>
        <row r="2949">
          <cell r="B2949">
            <v>20122070</v>
          </cell>
          <cell r="U2949" t="str">
            <v>JAVIER ORLANDO HERNANDEZ RIVERA</v>
          </cell>
        </row>
        <row r="2950">
          <cell r="B2950">
            <v>20122071</v>
          </cell>
          <cell r="U2950" t="str">
            <v>IVONNE JINETH RODRIGUEZ ROJAS</v>
          </cell>
        </row>
        <row r="2951">
          <cell r="B2951">
            <v>20122075</v>
          </cell>
          <cell r="U2951" t="str">
            <v>IVONNE JINETH RODRIGUEZ ROJAS</v>
          </cell>
        </row>
        <row r="2952">
          <cell r="B2952">
            <v>20122093</v>
          </cell>
          <cell r="U2952" t="str">
            <v>JAVIER ORLANDO HERNANDEZ RIVERA</v>
          </cell>
        </row>
        <row r="2953">
          <cell r="B2953">
            <v>20122099</v>
          </cell>
          <cell r="U2953" t="str">
            <v>MARSHIA MILENA JIMéNEZ GóMEZ</v>
          </cell>
        </row>
        <row r="2954">
          <cell r="B2954">
            <v>20122101</v>
          </cell>
          <cell r="U2954" t="str">
            <v>FABIAN CONCHA</v>
          </cell>
        </row>
        <row r="2955">
          <cell r="B2955">
            <v>20122113</v>
          </cell>
          <cell r="U2955" t="str">
            <v>JAVIER ORLANDO HERNANDEZ RIVERA</v>
          </cell>
        </row>
        <row r="2956">
          <cell r="B2956">
            <v>20122117</v>
          </cell>
          <cell r="U2956" t="str">
            <v>JEISSON FABIAN MOLINA CIRO</v>
          </cell>
        </row>
        <row r="2957">
          <cell r="B2957">
            <v>20122119</v>
          </cell>
          <cell r="U2957" t="str">
            <v>HEIDY LORENA PRIETO AHUMADA</v>
          </cell>
        </row>
        <row r="2958">
          <cell r="B2958">
            <v>20122120</v>
          </cell>
          <cell r="U2958" t="str">
            <v>JEISSON FABIAN MOLINA CIRO</v>
          </cell>
        </row>
        <row r="2959">
          <cell r="B2959">
            <v>20122125</v>
          </cell>
          <cell r="U2959" t="str">
            <v>PAOLA ANDREA CALDERON CETINA</v>
          </cell>
        </row>
        <row r="2960">
          <cell r="B2960">
            <v>20122142</v>
          </cell>
          <cell r="U2960" t="str">
            <v>GINA PAOLA MEDINA FLOREZ</v>
          </cell>
        </row>
        <row r="2961">
          <cell r="B2961">
            <v>20122156</v>
          </cell>
          <cell r="U2961" t="str">
            <v>JEISSON FABIAN MOLINA CIRO</v>
          </cell>
        </row>
        <row r="2962">
          <cell r="B2962">
            <v>20122160</v>
          </cell>
          <cell r="U2962" t="str">
            <v>JAVIER ORLANDO HERNANDEZ RIVERA</v>
          </cell>
        </row>
        <row r="2963">
          <cell r="B2963">
            <v>20122170</v>
          </cell>
          <cell r="U2963" t="str">
            <v>NELSON JAVIER MORERA RINCON</v>
          </cell>
        </row>
        <row r="2964">
          <cell r="B2964">
            <v>20122190</v>
          </cell>
          <cell r="U2964" t="str">
            <v>JEISSON FABIAN MOLINA CIRO</v>
          </cell>
        </row>
        <row r="2965">
          <cell r="B2965">
            <v>20122202</v>
          </cell>
          <cell r="U2965" t="str">
            <v>FABIAN CONCHA</v>
          </cell>
        </row>
        <row r="2966">
          <cell r="B2966">
            <v>20122206</v>
          </cell>
          <cell r="U2966" t="str">
            <v>ANGIE LIZETH GARZON GARCIA</v>
          </cell>
        </row>
        <row r="2967">
          <cell r="B2967">
            <v>20122218</v>
          </cell>
          <cell r="U2967" t="str">
            <v>JOVANNY ALEXANDER BENAVIDES APRAEZ</v>
          </cell>
        </row>
        <row r="2968">
          <cell r="B2968">
            <v>20122224</v>
          </cell>
          <cell r="U2968" t="str">
            <v>ANGIE LIZETH GARZON GARCIA</v>
          </cell>
        </row>
        <row r="2969">
          <cell r="B2969">
            <v>20122255</v>
          </cell>
          <cell r="U2969" t="str">
            <v>HEIDY LORENA PRIETO AHUMADA</v>
          </cell>
        </row>
        <row r="2970">
          <cell r="B2970">
            <v>20122260</v>
          </cell>
          <cell r="U2970" t="str">
            <v>CATALINA PACHECO BURGOS</v>
          </cell>
        </row>
        <row r="2971">
          <cell r="B2971">
            <v>20122261</v>
          </cell>
          <cell r="U2971" t="str">
            <v>JAVIER ORLANDO HERNANDEZ RIVERA</v>
          </cell>
        </row>
        <row r="2972">
          <cell r="B2972">
            <v>20122275</v>
          </cell>
          <cell r="U2972" t="str">
            <v>IVONNE JINETH RODRIGUEZ ROJAS</v>
          </cell>
        </row>
        <row r="2973">
          <cell r="B2973">
            <v>20122282</v>
          </cell>
          <cell r="U2973" t="str">
            <v>FABIAN CONCHA</v>
          </cell>
        </row>
        <row r="2974">
          <cell r="B2974">
            <v>20122288</v>
          </cell>
          <cell r="U2974" t="str">
            <v>NELSON JAVIER MORERA RINCON</v>
          </cell>
        </row>
        <row r="2975">
          <cell r="B2975">
            <v>20122289</v>
          </cell>
          <cell r="U2975" t="str">
            <v>CATALINA PACHECO BURGOS</v>
          </cell>
        </row>
        <row r="2976">
          <cell r="B2976">
            <v>20122302</v>
          </cell>
          <cell r="U2976" t="str">
            <v>ANGIE LIZETH GARZON GARCIA</v>
          </cell>
        </row>
        <row r="2977">
          <cell r="B2977">
            <v>20122310</v>
          </cell>
          <cell r="U2977" t="str">
            <v>MARSHIA MILENA JIMéNEZ GóMEZ</v>
          </cell>
        </row>
        <row r="2978">
          <cell r="B2978">
            <v>20122312</v>
          </cell>
          <cell r="U2978" t="str">
            <v>MARSHIA MILENA JIMéNEZ GóMEZ</v>
          </cell>
        </row>
        <row r="2979">
          <cell r="B2979">
            <v>20122316</v>
          </cell>
          <cell r="U2979" t="str">
            <v>NELSON JAVIER MORERA RINCON</v>
          </cell>
        </row>
        <row r="2980">
          <cell r="B2980">
            <v>20122325</v>
          </cell>
          <cell r="U2980" t="str">
            <v>FABIAN CONCHA</v>
          </cell>
        </row>
        <row r="2981">
          <cell r="B2981">
            <v>20122327</v>
          </cell>
          <cell r="U2981" t="str">
            <v>JEISSON FABIAN MOLINA CIRO</v>
          </cell>
        </row>
        <row r="2982">
          <cell r="B2982">
            <v>20122328</v>
          </cell>
          <cell r="U2982" t="str">
            <v>JEISSON FABIAN MOLINA CIRO</v>
          </cell>
        </row>
        <row r="2983">
          <cell r="B2983">
            <v>20122331</v>
          </cell>
          <cell r="U2983" t="str">
            <v>MARSHIA MILENA JIMéNEZ GóMEZ</v>
          </cell>
        </row>
        <row r="2984">
          <cell r="B2984">
            <v>20122336</v>
          </cell>
          <cell r="U2984" t="str">
            <v>CATALINA PACHECO BURGOS</v>
          </cell>
        </row>
        <row r="2985">
          <cell r="B2985">
            <v>20122348</v>
          </cell>
          <cell r="U2985" t="str">
            <v>PAOLA ANDREA CALDERON CETINA</v>
          </cell>
        </row>
        <row r="2986">
          <cell r="B2986">
            <v>20122370</v>
          </cell>
          <cell r="U2986" t="str">
            <v/>
          </cell>
        </row>
        <row r="2987">
          <cell r="B2987">
            <v>20122376</v>
          </cell>
          <cell r="U2987" t="str">
            <v>JEISSON FABIAN MOLINA CIRO</v>
          </cell>
        </row>
        <row r="2988">
          <cell r="B2988">
            <v>20122377</v>
          </cell>
          <cell r="U2988" t="str">
            <v>FABIAN CONCHA</v>
          </cell>
        </row>
        <row r="2989">
          <cell r="B2989">
            <v>20122379</v>
          </cell>
          <cell r="U2989" t="str">
            <v>JAVIER ORLANDO HERNANDEZ RIVERA</v>
          </cell>
        </row>
        <row r="2990">
          <cell r="B2990">
            <v>20122387</v>
          </cell>
          <cell r="U2990" t="str">
            <v>FABIAN CONCHA</v>
          </cell>
        </row>
        <row r="2991">
          <cell r="B2991">
            <v>20122389</v>
          </cell>
          <cell r="U2991" t="str">
            <v>CATALINA PACHECO BURGOS</v>
          </cell>
        </row>
        <row r="2992">
          <cell r="B2992">
            <v>20122395</v>
          </cell>
          <cell r="U2992" t="e">
            <v>#N/A</v>
          </cell>
        </row>
        <row r="2993">
          <cell r="B2993">
            <v>20122397</v>
          </cell>
          <cell r="U2993" t="str">
            <v>NELSON JAVIER MORERA RINCON</v>
          </cell>
        </row>
        <row r="2994">
          <cell r="B2994">
            <v>20122404</v>
          </cell>
          <cell r="U2994" t="str">
            <v>JAVIER ORLANDO HERNANDEZ RIVERA</v>
          </cell>
        </row>
        <row r="2995">
          <cell r="B2995">
            <v>20122416</v>
          </cell>
          <cell r="U2995" t="str">
            <v>GINA PAOLA MEDINA FLOREZ</v>
          </cell>
        </row>
        <row r="2996">
          <cell r="B2996">
            <v>20122420</v>
          </cell>
          <cell r="U2996" t="str">
            <v>HEIDY LORENA PRIETO AHUMADA</v>
          </cell>
        </row>
        <row r="2997">
          <cell r="B2997">
            <v>20122425</v>
          </cell>
          <cell r="U2997" t="str">
            <v>FABIAN CONCHA</v>
          </cell>
        </row>
        <row r="2998">
          <cell r="B2998">
            <v>20122429</v>
          </cell>
          <cell r="U2998" t="str">
            <v>MARSHIA MILENA JIMéNEZ GóMEZ</v>
          </cell>
        </row>
        <row r="2999">
          <cell r="B2999">
            <v>20122441</v>
          </cell>
          <cell r="U2999" t="str">
            <v>MARSHIA MILENA JIMéNEZ GóMEZ</v>
          </cell>
        </row>
        <row r="3000">
          <cell r="B3000">
            <v>20122457</v>
          </cell>
          <cell r="U3000" t="str">
            <v>JAVIER ORLANDO HERNANDEZ RIVERA</v>
          </cell>
        </row>
        <row r="3001">
          <cell r="B3001">
            <v>20122460</v>
          </cell>
          <cell r="U3001" t="str">
            <v>JEISSON FABIAN MOLINA CIRO</v>
          </cell>
        </row>
        <row r="3002">
          <cell r="B3002">
            <v>20122473</v>
          </cell>
          <cell r="U3002" t="str">
            <v>NELSON JAVIER MORERA RINCON</v>
          </cell>
        </row>
        <row r="3003">
          <cell r="B3003">
            <v>20122479</v>
          </cell>
          <cell r="U3003" t="str">
            <v>JAVIER ORLANDO HERNANDEZ RIVERA</v>
          </cell>
        </row>
        <row r="3004">
          <cell r="B3004">
            <v>20122482</v>
          </cell>
          <cell r="U3004" t="str">
            <v>ANGIE LIZETH GARZON GARCIA</v>
          </cell>
        </row>
        <row r="3005">
          <cell r="B3005">
            <v>20122494</v>
          </cell>
          <cell r="U3005" t="str">
            <v>FABIAN CONCHA</v>
          </cell>
        </row>
        <row r="3006">
          <cell r="B3006">
            <v>20122497</v>
          </cell>
          <cell r="U3006" t="str">
            <v>NELSON JAVIER MORERA RINCON</v>
          </cell>
        </row>
        <row r="3007">
          <cell r="B3007">
            <v>20122500</v>
          </cell>
          <cell r="U3007" t="str">
            <v>IVONNE JINETH RODRIGUEZ ROJAS</v>
          </cell>
        </row>
        <row r="3008">
          <cell r="B3008">
            <v>20122504</v>
          </cell>
          <cell r="U3008" t="str">
            <v>IVONNE JINETH RODRIGUEZ ROJAS</v>
          </cell>
        </row>
        <row r="3009">
          <cell r="B3009">
            <v>20122505</v>
          </cell>
          <cell r="U3009" t="str">
            <v>IVONNE JINETH RODRIGUEZ ROJAS</v>
          </cell>
        </row>
        <row r="3010">
          <cell r="B3010">
            <v>20122506</v>
          </cell>
          <cell r="U3010" t="str">
            <v>JOVANNY ALEXANDER BENAVIDES APRAEZ</v>
          </cell>
        </row>
        <row r="3011">
          <cell r="B3011">
            <v>20122512</v>
          </cell>
          <cell r="U3011" t="str">
            <v>FABIAN CONCHA</v>
          </cell>
        </row>
        <row r="3012">
          <cell r="B3012">
            <v>20122521</v>
          </cell>
          <cell r="U3012" t="str">
            <v/>
          </cell>
        </row>
        <row r="3013">
          <cell r="B3013">
            <v>20122523</v>
          </cell>
          <cell r="U3013" t="str">
            <v>NELSON JAVIER MORERA RINCON</v>
          </cell>
        </row>
        <row r="3014">
          <cell r="B3014">
            <v>20122526</v>
          </cell>
          <cell r="U3014" t="str">
            <v>FABIAN CONCHA</v>
          </cell>
        </row>
        <row r="3015">
          <cell r="B3015">
            <v>20122530</v>
          </cell>
          <cell r="U3015" t="str">
            <v>CATALINA PACHECO BURGOS</v>
          </cell>
        </row>
        <row r="3016">
          <cell r="B3016">
            <v>20122534</v>
          </cell>
          <cell r="U3016" t="str">
            <v>ANGIE LIZETH GARZON GARCIA</v>
          </cell>
        </row>
        <row r="3017">
          <cell r="B3017">
            <v>20122550</v>
          </cell>
          <cell r="U3017" t="str">
            <v>IVONNE JINETH RODRIGUEZ ROJAS</v>
          </cell>
        </row>
        <row r="3018">
          <cell r="B3018">
            <v>20122557</v>
          </cell>
          <cell r="U3018" t="str">
            <v>MARSHIA MILENA JIMéNEZ GóMEZ</v>
          </cell>
        </row>
        <row r="3019">
          <cell r="B3019">
            <v>20122567</v>
          </cell>
          <cell r="U3019" t="str">
            <v>NELSON JAVIER MORERA RINCON</v>
          </cell>
        </row>
        <row r="3020">
          <cell r="B3020">
            <v>20122569</v>
          </cell>
          <cell r="U3020" t="str">
            <v>MARSHIA MILENA JIMéNEZ GóMEZ</v>
          </cell>
        </row>
        <row r="3021">
          <cell r="B3021">
            <v>20122570</v>
          </cell>
          <cell r="U3021" t="str">
            <v>IVONNE JINETH RODRIGUEZ ROJAS</v>
          </cell>
        </row>
        <row r="3022">
          <cell r="B3022">
            <v>20122585</v>
          </cell>
          <cell r="U3022" t="str">
            <v>CATALINA PACHECO BURGOS</v>
          </cell>
        </row>
        <row r="3023">
          <cell r="B3023">
            <v>20122590</v>
          </cell>
          <cell r="U3023" t="str">
            <v>NELSON JAVIER MORERA RINCON</v>
          </cell>
        </row>
        <row r="3024">
          <cell r="B3024">
            <v>20122592</v>
          </cell>
          <cell r="U3024" t="str">
            <v>PAOLA ANDREA CALDERON CETINA</v>
          </cell>
        </row>
        <row r="3025">
          <cell r="B3025">
            <v>20122598</v>
          </cell>
          <cell r="U3025" t="str">
            <v>MARSHIA MILENA JIMéNEZ GóMEZ</v>
          </cell>
        </row>
        <row r="3026">
          <cell r="B3026">
            <v>20122606</v>
          </cell>
          <cell r="U3026" t="str">
            <v>JEISSON FABIAN MOLINA CIRO</v>
          </cell>
        </row>
        <row r="3027">
          <cell r="B3027">
            <v>20122607</v>
          </cell>
          <cell r="U3027" t="str">
            <v>JEISSON FABIAN MOLINA CIRO</v>
          </cell>
        </row>
        <row r="3028">
          <cell r="B3028">
            <v>20122613</v>
          </cell>
          <cell r="U3028" t="str">
            <v>JAVIER ORLANDO HERNANDEZ RIVERA</v>
          </cell>
        </row>
        <row r="3029">
          <cell r="B3029">
            <v>20122614</v>
          </cell>
          <cell r="U3029" t="str">
            <v>HEIDY LORENA PRIETO AHUMADA</v>
          </cell>
        </row>
        <row r="3030">
          <cell r="B3030">
            <v>20122615</v>
          </cell>
          <cell r="U3030" t="str">
            <v>IVONNE JINETH RODRIGUEZ ROJAS</v>
          </cell>
        </row>
        <row r="3031">
          <cell r="B3031">
            <v>20122619</v>
          </cell>
          <cell r="U3031" t="str">
            <v>FABIAN CONCHA</v>
          </cell>
        </row>
        <row r="3032">
          <cell r="B3032">
            <v>20122638</v>
          </cell>
          <cell r="U3032" t="str">
            <v>IVONNE JINETH RODRIGUEZ ROJAS</v>
          </cell>
        </row>
        <row r="3033">
          <cell r="B3033">
            <v>20122643</v>
          </cell>
          <cell r="U3033" t="str">
            <v>ANGIE LIZETH GARZON GARCIA</v>
          </cell>
        </row>
        <row r="3034">
          <cell r="B3034">
            <v>20122646</v>
          </cell>
          <cell r="U3034" t="str">
            <v>ANGIE LIZETH GARZON GARCIA</v>
          </cell>
        </row>
        <row r="3035">
          <cell r="B3035">
            <v>20122650</v>
          </cell>
          <cell r="U3035" t="str">
            <v>HEIDY LORENA PRIETO AHUMADA</v>
          </cell>
        </row>
        <row r="3036">
          <cell r="B3036">
            <v>20122657</v>
          </cell>
          <cell r="U3036" t="str">
            <v>HEIDY LORENA PRIETO AHUMADA</v>
          </cell>
        </row>
        <row r="3037">
          <cell r="B3037">
            <v>20122669</v>
          </cell>
          <cell r="U3037" t="str">
            <v>JAVIER ORLANDO HERNANDEZ RIVERA</v>
          </cell>
        </row>
        <row r="3038">
          <cell r="B3038">
            <v>20122670</v>
          </cell>
          <cell r="U3038" t="str">
            <v>NELSON JAVIER MORERA RINCON</v>
          </cell>
        </row>
        <row r="3039">
          <cell r="B3039">
            <v>20122671</v>
          </cell>
          <cell r="U3039" t="str">
            <v>IVONNE JINETH RODRIGUEZ ROJAS</v>
          </cell>
        </row>
        <row r="3040">
          <cell r="B3040">
            <v>20122672</v>
          </cell>
          <cell r="U3040" t="str">
            <v>FABIAN CONCHA</v>
          </cell>
        </row>
        <row r="3041">
          <cell r="B3041">
            <v>20122689</v>
          </cell>
          <cell r="U3041" t="str">
            <v>FABIAN CONCHA</v>
          </cell>
        </row>
        <row r="3042">
          <cell r="B3042">
            <v>20122700</v>
          </cell>
          <cell r="U3042" t="str">
            <v>IVONNE JINETH RODRIGUEZ ROJAS</v>
          </cell>
        </row>
        <row r="3043">
          <cell r="B3043">
            <v>20122703</v>
          </cell>
          <cell r="U3043" t="str">
            <v>JEISSON FABIAN MOLINA CIRO</v>
          </cell>
        </row>
        <row r="3044">
          <cell r="B3044">
            <v>20122712</v>
          </cell>
          <cell r="U3044" t="str">
            <v>GINA PAOLA MEDINA FLOREZ</v>
          </cell>
        </row>
        <row r="3045">
          <cell r="B3045">
            <v>20122719</v>
          </cell>
          <cell r="U3045" t="str">
            <v>HEIDY LORENA PRIETO AHUMADA</v>
          </cell>
        </row>
        <row r="3046">
          <cell r="B3046">
            <v>20122725</v>
          </cell>
          <cell r="U3046" t="str">
            <v>FABIAN CONCHA</v>
          </cell>
        </row>
        <row r="3047">
          <cell r="B3047">
            <v>20122739</v>
          </cell>
          <cell r="U3047" t="str">
            <v>JAVIER ORLANDO HERNANDEZ RIVERA</v>
          </cell>
        </row>
        <row r="3048">
          <cell r="B3048">
            <v>20122741</v>
          </cell>
          <cell r="U3048" t="str">
            <v>IVONNE JINETH RODRIGUEZ ROJAS</v>
          </cell>
        </row>
        <row r="3049">
          <cell r="B3049">
            <v>20122742</v>
          </cell>
          <cell r="U3049" t="str">
            <v>JEISSON FABIAN MOLINA CIRO</v>
          </cell>
        </row>
        <row r="3050">
          <cell r="B3050">
            <v>20122743</v>
          </cell>
          <cell r="U3050" t="str">
            <v>GINA PAOLA MEDINA FLOREZ</v>
          </cell>
        </row>
        <row r="3051">
          <cell r="B3051">
            <v>20122744</v>
          </cell>
          <cell r="U3051" t="str">
            <v>NELSON JAVIER MORERA RINCON</v>
          </cell>
        </row>
        <row r="3052">
          <cell r="B3052">
            <v>20122746</v>
          </cell>
          <cell r="U3052" t="str">
            <v>CATALINA PACHECO BURGOS</v>
          </cell>
        </row>
        <row r="3053">
          <cell r="B3053">
            <v>20122747</v>
          </cell>
          <cell r="U3053" t="str">
            <v>HEIDY LORENA PRIETO AHUMADA</v>
          </cell>
        </row>
        <row r="3054">
          <cell r="B3054">
            <v>20122754</v>
          </cell>
          <cell r="U3054" t="str">
            <v>NELSON JAVIER MORERA RINCON</v>
          </cell>
        </row>
        <row r="3055">
          <cell r="B3055">
            <v>20122765</v>
          </cell>
          <cell r="U3055" t="str">
            <v>JAVIER ORLANDO HERNANDEZ RIVERA</v>
          </cell>
        </row>
        <row r="3056">
          <cell r="B3056">
            <v>20122769</v>
          </cell>
          <cell r="U3056" t="str">
            <v>NELSON JAVIER MORERA RINCON</v>
          </cell>
        </row>
        <row r="3057">
          <cell r="B3057">
            <v>20122779</v>
          </cell>
          <cell r="U3057" t="str">
            <v>GINA PAOLA MEDINA FLOREZ</v>
          </cell>
        </row>
        <row r="3058">
          <cell r="B3058">
            <v>20122790</v>
          </cell>
          <cell r="U3058" t="str">
            <v>PAOLA ANDREA CALDERON CETINA</v>
          </cell>
        </row>
        <row r="3059">
          <cell r="B3059">
            <v>20122791</v>
          </cell>
          <cell r="U3059" t="str">
            <v>NELSON JAVIER MORERA RINCON</v>
          </cell>
        </row>
        <row r="3060">
          <cell r="B3060">
            <v>20122793</v>
          </cell>
          <cell r="U3060" t="str">
            <v>JAVIER ORLANDO HERNANDEZ RIVERA</v>
          </cell>
        </row>
        <row r="3061">
          <cell r="B3061">
            <v>20122798</v>
          </cell>
          <cell r="U3061" t="str">
            <v>MARSHIA MILENA JIMéNEZ GóMEZ</v>
          </cell>
        </row>
        <row r="3062">
          <cell r="B3062">
            <v>20122801</v>
          </cell>
          <cell r="U3062" t="str">
            <v>ANGIE LIZETH GARZON GARCIA</v>
          </cell>
        </row>
        <row r="3063">
          <cell r="B3063">
            <v>20122805</v>
          </cell>
          <cell r="U3063" t="str">
            <v>PAOLA ANDREA CALDERON CETINA</v>
          </cell>
        </row>
        <row r="3064">
          <cell r="B3064">
            <v>20122808</v>
          </cell>
          <cell r="U3064" t="str">
            <v>MARSHIA MILENA JIMéNEZ GóMEZ</v>
          </cell>
        </row>
        <row r="3065">
          <cell r="B3065">
            <v>20122810</v>
          </cell>
          <cell r="U3065" t="str">
            <v>MARSHIA MILENA JIMéNEZ GóMEZ</v>
          </cell>
        </row>
        <row r="3066">
          <cell r="B3066">
            <v>20122811</v>
          </cell>
          <cell r="U3066" t="str">
            <v>PAOLA ANDREA CALDERON CETINA</v>
          </cell>
        </row>
        <row r="3067">
          <cell r="B3067">
            <v>20122818</v>
          </cell>
          <cell r="U3067" t="e">
            <v>#N/A</v>
          </cell>
        </row>
        <row r="3068">
          <cell r="B3068">
            <v>20122825</v>
          </cell>
          <cell r="U3068" t="str">
            <v>JEISSON FABIAN MOLINA CIRO</v>
          </cell>
        </row>
        <row r="3069">
          <cell r="B3069">
            <v>20122827</v>
          </cell>
          <cell r="U3069" t="str">
            <v>IVONNE JINETH RODRIGUEZ ROJAS</v>
          </cell>
        </row>
        <row r="3070">
          <cell r="B3070">
            <v>20122834</v>
          </cell>
          <cell r="U3070" t="str">
            <v>PAOLA ANDREA CALDERON CETINA</v>
          </cell>
        </row>
        <row r="3071">
          <cell r="B3071">
            <v>20122836</v>
          </cell>
          <cell r="U3071" t="str">
            <v>FABIAN CONCHA</v>
          </cell>
        </row>
        <row r="3072">
          <cell r="B3072">
            <v>20122838</v>
          </cell>
          <cell r="U3072" t="str">
            <v>NELSON JAVIER MORERA RINCON</v>
          </cell>
        </row>
        <row r="3073">
          <cell r="B3073">
            <v>20122851</v>
          </cell>
          <cell r="U3073" t="str">
            <v>NELSON JAVIER MORERA RINCON</v>
          </cell>
        </row>
        <row r="3074">
          <cell r="B3074">
            <v>20122861</v>
          </cell>
          <cell r="U3074" t="str">
            <v>NELSON JAVIER MORERA RINCON</v>
          </cell>
        </row>
        <row r="3075">
          <cell r="B3075">
            <v>20122872</v>
          </cell>
          <cell r="U3075" t="str">
            <v>NELSON JAVIER MORERA RINCON</v>
          </cell>
        </row>
        <row r="3076">
          <cell r="B3076">
            <v>20122878</v>
          </cell>
          <cell r="U3076" t="str">
            <v>IVONNE JINETH RODRIGUEZ ROJAS</v>
          </cell>
        </row>
        <row r="3077">
          <cell r="B3077">
            <v>20122883</v>
          </cell>
          <cell r="U3077" t="str">
            <v>MARSHIA MILENA JIMéNEZ GóMEZ</v>
          </cell>
        </row>
        <row r="3078">
          <cell r="B3078">
            <v>20122884</v>
          </cell>
          <cell r="U3078" t="str">
            <v>JEISSON FABIAN MOLINA CIRO</v>
          </cell>
        </row>
        <row r="3079">
          <cell r="B3079">
            <v>20122901</v>
          </cell>
          <cell r="U3079" t="str">
            <v>JAVIER ORLANDO HERNANDEZ RIVERA</v>
          </cell>
        </row>
        <row r="3080">
          <cell r="B3080">
            <v>20122914</v>
          </cell>
          <cell r="U3080" t="e">
            <v>#N/A</v>
          </cell>
        </row>
        <row r="3081">
          <cell r="B3081">
            <v>20122924</v>
          </cell>
          <cell r="U3081" t="str">
            <v>GINA PAOLA MEDINA FLOREZ</v>
          </cell>
        </row>
        <row r="3082">
          <cell r="B3082">
            <v>20122931</v>
          </cell>
          <cell r="U3082" t="str">
            <v>FABIAN CONCHA</v>
          </cell>
        </row>
        <row r="3083">
          <cell r="B3083">
            <v>20122933</v>
          </cell>
          <cell r="U3083" t="str">
            <v>FABIAN CONCHA</v>
          </cell>
        </row>
        <row r="3084">
          <cell r="B3084">
            <v>20122943</v>
          </cell>
          <cell r="U3084" t="str">
            <v>IVONNE JINETH RODRIGUEZ ROJAS</v>
          </cell>
        </row>
        <row r="3085">
          <cell r="B3085">
            <v>20122950</v>
          </cell>
          <cell r="U3085" t="str">
            <v>HEIDY LORENA PRIETO AHUMADA</v>
          </cell>
        </row>
        <row r="3086">
          <cell r="B3086">
            <v>20122951</v>
          </cell>
          <cell r="U3086" t="str">
            <v>HEIDY LORENA PRIETO AHUMADA</v>
          </cell>
        </row>
        <row r="3087">
          <cell r="B3087">
            <v>20122954</v>
          </cell>
          <cell r="U3087" t="str">
            <v>FABIAN CONCHA</v>
          </cell>
        </row>
        <row r="3088">
          <cell r="B3088">
            <v>20122956</v>
          </cell>
          <cell r="U3088" t="str">
            <v>FABIAN CONCHA</v>
          </cell>
        </row>
        <row r="3089">
          <cell r="B3089">
            <v>20122961</v>
          </cell>
          <cell r="U3089" t="str">
            <v>NELSON JAVIER MORERA RINCON</v>
          </cell>
        </row>
        <row r="3090">
          <cell r="B3090">
            <v>20122962</v>
          </cell>
          <cell r="U3090" t="str">
            <v>FABIAN CONCHA</v>
          </cell>
        </row>
        <row r="3091">
          <cell r="B3091">
            <v>20122965</v>
          </cell>
          <cell r="U3091" t="str">
            <v>CATALINA PACHECO BURGOS</v>
          </cell>
        </row>
        <row r="3092">
          <cell r="B3092">
            <v>20122971</v>
          </cell>
          <cell r="U3092" t="str">
            <v>NELSON JAVIER MORERA RINCON</v>
          </cell>
        </row>
        <row r="3093">
          <cell r="B3093">
            <v>20122987</v>
          </cell>
          <cell r="U3093" t="str">
            <v>JEISSON FABIAN MOLINA CIRO</v>
          </cell>
        </row>
        <row r="3094">
          <cell r="B3094">
            <v>20122993</v>
          </cell>
          <cell r="U3094" t="str">
            <v>FABIAN CONCHA</v>
          </cell>
        </row>
        <row r="3095">
          <cell r="B3095">
            <v>20122999</v>
          </cell>
          <cell r="U3095" t="str">
            <v>JAVIER ORLANDO HERNANDEZ RIVERA</v>
          </cell>
        </row>
        <row r="3096">
          <cell r="B3096">
            <v>20123007</v>
          </cell>
          <cell r="U3096" t="str">
            <v>JEISSON FABIAN MOLINA CIRO</v>
          </cell>
        </row>
        <row r="3097">
          <cell r="B3097">
            <v>20123010</v>
          </cell>
          <cell r="U3097" t="str">
            <v>HEIDY LORENA PRIETO AHUMADA</v>
          </cell>
        </row>
        <row r="3098">
          <cell r="B3098">
            <v>20123011</v>
          </cell>
          <cell r="U3098" t="str">
            <v>IVONNE JINETH RODRIGUEZ ROJAS</v>
          </cell>
        </row>
        <row r="3099">
          <cell r="B3099">
            <v>20123014</v>
          </cell>
          <cell r="U3099" t="str">
            <v>IVONNE JINETH RODRIGUEZ ROJAS</v>
          </cell>
        </row>
        <row r="3100">
          <cell r="B3100">
            <v>20123018</v>
          </cell>
          <cell r="U3100" t="str">
            <v>IVONNE JINETH RODRIGUEZ ROJAS</v>
          </cell>
        </row>
        <row r="3101">
          <cell r="B3101">
            <v>20123019</v>
          </cell>
          <cell r="U3101" t="str">
            <v>FABIAN CONCHA</v>
          </cell>
        </row>
        <row r="3102">
          <cell r="B3102">
            <v>20123023</v>
          </cell>
          <cell r="U3102" t="str">
            <v>IVONNE JINETH RODRIGUEZ ROJAS</v>
          </cell>
        </row>
        <row r="3103">
          <cell r="B3103">
            <v>20123030</v>
          </cell>
          <cell r="U3103" t="str">
            <v>JAVIER ORLANDO HERNANDEZ RIVERA</v>
          </cell>
        </row>
        <row r="3104">
          <cell r="B3104">
            <v>20123039</v>
          </cell>
          <cell r="U3104" t="str">
            <v>NELSON JAVIER MORERA RINCON</v>
          </cell>
        </row>
        <row r="3105">
          <cell r="B3105">
            <v>20123044</v>
          </cell>
          <cell r="U3105" t="str">
            <v>FABIAN CONCHA</v>
          </cell>
        </row>
        <row r="3106">
          <cell r="B3106">
            <v>20123047</v>
          </cell>
          <cell r="U3106" t="str">
            <v>IVONNE JINETH RODRIGUEZ ROJAS</v>
          </cell>
        </row>
        <row r="3107">
          <cell r="B3107">
            <v>20123053</v>
          </cell>
          <cell r="U3107" t="str">
            <v>FABIAN CONCHA</v>
          </cell>
        </row>
        <row r="3108">
          <cell r="B3108">
            <v>20123054</v>
          </cell>
          <cell r="U3108" t="str">
            <v>FABIAN CONCHA</v>
          </cell>
        </row>
        <row r="3109">
          <cell r="B3109">
            <v>20123055</v>
          </cell>
          <cell r="U3109" t="str">
            <v>JOHAN SEBASTIAN PARDEYN AGUILAR</v>
          </cell>
        </row>
        <row r="3110">
          <cell r="B3110">
            <v>20123065</v>
          </cell>
          <cell r="U3110" t="str">
            <v>JAVIER ORLANDO HERNANDEZ RIVERA</v>
          </cell>
        </row>
        <row r="3111">
          <cell r="B3111">
            <v>20123069</v>
          </cell>
          <cell r="U3111" t="str">
            <v>ANGIE LIZETH GARZON GARCIA</v>
          </cell>
        </row>
        <row r="3112">
          <cell r="B3112">
            <v>20123070</v>
          </cell>
          <cell r="U3112" t="str">
            <v>JAVIER ORLANDO HERNANDEZ RIVERA</v>
          </cell>
        </row>
        <row r="3113">
          <cell r="B3113">
            <v>20123082</v>
          </cell>
          <cell r="U3113" t="str">
            <v>FABIAN CONCHA</v>
          </cell>
        </row>
        <row r="3114">
          <cell r="B3114">
            <v>20123083</v>
          </cell>
          <cell r="U3114" t="str">
            <v>FABIAN CONCHA</v>
          </cell>
        </row>
        <row r="3115">
          <cell r="B3115">
            <v>20123085</v>
          </cell>
          <cell r="U3115" t="str">
            <v>JEISSON FABIAN MOLINA CIRO</v>
          </cell>
        </row>
        <row r="3116">
          <cell r="B3116">
            <v>20123095</v>
          </cell>
          <cell r="U3116" t="str">
            <v>JEISSON FABIAN MOLINA CIRO</v>
          </cell>
        </row>
        <row r="3117">
          <cell r="B3117">
            <v>20123097</v>
          </cell>
          <cell r="U3117" t="str">
            <v>GINA PAOLA MEDINA FLOREZ</v>
          </cell>
        </row>
        <row r="3118">
          <cell r="B3118">
            <v>20123098</v>
          </cell>
          <cell r="U3118" t="str">
            <v>FABIAN CONCHA</v>
          </cell>
        </row>
        <row r="3119">
          <cell r="B3119">
            <v>20123100</v>
          </cell>
          <cell r="U3119" t="str">
            <v>ANGIE LIZETH GARZON GARCIA</v>
          </cell>
        </row>
        <row r="3120">
          <cell r="B3120">
            <v>20123102</v>
          </cell>
          <cell r="U3120" t="str">
            <v>CATALINA PACHECO BURGOS</v>
          </cell>
        </row>
        <row r="3121">
          <cell r="B3121">
            <v>20123109</v>
          </cell>
          <cell r="U3121" t="str">
            <v>PAOLA ANDREA CALDERON CETINA</v>
          </cell>
        </row>
        <row r="3122">
          <cell r="B3122">
            <v>20123113</v>
          </cell>
          <cell r="U3122" t="str">
            <v>GINA PAOLA MEDINA FLOREZ</v>
          </cell>
        </row>
        <row r="3123">
          <cell r="B3123">
            <v>20123126</v>
          </cell>
          <cell r="U3123" t="str">
            <v>GINA PAOLA MEDINA FLOREZ</v>
          </cell>
        </row>
        <row r="3124">
          <cell r="B3124">
            <v>20123133</v>
          </cell>
          <cell r="U3124" t="str">
            <v>FABIAN CONCHA</v>
          </cell>
        </row>
        <row r="3125">
          <cell r="B3125">
            <v>20123149</v>
          </cell>
          <cell r="U3125" t="str">
            <v>IVONNE JINETH RODRIGUEZ ROJAS</v>
          </cell>
        </row>
        <row r="3126">
          <cell r="B3126">
            <v>20123151</v>
          </cell>
          <cell r="U3126" t="str">
            <v>PAOLA ANDREA CALDERON CETINA</v>
          </cell>
        </row>
        <row r="3127">
          <cell r="B3127">
            <v>20123156</v>
          </cell>
          <cell r="U3127" t="str">
            <v>PAOLA ANDREA CALDERON CETINA</v>
          </cell>
        </row>
        <row r="3128">
          <cell r="B3128">
            <v>20123161</v>
          </cell>
          <cell r="U3128" t="str">
            <v>JAVIER ORLANDO HERNANDEZ RIVERA</v>
          </cell>
        </row>
        <row r="3129">
          <cell r="B3129">
            <v>20123163</v>
          </cell>
          <cell r="U3129" t="str">
            <v>GINA PAOLA MEDINA FLOREZ</v>
          </cell>
        </row>
        <row r="3130">
          <cell r="B3130">
            <v>20123168</v>
          </cell>
          <cell r="U3130" t="str">
            <v>FABIAN CONCHA</v>
          </cell>
        </row>
        <row r="3131">
          <cell r="B3131">
            <v>20123170</v>
          </cell>
          <cell r="U3131" t="str">
            <v>JEISSON FABIAN MOLINA CIRO</v>
          </cell>
        </row>
        <row r="3132">
          <cell r="B3132">
            <v>20123172</v>
          </cell>
          <cell r="U3132" t="str">
            <v>NELSON JAVIER MORERA RINCON</v>
          </cell>
        </row>
        <row r="3133">
          <cell r="B3133">
            <v>20123173</v>
          </cell>
          <cell r="U3133" t="str">
            <v>IVONNE JINETH RODRIGUEZ ROJAS</v>
          </cell>
        </row>
        <row r="3134">
          <cell r="B3134">
            <v>20123174</v>
          </cell>
          <cell r="U3134" t="str">
            <v>NELSON JAVIER MORERA RINCON</v>
          </cell>
        </row>
        <row r="3135">
          <cell r="B3135">
            <v>20123177</v>
          </cell>
          <cell r="U3135" t="str">
            <v>NELSON JAVIER MORERA RINCON</v>
          </cell>
        </row>
        <row r="3136">
          <cell r="B3136">
            <v>20123198</v>
          </cell>
          <cell r="U3136" t="str">
            <v>GINA PAOLA MEDINA FLOREZ</v>
          </cell>
        </row>
        <row r="3137">
          <cell r="B3137">
            <v>20123199</v>
          </cell>
          <cell r="U3137" t="str">
            <v>NELSON JAVIER MORERA RINCON</v>
          </cell>
        </row>
        <row r="3138">
          <cell r="B3138">
            <v>20123200</v>
          </cell>
          <cell r="U3138" t="str">
            <v>NELSON JAVIER MORERA RINCON</v>
          </cell>
        </row>
        <row r="3139">
          <cell r="B3139">
            <v>20123203</v>
          </cell>
          <cell r="U3139" t="str">
            <v>CATALINA PACHECO BURGOS</v>
          </cell>
        </row>
        <row r="3140">
          <cell r="B3140">
            <v>20123204</v>
          </cell>
          <cell r="U3140" t="str">
            <v>IVONNE JINETH RODRIGUEZ ROJAS</v>
          </cell>
        </row>
        <row r="3141">
          <cell r="B3141">
            <v>20123208</v>
          </cell>
          <cell r="U3141" t="str">
            <v>NELSON JAVIER MORERA RINCON</v>
          </cell>
        </row>
        <row r="3142">
          <cell r="B3142">
            <v>20123212</v>
          </cell>
          <cell r="U3142" t="str">
            <v>JAVIER ORLANDO HERNANDEZ RIVERA</v>
          </cell>
        </row>
        <row r="3143">
          <cell r="B3143">
            <v>20123221</v>
          </cell>
          <cell r="U3143" t="str">
            <v>FABIAN CONCHA</v>
          </cell>
        </row>
        <row r="3144">
          <cell r="B3144">
            <v>20123242</v>
          </cell>
          <cell r="U3144" t="str">
            <v>IVONNE JINETH RODRIGUEZ ROJAS</v>
          </cell>
        </row>
        <row r="3145">
          <cell r="B3145">
            <v>20123245</v>
          </cell>
          <cell r="U3145" t="str">
            <v>PAOLA ANDREA CALDERON CETINA</v>
          </cell>
        </row>
        <row r="3146">
          <cell r="B3146">
            <v>20123249</v>
          </cell>
          <cell r="U3146" t="str">
            <v>MARSHIA MILENA JIMéNEZ GóMEZ</v>
          </cell>
        </row>
        <row r="3147">
          <cell r="B3147">
            <v>20123253</v>
          </cell>
          <cell r="U3147" t="str">
            <v>JOHAN SEBASTIAN PARDEYN AGUILAR</v>
          </cell>
        </row>
        <row r="3148">
          <cell r="B3148">
            <v>20123254</v>
          </cell>
          <cell r="U3148" t="str">
            <v>JEISSON FABIAN MOLINA CIRO</v>
          </cell>
        </row>
        <row r="3149">
          <cell r="B3149">
            <v>20123255</v>
          </cell>
          <cell r="U3149" t="str">
            <v>JAVIER ORLANDO HERNANDEZ RIVERA</v>
          </cell>
        </row>
        <row r="3150">
          <cell r="B3150">
            <v>20123256</v>
          </cell>
          <cell r="U3150" t="str">
            <v>FABIAN CONCHA</v>
          </cell>
        </row>
        <row r="3151">
          <cell r="B3151">
            <v>20123262</v>
          </cell>
          <cell r="U3151" t="str">
            <v>HEIDY LORENA PRIETO AHUMADA</v>
          </cell>
        </row>
        <row r="3152">
          <cell r="B3152">
            <v>20123267</v>
          </cell>
          <cell r="U3152" t="str">
            <v>MARSHIA MILENA JIMéNEZ GóMEZ</v>
          </cell>
        </row>
        <row r="3153">
          <cell r="B3153">
            <v>20123287</v>
          </cell>
          <cell r="U3153" t="str">
            <v>PAOLA ANDREA CALDERON CETINA</v>
          </cell>
        </row>
        <row r="3154">
          <cell r="B3154">
            <v>20123294</v>
          </cell>
          <cell r="U3154" t="str">
            <v>HEIDY LORENA PRIETO AHUMADA</v>
          </cell>
        </row>
        <row r="3155">
          <cell r="B3155">
            <v>20123306</v>
          </cell>
          <cell r="U3155" t="str">
            <v>HEIDY LORENA PRIETO AHUMADA</v>
          </cell>
        </row>
        <row r="3156">
          <cell r="B3156">
            <v>20123311</v>
          </cell>
          <cell r="U3156" t="str">
            <v>NELSON JAVIER MORERA RINCON</v>
          </cell>
        </row>
        <row r="3157">
          <cell r="B3157">
            <v>20123323</v>
          </cell>
          <cell r="U3157" t="str">
            <v>JAVIER ORLANDO HERNANDEZ RIVERA</v>
          </cell>
        </row>
        <row r="3158">
          <cell r="B3158">
            <v>20123324</v>
          </cell>
          <cell r="U3158" t="str">
            <v>JAVIER ORLANDO HERNANDEZ RIVERA</v>
          </cell>
        </row>
        <row r="3159">
          <cell r="B3159">
            <v>20123333</v>
          </cell>
          <cell r="U3159" t="str">
            <v>GINA PAOLA MEDINA FLOREZ</v>
          </cell>
        </row>
        <row r="3160">
          <cell r="B3160">
            <v>20123338</v>
          </cell>
          <cell r="U3160" t="str">
            <v>IVONNE JINETH RODRIGUEZ ROJAS</v>
          </cell>
        </row>
        <row r="3161">
          <cell r="B3161">
            <v>20123340</v>
          </cell>
          <cell r="U3161" t="str">
            <v>JEISSON FABIAN MOLINA CIRO</v>
          </cell>
        </row>
        <row r="3162">
          <cell r="B3162">
            <v>20123343</v>
          </cell>
          <cell r="U3162" t="str">
            <v>IVONNE JINETH RODRIGUEZ ROJAS</v>
          </cell>
        </row>
        <row r="3163">
          <cell r="B3163">
            <v>20123347</v>
          </cell>
          <cell r="U3163" t="str">
            <v>CATALINA PACHECO BURGOS</v>
          </cell>
        </row>
        <row r="3164">
          <cell r="B3164">
            <v>20123348</v>
          </cell>
          <cell r="U3164" t="str">
            <v>IVONNE JINETH RODRIGUEZ ROJAS</v>
          </cell>
        </row>
        <row r="3165">
          <cell r="B3165">
            <v>20123359</v>
          </cell>
          <cell r="U3165" t="str">
            <v>GINA PAOLA MEDINA FLOREZ</v>
          </cell>
        </row>
        <row r="3166">
          <cell r="B3166">
            <v>20123360</v>
          </cell>
          <cell r="U3166" t="str">
            <v>MARSHIA MILENA JIMéNEZ GóMEZ</v>
          </cell>
        </row>
        <row r="3167">
          <cell r="B3167">
            <v>20123363</v>
          </cell>
          <cell r="U3167" t="str">
            <v>IVONNE JINETH RODRIGUEZ ROJAS</v>
          </cell>
        </row>
        <row r="3168">
          <cell r="B3168">
            <v>20123374</v>
          </cell>
          <cell r="U3168" t="str">
            <v>NELSON JAVIER MORERA RINCON</v>
          </cell>
        </row>
        <row r="3169">
          <cell r="B3169">
            <v>20123380</v>
          </cell>
          <cell r="U3169" t="str">
            <v>FABIAN CONCHA</v>
          </cell>
        </row>
        <row r="3170">
          <cell r="B3170">
            <v>20123383</v>
          </cell>
          <cell r="U3170" t="str">
            <v>IVONNE JINETH RODRIGUEZ ROJAS</v>
          </cell>
        </row>
        <row r="3171">
          <cell r="B3171">
            <v>20123394</v>
          </cell>
          <cell r="U3171" t="str">
            <v>IVONNE JINETH RODRIGUEZ ROJAS</v>
          </cell>
        </row>
        <row r="3172">
          <cell r="B3172">
            <v>20123401</v>
          </cell>
          <cell r="U3172" t="str">
            <v>FABIAN CONCHA</v>
          </cell>
        </row>
        <row r="3173">
          <cell r="B3173">
            <v>20123402</v>
          </cell>
          <cell r="U3173" t="str">
            <v>PAOLA ANDREA CALDERON CETINA</v>
          </cell>
        </row>
        <row r="3174">
          <cell r="B3174">
            <v>20123404</v>
          </cell>
          <cell r="U3174" t="str">
            <v>FABIAN CONCHA</v>
          </cell>
        </row>
        <row r="3175">
          <cell r="B3175">
            <v>20123419</v>
          </cell>
          <cell r="U3175" t="str">
            <v>IVONNE JINETH RODRIGUEZ ROJAS</v>
          </cell>
        </row>
        <row r="3176">
          <cell r="B3176">
            <v>20123421</v>
          </cell>
          <cell r="U3176" t="str">
            <v>NELSON JAVIER MORERA RINCON</v>
          </cell>
        </row>
        <row r="3177">
          <cell r="B3177">
            <v>20123431</v>
          </cell>
          <cell r="U3177" t="str">
            <v>JOHAN SEBASTIAN PARDEYN AGUILAR</v>
          </cell>
        </row>
        <row r="3178">
          <cell r="B3178">
            <v>20123436</v>
          </cell>
          <cell r="U3178" t="str">
            <v>IVONNE JINETH RODRIGUEZ ROJAS</v>
          </cell>
        </row>
        <row r="3179">
          <cell r="B3179">
            <v>20123446</v>
          </cell>
          <cell r="U3179" t="str">
            <v>JAVIER ORLANDO HERNANDEZ RIVERA</v>
          </cell>
        </row>
        <row r="3180">
          <cell r="B3180">
            <v>20123450</v>
          </cell>
          <cell r="U3180" t="str">
            <v>GINA PAOLA MEDINA FLOREZ</v>
          </cell>
        </row>
        <row r="3181">
          <cell r="B3181">
            <v>20123454</v>
          </cell>
          <cell r="U3181" t="str">
            <v>FABIAN CONCHA</v>
          </cell>
        </row>
        <row r="3182">
          <cell r="B3182">
            <v>20123456</v>
          </cell>
          <cell r="U3182" t="str">
            <v>JEISSON FABIAN MOLINA CIRO</v>
          </cell>
        </row>
        <row r="3183">
          <cell r="B3183">
            <v>20123461</v>
          </cell>
          <cell r="U3183" t="str">
            <v>FABIAN CONCHA</v>
          </cell>
        </row>
        <row r="3184">
          <cell r="B3184">
            <v>20123462</v>
          </cell>
          <cell r="U3184" t="str">
            <v>NELSON JAVIER MORERA RINCON</v>
          </cell>
        </row>
        <row r="3185">
          <cell r="B3185">
            <v>20123470</v>
          </cell>
          <cell r="U3185" t="str">
            <v>MARSHIA MILENA JIMéNEZ GóMEZ</v>
          </cell>
        </row>
        <row r="3186">
          <cell r="B3186">
            <v>20123471</v>
          </cell>
          <cell r="U3186" t="str">
            <v>JEISSON FABIAN MOLINA CIRO</v>
          </cell>
        </row>
        <row r="3187">
          <cell r="B3187">
            <v>20123482</v>
          </cell>
          <cell r="U3187" t="str">
            <v>CATALINA PACHECO BURGOS</v>
          </cell>
        </row>
        <row r="3188">
          <cell r="B3188">
            <v>20123484</v>
          </cell>
          <cell r="U3188" t="str">
            <v>IVONNE JINETH RODRIGUEZ ROJAS</v>
          </cell>
        </row>
        <row r="3189">
          <cell r="B3189">
            <v>20123502</v>
          </cell>
          <cell r="U3189" t="str">
            <v>CATALINA PACHECO BURGOS</v>
          </cell>
        </row>
        <row r="3190">
          <cell r="B3190">
            <v>20123512</v>
          </cell>
          <cell r="U3190" t="str">
            <v>ANGIE LIZETH GARZON GARCIA</v>
          </cell>
        </row>
        <row r="3191">
          <cell r="B3191">
            <v>20123567</v>
          </cell>
          <cell r="U3191" t="str">
            <v>FABIAN CONCHA</v>
          </cell>
        </row>
        <row r="3192">
          <cell r="B3192">
            <v>20123568</v>
          </cell>
          <cell r="U3192" t="str">
            <v>NELSON JAVIER MORERA RINCON</v>
          </cell>
        </row>
        <row r="3193">
          <cell r="B3193">
            <v>20123570</v>
          </cell>
          <cell r="U3193" t="str">
            <v>JEISSON FABIAN MOLINA CIRO</v>
          </cell>
        </row>
        <row r="3194">
          <cell r="B3194">
            <v>20123592</v>
          </cell>
          <cell r="U3194" t="str">
            <v>IVONNE JINETH RODRIGUEZ ROJAS</v>
          </cell>
        </row>
        <row r="3195">
          <cell r="B3195">
            <v>20123593</v>
          </cell>
          <cell r="U3195" t="str">
            <v>NELSON JAVIER MORERA RINCON</v>
          </cell>
        </row>
        <row r="3196">
          <cell r="B3196">
            <v>20123597</v>
          </cell>
          <cell r="U3196" t="str">
            <v>HEIDY LORENA PRIETO AHUMADA</v>
          </cell>
        </row>
        <row r="3197">
          <cell r="B3197">
            <v>20123599</v>
          </cell>
          <cell r="U3197" t="str">
            <v>IVONNE JINETH RODRIGUEZ ROJAS</v>
          </cell>
        </row>
        <row r="3198">
          <cell r="B3198">
            <v>20123601</v>
          </cell>
          <cell r="U3198" t="str">
            <v>MARSHIA MILENA JIMéNEZ GóMEZ</v>
          </cell>
        </row>
        <row r="3199">
          <cell r="B3199">
            <v>20123603</v>
          </cell>
          <cell r="U3199" t="str">
            <v>IVONNE JINETH RODRIGUEZ ROJAS</v>
          </cell>
        </row>
        <row r="3200">
          <cell r="B3200">
            <v>20123619</v>
          </cell>
          <cell r="U3200" t="str">
            <v>CATALINA PACHECO BURGOS</v>
          </cell>
        </row>
        <row r="3201">
          <cell r="B3201">
            <v>20123622</v>
          </cell>
          <cell r="U3201" t="str">
            <v>FABIAN CONCHA</v>
          </cell>
        </row>
        <row r="3202">
          <cell r="B3202">
            <v>20123625</v>
          </cell>
          <cell r="U3202" t="str">
            <v>JOHAN SEBASTIAN PARDEYN AGUILAR</v>
          </cell>
        </row>
        <row r="3203">
          <cell r="B3203">
            <v>20123631</v>
          </cell>
          <cell r="U3203" t="str">
            <v>MARSHIA MILENA JIMéNEZ GóMEZ</v>
          </cell>
        </row>
        <row r="3204">
          <cell r="B3204">
            <v>20123632</v>
          </cell>
          <cell r="U3204" t="str">
            <v>GINA PAOLA MEDINA FLOREZ</v>
          </cell>
        </row>
        <row r="3205">
          <cell r="B3205">
            <v>20123633</v>
          </cell>
          <cell r="U3205" t="str">
            <v>IVONNE JINETH RODRIGUEZ ROJAS</v>
          </cell>
        </row>
        <row r="3206">
          <cell r="B3206">
            <v>20123651</v>
          </cell>
          <cell r="U3206" t="str">
            <v>FABIAN CONCHA</v>
          </cell>
        </row>
        <row r="3207">
          <cell r="B3207">
            <v>20123654</v>
          </cell>
          <cell r="U3207" t="str">
            <v>IVONNE JINETH RODRIGUEZ ROJAS</v>
          </cell>
        </row>
        <row r="3208">
          <cell r="B3208">
            <v>20123674</v>
          </cell>
          <cell r="U3208" t="str">
            <v>NELSON JAVIER MORERA RINCON</v>
          </cell>
        </row>
        <row r="3209">
          <cell r="B3209">
            <v>20123681</v>
          </cell>
          <cell r="U3209" t="str">
            <v>JEISSON FABIAN MOLINA CIRO</v>
          </cell>
        </row>
        <row r="3210">
          <cell r="B3210">
            <v>20123685</v>
          </cell>
          <cell r="U3210" t="str">
            <v>CATALINA PACHECO BURGOS</v>
          </cell>
        </row>
        <row r="3211">
          <cell r="B3211">
            <v>20123692</v>
          </cell>
          <cell r="U3211" t="str">
            <v>MARSHIA MILENA JIMéNEZ GóMEZ</v>
          </cell>
        </row>
        <row r="3212">
          <cell r="B3212">
            <v>20123697</v>
          </cell>
          <cell r="U3212" t="str">
            <v>IVONNE JINETH RODRIGUEZ ROJAS</v>
          </cell>
        </row>
        <row r="3213">
          <cell r="B3213">
            <v>20123705</v>
          </cell>
          <cell r="U3213" t="str">
            <v>PAOLA ANDREA CALDERON CETINA</v>
          </cell>
        </row>
        <row r="3214">
          <cell r="B3214">
            <v>20123710</v>
          </cell>
          <cell r="U3214" t="str">
            <v>NELSON JAVIER MORERA RINCON</v>
          </cell>
        </row>
        <row r="3215">
          <cell r="B3215">
            <v>20123711</v>
          </cell>
          <cell r="U3215" t="str">
            <v>JOHAN SEBASTIAN PARDEYN AGUILAR</v>
          </cell>
        </row>
        <row r="3216">
          <cell r="B3216">
            <v>20123712</v>
          </cell>
          <cell r="U3216" t="str">
            <v>IVONNE JINETH RODRIGUEZ ROJAS</v>
          </cell>
        </row>
        <row r="3217">
          <cell r="B3217">
            <v>20123718</v>
          </cell>
          <cell r="U3217" t="str">
            <v>JAVIER ORLANDO HERNANDEZ RIVERA</v>
          </cell>
        </row>
        <row r="3218">
          <cell r="B3218">
            <v>20123747</v>
          </cell>
          <cell r="U3218" t="str">
            <v>HEIDY LORENA PRIETO AHUMADA</v>
          </cell>
        </row>
        <row r="3219">
          <cell r="B3219">
            <v>20123752</v>
          </cell>
          <cell r="U3219" t="str">
            <v>PAOLA ANDREA CALDERON CETINA</v>
          </cell>
        </row>
        <row r="3220">
          <cell r="B3220">
            <v>20123762</v>
          </cell>
          <cell r="U3220" t="str">
            <v>FABIAN CONCHA</v>
          </cell>
        </row>
        <row r="3221">
          <cell r="B3221">
            <v>20123766</v>
          </cell>
          <cell r="U3221" t="str">
            <v>IVONNE JINETH RODRIGUEZ ROJAS</v>
          </cell>
        </row>
        <row r="3222">
          <cell r="B3222">
            <v>20123775</v>
          </cell>
          <cell r="U3222" t="str">
            <v>FABIAN CONCHA</v>
          </cell>
        </row>
        <row r="3223">
          <cell r="B3223">
            <v>20123789</v>
          </cell>
          <cell r="U3223" t="str">
            <v>IVONNE JINETH RODRIGUEZ ROJAS</v>
          </cell>
        </row>
        <row r="3224">
          <cell r="B3224">
            <v>20123790</v>
          </cell>
          <cell r="U3224" t="str">
            <v>JEISSON FABIAN MOLINA CIRO</v>
          </cell>
        </row>
        <row r="3225">
          <cell r="B3225">
            <v>20123807</v>
          </cell>
          <cell r="U3225" t="str">
            <v>PAOLA ANDREA CALDERON CETINA</v>
          </cell>
        </row>
        <row r="3226">
          <cell r="B3226">
            <v>20123811</v>
          </cell>
          <cell r="U3226" t="str">
            <v>PAOLA ANDREA CALDERON CETINA</v>
          </cell>
        </row>
        <row r="3227">
          <cell r="B3227">
            <v>20123818</v>
          </cell>
          <cell r="U3227" t="str">
            <v>PAOLA ANDREA CALDERON CETINA</v>
          </cell>
        </row>
        <row r="3228">
          <cell r="B3228">
            <v>20123825</v>
          </cell>
          <cell r="U3228" t="str">
            <v>JOHAN SEBASTIAN PARDEYN AGUILAR</v>
          </cell>
        </row>
        <row r="3229">
          <cell r="B3229">
            <v>20123834</v>
          </cell>
          <cell r="U3229" t="str">
            <v>JOHAN SEBASTIAN PARDEYN AGUILAR</v>
          </cell>
        </row>
        <row r="3230">
          <cell r="B3230">
            <v>20123835</v>
          </cell>
          <cell r="U3230" t="str">
            <v>FABIAN CONCHA</v>
          </cell>
        </row>
        <row r="3231">
          <cell r="B3231">
            <v>20123842</v>
          </cell>
          <cell r="U3231" t="str">
            <v>MARSHIA MILENA JIMéNEZ GóMEZ</v>
          </cell>
        </row>
        <row r="3232">
          <cell r="B3232">
            <v>20123856</v>
          </cell>
          <cell r="U3232" t="str">
            <v>PAOLA ANDREA CALDERON CETINA</v>
          </cell>
        </row>
        <row r="3233">
          <cell r="B3233">
            <v>20123861</v>
          </cell>
          <cell r="U3233" t="str">
            <v>MARSHIA MILENA JIMéNEZ GóMEZ</v>
          </cell>
        </row>
        <row r="3234">
          <cell r="B3234">
            <v>20123874</v>
          </cell>
          <cell r="U3234" t="str">
            <v>FABIAN CONCHA</v>
          </cell>
        </row>
        <row r="3235">
          <cell r="B3235">
            <v>20123885</v>
          </cell>
          <cell r="U3235" t="str">
            <v>JEISSON FABIAN MOLINA CIRO</v>
          </cell>
        </row>
        <row r="3236">
          <cell r="B3236">
            <v>20123886</v>
          </cell>
          <cell r="U3236" t="str">
            <v>HEIDY LORENA PRIETO AHUMADA</v>
          </cell>
        </row>
        <row r="3237">
          <cell r="B3237">
            <v>20123887</v>
          </cell>
          <cell r="U3237" t="str">
            <v>CATALINA PACHECO BURGOS</v>
          </cell>
        </row>
        <row r="3238">
          <cell r="B3238">
            <v>20123891</v>
          </cell>
          <cell r="U3238" t="str">
            <v>JAVIER ORLANDO HERNANDEZ RIVERA</v>
          </cell>
        </row>
        <row r="3239">
          <cell r="B3239">
            <v>20123899</v>
          </cell>
          <cell r="U3239" t="str">
            <v>CATALINA PACHECO BURGOS</v>
          </cell>
        </row>
        <row r="3240">
          <cell r="B3240">
            <v>20123906</v>
          </cell>
          <cell r="U3240" t="str">
            <v>JEISSON FABIAN MOLINA CIRO</v>
          </cell>
        </row>
        <row r="3241">
          <cell r="B3241">
            <v>20123911</v>
          </cell>
          <cell r="U3241" t="str">
            <v>CATALINA PACHECO BURGOS</v>
          </cell>
        </row>
        <row r="3242">
          <cell r="B3242">
            <v>20123912</v>
          </cell>
          <cell r="U3242" t="str">
            <v>IVONNE JINETH RODRIGUEZ ROJAS</v>
          </cell>
        </row>
        <row r="3243">
          <cell r="B3243">
            <v>20123920</v>
          </cell>
          <cell r="U3243" t="str">
            <v/>
          </cell>
        </row>
        <row r="3244">
          <cell r="B3244">
            <v>20123924</v>
          </cell>
          <cell r="U3244" t="str">
            <v>MARSHIA MILENA JIMéNEZ GóMEZ</v>
          </cell>
        </row>
        <row r="3245">
          <cell r="B3245">
            <v>20123929</v>
          </cell>
          <cell r="U3245" t="str">
            <v>IVONNE JINETH RODRIGUEZ ROJAS</v>
          </cell>
        </row>
        <row r="3246">
          <cell r="B3246">
            <v>20123934</v>
          </cell>
          <cell r="U3246" t="str">
            <v>IVONNE JINETH RODRIGUEZ ROJAS</v>
          </cell>
        </row>
        <row r="3247">
          <cell r="B3247">
            <v>20123942</v>
          </cell>
          <cell r="U3247" t="str">
            <v>PAOLA ANDREA CALDERON CETINA</v>
          </cell>
        </row>
        <row r="3248">
          <cell r="B3248">
            <v>20123963</v>
          </cell>
          <cell r="U3248" t="str">
            <v>JAVIER ORLANDO HERNANDEZ RIVERA</v>
          </cell>
        </row>
        <row r="3249">
          <cell r="B3249">
            <v>20123966</v>
          </cell>
          <cell r="U3249" t="str">
            <v>JAVIER ORLANDO HERNANDEZ RIVERA</v>
          </cell>
        </row>
        <row r="3250">
          <cell r="B3250">
            <v>20123993</v>
          </cell>
          <cell r="U3250" t="str">
            <v>FABIAN CONCHA</v>
          </cell>
        </row>
        <row r="3251">
          <cell r="B3251">
            <v>20123995</v>
          </cell>
          <cell r="U3251" t="str">
            <v>ANGIE LIZETH GARZON GARCIA</v>
          </cell>
        </row>
        <row r="3252">
          <cell r="B3252">
            <v>20124004</v>
          </cell>
          <cell r="U3252" t="str">
            <v>JEISSON FABIAN MOLINA CIRO</v>
          </cell>
        </row>
        <row r="3253">
          <cell r="B3253">
            <v>20124010</v>
          </cell>
          <cell r="U3253" t="str">
            <v>NELSON JAVIER MORERA RINCON</v>
          </cell>
        </row>
        <row r="3254">
          <cell r="B3254">
            <v>20124012</v>
          </cell>
          <cell r="U3254" t="str">
            <v>IVONNE JINETH RODRIGUEZ ROJAS</v>
          </cell>
        </row>
        <row r="3255">
          <cell r="B3255">
            <v>20124020</v>
          </cell>
          <cell r="U3255" t="str">
            <v>FABIAN CONCHA</v>
          </cell>
        </row>
        <row r="3256">
          <cell r="B3256">
            <v>20124021</v>
          </cell>
          <cell r="U3256" t="str">
            <v>HEIDY LORENA PRIETO AHUMADA</v>
          </cell>
        </row>
        <row r="3257">
          <cell r="B3257">
            <v>20124028</v>
          </cell>
          <cell r="U3257" t="str">
            <v>JOVANNY ALEXANDER BENAVIDES APRAEZ</v>
          </cell>
        </row>
        <row r="3258">
          <cell r="B3258">
            <v>20124043</v>
          </cell>
          <cell r="U3258" t="str">
            <v>NELSON JAVIER MORERA RINCON</v>
          </cell>
        </row>
        <row r="3259">
          <cell r="B3259">
            <v>20124050</v>
          </cell>
          <cell r="U3259" t="str">
            <v>JEISSON FABIAN MOLINA CIRO</v>
          </cell>
        </row>
        <row r="3260">
          <cell r="B3260">
            <v>20124051</v>
          </cell>
          <cell r="U3260" t="str">
            <v>FABIAN CONCHA</v>
          </cell>
        </row>
        <row r="3261">
          <cell r="B3261">
            <v>20124052</v>
          </cell>
          <cell r="U3261" t="str">
            <v>FABIAN CONCHA</v>
          </cell>
        </row>
        <row r="3262">
          <cell r="B3262">
            <v>20124062</v>
          </cell>
          <cell r="U3262" t="str">
            <v>IVONNE JINETH RODRIGUEZ ROJAS</v>
          </cell>
        </row>
        <row r="3263">
          <cell r="B3263">
            <v>20124070</v>
          </cell>
          <cell r="U3263" t="str">
            <v>JEISSON FABIAN MOLINA CIRO</v>
          </cell>
        </row>
        <row r="3264">
          <cell r="B3264">
            <v>20124077</v>
          </cell>
          <cell r="U3264" t="str">
            <v>NELSON JAVIER MORERA RINCON</v>
          </cell>
        </row>
        <row r="3265">
          <cell r="B3265">
            <v>20124078</v>
          </cell>
          <cell r="U3265" t="str">
            <v>JAVIER ORLANDO HERNANDEZ RIVERA</v>
          </cell>
        </row>
        <row r="3266">
          <cell r="B3266">
            <v>20124087</v>
          </cell>
          <cell r="U3266" t="str">
            <v>IVONNE JINETH RODRIGUEZ ROJAS</v>
          </cell>
        </row>
        <row r="3267">
          <cell r="B3267">
            <v>20124089</v>
          </cell>
          <cell r="U3267" t="str">
            <v/>
          </cell>
        </row>
        <row r="3268">
          <cell r="B3268">
            <v>20124091</v>
          </cell>
          <cell r="U3268" t="str">
            <v>PAOLA ANDREA CALDERON CETINA</v>
          </cell>
        </row>
        <row r="3269">
          <cell r="B3269">
            <v>20124093</v>
          </cell>
          <cell r="U3269" t="str">
            <v>GINA PAOLA MEDINA FLOREZ</v>
          </cell>
        </row>
        <row r="3270">
          <cell r="B3270">
            <v>20124097</v>
          </cell>
          <cell r="U3270" t="str">
            <v>IVONNE JINETH RODRIGUEZ ROJAS</v>
          </cell>
        </row>
        <row r="3271">
          <cell r="B3271">
            <v>20124101</v>
          </cell>
          <cell r="U3271" t="str">
            <v>PAOLA ANDREA CALDERON CETINA</v>
          </cell>
        </row>
        <row r="3272">
          <cell r="B3272">
            <v>20124103</v>
          </cell>
          <cell r="U3272" t="str">
            <v>JAVIER ORLANDO HERNANDEZ RIVERA</v>
          </cell>
        </row>
        <row r="3273">
          <cell r="B3273">
            <v>20124110</v>
          </cell>
          <cell r="U3273" t="str">
            <v>JEISSON FABIAN MOLINA CIRO</v>
          </cell>
        </row>
        <row r="3274">
          <cell r="B3274">
            <v>20124111</v>
          </cell>
          <cell r="U3274" t="str">
            <v>PAOLA ANDREA CALDERON CETINA</v>
          </cell>
        </row>
        <row r="3275">
          <cell r="B3275">
            <v>20124112</v>
          </cell>
          <cell r="U3275" t="str">
            <v>NELSON JAVIER MORERA RINCON</v>
          </cell>
        </row>
        <row r="3276">
          <cell r="B3276">
            <v>20124115</v>
          </cell>
          <cell r="U3276" t="str">
            <v>MARSHIA MILENA JIMéNEZ GóMEZ</v>
          </cell>
        </row>
        <row r="3277">
          <cell r="B3277">
            <v>20124118</v>
          </cell>
          <cell r="U3277" t="str">
            <v>GINA PAOLA MEDINA FLOREZ</v>
          </cell>
        </row>
        <row r="3278">
          <cell r="B3278">
            <v>20124122</v>
          </cell>
          <cell r="U3278" t="str">
            <v>MARSHIA MILENA JIMéNEZ GóMEZ</v>
          </cell>
        </row>
        <row r="3279">
          <cell r="B3279">
            <v>20124127</v>
          </cell>
          <cell r="U3279" t="str">
            <v>PAOLA ANDREA CALDERON CETINA</v>
          </cell>
        </row>
        <row r="3280">
          <cell r="B3280">
            <v>20124142</v>
          </cell>
          <cell r="U3280" t="str">
            <v>MARSHIA MILENA JIMéNEZ GóMEZ</v>
          </cell>
        </row>
        <row r="3281">
          <cell r="B3281">
            <v>20124145</v>
          </cell>
          <cell r="U3281" t="str">
            <v>JOVANNY ALEXANDER BENAVIDES APRAEZ</v>
          </cell>
        </row>
        <row r="3282">
          <cell r="B3282">
            <v>20124165</v>
          </cell>
          <cell r="U3282" t="str">
            <v>JEISSON FABIAN MOLINA CIRO</v>
          </cell>
        </row>
        <row r="3283">
          <cell r="B3283">
            <v>20124167</v>
          </cell>
          <cell r="U3283" t="str">
            <v>NELSON JAVIER MORERA RINCON</v>
          </cell>
        </row>
        <row r="3284">
          <cell r="B3284">
            <v>20124170</v>
          </cell>
          <cell r="U3284" t="str">
            <v>CATALINA PACHECO BURGOS</v>
          </cell>
        </row>
        <row r="3285">
          <cell r="B3285">
            <v>20124176</v>
          </cell>
          <cell r="U3285" t="str">
            <v>CATALINA PACHECO BURGOS</v>
          </cell>
        </row>
        <row r="3286">
          <cell r="B3286">
            <v>20124182</v>
          </cell>
          <cell r="U3286" t="str">
            <v>NELSON JAVIER MORERA RINCON</v>
          </cell>
        </row>
        <row r="3287">
          <cell r="B3287">
            <v>20124185</v>
          </cell>
          <cell r="U3287" t="str">
            <v>IVONNE JINETH RODRIGUEZ ROJAS</v>
          </cell>
        </row>
        <row r="3288">
          <cell r="B3288">
            <v>20124193</v>
          </cell>
          <cell r="U3288" t="str">
            <v>JOVANNY ALEXANDER BENAVIDES APRAEZ</v>
          </cell>
        </row>
        <row r="3289">
          <cell r="B3289">
            <v>20124196</v>
          </cell>
          <cell r="U3289" t="str">
            <v>MARSHIA MILENA JIMéNEZ GóMEZ</v>
          </cell>
        </row>
        <row r="3290">
          <cell r="B3290">
            <v>20124205</v>
          </cell>
          <cell r="U3290" t="str">
            <v>MARSHIA MILENA JIMéNEZ GóMEZ</v>
          </cell>
        </row>
        <row r="3291">
          <cell r="B3291">
            <v>20124207</v>
          </cell>
          <cell r="U3291" t="str">
            <v>IVONNE JINETH RODRIGUEZ ROJAS</v>
          </cell>
        </row>
        <row r="3292">
          <cell r="B3292">
            <v>20124208</v>
          </cell>
          <cell r="U3292" t="str">
            <v>JOHAN SEBASTIAN PARDEYN AGUILAR</v>
          </cell>
        </row>
        <row r="3293">
          <cell r="B3293">
            <v>20124227</v>
          </cell>
          <cell r="U3293" t="str">
            <v>JAVIER ORLANDO HERNANDEZ RIVERA</v>
          </cell>
        </row>
        <row r="3294">
          <cell r="B3294">
            <v>20124235</v>
          </cell>
          <cell r="U3294" t="str">
            <v>JOHAN SEBASTIAN PARDEYN AGUILAR</v>
          </cell>
        </row>
        <row r="3295">
          <cell r="B3295">
            <v>20124245</v>
          </cell>
          <cell r="U3295" t="str">
            <v>JOHAN SEBASTIAN PARDEYN AGUILAR</v>
          </cell>
        </row>
        <row r="3296">
          <cell r="B3296">
            <v>20124249</v>
          </cell>
          <cell r="U3296" t="str">
            <v>IVONNE JINETH RODRIGUEZ ROJAS</v>
          </cell>
        </row>
        <row r="3297">
          <cell r="B3297">
            <v>20124274</v>
          </cell>
          <cell r="U3297" t="str">
            <v>JOHAN SEBASTIAN PARDEYN AGUILAR</v>
          </cell>
        </row>
        <row r="3298">
          <cell r="B3298">
            <v>20124286</v>
          </cell>
          <cell r="U3298" t="str">
            <v>HEIDY LORENA PRIETO AHUMADA</v>
          </cell>
        </row>
        <row r="3299">
          <cell r="B3299">
            <v>20124293</v>
          </cell>
          <cell r="U3299" t="str">
            <v>JAVIER ORLANDO HERNANDEZ RIVERA</v>
          </cell>
        </row>
        <row r="3300">
          <cell r="B3300">
            <v>20124295</v>
          </cell>
          <cell r="U3300" t="str">
            <v>JAVIER ORLANDO HERNANDEZ RIVERA</v>
          </cell>
        </row>
        <row r="3301">
          <cell r="B3301">
            <v>20124298</v>
          </cell>
          <cell r="U3301" t="str">
            <v>JAVIER ORLANDO HERNANDEZ RIVERA</v>
          </cell>
        </row>
        <row r="3302">
          <cell r="B3302">
            <v>20124306</v>
          </cell>
          <cell r="U3302" t="str">
            <v>JOHAN SEBASTIAN PARDEYN AGUILAR</v>
          </cell>
        </row>
        <row r="3303">
          <cell r="B3303">
            <v>20124308</v>
          </cell>
          <cell r="U3303" t="str">
            <v>FABIAN CONCHA</v>
          </cell>
        </row>
        <row r="3304">
          <cell r="B3304">
            <v>20124314</v>
          </cell>
          <cell r="U3304" t="str">
            <v>JAVIER ORLANDO HERNANDEZ RIVERA</v>
          </cell>
        </row>
        <row r="3305">
          <cell r="B3305">
            <v>20124316</v>
          </cell>
          <cell r="U3305" t="str">
            <v>NELSON JAVIER MORERA RINCON</v>
          </cell>
        </row>
        <row r="3306">
          <cell r="B3306">
            <v>20124321</v>
          </cell>
          <cell r="U3306" t="str">
            <v>IVONNE JINETH RODRIGUEZ ROJAS</v>
          </cell>
        </row>
        <row r="3307">
          <cell r="B3307">
            <v>20124330</v>
          </cell>
          <cell r="U3307" t="str">
            <v>MARSHIA MILENA JIMéNEZ GóMEZ</v>
          </cell>
        </row>
        <row r="3308">
          <cell r="B3308">
            <v>20124332</v>
          </cell>
          <cell r="U3308" t="str">
            <v>ANGIE LIZETH GARZON GARCIA</v>
          </cell>
        </row>
        <row r="3309">
          <cell r="B3309">
            <v>20124335</v>
          </cell>
          <cell r="U3309" t="str">
            <v>MARSHIA MILENA JIMéNEZ GóMEZ</v>
          </cell>
        </row>
        <row r="3310">
          <cell r="B3310">
            <v>20124344</v>
          </cell>
          <cell r="U3310" t="str">
            <v>JOHAN SEBASTIAN PARDEYN AGUILAR</v>
          </cell>
        </row>
        <row r="3311">
          <cell r="B3311">
            <v>20124350</v>
          </cell>
          <cell r="U3311" t="str">
            <v>IVONNE JINETH RODRIGUEZ ROJAS</v>
          </cell>
        </row>
        <row r="3312">
          <cell r="B3312">
            <v>20124351</v>
          </cell>
          <cell r="U3312" t="str">
            <v>IVONNE JINETH RODRIGUEZ ROJAS</v>
          </cell>
        </row>
        <row r="3313">
          <cell r="B3313">
            <v>20124352</v>
          </cell>
          <cell r="U3313" t="str">
            <v>JAVIER ORLANDO HERNANDEZ RIVERA</v>
          </cell>
        </row>
        <row r="3314">
          <cell r="B3314">
            <v>20124353</v>
          </cell>
          <cell r="U3314" t="str">
            <v>JOHAN SEBASTIAN PARDEYN AGUILAR</v>
          </cell>
        </row>
        <row r="3315">
          <cell r="B3315">
            <v>20124354</v>
          </cell>
          <cell r="U3315" t="str">
            <v>FABIAN CONCHA</v>
          </cell>
        </row>
        <row r="3316">
          <cell r="B3316">
            <v>20124355</v>
          </cell>
          <cell r="U3316" t="str">
            <v/>
          </cell>
        </row>
        <row r="3317">
          <cell r="B3317">
            <v>20124365</v>
          </cell>
          <cell r="U3317" t="str">
            <v>HEIDY LORENA PRIETO AHUMADA</v>
          </cell>
        </row>
        <row r="3318">
          <cell r="B3318">
            <v>20124379</v>
          </cell>
          <cell r="U3318" t="str">
            <v>NELSON JAVIER MORERA RINCON</v>
          </cell>
        </row>
        <row r="3319">
          <cell r="B3319">
            <v>20124381</v>
          </cell>
          <cell r="U3319" t="str">
            <v>FABIAN CONCHA</v>
          </cell>
        </row>
        <row r="3320">
          <cell r="B3320">
            <v>20124393</v>
          </cell>
          <cell r="U3320" t="str">
            <v/>
          </cell>
        </row>
        <row r="3321">
          <cell r="B3321">
            <v>20124398</v>
          </cell>
          <cell r="U3321" t="str">
            <v>GINA PAOLA MEDINA FLOREZ</v>
          </cell>
        </row>
        <row r="3322">
          <cell r="B3322">
            <v>20124399</v>
          </cell>
          <cell r="U3322" t="str">
            <v>PAOLA ANDREA CALDERON CETINA</v>
          </cell>
        </row>
        <row r="3323">
          <cell r="B3323">
            <v>20124402</v>
          </cell>
          <cell r="U3323" t="str">
            <v>JOHAN SEBASTIAN PARDEYN AGUILAR</v>
          </cell>
        </row>
        <row r="3324">
          <cell r="B3324">
            <v>20124406</v>
          </cell>
          <cell r="U3324" t="str">
            <v>JEISSON FABIAN MOLINA CIRO</v>
          </cell>
        </row>
        <row r="3325">
          <cell r="B3325">
            <v>20124409</v>
          </cell>
          <cell r="U3325" t="str">
            <v>JOHAN SEBASTIAN PARDEYN AGUILAR</v>
          </cell>
        </row>
        <row r="3326">
          <cell r="B3326">
            <v>20124422</v>
          </cell>
          <cell r="U3326" t="str">
            <v>MARSHIA MILENA JIMéNEZ GóMEZ</v>
          </cell>
        </row>
        <row r="3327">
          <cell r="B3327">
            <v>20124424</v>
          </cell>
          <cell r="U3327" t="str">
            <v>IVONNE JINETH RODRIGUEZ ROJAS</v>
          </cell>
        </row>
        <row r="3328">
          <cell r="B3328">
            <v>20124443</v>
          </cell>
          <cell r="U3328" t="str">
            <v>MARSHIA MILENA JIMéNEZ GóMEZ</v>
          </cell>
        </row>
        <row r="3329">
          <cell r="B3329">
            <v>20124449</v>
          </cell>
          <cell r="U3329" t="str">
            <v>NELSON JAVIER MORERA RINCON</v>
          </cell>
        </row>
        <row r="3330">
          <cell r="B3330">
            <v>20124463</v>
          </cell>
          <cell r="U3330" t="str">
            <v>MARSHIA MILENA JIMéNEZ GóMEZ</v>
          </cell>
        </row>
        <row r="3331">
          <cell r="B3331">
            <v>20124473</v>
          </cell>
          <cell r="U3331" t="str">
            <v>JAVIER ORLANDO HERNANDEZ RIVERA</v>
          </cell>
        </row>
        <row r="3332">
          <cell r="B3332">
            <v>20124486</v>
          </cell>
          <cell r="U3332" t="str">
            <v>NELSON JAVIER MORERA RINCON</v>
          </cell>
        </row>
        <row r="3333">
          <cell r="B3333">
            <v>20124500</v>
          </cell>
          <cell r="U3333" t="str">
            <v>NELSON JAVIER MORERA RINCON</v>
          </cell>
        </row>
        <row r="3334">
          <cell r="B3334">
            <v>20124505</v>
          </cell>
          <cell r="U3334" t="str">
            <v>CATALINA PACHECO BURGOS</v>
          </cell>
        </row>
        <row r="3335">
          <cell r="B3335">
            <v>20124510</v>
          </cell>
          <cell r="U3335" t="str">
            <v>HEIDY LORENA PRIETO AHUMADA</v>
          </cell>
        </row>
        <row r="3336">
          <cell r="B3336">
            <v>20124531</v>
          </cell>
          <cell r="U3336" t="str">
            <v>IVONNE JINETH RODRIGUEZ ROJAS</v>
          </cell>
        </row>
        <row r="3337">
          <cell r="B3337">
            <v>20124540</v>
          </cell>
          <cell r="U3337" t="str">
            <v>IVONNE JINETH RODRIGUEZ ROJAS</v>
          </cell>
        </row>
        <row r="3338">
          <cell r="B3338">
            <v>20124556</v>
          </cell>
          <cell r="U3338" t="e">
            <v>#N/A</v>
          </cell>
        </row>
        <row r="3339">
          <cell r="B3339">
            <v>20124557</v>
          </cell>
          <cell r="U3339" t="str">
            <v>MARSHIA MILENA JIMéNEZ GóMEZ</v>
          </cell>
        </row>
        <row r="3340">
          <cell r="B3340">
            <v>20124558</v>
          </cell>
          <cell r="U3340" t="str">
            <v>JOHAN SEBASTIAN PARDEYN AGUILAR</v>
          </cell>
        </row>
        <row r="3341">
          <cell r="B3341">
            <v>20124559</v>
          </cell>
          <cell r="U3341" t="e">
            <v>#N/A</v>
          </cell>
        </row>
        <row r="3342">
          <cell r="B3342">
            <v>20124560</v>
          </cell>
          <cell r="U3342" t="str">
            <v>JAVIER ORLANDO HERNANDEZ RIVERA</v>
          </cell>
        </row>
        <row r="3343">
          <cell r="B3343">
            <v>20124561</v>
          </cell>
          <cell r="U3343" t="str">
            <v>HEIDY LORENA PRIETO AHUMADA</v>
          </cell>
        </row>
        <row r="3344">
          <cell r="B3344">
            <v>20124562</v>
          </cell>
          <cell r="U3344" t="str">
            <v>HEIDY LORENA PRIETO AHUMADA</v>
          </cell>
        </row>
        <row r="3345">
          <cell r="B3345">
            <v>20124567</v>
          </cell>
          <cell r="U3345" t="str">
            <v>JAVIER ORLANDO HERNANDEZ RIVERA</v>
          </cell>
        </row>
        <row r="3346">
          <cell r="B3346">
            <v>20124568</v>
          </cell>
          <cell r="U3346" t="str">
            <v>NELSON JAVIER MORERA RINCON</v>
          </cell>
        </row>
        <row r="3347">
          <cell r="B3347">
            <v>20124570</v>
          </cell>
          <cell r="U3347" t="str">
            <v>NELSON JAVIER MORERA RINCON</v>
          </cell>
        </row>
        <row r="3348">
          <cell r="B3348">
            <v>20124574</v>
          </cell>
          <cell r="U3348" t="str">
            <v>GINA PAOLA MEDINA FLOREZ</v>
          </cell>
        </row>
        <row r="3349">
          <cell r="B3349">
            <v>20124576</v>
          </cell>
          <cell r="U3349" t="str">
            <v>IVONNE JINETH RODRIGUEZ ROJAS</v>
          </cell>
        </row>
        <row r="3350">
          <cell r="B3350">
            <v>20124582</v>
          </cell>
          <cell r="U3350" t="str">
            <v>JAVIER ORLANDO HERNANDEZ RIVERA</v>
          </cell>
        </row>
        <row r="3351">
          <cell r="B3351">
            <v>20124591</v>
          </cell>
          <cell r="U3351" t="str">
            <v>MARSHIA MILENA JIMéNEZ GóMEZ</v>
          </cell>
        </row>
        <row r="3352">
          <cell r="B3352">
            <v>20124592</v>
          </cell>
          <cell r="U3352" t="str">
            <v>IVONNE JINETH RODRIGUEZ ROJAS</v>
          </cell>
        </row>
        <row r="3353">
          <cell r="B3353">
            <v>20124593</v>
          </cell>
          <cell r="U3353" t="str">
            <v>MARSHIA MILENA JIMéNEZ GóMEZ</v>
          </cell>
        </row>
        <row r="3354">
          <cell r="B3354">
            <v>20124603</v>
          </cell>
          <cell r="U3354" t="str">
            <v>FABIAN CONCHA</v>
          </cell>
        </row>
        <row r="3355">
          <cell r="B3355">
            <v>20124606</v>
          </cell>
          <cell r="U3355" t="str">
            <v>JAVIER ORLANDO HERNANDEZ RIVERA</v>
          </cell>
        </row>
        <row r="3356">
          <cell r="B3356">
            <v>20124621</v>
          </cell>
          <cell r="U3356" t="str">
            <v>IVONNE JINETH RODRIGUEZ ROJAS</v>
          </cell>
        </row>
        <row r="3357">
          <cell r="B3357">
            <v>20124623</v>
          </cell>
          <cell r="U3357" t="str">
            <v>NELSON JAVIER MORERA RINCON</v>
          </cell>
        </row>
        <row r="3358">
          <cell r="B3358">
            <v>20124625</v>
          </cell>
          <cell r="U3358" t="str">
            <v>IVONNE JINETH RODRIGUEZ ROJAS</v>
          </cell>
        </row>
        <row r="3359">
          <cell r="B3359">
            <v>20124650</v>
          </cell>
          <cell r="U3359" t="str">
            <v>HEIDY LORENA PRIETO AHUMADA</v>
          </cell>
        </row>
        <row r="3360">
          <cell r="B3360">
            <v>20124668</v>
          </cell>
          <cell r="U3360" t="str">
            <v>IVONNE JINETH RODRIGUEZ ROJAS</v>
          </cell>
        </row>
        <row r="3361">
          <cell r="B3361">
            <v>20124679</v>
          </cell>
          <cell r="U3361" t="str">
            <v>ANGIE LIZETH GARZON GARCIA</v>
          </cell>
        </row>
        <row r="3362">
          <cell r="B3362">
            <v>20124703</v>
          </cell>
          <cell r="U3362" t="str">
            <v>NELSON JAVIER MORERA RINCON</v>
          </cell>
        </row>
        <row r="3363">
          <cell r="B3363">
            <v>20124712</v>
          </cell>
          <cell r="U3363" t="str">
            <v>JOHAN SEBASTIAN PARDEYN AGUILAR</v>
          </cell>
        </row>
        <row r="3364">
          <cell r="B3364">
            <v>20124713</v>
          </cell>
          <cell r="U3364" t="str">
            <v>IVONNE JINETH RODRIGUEZ ROJAS</v>
          </cell>
        </row>
        <row r="3365">
          <cell r="B3365">
            <v>20124719</v>
          </cell>
          <cell r="U3365" t="str">
            <v>JOVANNY ALEXANDER BENAVIDES APRAEZ</v>
          </cell>
        </row>
        <row r="3366">
          <cell r="B3366">
            <v>20124726</v>
          </cell>
          <cell r="U3366" t="str">
            <v>IVONNE JINETH RODRIGUEZ ROJAS</v>
          </cell>
        </row>
        <row r="3367">
          <cell r="B3367">
            <v>20124731</v>
          </cell>
          <cell r="U3367" t="str">
            <v>NELSON JAVIER MORERA RINCON</v>
          </cell>
        </row>
        <row r="3368">
          <cell r="B3368">
            <v>20124736</v>
          </cell>
          <cell r="U3368" t="str">
            <v>FABIAN CONCHA</v>
          </cell>
        </row>
        <row r="3369">
          <cell r="B3369">
            <v>20124742</v>
          </cell>
          <cell r="U3369" t="str">
            <v>IVONNE JINETH RODRIGUEZ ROJAS</v>
          </cell>
        </row>
        <row r="3370">
          <cell r="B3370">
            <v>20124746</v>
          </cell>
          <cell r="U3370" t="str">
            <v>MARSHIA MILENA JIMéNEZ GóMEZ</v>
          </cell>
        </row>
        <row r="3371">
          <cell r="B3371">
            <v>20124756</v>
          </cell>
          <cell r="U3371" t="str">
            <v>FABIAN CONCHA</v>
          </cell>
        </row>
        <row r="3372">
          <cell r="B3372">
            <v>20124758</v>
          </cell>
          <cell r="U3372" t="str">
            <v>IVONNE JINETH RODRIGUEZ ROJAS</v>
          </cell>
        </row>
        <row r="3373">
          <cell r="B3373">
            <v>20124759</v>
          </cell>
          <cell r="U3373" t="str">
            <v>IVONNE JINETH RODRIGUEZ ROJAS</v>
          </cell>
        </row>
        <row r="3374">
          <cell r="B3374">
            <v>20124763</v>
          </cell>
          <cell r="U3374" t="str">
            <v>MARSHIA MILENA JIMéNEZ GóMEZ</v>
          </cell>
        </row>
        <row r="3375">
          <cell r="B3375">
            <v>20124768</v>
          </cell>
          <cell r="U3375" t="str">
            <v>IVONNE JINETH RODRIGUEZ ROJAS</v>
          </cell>
        </row>
        <row r="3376">
          <cell r="B3376">
            <v>20124772</v>
          </cell>
          <cell r="U3376" t="str">
            <v>IVONNE JINETH RODRIGUEZ ROJAS</v>
          </cell>
        </row>
        <row r="3377">
          <cell r="B3377">
            <v>20124784</v>
          </cell>
          <cell r="U3377" t="str">
            <v>FABIAN CONCHA</v>
          </cell>
        </row>
        <row r="3378">
          <cell r="B3378">
            <v>20124785</v>
          </cell>
          <cell r="U3378" t="str">
            <v>FABIAN CONCHA</v>
          </cell>
        </row>
        <row r="3379">
          <cell r="B3379">
            <v>20124792</v>
          </cell>
          <cell r="U3379" t="str">
            <v>HEIDY LORENA PRIETO AHUMADA</v>
          </cell>
        </row>
        <row r="3380">
          <cell r="B3380">
            <v>20124794</v>
          </cell>
          <cell r="U3380" t="str">
            <v>JOVANNY ALEXANDER BENAVIDES APRAEZ</v>
          </cell>
        </row>
        <row r="3381">
          <cell r="B3381">
            <v>20124796</v>
          </cell>
          <cell r="U3381" t="str">
            <v>JOHAN SEBASTIAN PARDEYN AGUILAR</v>
          </cell>
        </row>
        <row r="3382">
          <cell r="B3382">
            <v>20124797</v>
          </cell>
          <cell r="U3382" t="str">
            <v>FABIAN CONCHA</v>
          </cell>
        </row>
        <row r="3383">
          <cell r="B3383">
            <v>20124804</v>
          </cell>
          <cell r="U3383" t="str">
            <v/>
          </cell>
        </row>
        <row r="3384">
          <cell r="B3384">
            <v>20124808</v>
          </cell>
          <cell r="U3384" t="str">
            <v>IVONNE JINETH RODRIGUEZ ROJAS</v>
          </cell>
        </row>
        <row r="3385">
          <cell r="B3385">
            <v>20124813</v>
          </cell>
          <cell r="U3385" t="str">
            <v>FABIAN CONCHA</v>
          </cell>
        </row>
        <row r="3386">
          <cell r="B3386">
            <v>20124820</v>
          </cell>
          <cell r="U3386" t="str">
            <v>JAVIER ORLANDO HERNANDEZ RIVERA</v>
          </cell>
        </row>
        <row r="3387">
          <cell r="B3387">
            <v>20124830</v>
          </cell>
          <cell r="U3387" t="str">
            <v>PAOLA ANDREA CALDERON CETINA</v>
          </cell>
        </row>
        <row r="3388">
          <cell r="B3388">
            <v>20124832</v>
          </cell>
          <cell r="U3388" t="str">
            <v>PAOLA ANDREA CALDERON CETINA</v>
          </cell>
        </row>
        <row r="3389">
          <cell r="B3389">
            <v>20124833</v>
          </cell>
          <cell r="U3389" t="str">
            <v>PAOLA ANDREA CALDERON CETINA</v>
          </cell>
        </row>
        <row r="3390">
          <cell r="B3390">
            <v>20124834</v>
          </cell>
          <cell r="U3390" t="str">
            <v>FABIAN CONCHA</v>
          </cell>
        </row>
        <row r="3391">
          <cell r="B3391">
            <v>20124837</v>
          </cell>
          <cell r="U3391" t="str">
            <v>MARSHIA MILENA JIMéNEZ GóMEZ</v>
          </cell>
        </row>
        <row r="3392">
          <cell r="B3392">
            <v>20124843</v>
          </cell>
          <cell r="U3392" t="str">
            <v>JAVIER ORLANDO HERNANDEZ RIVERA</v>
          </cell>
        </row>
        <row r="3393">
          <cell r="B3393">
            <v>20124844</v>
          </cell>
          <cell r="U3393" t="str">
            <v/>
          </cell>
        </row>
        <row r="3394">
          <cell r="B3394">
            <v>20124846</v>
          </cell>
          <cell r="U3394" t="str">
            <v>CATALINA PACHECO BURGOS</v>
          </cell>
        </row>
        <row r="3395">
          <cell r="B3395">
            <v>20124849</v>
          </cell>
          <cell r="U3395" t="str">
            <v>MARSHIA MILENA JIMéNEZ GóMEZ</v>
          </cell>
        </row>
        <row r="3396">
          <cell r="B3396">
            <v>20124855</v>
          </cell>
          <cell r="U3396" t="str">
            <v/>
          </cell>
        </row>
        <row r="3397">
          <cell r="B3397">
            <v>20124858</v>
          </cell>
          <cell r="U3397" t="str">
            <v>NELSON JAVIER MORERA RINCON</v>
          </cell>
        </row>
        <row r="3398">
          <cell r="B3398">
            <v>20124862</v>
          </cell>
          <cell r="U3398" t="str">
            <v>MARSHIA MILENA JIMéNEZ GóMEZ</v>
          </cell>
        </row>
        <row r="3399">
          <cell r="B3399">
            <v>20124863</v>
          </cell>
          <cell r="U3399" t="str">
            <v>JAVIER ORLANDO HERNANDEZ RIVERA</v>
          </cell>
        </row>
        <row r="3400">
          <cell r="B3400">
            <v>20124864</v>
          </cell>
          <cell r="U3400" t="str">
            <v>MARSHIA MILENA JIMéNEZ GóMEZ</v>
          </cell>
        </row>
        <row r="3401">
          <cell r="B3401">
            <v>20124873</v>
          </cell>
          <cell r="U3401" t="str">
            <v>JAVIER ORLANDO HERNANDEZ RIVERA</v>
          </cell>
        </row>
        <row r="3402">
          <cell r="B3402">
            <v>20124874</v>
          </cell>
          <cell r="U3402" t="str">
            <v>MARSHIA MILENA JIMéNEZ GóMEZ</v>
          </cell>
        </row>
        <row r="3403">
          <cell r="B3403">
            <v>20124877</v>
          </cell>
          <cell r="U3403" t="str">
            <v>MARSHIA MILENA JIMéNEZ GóMEZ</v>
          </cell>
        </row>
        <row r="3404">
          <cell r="B3404">
            <v>20124880</v>
          </cell>
          <cell r="U3404" t="str">
            <v>IVONNE JINETH RODRIGUEZ ROJAS</v>
          </cell>
        </row>
        <row r="3405">
          <cell r="B3405">
            <v>20124881</v>
          </cell>
          <cell r="U3405" t="str">
            <v>NELSON JAVIER MORERA RINCON</v>
          </cell>
        </row>
        <row r="3406">
          <cell r="B3406">
            <v>20124890</v>
          </cell>
          <cell r="U3406" t="str">
            <v>JAVIER ORLANDO HERNANDEZ RIVERA</v>
          </cell>
        </row>
        <row r="3407">
          <cell r="B3407">
            <v>20124900</v>
          </cell>
          <cell r="U3407" t="str">
            <v>JOHAN SEBASTIAN PARDEYN AGUILAR</v>
          </cell>
        </row>
        <row r="3408">
          <cell r="B3408">
            <v>20124911</v>
          </cell>
          <cell r="U3408" t="str">
            <v>IVONNE JINETH RODRIGUEZ ROJAS</v>
          </cell>
        </row>
        <row r="3409">
          <cell r="B3409">
            <v>20124923</v>
          </cell>
          <cell r="U3409" t="str">
            <v>FABIAN CONCHA</v>
          </cell>
        </row>
        <row r="3410">
          <cell r="B3410">
            <v>20124937</v>
          </cell>
          <cell r="U3410" t="str">
            <v>IVONNE JINETH RODRIGUEZ ROJAS</v>
          </cell>
        </row>
        <row r="3411">
          <cell r="B3411">
            <v>20124941</v>
          </cell>
          <cell r="U3411" t="str">
            <v>FABIAN CONCHA</v>
          </cell>
        </row>
        <row r="3412">
          <cell r="B3412">
            <v>20124944</v>
          </cell>
          <cell r="U3412" t="str">
            <v>JAVIER ORLANDO HERNANDEZ RIVERA</v>
          </cell>
        </row>
        <row r="3413">
          <cell r="B3413">
            <v>20124947</v>
          </cell>
          <cell r="U3413" t="str">
            <v>FABIAN CONCHA</v>
          </cell>
        </row>
        <row r="3414">
          <cell r="B3414">
            <v>20124955</v>
          </cell>
          <cell r="U3414" t="str">
            <v>MARSHIA MILENA JIMéNEZ GóMEZ</v>
          </cell>
        </row>
        <row r="3415">
          <cell r="B3415">
            <v>20124962</v>
          </cell>
          <cell r="U3415" t="str">
            <v>IVONNE JINETH RODRIGUEZ ROJAS</v>
          </cell>
        </row>
        <row r="3416">
          <cell r="B3416">
            <v>20124964</v>
          </cell>
          <cell r="U3416" t="str">
            <v>FABIAN CONCHA</v>
          </cell>
        </row>
        <row r="3417">
          <cell r="B3417">
            <v>20124969</v>
          </cell>
          <cell r="U3417" t="str">
            <v>ANGIE LIZETH GARZON GARCIA</v>
          </cell>
        </row>
        <row r="3418">
          <cell r="B3418">
            <v>20124984</v>
          </cell>
          <cell r="U3418" t="str">
            <v>IVONNE JINETH RODRIGUEZ ROJAS</v>
          </cell>
        </row>
        <row r="3419">
          <cell r="B3419">
            <v>20124986</v>
          </cell>
          <cell r="U3419" t="str">
            <v>MARSHIA MILENA JIMéNEZ GóMEZ</v>
          </cell>
        </row>
        <row r="3420">
          <cell r="B3420">
            <v>20124996</v>
          </cell>
          <cell r="U3420" t="str">
            <v>IVONNE JINETH RODRIGUEZ ROJAS</v>
          </cell>
        </row>
        <row r="3421">
          <cell r="B3421">
            <v>20125000</v>
          </cell>
          <cell r="U3421" t="str">
            <v>GINA PAOLA MEDINA FLOREZ</v>
          </cell>
        </row>
        <row r="3422">
          <cell r="B3422">
            <v>20125014</v>
          </cell>
          <cell r="U3422" t="str">
            <v>HEIDY LORENA PRIETO AHUMADA</v>
          </cell>
        </row>
        <row r="3423">
          <cell r="B3423">
            <v>20125017</v>
          </cell>
          <cell r="U3423" t="str">
            <v>JAVIER ORLANDO HERNANDEZ RIVERA</v>
          </cell>
        </row>
        <row r="3424">
          <cell r="B3424">
            <v>20125020</v>
          </cell>
          <cell r="U3424" t="str">
            <v>GINA PAOLA MEDINA FLOREZ</v>
          </cell>
        </row>
        <row r="3425">
          <cell r="B3425">
            <v>20125025</v>
          </cell>
          <cell r="U3425" t="e">
            <v>#N/A</v>
          </cell>
        </row>
        <row r="3426">
          <cell r="B3426">
            <v>20125026</v>
          </cell>
          <cell r="U3426" t="str">
            <v>JAVIER ORLANDO HERNANDEZ RIVERA</v>
          </cell>
        </row>
        <row r="3427">
          <cell r="B3427">
            <v>20125030</v>
          </cell>
          <cell r="U3427" t="str">
            <v>FABIAN CONCHA</v>
          </cell>
        </row>
        <row r="3428">
          <cell r="B3428">
            <v>20125037</v>
          </cell>
          <cell r="U3428" t="str">
            <v>FABIAN CONCHA</v>
          </cell>
        </row>
        <row r="3429">
          <cell r="B3429">
            <v>20125044</v>
          </cell>
          <cell r="U3429" t="str">
            <v>PAOLA ANDREA CALDERON CETINA</v>
          </cell>
        </row>
        <row r="3430">
          <cell r="B3430">
            <v>20125048</v>
          </cell>
          <cell r="U3430" t="str">
            <v>MARSHIA MILENA JIMéNEZ GóMEZ</v>
          </cell>
        </row>
        <row r="3431">
          <cell r="B3431">
            <v>20125056</v>
          </cell>
          <cell r="U3431" t="str">
            <v>JOHAN SEBASTIAN PARDEYN AGUILAR</v>
          </cell>
        </row>
        <row r="3432">
          <cell r="B3432">
            <v>20125063</v>
          </cell>
          <cell r="U3432" t="str">
            <v>FABIAN CONCHA</v>
          </cell>
        </row>
        <row r="3433">
          <cell r="B3433">
            <v>20125068</v>
          </cell>
          <cell r="U3433" t="str">
            <v>IVONNE JINETH RODRIGUEZ ROJAS</v>
          </cell>
        </row>
        <row r="3434">
          <cell r="B3434">
            <v>20125073</v>
          </cell>
          <cell r="U3434" t="str">
            <v>IVONNE JINETH RODRIGUEZ ROJAS</v>
          </cell>
        </row>
        <row r="3435">
          <cell r="B3435">
            <v>20125077</v>
          </cell>
          <cell r="U3435" t="str">
            <v>JAVIER ORLANDO HERNANDEZ RIVERA</v>
          </cell>
        </row>
        <row r="3436">
          <cell r="B3436">
            <v>20125083</v>
          </cell>
          <cell r="U3436" t="str">
            <v>HEIDY LORENA PRIETO AHUMADA</v>
          </cell>
        </row>
        <row r="3437">
          <cell r="B3437">
            <v>20125092</v>
          </cell>
          <cell r="U3437" t="str">
            <v>JEISSON FABIAN MOLINA CIRO</v>
          </cell>
        </row>
        <row r="3438">
          <cell r="B3438">
            <v>20125108</v>
          </cell>
          <cell r="U3438" t="str">
            <v>IVONNE JINETH RODRIGUEZ ROJAS</v>
          </cell>
        </row>
        <row r="3439">
          <cell r="B3439">
            <v>20125114</v>
          </cell>
          <cell r="U3439" t="str">
            <v/>
          </cell>
        </row>
        <row r="3440">
          <cell r="B3440">
            <v>20125119</v>
          </cell>
          <cell r="U3440" t="str">
            <v>NELSON JAVIER MORERA RINCON</v>
          </cell>
        </row>
        <row r="3441">
          <cell r="B3441">
            <v>20125123</v>
          </cell>
          <cell r="U3441" t="str">
            <v>IVONNE JINETH RODRIGUEZ ROJAS</v>
          </cell>
        </row>
        <row r="3442">
          <cell r="B3442">
            <v>20125131</v>
          </cell>
          <cell r="U3442" t="str">
            <v>FABIAN CONCHA</v>
          </cell>
        </row>
        <row r="3443">
          <cell r="B3443">
            <v>20125149</v>
          </cell>
          <cell r="U3443" t="str">
            <v>JAVIER ORLANDO HERNANDEZ RIVERA</v>
          </cell>
        </row>
        <row r="3444">
          <cell r="B3444">
            <v>20125154</v>
          </cell>
          <cell r="U3444" t="str">
            <v>FABIAN CONCHA</v>
          </cell>
        </row>
        <row r="3445">
          <cell r="B3445">
            <v>20125159</v>
          </cell>
          <cell r="U3445" t="str">
            <v>HEIDY LORENA PRIETO AHUMADA</v>
          </cell>
        </row>
        <row r="3446">
          <cell r="B3446">
            <v>20125161</v>
          </cell>
          <cell r="U3446" t="str">
            <v>NELSON JAVIER MORERA RINCON</v>
          </cell>
        </row>
        <row r="3447">
          <cell r="B3447">
            <v>20125173</v>
          </cell>
          <cell r="U3447" t="str">
            <v>HEIDY LORENA PRIETO AHUMADA</v>
          </cell>
        </row>
        <row r="3448">
          <cell r="B3448">
            <v>20125174</v>
          </cell>
          <cell r="U3448" t="str">
            <v>MARSHIA MILENA JIMéNEZ GóMEZ</v>
          </cell>
        </row>
        <row r="3449">
          <cell r="B3449">
            <v>20125180</v>
          </cell>
          <cell r="U3449" t="str">
            <v>IVONNE JINETH RODRIGUEZ ROJAS</v>
          </cell>
        </row>
        <row r="3450">
          <cell r="B3450">
            <v>20125199</v>
          </cell>
          <cell r="U3450" t="str">
            <v>FABIAN CONCHA</v>
          </cell>
        </row>
        <row r="3451">
          <cell r="B3451">
            <v>20125202</v>
          </cell>
          <cell r="U3451" t="str">
            <v>HEIDY LORENA PRIETO AHUMADA</v>
          </cell>
        </row>
        <row r="3452">
          <cell r="B3452">
            <v>20125203</v>
          </cell>
          <cell r="U3452" t="str">
            <v>GINA PAOLA MEDINA FLOREZ</v>
          </cell>
        </row>
        <row r="3453">
          <cell r="B3453">
            <v>20125205</v>
          </cell>
          <cell r="U3453" t="str">
            <v>JOHAN SEBASTIAN PARDEYN AGUILAR</v>
          </cell>
        </row>
        <row r="3454">
          <cell r="B3454">
            <v>20125224</v>
          </cell>
          <cell r="U3454" t="str">
            <v>NELSON JAVIER MORERA RINCON</v>
          </cell>
        </row>
        <row r="3455">
          <cell r="B3455">
            <v>20125241</v>
          </cell>
          <cell r="U3455" t="str">
            <v>JAVIER ORLANDO HERNANDEZ RIVERA</v>
          </cell>
        </row>
        <row r="3456">
          <cell r="B3456">
            <v>20125243</v>
          </cell>
          <cell r="U3456" t="str">
            <v>ANGIE LIZETH GARZON GARCIA</v>
          </cell>
        </row>
        <row r="3457">
          <cell r="B3457">
            <v>20125251</v>
          </cell>
          <cell r="U3457" t="str">
            <v>NELSON JAVIER MORERA RINCON</v>
          </cell>
        </row>
        <row r="3458">
          <cell r="B3458">
            <v>20125254</v>
          </cell>
          <cell r="U3458" t="str">
            <v>Jeisson Fabian Molina Ciro</v>
          </cell>
        </row>
        <row r="3459">
          <cell r="B3459">
            <v>20125262</v>
          </cell>
          <cell r="U3459" t="str">
            <v>JAVIER ORLANDO HERNANDEZ RIVERA</v>
          </cell>
        </row>
        <row r="3460">
          <cell r="B3460">
            <v>20125268</v>
          </cell>
          <cell r="U3460" t="str">
            <v>FABIAN CONCHA</v>
          </cell>
        </row>
        <row r="3461">
          <cell r="B3461">
            <v>20125270</v>
          </cell>
          <cell r="U3461" t="str">
            <v>IVONNE JINETH RODRIGUEZ ROJAS</v>
          </cell>
        </row>
        <row r="3462">
          <cell r="B3462">
            <v>20125278</v>
          </cell>
          <cell r="U3462" t="str">
            <v>MARSHIA MILENA JIMéNEZ GóMEZ</v>
          </cell>
        </row>
        <row r="3463">
          <cell r="B3463">
            <v>20125288</v>
          </cell>
          <cell r="U3463" t="str">
            <v>FABIAN CONCHA</v>
          </cell>
        </row>
        <row r="3464">
          <cell r="B3464">
            <v>20125296</v>
          </cell>
          <cell r="U3464" t="str">
            <v>CATALINA PACHECO BURGOS</v>
          </cell>
        </row>
        <row r="3465">
          <cell r="B3465">
            <v>20125303</v>
          </cell>
          <cell r="U3465" t="str">
            <v>IVONNE JINETH RODRIGUEZ ROJAS</v>
          </cell>
        </row>
        <row r="3466">
          <cell r="B3466">
            <v>20125305</v>
          </cell>
          <cell r="U3466" t="str">
            <v>JAVIER ORLANDO HERNANDEZ RIVERA</v>
          </cell>
        </row>
        <row r="3467">
          <cell r="B3467">
            <v>20125319</v>
          </cell>
          <cell r="U3467" t="str">
            <v>FABIAN CONCHA</v>
          </cell>
        </row>
        <row r="3468">
          <cell r="B3468">
            <v>20125321</v>
          </cell>
          <cell r="U3468" t="str">
            <v>JOHAN SEBASTIAN PARDEYN AGUILAR</v>
          </cell>
        </row>
        <row r="3469">
          <cell r="B3469">
            <v>20125322</v>
          </cell>
          <cell r="U3469" t="str">
            <v>JEISSON FABIAN MOLINA CIRO</v>
          </cell>
        </row>
        <row r="3470">
          <cell r="B3470">
            <v>20125324</v>
          </cell>
          <cell r="U3470" t="str">
            <v>CATALINA PACHECO BURGOS</v>
          </cell>
        </row>
        <row r="3471">
          <cell r="B3471">
            <v>20125327</v>
          </cell>
          <cell r="U3471" t="str">
            <v>GINA PAOLA MEDINA FLOREZ</v>
          </cell>
        </row>
        <row r="3472">
          <cell r="B3472">
            <v>20125329</v>
          </cell>
          <cell r="U3472" t="str">
            <v>FABIAN CONCHA</v>
          </cell>
        </row>
        <row r="3473">
          <cell r="B3473">
            <v>20125337</v>
          </cell>
          <cell r="U3473" t="str">
            <v>PAOLA ANDREA CALDERON CETINA</v>
          </cell>
        </row>
        <row r="3474">
          <cell r="B3474">
            <v>20125353</v>
          </cell>
          <cell r="U3474" t="str">
            <v>MARSHIA MILENA JIMéNEZ GóMEZ</v>
          </cell>
        </row>
        <row r="3475">
          <cell r="B3475">
            <v>20125354</v>
          </cell>
          <cell r="U3475" t="str">
            <v/>
          </cell>
        </row>
        <row r="3476">
          <cell r="B3476">
            <v>20125357</v>
          </cell>
          <cell r="U3476" t="str">
            <v>JEISSON FABIAN MOLINA CIRO</v>
          </cell>
        </row>
        <row r="3477">
          <cell r="B3477">
            <v>20125361</v>
          </cell>
          <cell r="U3477" t="str">
            <v>JEISSON FABIAN MOLINA CIRO</v>
          </cell>
        </row>
        <row r="3478">
          <cell r="B3478">
            <v>20125364</v>
          </cell>
          <cell r="U3478" t="str">
            <v>JAVIER ORLANDO HERNANDEZ RIVERA</v>
          </cell>
        </row>
        <row r="3479">
          <cell r="B3479">
            <v>20125371</v>
          </cell>
          <cell r="U3479" t="str">
            <v>NELSON JAVIER MORERA RINCON</v>
          </cell>
        </row>
        <row r="3480">
          <cell r="B3480">
            <v>20125373</v>
          </cell>
          <cell r="U3480" t="str">
            <v>JEISSON FABIAN MOLINA CIRO</v>
          </cell>
        </row>
        <row r="3481">
          <cell r="B3481">
            <v>20125378</v>
          </cell>
          <cell r="U3481" t="str">
            <v>JEISSON FABIAN MOLINA CIRO</v>
          </cell>
        </row>
        <row r="3482">
          <cell r="B3482">
            <v>20125379</v>
          </cell>
          <cell r="U3482" t="str">
            <v>NELSON JAVIER MORERA RINCON</v>
          </cell>
        </row>
        <row r="3483">
          <cell r="B3483">
            <v>20125383</v>
          </cell>
          <cell r="U3483" t="str">
            <v>IVONNE JINETH RODRIGUEZ ROJAS</v>
          </cell>
        </row>
        <row r="3484">
          <cell r="B3484">
            <v>20125390</v>
          </cell>
          <cell r="U3484" t="str">
            <v>GINA PAOLA MEDINA FLOREZ</v>
          </cell>
        </row>
        <row r="3485">
          <cell r="B3485">
            <v>20125407</v>
          </cell>
          <cell r="U3485" t="str">
            <v>PAOLA ANDREA CALDERON CETINA</v>
          </cell>
        </row>
        <row r="3486">
          <cell r="B3486">
            <v>20125415</v>
          </cell>
          <cell r="U3486" t="str">
            <v>HEIDY LORENA PRIETO AHUMADA</v>
          </cell>
        </row>
        <row r="3487">
          <cell r="B3487">
            <v>20125418</v>
          </cell>
          <cell r="U3487" t="str">
            <v>GINA PAOLA MEDINA FLOREZ</v>
          </cell>
        </row>
        <row r="3488">
          <cell r="B3488">
            <v>20125430</v>
          </cell>
          <cell r="U3488" t="str">
            <v>ANGIE LIZETH GARZON GARCIA</v>
          </cell>
        </row>
        <row r="3489">
          <cell r="B3489">
            <v>20125439</v>
          </cell>
          <cell r="U3489" t="str">
            <v>JEISSON FABIAN MOLINA CIRO</v>
          </cell>
        </row>
        <row r="3490">
          <cell r="B3490">
            <v>20125455</v>
          </cell>
          <cell r="U3490" t="str">
            <v>FABIAN CONCHA</v>
          </cell>
        </row>
        <row r="3491">
          <cell r="B3491">
            <v>20125460</v>
          </cell>
          <cell r="U3491" t="str">
            <v>NELSON JAVIER MORERA RINCON</v>
          </cell>
        </row>
        <row r="3492">
          <cell r="B3492">
            <v>20125473</v>
          </cell>
          <cell r="U3492" t="str">
            <v>FABIAN CONCHA</v>
          </cell>
        </row>
        <row r="3493">
          <cell r="B3493">
            <v>20125475</v>
          </cell>
          <cell r="U3493" t="str">
            <v>HEIDY LORENA PRIETO AHUMADA</v>
          </cell>
        </row>
        <row r="3494">
          <cell r="B3494">
            <v>20125476</v>
          </cell>
          <cell r="U3494" t="str">
            <v>MARSHIA MILENA JIMéNEZ GóMEZ</v>
          </cell>
        </row>
        <row r="3495">
          <cell r="B3495">
            <v>20125477</v>
          </cell>
          <cell r="U3495" t="str">
            <v>IVONNE JINETH RODRIGUEZ ROJAS</v>
          </cell>
        </row>
        <row r="3496">
          <cell r="B3496">
            <v>20125478</v>
          </cell>
          <cell r="U3496" t="str">
            <v>MARSHIA MILENA JIMéNEZ GóMEZ</v>
          </cell>
        </row>
        <row r="3497">
          <cell r="B3497">
            <v>20125482</v>
          </cell>
          <cell r="U3497" t="str">
            <v>JAVIER ORLANDO HERNANDEZ RIVERA</v>
          </cell>
        </row>
        <row r="3498">
          <cell r="B3498">
            <v>20125486</v>
          </cell>
          <cell r="U3498" t="str">
            <v>JEISSON FABIAN MOLINA CIRO</v>
          </cell>
        </row>
        <row r="3499">
          <cell r="B3499">
            <v>20125492</v>
          </cell>
          <cell r="U3499" t="str">
            <v>IVONNE JINETH RODRIGUEZ ROJAS</v>
          </cell>
        </row>
        <row r="3500">
          <cell r="B3500">
            <v>20125494</v>
          </cell>
          <cell r="U3500" t="str">
            <v>IVONNE JINETH RODRIGUEZ ROJAS</v>
          </cell>
        </row>
        <row r="3501">
          <cell r="B3501">
            <v>20125502</v>
          </cell>
          <cell r="U3501" t="str">
            <v>GINA PAOLA MEDINA FLOREZ</v>
          </cell>
        </row>
        <row r="3502">
          <cell r="B3502">
            <v>20125505</v>
          </cell>
          <cell r="U3502" t="str">
            <v>IVONNE JINETH RODRIGUEZ ROJAS</v>
          </cell>
        </row>
        <row r="3503">
          <cell r="B3503">
            <v>20125509</v>
          </cell>
          <cell r="U3503" t="str">
            <v>FABIAN CONCHA</v>
          </cell>
        </row>
        <row r="3504">
          <cell r="B3504">
            <v>20125515</v>
          </cell>
          <cell r="U3504" t="str">
            <v>JEISSON FABIAN MOLINA CIRO</v>
          </cell>
        </row>
        <row r="3505">
          <cell r="B3505">
            <v>20125518</v>
          </cell>
          <cell r="U3505" t="str">
            <v>IVONNE JINETH RODRIGUEZ ROJAS</v>
          </cell>
        </row>
        <row r="3506">
          <cell r="B3506">
            <v>20125520</v>
          </cell>
          <cell r="U3506" t="str">
            <v>PAOLA ANDREA CALDERON CETINA</v>
          </cell>
        </row>
        <row r="3507">
          <cell r="B3507">
            <v>20125525</v>
          </cell>
          <cell r="U3507" t="str">
            <v>IVONNE JINETH RODRIGUEZ ROJAS</v>
          </cell>
        </row>
        <row r="3508">
          <cell r="B3508">
            <v>20125528</v>
          </cell>
          <cell r="U3508" t="str">
            <v>JEISSON FABIAN MOLINA CIRO</v>
          </cell>
        </row>
        <row r="3509">
          <cell r="B3509">
            <v>20125532</v>
          </cell>
          <cell r="U3509" t="str">
            <v>NELSON JAVIER MORERA RINCON</v>
          </cell>
        </row>
        <row r="3510">
          <cell r="B3510">
            <v>20125533</v>
          </cell>
          <cell r="U3510" t="str">
            <v>NELSON JAVIER MORERA RINCON</v>
          </cell>
        </row>
        <row r="3511">
          <cell r="B3511">
            <v>20125540</v>
          </cell>
          <cell r="U3511" t="str">
            <v>NELSON JAVIER MORERA RINCON</v>
          </cell>
        </row>
        <row r="3512">
          <cell r="B3512">
            <v>20125548</v>
          </cell>
          <cell r="U3512" t="str">
            <v>NELSON JAVIER MORERA RINCON</v>
          </cell>
        </row>
        <row r="3513">
          <cell r="B3513">
            <v>20125551</v>
          </cell>
          <cell r="U3513" t="str">
            <v>JAVIER ORLANDO HERNANDEZ RIVERA</v>
          </cell>
        </row>
        <row r="3514">
          <cell r="B3514">
            <v>20125552</v>
          </cell>
          <cell r="U3514" t="str">
            <v>IVONNE JINETH RODRIGUEZ ROJAS</v>
          </cell>
        </row>
        <row r="3515">
          <cell r="B3515">
            <v>20125553</v>
          </cell>
          <cell r="U3515" t="str">
            <v>JOHAN SEBASTIAN PARDEYN AGUILAR</v>
          </cell>
        </row>
        <row r="3516">
          <cell r="B3516">
            <v>20125557</v>
          </cell>
          <cell r="U3516" t="str">
            <v>JOHAN SEBASTIAN PARDEYN AGUILAR</v>
          </cell>
        </row>
        <row r="3517">
          <cell r="B3517">
            <v>20125558</v>
          </cell>
          <cell r="U3517" t="str">
            <v>FABIAN CONCHA</v>
          </cell>
        </row>
        <row r="3518">
          <cell r="B3518">
            <v>20125559</v>
          </cell>
          <cell r="U3518" t="str">
            <v>FABIAN CONCHA</v>
          </cell>
        </row>
        <row r="3519">
          <cell r="B3519">
            <v>20125560</v>
          </cell>
          <cell r="U3519" t="str">
            <v>ANGIE LIZETH GARZON GARCIA</v>
          </cell>
        </row>
        <row r="3520">
          <cell r="B3520">
            <v>20125570</v>
          </cell>
          <cell r="U3520" t="str">
            <v>IVONNE JINETH RODRIGUEZ ROJAS</v>
          </cell>
        </row>
        <row r="3521">
          <cell r="B3521">
            <v>20125575</v>
          </cell>
          <cell r="U3521" t="str">
            <v>MARSHIA MILENA JIMéNEZ GóMEZ</v>
          </cell>
        </row>
        <row r="3522">
          <cell r="B3522">
            <v>20125577</v>
          </cell>
          <cell r="U3522" t="str">
            <v>IVONNE JINETH RODRIGUEZ ROJAS</v>
          </cell>
        </row>
        <row r="3523">
          <cell r="B3523">
            <v>20125598</v>
          </cell>
          <cell r="U3523" t="str">
            <v>FABIAN CONCHA</v>
          </cell>
        </row>
        <row r="3524">
          <cell r="B3524">
            <v>20125601</v>
          </cell>
          <cell r="U3524" t="str">
            <v>JOHAN SEBASTIAN PARDEYN AGUILAR</v>
          </cell>
        </row>
        <row r="3525">
          <cell r="B3525">
            <v>20125613</v>
          </cell>
          <cell r="U3525" t="str">
            <v>IVONNE JINETH RODRIGUEZ ROJAS</v>
          </cell>
        </row>
        <row r="3526">
          <cell r="B3526">
            <v>20125615</v>
          </cell>
          <cell r="U3526" t="str">
            <v/>
          </cell>
        </row>
        <row r="3527">
          <cell r="B3527">
            <v>20125631</v>
          </cell>
          <cell r="U3527" t="str">
            <v>IVONNE JINETH RODRIGUEZ ROJAS</v>
          </cell>
        </row>
        <row r="3528">
          <cell r="B3528">
            <v>20125632</v>
          </cell>
          <cell r="U3528" t="str">
            <v>IVONNE JINETH RODRIGUEZ ROJAS</v>
          </cell>
        </row>
        <row r="3529">
          <cell r="B3529">
            <v>20125638</v>
          </cell>
          <cell r="U3529" t="str">
            <v>GINA PAOLA MEDINA FLOREZ</v>
          </cell>
        </row>
        <row r="3530">
          <cell r="B3530">
            <v>20125641</v>
          </cell>
          <cell r="U3530" t="str">
            <v>HEIDY LORENA PRIETO AHUMADA</v>
          </cell>
        </row>
        <row r="3531">
          <cell r="B3531">
            <v>20125643</v>
          </cell>
          <cell r="U3531" t="str">
            <v>FABIAN CONCHA</v>
          </cell>
        </row>
        <row r="3532">
          <cell r="B3532">
            <v>20125644</v>
          </cell>
          <cell r="U3532" t="str">
            <v>MARSHIA MILENA JIMéNEZ GóMEZ</v>
          </cell>
        </row>
        <row r="3533">
          <cell r="B3533">
            <v>20125647</v>
          </cell>
          <cell r="U3533" t="str">
            <v>JAVIER ORLANDO HERNANDEZ RIVERA</v>
          </cell>
        </row>
        <row r="3534">
          <cell r="B3534">
            <v>20125650</v>
          </cell>
          <cell r="U3534" t="str">
            <v/>
          </cell>
        </row>
        <row r="3535">
          <cell r="B3535">
            <v>20125655</v>
          </cell>
          <cell r="U3535" t="str">
            <v>IVONNE JINETH RODRIGUEZ ROJAS</v>
          </cell>
        </row>
        <row r="3536">
          <cell r="B3536">
            <v>20125665</v>
          </cell>
          <cell r="U3536" t="str">
            <v>NELSON JAVIER MORERA RINCON</v>
          </cell>
        </row>
        <row r="3537">
          <cell r="B3537">
            <v>20125668</v>
          </cell>
          <cell r="U3537" t="str">
            <v>JOVANNY ALEXANDER BENAVIDES APRAEZ</v>
          </cell>
        </row>
        <row r="3538">
          <cell r="B3538">
            <v>20125673</v>
          </cell>
          <cell r="U3538" t="str">
            <v>FABIAN CONCHA</v>
          </cell>
        </row>
        <row r="3539">
          <cell r="B3539">
            <v>20125677</v>
          </cell>
          <cell r="U3539" t="str">
            <v>ANGIE LIZETH GARZON GARCIA</v>
          </cell>
        </row>
        <row r="3540">
          <cell r="B3540">
            <v>20125681</v>
          </cell>
          <cell r="U3540" t="str">
            <v>FABIAN CONCHA</v>
          </cell>
        </row>
        <row r="3541">
          <cell r="B3541">
            <v>20125682</v>
          </cell>
          <cell r="U3541" t="str">
            <v>FABIAN CONCHA</v>
          </cell>
        </row>
        <row r="3542">
          <cell r="B3542">
            <v>20125687</v>
          </cell>
          <cell r="U3542" t="str">
            <v>JAVIER ORLANDO HERNANDEZ RIVERA</v>
          </cell>
        </row>
        <row r="3543">
          <cell r="B3543">
            <v>20125705</v>
          </cell>
          <cell r="U3543" t="str">
            <v>IVONNE JINETH RODRIGUEZ ROJAS</v>
          </cell>
        </row>
        <row r="3544">
          <cell r="B3544">
            <v>20125729</v>
          </cell>
          <cell r="U3544" t="str">
            <v>GINA PAOLA MEDINA FLOREZ</v>
          </cell>
        </row>
        <row r="3545">
          <cell r="B3545">
            <v>20125730</v>
          </cell>
          <cell r="U3545" t="str">
            <v>ANGIE LIZETH GARZON GARCIA</v>
          </cell>
        </row>
        <row r="3546">
          <cell r="B3546">
            <v>20125732</v>
          </cell>
          <cell r="U3546" t="str">
            <v>JEISSON FABIAN MOLINA CIRO</v>
          </cell>
        </row>
        <row r="3547">
          <cell r="B3547">
            <v>20125736</v>
          </cell>
          <cell r="U3547" t="str">
            <v>IVONNE JINETH RODRIGUEZ ROJAS</v>
          </cell>
        </row>
        <row r="3548">
          <cell r="B3548">
            <v>20125740</v>
          </cell>
          <cell r="U3548" t="str">
            <v>IVONNE JINETH RODRIGUEZ ROJAS</v>
          </cell>
        </row>
        <row r="3549">
          <cell r="B3549">
            <v>20125743</v>
          </cell>
          <cell r="U3549" t="str">
            <v>FABIAN CONCHA</v>
          </cell>
        </row>
        <row r="3550">
          <cell r="B3550">
            <v>20125744</v>
          </cell>
          <cell r="U3550" t="str">
            <v>ANGIE LIZETH GARZON GARCIA</v>
          </cell>
        </row>
        <row r="3551">
          <cell r="B3551">
            <v>20125745</v>
          </cell>
          <cell r="U3551" t="str">
            <v>FABIAN CONCHA</v>
          </cell>
        </row>
        <row r="3552">
          <cell r="B3552">
            <v>20125754</v>
          </cell>
          <cell r="U3552" t="str">
            <v>JEISSON FABIAN MOLINA CIRO</v>
          </cell>
        </row>
        <row r="3553">
          <cell r="B3553">
            <v>20125755</v>
          </cell>
          <cell r="U3553" t="str">
            <v>IVONNE JINETH RODRIGUEZ ROJAS</v>
          </cell>
        </row>
        <row r="3554">
          <cell r="B3554">
            <v>20125766</v>
          </cell>
          <cell r="U3554" t="str">
            <v>NELSON JAVIER MORERA RINCON</v>
          </cell>
        </row>
        <row r="3555">
          <cell r="B3555">
            <v>20125767</v>
          </cell>
          <cell r="U3555" t="str">
            <v>NELSON JAVIER MORERA RINCON</v>
          </cell>
        </row>
        <row r="3556">
          <cell r="B3556">
            <v>20125768</v>
          </cell>
          <cell r="U3556" t="str">
            <v>NELSON JAVIER MORERA RINCON</v>
          </cell>
        </row>
        <row r="3557">
          <cell r="B3557">
            <v>20125778</v>
          </cell>
          <cell r="U3557" t="str">
            <v>FABIAN CONCHA</v>
          </cell>
        </row>
        <row r="3558">
          <cell r="B3558">
            <v>20125787</v>
          </cell>
          <cell r="U3558" t="str">
            <v>JAVIER ORLANDO HERNANDEZ RIVERA</v>
          </cell>
        </row>
        <row r="3559">
          <cell r="B3559">
            <v>20125791</v>
          </cell>
          <cell r="U3559" t="str">
            <v>JOHAN SEBASTIAN PARDEYN AGUILAR</v>
          </cell>
        </row>
        <row r="3560">
          <cell r="B3560">
            <v>20125809</v>
          </cell>
          <cell r="U3560" t="str">
            <v>JEISSON FABIAN MOLINA CIRO</v>
          </cell>
        </row>
        <row r="3561">
          <cell r="B3561">
            <v>20125811</v>
          </cell>
          <cell r="U3561" t="e">
            <v>#N/A</v>
          </cell>
        </row>
        <row r="3562">
          <cell r="B3562">
            <v>20125812</v>
          </cell>
          <cell r="U3562" t="str">
            <v>FABIAN CONCHA</v>
          </cell>
        </row>
        <row r="3563">
          <cell r="B3563">
            <v>20125823</v>
          </cell>
          <cell r="U3563" t="str">
            <v>PAOLA ANDREA CALDERON CETINA</v>
          </cell>
        </row>
        <row r="3564">
          <cell r="B3564">
            <v>20125824</v>
          </cell>
          <cell r="U3564" t="str">
            <v>JAVIER ORLANDO HERNANDEZ RIVERA</v>
          </cell>
        </row>
        <row r="3565">
          <cell r="B3565">
            <v>20125826</v>
          </cell>
          <cell r="U3565" t="str">
            <v>IVONNE JINETH RODRIGUEZ ROJAS</v>
          </cell>
        </row>
        <row r="3566">
          <cell r="B3566">
            <v>20125832</v>
          </cell>
          <cell r="U3566" t="str">
            <v>IVONNE JINETH RODRIGUEZ ROJAS</v>
          </cell>
        </row>
        <row r="3567">
          <cell r="B3567">
            <v>20125837</v>
          </cell>
          <cell r="U3567" t="str">
            <v>FABIAN CONCHA</v>
          </cell>
        </row>
        <row r="3568">
          <cell r="B3568">
            <v>20125839</v>
          </cell>
          <cell r="U3568" t="str">
            <v>PAOLA ANDREA CALDERON CETINA</v>
          </cell>
        </row>
        <row r="3569">
          <cell r="B3569">
            <v>20125840</v>
          </cell>
          <cell r="U3569" t="str">
            <v>IVONNE JINETH RODRIGUEZ ROJAS</v>
          </cell>
        </row>
        <row r="3570">
          <cell r="B3570">
            <v>20125841</v>
          </cell>
          <cell r="U3570" t="str">
            <v>HEIDY LORENA PRIETO AHUMADA</v>
          </cell>
        </row>
        <row r="3571">
          <cell r="B3571">
            <v>20125843</v>
          </cell>
          <cell r="U3571" t="str">
            <v>NELSON JAVIER MORERA RINCON</v>
          </cell>
        </row>
        <row r="3572">
          <cell r="B3572">
            <v>20125845</v>
          </cell>
          <cell r="U3572" t="str">
            <v>GINA PAOLA MEDINA FLOREZ</v>
          </cell>
        </row>
        <row r="3573">
          <cell r="B3573">
            <v>20125852</v>
          </cell>
          <cell r="U3573" t="str">
            <v>JAVIER ORLANDO HERNANDEZ RIVERA</v>
          </cell>
        </row>
        <row r="3574">
          <cell r="B3574">
            <v>20125860</v>
          </cell>
          <cell r="U3574" t="str">
            <v>CATALINA PACHECO BURGOS</v>
          </cell>
        </row>
        <row r="3575">
          <cell r="B3575">
            <v>20125898</v>
          </cell>
          <cell r="U3575" t="str">
            <v>NELSON JAVIER MORERA RINCON</v>
          </cell>
        </row>
        <row r="3576">
          <cell r="B3576">
            <v>20125899</v>
          </cell>
          <cell r="U3576" t="str">
            <v>HEIDY LORENA PRIETO AHUMADA</v>
          </cell>
        </row>
        <row r="3577">
          <cell r="B3577">
            <v>20125901</v>
          </cell>
          <cell r="U3577" t="str">
            <v>IVONNE JINETH RODRIGUEZ ROJAS</v>
          </cell>
        </row>
        <row r="3578">
          <cell r="B3578">
            <v>20125905</v>
          </cell>
          <cell r="U3578" t="str">
            <v>FABIAN CONCHA</v>
          </cell>
        </row>
        <row r="3579">
          <cell r="B3579">
            <v>20125906</v>
          </cell>
          <cell r="U3579" t="str">
            <v>ANGIE LIZETH GARZON GARCIA</v>
          </cell>
        </row>
        <row r="3580">
          <cell r="B3580">
            <v>20125911</v>
          </cell>
          <cell r="U3580" t="str">
            <v>JOHAN SEBASTIAN PARDEYN AGUILAR</v>
          </cell>
        </row>
        <row r="3581">
          <cell r="B3581">
            <v>20125912</v>
          </cell>
          <cell r="U3581" t="str">
            <v>NELSON JAVIER MORERA RINCON</v>
          </cell>
        </row>
        <row r="3582">
          <cell r="B3582">
            <v>20125914</v>
          </cell>
          <cell r="U3582" t="str">
            <v>JEISSON FABIAN MOLINA CIRO</v>
          </cell>
        </row>
        <row r="3583">
          <cell r="B3583">
            <v>20125918</v>
          </cell>
          <cell r="U3583" t="str">
            <v>FABIAN CONCHA</v>
          </cell>
        </row>
        <row r="3584">
          <cell r="B3584">
            <v>20125921</v>
          </cell>
          <cell r="U3584" t="str">
            <v>NELSON JAVIER MORERA RINCON</v>
          </cell>
        </row>
        <row r="3585">
          <cell r="B3585">
            <v>20125923</v>
          </cell>
          <cell r="U3585" t="str">
            <v>PAOLA ANDREA CALDERON CETINA</v>
          </cell>
        </row>
        <row r="3586">
          <cell r="B3586">
            <v>20125924</v>
          </cell>
          <cell r="U3586" t="str">
            <v>MARSHIA MILENA JIMéNEZ GóMEZ</v>
          </cell>
        </row>
        <row r="3587">
          <cell r="B3587">
            <v>20125936</v>
          </cell>
          <cell r="U3587" t="str">
            <v>GINA PAOLA MEDINA FLOREZ</v>
          </cell>
        </row>
        <row r="3588">
          <cell r="B3588">
            <v>20125941</v>
          </cell>
          <cell r="U3588" t="str">
            <v>JOHAN SEBASTIAN PARDEYN AGUILAR</v>
          </cell>
        </row>
        <row r="3589">
          <cell r="B3589">
            <v>20125943</v>
          </cell>
          <cell r="U3589" t="str">
            <v>CATALINA PACHECO BURGOS</v>
          </cell>
        </row>
        <row r="3590">
          <cell r="B3590">
            <v>20125944</v>
          </cell>
          <cell r="U3590" t="str">
            <v>IVONNE JINETH RODRIGUEZ ROJAS</v>
          </cell>
        </row>
        <row r="3591">
          <cell r="B3591">
            <v>20125960</v>
          </cell>
          <cell r="U3591" t="str">
            <v>IVONNE JINETH RODRIGUEZ ROJAS</v>
          </cell>
        </row>
        <row r="3592">
          <cell r="B3592">
            <v>20125963</v>
          </cell>
          <cell r="U3592" t="str">
            <v>FABIAN CONCHA</v>
          </cell>
        </row>
        <row r="3593">
          <cell r="B3593">
            <v>20125968</v>
          </cell>
          <cell r="U3593" t="str">
            <v>PAOLA ANDREA CALDERON CETINA</v>
          </cell>
        </row>
        <row r="3594">
          <cell r="B3594">
            <v>20125971</v>
          </cell>
          <cell r="U3594" t="str">
            <v>FABIAN CONCHA</v>
          </cell>
        </row>
        <row r="3595">
          <cell r="B3595">
            <v>20125972</v>
          </cell>
          <cell r="U3595" t="str">
            <v>JAVIER ORLANDO HERNANDEZ RIVERA</v>
          </cell>
        </row>
        <row r="3596">
          <cell r="B3596">
            <v>20125974</v>
          </cell>
          <cell r="U3596" t="str">
            <v>FABIAN CONCHA</v>
          </cell>
        </row>
        <row r="3597">
          <cell r="B3597">
            <v>20125982</v>
          </cell>
          <cell r="U3597" t="str">
            <v>IVONNE JINETH RODRIGUEZ ROJAS</v>
          </cell>
        </row>
        <row r="3598">
          <cell r="B3598">
            <v>20125985</v>
          </cell>
          <cell r="U3598" t="str">
            <v>PAOLA ANDREA CALDERON CETINA</v>
          </cell>
        </row>
        <row r="3599">
          <cell r="B3599">
            <v>20125990</v>
          </cell>
          <cell r="U3599" t="str">
            <v>FABIAN CONCHA</v>
          </cell>
        </row>
        <row r="3600">
          <cell r="B3600">
            <v>20125996</v>
          </cell>
          <cell r="U3600" t="str">
            <v>IVONNE JINETH RODRIGUEZ ROJAS</v>
          </cell>
        </row>
        <row r="3601">
          <cell r="B3601">
            <v>20126003</v>
          </cell>
          <cell r="U3601" t="str">
            <v>FABIAN CONCHA</v>
          </cell>
        </row>
        <row r="3602">
          <cell r="B3602">
            <v>20126009</v>
          </cell>
          <cell r="U3602" t="str">
            <v>FABIAN CONCHA</v>
          </cell>
        </row>
        <row r="3603">
          <cell r="B3603">
            <v>20126036</v>
          </cell>
          <cell r="U3603" t="str">
            <v>FABIAN CONCHA</v>
          </cell>
        </row>
        <row r="3604">
          <cell r="B3604">
            <v>20126041</v>
          </cell>
          <cell r="U3604" t="str">
            <v>HEIDY LORENA PRIETO AHUMADA</v>
          </cell>
        </row>
        <row r="3605">
          <cell r="B3605">
            <v>20126049</v>
          </cell>
          <cell r="U3605" t="str">
            <v>PAOLA ANDREA CALDERON CETINA</v>
          </cell>
        </row>
        <row r="3606">
          <cell r="B3606">
            <v>20126050</v>
          </cell>
          <cell r="U3606" t="str">
            <v>JAVIER ORLANDO HERNANDEZ RIVERA</v>
          </cell>
        </row>
        <row r="3607">
          <cell r="B3607">
            <v>20126051</v>
          </cell>
          <cell r="U3607" t="str">
            <v>NELSON JAVIER MORERA RINCON</v>
          </cell>
        </row>
        <row r="3608">
          <cell r="B3608">
            <v>20126066</v>
          </cell>
          <cell r="U3608" t="str">
            <v>HEIDY LORENA PRIETO AHUMADA</v>
          </cell>
        </row>
        <row r="3609">
          <cell r="B3609">
            <v>20126067</v>
          </cell>
          <cell r="U3609" t="str">
            <v>JEISSON FABIAN MOLINA CIRO</v>
          </cell>
        </row>
        <row r="3610">
          <cell r="B3610">
            <v>20126099</v>
          </cell>
          <cell r="U3610" t="str">
            <v>ANGIE LIZETH GARZON GARCIA</v>
          </cell>
        </row>
        <row r="3611">
          <cell r="B3611">
            <v>20126100</v>
          </cell>
          <cell r="U3611" t="str">
            <v>HEIDY LORENA PRIETO AHUMADA</v>
          </cell>
        </row>
        <row r="3612">
          <cell r="B3612">
            <v>20126110</v>
          </cell>
          <cell r="U3612" t="str">
            <v>IVONNE JINETH RODRIGUEZ ROJAS</v>
          </cell>
        </row>
        <row r="3613">
          <cell r="B3613">
            <v>20126111</v>
          </cell>
          <cell r="U3613" t="str">
            <v>IVONNE JINETH RODRIGUEZ ROJAS</v>
          </cell>
        </row>
        <row r="3614">
          <cell r="B3614">
            <v>20126112</v>
          </cell>
          <cell r="U3614" t="str">
            <v>MARSHIA MILENA JIMéNEZ GóMEZ</v>
          </cell>
        </row>
        <row r="3615">
          <cell r="B3615">
            <v>20126113</v>
          </cell>
          <cell r="U3615" t="str">
            <v>MARSHIA MILENA JIMéNEZ GóMEZ</v>
          </cell>
        </row>
        <row r="3616">
          <cell r="B3616">
            <v>20126114</v>
          </cell>
          <cell r="U3616" t="str">
            <v>MARSHIA MILENA JIMéNEZ GóMEZ</v>
          </cell>
        </row>
        <row r="3617">
          <cell r="B3617">
            <v>20126118</v>
          </cell>
          <cell r="U3617" t="str">
            <v>FABIAN CONCHA</v>
          </cell>
        </row>
        <row r="3618">
          <cell r="B3618">
            <v>20126133</v>
          </cell>
          <cell r="U3618" t="str">
            <v>JOHAN SEBASTIAN PARDEYN AGUILAR</v>
          </cell>
        </row>
        <row r="3619">
          <cell r="B3619">
            <v>20126143</v>
          </cell>
          <cell r="U3619" t="str">
            <v>IVONNE JINETH RODRIGUEZ ROJAS</v>
          </cell>
        </row>
        <row r="3620">
          <cell r="B3620">
            <v>20126147</v>
          </cell>
          <cell r="U3620" t="str">
            <v>HEIDY LORENA PRIETO AHUMADA</v>
          </cell>
        </row>
        <row r="3621">
          <cell r="B3621">
            <v>20126167</v>
          </cell>
          <cell r="U3621" t="str">
            <v>PAOLA ANDREA CALDERON CETINA</v>
          </cell>
        </row>
        <row r="3622">
          <cell r="B3622">
            <v>20126168</v>
          </cell>
          <cell r="U3622" t="e">
            <v>#N/A</v>
          </cell>
        </row>
        <row r="3623">
          <cell r="B3623">
            <v>20126177</v>
          </cell>
          <cell r="U3623" t="str">
            <v>IVONNE JINETH RODRIGUEZ ROJAS</v>
          </cell>
        </row>
        <row r="3624">
          <cell r="B3624">
            <v>20126208</v>
          </cell>
          <cell r="U3624" t="str">
            <v>FABIAN CONCHA</v>
          </cell>
        </row>
        <row r="3625">
          <cell r="B3625">
            <v>20126225</v>
          </cell>
          <cell r="U3625" t="str">
            <v>MARSHIA MILENA JIMéNEZ GóMEZ</v>
          </cell>
        </row>
        <row r="3626">
          <cell r="B3626">
            <v>20126232</v>
          </cell>
          <cell r="U3626" t="str">
            <v>HEIDY LORENA PRIETO AHUMADA</v>
          </cell>
        </row>
        <row r="3627">
          <cell r="B3627">
            <v>20126242</v>
          </cell>
          <cell r="U3627" t="str">
            <v>JOHAN SEBASTIAN PARDEYN AGUILAR</v>
          </cell>
        </row>
        <row r="3628">
          <cell r="B3628">
            <v>20126250</v>
          </cell>
          <cell r="U3628" t="str">
            <v>IVONNE JINETH RODRIGUEZ ROJAS</v>
          </cell>
        </row>
        <row r="3629">
          <cell r="B3629">
            <v>20126257</v>
          </cell>
          <cell r="U3629" t="str">
            <v>JOHAN SEBASTIAN PARDEYN AGUILAR</v>
          </cell>
        </row>
        <row r="3630">
          <cell r="B3630">
            <v>20126261</v>
          </cell>
          <cell r="U3630" t="str">
            <v>ANGIE LIZETH GARZON GARCIA</v>
          </cell>
        </row>
        <row r="3631">
          <cell r="B3631">
            <v>20126264</v>
          </cell>
          <cell r="U3631" t="str">
            <v>GINA PAOLA MEDINA FLOREZ</v>
          </cell>
        </row>
        <row r="3632">
          <cell r="B3632">
            <v>20126276</v>
          </cell>
          <cell r="U3632" t="str">
            <v>GINA PAOLA MEDINA FLOREZ</v>
          </cell>
        </row>
        <row r="3633">
          <cell r="B3633">
            <v>20126310</v>
          </cell>
          <cell r="U3633" t="str">
            <v>IVONNE JINETH RODRIGUEZ ROJAS</v>
          </cell>
        </row>
        <row r="3634">
          <cell r="B3634">
            <v>20126318</v>
          </cell>
          <cell r="U3634" t="str">
            <v>NELSON JAVIER MORERA RINCON</v>
          </cell>
        </row>
        <row r="3635">
          <cell r="B3635">
            <v>20126321</v>
          </cell>
          <cell r="U3635" t="str">
            <v>NELSON JAVIER MORERA RINCON</v>
          </cell>
        </row>
        <row r="3636">
          <cell r="B3636">
            <v>20126335</v>
          </cell>
          <cell r="U3636" t="str">
            <v>CATALINA PACHECO BURGOS</v>
          </cell>
        </row>
        <row r="3637">
          <cell r="B3637">
            <v>20126336</v>
          </cell>
          <cell r="U3637" t="str">
            <v>NELSON JAVIER MORERA RINCON</v>
          </cell>
        </row>
        <row r="3638">
          <cell r="B3638">
            <v>20126342</v>
          </cell>
          <cell r="U3638" t="str">
            <v>IVONNE JINETH RODRIGUEZ ROJAS</v>
          </cell>
        </row>
        <row r="3639">
          <cell r="B3639">
            <v>20126343</v>
          </cell>
          <cell r="U3639" t="str">
            <v>CATALINA PACHECO BURGOS</v>
          </cell>
        </row>
        <row r="3640">
          <cell r="B3640">
            <v>20126348</v>
          </cell>
          <cell r="U3640" t="str">
            <v>IVONNE JINETH RODRIGUEZ ROJAS</v>
          </cell>
        </row>
        <row r="3641">
          <cell r="B3641">
            <v>20126350</v>
          </cell>
          <cell r="U3641" t="str">
            <v>PAOLA ANDREA CALDERON CETINA</v>
          </cell>
        </row>
        <row r="3642">
          <cell r="B3642">
            <v>20126353</v>
          </cell>
          <cell r="U3642" t="str">
            <v>HEIDY LORENA PRIETO AHUMADA</v>
          </cell>
        </row>
        <row r="3643">
          <cell r="B3643">
            <v>20126357</v>
          </cell>
          <cell r="U3643" t="str">
            <v>JOHAN SEBASTIAN PARDEYN AGUILAR</v>
          </cell>
        </row>
        <row r="3644">
          <cell r="B3644">
            <v>20126366</v>
          </cell>
          <cell r="U3644" t="str">
            <v>IVONNE JINETH RODRIGUEZ ROJAS</v>
          </cell>
        </row>
        <row r="3645">
          <cell r="B3645">
            <v>20126385</v>
          </cell>
          <cell r="U3645" t="str">
            <v>JAVIER ORLANDO HERNANDEZ RIVERA</v>
          </cell>
        </row>
        <row r="3646">
          <cell r="B3646">
            <v>20126403</v>
          </cell>
          <cell r="U3646" t="str">
            <v>ANGIE LIZETH GARZON GARCIA</v>
          </cell>
        </row>
        <row r="3647">
          <cell r="B3647">
            <v>20126414</v>
          </cell>
          <cell r="U3647" t="str">
            <v>NELSON JAVIER MORERA RINCON</v>
          </cell>
        </row>
        <row r="3648">
          <cell r="B3648">
            <v>20126416</v>
          </cell>
          <cell r="U3648" t="str">
            <v>ANGIE LIZETH GARZON GARCIA</v>
          </cell>
        </row>
        <row r="3649">
          <cell r="B3649">
            <v>20126418</v>
          </cell>
          <cell r="U3649" t="str">
            <v>ANGIE LIZETH GARZON GARCIA</v>
          </cell>
        </row>
        <row r="3650">
          <cell r="B3650">
            <v>20126435</v>
          </cell>
          <cell r="U3650" t="str">
            <v>JEISSON FABIAN MOLINA CIRO</v>
          </cell>
        </row>
        <row r="3651">
          <cell r="B3651">
            <v>20126442</v>
          </cell>
          <cell r="U3651" t="str">
            <v>NELSON JAVIER MORERA RINCON</v>
          </cell>
        </row>
        <row r="3652">
          <cell r="B3652">
            <v>20126446</v>
          </cell>
          <cell r="U3652" t="str">
            <v>MARSHIA MILENA JIMéNEZ GóMEZ</v>
          </cell>
        </row>
        <row r="3653">
          <cell r="B3653">
            <v>20126456</v>
          </cell>
          <cell r="U3653" t="str">
            <v>FABIAN CONCHA</v>
          </cell>
        </row>
        <row r="3654">
          <cell r="B3654">
            <v>20126464</v>
          </cell>
          <cell r="U3654" t="str">
            <v>IVONNE JINETH RODRIGUEZ ROJAS</v>
          </cell>
        </row>
        <row r="3655">
          <cell r="B3655">
            <v>20126466</v>
          </cell>
          <cell r="U3655" t="str">
            <v>IVONNE JINETH RODRIGUEZ ROJAS</v>
          </cell>
        </row>
        <row r="3656">
          <cell r="B3656">
            <v>20126469</v>
          </cell>
          <cell r="U3656" t="str">
            <v>JOHAN SEBASTIAN PARDEYN AGUILAR</v>
          </cell>
        </row>
        <row r="3657">
          <cell r="B3657">
            <v>20126472</v>
          </cell>
          <cell r="U3657" t="str">
            <v>IVONNE JINETH RODRIGUEZ ROJAS</v>
          </cell>
        </row>
        <row r="3658">
          <cell r="B3658">
            <v>20126483</v>
          </cell>
          <cell r="U3658" t="str">
            <v>CATALINA PACHECO BURGOS</v>
          </cell>
        </row>
        <row r="3659">
          <cell r="B3659">
            <v>20126493</v>
          </cell>
          <cell r="U3659" t="str">
            <v>JAVIER ORLANDO HERNANDEZ RIVERA</v>
          </cell>
        </row>
        <row r="3660">
          <cell r="B3660">
            <v>20126502</v>
          </cell>
          <cell r="U3660" t="str">
            <v>FABIAN CONCHA</v>
          </cell>
        </row>
        <row r="3661">
          <cell r="B3661">
            <v>20126504</v>
          </cell>
          <cell r="U3661" t="str">
            <v>NELSON JAVIER MORERA RINCON</v>
          </cell>
        </row>
        <row r="3662">
          <cell r="B3662">
            <v>20126506</v>
          </cell>
          <cell r="U3662" t="str">
            <v>IVONNE JINETH RODRIGUEZ ROJAS</v>
          </cell>
        </row>
        <row r="3663">
          <cell r="B3663">
            <v>20126507</v>
          </cell>
          <cell r="U3663" t="str">
            <v>PAOLA ANDREA CALDERON CETINA</v>
          </cell>
        </row>
        <row r="3664">
          <cell r="B3664">
            <v>20126514</v>
          </cell>
          <cell r="U3664" t="str">
            <v>IVONNE JINETH RODRIGUEZ ROJAS</v>
          </cell>
        </row>
        <row r="3665">
          <cell r="B3665">
            <v>20126533</v>
          </cell>
          <cell r="U3665" t="str">
            <v>JOHAN SEBASTIAN PARDEYN AGUILAR</v>
          </cell>
        </row>
        <row r="3666">
          <cell r="B3666">
            <v>20126535</v>
          </cell>
          <cell r="U3666" t="str">
            <v>HEIDY LORENA PRIETO AHUMADA</v>
          </cell>
        </row>
        <row r="3667">
          <cell r="B3667">
            <v>20126551</v>
          </cell>
          <cell r="U3667" t="str">
            <v>IVONNE JINETH RODRIGUEZ ROJAS</v>
          </cell>
        </row>
        <row r="3668">
          <cell r="B3668">
            <v>20126552</v>
          </cell>
          <cell r="U3668" t="str">
            <v>HEIDY LORENA PRIETO AHUMADA</v>
          </cell>
        </row>
        <row r="3669">
          <cell r="B3669">
            <v>20126556</v>
          </cell>
          <cell r="U3669" t="str">
            <v>IVONNE JINETH RODRIGUEZ ROJAS</v>
          </cell>
        </row>
        <row r="3670">
          <cell r="B3670">
            <v>20126557</v>
          </cell>
          <cell r="U3670" t="str">
            <v>MARSHIA MILENA JIMéNEZ GóMEZ</v>
          </cell>
        </row>
        <row r="3671">
          <cell r="B3671">
            <v>20126566</v>
          </cell>
          <cell r="U3671" t="str">
            <v>JOVANNY ALEXANDER BENAVIDES APRAEZ</v>
          </cell>
        </row>
        <row r="3672">
          <cell r="B3672">
            <v>20126572</v>
          </cell>
          <cell r="U3672" t="str">
            <v>JAVIER ORLANDO HERNANDEZ RIVERA</v>
          </cell>
        </row>
        <row r="3673">
          <cell r="B3673">
            <v>20126589</v>
          </cell>
          <cell r="U3673" t="str">
            <v>NELSON JAVIER MORERA RINCON</v>
          </cell>
        </row>
        <row r="3674">
          <cell r="B3674">
            <v>20126597</v>
          </cell>
          <cell r="U3674" t="str">
            <v>HEIDY LORENA PRIETO AHUMADA</v>
          </cell>
        </row>
        <row r="3675">
          <cell r="B3675">
            <v>20126599</v>
          </cell>
          <cell r="U3675" t="str">
            <v>NELSON JAVIER MORERA RINCON</v>
          </cell>
        </row>
        <row r="3676">
          <cell r="B3676">
            <v>20126601</v>
          </cell>
          <cell r="U3676" t="str">
            <v>JEISSON FABIAN MOLINA CIRO</v>
          </cell>
        </row>
        <row r="3677">
          <cell r="B3677">
            <v>20126603</v>
          </cell>
          <cell r="U3677" t="str">
            <v>IVONNE JINETH RODRIGUEZ ROJAS</v>
          </cell>
        </row>
        <row r="3678">
          <cell r="B3678">
            <v>20126604</v>
          </cell>
          <cell r="U3678" t="str">
            <v>IVONNE JINETH RODRIGUEZ ROJAS</v>
          </cell>
        </row>
        <row r="3679">
          <cell r="B3679">
            <v>20126607</v>
          </cell>
          <cell r="U3679" t="str">
            <v>IVONNE JINETH RODRIGUEZ ROJAS</v>
          </cell>
        </row>
        <row r="3680">
          <cell r="B3680">
            <v>20126611</v>
          </cell>
          <cell r="U3680" t="str">
            <v>PAOLA ANDREA CALDERON CETINA</v>
          </cell>
        </row>
        <row r="3681">
          <cell r="B3681">
            <v>20126617</v>
          </cell>
          <cell r="U3681" t="str">
            <v>JOHAN SEBASTIAN PARDEYN AGUILAR</v>
          </cell>
        </row>
        <row r="3682">
          <cell r="B3682">
            <v>20126619</v>
          </cell>
          <cell r="U3682" t="str">
            <v>IVONNE JINETH RODRIGUEZ ROJAS</v>
          </cell>
        </row>
        <row r="3683">
          <cell r="B3683">
            <v>20126620</v>
          </cell>
          <cell r="U3683" t="str">
            <v>IVONNE JINETH RODRIGUEZ ROJAS</v>
          </cell>
        </row>
        <row r="3684">
          <cell r="B3684">
            <v>20126625</v>
          </cell>
          <cell r="U3684" t="str">
            <v>FABIAN CONCHA</v>
          </cell>
        </row>
        <row r="3685">
          <cell r="B3685">
            <v>20126626</v>
          </cell>
          <cell r="U3685" t="str">
            <v>IVONNE JINETH RODRIGUEZ ROJAS</v>
          </cell>
        </row>
        <row r="3686">
          <cell r="B3686">
            <v>20126634</v>
          </cell>
          <cell r="U3686" t="str">
            <v>IVONNE JINETH RODRIGUEZ ROJAS</v>
          </cell>
        </row>
        <row r="3687">
          <cell r="B3687">
            <v>20126646</v>
          </cell>
          <cell r="U3687" t="str">
            <v>FABIAN CONCHA</v>
          </cell>
        </row>
        <row r="3688">
          <cell r="B3688">
            <v>20126647</v>
          </cell>
          <cell r="U3688" t="str">
            <v>HEIDY LORENA PRIETO AHUMADA</v>
          </cell>
        </row>
        <row r="3689">
          <cell r="B3689">
            <v>20126657</v>
          </cell>
          <cell r="U3689" t="str">
            <v>FABIAN CONCHA</v>
          </cell>
        </row>
        <row r="3690">
          <cell r="B3690">
            <v>20126661</v>
          </cell>
          <cell r="U3690" t="str">
            <v>GINA PAOLA MEDINA FLOREZ</v>
          </cell>
        </row>
        <row r="3691">
          <cell r="B3691">
            <v>20126662</v>
          </cell>
          <cell r="U3691" t="str">
            <v>HEIDY LORENA PRIETO AHUMADA</v>
          </cell>
        </row>
        <row r="3692">
          <cell r="B3692">
            <v>20126664</v>
          </cell>
          <cell r="U3692" t="str">
            <v>CATALINA PACHECO BURGOS</v>
          </cell>
        </row>
        <row r="3693">
          <cell r="B3693">
            <v>20126670</v>
          </cell>
          <cell r="U3693" t="str">
            <v>PAOLA ANDREA CALDERON CETINA</v>
          </cell>
        </row>
        <row r="3694">
          <cell r="B3694">
            <v>20126673</v>
          </cell>
          <cell r="U3694" t="str">
            <v>MARSHIA MILENA JIMéNEZ GóMEZ</v>
          </cell>
        </row>
        <row r="3695">
          <cell r="B3695">
            <v>20126679</v>
          </cell>
          <cell r="U3695" t="str">
            <v>IVONNE JINETH RODRIGUEZ ROJAS</v>
          </cell>
        </row>
        <row r="3696">
          <cell r="B3696">
            <v>20126681</v>
          </cell>
          <cell r="U3696" t="str">
            <v>NELSON JAVIER MORERA RINCON</v>
          </cell>
        </row>
        <row r="3697">
          <cell r="B3697">
            <v>20126683</v>
          </cell>
          <cell r="U3697" t="str">
            <v>PAOLA ANDREA CALDERON CETINA</v>
          </cell>
        </row>
        <row r="3698">
          <cell r="B3698">
            <v>20126684</v>
          </cell>
          <cell r="U3698" t="str">
            <v>HEIDY LORENA PRIETO AHUMADA</v>
          </cell>
        </row>
        <row r="3699">
          <cell r="B3699">
            <v>20126686</v>
          </cell>
          <cell r="U3699" t="str">
            <v>IVONNE JINETH RODRIGUEZ ROJAS</v>
          </cell>
        </row>
        <row r="3700">
          <cell r="B3700">
            <v>20126690</v>
          </cell>
          <cell r="U3700" t="str">
            <v>IVONNE JINETH RODRIGUEZ ROJAS</v>
          </cell>
        </row>
        <row r="3701">
          <cell r="B3701">
            <v>20126697</v>
          </cell>
          <cell r="U3701" t="str">
            <v>MARSHIA MILENA JIMéNEZ GóMEZ</v>
          </cell>
        </row>
        <row r="3702">
          <cell r="B3702">
            <v>20126706</v>
          </cell>
          <cell r="U3702" t="str">
            <v>IVONNE JINETH RODRIGUEZ ROJAS</v>
          </cell>
        </row>
        <row r="3703">
          <cell r="B3703">
            <v>20126707</v>
          </cell>
          <cell r="U3703" t="str">
            <v>FABIAN CONCHA</v>
          </cell>
        </row>
        <row r="3704">
          <cell r="B3704">
            <v>20126708</v>
          </cell>
          <cell r="U3704" t="str">
            <v>JEISSON FABIAN MOLINA CIRO</v>
          </cell>
        </row>
        <row r="3705">
          <cell r="B3705">
            <v>20126709</v>
          </cell>
          <cell r="U3705" t="str">
            <v>JEISSON FABIAN MOLINA CIRO</v>
          </cell>
        </row>
        <row r="3706">
          <cell r="B3706">
            <v>20126711</v>
          </cell>
          <cell r="U3706" t="str">
            <v>FABIAN CONCHA</v>
          </cell>
        </row>
        <row r="3707">
          <cell r="B3707">
            <v>20126717</v>
          </cell>
          <cell r="U3707" t="str">
            <v>FABIAN CONCHA</v>
          </cell>
        </row>
        <row r="3708">
          <cell r="B3708">
            <v>20126718</v>
          </cell>
          <cell r="U3708" t="str">
            <v>JOHAN SEBASTIAN PARDEYN AGUILAR</v>
          </cell>
        </row>
        <row r="3709">
          <cell r="B3709">
            <v>20126720</v>
          </cell>
          <cell r="U3709" t="str">
            <v>JEISSON FABIAN MOLINA CIRO</v>
          </cell>
        </row>
        <row r="3710">
          <cell r="B3710">
            <v>20126730</v>
          </cell>
          <cell r="U3710" t="str">
            <v>FABIAN CONCHA</v>
          </cell>
        </row>
        <row r="3711">
          <cell r="B3711">
            <v>20126749</v>
          </cell>
          <cell r="U3711" t="str">
            <v>PAOLA ANDREA CALDERON CETINA</v>
          </cell>
        </row>
        <row r="3712">
          <cell r="B3712">
            <v>20126758</v>
          </cell>
          <cell r="U3712" t="str">
            <v>IVONNE JINETH RODRIGUEZ ROJAS</v>
          </cell>
        </row>
        <row r="3713">
          <cell r="B3713">
            <v>20126761</v>
          </cell>
          <cell r="U3713" t="str">
            <v>IVONNE JINETH RODRIGUEZ ROJAS</v>
          </cell>
        </row>
        <row r="3714">
          <cell r="B3714">
            <v>20126763</v>
          </cell>
          <cell r="U3714" t="str">
            <v>NELSON JAVIER MORERA RINCON</v>
          </cell>
        </row>
        <row r="3715">
          <cell r="B3715">
            <v>20126768</v>
          </cell>
          <cell r="U3715" t="str">
            <v>IVONNE JINETH RODRIGUEZ ROJAS</v>
          </cell>
        </row>
        <row r="3716">
          <cell r="B3716">
            <v>20126769</v>
          </cell>
          <cell r="U3716" t="str">
            <v>MARSHIA MILENA JIMéNEZ GóMEZ</v>
          </cell>
        </row>
        <row r="3717">
          <cell r="B3717">
            <v>20126773</v>
          </cell>
          <cell r="U3717" t="str">
            <v>JAVIER ORLANDO HERNANDEZ RIVERA</v>
          </cell>
        </row>
        <row r="3718">
          <cell r="B3718">
            <v>20126774</v>
          </cell>
          <cell r="U3718" t="str">
            <v>FABIAN CONCHA</v>
          </cell>
        </row>
        <row r="3719">
          <cell r="B3719">
            <v>20126779</v>
          </cell>
          <cell r="U3719" t="str">
            <v>ANGIE LIZETH GARZON GARCIA</v>
          </cell>
        </row>
        <row r="3720">
          <cell r="B3720">
            <v>20126781</v>
          </cell>
          <cell r="U3720" t="str">
            <v>JOHAN SEBASTIAN PARDEYN AGUILAR</v>
          </cell>
        </row>
        <row r="3721">
          <cell r="B3721">
            <v>20126785</v>
          </cell>
          <cell r="U3721" t="str">
            <v>IVONNE JINETH RODRIGUEZ ROJAS</v>
          </cell>
        </row>
        <row r="3722">
          <cell r="B3722">
            <v>20126790</v>
          </cell>
          <cell r="U3722" t="str">
            <v>IVONNE JINETH RODRIGUEZ ROJAS</v>
          </cell>
        </row>
        <row r="3723">
          <cell r="B3723">
            <v>20126812</v>
          </cell>
          <cell r="U3723" t="str">
            <v>JAVIER ORLANDO HERNANDEZ RIVERA</v>
          </cell>
        </row>
        <row r="3724">
          <cell r="B3724">
            <v>20126813</v>
          </cell>
          <cell r="U3724" t="str">
            <v>JAVIER ORLANDO HERNANDEZ RIVERA</v>
          </cell>
        </row>
        <row r="3725">
          <cell r="B3725">
            <v>20126819</v>
          </cell>
          <cell r="U3725" t="str">
            <v>NELSON JAVIER MORERA RINCON</v>
          </cell>
        </row>
        <row r="3726">
          <cell r="B3726">
            <v>20126823</v>
          </cell>
          <cell r="U3726" t="str">
            <v>NELSON JAVIER MORERA RINCON</v>
          </cell>
        </row>
        <row r="3727">
          <cell r="B3727">
            <v>20126840</v>
          </cell>
          <cell r="U3727" t="str">
            <v>IVONNE JINETH RODRIGUEZ ROJAS</v>
          </cell>
        </row>
        <row r="3728">
          <cell r="B3728">
            <v>20126841</v>
          </cell>
          <cell r="U3728" t="str">
            <v>JEISSON FABIAN MOLINA CIRO</v>
          </cell>
        </row>
        <row r="3729">
          <cell r="B3729">
            <v>20126842</v>
          </cell>
          <cell r="U3729" t="str">
            <v>MARSHIA MILENA JIMéNEZ GóMEZ</v>
          </cell>
        </row>
        <row r="3730">
          <cell r="B3730">
            <v>20126843</v>
          </cell>
          <cell r="U3730" t="str">
            <v>GINA PAOLA MEDINA FLOREZ</v>
          </cell>
        </row>
        <row r="3731">
          <cell r="B3731">
            <v>20126844</v>
          </cell>
          <cell r="U3731" t="str">
            <v>IVONNE JINETH RODRIGUEZ ROJAS</v>
          </cell>
        </row>
        <row r="3732">
          <cell r="B3732">
            <v>20126852</v>
          </cell>
          <cell r="U3732" t="str">
            <v>FABIAN CONCHA</v>
          </cell>
        </row>
        <row r="3733">
          <cell r="B3733">
            <v>20126872</v>
          </cell>
          <cell r="U3733" t="str">
            <v>JOHAN SEBASTIAN PARDEYN AGUILAR</v>
          </cell>
        </row>
        <row r="3734">
          <cell r="B3734">
            <v>20126875</v>
          </cell>
          <cell r="U3734" t="str">
            <v>JEISSON FABIAN MOLINA CIRO</v>
          </cell>
        </row>
        <row r="3735">
          <cell r="B3735">
            <v>20126877</v>
          </cell>
          <cell r="U3735" t="str">
            <v>MARSHIA MILENA JIMéNEZ GóMEZ</v>
          </cell>
        </row>
        <row r="3736">
          <cell r="B3736">
            <v>20126878</v>
          </cell>
          <cell r="U3736" t="str">
            <v>IVONNE JINETH RODRIGUEZ ROJAS</v>
          </cell>
        </row>
        <row r="3737">
          <cell r="B3737">
            <v>20126879</v>
          </cell>
          <cell r="U3737" t="str">
            <v>CATALINA PACHECO BURGOS</v>
          </cell>
        </row>
        <row r="3738">
          <cell r="B3738">
            <v>20126882</v>
          </cell>
          <cell r="U3738" t="str">
            <v>JOHAN SEBASTIAN PARDEYN AGUILAR</v>
          </cell>
        </row>
        <row r="3739">
          <cell r="B3739">
            <v>20126895</v>
          </cell>
          <cell r="U3739" t="str">
            <v>JOHAN SEBASTIAN PARDEYN AGUILAR</v>
          </cell>
        </row>
        <row r="3740">
          <cell r="B3740">
            <v>20126905</v>
          </cell>
          <cell r="U3740" t="str">
            <v>MARSHIA MILENA JIMéNEZ GóMEZ</v>
          </cell>
        </row>
        <row r="3741">
          <cell r="B3741">
            <v>20126907</v>
          </cell>
          <cell r="U3741" t="str">
            <v>MARSHIA MILENA JIMéNEZ GóMEZ</v>
          </cell>
        </row>
        <row r="3742">
          <cell r="B3742">
            <v>20126930</v>
          </cell>
          <cell r="U3742" t="str">
            <v>JAVIER ORLANDO HERNANDEZ RIVERA</v>
          </cell>
        </row>
        <row r="3743">
          <cell r="B3743">
            <v>20126932</v>
          </cell>
          <cell r="U3743" t="str">
            <v>MARSHIA MILENA JIMéNEZ GóMEZ</v>
          </cell>
        </row>
        <row r="3744">
          <cell r="B3744">
            <v>20126934</v>
          </cell>
          <cell r="U3744" t="str">
            <v>JEISSON FABIAN MOLINA CIRO</v>
          </cell>
        </row>
        <row r="3745">
          <cell r="B3745">
            <v>20126940</v>
          </cell>
          <cell r="U3745" t="str">
            <v>FABIAN CONCHA</v>
          </cell>
        </row>
        <row r="3746">
          <cell r="B3746">
            <v>20126941</v>
          </cell>
          <cell r="U3746" t="str">
            <v>JAVIER ORLANDO HERNANDEZ RIVERA</v>
          </cell>
        </row>
        <row r="3747">
          <cell r="B3747">
            <v>20126945</v>
          </cell>
          <cell r="U3747" t="str">
            <v>IVONNE JINETH RODRIGUEZ ROJAS</v>
          </cell>
        </row>
        <row r="3748">
          <cell r="B3748">
            <v>20126961</v>
          </cell>
          <cell r="U3748" t="str">
            <v>MARSHIA MILENA JIMéNEZ GóMEZ</v>
          </cell>
        </row>
        <row r="3749">
          <cell r="B3749">
            <v>20126962</v>
          </cell>
          <cell r="U3749" t="str">
            <v>IVONNE JINETH RODRIGUEZ ROJAS</v>
          </cell>
        </row>
        <row r="3750">
          <cell r="B3750">
            <v>20126967</v>
          </cell>
          <cell r="U3750" t="str">
            <v>PAOLA ANDREA CALDERON CETINA</v>
          </cell>
        </row>
        <row r="3751">
          <cell r="B3751">
            <v>20126969</v>
          </cell>
          <cell r="U3751" t="str">
            <v>FABIAN CONCHA</v>
          </cell>
        </row>
        <row r="3752">
          <cell r="B3752">
            <v>20126983</v>
          </cell>
          <cell r="U3752" t="str">
            <v>JAVIER ORLANDO HERNANDEZ RIVERA</v>
          </cell>
        </row>
        <row r="3753">
          <cell r="B3753">
            <v>20126984</v>
          </cell>
          <cell r="U3753" t="str">
            <v>JAVIER ORLANDO HERNANDEZ RIVERA</v>
          </cell>
        </row>
        <row r="3754">
          <cell r="B3754">
            <v>20126996</v>
          </cell>
          <cell r="U3754" t="str">
            <v>IVONNE JINETH RODRIGUEZ ROJAS</v>
          </cell>
        </row>
        <row r="3755">
          <cell r="B3755">
            <v>20127019</v>
          </cell>
          <cell r="U3755" t="str">
            <v>IVONNE JINETH RODRIGUEZ ROJAS</v>
          </cell>
        </row>
        <row r="3756">
          <cell r="B3756">
            <v>20127020</v>
          </cell>
          <cell r="U3756" t="str">
            <v>PAOLA ANDREA CALDERON CETINA</v>
          </cell>
        </row>
        <row r="3757">
          <cell r="B3757">
            <v>20127021</v>
          </cell>
          <cell r="U3757" t="str">
            <v>IVONNE JINETH RODRIGUEZ ROJAS</v>
          </cell>
        </row>
        <row r="3758">
          <cell r="B3758">
            <v>20127039</v>
          </cell>
          <cell r="U3758" t="str">
            <v>IVONNE JINETH RODRIGUEZ ROJAS</v>
          </cell>
        </row>
        <row r="3759">
          <cell r="B3759">
            <v>20127041</v>
          </cell>
          <cell r="U3759" t="str">
            <v>IVONNE JINETH RODRIGUEZ ROJAS</v>
          </cell>
        </row>
        <row r="3760">
          <cell r="B3760">
            <v>20127043</v>
          </cell>
          <cell r="U3760" t="str">
            <v>CATALINA PACHECO BURGOS</v>
          </cell>
        </row>
        <row r="3761">
          <cell r="B3761">
            <v>20127051</v>
          </cell>
          <cell r="U3761" t="str">
            <v>IVONNE JINETH RODRIGUEZ ROJAS</v>
          </cell>
        </row>
        <row r="3762">
          <cell r="B3762">
            <v>20127063</v>
          </cell>
          <cell r="U3762" t="str">
            <v>JOHAN SEBASTIAN PARDEYN AGUILAR</v>
          </cell>
        </row>
        <row r="3763">
          <cell r="B3763">
            <v>20127069</v>
          </cell>
          <cell r="U3763" t="str">
            <v>IVONNE JINETH RODRIGUEZ ROJAS</v>
          </cell>
        </row>
        <row r="3764">
          <cell r="B3764">
            <v>20127080</v>
          </cell>
          <cell r="U3764" t="str">
            <v>NELSON JAVIER MORERA RINCON</v>
          </cell>
        </row>
        <row r="3765">
          <cell r="B3765">
            <v>20127081</v>
          </cell>
          <cell r="U3765" t="str">
            <v>NELSON JAVIER MORERA RINCON</v>
          </cell>
        </row>
        <row r="3766">
          <cell r="B3766">
            <v>20127085</v>
          </cell>
          <cell r="U3766" t="str">
            <v>IVONNE JINETH RODRIGUEZ ROJAS</v>
          </cell>
        </row>
        <row r="3767">
          <cell r="B3767">
            <v>20127088</v>
          </cell>
          <cell r="U3767" t="str">
            <v>IVONNE JINETH RODRIGUEZ ROJAS</v>
          </cell>
        </row>
        <row r="3768">
          <cell r="B3768">
            <v>20127089</v>
          </cell>
          <cell r="U3768" t="str">
            <v>IVONNE JINETH RODRIGUEZ ROJAS</v>
          </cell>
        </row>
        <row r="3769">
          <cell r="B3769">
            <v>20127090</v>
          </cell>
          <cell r="U3769" t="str">
            <v>IVONNE JINETH RODRIGUEZ ROJAS</v>
          </cell>
        </row>
        <row r="3770">
          <cell r="B3770">
            <v>20127121</v>
          </cell>
          <cell r="U3770" t="str">
            <v>JOVANNY ALEXANDER BENAVIDES APRAEZ</v>
          </cell>
        </row>
        <row r="3771">
          <cell r="B3771">
            <v>20127125</v>
          </cell>
          <cell r="U3771" t="str">
            <v>JOVANNY ALEXANDER BENAVIDES APRAEZ</v>
          </cell>
        </row>
        <row r="3772">
          <cell r="B3772">
            <v>20127127</v>
          </cell>
          <cell r="U3772" t="str">
            <v>IVONNE JINETH RODRIGUEZ ROJAS</v>
          </cell>
        </row>
        <row r="3773">
          <cell r="B3773">
            <v>20127133</v>
          </cell>
          <cell r="U3773" t="str">
            <v>ANGIE LIZETH GARZON GARCIA</v>
          </cell>
        </row>
        <row r="3774">
          <cell r="B3774">
            <v>20127139</v>
          </cell>
          <cell r="U3774" t="str">
            <v>PAOLA ANDREA CALDERON CETINA</v>
          </cell>
        </row>
        <row r="3775">
          <cell r="B3775">
            <v>20127146</v>
          </cell>
          <cell r="U3775" t="str">
            <v>IVONNE JINETH RODRIGUEZ ROJAS</v>
          </cell>
        </row>
        <row r="3776">
          <cell r="B3776">
            <v>20127148</v>
          </cell>
          <cell r="U3776" t="str">
            <v>PAOLA ANDREA CALDERON CETINA</v>
          </cell>
        </row>
        <row r="3777">
          <cell r="B3777">
            <v>20127151</v>
          </cell>
          <cell r="U3777" t="str">
            <v>FABIAN CONCHA</v>
          </cell>
        </row>
        <row r="3778">
          <cell r="B3778">
            <v>20127154</v>
          </cell>
          <cell r="U3778" t="str">
            <v>GINA PAOLA MEDINA FLOREZ</v>
          </cell>
        </row>
        <row r="3779">
          <cell r="B3779">
            <v>20127161</v>
          </cell>
          <cell r="U3779" t="str">
            <v>FABIAN CONCHA</v>
          </cell>
        </row>
        <row r="3780">
          <cell r="B3780">
            <v>20127170</v>
          </cell>
          <cell r="U3780" t="str">
            <v>PAOLA ANDREA CALDERON CETINA</v>
          </cell>
        </row>
        <row r="3781">
          <cell r="B3781">
            <v>20127174</v>
          </cell>
          <cell r="U3781" t="str">
            <v>IVONNE JINETH RODRIGUEZ ROJAS</v>
          </cell>
        </row>
        <row r="3782">
          <cell r="B3782">
            <v>20127176</v>
          </cell>
          <cell r="U3782" t="str">
            <v>JOVANNY ALEXANDER BENAVIDES APRAEZ</v>
          </cell>
        </row>
        <row r="3783">
          <cell r="B3783">
            <v>20127191</v>
          </cell>
          <cell r="U3783" t="str">
            <v>GINA PAOLA MEDINA FLOREZ</v>
          </cell>
        </row>
        <row r="3784">
          <cell r="B3784">
            <v>20127195</v>
          </cell>
          <cell r="U3784" t="str">
            <v>MARSHIA MILENA JIMéNEZ GóMEZ</v>
          </cell>
        </row>
        <row r="3785">
          <cell r="B3785">
            <v>20127216</v>
          </cell>
          <cell r="U3785" t="str">
            <v>IVONNE JINETH RODRIGUEZ ROJAS</v>
          </cell>
        </row>
        <row r="3786">
          <cell r="B3786">
            <v>20127218</v>
          </cell>
          <cell r="U3786" t="str">
            <v>NELSON JAVIER MORERA RINCON</v>
          </cell>
        </row>
        <row r="3787">
          <cell r="B3787">
            <v>20127225</v>
          </cell>
          <cell r="U3787" t="str">
            <v>JEISSON FABIAN MOLINA CIRO</v>
          </cell>
        </row>
        <row r="3788">
          <cell r="B3788">
            <v>20127229</v>
          </cell>
          <cell r="U3788" t="str">
            <v>MARSHIA MILENA JIMéNEZ GóMEZ</v>
          </cell>
        </row>
        <row r="3789">
          <cell r="B3789">
            <v>20127234</v>
          </cell>
          <cell r="U3789" t="str">
            <v>MARSHIA MILENA JIMéNEZ GóMEZ</v>
          </cell>
        </row>
        <row r="3790">
          <cell r="B3790">
            <v>20127246</v>
          </cell>
          <cell r="U3790" t="str">
            <v>ANGIE LIZETH GARZON GARCIA</v>
          </cell>
        </row>
        <row r="3791">
          <cell r="B3791">
            <v>20127256</v>
          </cell>
          <cell r="U3791" t="e">
            <v>#N/A</v>
          </cell>
        </row>
        <row r="3792">
          <cell r="B3792">
            <v>20127261</v>
          </cell>
          <cell r="U3792" t="str">
            <v>JAVIER ORLANDO HERNANDEZ RIVERA</v>
          </cell>
        </row>
        <row r="3793">
          <cell r="B3793">
            <v>20127288</v>
          </cell>
          <cell r="U3793" t="str">
            <v>JOHAN SEBASTIAN PARDEYN AGUILAR</v>
          </cell>
        </row>
        <row r="3794">
          <cell r="B3794">
            <v>20127289</v>
          </cell>
          <cell r="U3794" t="str">
            <v>NELSON JAVIER MORERA RINCON</v>
          </cell>
        </row>
        <row r="3795">
          <cell r="B3795">
            <v>20127304</v>
          </cell>
          <cell r="U3795" t="str">
            <v>JEISSON FABIAN MOLINA CIRO</v>
          </cell>
        </row>
        <row r="3796">
          <cell r="B3796">
            <v>20127316</v>
          </cell>
          <cell r="U3796" t="str">
            <v>IVONNE JINETH RODRIGUEZ ROJAS</v>
          </cell>
        </row>
        <row r="3797">
          <cell r="B3797">
            <v>20127364</v>
          </cell>
          <cell r="U3797" t="str">
            <v>NELSON JAVIER MORERA RINCON</v>
          </cell>
        </row>
        <row r="3798">
          <cell r="B3798">
            <v>20127367</v>
          </cell>
          <cell r="U3798" t="str">
            <v>FABIAN CONCHA</v>
          </cell>
        </row>
        <row r="3799">
          <cell r="B3799">
            <v>20127389</v>
          </cell>
          <cell r="U3799" t="str">
            <v>PAOLA ANDREA CALDERON CETINA</v>
          </cell>
        </row>
        <row r="3800">
          <cell r="B3800">
            <v>20127412</v>
          </cell>
          <cell r="U3800" t="str">
            <v>JOHAN SEBASTIAN PARDEYN AGUILAR</v>
          </cell>
        </row>
        <row r="3801">
          <cell r="B3801">
            <v>20127429</v>
          </cell>
          <cell r="U3801" t="str">
            <v>JEISSON FABIAN MOLINA CIRO</v>
          </cell>
        </row>
        <row r="3802">
          <cell r="B3802">
            <v>20127461</v>
          </cell>
          <cell r="U3802" t="str">
            <v>JEISSON FABIAN MOLINA CIRO</v>
          </cell>
        </row>
        <row r="3803">
          <cell r="B3803">
            <v>20127466</v>
          </cell>
          <cell r="U3803" t="str">
            <v>JOVANNY ALEXANDER BENAVIDES APRAEZ</v>
          </cell>
        </row>
        <row r="3804">
          <cell r="B3804">
            <v>20127473</v>
          </cell>
          <cell r="U3804" t="str">
            <v>HEIDY LORENA PRIETO AHUMADA</v>
          </cell>
        </row>
        <row r="3805">
          <cell r="B3805">
            <v>20127474</v>
          </cell>
          <cell r="U3805" t="str">
            <v>FABIAN CONCHA</v>
          </cell>
        </row>
        <row r="3806">
          <cell r="B3806">
            <v>20127485</v>
          </cell>
          <cell r="U3806" t="str">
            <v>NELSON JAVIER MORERA RINCON</v>
          </cell>
        </row>
        <row r="3807">
          <cell r="B3807">
            <v>20127486</v>
          </cell>
          <cell r="U3807" t="str">
            <v>Jeisson Fabian Molina Ciro</v>
          </cell>
        </row>
        <row r="3808">
          <cell r="B3808">
            <v>20127488</v>
          </cell>
          <cell r="U3808" t="str">
            <v>FABIAN CONCHA</v>
          </cell>
        </row>
        <row r="3809">
          <cell r="B3809">
            <v>20127493</v>
          </cell>
          <cell r="U3809" t="str">
            <v>IVONNE JINETH RODRIGUEZ ROJAS</v>
          </cell>
        </row>
        <row r="3810">
          <cell r="B3810">
            <v>20127497</v>
          </cell>
          <cell r="U3810" t="str">
            <v>GINA PAOLA MEDINA FLOREZ</v>
          </cell>
        </row>
        <row r="3811">
          <cell r="B3811">
            <v>20127503</v>
          </cell>
          <cell r="U3811" t="str">
            <v>Jeisson Fabian Molina Ciro</v>
          </cell>
        </row>
        <row r="3812">
          <cell r="B3812">
            <v>20127507</v>
          </cell>
          <cell r="U3812" t="str">
            <v>JOHAN SEBASTIAN PARDEYN AGUILAR</v>
          </cell>
        </row>
        <row r="3813">
          <cell r="B3813">
            <v>20127514</v>
          </cell>
          <cell r="U3813" t="str">
            <v>CATALINA PACHECO BURGOS</v>
          </cell>
        </row>
        <row r="3814">
          <cell r="B3814">
            <v>20127521</v>
          </cell>
          <cell r="U3814" t="str">
            <v>JEISSON FABIAN MOLINA CIRO</v>
          </cell>
        </row>
        <row r="3815">
          <cell r="B3815">
            <v>20127530</v>
          </cell>
          <cell r="U3815" t="str">
            <v>JAVIER ORLANDO HERNANDEZ RIVERA</v>
          </cell>
        </row>
        <row r="3816">
          <cell r="B3816">
            <v>20127541</v>
          </cell>
          <cell r="U3816" t="str">
            <v>FABIAN CONCHA</v>
          </cell>
        </row>
        <row r="3817">
          <cell r="B3817">
            <v>20127545</v>
          </cell>
          <cell r="U3817" t="str">
            <v>NELSON JAVIER MORERA RINCON</v>
          </cell>
        </row>
        <row r="3818">
          <cell r="B3818">
            <v>20127552</v>
          </cell>
          <cell r="U3818" t="str">
            <v/>
          </cell>
        </row>
        <row r="3819">
          <cell r="B3819">
            <v>20127566</v>
          </cell>
          <cell r="U3819" t="str">
            <v>FABIAN CONCHA</v>
          </cell>
        </row>
        <row r="3820">
          <cell r="B3820">
            <v>20127578</v>
          </cell>
          <cell r="U3820" t="str">
            <v>FABIAN CONCHA</v>
          </cell>
        </row>
        <row r="3821">
          <cell r="B3821">
            <v>20127581</v>
          </cell>
          <cell r="U3821" t="e">
            <v>#N/A</v>
          </cell>
        </row>
        <row r="3822">
          <cell r="B3822">
            <v>20127583</v>
          </cell>
          <cell r="U3822" t="str">
            <v>FABIAN CONCHA</v>
          </cell>
        </row>
        <row r="3823">
          <cell r="B3823">
            <v>20127605</v>
          </cell>
          <cell r="U3823" t="str">
            <v>JOHAN SEBASTIAN PARDEYN AGUILAR</v>
          </cell>
        </row>
        <row r="3824">
          <cell r="B3824">
            <v>20127619</v>
          </cell>
          <cell r="U3824" t="str">
            <v>CATALINA PACHECO BURGOS</v>
          </cell>
        </row>
        <row r="3825">
          <cell r="B3825">
            <v>20127637</v>
          </cell>
          <cell r="U3825" t="str">
            <v>Jeisson Fabian Molina Ciro</v>
          </cell>
        </row>
        <row r="3826">
          <cell r="B3826">
            <v>20127649</v>
          </cell>
          <cell r="U3826" t="str">
            <v>IVONNE JINETH RODRIGUEZ ROJAS</v>
          </cell>
        </row>
        <row r="3827">
          <cell r="B3827">
            <v>20127655</v>
          </cell>
          <cell r="U3827" t="str">
            <v>JOHAN SEBASTIAN PARDEYN AGUILAR</v>
          </cell>
        </row>
        <row r="3828">
          <cell r="B3828">
            <v>20127671</v>
          </cell>
          <cell r="U3828" t="str">
            <v>IVONNE JINETH RODRIGUEZ ROJAS</v>
          </cell>
        </row>
        <row r="3829">
          <cell r="B3829">
            <v>20127685</v>
          </cell>
          <cell r="U3829" t="str">
            <v>HEIDY LORENA PRIETO AHUMADA</v>
          </cell>
        </row>
        <row r="3830">
          <cell r="B3830">
            <v>20127698</v>
          </cell>
          <cell r="U3830" t="str">
            <v>FABIAN CONCHA</v>
          </cell>
        </row>
        <row r="3831">
          <cell r="B3831">
            <v>20127711</v>
          </cell>
          <cell r="U3831" t="str">
            <v>Jeisson Fabian Molina Ciro</v>
          </cell>
        </row>
        <row r="3832">
          <cell r="B3832">
            <v>20127716</v>
          </cell>
          <cell r="U3832" t="str">
            <v>Jeisson Fabian Molina Ciro</v>
          </cell>
        </row>
        <row r="3833">
          <cell r="B3833">
            <v>20127729</v>
          </cell>
          <cell r="U3833" t="str">
            <v>JOHAN SEBASTIAN PARDEYN AGUILAR</v>
          </cell>
        </row>
        <row r="3834">
          <cell r="B3834">
            <v>20127739</v>
          </cell>
          <cell r="U3834" t="str">
            <v>FABIAN CONCHA</v>
          </cell>
        </row>
        <row r="3835">
          <cell r="B3835">
            <v>20127744</v>
          </cell>
          <cell r="U3835" t="str">
            <v>IVONNE JINETH RODRIGUEZ ROJAS</v>
          </cell>
        </row>
        <row r="3836">
          <cell r="B3836">
            <v>20127748</v>
          </cell>
          <cell r="U3836" t="str">
            <v>IVONNE JINETH RODRIGUEZ ROJAS</v>
          </cell>
        </row>
        <row r="3837">
          <cell r="B3837">
            <v>20127750</v>
          </cell>
          <cell r="U3837" t="str">
            <v>IVONNE JINETH RODRIGUEZ ROJAS</v>
          </cell>
        </row>
        <row r="3838">
          <cell r="B3838">
            <v>20127751</v>
          </cell>
          <cell r="U3838" t="str">
            <v>JOHAN SEBASTIAN PARDEYN AGUILAR</v>
          </cell>
        </row>
        <row r="3839">
          <cell r="B3839">
            <v>20127762</v>
          </cell>
          <cell r="U3839" t="str">
            <v>FABIAN CONCHA</v>
          </cell>
        </row>
        <row r="3840">
          <cell r="B3840">
            <v>20127768</v>
          </cell>
          <cell r="U3840" t="str">
            <v>IVONNE JINETH RODRIGUEZ ROJAS</v>
          </cell>
        </row>
        <row r="3841">
          <cell r="B3841">
            <v>20127773</v>
          </cell>
          <cell r="U3841" t="str">
            <v>IVONNE JINETH RODRIGUEZ ROJAS</v>
          </cell>
        </row>
        <row r="3842">
          <cell r="B3842">
            <v>20127775</v>
          </cell>
          <cell r="U3842" t="str">
            <v>IVONNE JINETH RODRIGUEZ ROJAS</v>
          </cell>
        </row>
        <row r="3843">
          <cell r="B3843">
            <v>20127778</v>
          </cell>
          <cell r="U3843" t="str">
            <v>IVONNE JINETH RODRIGUEZ ROJAS</v>
          </cell>
        </row>
        <row r="3844">
          <cell r="B3844">
            <v>20127790</v>
          </cell>
          <cell r="U3844" t="str">
            <v>JOHAN SEBASTIAN PARDEYN AGUILAR</v>
          </cell>
        </row>
        <row r="3845">
          <cell r="B3845">
            <v>20127793</v>
          </cell>
          <cell r="U3845" t="str">
            <v>JAVIER ORLANDO HERNANDEZ RIVERA</v>
          </cell>
        </row>
        <row r="3846">
          <cell r="B3846">
            <v>20127797</v>
          </cell>
          <cell r="U3846" t="str">
            <v>NELSON JAVIER MORERA RINCON</v>
          </cell>
        </row>
        <row r="3847">
          <cell r="B3847">
            <v>20127813</v>
          </cell>
          <cell r="U3847" t="str">
            <v>CATALINA PACHECO BURGOS</v>
          </cell>
        </row>
        <row r="3848">
          <cell r="B3848">
            <v>20127822</v>
          </cell>
          <cell r="U3848" t="str">
            <v>IVONNE JINETH RODRIGUEZ ROJAS</v>
          </cell>
        </row>
        <row r="3849">
          <cell r="B3849">
            <v>20127825</v>
          </cell>
          <cell r="U3849" t="str">
            <v>HEIDY LORENA PRIETO AHUMADA</v>
          </cell>
        </row>
        <row r="3850">
          <cell r="B3850">
            <v>20127830</v>
          </cell>
          <cell r="U3850" t="str">
            <v>HEIDY LORENA PRIETO AHUMADA</v>
          </cell>
        </row>
        <row r="3851">
          <cell r="B3851">
            <v>20127835</v>
          </cell>
          <cell r="U3851" t="str">
            <v>Jeisson Fabian Molina Ciro</v>
          </cell>
        </row>
        <row r="3852">
          <cell r="B3852">
            <v>20127855</v>
          </cell>
          <cell r="U3852" t="str">
            <v>JOHAN SEBASTIAN PARDEYN AGUILAR</v>
          </cell>
        </row>
        <row r="3853">
          <cell r="B3853">
            <v>20127862</v>
          </cell>
          <cell r="U3853" t="str">
            <v>NELSON JAVIER MORERA RINCON</v>
          </cell>
        </row>
        <row r="3854">
          <cell r="B3854">
            <v>20127869</v>
          </cell>
          <cell r="U3854" t="str">
            <v>JOVANNY ALEXANDER BENAVIDES APRAEZ</v>
          </cell>
        </row>
        <row r="3855">
          <cell r="B3855">
            <v>20127870</v>
          </cell>
          <cell r="U3855" t="str">
            <v>JAVIER ORLANDO HERNANDEZ RIVERA</v>
          </cell>
        </row>
        <row r="3856">
          <cell r="B3856">
            <v>20127879</v>
          </cell>
          <cell r="U3856" t="str">
            <v>NELSON JAVIER MORERA RINCON</v>
          </cell>
        </row>
        <row r="3857">
          <cell r="B3857">
            <v>20127884</v>
          </cell>
          <cell r="U3857" t="str">
            <v>MARSHIA MILENA JIMéNEZ GóMEZ</v>
          </cell>
        </row>
        <row r="3858">
          <cell r="B3858">
            <v>20127897</v>
          </cell>
          <cell r="U3858" t="str">
            <v>Jeisson Fabian Molina Ciro</v>
          </cell>
        </row>
        <row r="3859">
          <cell r="B3859">
            <v>20127904</v>
          </cell>
          <cell r="U3859" t="str">
            <v>ANGIE LIZETH GARZON GARCIA</v>
          </cell>
        </row>
        <row r="3860">
          <cell r="B3860">
            <v>20127915</v>
          </cell>
          <cell r="U3860" t="str">
            <v>PAOLA ANDREA CALDERON CETINA</v>
          </cell>
        </row>
        <row r="3861">
          <cell r="B3861">
            <v>20127916</v>
          </cell>
          <cell r="U3861" t="str">
            <v/>
          </cell>
        </row>
        <row r="3862">
          <cell r="B3862">
            <v>20127918</v>
          </cell>
          <cell r="U3862" t="str">
            <v>IVONNE JINETH RODRIGUEZ ROJAS</v>
          </cell>
        </row>
        <row r="3863">
          <cell r="B3863">
            <v>20127934</v>
          </cell>
          <cell r="U3863" t="str">
            <v>JOVANNY ALEXANDER BENAVIDES APRAEZ</v>
          </cell>
        </row>
        <row r="3864">
          <cell r="B3864">
            <v>20127936</v>
          </cell>
          <cell r="U3864" t="str">
            <v>MARSHIA MILENA JIMéNEZ GóMEZ</v>
          </cell>
        </row>
        <row r="3865">
          <cell r="B3865">
            <v>20127939</v>
          </cell>
          <cell r="U3865" t="str">
            <v>Jeisson Fabian Molina Ciro</v>
          </cell>
        </row>
        <row r="3866">
          <cell r="B3866">
            <v>20127943</v>
          </cell>
          <cell r="U3866" t="str">
            <v>NELSON JAVIER MORERA RINCON</v>
          </cell>
        </row>
        <row r="3867">
          <cell r="B3867">
            <v>20127944</v>
          </cell>
          <cell r="U3867" t="str">
            <v>HEIDY LORENA PRIETO AHUMADA</v>
          </cell>
        </row>
        <row r="3868">
          <cell r="B3868">
            <v>20127947</v>
          </cell>
          <cell r="U3868" t="str">
            <v>JOVANNY ALEXANDER BENAVIDES APRAEZ</v>
          </cell>
        </row>
        <row r="3869">
          <cell r="B3869">
            <v>20127953</v>
          </cell>
          <cell r="U3869" t="str">
            <v>PAOLA ANDREA CALDERON CETINA</v>
          </cell>
        </row>
        <row r="3870">
          <cell r="B3870">
            <v>20127959</v>
          </cell>
          <cell r="U3870" t="str">
            <v>NELSON JAVIER MORERA RINCON</v>
          </cell>
        </row>
        <row r="3871">
          <cell r="B3871">
            <v>20127960</v>
          </cell>
          <cell r="U3871" t="str">
            <v>CATALINA PACHECO BURGOS</v>
          </cell>
        </row>
        <row r="3872">
          <cell r="B3872">
            <v>20127969</v>
          </cell>
          <cell r="U3872" t="str">
            <v>FABIAN CONCHA</v>
          </cell>
        </row>
        <row r="3873">
          <cell r="B3873">
            <v>20127985</v>
          </cell>
          <cell r="U3873" t="str">
            <v>HEIDY LORENA PRIETO AHUMADA</v>
          </cell>
        </row>
        <row r="3874">
          <cell r="B3874">
            <v>20127987</v>
          </cell>
          <cell r="U3874" t="str">
            <v>IVONNE JINETH RODRIGUEZ ROJAS</v>
          </cell>
        </row>
        <row r="3875">
          <cell r="B3875">
            <v>20128014</v>
          </cell>
          <cell r="U3875" t="str">
            <v>MARSHIA MILENA JIMéNEZ GóMEZ</v>
          </cell>
        </row>
        <row r="3876">
          <cell r="B3876">
            <v>20128015</v>
          </cell>
          <cell r="U3876" t="e">
            <v>#N/A</v>
          </cell>
        </row>
        <row r="3877">
          <cell r="B3877">
            <v>20128020</v>
          </cell>
          <cell r="U3877" t="str">
            <v>ANGIE LIZETH GARZON GARCIA</v>
          </cell>
        </row>
        <row r="3878">
          <cell r="B3878">
            <v>20128024</v>
          </cell>
          <cell r="U3878" t="str">
            <v>ANGIE LIZETH GARZON GARCIA</v>
          </cell>
        </row>
        <row r="3879">
          <cell r="B3879">
            <v>20128037</v>
          </cell>
          <cell r="U3879" t="str">
            <v>PAOLA ANDREA CALDERON CETINA</v>
          </cell>
        </row>
        <row r="3880">
          <cell r="B3880">
            <v>20128038</v>
          </cell>
          <cell r="U3880" t="str">
            <v>Jeisson Fabian Molina Ciro</v>
          </cell>
        </row>
        <row r="3881">
          <cell r="B3881">
            <v>20128055</v>
          </cell>
          <cell r="U3881" t="str">
            <v>IVONNE JINETH RODRIGUEZ ROJAS</v>
          </cell>
        </row>
        <row r="3882">
          <cell r="B3882">
            <v>20128074</v>
          </cell>
          <cell r="U3882" t="str">
            <v>MARSHIA MILENA JIMéNEZ GóMEZ</v>
          </cell>
        </row>
        <row r="3883">
          <cell r="B3883">
            <v>20128077</v>
          </cell>
          <cell r="U3883" t="str">
            <v>PAOLA ANDREA CALDERON CETINA</v>
          </cell>
        </row>
        <row r="3884">
          <cell r="B3884">
            <v>20128081</v>
          </cell>
          <cell r="U3884" t="str">
            <v>HEIDY LORENA PRIETO AHUMADA</v>
          </cell>
        </row>
        <row r="3885">
          <cell r="B3885">
            <v>20128084</v>
          </cell>
          <cell r="U3885" t="str">
            <v>HEIDY LORENA PRIETO AHUMADA</v>
          </cell>
        </row>
        <row r="3886">
          <cell r="B3886">
            <v>20128087</v>
          </cell>
          <cell r="U3886" t="str">
            <v>JOHAN SEBASTIAN PARDEYN AGUILAR</v>
          </cell>
        </row>
        <row r="3887">
          <cell r="B3887">
            <v>20128094</v>
          </cell>
          <cell r="U3887" t="str">
            <v>IVONNE JINETH RODRIGUEZ ROJAS</v>
          </cell>
        </row>
        <row r="3888">
          <cell r="B3888">
            <v>20128096</v>
          </cell>
          <cell r="U3888" t="str">
            <v>IVONNE JINETH RODRIGUEZ ROJAS</v>
          </cell>
        </row>
        <row r="3889">
          <cell r="B3889">
            <v>20128099</v>
          </cell>
          <cell r="U3889" t="str">
            <v>IVONNE JINETH RODRIGUEZ ROJAS</v>
          </cell>
        </row>
        <row r="3890">
          <cell r="B3890">
            <v>20128109</v>
          </cell>
          <cell r="U3890" t="str">
            <v>MARSHIA MILENA JIMéNEZ GóMEZ</v>
          </cell>
        </row>
        <row r="3891">
          <cell r="B3891">
            <v>20128114</v>
          </cell>
          <cell r="U3891" t="str">
            <v>MARSHIA MILENA JIMéNEZ GóMEZ</v>
          </cell>
        </row>
        <row r="3892">
          <cell r="B3892">
            <v>20128126</v>
          </cell>
          <cell r="U3892" t="str">
            <v>JOVANNY ALEXANDER BENAVIDES APRAEZ</v>
          </cell>
        </row>
        <row r="3893">
          <cell r="B3893">
            <v>20128130</v>
          </cell>
          <cell r="U3893" t="str">
            <v>IVONNE JINETH RODRIGUEZ ROJAS</v>
          </cell>
        </row>
        <row r="3894">
          <cell r="B3894">
            <v>20128132</v>
          </cell>
          <cell r="U3894" t="str">
            <v>IVONNE JINETH RODRIGUEZ ROJAS</v>
          </cell>
        </row>
        <row r="3895">
          <cell r="B3895">
            <v>20128135</v>
          </cell>
          <cell r="U3895" t="str">
            <v/>
          </cell>
        </row>
        <row r="3896">
          <cell r="B3896">
            <v>20128143</v>
          </cell>
          <cell r="U3896" t="str">
            <v>NELSON JAVIER MORERA RINCON</v>
          </cell>
        </row>
        <row r="3897">
          <cell r="B3897">
            <v>20128148</v>
          </cell>
          <cell r="U3897" t="str">
            <v>IVONNE JINETH RODRIGUEZ ROJAS</v>
          </cell>
        </row>
        <row r="3898">
          <cell r="B3898">
            <v>20128153</v>
          </cell>
          <cell r="U3898" t="str">
            <v>IVONNE JINETH RODRIGUEZ ROJAS</v>
          </cell>
        </row>
        <row r="3899">
          <cell r="B3899">
            <v>20128158</v>
          </cell>
          <cell r="U3899" t="str">
            <v>IVONNE JINETH RODRIGUEZ ROJAS</v>
          </cell>
        </row>
        <row r="3900">
          <cell r="B3900">
            <v>20128174</v>
          </cell>
          <cell r="U3900" t="str">
            <v>IVONNE JINETH RODRIGUEZ ROJAS</v>
          </cell>
        </row>
        <row r="3901">
          <cell r="B3901">
            <v>20128184</v>
          </cell>
          <cell r="U3901" t="str">
            <v>HEIDY LORENA PRIETO AHUMADA</v>
          </cell>
        </row>
        <row r="3902">
          <cell r="B3902">
            <v>20128185</v>
          </cell>
          <cell r="U3902" t="str">
            <v>IVONNE JINETH RODRIGUEZ ROJAS</v>
          </cell>
        </row>
        <row r="3903">
          <cell r="B3903">
            <v>20128194</v>
          </cell>
          <cell r="U3903" t="str">
            <v>IVONNE JINETH RODRIGUEZ ROJAS</v>
          </cell>
        </row>
        <row r="3904">
          <cell r="B3904">
            <v>20128196</v>
          </cell>
          <cell r="U3904" t="str">
            <v>PAOLA ANDREA CALDERON CETINA</v>
          </cell>
        </row>
        <row r="3905">
          <cell r="B3905">
            <v>20128198</v>
          </cell>
          <cell r="U3905" t="str">
            <v>FABIAN CONCHA</v>
          </cell>
        </row>
        <row r="3906">
          <cell r="B3906">
            <v>20128199</v>
          </cell>
          <cell r="U3906" t="str">
            <v>JOVANNY ALEXANDER BENAVIDES APRAEZ</v>
          </cell>
        </row>
        <row r="3907">
          <cell r="B3907">
            <v>20128206</v>
          </cell>
          <cell r="U3907" t="str">
            <v>ANGIE LIZETH GARZON GARCIA</v>
          </cell>
        </row>
        <row r="3908">
          <cell r="B3908">
            <v>20128208</v>
          </cell>
          <cell r="U3908" t="str">
            <v>GINA PAOLA MEDINA FLOREZ</v>
          </cell>
        </row>
        <row r="3909">
          <cell r="B3909">
            <v>20128231</v>
          </cell>
          <cell r="U3909" t="str">
            <v>PAOLA ANDREA CALDERON CETINA</v>
          </cell>
        </row>
        <row r="3910">
          <cell r="B3910">
            <v>20128238</v>
          </cell>
          <cell r="U3910" t="str">
            <v>PAOLA ANDREA CALDERON CETINA</v>
          </cell>
        </row>
        <row r="3911">
          <cell r="B3911">
            <v>20128244</v>
          </cell>
          <cell r="U3911" t="str">
            <v>GINA PAOLA MEDINA FLOREZ</v>
          </cell>
        </row>
        <row r="3912">
          <cell r="B3912">
            <v>20128249</v>
          </cell>
          <cell r="U3912" t="str">
            <v>IVONNE JINETH RODRIGUEZ ROJAS</v>
          </cell>
        </row>
        <row r="3913">
          <cell r="B3913">
            <v>20128251</v>
          </cell>
          <cell r="U3913" t="str">
            <v>MARSHIA MILENA JIMéNEZ GóMEZ</v>
          </cell>
        </row>
        <row r="3914">
          <cell r="B3914">
            <v>20128259</v>
          </cell>
          <cell r="U3914" t="str">
            <v>NELSON JAVIER MORERA RINCON</v>
          </cell>
        </row>
        <row r="3915">
          <cell r="B3915">
            <v>20128274</v>
          </cell>
          <cell r="U3915" t="str">
            <v>GINA PAOLA MEDINA FLOREZ</v>
          </cell>
        </row>
        <row r="3916">
          <cell r="B3916">
            <v>20128282</v>
          </cell>
          <cell r="U3916" t="str">
            <v>PAOLA ANDREA CALDERON CETINA</v>
          </cell>
        </row>
        <row r="3917">
          <cell r="B3917">
            <v>20128294</v>
          </cell>
          <cell r="U3917" t="str">
            <v>PAOLA ANDREA CALDERON CETINA</v>
          </cell>
        </row>
        <row r="3918">
          <cell r="B3918">
            <v>20128296</v>
          </cell>
          <cell r="U3918" t="str">
            <v>IVONNE JINETH RODRIGUEZ ROJAS</v>
          </cell>
        </row>
        <row r="3919">
          <cell r="B3919">
            <v>20128309</v>
          </cell>
          <cell r="U3919" t="str">
            <v>IVONNE JINETH RODRIGUEZ ROJAS</v>
          </cell>
        </row>
        <row r="3920">
          <cell r="B3920">
            <v>20128312</v>
          </cell>
          <cell r="U3920" t="str">
            <v>PAOLA ANDREA CALDERON CETINA</v>
          </cell>
        </row>
        <row r="3921">
          <cell r="B3921">
            <v>20128314</v>
          </cell>
          <cell r="U3921" t="str">
            <v>IVONNE JINETH RODRIGUEZ ROJAS</v>
          </cell>
        </row>
        <row r="3922">
          <cell r="B3922">
            <v>20128321</v>
          </cell>
          <cell r="U3922" t="str">
            <v>IVONNE JINETH RODRIGUEZ ROJAS</v>
          </cell>
        </row>
        <row r="3923">
          <cell r="B3923">
            <v>20128325</v>
          </cell>
          <cell r="U3923" t="str">
            <v>CATALINA PACHECO BURGOS</v>
          </cell>
        </row>
        <row r="3924">
          <cell r="B3924">
            <v>20128330</v>
          </cell>
          <cell r="U3924" t="str">
            <v>NELSON JAVIER MORERA RINCON</v>
          </cell>
        </row>
        <row r="3925">
          <cell r="B3925">
            <v>20128334</v>
          </cell>
          <cell r="U3925" t="str">
            <v>IVONNE JINETH RODRIGUEZ ROJAS</v>
          </cell>
        </row>
        <row r="3926">
          <cell r="B3926">
            <v>20128342</v>
          </cell>
          <cell r="U3926" t="str">
            <v>IVONNE JINETH RODRIGUEZ ROJAS</v>
          </cell>
        </row>
        <row r="3927">
          <cell r="B3927">
            <v>20128349</v>
          </cell>
          <cell r="U3927" t="str">
            <v>PAOLA ANDREA CALDERON CETINA</v>
          </cell>
        </row>
        <row r="3928">
          <cell r="B3928">
            <v>20128356</v>
          </cell>
          <cell r="U3928" t="str">
            <v>PAOLA ANDREA CALDERON CETINA</v>
          </cell>
        </row>
        <row r="3929">
          <cell r="B3929">
            <v>20128365</v>
          </cell>
          <cell r="U3929" t="str">
            <v>MARSHIA MILENA JIMéNEZ GóMEZ</v>
          </cell>
        </row>
        <row r="3930">
          <cell r="B3930">
            <v>20128367</v>
          </cell>
          <cell r="U3930" t="str">
            <v>PAOLA ANDREA CALDERON CETINA</v>
          </cell>
        </row>
        <row r="3931">
          <cell r="B3931">
            <v>20128374</v>
          </cell>
          <cell r="U3931" t="str">
            <v>NELSON JAVIER MORERA RINCON</v>
          </cell>
        </row>
        <row r="3932">
          <cell r="B3932">
            <v>20128376</v>
          </cell>
          <cell r="U3932" t="str">
            <v>CATALINA PACHECO BURGOS</v>
          </cell>
        </row>
        <row r="3933">
          <cell r="B3933">
            <v>20128382</v>
          </cell>
          <cell r="U3933" t="str">
            <v>NELSON JAVIER MORERA RINCON</v>
          </cell>
        </row>
        <row r="3934">
          <cell r="B3934">
            <v>20128393</v>
          </cell>
          <cell r="U3934" t="str">
            <v>PAOLA ANDREA CALDERON CETINA</v>
          </cell>
        </row>
        <row r="3935">
          <cell r="B3935">
            <v>20128401</v>
          </cell>
          <cell r="U3935" t="str">
            <v>PAOLA ANDREA CALDERON CETINA</v>
          </cell>
        </row>
        <row r="3936">
          <cell r="B3936">
            <v>20128425</v>
          </cell>
          <cell r="U3936" t="str">
            <v>GINA PAOLA MEDINA FLOREZ</v>
          </cell>
        </row>
        <row r="3937">
          <cell r="B3937">
            <v>20128429</v>
          </cell>
          <cell r="U3937" t="e">
            <v>#N/A</v>
          </cell>
        </row>
        <row r="3938">
          <cell r="B3938">
            <v>20128435</v>
          </cell>
          <cell r="U3938" t="str">
            <v>IVONNE JINETH RODRIGUEZ ROJAS</v>
          </cell>
        </row>
        <row r="3939">
          <cell r="B3939">
            <v>20128439</v>
          </cell>
          <cell r="U3939" t="str">
            <v>MARSHIA MILENA JIMéNEZ GóMEZ</v>
          </cell>
        </row>
        <row r="3940">
          <cell r="B3940">
            <v>20128444</v>
          </cell>
          <cell r="U3940" t="str">
            <v>IVONNE JINETH RODRIGUEZ ROJAS</v>
          </cell>
        </row>
        <row r="3941">
          <cell r="B3941">
            <v>20128453</v>
          </cell>
          <cell r="U3941" t="str">
            <v>IVONNE JINETH RODRIGUEZ ROJAS</v>
          </cell>
        </row>
        <row r="3942">
          <cell r="B3942">
            <v>20128486</v>
          </cell>
          <cell r="U3942" t="str">
            <v>MARSHIA MILENA JIMéNEZ GóMEZ</v>
          </cell>
        </row>
        <row r="3943">
          <cell r="B3943">
            <v>20128504</v>
          </cell>
          <cell r="U3943" t="str">
            <v>FABIAN CONCHA</v>
          </cell>
        </row>
        <row r="3944">
          <cell r="B3944">
            <v>20128509</v>
          </cell>
          <cell r="U3944" t="str">
            <v>GINA PAOLA MEDINA FLOREZ</v>
          </cell>
        </row>
        <row r="3945">
          <cell r="B3945">
            <v>20128538</v>
          </cell>
          <cell r="U3945" t="str">
            <v>NELSON JAVIER MORERA RINCON</v>
          </cell>
        </row>
        <row r="3946">
          <cell r="B3946">
            <v>20128540</v>
          </cell>
          <cell r="U3946" t="str">
            <v>GINA PAOLA MEDINA FLOREZ</v>
          </cell>
        </row>
        <row r="3947">
          <cell r="B3947">
            <v>20128544</v>
          </cell>
          <cell r="U3947" t="str">
            <v>NELSON JAVIER MORERA RINCON</v>
          </cell>
        </row>
        <row r="3948">
          <cell r="B3948">
            <v>20128546</v>
          </cell>
          <cell r="U3948" t="e">
            <v>#N/A</v>
          </cell>
        </row>
        <row r="3949">
          <cell r="B3949">
            <v>20128547</v>
          </cell>
          <cell r="U3949" t="str">
            <v>CATALINA PACHECO BURGOS</v>
          </cell>
        </row>
        <row r="3950">
          <cell r="B3950">
            <v>20128566</v>
          </cell>
          <cell r="U3950" t="str">
            <v>ANGIE LIZETH GARZON GARCIA</v>
          </cell>
        </row>
        <row r="3951">
          <cell r="B3951">
            <v>20128598</v>
          </cell>
          <cell r="U3951" t="str">
            <v>MARSHIA MILENA JIMéNEZ GóMEZ</v>
          </cell>
        </row>
        <row r="3952">
          <cell r="B3952">
            <v>20128616</v>
          </cell>
          <cell r="U3952" t="str">
            <v>MARSHIA MILENA JIMéNEZ GóMEZ</v>
          </cell>
        </row>
        <row r="3953">
          <cell r="B3953">
            <v>20128630</v>
          </cell>
          <cell r="U3953" t="str">
            <v>HEIDY LORENA PRIETO AHUMADA</v>
          </cell>
        </row>
        <row r="3954">
          <cell r="B3954">
            <v>20128650</v>
          </cell>
          <cell r="U3954" t="str">
            <v>IVONNE JINETH RODRIGUEZ ROJAS</v>
          </cell>
        </row>
        <row r="3955">
          <cell r="B3955">
            <v>20128663</v>
          </cell>
          <cell r="U3955" t="str">
            <v>ANGIE LIZETH GARZON GARCIA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B09F5-F5BB-4461-BBAF-88C940655B41}">
  <dimension ref="A1:X4580"/>
  <sheetViews>
    <sheetView tabSelected="1" topLeftCell="F1" workbookViewId="0">
      <selection activeCell="N23" sqref="N23"/>
    </sheetView>
  </sheetViews>
  <sheetFormatPr baseColWidth="10" defaultRowHeight="14.4" x14ac:dyDescent="0.3"/>
  <cols>
    <col min="20" max="20" width="12" bestFit="1" customWidth="1"/>
    <col min="21" max="21" width="20.44140625" customWidth="1"/>
    <col min="24" max="24" width="33.44140625" bestFit="1" customWidth="1"/>
  </cols>
  <sheetData>
    <row r="1" spans="1:24" ht="15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4096</v>
      </c>
      <c r="U1" s="2" t="str">
        <f>_xlfn.XLOOKUP(B1,[1]Hoja1!$B:$B,[1]Hoja1!$U:$U)</f>
        <v>Lider</v>
      </c>
      <c r="V1" s="2" t="s">
        <v>3926</v>
      </c>
      <c r="W1" s="2" t="s">
        <v>4095</v>
      </c>
      <c r="X1" s="2" t="s">
        <v>3925</v>
      </c>
    </row>
    <row r="2" spans="1:24" ht="15" x14ac:dyDescent="0.35">
      <c r="A2" s="4">
        <v>45971.530486111114</v>
      </c>
      <c r="B2">
        <v>20103787</v>
      </c>
      <c r="C2" s="5" t="s">
        <v>19</v>
      </c>
      <c r="D2">
        <v>55808</v>
      </c>
      <c r="E2" t="s">
        <v>267</v>
      </c>
      <c r="F2">
        <v>1233510311</v>
      </c>
      <c r="G2" t="s">
        <v>268</v>
      </c>
      <c r="H2">
        <v>100081970</v>
      </c>
      <c r="I2">
        <v>202604</v>
      </c>
      <c r="J2">
        <v>1233510311</v>
      </c>
      <c r="K2" t="s">
        <v>270</v>
      </c>
      <c r="L2" t="s">
        <v>269</v>
      </c>
      <c r="M2" t="s">
        <v>271</v>
      </c>
      <c r="N2" t="s">
        <v>35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52834109</v>
      </c>
      <c r="U2" t="s">
        <v>4019</v>
      </c>
      <c r="V2" t="s">
        <v>4020</v>
      </c>
      <c r="W2" s="9">
        <f>IF(V2="pregrado",31,
IF(V2="posgrados",31,
IF(V2="rEINTEGROS",7,
IF(V2="BIT",90,
IF(V2="OP GRADO - INGLÉS",17,"")))))</f>
        <v>17</v>
      </c>
      <c r="X2" t="s">
        <v>4018</v>
      </c>
    </row>
    <row r="3" spans="1:24" ht="15" x14ac:dyDescent="0.35">
      <c r="A3" s="4">
        <v>45975.672118055554</v>
      </c>
      <c r="B3">
        <v>20104183</v>
      </c>
      <c r="C3" s="5" t="s">
        <v>19</v>
      </c>
      <c r="D3">
        <v>55952</v>
      </c>
      <c r="E3" t="s">
        <v>267</v>
      </c>
      <c r="F3">
        <v>1121857096</v>
      </c>
      <c r="G3" t="s">
        <v>372</v>
      </c>
      <c r="H3">
        <v>100205569</v>
      </c>
      <c r="I3">
        <v>202604</v>
      </c>
      <c r="J3">
        <v>1121857096</v>
      </c>
      <c r="K3" t="s">
        <v>270</v>
      </c>
      <c r="L3" t="s">
        <v>373</v>
      </c>
      <c r="M3" t="s">
        <v>271</v>
      </c>
      <c r="N3" t="s">
        <v>35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>
        <v>52834109</v>
      </c>
      <c r="U3" t="s">
        <v>4019</v>
      </c>
      <c r="V3" t="s">
        <v>4020</v>
      </c>
      <c r="W3" s="9">
        <f>IF(V3="pregrado",31,
IF(V3="posgrados",31,
IF(V3="rEINTEGROS",7,
IF(V3="BIT",90,
IF(V3="OP GRADO - INGLÉS",17,"")))))</f>
        <v>17</v>
      </c>
      <c r="X3" t="s">
        <v>4018</v>
      </c>
    </row>
    <row r="4" spans="1:24" ht="15" x14ac:dyDescent="0.35">
      <c r="A4" s="4">
        <v>45973.520972222221</v>
      </c>
      <c r="B4">
        <v>20103973</v>
      </c>
      <c r="C4" s="5" t="s">
        <v>19</v>
      </c>
      <c r="D4">
        <v>55957</v>
      </c>
      <c r="E4" t="s">
        <v>267</v>
      </c>
      <c r="F4">
        <v>1007243941</v>
      </c>
      <c r="G4" t="s">
        <v>315</v>
      </c>
      <c r="H4">
        <v>100127159</v>
      </c>
      <c r="I4">
        <v>202604</v>
      </c>
      <c r="J4">
        <v>1007243941</v>
      </c>
      <c r="K4" t="s">
        <v>270</v>
      </c>
      <c r="L4" t="s">
        <v>316</v>
      </c>
      <c r="M4" t="s">
        <v>271</v>
      </c>
      <c r="N4" t="s">
        <v>35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  <c r="T4">
        <v>1033714104</v>
      </c>
      <c r="U4" t="s">
        <v>4019</v>
      </c>
      <c r="V4" t="s">
        <v>4020</v>
      </c>
      <c r="W4" s="9">
        <f>IF(V4="pregrado",31,
IF(V4="posgrados",31,
IF(V4="rEINTEGROS",7,
IF(V4="BIT",90,
IF(V4="OP GRADO - INGLÉS",17,"")))))</f>
        <v>17</v>
      </c>
      <c r="X4" t="s">
        <v>4029</v>
      </c>
    </row>
    <row r="5" spans="1:24" ht="15" x14ac:dyDescent="0.35">
      <c r="A5" s="4">
        <v>45974.492604166669</v>
      </c>
      <c r="B5">
        <v>20104055</v>
      </c>
      <c r="C5" s="5" t="s">
        <v>19</v>
      </c>
      <c r="D5">
        <v>55970</v>
      </c>
      <c r="E5" t="s">
        <v>267</v>
      </c>
      <c r="F5">
        <v>1144138713</v>
      </c>
      <c r="G5" t="s">
        <v>335</v>
      </c>
      <c r="H5">
        <v>100222490</v>
      </c>
      <c r="I5">
        <v>202604</v>
      </c>
      <c r="J5">
        <v>1144138713</v>
      </c>
      <c r="K5" t="s">
        <v>270</v>
      </c>
      <c r="L5" t="s">
        <v>336</v>
      </c>
      <c r="M5" t="s">
        <v>271</v>
      </c>
      <c r="N5" t="s">
        <v>35</v>
      </c>
      <c r="O5" t="s">
        <v>26</v>
      </c>
      <c r="P5" t="s">
        <v>27</v>
      </c>
      <c r="Q5" t="s">
        <v>28</v>
      </c>
      <c r="R5" t="s">
        <v>29</v>
      </c>
      <c r="S5" t="s">
        <v>30</v>
      </c>
      <c r="T5">
        <v>1033714104</v>
      </c>
      <c r="U5" t="s">
        <v>4019</v>
      </c>
      <c r="V5" t="s">
        <v>4020</v>
      </c>
      <c r="W5" s="9">
        <f>IF(V5="pregrado",31,
IF(V5="posgrados",31,
IF(V5="rEINTEGROS",7,
IF(V5="BIT",90,
IF(V5="OP GRADO - INGLÉS",17,"")))))</f>
        <v>17</v>
      </c>
      <c r="X5" t="s">
        <v>4029</v>
      </c>
    </row>
    <row r="6" spans="1:24" ht="15" x14ac:dyDescent="0.35">
      <c r="A6" s="4">
        <v>45979.546631944446</v>
      </c>
      <c r="B6">
        <v>20104300</v>
      </c>
      <c r="C6" s="5" t="s">
        <v>19</v>
      </c>
      <c r="D6">
        <v>56846</v>
      </c>
      <c r="E6" t="s">
        <v>267</v>
      </c>
      <c r="F6">
        <v>1000941707</v>
      </c>
      <c r="G6" t="s">
        <v>399</v>
      </c>
      <c r="H6">
        <v>100136725</v>
      </c>
      <c r="I6">
        <v>202604</v>
      </c>
      <c r="J6">
        <v>1000941707</v>
      </c>
      <c r="K6" t="s">
        <v>270</v>
      </c>
      <c r="L6" t="s">
        <v>400</v>
      </c>
      <c r="M6" t="s">
        <v>271</v>
      </c>
      <c r="N6" t="s">
        <v>35</v>
      </c>
      <c r="O6" t="s">
        <v>26</v>
      </c>
      <c r="P6" t="s">
        <v>27</v>
      </c>
      <c r="Q6" t="s">
        <v>28</v>
      </c>
      <c r="R6" t="s">
        <v>29</v>
      </c>
      <c r="S6" t="s">
        <v>30</v>
      </c>
      <c r="T6">
        <v>1033714104</v>
      </c>
      <c r="U6" t="s">
        <v>4019</v>
      </c>
      <c r="V6" t="s">
        <v>4020</v>
      </c>
      <c r="W6" s="9">
        <f>IF(V6="pregrado",31,
IF(V6="posgrados",31,
IF(V6="rEINTEGROS",7,
IF(V6="BIT",90,
IF(V6="OP GRADO - INGLÉS",17,"")))))</f>
        <v>17</v>
      </c>
      <c r="X6" t="s">
        <v>4029</v>
      </c>
    </row>
    <row r="7" spans="1:24" ht="15" x14ac:dyDescent="0.35">
      <c r="A7" s="4">
        <v>45979.670995370368</v>
      </c>
      <c r="B7">
        <v>20104320</v>
      </c>
      <c r="C7" s="5" t="s">
        <v>19</v>
      </c>
      <c r="D7">
        <v>56893</v>
      </c>
      <c r="E7" t="s">
        <v>267</v>
      </c>
      <c r="F7">
        <v>1106395487</v>
      </c>
      <c r="G7" t="s">
        <v>408</v>
      </c>
      <c r="H7">
        <v>100160050</v>
      </c>
      <c r="I7">
        <v>202604</v>
      </c>
      <c r="J7">
        <v>1106395487</v>
      </c>
      <c r="K7" t="s">
        <v>270</v>
      </c>
      <c r="L7" t="s">
        <v>409</v>
      </c>
      <c r="M7" t="s">
        <v>271</v>
      </c>
      <c r="N7" t="s">
        <v>35</v>
      </c>
      <c r="O7" t="s">
        <v>26</v>
      </c>
      <c r="P7" t="s">
        <v>27</v>
      </c>
      <c r="Q7" t="s">
        <v>28</v>
      </c>
      <c r="R7" t="s">
        <v>29</v>
      </c>
      <c r="S7" t="s">
        <v>30</v>
      </c>
      <c r="T7">
        <v>1033714104</v>
      </c>
      <c r="U7" t="s">
        <v>4019</v>
      </c>
      <c r="V7" t="s">
        <v>4020</v>
      </c>
      <c r="W7" s="9">
        <f>IF(V7="pregrado",31,
IF(V7="posgrados",31,
IF(V7="rEINTEGROS",7,
IF(V7="BIT",90,
IF(V7="OP GRADO - INGLÉS",17,"")))))</f>
        <v>17</v>
      </c>
      <c r="X7" t="s">
        <v>4029</v>
      </c>
    </row>
    <row r="8" spans="1:24" ht="15" x14ac:dyDescent="0.35">
      <c r="A8" s="4">
        <v>45987.73097222222</v>
      </c>
      <c r="B8">
        <v>20105010</v>
      </c>
      <c r="C8" s="6" t="s">
        <v>19</v>
      </c>
      <c r="D8">
        <v>56896</v>
      </c>
      <c r="E8" t="s">
        <v>267</v>
      </c>
      <c r="F8">
        <v>1117322557</v>
      </c>
      <c r="G8" t="s">
        <v>584</v>
      </c>
      <c r="H8">
        <v>100188082</v>
      </c>
      <c r="I8">
        <v>202604</v>
      </c>
      <c r="J8">
        <v>1117322557</v>
      </c>
      <c r="K8" t="s">
        <v>270</v>
      </c>
      <c r="L8" t="s">
        <v>532</v>
      </c>
      <c r="M8" t="s">
        <v>271</v>
      </c>
      <c r="N8" t="s">
        <v>35</v>
      </c>
      <c r="O8" t="s">
        <v>26</v>
      </c>
      <c r="P8" t="s">
        <v>27</v>
      </c>
      <c r="Q8" t="s">
        <v>28</v>
      </c>
      <c r="R8" t="s">
        <v>29</v>
      </c>
      <c r="S8" t="s">
        <v>30</v>
      </c>
      <c r="T8">
        <v>60345453</v>
      </c>
      <c r="U8" t="s">
        <v>4019</v>
      </c>
      <c r="V8" t="s">
        <v>4020</v>
      </c>
      <c r="W8" s="9">
        <f>IF(V8="pregrado",31,
IF(V8="posgrados",31,
IF(V8="rEINTEGROS",7,
IF(V8="BIT",90,
IF(V8="OP GRADO - INGLÉS",17,"")))))</f>
        <v>17</v>
      </c>
      <c r="X8" t="s">
        <v>4063</v>
      </c>
    </row>
    <row r="9" spans="1:24" ht="15" x14ac:dyDescent="0.35">
      <c r="A9" s="4">
        <v>45981.430995370371</v>
      </c>
      <c r="B9">
        <v>20104474</v>
      </c>
      <c r="C9" s="5" t="s">
        <v>19</v>
      </c>
      <c r="D9">
        <v>56904</v>
      </c>
      <c r="E9" t="s">
        <v>267</v>
      </c>
      <c r="F9">
        <v>1000378303</v>
      </c>
      <c r="G9" t="s">
        <v>444</v>
      </c>
      <c r="H9">
        <v>100176157</v>
      </c>
      <c r="I9">
        <v>202604</v>
      </c>
      <c r="J9">
        <v>1000378303</v>
      </c>
      <c r="K9" t="s">
        <v>270</v>
      </c>
      <c r="L9" t="s">
        <v>409</v>
      </c>
      <c r="M9" t="s">
        <v>271</v>
      </c>
      <c r="N9" t="s">
        <v>35</v>
      </c>
      <c r="O9" t="s">
        <v>26</v>
      </c>
      <c r="P9" t="s">
        <v>27</v>
      </c>
      <c r="Q9" t="s">
        <v>28</v>
      </c>
      <c r="R9" t="s">
        <v>29</v>
      </c>
      <c r="S9" t="s">
        <v>30</v>
      </c>
      <c r="T9">
        <v>52834109</v>
      </c>
      <c r="U9" t="s">
        <v>4019</v>
      </c>
      <c r="V9" t="s">
        <v>4020</v>
      </c>
      <c r="W9" s="9">
        <f>IF(V9="pregrado",31,
IF(V9="posgrados",31,
IF(V9="rEINTEGROS",7,
IF(V9="BIT",90,
IF(V9="OP GRADO - INGLÉS",17,"")))))</f>
        <v>17</v>
      </c>
      <c r="X9" t="s">
        <v>4018</v>
      </c>
    </row>
    <row r="10" spans="1:24" ht="15" x14ac:dyDescent="0.35">
      <c r="A10" s="4">
        <v>45985.588356481479</v>
      </c>
      <c r="B10">
        <v>20104695</v>
      </c>
      <c r="C10" s="5" t="s">
        <v>19</v>
      </c>
      <c r="D10">
        <v>56907</v>
      </c>
      <c r="E10" t="s">
        <v>267</v>
      </c>
      <c r="F10">
        <v>1141114543</v>
      </c>
      <c r="G10" t="s">
        <v>489</v>
      </c>
      <c r="H10">
        <v>100111162</v>
      </c>
      <c r="I10">
        <v>202604</v>
      </c>
      <c r="J10">
        <v>52005401</v>
      </c>
      <c r="K10" t="s">
        <v>270</v>
      </c>
      <c r="L10" t="s">
        <v>409</v>
      </c>
      <c r="M10" t="s">
        <v>271</v>
      </c>
      <c r="N10" t="s">
        <v>35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>
        <v>52834109</v>
      </c>
      <c r="U10" t="s">
        <v>4019</v>
      </c>
      <c r="V10" t="s">
        <v>4020</v>
      </c>
      <c r="W10" s="9">
        <f>IF(V10="pregrado",31,
IF(V10="posgrados",31,
IF(V10="rEINTEGROS",7,
IF(V10="BIT",90,
IF(V10="OP GRADO - INGLÉS",17,"")))))</f>
        <v>17</v>
      </c>
      <c r="X10" t="s">
        <v>4018</v>
      </c>
    </row>
    <row r="11" spans="1:24" ht="15" x14ac:dyDescent="0.35">
      <c r="A11" s="4">
        <v>45986.637673611112</v>
      </c>
      <c r="B11">
        <v>20104823</v>
      </c>
      <c r="C11" s="5" t="s">
        <v>19</v>
      </c>
      <c r="D11">
        <v>56951</v>
      </c>
      <c r="E11" t="s">
        <v>267</v>
      </c>
      <c r="F11">
        <v>1016005858</v>
      </c>
      <c r="G11" t="s">
        <v>531</v>
      </c>
      <c r="H11">
        <v>100109607</v>
      </c>
      <c r="I11">
        <v>202604</v>
      </c>
      <c r="J11">
        <v>1016005858</v>
      </c>
      <c r="K11" t="s">
        <v>270</v>
      </c>
      <c r="L11" t="s">
        <v>532</v>
      </c>
      <c r="M11" t="s">
        <v>271</v>
      </c>
      <c r="N11" t="s">
        <v>35</v>
      </c>
      <c r="O11" t="s">
        <v>26</v>
      </c>
      <c r="P11" t="s">
        <v>27</v>
      </c>
      <c r="Q11" t="s">
        <v>28</v>
      </c>
      <c r="R11" t="s">
        <v>29</v>
      </c>
      <c r="S11" t="s">
        <v>30</v>
      </c>
      <c r="T11">
        <v>1033714104</v>
      </c>
      <c r="U11" t="s">
        <v>4019</v>
      </c>
      <c r="V11" t="s">
        <v>4020</v>
      </c>
      <c r="W11" s="9">
        <f>IF(V11="pregrado",31,
IF(V11="posgrados",31,
IF(V11="rEINTEGROS",7,
IF(V11="BIT",90,
IF(V11="OP GRADO - INGLÉS",17,"")))))</f>
        <v>17</v>
      </c>
      <c r="X11" t="s">
        <v>4029</v>
      </c>
    </row>
    <row r="12" spans="1:24" ht="15" x14ac:dyDescent="0.35">
      <c r="A12" s="4">
        <v>45985.522199074076</v>
      </c>
      <c r="B12">
        <v>20104685</v>
      </c>
      <c r="C12" s="5" t="s">
        <v>19</v>
      </c>
      <c r="D12">
        <v>56971</v>
      </c>
      <c r="E12" t="s">
        <v>267</v>
      </c>
      <c r="F12">
        <v>1001506092</v>
      </c>
      <c r="G12" t="s">
        <v>485</v>
      </c>
      <c r="H12">
        <v>100145617</v>
      </c>
      <c r="I12">
        <v>202604</v>
      </c>
      <c r="J12">
        <v>1001506092</v>
      </c>
      <c r="K12" t="s">
        <v>270</v>
      </c>
      <c r="L12" t="s">
        <v>486</v>
      </c>
      <c r="M12" t="s">
        <v>271</v>
      </c>
      <c r="N12" t="s">
        <v>35</v>
      </c>
      <c r="O12" t="s">
        <v>26</v>
      </c>
      <c r="P12" t="s">
        <v>27</v>
      </c>
      <c r="Q12" t="s">
        <v>28</v>
      </c>
      <c r="R12" t="s">
        <v>29</v>
      </c>
      <c r="S12" t="s">
        <v>30</v>
      </c>
      <c r="T12">
        <v>1033714104</v>
      </c>
      <c r="U12" t="s">
        <v>4019</v>
      </c>
      <c r="V12" t="s">
        <v>4020</v>
      </c>
      <c r="W12" s="9">
        <f>IF(V12="pregrado",31,
IF(V12="posgrados",31,
IF(V12="rEINTEGROS",7,
IF(V12="BIT",90,
IF(V12="OP GRADO - INGLÉS",17,"")))))</f>
        <v>17</v>
      </c>
      <c r="X12" t="s">
        <v>4029</v>
      </c>
    </row>
    <row r="13" spans="1:24" ht="15" x14ac:dyDescent="0.35">
      <c r="A13" s="4">
        <v>45986.382488425923</v>
      </c>
      <c r="B13">
        <v>20104761</v>
      </c>
      <c r="C13" s="5" t="s">
        <v>19</v>
      </c>
      <c r="D13">
        <v>56972</v>
      </c>
      <c r="E13" t="s">
        <v>267</v>
      </c>
      <c r="F13">
        <v>1078180069</v>
      </c>
      <c r="G13" t="s">
        <v>512</v>
      </c>
      <c r="H13">
        <v>100201123</v>
      </c>
      <c r="I13">
        <v>202604</v>
      </c>
      <c r="J13">
        <v>1078180069</v>
      </c>
      <c r="K13" t="s">
        <v>270</v>
      </c>
      <c r="L13" t="s">
        <v>513</v>
      </c>
      <c r="M13" t="s">
        <v>271</v>
      </c>
      <c r="N13" t="s">
        <v>35</v>
      </c>
      <c r="O13" t="s">
        <v>26</v>
      </c>
      <c r="P13" t="s">
        <v>27</v>
      </c>
      <c r="Q13" t="s">
        <v>28</v>
      </c>
      <c r="R13" t="s">
        <v>29</v>
      </c>
      <c r="S13" t="s">
        <v>30</v>
      </c>
      <c r="T13">
        <v>1033714104</v>
      </c>
      <c r="U13" t="s">
        <v>4019</v>
      </c>
      <c r="V13" t="s">
        <v>4020</v>
      </c>
      <c r="W13" s="9">
        <f>IF(V13="pregrado",31,
IF(V13="posgrados",31,
IF(V13="rEINTEGROS",7,
IF(V13="BIT",90,
IF(V13="OP GRADO - INGLÉS",17,"")))))</f>
        <v>17</v>
      </c>
      <c r="X13" t="s">
        <v>4029</v>
      </c>
    </row>
    <row r="14" spans="1:24" ht="15" x14ac:dyDescent="0.35">
      <c r="A14" s="4">
        <v>45988.963437500002</v>
      </c>
      <c r="B14">
        <v>20105199</v>
      </c>
      <c r="C14" s="6" t="s">
        <v>19</v>
      </c>
      <c r="D14">
        <v>56981</v>
      </c>
      <c r="E14" t="s">
        <v>267</v>
      </c>
      <c r="F14">
        <v>1072715258</v>
      </c>
      <c r="G14" t="s">
        <v>638</v>
      </c>
      <c r="H14">
        <v>100152084</v>
      </c>
      <c r="I14">
        <v>202604</v>
      </c>
      <c r="J14">
        <v>1072715258</v>
      </c>
      <c r="K14" t="s">
        <v>270</v>
      </c>
      <c r="L14" t="s">
        <v>639</v>
      </c>
      <c r="M14" t="s">
        <v>271</v>
      </c>
      <c r="N14" t="s">
        <v>35</v>
      </c>
      <c r="O14" t="s">
        <v>26</v>
      </c>
      <c r="P14" t="s">
        <v>27</v>
      </c>
      <c r="Q14" t="s">
        <v>28</v>
      </c>
      <c r="R14" t="s">
        <v>29</v>
      </c>
      <c r="S14" t="s">
        <v>30</v>
      </c>
      <c r="T14">
        <v>1033714104</v>
      </c>
      <c r="U14" t="s">
        <v>4019</v>
      </c>
      <c r="V14" t="s">
        <v>4020</v>
      </c>
      <c r="W14" s="9">
        <f>IF(V14="pregrado",31,
IF(V14="posgrados",31,
IF(V14="rEINTEGROS",7,
IF(V14="BIT",90,
IF(V14="OP GRADO - INGLÉS",17,"")))))</f>
        <v>17</v>
      </c>
      <c r="X14" t="s">
        <v>4029</v>
      </c>
    </row>
    <row r="15" spans="1:24" ht="15" x14ac:dyDescent="0.35">
      <c r="A15" s="4">
        <v>45985.617349537039</v>
      </c>
      <c r="B15">
        <v>20104703</v>
      </c>
      <c r="C15" s="5" t="s">
        <v>19</v>
      </c>
      <c r="D15">
        <v>56991</v>
      </c>
      <c r="E15" t="s">
        <v>267</v>
      </c>
      <c r="F15">
        <v>1077086354</v>
      </c>
      <c r="G15" t="s">
        <v>491</v>
      </c>
      <c r="H15">
        <v>100063389</v>
      </c>
      <c r="I15">
        <v>202604</v>
      </c>
      <c r="J15">
        <v>1077086354</v>
      </c>
      <c r="K15" t="s">
        <v>270</v>
      </c>
      <c r="L15" t="s">
        <v>492</v>
      </c>
      <c r="M15" t="s">
        <v>271</v>
      </c>
      <c r="N15" t="s">
        <v>35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>
        <v>1033714104</v>
      </c>
      <c r="U15" t="s">
        <v>4019</v>
      </c>
      <c r="V15" t="s">
        <v>4020</v>
      </c>
      <c r="W15" s="9">
        <f>IF(V15="pregrado",31,
IF(V15="posgrados",31,
IF(V15="rEINTEGROS",7,
IF(V15="BIT",90,
IF(V15="OP GRADO - INGLÉS",17,"")))))</f>
        <v>17</v>
      </c>
      <c r="X15" t="s">
        <v>4029</v>
      </c>
    </row>
    <row r="16" spans="1:24" ht="15" x14ac:dyDescent="0.35">
      <c r="A16" s="4">
        <v>45986.48505787037</v>
      </c>
      <c r="B16">
        <v>20104787</v>
      </c>
      <c r="C16" s="5" t="s">
        <v>19</v>
      </c>
      <c r="D16">
        <v>56993</v>
      </c>
      <c r="E16" t="s">
        <v>267</v>
      </c>
      <c r="F16">
        <v>52807824</v>
      </c>
      <c r="G16" t="s">
        <v>520</v>
      </c>
      <c r="H16">
        <v>100236411</v>
      </c>
      <c r="I16">
        <v>202604</v>
      </c>
      <c r="J16">
        <v>1019606607</v>
      </c>
      <c r="K16" t="s">
        <v>23</v>
      </c>
      <c r="L16" t="s">
        <v>521</v>
      </c>
      <c r="M16" t="s">
        <v>271</v>
      </c>
      <c r="N16" t="s">
        <v>35</v>
      </c>
      <c r="O16" t="s">
        <v>26</v>
      </c>
      <c r="P16" t="s">
        <v>27</v>
      </c>
      <c r="Q16" t="s">
        <v>28</v>
      </c>
      <c r="R16" t="s">
        <v>29</v>
      </c>
      <c r="S16" t="s">
        <v>30</v>
      </c>
      <c r="T16">
        <v>1000007991</v>
      </c>
      <c r="U16" t="s">
        <v>4055</v>
      </c>
      <c r="V16" t="s">
        <v>4056</v>
      </c>
      <c r="W16" s="9">
        <f>IF(V16="pregrado",31,
IF(V16="posgrados",31,
IF(V16="rEINTEGROS",7,
IF(V16="BIT",90,
IF(V16="OP GRADO - INGLÉS",17,"")))))</f>
        <v>90</v>
      </c>
      <c r="X16" t="s">
        <v>4054</v>
      </c>
    </row>
    <row r="17" spans="1:24" ht="15" x14ac:dyDescent="0.35">
      <c r="A17" s="4">
        <v>45987.453009259261</v>
      </c>
      <c r="B17">
        <v>20104905</v>
      </c>
      <c r="C17" s="6" t="s">
        <v>19</v>
      </c>
      <c r="D17">
        <v>57000</v>
      </c>
      <c r="E17" t="s">
        <v>267</v>
      </c>
      <c r="F17">
        <v>1017259952</v>
      </c>
      <c r="G17" t="s">
        <v>555</v>
      </c>
      <c r="H17">
        <v>100205034</v>
      </c>
      <c r="I17">
        <v>202604</v>
      </c>
      <c r="J17">
        <v>1017259952</v>
      </c>
      <c r="K17" t="s">
        <v>270</v>
      </c>
      <c r="L17" t="s">
        <v>532</v>
      </c>
      <c r="M17" t="s">
        <v>271</v>
      </c>
      <c r="N17" t="s">
        <v>35</v>
      </c>
      <c r="O17" t="s">
        <v>26</v>
      </c>
      <c r="P17" t="s">
        <v>27</v>
      </c>
      <c r="Q17" t="s">
        <v>28</v>
      </c>
      <c r="R17" t="s">
        <v>29</v>
      </c>
      <c r="S17" t="s">
        <v>30</v>
      </c>
      <c r="T17">
        <v>52834109</v>
      </c>
      <c r="U17" t="s">
        <v>4019</v>
      </c>
      <c r="V17" t="s">
        <v>4020</v>
      </c>
      <c r="W17" s="9">
        <f>IF(V17="pregrado",31,
IF(V17="posgrados",31,
IF(V17="rEINTEGROS",7,
IF(V17="BIT",90,
IF(V17="OP GRADO - INGLÉS",17,"")))))</f>
        <v>17</v>
      </c>
      <c r="X17" t="s">
        <v>4018</v>
      </c>
    </row>
    <row r="18" spans="1:24" ht="15" x14ac:dyDescent="0.35">
      <c r="A18" s="4">
        <v>45995.5778587963</v>
      </c>
      <c r="B18">
        <v>20105867</v>
      </c>
      <c r="C18" s="6" t="s">
        <v>19</v>
      </c>
      <c r="D18">
        <v>57002</v>
      </c>
      <c r="E18" t="s">
        <v>267</v>
      </c>
      <c r="F18">
        <v>1000781315</v>
      </c>
      <c r="G18" t="s">
        <v>777</v>
      </c>
      <c r="H18">
        <v>100165697</v>
      </c>
      <c r="I18">
        <v>202604</v>
      </c>
      <c r="J18">
        <v>1000781315</v>
      </c>
      <c r="K18" t="s">
        <v>23</v>
      </c>
      <c r="L18" t="s">
        <v>521</v>
      </c>
      <c r="M18" t="s">
        <v>271</v>
      </c>
      <c r="N18" t="s">
        <v>35</v>
      </c>
      <c r="O18" t="s">
        <v>26</v>
      </c>
      <c r="P18" t="s">
        <v>27</v>
      </c>
      <c r="Q18" t="s">
        <v>28</v>
      </c>
      <c r="R18" t="s">
        <v>29</v>
      </c>
      <c r="S18" t="s">
        <v>30</v>
      </c>
      <c r="T18">
        <v>1000788047</v>
      </c>
      <c r="U18" t="s">
        <v>4055</v>
      </c>
      <c r="V18" t="s">
        <v>4056</v>
      </c>
      <c r="W18" s="9">
        <f>IF(V18="pregrado",31,
IF(V18="posgrados",31,
IF(V18="rEINTEGROS",7,
IF(V18="BIT",90,
IF(V18="OP GRADO - INGLÉS",17,"")))))</f>
        <v>90</v>
      </c>
      <c r="X18" t="s">
        <v>4068</v>
      </c>
    </row>
    <row r="19" spans="1:24" ht="15" x14ac:dyDescent="0.35">
      <c r="A19" s="4">
        <v>45987.465856481482</v>
      </c>
      <c r="B19">
        <v>20104909</v>
      </c>
      <c r="C19" s="6" t="s">
        <v>19</v>
      </c>
      <c r="D19">
        <v>57004</v>
      </c>
      <c r="E19" t="s">
        <v>267</v>
      </c>
      <c r="F19">
        <v>1070396043</v>
      </c>
      <c r="G19" t="s">
        <v>556</v>
      </c>
      <c r="H19">
        <v>100199838</v>
      </c>
      <c r="I19">
        <v>202604</v>
      </c>
      <c r="J19">
        <v>1070396043</v>
      </c>
      <c r="K19" t="s">
        <v>270</v>
      </c>
      <c r="L19" t="s">
        <v>532</v>
      </c>
      <c r="M19" t="s">
        <v>271</v>
      </c>
      <c r="N19" t="s">
        <v>35</v>
      </c>
      <c r="O19" t="s">
        <v>26</v>
      </c>
      <c r="P19" t="s">
        <v>27</v>
      </c>
      <c r="Q19" t="s">
        <v>28</v>
      </c>
      <c r="R19" t="s">
        <v>29</v>
      </c>
      <c r="S19" t="s">
        <v>30</v>
      </c>
      <c r="T19">
        <v>52834109</v>
      </c>
      <c r="U19" t="s">
        <v>4019</v>
      </c>
      <c r="V19" t="s">
        <v>4020</v>
      </c>
      <c r="W19" s="9">
        <f>IF(V19="pregrado",31,
IF(V19="posgrados",31,
IF(V19="rEINTEGROS",7,
IF(V19="BIT",90,
IF(V19="OP GRADO - INGLÉS",17,"")))))</f>
        <v>17</v>
      </c>
      <c r="X19" t="s">
        <v>4018</v>
      </c>
    </row>
    <row r="20" spans="1:24" ht="15" x14ac:dyDescent="0.35">
      <c r="A20" s="4">
        <v>45988.348067129627</v>
      </c>
      <c r="B20">
        <v>20105025</v>
      </c>
      <c r="C20" s="6" t="s">
        <v>19</v>
      </c>
      <c r="D20">
        <v>57028</v>
      </c>
      <c r="E20" t="s">
        <v>267</v>
      </c>
      <c r="F20">
        <v>1065568621</v>
      </c>
      <c r="G20" t="s">
        <v>588</v>
      </c>
      <c r="H20">
        <v>100203578</v>
      </c>
      <c r="I20">
        <v>202604</v>
      </c>
      <c r="J20">
        <v>1065568621</v>
      </c>
      <c r="K20" t="s">
        <v>270</v>
      </c>
      <c r="L20" t="s">
        <v>589</v>
      </c>
      <c r="M20" t="s">
        <v>271</v>
      </c>
      <c r="N20" t="s">
        <v>35</v>
      </c>
      <c r="O20" t="s">
        <v>26</v>
      </c>
      <c r="P20" t="s">
        <v>27</v>
      </c>
      <c r="Q20" t="s">
        <v>28</v>
      </c>
      <c r="R20" t="s">
        <v>29</v>
      </c>
      <c r="S20" t="s">
        <v>30</v>
      </c>
      <c r="T20">
        <v>1033714104</v>
      </c>
      <c r="U20" t="s">
        <v>4019</v>
      </c>
      <c r="V20" t="s">
        <v>4020</v>
      </c>
      <c r="W20" s="9">
        <f>IF(V20="pregrado",31,
IF(V20="posgrados",31,
IF(V20="rEINTEGROS",7,
IF(V20="BIT",90,
IF(V20="OP GRADO - INGLÉS",17,"")))))</f>
        <v>17</v>
      </c>
      <c r="X20" t="s">
        <v>4029</v>
      </c>
    </row>
    <row r="21" spans="1:24" ht="15" x14ac:dyDescent="0.35">
      <c r="A21" s="4">
        <v>45988.421284722222</v>
      </c>
      <c r="B21">
        <v>20105040</v>
      </c>
      <c r="C21" s="6" t="s">
        <v>19</v>
      </c>
      <c r="D21">
        <v>57033</v>
      </c>
      <c r="E21" t="s">
        <v>267</v>
      </c>
      <c r="F21">
        <v>1020820787</v>
      </c>
      <c r="G21" t="s">
        <v>594</v>
      </c>
      <c r="H21">
        <v>100092431</v>
      </c>
      <c r="I21">
        <v>202604</v>
      </c>
      <c r="J21">
        <v>1020820787</v>
      </c>
      <c r="K21" t="s">
        <v>270</v>
      </c>
      <c r="L21" t="s">
        <v>596</v>
      </c>
      <c r="M21" t="s">
        <v>271</v>
      </c>
      <c r="N21" t="s">
        <v>35</v>
      </c>
      <c r="O21" t="s">
        <v>26</v>
      </c>
      <c r="P21" t="s">
        <v>27</v>
      </c>
      <c r="Q21" t="s">
        <v>28</v>
      </c>
      <c r="R21" t="s">
        <v>29</v>
      </c>
      <c r="S21" t="s">
        <v>30</v>
      </c>
      <c r="T21">
        <v>52834109</v>
      </c>
      <c r="U21" t="s">
        <v>4019</v>
      </c>
      <c r="V21" t="s">
        <v>4020</v>
      </c>
      <c r="W21" s="9">
        <f>IF(V21="pregrado",31,
IF(V21="posgrados",31,
IF(V21="rEINTEGROS",7,
IF(V21="BIT",90,
IF(V21="OP GRADO - INGLÉS",17,"")))))</f>
        <v>17</v>
      </c>
      <c r="X21" t="s">
        <v>4018</v>
      </c>
    </row>
    <row r="22" spans="1:24" ht="15" x14ac:dyDescent="0.35">
      <c r="A22" s="4">
        <v>45989.43178240741</v>
      </c>
      <c r="B22">
        <v>20105224</v>
      </c>
      <c r="C22" s="6" t="s">
        <v>19</v>
      </c>
      <c r="D22">
        <v>57057</v>
      </c>
      <c r="E22" t="s">
        <v>267</v>
      </c>
      <c r="F22">
        <v>1116869433</v>
      </c>
      <c r="G22" t="s">
        <v>644</v>
      </c>
      <c r="H22">
        <v>100223048</v>
      </c>
      <c r="I22">
        <v>202604</v>
      </c>
      <c r="J22">
        <v>1116869433</v>
      </c>
      <c r="K22" t="s">
        <v>270</v>
      </c>
      <c r="L22" t="s">
        <v>513</v>
      </c>
      <c r="M22" t="s">
        <v>271</v>
      </c>
      <c r="N22" t="s">
        <v>35</v>
      </c>
      <c r="O22" t="s">
        <v>26</v>
      </c>
      <c r="P22" t="s">
        <v>27</v>
      </c>
      <c r="Q22" t="s">
        <v>28</v>
      </c>
      <c r="R22" t="s">
        <v>29</v>
      </c>
      <c r="S22" t="s">
        <v>30</v>
      </c>
      <c r="T22">
        <v>1033714104</v>
      </c>
      <c r="U22" t="s">
        <v>4019</v>
      </c>
      <c r="V22" t="s">
        <v>4020</v>
      </c>
      <c r="W22" s="9">
        <f>IF(V22="pregrado",31,
IF(V22="posgrados",31,
IF(V22="rEINTEGROS",7,
IF(V22="BIT",90,
IF(V22="OP GRADO - INGLÉS",17,"")))))</f>
        <v>17</v>
      </c>
      <c r="X22" t="s">
        <v>4029</v>
      </c>
    </row>
    <row r="23" spans="1:24" ht="15" x14ac:dyDescent="0.35">
      <c r="A23" s="4">
        <v>45989.66914351852</v>
      </c>
      <c r="B23">
        <v>20105288</v>
      </c>
      <c r="C23" s="6" t="s">
        <v>19</v>
      </c>
      <c r="D23">
        <v>57085</v>
      </c>
      <c r="E23" t="s">
        <v>267</v>
      </c>
      <c r="F23">
        <v>1016029402</v>
      </c>
      <c r="G23" t="s">
        <v>666</v>
      </c>
      <c r="H23">
        <v>100169686</v>
      </c>
      <c r="I23">
        <v>202604</v>
      </c>
      <c r="J23">
        <v>1016029402</v>
      </c>
      <c r="K23" t="s">
        <v>270</v>
      </c>
      <c r="L23" t="s">
        <v>532</v>
      </c>
      <c r="M23" t="s">
        <v>271</v>
      </c>
      <c r="N23" t="s">
        <v>35</v>
      </c>
      <c r="O23" t="s">
        <v>26</v>
      </c>
      <c r="P23" t="s">
        <v>27</v>
      </c>
      <c r="Q23" t="s">
        <v>28</v>
      </c>
      <c r="R23" t="s">
        <v>29</v>
      </c>
      <c r="S23" t="s">
        <v>30</v>
      </c>
      <c r="T23">
        <v>52834109</v>
      </c>
      <c r="U23" t="s">
        <v>4019</v>
      </c>
      <c r="V23" t="s">
        <v>4020</v>
      </c>
      <c r="W23" s="9">
        <f>IF(V23="pregrado",31,
IF(V23="posgrados",31,
IF(V23="rEINTEGROS",7,
IF(V23="BIT",90,
IF(V23="OP GRADO - INGLÉS",17,"")))))</f>
        <v>17</v>
      </c>
      <c r="X23" t="s">
        <v>4018</v>
      </c>
    </row>
    <row r="24" spans="1:24" ht="15" x14ac:dyDescent="0.35">
      <c r="A24" s="4">
        <v>45994.704571759263</v>
      </c>
      <c r="B24">
        <v>20105784</v>
      </c>
      <c r="C24" s="6" t="s">
        <v>19</v>
      </c>
      <c r="D24">
        <v>57098</v>
      </c>
      <c r="E24" t="s">
        <v>267</v>
      </c>
      <c r="F24">
        <v>1015430983</v>
      </c>
      <c r="G24" t="s">
        <v>756</v>
      </c>
      <c r="H24">
        <v>100209162</v>
      </c>
      <c r="I24">
        <v>202604</v>
      </c>
      <c r="J24">
        <v>1015430983</v>
      </c>
      <c r="K24" t="s">
        <v>270</v>
      </c>
      <c r="L24" t="s">
        <v>336</v>
      </c>
      <c r="M24" t="s">
        <v>271</v>
      </c>
      <c r="N24" t="s">
        <v>35</v>
      </c>
      <c r="O24" t="s">
        <v>26</v>
      </c>
      <c r="P24" t="s">
        <v>27</v>
      </c>
      <c r="Q24" t="s">
        <v>28</v>
      </c>
      <c r="R24" t="s">
        <v>29</v>
      </c>
      <c r="S24" t="s">
        <v>30</v>
      </c>
      <c r="T24">
        <v>1033714104</v>
      </c>
      <c r="U24" t="s">
        <v>4019</v>
      </c>
      <c r="V24" t="s">
        <v>4020</v>
      </c>
      <c r="W24" s="9">
        <f>IF(V24="pregrado",31,
IF(V24="posgrados",31,
IF(V24="rEINTEGROS",7,
IF(V24="BIT",90,
IF(V24="OP GRADO - INGLÉS",17,"")))))</f>
        <v>17</v>
      </c>
      <c r="X24" t="s">
        <v>4029</v>
      </c>
    </row>
    <row r="25" spans="1:24" ht="15" x14ac:dyDescent="0.35">
      <c r="A25" s="4">
        <v>45997.645636574074</v>
      </c>
      <c r="B25">
        <v>20106042</v>
      </c>
      <c r="C25" s="6" t="s">
        <v>19</v>
      </c>
      <c r="D25">
        <v>57148</v>
      </c>
      <c r="E25" t="s">
        <v>267</v>
      </c>
      <c r="F25">
        <v>43049070</v>
      </c>
      <c r="G25" t="s">
        <v>807</v>
      </c>
      <c r="H25">
        <v>100237244</v>
      </c>
      <c r="I25">
        <v>202604</v>
      </c>
      <c r="J25">
        <v>1193078455</v>
      </c>
      <c r="K25" t="s">
        <v>23</v>
      </c>
      <c r="L25" t="s">
        <v>808</v>
      </c>
      <c r="M25" t="s">
        <v>271</v>
      </c>
      <c r="N25" t="s">
        <v>35</v>
      </c>
      <c r="O25" t="s">
        <v>26</v>
      </c>
      <c r="P25" t="s">
        <v>27</v>
      </c>
      <c r="Q25" t="s">
        <v>28</v>
      </c>
      <c r="R25" t="s">
        <v>29</v>
      </c>
      <c r="S25" t="s">
        <v>30</v>
      </c>
      <c r="T25">
        <v>1018484247</v>
      </c>
      <c r="U25" t="s">
        <v>4055</v>
      </c>
      <c r="V25" t="s">
        <v>4056</v>
      </c>
      <c r="W25" s="9">
        <f>IF(V25="pregrado",31,
IF(V25="posgrados",31,
IF(V25="rEINTEGROS",7,
IF(V25="BIT",90,
IF(V25="OP GRADO - INGLÉS",17,"")))))</f>
        <v>90</v>
      </c>
      <c r="X25" t="s">
        <v>4069</v>
      </c>
    </row>
    <row r="26" spans="1:24" ht="15" x14ac:dyDescent="0.35">
      <c r="A26" s="4">
        <v>45993.855462962965</v>
      </c>
      <c r="B26">
        <v>20105675</v>
      </c>
      <c r="C26" s="6" t="s">
        <v>19</v>
      </c>
      <c r="D26">
        <v>57162</v>
      </c>
      <c r="E26" t="s">
        <v>267</v>
      </c>
      <c r="F26">
        <v>1019090252</v>
      </c>
      <c r="G26" t="s">
        <v>737</v>
      </c>
      <c r="H26">
        <v>100165931</v>
      </c>
      <c r="I26">
        <v>202604</v>
      </c>
      <c r="J26">
        <v>1019090252</v>
      </c>
      <c r="K26" t="s">
        <v>270</v>
      </c>
      <c r="L26" t="s">
        <v>738</v>
      </c>
      <c r="M26" t="s">
        <v>271</v>
      </c>
      <c r="N26" t="s">
        <v>25</v>
      </c>
      <c r="O26" t="s">
        <v>26</v>
      </c>
      <c r="P26" t="s">
        <v>27</v>
      </c>
      <c r="Q26" t="s">
        <v>28</v>
      </c>
      <c r="R26" t="s">
        <v>29</v>
      </c>
      <c r="S26" t="s">
        <v>30</v>
      </c>
      <c r="T26">
        <v>1033714104</v>
      </c>
      <c r="U26" t="s">
        <v>4019</v>
      </c>
      <c r="V26" t="s">
        <v>4020</v>
      </c>
      <c r="W26" s="9">
        <f>IF(V26="pregrado",31,
IF(V26="posgrados",31,
IF(V26="rEINTEGROS",7,
IF(V26="BIT",90,
IF(V26="OP GRADO - INGLÉS",17,"")))))</f>
        <v>17</v>
      </c>
      <c r="X26" t="s">
        <v>4029</v>
      </c>
    </row>
    <row r="27" spans="1:24" ht="15" x14ac:dyDescent="0.35">
      <c r="A27" s="4">
        <v>45993.733634259261</v>
      </c>
      <c r="B27">
        <v>20105668</v>
      </c>
      <c r="C27" s="6" t="s">
        <v>19</v>
      </c>
      <c r="D27">
        <v>57165</v>
      </c>
      <c r="E27" t="s">
        <v>267</v>
      </c>
      <c r="F27">
        <v>1003567285</v>
      </c>
      <c r="G27" t="s">
        <v>733</v>
      </c>
      <c r="H27">
        <v>100112158</v>
      </c>
      <c r="I27">
        <v>202604</v>
      </c>
      <c r="J27">
        <v>1003567285</v>
      </c>
      <c r="K27" t="s">
        <v>270</v>
      </c>
      <c r="L27" t="s">
        <v>639</v>
      </c>
      <c r="M27" t="s">
        <v>271</v>
      </c>
      <c r="N27" t="s">
        <v>35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>
        <v>52834109</v>
      </c>
      <c r="U27" t="s">
        <v>4019</v>
      </c>
      <c r="V27" t="s">
        <v>4020</v>
      </c>
      <c r="W27" s="9">
        <f>IF(V27="pregrado",31,
IF(V27="posgrados",31,
IF(V27="rEINTEGROS",7,
IF(V27="BIT",90,
IF(V27="OP GRADO - INGLÉS",17,"")))))</f>
        <v>17</v>
      </c>
      <c r="X27" t="s">
        <v>4018</v>
      </c>
    </row>
    <row r="28" spans="1:24" ht="15" x14ac:dyDescent="0.35">
      <c r="A28" s="4">
        <v>45994.851458333331</v>
      </c>
      <c r="B28">
        <v>20105808</v>
      </c>
      <c r="C28" s="6" t="s">
        <v>19</v>
      </c>
      <c r="D28">
        <v>57176</v>
      </c>
      <c r="E28" t="s">
        <v>267</v>
      </c>
      <c r="F28">
        <v>1007404775</v>
      </c>
      <c r="G28" t="s">
        <v>762</v>
      </c>
      <c r="H28">
        <v>100066146</v>
      </c>
      <c r="I28">
        <v>202604</v>
      </c>
      <c r="J28">
        <v>1007404775</v>
      </c>
      <c r="K28" t="s">
        <v>270</v>
      </c>
      <c r="L28" t="s">
        <v>763</v>
      </c>
      <c r="M28" t="s">
        <v>271</v>
      </c>
      <c r="N28" t="s">
        <v>35</v>
      </c>
      <c r="O28" t="s">
        <v>26</v>
      </c>
      <c r="P28" t="s">
        <v>27</v>
      </c>
      <c r="Q28" t="s">
        <v>28</v>
      </c>
      <c r="R28" t="s">
        <v>29</v>
      </c>
      <c r="S28" t="s">
        <v>30</v>
      </c>
      <c r="T28">
        <v>52834109</v>
      </c>
      <c r="U28" t="s">
        <v>4019</v>
      </c>
      <c r="V28" t="s">
        <v>4020</v>
      </c>
      <c r="W28" s="9">
        <f>IF(V28="pregrado",31,
IF(V28="posgrados",31,
IF(V28="rEINTEGROS",7,
IF(V28="BIT",90,
IF(V28="OP GRADO - INGLÉS",17,"")))))</f>
        <v>17</v>
      </c>
      <c r="X28" t="s">
        <v>4018</v>
      </c>
    </row>
    <row r="29" spans="1:24" ht="15" x14ac:dyDescent="0.35">
      <c r="A29" s="4">
        <v>46000.464282407411</v>
      </c>
      <c r="B29">
        <v>20106106</v>
      </c>
      <c r="C29" s="6" t="s">
        <v>19</v>
      </c>
      <c r="D29">
        <v>57180</v>
      </c>
      <c r="E29" t="s">
        <v>267</v>
      </c>
      <c r="F29">
        <v>1116667490</v>
      </c>
      <c r="G29" t="s">
        <v>815</v>
      </c>
      <c r="H29">
        <v>100131861</v>
      </c>
      <c r="I29">
        <v>202604</v>
      </c>
      <c r="J29">
        <v>1116667490</v>
      </c>
      <c r="K29" t="s">
        <v>270</v>
      </c>
      <c r="L29" t="s">
        <v>816</v>
      </c>
      <c r="M29" t="s">
        <v>271</v>
      </c>
      <c r="N29" t="s">
        <v>35</v>
      </c>
      <c r="O29" t="s">
        <v>26</v>
      </c>
      <c r="P29" t="s">
        <v>27</v>
      </c>
      <c r="Q29" t="s">
        <v>28</v>
      </c>
      <c r="R29" t="s">
        <v>29</v>
      </c>
      <c r="S29" t="s">
        <v>30</v>
      </c>
      <c r="T29">
        <v>52834109</v>
      </c>
      <c r="U29" t="s">
        <v>4019</v>
      </c>
      <c r="V29" t="s">
        <v>4020</v>
      </c>
      <c r="W29" s="9">
        <f>IF(V29="pregrado",31,
IF(V29="posgrados",31,
IF(V29="rEINTEGROS",7,
IF(V29="BIT",90,
IF(V29="OP GRADO - INGLÉS",17,"")))))</f>
        <v>17</v>
      </c>
      <c r="X29" t="s">
        <v>4018</v>
      </c>
    </row>
    <row r="30" spans="1:24" ht="15" x14ac:dyDescent="0.35">
      <c r="A30" s="4">
        <v>45995.525763888887</v>
      </c>
      <c r="B30">
        <v>20105852</v>
      </c>
      <c r="C30" s="6" t="s">
        <v>19</v>
      </c>
      <c r="D30">
        <v>57269</v>
      </c>
      <c r="E30" t="s">
        <v>267</v>
      </c>
      <c r="F30">
        <v>1049627892</v>
      </c>
      <c r="G30" t="s">
        <v>774</v>
      </c>
      <c r="H30">
        <v>100148517</v>
      </c>
      <c r="I30">
        <v>202604</v>
      </c>
      <c r="J30">
        <v>1049627892</v>
      </c>
      <c r="K30" t="s">
        <v>270</v>
      </c>
      <c r="L30" t="s">
        <v>775</v>
      </c>
      <c r="M30" t="s">
        <v>271</v>
      </c>
      <c r="N30" t="s">
        <v>35</v>
      </c>
      <c r="O30" t="s">
        <v>26</v>
      </c>
      <c r="P30" t="s">
        <v>27</v>
      </c>
      <c r="Q30" t="s">
        <v>28</v>
      </c>
      <c r="R30" t="s">
        <v>29</v>
      </c>
      <c r="S30" t="s">
        <v>30</v>
      </c>
      <c r="T30">
        <v>1033714104</v>
      </c>
      <c r="U30" t="s">
        <v>4019</v>
      </c>
      <c r="V30" t="s">
        <v>4020</v>
      </c>
      <c r="W30" s="9">
        <f>IF(V30="pregrado",31,
IF(V30="posgrados",31,
IF(V30="rEINTEGROS",7,
IF(V30="BIT",90,
IF(V30="OP GRADO - INGLÉS",17,"")))))</f>
        <v>17</v>
      </c>
      <c r="X30" t="s">
        <v>4029</v>
      </c>
    </row>
    <row r="31" spans="1:24" ht="15" x14ac:dyDescent="0.35">
      <c r="A31" s="4">
        <v>46002.418182870373</v>
      </c>
      <c r="B31">
        <v>20106571</v>
      </c>
      <c r="C31" s="6" t="s">
        <v>19</v>
      </c>
      <c r="D31">
        <v>57299</v>
      </c>
      <c r="E31" t="s">
        <v>267</v>
      </c>
      <c r="F31">
        <v>6158750</v>
      </c>
      <c r="G31" t="s">
        <v>897</v>
      </c>
      <c r="H31">
        <v>100086719</v>
      </c>
      <c r="I31">
        <v>202604</v>
      </c>
      <c r="J31">
        <v>1143866325</v>
      </c>
      <c r="K31" t="s">
        <v>270</v>
      </c>
      <c r="L31" t="s">
        <v>269</v>
      </c>
      <c r="M31" t="s">
        <v>271</v>
      </c>
      <c r="N31" t="s">
        <v>25</v>
      </c>
      <c r="O31" t="s">
        <v>26</v>
      </c>
      <c r="P31" t="s">
        <v>27</v>
      </c>
      <c r="Q31" t="s">
        <v>28</v>
      </c>
      <c r="R31" t="s">
        <v>29</v>
      </c>
      <c r="S31" t="s">
        <v>30</v>
      </c>
      <c r="T31">
        <v>52834109</v>
      </c>
      <c r="U31" t="s">
        <v>4019</v>
      </c>
      <c r="V31" t="s">
        <v>4020</v>
      </c>
      <c r="W31" s="9">
        <f>IF(V31="pregrado",31,
IF(V31="posgrados",31,
IF(V31="rEINTEGROS",7,
IF(V31="BIT",90,
IF(V31="OP GRADO - INGLÉS",17,"")))))</f>
        <v>17</v>
      </c>
      <c r="X31" t="s">
        <v>4018</v>
      </c>
    </row>
    <row r="32" spans="1:24" ht="15" x14ac:dyDescent="0.35">
      <c r="A32" s="4">
        <v>46001.644618055558</v>
      </c>
      <c r="B32">
        <v>20106443</v>
      </c>
      <c r="C32" s="6" t="s">
        <v>19</v>
      </c>
      <c r="D32">
        <v>57331</v>
      </c>
      <c r="E32" t="s">
        <v>267</v>
      </c>
      <c r="F32">
        <v>1016594567</v>
      </c>
      <c r="G32" t="s">
        <v>874</v>
      </c>
      <c r="H32">
        <v>100238146</v>
      </c>
      <c r="I32">
        <v>202604</v>
      </c>
      <c r="J32">
        <v>1016594567</v>
      </c>
      <c r="K32" t="s">
        <v>23</v>
      </c>
      <c r="L32" t="s">
        <v>521</v>
      </c>
      <c r="M32" t="s">
        <v>271</v>
      </c>
      <c r="N32" t="s">
        <v>35</v>
      </c>
      <c r="O32" t="s">
        <v>26</v>
      </c>
      <c r="P32" t="s">
        <v>27</v>
      </c>
      <c r="Q32" t="s">
        <v>28</v>
      </c>
      <c r="R32" t="s">
        <v>29</v>
      </c>
      <c r="S32" t="s">
        <v>30</v>
      </c>
      <c r="T32">
        <v>1019052150</v>
      </c>
      <c r="U32" t="s">
        <v>4055</v>
      </c>
      <c r="V32" t="s">
        <v>4056</v>
      </c>
      <c r="W32" s="9">
        <f>IF(V32="pregrado",31,
IF(V32="posgrados",31,
IF(V32="rEINTEGROS",7,
IF(V32="BIT",90,
IF(V32="OP GRADO - INGLÉS",17,"")))))</f>
        <v>90</v>
      </c>
      <c r="X32" t="s">
        <v>4074</v>
      </c>
    </row>
    <row r="33" spans="1:24" ht="15" x14ac:dyDescent="0.35">
      <c r="A33" s="4">
        <v>46002.535011574073</v>
      </c>
      <c r="B33">
        <v>20106643</v>
      </c>
      <c r="C33" s="6" t="s">
        <v>19</v>
      </c>
      <c r="D33">
        <v>57352</v>
      </c>
      <c r="E33" t="s">
        <v>267</v>
      </c>
      <c r="F33">
        <v>1120924662</v>
      </c>
      <c r="G33" t="s">
        <v>910</v>
      </c>
      <c r="H33">
        <v>100219477</v>
      </c>
      <c r="I33">
        <v>202604</v>
      </c>
      <c r="J33">
        <v>41242977</v>
      </c>
      <c r="K33" t="s">
        <v>270</v>
      </c>
      <c r="L33" t="s">
        <v>513</v>
      </c>
      <c r="M33" t="s">
        <v>271</v>
      </c>
      <c r="N33" t="s">
        <v>35</v>
      </c>
      <c r="O33" t="s">
        <v>26</v>
      </c>
      <c r="P33" t="s">
        <v>27</v>
      </c>
      <c r="Q33" t="s">
        <v>28</v>
      </c>
      <c r="R33" t="s">
        <v>29</v>
      </c>
      <c r="S33" t="s">
        <v>30</v>
      </c>
      <c r="T33">
        <v>1033714104</v>
      </c>
      <c r="U33" t="s">
        <v>4019</v>
      </c>
      <c r="V33" t="s">
        <v>4020</v>
      </c>
      <c r="W33" s="9">
        <f>IF(V33="pregrado",31,
IF(V33="posgrados",31,
IF(V33="rEINTEGROS",7,
IF(V33="BIT",90,
IF(V33="OP GRADO - INGLÉS",17,"")))))</f>
        <v>17</v>
      </c>
      <c r="X33" t="s">
        <v>4029</v>
      </c>
    </row>
    <row r="34" spans="1:24" ht="15" x14ac:dyDescent="0.35">
      <c r="A34" s="4">
        <v>46003.379780092589</v>
      </c>
      <c r="B34">
        <v>20106817</v>
      </c>
      <c r="C34" s="6" t="s">
        <v>19</v>
      </c>
      <c r="D34">
        <v>57399</v>
      </c>
      <c r="E34" t="s">
        <v>267</v>
      </c>
      <c r="F34">
        <v>1102855325</v>
      </c>
      <c r="G34" t="s">
        <v>943</v>
      </c>
      <c r="H34">
        <v>100091246</v>
      </c>
      <c r="I34">
        <v>202604</v>
      </c>
      <c r="J34">
        <v>1102855325</v>
      </c>
      <c r="K34" t="s">
        <v>270</v>
      </c>
      <c r="L34" t="s">
        <v>589</v>
      </c>
      <c r="M34" t="s">
        <v>271</v>
      </c>
      <c r="N34" t="s">
        <v>35</v>
      </c>
      <c r="O34" t="s">
        <v>26</v>
      </c>
      <c r="P34" t="s">
        <v>27</v>
      </c>
      <c r="Q34" t="s">
        <v>28</v>
      </c>
      <c r="R34" t="s">
        <v>29</v>
      </c>
      <c r="S34" t="s">
        <v>30</v>
      </c>
      <c r="T34">
        <v>52834109</v>
      </c>
      <c r="U34" t="s">
        <v>4019</v>
      </c>
      <c r="V34" t="s">
        <v>4020</v>
      </c>
      <c r="W34" s="9">
        <f>IF(V34="pregrado",31,
IF(V34="posgrados",31,
IF(V34="rEINTEGROS",7,
IF(V34="BIT",90,
IF(V34="OP GRADO - INGLÉS",17,"")))))</f>
        <v>17</v>
      </c>
      <c r="X34" t="s">
        <v>4018</v>
      </c>
    </row>
    <row r="35" spans="1:24" ht="15" x14ac:dyDescent="0.35">
      <c r="A35" s="4">
        <v>46048.938981481479</v>
      </c>
      <c r="B35">
        <v>20117379</v>
      </c>
      <c r="C35" s="6" t="s">
        <v>19</v>
      </c>
      <c r="D35">
        <v>57459</v>
      </c>
      <c r="E35" t="s">
        <v>267</v>
      </c>
      <c r="F35">
        <v>1010242684</v>
      </c>
      <c r="G35" t="s">
        <v>2323</v>
      </c>
      <c r="H35">
        <v>100050520</v>
      </c>
      <c r="I35">
        <v>202604</v>
      </c>
      <c r="J35">
        <v>1010242684</v>
      </c>
      <c r="K35" t="s">
        <v>270</v>
      </c>
      <c r="L35" t="s">
        <v>336</v>
      </c>
      <c r="M35" t="s">
        <v>271</v>
      </c>
      <c r="N35" t="s">
        <v>35</v>
      </c>
      <c r="O35" t="s">
        <v>26</v>
      </c>
      <c r="P35" t="s">
        <v>27</v>
      </c>
      <c r="Q35" t="s">
        <v>28</v>
      </c>
      <c r="R35" t="s">
        <v>29</v>
      </c>
      <c r="S35" t="s">
        <v>30</v>
      </c>
      <c r="T35">
        <v>1033714104</v>
      </c>
      <c r="U35" t="s">
        <v>4019</v>
      </c>
      <c r="V35" t="s">
        <v>4020</v>
      </c>
      <c r="W35" s="9">
        <f>IF(V35="pregrado",31,
IF(V35="posgrados",31,
IF(V35="rEINTEGROS",7,
IF(V35="BIT",90,
IF(V35="OP GRADO - INGLÉS",17,"")))))</f>
        <v>17</v>
      </c>
      <c r="X35" t="s">
        <v>4029</v>
      </c>
    </row>
    <row r="36" spans="1:24" ht="15" x14ac:dyDescent="0.35">
      <c r="A36" s="4">
        <v>46020.584120370368</v>
      </c>
      <c r="B36">
        <v>20110119</v>
      </c>
      <c r="C36" s="6" t="s">
        <v>19</v>
      </c>
      <c r="D36">
        <v>57466</v>
      </c>
      <c r="E36" t="s">
        <v>267</v>
      </c>
      <c r="F36">
        <v>1072650386</v>
      </c>
      <c r="G36" t="s">
        <v>1369</v>
      </c>
      <c r="H36">
        <v>100063999</v>
      </c>
      <c r="I36">
        <v>202604</v>
      </c>
      <c r="J36">
        <v>1072650386</v>
      </c>
      <c r="K36" t="s">
        <v>270</v>
      </c>
      <c r="L36" t="s">
        <v>589</v>
      </c>
      <c r="M36" t="s">
        <v>271</v>
      </c>
      <c r="N36" t="s">
        <v>35</v>
      </c>
      <c r="O36" t="s">
        <v>26</v>
      </c>
      <c r="P36" t="s">
        <v>27</v>
      </c>
      <c r="Q36" t="s">
        <v>28</v>
      </c>
      <c r="R36" t="s">
        <v>29</v>
      </c>
      <c r="S36" t="s">
        <v>30</v>
      </c>
      <c r="T36">
        <v>60345453</v>
      </c>
      <c r="U36" t="s">
        <v>4019</v>
      </c>
      <c r="V36" t="s">
        <v>4020</v>
      </c>
      <c r="W36" s="9">
        <f>IF(V36="pregrado",31,
IF(V36="posgrados",31,
IF(V36="rEINTEGROS",7,
IF(V36="BIT",90,
IF(V36="OP GRADO - INGLÉS",17,"")))))</f>
        <v>17</v>
      </c>
      <c r="X36" t="s">
        <v>4063</v>
      </c>
    </row>
    <row r="37" spans="1:24" ht="15" x14ac:dyDescent="0.35">
      <c r="A37" s="4">
        <v>46006.761562500003</v>
      </c>
      <c r="B37">
        <v>20107577</v>
      </c>
      <c r="C37" s="6" t="s">
        <v>19</v>
      </c>
      <c r="D37">
        <v>57480</v>
      </c>
      <c r="E37" t="s">
        <v>267</v>
      </c>
      <c r="F37">
        <v>1143866325</v>
      </c>
      <c r="G37" t="s">
        <v>1025</v>
      </c>
      <c r="H37">
        <v>100086719</v>
      </c>
      <c r="I37">
        <v>202604</v>
      </c>
      <c r="J37">
        <v>1143866325</v>
      </c>
      <c r="K37" t="s">
        <v>270</v>
      </c>
      <c r="L37" t="s">
        <v>269</v>
      </c>
      <c r="M37" t="s">
        <v>271</v>
      </c>
      <c r="N37" t="s">
        <v>25</v>
      </c>
      <c r="O37" t="s">
        <v>26</v>
      </c>
      <c r="P37" t="s">
        <v>27</v>
      </c>
      <c r="Q37" t="s">
        <v>28</v>
      </c>
      <c r="R37" t="s">
        <v>29</v>
      </c>
      <c r="S37" t="s">
        <v>30</v>
      </c>
      <c r="T37">
        <v>52834109</v>
      </c>
      <c r="U37" t="s">
        <v>4019</v>
      </c>
      <c r="V37" t="s">
        <v>4020</v>
      </c>
      <c r="W37" s="9">
        <f>IF(V37="pregrado",31,
IF(V37="posgrados",31,
IF(V37="rEINTEGROS",7,
IF(V37="BIT",90,
IF(V37="OP GRADO - INGLÉS",17,"")))))</f>
        <v>17</v>
      </c>
      <c r="X37" t="s">
        <v>4018</v>
      </c>
    </row>
    <row r="38" spans="1:24" ht="15" x14ac:dyDescent="0.35">
      <c r="A38" s="4">
        <v>46053.467303240737</v>
      </c>
      <c r="B38">
        <v>20119264</v>
      </c>
      <c r="C38" s="6" t="s">
        <v>19</v>
      </c>
      <c r="D38">
        <v>57483</v>
      </c>
      <c r="E38" t="s">
        <v>267</v>
      </c>
      <c r="F38">
        <v>1000380986</v>
      </c>
      <c r="G38" t="s">
        <v>2622</v>
      </c>
      <c r="H38">
        <v>100090729</v>
      </c>
      <c r="I38">
        <v>202604</v>
      </c>
      <c r="J38">
        <v>1000380986</v>
      </c>
      <c r="K38" t="s">
        <v>270</v>
      </c>
      <c r="L38" t="s">
        <v>409</v>
      </c>
      <c r="M38" t="s">
        <v>271</v>
      </c>
      <c r="N38" t="s">
        <v>35</v>
      </c>
      <c r="O38" t="s">
        <v>26</v>
      </c>
      <c r="P38" t="s">
        <v>27</v>
      </c>
      <c r="Q38" t="s">
        <v>28</v>
      </c>
      <c r="R38" t="s">
        <v>29</v>
      </c>
      <c r="S38" t="s">
        <v>30</v>
      </c>
      <c r="T38">
        <v>1033714104</v>
      </c>
      <c r="U38" t="s">
        <v>4019</v>
      </c>
      <c r="V38" t="s">
        <v>4020</v>
      </c>
      <c r="W38" s="9">
        <f>IF(V38="pregrado",31,
IF(V38="posgrados",31,
IF(V38="rEINTEGROS",7,
IF(V38="BIT",90,
IF(V38="OP GRADO - INGLÉS",17,"")))))</f>
        <v>17</v>
      </c>
      <c r="X38" t="s">
        <v>4029</v>
      </c>
    </row>
    <row r="39" spans="1:24" ht="15" x14ac:dyDescent="0.35">
      <c r="A39" s="4">
        <v>46008.525914351849</v>
      </c>
      <c r="B39">
        <v>20108180</v>
      </c>
      <c r="C39" s="6" t="s">
        <v>19</v>
      </c>
      <c r="D39">
        <v>57495</v>
      </c>
      <c r="E39" t="s">
        <v>267</v>
      </c>
      <c r="F39">
        <v>1073524528</v>
      </c>
      <c r="G39" t="s">
        <v>1081</v>
      </c>
      <c r="H39">
        <v>100104462</v>
      </c>
      <c r="I39">
        <v>202604</v>
      </c>
      <c r="J39">
        <v>1073524528</v>
      </c>
      <c r="K39" t="s">
        <v>270</v>
      </c>
      <c r="L39" t="s">
        <v>409</v>
      </c>
      <c r="M39" t="s">
        <v>271</v>
      </c>
      <c r="N39" t="s">
        <v>35</v>
      </c>
      <c r="O39" t="s">
        <v>26</v>
      </c>
      <c r="P39" t="s">
        <v>27</v>
      </c>
      <c r="Q39" t="s">
        <v>28</v>
      </c>
      <c r="R39" t="s">
        <v>29</v>
      </c>
      <c r="S39" t="s">
        <v>30</v>
      </c>
      <c r="T39">
        <v>52834109</v>
      </c>
      <c r="U39" t="s">
        <v>4019</v>
      </c>
      <c r="V39" t="s">
        <v>4020</v>
      </c>
      <c r="W39" s="9">
        <f>IF(V39="pregrado",31,
IF(V39="posgrados",31,
IF(V39="rEINTEGROS",7,
IF(V39="BIT",90,
IF(V39="OP GRADO - INGLÉS",17,"")))))</f>
        <v>17</v>
      </c>
      <c r="X39" t="s">
        <v>4018</v>
      </c>
    </row>
    <row r="40" spans="1:24" ht="15" x14ac:dyDescent="0.35">
      <c r="A40" s="4">
        <v>46073.694895833331</v>
      </c>
      <c r="B40">
        <v>20125364</v>
      </c>
      <c r="C40" s="6" t="s">
        <v>19</v>
      </c>
      <c r="D40">
        <v>57532</v>
      </c>
      <c r="E40" t="s">
        <v>267</v>
      </c>
      <c r="F40">
        <v>1012454021</v>
      </c>
      <c r="G40" t="s">
        <v>3491</v>
      </c>
      <c r="H40">
        <v>100125393</v>
      </c>
      <c r="I40">
        <v>202604</v>
      </c>
      <c r="J40">
        <v>1012454021</v>
      </c>
      <c r="K40" t="s">
        <v>270</v>
      </c>
      <c r="L40" t="s">
        <v>1061</v>
      </c>
      <c r="M40" t="s">
        <v>271</v>
      </c>
      <c r="N40">
        <v>0</v>
      </c>
      <c r="O40" t="s">
        <v>26</v>
      </c>
      <c r="P40" t="s">
        <v>27</v>
      </c>
      <c r="Q40" t="s">
        <v>28</v>
      </c>
      <c r="R40" t="s">
        <v>29</v>
      </c>
      <c r="S40" t="s">
        <v>30</v>
      </c>
      <c r="T40">
        <v>1033714104</v>
      </c>
      <c r="U40" t="s">
        <v>4019</v>
      </c>
      <c r="V40" t="s">
        <v>4020</v>
      </c>
      <c r="W40" s="9">
        <f>IF(V40="pregrado",31,
IF(V40="posgrados",31,
IF(V40="rEINTEGROS",7,
IF(V40="BIT",90,
IF(V40="OP GRADO - INGLÉS",17,"")))))</f>
        <v>17</v>
      </c>
      <c r="X40" t="s">
        <v>4029</v>
      </c>
    </row>
    <row r="41" spans="1:24" ht="15" x14ac:dyDescent="0.35">
      <c r="A41" s="4">
        <v>46076.709606481483</v>
      </c>
      <c r="B41">
        <v>20125787</v>
      </c>
      <c r="C41" s="6" t="s">
        <v>19</v>
      </c>
      <c r="D41">
        <v>57541</v>
      </c>
      <c r="E41" t="s">
        <v>267</v>
      </c>
      <c r="F41">
        <v>43536188</v>
      </c>
      <c r="G41" t="s">
        <v>3563</v>
      </c>
      <c r="H41">
        <v>100130458</v>
      </c>
      <c r="I41">
        <v>202604</v>
      </c>
      <c r="J41">
        <v>1036634440</v>
      </c>
      <c r="K41" t="s">
        <v>270</v>
      </c>
      <c r="L41" t="s">
        <v>1024</v>
      </c>
      <c r="M41" t="s">
        <v>271</v>
      </c>
      <c r="N41" t="s">
        <v>35</v>
      </c>
      <c r="O41" t="s">
        <v>26</v>
      </c>
      <c r="P41" t="s">
        <v>27</v>
      </c>
      <c r="Q41" t="s">
        <v>28</v>
      </c>
      <c r="R41" t="s">
        <v>29</v>
      </c>
      <c r="S41" t="s">
        <v>30</v>
      </c>
      <c r="T41">
        <v>52834109</v>
      </c>
      <c r="U41" t="s">
        <v>4019</v>
      </c>
      <c r="V41" t="s">
        <v>4020</v>
      </c>
      <c r="W41" s="9">
        <f>IF(V41="pregrado",31,
IF(V41="posgrados",31,
IF(V41="rEINTEGROS",7,
IF(V41="BIT",90,
IF(V41="OP GRADO - INGLÉS",17,"")))))</f>
        <v>17</v>
      </c>
      <c r="X41" t="s">
        <v>4018</v>
      </c>
    </row>
    <row r="42" spans="1:24" ht="15" x14ac:dyDescent="0.35">
      <c r="A42" s="4">
        <v>46008.417453703703</v>
      </c>
      <c r="B42">
        <v>20108111</v>
      </c>
      <c r="C42" s="6" t="s">
        <v>19</v>
      </c>
      <c r="D42">
        <v>57548</v>
      </c>
      <c r="E42" t="s">
        <v>267</v>
      </c>
      <c r="F42">
        <v>1116790540</v>
      </c>
      <c r="G42" t="s">
        <v>1070</v>
      </c>
      <c r="H42">
        <v>100132605</v>
      </c>
      <c r="I42">
        <v>202604</v>
      </c>
      <c r="J42">
        <v>1116792540</v>
      </c>
      <c r="K42" t="s">
        <v>270</v>
      </c>
      <c r="L42" t="s">
        <v>409</v>
      </c>
      <c r="M42" t="s">
        <v>271</v>
      </c>
      <c r="N42" t="s">
        <v>35</v>
      </c>
      <c r="O42" t="s">
        <v>26</v>
      </c>
      <c r="P42" t="s">
        <v>27</v>
      </c>
      <c r="Q42" t="s">
        <v>28</v>
      </c>
      <c r="R42" t="s">
        <v>29</v>
      </c>
      <c r="S42" t="s">
        <v>30</v>
      </c>
      <c r="T42">
        <v>1033714104</v>
      </c>
      <c r="U42" t="s">
        <v>4019</v>
      </c>
      <c r="V42" t="s">
        <v>4020</v>
      </c>
      <c r="W42" s="9">
        <f>IF(V42="pregrado",31,
IF(V42="posgrados",31,
IF(V42="rEINTEGROS",7,
IF(V42="BIT",90,
IF(V42="OP GRADO - INGLÉS",17,"")))))</f>
        <v>17</v>
      </c>
      <c r="X42" t="s">
        <v>4029</v>
      </c>
    </row>
    <row r="43" spans="1:24" ht="15" x14ac:dyDescent="0.35">
      <c r="A43" s="4">
        <v>46043.624594907407</v>
      </c>
      <c r="B43">
        <v>20115817</v>
      </c>
      <c r="C43" s="6" t="s">
        <v>19</v>
      </c>
      <c r="D43">
        <v>57550</v>
      </c>
      <c r="E43" t="s">
        <v>267</v>
      </c>
      <c r="F43">
        <v>1082986121</v>
      </c>
      <c r="G43" t="s">
        <v>2099</v>
      </c>
      <c r="H43">
        <v>100133748</v>
      </c>
      <c r="I43">
        <v>202604</v>
      </c>
      <c r="J43">
        <v>1082892748</v>
      </c>
      <c r="K43" t="s">
        <v>270</v>
      </c>
      <c r="L43" t="s">
        <v>532</v>
      </c>
      <c r="M43" t="s">
        <v>271</v>
      </c>
      <c r="N43" t="s">
        <v>35</v>
      </c>
      <c r="O43" t="s">
        <v>26</v>
      </c>
      <c r="P43" t="s">
        <v>27</v>
      </c>
      <c r="Q43" t="s">
        <v>28</v>
      </c>
      <c r="R43" t="s">
        <v>29</v>
      </c>
      <c r="S43" t="s">
        <v>30</v>
      </c>
      <c r="T43">
        <v>52834109</v>
      </c>
      <c r="U43" t="s">
        <v>4019</v>
      </c>
      <c r="V43" t="s">
        <v>4020</v>
      </c>
      <c r="W43" s="9">
        <f>IF(V43="pregrado",31,
IF(V43="posgrados",31,
IF(V43="rEINTEGROS",7,
IF(V43="BIT",90,
IF(V43="OP GRADO - INGLÉS",17,"")))))</f>
        <v>17</v>
      </c>
      <c r="X43" t="s">
        <v>4018</v>
      </c>
    </row>
    <row r="44" spans="1:24" ht="15" x14ac:dyDescent="0.35">
      <c r="A44" s="4">
        <v>46035.43482638889</v>
      </c>
      <c r="B44">
        <v>20112460</v>
      </c>
      <c r="C44" s="6" t="s">
        <v>19</v>
      </c>
      <c r="D44">
        <v>57551</v>
      </c>
      <c r="E44" t="s">
        <v>267</v>
      </c>
      <c r="F44">
        <v>1214714142</v>
      </c>
      <c r="G44" t="s">
        <v>1688</v>
      </c>
      <c r="H44">
        <v>100134191</v>
      </c>
      <c r="I44">
        <v>202604</v>
      </c>
      <c r="J44">
        <v>1214714142</v>
      </c>
      <c r="K44" t="s">
        <v>270</v>
      </c>
      <c r="L44" t="s">
        <v>409</v>
      </c>
      <c r="M44" t="s">
        <v>271</v>
      </c>
      <c r="N44" t="s">
        <v>35</v>
      </c>
      <c r="O44" t="s">
        <v>26</v>
      </c>
      <c r="P44" t="s">
        <v>27</v>
      </c>
      <c r="Q44" t="s">
        <v>28</v>
      </c>
      <c r="R44" t="s">
        <v>29</v>
      </c>
      <c r="S44" t="s">
        <v>30</v>
      </c>
      <c r="T44">
        <v>52834109</v>
      </c>
      <c r="U44" t="s">
        <v>4019</v>
      </c>
      <c r="V44" t="s">
        <v>4020</v>
      </c>
      <c r="W44" s="9">
        <f>IF(V44="pregrado",31,
IF(V44="posgrados",31,
IF(V44="rEINTEGROS",7,
IF(V44="BIT",90,
IF(V44="OP GRADO - INGLÉS",17,"")))))</f>
        <v>17</v>
      </c>
      <c r="X44" t="s">
        <v>4018</v>
      </c>
    </row>
    <row r="45" spans="1:24" ht="15" x14ac:dyDescent="0.35">
      <c r="A45" s="4">
        <v>46006.733402777776</v>
      </c>
      <c r="B45">
        <v>20107555</v>
      </c>
      <c r="C45" s="6" t="s">
        <v>19</v>
      </c>
      <c r="D45">
        <v>57552</v>
      </c>
      <c r="E45" t="s">
        <v>267</v>
      </c>
      <c r="F45">
        <v>1106783921</v>
      </c>
      <c r="G45" t="s">
        <v>1023</v>
      </c>
      <c r="H45">
        <v>100134427</v>
      </c>
      <c r="I45">
        <v>202604</v>
      </c>
      <c r="J45">
        <v>1117826388</v>
      </c>
      <c r="K45" t="s">
        <v>270</v>
      </c>
      <c r="L45" t="s">
        <v>1024</v>
      </c>
      <c r="M45" t="s">
        <v>271</v>
      </c>
      <c r="N45" t="s">
        <v>35</v>
      </c>
      <c r="O45" t="s">
        <v>26</v>
      </c>
      <c r="P45" t="s">
        <v>27</v>
      </c>
      <c r="Q45" t="s">
        <v>28</v>
      </c>
      <c r="R45" t="s">
        <v>29</v>
      </c>
      <c r="S45" t="s">
        <v>30</v>
      </c>
      <c r="T45">
        <v>60345453</v>
      </c>
      <c r="U45" t="s">
        <v>4019</v>
      </c>
      <c r="V45" t="s">
        <v>4020</v>
      </c>
      <c r="W45" s="9">
        <f>IF(V45="pregrado",31,
IF(V45="posgrados",31,
IF(V45="rEINTEGROS",7,
IF(V45="BIT",90,
IF(V45="OP GRADO - INGLÉS",17,"")))))</f>
        <v>17</v>
      </c>
      <c r="X45" t="s">
        <v>4063</v>
      </c>
    </row>
    <row r="46" spans="1:24" ht="15" x14ac:dyDescent="0.35">
      <c r="A46" s="4">
        <v>46071.391932870371</v>
      </c>
      <c r="B46">
        <v>20124352</v>
      </c>
      <c r="C46" s="6" t="s">
        <v>19</v>
      </c>
      <c r="D46">
        <v>57562</v>
      </c>
      <c r="E46" t="s">
        <v>267</v>
      </c>
      <c r="F46">
        <v>1003828711</v>
      </c>
      <c r="G46" t="s">
        <v>3337</v>
      </c>
      <c r="H46">
        <v>100141030</v>
      </c>
      <c r="I46">
        <v>202604</v>
      </c>
      <c r="J46">
        <v>1003828711</v>
      </c>
      <c r="K46" t="s">
        <v>270</v>
      </c>
      <c r="L46" t="s">
        <v>336</v>
      </c>
      <c r="M46" t="s">
        <v>271</v>
      </c>
      <c r="N46" t="s">
        <v>35</v>
      </c>
      <c r="O46" t="s">
        <v>26</v>
      </c>
      <c r="P46" t="s">
        <v>27</v>
      </c>
      <c r="Q46" t="s">
        <v>28</v>
      </c>
      <c r="R46" t="s">
        <v>29</v>
      </c>
      <c r="S46" t="s">
        <v>30</v>
      </c>
      <c r="T46">
        <v>52834109</v>
      </c>
      <c r="U46" t="s">
        <v>4019</v>
      </c>
      <c r="V46" t="s">
        <v>4020</v>
      </c>
      <c r="W46" s="9">
        <f>IF(V46="pregrado",31,
IF(V46="posgrados",31,
IF(V46="rEINTEGROS",7,
IF(V46="BIT",90,
IF(V46="OP GRADO - INGLÉS",17,"")))))</f>
        <v>17</v>
      </c>
      <c r="X46" t="s">
        <v>4018</v>
      </c>
    </row>
    <row r="47" spans="1:24" ht="15" x14ac:dyDescent="0.35">
      <c r="A47" s="4">
        <v>46039.466273148151</v>
      </c>
      <c r="B47">
        <v>20114686</v>
      </c>
      <c r="C47" s="6" t="s">
        <v>19</v>
      </c>
      <c r="D47">
        <v>57573</v>
      </c>
      <c r="E47" t="s">
        <v>267</v>
      </c>
      <c r="F47">
        <v>1087421900</v>
      </c>
      <c r="G47" t="s">
        <v>1949</v>
      </c>
      <c r="H47">
        <v>100145829</v>
      </c>
      <c r="I47">
        <v>202604</v>
      </c>
      <c r="J47">
        <v>1087421900</v>
      </c>
      <c r="K47" t="s">
        <v>270</v>
      </c>
      <c r="L47" t="s">
        <v>1061</v>
      </c>
      <c r="M47" t="s">
        <v>271</v>
      </c>
      <c r="N47" t="s">
        <v>35</v>
      </c>
      <c r="O47" t="s">
        <v>26</v>
      </c>
      <c r="P47" t="s">
        <v>27</v>
      </c>
      <c r="Q47" t="s">
        <v>28</v>
      </c>
      <c r="R47" t="s">
        <v>29</v>
      </c>
      <c r="S47" t="s">
        <v>30</v>
      </c>
      <c r="T47">
        <v>60345453</v>
      </c>
      <c r="U47" t="s">
        <v>4019</v>
      </c>
      <c r="V47" t="s">
        <v>4020</v>
      </c>
      <c r="W47" s="9">
        <f>IF(V47="pregrado",31,
IF(V47="posgrados",31,
IF(V47="rEINTEGROS",7,
IF(V47="BIT",90,
IF(V47="OP GRADO - INGLÉS",17,"")))))</f>
        <v>17</v>
      </c>
      <c r="X47" t="s">
        <v>4063</v>
      </c>
    </row>
    <row r="48" spans="1:24" ht="15" x14ac:dyDescent="0.35">
      <c r="A48" s="4">
        <v>46007.585289351853</v>
      </c>
      <c r="B48">
        <v>20107858</v>
      </c>
      <c r="C48" s="6" t="s">
        <v>19</v>
      </c>
      <c r="D48">
        <v>57580</v>
      </c>
      <c r="E48" t="s">
        <v>267</v>
      </c>
      <c r="F48">
        <v>1002417760</v>
      </c>
      <c r="G48" t="s">
        <v>1044</v>
      </c>
      <c r="H48">
        <v>100154156</v>
      </c>
      <c r="I48">
        <v>202604</v>
      </c>
      <c r="J48">
        <v>1002417760</v>
      </c>
      <c r="K48" t="s">
        <v>270</v>
      </c>
      <c r="L48" t="s">
        <v>409</v>
      </c>
      <c r="M48" t="s">
        <v>271</v>
      </c>
      <c r="N48" t="s">
        <v>35</v>
      </c>
      <c r="O48" t="s">
        <v>26</v>
      </c>
      <c r="P48" t="s">
        <v>27</v>
      </c>
      <c r="Q48" t="s">
        <v>28</v>
      </c>
      <c r="R48" t="s">
        <v>29</v>
      </c>
      <c r="S48" t="s">
        <v>30</v>
      </c>
      <c r="T48">
        <v>52834109</v>
      </c>
      <c r="U48" t="s">
        <v>4019</v>
      </c>
      <c r="V48" t="s">
        <v>4020</v>
      </c>
      <c r="W48" s="9">
        <f>IF(V48="pregrado",31,
IF(V48="posgrados",31,
IF(V48="rEINTEGROS",7,
IF(V48="BIT",90,
IF(V48="OP GRADO - INGLÉS",17,"")))))</f>
        <v>17</v>
      </c>
      <c r="X48" t="s">
        <v>4018</v>
      </c>
    </row>
    <row r="49" spans="1:24" ht="15" x14ac:dyDescent="0.35">
      <c r="A49" s="4">
        <v>46031.720972222225</v>
      </c>
      <c r="B49">
        <v>20112180</v>
      </c>
      <c r="C49" s="6" t="s">
        <v>19</v>
      </c>
      <c r="D49">
        <v>57596</v>
      </c>
      <c r="E49" t="s">
        <v>267</v>
      </c>
      <c r="F49">
        <v>1016039358</v>
      </c>
      <c r="G49" t="s">
        <v>1658</v>
      </c>
      <c r="H49">
        <v>100159920</v>
      </c>
      <c r="I49">
        <v>202604</v>
      </c>
      <c r="J49">
        <v>1016039358</v>
      </c>
      <c r="K49" t="s">
        <v>270</v>
      </c>
      <c r="L49" t="s">
        <v>1281</v>
      </c>
      <c r="M49" t="s">
        <v>271</v>
      </c>
      <c r="N49" t="s">
        <v>35</v>
      </c>
      <c r="O49" t="s">
        <v>26</v>
      </c>
      <c r="P49" t="s">
        <v>27</v>
      </c>
      <c r="Q49" t="s">
        <v>28</v>
      </c>
      <c r="R49" t="s">
        <v>29</v>
      </c>
      <c r="S49" t="s">
        <v>30</v>
      </c>
      <c r="T49">
        <v>1033714104</v>
      </c>
      <c r="U49" t="s">
        <v>4019</v>
      </c>
      <c r="V49" t="s">
        <v>4020</v>
      </c>
      <c r="W49" s="9">
        <f>IF(V49="pregrado",31,
IF(V49="posgrados",31,
IF(V49="rEINTEGROS",7,
IF(V49="BIT",90,
IF(V49="OP GRADO - INGLÉS",17,"")))))</f>
        <v>17</v>
      </c>
      <c r="X49" t="s">
        <v>4029</v>
      </c>
    </row>
    <row r="50" spans="1:24" ht="15" x14ac:dyDescent="0.35">
      <c r="A50" s="4">
        <v>46007.539201388892</v>
      </c>
      <c r="B50">
        <v>20107837</v>
      </c>
      <c r="C50" s="6" t="s">
        <v>19</v>
      </c>
      <c r="D50">
        <v>57597</v>
      </c>
      <c r="E50" t="s">
        <v>267</v>
      </c>
      <c r="F50">
        <v>1120566184</v>
      </c>
      <c r="G50" t="s">
        <v>1042</v>
      </c>
      <c r="H50">
        <v>100159979</v>
      </c>
      <c r="I50">
        <v>202604</v>
      </c>
      <c r="J50">
        <v>1120566184</v>
      </c>
      <c r="K50" t="s">
        <v>270</v>
      </c>
      <c r="L50" t="s">
        <v>409</v>
      </c>
      <c r="M50" t="s">
        <v>271</v>
      </c>
      <c r="N50" t="s">
        <v>35</v>
      </c>
      <c r="O50" t="s">
        <v>26</v>
      </c>
      <c r="P50" t="s">
        <v>27</v>
      </c>
      <c r="Q50" t="s">
        <v>28</v>
      </c>
      <c r="R50" t="s">
        <v>29</v>
      </c>
      <c r="S50" t="s">
        <v>30</v>
      </c>
      <c r="T50">
        <v>1033714104</v>
      </c>
      <c r="U50" t="s">
        <v>4019</v>
      </c>
      <c r="V50" t="s">
        <v>4020</v>
      </c>
      <c r="W50" s="9">
        <f>IF(V50="pregrado",31,
IF(V50="posgrados",31,
IF(V50="rEINTEGROS",7,
IF(V50="BIT",90,
IF(V50="OP GRADO - INGLÉS",17,"")))))</f>
        <v>17</v>
      </c>
      <c r="X50" t="s">
        <v>4029</v>
      </c>
    </row>
    <row r="51" spans="1:24" ht="15" x14ac:dyDescent="0.35">
      <c r="A51" s="4">
        <v>46014.463229166664</v>
      </c>
      <c r="B51">
        <v>20109450</v>
      </c>
      <c r="C51" s="6" t="s">
        <v>19</v>
      </c>
      <c r="D51">
        <v>57602</v>
      </c>
      <c r="E51" t="s">
        <v>267</v>
      </c>
      <c r="F51">
        <v>20767709</v>
      </c>
      <c r="G51" t="s">
        <v>1261</v>
      </c>
      <c r="H51">
        <v>100163216</v>
      </c>
      <c r="I51">
        <v>202604</v>
      </c>
      <c r="J51">
        <v>1025520781</v>
      </c>
      <c r="K51" t="s">
        <v>270</v>
      </c>
      <c r="L51" t="s">
        <v>639</v>
      </c>
      <c r="M51" t="s">
        <v>271</v>
      </c>
      <c r="N51" t="s">
        <v>35</v>
      </c>
      <c r="O51" t="s">
        <v>26</v>
      </c>
      <c r="P51" t="s">
        <v>27</v>
      </c>
      <c r="Q51" t="s">
        <v>28</v>
      </c>
      <c r="R51" t="s">
        <v>29</v>
      </c>
      <c r="S51" t="s">
        <v>30</v>
      </c>
      <c r="T51">
        <v>1033714104</v>
      </c>
      <c r="U51" t="s">
        <v>4019</v>
      </c>
      <c r="V51" t="s">
        <v>4020</v>
      </c>
      <c r="W51" s="9">
        <f>IF(V51="pregrado",31,
IF(V51="posgrados",31,
IF(V51="rEINTEGROS",7,
IF(V51="BIT",90,
IF(V51="OP GRADO - INGLÉS",17,"")))))</f>
        <v>17</v>
      </c>
      <c r="X51" t="s">
        <v>4029</v>
      </c>
    </row>
    <row r="52" spans="1:24" ht="15" x14ac:dyDescent="0.35">
      <c r="A52" s="4">
        <v>46011.77684027778</v>
      </c>
      <c r="B52">
        <v>20109039</v>
      </c>
      <c r="C52" s="6" t="s">
        <v>19</v>
      </c>
      <c r="D52">
        <v>57608</v>
      </c>
      <c r="E52" t="s">
        <v>267</v>
      </c>
      <c r="F52">
        <v>39739184</v>
      </c>
      <c r="G52" t="s">
        <v>1209</v>
      </c>
      <c r="H52">
        <v>100165931</v>
      </c>
      <c r="I52">
        <v>202604</v>
      </c>
      <c r="J52">
        <v>1019090252</v>
      </c>
      <c r="K52" t="s">
        <v>270</v>
      </c>
      <c r="L52" t="s">
        <v>738</v>
      </c>
      <c r="M52" t="s">
        <v>271</v>
      </c>
      <c r="N52" t="s">
        <v>25</v>
      </c>
      <c r="O52" t="s">
        <v>26</v>
      </c>
      <c r="P52" t="s">
        <v>27</v>
      </c>
      <c r="Q52" t="s">
        <v>28</v>
      </c>
      <c r="R52" t="s">
        <v>29</v>
      </c>
      <c r="S52" t="s">
        <v>30</v>
      </c>
      <c r="T52">
        <v>1033714104</v>
      </c>
      <c r="U52" t="s">
        <v>4019</v>
      </c>
      <c r="V52" t="s">
        <v>4020</v>
      </c>
      <c r="W52" s="9">
        <f>IF(V52="pregrado",31,
IF(V52="posgrados",31,
IF(V52="rEINTEGROS",7,
IF(V52="BIT",90,
IF(V52="OP GRADO - INGLÉS",17,"")))))</f>
        <v>17</v>
      </c>
      <c r="X52" t="s">
        <v>4029</v>
      </c>
    </row>
    <row r="53" spans="1:24" ht="15" x14ac:dyDescent="0.35">
      <c r="A53" s="4">
        <v>46009.630509259259</v>
      </c>
      <c r="B53">
        <v>20108564</v>
      </c>
      <c r="C53" s="6" t="s">
        <v>19</v>
      </c>
      <c r="D53">
        <v>57617</v>
      </c>
      <c r="E53" t="s">
        <v>267</v>
      </c>
      <c r="F53">
        <v>43535080</v>
      </c>
      <c r="G53" t="s">
        <v>1145</v>
      </c>
      <c r="H53">
        <v>100172104</v>
      </c>
      <c r="I53">
        <v>202604</v>
      </c>
      <c r="J53">
        <v>1128429852</v>
      </c>
      <c r="K53" t="s">
        <v>270</v>
      </c>
      <c r="L53" t="s">
        <v>1061</v>
      </c>
      <c r="M53" t="s">
        <v>271</v>
      </c>
      <c r="N53" t="s">
        <v>25</v>
      </c>
      <c r="O53" t="s">
        <v>26</v>
      </c>
      <c r="P53" t="s">
        <v>27</v>
      </c>
      <c r="Q53" t="s">
        <v>28</v>
      </c>
      <c r="R53" t="s">
        <v>29</v>
      </c>
      <c r="S53" t="s">
        <v>30</v>
      </c>
      <c r="T53">
        <v>1033714104</v>
      </c>
      <c r="U53" t="s">
        <v>4019</v>
      </c>
      <c r="V53" t="s">
        <v>4020</v>
      </c>
      <c r="W53" s="9">
        <f>IF(V53="pregrado",31,
IF(V53="posgrados",31,
IF(V53="rEINTEGROS",7,
IF(V53="BIT",90,
IF(V53="OP GRADO - INGLÉS",17,"")))))</f>
        <v>17</v>
      </c>
      <c r="X53" t="s">
        <v>4029</v>
      </c>
    </row>
    <row r="54" spans="1:24" ht="15" x14ac:dyDescent="0.35">
      <c r="A54" s="4">
        <v>46078.927384259259</v>
      </c>
      <c r="B54">
        <v>20126385</v>
      </c>
      <c r="C54" s="6" t="s">
        <v>19</v>
      </c>
      <c r="D54">
        <v>57625</v>
      </c>
      <c r="E54" t="s">
        <v>267</v>
      </c>
      <c r="F54">
        <v>32835483</v>
      </c>
      <c r="G54" t="s">
        <v>3647</v>
      </c>
      <c r="H54">
        <v>100173595</v>
      </c>
      <c r="I54">
        <v>202604</v>
      </c>
      <c r="J54">
        <v>72269702</v>
      </c>
      <c r="K54" t="s">
        <v>270</v>
      </c>
      <c r="L54" t="s">
        <v>336</v>
      </c>
      <c r="M54" t="s">
        <v>271</v>
      </c>
      <c r="N54" t="s">
        <v>35</v>
      </c>
      <c r="O54" t="s">
        <v>26</v>
      </c>
      <c r="P54" t="s">
        <v>27</v>
      </c>
      <c r="Q54" t="s">
        <v>28</v>
      </c>
      <c r="R54" t="s">
        <v>29</v>
      </c>
      <c r="S54" t="s">
        <v>30</v>
      </c>
      <c r="T54">
        <v>60345453</v>
      </c>
      <c r="U54" t="s">
        <v>4019</v>
      </c>
      <c r="V54" t="s">
        <v>4020</v>
      </c>
      <c r="W54" s="9">
        <f>IF(V54="pregrado",31,
IF(V54="posgrados",31,
IF(V54="rEINTEGROS",7,
IF(V54="BIT",90,
IF(V54="OP GRADO - INGLÉS",17,"")))))</f>
        <v>17</v>
      </c>
      <c r="X54" t="s">
        <v>4063</v>
      </c>
    </row>
    <row r="55" spans="1:24" ht="15" x14ac:dyDescent="0.35">
      <c r="A55" s="4">
        <v>46050.254675925928</v>
      </c>
      <c r="B55">
        <v>20117804</v>
      </c>
      <c r="C55" s="6" t="s">
        <v>19</v>
      </c>
      <c r="D55">
        <v>57633</v>
      </c>
      <c r="E55" t="s">
        <v>267</v>
      </c>
      <c r="F55">
        <v>1010013739</v>
      </c>
      <c r="G55" t="s">
        <v>2383</v>
      </c>
      <c r="H55">
        <v>100176385</v>
      </c>
      <c r="I55">
        <v>202604</v>
      </c>
      <c r="J55">
        <v>1010013739</v>
      </c>
      <c r="K55" t="s">
        <v>270</v>
      </c>
      <c r="L55" t="s">
        <v>1281</v>
      </c>
      <c r="M55" t="s">
        <v>271</v>
      </c>
      <c r="N55" t="s">
        <v>35</v>
      </c>
      <c r="O55" t="s">
        <v>26</v>
      </c>
      <c r="P55" t="s">
        <v>27</v>
      </c>
      <c r="Q55" t="s">
        <v>28</v>
      </c>
      <c r="R55" t="s">
        <v>29</v>
      </c>
      <c r="S55" t="s">
        <v>30</v>
      </c>
      <c r="T55">
        <v>1033714104</v>
      </c>
      <c r="U55" t="s">
        <v>4019</v>
      </c>
      <c r="V55" t="s">
        <v>4020</v>
      </c>
      <c r="W55" s="9">
        <f>IF(V55="pregrado",31,
IF(V55="posgrados",31,
IF(V55="rEINTEGROS",7,
IF(V55="BIT",90,
IF(V55="OP GRADO - INGLÉS",17,"")))))</f>
        <v>17</v>
      </c>
      <c r="X55" t="s">
        <v>4029</v>
      </c>
    </row>
    <row r="56" spans="1:24" ht="15" x14ac:dyDescent="0.35">
      <c r="A56" s="4">
        <v>46039.424814814818</v>
      </c>
      <c r="B56">
        <v>20114673</v>
      </c>
      <c r="C56" s="6" t="s">
        <v>19</v>
      </c>
      <c r="D56">
        <v>57640</v>
      </c>
      <c r="E56" t="s">
        <v>267</v>
      </c>
      <c r="F56">
        <v>80844114</v>
      </c>
      <c r="G56" t="s">
        <v>1942</v>
      </c>
      <c r="H56">
        <v>100179457</v>
      </c>
      <c r="I56">
        <v>202604</v>
      </c>
      <c r="J56">
        <v>80844114</v>
      </c>
      <c r="K56" t="s">
        <v>270</v>
      </c>
      <c r="L56" t="s">
        <v>486</v>
      </c>
      <c r="M56" t="s">
        <v>271</v>
      </c>
      <c r="N56" t="s">
        <v>35</v>
      </c>
      <c r="O56" t="s">
        <v>26</v>
      </c>
      <c r="P56" t="s">
        <v>27</v>
      </c>
      <c r="Q56" t="s">
        <v>28</v>
      </c>
      <c r="R56" t="s">
        <v>29</v>
      </c>
      <c r="S56" t="s">
        <v>30</v>
      </c>
      <c r="T56">
        <v>52834109</v>
      </c>
      <c r="U56" t="s">
        <v>4019</v>
      </c>
      <c r="V56" t="s">
        <v>4020</v>
      </c>
      <c r="W56" s="9">
        <f>IF(V56="pregrado",31,
IF(V56="posgrados",31,
IF(V56="rEINTEGROS",7,
IF(V56="BIT",90,
IF(V56="OP GRADO - INGLÉS",17,"")))))</f>
        <v>17</v>
      </c>
      <c r="X56" t="s">
        <v>4018</v>
      </c>
    </row>
    <row r="57" spans="1:24" ht="15" x14ac:dyDescent="0.35">
      <c r="A57" s="4">
        <v>46049.7422337963</v>
      </c>
      <c r="B57">
        <v>20117750</v>
      </c>
      <c r="C57" s="6" t="s">
        <v>19</v>
      </c>
      <c r="D57">
        <v>57657</v>
      </c>
      <c r="E57" t="s">
        <v>267</v>
      </c>
      <c r="F57">
        <v>1087960450</v>
      </c>
      <c r="G57" t="s">
        <v>2376</v>
      </c>
      <c r="H57">
        <v>100193849</v>
      </c>
      <c r="I57">
        <v>202604</v>
      </c>
      <c r="J57">
        <v>1087960450</v>
      </c>
      <c r="K57" t="s">
        <v>270</v>
      </c>
      <c r="L57" t="s">
        <v>513</v>
      </c>
      <c r="M57" t="s">
        <v>271</v>
      </c>
      <c r="N57" t="s">
        <v>35</v>
      </c>
      <c r="O57" t="s">
        <v>26</v>
      </c>
      <c r="P57" t="s">
        <v>27</v>
      </c>
      <c r="Q57" t="s">
        <v>28</v>
      </c>
      <c r="R57" t="s">
        <v>29</v>
      </c>
      <c r="S57" t="s">
        <v>30</v>
      </c>
      <c r="T57">
        <v>1033714104</v>
      </c>
      <c r="U57" t="s">
        <v>4019</v>
      </c>
      <c r="V57" t="s">
        <v>4020</v>
      </c>
      <c r="W57" s="9">
        <f>IF(V57="pregrado",31,
IF(V57="posgrados",31,
IF(V57="rEINTEGROS",7,
IF(V57="BIT",90,
IF(V57="OP GRADO - INGLÉS",17,"")))))</f>
        <v>17</v>
      </c>
      <c r="X57" t="s">
        <v>4029</v>
      </c>
    </row>
    <row r="58" spans="1:24" ht="15" x14ac:dyDescent="0.35">
      <c r="A58" s="4">
        <v>46048.54483796296</v>
      </c>
      <c r="B58">
        <v>20117101</v>
      </c>
      <c r="C58" s="6" t="s">
        <v>19</v>
      </c>
      <c r="D58">
        <v>57659</v>
      </c>
      <c r="E58" t="s">
        <v>267</v>
      </c>
      <c r="F58">
        <v>1022414428</v>
      </c>
      <c r="G58" t="s">
        <v>2289</v>
      </c>
      <c r="H58">
        <v>100195655</v>
      </c>
      <c r="I58">
        <v>202604</v>
      </c>
      <c r="J58">
        <v>1022414428</v>
      </c>
      <c r="K58" t="s">
        <v>270</v>
      </c>
      <c r="L58" t="s">
        <v>1281</v>
      </c>
      <c r="M58" t="s">
        <v>271</v>
      </c>
      <c r="N58" t="s">
        <v>35</v>
      </c>
      <c r="O58" t="s">
        <v>26</v>
      </c>
      <c r="P58" t="s">
        <v>27</v>
      </c>
      <c r="Q58" t="s">
        <v>28</v>
      </c>
      <c r="R58" t="s">
        <v>29</v>
      </c>
      <c r="S58" t="s">
        <v>30</v>
      </c>
      <c r="T58">
        <v>52834109</v>
      </c>
      <c r="U58" t="s">
        <v>4019</v>
      </c>
      <c r="V58" t="s">
        <v>4020</v>
      </c>
      <c r="W58" s="9">
        <f>IF(V58="pregrado",31,
IF(V58="posgrados",31,
IF(V58="rEINTEGROS",7,
IF(V58="BIT",90,
IF(V58="OP GRADO - INGLÉS",17,"")))))</f>
        <v>17</v>
      </c>
      <c r="X58" t="s">
        <v>4018</v>
      </c>
    </row>
    <row r="59" spans="1:24" ht="15" x14ac:dyDescent="0.35">
      <c r="A59" s="4">
        <v>46014.261331018519</v>
      </c>
      <c r="B59">
        <v>20109345</v>
      </c>
      <c r="C59" s="6" t="s">
        <v>19</v>
      </c>
      <c r="D59">
        <v>57667</v>
      </c>
      <c r="E59" t="s">
        <v>267</v>
      </c>
      <c r="F59">
        <v>49786523</v>
      </c>
      <c r="G59" t="s">
        <v>1247</v>
      </c>
      <c r="H59">
        <v>100203578</v>
      </c>
      <c r="I59">
        <v>202604</v>
      </c>
      <c r="J59">
        <v>1065568621</v>
      </c>
      <c r="K59" t="s">
        <v>270</v>
      </c>
      <c r="L59" t="s">
        <v>589</v>
      </c>
      <c r="M59" t="s">
        <v>271</v>
      </c>
      <c r="N59" t="s">
        <v>35</v>
      </c>
      <c r="O59" t="s">
        <v>26</v>
      </c>
      <c r="P59" t="s">
        <v>27</v>
      </c>
      <c r="Q59" t="s">
        <v>28</v>
      </c>
      <c r="R59" t="s">
        <v>29</v>
      </c>
      <c r="S59" t="s">
        <v>30</v>
      </c>
      <c r="T59">
        <v>1033714104</v>
      </c>
      <c r="U59" t="s">
        <v>4019</v>
      </c>
      <c r="V59" t="s">
        <v>4020</v>
      </c>
      <c r="W59" s="9">
        <f>IF(V59="pregrado",31,
IF(V59="posgrados",31,
IF(V59="rEINTEGROS",7,
IF(V59="BIT",90,
IF(V59="OP GRADO - INGLÉS",17,"")))))</f>
        <v>17</v>
      </c>
      <c r="X59" t="s">
        <v>4029</v>
      </c>
    </row>
    <row r="60" spans="1:24" ht="15" x14ac:dyDescent="0.35">
      <c r="A60" s="4">
        <v>46036.412962962961</v>
      </c>
      <c r="B60">
        <v>20112910</v>
      </c>
      <c r="C60" s="6" t="s">
        <v>19</v>
      </c>
      <c r="D60">
        <v>57675</v>
      </c>
      <c r="E60" t="s">
        <v>267</v>
      </c>
      <c r="F60">
        <v>1005024344</v>
      </c>
      <c r="G60" t="s">
        <v>1737</v>
      </c>
      <c r="H60">
        <v>100214066</v>
      </c>
      <c r="I60">
        <v>202604</v>
      </c>
      <c r="J60">
        <v>1005024344</v>
      </c>
      <c r="K60" t="s">
        <v>270</v>
      </c>
      <c r="L60" t="s">
        <v>589</v>
      </c>
      <c r="M60" t="s">
        <v>271</v>
      </c>
      <c r="N60" t="s">
        <v>35</v>
      </c>
      <c r="O60" t="s">
        <v>26</v>
      </c>
      <c r="P60" t="s">
        <v>27</v>
      </c>
      <c r="Q60" t="s">
        <v>28</v>
      </c>
      <c r="R60" t="s">
        <v>29</v>
      </c>
      <c r="S60" t="s">
        <v>30</v>
      </c>
      <c r="T60">
        <v>1033714104</v>
      </c>
      <c r="U60" t="s">
        <v>4019</v>
      </c>
      <c r="V60" t="s">
        <v>4020</v>
      </c>
      <c r="W60" s="9">
        <f>IF(V60="pregrado",31,
IF(V60="posgrados",31,
IF(V60="rEINTEGROS",7,
IF(V60="BIT",90,
IF(V60="OP GRADO - INGLÉS",17,"")))))</f>
        <v>17</v>
      </c>
      <c r="X60" t="s">
        <v>4029</v>
      </c>
    </row>
    <row r="61" spans="1:24" ht="15" x14ac:dyDescent="0.35">
      <c r="A61" s="4">
        <v>46009.421863425923</v>
      </c>
      <c r="B61">
        <v>20108432</v>
      </c>
      <c r="C61" s="6" t="s">
        <v>19</v>
      </c>
      <c r="D61">
        <v>57691</v>
      </c>
      <c r="E61" t="s">
        <v>267</v>
      </c>
      <c r="F61">
        <v>1003503467</v>
      </c>
      <c r="G61" t="s">
        <v>1111</v>
      </c>
      <c r="H61">
        <v>100222345</v>
      </c>
      <c r="I61">
        <v>202604</v>
      </c>
      <c r="J61">
        <v>1003503467</v>
      </c>
      <c r="K61" t="s">
        <v>270</v>
      </c>
      <c r="L61" t="s">
        <v>513</v>
      </c>
      <c r="M61" t="s">
        <v>271</v>
      </c>
      <c r="N61" t="s">
        <v>35</v>
      </c>
      <c r="O61" t="s">
        <v>26</v>
      </c>
      <c r="P61" t="s">
        <v>27</v>
      </c>
      <c r="Q61" t="s">
        <v>28</v>
      </c>
      <c r="R61" t="s">
        <v>29</v>
      </c>
      <c r="S61" t="s">
        <v>30</v>
      </c>
      <c r="T61">
        <v>1033714104</v>
      </c>
      <c r="U61" t="s">
        <v>4019</v>
      </c>
      <c r="V61" t="s">
        <v>4020</v>
      </c>
      <c r="W61" s="9">
        <f>IF(V61="pregrado",31,
IF(V61="posgrados",31,
IF(V61="rEINTEGROS",7,
IF(V61="BIT",90,
IF(V61="OP GRADO - INGLÉS",17,"")))))</f>
        <v>17</v>
      </c>
      <c r="X61" t="s">
        <v>4029</v>
      </c>
    </row>
    <row r="62" spans="1:24" ht="15" x14ac:dyDescent="0.35">
      <c r="A62" s="4">
        <v>46006.672291666669</v>
      </c>
      <c r="B62">
        <v>20107477</v>
      </c>
      <c r="C62" s="6" t="s">
        <v>19</v>
      </c>
      <c r="D62">
        <v>57720</v>
      </c>
      <c r="E62" t="s">
        <v>267</v>
      </c>
      <c r="F62">
        <v>1216717258</v>
      </c>
      <c r="G62" t="s">
        <v>1014</v>
      </c>
      <c r="H62">
        <v>100238117</v>
      </c>
      <c r="I62">
        <v>202604</v>
      </c>
      <c r="J62">
        <v>1216717258</v>
      </c>
      <c r="K62" t="s">
        <v>23</v>
      </c>
      <c r="L62" t="s">
        <v>1015</v>
      </c>
      <c r="M62" t="s">
        <v>271</v>
      </c>
      <c r="N62" t="s">
        <v>35</v>
      </c>
      <c r="O62" t="s">
        <v>26</v>
      </c>
      <c r="P62" t="s">
        <v>27</v>
      </c>
      <c r="Q62" t="s">
        <v>28</v>
      </c>
      <c r="R62" t="s">
        <v>29</v>
      </c>
      <c r="S62" t="s">
        <v>30</v>
      </c>
      <c r="T62">
        <v>1000788047</v>
      </c>
      <c r="U62" t="s">
        <v>4055</v>
      </c>
      <c r="V62" t="s">
        <v>4056</v>
      </c>
      <c r="W62" s="9">
        <f>IF(V62="pregrado",31,
IF(V62="posgrados",31,
IF(V62="rEINTEGROS",7,
IF(V62="BIT",90,
IF(V62="OP GRADO - INGLÉS",17,"")))))</f>
        <v>90</v>
      </c>
      <c r="X62" t="s">
        <v>4068</v>
      </c>
    </row>
    <row r="63" spans="1:24" ht="15" x14ac:dyDescent="0.35">
      <c r="A63" s="4">
        <v>46006.692546296297</v>
      </c>
      <c r="B63">
        <v>20107508</v>
      </c>
      <c r="C63" s="6" t="s">
        <v>19</v>
      </c>
      <c r="D63">
        <v>57721</v>
      </c>
      <c r="E63" t="s">
        <v>267</v>
      </c>
      <c r="F63">
        <v>1017248887</v>
      </c>
      <c r="G63" t="s">
        <v>1018</v>
      </c>
      <c r="H63">
        <v>100238293</v>
      </c>
      <c r="I63">
        <v>202604</v>
      </c>
      <c r="J63">
        <v>1017248887</v>
      </c>
      <c r="K63" t="s">
        <v>23</v>
      </c>
      <c r="L63" t="s">
        <v>1015</v>
      </c>
      <c r="M63" t="s">
        <v>271</v>
      </c>
      <c r="N63" t="s">
        <v>35</v>
      </c>
      <c r="O63" t="s">
        <v>26</v>
      </c>
      <c r="P63" t="s">
        <v>27</v>
      </c>
      <c r="Q63" t="s">
        <v>28</v>
      </c>
      <c r="R63" t="s">
        <v>29</v>
      </c>
      <c r="S63" t="s">
        <v>30</v>
      </c>
      <c r="T63">
        <v>52221286</v>
      </c>
      <c r="U63" t="s">
        <v>4055</v>
      </c>
      <c r="V63" t="s">
        <v>4056</v>
      </c>
      <c r="W63" s="9">
        <f>IF(V63="pregrado",31,
IF(V63="posgrados",31,
IF(V63="rEINTEGROS",7,
IF(V63="BIT",90,
IF(V63="OP GRADO - INGLÉS",17,"")))))</f>
        <v>90</v>
      </c>
      <c r="X63" t="s">
        <v>4076</v>
      </c>
    </row>
    <row r="64" spans="1:24" ht="15" x14ac:dyDescent="0.35">
      <c r="A64" s="4">
        <v>46006.692106481481</v>
      </c>
      <c r="B64">
        <v>20107507</v>
      </c>
      <c r="C64" s="6" t="s">
        <v>19</v>
      </c>
      <c r="D64">
        <v>57724</v>
      </c>
      <c r="E64" t="s">
        <v>267</v>
      </c>
      <c r="F64">
        <v>1025060904</v>
      </c>
      <c r="G64" t="s">
        <v>1017</v>
      </c>
      <c r="H64">
        <v>100238469</v>
      </c>
      <c r="I64">
        <v>202604</v>
      </c>
      <c r="J64">
        <v>1025060904</v>
      </c>
      <c r="K64" t="s">
        <v>23</v>
      </c>
      <c r="L64" t="s">
        <v>1015</v>
      </c>
      <c r="M64" t="s">
        <v>271</v>
      </c>
      <c r="N64" t="s">
        <v>35</v>
      </c>
      <c r="O64" t="s">
        <v>26</v>
      </c>
      <c r="P64" t="s">
        <v>27</v>
      </c>
      <c r="Q64" t="s">
        <v>28</v>
      </c>
      <c r="R64" t="s">
        <v>29</v>
      </c>
      <c r="S64" t="s">
        <v>30</v>
      </c>
      <c r="T64">
        <v>1193566421</v>
      </c>
      <c r="U64" t="s">
        <v>4055</v>
      </c>
      <c r="V64" t="s">
        <v>4056</v>
      </c>
      <c r="W64" s="9">
        <f>IF(V64="pregrado",31,
IF(V64="posgrados",31,
IF(V64="rEINTEGROS",7,
IF(V64="BIT",90,
IF(V64="OP GRADO - INGLÉS",17,"")))))</f>
        <v>90</v>
      </c>
      <c r="X64" t="s">
        <v>4075</v>
      </c>
    </row>
    <row r="65" spans="1:24" ht="15" x14ac:dyDescent="0.35">
      <c r="A65" s="4">
        <v>46014.660393518519</v>
      </c>
      <c r="B65">
        <v>20109586</v>
      </c>
      <c r="C65" s="6" t="s">
        <v>19</v>
      </c>
      <c r="D65">
        <v>57732</v>
      </c>
      <c r="E65" t="s">
        <v>267</v>
      </c>
      <c r="F65">
        <v>1063281411</v>
      </c>
      <c r="G65" t="s">
        <v>1279</v>
      </c>
      <c r="H65">
        <v>100143147</v>
      </c>
      <c r="I65">
        <v>202604</v>
      </c>
      <c r="J65">
        <v>1063281411</v>
      </c>
      <c r="K65" t="s">
        <v>270</v>
      </c>
      <c r="L65" t="s">
        <v>532</v>
      </c>
      <c r="M65" t="s">
        <v>271</v>
      </c>
      <c r="N65" t="s">
        <v>25</v>
      </c>
      <c r="O65" t="s">
        <v>26</v>
      </c>
      <c r="P65" t="s">
        <v>27</v>
      </c>
      <c r="Q65" t="s">
        <v>28</v>
      </c>
      <c r="R65" t="s">
        <v>29</v>
      </c>
      <c r="S65" t="s">
        <v>30</v>
      </c>
      <c r="T65">
        <v>1033714104</v>
      </c>
      <c r="U65" t="s">
        <v>4019</v>
      </c>
      <c r="V65" t="s">
        <v>4020</v>
      </c>
      <c r="W65" s="9">
        <f>IF(V65="pregrado",31,
IF(V65="posgrados",31,
IF(V65="rEINTEGROS",7,
IF(V65="BIT",90,
IF(V65="OP GRADO - INGLÉS",17,"")))))</f>
        <v>17</v>
      </c>
      <c r="X65" t="s">
        <v>4029</v>
      </c>
    </row>
    <row r="66" spans="1:24" ht="15" x14ac:dyDescent="0.35">
      <c r="A66" s="4">
        <v>46006.501307870371</v>
      </c>
      <c r="B66">
        <v>20107298</v>
      </c>
      <c r="C66" s="6" t="s">
        <v>19</v>
      </c>
      <c r="D66">
        <v>57733</v>
      </c>
      <c r="E66" t="s">
        <v>267</v>
      </c>
      <c r="F66">
        <v>1012428154</v>
      </c>
      <c r="G66" t="s">
        <v>996</v>
      </c>
      <c r="H66">
        <v>100141228</v>
      </c>
      <c r="I66">
        <v>202604</v>
      </c>
      <c r="J66">
        <v>1012428154</v>
      </c>
      <c r="K66" t="s">
        <v>270</v>
      </c>
      <c r="L66" t="s">
        <v>269</v>
      </c>
      <c r="M66" t="s">
        <v>271</v>
      </c>
      <c r="N66" t="s">
        <v>35</v>
      </c>
      <c r="O66" t="s">
        <v>26</v>
      </c>
      <c r="P66" t="s">
        <v>27</v>
      </c>
      <c r="Q66" t="s">
        <v>28</v>
      </c>
      <c r="R66" t="s">
        <v>29</v>
      </c>
      <c r="S66" t="s">
        <v>30</v>
      </c>
      <c r="T66">
        <v>1033714104</v>
      </c>
      <c r="U66" t="s">
        <v>4019</v>
      </c>
      <c r="V66" t="s">
        <v>4020</v>
      </c>
      <c r="W66" s="9">
        <f>IF(V66="pregrado",31,
IF(V66="posgrados",31,
IF(V66="rEINTEGROS",7,
IF(V66="BIT",90,
IF(V66="OP GRADO - INGLÉS",17,"")))))</f>
        <v>17</v>
      </c>
      <c r="X66" t="s">
        <v>4029</v>
      </c>
    </row>
    <row r="67" spans="1:24" ht="15" x14ac:dyDescent="0.35">
      <c r="A67" s="4">
        <v>46029.930127314816</v>
      </c>
      <c r="B67">
        <v>20111598</v>
      </c>
      <c r="C67" s="6" t="s">
        <v>19</v>
      </c>
      <c r="D67">
        <v>57734</v>
      </c>
      <c r="E67" t="s">
        <v>267</v>
      </c>
      <c r="F67">
        <v>1193484528</v>
      </c>
      <c r="G67" t="s">
        <v>1571</v>
      </c>
      <c r="H67">
        <v>100118571</v>
      </c>
      <c r="I67">
        <v>202604</v>
      </c>
      <c r="J67">
        <v>1193484528</v>
      </c>
      <c r="K67" t="s">
        <v>270</v>
      </c>
      <c r="L67" t="s">
        <v>532</v>
      </c>
      <c r="M67" t="s">
        <v>271</v>
      </c>
      <c r="N67" t="s">
        <v>35</v>
      </c>
      <c r="O67" t="s">
        <v>26</v>
      </c>
      <c r="P67" t="s">
        <v>27</v>
      </c>
      <c r="Q67" t="s">
        <v>28</v>
      </c>
      <c r="R67" t="s">
        <v>29</v>
      </c>
      <c r="S67" t="s">
        <v>30</v>
      </c>
      <c r="T67">
        <v>52834109</v>
      </c>
      <c r="U67" t="s">
        <v>4019</v>
      </c>
      <c r="V67" t="s">
        <v>4020</v>
      </c>
      <c r="W67" s="9">
        <f>IF(V67="pregrado",31,
IF(V67="posgrados",31,
IF(V67="rEINTEGROS",7,
IF(V67="BIT",90,
IF(V67="OP GRADO - INGLÉS",17,"")))))</f>
        <v>17</v>
      </c>
      <c r="X67" t="s">
        <v>4018</v>
      </c>
    </row>
    <row r="68" spans="1:24" ht="15" x14ac:dyDescent="0.35">
      <c r="A68" s="4">
        <v>46006.9062962963</v>
      </c>
      <c r="B68">
        <v>20107640</v>
      </c>
      <c r="C68" s="6" t="s">
        <v>19</v>
      </c>
      <c r="D68">
        <v>57735</v>
      </c>
      <c r="E68" t="s">
        <v>267</v>
      </c>
      <c r="F68">
        <v>1033816469</v>
      </c>
      <c r="G68" t="s">
        <v>1029</v>
      </c>
      <c r="H68">
        <v>100099130</v>
      </c>
      <c r="I68">
        <v>202604</v>
      </c>
      <c r="J68">
        <v>1033816469</v>
      </c>
      <c r="K68" t="s">
        <v>270</v>
      </c>
      <c r="L68" t="s">
        <v>816</v>
      </c>
      <c r="M68" t="s">
        <v>271</v>
      </c>
      <c r="N68" t="s">
        <v>35</v>
      </c>
      <c r="O68" t="s">
        <v>26</v>
      </c>
      <c r="P68" t="s">
        <v>27</v>
      </c>
      <c r="Q68" t="s">
        <v>28</v>
      </c>
      <c r="R68" t="s">
        <v>29</v>
      </c>
      <c r="S68" t="s">
        <v>30</v>
      </c>
      <c r="T68">
        <v>1033714104</v>
      </c>
      <c r="U68" t="s">
        <v>4019</v>
      </c>
      <c r="V68" t="s">
        <v>4020</v>
      </c>
      <c r="W68" s="9">
        <f>IF(V68="pregrado",31,
IF(V68="posgrados",31,
IF(V68="rEINTEGROS",7,
IF(V68="BIT",90,
IF(V68="OP GRADO - INGLÉS",17,"")))))</f>
        <v>17</v>
      </c>
      <c r="X68" t="s">
        <v>4029</v>
      </c>
    </row>
    <row r="69" spans="1:24" ht="15" x14ac:dyDescent="0.35">
      <c r="A69" s="4">
        <v>46045.738993055558</v>
      </c>
      <c r="B69">
        <v>20116739</v>
      </c>
      <c r="C69" s="6" t="s">
        <v>19</v>
      </c>
      <c r="D69">
        <v>57753</v>
      </c>
      <c r="E69" t="s">
        <v>267</v>
      </c>
      <c r="F69">
        <v>35527790</v>
      </c>
      <c r="G69" t="s">
        <v>2252</v>
      </c>
      <c r="H69">
        <v>100177521</v>
      </c>
      <c r="I69">
        <v>202604</v>
      </c>
      <c r="J69">
        <v>1003710063</v>
      </c>
      <c r="K69" t="s">
        <v>270</v>
      </c>
      <c r="L69" t="s">
        <v>816</v>
      </c>
      <c r="M69" t="s">
        <v>271</v>
      </c>
      <c r="N69" t="s">
        <v>25</v>
      </c>
      <c r="O69" t="s">
        <v>26</v>
      </c>
      <c r="P69" t="s">
        <v>27</v>
      </c>
      <c r="Q69" t="s">
        <v>28</v>
      </c>
      <c r="R69" t="s">
        <v>29</v>
      </c>
      <c r="S69" t="s">
        <v>30</v>
      </c>
      <c r="T69">
        <v>1033714104</v>
      </c>
      <c r="U69" t="s">
        <v>4019</v>
      </c>
      <c r="V69" t="s">
        <v>4020</v>
      </c>
      <c r="W69" s="9">
        <f>IF(V69="pregrado",31,
IF(V69="posgrados",31,
IF(V69="rEINTEGROS",7,
IF(V69="BIT",90,
IF(V69="OP GRADO - INGLÉS",17,"")))))</f>
        <v>17</v>
      </c>
      <c r="X69" t="s">
        <v>4029</v>
      </c>
    </row>
    <row r="70" spans="1:24" ht="15" x14ac:dyDescent="0.35">
      <c r="A70" s="4">
        <v>46007.768564814818</v>
      </c>
      <c r="B70">
        <v>20108017</v>
      </c>
      <c r="C70" s="6" t="s">
        <v>19</v>
      </c>
      <c r="D70">
        <v>57761</v>
      </c>
      <c r="E70" t="s">
        <v>267</v>
      </c>
      <c r="F70">
        <v>1193124516</v>
      </c>
      <c r="G70" t="s">
        <v>1060</v>
      </c>
      <c r="H70">
        <v>100110084</v>
      </c>
      <c r="I70">
        <v>202604</v>
      </c>
      <c r="J70">
        <v>1193124516</v>
      </c>
      <c r="K70" t="s">
        <v>270</v>
      </c>
      <c r="L70" t="s">
        <v>1061</v>
      </c>
      <c r="M70" t="s">
        <v>271</v>
      </c>
      <c r="N70" t="s">
        <v>35</v>
      </c>
      <c r="O70" t="s">
        <v>26</v>
      </c>
      <c r="P70" t="s">
        <v>27</v>
      </c>
      <c r="Q70" t="s">
        <v>28</v>
      </c>
      <c r="R70" t="s">
        <v>29</v>
      </c>
      <c r="S70" t="s">
        <v>30</v>
      </c>
      <c r="T70">
        <v>52834109</v>
      </c>
      <c r="U70" t="s">
        <v>4019</v>
      </c>
      <c r="V70" t="s">
        <v>4020</v>
      </c>
      <c r="W70" s="9">
        <f>IF(V70="pregrado",31,
IF(V70="posgrados",31,
IF(V70="rEINTEGROS",7,
IF(V70="BIT",90,
IF(V70="OP GRADO - INGLÉS",17,"")))))</f>
        <v>17</v>
      </c>
      <c r="X70" t="s">
        <v>4018</v>
      </c>
    </row>
    <row r="71" spans="1:24" ht="15" x14ac:dyDescent="0.35">
      <c r="A71" s="4">
        <v>46008.359814814816</v>
      </c>
      <c r="B71">
        <v>20108074</v>
      </c>
      <c r="C71" s="6" t="s">
        <v>19</v>
      </c>
      <c r="D71">
        <v>57784</v>
      </c>
      <c r="E71" t="s">
        <v>267</v>
      </c>
      <c r="F71">
        <v>1072422997</v>
      </c>
      <c r="G71" t="s">
        <v>1065</v>
      </c>
      <c r="H71">
        <v>100239042</v>
      </c>
      <c r="I71">
        <v>202604</v>
      </c>
      <c r="J71">
        <v>1072422997</v>
      </c>
      <c r="K71" t="s">
        <v>23</v>
      </c>
      <c r="L71" t="s">
        <v>1066</v>
      </c>
      <c r="M71" t="s">
        <v>271</v>
      </c>
      <c r="N71" t="s">
        <v>35</v>
      </c>
      <c r="O71" t="s">
        <v>26</v>
      </c>
      <c r="P71" t="s">
        <v>27</v>
      </c>
      <c r="Q71" t="s">
        <v>28</v>
      </c>
      <c r="R71" t="s">
        <v>29</v>
      </c>
      <c r="S71" t="s">
        <v>30</v>
      </c>
      <c r="T71">
        <v>1018484247</v>
      </c>
      <c r="U71" t="s">
        <v>4055</v>
      </c>
      <c r="V71" t="s">
        <v>4056</v>
      </c>
      <c r="W71" s="9">
        <f>IF(V71="pregrado",31,
IF(V71="posgrados",31,
IF(V71="rEINTEGROS",7,
IF(V71="BIT",90,
IF(V71="OP GRADO - INGLÉS",17,"")))))</f>
        <v>90</v>
      </c>
      <c r="X71" t="s">
        <v>4069</v>
      </c>
    </row>
    <row r="72" spans="1:24" ht="15" x14ac:dyDescent="0.35">
      <c r="A72" s="4">
        <v>46080.759108796294</v>
      </c>
      <c r="B72">
        <v>20126983</v>
      </c>
      <c r="C72" s="6" t="s">
        <v>19</v>
      </c>
      <c r="D72">
        <v>57794</v>
      </c>
      <c r="E72" t="s">
        <v>267</v>
      </c>
      <c r="F72">
        <v>52712374</v>
      </c>
      <c r="G72" t="s">
        <v>3750</v>
      </c>
      <c r="H72">
        <v>100152497</v>
      </c>
      <c r="I72">
        <v>202604</v>
      </c>
      <c r="J72">
        <v>52712374</v>
      </c>
      <c r="K72" t="s">
        <v>270</v>
      </c>
      <c r="L72" t="s">
        <v>596</v>
      </c>
      <c r="M72" t="s">
        <v>271</v>
      </c>
      <c r="N72" t="s">
        <v>35</v>
      </c>
      <c r="O72" t="s">
        <v>26</v>
      </c>
      <c r="P72" t="s">
        <v>27</v>
      </c>
      <c r="Q72" t="s">
        <v>28</v>
      </c>
      <c r="R72" t="s">
        <v>29</v>
      </c>
      <c r="S72" t="s">
        <v>30</v>
      </c>
      <c r="T72">
        <v>1033714104</v>
      </c>
      <c r="U72" t="s">
        <v>4019</v>
      </c>
      <c r="V72" t="s">
        <v>4020</v>
      </c>
      <c r="W72" s="9">
        <f>IF(V72="pregrado",31,
IF(V72="posgrados",31,
IF(V72="rEINTEGROS",7,
IF(V72="BIT",90,
IF(V72="OP GRADO - INGLÉS",17,"")))))</f>
        <v>17</v>
      </c>
      <c r="X72" t="s">
        <v>4029</v>
      </c>
    </row>
    <row r="73" spans="1:24" ht="15" x14ac:dyDescent="0.35">
      <c r="A73" s="4">
        <v>46030.623576388891</v>
      </c>
      <c r="B73">
        <v>20111768</v>
      </c>
      <c r="C73" s="6" t="s">
        <v>19</v>
      </c>
      <c r="D73">
        <v>57805</v>
      </c>
      <c r="E73" t="s">
        <v>267</v>
      </c>
      <c r="F73">
        <v>22540496</v>
      </c>
      <c r="G73" t="s">
        <v>1597</v>
      </c>
      <c r="H73">
        <v>100223561</v>
      </c>
      <c r="I73">
        <v>202604</v>
      </c>
      <c r="J73">
        <v>22540496</v>
      </c>
      <c r="K73" t="s">
        <v>270</v>
      </c>
      <c r="L73" t="s">
        <v>513</v>
      </c>
      <c r="M73" t="s">
        <v>271</v>
      </c>
      <c r="N73" t="s">
        <v>35</v>
      </c>
      <c r="O73" t="s">
        <v>26</v>
      </c>
      <c r="P73" t="s">
        <v>27</v>
      </c>
      <c r="Q73" t="s">
        <v>28</v>
      </c>
      <c r="R73" t="s">
        <v>29</v>
      </c>
      <c r="S73" t="s">
        <v>30</v>
      </c>
      <c r="T73">
        <v>1033714104</v>
      </c>
      <c r="U73" t="s">
        <v>4019</v>
      </c>
      <c r="V73" t="s">
        <v>4020</v>
      </c>
      <c r="W73" s="9">
        <f>IF(V73="pregrado",31,
IF(V73="posgrados",31,
IF(V73="rEINTEGROS",7,
IF(V73="BIT",90,
IF(V73="OP GRADO - INGLÉS",17,"")))))</f>
        <v>17</v>
      </c>
      <c r="X73" t="s">
        <v>4029</v>
      </c>
    </row>
    <row r="74" spans="1:24" ht="15" x14ac:dyDescent="0.35">
      <c r="A74" s="4">
        <v>46070.522152777776</v>
      </c>
      <c r="B74">
        <v>20124103</v>
      </c>
      <c r="C74" s="6" t="s">
        <v>19</v>
      </c>
      <c r="D74">
        <v>57817</v>
      </c>
      <c r="E74" t="s">
        <v>267</v>
      </c>
      <c r="F74">
        <v>1014246090</v>
      </c>
      <c r="G74" t="s">
        <v>3296</v>
      </c>
      <c r="H74">
        <v>100171444</v>
      </c>
      <c r="I74">
        <v>202604</v>
      </c>
      <c r="J74">
        <v>1003558541</v>
      </c>
      <c r="K74" t="s">
        <v>270</v>
      </c>
      <c r="L74" t="s">
        <v>1061</v>
      </c>
      <c r="M74" t="s">
        <v>271</v>
      </c>
      <c r="N74" t="s">
        <v>35</v>
      </c>
      <c r="O74" t="s">
        <v>26</v>
      </c>
      <c r="P74" t="s">
        <v>27</v>
      </c>
      <c r="Q74" t="s">
        <v>28</v>
      </c>
      <c r="R74" t="s">
        <v>29</v>
      </c>
      <c r="S74" t="s">
        <v>30</v>
      </c>
      <c r="T74">
        <v>52834109</v>
      </c>
      <c r="U74" t="s">
        <v>4019</v>
      </c>
      <c r="V74" t="s">
        <v>4020</v>
      </c>
      <c r="W74" s="9">
        <f>IF(V74="pregrado",31,
IF(V74="posgrados",31,
IF(V74="rEINTEGROS",7,
IF(V74="BIT",90,
IF(V74="OP GRADO - INGLÉS",17,"")))))</f>
        <v>17</v>
      </c>
      <c r="X74" t="s">
        <v>4018</v>
      </c>
    </row>
    <row r="75" spans="1:24" ht="15" x14ac:dyDescent="0.35">
      <c r="A75" s="4">
        <v>46009.638240740744</v>
      </c>
      <c r="B75">
        <v>20108568</v>
      </c>
      <c r="C75" s="6" t="s">
        <v>19</v>
      </c>
      <c r="D75">
        <v>57863</v>
      </c>
      <c r="E75" t="s">
        <v>267</v>
      </c>
      <c r="F75">
        <v>1012916418</v>
      </c>
      <c r="G75" t="s">
        <v>1146</v>
      </c>
      <c r="H75">
        <v>100181438</v>
      </c>
      <c r="I75">
        <v>202604</v>
      </c>
      <c r="J75">
        <v>1012916418</v>
      </c>
      <c r="K75" t="s">
        <v>270</v>
      </c>
      <c r="L75" t="s">
        <v>269</v>
      </c>
      <c r="M75" t="s">
        <v>271</v>
      </c>
      <c r="N75" t="s">
        <v>35</v>
      </c>
      <c r="O75" t="s">
        <v>26</v>
      </c>
      <c r="P75" t="s">
        <v>27</v>
      </c>
      <c r="Q75" t="s">
        <v>28</v>
      </c>
      <c r="R75" t="s">
        <v>29</v>
      </c>
      <c r="S75" t="s">
        <v>30</v>
      </c>
      <c r="T75">
        <v>1033714104</v>
      </c>
      <c r="U75" t="s">
        <v>4019</v>
      </c>
      <c r="V75" t="s">
        <v>4020</v>
      </c>
      <c r="W75" s="9">
        <f>IF(V75="pregrado",31,
IF(V75="posgrados",31,
IF(V75="rEINTEGROS",7,
IF(V75="BIT",90,
IF(V75="OP GRADO - INGLÉS",17,"")))))</f>
        <v>17</v>
      </c>
      <c r="X75" t="s">
        <v>4029</v>
      </c>
    </row>
    <row r="76" spans="1:24" ht="15" x14ac:dyDescent="0.35">
      <c r="A76" s="4">
        <v>46013.476527777777</v>
      </c>
      <c r="B76">
        <v>20109148</v>
      </c>
      <c r="C76" s="6" t="s">
        <v>19</v>
      </c>
      <c r="D76">
        <v>57881</v>
      </c>
      <c r="E76" t="s">
        <v>267</v>
      </c>
      <c r="F76">
        <v>52222958</v>
      </c>
      <c r="G76" t="s">
        <v>1217</v>
      </c>
      <c r="H76">
        <v>100119025</v>
      </c>
      <c r="I76">
        <v>202604</v>
      </c>
      <c r="J76">
        <v>1000693703</v>
      </c>
      <c r="K76" t="s">
        <v>23</v>
      </c>
      <c r="L76" t="s">
        <v>1066</v>
      </c>
      <c r="M76" t="s">
        <v>271</v>
      </c>
      <c r="N76" t="s">
        <v>35</v>
      </c>
      <c r="O76" t="s">
        <v>26</v>
      </c>
      <c r="P76" t="s">
        <v>27</v>
      </c>
      <c r="Q76" t="s">
        <v>28</v>
      </c>
      <c r="R76" t="s">
        <v>29</v>
      </c>
      <c r="S76" t="s">
        <v>30</v>
      </c>
      <c r="T76">
        <v>1018484247</v>
      </c>
      <c r="U76" t="s">
        <v>4055</v>
      </c>
      <c r="V76" t="s">
        <v>4056</v>
      </c>
      <c r="W76" s="9">
        <f>IF(V76="pregrado",31,
IF(V76="posgrados",31,
IF(V76="rEINTEGROS",7,
IF(V76="BIT",90,
IF(V76="OP GRADO - INGLÉS",17,"")))))</f>
        <v>90</v>
      </c>
      <c r="X76" t="s">
        <v>4069</v>
      </c>
    </row>
    <row r="77" spans="1:24" ht="15" x14ac:dyDescent="0.35">
      <c r="A77" s="4">
        <v>46020.457673611112</v>
      </c>
      <c r="B77">
        <v>20110052</v>
      </c>
      <c r="C77" s="6" t="s">
        <v>19</v>
      </c>
      <c r="D77">
        <v>57883</v>
      </c>
      <c r="E77" t="s">
        <v>267</v>
      </c>
      <c r="F77">
        <v>1022333593</v>
      </c>
      <c r="G77" t="s">
        <v>1357</v>
      </c>
      <c r="H77">
        <v>100158215</v>
      </c>
      <c r="I77">
        <v>202604</v>
      </c>
      <c r="J77">
        <v>1110516061</v>
      </c>
      <c r="K77" t="s">
        <v>270</v>
      </c>
      <c r="L77" t="s">
        <v>738</v>
      </c>
      <c r="M77" t="s">
        <v>271</v>
      </c>
      <c r="N77" t="s">
        <v>35</v>
      </c>
      <c r="O77" t="s">
        <v>26</v>
      </c>
      <c r="P77" t="s">
        <v>27</v>
      </c>
      <c r="Q77" t="s">
        <v>28</v>
      </c>
      <c r="R77" t="s">
        <v>29</v>
      </c>
      <c r="S77" t="s">
        <v>30</v>
      </c>
      <c r="T77">
        <v>1033714104</v>
      </c>
      <c r="U77" t="s">
        <v>4019</v>
      </c>
      <c r="V77" t="s">
        <v>4020</v>
      </c>
      <c r="W77" s="9">
        <f>IF(V77="pregrado",31,
IF(V77="posgrados",31,
IF(V77="rEINTEGROS",7,
IF(V77="BIT",90,
IF(V77="OP GRADO - INGLÉS",17,"")))))</f>
        <v>17</v>
      </c>
      <c r="X77" t="s">
        <v>4029</v>
      </c>
    </row>
    <row r="78" spans="1:24" ht="15" x14ac:dyDescent="0.35">
      <c r="A78" s="4">
        <v>46038.713865740741</v>
      </c>
      <c r="B78">
        <v>20114506</v>
      </c>
      <c r="C78" s="6" t="s">
        <v>19</v>
      </c>
      <c r="D78">
        <v>57884</v>
      </c>
      <c r="E78" t="s">
        <v>267</v>
      </c>
      <c r="F78">
        <v>52516177</v>
      </c>
      <c r="G78" t="s">
        <v>1929</v>
      </c>
      <c r="H78">
        <v>100199023</v>
      </c>
      <c r="I78">
        <v>202604</v>
      </c>
      <c r="J78">
        <v>52516177</v>
      </c>
      <c r="K78" t="s">
        <v>270</v>
      </c>
      <c r="L78" t="s">
        <v>589</v>
      </c>
      <c r="M78" t="s">
        <v>271</v>
      </c>
      <c r="N78" t="s">
        <v>35</v>
      </c>
      <c r="O78" t="s">
        <v>26</v>
      </c>
      <c r="P78" t="s">
        <v>27</v>
      </c>
      <c r="Q78" t="s">
        <v>28</v>
      </c>
      <c r="R78" t="s">
        <v>29</v>
      </c>
      <c r="S78" t="s">
        <v>30</v>
      </c>
      <c r="T78">
        <v>1033714104</v>
      </c>
      <c r="U78" t="s">
        <v>4019</v>
      </c>
      <c r="V78" t="s">
        <v>4020</v>
      </c>
      <c r="W78" s="9">
        <f>IF(V78="pregrado",31,
IF(V78="posgrados",31,
IF(V78="rEINTEGROS",7,
IF(V78="BIT",90,
IF(V78="OP GRADO - INGLÉS",17,"")))))</f>
        <v>17</v>
      </c>
      <c r="X78" t="s">
        <v>4029</v>
      </c>
    </row>
    <row r="79" spans="1:24" ht="15" x14ac:dyDescent="0.35">
      <c r="A79" s="4">
        <v>46010.871157407404</v>
      </c>
      <c r="B79">
        <v>20108960</v>
      </c>
      <c r="C79" s="6" t="s">
        <v>19</v>
      </c>
      <c r="D79">
        <v>57896</v>
      </c>
      <c r="E79" t="s">
        <v>267</v>
      </c>
      <c r="F79">
        <v>1007841063</v>
      </c>
      <c r="G79" t="s">
        <v>1199</v>
      </c>
      <c r="H79">
        <v>100223897</v>
      </c>
      <c r="I79">
        <v>202604</v>
      </c>
      <c r="J79">
        <v>1111784914</v>
      </c>
      <c r="K79" t="s">
        <v>270</v>
      </c>
      <c r="L79" t="s">
        <v>589</v>
      </c>
      <c r="M79" t="s">
        <v>271</v>
      </c>
      <c r="N79" t="s">
        <v>35</v>
      </c>
      <c r="O79" t="s">
        <v>26</v>
      </c>
      <c r="P79" t="s">
        <v>27</v>
      </c>
      <c r="Q79" t="s">
        <v>28</v>
      </c>
      <c r="R79" t="s">
        <v>29</v>
      </c>
      <c r="S79" t="s">
        <v>30</v>
      </c>
      <c r="T79">
        <v>60345453</v>
      </c>
      <c r="U79" t="s">
        <v>4019</v>
      </c>
      <c r="V79" t="s">
        <v>4020</v>
      </c>
      <c r="W79" s="9">
        <f>IF(V79="pregrado",31,
IF(V79="posgrados",31,
IF(V79="rEINTEGROS",7,
IF(V79="BIT",90,
IF(V79="OP GRADO - INGLÉS",17,"")))))</f>
        <v>17</v>
      </c>
      <c r="X79" t="s">
        <v>4063</v>
      </c>
    </row>
    <row r="80" spans="1:24" ht="15" x14ac:dyDescent="0.35">
      <c r="A80" s="4">
        <v>46013.688900462963</v>
      </c>
      <c r="B80">
        <v>20109263</v>
      </c>
      <c r="C80" s="6" t="s">
        <v>19</v>
      </c>
      <c r="D80">
        <v>57902</v>
      </c>
      <c r="E80" t="s">
        <v>267</v>
      </c>
      <c r="F80">
        <v>75072592</v>
      </c>
      <c r="G80" t="s">
        <v>1237</v>
      </c>
      <c r="H80">
        <v>100124765</v>
      </c>
      <c r="I80">
        <v>202604</v>
      </c>
      <c r="J80">
        <v>75072592</v>
      </c>
      <c r="K80" t="s">
        <v>270</v>
      </c>
      <c r="L80" t="s">
        <v>1061</v>
      </c>
      <c r="M80" t="s">
        <v>271</v>
      </c>
      <c r="N80" t="s">
        <v>35</v>
      </c>
      <c r="O80" t="s">
        <v>26</v>
      </c>
      <c r="P80" t="s">
        <v>27</v>
      </c>
      <c r="Q80" t="s">
        <v>28</v>
      </c>
      <c r="R80" t="s">
        <v>29</v>
      </c>
      <c r="S80" t="s">
        <v>30</v>
      </c>
      <c r="T80">
        <v>1033714104</v>
      </c>
      <c r="U80" t="s">
        <v>4019</v>
      </c>
      <c r="V80" t="s">
        <v>4020</v>
      </c>
      <c r="W80" s="9">
        <f>IF(V80="pregrado",31,
IF(V80="posgrados",31,
IF(V80="rEINTEGROS",7,
IF(V80="BIT",90,
IF(V80="OP GRADO - INGLÉS",17,"")))))</f>
        <v>17</v>
      </c>
      <c r="X80" t="s">
        <v>4029</v>
      </c>
    </row>
    <row r="81" spans="1:24" ht="15" x14ac:dyDescent="0.35">
      <c r="A81" s="4">
        <v>46076.595891203702</v>
      </c>
      <c r="B81">
        <v>20125687</v>
      </c>
      <c r="C81" s="6" t="s">
        <v>19</v>
      </c>
      <c r="D81">
        <v>57905</v>
      </c>
      <c r="E81" t="s">
        <v>267</v>
      </c>
      <c r="F81">
        <v>35394518</v>
      </c>
      <c r="G81" t="s">
        <v>3549</v>
      </c>
      <c r="H81">
        <v>100198974</v>
      </c>
      <c r="I81">
        <v>202604</v>
      </c>
      <c r="J81">
        <v>35394518</v>
      </c>
      <c r="K81" t="s">
        <v>270</v>
      </c>
      <c r="L81" t="s">
        <v>336</v>
      </c>
      <c r="M81" t="s">
        <v>271</v>
      </c>
      <c r="N81" t="s">
        <v>35</v>
      </c>
      <c r="O81" t="s">
        <v>26</v>
      </c>
      <c r="P81" t="s">
        <v>27</v>
      </c>
      <c r="Q81" t="s">
        <v>28</v>
      </c>
      <c r="R81" t="s">
        <v>29</v>
      </c>
      <c r="S81" t="s">
        <v>30</v>
      </c>
      <c r="T81">
        <v>1033714104</v>
      </c>
      <c r="U81" t="s">
        <v>4019</v>
      </c>
      <c r="V81" t="s">
        <v>4020</v>
      </c>
      <c r="W81" s="9">
        <f>IF(V81="pregrado",31,
IF(V81="posgrados",31,
IF(V81="rEINTEGROS",7,
IF(V81="BIT",90,
IF(V81="OP GRADO - INGLÉS",17,"")))))</f>
        <v>17</v>
      </c>
      <c r="X81" t="s">
        <v>4029</v>
      </c>
    </row>
    <row r="82" spans="1:24" ht="15" x14ac:dyDescent="0.35">
      <c r="A82" s="4">
        <v>46041.67523148148</v>
      </c>
      <c r="B82">
        <v>20114997</v>
      </c>
      <c r="C82" s="6" t="s">
        <v>19</v>
      </c>
      <c r="D82">
        <v>57908</v>
      </c>
      <c r="E82" t="s">
        <v>267</v>
      </c>
      <c r="F82">
        <v>80538309</v>
      </c>
      <c r="G82" t="s">
        <v>1976</v>
      </c>
      <c r="H82">
        <v>100136549</v>
      </c>
      <c r="I82">
        <v>202604</v>
      </c>
      <c r="J82">
        <v>80538309</v>
      </c>
      <c r="K82" t="s">
        <v>270</v>
      </c>
      <c r="L82" t="s">
        <v>269</v>
      </c>
      <c r="M82" t="s">
        <v>271</v>
      </c>
      <c r="N82" t="s">
        <v>35</v>
      </c>
      <c r="O82" t="s">
        <v>26</v>
      </c>
      <c r="P82" t="s">
        <v>27</v>
      </c>
      <c r="Q82" t="s">
        <v>28</v>
      </c>
      <c r="R82" t="s">
        <v>29</v>
      </c>
      <c r="S82" t="s">
        <v>30</v>
      </c>
      <c r="T82">
        <v>1033714104</v>
      </c>
      <c r="U82" t="s">
        <v>4019</v>
      </c>
      <c r="V82" t="s">
        <v>4020</v>
      </c>
      <c r="W82" s="9">
        <f>IF(V82="pregrado",31,
IF(V82="posgrados",31,
IF(V82="rEINTEGROS",7,
IF(V82="BIT",90,
IF(V82="OP GRADO - INGLÉS",17,"")))))</f>
        <v>17</v>
      </c>
      <c r="X82" t="s">
        <v>4029</v>
      </c>
    </row>
    <row r="83" spans="1:24" ht="15" x14ac:dyDescent="0.35">
      <c r="A83" s="4">
        <v>46030.658680555556</v>
      </c>
      <c r="B83">
        <v>20111802</v>
      </c>
      <c r="C83" s="6" t="s">
        <v>19</v>
      </c>
      <c r="D83">
        <v>57924</v>
      </c>
      <c r="E83" t="s">
        <v>267</v>
      </c>
      <c r="F83">
        <v>1102375663</v>
      </c>
      <c r="G83" t="s">
        <v>1603</v>
      </c>
      <c r="H83">
        <v>100158049</v>
      </c>
      <c r="I83">
        <v>202604</v>
      </c>
      <c r="J83">
        <v>1045720089</v>
      </c>
      <c r="K83" t="s">
        <v>270</v>
      </c>
      <c r="L83" t="s">
        <v>513</v>
      </c>
      <c r="M83" t="s">
        <v>271</v>
      </c>
      <c r="N83" t="s">
        <v>35</v>
      </c>
      <c r="O83" t="s">
        <v>26</v>
      </c>
      <c r="P83" t="s">
        <v>27</v>
      </c>
      <c r="Q83" t="s">
        <v>28</v>
      </c>
      <c r="R83" t="s">
        <v>29</v>
      </c>
      <c r="S83" t="s">
        <v>30</v>
      </c>
      <c r="T83">
        <v>1033714104</v>
      </c>
      <c r="U83" t="s">
        <v>4019</v>
      </c>
      <c r="V83" t="s">
        <v>4020</v>
      </c>
      <c r="W83" s="9">
        <f>IF(V83="pregrado",31,
IF(V83="posgrados",31,
IF(V83="rEINTEGROS",7,
IF(V83="BIT",90,
IF(V83="OP GRADO - INGLÉS",17,"")))))</f>
        <v>17</v>
      </c>
      <c r="X83" t="s">
        <v>4029</v>
      </c>
    </row>
    <row r="84" spans="1:24" ht="15" x14ac:dyDescent="0.35">
      <c r="A84" s="4">
        <v>46014.508125</v>
      </c>
      <c r="B84">
        <v>20109485</v>
      </c>
      <c r="C84" s="6" t="s">
        <v>19</v>
      </c>
      <c r="D84">
        <v>57937</v>
      </c>
      <c r="E84" t="s">
        <v>267</v>
      </c>
      <c r="F84">
        <v>1005059483</v>
      </c>
      <c r="G84" t="s">
        <v>1264</v>
      </c>
      <c r="H84">
        <v>100178242</v>
      </c>
      <c r="I84">
        <v>202604</v>
      </c>
      <c r="J84">
        <v>1005059483</v>
      </c>
      <c r="K84" t="s">
        <v>270</v>
      </c>
      <c r="L84" t="s">
        <v>269</v>
      </c>
      <c r="M84" t="s">
        <v>271</v>
      </c>
      <c r="N84" t="s">
        <v>35</v>
      </c>
      <c r="O84" t="s">
        <v>26</v>
      </c>
      <c r="P84" t="s">
        <v>27</v>
      </c>
      <c r="Q84" t="s">
        <v>28</v>
      </c>
      <c r="R84" t="s">
        <v>29</v>
      </c>
      <c r="S84" t="s">
        <v>30</v>
      </c>
      <c r="T84">
        <v>1033714104</v>
      </c>
      <c r="U84" t="s">
        <v>4019</v>
      </c>
      <c r="V84" t="s">
        <v>4020</v>
      </c>
      <c r="W84" s="9">
        <f>IF(V84="pregrado",31,
IF(V84="posgrados",31,
IF(V84="rEINTEGROS",7,
IF(V84="BIT",90,
IF(V84="OP GRADO - INGLÉS",17,"")))))</f>
        <v>17</v>
      </c>
      <c r="X84" t="s">
        <v>4029</v>
      </c>
    </row>
    <row r="85" spans="1:24" ht="15" x14ac:dyDescent="0.35">
      <c r="A85" s="4">
        <v>46014.44195601852</v>
      </c>
      <c r="B85">
        <v>20109426</v>
      </c>
      <c r="C85" s="6" t="s">
        <v>19</v>
      </c>
      <c r="D85">
        <v>57952</v>
      </c>
      <c r="E85" t="s">
        <v>267</v>
      </c>
      <c r="F85">
        <v>1010115241</v>
      </c>
      <c r="G85" t="s">
        <v>1257</v>
      </c>
      <c r="H85">
        <v>100239715</v>
      </c>
      <c r="I85">
        <v>202604</v>
      </c>
      <c r="J85">
        <v>1010115241</v>
      </c>
      <c r="K85" t="s">
        <v>23</v>
      </c>
      <c r="L85" t="s">
        <v>1258</v>
      </c>
      <c r="M85" t="s">
        <v>271</v>
      </c>
      <c r="N85" t="s">
        <v>35</v>
      </c>
      <c r="O85" t="s">
        <v>26</v>
      </c>
      <c r="P85" t="s">
        <v>27</v>
      </c>
      <c r="Q85" t="s">
        <v>28</v>
      </c>
      <c r="R85" t="s">
        <v>29</v>
      </c>
      <c r="S85" t="s">
        <v>30</v>
      </c>
      <c r="T85">
        <v>52221286</v>
      </c>
      <c r="U85" t="s">
        <v>4055</v>
      </c>
      <c r="V85" t="s">
        <v>4056</v>
      </c>
      <c r="W85" s="9">
        <f>IF(V85="pregrado",31,
IF(V85="posgrados",31,
IF(V85="rEINTEGROS",7,
IF(V85="BIT",90,
IF(V85="OP GRADO - INGLÉS",17,"")))))</f>
        <v>90</v>
      </c>
      <c r="X85" t="s">
        <v>4076</v>
      </c>
    </row>
    <row r="86" spans="1:24" ht="15" x14ac:dyDescent="0.35">
      <c r="A86" s="4">
        <v>46024.49722222222</v>
      </c>
      <c r="B86">
        <v>20110689</v>
      </c>
      <c r="C86" s="6" t="s">
        <v>19</v>
      </c>
      <c r="D86">
        <v>57954</v>
      </c>
      <c r="E86" t="s">
        <v>267</v>
      </c>
      <c r="F86">
        <v>1032474671</v>
      </c>
      <c r="G86" t="s">
        <v>1457</v>
      </c>
      <c r="H86">
        <v>100169091</v>
      </c>
      <c r="I86">
        <v>202604</v>
      </c>
      <c r="J86">
        <v>1032474671</v>
      </c>
      <c r="K86" t="s">
        <v>270</v>
      </c>
      <c r="L86" t="s">
        <v>639</v>
      </c>
      <c r="M86" t="s">
        <v>271</v>
      </c>
      <c r="N86" t="s">
        <v>35</v>
      </c>
      <c r="O86" t="s">
        <v>26</v>
      </c>
      <c r="P86" t="s">
        <v>27</v>
      </c>
      <c r="Q86" t="s">
        <v>28</v>
      </c>
      <c r="R86" t="s">
        <v>29</v>
      </c>
      <c r="S86" t="s">
        <v>30</v>
      </c>
      <c r="T86">
        <v>60345453</v>
      </c>
      <c r="U86" t="s">
        <v>4019</v>
      </c>
      <c r="V86" t="s">
        <v>4020</v>
      </c>
      <c r="W86" s="9">
        <f>IF(V86="pregrado",31,
IF(V86="posgrados",31,
IF(V86="rEINTEGROS",7,
IF(V86="BIT",90,
IF(V86="OP GRADO - INGLÉS",17,"")))))</f>
        <v>17</v>
      </c>
      <c r="X86" t="s">
        <v>4063</v>
      </c>
    </row>
    <row r="87" spans="1:24" ht="15" x14ac:dyDescent="0.35">
      <c r="A87" s="4">
        <v>46016.521354166667</v>
      </c>
      <c r="B87">
        <v>20109769</v>
      </c>
      <c r="C87" s="6" t="s">
        <v>19</v>
      </c>
      <c r="D87">
        <v>57955</v>
      </c>
      <c r="E87" t="s">
        <v>267</v>
      </c>
      <c r="F87">
        <v>1007542294</v>
      </c>
      <c r="G87" t="s">
        <v>1309</v>
      </c>
      <c r="H87">
        <v>100139839</v>
      </c>
      <c r="I87">
        <v>202604</v>
      </c>
      <c r="J87">
        <v>1007542294</v>
      </c>
      <c r="K87" t="s">
        <v>270</v>
      </c>
      <c r="L87" t="s">
        <v>336</v>
      </c>
      <c r="M87" t="s">
        <v>271</v>
      </c>
      <c r="N87" t="s">
        <v>35</v>
      </c>
      <c r="O87" t="s">
        <v>26</v>
      </c>
      <c r="P87" t="s">
        <v>27</v>
      </c>
      <c r="Q87" t="s">
        <v>28</v>
      </c>
      <c r="R87" t="s">
        <v>29</v>
      </c>
      <c r="S87" t="s">
        <v>30</v>
      </c>
      <c r="T87">
        <v>1033714104</v>
      </c>
      <c r="U87" t="s">
        <v>4019</v>
      </c>
      <c r="V87" t="s">
        <v>4020</v>
      </c>
      <c r="W87" s="9">
        <f>IF(V87="pregrado",31,
IF(V87="posgrados",31,
IF(V87="rEINTEGROS",7,
IF(V87="BIT",90,
IF(V87="OP GRADO - INGLÉS",17,"")))))</f>
        <v>17</v>
      </c>
      <c r="X87" t="s">
        <v>4029</v>
      </c>
    </row>
    <row r="88" spans="1:24" ht="15" x14ac:dyDescent="0.35">
      <c r="A88" s="4">
        <v>46021.581388888888</v>
      </c>
      <c r="B88">
        <v>20110398</v>
      </c>
      <c r="C88" s="6" t="s">
        <v>19</v>
      </c>
      <c r="D88">
        <v>57961</v>
      </c>
      <c r="E88" t="s">
        <v>267</v>
      </c>
      <c r="F88">
        <v>1073720661</v>
      </c>
      <c r="G88" t="s">
        <v>1410</v>
      </c>
      <c r="H88">
        <v>100061954</v>
      </c>
      <c r="I88">
        <v>202604</v>
      </c>
      <c r="J88">
        <v>1073720661</v>
      </c>
      <c r="K88" t="s">
        <v>270</v>
      </c>
      <c r="L88" t="s">
        <v>816</v>
      </c>
      <c r="M88" t="s">
        <v>271</v>
      </c>
      <c r="N88" t="s">
        <v>35</v>
      </c>
      <c r="O88" t="s">
        <v>26</v>
      </c>
      <c r="P88" t="s">
        <v>27</v>
      </c>
      <c r="Q88" t="s">
        <v>28</v>
      </c>
      <c r="R88" t="s">
        <v>29</v>
      </c>
      <c r="S88" t="s">
        <v>30</v>
      </c>
      <c r="T88">
        <v>60345453</v>
      </c>
      <c r="U88" t="s">
        <v>4019</v>
      </c>
      <c r="V88" t="s">
        <v>4020</v>
      </c>
      <c r="W88" s="9">
        <f>IF(V88="pregrado",31,
IF(V88="posgrados",31,
IF(V88="rEINTEGROS",7,
IF(V88="BIT",90,
IF(V88="OP GRADO - INGLÉS",17,"")))))</f>
        <v>17</v>
      </c>
      <c r="X88" t="s">
        <v>4063</v>
      </c>
    </row>
    <row r="89" spans="1:24" ht="15" x14ac:dyDescent="0.35">
      <c r="A89" s="4">
        <v>46014.666446759256</v>
      </c>
      <c r="B89">
        <v>20109589</v>
      </c>
      <c r="C89" s="6" t="s">
        <v>19</v>
      </c>
      <c r="D89">
        <v>57971</v>
      </c>
      <c r="E89" t="s">
        <v>267</v>
      </c>
      <c r="F89">
        <v>40775014</v>
      </c>
      <c r="G89" t="s">
        <v>1280</v>
      </c>
      <c r="H89">
        <v>100114156</v>
      </c>
      <c r="I89">
        <v>202604</v>
      </c>
      <c r="J89">
        <v>1034398351</v>
      </c>
      <c r="K89" t="s">
        <v>270</v>
      </c>
      <c r="L89" t="s">
        <v>1281</v>
      </c>
      <c r="M89" t="s">
        <v>271</v>
      </c>
      <c r="N89" t="s">
        <v>35</v>
      </c>
      <c r="O89" t="s">
        <v>26</v>
      </c>
      <c r="P89" t="s">
        <v>27</v>
      </c>
      <c r="Q89" t="s">
        <v>28</v>
      </c>
      <c r="R89" t="s">
        <v>29</v>
      </c>
      <c r="S89" t="s">
        <v>30</v>
      </c>
      <c r="T89">
        <v>1033714104</v>
      </c>
      <c r="U89" t="s">
        <v>4019</v>
      </c>
      <c r="V89" t="s">
        <v>4020</v>
      </c>
      <c r="W89" s="9">
        <f>IF(V89="pregrado",31,
IF(V89="posgrados",31,
IF(V89="rEINTEGROS",7,
IF(V89="BIT",90,
IF(V89="OP GRADO - INGLÉS",17,"")))))</f>
        <v>17</v>
      </c>
      <c r="X89" t="s">
        <v>4029</v>
      </c>
    </row>
    <row r="90" spans="1:24" ht="15" x14ac:dyDescent="0.35">
      <c r="A90" s="4">
        <v>46020.443379629629</v>
      </c>
      <c r="B90">
        <v>20110046</v>
      </c>
      <c r="C90" s="6" t="s">
        <v>19</v>
      </c>
      <c r="D90">
        <v>57976</v>
      </c>
      <c r="E90" t="s">
        <v>267</v>
      </c>
      <c r="F90">
        <v>1014229019</v>
      </c>
      <c r="G90" t="s">
        <v>1356</v>
      </c>
      <c r="H90">
        <v>100201089</v>
      </c>
      <c r="I90">
        <v>202604</v>
      </c>
      <c r="J90">
        <v>1014229019</v>
      </c>
      <c r="K90" t="s">
        <v>270</v>
      </c>
      <c r="L90" t="s">
        <v>336</v>
      </c>
      <c r="M90" t="s">
        <v>271</v>
      </c>
      <c r="N90" t="s">
        <v>35</v>
      </c>
      <c r="O90" t="s">
        <v>26</v>
      </c>
      <c r="P90" t="s">
        <v>27</v>
      </c>
      <c r="Q90" t="s">
        <v>28</v>
      </c>
      <c r="R90" t="s">
        <v>29</v>
      </c>
      <c r="S90" t="s">
        <v>30</v>
      </c>
      <c r="T90">
        <v>1033714104</v>
      </c>
      <c r="U90" t="s">
        <v>4019</v>
      </c>
      <c r="V90" t="s">
        <v>4020</v>
      </c>
      <c r="W90" s="9">
        <f>IF(V90="pregrado",31,
IF(V90="posgrados",31,
IF(V90="rEINTEGROS",7,
IF(V90="BIT",90,
IF(V90="OP GRADO - INGLÉS",17,"")))))</f>
        <v>17</v>
      </c>
      <c r="X90" t="s">
        <v>4029</v>
      </c>
    </row>
    <row r="91" spans="1:24" ht="15" x14ac:dyDescent="0.35">
      <c r="A91" s="4">
        <v>46017.442835648151</v>
      </c>
      <c r="B91">
        <v>20109817</v>
      </c>
      <c r="C91" s="6" t="s">
        <v>19</v>
      </c>
      <c r="D91">
        <v>57979</v>
      </c>
      <c r="E91" t="s">
        <v>267</v>
      </c>
      <c r="F91">
        <v>52552709</v>
      </c>
      <c r="G91" t="s">
        <v>1315</v>
      </c>
      <c r="H91">
        <v>100112754</v>
      </c>
      <c r="I91">
        <v>202604</v>
      </c>
      <c r="J91">
        <v>1014178873</v>
      </c>
      <c r="K91" t="s">
        <v>270</v>
      </c>
      <c r="L91" t="s">
        <v>1316</v>
      </c>
      <c r="M91" t="s">
        <v>271</v>
      </c>
      <c r="N91" t="s">
        <v>35</v>
      </c>
      <c r="O91" t="s">
        <v>26</v>
      </c>
      <c r="P91" t="s">
        <v>27</v>
      </c>
      <c r="Q91" t="s">
        <v>28</v>
      </c>
      <c r="R91" t="s">
        <v>29</v>
      </c>
      <c r="S91" t="s">
        <v>30</v>
      </c>
      <c r="T91">
        <v>60345453</v>
      </c>
      <c r="U91" t="s">
        <v>4019</v>
      </c>
      <c r="V91" t="s">
        <v>4020</v>
      </c>
      <c r="W91" s="9">
        <f>IF(V91="pregrado",31,
IF(V91="posgrados",31,
IF(V91="rEINTEGROS",7,
IF(V91="BIT",90,
IF(V91="OP GRADO - INGLÉS",17,"")))))</f>
        <v>17</v>
      </c>
      <c r="X91" t="s">
        <v>4063</v>
      </c>
    </row>
    <row r="92" spans="1:24" ht="15" x14ac:dyDescent="0.35">
      <c r="A92" s="4">
        <v>46015.483356481483</v>
      </c>
      <c r="B92">
        <v>20109728</v>
      </c>
      <c r="C92" s="6" t="s">
        <v>19</v>
      </c>
      <c r="D92">
        <v>57982</v>
      </c>
      <c r="E92" t="s">
        <v>267</v>
      </c>
      <c r="F92">
        <v>1019084272</v>
      </c>
      <c r="G92" t="s">
        <v>1297</v>
      </c>
      <c r="H92">
        <v>100239858</v>
      </c>
      <c r="I92">
        <v>202604</v>
      </c>
      <c r="J92">
        <v>1032404119</v>
      </c>
      <c r="K92" t="s">
        <v>23</v>
      </c>
      <c r="L92" t="s">
        <v>1258</v>
      </c>
      <c r="M92" t="s">
        <v>271</v>
      </c>
      <c r="N92" t="s">
        <v>35</v>
      </c>
      <c r="O92" t="s">
        <v>26</v>
      </c>
      <c r="P92" t="s">
        <v>27</v>
      </c>
      <c r="Q92" t="s">
        <v>28</v>
      </c>
      <c r="R92" t="s">
        <v>29</v>
      </c>
      <c r="S92" t="s">
        <v>30</v>
      </c>
      <c r="T92">
        <v>1018484247</v>
      </c>
      <c r="U92" t="s">
        <v>4055</v>
      </c>
      <c r="V92" t="s">
        <v>4056</v>
      </c>
      <c r="W92" s="9">
        <f>IF(V92="pregrado",31,
IF(V92="posgrados",31,
IF(V92="rEINTEGROS",7,
IF(V92="BIT",90,
IF(V92="OP GRADO - INGLÉS",17,"")))))</f>
        <v>90</v>
      </c>
      <c r="X92" t="s">
        <v>4069</v>
      </c>
    </row>
    <row r="93" spans="1:24" ht="15" x14ac:dyDescent="0.35">
      <c r="A93" s="4">
        <v>46021.736875000002</v>
      </c>
      <c r="B93">
        <v>20110502</v>
      </c>
      <c r="C93" s="6" t="s">
        <v>19</v>
      </c>
      <c r="D93">
        <v>57989</v>
      </c>
      <c r="E93" t="s">
        <v>267</v>
      </c>
      <c r="F93">
        <v>1014186749</v>
      </c>
      <c r="G93" t="s">
        <v>1426</v>
      </c>
      <c r="H93">
        <v>100239931</v>
      </c>
      <c r="I93">
        <v>202604</v>
      </c>
      <c r="J93">
        <v>1014186749</v>
      </c>
      <c r="K93" t="s">
        <v>23</v>
      </c>
      <c r="L93" t="s">
        <v>1258</v>
      </c>
      <c r="M93" t="s">
        <v>271</v>
      </c>
      <c r="N93" t="s">
        <v>35</v>
      </c>
      <c r="O93" t="s">
        <v>26</v>
      </c>
      <c r="P93" t="s">
        <v>27</v>
      </c>
      <c r="Q93" t="s">
        <v>28</v>
      </c>
      <c r="R93" t="s">
        <v>29</v>
      </c>
      <c r="S93" t="s">
        <v>30</v>
      </c>
      <c r="T93">
        <v>1019052150</v>
      </c>
      <c r="U93" t="s">
        <v>4055</v>
      </c>
      <c r="V93" t="s">
        <v>4056</v>
      </c>
      <c r="W93" s="9">
        <f>IF(V93="pregrado",31,
IF(V93="posgrados",31,
IF(V93="rEINTEGROS",7,
IF(V93="BIT",90,
IF(V93="OP GRADO - INGLÉS",17,"")))))</f>
        <v>90</v>
      </c>
      <c r="X93" t="s">
        <v>4074</v>
      </c>
    </row>
    <row r="94" spans="1:24" ht="15" x14ac:dyDescent="0.35">
      <c r="A94" s="4">
        <v>46052.596516203703</v>
      </c>
      <c r="B94">
        <v>20118969</v>
      </c>
      <c r="C94" s="6" t="s">
        <v>19</v>
      </c>
      <c r="D94">
        <v>57993</v>
      </c>
      <c r="E94" t="s">
        <v>267</v>
      </c>
      <c r="F94">
        <v>1007185600</v>
      </c>
      <c r="G94" t="s">
        <v>2565</v>
      </c>
      <c r="H94">
        <v>100113439</v>
      </c>
      <c r="I94">
        <v>202604</v>
      </c>
      <c r="J94">
        <v>1007185600</v>
      </c>
      <c r="K94" t="s">
        <v>270</v>
      </c>
      <c r="L94" t="s">
        <v>2462</v>
      </c>
      <c r="M94" t="s">
        <v>271</v>
      </c>
      <c r="N94" t="s">
        <v>35</v>
      </c>
      <c r="O94" t="s">
        <v>26</v>
      </c>
      <c r="P94" t="s">
        <v>27</v>
      </c>
      <c r="Q94" t="s">
        <v>28</v>
      </c>
      <c r="R94" t="s">
        <v>29</v>
      </c>
      <c r="S94" t="s">
        <v>30</v>
      </c>
      <c r="T94">
        <v>1033714104</v>
      </c>
      <c r="U94" t="s">
        <v>4019</v>
      </c>
      <c r="V94" t="s">
        <v>4020</v>
      </c>
      <c r="W94" s="9">
        <f>IF(V94="pregrado",31,
IF(V94="posgrados",31,
IF(V94="rEINTEGROS",7,
IF(V94="BIT",90,
IF(V94="OP GRADO - INGLÉS",17,"")))))</f>
        <v>17</v>
      </c>
      <c r="X94" t="s">
        <v>4029</v>
      </c>
    </row>
    <row r="95" spans="1:24" ht="15" x14ac:dyDescent="0.35">
      <c r="A95" s="4">
        <v>46021.599120370367</v>
      </c>
      <c r="B95">
        <v>20110407</v>
      </c>
      <c r="C95" s="6" t="s">
        <v>19</v>
      </c>
      <c r="D95">
        <v>58011</v>
      </c>
      <c r="E95" t="s">
        <v>267</v>
      </c>
      <c r="F95">
        <v>98362977</v>
      </c>
      <c r="G95" t="s">
        <v>1413</v>
      </c>
      <c r="H95">
        <v>100240165</v>
      </c>
      <c r="I95">
        <v>202604</v>
      </c>
      <c r="J95">
        <v>98362977</v>
      </c>
      <c r="K95" t="s">
        <v>23</v>
      </c>
      <c r="L95" t="s">
        <v>1414</v>
      </c>
      <c r="M95" t="s">
        <v>271</v>
      </c>
      <c r="N95" t="s">
        <v>35</v>
      </c>
      <c r="O95" t="s">
        <v>26</v>
      </c>
      <c r="P95" t="s">
        <v>27</v>
      </c>
      <c r="Q95" t="s">
        <v>28</v>
      </c>
      <c r="R95" t="s">
        <v>29</v>
      </c>
      <c r="S95" t="s">
        <v>30</v>
      </c>
      <c r="T95">
        <v>52221286</v>
      </c>
      <c r="U95" t="s">
        <v>4055</v>
      </c>
      <c r="V95" t="s">
        <v>4056</v>
      </c>
      <c r="W95" s="9">
        <f>IF(V95="pregrado",31,
IF(V95="posgrados",31,
IF(V95="rEINTEGROS",7,
IF(V95="BIT",90,
IF(V95="OP GRADO - INGLÉS",17,"")))))</f>
        <v>90</v>
      </c>
      <c r="X95" t="s">
        <v>4076</v>
      </c>
    </row>
    <row r="96" spans="1:24" ht="15" x14ac:dyDescent="0.35">
      <c r="A96" s="4">
        <v>46043.608680555553</v>
      </c>
      <c r="B96">
        <v>20115802</v>
      </c>
      <c r="C96" s="6" t="s">
        <v>19</v>
      </c>
      <c r="D96">
        <v>58014</v>
      </c>
      <c r="E96" t="s">
        <v>267</v>
      </c>
      <c r="F96">
        <v>1010080904</v>
      </c>
      <c r="G96" t="s">
        <v>2096</v>
      </c>
      <c r="H96">
        <v>100044762</v>
      </c>
      <c r="I96">
        <v>202604</v>
      </c>
      <c r="J96">
        <v>1010080904</v>
      </c>
      <c r="K96" t="s">
        <v>270</v>
      </c>
      <c r="L96" t="s">
        <v>1281</v>
      </c>
      <c r="M96" t="s">
        <v>271</v>
      </c>
      <c r="N96" t="s">
        <v>35</v>
      </c>
      <c r="O96" t="s">
        <v>26</v>
      </c>
      <c r="P96" t="s">
        <v>27</v>
      </c>
      <c r="Q96" t="s">
        <v>28</v>
      </c>
      <c r="R96" t="s">
        <v>29</v>
      </c>
      <c r="S96" t="s">
        <v>30</v>
      </c>
      <c r="T96">
        <v>1033714104</v>
      </c>
      <c r="U96" t="s">
        <v>4019</v>
      </c>
      <c r="V96" t="s">
        <v>4020</v>
      </c>
      <c r="W96" s="9">
        <f>IF(V96="pregrado",31,
IF(V96="posgrados",31,
IF(V96="rEINTEGROS",7,
IF(V96="BIT",90,
IF(V96="OP GRADO - INGLÉS",17,"")))))</f>
        <v>17</v>
      </c>
      <c r="X96" t="s">
        <v>4029</v>
      </c>
    </row>
    <row r="97" spans="1:24" ht="15" x14ac:dyDescent="0.35">
      <c r="A97" s="4">
        <v>46022.376574074071</v>
      </c>
      <c r="B97">
        <v>20110556</v>
      </c>
      <c r="C97" s="6" t="s">
        <v>19</v>
      </c>
      <c r="D97">
        <v>58016</v>
      </c>
      <c r="E97" t="s">
        <v>267</v>
      </c>
      <c r="F97">
        <v>1022922677</v>
      </c>
      <c r="G97" t="s">
        <v>1435</v>
      </c>
      <c r="H97">
        <v>100240160</v>
      </c>
      <c r="I97">
        <v>202604</v>
      </c>
      <c r="J97">
        <v>1022922677</v>
      </c>
      <c r="K97" t="s">
        <v>23</v>
      </c>
      <c r="L97" t="s">
        <v>1414</v>
      </c>
      <c r="M97" t="s">
        <v>271</v>
      </c>
      <c r="N97" t="s">
        <v>35</v>
      </c>
      <c r="O97" t="s">
        <v>26</v>
      </c>
      <c r="P97" t="s">
        <v>27</v>
      </c>
      <c r="Q97" t="s">
        <v>28</v>
      </c>
      <c r="R97" t="s">
        <v>29</v>
      </c>
      <c r="S97" t="s">
        <v>30</v>
      </c>
      <c r="T97">
        <v>1018484247</v>
      </c>
      <c r="U97" t="s">
        <v>4055</v>
      </c>
      <c r="V97" t="s">
        <v>4056</v>
      </c>
      <c r="W97" s="9">
        <f>IF(V97="pregrado",31,
IF(V97="posgrados",31,
IF(V97="rEINTEGROS",7,
IF(V97="BIT",90,
IF(V97="OP GRADO - INGLÉS",17,"")))))</f>
        <v>90</v>
      </c>
      <c r="X97" t="s">
        <v>4069</v>
      </c>
    </row>
    <row r="98" spans="1:24" ht="15" x14ac:dyDescent="0.35">
      <c r="A98" s="4">
        <v>46030.645173611112</v>
      </c>
      <c r="B98">
        <v>20111783</v>
      </c>
      <c r="C98" s="6" t="s">
        <v>19</v>
      </c>
      <c r="D98">
        <v>58020</v>
      </c>
      <c r="E98" t="s">
        <v>267</v>
      </c>
      <c r="F98">
        <v>52186130</v>
      </c>
      <c r="G98" t="s">
        <v>1600</v>
      </c>
      <c r="H98">
        <v>100131071</v>
      </c>
      <c r="I98">
        <v>202604</v>
      </c>
      <c r="J98">
        <v>20927781</v>
      </c>
      <c r="K98" t="s">
        <v>270</v>
      </c>
      <c r="L98" t="s">
        <v>316</v>
      </c>
      <c r="M98" t="s">
        <v>271</v>
      </c>
      <c r="N98" t="s">
        <v>35</v>
      </c>
      <c r="O98" t="s">
        <v>26</v>
      </c>
      <c r="P98" t="s">
        <v>27</v>
      </c>
      <c r="Q98" t="s">
        <v>28</v>
      </c>
      <c r="R98" t="s">
        <v>29</v>
      </c>
      <c r="S98" t="s">
        <v>30</v>
      </c>
      <c r="T98">
        <v>1033714104</v>
      </c>
      <c r="U98" t="s">
        <v>4019</v>
      </c>
      <c r="V98" t="s">
        <v>4020</v>
      </c>
      <c r="W98" s="9">
        <f>IF(V98="pregrado",31,
IF(V98="posgrados",31,
IF(V98="rEINTEGROS",7,
IF(V98="BIT",90,
IF(V98="OP GRADO - INGLÉS",17,"")))))</f>
        <v>17</v>
      </c>
      <c r="X98" t="s">
        <v>4029</v>
      </c>
    </row>
    <row r="99" spans="1:24" ht="15" x14ac:dyDescent="0.35">
      <c r="A99" s="4">
        <v>46021.745671296296</v>
      </c>
      <c r="B99">
        <v>20110506</v>
      </c>
      <c r="C99" s="6" t="s">
        <v>19</v>
      </c>
      <c r="D99">
        <v>58021</v>
      </c>
      <c r="E99" t="s">
        <v>267</v>
      </c>
      <c r="F99">
        <v>1010002576</v>
      </c>
      <c r="G99" t="s">
        <v>1427</v>
      </c>
      <c r="H99">
        <v>100240194</v>
      </c>
      <c r="I99">
        <v>202604</v>
      </c>
      <c r="J99">
        <v>1010002576</v>
      </c>
      <c r="K99" t="s">
        <v>23</v>
      </c>
      <c r="L99" t="s">
        <v>1258</v>
      </c>
      <c r="M99" t="s">
        <v>271</v>
      </c>
      <c r="N99" t="s">
        <v>35</v>
      </c>
      <c r="O99" t="s">
        <v>26</v>
      </c>
      <c r="P99" t="s">
        <v>27</v>
      </c>
      <c r="Q99" t="s">
        <v>28</v>
      </c>
      <c r="R99" t="s">
        <v>29</v>
      </c>
      <c r="S99" t="s">
        <v>30</v>
      </c>
      <c r="T99">
        <v>1014285426</v>
      </c>
      <c r="U99" t="s">
        <v>4055</v>
      </c>
      <c r="V99" t="s">
        <v>4056</v>
      </c>
      <c r="W99" s="9">
        <f>IF(V99="pregrado",31,
IF(V99="posgrados",31,
IF(V99="rEINTEGROS",7,
IF(V99="BIT",90,
IF(V99="OP GRADO - INGLÉS",17,"")))))</f>
        <v>90</v>
      </c>
      <c r="X99" t="s">
        <v>4081</v>
      </c>
    </row>
    <row r="100" spans="1:24" ht="15" x14ac:dyDescent="0.35">
      <c r="A100" s="4">
        <v>46031.644791666666</v>
      </c>
      <c r="B100">
        <v>20112123</v>
      </c>
      <c r="C100" s="6" t="s">
        <v>19</v>
      </c>
      <c r="D100">
        <v>58022</v>
      </c>
      <c r="E100" t="s">
        <v>267</v>
      </c>
      <c r="F100">
        <v>18004288</v>
      </c>
      <c r="G100" t="s">
        <v>1652</v>
      </c>
      <c r="H100">
        <v>100240224</v>
      </c>
      <c r="I100">
        <v>202604</v>
      </c>
      <c r="J100">
        <v>1014293421</v>
      </c>
      <c r="K100" t="s">
        <v>23</v>
      </c>
      <c r="L100" t="s">
        <v>1258</v>
      </c>
      <c r="M100" t="s">
        <v>271</v>
      </c>
      <c r="N100" t="s">
        <v>35</v>
      </c>
      <c r="O100" t="s">
        <v>26</v>
      </c>
      <c r="P100" t="s">
        <v>27</v>
      </c>
      <c r="Q100" t="s">
        <v>28</v>
      </c>
      <c r="R100" t="s">
        <v>29</v>
      </c>
      <c r="S100" t="s">
        <v>30</v>
      </c>
      <c r="T100">
        <v>1193566421</v>
      </c>
      <c r="U100" t="s">
        <v>4055</v>
      </c>
      <c r="V100" t="s">
        <v>4056</v>
      </c>
      <c r="W100" s="9">
        <f>IF(V100="pregrado",31,
IF(V100="posgrados",31,
IF(V100="rEINTEGROS",7,
IF(V100="BIT",90,
IF(V100="OP GRADO - INGLÉS",17,"")))))</f>
        <v>90</v>
      </c>
      <c r="X100" t="s">
        <v>4075</v>
      </c>
    </row>
    <row r="101" spans="1:24" ht="15" x14ac:dyDescent="0.35">
      <c r="A101" s="4">
        <v>46024.789780092593</v>
      </c>
      <c r="B101">
        <v>20110757</v>
      </c>
      <c r="C101" s="6" t="s">
        <v>19</v>
      </c>
      <c r="D101">
        <v>58024</v>
      </c>
      <c r="E101" t="s">
        <v>267</v>
      </c>
      <c r="F101">
        <v>1013631862</v>
      </c>
      <c r="G101" t="s">
        <v>1465</v>
      </c>
      <c r="H101">
        <v>100146403</v>
      </c>
      <c r="I101">
        <v>202604</v>
      </c>
      <c r="J101">
        <v>1013631862</v>
      </c>
      <c r="K101" t="s">
        <v>270</v>
      </c>
      <c r="L101" t="s">
        <v>596</v>
      </c>
      <c r="M101" t="s">
        <v>271</v>
      </c>
      <c r="N101" t="s">
        <v>35</v>
      </c>
      <c r="O101" t="s">
        <v>26</v>
      </c>
      <c r="P101" t="s">
        <v>27</v>
      </c>
      <c r="Q101" t="s">
        <v>28</v>
      </c>
      <c r="R101" t="s">
        <v>29</v>
      </c>
      <c r="S101" t="s">
        <v>30</v>
      </c>
      <c r="T101">
        <v>1033714104</v>
      </c>
      <c r="U101" t="s">
        <v>4019</v>
      </c>
      <c r="V101" t="s">
        <v>4020</v>
      </c>
      <c r="W101" s="9">
        <f>IF(V101="pregrado",31,
IF(V101="posgrados",31,
IF(V101="rEINTEGROS",7,
IF(V101="BIT",90,
IF(V101="OP GRADO - INGLÉS",17,"")))))</f>
        <v>17</v>
      </c>
      <c r="X101" t="s">
        <v>4029</v>
      </c>
    </row>
    <row r="102" spans="1:24" ht="15" x14ac:dyDescent="0.35">
      <c r="A102" s="4">
        <v>46024.035567129627</v>
      </c>
      <c r="B102">
        <v>20110656</v>
      </c>
      <c r="C102" s="6" t="s">
        <v>19</v>
      </c>
      <c r="D102">
        <v>58031</v>
      </c>
      <c r="E102" t="s">
        <v>267</v>
      </c>
      <c r="F102">
        <v>25991906</v>
      </c>
      <c r="G102" t="s">
        <v>1453</v>
      </c>
      <c r="H102">
        <v>100169949</v>
      </c>
      <c r="I102">
        <v>202604</v>
      </c>
      <c r="J102">
        <v>1143384240</v>
      </c>
      <c r="K102" t="s">
        <v>270</v>
      </c>
      <c r="L102" t="s">
        <v>738</v>
      </c>
      <c r="M102" t="s">
        <v>271</v>
      </c>
      <c r="N102" t="s">
        <v>35</v>
      </c>
      <c r="O102" t="s">
        <v>26</v>
      </c>
      <c r="P102" t="s">
        <v>27</v>
      </c>
      <c r="Q102" t="s">
        <v>28</v>
      </c>
      <c r="R102" t="s">
        <v>29</v>
      </c>
      <c r="S102" t="s">
        <v>30</v>
      </c>
      <c r="T102">
        <v>1033714104</v>
      </c>
      <c r="U102" t="s">
        <v>4019</v>
      </c>
      <c r="V102" t="s">
        <v>4020</v>
      </c>
      <c r="W102" s="9">
        <f>IF(V102="pregrado",31,
IF(V102="posgrados",31,
IF(V102="rEINTEGROS",7,
IF(V102="BIT",90,
IF(V102="OP GRADO - INGLÉS",17,"")))))</f>
        <v>17</v>
      </c>
      <c r="X102" t="s">
        <v>4029</v>
      </c>
    </row>
    <row r="103" spans="1:24" ht="15" x14ac:dyDescent="0.35">
      <c r="A103" s="4">
        <v>46032.429479166669</v>
      </c>
      <c r="B103">
        <v>20112259</v>
      </c>
      <c r="C103" s="6" t="s">
        <v>19</v>
      </c>
      <c r="D103">
        <v>58045</v>
      </c>
      <c r="E103" t="s">
        <v>267</v>
      </c>
      <c r="F103">
        <v>1060417453</v>
      </c>
      <c r="G103" t="s">
        <v>1669</v>
      </c>
      <c r="H103">
        <v>100201225</v>
      </c>
      <c r="I103">
        <v>202604</v>
      </c>
      <c r="J103">
        <v>1060417453</v>
      </c>
      <c r="K103" t="s">
        <v>270</v>
      </c>
      <c r="L103" t="s">
        <v>513</v>
      </c>
      <c r="M103" t="s">
        <v>271</v>
      </c>
      <c r="N103" t="s">
        <v>35</v>
      </c>
      <c r="O103" t="s">
        <v>26</v>
      </c>
      <c r="P103" t="s">
        <v>27</v>
      </c>
      <c r="Q103" t="s">
        <v>28</v>
      </c>
      <c r="R103" t="s">
        <v>29</v>
      </c>
      <c r="S103" t="s">
        <v>30</v>
      </c>
      <c r="T103">
        <v>60345453</v>
      </c>
      <c r="U103" t="s">
        <v>4019</v>
      </c>
      <c r="V103" t="s">
        <v>4020</v>
      </c>
      <c r="W103" s="9">
        <f>IF(V103="pregrado",31,
IF(V103="posgrados",31,
IF(V103="rEINTEGROS",7,
IF(V103="BIT",90,
IF(V103="OP GRADO - INGLÉS",17,"")))))</f>
        <v>17</v>
      </c>
      <c r="X103" t="s">
        <v>4063</v>
      </c>
    </row>
    <row r="104" spans="1:24" ht="15" x14ac:dyDescent="0.35">
      <c r="A104" s="4">
        <v>46028.765335648146</v>
      </c>
      <c r="B104">
        <v>20111305</v>
      </c>
      <c r="C104" s="6" t="s">
        <v>19</v>
      </c>
      <c r="D104">
        <v>58047</v>
      </c>
      <c r="E104" t="s">
        <v>267</v>
      </c>
      <c r="F104">
        <v>1057593146</v>
      </c>
      <c r="G104" t="s">
        <v>1536</v>
      </c>
      <c r="H104">
        <v>100240402</v>
      </c>
      <c r="I104">
        <v>202604</v>
      </c>
      <c r="J104">
        <v>1057593146</v>
      </c>
      <c r="K104" t="s">
        <v>23</v>
      </c>
      <c r="L104" t="s">
        <v>1258</v>
      </c>
      <c r="M104" t="s">
        <v>271</v>
      </c>
      <c r="N104" t="s">
        <v>35</v>
      </c>
      <c r="O104" t="s">
        <v>26</v>
      </c>
      <c r="P104" t="s">
        <v>27</v>
      </c>
      <c r="Q104" t="s">
        <v>28</v>
      </c>
      <c r="R104" t="s">
        <v>29</v>
      </c>
      <c r="S104" t="s">
        <v>30</v>
      </c>
      <c r="T104">
        <v>1193566421</v>
      </c>
      <c r="U104" t="s">
        <v>4055</v>
      </c>
      <c r="V104" t="s">
        <v>4056</v>
      </c>
      <c r="W104" s="9">
        <f>IF(V104="pregrado",31,
IF(V104="posgrados",31,
IF(V104="rEINTEGROS",7,
IF(V104="BIT",90,
IF(V104="OP GRADO - INGLÉS",17,"")))))</f>
        <v>90</v>
      </c>
      <c r="X104" t="s">
        <v>4075</v>
      </c>
    </row>
    <row r="105" spans="1:24" ht="15" x14ac:dyDescent="0.35">
      <c r="A105" s="4">
        <v>46036.702291666668</v>
      </c>
      <c r="B105">
        <v>20113241</v>
      </c>
      <c r="C105" s="6" t="s">
        <v>19</v>
      </c>
      <c r="D105">
        <v>58050</v>
      </c>
      <c r="E105" t="s">
        <v>267</v>
      </c>
      <c r="F105">
        <v>43718534</v>
      </c>
      <c r="G105" t="s">
        <v>1794</v>
      </c>
      <c r="H105">
        <v>100036346</v>
      </c>
      <c r="I105">
        <v>202604</v>
      </c>
      <c r="J105">
        <v>43718534</v>
      </c>
      <c r="K105" t="s">
        <v>270</v>
      </c>
      <c r="L105" t="s">
        <v>513</v>
      </c>
      <c r="M105" t="s">
        <v>271</v>
      </c>
      <c r="N105" t="s">
        <v>35</v>
      </c>
      <c r="O105" t="s">
        <v>26</v>
      </c>
      <c r="P105" t="s">
        <v>27</v>
      </c>
      <c r="Q105" t="s">
        <v>28</v>
      </c>
      <c r="R105" t="s">
        <v>29</v>
      </c>
      <c r="S105" t="s">
        <v>30</v>
      </c>
      <c r="T105">
        <v>60345453</v>
      </c>
      <c r="U105" t="s">
        <v>4019</v>
      </c>
      <c r="V105" t="s">
        <v>4020</v>
      </c>
      <c r="W105" s="9">
        <f>IF(V105="pregrado",31,
IF(V105="posgrados",31,
IF(V105="rEINTEGROS",7,
IF(V105="BIT",90,
IF(V105="OP GRADO - INGLÉS",17,"")))))</f>
        <v>17</v>
      </c>
      <c r="X105" t="s">
        <v>4063</v>
      </c>
    </row>
    <row r="106" spans="1:24" ht="15" x14ac:dyDescent="0.35">
      <c r="A106" s="4">
        <v>46028.594085648147</v>
      </c>
      <c r="B106">
        <v>20111210</v>
      </c>
      <c r="C106" s="6" t="s">
        <v>19</v>
      </c>
      <c r="D106">
        <v>58054</v>
      </c>
      <c r="E106" t="s">
        <v>267</v>
      </c>
      <c r="F106">
        <v>1000790325</v>
      </c>
      <c r="G106" t="s">
        <v>1520</v>
      </c>
      <c r="H106">
        <v>100184961</v>
      </c>
      <c r="I106">
        <v>202604</v>
      </c>
      <c r="J106">
        <v>1000790325</v>
      </c>
      <c r="K106" t="s">
        <v>270</v>
      </c>
      <c r="L106" t="s">
        <v>1521</v>
      </c>
      <c r="M106" t="s">
        <v>271</v>
      </c>
      <c r="N106" t="s">
        <v>35</v>
      </c>
      <c r="O106" t="s">
        <v>26</v>
      </c>
      <c r="P106" t="s">
        <v>27</v>
      </c>
      <c r="Q106" t="s">
        <v>28</v>
      </c>
      <c r="R106" t="s">
        <v>29</v>
      </c>
      <c r="S106" t="s">
        <v>30</v>
      </c>
      <c r="T106">
        <v>1033714104</v>
      </c>
      <c r="U106" t="s">
        <v>4019</v>
      </c>
      <c r="V106" t="s">
        <v>4020</v>
      </c>
      <c r="W106" s="9">
        <f>IF(V106="pregrado",31,
IF(V106="posgrados",31,
IF(V106="rEINTEGROS",7,
IF(V106="BIT",90,
IF(V106="OP GRADO - INGLÉS",17,"")))))</f>
        <v>17</v>
      </c>
      <c r="X106" t="s">
        <v>4029</v>
      </c>
    </row>
    <row r="107" spans="1:24" ht="15" x14ac:dyDescent="0.35">
      <c r="A107" s="4">
        <v>46027.7425</v>
      </c>
      <c r="B107">
        <v>20111050</v>
      </c>
      <c r="C107" s="6" t="s">
        <v>19</v>
      </c>
      <c r="D107">
        <v>58055</v>
      </c>
      <c r="E107" t="s">
        <v>267</v>
      </c>
      <c r="F107">
        <v>1013675108</v>
      </c>
      <c r="G107" t="s">
        <v>1496</v>
      </c>
      <c r="H107">
        <v>100240436</v>
      </c>
      <c r="I107">
        <v>202604</v>
      </c>
      <c r="J107">
        <v>1013675108</v>
      </c>
      <c r="K107" t="s">
        <v>23</v>
      </c>
      <c r="L107" t="s">
        <v>1258</v>
      </c>
      <c r="M107" t="s">
        <v>271</v>
      </c>
      <c r="N107" t="s">
        <v>35</v>
      </c>
      <c r="O107" t="s">
        <v>26</v>
      </c>
      <c r="P107" t="s">
        <v>27</v>
      </c>
      <c r="Q107" t="s">
        <v>28</v>
      </c>
      <c r="R107" t="s">
        <v>29</v>
      </c>
      <c r="S107" t="s">
        <v>30</v>
      </c>
      <c r="T107">
        <v>52221286</v>
      </c>
      <c r="U107" t="s">
        <v>4055</v>
      </c>
      <c r="V107" t="s">
        <v>4056</v>
      </c>
      <c r="W107" s="9">
        <f>IF(V107="pregrado",31,
IF(V107="posgrados",31,
IF(V107="rEINTEGROS",7,
IF(V107="BIT",90,
IF(V107="OP GRADO - INGLÉS",17,"")))))</f>
        <v>90</v>
      </c>
      <c r="X107" t="s">
        <v>4076</v>
      </c>
    </row>
    <row r="108" spans="1:24" ht="15" x14ac:dyDescent="0.35">
      <c r="A108" s="4">
        <v>46031.577997685185</v>
      </c>
      <c r="B108">
        <v>20112076</v>
      </c>
      <c r="C108" s="6" t="s">
        <v>19</v>
      </c>
      <c r="D108">
        <v>58066</v>
      </c>
      <c r="E108" t="s">
        <v>267</v>
      </c>
      <c r="F108">
        <v>41426109</v>
      </c>
      <c r="G108" t="s">
        <v>1644</v>
      </c>
      <c r="H108">
        <v>100240292</v>
      </c>
      <c r="I108">
        <v>202604</v>
      </c>
      <c r="J108">
        <v>1000514448</v>
      </c>
      <c r="K108" t="s">
        <v>23</v>
      </c>
      <c r="L108" t="s">
        <v>1066</v>
      </c>
      <c r="M108" t="s">
        <v>271</v>
      </c>
      <c r="N108" t="s">
        <v>35</v>
      </c>
      <c r="O108" t="s">
        <v>26</v>
      </c>
      <c r="P108" t="s">
        <v>27</v>
      </c>
      <c r="Q108" t="s">
        <v>28</v>
      </c>
      <c r="R108" t="s">
        <v>29</v>
      </c>
      <c r="S108" t="s">
        <v>30</v>
      </c>
      <c r="T108">
        <v>1018484247</v>
      </c>
      <c r="U108" t="s">
        <v>4055</v>
      </c>
      <c r="V108" t="s">
        <v>4056</v>
      </c>
      <c r="W108" s="9">
        <f>IF(V108="pregrado",31,
IF(V108="posgrados",31,
IF(V108="rEINTEGROS",7,
IF(V108="BIT",90,
IF(V108="OP GRADO - INGLÉS",17,"")))))</f>
        <v>90</v>
      </c>
      <c r="X108" t="s">
        <v>4069</v>
      </c>
    </row>
    <row r="109" spans="1:24" ht="15" x14ac:dyDescent="0.35">
      <c r="A109" s="4">
        <v>46054.487916666665</v>
      </c>
      <c r="B109">
        <v>20119381</v>
      </c>
      <c r="C109" s="6" t="s">
        <v>19</v>
      </c>
      <c r="D109">
        <v>58069</v>
      </c>
      <c r="E109" t="s">
        <v>267</v>
      </c>
      <c r="F109">
        <v>1086363816</v>
      </c>
      <c r="G109" t="s">
        <v>2638</v>
      </c>
      <c r="H109">
        <v>100092961</v>
      </c>
      <c r="I109">
        <v>202604</v>
      </c>
      <c r="J109">
        <v>1086363816</v>
      </c>
      <c r="K109" t="s">
        <v>270</v>
      </c>
      <c r="L109" t="s">
        <v>336</v>
      </c>
      <c r="M109" t="s">
        <v>271</v>
      </c>
      <c r="N109" t="s">
        <v>35</v>
      </c>
      <c r="O109" t="s">
        <v>26</v>
      </c>
      <c r="P109" t="s">
        <v>27</v>
      </c>
      <c r="Q109" t="s">
        <v>28</v>
      </c>
      <c r="R109" t="s">
        <v>29</v>
      </c>
      <c r="S109" t="s">
        <v>30</v>
      </c>
      <c r="T109">
        <v>1033714104</v>
      </c>
      <c r="U109" t="s">
        <v>4019</v>
      </c>
      <c r="V109" t="s">
        <v>4020</v>
      </c>
      <c r="W109" s="9">
        <f>IF(V109="pregrado",31,
IF(V109="posgrados",31,
IF(V109="rEINTEGROS",7,
IF(V109="BIT",90,
IF(V109="OP GRADO - INGLÉS",17,"")))))</f>
        <v>17</v>
      </c>
      <c r="X109" t="s">
        <v>4029</v>
      </c>
    </row>
    <row r="110" spans="1:24" ht="15" x14ac:dyDescent="0.35">
      <c r="A110" s="4">
        <v>46035.996122685188</v>
      </c>
      <c r="B110">
        <v>20112824</v>
      </c>
      <c r="C110" s="6" t="s">
        <v>19</v>
      </c>
      <c r="D110">
        <v>58073</v>
      </c>
      <c r="E110" t="s">
        <v>267</v>
      </c>
      <c r="F110">
        <v>80130391</v>
      </c>
      <c r="G110" t="s">
        <v>1729</v>
      </c>
      <c r="H110">
        <v>100098047</v>
      </c>
      <c r="I110">
        <v>202604</v>
      </c>
      <c r="J110">
        <v>1025140445</v>
      </c>
      <c r="K110" t="s">
        <v>270</v>
      </c>
      <c r="L110" t="s">
        <v>409</v>
      </c>
      <c r="M110" t="s">
        <v>271</v>
      </c>
      <c r="N110" t="s">
        <v>35</v>
      </c>
      <c r="O110" t="s">
        <v>26</v>
      </c>
      <c r="P110" t="s">
        <v>27</v>
      </c>
      <c r="Q110" t="s">
        <v>28</v>
      </c>
      <c r="R110" t="s">
        <v>29</v>
      </c>
      <c r="S110" t="s">
        <v>30</v>
      </c>
      <c r="T110">
        <v>60345453</v>
      </c>
      <c r="U110" t="s">
        <v>4019</v>
      </c>
      <c r="V110" t="s">
        <v>4020</v>
      </c>
      <c r="W110" s="9">
        <f>IF(V110="pregrado",31,
IF(V110="posgrados",31,
IF(V110="rEINTEGROS",7,
IF(V110="BIT",90,
IF(V110="OP GRADO - INGLÉS",17,"")))))</f>
        <v>17</v>
      </c>
      <c r="X110" t="s">
        <v>4063</v>
      </c>
    </row>
    <row r="111" spans="1:24" ht="15" x14ac:dyDescent="0.35">
      <c r="A111" s="4">
        <v>46042.492256944446</v>
      </c>
      <c r="B111">
        <v>20115262</v>
      </c>
      <c r="C111" s="6" t="s">
        <v>19</v>
      </c>
      <c r="D111">
        <v>58076</v>
      </c>
      <c r="E111" t="s">
        <v>267</v>
      </c>
      <c r="F111">
        <v>86079568</v>
      </c>
      <c r="G111" t="s">
        <v>2015</v>
      </c>
      <c r="H111">
        <v>100224920</v>
      </c>
      <c r="I111">
        <v>202604</v>
      </c>
      <c r="J111">
        <v>1010053142</v>
      </c>
      <c r="K111" t="s">
        <v>270</v>
      </c>
      <c r="L111" t="s">
        <v>2016</v>
      </c>
      <c r="M111" t="s">
        <v>271</v>
      </c>
      <c r="N111" t="s">
        <v>35</v>
      </c>
      <c r="O111" t="s">
        <v>26</v>
      </c>
      <c r="P111" t="s">
        <v>27</v>
      </c>
      <c r="Q111" t="s">
        <v>28</v>
      </c>
      <c r="R111" t="s">
        <v>29</v>
      </c>
      <c r="S111" t="s">
        <v>30</v>
      </c>
      <c r="T111">
        <v>1033714104</v>
      </c>
      <c r="U111" t="s">
        <v>4019</v>
      </c>
      <c r="V111" t="s">
        <v>4020</v>
      </c>
      <c r="W111" s="9">
        <f>IF(V111="pregrado",31,
IF(V111="posgrados",31,
IF(V111="rEINTEGROS",7,
IF(V111="BIT",90,
IF(V111="OP GRADO - INGLÉS",17,"")))))</f>
        <v>17</v>
      </c>
      <c r="X111" t="s">
        <v>4029</v>
      </c>
    </row>
    <row r="112" spans="1:24" ht="15" x14ac:dyDescent="0.35">
      <c r="A112" s="4">
        <v>46029.587430555555</v>
      </c>
      <c r="B112">
        <v>20111478</v>
      </c>
      <c r="C112" s="6" t="s">
        <v>19</v>
      </c>
      <c r="D112">
        <v>58077</v>
      </c>
      <c r="E112" t="s">
        <v>267</v>
      </c>
      <c r="F112">
        <v>1020414508</v>
      </c>
      <c r="G112" t="s">
        <v>1560</v>
      </c>
      <c r="H112">
        <v>100240636</v>
      </c>
      <c r="I112">
        <v>202604</v>
      </c>
      <c r="J112">
        <v>1025644883</v>
      </c>
      <c r="K112" t="s">
        <v>23</v>
      </c>
      <c r="L112" t="s">
        <v>1414</v>
      </c>
      <c r="M112" t="s">
        <v>271</v>
      </c>
      <c r="N112" t="s">
        <v>35</v>
      </c>
      <c r="O112" t="s">
        <v>26</v>
      </c>
      <c r="P112" t="s">
        <v>27</v>
      </c>
      <c r="Q112" t="s">
        <v>28</v>
      </c>
      <c r="R112" t="s">
        <v>29</v>
      </c>
      <c r="S112" t="s">
        <v>30</v>
      </c>
      <c r="T112">
        <v>1000788047</v>
      </c>
      <c r="U112" t="s">
        <v>4055</v>
      </c>
      <c r="V112" t="s">
        <v>4056</v>
      </c>
      <c r="W112" s="9">
        <f>IF(V112="pregrado",31,
IF(V112="posgrados",31,
IF(V112="rEINTEGROS",7,
IF(V112="BIT",90,
IF(V112="OP GRADO - INGLÉS",17,"")))))</f>
        <v>90</v>
      </c>
      <c r="X112" t="s">
        <v>4068</v>
      </c>
    </row>
    <row r="113" spans="1:24" ht="15" x14ac:dyDescent="0.35">
      <c r="A113" s="4">
        <v>46057.356099537035</v>
      </c>
      <c r="B113">
        <v>20120295</v>
      </c>
      <c r="C113" s="6" t="s">
        <v>19</v>
      </c>
      <c r="D113">
        <v>58105</v>
      </c>
      <c r="E113" t="s">
        <v>267</v>
      </c>
      <c r="F113">
        <v>1002394196</v>
      </c>
      <c r="G113" t="s">
        <v>2719</v>
      </c>
      <c r="H113">
        <v>100104451</v>
      </c>
      <c r="I113">
        <v>202604</v>
      </c>
      <c r="J113">
        <v>1023011098</v>
      </c>
      <c r="K113" t="s">
        <v>270</v>
      </c>
      <c r="L113" t="s">
        <v>1521</v>
      </c>
      <c r="M113" t="s">
        <v>271</v>
      </c>
      <c r="N113" t="s">
        <v>35</v>
      </c>
      <c r="O113" t="s">
        <v>26</v>
      </c>
      <c r="P113" t="s">
        <v>27</v>
      </c>
      <c r="Q113" t="s">
        <v>28</v>
      </c>
      <c r="R113" t="s">
        <v>29</v>
      </c>
      <c r="S113" t="s">
        <v>30</v>
      </c>
      <c r="T113">
        <v>1033714104</v>
      </c>
      <c r="U113" t="s">
        <v>4019</v>
      </c>
      <c r="V113" t="s">
        <v>4020</v>
      </c>
      <c r="W113" s="9">
        <f>IF(V113="pregrado",31,
IF(V113="posgrados",31,
IF(V113="rEINTEGROS",7,
IF(V113="BIT",90,
IF(V113="OP GRADO - INGLÉS",17,"")))))</f>
        <v>17</v>
      </c>
      <c r="X113" t="s">
        <v>4029</v>
      </c>
    </row>
    <row r="114" spans="1:24" ht="15" x14ac:dyDescent="0.35">
      <c r="A114" s="4">
        <v>46030.661643518521</v>
      </c>
      <c r="B114">
        <v>20111805</v>
      </c>
      <c r="C114" s="6" t="s">
        <v>19</v>
      </c>
      <c r="D114">
        <v>58119</v>
      </c>
      <c r="E114" t="s">
        <v>267</v>
      </c>
      <c r="F114">
        <v>1116924264</v>
      </c>
      <c r="G114" t="s">
        <v>1604</v>
      </c>
      <c r="H114">
        <v>100221515</v>
      </c>
      <c r="I114">
        <v>202604</v>
      </c>
      <c r="J114">
        <v>1116924264</v>
      </c>
      <c r="K114" t="s">
        <v>270</v>
      </c>
      <c r="L114" t="s">
        <v>373</v>
      </c>
      <c r="M114" t="s">
        <v>271</v>
      </c>
      <c r="N114" t="s">
        <v>35</v>
      </c>
      <c r="O114" t="s">
        <v>26</v>
      </c>
      <c r="P114" t="s">
        <v>27</v>
      </c>
      <c r="Q114" t="s">
        <v>28</v>
      </c>
      <c r="R114" t="s">
        <v>29</v>
      </c>
      <c r="S114" t="s">
        <v>30</v>
      </c>
      <c r="T114">
        <v>60345453</v>
      </c>
      <c r="U114" t="s">
        <v>4019</v>
      </c>
      <c r="V114" t="s">
        <v>4020</v>
      </c>
      <c r="W114" s="9">
        <f>IF(V114="pregrado",31,
IF(V114="posgrados",31,
IF(V114="rEINTEGROS",7,
IF(V114="BIT",90,
IF(V114="OP GRADO - INGLÉS",17,"")))))</f>
        <v>17</v>
      </c>
      <c r="X114" t="s">
        <v>4063</v>
      </c>
    </row>
    <row r="115" spans="1:24" ht="15" x14ac:dyDescent="0.35">
      <c r="A115" s="4">
        <v>46030.739525462966</v>
      </c>
      <c r="B115">
        <v>20111870</v>
      </c>
      <c r="C115" s="6" t="s">
        <v>19</v>
      </c>
      <c r="D115">
        <v>58121</v>
      </c>
      <c r="E115" t="s">
        <v>267</v>
      </c>
      <c r="F115">
        <v>1014271461</v>
      </c>
      <c r="G115" t="s">
        <v>1612</v>
      </c>
      <c r="H115">
        <v>100201689</v>
      </c>
      <c r="I115">
        <v>202604</v>
      </c>
      <c r="J115">
        <v>1015417938</v>
      </c>
      <c r="K115" t="s">
        <v>270</v>
      </c>
      <c r="L115" t="s">
        <v>336</v>
      </c>
      <c r="M115" t="s">
        <v>271</v>
      </c>
      <c r="N115" t="s">
        <v>35</v>
      </c>
      <c r="O115" t="s">
        <v>26</v>
      </c>
      <c r="P115" t="s">
        <v>27</v>
      </c>
      <c r="Q115" t="s">
        <v>28</v>
      </c>
      <c r="R115" t="s">
        <v>29</v>
      </c>
      <c r="S115" t="s">
        <v>30</v>
      </c>
      <c r="T115">
        <v>1033714104</v>
      </c>
      <c r="U115" t="s">
        <v>4019</v>
      </c>
      <c r="V115" t="s">
        <v>4020</v>
      </c>
      <c r="W115" s="9">
        <f>IF(V115="pregrado",31,
IF(V115="posgrados",31,
IF(V115="rEINTEGROS",7,
IF(V115="BIT",90,
IF(V115="OP GRADO - INGLÉS",17,"")))))</f>
        <v>17</v>
      </c>
      <c r="X115" t="s">
        <v>4029</v>
      </c>
    </row>
    <row r="116" spans="1:24" ht="15" x14ac:dyDescent="0.35">
      <c r="A116" s="4">
        <v>46031.612928240742</v>
      </c>
      <c r="B116">
        <v>20112096</v>
      </c>
      <c r="C116" s="6" t="s">
        <v>19</v>
      </c>
      <c r="D116">
        <v>58129</v>
      </c>
      <c r="E116" t="s">
        <v>267</v>
      </c>
      <c r="F116">
        <v>1000858235</v>
      </c>
      <c r="G116" t="s">
        <v>1646</v>
      </c>
      <c r="H116">
        <v>100080588</v>
      </c>
      <c r="I116">
        <v>202604</v>
      </c>
      <c r="J116">
        <v>1000858235</v>
      </c>
      <c r="K116" t="s">
        <v>270</v>
      </c>
      <c r="L116" t="s">
        <v>1521</v>
      </c>
      <c r="M116" t="s">
        <v>271</v>
      </c>
      <c r="N116" t="s">
        <v>35</v>
      </c>
      <c r="O116" t="s">
        <v>26</v>
      </c>
      <c r="P116" t="s">
        <v>27</v>
      </c>
      <c r="Q116" t="s">
        <v>28</v>
      </c>
      <c r="R116" t="s">
        <v>29</v>
      </c>
      <c r="S116" t="s">
        <v>30</v>
      </c>
      <c r="T116">
        <v>1033714104</v>
      </c>
      <c r="U116" t="s">
        <v>4019</v>
      </c>
      <c r="V116" t="s">
        <v>4020</v>
      </c>
      <c r="W116" s="9">
        <f>IF(V116="pregrado",31,
IF(V116="posgrados",31,
IF(V116="rEINTEGROS",7,
IF(V116="BIT",90,
IF(V116="OP GRADO - INGLÉS",17,"")))))</f>
        <v>17</v>
      </c>
      <c r="X116" t="s">
        <v>4029</v>
      </c>
    </row>
    <row r="117" spans="1:24" ht="15" x14ac:dyDescent="0.35">
      <c r="A117" s="4">
        <v>46058.811863425923</v>
      </c>
      <c r="B117">
        <v>20121021</v>
      </c>
      <c r="C117" s="6" t="s">
        <v>19</v>
      </c>
      <c r="D117">
        <v>58130</v>
      </c>
      <c r="E117" t="s">
        <v>267</v>
      </c>
      <c r="F117">
        <v>52313896</v>
      </c>
      <c r="G117" t="s">
        <v>2841</v>
      </c>
      <c r="H117">
        <v>100212392</v>
      </c>
      <c r="I117">
        <v>202604</v>
      </c>
      <c r="J117">
        <v>1033742800</v>
      </c>
      <c r="K117" t="s">
        <v>270</v>
      </c>
      <c r="L117" t="s">
        <v>336</v>
      </c>
      <c r="M117" t="s">
        <v>271</v>
      </c>
      <c r="N117" t="s">
        <v>35</v>
      </c>
      <c r="O117" t="s">
        <v>26</v>
      </c>
      <c r="P117" t="s">
        <v>27</v>
      </c>
      <c r="Q117" t="s">
        <v>28</v>
      </c>
      <c r="R117" t="s">
        <v>29</v>
      </c>
      <c r="S117" t="s">
        <v>30</v>
      </c>
      <c r="T117">
        <v>60345453</v>
      </c>
      <c r="U117" t="s">
        <v>4019</v>
      </c>
      <c r="V117" t="s">
        <v>4020</v>
      </c>
      <c r="W117" s="9">
        <f>IF(V117="pregrado",31,
IF(V117="posgrados",31,
IF(V117="rEINTEGROS",7,
IF(V117="BIT",90,
IF(V117="OP GRADO - INGLÉS",17,"")))))</f>
        <v>17</v>
      </c>
      <c r="X117" t="s">
        <v>4063</v>
      </c>
    </row>
    <row r="118" spans="1:24" ht="15" x14ac:dyDescent="0.35">
      <c r="A118" s="4">
        <v>46065.869444444441</v>
      </c>
      <c r="B118">
        <v>20123030</v>
      </c>
      <c r="C118" s="6" t="s">
        <v>19</v>
      </c>
      <c r="D118">
        <v>58187</v>
      </c>
      <c r="E118" t="s">
        <v>267</v>
      </c>
      <c r="F118">
        <v>87217951</v>
      </c>
      <c r="G118" t="s">
        <v>3133</v>
      </c>
      <c r="H118">
        <v>100038762</v>
      </c>
      <c r="I118">
        <v>202604</v>
      </c>
      <c r="J118">
        <v>1115864663</v>
      </c>
      <c r="K118" t="s">
        <v>23</v>
      </c>
      <c r="L118" t="s">
        <v>1679</v>
      </c>
      <c r="M118" t="s">
        <v>271</v>
      </c>
      <c r="N118" t="s">
        <v>35</v>
      </c>
      <c r="O118" t="s">
        <v>26</v>
      </c>
      <c r="P118" t="s">
        <v>27</v>
      </c>
      <c r="Q118" t="s">
        <v>28</v>
      </c>
      <c r="R118" t="s">
        <v>29</v>
      </c>
      <c r="S118" t="s">
        <v>30</v>
      </c>
      <c r="T118">
        <v>79789547</v>
      </c>
      <c r="U118" t="s">
        <v>4019</v>
      </c>
      <c r="V118" t="s">
        <v>4020</v>
      </c>
      <c r="W118" s="9">
        <f>IF(V118="pregrado",31,
IF(V118="posgrados",31,
IF(V118="rEINTEGROS",7,
IF(V118="BIT",90,
IF(V118="OP GRADO - INGLÉS",17,"")))))</f>
        <v>17</v>
      </c>
      <c r="X118" t="s">
        <v>4093</v>
      </c>
    </row>
    <row r="119" spans="1:24" ht="15" x14ac:dyDescent="0.35">
      <c r="A119" s="4">
        <v>46065.474479166667</v>
      </c>
      <c r="B119">
        <v>20122739</v>
      </c>
      <c r="C119" s="6" t="s">
        <v>19</v>
      </c>
      <c r="D119">
        <v>58388</v>
      </c>
      <c r="E119" t="s">
        <v>267</v>
      </c>
      <c r="F119">
        <v>1075266570</v>
      </c>
      <c r="G119" t="s">
        <v>3078</v>
      </c>
      <c r="H119">
        <v>100172720</v>
      </c>
      <c r="I119">
        <v>202604</v>
      </c>
      <c r="J119">
        <v>1075266570</v>
      </c>
      <c r="K119" t="s">
        <v>23</v>
      </c>
      <c r="L119" t="s">
        <v>1679</v>
      </c>
      <c r="M119" t="s">
        <v>271</v>
      </c>
      <c r="N119" t="s">
        <v>35</v>
      </c>
      <c r="O119" t="s">
        <v>26</v>
      </c>
      <c r="P119" t="s">
        <v>27</v>
      </c>
      <c r="Q119" t="s">
        <v>28</v>
      </c>
      <c r="R119" t="s">
        <v>29</v>
      </c>
      <c r="S119" t="s">
        <v>30</v>
      </c>
      <c r="T119">
        <v>1033714104</v>
      </c>
      <c r="U119" t="s">
        <v>4019</v>
      </c>
      <c r="V119" t="s">
        <v>4020</v>
      </c>
      <c r="W119" s="9">
        <f>IF(V119="pregrado",31,
IF(V119="posgrados",31,
IF(V119="rEINTEGROS",7,
IF(V119="BIT",90,
IF(V119="OP GRADO - INGLÉS",17,"")))))</f>
        <v>17</v>
      </c>
      <c r="X119" t="s">
        <v>4029</v>
      </c>
    </row>
    <row r="120" spans="1:24" ht="15" x14ac:dyDescent="0.35">
      <c r="A120" s="4">
        <v>46032.604675925926</v>
      </c>
      <c r="B120">
        <v>20112308</v>
      </c>
      <c r="C120" s="6" t="s">
        <v>19</v>
      </c>
      <c r="D120">
        <v>58413</v>
      </c>
      <c r="E120" t="s">
        <v>267</v>
      </c>
      <c r="F120">
        <v>1235041236</v>
      </c>
      <c r="G120" t="s">
        <v>1678</v>
      </c>
      <c r="H120">
        <v>100179787</v>
      </c>
      <c r="I120">
        <v>202604</v>
      </c>
      <c r="J120">
        <v>1143408572</v>
      </c>
      <c r="K120" t="s">
        <v>23</v>
      </c>
      <c r="L120" t="s">
        <v>1679</v>
      </c>
      <c r="M120" t="s">
        <v>271</v>
      </c>
      <c r="N120" t="s">
        <v>35</v>
      </c>
      <c r="O120" t="s">
        <v>26</v>
      </c>
      <c r="P120" t="s">
        <v>27</v>
      </c>
      <c r="Q120" t="s">
        <v>28</v>
      </c>
      <c r="R120" t="s">
        <v>29</v>
      </c>
      <c r="S120" t="s">
        <v>30</v>
      </c>
      <c r="T120">
        <v>52834109</v>
      </c>
      <c r="U120" t="s">
        <v>4019</v>
      </c>
      <c r="V120" t="s">
        <v>4020</v>
      </c>
      <c r="W120" s="9">
        <f>IF(V120="pregrado",31,
IF(V120="posgrados",31,
IF(V120="rEINTEGROS",7,
IF(V120="BIT",90,
IF(V120="OP GRADO - INGLÉS",17,"")))))</f>
        <v>17</v>
      </c>
      <c r="X120" t="s">
        <v>4018</v>
      </c>
    </row>
    <row r="121" spans="1:24" ht="15" x14ac:dyDescent="0.35">
      <c r="A121" s="4">
        <v>46035.814618055556</v>
      </c>
      <c r="B121">
        <v>20112791</v>
      </c>
      <c r="C121" s="6" t="s">
        <v>19</v>
      </c>
      <c r="D121">
        <v>58905</v>
      </c>
      <c r="E121" t="s">
        <v>267</v>
      </c>
      <c r="F121">
        <v>12122449</v>
      </c>
      <c r="G121" t="s">
        <v>1727</v>
      </c>
      <c r="H121">
        <v>100214026</v>
      </c>
      <c r="I121">
        <v>202604</v>
      </c>
      <c r="J121">
        <v>1075261867</v>
      </c>
      <c r="K121" t="s">
        <v>23</v>
      </c>
      <c r="L121" t="s">
        <v>1679</v>
      </c>
      <c r="M121" t="s">
        <v>271</v>
      </c>
      <c r="N121" t="s">
        <v>35</v>
      </c>
      <c r="O121" t="s">
        <v>26</v>
      </c>
      <c r="P121" t="s">
        <v>27</v>
      </c>
      <c r="Q121" t="s">
        <v>28</v>
      </c>
      <c r="R121" t="s">
        <v>29</v>
      </c>
      <c r="S121" t="s">
        <v>30</v>
      </c>
      <c r="T121">
        <v>52834109</v>
      </c>
      <c r="U121" t="s">
        <v>4019</v>
      </c>
      <c r="V121" t="s">
        <v>4020</v>
      </c>
      <c r="W121" s="9">
        <f>IF(V121="pregrado",31,
IF(V121="posgrados",31,
IF(V121="rEINTEGROS",7,
IF(V121="BIT",90,
IF(V121="OP GRADO - INGLÉS",17,"")))))</f>
        <v>17</v>
      </c>
      <c r="X121" t="s">
        <v>4018</v>
      </c>
    </row>
    <row r="122" spans="1:24" ht="15" x14ac:dyDescent="0.35">
      <c r="A122" s="4">
        <v>46038.39271990741</v>
      </c>
      <c r="B122">
        <v>20114047</v>
      </c>
      <c r="C122" s="6" t="s">
        <v>19</v>
      </c>
      <c r="D122">
        <v>60427</v>
      </c>
      <c r="E122" t="s">
        <v>267</v>
      </c>
      <c r="F122">
        <v>1116773186</v>
      </c>
      <c r="G122" t="s">
        <v>1875</v>
      </c>
      <c r="H122">
        <v>100104796</v>
      </c>
      <c r="I122">
        <v>202604</v>
      </c>
      <c r="J122">
        <v>1116773251</v>
      </c>
      <c r="K122" t="s">
        <v>270</v>
      </c>
      <c r="L122" t="s">
        <v>409</v>
      </c>
      <c r="M122" t="s">
        <v>271</v>
      </c>
      <c r="N122" t="s">
        <v>35</v>
      </c>
      <c r="O122" t="s">
        <v>26</v>
      </c>
      <c r="P122" t="s">
        <v>27</v>
      </c>
      <c r="Q122" t="s">
        <v>28</v>
      </c>
      <c r="R122" t="s">
        <v>29</v>
      </c>
      <c r="S122" t="s">
        <v>30</v>
      </c>
      <c r="T122">
        <v>60345453</v>
      </c>
      <c r="U122" t="s">
        <v>4019</v>
      </c>
      <c r="V122" t="s">
        <v>4020</v>
      </c>
      <c r="W122" s="9">
        <f>IF(V122="pregrado",31,
IF(V122="posgrados",31,
IF(V122="rEINTEGROS",7,
IF(V122="BIT",90,
IF(V122="OP GRADO - INGLÉS",17,"")))))</f>
        <v>17</v>
      </c>
      <c r="X122" t="s">
        <v>4063</v>
      </c>
    </row>
    <row r="123" spans="1:24" ht="15" x14ac:dyDescent="0.35">
      <c r="A123" s="4">
        <v>46042.698078703703</v>
      </c>
      <c r="B123">
        <v>20115455</v>
      </c>
      <c r="C123" s="6" t="s">
        <v>19</v>
      </c>
      <c r="D123">
        <v>60448</v>
      </c>
      <c r="E123" t="s">
        <v>267</v>
      </c>
      <c r="F123">
        <v>1019162014</v>
      </c>
      <c r="G123" t="s">
        <v>2036</v>
      </c>
      <c r="H123">
        <v>100241359</v>
      </c>
      <c r="I123">
        <v>202604</v>
      </c>
      <c r="J123">
        <v>1019162014</v>
      </c>
      <c r="K123" t="s">
        <v>23</v>
      </c>
      <c r="L123" t="s">
        <v>1258</v>
      </c>
      <c r="M123" t="s">
        <v>271</v>
      </c>
      <c r="N123" t="s">
        <v>35</v>
      </c>
      <c r="O123" t="s">
        <v>26</v>
      </c>
      <c r="P123" t="s">
        <v>27</v>
      </c>
      <c r="Q123" t="s">
        <v>28</v>
      </c>
      <c r="R123" t="s">
        <v>29</v>
      </c>
      <c r="S123" t="s">
        <v>30</v>
      </c>
      <c r="T123">
        <v>52221286</v>
      </c>
      <c r="U123" t="s">
        <v>4055</v>
      </c>
      <c r="V123" t="s">
        <v>4056</v>
      </c>
      <c r="W123" s="9">
        <f>IF(V123="pregrado",31,
IF(V123="posgrados",31,
IF(V123="rEINTEGROS",7,
IF(V123="BIT",90,
IF(V123="OP GRADO - INGLÉS",17,"")))))</f>
        <v>90</v>
      </c>
      <c r="X123" t="s">
        <v>4076</v>
      </c>
    </row>
    <row r="124" spans="1:24" ht="15" x14ac:dyDescent="0.35">
      <c r="A124" s="4">
        <v>46035.669340277775</v>
      </c>
      <c r="B124">
        <v>20112695</v>
      </c>
      <c r="C124" s="6" t="s">
        <v>19</v>
      </c>
      <c r="D124">
        <v>60466</v>
      </c>
      <c r="E124" t="s">
        <v>267</v>
      </c>
      <c r="F124">
        <v>1007216281</v>
      </c>
      <c r="G124" t="s">
        <v>1707</v>
      </c>
      <c r="H124">
        <v>100241487</v>
      </c>
      <c r="I124">
        <v>202604</v>
      </c>
      <c r="J124">
        <v>1007216281</v>
      </c>
      <c r="K124" t="s">
        <v>23</v>
      </c>
      <c r="L124" t="s">
        <v>1258</v>
      </c>
      <c r="M124" t="s">
        <v>271</v>
      </c>
      <c r="N124" t="s">
        <v>35</v>
      </c>
      <c r="O124" t="s">
        <v>26</v>
      </c>
      <c r="P124" t="s">
        <v>27</v>
      </c>
      <c r="Q124" t="s">
        <v>28</v>
      </c>
      <c r="R124" t="s">
        <v>29</v>
      </c>
      <c r="S124" t="s">
        <v>30</v>
      </c>
      <c r="T124">
        <v>52221286</v>
      </c>
      <c r="U124" t="s">
        <v>4055</v>
      </c>
      <c r="V124" t="s">
        <v>4056</v>
      </c>
      <c r="W124" s="9">
        <f>IF(V124="pregrado",31,
IF(V124="posgrados",31,
IF(V124="rEINTEGROS",7,
IF(V124="BIT",90,
IF(V124="OP GRADO - INGLÉS",17,"")))))</f>
        <v>90</v>
      </c>
      <c r="X124" t="s">
        <v>4076</v>
      </c>
    </row>
    <row r="125" spans="1:24" ht="15" x14ac:dyDescent="0.35">
      <c r="A125" s="4">
        <v>46036.889745370368</v>
      </c>
      <c r="B125">
        <v>20113341</v>
      </c>
      <c r="C125" s="6" t="s">
        <v>19</v>
      </c>
      <c r="D125">
        <v>60481</v>
      </c>
      <c r="E125" t="s">
        <v>267</v>
      </c>
      <c r="F125">
        <v>1192785025</v>
      </c>
      <c r="G125" t="s">
        <v>1807</v>
      </c>
      <c r="H125">
        <v>100078400</v>
      </c>
      <c r="I125">
        <v>202604</v>
      </c>
      <c r="J125">
        <v>1192785025</v>
      </c>
      <c r="K125" t="s">
        <v>270</v>
      </c>
      <c r="L125" t="s">
        <v>1521</v>
      </c>
      <c r="M125" t="s">
        <v>271</v>
      </c>
      <c r="N125" t="s">
        <v>35</v>
      </c>
      <c r="O125" t="s">
        <v>26</v>
      </c>
      <c r="P125" t="s">
        <v>27</v>
      </c>
      <c r="Q125" t="s">
        <v>28</v>
      </c>
      <c r="R125" t="s">
        <v>29</v>
      </c>
      <c r="S125" t="s">
        <v>30</v>
      </c>
      <c r="T125">
        <v>1033714104</v>
      </c>
      <c r="U125" t="s">
        <v>4019</v>
      </c>
      <c r="V125" t="s">
        <v>4020</v>
      </c>
      <c r="W125" s="9">
        <f>IF(V125="pregrado",31,
IF(V125="posgrados",31,
IF(V125="rEINTEGROS",7,
IF(V125="BIT",90,
IF(V125="OP GRADO - INGLÉS",17,"")))))</f>
        <v>17</v>
      </c>
      <c r="X125" t="s">
        <v>4029</v>
      </c>
    </row>
    <row r="126" spans="1:24" ht="15" x14ac:dyDescent="0.35">
      <c r="A126" s="4">
        <v>46037.342546296299</v>
      </c>
      <c r="B126">
        <v>20113378</v>
      </c>
      <c r="C126" s="6" t="s">
        <v>19</v>
      </c>
      <c r="D126">
        <v>60484</v>
      </c>
      <c r="E126" t="s">
        <v>267</v>
      </c>
      <c r="F126">
        <v>29544665</v>
      </c>
      <c r="G126" t="s">
        <v>1809</v>
      </c>
      <c r="H126">
        <v>100110714</v>
      </c>
      <c r="I126">
        <v>202604</v>
      </c>
      <c r="J126">
        <v>1007758899</v>
      </c>
      <c r="K126" t="s">
        <v>270</v>
      </c>
      <c r="L126" t="s">
        <v>1521</v>
      </c>
      <c r="M126" t="s">
        <v>271</v>
      </c>
      <c r="N126" t="s">
        <v>35</v>
      </c>
      <c r="O126" t="s">
        <v>26</v>
      </c>
      <c r="P126" t="s">
        <v>27</v>
      </c>
      <c r="Q126" t="s">
        <v>28</v>
      </c>
      <c r="R126" t="s">
        <v>29</v>
      </c>
      <c r="S126" t="s">
        <v>30</v>
      </c>
      <c r="T126">
        <v>1033714104</v>
      </c>
      <c r="U126" t="s">
        <v>4019</v>
      </c>
      <c r="V126" t="s">
        <v>4020</v>
      </c>
      <c r="W126" s="9">
        <f>IF(V126="pregrado",31,
IF(V126="posgrados",31,
IF(V126="rEINTEGROS",7,
IF(V126="BIT",90,
IF(V126="OP GRADO - INGLÉS",17,"")))))</f>
        <v>17</v>
      </c>
      <c r="X126" t="s">
        <v>4029</v>
      </c>
    </row>
    <row r="127" spans="1:24" ht="15" x14ac:dyDescent="0.35">
      <c r="A127" s="4">
        <v>46036.371122685188</v>
      </c>
      <c r="B127">
        <v>20112871</v>
      </c>
      <c r="C127" s="6" t="s">
        <v>19</v>
      </c>
      <c r="D127">
        <v>60486</v>
      </c>
      <c r="E127" t="s">
        <v>267</v>
      </c>
      <c r="F127">
        <v>40187606</v>
      </c>
      <c r="G127" t="s">
        <v>1732</v>
      </c>
      <c r="H127">
        <v>100241386</v>
      </c>
      <c r="I127">
        <v>202604</v>
      </c>
      <c r="J127">
        <v>1193131320</v>
      </c>
      <c r="K127" t="s">
        <v>23</v>
      </c>
      <c r="L127" t="s">
        <v>521</v>
      </c>
      <c r="M127" t="s">
        <v>271</v>
      </c>
      <c r="N127" t="s">
        <v>35</v>
      </c>
      <c r="O127" t="s">
        <v>26</v>
      </c>
      <c r="P127" t="s">
        <v>27</v>
      </c>
      <c r="Q127" t="s">
        <v>28</v>
      </c>
      <c r="R127" t="s">
        <v>29</v>
      </c>
      <c r="S127" t="s">
        <v>30</v>
      </c>
      <c r="T127">
        <v>1019052150</v>
      </c>
      <c r="U127" t="s">
        <v>4055</v>
      </c>
      <c r="V127" t="s">
        <v>4056</v>
      </c>
      <c r="W127" s="9">
        <f>IF(V127="pregrado",31,
IF(V127="posgrados",31,
IF(V127="rEINTEGROS",7,
IF(V127="BIT",90,
IF(V127="OP GRADO - INGLÉS",17,"")))))</f>
        <v>90</v>
      </c>
      <c r="X127" t="s">
        <v>4074</v>
      </c>
    </row>
    <row r="128" spans="1:24" ht="15" x14ac:dyDescent="0.35">
      <c r="A128" s="4">
        <v>46036.642199074071</v>
      </c>
      <c r="B128">
        <v>20113169</v>
      </c>
      <c r="C128" s="6" t="s">
        <v>19</v>
      </c>
      <c r="D128">
        <v>60506</v>
      </c>
      <c r="E128" t="s">
        <v>267</v>
      </c>
      <c r="F128">
        <v>1010208489</v>
      </c>
      <c r="G128" t="s">
        <v>1776</v>
      </c>
      <c r="H128">
        <v>100241618</v>
      </c>
      <c r="I128">
        <v>202604</v>
      </c>
      <c r="J128">
        <v>1010208489</v>
      </c>
      <c r="K128" t="s">
        <v>23</v>
      </c>
      <c r="L128" t="s">
        <v>1258</v>
      </c>
      <c r="M128" t="s">
        <v>271</v>
      </c>
      <c r="N128" t="s">
        <v>35</v>
      </c>
      <c r="O128" t="s">
        <v>26</v>
      </c>
      <c r="P128" t="s">
        <v>27</v>
      </c>
      <c r="Q128" t="s">
        <v>28</v>
      </c>
      <c r="R128" t="s">
        <v>29</v>
      </c>
      <c r="S128" t="s">
        <v>30</v>
      </c>
      <c r="T128">
        <v>1193566421</v>
      </c>
      <c r="U128" t="s">
        <v>4055</v>
      </c>
      <c r="V128" t="s">
        <v>4056</v>
      </c>
      <c r="W128" s="9">
        <f>IF(V128="pregrado",31,
IF(V128="posgrados",31,
IF(V128="rEINTEGROS",7,
IF(V128="BIT",90,
IF(V128="OP GRADO - INGLÉS",17,"")))))</f>
        <v>90</v>
      </c>
      <c r="X128" t="s">
        <v>4075</v>
      </c>
    </row>
    <row r="129" spans="1:24" ht="15" x14ac:dyDescent="0.35">
      <c r="A129" s="4">
        <v>46038.383090277777</v>
      </c>
      <c r="B129">
        <v>20114041</v>
      </c>
      <c r="C129" s="6" t="s">
        <v>19</v>
      </c>
      <c r="D129">
        <v>60513</v>
      </c>
      <c r="E129" t="s">
        <v>267</v>
      </c>
      <c r="F129">
        <v>1052389560</v>
      </c>
      <c r="G129" t="s">
        <v>1873</v>
      </c>
      <c r="H129">
        <v>100218777</v>
      </c>
      <c r="I129">
        <v>202604</v>
      </c>
      <c r="J129">
        <v>1052389560</v>
      </c>
      <c r="K129" t="s">
        <v>270</v>
      </c>
      <c r="L129" t="s">
        <v>513</v>
      </c>
      <c r="M129" t="s">
        <v>271</v>
      </c>
      <c r="N129" t="s">
        <v>35</v>
      </c>
      <c r="O129" t="s">
        <v>26</v>
      </c>
      <c r="P129" t="s">
        <v>27</v>
      </c>
      <c r="Q129" t="s">
        <v>28</v>
      </c>
      <c r="R129" t="s">
        <v>29</v>
      </c>
      <c r="S129" t="s">
        <v>30</v>
      </c>
      <c r="T129">
        <v>1033714104</v>
      </c>
      <c r="U129" t="s">
        <v>4019</v>
      </c>
      <c r="V129" t="s">
        <v>4020</v>
      </c>
      <c r="W129" s="9">
        <f>IF(V129="pregrado",31,
IF(V129="posgrados",31,
IF(V129="rEINTEGROS",7,
IF(V129="BIT",90,
IF(V129="OP GRADO - INGLÉS",17,"")))))</f>
        <v>17</v>
      </c>
      <c r="X129" t="s">
        <v>4029</v>
      </c>
    </row>
    <row r="130" spans="1:24" ht="15" x14ac:dyDescent="0.35">
      <c r="A130" s="4">
        <v>46058.548541666663</v>
      </c>
      <c r="B130">
        <v>20120843</v>
      </c>
      <c r="C130" s="6" t="s">
        <v>19</v>
      </c>
      <c r="D130">
        <v>60522</v>
      </c>
      <c r="E130" t="s">
        <v>267</v>
      </c>
      <c r="F130">
        <v>1004233897</v>
      </c>
      <c r="G130" t="s">
        <v>2807</v>
      </c>
      <c r="H130">
        <v>100154772</v>
      </c>
      <c r="I130">
        <v>202604</v>
      </c>
      <c r="J130">
        <v>1193479738</v>
      </c>
      <c r="K130" t="s">
        <v>270</v>
      </c>
      <c r="L130" t="s">
        <v>269</v>
      </c>
      <c r="M130" t="s">
        <v>271</v>
      </c>
      <c r="N130" t="s">
        <v>25</v>
      </c>
      <c r="O130" t="s">
        <v>26</v>
      </c>
      <c r="P130" t="s">
        <v>27</v>
      </c>
      <c r="Q130" t="s">
        <v>28</v>
      </c>
      <c r="R130" t="s">
        <v>29</v>
      </c>
      <c r="S130" t="s">
        <v>30</v>
      </c>
      <c r="T130">
        <v>1033714104</v>
      </c>
      <c r="U130" t="s">
        <v>4019</v>
      </c>
      <c r="V130" t="s">
        <v>4020</v>
      </c>
      <c r="W130" s="9">
        <f>IF(V130="pregrado",31,
IF(V130="posgrados",31,
IF(V130="rEINTEGROS",7,
IF(V130="BIT",90,
IF(V130="OP GRADO - INGLÉS",17,"")))))</f>
        <v>17</v>
      </c>
      <c r="X130" t="s">
        <v>4029</v>
      </c>
    </row>
    <row r="131" spans="1:24" ht="15" x14ac:dyDescent="0.35">
      <c r="A131" s="4">
        <v>46042.491724537038</v>
      </c>
      <c r="B131">
        <v>20115260</v>
      </c>
      <c r="C131" s="6" t="s">
        <v>19</v>
      </c>
      <c r="D131">
        <v>60532</v>
      </c>
      <c r="E131" t="s">
        <v>267</v>
      </c>
      <c r="F131">
        <v>1096252349</v>
      </c>
      <c r="G131" t="s">
        <v>2013</v>
      </c>
      <c r="H131">
        <v>100114939</v>
      </c>
      <c r="I131">
        <v>202604</v>
      </c>
      <c r="J131">
        <v>1096252349</v>
      </c>
      <c r="K131" t="s">
        <v>270</v>
      </c>
      <c r="L131" t="s">
        <v>532</v>
      </c>
      <c r="M131" t="s">
        <v>271</v>
      </c>
      <c r="N131" t="s">
        <v>35</v>
      </c>
      <c r="O131" t="s">
        <v>26</v>
      </c>
      <c r="P131" t="s">
        <v>27</v>
      </c>
      <c r="Q131" t="s">
        <v>28</v>
      </c>
      <c r="R131" t="s">
        <v>29</v>
      </c>
      <c r="S131" t="s">
        <v>30</v>
      </c>
      <c r="T131">
        <v>52834109</v>
      </c>
      <c r="U131" t="s">
        <v>4019</v>
      </c>
      <c r="V131" t="s">
        <v>4020</v>
      </c>
      <c r="W131" s="9">
        <f>IF(V131="pregrado",31,
IF(V131="posgrados",31,
IF(V131="rEINTEGROS",7,
IF(V131="BIT",90,
IF(V131="OP GRADO - INGLÉS",17,"")))))</f>
        <v>17</v>
      </c>
      <c r="X131" t="s">
        <v>4018</v>
      </c>
    </row>
    <row r="132" spans="1:24" ht="15" x14ac:dyDescent="0.35">
      <c r="A132" s="4">
        <v>46038.800069444442</v>
      </c>
      <c r="B132">
        <v>20114604</v>
      </c>
      <c r="C132" s="6" t="s">
        <v>19</v>
      </c>
      <c r="D132">
        <v>60537</v>
      </c>
      <c r="E132" t="s">
        <v>267</v>
      </c>
      <c r="F132">
        <v>51998525</v>
      </c>
      <c r="G132" t="s">
        <v>1937</v>
      </c>
      <c r="H132">
        <v>100102928</v>
      </c>
      <c r="I132">
        <v>202604</v>
      </c>
      <c r="J132">
        <v>1000006467</v>
      </c>
      <c r="K132" t="s">
        <v>270</v>
      </c>
      <c r="L132" t="s">
        <v>409</v>
      </c>
      <c r="M132" t="s">
        <v>271</v>
      </c>
      <c r="N132" t="s">
        <v>35</v>
      </c>
      <c r="O132" t="s">
        <v>26</v>
      </c>
      <c r="P132" t="s">
        <v>27</v>
      </c>
      <c r="Q132" t="s">
        <v>28</v>
      </c>
      <c r="R132" t="s">
        <v>29</v>
      </c>
      <c r="S132" t="s">
        <v>30</v>
      </c>
      <c r="T132">
        <v>52834109</v>
      </c>
      <c r="U132" t="s">
        <v>4019</v>
      </c>
      <c r="V132" t="s">
        <v>4020</v>
      </c>
      <c r="W132" s="9">
        <f>IF(V132="pregrado",31,
IF(V132="posgrados",31,
IF(V132="rEINTEGROS",7,
IF(V132="BIT",90,
IF(V132="OP GRADO - INGLÉS",17,"")))))</f>
        <v>17</v>
      </c>
      <c r="X132" t="s">
        <v>4018</v>
      </c>
    </row>
    <row r="133" spans="1:24" ht="15" x14ac:dyDescent="0.35">
      <c r="A133" s="4">
        <v>46051.648460648146</v>
      </c>
      <c r="B133">
        <v>20118577</v>
      </c>
      <c r="C133" s="6" t="s">
        <v>19</v>
      </c>
      <c r="D133">
        <v>60542</v>
      </c>
      <c r="E133" t="s">
        <v>267</v>
      </c>
      <c r="F133">
        <v>1000753058</v>
      </c>
      <c r="G133" t="s">
        <v>2495</v>
      </c>
      <c r="H133">
        <v>100241734</v>
      </c>
      <c r="I133">
        <v>202604</v>
      </c>
      <c r="J133">
        <v>1000753058</v>
      </c>
      <c r="K133" t="s">
        <v>23</v>
      </c>
      <c r="L133" t="s">
        <v>1015</v>
      </c>
      <c r="M133" t="s">
        <v>271</v>
      </c>
      <c r="N133" t="s">
        <v>35</v>
      </c>
      <c r="O133" t="s">
        <v>26</v>
      </c>
      <c r="P133" t="s">
        <v>27</v>
      </c>
      <c r="Q133" t="s">
        <v>28</v>
      </c>
      <c r="R133" t="s">
        <v>29</v>
      </c>
      <c r="S133" t="s">
        <v>30</v>
      </c>
      <c r="T133">
        <v>52221286</v>
      </c>
      <c r="U133" t="s">
        <v>4055</v>
      </c>
      <c r="V133" t="s">
        <v>4056</v>
      </c>
      <c r="W133" s="9">
        <f>IF(V133="pregrado",31,
IF(V133="posgrados",31,
IF(V133="rEINTEGROS",7,
IF(V133="BIT",90,
IF(V133="OP GRADO - INGLÉS",17,"")))))</f>
        <v>90</v>
      </c>
      <c r="X133" t="s">
        <v>4076</v>
      </c>
    </row>
    <row r="134" spans="1:24" ht="15" x14ac:dyDescent="0.35">
      <c r="A134" s="4">
        <v>46052.889062499999</v>
      </c>
      <c r="B134">
        <v>20119182</v>
      </c>
      <c r="C134" s="6" t="s">
        <v>19</v>
      </c>
      <c r="D134">
        <v>60546</v>
      </c>
      <c r="E134" t="s">
        <v>267</v>
      </c>
      <c r="F134">
        <v>1027523134</v>
      </c>
      <c r="G134" t="s">
        <v>2604</v>
      </c>
      <c r="H134">
        <v>100099593</v>
      </c>
      <c r="I134">
        <v>202604</v>
      </c>
      <c r="J134">
        <v>1014656833</v>
      </c>
      <c r="K134" t="s">
        <v>270</v>
      </c>
      <c r="L134" t="s">
        <v>409</v>
      </c>
      <c r="M134" t="s">
        <v>271</v>
      </c>
      <c r="N134">
        <v>0</v>
      </c>
      <c r="O134" t="s">
        <v>26</v>
      </c>
      <c r="P134" t="s">
        <v>27</v>
      </c>
      <c r="Q134" t="s">
        <v>28</v>
      </c>
      <c r="R134" t="s">
        <v>29</v>
      </c>
      <c r="S134" t="s">
        <v>30</v>
      </c>
      <c r="T134">
        <v>60345453</v>
      </c>
      <c r="U134" t="s">
        <v>4019</v>
      </c>
      <c r="V134" t="s">
        <v>4020</v>
      </c>
      <c r="W134" s="9">
        <f>IF(V134="pregrado",31,
IF(V134="posgrados",31,
IF(V134="rEINTEGROS",7,
IF(V134="BIT",90,
IF(V134="OP GRADO - INGLÉS",17,"")))))</f>
        <v>17</v>
      </c>
      <c r="X134" t="s">
        <v>4063</v>
      </c>
    </row>
    <row r="135" spans="1:24" ht="15" x14ac:dyDescent="0.35">
      <c r="A135" s="4">
        <v>46069.604409722226</v>
      </c>
      <c r="B135">
        <v>20123718</v>
      </c>
      <c r="C135" s="6" t="s">
        <v>19</v>
      </c>
      <c r="D135">
        <v>60548</v>
      </c>
      <c r="E135" t="s">
        <v>267</v>
      </c>
      <c r="F135">
        <v>1033428371</v>
      </c>
      <c r="G135" t="s">
        <v>3245</v>
      </c>
      <c r="H135">
        <v>100158362</v>
      </c>
      <c r="I135">
        <v>202604</v>
      </c>
      <c r="J135">
        <v>1033428371</v>
      </c>
      <c r="K135" t="s">
        <v>270</v>
      </c>
      <c r="L135" t="s">
        <v>409</v>
      </c>
      <c r="M135" t="s">
        <v>271</v>
      </c>
      <c r="N135" t="s">
        <v>35</v>
      </c>
      <c r="O135" t="s">
        <v>26</v>
      </c>
      <c r="P135" t="s">
        <v>27</v>
      </c>
      <c r="Q135" t="s">
        <v>28</v>
      </c>
      <c r="R135" t="s">
        <v>29</v>
      </c>
      <c r="S135" t="s">
        <v>30</v>
      </c>
      <c r="T135">
        <v>1033714104</v>
      </c>
      <c r="U135" t="s">
        <v>4019</v>
      </c>
      <c r="V135" t="s">
        <v>4020</v>
      </c>
      <c r="W135" s="9">
        <f>IF(V135="pregrado",31,
IF(V135="posgrados",31,
IF(V135="rEINTEGROS",7,
IF(V135="BIT",90,
IF(V135="OP GRADO - INGLÉS",17,"")))))</f>
        <v>17</v>
      </c>
      <c r="X135" t="s">
        <v>4029</v>
      </c>
    </row>
    <row r="136" spans="1:24" ht="15" x14ac:dyDescent="0.35">
      <c r="A136" s="4">
        <v>46037.41710648148</v>
      </c>
      <c r="B136">
        <v>20113456</v>
      </c>
      <c r="C136" s="6" t="s">
        <v>19</v>
      </c>
      <c r="D136">
        <v>60551</v>
      </c>
      <c r="E136" t="s">
        <v>267</v>
      </c>
      <c r="F136">
        <v>55245002</v>
      </c>
      <c r="G136" t="s">
        <v>1816</v>
      </c>
      <c r="H136">
        <v>100219793</v>
      </c>
      <c r="I136">
        <v>202604</v>
      </c>
      <c r="J136">
        <v>55245002</v>
      </c>
      <c r="K136" t="s">
        <v>270</v>
      </c>
      <c r="L136" t="s">
        <v>589</v>
      </c>
      <c r="M136" t="s">
        <v>271</v>
      </c>
      <c r="N136" t="s">
        <v>35</v>
      </c>
      <c r="O136" t="s">
        <v>26</v>
      </c>
      <c r="P136" t="s">
        <v>27</v>
      </c>
      <c r="Q136" t="s">
        <v>28</v>
      </c>
      <c r="R136" t="s">
        <v>29</v>
      </c>
      <c r="S136" t="s">
        <v>30</v>
      </c>
      <c r="T136">
        <v>1033714104</v>
      </c>
      <c r="U136" t="s">
        <v>4019</v>
      </c>
      <c r="V136" t="s">
        <v>4020</v>
      </c>
      <c r="W136" s="9">
        <f>IF(V136="pregrado",31,
IF(V136="posgrados",31,
IF(V136="rEINTEGROS",7,
IF(V136="BIT",90,
IF(V136="OP GRADO - INGLÉS",17,"")))))</f>
        <v>17</v>
      </c>
      <c r="X136" t="s">
        <v>4029</v>
      </c>
    </row>
    <row r="137" spans="1:24" ht="15" x14ac:dyDescent="0.35">
      <c r="A137" s="4">
        <v>46042.679560185185</v>
      </c>
      <c r="B137">
        <v>20115426</v>
      </c>
      <c r="C137" s="6" t="s">
        <v>19</v>
      </c>
      <c r="D137">
        <v>60554</v>
      </c>
      <c r="E137" t="s">
        <v>267</v>
      </c>
      <c r="F137">
        <v>1043414056</v>
      </c>
      <c r="G137" t="s">
        <v>2033</v>
      </c>
      <c r="H137">
        <v>100129865</v>
      </c>
      <c r="I137">
        <v>202604</v>
      </c>
      <c r="J137">
        <v>1043414056</v>
      </c>
      <c r="K137" t="s">
        <v>270</v>
      </c>
      <c r="L137" t="s">
        <v>2034</v>
      </c>
      <c r="M137" t="s">
        <v>271</v>
      </c>
      <c r="N137" t="s">
        <v>35</v>
      </c>
      <c r="O137" t="s">
        <v>26</v>
      </c>
      <c r="P137" t="s">
        <v>27</v>
      </c>
      <c r="Q137" t="s">
        <v>28</v>
      </c>
      <c r="R137" t="s">
        <v>29</v>
      </c>
      <c r="S137" t="s">
        <v>30</v>
      </c>
      <c r="T137">
        <v>1033714104</v>
      </c>
      <c r="U137" t="s">
        <v>4019</v>
      </c>
      <c r="V137" t="s">
        <v>4020</v>
      </c>
      <c r="W137" s="9">
        <f>IF(V137="pregrado",31,
IF(V137="posgrados",31,
IF(V137="rEINTEGROS",7,
IF(V137="BIT",90,
IF(V137="OP GRADO - INGLÉS",17,"")))))</f>
        <v>17</v>
      </c>
      <c r="X137" t="s">
        <v>4029</v>
      </c>
    </row>
    <row r="138" spans="1:24" ht="15" x14ac:dyDescent="0.35">
      <c r="A138" s="4">
        <v>46038.466041666667</v>
      </c>
      <c r="B138">
        <v>20114151</v>
      </c>
      <c r="C138" s="6" t="s">
        <v>19</v>
      </c>
      <c r="D138">
        <v>60562</v>
      </c>
      <c r="E138" t="s">
        <v>267</v>
      </c>
      <c r="F138">
        <v>52884494</v>
      </c>
      <c r="G138" t="s">
        <v>1889</v>
      </c>
      <c r="H138">
        <v>900008121</v>
      </c>
      <c r="I138">
        <v>202604</v>
      </c>
      <c r="J138">
        <v>52884494</v>
      </c>
      <c r="K138" t="s">
        <v>270</v>
      </c>
      <c r="L138" t="s">
        <v>409</v>
      </c>
      <c r="M138" t="s">
        <v>271</v>
      </c>
      <c r="N138" t="s">
        <v>35</v>
      </c>
      <c r="O138" t="s">
        <v>26</v>
      </c>
      <c r="P138" t="s">
        <v>27</v>
      </c>
      <c r="Q138" t="s">
        <v>28</v>
      </c>
      <c r="R138" t="s">
        <v>29</v>
      </c>
      <c r="S138" t="s">
        <v>30</v>
      </c>
      <c r="T138">
        <v>52834109</v>
      </c>
      <c r="U138" t="s">
        <v>4019</v>
      </c>
      <c r="V138" t="s">
        <v>4020</v>
      </c>
      <c r="W138" s="9">
        <f>IF(V138="pregrado",31,
IF(V138="posgrados",31,
IF(V138="rEINTEGROS",7,
IF(V138="BIT",90,
IF(V138="OP GRADO - INGLÉS",17,"")))))</f>
        <v>17</v>
      </c>
      <c r="X138" t="s">
        <v>4018</v>
      </c>
    </row>
    <row r="139" spans="1:24" ht="15" x14ac:dyDescent="0.35">
      <c r="A139" s="4">
        <v>46052.525543981479</v>
      </c>
      <c r="B139">
        <v>20118921</v>
      </c>
      <c r="C139" s="6" t="s">
        <v>19</v>
      </c>
      <c r="D139">
        <v>60570</v>
      </c>
      <c r="E139" t="s">
        <v>267</v>
      </c>
      <c r="F139">
        <v>1002605086</v>
      </c>
      <c r="G139" t="s">
        <v>2558</v>
      </c>
      <c r="H139">
        <v>100137594</v>
      </c>
      <c r="I139">
        <v>202604</v>
      </c>
      <c r="J139">
        <v>1002605086</v>
      </c>
      <c r="K139" t="s">
        <v>23</v>
      </c>
      <c r="L139" t="s">
        <v>1258</v>
      </c>
      <c r="M139" t="s">
        <v>271</v>
      </c>
      <c r="N139" t="s">
        <v>35</v>
      </c>
      <c r="O139" t="s">
        <v>26</v>
      </c>
      <c r="P139" t="s">
        <v>27</v>
      </c>
      <c r="Q139" t="s">
        <v>28</v>
      </c>
      <c r="R139" t="s">
        <v>29</v>
      </c>
      <c r="S139" t="s">
        <v>30</v>
      </c>
      <c r="T139">
        <v>52221286</v>
      </c>
      <c r="U139" t="s">
        <v>4055</v>
      </c>
      <c r="V139" t="s">
        <v>4056</v>
      </c>
      <c r="W139" s="9">
        <f>IF(V139="pregrado",31,
IF(V139="posgrados",31,
IF(V139="rEINTEGROS",7,
IF(V139="BIT",90,
IF(V139="OP GRADO - INGLÉS",17,"")))))</f>
        <v>90</v>
      </c>
      <c r="X139" t="s">
        <v>4076</v>
      </c>
    </row>
    <row r="140" spans="1:24" ht="15" x14ac:dyDescent="0.35">
      <c r="A140" s="4">
        <v>46038.71665509259</v>
      </c>
      <c r="B140">
        <v>20114514</v>
      </c>
      <c r="C140" s="6" t="s">
        <v>19</v>
      </c>
      <c r="D140">
        <v>60591</v>
      </c>
      <c r="E140" t="s">
        <v>267</v>
      </c>
      <c r="F140">
        <v>1113651654</v>
      </c>
      <c r="G140" t="s">
        <v>1931</v>
      </c>
      <c r="H140">
        <v>100242000</v>
      </c>
      <c r="I140">
        <v>202604</v>
      </c>
      <c r="J140">
        <v>1114243695</v>
      </c>
      <c r="K140" t="s">
        <v>23</v>
      </c>
      <c r="L140" t="s">
        <v>1015</v>
      </c>
      <c r="M140" t="s">
        <v>271</v>
      </c>
      <c r="N140" t="s">
        <v>35</v>
      </c>
      <c r="O140" t="s">
        <v>26</v>
      </c>
      <c r="P140" t="s">
        <v>27</v>
      </c>
      <c r="Q140" t="s">
        <v>28</v>
      </c>
      <c r="R140" t="s">
        <v>29</v>
      </c>
      <c r="S140" t="s">
        <v>30</v>
      </c>
      <c r="T140">
        <v>1018484247</v>
      </c>
      <c r="U140" t="s">
        <v>4055</v>
      </c>
      <c r="V140" t="s">
        <v>4056</v>
      </c>
      <c r="W140" s="9">
        <f>IF(V140="pregrado",31,
IF(V140="posgrados",31,
IF(V140="rEINTEGROS",7,
IF(V140="BIT",90,
IF(V140="OP GRADO - INGLÉS",17,"")))))</f>
        <v>90</v>
      </c>
      <c r="X140" t="s">
        <v>4069</v>
      </c>
    </row>
    <row r="141" spans="1:24" ht="15" x14ac:dyDescent="0.35">
      <c r="A141" s="4">
        <v>46038.702372685184</v>
      </c>
      <c r="B141">
        <v>20114495</v>
      </c>
      <c r="C141" s="6" t="s">
        <v>19</v>
      </c>
      <c r="D141">
        <v>60594</v>
      </c>
      <c r="E141" t="s">
        <v>267</v>
      </c>
      <c r="F141">
        <v>31016471</v>
      </c>
      <c r="G141" t="s">
        <v>1927</v>
      </c>
      <c r="H141">
        <v>100219814</v>
      </c>
      <c r="I141">
        <v>202604</v>
      </c>
      <c r="J141">
        <v>1123038644</v>
      </c>
      <c r="K141" t="s">
        <v>270</v>
      </c>
      <c r="L141" t="s">
        <v>1928</v>
      </c>
      <c r="M141" t="s">
        <v>271</v>
      </c>
      <c r="N141" t="s">
        <v>35</v>
      </c>
      <c r="O141" t="s">
        <v>26</v>
      </c>
      <c r="P141" t="s">
        <v>27</v>
      </c>
      <c r="Q141" t="s">
        <v>28</v>
      </c>
      <c r="R141" t="s">
        <v>29</v>
      </c>
      <c r="S141" t="s">
        <v>30</v>
      </c>
      <c r="T141">
        <v>1033714104</v>
      </c>
      <c r="U141" t="s">
        <v>4019</v>
      </c>
      <c r="V141" t="s">
        <v>4020</v>
      </c>
      <c r="W141" s="9">
        <f>IF(V141="pregrado",31,
IF(V141="posgrados",31,
IF(V141="rEINTEGROS",7,
IF(V141="BIT",90,
IF(V141="OP GRADO - INGLÉS",17,"")))))</f>
        <v>17</v>
      </c>
      <c r="X141" t="s">
        <v>4029</v>
      </c>
    </row>
    <row r="142" spans="1:24" ht="15" x14ac:dyDescent="0.35">
      <c r="A142" s="4">
        <v>46038.508599537039</v>
      </c>
      <c r="B142">
        <v>20114214</v>
      </c>
      <c r="C142" s="6" t="s">
        <v>19</v>
      </c>
      <c r="D142">
        <v>60606</v>
      </c>
      <c r="E142" t="s">
        <v>267</v>
      </c>
      <c r="F142">
        <v>64563726</v>
      </c>
      <c r="G142" t="s">
        <v>1896</v>
      </c>
      <c r="H142">
        <v>100242071</v>
      </c>
      <c r="I142">
        <v>202604</v>
      </c>
      <c r="J142">
        <v>1044604657</v>
      </c>
      <c r="K142" t="s">
        <v>23</v>
      </c>
      <c r="L142" t="s">
        <v>1414</v>
      </c>
      <c r="M142" t="s">
        <v>271</v>
      </c>
      <c r="N142" t="s">
        <v>35</v>
      </c>
      <c r="O142" t="s">
        <v>26</v>
      </c>
      <c r="P142" t="s">
        <v>27</v>
      </c>
      <c r="Q142" t="s">
        <v>28</v>
      </c>
      <c r="R142" t="s">
        <v>29</v>
      </c>
      <c r="S142" t="s">
        <v>30</v>
      </c>
      <c r="T142">
        <v>1019052150</v>
      </c>
      <c r="U142" t="s">
        <v>4055</v>
      </c>
      <c r="V142" t="s">
        <v>4056</v>
      </c>
      <c r="W142" s="9">
        <f>IF(V142="pregrado",31,
IF(V142="posgrados",31,
IF(V142="rEINTEGROS",7,
IF(V142="BIT",90,
IF(V142="OP GRADO - INGLÉS",17,"")))))</f>
        <v>90</v>
      </c>
      <c r="X142" t="s">
        <v>4074</v>
      </c>
    </row>
    <row r="143" spans="1:24" ht="15" x14ac:dyDescent="0.35">
      <c r="A143" s="4">
        <v>46052.732349537036</v>
      </c>
      <c r="B143">
        <v>20119136</v>
      </c>
      <c r="C143" s="6" t="s">
        <v>19</v>
      </c>
      <c r="D143">
        <v>60618</v>
      </c>
      <c r="E143" t="s">
        <v>267</v>
      </c>
      <c r="F143">
        <v>72203630</v>
      </c>
      <c r="G143" t="s">
        <v>2594</v>
      </c>
      <c r="H143">
        <v>100121144</v>
      </c>
      <c r="I143">
        <v>202604</v>
      </c>
      <c r="J143">
        <v>1064114548</v>
      </c>
      <c r="K143" t="s">
        <v>270</v>
      </c>
      <c r="L143" t="s">
        <v>486</v>
      </c>
      <c r="M143" t="s">
        <v>271</v>
      </c>
      <c r="N143" t="s">
        <v>35</v>
      </c>
      <c r="O143" t="s">
        <v>26</v>
      </c>
      <c r="P143" t="s">
        <v>27</v>
      </c>
      <c r="Q143" t="s">
        <v>28</v>
      </c>
      <c r="R143" t="s">
        <v>29</v>
      </c>
      <c r="S143" t="s">
        <v>30</v>
      </c>
      <c r="T143">
        <v>1033714104</v>
      </c>
      <c r="U143" t="s">
        <v>4019</v>
      </c>
      <c r="V143" t="s">
        <v>4020</v>
      </c>
      <c r="W143" s="9">
        <f>IF(V143="pregrado",31,
IF(V143="posgrados",31,
IF(V143="rEINTEGROS",7,
IF(V143="BIT",90,
IF(V143="OP GRADO - INGLÉS",17,"")))))</f>
        <v>17</v>
      </c>
      <c r="X143" t="s">
        <v>4029</v>
      </c>
    </row>
    <row r="144" spans="1:24" ht="15" x14ac:dyDescent="0.35">
      <c r="A144" s="4">
        <v>46038.654062499998</v>
      </c>
      <c r="B144">
        <v>20114409</v>
      </c>
      <c r="C144" s="6" t="s">
        <v>19</v>
      </c>
      <c r="D144">
        <v>60622</v>
      </c>
      <c r="E144" t="s">
        <v>267</v>
      </c>
      <c r="F144">
        <v>1001593631</v>
      </c>
      <c r="G144" t="s">
        <v>1915</v>
      </c>
      <c r="H144">
        <v>100242144</v>
      </c>
      <c r="I144">
        <v>202604</v>
      </c>
      <c r="J144">
        <v>1001593631</v>
      </c>
      <c r="K144" t="s">
        <v>23</v>
      </c>
      <c r="L144" t="s">
        <v>1258</v>
      </c>
      <c r="M144" t="s">
        <v>271</v>
      </c>
      <c r="N144" t="s">
        <v>35</v>
      </c>
      <c r="O144" t="s">
        <v>26</v>
      </c>
      <c r="P144" t="s">
        <v>27</v>
      </c>
      <c r="Q144" t="s">
        <v>28</v>
      </c>
      <c r="R144" t="s">
        <v>29</v>
      </c>
      <c r="S144" t="s">
        <v>30</v>
      </c>
      <c r="T144">
        <v>1000788047</v>
      </c>
      <c r="U144" t="s">
        <v>4055</v>
      </c>
      <c r="V144" t="s">
        <v>4056</v>
      </c>
      <c r="W144" s="9">
        <f>IF(V144="pregrado",31,
IF(V144="posgrados",31,
IF(V144="rEINTEGROS",7,
IF(V144="BIT",90,
IF(V144="OP GRADO - INGLÉS",17,"")))))</f>
        <v>90</v>
      </c>
      <c r="X144" t="s">
        <v>4068</v>
      </c>
    </row>
    <row r="145" spans="1:24" ht="15" x14ac:dyDescent="0.35">
      <c r="A145" s="4">
        <v>46055.629293981481</v>
      </c>
      <c r="B145">
        <v>20119707</v>
      </c>
      <c r="C145" s="6" t="s">
        <v>19</v>
      </c>
      <c r="D145">
        <v>60627</v>
      </c>
      <c r="E145" t="s">
        <v>267</v>
      </c>
      <c r="F145">
        <v>38684244</v>
      </c>
      <c r="G145" t="s">
        <v>2657</v>
      </c>
      <c r="H145">
        <v>100195506</v>
      </c>
      <c r="I145">
        <v>202604</v>
      </c>
      <c r="J145">
        <v>1006101870</v>
      </c>
      <c r="K145" t="s">
        <v>270</v>
      </c>
      <c r="L145" t="s">
        <v>775</v>
      </c>
      <c r="M145" t="s">
        <v>271</v>
      </c>
      <c r="N145" t="s">
        <v>35</v>
      </c>
      <c r="O145" t="s">
        <v>26</v>
      </c>
      <c r="P145" t="s">
        <v>27</v>
      </c>
      <c r="Q145" t="s">
        <v>28</v>
      </c>
      <c r="R145" t="s">
        <v>29</v>
      </c>
      <c r="S145" t="s">
        <v>30</v>
      </c>
      <c r="T145">
        <v>1033714104</v>
      </c>
      <c r="U145" t="s">
        <v>4019</v>
      </c>
      <c r="V145" t="s">
        <v>4020</v>
      </c>
      <c r="W145" s="9">
        <f>IF(V145="pregrado",31,
IF(V145="posgrados",31,
IF(V145="rEINTEGROS",7,
IF(V145="BIT",90,
IF(V145="OP GRADO - INGLÉS",17,"")))))</f>
        <v>17</v>
      </c>
      <c r="X145" t="s">
        <v>4029</v>
      </c>
    </row>
    <row r="146" spans="1:24" ht="15" x14ac:dyDescent="0.35">
      <c r="A146" s="4">
        <v>46051.448622685188</v>
      </c>
      <c r="B146">
        <v>20118393</v>
      </c>
      <c r="C146" s="6" t="s">
        <v>19</v>
      </c>
      <c r="D146">
        <v>60635</v>
      </c>
      <c r="E146" t="s">
        <v>267</v>
      </c>
      <c r="F146">
        <v>1013597290</v>
      </c>
      <c r="G146" t="s">
        <v>2466</v>
      </c>
      <c r="H146">
        <v>100097200</v>
      </c>
      <c r="I146">
        <v>202604</v>
      </c>
      <c r="J146">
        <v>1013597290</v>
      </c>
      <c r="K146" t="s">
        <v>270</v>
      </c>
      <c r="L146" t="s">
        <v>336</v>
      </c>
      <c r="M146" t="s">
        <v>271</v>
      </c>
      <c r="N146" t="s">
        <v>35</v>
      </c>
      <c r="O146" t="s">
        <v>26</v>
      </c>
      <c r="P146" t="s">
        <v>27</v>
      </c>
      <c r="Q146" t="s">
        <v>28</v>
      </c>
      <c r="R146" t="s">
        <v>29</v>
      </c>
      <c r="S146" t="s">
        <v>30</v>
      </c>
      <c r="T146">
        <v>52834109</v>
      </c>
      <c r="U146" t="s">
        <v>4019</v>
      </c>
      <c r="V146" t="s">
        <v>4020</v>
      </c>
      <c r="W146" s="9">
        <f>IF(V146="pregrado",31,
IF(V146="posgrados",31,
IF(V146="rEINTEGROS",7,
IF(V146="BIT",90,
IF(V146="OP GRADO - INGLÉS",17,"")))))</f>
        <v>17</v>
      </c>
      <c r="X146" t="s">
        <v>4018</v>
      </c>
    </row>
    <row r="147" spans="1:24" ht="15" x14ac:dyDescent="0.35">
      <c r="A147" s="4">
        <v>46058.434976851851</v>
      </c>
      <c r="B147">
        <v>20120770</v>
      </c>
      <c r="C147" s="6" t="s">
        <v>19</v>
      </c>
      <c r="D147">
        <v>60639</v>
      </c>
      <c r="E147" t="s">
        <v>267</v>
      </c>
      <c r="F147">
        <v>1048851108</v>
      </c>
      <c r="G147" t="s">
        <v>2788</v>
      </c>
      <c r="H147">
        <v>100117572</v>
      </c>
      <c r="I147">
        <v>202604</v>
      </c>
      <c r="J147">
        <v>1048851108</v>
      </c>
      <c r="K147" t="s">
        <v>270</v>
      </c>
      <c r="L147" t="s">
        <v>639</v>
      </c>
      <c r="M147" t="s">
        <v>271</v>
      </c>
      <c r="N147" t="s">
        <v>35</v>
      </c>
      <c r="O147" t="s">
        <v>26</v>
      </c>
      <c r="P147" t="s">
        <v>27</v>
      </c>
      <c r="Q147" t="s">
        <v>28</v>
      </c>
      <c r="R147" t="s">
        <v>29</v>
      </c>
      <c r="S147" t="s">
        <v>30</v>
      </c>
      <c r="T147">
        <v>1033714104</v>
      </c>
      <c r="U147" t="s">
        <v>4019</v>
      </c>
      <c r="V147" t="s">
        <v>4020</v>
      </c>
      <c r="W147" s="9">
        <f>IF(V147="pregrado",31,
IF(V147="posgrados",31,
IF(V147="rEINTEGROS",7,
IF(V147="BIT",90,
IF(V147="OP GRADO - INGLÉS",17,"")))))</f>
        <v>17</v>
      </c>
      <c r="X147" t="s">
        <v>4029</v>
      </c>
    </row>
    <row r="148" spans="1:24" ht="15" x14ac:dyDescent="0.35">
      <c r="A148" s="4">
        <v>46039.704965277779</v>
      </c>
      <c r="B148">
        <v>20114721</v>
      </c>
      <c r="C148" s="6" t="s">
        <v>19</v>
      </c>
      <c r="D148">
        <v>60651</v>
      </c>
      <c r="E148" t="s">
        <v>267</v>
      </c>
      <c r="F148">
        <v>1007157563</v>
      </c>
      <c r="G148" t="s">
        <v>1959</v>
      </c>
      <c r="H148">
        <v>100242258</v>
      </c>
      <c r="I148">
        <v>202604</v>
      </c>
      <c r="J148">
        <v>1007157563</v>
      </c>
      <c r="K148" t="s">
        <v>23</v>
      </c>
      <c r="L148" t="s">
        <v>1414</v>
      </c>
      <c r="M148" t="s">
        <v>271</v>
      </c>
      <c r="N148" t="s">
        <v>35</v>
      </c>
      <c r="O148" t="s">
        <v>26</v>
      </c>
      <c r="P148" t="s">
        <v>27</v>
      </c>
      <c r="Q148" t="s">
        <v>28</v>
      </c>
      <c r="R148" t="s">
        <v>29</v>
      </c>
      <c r="S148" t="s">
        <v>30</v>
      </c>
      <c r="T148">
        <v>1019052150</v>
      </c>
      <c r="U148" t="s">
        <v>4055</v>
      </c>
      <c r="V148" t="s">
        <v>4056</v>
      </c>
      <c r="W148" s="9">
        <f>IF(V148="pregrado",31,
IF(V148="posgrados",31,
IF(V148="rEINTEGROS",7,
IF(V148="BIT",90,
IF(V148="OP GRADO - INGLÉS",17,"")))))</f>
        <v>90</v>
      </c>
      <c r="X148" t="s">
        <v>4074</v>
      </c>
    </row>
    <row r="149" spans="1:24" ht="15" x14ac:dyDescent="0.35">
      <c r="A149" s="4">
        <v>46052.588854166665</v>
      </c>
      <c r="B149">
        <v>20118960</v>
      </c>
      <c r="C149" s="6" t="s">
        <v>19</v>
      </c>
      <c r="D149">
        <v>60661</v>
      </c>
      <c r="E149" t="s">
        <v>267</v>
      </c>
      <c r="F149">
        <v>1023949307</v>
      </c>
      <c r="G149" t="s">
        <v>2564</v>
      </c>
      <c r="H149">
        <v>100034032</v>
      </c>
      <c r="I149">
        <v>202604</v>
      </c>
      <c r="J149">
        <v>1023949307</v>
      </c>
      <c r="K149" t="s">
        <v>270</v>
      </c>
      <c r="L149" t="s">
        <v>532</v>
      </c>
      <c r="M149" t="s">
        <v>271</v>
      </c>
      <c r="N149" t="s">
        <v>35</v>
      </c>
      <c r="O149" t="s">
        <v>26</v>
      </c>
      <c r="P149" t="s">
        <v>27</v>
      </c>
      <c r="Q149" t="s">
        <v>28</v>
      </c>
      <c r="R149" t="s">
        <v>29</v>
      </c>
      <c r="S149" t="s">
        <v>30</v>
      </c>
      <c r="T149">
        <v>52834109</v>
      </c>
      <c r="U149" t="s">
        <v>4019</v>
      </c>
      <c r="V149" t="s">
        <v>4020</v>
      </c>
      <c r="W149" s="9">
        <f>IF(V149="pregrado",31,
IF(V149="posgrados",31,
IF(V149="rEINTEGROS",7,
IF(V149="BIT",90,
IF(V149="OP GRADO - INGLÉS",17,"")))))</f>
        <v>17</v>
      </c>
      <c r="X149" t="s">
        <v>4018</v>
      </c>
    </row>
    <row r="150" spans="1:24" ht="15" x14ac:dyDescent="0.35">
      <c r="A150" s="4">
        <v>46044.800115740742</v>
      </c>
      <c r="B150">
        <v>20116370</v>
      </c>
      <c r="C150" s="6" t="s">
        <v>19</v>
      </c>
      <c r="D150">
        <v>60667</v>
      </c>
      <c r="E150" t="s">
        <v>267</v>
      </c>
      <c r="F150">
        <v>1006515416</v>
      </c>
      <c r="G150" t="s">
        <v>2213</v>
      </c>
      <c r="H150">
        <v>100242324</v>
      </c>
      <c r="I150">
        <v>202604</v>
      </c>
      <c r="J150">
        <v>1006515416</v>
      </c>
      <c r="K150" t="s">
        <v>23</v>
      </c>
      <c r="L150" t="s">
        <v>1258</v>
      </c>
      <c r="M150" t="s">
        <v>271</v>
      </c>
      <c r="N150" t="s">
        <v>35</v>
      </c>
      <c r="O150" t="s">
        <v>26</v>
      </c>
      <c r="P150" t="s">
        <v>27</v>
      </c>
      <c r="Q150" t="s">
        <v>28</v>
      </c>
      <c r="R150" t="s">
        <v>29</v>
      </c>
      <c r="S150" t="s">
        <v>30</v>
      </c>
      <c r="T150">
        <v>1019052150</v>
      </c>
      <c r="U150" t="s">
        <v>4055</v>
      </c>
      <c r="V150" t="s">
        <v>4056</v>
      </c>
      <c r="W150" s="9">
        <f>IF(V150="pregrado",31,
IF(V150="posgrados",31,
IF(V150="rEINTEGROS",7,
IF(V150="BIT",90,
IF(V150="OP GRADO - INGLÉS",17,"")))))</f>
        <v>90</v>
      </c>
      <c r="X150" t="s">
        <v>4074</v>
      </c>
    </row>
    <row r="151" spans="1:24" ht="15" x14ac:dyDescent="0.35">
      <c r="A151" s="4">
        <v>46053.446388888886</v>
      </c>
      <c r="B151">
        <v>20119250</v>
      </c>
      <c r="C151" s="6" t="s">
        <v>19</v>
      </c>
      <c r="D151">
        <v>60674</v>
      </c>
      <c r="E151" t="s">
        <v>267</v>
      </c>
      <c r="F151">
        <v>1012397788</v>
      </c>
      <c r="G151" t="s">
        <v>2620</v>
      </c>
      <c r="H151">
        <v>100066667</v>
      </c>
      <c r="I151">
        <v>202604</v>
      </c>
      <c r="J151">
        <v>1012397788</v>
      </c>
      <c r="K151" t="s">
        <v>270</v>
      </c>
      <c r="L151" t="s">
        <v>409</v>
      </c>
      <c r="M151" t="s">
        <v>271</v>
      </c>
      <c r="N151" t="s">
        <v>35</v>
      </c>
      <c r="O151" t="s">
        <v>26</v>
      </c>
      <c r="P151" t="s">
        <v>27</v>
      </c>
      <c r="Q151" t="s">
        <v>28</v>
      </c>
      <c r="R151" t="s">
        <v>29</v>
      </c>
      <c r="S151" t="s">
        <v>30</v>
      </c>
      <c r="T151">
        <v>52834109</v>
      </c>
      <c r="U151" t="s">
        <v>4019</v>
      </c>
      <c r="V151" t="s">
        <v>4020</v>
      </c>
      <c r="W151" s="9">
        <f>IF(V151="pregrado",31,
IF(V151="posgrados",31,
IF(V151="rEINTEGROS",7,
IF(V151="BIT",90,
IF(V151="OP GRADO - INGLÉS",17,"")))))</f>
        <v>17</v>
      </c>
      <c r="X151" t="s">
        <v>4018</v>
      </c>
    </row>
    <row r="152" spans="1:24" ht="15" x14ac:dyDescent="0.35">
      <c r="A152" s="4">
        <v>46041.709976851853</v>
      </c>
      <c r="B152">
        <v>20115033</v>
      </c>
      <c r="C152" s="6" t="s">
        <v>19</v>
      </c>
      <c r="D152">
        <v>60685</v>
      </c>
      <c r="E152" t="s">
        <v>267</v>
      </c>
      <c r="F152">
        <v>1065846971</v>
      </c>
      <c r="G152" t="s">
        <v>1984</v>
      </c>
      <c r="H152">
        <v>100242442</v>
      </c>
      <c r="I152">
        <v>202604</v>
      </c>
      <c r="J152">
        <v>1065846971</v>
      </c>
      <c r="K152" t="s">
        <v>23</v>
      </c>
      <c r="L152" t="s">
        <v>1258</v>
      </c>
      <c r="M152" t="s">
        <v>271</v>
      </c>
      <c r="N152" t="s">
        <v>35</v>
      </c>
      <c r="O152" t="s">
        <v>26</v>
      </c>
      <c r="P152" t="s">
        <v>27</v>
      </c>
      <c r="Q152" t="s">
        <v>28</v>
      </c>
      <c r="R152" t="s">
        <v>29</v>
      </c>
      <c r="S152" t="s">
        <v>30</v>
      </c>
      <c r="T152">
        <v>52221286</v>
      </c>
      <c r="U152" t="s">
        <v>4055</v>
      </c>
      <c r="V152" t="s">
        <v>4056</v>
      </c>
      <c r="W152" s="9">
        <f>IF(V152="pregrado",31,
IF(V152="posgrados",31,
IF(V152="rEINTEGROS",7,
IF(V152="BIT",90,
IF(V152="OP GRADO - INGLÉS",17,"")))))</f>
        <v>90</v>
      </c>
      <c r="X152" t="s">
        <v>4076</v>
      </c>
    </row>
    <row r="153" spans="1:24" ht="15" x14ac:dyDescent="0.35">
      <c r="A153" s="4">
        <v>46042.469293981485</v>
      </c>
      <c r="B153">
        <v>20115234</v>
      </c>
      <c r="C153" s="6" t="s">
        <v>19</v>
      </c>
      <c r="D153">
        <v>60712</v>
      </c>
      <c r="E153" t="s">
        <v>267</v>
      </c>
      <c r="F153">
        <v>1063355126</v>
      </c>
      <c r="G153" t="s">
        <v>2008</v>
      </c>
      <c r="H153">
        <v>100194521</v>
      </c>
      <c r="I153">
        <v>202604</v>
      </c>
      <c r="J153">
        <v>1063355126</v>
      </c>
      <c r="K153" t="s">
        <v>270</v>
      </c>
      <c r="L153" t="s">
        <v>532</v>
      </c>
      <c r="M153" t="s">
        <v>271</v>
      </c>
      <c r="N153" t="s">
        <v>35</v>
      </c>
      <c r="O153" t="s">
        <v>26</v>
      </c>
      <c r="P153" t="s">
        <v>27</v>
      </c>
      <c r="Q153" t="s">
        <v>28</v>
      </c>
      <c r="R153" t="s">
        <v>29</v>
      </c>
      <c r="S153" t="s">
        <v>30</v>
      </c>
      <c r="T153">
        <v>1033714104</v>
      </c>
      <c r="U153" t="s">
        <v>4019</v>
      </c>
      <c r="V153" t="s">
        <v>4020</v>
      </c>
      <c r="W153" s="9">
        <f>IF(V153="pregrado",31,
IF(V153="posgrados",31,
IF(V153="rEINTEGROS",7,
IF(V153="BIT",90,
IF(V153="OP GRADO - INGLÉS",17,"")))))</f>
        <v>17</v>
      </c>
      <c r="X153" t="s">
        <v>4029</v>
      </c>
    </row>
    <row r="154" spans="1:24" ht="15" x14ac:dyDescent="0.35">
      <c r="A154" s="4">
        <v>46072.743946759256</v>
      </c>
      <c r="B154">
        <v>20125026</v>
      </c>
      <c r="C154" s="6" t="s">
        <v>19</v>
      </c>
      <c r="D154">
        <v>60959</v>
      </c>
      <c r="E154" t="s">
        <v>267</v>
      </c>
      <c r="F154">
        <v>46453359</v>
      </c>
      <c r="G154" t="s">
        <v>3442</v>
      </c>
      <c r="H154">
        <v>100163160</v>
      </c>
      <c r="I154">
        <v>202604</v>
      </c>
      <c r="J154">
        <v>46453359</v>
      </c>
      <c r="K154" t="s">
        <v>23</v>
      </c>
      <c r="L154" t="s">
        <v>1679</v>
      </c>
      <c r="M154" t="s">
        <v>271</v>
      </c>
      <c r="N154" t="s">
        <v>35</v>
      </c>
      <c r="O154" t="s">
        <v>26</v>
      </c>
      <c r="P154" t="s">
        <v>27</v>
      </c>
      <c r="Q154" t="s">
        <v>28</v>
      </c>
      <c r="R154" t="s">
        <v>29</v>
      </c>
      <c r="S154" t="s">
        <v>30</v>
      </c>
      <c r="T154">
        <v>60345453</v>
      </c>
      <c r="U154" t="s">
        <v>4019</v>
      </c>
      <c r="V154" t="s">
        <v>4020</v>
      </c>
      <c r="W154" s="9">
        <f>IF(V154="pregrado",31,
IF(V154="posgrados",31,
IF(V154="rEINTEGROS",7,
IF(V154="BIT",90,
IF(V154="OP GRADO - INGLÉS",17,"")))))</f>
        <v>17</v>
      </c>
      <c r="X154" t="s">
        <v>4063</v>
      </c>
    </row>
    <row r="155" spans="1:24" ht="15" x14ac:dyDescent="0.35">
      <c r="A155" s="4">
        <v>46063.639085648145</v>
      </c>
      <c r="B155">
        <v>20122113</v>
      </c>
      <c r="C155" s="6" t="s">
        <v>19</v>
      </c>
      <c r="D155">
        <v>61519</v>
      </c>
      <c r="E155" t="s">
        <v>267</v>
      </c>
      <c r="F155">
        <v>1018454041</v>
      </c>
      <c r="G155" t="s">
        <v>2995</v>
      </c>
      <c r="H155">
        <v>100219712</v>
      </c>
      <c r="I155">
        <v>202604</v>
      </c>
      <c r="J155">
        <v>1018454041</v>
      </c>
      <c r="K155" t="s">
        <v>23</v>
      </c>
      <c r="L155" t="s">
        <v>1679</v>
      </c>
      <c r="M155" t="s">
        <v>271</v>
      </c>
      <c r="N155" t="s">
        <v>35</v>
      </c>
      <c r="O155" t="s">
        <v>26</v>
      </c>
      <c r="P155" t="s">
        <v>27</v>
      </c>
      <c r="Q155" t="s">
        <v>28</v>
      </c>
      <c r="R155" t="s">
        <v>29</v>
      </c>
      <c r="S155" t="s">
        <v>30</v>
      </c>
      <c r="T155">
        <v>79789547</v>
      </c>
      <c r="U155" t="s">
        <v>4019</v>
      </c>
      <c r="V155" t="s">
        <v>4020</v>
      </c>
      <c r="W155" s="9">
        <f>IF(V155="pregrado",31,
IF(V155="posgrados",31,
IF(V155="rEINTEGROS",7,
IF(V155="BIT",90,
IF(V155="OP GRADO - INGLÉS",17,"")))))</f>
        <v>17</v>
      </c>
      <c r="X155" t="s">
        <v>4093</v>
      </c>
    </row>
    <row r="156" spans="1:24" ht="15" x14ac:dyDescent="0.35">
      <c r="A156" s="4">
        <v>46057.73101851852</v>
      </c>
      <c r="B156">
        <v>20120619</v>
      </c>
      <c r="C156" s="6" t="s">
        <v>19</v>
      </c>
      <c r="D156">
        <v>62546</v>
      </c>
      <c r="E156" t="s">
        <v>267</v>
      </c>
      <c r="F156">
        <v>1010178807</v>
      </c>
      <c r="G156" t="s">
        <v>2767</v>
      </c>
      <c r="H156">
        <v>100123197</v>
      </c>
      <c r="I156">
        <v>202604</v>
      </c>
      <c r="J156">
        <v>1010178807</v>
      </c>
      <c r="K156" t="s">
        <v>270</v>
      </c>
      <c r="L156" t="s">
        <v>775</v>
      </c>
      <c r="M156" t="s">
        <v>271</v>
      </c>
      <c r="N156" t="s">
        <v>35</v>
      </c>
      <c r="O156" t="s">
        <v>26</v>
      </c>
      <c r="P156" t="s">
        <v>27</v>
      </c>
      <c r="Q156" t="s">
        <v>28</v>
      </c>
      <c r="R156" t="s">
        <v>29</v>
      </c>
      <c r="S156" t="s">
        <v>30</v>
      </c>
      <c r="T156">
        <v>52834109</v>
      </c>
      <c r="U156" t="s">
        <v>4019</v>
      </c>
      <c r="V156" t="s">
        <v>4020</v>
      </c>
      <c r="W156" s="9">
        <f>IF(V156="pregrado",31,
IF(V156="posgrados",31,
IF(V156="rEINTEGROS",7,
IF(V156="BIT",90,
IF(V156="OP GRADO - INGLÉS",17,"")))))</f>
        <v>17</v>
      </c>
      <c r="X156" t="s">
        <v>4018</v>
      </c>
    </row>
    <row r="157" spans="1:24" ht="15" x14ac:dyDescent="0.35">
      <c r="A157" s="4">
        <v>46090.631689814814</v>
      </c>
      <c r="B157">
        <v>20128087</v>
      </c>
      <c r="C157" s="6" t="s">
        <v>19</v>
      </c>
      <c r="D157">
        <v>62547</v>
      </c>
      <c r="E157" t="s">
        <v>267</v>
      </c>
      <c r="F157">
        <v>1085950602</v>
      </c>
      <c r="G157" t="s">
        <v>3868</v>
      </c>
      <c r="H157">
        <v>100242569</v>
      </c>
      <c r="I157">
        <v>202604</v>
      </c>
      <c r="J157">
        <v>1085950602</v>
      </c>
      <c r="K157" t="s">
        <v>23</v>
      </c>
      <c r="L157" t="s">
        <v>1066</v>
      </c>
      <c r="M157" t="s">
        <v>271</v>
      </c>
      <c r="N157" t="s">
        <v>35</v>
      </c>
      <c r="O157" t="s">
        <v>26</v>
      </c>
      <c r="P157" t="s">
        <v>27</v>
      </c>
      <c r="Q157" t="s">
        <v>28</v>
      </c>
      <c r="R157" t="s">
        <v>29</v>
      </c>
      <c r="S157" t="s">
        <v>30</v>
      </c>
      <c r="T157">
        <v>1019052150</v>
      </c>
      <c r="U157" t="s">
        <v>4055</v>
      </c>
      <c r="V157" t="s">
        <v>4056</v>
      </c>
      <c r="W157" s="9">
        <f>IF(V157="pregrado",31,
IF(V157="posgrados",31,
IF(V157="rEINTEGROS",7,
IF(V157="BIT",90,
IF(V157="OP GRADO - INGLÉS",17,"")))))</f>
        <v>90</v>
      </c>
      <c r="X157" t="s">
        <v>4074</v>
      </c>
    </row>
    <row r="158" spans="1:24" ht="15" x14ac:dyDescent="0.35">
      <c r="A158" s="4">
        <v>46053.821331018517</v>
      </c>
      <c r="B158">
        <v>20119352</v>
      </c>
      <c r="C158" s="6" t="s">
        <v>19</v>
      </c>
      <c r="D158">
        <v>62574</v>
      </c>
      <c r="E158" t="s">
        <v>267</v>
      </c>
      <c r="F158">
        <v>1022363045</v>
      </c>
      <c r="G158" t="s">
        <v>2637</v>
      </c>
      <c r="H158">
        <v>100107383</v>
      </c>
      <c r="I158">
        <v>202604</v>
      </c>
      <c r="J158">
        <v>1026261533</v>
      </c>
      <c r="K158" t="s">
        <v>270</v>
      </c>
      <c r="L158" t="s">
        <v>2034</v>
      </c>
      <c r="M158" t="s">
        <v>271</v>
      </c>
      <c r="N158" t="s">
        <v>35</v>
      </c>
      <c r="O158" t="s">
        <v>26</v>
      </c>
      <c r="P158" t="s">
        <v>27</v>
      </c>
      <c r="Q158" t="s">
        <v>28</v>
      </c>
      <c r="R158" t="s">
        <v>29</v>
      </c>
      <c r="S158" t="s">
        <v>30</v>
      </c>
      <c r="T158">
        <v>1033714104</v>
      </c>
      <c r="U158" t="s">
        <v>4019</v>
      </c>
      <c r="V158" t="s">
        <v>4020</v>
      </c>
      <c r="W158" s="9">
        <f>IF(V158="pregrado",31,
IF(V158="posgrados",31,
IF(V158="rEINTEGROS",7,
IF(V158="BIT",90,
IF(V158="OP GRADO - INGLÉS",17,"")))))</f>
        <v>17</v>
      </c>
      <c r="X158" t="s">
        <v>4029</v>
      </c>
    </row>
    <row r="159" spans="1:24" ht="15" x14ac:dyDescent="0.35">
      <c r="A159" s="4">
        <v>46044.52375</v>
      </c>
      <c r="B159">
        <v>20116151</v>
      </c>
      <c r="C159" s="6" t="s">
        <v>19</v>
      </c>
      <c r="D159">
        <v>62576</v>
      </c>
      <c r="E159" t="s">
        <v>267</v>
      </c>
      <c r="F159">
        <v>1022094522</v>
      </c>
      <c r="G159" t="s">
        <v>2163</v>
      </c>
      <c r="H159">
        <v>100242735</v>
      </c>
      <c r="I159">
        <v>202604</v>
      </c>
      <c r="J159">
        <v>1000204841</v>
      </c>
      <c r="K159" t="s">
        <v>23</v>
      </c>
      <c r="L159" t="s">
        <v>1414</v>
      </c>
      <c r="M159" t="s">
        <v>271</v>
      </c>
      <c r="N159" t="s">
        <v>35</v>
      </c>
      <c r="O159" t="s">
        <v>26</v>
      </c>
      <c r="P159" t="s">
        <v>27</v>
      </c>
      <c r="Q159" t="s">
        <v>28</v>
      </c>
      <c r="R159" t="s">
        <v>29</v>
      </c>
      <c r="S159" t="s">
        <v>30</v>
      </c>
      <c r="T159">
        <v>1019052150</v>
      </c>
      <c r="U159" t="s">
        <v>4055</v>
      </c>
      <c r="V159" t="s">
        <v>4056</v>
      </c>
      <c r="W159" s="9">
        <f>IF(V159="pregrado",31,
IF(V159="posgrados",31,
IF(V159="rEINTEGROS",7,
IF(V159="BIT",90,
IF(V159="OP GRADO - INGLÉS",17,"")))))</f>
        <v>90</v>
      </c>
      <c r="X159" t="s">
        <v>4074</v>
      </c>
    </row>
    <row r="160" spans="1:24" ht="15" x14ac:dyDescent="0.35">
      <c r="A160" s="4">
        <v>46051.719224537039</v>
      </c>
      <c r="B160">
        <v>20118674</v>
      </c>
      <c r="C160" s="6" t="s">
        <v>19</v>
      </c>
      <c r="D160">
        <v>62584</v>
      </c>
      <c r="E160" t="s">
        <v>267</v>
      </c>
      <c r="F160">
        <v>1067715109</v>
      </c>
      <c r="G160" t="s">
        <v>2516</v>
      </c>
      <c r="H160">
        <v>100130047</v>
      </c>
      <c r="I160">
        <v>202604</v>
      </c>
      <c r="J160">
        <v>1067715109</v>
      </c>
      <c r="K160" t="s">
        <v>270</v>
      </c>
      <c r="L160" t="s">
        <v>409</v>
      </c>
      <c r="M160" t="s">
        <v>271</v>
      </c>
      <c r="N160" t="s">
        <v>25</v>
      </c>
      <c r="O160" t="s">
        <v>26</v>
      </c>
      <c r="P160" t="s">
        <v>27</v>
      </c>
      <c r="Q160" t="s">
        <v>28</v>
      </c>
      <c r="R160" t="s">
        <v>29</v>
      </c>
      <c r="S160" t="s">
        <v>30</v>
      </c>
      <c r="T160">
        <v>52834109</v>
      </c>
      <c r="U160" t="s">
        <v>4019</v>
      </c>
      <c r="V160" t="s">
        <v>4020</v>
      </c>
      <c r="W160" s="9">
        <f>IF(V160="pregrado",31,
IF(V160="posgrados",31,
IF(V160="rEINTEGROS",7,
IF(V160="BIT",90,
IF(V160="OP GRADO - INGLÉS",17,"")))))</f>
        <v>17</v>
      </c>
      <c r="X160" t="s">
        <v>4018</v>
      </c>
    </row>
    <row r="161" spans="1:24" ht="15" x14ac:dyDescent="0.35">
      <c r="A161" s="4">
        <v>46044.865914351853</v>
      </c>
      <c r="B161">
        <v>20116380</v>
      </c>
      <c r="C161" s="6" t="s">
        <v>19</v>
      </c>
      <c r="D161">
        <v>62592</v>
      </c>
      <c r="E161" t="s">
        <v>267</v>
      </c>
      <c r="F161">
        <v>1022955776</v>
      </c>
      <c r="G161" t="s">
        <v>2215</v>
      </c>
      <c r="H161">
        <v>100193727</v>
      </c>
      <c r="I161">
        <v>202604</v>
      </c>
      <c r="J161">
        <v>1026257626</v>
      </c>
      <c r="K161" t="s">
        <v>270</v>
      </c>
      <c r="L161" t="s">
        <v>639</v>
      </c>
      <c r="M161" t="s">
        <v>271</v>
      </c>
      <c r="N161" t="s">
        <v>35</v>
      </c>
      <c r="O161" t="s">
        <v>26</v>
      </c>
      <c r="P161" t="s">
        <v>27</v>
      </c>
      <c r="Q161" t="s">
        <v>28</v>
      </c>
      <c r="R161" t="s">
        <v>29</v>
      </c>
      <c r="S161" t="s">
        <v>30</v>
      </c>
      <c r="T161">
        <v>60345453</v>
      </c>
      <c r="U161" t="s">
        <v>4019</v>
      </c>
      <c r="V161" t="s">
        <v>4020</v>
      </c>
      <c r="W161" s="9">
        <f>IF(V161="pregrado",31,
IF(V161="posgrados",31,
IF(V161="rEINTEGROS",7,
IF(V161="BIT",90,
IF(V161="OP GRADO - INGLÉS",17,"")))))</f>
        <v>17</v>
      </c>
      <c r="X161" t="s">
        <v>4063</v>
      </c>
    </row>
    <row r="162" spans="1:24" ht="15" x14ac:dyDescent="0.35">
      <c r="A162" s="4">
        <v>46052.578831018516</v>
      </c>
      <c r="B162">
        <v>20118956</v>
      </c>
      <c r="C162" s="6" t="s">
        <v>19</v>
      </c>
      <c r="D162">
        <v>62604</v>
      </c>
      <c r="E162" t="s">
        <v>267</v>
      </c>
      <c r="F162">
        <v>53017213</v>
      </c>
      <c r="G162" t="s">
        <v>2563</v>
      </c>
      <c r="H162">
        <v>100094911</v>
      </c>
      <c r="I162">
        <v>202604</v>
      </c>
      <c r="J162">
        <v>53017213</v>
      </c>
      <c r="K162" t="s">
        <v>270</v>
      </c>
      <c r="L162" t="s">
        <v>589</v>
      </c>
      <c r="M162" t="s">
        <v>271</v>
      </c>
      <c r="N162" t="s">
        <v>35</v>
      </c>
      <c r="O162" t="s">
        <v>26</v>
      </c>
      <c r="P162" t="s">
        <v>27</v>
      </c>
      <c r="Q162" t="s">
        <v>28</v>
      </c>
      <c r="R162" t="s">
        <v>29</v>
      </c>
      <c r="S162" t="s">
        <v>30</v>
      </c>
      <c r="T162">
        <v>1033714104</v>
      </c>
      <c r="U162" t="s">
        <v>4019</v>
      </c>
      <c r="V162" t="s">
        <v>4020</v>
      </c>
      <c r="W162" s="9">
        <f>IF(V162="pregrado",31,
IF(V162="posgrados",31,
IF(V162="rEINTEGROS",7,
IF(V162="BIT",90,
IF(V162="OP GRADO - INGLÉS",17,"")))))</f>
        <v>17</v>
      </c>
      <c r="X162" t="s">
        <v>4029</v>
      </c>
    </row>
    <row r="163" spans="1:24" ht="15" x14ac:dyDescent="0.35">
      <c r="A163" s="4">
        <v>46073.643738425926</v>
      </c>
      <c r="B163">
        <v>20125321</v>
      </c>
      <c r="C163" s="6" t="s">
        <v>19</v>
      </c>
      <c r="D163">
        <v>62608</v>
      </c>
      <c r="E163" t="s">
        <v>267</v>
      </c>
      <c r="F163">
        <v>1010094619</v>
      </c>
      <c r="G163" t="s">
        <v>3482</v>
      </c>
      <c r="H163">
        <v>100242942</v>
      </c>
      <c r="I163">
        <v>202604</v>
      </c>
      <c r="J163">
        <v>1010094619</v>
      </c>
      <c r="K163" t="s">
        <v>23</v>
      </c>
      <c r="L163" t="s">
        <v>1015</v>
      </c>
      <c r="M163" t="s">
        <v>271</v>
      </c>
      <c r="N163" t="s">
        <v>35</v>
      </c>
      <c r="O163" t="s">
        <v>26</v>
      </c>
      <c r="P163" t="s">
        <v>27</v>
      </c>
      <c r="Q163" t="s">
        <v>28</v>
      </c>
      <c r="R163" t="s">
        <v>29</v>
      </c>
      <c r="S163" t="s">
        <v>30</v>
      </c>
      <c r="T163">
        <v>1019052150</v>
      </c>
      <c r="U163" t="s">
        <v>4055</v>
      </c>
      <c r="V163" t="s">
        <v>4056</v>
      </c>
      <c r="W163" s="9">
        <f>IF(V163="pregrado",31,
IF(V163="posgrados",31,
IF(V163="rEINTEGROS",7,
IF(V163="BIT",90,
IF(V163="OP GRADO - INGLÉS",17,"")))))</f>
        <v>90</v>
      </c>
      <c r="X163" t="s">
        <v>4074</v>
      </c>
    </row>
    <row r="164" spans="1:24" ht="15" x14ac:dyDescent="0.35">
      <c r="A164" s="4">
        <v>46045.572523148148</v>
      </c>
      <c r="B164">
        <v>20116602</v>
      </c>
      <c r="C164" s="6" t="s">
        <v>19</v>
      </c>
      <c r="D164">
        <v>62612</v>
      </c>
      <c r="E164" t="s">
        <v>267</v>
      </c>
      <c r="F164">
        <v>1017258692</v>
      </c>
      <c r="G164" t="s">
        <v>2236</v>
      </c>
      <c r="H164">
        <v>100242414</v>
      </c>
      <c r="I164">
        <v>202604</v>
      </c>
      <c r="J164">
        <v>1017258692</v>
      </c>
      <c r="K164" t="s">
        <v>23</v>
      </c>
      <c r="L164" t="s">
        <v>808</v>
      </c>
      <c r="M164" t="s">
        <v>271</v>
      </c>
      <c r="N164" t="s">
        <v>35</v>
      </c>
      <c r="O164" t="s">
        <v>26</v>
      </c>
      <c r="P164" t="s">
        <v>27</v>
      </c>
      <c r="Q164" t="s">
        <v>28</v>
      </c>
      <c r="R164" t="s">
        <v>29</v>
      </c>
      <c r="S164" t="s">
        <v>30</v>
      </c>
      <c r="T164">
        <v>1018484247</v>
      </c>
      <c r="U164" t="s">
        <v>4055</v>
      </c>
      <c r="V164" t="s">
        <v>4056</v>
      </c>
      <c r="W164" s="9">
        <f>IF(V164="pregrado",31,
IF(V164="posgrados",31,
IF(V164="rEINTEGROS",7,
IF(V164="BIT",90,
IF(V164="OP GRADO - INGLÉS",17,"")))))</f>
        <v>90</v>
      </c>
      <c r="X164" t="s">
        <v>4069</v>
      </c>
    </row>
    <row r="165" spans="1:24" ht="15" x14ac:dyDescent="0.35">
      <c r="A165" s="4">
        <v>46044.394375000003</v>
      </c>
      <c r="B165">
        <v>20116020</v>
      </c>
      <c r="C165" s="6" t="s">
        <v>19</v>
      </c>
      <c r="D165">
        <v>62614</v>
      </c>
      <c r="E165" t="s">
        <v>267</v>
      </c>
      <c r="F165">
        <v>1073157343</v>
      </c>
      <c r="G165" t="s">
        <v>2137</v>
      </c>
      <c r="H165">
        <v>100152839</v>
      </c>
      <c r="I165">
        <v>202604</v>
      </c>
      <c r="J165">
        <v>1073157343</v>
      </c>
      <c r="K165" t="s">
        <v>270</v>
      </c>
      <c r="L165" t="s">
        <v>639</v>
      </c>
      <c r="M165" t="s">
        <v>271</v>
      </c>
      <c r="N165" t="s">
        <v>35</v>
      </c>
      <c r="O165" t="s">
        <v>26</v>
      </c>
      <c r="P165" t="s">
        <v>27</v>
      </c>
      <c r="Q165" t="s">
        <v>28</v>
      </c>
      <c r="R165" t="s">
        <v>29</v>
      </c>
      <c r="S165" t="s">
        <v>30</v>
      </c>
      <c r="T165">
        <v>1033714104</v>
      </c>
      <c r="U165" t="s">
        <v>4019</v>
      </c>
      <c r="V165" t="s">
        <v>4020</v>
      </c>
      <c r="W165" s="9">
        <f>IF(V165="pregrado",31,
IF(V165="posgrados",31,
IF(V165="rEINTEGROS",7,
IF(V165="BIT",90,
IF(V165="OP GRADO - INGLÉS",17,"")))))</f>
        <v>17</v>
      </c>
      <c r="X165" t="s">
        <v>4029</v>
      </c>
    </row>
    <row r="166" spans="1:24" ht="15" x14ac:dyDescent="0.35">
      <c r="A166" s="4">
        <v>46044.461180555554</v>
      </c>
      <c r="B166">
        <v>20116088</v>
      </c>
      <c r="C166" s="6" t="s">
        <v>19</v>
      </c>
      <c r="D166">
        <v>62615</v>
      </c>
      <c r="E166" t="s">
        <v>267</v>
      </c>
      <c r="F166">
        <v>1069584837</v>
      </c>
      <c r="G166" t="s">
        <v>2151</v>
      </c>
      <c r="H166">
        <v>100242996</v>
      </c>
      <c r="I166">
        <v>202604</v>
      </c>
      <c r="J166">
        <v>1069584837</v>
      </c>
      <c r="K166" t="s">
        <v>23</v>
      </c>
      <c r="L166" t="s">
        <v>1066</v>
      </c>
      <c r="M166" t="s">
        <v>271</v>
      </c>
      <c r="N166" t="s">
        <v>35</v>
      </c>
      <c r="O166" t="s">
        <v>26</v>
      </c>
      <c r="P166" t="s">
        <v>27</v>
      </c>
      <c r="Q166" t="s">
        <v>28</v>
      </c>
      <c r="R166" t="s">
        <v>29</v>
      </c>
      <c r="S166" t="s">
        <v>30</v>
      </c>
      <c r="T166">
        <v>1018484247</v>
      </c>
      <c r="U166" t="s">
        <v>4055</v>
      </c>
      <c r="V166" t="s">
        <v>4056</v>
      </c>
      <c r="W166" s="9">
        <f>IF(V166="pregrado",31,
IF(V166="posgrados",31,
IF(V166="rEINTEGROS",7,
IF(V166="BIT",90,
IF(V166="OP GRADO - INGLÉS",17,"")))))</f>
        <v>90</v>
      </c>
      <c r="X166" t="s">
        <v>4069</v>
      </c>
    </row>
    <row r="167" spans="1:24" ht="15" x14ac:dyDescent="0.35">
      <c r="A167" s="4">
        <v>46049.727835648147</v>
      </c>
      <c r="B167">
        <v>20117738</v>
      </c>
      <c r="C167" s="6" t="s">
        <v>19</v>
      </c>
      <c r="D167">
        <v>62617</v>
      </c>
      <c r="E167" t="s">
        <v>267</v>
      </c>
      <c r="F167">
        <v>1086361659</v>
      </c>
      <c r="G167" t="s">
        <v>2373</v>
      </c>
      <c r="H167">
        <v>100138754</v>
      </c>
      <c r="I167">
        <v>202604</v>
      </c>
      <c r="J167">
        <v>1192793643</v>
      </c>
      <c r="K167" t="s">
        <v>270</v>
      </c>
      <c r="L167" t="s">
        <v>269</v>
      </c>
      <c r="M167" t="s">
        <v>271</v>
      </c>
      <c r="N167" t="s">
        <v>35</v>
      </c>
      <c r="O167" t="s">
        <v>26</v>
      </c>
      <c r="P167" t="s">
        <v>27</v>
      </c>
      <c r="Q167" t="s">
        <v>28</v>
      </c>
      <c r="R167" t="s">
        <v>29</v>
      </c>
      <c r="S167" t="s">
        <v>30</v>
      </c>
      <c r="T167">
        <v>60345453</v>
      </c>
      <c r="U167" t="s">
        <v>4019</v>
      </c>
      <c r="V167" t="s">
        <v>4020</v>
      </c>
      <c r="W167" s="9">
        <f>IF(V167="pregrado",31,
IF(V167="posgrados",31,
IF(V167="rEINTEGROS",7,
IF(V167="BIT",90,
IF(V167="OP GRADO - INGLÉS",17,"")))))</f>
        <v>17</v>
      </c>
      <c r="X167" t="s">
        <v>4063</v>
      </c>
    </row>
    <row r="168" spans="1:24" ht="15" x14ac:dyDescent="0.35">
      <c r="A168" s="4">
        <v>46047.861145833333</v>
      </c>
      <c r="B168">
        <v>20116942</v>
      </c>
      <c r="C168" s="6" t="s">
        <v>19</v>
      </c>
      <c r="D168">
        <v>62633</v>
      </c>
      <c r="E168" t="s">
        <v>267</v>
      </c>
      <c r="F168">
        <v>1007568449</v>
      </c>
      <c r="G168" t="s">
        <v>2270</v>
      </c>
      <c r="H168">
        <v>100121410</v>
      </c>
      <c r="I168">
        <v>202604</v>
      </c>
      <c r="J168">
        <v>1007568449</v>
      </c>
      <c r="K168" t="s">
        <v>270</v>
      </c>
      <c r="L168" t="s">
        <v>532</v>
      </c>
      <c r="M168" t="s">
        <v>271</v>
      </c>
      <c r="N168" t="s">
        <v>35</v>
      </c>
      <c r="O168" t="s">
        <v>26</v>
      </c>
      <c r="P168" t="s">
        <v>27</v>
      </c>
      <c r="Q168" t="s">
        <v>28</v>
      </c>
      <c r="R168" t="s">
        <v>29</v>
      </c>
      <c r="S168" t="s">
        <v>30</v>
      </c>
      <c r="T168">
        <v>1033714104</v>
      </c>
      <c r="U168" t="s">
        <v>4019</v>
      </c>
      <c r="V168" t="s">
        <v>4020</v>
      </c>
      <c r="W168" s="9">
        <f>IF(V168="pregrado",31,
IF(V168="posgrados",31,
IF(V168="rEINTEGROS",7,
IF(V168="BIT",90,
IF(V168="OP GRADO - INGLÉS",17,"")))))</f>
        <v>17</v>
      </c>
      <c r="X168" t="s">
        <v>4029</v>
      </c>
    </row>
    <row r="169" spans="1:24" ht="15" x14ac:dyDescent="0.35">
      <c r="A169" s="4">
        <v>46045.485046296293</v>
      </c>
      <c r="B169">
        <v>20116526</v>
      </c>
      <c r="C169" s="6" t="s">
        <v>19</v>
      </c>
      <c r="D169">
        <v>62644</v>
      </c>
      <c r="E169" t="s">
        <v>267</v>
      </c>
      <c r="F169">
        <v>1052053138</v>
      </c>
      <c r="G169" t="s">
        <v>2228</v>
      </c>
      <c r="H169">
        <v>100243114</v>
      </c>
      <c r="I169">
        <v>202604</v>
      </c>
      <c r="J169">
        <v>1052053138</v>
      </c>
      <c r="K169" t="s">
        <v>23</v>
      </c>
      <c r="L169" t="s">
        <v>1258</v>
      </c>
      <c r="M169" t="s">
        <v>271</v>
      </c>
      <c r="N169" t="s">
        <v>35</v>
      </c>
      <c r="O169" t="s">
        <v>26</v>
      </c>
      <c r="P169" t="s">
        <v>27</v>
      </c>
      <c r="Q169" t="s">
        <v>28</v>
      </c>
      <c r="R169" t="s">
        <v>29</v>
      </c>
      <c r="S169" t="s">
        <v>30</v>
      </c>
      <c r="T169">
        <v>1018484247</v>
      </c>
      <c r="U169" t="s">
        <v>4055</v>
      </c>
      <c r="V169" t="s">
        <v>4056</v>
      </c>
      <c r="W169" s="9">
        <f>IF(V169="pregrado",31,
IF(V169="posgrados",31,
IF(V169="rEINTEGROS",7,
IF(V169="BIT",90,
IF(V169="OP GRADO - INGLÉS",17,"")))))</f>
        <v>90</v>
      </c>
      <c r="X169" t="s">
        <v>4069</v>
      </c>
    </row>
    <row r="170" spans="1:24" ht="15" x14ac:dyDescent="0.35">
      <c r="A170" s="4">
        <v>46050.618854166663</v>
      </c>
      <c r="B170">
        <v>20118051</v>
      </c>
      <c r="C170" s="6" t="s">
        <v>19</v>
      </c>
      <c r="D170">
        <v>62649</v>
      </c>
      <c r="E170" t="s">
        <v>267</v>
      </c>
      <c r="F170">
        <v>1001549457</v>
      </c>
      <c r="G170" t="s">
        <v>2421</v>
      </c>
      <c r="H170">
        <v>100141521</v>
      </c>
      <c r="I170">
        <v>202604</v>
      </c>
      <c r="J170">
        <v>1038100245</v>
      </c>
      <c r="K170" t="s">
        <v>270</v>
      </c>
      <c r="L170" t="s">
        <v>409</v>
      </c>
      <c r="M170" t="s">
        <v>271</v>
      </c>
      <c r="N170" t="s">
        <v>35</v>
      </c>
      <c r="O170" t="s">
        <v>26</v>
      </c>
      <c r="P170" t="s">
        <v>27</v>
      </c>
      <c r="Q170" t="s">
        <v>28</v>
      </c>
      <c r="R170" t="s">
        <v>29</v>
      </c>
      <c r="S170" t="s">
        <v>30</v>
      </c>
      <c r="T170">
        <v>52834109</v>
      </c>
      <c r="U170" t="s">
        <v>4019</v>
      </c>
      <c r="V170" t="s">
        <v>4020</v>
      </c>
      <c r="W170" s="9">
        <f>IF(V170="pregrado",31,
IF(V170="posgrados",31,
IF(V170="rEINTEGROS",7,
IF(V170="BIT",90,
IF(V170="OP GRADO - INGLÉS",17,"")))))</f>
        <v>17</v>
      </c>
      <c r="X170" t="s">
        <v>4018</v>
      </c>
    </row>
    <row r="171" spans="1:24" ht="15" x14ac:dyDescent="0.35">
      <c r="A171" s="4">
        <v>46056.858495370368</v>
      </c>
      <c r="B171">
        <v>20120238</v>
      </c>
      <c r="C171" s="6" t="s">
        <v>19</v>
      </c>
      <c r="D171">
        <v>62653</v>
      </c>
      <c r="E171" t="s">
        <v>267</v>
      </c>
      <c r="F171">
        <v>1116264472</v>
      </c>
      <c r="G171" t="s">
        <v>2713</v>
      </c>
      <c r="H171">
        <v>100136579</v>
      </c>
      <c r="I171">
        <v>202604</v>
      </c>
      <c r="J171">
        <v>4682936</v>
      </c>
      <c r="K171" t="s">
        <v>270</v>
      </c>
      <c r="L171" t="s">
        <v>1061</v>
      </c>
      <c r="M171" t="s">
        <v>271</v>
      </c>
      <c r="N171" t="s">
        <v>35</v>
      </c>
      <c r="O171" t="s">
        <v>26</v>
      </c>
      <c r="P171" t="s">
        <v>27</v>
      </c>
      <c r="Q171" t="s">
        <v>28</v>
      </c>
      <c r="R171" t="s">
        <v>29</v>
      </c>
      <c r="S171" t="s">
        <v>30</v>
      </c>
      <c r="T171">
        <v>60345453</v>
      </c>
      <c r="U171" t="s">
        <v>4019</v>
      </c>
      <c r="V171" t="s">
        <v>4020</v>
      </c>
      <c r="W171" s="9">
        <f>IF(V171="pregrado",31,
IF(V171="posgrados",31,
IF(V171="rEINTEGROS",7,
IF(V171="BIT",90,
IF(V171="OP GRADO - INGLÉS",17,"")))))</f>
        <v>17</v>
      </c>
      <c r="X171" t="s">
        <v>4063</v>
      </c>
    </row>
    <row r="172" spans="1:24" ht="15" x14ac:dyDescent="0.35">
      <c r="A172" s="4">
        <v>46050.575543981482</v>
      </c>
      <c r="B172">
        <v>20118006</v>
      </c>
      <c r="C172" s="6" t="s">
        <v>19</v>
      </c>
      <c r="D172">
        <v>62671</v>
      </c>
      <c r="E172" t="s">
        <v>267</v>
      </c>
      <c r="F172">
        <v>1073070147</v>
      </c>
      <c r="G172" t="s">
        <v>2417</v>
      </c>
      <c r="H172">
        <v>100155746</v>
      </c>
      <c r="I172">
        <v>202604</v>
      </c>
      <c r="J172">
        <v>1073070147</v>
      </c>
      <c r="K172" t="s">
        <v>270</v>
      </c>
      <c r="L172" t="s">
        <v>2034</v>
      </c>
      <c r="M172" t="s">
        <v>271</v>
      </c>
      <c r="N172" t="s">
        <v>35</v>
      </c>
      <c r="O172" t="s">
        <v>26</v>
      </c>
      <c r="P172" t="s">
        <v>27</v>
      </c>
      <c r="Q172" t="s">
        <v>28</v>
      </c>
      <c r="R172" t="s">
        <v>29</v>
      </c>
      <c r="S172" t="s">
        <v>30</v>
      </c>
      <c r="T172">
        <v>1033714104</v>
      </c>
      <c r="U172" t="s">
        <v>4019</v>
      </c>
      <c r="V172" t="s">
        <v>4020</v>
      </c>
      <c r="W172" s="9">
        <f>IF(V172="pregrado",31,
IF(V172="posgrados",31,
IF(V172="rEINTEGROS",7,
IF(V172="BIT",90,
IF(V172="OP GRADO - INGLÉS",17,"")))))</f>
        <v>17</v>
      </c>
      <c r="X172" t="s">
        <v>4029</v>
      </c>
    </row>
    <row r="173" spans="1:24" ht="15" x14ac:dyDescent="0.35">
      <c r="A173" s="4">
        <v>46045.583726851852</v>
      </c>
      <c r="B173">
        <v>20116613</v>
      </c>
      <c r="C173" s="6" t="s">
        <v>19</v>
      </c>
      <c r="D173">
        <v>62672</v>
      </c>
      <c r="E173" t="s">
        <v>267</v>
      </c>
      <c r="F173">
        <v>41686614</v>
      </c>
      <c r="G173" t="s">
        <v>2240</v>
      </c>
      <c r="H173">
        <v>100020252</v>
      </c>
      <c r="I173">
        <v>202604</v>
      </c>
      <c r="J173">
        <v>1085935416</v>
      </c>
      <c r="K173" t="s">
        <v>270</v>
      </c>
      <c r="L173" t="s">
        <v>409</v>
      </c>
      <c r="M173" t="s">
        <v>271</v>
      </c>
      <c r="N173" t="s">
        <v>35</v>
      </c>
      <c r="O173" t="s">
        <v>26</v>
      </c>
      <c r="P173" t="s">
        <v>27</v>
      </c>
      <c r="Q173" t="s">
        <v>28</v>
      </c>
      <c r="R173" t="s">
        <v>29</v>
      </c>
      <c r="S173" t="s">
        <v>30</v>
      </c>
      <c r="T173">
        <v>52834109</v>
      </c>
      <c r="U173" t="s">
        <v>4019</v>
      </c>
      <c r="V173" t="s">
        <v>4020</v>
      </c>
      <c r="W173" s="9">
        <f>IF(V173="pregrado",31,
IF(V173="posgrados",31,
IF(V173="rEINTEGROS",7,
IF(V173="BIT",90,
IF(V173="OP GRADO - INGLÉS",17,"")))))</f>
        <v>17</v>
      </c>
      <c r="X173" t="s">
        <v>4018</v>
      </c>
    </row>
    <row r="174" spans="1:24" ht="15" x14ac:dyDescent="0.35">
      <c r="A174" s="4">
        <v>46052.334733796299</v>
      </c>
      <c r="B174">
        <v>20118743</v>
      </c>
      <c r="C174" s="6" t="s">
        <v>19</v>
      </c>
      <c r="D174">
        <v>62683</v>
      </c>
      <c r="E174" t="s">
        <v>267</v>
      </c>
      <c r="F174">
        <v>87061509</v>
      </c>
      <c r="G174" t="s">
        <v>2528</v>
      </c>
      <c r="H174">
        <v>100243280</v>
      </c>
      <c r="I174">
        <v>202604</v>
      </c>
      <c r="J174">
        <v>1085314698</v>
      </c>
      <c r="K174" t="s">
        <v>23</v>
      </c>
      <c r="L174" t="s">
        <v>1066</v>
      </c>
      <c r="M174" t="s">
        <v>271</v>
      </c>
      <c r="N174" t="s">
        <v>35</v>
      </c>
      <c r="O174" t="s">
        <v>26</v>
      </c>
      <c r="P174" t="s">
        <v>27</v>
      </c>
      <c r="Q174" t="s">
        <v>28</v>
      </c>
      <c r="R174" t="s">
        <v>29</v>
      </c>
      <c r="S174" t="s">
        <v>30</v>
      </c>
      <c r="T174">
        <v>52221286</v>
      </c>
      <c r="U174" t="s">
        <v>4055</v>
      </c>
      <c r="V174" t="s">
        <v>4056</v>
      </c>
      <c r="W174" s="9">
        <f>IF(V174="pregrado",31,
IF(V174="posgrados",31,
IF(V174="rEINTEGROS",7,
IF(V174="BIT",90,
IF(V174="OP GRADO - INGLÉS",17,"")))))</f>
        <v>90</v>
      </c>
      <c r="X174" t="s">
        <v>4076</v>
      </c>
    </row>
    <row r="175" spans="1:24" ht="15" x14ac:dyDescent="0.35">
      <c r="A175" s="4">
        <v>46051.542615740742</v>
      </c>
      <c r="B175">
        <v>20118476</v>
      </c>
      <c r="C175" s="6" t="s">
        <v>19</v>
      </c>
      <c r="D175">
        <v>62685</v>
      </c>
      <c r="E175" t="s">
        <v>267</v>
      </c>
      <c r="F175">
        <v>1019125936</v>
      </c>
      <c r="G175" t="s">
        <v>2484</v>
      </c>
      <c r="H175">
        <v>100243328</v>
      </c>
      <c r="I175">
        <v>202604</v>
      </c>
      <c r="J175">
        <v>1019125936</v>
      </c>
      <c r="K175" t="s">
        <v>23</v>
      </c>
      <c r="L175" t="s">
        <v>1015</v>
      </c>
      <c r="M175" t="s">
        <v>271</v>
      </c>
      <c r="N175" t="s">
        <v>35</v>
      </c>
      <c r="O175" t="s">
        <v>26</v>
      </c>
      <c r="P175" t="s">
        <v>27</v>
      </c>
      <c r="Q175" t="s">
        <v>28</v>
      </c>
      <c r="R175" t="s">
        <v>29</v>
      </c>
      <c r="S175" t="s">
        <v>30</v>
      </c>
      <c r="T175">
        <v>1000788047</v>
      </c>
      <c r="U175" t="s">
        <v>4055</v>
      </c>
      <c r="V175" t="s">
        <v>4056</v>
      </c>
      <c r="W175" s="9">
        <f>IF(V175="pregrado",31,
IF(V175="posgrados",31,
IF(V175="rEINTEGROS",7,
IF(V175="BIT",90,
IF(V175="OP GRADO - INGLÉS",17,"")))))</f>
        <v>90</v>
      </c>
      <c r="X175" t="s">
        <v>4068</v>
      </c>
    </row>
    <row r="176" spans="1:24" ht="15" x14ac:dyDescent="0.35">
      <c r="A176" s="4">
        <v>46052.674016203702</v>
      </c>
      <c r="B176">
        <v>20119056</v>
      </c>
      <c r="C176" s="6" t="s">
        <v>19</v>
      </c>
      <c r="D176">
        <v>62690</v>
      </c>
      <c r="E176" t="s">
        <v>267</v>
      </c>
      <c r="F176">
        <v>53103563</v>
      </c>
      <c r="G176" t="s">
        <v>2575</v>
      </c>
      <c r="H176">
        <v>100243340</v>
      </c>
      <c r="I176">
        <v>202604</v>
      </c>
      <c r="J176">
        <v>1141322432</v>
      </c>
      <c r="K176" t="s">
        <v>23</v>
      </c>
      <c r="L176" t="s">
        <v>1015</v>
      </c>
      <c r="M176" t="s">
        <v>271</v>
      </c>
      <c r="N176" t="s">
        <v>35</v>
      </c>
      <c r="O176" t="s">
        <v>26</v>
      </c>
      <c r="P176" t="s">
        <v>27</v>
      </c>
      <c r="Q176" t="s">
        <v>28</v>
      </c>
      <c r="R176" t="s">
        <v>29</v>
      </c>
      <c r="S176" t="s">
        <v>30</v>
      </c>
      <c r="T176">
        <v>1020808943</v>
      </c>
      <c r="U176" t="s">
        <v>4055</v>
      </c>
      <c r="V176" t="s">
        <v>4056</v>
      </c>
      <c r="W176" s="9">
        <f>IF(V176="pregrado",31,
IF(V176="posgrados",31,
IF(V176="rEINTEGROS",7,
IF(V176="BIT",90,
IF(V176="OP GRADO - INGLÉS",17,"")))))</f>
        <v>90</v>
      </c>
      <c r="X176" t="s">
        <v>4088</v>
      </c>
    </row>
    <row r="177" spans="1:24" ht="15" x14ac:dyDescent="0.35">
      <c r="A177" s="4">
        <v>46048.485023148147</v>
      </c>
      <c r="B177">
        <v>20117059</v>
      </c>
      <c r="C177" s="6" t="s">
        <v>19</v>
      </c>
      <c r="D177">
        <v>62696</v>
      </c>
      <c r="E177" t="s">
        <v>267</v>
      </c>
      <c r="F177">
        <v>1001977420</v>
      </c>
      <c r="G177" t="s">
        <v>2284</v>
      </c>
      <c r="H177">
        <v>100129271</v>
      </c>
      <c r="I177">
        <v>202604</v>
      </c>
      <c r="J177">
        <v>1001977420</v>
      </c>
      <c r="K177" t="s">
        <v>270</v>
      </c>
      <c r="L177" t="s">
        <v>269</v>
      </c>
      <c r="M177" t="s">
        <v>271</v>
      </c>
      <c r="N177" t="s">
        <v>35</v>
      </c>
      <c r="O177" t="s">
        <v>26</v>
      </c>
      <c r="P177" t="s">
        <v>27</v>
      </c>
      <c r="Q177" t="s">
        <v>28</v>
      </c>
      <c r="R177" t="s">
        <v>29</v>
      </c>
      <c r="S177" t="s">
        <v>30</v>
      </c>
      <c r="T177">
        <v>1033714104</v>
      </c>
      <c r="U177" t="s">
        <v>4019</v>
      </c>
      <c r="V177" t="s">
        <v>4020</v>
      </c>
      <c r="W177" s="9">
        <f>IF(V177="pregrado",31,
IF(V177="posgrados",31,
IF(V177="rEINTEGROS",7,
IF(V177="BIT",90,
IF(V177="OP GRADO - INGLÉS",17,"")))))</f>
        <v>17</v>
      </c>
      <c r="X177" t="s">
        <v>4029</v>
      </c>
    </row>
    <row r="178" spans="1:24" ht="15" x14ac:dyDescent="0.35">
      <c r="A178" s="4">
        <v>46056.614942129629</v>
      </c>
      <c r="B178">
        <v>20120135</v>
      </c>
      <c r="C178" s="6" t="s">
        <v>19</v>
      </c>
      <c r="D178">
        <v>62698</v>
      </c>
      <c r="E178" t="s">
        <v>267</v>
      </c>
      <c r="F178">
        <v>1010013143</v>
      </c>
      <c r="G178" t="s">
        <v>2701</v>
      </c>
      <c r="H178">
        <v>100116120</v>
      </c>
      <c r="I178">
        <v>202604</v>
      </c>
      <c r="J178">
        <v>1010013143</v>
      </c>
      <c r="K178" t="s">
        <v>270</v>
      </c>
      <c r="L178" t="s">
        <v>486</v>
      </c>
      <c r="M178" t="s">
        <v>271</v>
      </c>
      <c r="N178" t="s">
        <v>35</v>
      </c>
      <c r="O178" t="s">
        <v>26</v>
      </c>
      <c r="P178" t="s">
        <v>27</v>
      </c>
      <c r="Q178" t="s">
        <v>28</v>
      </c>
      <c r="R178" t="s">
        <v>29</v>
      </c>
      <c r="S178" t="s">
        <v>30</v>
      </c>
      <c r="T178">
        <v>1033714104</v>
      </c>
      <c r="U178" t="s">
        <v>4019</v>
      </c>
      <c r="V178" t="s">
        <v>4020</v>
      </c>
      <c r="W178" s="9">
        <f>IF(V178="pregrado",31,
IF(V178="posgrados",31,
IF(V178="rEINTEGROS",7,
IF(V178="BIT",90,
IF(V178="OP GRADO - INGLÉS",17,"")))))</f>
        <v>17</v>
      </c>
      <c r="X178" t="s">
        <v>4029</v>
      </c>
    </row>
    <row r="179" spans="1:24" ht="15" x14ac:dyDescent="0.35">
      <c r="A179" s="4">
        <v>46050.504826388889</v>
      </c>
      <c r="B179">
        <v>20117953</v>
      </c>
      <c r="C179" s="6" t="s">
        <v>19</v>
      </c>
      <c r="D179">
        <v>62700</v>
      </c>
      <c r="E179" t="s">
        <v>267</v>
      </c>
      <c r="F179">
        <v>1003764404</v>
      </c>
      <c r="G179" t="s">
        <v>2408</v>
      </c>
      <c r="H179">
        <v>100226724</v>
      </c>
      <c r="I179">
        <v>202604</v>
      </c>
      <c r="J179">
        <v>1003764404</v>
      </c>
      <c r="K179" t="s">
        <v>270</v>
      </c>
      <c r="L179" t="s">
        <v>589</v>
      </c>
      <c r="M179" t="s">
        <v>271</v>
      </c>
      <c r="N179">
        <v>0</v>
      </c>
      <c r="O179" t="s">
        <v>26</v>
      </c>
      <c r="P179" t="s">
        <v>27</v>
      </c>
      <c r="Q179" t="s">
        <v>28</v>
      </c>
      <c r="R179" t="s">
        <v>29</v>
      </c>
      <c r="S179" t="s">
        <v>30</v>
      </c>
      <c r="T179">
        <v>60345453</v>
      </c>
      <c r="U179" t="s">
        <v>4019</v>
      </c>
      <c r="V179" t="s">
        <v>4020</v>
      </c>
      <c r="W179" s="9">
        <f>IF(V179="pregrado",31,
IF(V179="posgrados",31,
IF(V179="rEINTEGROS",7,
IF(V179="BIT",90,
IF(V179="OP GRADO - INGLÉS",17,"")))))</f>
        <v>17</v>
      </c>
      <c r="X179" t="s">
        <v>4063</v>
      </c>
    </row>
    <row r="180" spans="1:24" ht="15" x14ac:dyDescent="0.35">
      <c r="A180" s="4">
        <v>46046.388854166667</v>
      </c>
      <c r="B180">
        <v>20116804</v>
      </c>
      <c r="C180" s="6" t="s">
        <v>19</v>
      </c>
      <c r="D180">
        <v>62701</v>
      </c>
      <c r="E180" t="s">
        <v>267</v>
      </c>
      <c r="F180">
        <v>1002330152</v>
      </c>
      <c r="G180" t="s">
        <v>2258</v>
      </c>
      <c r="H180">
        <v>100243275</v>
      </c>
      <c r="I180">
        <v>202604</v>
      </c>
      <c r="J180">
        <v>1002330152</v>
      </c>
      <c r="K180" t="s">
        <v>23</v>
      </c>
      <c r="L180" t="s">
        <v>2259</v>
      </c>
      <c r="M180" t="s">
        <v>271</v>
      </c>
      <c r="N180" t="s">
        <v>35</v>
      </c>
      <c r="O180" t="s">
        <v>26</v>
      </c>
      <c r="P180" t="s">
        <v>27</v>
      </c>
      <c r="Q180" t="s">
        <v>28</v>
      </c>
      <c r="R180" t="s">
        <v>29</v>
      </c>
      <c r="S180" t="s">
        <v>30</v>
      </c>
      <c r="T180">
        <v>1019052150</v>
      </c>
      <c r="U180" t="s">
        <v>4055</v>
      </c>
      <c r="V180" t="s">
        <v>4056</v>
      </c>
      <c r="W180" s="9">
        <f>IF(V180="pregrado",31,
IF(V180="posgrados",31,
IF(V180="rEINTEGROS",7,
IF(V180="BIT",90,
IF(V180="OP GRADO - INGLÉS",17,"")))))</f>
        <v>90</v>
      </c>
      <c r="X180" t="s">
        <v>4074</v>
      </c>
    </row>
    <row r="181" spans="1:24" ht="15" x14ac:dyDescent="0.35">
      <c r="A181" s="4">
        <v>46052.692291666666</v>
      </c>
      <c r="B181">
        <v>20119079</v>
      </c>
      <c r="C181" s="6" t="s">
        <v>19</v>
      </c>
      <c r="D181">
        <v>62710</v>
      </c>
      <c r="E181" t="s">
        <v>267</v>
      </c>
      <c r="F181">
        <v>1020763728</v>
      </c>
      <c r="G181" t="s">
        <v>2583</v>
      </c>
      <c r="H181">
        <v>100243559</v>
      </c>
      <c r="I181">
        <v>202604</v>
      </c>
      <c r="J181">
        <v>1032507440</v>
      </c>
      <c r="K181" t="s">
        <v>23</v>
      </c>
      <c r="L181" t="s">
        <v>1258</v>
      </c>
      <c r="M181" t="s">
        <v>271</v>
      </c>
      <c r="N181" t="s">
        <v>35</v>
      </c>
      <c r="O181" t="s">
        <v>26</v>
      </c>
      <c r="P181" t="s">
        <v>27</v>
      </c>
      <c r="Q181" t="s">
        <v>28</v>
      </c>
      <c r="R181" t="s">
        <v>29</v>
      </c>
      <c r="S181" t="s">
        <v>30</v>
      </c>
      <c r="T181">
        <v>1019052150</v>
      </c>
      <c r="U181" t="s">
        <v>4055</v>
      </c>
      <c r="V181" t="s">
        <v>4056</v>
      </c>
      <c r="W181" s="9">
        <f>IF(V181="pregrado",31,
IF(V181="posgrados",31,
IF(V181="rEINTEGROS",7,
IF(V181="BIT",90,
IF(V181="OP GRADO - INGLÉS",17,"")))))</f>
        <v>90</v>
      </c>
      <c r="X181" t="s">
        <v>4074</v>
      </c>
    </row>
    <row r="182" spans="1:24" ht="15" x14ac:dyDescent="0.35">
      <c r="A182" s="4">
        <v>46052.944247685184</v>
      </c>
      <c r="B182">
        <v>20119186</v>
      </c>
      <c r="C182" s="6" t="s">
        <v>19</v>
      </c>
      <c r="D182">
        <v>62717</v>
      </c>
      <c r="E182" t="s">
        <v>267</v>
      </c>
      <c r="F182">
        <v>51813370</v>
      </c>
      <c r="G182" t="s">
        <v>2606</v>
      </c>
      <c r="H182">
        <v>100195272</v>
      </c>
      <c r="I182">
        <v>202604</v>
      </c>
      <c r="J182">
        <v>1012338273</v>
      </c>
      <c r="K182" t="s">
        <v>270</v>
      </c>
      <c r="L182" t="s">
        <v>639</v>
      </c>
      <c r="M182" t="s">
        <v>271</v>
      </c>
      <c r="N182" t="s">
        <v>35</v>
      </c>
      <c r="O182" t="s">
        <v>26</v>
      </c>
      <c r="P182" t="s">
        <v>27</v>
      </c>
      <c r="Q182" t="s">
        <v>28</v>
      </c>
      <c r="R182" t="s">
        <v>29</v>
      </c>
      <c r="S182" t="s">
        <v>30</v>
      </c>
      <c r="T182">
        <v>1033714104</v>
      </c>
      <c r="U182" t="s">
        <v>4019</v>
      </c>
      <c r="V182" t="s">
        <v>4020</v>
      </c>
      <c r="W182" s="9">
        <f>IF(V182="pregrado",31,
IF(V182="posgrados",31,
IF(V182="rEINTEGROS",7,
IF(V182="BIT",90,
IF(V182="OP GRADO - INGLÉS",17,"")))))</f>
        <v>17</v>
      </c>
      <c r="X182" t="s">
        <v>4029</v>
      </c>
    </row>
    <row r="183" spans="1:24" ht="15" x14ac:dyDescent="0.35">
      <c r="A183" s="4">
        <v>46051.433263888888</v>
      </c>
      <c r="B183">
        <v>20118370</v>
      </c>
      <c r="C183" s="6" t="s">
        <v>19</v>
      </c>
      <c r="D183">
        <v>62724</v>
      </c>
      <c r="E183" t="s">
        <v>267</v>
      </c>
      <c r="F183">
        <v>1073716066</v>
      </c>
      <c r="G183" t="s">
        <v>2461</v>
      </c>
      <c r="H183">
        <v>100179298</v>
      </c>
      <c r="I183">
        <v>202604</v>
      </c>
      <c r="J183">
        <v>1127077643</v>
      </c>
      <c r="K183" t="s">
        <v>270</v>
      </c>
      <c r="L183" t="s">
        <v>2462</v>
      </c>
      <c r="M183" t="s">
        <v>271</v>
      </c>
      <c r="N183" t="s">
        <v>35</v>
      </c>
      <c r="O183" t="s">
        <v>26</v>
      </c>
      <c r="P183" t="s">
        <v>27</v>
      </c>
      <c r="Q183" t="s">
        <v>28</v>
      </c>
      <c r="R183" t="s">
        <v>29</v>
      </c>
      <c r="S183" t="s">
        <v>30</v>
      </c>
      <c r="T183">
        <v>1033714104</v>
      </c>
      <c r="U183" t="s">
        <v>4019</v>
      </c>
      <c r="V183" t="s">
        <v>4020</v>
      </c>
      <c r="W183" s="9">
        <f>IF(V183="pregrado",31,
IF(V183="posgrados",31,
IF(V183="rEINTEGROS",7,
IF(V183="BIT",90,
IF(V183="OP GRADO - INGLÉS",17,"")))))</f>
        <v>17</v>
      </c>
      <c r="X183" t="s">
        <v>4029</v>
      </c>
    </row>
    <row r="184" spans="1:24" ht="15" x14ac:dyDescent="0.35">
      <c r="A184" s="4">
        <v>46049.612407407411</v>
      </c>
      <c r="B184">
        <v>20117587</v>
      </c>
      <c r="C184" s="6" t="s">
        <v>19</v>
      </c>
      <c r="D184">
        <v>62731</v>
      </c>
      <c r="E184" t="s">
        <v>267</v>
      </c>
      <c r="F184">
        <v>79896565</v>
      </c>
      <c r="G184" t="s">
        <v>2348</v>
      </c>
      <c r="H184">
        <v>100147701</v>
      </c>
      <c r="I184">
        <v>202604</v>
      </c>
      <c r="J184">
        <v>36313082</v>
      </c>
      <c r="K184" t="s">
        <v>270</v>
      </c>
      <c r="L184" t="s">
        <v>596</v>
      </c>
      <c r="M184" t="s">
        <v>271</v>
      </c>
      <c r="N184" t="s">
        <v>35</v>
      </c>
      <c r="O184" t="s">
        <v>26</v>
      </c>
      <c r="P184" t="s">
        <v>27</v>
      </c>
      <c r="Q184" t="s">
        <v>28</v>
      </c>
      <c r="R184" t="s">
        <v>29</v>
      </c>
      <c r="S184" t="s">
        <v>30</v>
      </c>
      <c r="T184">
        <v>60345453</v>
      </c>
      <c r="U184" t="s">
        <v>4019</v>
      </c>
      <c r="V184" t="s">
        <v>4020</v>
      </c>
      <c r="W184" s="9">
        <f>IF(V184="pregrado",31,
IF(V184="posgrados",31,
IF(V184="rEINTEGROS",7,
IF(V184="BIT",90,
IF(V184="OP GRADO - INGLÉS",17,"")))))</f>
        <v>17</v>
      </c>
      <c r="X184" t="s">
        <v>4063</v>
      </c>
    </row>
    <row r="185" spans="1:24" ht="15" x14ac:dyDescent="0.35">
      <c r="A185" s="4">
        <v>46048.718368055554</v>
      </c>
      <c r="B185">
        <v>20117310</v>
      </c>
      <c r="C185" s="6" t="s">
        <v>19</v>
      </c>
      <c r="D185">
        <v>62741</v>
      </c>
      <c r="E185" t="s">
        <v>267</v>
      </c>
      <c r="F185">
        <v>1125273978</v>
      </c>
      <c r="G185" t="s">
        <v>2306</v>
      </c>
      <c r="H185">
        <v>100100069</v>
      </c>
      <c r="I185">
        <v>202604</v>
      </c>
      <c r="J185">
        <v>1125273978</v>
      </c>
      <c r="K185" t="s">
        <v>270</v>
      </c>
      <c r="L185" t="s">
        <v>589</v>
      </c>
      <c r="M185" t="s">
        <v>271</v>
      </c>
      <c r="N185" t="s">
        <v>35</v>
      </c>
      <c r="O185" t="s">
        <v>26</v>
      </c>
      <c r="P185" t="s">
        <v>27</v>
      </c>
      <c r="Q185" t="s">
        <v>28</v>
      </c>
      <c r="R185" t="s">
        <v>29</v>
      </c>
      <c r="S185" t="s">
        <v>30</v>
      </c>
      <c r="T185">
        <v>1033714104</v>
      </c>
      <c r="U185" t="s">
        <v>4019</v>
      </c>
      <c r="V185" t="s">
        <v>4020</v>
      </c>
      <c r="W185" s="9">
        <f>IF(V185="pregrado",31,
IF(V185="posgrados",31,
IF(V185="rEINTEGROS",7,
IF(V185="BIT",90,
IF(V185="OP GRADO - INGLÉS",17,"")))))</f>
        <v>17</v>
      </c>
      <c r="X185" t="s">
        <v>4029</v>
      </c>
    </row>
    <row r="186" spans="1:24" ht="15" x14ac:dyDescent="0.35">
      <c r="A186" s="4">
        <v>46079.473043981481</v>
      </c>
      <c r="B186">
        <v>20126493</v>
      </c>
      <c r="C186" s="6" t="s">
        <v>19</v>
      </c>
      <c r="D186">
        <v>62743</v>
      </c>
      <c r="E186" t="s">
        <v>267</v>
      </c>
      <c r="F186">
        <v>98432203</v>
      </c>
      <c r="G186" t="s">
        <v>3658</v>
      </c>
      <c r="H186">
        <v>100185378</v>
      </c>
      <c r="I186">
        <v>202604</v>
      </c>
      <c r="J186">
        <v>98432203</v>
      </c>
      <c r="K186" t="s">
        <v>270</v>
      </c>
      <c r="L186" t="s">
        <v>3611</v>
      </c>
      <c r="M186" t="s">
        <v>271</v>
      </c>
      <c r="N186" t="s">
        <v>35</v>
      </c>
      <c r="O186" t="s">
        <v>26</v>
      </c>
      <c r="P186" t="s">
        <v>27</v>
      </c>
      <c r="Q186" t="s">
        <v>28</v>
      </c>
      <c r="R186" t="s">
        <v>29</v>
      </c>
      <c r="S186" t="s">
        <v>30</v>
      </c>
      <c r="T186">
        <v>1033714104</v>
      </c>
      <c r="U186" t="s">
        <v>4019</v>
      </c>
      <c r="V186" t="s">
        <v>4020</v>
      </c>
      <c r="W186" s="9">
        <f>IF(V186="pregrado",31,
IF(V186="posgrados",31,
IF(V186="rEINTEGROS",7,
IF(V186="BIT",90,
IF(V186="OP GRADO - INGLÉS",17,"")))))</f>
        <v>17</v>
      </c>
      <c r="X186" t="s">
        <v>4029</v>
      </c>
    </row>
    <row r="187" spans="1:24" ht="15" x14ac:dyDescent="0.35">
      <c r="A187" s="4">
        <v>46079.607581018521</v>
      </c>
      <c r="B187">
        <v>20126572</v>
      </c>
      <c r="C187" s="6" t="s">
        <v>19</v>
      </c>
      <c r="D187">
        <v>62744</v>
      </c>
      <c r="E187" t="s">
        <v>267</v>
      </c>
      <c r="F187">
        <v>52259779</v>
      </c>
      <c r="G187" t="s">
        <v>3671</v>
      </c>
      <c r="H187">
        <v>100232010</v>
      </c>
      <c r="I187">
        <v>202604</v>
      </c>
      <c r="J187">
        <v>1007698578</v>
      </c>
      <c r="K187" t="s">
        <v>270</v>
      </c>
      <c r="L187" t="s">
        <v>3611</v>
      </c>
      <c r="M187" t="s">
        <v>271</v>
      </c>
      <c r="N187" t="s">
        <v>35</v>
      </c>
      <c r="O187" t="s">
        <v>26</v>
      </c>
      <c r="P187" t="s">
        <v>27</v>
      </c>
      <c r="Q187" t="s">
        <v>28</v>
      </c>
      <c r="R187" t="s">
        <v>29</v>
      </c>
      <c r="S187" t="s">
        <v>30</v>
      </c>
      <c r="T187">
        <v>1033714104</v>
      </c>
      <c r="U187" t="s">
        <v>4019</v>
      </c>
      <c r="V187" t="s">
        <v>4020</v>
      </c>
      <c r="W187" s="9">
        <f>IF(V187="pregrado",31,
IF(V187="posgrados",31,
IF(V187="rEINTEGROS",7,
IF(V187="BIT",90,
IF(V187="OP GRADO - INGLÉS",17,"")))))</f>
        <v>17</v>
      </c>
      <c r="X187" t="s">
        <v>4029</v>
      </c>
    </row>
    <row r="188" spans="1:24" ht="15" x14ac:dyDescent="0.35">
      <c r="A188" s="4">
        <v>46050.435312499998</v>
      </c>
      <c r="B188">
        <v>20117885</v>
      </c>
      <c r="C188" s="6" t="s">
        <v>19</v>
      </c>
      <c r="D188">
        <v>62757</v>
      </c>
      <c r="E188" t="s">
        <v>267</v>
      </c>
      <c r="F188">
        <v>41400586</v>
      </c>
      <c r="G188" t="s">
        <v>2393</v>
      </c>
      <c r="H188">
        <v>100111977</v>
      </c>
      <c r="I188">
        <v>202604</v>
      </c>
      <c r="J188">
        <v>1000974201</v>
      </c>
      <c r="K188" t="s">
        <v>270</v>
      </c>
      <c r="L188" t="s">
        <v>486</v>
      </c>
      <c r="M188" t="s">
        <v>271</v>
      </c>
      <c r="N188" t="s">
        <v>35</v>
      </c>
      <c r="O188" t="s">
        <v>26</v>
      </c>
      <c r="P188" t="s">
        <v>27</v>
      </c>
      <c r="Q188" t="s">
        <v>28</v>
      </c>
      <c r="R188" t="s">
        <v>29</v>
      </c>
      <c r="S188" t="s">
        <v>30</v>
      </c>
      <c r="T188">
        <v>60345453</v>
      </c>
      <c r="U188" t="s">
        <v>4019</v>
      </c>
      <c r="V188" t="s">
        <v>4020</v>
      </c>
      <c r="W188" s="9">
        <f>IF(V188="pregrado",31,
IF(V188="posgrados",31,
IF(V188="rEINTEGROS",7,
IF(V188="BIT",90,
IF(V188="OP GRADO - INGLÉS",17,"")))))</f>
        <v>17</v>
      </c>
      <c r="X188" t="s">
        <v>4063</v>
      </c>
    </row>
    <row r="189" spans="1:24" ht="15" x14ac:dyDescent="0.35">
      <c r="A189" s="4">
        <v>46050.961412037039</v>
      </c>
      <c r="B189">
        <v>20118288</v>
      </c>
      <c r="C189" s="6" t="s">
        <v>19</v>
      </c>
      <c r="D189">
        <v>62762</v>
      </c>
      <c r="E189" t="s">
        <v>267</v>
      </c>
      <c r="F189">
        <v>1061792786</v>
      </c>
      <c r="G189" t="s">
        <v>2452</v>
      </c>
      <c r="H189">
        <v>100069465</v>
      </c>
      <c r="I189">
        <v>202604</v>
      </c>
      <c r="J189">
        <v>1061792786</v>
      </c>
      <c r="K189" t="s">
        <v>270</v>
      </c>
      <c r="L189" t="s">
        <v>409</v>
      </c>
      <c r="M189" t="s">
        <v>271</v>
      </c>
      <c r="N189" t="s">
        <v>35</v>
      </c>
      <c r="O189" t="s">
        <v>26</v>
      </c>
      <c r="P189" t="s">
        <v>27</v>
      </c>
      <c r="Q189" t="s">
        <v>28</v>
      </c>
      <c r="R189" t="s">
        <v>29</v>
      </c>
      <c r="S189" t="s">
        <v>30</v>
      </c>
      <c r="T189">
        <v>60345453</v>
      </c>
      <c r="U189" t="s">
        <v>4019</v>
      </c>
      <c r="V189" t="s">
        <v>4020</v>
      </c>
      <c r="W189" s="9">
        <f>IF(V189="pregrado",31,
IF(V189="posgrados",31,
IF(V189="rEINTEGROS",7,
IF(V189="BIT",90,
IF(V189="OP GRADO - INGLÉS",17,"")))))</f>
        <v>17</v>
      </c>
      <c r="X189" t="s">
        <v>4063</v>
      </c>
    </row>
    <row r="190" spans="1:24" ht="15" x14ac:dyDescent="0.35">
      <c r="A190" s="4">
        <v>46049.661770833336</v>
      </c>
      <c r="B190">
        <v>20117657</v>
      </c>
      <c r="C190" s="6" t="s">
        <v>19</v>
      </c>
      <c r="D190">
        <v>62763</v>
      </c>
      <c r="E190" t="s">
        <v>267</v>
      </c>
      <c r="F190">
        <v>1007244150</v>
      </c>
      <c r="G190" t="s">
        <v>2358</v>
      </c>
      <c r="H190">
        <v>100127160</v>
      </c>
      <c r="I190">
        <v>202604</v>
      </c>
      <c r="J190">
        <v>1007244150</v>
      </c>
      <c r="K190" t="s">
        <v>270</v>
      </c>
      <c r="L190" t="s">
        <v>316</v>
      </c>
      <c r="M190" t="s">
        <v>271</v>
      </c>
      <c r="N190" t="s">
        <v>35</v>
      </c>
      <c r="O190" t="s">
        <v>26</v>
      </c>
      <c r="P190" t="s">
        <v>27</v>
      </c>
      <c r="Q190" t="s">
        <v>28</v>
      </c>
      <c r="R190" t="s">
        <v>29</v>
      </c>
      <c r="S190" t="s">
        <v>30</v>
      </c>
      <c r="T190">
        <v>52834109</v>
      </c>
      <c r="U190" t="s">
        <v>4019</v>
      </c>
      <c r="V190" t="s">
        <v>4020</v>
      </c>
      <c r="W190" s="9">
        <f>IF(V190="pregrado",31,
IF(V190="posgrados",31,
IF(V190="rEINTEGROS",7,
IF(V190="BIT",90,
IF(V190="OP GRADO - INGLÉS",17,"")))))</f>
        <v>17</v>
      </c>
      <c r="X190" t="s">
        <v>4018</v>
      </c>
    </row>
    <row r="191" spans="1:24" ht="15" x14ac:dyDescent="0.35">
      <c r="A191" s="4">
        <v>46050.458773148152</v>
      </c>
      <c r="B191">
        <v>20117903</v>
      </c>
      <c r="C191" s="6" t="s">
        <v>19</v>
      </c>
      <c r="D191">
        <v>62764</v>
      </c>
      <c r="E191" t="s">
        <v>267</v>
      </c>
      <c r="F191">
        <v>1000855591</v>
      </c>
      <c r="G191" t="s">
        <v>2398</v>
      </c>
      <c r="H191">
        <v>100060529</v>
      </c>
      <c r="I191">
        <v>202604</v>
      </c>
      <c r="J191">
        <v>1000855591</v>
      </c>
      <c r="K191" t="s">
        <v>270</v>
      </c>
      <c r="L191" t="s">
        <v>336</v>
      </c>
      <c r="M191" t="s">
        <v>271</v>
      </c>
      <c r="N191" t="s">
        <v>35</v>
      </c>
      <c r="O191" t="s">
        <v>26</v>
      </c>
      <c r="P191" t="s">
        <v>27</v>
      </c>
      <c r="Q191" t="s">
        <v>28</v>
      </c>
      <c r="R191" t="s">
        <v>29</v>
      </c>
      <c r="S191" t="s">
        <v>30</v>
      </c>
      <c r="T191">
        <v>1033714104</v>
      </c>
      <c r="U191" t="s">
        <v>4019</v>
      </c>
      <c r="V191" t="s">
        <v>4020</v>
      </c>
      <c r="W191" s="9">
        <f>IF(V191="pregrado",31,
IF(V191="posgrados",31,
IF(V191="rEINTEGROS",7,
IF(V191="BIT",90,
IF(V191="OP GRADO - INGLÉS",17,"")))))</f>
        <v>17</v>
      </c>
      <c r="X191" t="s">
        <v>4029</v>
      </c>
    </row>
    <row r="192" spans="1:24" ht="15" x14ac:dyDescent="0.35">
      <c r="A192" s="4">
        <v>46049.686006944445</v>
      </c>
      <c r="B192">
        <v>20117693</v>
      </c>
      <c r="C192" s="6" t="s">
        <v>19</v>
      </c>
      <c r="D192">
        <v>62765</v>
      </c>
      <c r="E192" t="s">
        <v>267</v>
      </c>
      <c r="F192">
        <v>91363927</v>
      </c>
      <c r="G192" t="s">
        <v>2365</v>
      </c>
      <c r="H192">
        <v>100243610</v>
      </c>
      <c r="I192">
        <v>202604</v>
      </c>
      <c r="J192">
        <v>1101752620</v>
      </c>
      <c r="K192" t="s">
        <v>23</v>
      </c>
      <c r="L192" t="s">
        <v>1258</v>
      </c>
      <c r="M192" t="s">
        <v>271</v>
      </c>
      <c r="N192" t="s">
        <v>35</v>
      </c>
      <c r="O192" t="s">
        <v>26</v>
      </c>
      <c r="P192" t="s">
        <v>27</v>
      </c>
      <c r="Q192" t="s">
        <v>28</v>
      </c>
      <c r="R192" t="s">
        <v>29</v>
      </c>
      <c r="S192" t="s">
        <v>30</v>
      </c>
      <c r="T192">
        <v>1018484247</v>
      </c>
      <c r="U192" t="s">
        <v>4055</v>
      </c>
      <c r="V192" t="s">
        <v>4056</v>
      </c>
      <c r="W192" s="9">
        <f>IF(V192="pregrado",31,
IF(V192="posgrados",31,
IF(V192="rEINTEGROS",7,
IF(V192="BIT",90,
IF(V192="OP GRADO - INGLÉS",17,"")))))</f>
        <v>90</v>
      </c>
      <c r="X192" t="s">
        <v>4069</v>
      </c>
    </row>
    <row r="193" spans="1:24" ht="15" x14ac:dyDescent="0.35">
      <c r="A193" s="4">
        <v>46057.417164351849</v>
      </c>
      <c r="B193">
        <v>20120346</v>
      </c>
      <c r="C193" s="6" t="s">
        <v>19</v>
      </c>
      <c r="D193">
        <v>62766</v>
      </c>
      <c r="E193" t="s">
        <v>267</v>
      </c>
      <c r="F193">
        <v>1073535325</v>
      </c>
      <c r="G193" t="s">
        <v>2728</v>
      </c>
      <c r="H193">
        <v>100110644</v>
      </c>
      <c r="I193">
        <v>202604</v>
      </c>
      <c r="J193">
        <v>1073535325</v>
      </c>
      <c r="K193" t="s">
        <v>270</v>
      </c>
      <c r="L193" t="s">
        <v>775</v>
      </c>
      <c r="M193" t="s">
        <v>271</v>
      </c>
      <c r="N193" t="s">
        <v>35</v>
      </c>
      <c r="O193" t="s">
        <v>26</v>
      </c>
      <c r="P193" t="s">
        <v>27</v>
      </c>
      <c r="Q193" t="s">
        <v>28</v>
      </c>
      <c r="R193" t="s">
        <v>29</v>
      </c>
      <c r="S193" t="s">
        <v>30</v>
      </c>
      <c r="T193">
        <v>1033714104</v>
      </c>
      <c r="U193" t="s">
        <v>4019</v>
      </c>
      <c r="V193" t="s">
        <v>4020</v>
      </c>
      <c r="W193" s="9">
        <f>IF(V193="pregrado",31,
IF(V193="posgrados",31,
IF(V193="rEINTEGROS",7,
IF(V193="BIT",90,
IF(V193="OP GRADO - INGLÉS",17,"")))))</f>
        <v>17</v>
      </c>
      <c r="X193" t="s">
        <v>4029</v>
      </c>
    </row>
    <row r="194" spans="1:24" ht="15" x14ac:dyDescent="0.35">
      <c r="A194" s="4">
        <v>46050.484479166669</v>
      </c>
      <c r="B194">
        <v>20117929</v>
      </c>
      <c r="C194" s="6" t="s">
        <v>19</v>
      </c>
      <c r="D194">
        <v>62773</v>
      </c>
      <c r="E194" t="s">
        <v>267</v>
      </c>
      <c r="F194">
        <v>1017276665</v>
      </c>
      <c r="G194" t="s">
        <v>2402</v>
      </c>
      <c r="H194">
        <v>100146615</v>
      </c>
      <c r="I194">
        <v>202604</v>
      </c>
      <c r="J194">
        <v>1017276665</v>
      </c>
      <c r="K194" t="s">
        <v>270</v>
      </c>
      <c r="L194" t="s">
        <v>486</v>
      </c>
      <c r="M194" t="s">
        <v>271</v>
      </c>
      <c r="N194" t="s">
        <v>35</v>
      </c>
      <c r="O194" t="s">
        <v>26</v>
      </c>
      <c r="P194" t="s">
        <v>27</v>
      </c>
      <c r="Q194" t="s">
        <v>28</v>
      </c>
      <c r="R194" t="s">
        <v>29</v>
      </c>
      <c r="S194" t="s">
        <v>30</v>
      </c>
      <c r="T194">
        <v>60345453</v>
      </c>
      <c r="U194" t="s">
        <v>4019</v>
      </c>
      <c r="V194" t="s">
        <v>4020</v>
      </c>
      <c r="W194" s="9">
        <f>IF(V194="pregrado",31,
IF(V194="posgrados",31,
IF(V194="rEINTEGROS",7,
IF(V194="BIT",90,
IF(V194="OP GRADO - INGLÉS",17,"")))))</f>
        <v>17</v>
      </c>
      <c r="X194" t="s">
        <v>4063</v>
      </c>
    </row>
    <row r="195" spans="1:24" ht="15" x14ac:dyDescent="0.35">
      <c r="A195" s="4">
        <v>46064.651574074072</v>
      </c>
      <c r="B195">
        <v>20122479</v>
      </c>
      <c r="C195" s="6" t="s">
        <v>19</v>
      </c>
      <c r="D195">
        <v>62775</v>
      </c>
      <c r="E195" t="s">
        <v>267</v>
      </c>
      <c r="F195">
        <v>79453082</v>
      </c>
      <c r="G195" t="s">
        <v>3038</v>
      </c>
      <c r="H195">
        <v>100107826</v>
      </c>
      <c r="I195">
        <v>202604</v>
      </c>
      <c r="J195">
        <v>79453082</v>
      </c>
      <c r="K195" t="s">
        <v>270</v>
      </c>
      <c r="L195" t="s">
        <v>589</v>
      </c>
      <c r="M195" t="s">
        <v>271</v>
      </c>
      <c r="N195" t="s">
        <v>35</v>
      </c>
      <c r="O195" t="s">
        <v>26</v>
      </c>
      <c r="P195" t="s">
        <v>27</v>
      </c>
      <c r="Q195" t="s">
        <v>28</v>
      </c>
      <c r="R195" t="s">
        <v>29</v>
      </c>
      <c r="S195" t="s">
        <v>30</v>
      </c>
      <c r="T195">
        <v>60345453</v>
      </c>
      <c r="U195" t="s">
        <v>4019</v>
      </c>
      <c r="V195" t="s">
        <v>4020</v>
      </c>
      <c r="W195" s="9">
        <f>IF(V195="pregrado",31,
IF(V195="posgrados",31,
IF(V195="rEINTEGROS",7,
IF(V195="BIT",90,
IF(V195="OP GRADO - INGLÉS",17,"")))))</f>
        <v>17</v>
      </c>
      <c r="X195" t="s">
        <v>4063</v>
      </c>
    </row>
    <row r="196" spans="1:24" ht="15" x14ac:dyDescent="0.35">
      <c r="A196" s="4">
        <v>46050.869722222225</v>
      </c>
      <c r="B196">
        <v>20118267</v>
      </c>
      <c r="C196" s="6" t="s">
        <v>19</v>
      </c>
      <c r="D196">
        <v>62778</v>
      </c>
      <c r="E196" t="s">
        <v>267</v>
      </c>
      <c r="F196">
        <v>1001232938</v>
      </c>
      <c r="G196" t="s">
        <v>2447</v>
      </c>
      <c r="H196">
        <v>100138444</v>
      </c>
      <c r="I196">
        <v>202604</v>
      </c>
      <c r="J196">
        <v>1143965748</v>
      </c>
      <c r="K196" t="s">
        <v>270</v>
      </c>
      <c r="L196" t="s">
        <v>269</v>
      </c>
      <c r="M196" t="s">
        <v>271</v>
      </c>
      <c r="N196" t="s">
        <v>35</v>
      </c>
      <c r="O196" t="s">
        <v>26</v>
      </c>
      <c r="P196" t="s">
        <v>27</v>
      </c>
      <c r="Q196" t="s">
        <v>28</v>
      </c>
      <c r="R196" t="s">
        <v>29</v>
      </c>
      <c r="S196" t="s">
        <v>30</v>
      </c>
      <c r="T196">
        <v>60345453</v>
      </c>
      <c r="U196" t="s">
        <v>4019</v>
      </c>
      <c r="V196" t="s">
        <v>4020</v>
      </c>
      <c r="W196" s="9">
        <f>IF(V196="pregrado",31,
IF(V196="posgrados",31,
IF(V196="rEINTEGROS",7,
IF(V196="BIT",90,
IF(V196="OP GRADO - INGLÉS",17,"")))))</f>
        <v>17</v>
      </c>
      <c r="X196" t="s">
        <v>4063</v>
      </c>
    </row>
    <row r="197" spans="1:24" ht="15" x14ac:dyDescent="0.35">
      <c r="A197" s="4">
        <v>46049.663483796299</v>
      </c>
      <c r="B197">
        <v>20117661</v>
      </c>
      <c r="C197" s="6" t="s">
        <v>19</v>
      </c>
      <c r="D197">
        <v>62781</v>
      </c>
      <c r="E197" t="s">
        <v>267</v>
      </c>
      <c r="F197">
        <v>98658240</v>
      </c>
      <c r="G197" t="s">
        <v>2359</v>
      </c>
      <c r="H197">
        <v>100224885</v>
      </c>
      <c r="I197">
        <v>202604</v>
      </c>
      <c r="J197">
        <v>52661779</v>
      </c>
      <c r="K197" t="s">
        <v>270</v>
      </c>
      <c r="L197" t="s">
        <v>2360</v>
      </c>
      <c r="M197" t="s">
        <v>271</v>
      </c>
      <c r="N197" t="s">
        <v>35</v>
      </c>
      <c r="O197" t="s">
        <v>26</v>
      </c>
      <c r="P197" t="s">
        <v>27</v>
      </c>
      <c r="Q197" t="s">
        <v>28</v>
      </c>
      <c r="R197" t="s">
        <v>29</v>
      </c>
      <c r="S197" t="s">
        <v>30</v>
      </c>
      <c r="T197">
        <v>1033714104</v>
      </c>
      <c r="U197" t="s">
        <v>4019</v>
      </c>
      <c r="V197" t="s">
        <v>4020</v>
      </c>
      <c r="W197" s="9">
        <f>IF(V197="pregrado",31,
IF(V197="posgrados",31,
IF(V197="rEINTEGROS",7,
IF(V197="BIT",90,
IF(V197="OP GRADO - INGLÉS",17,"")))))</f>
        <v>17</v>
      </c>
      <c r="X197" t="s">
        <v>4029</v>
      </c>
    </row>
    <row r="198" spans="1:24" ht="15" x14ac:dyDescent="0.35">
      <c r="A198" s="4">
        <v>46051.64502314815</v>
      </c>
      <c r="B198">
        <v>20118573</v>
      </c>
      <c r="C198" s="6" t="s">
        <v>19</v>
      </c>
      <c r="D198">
        <v>62787</v>
      </c>
      <c r="E198" t="s">
        <v>267</v>
      </c>
      <c r="F198">
        <v>10035387</v>
      </c>
      <c r="G198" t="s">
        <v>2494</v>
      </c>
      <c r="H198">
        <v>100092408</v>
      </c>
      <c r="I198">
        <v>202604</v>
      </c>
      <c r="J198">
        <v>43188465</v>
      </c>
      <c r="K198" t="s">
        <v>270</v>
      </c>
      <c r="L198" t="s">
        <v>596</v>
      </c>
      <c r="M198" t="s">
        <v>271</v>
      </c>
      <c r="N198" t="s">
        <v>35</v>
      </c>
      <c r="O198" t="s">
        <v>26</v>
      </c>
      <c r="P198" t="s">
        <v>27</v>
      </c>
      <c r="Q198" t="s">
        <v>28</v>
      </c>
      <c r="R198" t="s">
        <v>29</v>
      </c>
      <c r="S198" t="s">
        <v>30</v>
      </c>
      <c r="T198">
        <v>1033714104</v>
      </c>
      <c r="U198" t="s">
        <v>4019</v>
      </c>
      <c r="V198" t="s">
        <v>4020</v>
      </c>
      <c r="W198" s="9">
        <f>IF(V198="pregrado",31,
IF(V198="posgrados",31,
IF(V198="rEINTEGROS",7,
IF(V198="BIT",90,
IF(V198="OP GRADO - INGLÉS",17,"")))))</f>
        <v>17</v>
      </c>
      <c r="X198" t="s">
        <v>4029</v>
      </c>
    </row>
    <row r="199" spans="1:24" ht="15" x14ac:dyDescent="0.35">
      <c r="A199" s="4">
        <v>46051.668969907405</v>
      </c>
      <c r="B199">
        <v>20118610</v>
      </c>
      <c r="C199" s="6" t="s">
        <v>19</v>
      </c>
      <c r="D199">
        <v>62789</v>
      </c>
      <c r="E199" t="s">
        <v>267</v>
      </c>
      <c r="F199">
        <v>1006011640</v>
      </c>
      <c r="G199" t="s">
        <v>2506</v>
      </c>
      <c r="H199">
        <v>100243907</v>
      </c>
      <c r="I199">
        <v>202604</v>
      </c>
      <c r="J199">
        <v>1006011640</v>
      </c>
      <c r="K199" t="s">
        <v>23</v>
      </c>
      <c r="L199" t="s">
        <v>808</v>
      </c>
      <c r="M199" t="s">
        <v>271</v>
      </c>
      <c r="N199" t="s">
        <v>35</v>
      </c>
      <c r="O199" t="s">
        <v>26</v>
      </c>
      <c r="P199" t="s">
        <v>27</v>
      </c>
      <c r="Q199" t="s">
        <v>28</v>
      </c>
      <c r="R199" t="s">
        <v>29</v>
      </c>
      <c r="S199" t="s">
        <v>30</v>
      </c>
      <c r="T199">
        <v>1014285426</v>
      </c>
      <c r="U199" t="s">
        <v>4055</v>
      </c>
      <c r="V199" t="s">
        <v>4056</v>
      </c>
      <c r="W199" s="9">
        <f>IF(V199="pregrado",31,
IF(V199="posgrados",31,
IF(V199="rEINTEGROS",7,
IF(V199="BIT",90,
IF(V199="OP GRADO - INGLÉS",17,"")))))</f>
        <v>90</v>
      </c>
      <c r="X199" t="s">
        <v>4081</v>
      </c>
    </row>
    <row r="200" spans="1:24" ht="15" x14ac:dyDescent="0.35">
      <c r="A200" s="4">
        <v>46077.659201388888</v>
      </c>
      <c r="B200">
        <v>20126050</v>
      </c>
      <c r="C200" s="6" t="s">
        <v>19</v>
      </c>
      <c r="D200">
        <v>62801</v>
      </c>
      <c r="E200" t="s">
        <v>267</v>
      </c>
      <c r="F200">
        <v>1030527570</v>
      </c>
      <c r="G200" t="s">
        <v>3610</v>
      </c>
      <c r="H200">
        <v>100160143</v>
      </c>
      <c r="I200">
        <v>202604</v>
      </c>
      <c r="J200">
        <v>1030527570</v>
      </c>
      <c r="K200" t="s">
        <v>270</v>
      </c>
      <c r="L200" t="s">
        <v>3611</v>
      </c>
      <c r="M200" t="s">
        <v>271</v>
      </c>
      <c r="N200" t="s">
        <v>35</v>
      </c>
      <c r="O200" t="s">
        <v>26</v>
      </c>
      <c r="P200" t="s">
        <v>27</v>
      </c>
      <c r="Q200" t="s">
        <v>28</v>
      </c>
      <c r="R200" t="s">
        <v>29</v>
      </c>
      <c r="S200" t="s">
        <v>30</v>
      </c>
      <c r="T200">
        <v>1033714104</v>
      </c>
      <c r="U200" t="s">
        <v>4019</v>
      </c>
      <c r="V200" t="s">
        <v>4020</v>
      </c>
      <c r="W200" s="9">
        <f>IF(V200="pregrado",31,
IF(V200="posgrados",31,
IF(V200="rEINTEGROS",7,
IF(V200="BIT",90,
IF(V200="OP GRADO - INGLÉS",17,"")))))</f>
        <v>17</v>
      </c>
      <c r="X200" t="s">
        <v>4029</v>
      </c>
    </row>
    <row r="201" spans="1:24" ht="15" x14ac:dyDescent="0.35">
      <c r="A201" s="4">
        <v>46051.987870370373</v>
      </c>
      <c r="B201">
        <v>20118738</v>
      </c>
      <c r="C201" s="6" t="s">
        <v>19</v>
      </c>
      <c r="D201">
        <v>62808</v>
      </c>
      <c r="E201" t="s">
        <v>267</v>
      </c>
      <c r="F201">
        <v>20679229</v>
      </c>
      <c r="G201" t="s">
        <v>2526</v>
      </c>
      <c r="H201">
        <v>100088923</v>
      </c>
      <c r="I201">
        <v>202604</v>
      </c>
      <c r="J201">
        <v>20679229</v>
      </c>
      <c r="K201" t="s">
        <v>270</v>
      </c>
      <c r="L201" t="s">
        <v>486</v>
      </c>
      <c r="M201" t="s">
        <v>271</v>
      </c>
      <c r="N201" t="s">
        <v>35</v>
      </c>
      <c r="O201" t="s">
        <v>26</v>
      </c>
      <c r="P201" t="s">
        <v>27</v>
      </c>
      <c r="Q201" t="s">
        <v>28</v>
      </c>
      <c r="R201" t="s">
        <v>29</v>
      </c>
      <c r="S201" t="s">
        <v>30</v>
      </c>
      <c r="T201">
        <v>60345453</v>
      </c>
      <c r="U201" t="s">
        <v>4019</v>
      </c>
      <c r="V201" t="s">
        <v>4020</v>
      </c>
      <c r="W201" s="9">
        <f>IF(V201="pregrado",31,
IF(V201="posgrados",31,
IF(V201="rEINTEGROS",7,
IF(V201="BIT",90,
IF(V201="OP GRADO - INGLÉS",17,"")))))</f>
        <v>17</v>
      </c>
      <c r="X201" t="s">
        <v>4063</v>
      </c>
    </row>
    <row r="202" spans="1:24" ht="15" x14ac:dyDescent="0.35">
      <c r="A202" s="4">
        <v>46053.416307870371</v>
      </c>
      <c r="B202">
        <v>20119234</v>
      </c>
      <c r="C202" s="6" t="s">
        <v>19</v>
      </c>
      <c r="D202">
        <v>62822</v>
      </c>
      <c r="E202" t="s">
        <v>267</v>
      </c>
      <c r="F202">
        <v>1020743572</v>
      </c>
      <c r="G202" t="s">
        <v>2612</v>
      </c>
      <c r="H202">
        <v>100244037</v>
      </c>
      <c r="I202">
        <v>202604</v>
      </c>
      <c r="J202">
        <v>1020743572</v>
      </c>
      <c r="K202" t="s">
        <v>23</v>
      </c>
      <c r="L202" t="s">
        <v>1258</v>
      </c>
      <c r="M202" t="s">
        <v>271</v>
      </c>
      <c r="N202" t="s">
        <v>35</v>
      </c>
      <c r="O202" t="s">
        <v>26</v>
      </c>
      <c r="P202" t="s">
        <v>27</v>
      </c>
      <c r="Q202" t="s">
        <v>28</v>
      </c>
      <c r="R202" t="s">
        <v>29</v>
      </c>
      <c r="S202" t="s">
        <v>30</v>
      </c>
      <c r="T202">
        <v>1123442099</v>
      </c>
      <c r="U202" t="s">
        <v>4055</v>
      </c>
      <c r="V202" t="s">
        <v>4056</v>
      </c>
      <c r="W202" s="9">
        <f>IF(V202="pregrado",31,
IF(V202="posgrados",31,
IF(V202="rEINTEGROS",7,
IF(V202="BIT",90,
IF(V202="OP GRADO - INGLÉS",17,"")))))</f>
        <v>90</v>
      </c>
      <c r="X202" t="s">
        <v>4089</v>
      </c>
    </row>
    <row r="203" spans="1:24" ht="15" x14ac:dyDescent="0.35">
      <c r="A203" s="4">
        <v>46051.477685185186</v>
      </c>
      <c r="B203">
        <v>20118431</v>
      </c>
      <c r="C203" s="6" t="s">
        <v>19</v>
      </c>
      <c r="D203">
        <v>62837</v>
      </c>
      <c r="E203" t="s">
        <v>267</v>
      </c>
      <c r="F203">
        <v>1143373314</v>
      </c>
      <c r="G203" t="s">
        <v>2477</v>
      </c>
      <c r="H203">
        <v>100216835</v>
      </c>
      <c r="I203">
        <v>202604</v>
      </c>
      <c r="J203">
        <v>1143373314</v>
      </c>
      <c r="K203" t="s">
        <v>270</v>
      </c>
      <c r="L203" t="s">
        <v>373</v>
      </c>
      <c r="M203" t="s">
        <v>271</v>
      </c>
      <c r="N203" t="s">
        <v>35</v>
      </c>
      <c r="O203" t="s">
        <v>26</v>
      </c>
      <c r="P203" t="s">
        <v>27</v>
      </c>
      <c r="Q203" t="s">
        <v>28</v>
      </c>
      <c r="R203" t="s">
        <v>29</v>
      </c>
      <c r="S203" t="s">
        <v>30</v>
      </c>
      <c r="T203">
        <v>52834109</v>
      </c>
      <c r="U203" t="s">
        <v>4019</v>
      </c>
      <c r="V203" t="s">
        <v>4020</v>
      </c>
      <c r="W203" s="9">
        <f>IF(V203="pregrado",31,
IF(V203="posgrados",31,
IF(V203="rEINTEGROS",7,
IF(V203="BIT",90,
IF(V203="OP GRADO - INGLÉS",17,"")))))</f>
        <v>17</v>
      </c>
      <c r="X203" t="s">
        <v>4018</v>
      </c>
    </row>
    <row r="204" spans="1:24" ht="15" x14ac:dyDescent="0.35">
      <c r="A204" s="4">
        <v>46070.848402777781</v>
      </c>
      <c r="B204">
        <v>20124298</v>
      </c>
      <c r="C204" s="6" t="s">
        <v>19</v>
      </c>
      <c r="D204">
        <v>62857</v>
      </c>
      <c r="E204" t="s">
        <v>267</v>
      </c>
      <c r="F204">
        <v>1084728804</v>
      </c>
      <c r="G204" t="s">
        <v>3326</v>
      </c>
      <c r="H204">
        <v>100103717</v>
      </c>
      <c r="I204">
        <v>202604</v>
      </c>
      <c r="J204">
        <v>1084728804</v>
      </c>
      <c r="K204" t="s">
        <v>270</v>
      </c>
      <c r="L204" t="s">
        <v>532</v>
      </c>
      <c r="M204" t="s">
        <v>271</v>
      </c>
      <c r="N204" t="s">
        <v>35</v>
      </c>
      <c r="O204" t="s">
        <v>26</v>
      </c>
      <c r="P204" t="s">
        <v>27</v>
      </c>
      <c r="Q204" t="s">
        <v>28</v>
      </c>
      <c r="R204" t="s">
        <v>29</v>
      </c>
      <c r="S204" t="s">
        <v>30</v>
      </c>
      <c r="T204">
        <v>52834109</v>
      </c>
      <c r="U204" t="s">
        <v>4019</v>
      </c>
      <c r="V204" t="s">
        <v>4020</v>
      </c>
      <c r="W204" s="9">
        <f>IF(V204="pregrado",31,
IF(V204="posgrados",31,
IF(V204="rEINTEGROS",7,
IF(V204="BIT",90,
IF(V204="OP GRADO - INGLÉS",17,"")))))</f>
        <v>17</v>
      </c>
      <c r="X204" t="s">
        <v>4018</v>
      </c>
    </row>
    <row r="205" spans="1:24" ht="15" x14ac:dyDescent="0.35">
      <c r="A205" s="4">
        <v>46051.682025462964</v>
      </c>
      <c r="B205">
        <v>20118634</v>
      </c>
      <c r="C205" s="6" t="s">
        <v>19</v>
      </c>
      <c r="D205">
        <v>62868</v>
      </c>
      <c r="E205" t="s">
        <v>267</v>
      </c>
      <c r="F205">
        <v>63452635</v>
      </c>
      <c r="G205" t="s">
        <v>2511</v>
      </c>
      <c r="H205">
        <v>100244180</v>
      </c>
      <c r="I205">
        <v>202604</v>
      </c>
      <c r="J205">
        <v>1098631271</v>
      </c>
      <c r="K205" t="s">
        <v>23</v>
      </c>
      <c r="L205" t="s">
        <v>1258</v>
      </c>
      <c r="M205" t="s">
        <v>271</v>
      </c>
      <c r="N205" t="s">
        <v>35</v>
      </c>
      <c r="O205" t="s">
        <v>26</v>
      </c>
      <c r="P205" t="s">
        <v>27</v>
      </c>
      <c r="Q205" t="s">
        <v>28</v>
      </c>
      <c r="R205" t="s">
        <v>29</v>
      </c>
      <c r="S205" t="s">
        <v>30</v>
      </c>
      <c r="T205">
        <v>1018484247</v>
      </c>
      <c r="U205" t="s">
        <v>4055</v>
      </c>
      <c r="V205" t="s">
        <v>4056</v>
      </c>
      <c r="W205" s="9">
        <f>IF(V205="pregrado",31,
IF(V205="posgrados",31,
IF(V205="rEINTEGROS",7,
IF(V205="BIT",90,
IF(V205="OP GRADO - INGLÉS",17,"")))))</f>
        <v>90</v>
      </c>
      <c r="X205" t="s">
        <v>4069</v>
      </c>
    </row>
    <row r="206" spans="1:24" ht="15" x14ac:dyDescent="0.35">
      <c r="A206" s="4">
        <v>46051.668981481482</v>
      </c>
      <c r="B206">
        <v>20118611</v>
      </c>
      <c r="C206" s="6" t="s">
        <v>19</v>
      </c>
      <c r="D206">
        <v>62873</v>
      </c>
      <c r="E206" t="s">
        <v>267</v>
      </c>
      <c r="F206">
        <v>53179375</v>
      </c>
      <c r="G206" t="s">
        <v>2507</v>
      </c>
      <c r="H206">
        <v>100104402</v>
      </c>
      <c r="I206">
        <v>202604</v>
      </c>
      <c r="J206">
        <v>53179375</v>
      </c>
      <c r="K206" t="s">
        <v>270</v>
      </c>
      <c r="L206" t="s">
        <v>596</v>
      </c>
      <c r="M206" t="s">
        <v>271</v>
      </c>
      <c r="N206" t="s">
        <v>35</v>
      </c>
      <c r="O206" t="s">
        <v>26</v>
      </c>
      <c r="P206" t="s">
        <v>27</v>
      </c>
      <c r="Q206" t="s">
        <v>28</v>
      </c>
      <c r="R206" t="s">
        <v>29</v>
      </c>
      <c r="S206" t="s">
        <v>30</v>
      </c>
      <c r="T206">
        <v>1033714104</v>
      </c>
      <c r="U206" t="s">
        <v>4019</v>
      </c>
      <c r="V206" t="s">
        <v>4020</v>
      </c>
      <c r="W206" s="9">
        <f>IF(V206="pregrado",31,
IF(V206="posgrados",31,
IF(V206="rEINTEGROS",7,
IF(V206="BIT",90,
IF(V206="OP GRADO - INGLÉS",17,"")))))</f>
        <v>17</v>
      </c>
      <c r="X206" t="s">
        <v>4029</v>
      </c>
    </row>
    <row r="207" spans="1:24" ht="15" x14ac:dyDescent="0.35">
      <c r="A207" s="4">
        <v>46055.851782407408</v>
      </c>
      <c r="B207">
        <v>20119900</v>
      </c>
      <c r="C207" s="6" t="s">
        <v>19</v>
      </c>
      <c r="D207">
        <v>62876</v>
      </c>
      <c r="E207" t="s">
        <v>267</v>
      </c>
      <c r="F207">
        <v>1032483909</v>
      </c>
      <c r="G207" t="s">
        <v>2677</v>
      </c>
      <c r="H207">
        <v>100065649</v>
      </c>
      <c r="I207">
        <v>202604</v>
      </c>
      <c r="J207">
        <v>1032483909</v>
      </c>
      <c r="K207" t="s">
        <v>270</v>
      </c>
      <c r="L207" t="s">
        <v>596</v>
      </c>
      <c r="M207" t="s">
        <v>271</v>
      </c>
      <c r="N207" t="s">
        <v>35</v>
      </c>
      <c r="O207" t="s">
        <v>26</v>
      </c>
      <c r="P207" t="s">
        <v>27</v>
      </c>
      <c r="Q207" t="s">
        <v>28</v>
      </c>
      <c r="R207" t="s">
        <v>29</v>
      </c>
      <c r="S207" t="s">
        <v>30</v>
      </c>
      <c r="T207">
        <v>60345453</v>
      </c>
      <c r="U207" t="s">
        <v>4019</v>
      </c>
      <c r="V207" t="s">
        <v>4020</v>
      </c>
      <c r="W207" s="9">
        <f>IF(V207="pregrado",31,
IF(V207="posgrados",31,
IF(V207="rEINTEGROS",7,
IF(V207="BIT",90,
IF(V207="OP GRADO - INGLÉS",17,"")))))</f>
        <v>17</v>
      </c>
      <c r="X207" t="s">
        <v>4063</v>
      </c>
    </row>
    <row r="208" spans="1:24" ht="15" x14ac:dyDescent="0.35">
      <c r="A208" s="4">
        <v>46060.645416666666</v>
      </c>
      <c r="B208">
        <v>20121441</v>
      </c>
      <c r="C208" s="6" t="s">
        <v>19</v>
      </c>
      <c r="D208">
        <v>62883</v>
      </c>
      <c r="E208" t="s">
        <v>267</v>
      </c>
      <c r="F208">
        <v>80234639</v>
      </c>
      <c r="G208" t="s">
        <v>2899</v>
      </c>
      <c r="H208">
        <v>100168398</v>
      </c>
      <c r="I208">
        <v>202604</v>
      </c>
      <c r="J208">
        <v>1118560947</v>
      </c>
      <c r="K208" t="s">
        <v>270</v>
      </c>
      <c r="L208" t="s">
        <v>1521</v>
      </c>
      <c r="M208" t="s">
        <v>271</v>
      </c>
      <c r="N208" t="s">
        <v>35</v>
      </c>
      <c r="O208" t="s">
        <v>26</v>
      </c>
      <c r="P208" t="s">
        <v>27</v>
      </c>
      <c r="Q208" t="s">
        <v>28</v>
      </c>
      <c r="R208" t="s">
        <v>29</v>
      </c>
      <c r="S208" t="s">
        <v>30</v>
      </c>
      <c r="T208">
        <v>1033714104</v>
      </c>
      <c r="U208" t="s">
        <v>4019</v>
      </c>
      <c r="V208" t="s">
        <v>4020</v>
      </c>
      <c r="W208" s="9">
        <f>IF(V208="pregrado",31,
IF(V208="posgrados",31,
IF(V208="rEINTEGROS",7,
IF(V208="BIT",90,
IF(V208="OP GRADO - INGLÉS",17,"")))))</f>
        <v>17</v>
      </c>
      <c r="X208" t="s">
        <v>4029</v>
      </c>
    </row>
    <row r="209" spans="1:24" ht="15" x14ac:dyDescent="0.35">
      <c r="A209" s="4">
        <v>46052.701817129629</v>
      </c>
      <c r="B209">
        <v>20119093</v>
      </c>
      <c r="C209" s="6" t="s">
        <v>19</v>
      </c>
      <c r="D209">
        <v>62885</v>
      </c>
      <c r="E209" t="s">
        <v>267</v>
      </c>
      <c r="F209">
        <v>1007107271</v>
      </c>
      <c r="G209" t="s">
        <v>2587</v>
      </c>
      <c r="H209">
        <v>100121742</v>
      </c>
      <c r="I209">
        <v>202604</v>
      </c>
      <c r="J209">
        <v>1007107271</v>
      </c>
      <c r="K209" t="s">
        <v>270</v>
      </c>
      <c r="L209" t="s">
        <v>1521</v>
      </c>
      <c r="M209" t="s">
        <v>271</v>
      </c>
      <c r="N209" t="s">
        <v>35</v>
      </c>
      <c r="O209" t="s">
        <v>26</v>
      </c>
      <c r="P209" t="s">
        <v>27</v>
      </c>
      <c r="Q209" t="s">
        <v>28</v>
      </c>
      <c r="R209" t="s">
        <v>29</v>
      </c>
      <c r="S209" t="s">
        <v>30</v>
      </c>
      <c r="T209">
        <v>60345453</v>
      </c>
      <c r="U209" t="s">
        <v>4019</v>
      </c>
      <c r="V209" t="s">
        <v>4020</v>
      </c>
      <c r="W209" s="9">
        <f>IF(V209="pregrado",31,
IF(V209="posgrados",31,
IF(V209="rEINTEGROS",7,
IF(V209="BIT",90,
IF(V209="OP GRADO - INGLÉS",17,"")))))</f>
        <v>17</v>
      </c>
      <c r="X209" t="s">
        <v>4063</v>
      </c>
    </row>
    <row r="210" spans="1:24" ht="15" x14ac:dyDescent="0.35">
      <c r="A210" s="4">
        <v>46055.551261574074</v>
      </c>
      <c r="B210">
        <v>20119622</v>
      </c>
      <c r="C210" s="6" t="s">
        <v>19</v>
      </c>
      <c r="D210">
        <v>62906</v>
      </c>
      <c r="E210" t="s">
        <v>267</v>
      </c>
      <c r="F210">
        <v>1001201715</v>
      </c>
      <c r="G210" t="s">
        <v>2652</v>
      </c>
      <c r="H210">
        <v>100130418</v>
      </c>
      <c r="I210">
        <v>202604</v>
      </c>
      <c r="J210">
        <v>1001201715</v>
      </c>
      <c r="K210" t="s">
        <v>270</v>
      </c>
      <c r="L210" t="s">
        <v>1024</v>
      </c>
      <c r="M210" t="s">
        <v>271</v>
      </c>
      <c r="N210" t="s">
        <v>35</v>
      </c>
      <c r="O210" t="s">
        <v>26</v>
      </c>
      <c r="P210" t="s">
        <v>27</v>
      </c>
      <c r="Q210" t="s">
        <v>28</v>
      </c>
      <c r="R210" t="s">
        <v>29</v>
      </c>
      <c r="S210" t="s">
        <v>30</v>
      </c>
      <c r="T210">
        <v>1033714104</v>
      </c>
      <c r="U210" t="s">
        <v>4019</v>
      </c>
      <c r="V210" t="s">
        <v>4020</v>
      </c>
      <c r="W210" s="9">
        <f>IF(V210="pregrado",31,
IF(V210="posgrados",31,
IF(V210="rEINTEGROS",7,
IF(V210="BIT",90,
IF(V210="OP GRADO - INGLÉS",17,"")))))</f>
        <v>17</v>
      </c>
      <c r="X210" t="s">
        <v>4029</v>
      </c>
    </row>
    <row r="211" spans="1:24" ht="15" x14ac:dyDescent="0.35">
      <c r="A211" s="4">
        <v>46058.425798611112</v>
      </c>
      <c r="B211">
        <v>20120763</v>
      </c>
      <c r="C211" s="6" t="s">
        <v>19</v>
      </c>
      <c r="D211">
        <v>62908</v>
      </c>
      <c r="E211" t="s">
        <v>267</v>
      </c>
      <c r="F211">
        <v>1116869492</v>
      </c>
      <c r="G211" t="s">
        <v>2786</v>
      </c>
      <c r="H211">
        <v>100061529</v>
      </c>
      <c r="I211">
        <v>202604</v>
      </c>
      <c r="J211">
        <v>1116862962</v>
      </c>
      <c r="K211" t="s">
        <v>270</v>
      </c>
      <c r="L211" t="s">
        <v>513</v>
      </c>
      <c r="M211" t="s">
        <v>271</v>
      </c>
      <c r="N211" t="s">
        <v>35</v>
      </c>
      <c r="O211" t="s">
        <v>26</v>
      </c>
      <c r="P211" t="s">
        <v>27</v>
      </c>
      <c r="Q211" t="s">
        <v>28</v>
      </c>
      <c r="R211" t="s">
        <v>29</v>
      </c>
      <c r="S211" t="s">
        <v>30</v>
      </c>
      <c r="T211">
        <v>52834109</v>
      </c>
      <c r="U211" t="s">
        <v>4019</v>
      </c>
      <c r="V211" t="s">
        <v>4020</v>
      </c>
      <c r="W211" s="9">
        <f>IF(V211="pregrado",31,
IF(V211="posgrados",31,
IF(V211="rEINTEGROS",7,
IF(V211="BIT",90,
IF(V211="OP GRADO - INGLÉS",17,"")))))</f>
        <v>17</v>
      </c>
      <c r="X211" t="s">
        <v>4018</v>
      </c>
    </row>
    <row r="212" spans="1:24" ht="15" x14ac:dyDescent="0.35">
      <c r="A212" s="4">
        <v>46063.427245370367</v>
      </c>
      <c r="B212">
        <v>20121972</v>
      </c>
      <c r="C212" s="6" t="s">
        <v>19</v>
      </c>
      <c r="D212">
        <v>62909</v>
      </c>
      <c r="E212" t="s">
        <v>267</v>
      </c>
      <c r="F212">
        <v>1044922452</v>
      </c>
      <c r="G212" t="s">
        <v>2972</v>
      </c>
      <c r="H212">
        <v>100154596</v>
      </c>
      <c r="I212">
        <v>202604</v>
      </c>
      <c r="J212">
        <v>1044922452</v>
      </c>
      <c r="K212" t="s">
        <v>270</v>
      </c>
      <c r="L212" t="s">
        <v>595</v>
      </c>
      <c r="M212" t="s">
        <v>271</v>
      </c>
      <c r="N212" t="s">
        <v>35</v>
      </c>
      <c r="O212" t="s">
        <v>26</v>
      </c>
      <c r="P212" t="s">
        <v>27</v>
      </c>
      <c r="Q212" t="s">
        <v>28</v>
      </c>
      <c r="R212" t="s">
        <v>29</v>
      </c>
      <c r="S212" t="s">
        <v>30</v>
      </c>
      <c r="T212">
        <v>1033714104</v>
      </c>
      <c r="U212" t="s">
        <v>4019</v>
      </c>
      <c r="V212" t="s">
        <v>4020</v>
      </c>
      <c r="W212" s="9">
        <f>IF(V212="pregrado",31,
IF(V212="posgrados",31,
IF(V212="rEINTEGROS",7,
IF(V212="BIT",90,
IF(V212="OP GRADO - INGLÉS",17,"")))))</f>
        <v>17</v>
      </c>
      <c r="X212" t="s">
        <v>4029</v>
      </c>
    </row>
    <row r="213" spans="1:24" ht="15" x14ac:dyDescent="0.35">
      <c r="A213" s="4">
        <v>46055.655925925923</v>
      </c>
      <c r="B213">
        <v>20119737</v>
      </c>
      <c r="C213" s="6" t="s">
        <v>19</v>
      </c>
      <c r="D213">
        <v>62913</v>
      </c>
      <c r="E213" t="s">
        <v>267</v>
      </c>
      <c r="F213">
        <v>1098746991</v>
      </c>
      <c r="G213" t="s">
        <v>2658</v>
      </c>
      <c r="H213">
        <v>100204812</v>
      </c>
      <c r="I213">
        <v>202604</v>
      </c>
      <c r="J213">
        <v>1098746991</v>
      </c>
      <c r="K213" t="s">
        <v>270</v>
      </c>
      <c r="L213" t="s">
        <v>2360</v>
      </c>
      <c r="M213" t="s">
        <v>271</v>
      </c>
      <c r="N213" t="s">
        <v>35</v>
      </c>
      <c r="O213" t="s">
        <v>26</v>
      </c>
      <c r="P213" t="s">
        <v>27</v>
      </c>
      <c r="Q213" t="s">
        <v>28</v>
      </c>
      <c r="R213" t="s">
        <v>29</v>
      </c>
      <c r="S213" t="s">
        <v>30</v>
      </c>
      <c r="T213">
        <v>1000007991</v>
      </c>
      <c r="U213" t="s">
        <v>4055</v>
      </c>
      <c r="V213" t="s">
        <v>4056</v>
      </c>
      <c r="W213" s="9">
        <f>IF(V213="pregrado",31,
IF(V213="posgrados",31,
IF(V213="rEINTEGROS",7,
IF(V213="BIT",90,
IF(V213="OP GRADO - INGLÉS",17,"")))))</f>
        <v>90</v>
      </c>
      <c r="X213" t="s">
        <v>4054</v>
      </c>
    </row>
    <row r="214" spans="1:24" ht="15" x14ac:dyDescent="0.35">
      <c r="A214" s="4">
        <v>46076.445833333331</v>
      </c>
      <c r="B214">
        <v>20125601</v>
      </c>
      <c r="C214" s="6" t="s">
        <v>19</v>
      </c>
      <c r="D214">
        <v>62917</v>
      </c>
      <c r="E214" t="s">
        <v>267</v>
      </c>
      <c r="F214">
        <v>51671088</v>
      </c>
      <c r="G214" t="s">
        <v>3534</v>
      </c>
      <c r="H214">
        <v>100244493</v>
      </c>
      <c r="I214">
        <v>202604</v>
      </c>
      <c r="J214">
        <v>1015472244</v>
      </c>
      <c r="K214" t="s">
        <v>23</v>
      </c>
      <c r="L214" t="s">
        <v>1414</v>
      </c>
      <c r="M214" t="s">
        <v>271</v>
      </c>
      <c r="N214" t="s">
        <v>35</v>
      </c>
      <c r="O214" t="s">
        <v>26</v>
      </c>
      <c r="P214" t="s">
        <v>27</v>
      </c>
      <c r="Q214" t="s">
        <v>28</v>
      </c>
      <c r="R214" t="s">
        <v>29</v>
      </c>
      <c r="S214" t="s">
        <v>30</v>
      </c>
      <c r="T214">
        <v>1193566421</v>
      </c>
      <c r="U214" t="s">
        <v>4055</v>
      </c>
      <c r="V214" t="s">
        <v>4056</v>
      </c>
      <c r="W214" s="9">
        <f>IF(V214="pregrado",31,
IF(V214="posgrados",31,
IF(V214="rEINTEGROS",7,
IF(V214="BIT",90,
IF(V214="OP GRADO - INGLÉS",17,"")))))</f>
        <v>90</v>
      </c>
      <c r="X214" t="s">
        <v>4075</v>
      </c>
    </row>
    <row r="215" spans="1:24" ht="15" x14ac:dyDescent="0.35">
      <c r="A215" s="4">
        <v>46054.649409722224</v>
      </c>
      <c r="B215">
        <v>20119398</v>
      </c>
      <c r="C215" s="6" t="s">
        <v>19</v>
      </c>
      <c r="D215">
        <v>62919</v>
      </c>
      <c r="E215" t="s">
        <v>267</v>
      </c>
      <c r="F215">
        <v>1000707581</v>
      </c>
      <c r="G215" t="s">
        <v>2639</v>
      </c>
      <c r="H215">
        <v>100098912</v>
      </c>
      <c r="I215">
        <v>202604</v>
      </c>
      <c r="J215">
        <v>1000707581</v>
      </c>
      <c r="K215" t="s">
        <v>270</v>
      </c>
      <c r="L215" t="s">
        <v>595</v>
      </c>
      <c r="M215" t="s">
        <v>271</v>
      </c>
      <c r="N215" t="s">
        <v>35</v>
      </c>
      <c r="O215" t="s">
        <v>26</v>
      </c>
      <c r="P215" t="s">
        <v>27</v>
      </c>
      <c r="Q215" t="s">
        <v>28</v>
      </c>
      <c r="R215" t="s">
        <v>29</v>
      </c>
      <c r="S215" t="s">
        <v>30</v>
      </c>
      <c r="T215">
        <v>60345453</v>
      </c>
      <c r="U215" t="s">
        <v>4019</v>
      </c>
      <c r="V215" t="s">
        <v>4020</v>
      </c>
      <c r="W215" s="9">
        <f>IF(V215="pregrado",31,
IF(V215="posgrados",31,
IF(V215="rEINTEGROS",7,
IF(V215="BIT",90,
IF(V215="OP GRADO - INGLÉS",17,"")))))</f>
        <v>17</v>
      </c>
      <c r="X215" t="s">
        <v>4063</v>
      </c>
    </row>
    <row r="216" spans="1:24" ht="15" x14ac:dyDescent="0.35">
      <c r="A216" s="4">
        <v>46055.711967592593</v>
      </c>
      <c r="B216">
        <v>20119805</v>
      </c>
      <c r="C216" s="6" t="s">
        <v>19</v>
      </c>
      <c r="D216">
        <v>62924</v>
      </c>
      <c r="E216" t="s">
        <v>267</v>
      </c>
      <c r="F216">
        <v>1076658310</v>
      </c>
      <c r="G216" t="s">
        <v>2662</v>
      </c>
      <c r="H216">
        <v>100224916</v>
      </c>
      <c r="I216">
        <v>202604</v>
      </c>
      <c r="J216">
        <v>1076661408</v>
      </c>
      <c r="K216" t="s">
        <v>270</v>
      </c>
      <c r="L216" t="s">
        <v>589</v>
      </c>
      <c r="M216" t="s">
        <v>271</v>
      </c>
      <c r="N216" t="s">
        <v>35</v>
      </c>
      <c r="O216" t="s">
        <v>26</v>
      </c>
      <c r="P216" t="s">
        <v>27</v>
      </c>
      <c r="Q216" t="s">
        <v>28</v>
      </c>
      <c r="R216" t="s">
        <v>29</v>
      </c>
      <c r="S216" t="s">
        <v>30</v>
      </c>
      <c r="T216">
        <v>1033714104</v>
      </c>
      <c r="U216" t="s">
        <v>4019</v>
      </c>
      <c r="V216" t="s">
        <v>4020</v>
      </c>
      <c r="W216" s="9">
        <f>IF(V216="pregrado",31,
IF(V216="posgrados",31,
IF(V216="rEINTEGROS",7,
IF(V216="BIT",90,
IF(V216="OP GRADO - INGLÉS",17,"")))))</f>
        <v>17</v>
      </c>
      <c r="X216" t="s">
        <v>4029</v>
      </c>
    </row>
    <row r="217" spans="1:24" ht="15" x14ac:dyDescent="0.35">
      <c r="A217" s="4">
        <v>46056.459178240744</v>
      </c>
      <c r="B217">
        <v>20120035</v>
      </c>
      <c r="C217" s="6" t="s">
        <v>19</v>
      </c>
      <c r="D217">
        <v>62925</v>
      </c>
      <c r="E217" t="s">
        <v>267</v>
      </c>
      <c r="F217">
        <v>1032484396</v>
      </c>
      <c r="G217" t="s">
        <v>2687</v>
      </c>
      <c r="H217">
        <v>100117346</v>
      </c>
      <c r="I217">
        <v>202604</v>
      </c>
      <c r="J217">
        <v>1000271344</v>
      </c>
      <c r="K217" t="s">
        <v>270</v>
      </c>
      <c r="L217" t="s">
        <v>1281</v>
      </c>
      <c r="M217" t="s">
        <v>271</v>
      </c>
      <c r="N217" t="s">
        <v>35</v>
      </c>
      <c r="O217" t="s">
        <v>26</v>
      </c>
      <c r="P217" t="s">
        <v>27</v>
      </c>
      <c r="Q217" t="s">
        <v>28</v>
      </c>
      <c r="R217" t="s">
        <v>29</v>
      </c>
      <c r="S217" t="s">
        <v>30</v>
      </c>
      <c r="T217">
        <v>60345453</v>
      </c>
      <c r="U217" t="s">
        <v>4019</v>
      </c>
      <c r="V217" t="s">
        <v>4020</v>
      </c>
      <c r="W217" s="9">
        <f>IF(V217="pregrado",31,
IF(V217="posgrados",31,
IF(V217="rEINTEGROS",7,
IF(V217="BIT",90,
IF(V217="OP GRADO - INGLÉS",17,"")))))</f>
        <v>17</v>
      </c>
      <c r="X217" t="s">
        <v>4063</v>
      </c>
    </row>
    <row r="218" spans="1:24" ht="15" x14ac:dyDescent="0.35">
      <c r="A218" s="4">
        <v>46058.388923611114</v>
      </c>
      <c r="B218">
        <v>20120725</v>
      </c>
      <c r="C218" s="6" t="s">
        <v>19</v>
      </c>
      <c r="D218">
        <v>62936</v>
      </c>
      <c r="E218" t="s">
        <v>267</v>
      </c>
      <c r="F218">
        <v>1002697410</v>
      </c>
      <c r="G218" t="s">
        <v>2782</v>
      </c>
      <c r="H218">
        <v>100244618</v>
      </c>
      <c r="I218">
        <v>202604</v>
      </c>
      <c r="J218">
        <v>1002697308</v>
      </c>
      <c r="K218" t="s">
        <v>23</v>
      </c>
      <c r="L218" t="s">
        <v>1414</v>
      </c>
      <c r="M218" t="s">
        <v>271</v>
      </c>
      <c r="N218" t="s">
        <v>35</v>
      </c>
      <c r="O218" t="s">
        <v>26</v>
      </c>
      <c r="P218" t="s">
        <v>27</v>
      </c>
      <c r="Q218" t="s">
        <v>28</v>
      </c>
      <c r="R218" t="s">
        <v>29</v>
      </c>
      <c r="S218" t="s">
        <v>30</v>
      </c>
      <c r="T218">
        <v>52221286</v>
      </c>
      <c r="U218" t="s">
        <v>4055</v>
      </c>
      <c r="V218" t="s">
        <v>4056</v>
      </c>
      <c r="W218" s="9">
        <f>IF(V218="pregrado",31,
IF(V218="posgrados",31,
IF(V218="rEINTEGROS",7,
IF(V218="BIT",90,
IF(V218="OP GRADO - INGLÉS",17,"")))))</f>
        <v>90</v>
      </c>
      <c r="X218" t="s">
        <v>4076</v>
      </c>
    </row>
    <row r="219" spans="1:24" ht="15" x14ac:dyDescent="0.35">
      <c r="A219" s="4">
        <v>46057.591400462959</v>
      </c>
      <c r="B219">
        <v>20120480</v>
      </c>
      <c r="C219" s="6" t="s">
        <v>19</v>
      </c>
      <c r="D219">
        <v>62953</v>
      </c>
      <c r="E219" t="s">
        <v>267</v>
      </c>
      <c r="F219">
        <v>79702878</v>
      </c>
      <c r="G219" t="s">
        <v>2753</v>
      </c>
      <c r="H219">
        <v>900007490</v>
      </c>
      <c r="I219">
        <v>202604</v>
      </c>
      <c r="J219">
        <v>1023013966</v>
      </c>
      <c r="K219" t="s">
        <v>270</v>
      </c>
      <c r="L219" t="s">
        <v>532</v>
      </c>
      <c r="M219" t="s">
        <v>271</v>
      </c>
      <c r="N219" t="s">
        <v>35</v>
      </c>
      <c r="O219" t="s">
        <v>26</v>
      </c>
      <c r="P219" t="s">
        <v>27</v>
      </c>
      <c r="Q219" t="s">
        <v>28</v>
      </c>
      <c r="R219" t="s">
        <v>29</v>
      </c>
      <c r="S219" t="s">
        <v>30</v>
      </c>
      <c r="T219">
        <v>60345453</v>
      </c>
      <c r="U219" t="s">
        <v>4019</v>
      </c>
      <c r="V219" t="s">
        <v>4020</v>
      </c>
      <c r="W219" s="9">
        <f>IF(V219="pregrado",31,
IF(V219="posgrados",31,
IF(V219="rEINTEGROS",7,
IF(V219="BIT",90,
IF(V219="OP GRADO - INGLÉS",17,"")))))</f>
        <v>17</v>
      </c>
      <c r="X219" t="s">
        <v>4063</v>
      </c>
    </row>
    <row r="220" spans="1:24" ht="15" x14ac:dyDescent="0.35">
      <c r="A220" s="4">
        <v>46066.395324074074</v>
      </c>
      <c r="B220">
        <v>20123065</v>
      </c>
      <c r="C220" s="6" t="s">
        <v>19</v>
      </c>
      <c r="D220">
        <v>62968</v>
      </c>
      <c r="E220" t="s">
        <v>267</v>
      </c>
      <c r="F220">
        <v>1038409575</v>
      </c>
      <c r="G220" t="s">
        <v>3140</v>
      </c>
      <c r="H220">
        <v>100208504</v>
      </c>
      <c r="I220">
        <v>202604</v>
      </c>
      <c r="J220">
        <v>1038409575</v>
      </c>
      <c r="K220" t="s">
        <v>270</v>
      </c>
      <c r="L220" t="s">
        <v>336</v>
      </c>
      <c r="M220" t="s">
        <v>271</v>
      </c>
      <c r="N220" t="s">
        <v>35</v>
      </c>
      <c r="O220" t="s">
        <v>26</v>
      </c>
      <c r="P220" t="s">
        <v>27</v>
      </c>
      <c r="Q220" t="s">
        <v>28</v>
      </c>
      <c r="R220" t="s">
        <v>29</v>
      </c>
      <c r="S220" t="s">
        <v>30</v>
      </c>
      <c r="T220">
        <v>60345453</v>
      </c>
      <c r="U220" t="s">
        <v>4019</v>
      </c>
      <c r="V220" t="s">
        <v>4020</v>
      </c>
      <c r="W220" s="9">
        <f>IF(V220="pregrado",31,
IF(V220="posgrados",31,
IF(V220="rEINTEGROS",7,
IF(V220="BIT",90,
IF(V220="OP GRADO - INGLÉS",17,"")))))</f>
        <v>17</v>
      </c>
      <c r="X220" t="s">
        <v>4063</v>
      </c>
    </row>
    <row r="221" spans="1:24" ht="15" x14ac:dyDescent="0.35">
      <c r="A221" s="4">
        <v>46064.574664351851</v>
      </c>
      <c r="B221">
        <v>20122404</v>
      </c>
      <c r="C221" s="6" t="s">
        <v>19</v>
      </c>
      <c r="D221">
        <v>62969</v>
      </c>
      <c r="E221" t="s">
        <v>267</v>
      </c>
      <c r="F221">
        <v>1083571601</v>
      </c>
      <c r="G221" t="s">
        <v>3029</v>
      </c>
      <c r="H221">
        <v>100193081</v>
      </c>
      <c r="I221">
        <v>202604</v>
      </c>
      <c r="J221">
        <v>1083571601</v>
      </c>
      <c r="K221" t="s">
        <v>270</v>
      </c>
      <c r="L221" t="s">
        <v>336</v>
      </c>
      <c r="M221" t="s">
        <v>271</v>
      </c>
      <c r="N221" t="s">
        <v>35</v>
      </c>
      <c r="O221" t="s">
        <v>26</v>
      </c>
      <c r="P221" t="s">
        <v>27</v>
      </c>
      <c r="Q221" t="s">
        <v>28</v>
      </c>
      <c r="R221" t="s">
        <v>29</v>
      </c>
      <c r="S221" t="s">
        <v>30</v>
      </c>
      <c r="T221">
        <v>52834109</v>
      </c>
      <c r="U221" t="s">
        <v>4019</v>
      </c>
      <c r="V221" t="s">
        <v>4020</v>
      </c>
      <c r="W221" s="9">
        <f>IF(V221="pregrado",31,
IF(V221="posgrados",31,
IF(V221="rEINTEGROS",7,
IF(V221="BIT",90,
IF(V221="OP GRADO - INGLÉS",17,"")))))</f>
        <v>17</v>
      </c>
      <c r="X221" t="s">
        <v>4018</v>
      </c>
    </row>
    <row r="222" spans="1:24" ht="15" x14ac:dyDescent="0.35">
      <c r="A222" s="4">
        <v>46056.461296296293</v>
      </c>
      <c r="B222">
        <v>20120039</v>
      </c>
      <c r="C222" s="6" t="s">
        <v>19</v>
      </c>
      <c r="D222">
        <v>62985</v>
      </c>
      <c r="E222" t="s">
        <v>267</v>
      </c>
      <c r="F222">
        <v>1107090731</v>
      </c>
      <c r="G222" t="s">
        <v>2689</v>
      </c>
      <c r="H222">
        <v>100244858</v>
      </c>
      <c r="I222">
        <v>202604</v>
      </c>
      <c r="J222">
        <v>1107090731</v>
      </c>
      <c r="K222" t="s">
        <v>23</v>
      </c>
      <c r="L222" t="s">
        <v>1258</v>
      </c>
      <c r="M222" t="s">
        <v>271</v>
      </c>
      <c r="N222" t="s">
        <v>35</v>
      </c>
      <c r="O222" t="s">
        <v>26</v>
      </c>
      <c r="P222" t="s">
        <v>27</v>
      </c>
      <c r="Q222" t="s">
        <v>28</v>
      </c>
      <c r="R222" t="s">
        <v>29</v>
      </c>
      <c r="S222" t="s">
        <v>30</v>
      </c>
      <c r="T222">
        <v>1065824282</v>
      </c>
      <c r="U222" t="s">
        <v>4055</v>
      </c>
      <c r="V222" t="s">
        <v>4056</v>
      </c>
      <c r="W222" s="9">
        <f>IF(V222="pregrado",31,
IF(V222="posgrados",31,
IF(V222="rEINTEGROS",7,
IF(V222="BIT",90,
IF(V222="OP GRADO - INGLÉS",17,"")))))</f>
        <v>90</v>
      </c>
      <c r="X222" t="s">
        <v>4090</v>
      </c>
    </row>
    <row r="223" spans="1:24" ht="15" x14ac:dyDescent="0.35">
      <c r="A223" s="4">
        <v>46057.413865740738</v>
      </c>
      <c r="B223">
        <v>20120342</v>
      </c>
      <c r="C223" s="6" t="s">
        <v>19</v>
      </c>
      <c r="D223">
        <v>62990</v>
      </c>
      <c r="E223" t="s">
        <v>267</v>
      </c>
      <c r="F223">
        <v>1118203980</v>
      </c>
      <c r="G223" t="s">
        <v>2727</v>
      </c>
      <c r="H223">
        <v>100167886</v>
      </c>
      <c r="I223">
        <v>202604</v>
      </c>
      <c r="J223">
        <v>1118203980</v>
      </c>
      <c r="K223" t="s">
        <v>270</v>
      </c>
      <c r="L223" t="s">
        <v>2034</v>
      </c>
      <c r="M223" t="s">
        <v>271</v>
      </c>
      <c r="N223" t="s">
        <v>35</v>
      </c>
      <c r="O223" t="s">
        <v>26</v>
      </c>
      <c r="P223" t="s">
        <v>27</v>
      </c>
      <c r="Q223" t="s">
        <v>28</v>
      </c>
      <c r="R223" t="s">
        <v>29</v>
      </c>
      <c r="S223" t="s">
        <v>30</v>
      </c>
      <c r="T223">
        <v>52834109</v>
      </c>
      <c r="U223" t="s">
        <v>4019</v>
      </c>
      <c r="V223" t="s">
        <v>4020</v>
      </c>
      <c r="W223" s="9">
        <f>IF(V223="pregrado",31,
IF(V223="posgrados",31,
IF(V223="rEINTEGROS",7,
IF(V223="BIT",90,
IF(V223="OP GRADO - INGLÉS",17,"")))))</f>
        <v>17</v>
      </c>
      <c r="X223" t="s">
        <v>4018</v>
      </c>
    </row>
    <row r="224" spans="1:24" ht="15" x14ac:dyDescent="0.35">
      <c r="A224" s="4">
        <v>46056.653541666667</v>
      </c>
      <c r="B224">
        <v>20120174</v>
      </c>
      <c r="C224" s="6" t="s">
        <v>19</v>
      </c>
      <c r="D224">
        <v>62991</v>
      </c>
      <c r="E224" t="s">
        <v>267</v>
      </c>
      <c r="F224">
        <v>1023035910</v>
      </c>
      <c r="G224" t="s">
        <v>2705</v>
      </c>
      <c r="H224">
        <v>100160769</v>
      </c>
      <c r="I224">
        <v>202604</v>
      </c>
      <c r="J224">
        <v>1023035910</v>
      </c>
      <c r="K224" t="s">
        <v>270</v>
      </c>
      <c r="L224" t="s">
        <v>269</v>
      </c>
      <c r="M224" t="s">
        <v>271</v>
      </c>
      <c r="N224" t="s">
        <v>35</v>
      </c>
      <c r="O224" t="s">
        <v>26</v>
      </c>
      <c r="P224" t="s">
        <v>27</v>
      </c>
      <c r="Q224" t="s">
        <v>28</v>
      </c>
      <c r="R224" t="s">
        <v>29</v>
      </c>
      <c r="S224" t="s">
        <v>30</v>
      </c>
      <c r="T224">
        <v>52834109</v>
      </c>
      <c r="U224" t="s">
        <v>4019</v>
      </c>
      <c r="V224" t="s">
        <v>4020</v>
      </c>
      <c r="W224" s="9">
        <f>IF(V224="pregrado",31,
IF(V224="posgrados",31,
IF(V224="rEINTEGROS",7,
IF(V224="BIT",90,
IF(V224="OP GRADO - INGLÉS",17,"")))))</f>
        <v>17</v>
      </c>
      <c r="X224" t="s">
        <v>4018</v>
      </c>
    </row>
    <row r="225" spans="1:24" ht="15" x14ac:dyDescent="0.35">
      <c r="A225" s="4">
        <v>46057.390115740738</v>
      </c>
      <c r="B225">
        <v>20120321</v>
      </c>
      <c r="C225" s="6" t="s">
        <v>19</v>
      </c>
      <c r="D225">
        <v>62993</v>
      </c>
      <c r="E225" t="s">
        <v>267</v>
      </c>
      <c r="F225">
        <v>1233897732</v>
      </c>
      <c r="G225" t="s">
        <v>2723</v>
      </c>
      <c r="H225">
        <v>100182724</v>
      </c>
      <c r="I225">
        <v>202604</v>
      </c>
      <c r="J225">
        <v>1233897732</v>
      </c>
      <c r="K225" t="s">
        <v>270</v>
      </c>
      <c r="L225" t="s">
        <v>1281</v>
      </c>
      <c r="M225" t="s">
        <v>271</v>
      </c>
      <c r="N225" t="s">
        <v>35</v>
      </c>
      <c r="O225" t="s">
        <v>26</v>
      </c>
      <c r="P225" t="s">
        <v>27</v>
      </c>
      <c r="Q225" t="s">
        <v>28</v>
      </c>
      <c r="R225" t="s">
        <v>29</v>
      </c>
      <c r="S225" t="s">
        <v>30</v>
      </c>
      <c r="T225">
        <v>1033714104</v>
      </c>
      <c r="U225" t="s">
        <v>4019</v>
      </c>
      <c r="V225" t="s">
        <v>4020</v>
      </c>
      <c r="W225" s="9">
        <f>IF(V225="pregrado",31,
IF(V225="posgrados",31,
IF(V225="rEINTEGROS",7,
IF(V225="BIT",90,
IF(V225="OP GRADO - INGLÉS",17,"")))))</f>
        <v>17</v>
      </c>
      <c r="X225" t="s">
        <v>4029</v>
      </c>
    </row>
    <row r="226" spans="1:24" ht="15" x14ac:dyDescent="0.35">
      <c r="A226" s="4">
        <v>46057.607349537036</v>
      </c>
      <c r="B226">
        <v>20120494</v>
      </c>
      <c r="C226" s="6" t="s">
        <v>19</v>
      </c>
      <c r="D226">
        <v>63029</v>
      </c>
      <c r="E226" t="s">
        <v>267</v>
      </c>
      <c r="F226">
        <v>17904060</v>
      </c>
      <c r="G226" t="s">
        <v>2756</v>
      </c>
      <c r="H226">
        <v>100183192</v>
      </c>
      <c r="I226">
        <v>202604</v>
      </c>
      <c r="J226">
        <v>40880345</v>
      </c>
      <c r="K226" t="s">
        <v>270</v>
      </c>
      <c r="L226" t="s">
        <v>513</v>
      </c>
      <c r="M226" t="s">
        <v>271</v>
      </c>
      <c r="N226" t="s">
        <v>35</v>
      </c>
      <c r="O226" t="s">
        <v>26</v>
      </c>
      <c r="P226" t="s">
        <v>27</v>
      </c>
      <c r="Q226" t="s">
        <v>28</v>
      </c>
      <c r="R226" t="s">
        <v>29</v>
      </c>
      <c r="S226" t="s">
        <v>30</v>
      </c>
      <c r="T226">
        <v>60345453</v>
      </c>
      <c r="U226" t="s">
        <v>4019</v>
      </c>
      <c r="V226" t="s">
        <v>4020</v>
      </c>
      <c r="W226" s="9">
        <f>IF(V226="pregrado",31,
IF(V226="posgrados",31,
IF(V226="rEINTEGROS",7,
IF(V226="BIT",90,
IF(V226="OP GRADO - INGLÉS",17,"")))))</f>
        <v>17</v>
      </c>
      <c r="X226" t="s">
        <v>4063</v>
      </c>
    </row>
    <row r="227" spans="1:24" ht="15" x14ac:dyDescent="0.35">
      <c r="A227" s="4">
        <v>46080.704629629632</v>
      </c>
      <c r="B227">
        <v>20126941</v>
      </c>
      <c r="C227" s="6" t="s">
        <v>19</v>
      </c>
      <c r="D227">
        <v>63034</v>
      </c>
      <c r="E227" t="s">
        <v>267</v>
      </c>
      <c r="F227">
        <v>1077475074</v>
      </c>
      <c r="G227" t="s">
        <v>3744</v>
      </c>
      <c r="H227">
        <v>100181461</v>
      </c>
      <c r="I227">
        <v>202604</v>
      </c>
      <c r="J227">
        <v>1077475074</v>
      </c>
      <c r="K227" t="s">
        <v>270</v>
      </c>
      <c r="L227" t="s">
        <v>1281</v>
      </c>
      <c r="M227" t="s">
        <v>271</v>
      </c>
      <c r="N227" t="s">
        <v>35</v>
      </c>
      <c r="O227" t="s">
        <v>26</v>
      </c>
      <c r="P227" t="s">
        <v>27</v>
      </c>
      <c r="Q227" t="s">
        <v>28</v>
      </c>
      <c r="R227" t="s">
        <v>29</v>
      </c>
      <c r="S227" t="s">
        <v>30</v>
      </c>
      <c r="T227">
        <v>52834109</v>
      </c>
      <c r="U227" t="s">
        <v>4019</v>
      </c>
      <c r="V227" t="s">
        <v>4020</v>
      </c>
      <c r="W227" s="9">
        <f>IF(V227="pregrado",31,
IF(V227="posgrados",31,
IF(V227="rEINTEGROS",7,
IF(V227="BIT",90,
IF(V227="OP GRADO - INGLÉS",17,"")))))</f>
        <v>17</v>
      </c>
      <c r="X227" t="s">
        <v>4018</v>
      </c>
    </row>
    <row r="228" spans="1:24" ht="15" x14ac:dyDescent="0.35">
      <c r="A228" s="4">
        <v>46058.509814814817</v>
      </c>
      <c r="B228">
        <v>20120821</v>
      </c>
      <c r="C228" s="6" t="s">
        <v>19</v>
      </c>
      <c r="D228">
        <v>63044</v>
      </c>
      <c r="E228" t="s">
        <v>267</v>
      </c>
      <c r="F228">
        <v>1110483822</v>
      </c>
      <c r="G228" t="s">
        <v>2799</v>
      </c>
      <c r="H228">
        <v>100245158</v>
      </c>
      <c r="I228">
        <v>202604</v>
      </c>
      <c r="J228">
        <v>1197465846</v>
      </c>
      <c r="K228" t="s">
        <v>23</v>
      </c>
      <c r="L228" t="s">
        <v>1015</v>
      </c>
      <c r="M228" t="s">
        <v>271</v>
      </c>
      <c r="N228" t="s">
        <v>35</v>
      </c>
      <c r="O228" t="s">
        <v>26</v>
      </c>
      <c r="P228" t="s">
        <v>27</v>
      </c>
      <c r="Q228" t="s">
        <v>28</v>
      </c>
      <c r="R228" t="s">
        <v>29</v>
      </c>
      <c r="S228" t="s">
        <v>30</v>
      </c>
      <c r="T228">
        <v>1193566421</v>
      </c>
      <c r="U228" t="s">
        <v>4055</v>
      </c>
      <c r="V228" t="s">
        <v>4056</v>
      </c>
      <c r="W228" s="9">
        <f>IF(V228="pregrado",31,
IF(V228="posgrados",31,
IF(V228="rEINTEGROS",7,
IF(V228="BIT",90,
IF(V228="OP GRADO - INGLÉS",17,"")))))</f>
        <v>90</v>
      </c>
      <c r="X228" t="s">
        <v>4075</v>
      </c>
    </row>
    <row r="229" spans="1:24" ht="15" x14ac:dyDescent="0.35">
      <c r="A229" s="4">
        <v>46073.556574074071</v>
      </c>
      <c r="B229">
        <v>20125262</v>
      </c>
      <c r="C229" s="6" t="s">
        <v>19</v>
      </c>
      <c r="D229">
        <v>63053</v>
      </c>
      <c r="E229" t="s">
        <v>267</v>
      </c>
      <c r="F229">
        <v>1012464618</v>
      </c>
      <c r="G229" t="s">
        <v>3473</v>
      </c>
      <c r="H229">
        <v>100128319</v>
      </c>
      <c r="I229">
        <v>202604</v>
      </c>
      <c r="J229">
        <v>1012464618</v>
      </c>
      <c r="K229" t="s">
        <v>270</v>
      </c>
      <c r="L229" t="s">
        <v>3376</v>
      </c>
      <c r="M229" t="s">
        <v>271</v>
      </c>
      <c r="N229" t="s">
        <v>38</v>
      </c>
      <c r="O229" t="s">
        <v>26</v>
      </c>
      <c r="P229" t="s">
        <v>27</v>
      </c>
      <c r="Q229" t="s">
        <v>28</v>
      </c>
      <c r="R229" t="s">
        <v>29</v>
      </c>
      <c r="S229" t="s">
        <v>30</v>
      </c>
      <c r="T229">
        <v>60345453</v>
      </c>
      <c r="U229" t="s">
        <v>4019</v>
      </c>
      <c r="V229" t="s">
        <v>4020</v>
      </c>
      <c r="W229" s="9">
        <f>IF(V229="pregrado",31,
IF(V229="posgrados",31,
IF(V229="rEINTEGROS",7,
IF(V229="BIT",90,
IF(V229="OP GRADO - INGLÉS",17,"")))))</f>
        <v>17</v>
      </c>
      <c r="X229" t="s">
        <v>4063</v>
      </c>
    </row>
    <row r="230" spans="1:24" ht="15" x14ac:dyDescent="0.35">
      <c r="A230" s="4">
        <v>46059.657546296294</v>
      </c>
      <c r="B230">
        <v>20121253</v>
      </c>
      <c r="C230" s="6" t="s">
        <v>19</v>
      </c>
      <c r="D230">
        <v>63054</v>
      </c>
      <c r="E230" t="s">
        <v>267</v>
      </c>
      <c r="F230">
        <v>1064837929</v>
      </c>
      <c r="G230" t="s">
        <v>2872</v>
      </c>
      <c r="H230">
        <v>100224772</v>
      </c>
      <c r="I230">
        <v>202604</v>
      </c>
      <c r="J230">
        <v>1064837929</v>
      </c>
      <c r="K230" t="s">
        <v>270</v>
      </c>
      <c r="L230" t="s">
        <v>2360</v>
      </c>
      <c r="M230" t="s">
        <v>271</v>
      </c>
      <c r="N230" t="s">
        <v>35</v>
      </c>
      <c r="O230" t="s">
        <v>26</v>
      </c>
      <c r="P230" t="s">
        <v>27</v>
      </c>
      <c r="Q230" t="s">
        <v>28</v>
      </c>
      <c r="R230" t="s">
        <v>29</v>
      </c>
      <c r="S230" t="s">
        <v>30</v>
      </c>
      <c r="T230">
        <v>1033714104</v>
      </c>
      <c r="U230" t="s">
        <v>4019</v>
      </c>
      <c r="V230" t="s">
        <v>4020</v>
      </c>
      <c r="W230" s="9">
        <f>IF(V230="pregrado",31,
IF(V230="posgrados",31,
IF(V230="rEINTEGROS",7,
IF(V230="BIT",90,
IF(V230="OP GRADO - INGLÉS",17,"")))))</f>
        <v>17</v>
      </c>
      <c r="X230" t="s">
        <v>4029</v>
      </c>
    </row>
    <row r="231" spans="1:24" ht="15" x14ac:dyDescent="0.35">
      <c r="A231" s="4">
        <v>46062.650949074072</v>
      </c>
      <c r="B231">
        <v>20121743</v>
      </c>
      <c r="C231" s="6" t="s">
        <v>19</v>
      </c>
      <c r="D231">
        <v>63058</v>
      </c>
      <c r="E231" t="s">
        <v>267</v>
      </c>
      <c r="F231">
        <v>1003889038</v>
      </c>
      <c r="G231" t="s">
        <v>2937</v>
      </c>
      <c r="H231">
        <v>100155124</v>
      </c>
      <c r="I231">
        <v>202604</v>
      </c>
      <c r="J231">
        <v>1003889038</v>
      </c>
      <c r="K231" t="s">
        <v>270</v>
      </c>
      <c r="L231" t="s">
        <v>816</v>
      </c>
      <c r="M231" t="s">
        <v>271</v>
      </c>
      <c r="N231" t="s">
        <v>35</v>
      </c>
      <c r="O231" t="s">
        <v>26</v>
      </c>
      <c r="P231" t="s">
        <v>27</v>
      </c>
      <c r="Q231" t="s">
        <v>28</v>
      </c>
      <c r="R231" t="s">
        <v>29</v>
      </c>
      <c r="S231" t="s">
        <v>30</v>
      </c>
      <c r="T231">
        <v>1033714104</v>
      </c>
      <c r="U231" t="s">
        <v>4019</v>
      </c>
      <c r="V231" t="s">
        <v>4020</v>
      </c>
      <c r="W231" s="9">
        <f>IF(V231="pregrado",31,
IF(V231="posgrados",31,
IF(V231="rEINTEGROS",7,
IF(V231="BIT",90,
IF(V231="OP GRADO - INGLÉS",17,"")))))</f>
        <v>17</v>
      </c>
      <c r="X231" t="s">
        <v>4029</v>
      </c>
    </row>
    <row r="232" spans="1:24" ht="15" x14ac:dyDescent="0.35">
      <c r="A232" s="4">
        <v>46063.69017361111</v>
      </c>
      <c r="B232">
        <v>20122160</v>
      </c>
      <c r="C232" s="6" t="s">
        <v>19</v>
      </c>
      <c r="D232">
        <v>63066</v>
      </c>
      <c r="E232" t="s">
        <v>267</v>
      </c>
      <c r="F232">
        <v>1000520465</v>
      </c>
      <c r="G232" t="s">
        <v>3002</v>
      </c>
      <c r="H232">
        <v>100166535</v>
      </c>
      <c r="I232">
        <v>202604</v>
      </c>
      <c r="J232">
        <v>1000520465</v>
      </c>
      <c r="K232" t="s">
        <v>270</v>
      </c>
      <c r="L232" t="s">
        <v>1521</v>
      </c>
      <c r="M232" t="s">
        <v>271</v>
      </c>
      <c r="N232" t="s">
        <v>35</v>
      </c>
      <c r="O232" t="s">
        <v>26</v>
      </c>
      <c r="P232" t="s">
        <v>27</v>
      </c>
      <c r="Q232" t="s">
        <v>28</v>
      </c>
      <c r="R232" t="s">
        <v>29</v>
      </c>
      <c r="S232" t="s">
        <v>30</v>
      </c>
      <c r="T232">
        <v>52834109</v>
      </c>
      <c r="U232" t="s">
        <v>4019</v>
      </c>
      <c r="V232" t="s">
        <v>4020</v>
      </c>
      <c r="W232" s="9">
        <f>IF(V232="pregrado",31,
IF(V232="posgrados",31,
IF(V232="rEINTEGROS",7,
IF(V232="BIT",90,
IF(V232="OP GRADO - INGLÉS",17,"")))))</f>
        <v>17</v>
      </c>
      <c r="X232" t="s">
        <v>4018</v>
      </c>
    </row>
    <row r="233" spans="1:24" ht="15" x14ac:dyDescent="0.35">
      <c r="A233" s="4">
        <v>46063.945671296293</v>
      </c>
      <c r="B233">
        <v>20122261</v>
      </c>
      <c r="C233" s="6" t="s">
        <v>19</v>
      </c>
      <c r="D233">
        <v>63068</v>
      </c>
      <c r="E233" t="s">
        <v>267</v>
      </c>
      <c r="F233">
        <v>1000586485</v>
      </c>
      <c r="G233" t="s">
        <v>3009</v>
      </c>
      <c r="H233">
        <v>100039745</v>
      </c>
      <c r="I233">
        <v>202604</v>
      </c>
      <c r="J233">
        <v>1018491657</v>
      </c>
      <c r="K233" t="s">
        <v>270</v>
      </c>
      <c r="L233" t="s">
        <v>1521</v>
      </c>
      <c r="M233" t="s">
        <v>271</v>
      </c>
      <c r="N233" t="s">
        <v>38</v>
      </c>
      <c r="O233" t="s">
        <v>26</v>
      </c>
      <c r="P233" t="s">
        <v>27</v>
      </c>
      <c r="Q233" t="s">
        <v>28</v>
      </c>
      <c r="R233" t="s">
        <v>29</v>
      </c>
      <c r="S233" t="s">
        <v>30</v>
      </c>
      <c r="T233">
        <v>52834109</v>
      </c>
      <c r="U233" t="s">
        <v>4019</v>
      </c>
      <c r="V233" t="s">
        <v>4020</v>
      </c>
      <c r="W233" s="9">
        <f>IF(V233="pregrado",31,
IF(V233="posgrados",31,
IF(V233="rEINTEGROS",7,
IF(V233="BIT",90,
IF(V233="OP GRADO - INGLÉS",17,"")))))</f>
        <v>17</v>
      </c>
      <c r="X233" t="s">
        <v>4018</v>
      </c>
    </row>
    <row r="234" spans="1:24" ht="15" x14ac:dyDescent="0.35">
      <c r="A234" s="4">
        <v>46058.81417824074</v>
      </c>
      <c r="B234">
        <v>20121025</v>
      </c>
      <c r="C234" s="6" t="s">
        <v>19</v>
      </c>
      <c r="D234">
        <v>63077</v>
      </c>
      <c r="E234" t="s">
        <v>267</v>
      </c>
      <c r="F234">
        <v>1003625890</v>
      </c>
      <c r="G234" t="s">
        <v>2842</v>
      </c>
      <c r="H234">
        <v>100094211</v>
      </c>
      <c r="I234">
        <v>202604</v>
      </c>
      <c r="J234">
        <v>1003625890</v>
      </c>
      <c r="K234" t="s">
        <v>270</v>
      </c>
      <c r="L234" t="s">
        <v>269</v>
      </c>
      <c r="M234" t="s">
        <v>271</v>
      </c>
      <c r="N234" t="s">
        <v>35</v>
      </c>
      <c r="O234" t="s">
        <v>26</v>
      </c>
      <c r="P234" t="s">
        <v>27</v>
      </c>
      <c r="Q234" t="s">
        <v>28</v>
      </c>
      <c r="R234" t="s">
        <v>29</v>
      </c>
      <c r="S234" t="s">
        <v>30</v>
      </c>
      <c r="T234">
        <v>52834109</v>
      </c>
      <c r="U234" t="s">
        <v>4019</v>
      </c>
      <c r="V234" t="s">
        <v>4020</v>
      </c>
      <c r="W234" s="9">
        <f>IF(V234="pregrado",31,
IF(V234="posgrados",31,
IF(V234="rEINTEGROS",7,
IF(V234="BIT",90,
IF(V234="OP GRADO - INGLÉS",17,"")))))</f>
        <v>17</v>
      </c>
      <c r="X234" t="s">
        <v>4018</v>
      </c>
    </row>
    <row r="235" spans="1:24" ht="15" x14ac:dyDescent="0.35">
      <c r="A235" s="4">
        <v>46064.628495370373</v>
      </c>
      <c r="B235">
        <v>20122457</v>
      </c>
      <c r="C235" s="6" t="s">
        <v>19</v>
      </c>
      <c r="D235">
        <v>63080</v>
      </c>
      <c r="E235" t="s">
        <v>267</v>
      </c>
      <c r="F235">
        <v>1019146314</v>
      </c>
      <c r="G235" t="s">
        <v>3035</v>
      </c>
      <c r="H235">
        <v>100140264</v>
      </c>
      <c r="I235">
        <v>202604</v>
      </c>
      <c r="J235">
        <v>1019146314</v>
      </c>
      <c r="K235" t="s">
        <v>270</v>
      </c>
      <c r="L235" t="s">
        <v>763</v>
      </c>
      <c r="M235" t="s">
        <v>271</v>
      </c>
      <c r="N235" t="s">
        <v>35</v>
      </c>
      <c r="O235" t="s">
        <v>26</v>
      </c>
      <c r="P235" t="s">
        <v>27</v>
      </c>
      <c r="Q235" t="s">
        <v>28</v>
      </c>
      <c r="R235" t="s">
        <v>29</v>
      </c>
      <c r="S235" t="s">
        <v>30</v>
      </c>
      <c r="T235">
        <v>52834109</v>
      </c>
      <c r="U235" t="s">
        <v>4019</v>
      </c>
      <c r="V235" t="s">
        <v>4020</v>
      </c>
      <c r="W235" s="9">
        <f>IF(V235="pregrado",31,
IF(V235="posgrados",31,
IF(V235="rEINTEGROS",7,
IF(V235="BIT",90,
IF(V235="OP GRADO - INGLÉS",17,"")))))</f>
        <v>17</v>
      </c>
      <c r="X235" t="s">
        <v>4018</v>
      </c>
    </row>
    <row r="236" spans="1:24" ht="15" x14ac:dyDescent="0.35">
      <c r="A236" s="4">
        <v>46059.650277777779</v>
      </c>
      <c r="B236">
        <v>20121246</v>
      </c>
      <c r="C236" s="6" t="s">
        <v>19</v>
      </c>
      <c r="D236">
        <v>63082</v>
      </c>
      <c r="E236" t="s">
        <v>267</v>
      </c>
      <c r="F236">
        <v>52693233</v>
      </c>
      <c r="G236" t="s">
        <v>2870</v>
      </c>
      <c r="H236">
        <v>100210868</v>
      </c>
      <c r="I236">
        <v>202604</v>
      </c>
      <c r="J236">
        <v>52693233</v>
      </c>
      <c r="K236" t="s">
        <v>270</v>
      </c>
      <c r="L236" t="s">
        <v>589</v>
      </c>
      <c r="M236" t="s">
        <v>271</v>
      </c>
      <c r="N236" t="s">
        <v>35</v>
      </c>
      <c r="O236" t="s">
        <v>26</v>
      </c>
      <c r="P236" t="s">
        <v>27</v>
      </c>
      <c r="Q236" t="s">
        <v>28</v>
      </c>
      <c r="R236" t="s">
        <v>29</v>
      </c>
      <c r="S236" t="s">
        <v>30</v>
      </c>
      <c r="T236">
        <v>52834109</v>
      </c>
      <c r="U236" t="s">
        <v>4019</v>
      </c>
      <c r="V236" t="s">
        <v>4020</v>
      </c>
      <c r="W236" s="9">
        <f>IF(V236="pregrado",31,
IF(V236="posgrados",31,
IF(V236="rEINTEGROS",7,
IF(V236="BIT",90,
IF(V236="OP GRADO - INGLÉS",17,"")))))</f>
        <v>17</v>
      </c>
      <c r="X236" t="s">
        <v>4018</v>
      </c>
    </row>
    <row r="237" spans="1:24" ht="15" x14ac:dyDescent="0.35">
      <c r="A237" s="4">
        <v>46062.764189814814</v>
      </c>
      <c r="B237">
        <v>20121861</v>
      </c>
      <c r="C237" s="6" t="s">
        <v>19</v>
      </c>
      <c r="D237">
        <v>63088</v>
      </c>
      <c r="E237" t="s">
        <v>267</v>
      </c>
      <c r="F237">
        <v>1005485040</v>
      </c>
      <c r="G237" t="s">
        <v>2956</v>
      </c>
      <c r="H237">
        <v>100117638</v>
      </c>
      <c r="I237">
        <v>202604</v>
      </c>
      <c r="J237">
        <v>1005485040</v>
      </c>
      <c r="K237" t="s">
        <v>270</v>
      </c>
      <c r="L237" t="s">
        <v>532</v>
      </c>
      <c r="M237" t="s">
        <v>271</v>
      </c>
      <c r="N237" t="s">
        <v>35</v>
      </c>
      <c r="O237" t="s">
        <v>26</v>
      </c>
      <c r="P237" t="s">
        <v>27</v>
      </c>
      <c r="Q237" t="s">
        <v>28</v>
      </c>
      <c r="R237" t="s">
        <v>29</v>
      </c>
      <c r="S237" t="s">
        <v>30</v>
      </c>
      <c r="T237">
        <v>52834109</v>
      </c>
      <c r="U237" t="s">
        <v>4019</v>
      </c>
      <c r="V237" t="s">
        <v>4020</v>
      </c>
      <c r="W237" s="9">
        <f>IF(V237="pregrado",31,
IF(V237="posgrados",31,
IF(V237="rEINTEGROS",7,
IF(V237="BIT",90,
IF(V237="OP GRADO - INGLÉS",17,"")))))</f>
        <v>17</v>
      </c>
      <c r="X237" t="s">
        <v>4018</v>
      </c>
    </row>
    <row r="238" spans="1:24" ht="15" x14ac:dyDescent="0.35">
      <c r="A238" s="4">
        <v>46059.791817129626</v>
      </c>
      <c r="B238">
        <v>20121337</v>
      </c>
      <c r="C238" s="6" t="s">
        <v>19</v>
      </c>
      <c r="D238">
        <v>63089</v>
      </c>
      <c r="E238" t="s">
        <v>267</v>
      </c>
      <c r="F238">
        <v>1001199206</v>
      </c>
      <c r="G238" t="s">
        <v>2885</v>
      </c>
      <c r="H238">
        <v>100117623</v>
      </c>
      <c r="I238">
        <v>202604</v>
      </c>
      <c r="J238">
        <v>1001199206</v>
      </c>
      <c r="K238" t="s">
        <v>270</v>
      </c>
      <c r="L238" t="s">
        <v>532</v>
      </c>
      <c r="M238" t="s">
        <v>271</v>
      </c>
      <c r="N238" t="s">
        <v>35</v>
      </c>
      <c r="O238" t="s">
        <v>26</v>
      </c>
      <c r="P238" t="s">
        <v>27</v>
      </c>
      <c r="Q238" t="s">
        <v>28</v>
      </c>
      <c r="R238" t="s">
        <v>29</v>
      </c>
      <c r="S238" t="s">
        <v>30</v>
      </c>
      <c r="T238">
        <v>52834109</v>
      </c>
      <c r="U238" t="s">
        <v>4019</v>
      </c>
      <c r="V238" t="s">
        <v>4020</v>
      </c>
      <c r="W238" s="9">
        <f>IF(V238="pregrado",31,
IF(V238="posgrados",31,
IF(V238="rEINTEGROS",7,
IF(V238="BIT",90,
IF(V238="OP GRADO - INGLÉS",17,"")))))</f>
        <v>17</v>
      </c>
      <c r="X238" t="s">
        <v>4018</v>
      </c>
    </row>
    <row r="239" spans="1:24" ht="15" x14ac:dyDescent="0.35">
      <c r="A239" s="4">
        <v>46059.449733796297</v>
      </c>
      <c r="B239">
        <v>20121139</v>
      </c>
      <c r="C239" s="6" t="s">
        <v>19</v>
      </c>
      <c r="D239">
        <v>63093</v>
      </c>
      <c r="E239" t="s">
        <v>267</v>
      </c>
      <c r="F239">
        <v>1056552983</v>
      </c>
      <c r="G239" t="s">
        <v>2855</v>
      </c>
      <c r="H239">
        <v>100054834</v>
      </c>
      <c r="I239">
        <v>202604</v>
      </c>
      <c r="J239">
        <v>1056552983</v>
      </c>
      <c r="K239" t="s">
        <v>270</v>
      </c>
      <c r="L239" t="s">
        <v>513</v>
      </c>
      <c r="M239" t="s">
        <v>271</v>
      </c>
      <c r="N239" t="s">
        <v>35</v>
      </c>
      <c r="O239" t="s">
        <v>26</v>
      </c>
      <c r="P239" t="s">
        <v>27</v>
      </c>
      <c r="Q239" t="s">
        <v>28</v>
      </c>
      <c r="R239" t="s">
        <v>29</v>
      </c>
      <c r="S239" t="s">
        <v>30</v>
      </c>
      <c r="T239">
        <v>52834109</v>
      </c>
      <c r="U239" t="s">
        <v>4019</v>
      </c>
      <c r="V239" t="s">
        <v>4020</v>
      </c>
      <c r="W239" s="9">
        <f>IF(V239="pregrado",31,
IF(V239="posgrados",31,
IF(V239="rEINTEGROS",7,
IF(V239="BIT",90,
IF(V239="OP GRADO - INGLÉS",17,"")))))</f>
        <v>17</v>
      </c>
      <c r="X239" t="s">
        <v>4018</v>
      </c>
    </row>
    <row r="240" spans="1:24" ht="15" x14ac:dyDescent="0.35">
      <c r="A240" s="4">
        <v>46062.663310185184</v>
      </c>
      <c r="B240">
        <v>20121758</v>
      </c>
      <c r="C240" s="6" t="s">
        <v>19</v>
      </c>
      <c r="D240">
        <v>63103</v>
      </c>
      <c r="E240" t="s">
        <v>267</v>
      </c>
      <c r="F240">
        <v>1095820578</v>
      </c>
      <c r="G240" t="s">
        <v>2940</v>
      </c>
      <c r="H240">
        <v>100245395</v>
      </c>
      <c r="I240">
        <v>202604</v>
      </c>
      <c r="J240">
        <v>1095820578</v>
      </c>
      <c r="K240" t="s">
        <v>23</v>
      </c>
      <c r="L240" t="s">
        <v>1258</v>
      </c>
      <c r="M240" t="s">
        <v>271</v>
      </c>
      <c r="N240" t="s">
        <v>35</v>
      </c>
      <c r="O240" t="s">
        <v>26</v>
      </c>
      <c r="P240" t="s">
        <v>27</v>
      </c>
      <c r="Q240" t="s">
        <v>28</v>
      </c>
      <c r="R240" t="s">
        <v>29</v>
      </c>
      <c r="S240" t="s">
        <v>30</v>
      </c>
      <c r="T240">
        <v>1019052150</v>
      </c>
      <c r="U240" t="s">
        <v>4055</v>
      </c>
      <c r="V240" t="s">
        <v>4056</v>
      </c>
      <c r="W240" s="9">
        <f>IF(V240="pregrado",31,
IF(V240="posgrados",31,
IF(V240="rEINTEGROS",7,
IF(V240="BIT",90,
IF(V240="OP GRADO - INGLÉS",17,"")))))</f>
        <v>90</v>
      </c>
      <c r="X240" t="s">
        <v>4074</v>
      </c>
    </row>
    <row r="241" spans="1:24" ht="15" x14ac:dyDescent="0.35">
      <c r="A241" s="4">
        <v>46065.37976851852</v>
      </c>
      <c r="B241">
        <v>20122669</v>
      </c>
      <c r="C241" s="6" t="s">
        <v>19</v>
      </c>
      <c r="D241">
        <v>63106</v>
      </c>
      <c r="E241" t="s">
        <v>267</v>
      </c>
      <c r="F241">
        <v>1018409838</v>
      </c>
      <c r="G241" t="s">
        <v>3067</v>
      </c>
      <c r="H241">
        <v>100212443</v>
      </c>
      <c r="I241">
        <v>202604</v>
      </c>
      <c r="J241">
        <v>1018406684</v>
      </c>
      <c r="K241" t="s">
        <v>270</v>
      </c>
      <c r="L241" t="s">
        <v>3068</v>
      </c>
      <c r="M241" t="s">
        <v>271</v>
      </c>
      <c r="N241" t="s">
        <v>35</v>
      </c>
      <c r="O241" t="s">
        <v>26</v>
      </c>
      <c r="P241" t="s">
        <v>27</v>
      </c>
      <c r="Q241" t="s">
        <v>28</v>
      </c>
      <c r="R241" t="s">
        <v>29</v>
      </c>
      <c r="S241" t="s">
        <v>30</v>
      </c>
      <c r="T241">
        <v>52834109</v>
      </c>
      <c r="U241" t="s">
        <v>4019</v>
      </c>
      <c r="V241" t="s">
        <v>4020</v>
      </c>
      <c r="W241" s="9">
        <f>IF(V241="pregrado",31,
IF(V241="posgrados",31,
IF(V241="rEINTEGROS",7,
IF(V241="BIT",90,
IF(V241="OP GRADO - INGLÉS",17,"")))))</f>
        <v>17</v>
      </c>
      <c r="X241" t="s">
        <v>4018</v>
      </c>
    </row>
    <row r="242" spans="1:24" ht="15" x14ac:dyDescent="0.35">
      <c r="A242" s="4">
        <v>46062.340925925928</v>
      </c>
      <c r="B242">
        <v>20121496</v>
      </c>
      <c r="C242" s="6" t="s">
        <v>19</v>
      </c>
      <c r="D242">
        <v>63113</v>
      </c>
      <c r="E242" t="s">
        <v>267</v>
      </c>
      <c r="F242">
        <v>1017170959</v>
      </c>
      <c r="G242" t="s">
        <v>2906</v>
      </c>
      <c r="H242">
        <v>100102129</v>
      </c>
      <c r="I242">
        <v>202604</v>
      </c>
      <c r="J242">
        <v>1017170959</v>
      </c>
      <c r="K242" t="s">
        <v>270</v>
      </c>
      <c r="L242" t="s">
        <v>409</v>
      </c>
      <c r="M242" t="s">
        <v>271</v>
      </c>
      <c r="N242" t="s">
        <v>35</v>
      </c>
      <c r="O242" t="s">
        <v>26</v>
      </c>
      <c r="P242" t="s">
        <v>27</v>
      </c>
      <c r="Q242" t="s">
        <v>28</v>
      </c>
      <c r="R242" t="s">
        <v>29</v>
      </c>
      <c r="S242" t="s">
        <v>30</v>
      </c>
      <c r="T242">
        <v>60345453</v>
      </c>
      <c r="U242" t="s">
        <v>4019</v>
      </c>
      <c r="V242" t="s">
        <v>4020</v>
      </c>
      <c r="W242" s="9">
        <f>IF(V242="pregrado",31,
IF(V242="posgrados",31,
IF(V242="rEINTEGROS",7,
IF(V242="BIT",90,
IF(V242="OP GRADO - INGLÉS",17,"")))))</f>
        <v>17</v>
      </c>
      <c r="X242" t="s">
        <v>4063</v>
      </c>
    </row>
    <row r="243" spans="1:24" ht="15" x14ac:dyDescent="0.35">
      <c r="A243" s="4">
        <v>46060.585057870368</v>
      </c>
      <c r="B243">
        <v>20121433</v>
      </c>
      <c r="C243" s="6" t="s">
        <v>19</v>
      </c>
      <c r="D243">
        <v>63130</v>
      </c>
      <c r="E243" t="s">
        <v>267</v>
      </c>
      <c r="F243">
        <v>1072660691</v>
      </c>
      <c r="G243" t="s">
        <v>2898</v>
      </c>
      <c r="H243">
        <v>100153405</v>
      </c>
      <c r="I243">
        <v>202604</v>
      </c>
      <c r="J243">
        <v>1072660691</v>
      </c>
      <c r="K243" t="s">
        <v>270</v>
      </c>
      <c r="L243" t="s">
        <v>269</v>
      </c>
      <c r="M243" t="s">
        <v>271</v>
      </c>
      <c r="N243" t="s">
        <v>35</v>
      </c>
      <c r="O243" t="s">
        <v>26</v>
      </c>
      <c r="P243" t="s">
        <v>27</v>
      </c>
      <c r="Q243" t="s">
        <v>28</v>
      </c>
      <c r="R243" t="s">
        <v>29</v>
      </c>
      <c r="S243" t="s">
        <v>30</v>
      </c>
      <c r="T243">
        <v>60345453</v>
      </c>
      <c r="U243" t="s">
        <v>4019</v>
      </c>
      <c r="V243" t="s">
        <v>4020</v>
      </c>
      <c r="W243" s="9">
        <f>IF(V243="pregrado",31,
IF(V243="posgrados",31,
IF(V243="rEINTEGROS",7,
IF(V243="BIT",90,
IF(V243="OP GRADO - INGLÉS",17,"")))))</f>
        <v>17</v>
      </c>
      <c r="X243" t="s">
        <v>4063</v>
      </c>
    </row>
    <row r="244" spans="1:24" ht="15" x14ac:dyDescent="0.35">
      <c r="A244" s="4">
        <v>46066.720543981479</v>
      </c>
      <c r="B244">
        <v>20123324</v>
      </c>
      <c r="C244" s="6" t="s">
        <v>19</v>
      </c>
      <c r="D244">
        <v>63135</v>
      </c>
      <c r="E244" t="s">
        <v>267</v>
      </c>
      <c r="F244">
        <v>1022124757</v>
      </c>
      <c r="G244" t="s">
        <v>3186</v>
      </c>
      <c r="H244">
        <v>100217693</v>
      </c>
      <c r="I244">
        <v>202604</v>
      </c>
      <c r="J244">
        <v>1022124757</v>
      </c>
      <c r="K244" t="s">
        <v>270</v>
      </c>
      <c r="L244" t="s">
        <v>3187</v>
      </c>
      <c r="M244" t="s">
        <v>271</v>
      </c>
      <c r="N244" t="s">
        <v>35</v>
      </c>
      <c r="O244" t="s">
        <v>26</v>
      </c>
      <c r="P244" t="s">
        <v>27</v>
      </c>
      <c r="Q244" t="s">
        <v>28</v>
      </c>
      <c r="R244" t="s">
        <v>29</v>
      </c>
      <c r="S244" t="s">
        <v>30</v>
      </c>
      <c r="T244">
        <v>1033714104</v>
      </c>
      <c r="U244" t="s">
        <v>4019</v>
      </c>
      <c r="V244" t="s">
        <v>4020</v>
      </c>
      <c r="W244" s="9">
        <f>IF(V244="pregrado",31,
IF(V244="posgrados",31,
IF(V244="rEINTEGROS",7,
IF(V244="BIT",90,
IF(V244="OP GRADO - INGLÉS",17,"")))))</f>
        <v>17</v>
      </c>
      <c r="X244" t="s">
        <v>4029</v>
      </c>
    </row>
    <row r="245" spans="1:24" ht="15" x14ac:dyDescent="0.35">
      <c r="A245" s="4">
        <v>46062.425995370373</v>
      </c>
      <c r="B245">
        <v>20121562</v>
      </c>
      <c r="C245" s="6" t="s">
        <v>19</v>
      </c>
      <c r="D245">
        <v>63138</v>
      </c>
      <c r="E245" t="s">
        <v>267</v>
      </c>
      <c r="F245">
        <v>1013114724</v>
      </c>
      <c r="G245" t="s">
        <v>2912</v>
      </c>
      <c r="H245">
        <v>100245581</v>
      </c>
      <c r="I245">
        <v>202604</v>
      </c>
      <c r="J245">
        <v>1013114724</v>
      </c>
      <c r="K245" t="s">
        <v>23</v>
      </c>
      <c r="L245" t="s">
        <v>1258</v>
      </c>
      <c r="M245" t="s">
        <v>271</v>
      </c>
      <c r="N245" t="s">
        <v>35</v>
      </c>
      <c r="O245" t="s">
        <v>26</v>
      </c>
      <c r="P245" t="s">
        <v>27</v>
      </c>
      <c r="Q245" t="s">
        <v>28</v>
      </c>
      <c r="R245" t="s">
        <v>29</v>
      </c>
      <c r="S245" t="s">
        <v>30</v>
      </c>
      <c r="T245">
        <v>1019052150</v>
      </c>
      <c r="U245" t="s">
        <v>4055</v>
      </c>
      <c r="V245" t="s">
        <v>4056</v>
      </c>
      <c r="W245" s="9">
        <f>IF(V245="pregrado",31,
IF(V245="posgrados",31,
IF(V245="rEINTEGROS",7,
IF(V245="BIT",90,
IF(V245="OP GRADO - INGLÉS",17,"")))))</f>
        <v>90</v>
      </c>
      <c r="X245" t="s">
        <v>4074</v>
      </c>
    </row>
    <row r="246" spans="1:24" ht="15" x14ac:dyDescent="0.35">
      <c r="A246" s="4">
        <v>46069.459432870368</v>
      </c>
      <c r="B246">
        <v>20123625</v>
      </c>
      <c r="C246" s="6" t="s">
        <v>19</v>
      </c>
      <c r="D246">
        <v>63155</v>
      </c>
      <c r="E246" t="s">
        <v>267</v>
      </c>
      <c r="F246">
        <v>1023964835</v>
      </c>
      <c r="G246" t="s">
        <v>3230</v>
      </c>
      <c r="H246">
        <v>100167691</v>
      </c>
      <c r="I246">
        <v>202604</v>
      </c>
      <c r="J246">
        <v>1023964835</v>
      </c>
      <c r="K246" t="s">
        <v>270</v>
      </c>
      <c r="L246" t="s">
        <v>409</v>
      </c>
      <c r="M246" t="s">
        <v>271</v>
      </c>
      <c r="N246" t="s">
        <v>35</v>
      </c>
      <c r="O246" t="s">
        <v>26</v>
      </c>
      <c r="P246" t="s">
        <v>27</v>
      </c>
      <c r="Q246" t="s">
        <v>28</v>
      </c>
      <c r="R246" t="s">
        <v>29</v>
      </c>
      <c r="S246" t="s">
        <v>30</v>
      </c>
      <c r="T246">
        <v>1024464496</v>
      </c>
      <c r="U246" t="s">
        <v>4055</v>
      </c>
      <c r="V246" t="s">
        <v>4056</v>
      </c>
      <c r="W246" s="9">
        <f>IF(V246="pregrado",31,
IF(V246="posgrados",31,
IF(V246="rEINTEGROS",7,
IF(V246="BIT",90,
IF(V246="OP GRADO - INGLÉS",17,"")))))</f>
        <v>90</v>
      </c>
      <c r="X246" t="s">
        <v>4092</v>
      </c>
    </row>
    <row r="247" spans="1:24" ht="15" x14ac:dyDescent="0.35">
      <c r="A247" s="4">
        <v>46062.639502314814</v>
      </c>
      <c r="B247">
        <v>20121728</v>
      </c>
      <c r="C247" s="6" t="s">
        <v>19</v>
      </c>
      <c r="D247">
        <v>63158</v>
      </c>
      <c r="E247" t="s">
        <v>267</v>
      </c>
      <c r="F247">
        <v>51998889</v>
      </c>
      <c r="G247" t="s">
        <v>2934</v>
      </c>
      <c r="H247">
        <v>100049455</v>
      </c>
      <c r="I247">
        <v>202604</v>
      </c>
      <c r="J247">
        <v>1032453676</v>
      </c>
      <c r="K247" t="s">
        <v>270</v>
      </c>
      <c r="L247" t="s">
        <v>589</v>
      </c>
      <c r="M247" t="s">
        <v>271</v>
      </c>
      <c r="N247" t="s">
        <v>35</v>
      </c>
      <c r="O247" t="s">
        <v>26</v>
      </c>
      <c r="P247" t="s">
        <v>27</v>
      </c>
      <c r="Q247" t="s">
        <v>28</v>
      </c>
      <c r="R247" t="s">
        <v>29</v>
      </c>
      <c r="S247" t="s">
        <v>30</v>
      </c>
      <c r="T247">
        <v>52834109</v>
      </c>
      <c r="U247" t="s">
        <v>4019</v>
      </c>
      <c r="V247" t="s">
        <v>4020</v>
      </c>
      <c r="W247" s="9">
        <f>IF(V247="pregrado",31,
IF(V247="posgrados",31,
IF(V247="rEINTEGROS",7,
IF(V247="BIT",90,
IF(V247="OP GRADO - INGLÉS",17,"")))))</f>
        <v>17</v>
      </c>
      <c r="X247" t="s">
        <v>4018</v>
      </c>
    </row>
    <row r="248" spans="1:24" ht="15" x14ac:dyDescent="0.35">
      <c r="A248" s="4">
        <v>46065.492534722223</v>
      </c>
      <c r="B248">
        <v>20122765</v>
      </c>
      <c r="C248" s="6" t="s">
        <v>19</v>
      </c>
      <c r="D248">
        <v>63159</v>
      </c>
      <c r="E248" t="s">
        <v>267</v>
      </c>
      <c r="F248">
        <v>1006195838</v>
      </c>
      <c r="G248" t="s">
        <v>3087</v>
      </c>
      <c r="H248">
        <v>100127634</v>
      </c>
      <c r="I248">
        <v>202604</v>
      </c>
      <c r="J248">
        <v>1006195838</v>
      </c>
      <c r="K248" t="s">
        <v>270</v>
      </c>
      <c r="L248" t="s">
        <v>596</v>
      </c>
      <c r="M248" t="s">
        <v>271</v>
      </c>
      <c r="N248" t="s">
        <v>35</v>
      </c>
      <c r="O248" t="s">
        <v>26</v>
      </c>
      <c r="P248" t="s">
        <v>27</v>
      </c>
      <c r="Q248" t="s">
        <v>28</v>
      </c>
      <c r="R248" t="s">
        <v>29</v>
      </c>
      <c r="S248" t="s">
        <v>30</v>
      </c>
      <c r="T248">
        <v>52834109</v>
      </c>
      <c r="U248" t="s">
        <v>4019</v>
      </c>
      <c r="V248" t="s">
        <v>4020</v>
      </c>
      <c r="W248" s="9">
        <f>IF(V248="pregrado",31,
IF(V248="posgrados",31,
IF(V248="rEINTEGROS",7,
IF(V248="BIT",90,
IF(V248="OP GRADO - INGLÉS",17,"")))))</f>
        <v>17</v>
      </c>
      <c r="X248" t="s">
        <v>4018</v>
      </c>
    </row>
    <row r="249" spans="1:24" ht="15" x14ac:dyDescent="0.35">
      <c r="A249" s="4">
        <v>46063.576932870368</v>
      </c>
      <c r="B249">
        <v>20122070</v>
      </c>
      <c r="C249" s="6" t="s">
        <v>19</v>
      </c>
      <c r="D249">
        <v>63161</v>
      </c>
      <c r="E249" t="s">
        <v>267</v>
      </c>
      <c r="F249">
        <v>41242771</v>
      </c>
      <c r="G249" t="s">
        <v>2989</v>
      </c>
      <c r="H249">
        <v>100147011</v>
      </c>
      <c r="I249">
        <v>202604</v>
      </c>
      <c r="J249">
        <v>1018503738</v>
      </c>
      <c r="K249" t="s">
        <v>270</v>
      </c>
      <c r="L249" t="s">
        <v>269</v>
      </c>
      <c r="M249" t="s">
        <v>271</v>
      </c>
      <c r="N249" t="s">
        <v>35</v>
      </c>
      <c r="O249" t="s">
        <v>26</v>
      </c>
      <c r="P249" t="s">
        <v>27</v>
      </c>
      <c r="Q249" t="s">
        <v>28</v>
      </c>
      <c r="R249" t="s">
        <v>29</v>
      </c>
      <c r="S249" t="s">
        <v>30</v>
      </c>
      <c r="T249">
        <v>1033714104</v>
      </c>
      <c r="U249" t="s">
        <v>4019</v>
      </c>
      <c r="V249" t="s">
        <v>4020</v>
      </c>
      <c r="W249" s="9">
        <f>IF(V249="pregrado",31,
IF(V249="posgrados",31,
IF(V249="rEINTEGROS",7,
IF(V249="BIT",90,
IF(V249="OP GRADO - INGLÉS",17,"")))))</f>
        <v>17</v>
      </c>
      <c r="X249" t="s">
        <v>4029</v>
      </c>
    </row>
    <row r="250" spans="1:24" ht="15" x14ac:dyDescent="0.35">
      <c r="A250" s="4">
        <v>46062.738206018519</v>
      </c>
      <c r="B250">
        <v>20121845</v>
      </c>
      <c r="C250" s="6" t="s">
        <v>19</v>
      </c>
      <c r="D250">
        <v>63166</v>
      </c>
      <c r="E250" t="s">
        <v>267</v>
      </c>
      <c r="F250">
        <v>1016060772</v>
      </c>
      <c r="G250" t="s">
        <v>2954</v>
      </c>
      <c r="H250">
        <v>100186599</v>
      </c>
      <c r="I250">
        <v>202604</v>
      </c>
      <c r="J250">
        <v>1016060772</v>
      </c>
      <c r="K250" t="s">
        <v>270</v>
      </c>
      <c r="L250" t="s">
        <v>269</v>
      </c>
      <c r="M250" t="s">
        <v>271</v>
      </c>
      <c r="N250" t="s">
        <v>35</v>
      </c>
      <c r="O250" t="s">
        <v>26</v>
      </c>
      <c r="P250" t="s">
        <v>27</v>
      </c>
      <c r="Q250" t="s">
        <v>28</v>
      </c>
      <c r="R250" t="s">
        <v>29</v>
      </c>
      <c r="S250" t="s">
        <v>30</v>
      </c>
      <c r="T250">
        <v>1024464496</v>
      </c>
      <c r="U250" t="s">
        <v>4055</v>
      </c>
      <c r="V250" t="s">
        <v>4056</v>
      </c>
      <c r="W250" s="9">
        <f>IF(V250="pregrado",31,
IF(V250="posgrados",31,
IF(V250="rEINTEGROS",7,
IF(V250="BIT",90,
IF(V250="OP GRADO - INGLÉS",17,"")))))</f>
        <v>90</v>
      </c>
      <c r="X250" t="s">
        <v>4092</v>
      </c>
    </row>
    <row r="251" spans="1:24" ht="15" x14ac:dyDescent="0.35">
      <c r="A251" s="4">
        <v>46062.684942129628</v>
      </c>
      <c r="B251">
        <v>20121787</v>
      </c>
      <c r="C251" s="6" t="s">
        <v>19</v>
      </c>
      <c r="D251">
        <v>63167</v>
      </c>
      <c r="E251" t="s">
        <v>267</v>
      </c>
      <c r="F251">
        <v>1020804949</v>
      </c>
      <c r="G251" t="s">
        <v>2944</v>
      </c>
      <c r="H251">
        <v>100245706</v>
      </c>
      <c r="I251">
        <v>202604</v>
      </c>
      <c r="J251">
        <v>1020804949</v>
      </c>
      <c r="K251" t="s">
        <v>23</v>
      </c>
      <c r="L251" t="s">
        <v>521</v>
      </c>
      <c r="M251" t="s">
        <v>271</v>
      </c>
      <c r="N251" t="s">
        <v>35</v>
      </c>
      <c r="O251" t="s">
        <v>26</v>
      </c>
      <c r="P251" t="s">
        <v>27</v>
      </c>
      <c r="Q251" t="s">
        <v>28</v>
      </c>
      <c r="R251" t="s">
        <v>29</v>
      </c>
      <c r="S251" t="s">
        <v>30</v>
      </c>
      <c r="T251">
        <v>1193566421</v>
      </c>
      <c r="U251" t="s">
        <v>4055</v>
      </c>
      <c r="V251" t="s">
        <v>4056</v>
      </c>
      <c r="W251" s="9">
        <f>IF(V251="pregrado",31,
IF(V251="posgrados",31,
IF(V251="rEINTEGROS",7,
IF(V251="BIT",90,
IF(V251="OP GRADO - INGLÉS",17,"")))))</f>
        <v>90</v>
      </c>
      <c r="X251" t="s">
        <v>4075</v>
      </c>
    </row>
    <row r="252" spans="1:24" ht="15" x14ac:dyDescent="0.35">
      <c r="A252" s="4">
        <v>46076.516932870371</v>
      </c>
      <c r="B252">
        <v>20125647</v>
      </c>
      <c r="C252" s="6" t="s">
        <v>19</v>
      </c>
      <c r="D252">
        <v>63180</v>
      </c>
      <c r="E252" t="s">
        <v>267</v>
      </c>
      <c r="F252">
        <v>1088591745</v>
      </c>
      <c r="G252" t="s">
        <v>3542</v>
      </c>
      <c r="H252">
        <v>100159815</v>
      </c>
      <c r="I252">
        <v>202604</v>
      </c>
      <c r="J252">
        <v>1088594982</v>
      </c>
      <c r="K252" t="s">
        <v>270</v>
      </c>
      <c r="L252" t="s">
        <v>409</v>
      </c>
      <c r="M252" t="s">
        <v>271</v>
      </c>
      <c r="N252" t="s">
        <v>35</v>
      </c>
      <c r="O252" t="s">
        <v>26</v>
      </c>
      <c r="P252" t="s">
        <v>27</v>
      </c>
      <c r="Q252" t="s">
        <v>28</v>
      </c>
      <c r="R252" t="s">
        <v>29</v>
      </c>
      <c r="S252" t="s">
        <v>30</v>
      </c>
      <c r="T252">
        <v>1033714104</v>
      </c>
      <c r="U252" t="s">
        <v>4019</v>
      </c>
      <c r="V252" t="s">
        <v>4020</v>
      </c>
      <c r="W252" s="9">
        <f>IF(V252="pregrado",31,
IF(V252="posgrados",31,
IF(V252="rEINTEGROS",7,
IF(V252="BIT",90,
IF(V252="OP GRADO - INGLÉS",17,"")))))</f>
        <v>17</v>
      </c>
      <c r="X252" t="s">
        <v>4029</v>
      </c>
    </row>
    <row r="253" spans="1:24" ht="15" x14ac:dyDescent="0.35">
      <c r="A253" s="4">
        <v>46064.833495370367</v>
      </c>
      <c r="B253">
        <v>20122613</v>
      </c>
      <c r="C253" s="6" t="s">
        <v>19</v>
      </c>
      <c r="D253">
        <v>63185</v>
      </c>
      <c r="E253" t="s">
        <v>267</v>
      </c>
      <c r="F253">
        <v>74810421</v>
      </c>
      <c r="G253" t="s">
        <v>3060</v>
      </c>
      <c r="H253">
        <v>100231519</v>
      </c>
      <c r="I253">
        <v>202604</v>
      </c>
      <c r="J253">
        <v>1121817408</v>
      </c>
      <c r="K253" t="s">
        <v>270</v>
      </c>
      <c r="L253" t="s">
        <v>589</v>
      </c>
      <c r="M253" t="s">
        <v>271</v>
      </c>
      <c r="N253" t="s">
        <v>35</v>
      </c>
      <c r="O253" t="s">
        <v>26</v>
      </c>
      <c r="P253" t="s">
        <v>27</v>
      </c>
      <c r="Q253" t="s">
        <v>28</v>
      </c>
      <c r="R253" t="s">
        <v>29</v>
      </c>
      <c r="S253" t="s">
        <v>30</v>
      </c>
      <c r="T253">
        <v>1033714104</v>
      </c>
      <c r="U253" t="s">
        <v>4019</v>
      </c>
      <c r="V253" t="s">
        <v>4020</v>
      </c>
      <c r="W253" s="9">
        <f>IF(V253="pregrado",31,
IF(V253="posgrados",31,
IF(V253="rEINTEGROS",7,
IF(V253="BIT",90,
IF(V253="OP GRADO - INGLÉS",17,"")))))</f>
        <v>17</v>
      </c>
      <c r="X253" t="s">
        <v>4029</v>
      </c>
    </row>
    <row r="254" spans="1:24" ht="15" x14ac:dyDescent="0.35">
      <c r="A254" s="4">
        <v>46063.602488425924</v>
      </c>
      <c r="B254">
        <v>20122093</v>
      </c>
      <c r="C254" s="6" t="s">
        <v>19</v>
      </c>
      <c r="D254">
        <v>63193</v>
      </c>
      <c r="E254" t="s">
        <v>267</v>
      </c>
      <c r="F254">
        <v>1054658543</v>
      </c>
      <c r="G254" t="s">
        <v>2992</v>
      </c>
      <c r="H254">
        <v>100155314</v>
      </c>
      <c r="I254">
        <v>202604</v>
      </c>
      <c r="J254">
        <v>1054658543</v>
      </c>
      <c r="K254" t="s">
        <v>270</v>
      </c>
      <c r="L254" t="s">
        <v>532</v>
      </c>
      <c r="M254" t="s">
        <v>271</v>
      </c>
      <c r="N254" t="s">
        <v>35</v>
      </c>
      <c r="O254" t="s">
        <v>26</v>
      </c>
      <c r="P254" t="s">
        <v>27</v>
      </c>
      <c r="Q254" t="s">
        <v>28</v>
      </c>
      <c r="R254" t="s">
        <v>29</v>
      </c>
      <c r="S254" t="s">
        <v>30</v>
      </c>
      <c r="T254">
        <v>52834109</v>
      </c>
      <c r="U254" t="s">
        <v>4019</v>
      </c>
      <c r="V254" t="s">
        <v>4020</v>
      </c>
      <c r="W254" s="9">
        <f>IF(V254="pregrado",31,
IF(V254="posgrados",31,
IF(V254="rEINTEGROS",7,
IF(V254="BIT",90,
IF(V254="OP GRADO - INGLÉS",17,"")))))</f>
        <v>17</v>
      </c>
      <c r="X254" t="s">
        <v>4018</v>
      </c>
    </row>
    <row r="255" spans="1:24" ht="15" x14ac:dyDescent="0.35">
      <c r="A255" s="4">
        <v>46075.886030092595</v>
      </c>
      <c r="B255">
        <v>20125551</v>
      </c>
      <c r="C255" s="6" t="s">
        <v>19</v>
      </c>
      <c r="D255">
        <v>63198</v>
      </c>
      <c r="E255" t="s">
        <v>267</v>
      </c>
      <c r="F255">
        <v>1073169527</v>
      </c>
      <c r="G255" t="s">
        <v>3524</v>
      </c>
      <c r="H255">
        <v>100127628</v>
      </c>
      <c r="I255">
        <v>202604</v>
      </c>
      <c r="J255">
        <v>1073170914</v>
      </c>
      <c r="K255" t="s">
        <v>270</v>
      </c>
      <c r="L255" t="s">
        <v>409</v>
      </c>
      <c r="M255" t="s">
        <v>271</v>
      </c>
      <c r="N255" t="s">
        <v>35</v>
      </c>
      <c r="O255" t="s">
        <v>26</v>
      </c>
      <c r="P255" t="s">
        <v>27</v>
      </c>
      <c r="Q255" t="s">
        <v>28</v>
      </c>
      <c r="R255" t="s">
        <v>29</v>
      </c>
      <c r="S255" t="s">
        <v>30</v>
      </c>
      <c r="T255">
        <v>52834109</v>
      </c>
      <c r="U255" t="s">
        <v>4019</v>
      </c>
      <c r="V255" t="s">
        <v>4020</v>
      </c>
      <c r="W255" s="9">
        <f>IF(V255="pregrado",31,
IF(V255="posgrados",31,
IF(V255="rEINTEGROS",7,
IF(V255="BIT",90,
IF(V255="OP GRADO - INGLÉS",17,"")))))</f>
        <v>17</v>
      </c>
      <c r="X255" t="s">
        <v>4018</v>
      </c>
    </row>
    <row r="256" spans="1:24" ht="15" x14ac:dyDescent="0.35">
      <c r="A256" s="4">
        <v>46064.476458333331</v>
      </c>
      <c r="B256">
        <v>20122379</v>
      </c>
      <c r="C256" s="6" t="s">
        <v>19</v>
      </c>
      <c r="D256">
        <v>63205</v>
      </c>
      <c r="E256" t="s">
        <v>267</v>
      </c>
      <c r="F256">
        <v>32524979</v>
      </c>
      <c r="G256" t="s">
        <v>3025</v>
      </c>
      <c r="H256">
        <v>100113303</v>
      </c>
      <c r="I256">
        <v>202604</v>
      </c>
      <c r="J256">
        <v>1128416646</v>
      </c>
      <c r="K256" t="s">
        <v>270</v>
      </c>
      <c r="L256" t="s">
        <v>2034</v>
      </c>
      <c r="M256" t="s">
        <v>271</v>
      </c>
      <c r="N256" t="s">
        <v>35</v>
      </c>
      <c r="O256" t="s">
        <v>26</v>
      </c>
      <c r="P256" t="s">
        <v>27</v>
      </c>
      <c r="Q256" t="s">
        <v>28</v>
      </c>
      <c r="R256" t="s">
        <v>29</v>
      </c>
      <c r="S256" t="s">
        <v>30</v>
      </c>
      <c r="T256">
        <v>52834109</v>
      </c>
      <c r="U256" t="s">
        <v>4019</v>
      </c>
      <c r="V256" t="s">
        <v>4020</v>
      </c>
      <c r="W256" s="9">
        <f>IF(V256="pregrado",31,
IF(V256="posgrados",31,
IF(V256="rEINTEGROS",7,
IF(V256="BIT",90,
IF(V256="OP GRADO - INGLÉS",17,"")))))</f>
        <v>17</v>
      </c>
      <c r="X256" t="s">
        <v>4018</v>
      </c>
    </row>
    <row r="257" spans="1:24" ht="15" x14ac:dyDescent="0.35">
      <c r="A257" s="4">
        <v>46072.492395833331</v>
      </c>
      <c r="B257">
        <v>20124820</v>
      </c>
      <c r="C257" s="6" t="s">
        <v>19</v>
      </c>
      <c r="D257">
        <v>63207</v>
      </c>
      <c r="E257" t="s">
        <v>267</v>
      </c>
      <c r="F257">
        <v>1090387184</v>
      </c>
      <c r="G257" t="s">
        <v>3405</v>
      </c>
      <c r="H257">
        <v>100123163</v>
      </c>
      <c r="I257">
        <v>202604</v>
      </c>
      <c r="J257">
        <v>1090387184</v>
      </c>
      <c r="K257" t="s">
        <v>270</v>
      </c>
      <c r="L257" t="s">
        <v>316</v>
      </c>
      <c r="M257" t="s">
        <v>271</v>
      </c>
      <c r="N257" t="s">
        <v>35</v>
      </c>
      <c r="O257" t="s">
        <v>26</v>
      </c>
      <c r="P257" t="s">
        <v>27</v>
      </c>
      <c r="Q257" t="s">
        <v>28</v>
      </c>
      <c r="R257" t="s">
        <v>29</v>
      </c>
      <c r="S257" t="s">
        <v>30</v>
      </c>
      <c r="T257">
        <v>1033714104</v>
      </c>
      <c r="U257" t="s">
        <v>4019</v>
      </c>
      <c r="V257" t="s">
        <v>4020</v>
      </c>
      <c r="W257" s="9">
        <f>IF(V257="pregrado",31,
IF(V257="posgrados",31,
IF(V257="rEINTEGROS",7,
IF(V257="BIT",90,
IF(V257="OP GRADO - INGLÉS",17,"")))))</f>
        <v>17</v>
      </c>
      <c r="X257" t="s">
        <v>4029</v>
      </c>
    </row>
    <row r="258" spans="1:24" ht="15" x14ac:dyDescent="0.35">
      <c r="A258" s="4">
        <v>46069.708101851851</v>
      </c>
      <c r="B258">
        <v>20123825</v>
      </c>
      <c r="C258" s="6" t="s">
        <v>19</v>
      </c>
      <c r="D258">
        <v>63218</v>
      </c>
      <c r="E258" t="s">
        <v>267</v>
      </c>
      <c r="F258">
        <v>1045732573</v>
      </c>
      <c r="G258" t="s">
        <v>3256</v>
      </c>
      <c r="H258">
        <v>100245897</v>
      </c>
      <c r="I258">
        <v>202604</v>
      </c>
      <c r="J258">
        <v>1045732573</v>
      </c>
      <c r="K258" t="s">
        <v>23</v>
      </c>
      <c r="L258" t="s">
        <v>1258</v>
      </c>
      <c r="M258" t="s">
        <v>271</v>
      </c>
      <c r="N258" t="s">
        <v>35</v>
      </c>
      <c r="O258" t="s">
        <v>26</v>
      </c>
      <c r="P258" t="s">
        <v>27</v>
      </c>
      <c r="Q258" t="s">
        <v>28</v>
      </c>
      <c r="R258" t="s">
        <v>29</v>
      </c>
      <c r="S258" t="s">
        <v>30</v>
      </c>
      <c r="T258">
        <v>52221286</v>
      </c>
      <c r="U258" t="s">
        <v>4055</v>
      </c>
      <c r="V258" t="s">
        <v>4056</v>
      </c>
      <c r="W258" s="9">
        <f>IF(V258="pregrado",31,
IF(V258="posgrados",31,
IF(V258="rEINTEGROS",7,
IF(V258="BIT",90,
IF(V258="OP GRADO - INGLÉS",17,"")))))</f>
        <v>90</v>
      </c>
      <c r="X258" t="s">
        <v>4076</v>
      </c>
    </row>
    <row r="259" spans="1:24" ht="15" x14ac:dyDescent="0.35">
      <c r="A259" s="4">
        <v>46072.608761574076</v>
      </c>
      <c r="B259">
        <v>20124890</v>
      </c>
      <c r="C259" s="6" t="s">
        <v>19</v>
      </c>
      <c r="D259">
        <v>63225</v>
      </c>
      <c r="E259" t="s">
        <v>267</v>
      </c>
      <c r="F259">
        <v>32774863</v>
      </c>
      <c r="G259" t="s">
        <v>3424</v>
      </c>
      <c r="H259">
        <v>100155109</v>
      </c>
      <c r="I259">
        <v>202604</v>
      </c>
      <c r="J259">
        <v>1002212214</v>
      </c>
      <c r="K259" t="s">
        <v>270</v>
      </c>
      <c r="L259" t="s">
        <v>3425</v>
      </c>
      <c r="M259" t="s">
        <v>271</v>
      </c>
      <c r="N259" t="s">
        <v>35</v>
      </c>
      <c r="O259" t="s">
        <v>26</v>
      </c>
      <c r="P259" t="s">
        <v>27</v>
      </c>
      <c r="Q259" t="s">
        <v>28</v>
      </c>
      <c r="R259" t="s">
        <v>29</v>
      </c>
      <c r="S259" t="s">
        <v>30</v>
      </c>
      <c r="T259">
        <v>52834109</v>
      </c>
      <c r="U259" t="s">
        <v>4019</v>
      </c>
      <c r="V259" t="s">
        <v>4020</v>
      </c>
      <c r="W259" s="9">
        <f>IF(V259="pregrado",31,
IF(V259="posgrados",31,
IF(V259="rEINTEGROS",7,
IF(V259="BIT",90,
IF(V259="OP GRADO - INGLÉS",17,"")))))</f>
        <v>17</v>
      </c>
      <c r="X259" t="s">
        <v>4018</v>
      </c>
    </row>
    <row r="260" spans="1:24" ht="15" x14ac:dyDescent="0.35">
      <c r="A260" s="4">
        <v>46065.524328703701</v>
      </c>
      <c r="B260">
        <v>20122793</v>
      </c>
      <c r="C260" s="6" t="s">
        <v>19</v>
      </c>
      <c r="D260">
        <v>63235</v>
      </c>
      <c r="E260" t="s">
        <v>267</v>
      </c>
      <c r="F260">
        <v>1023888170</v>
      </c>
      <c r="G260" t="s">
        <v>3092</v>
      </c>
      <c r="H260">
        <v>100187540</v>
      </c>
      <c r="I260">
        <v>202604</v>
      </c>
      <c r="J260">
        <v>1023888170</v>
      </c>
      <c r="K260" t="s">
        <v>23</v>
      </c>
      <c r="L260" t="s">
        <v>3093</v>
      </c>
      <c r="M260" t="s">
        <v>271</v>
      </c>
      <c r="N260" t="s">
        <v>35</v>
      </c>
      <c r="O260" t="s">
        <v>26</v>
      </c>
      <c r="P260" t="s">
        <v>27</v>
      </c>
      <c r="Q260" t="s">
        <v>28</v>
      </c>
      <c r="R260" t="s">
        <v>29</v>
      </c>
      <c r="S260" t="s">
        <v>30</v>
      </c>
      <c r="T260">
        <v>1033714104</v>
      </c>
      <c r="U260" t="s">
        <v>4019</v>
      </c>
      <c r="V260" t="s">
        <v>4020</v>
      </c>
      <c r="W260" s="9">
        <f>IF(V260="pregrado",31,
IF(V260="posgrados",31,
IF(V260="rEINTEGROS",7,
IF(V260="BIT",90,
IF(V260="OP GRADO - INGLÉS",17,"")))))</f>
        <v>17</v>
      </c>
      <c r="X260" t="s">
        <v>4029</v>
      </c>
    </row>
    <row r="261" spans="1:24" ht="15" x14ac:dyDescent="0.35">
      <c r="A261" s="4">
        <v>46070.491944444446</v>
      </c>
      <c r="B261">
        <v>20124078</v>
      </c>
      <c r="C261" s="6" t="s">
        <v>19</v>
      </c>
      <c r="D261">
        <v>63247</v>
      </c>
      <c r="E261" t="s">
        <v>267</v>
      </c>
      <c r="F261">
        <v>52996105</v>
      </c>
      <c r="G261" t="s">
        <v>3290</v>
      </c>
      <c r="H261">
        <v>100088930</v>
      </c>
      <c r="I261">
        <v>202604</v>
      </c>
      <c r="J261">
        <v>52996105</v>
      </c>
      <c r="K261" t="s">
        <v>270</v>
      </c>
      <c r="L261" t="s">
        <v>409</v>
      </c>
      <c r="M261" t="s">
        <v>271</v>
      </c>
      <c r="N261" t="s">
        <v>25</v>
      </c>
      <c r="O261" t="s">
        <v>26</v>
      </c>
      <c r="P261" t="s">
        <v>27</v>
      </c>
      <c r="Q261" t="s">
        <v>28</v>
      </c>
      <c r="R261" t="s">
        <v>29</v>
      </c>
      <c r="S261" t="s">
        <v>30</v>
      </c>
      <c r="T261">
        <v>52834109</v>
      </c>
      <c r="U261" t="s">
        <v>4019</v>
      </c>
      <c r="V261" t="s">
        <v>4020</v>
      </c>
      <c r="W261" s="9">
        <f>IF(V261="pregrado",31,
IF(V261="posgrados",31,
IF(V261="rEINTEGROS",7,
IF(V261="BIT",90,
IF(V261="OP GRADO - INGLÉS",17,"")))))</f>
        <v>17</v>
      </c>
      <c r="X261" t="s">
        <v>4018</v>
      </c>
    </row>
    <row r="262" spans="1:24" ht="15" x14ac:dyDescent="0.35">
      <c r="A262" s="4">
        <v>46065.657812500001</v>
      </c>
      <c r="B262">
        <v>20122901</v>
      </c>
      <c r="C262" s="6" t="s">
        <v>19</v>
      </c>
      <c r="D262">
        <v>63249</v>
      </c>
      <c r="E262" t="s">
        <v>267</v>
      </c>
      <c r="F262">
        <v>1019140599</v>
      </c>
      <c r="G262" t="s">
        <v>3110</v>
      </c>
      <c r="H262">
        <v>100133194</v>
      </c>
      <c r="I262">
        <v>202604</v>
      </c>
      <c r="J262">
        <v>1019140599</v>
      </c>
      <c r="K262" t="s">
        <v>270</v>
      </c>
      <c r="L262" t="s">
        <v>1928</v>
      </c>
      <c r="M262" t="s">
        <v>271</v>
      </c>
      <c r="N262" t="s">
        <v>35</v>
      </c>
      <c r="O262" t="s">
        <v>26</v>
      </c>
      <c r="P262" t="s">
        <v>27</v>
      </c>
      <c r="Q262" t="s">
        <v>28</v>
      </c>
      <c r="R262" t="s">
        <v>29</v>
      </c>
      <c r="S262" t="s">
        <v>30</v>
      </c>
      <c r="T262">
        <v>1033714104</v>
      </c>
      <c r="U262" t="s">
        <v>4019</v>
      </c>
      <c r="V262" t="s">
        <v>4020</v>
      </c>
      <c r="W262" s="9">
        <f>IF(V262="pregrado",31,
IF(V262="posgrados",31,
IF(V262="rEINTEGROS",7,
IF(V262="BIT",90,
IF(V262="OP GRADO - INGLÉS",17,"")))))</f>
        <v>17</v>
      </c>
      <c r="X262" t="s">
        <v>4029</v>
      </c>
    </row>
    <row r="263" spans="1:24" ht="15" x14ac:dyDescent="0.35">
      <c r="A263" s="4">
        <v>46079.675150462965</v>
      </c>
      <c r="B263">
        <v>20126617</v>
      </c>
      <c r="C263" s="6" t="s">
        <v>19</v>
      </c>
      <c r="D263">
        <v>63257</v>
      </c>
      <c r="E263" t="s">
        <v>267</v>
      </c>
      <c r="F263">
        <v>1053796310</v>
      </c>
      <c r="G263" t="s">
        <v>3681</v>
      </c>
      <c r="H263">
        <v>100119772</v>
      </c>
      <c r="I263">
        <v>202604</v>
      </c>
      <c r="J263">
        <v>1010121182</v>
      </c>
      <c r="K263" t="s">
        <v>23</v>
      </c>
      <c r="L263" t="s">
        <v>1414</v>
      </c>
      <c r="M263" t="s">
        <v>271</v>
      </c>
      <c r="N263" t="s">
        <v>35</v>
      </c>
      <c r="O263" t="s">
        <v>26</v>
      </c>
      <c r="P263" t="s">
        <v>27</v>
      </c>
      <c r="Q263" t="s">
        <v>28</v>
      </c>
      <c r="R263" t="s">
        <v>29</v>
      </c>
      <c r="S263" t="s">
        <v>30</v>
      </c>
      <c r="T263">
        <v>52221286</v>
      </c>
      <c r="U263" t="s">
        <v>4055</v>
      </c>
      <c r="V263" t="s">
        <v>4056</v>
      </c>
      <c r="W263" s="9">
        <f>IF(V263="pregrado",31,
IF(V263="posgrados",31,
IF(V263="rEINTEGROS",7,
IF(V263="BIT",90,
IF(V263="OP GRADO - INGLÉS",17,"")))))</f>
        <v>90</v>
      </c>
      <c r="X263" t="s">
        <v>4076</v>
      </c>
    </row>
    <row r="264" spans="1:24" ht="15" x14ac:dyDescent="0.35">
      <c r="A264" s="4">
        <v>46066.399108796293</v>
      </c>
      <c r="B264">
        <v>20123070</v>
      </c>
      <c r="C264" s="6" t="s">
        <v>19</v>
      </c>
      <c r="D264">
        <v>63258</v>
      </c>
      <c r="E264" t="s">
        <v>267</v>
      </c>
      <c r="F264">
        <v>1071914771</v>
      </c>
      <c r="G264" t="s">
        <v>3141</v>
      </c>
      <c r="H264">
        <v>100139221</v>
      </c>
      <c r="I264">
        <v>202604</v>
      </c>
      <c r="J264">
        <v>1071914771</v>
      </c>
      <c r="K264" t="s">
        <v>270</v>
      </c>
      <c r="L264" t="s">
        <v>486</v>
      </c>
      <c r="M264" t="s">
        <v>271</v>
      </c>
      <c r="N264" t="s">
        <v>35</v>
      </c>
      <c r="O264" t="s">
        <v>26</v>
      </c>
      <c r="P264" t="s">
        <v>27</v>
      </c>
      <c r="Q264" t="s">
        <v>28</v>
      </c>
      <c r="R264" t="s">
        <v>29</v>
      </c>
      <c r="S264" t="s">
        <v>30</v>
      </c>
      <c r="T264">
        <v>52834109</v>
      </c>
      <c r="U264" t="s">
        <v>4019</v>
      </c>
      <c r="V264" t="s">
        <v>4020</v>
      </c>
      <c r="W264" s="9">
        <f>IF(V264="pregrado",31,
IF(V264="posgrados",31,
IF(V264="rEINTEGROS",7,
IF(V264="BIT",90,
IF(V264="OP GRADO - INGLÉS",17,"")))))</f>
        <v>17</v>
      </c>
      <c r="X264" t="s">
        <v>4018</v>
      </c>
    </row>
    <row r="265" spans="1:24" ht="15" x14ac:dyDescent="0.35">
      <c r="A265" s="4">
        <v>46065.767743055556</v>
      </c>
      <c r="B265">
        <v>20122999</v>
      </c>
      <c r="C265" s="6" t="s">
        <v>19</v>
      </c>
      <c r="D265">
        <v>63265</v>
      </c>
      <c r="E265" t="s">
        <v>267</v>
      </c>
      <c r="F265">
        <v>1003908654</v>
      </c>
      <c r="G265" t="s">
        <v>3125</v>
      </c>
      <c r="H265">
        <v>100183342</v>
      </c>
      <c r="I265">
        <v>202604</v>
      </c>
      <c r="J265">
        <v>1003908153</v>
      </c>
      <c r="K265" t="s">
        <v>270</v>
      </c>
      <c r="L265" t="s">
        <v>763</v>
      </c>
      <c r="M265" t="s">
        <v>271</v>
      </c>
      <c r="N265" t="s">
        <v>35</v>
      </c>
      <c r="O265" t="s">
        <v>26</v>
      </c>
      <c r="P265" t="s">
        <v>27</v>
      </c>
      <c r="Q265" t="s">
        <v>28</v>
      </c>
      <c r="R265" t="s">
        <v>29</v>
      </c>
      <c r="S265" t="s">
        <v>30</v>
      </c>
      <c r="T265">
        <v>1033714104</v>
      </c>
      <c r="U265" t="s">
        <v>4019</v>
      </c>
      <c r="V265" t="s">
        <v>4020</v>
      </c>
      <c r="W265" s="9">
        <f>IF(V265="pregrado",31,
IF(V265="posgrados",31,
IF(V265="rEINTEGROS",7,
IF(V265="BIT",90,
IF(V265="OP GRADO - INGLÉS",17,"")))))</f>
        <v>17</v>
      </c>
      <c r="X265" t="s">
        <v>4029</v>
      </c>
    </row>
    <row r="266" spans="1:24" ht="15" x14ac:dyDescent="0.35">
      <c r="A266" s="4">
        <v>46071.391932870371</v>
      </c>
      <c r="B266">
        <v>20124353</v>
      </c>
      <c r="C266" s="6" t="s">
        <v>19</v>
      </c>
      <c r="D266">
        <v>63273</v>
      </c>
      <c r="E266" t="s">
        <v>267</v>
      </c>
      <c r="F266">
        <v>1048214756</v>
      </c>
      <c r="G266" t="s">
        <v>3338</v>
      </c>
      <c r="H266">
        <v>100105265</v>
      </c>
      <c r="I266">
        <v>202604</v>
      </c>
      <c r="J266">
        <v>1048218622</v>
      </c>
      <c r="K266" t="s">
        <v>270</v>
      </c>
      <c r="L266" t="s">
        <v>1521</v>
      </c>
      <c r="M266" t="s">
        <v>271</v>
      </c>
      <c r="N266" t="s">
        <v>35</v>
      </c>
      <c r="O266" t="s">
        <v>26</v>
      </c>
      <c r="P266" t="s">
        <v>27</v>
      </c>
      <c r="Q266" t="s">
        <v>28</v>
      </c>
      <c r="R266" t="s">
        <v>29</v>
      </c>
      <c r="S266" t="s">
        <v>30</v>
      </c>
      <c r="T266">
        <v>1024464496</v>
      </c>
      <c r="U266" t="s">
        <v>4055</v>
      </c>
      <c r="V266" t="s">
        <v>4056</v>
      </c>
      <c r="W266" s="9">
        <f>IF(V266="pregrado",31,
IF(V266="posgrados",31,
IF(V266="rEINTEGROS",7,
IF(V266="BIT",90,
IF(V266="OP GRADO - INGLÉS",17,"")))))</f>
        <v>90</v>
      </c>
      <c r="X266" t="s">
        <v>4092</v>
      </c>
    </row>
    <row r="267" spans="1:24" ht="15" x14ac:dyDescent="0.35">
      <c r="A267" s="4">
        <v>46072.567685185182</v>
      </c>
      <c r="B267">
        <v>20124863</v>
      </c>
      <c r="C267" s="6" t="s">
        <v>19</v>
      </c>
      <c r="D267">
        <v>63277</v>
      </c>
      <c r="E267" t="s">
        <v>267</v>
      </c>
      <c r="F267">
        <v>1123326359</v>
      </c>
      <c r="G267" t="s">
        <v>3417</v>
      </c>
      <c r="H267">
        <v>100104752</v>
      </c>
      <c r="I267">
        <v>202604</v>
      </c>
      <c r="J267">
        <v>1123326359</v>
      </c>
      <c r="K267" t="s">
        <v>270</v>
      </c>
      <c r="L267" t="s">
        <v>513</v>
      </c>
      <c r="M267" t="s">
        <v>271</v>
      </c>
      <c r="N267" t="s">
        <v>35</v>
      </c>
      <c r="O267" t="s">
        <v>26</v>
      </c>
      <c r="P267" t="s">
        <v>27</v>
      </c>
      <c r="Q267" t="s">
        <v>28</v>
      </c>
      <c r="R267" t="s">
        <v>29</v>
      </c>
      <c r="S267" t="s">
        <v>30</v>
      </c>
      <c r="T267">
        <v>52834109</v>
      </c>
      <c r="U267" t="s">
        <v>4019</v>
      </c>
      <c r="V267" t="s">
        <v>4020</v>
      </c>
      <c r="W267" s="9">
        <f>IF(V267="pregrado",31,
IF(V267="posgrados",31,
IF(V267="rEINTEGROS",7,
IF(V267="BIT",90,
IF(V267="OP GRADO - INGLÉS",17,"")))))</f>
        <v>17</v>
      </c>
      <c r="X267" t="s">
        <v>4018</v>
      </c>
    </row>
    <row r="268" spans="1:24" ht="15" x14ac:dyDescent="0.35">
      <c r="A268" s="4">
        <v>46066.37777777778</v>
      </c>
      <c r="B268">
        <v>20123055</v>
      </c>
      <c r="C268" s="6" t="s">
        <v>19</v>
      </c>
      <c r="D268">
        <v>63285</v>
      </c>
      <c r="E268" t="s">
        <v>267</v>
      </c>
      <c r="F268">
        <v>1066867691</v>
      </c>
      <c r="G268" t="s">
        <v>3139</v>
      </c>
      <c r="H268">
        <v>100246199</v>
      </c>
      <c r="I268">
        <v>202604</v>
      </c>
      <c r="J268">
        <v>1066867691</v>
      </c>
      <c r="K268" t="s">
        <v>23</v>
      </c>
      <c r="L268" t="s">
        <v>808</v>
      </c>
      <c r="M268" t="s">
        <v>271</v>
      </c>
      <c r="N268" t="s">
        <v>35</v>
      </c>
      <c r="O268" t="s">
        <v>26</v>
      </c>
      <c r="P268" t="s">
        <v>27</v>
      </c>
      <c r="Q268" t="s">
        <v>28</v>
      </c>
      <c r="R268" t="s">
        <v>29</v>
      </c>
      <c r="S268" t="s">
        <v>30</v>
      </c>
      <c r="T268">
        <v>52221286</v>
      </c>
      <c r="U268" t="s">
        <v>4055</v>
      </c>
      <c r="V268" t="s">
        <v>4056</v>
      </c>
      <c r="W268" s="9">
        <f>IF(V268="pregrado",31,
IF(V268="posgrados",31,
IF(V268="rEINTEGROS",7,
IF(V268="BIT",90,
IF(V268="OP GRADO - INGLÉS",17,"")))))</f>
        <v>90</v>
      </c>
      <c r="X268" t="s">
        <v>4076</v>
      </c>
    </row>
    <row r="269" spans="1:24" ht="15" x14ac:dyDescent="0.35">
      <c r="A269" s="4">
        <v>46070.905810185184</v>
      </c>
      <c r="B269">
        <v>20124314</v>
      </c>
      <c r="C269" s="6" t="s">
        <v>19</v>
      </c>
      <c r="D269">
        <v>63305</v>
      </c>
      <c r="E269" t="s">
        <v>267</v>
      </c>
      <c r="F269">
        <v>12207897</v>
      </c>
      <c r="G269" t="s">
        <v>3329</v>
      </c>
      <c r="H269">
        <v>100181188</v>
      </c>
      <c r="I269">
        <v>202604</v>
      </c>
      <c r="J269">
        <v>1004148242</v>
      </c>
      <c r="K269" t="s">
        <v>270</v>
      </c>
      <c r="L269" t="s">
        <v>1024</v>
      </c>
      <c r="M269" t="s">
        <v>271</v>
      </c>
      <c r="N269" t="s">
        <v>35</v>
      </c>
      <c r="O269" t="s">
        <v>26</v>
      </c>
      <c r="P269" t="s">
        <v>27</v>
      </c>
      <c r="Q269" t="s">
        <v>28</v>
      </c>
      <c r="R269" t="s">
        <v>29</v>
      </c>
      <c r="S269" t="s">
        <v>30</v>
      </c>
      <c r="T269">
        <v>1033714104</v>
      </c>
      <c r="U269" t="s">
        <v>4019</v>
      </c>
      <c r="V269" t="s">
        <v>4020</v>
      </c>
      <c r="W269" s="9">
        <f>IF(V269="pregrado",31,
IF(V269="posgrados",31,
IF(V269="rEINTEGROS",7,
IF(V269="BIT",90,
IF(V269="OP GRADO - INGLÉS",17,"")))))</f>
        <v>17</v>
      </c>
      <c r="X269" t="s">
        <v>4029</v>
      </c>
    </row>
    <row r="270" spans="1:24" ht="15" x14ac:dyDescent="0.35">
      <c r="A270" s="4">
        <v>46071.543587962966</v>
      </c>
      <c r="B270">
        <v>20124473</v>
      </c>
      <c r="C270" s="6" t="s">
        <v>19</v>
      </c>
      <c r="D270">
        <v>63308</v>
      </c>
      <c r="E270" t="s">
        <v>267</v>
      </c>
      <c r="F270">
        <v>1058974706</v>
      </c>
      <c r="G270" t="s">
        <v>3353</v>
      </c>
      <c r="H270">
        <v>100232648</v>
      </c>
      <c r="I270">
        <v>202604</v>
      </c>
      <c r="J270">
        <v>1058974706</v>
      </c>
      <c r="K270" t="s">
        <v>270</v>
      </c>
      <c r="L270" t="s">
        <v>373</v>
      </c>
      <c r="M270" t="s">
        <v>271</v>
      </c>
      <c r="N270" t="s">
        <v>35</v>
      </c>
      <c r="O270" t="s">
        <v>26</v>
      </c>
      <c r="P270" t="s">
        <v>27</v>
      </c>
      <c r="Q270" t="s">
        <v>28</v>
      </c>
      <c r="R270" t="s">
        <v>29</v>
      </c>
      <c r="S270" t="s">
        <v>30</v>
      </c>
      <c r="T270">
        <v>52834109</v>
      </c>
      <c r="U270" t="s">
        <v>4019</v>
      </c>
      <c r="V270" t="s">
        <v>4020</v>
      </c>
      <c r="W270" s="9">
        <f>IF(V270="pregrado",31,
IF(V270="posgrados",31,
IF(V270="rEINTEGROS",7,
IF(V270="BIT",90,
IF(V270="OP GRADO - INGLÉS",17,"")))))</f>
        <v>17</v>
      </c>
      <c r="X270" t="s">
        <v>4018</v>
      </c>
    </row>
    <row r="271" spans="1:24" ht="15" x14ac:dyDescent="0.35">
      <c r="A271" s="4">
        <v>46071.461238425924</v>
      </c>
      <c r="B271">
        <v>20124409</v>
      </c>
      <c r="C271" s="6" t="s">
        <v>19</v>
      </c>
      <c r="D271">
        <v>63310</v>
      </c>
      <c r="E271" t="s">
        <v>267</v>
      </c>
      <c r="F271">
        <v>92513502</v>
      </c>
      <c r="G271" t="s">
        <v>3347</v>
      </c>
      <c r="H271">
        <v>100151218</v>
      </c>
      <c r="I271">
        <v>202604</v>
      </c>
      <c r="J271">
        <v>1001533970</v>
      </c>
      <c r="K271" t="s">
        <v>270</v>
      </c>
      <c r="L271" t="s">
        <v>409</v>
      </c>
      <c r="M271" t="s">
        <v>271</v>
      </c>
      <c r="N271" t="s">
        <v>35</v>
      </c>
      <c r="O271" t="s">
        <v>26</v>
      </c>
      <c r="P271" t="s">
        <v>27</v>
      </c>
      <c r="Q271" t="s">
        <v>28</v>
      </c>
      <c r="R271" t="s">
        <v>29</v>
      </c>
      <c r="S271" t="s">
        <v>30</v>
      </c>
      <c r="T271">
        <v>1024464496</v>
      </c>
      <c r="U271" t="s">
        <v>4055</v>
      </c>
      <c r="V271" t="s">
        <v>4056</v>
      </c>
      <c r="W271" s="9">
        <f>IF(V271="pregrado",31,
IF(V271="posgrados",31,
IF(V271="rEINTEGROS",7,
IF(V271="BIT",90,
IF(V271="OP GRADO - INGLÉS",17,"")))))</f>
        <v>90</v>
      </c>
      <c r="X271" t="s">
        <v>4092</v>
      </c>
    </row>
    <row r="272" spans="1:24" ht="15" x14ac:dyDescent="0.35">
      <c r="A272" s="4">
        <v>46066.495208333334</v>
      </c>
      <c r="B272">
        <v>20123161</v>
      </c>
      <c r="C272" s="6" t="s">
        <v>19</v>
      </c>
      <c r="D272">
        <v>63317</v>
      </c>
      <c r="E272" t="s">
        <v>267</v>
      </c>
      <c r="F272">
        <v>1006698049</v>
      </c>
      <c r="G272" t="s">
        <v>3156</v>
      </c>
      <c r="H272">
        <v>100230352</v>
      </c>
      <c r="I272">
        <v>202604</v>
      </c>
      <c r="J272">
        <v>1006698049</v>
      </c>
      <c r="K272" t="s">
        <v>270</v>
      </c>
      <c r="L272" t="s">
        <v>589</v>
      </c>
      <c r="M272" t="s">
        <v>271</v>
      </c>
      <c r="N272" t="s">
        <v>35</v>
      </c>
      <c r="O272" t="s">
        <v>26</v>
      </c>
      <c r="P272" t="s">
        <v>27</v>
      </c>
      <c r="Q272" t="s">
        <v>28</v>
      </c>
      <c r="R272" t="s">
        <v>29</v>
      </c>
      <c r="S272" t="s">
        <v>30</v>
      </c>
      <c r="T272">
        <v>52834109</v>
      </c>
      <c r="U272" t="s">
        <v>4019</v>
      </c>
      <c r="V272" t="s">
        <v>4020</v>
      </c>
      <c r="W272" s="9">
        <f>IF(V272="pregrado",31,
IF(V272="posgrados",31,
IF(V272="rEINTEGROS",7,
IF(V272="BIT",90,
IF(V272="OP GRADO - INGLÉS",17,"")))))</f>
        <v>17</v>
      </c>
      <c r="X272" t="s">
        <v>4018</v>
      </c>
    </row>
    <row r="273" spans="1:24" ht="15" x14ac:dyDescent="0.35">
      <c r="A273" s="4">
        <v>46079.843101851853</v>
      </c>
      <c r="B273">
        <v>20126718</v>
      </c>
      <c r="C273" s="6" t="s">
        <v>19</v>
      </c>
      <c r="D273">
        <v>63324</v>
      </c>
      <c r="E273" t="s">
        <v>267</v>
      </c>
      <c r="F273">
        <v>1090526579</v>
      </c>
      <c r="G273" t="s">
        <v>3672</v>
      </c>
      <c r="H273">
        <v>100246288</v>
      </c>
      <c r="I273">
        <v>202604</v>
      </c>
      <c r="J273">
        <v>1091966476</v>
      </c>
      <c r="K273" t="s">
        <v>23</v>
      </c>
      <c r="L273" t="s">
        <v>1258</v>
      </c>
      <c r="M273" t="s">
        <v>271</v>
      </c>
      <c r="N273" t="s">
        <v>35</v>
      </c>
      <c r="O273" t="s">
        <v>26</v>
      </c>
      <c r="P273" t="s">
        <v>27</v>
      </c>
      <c r="Q273" t="s">
        <v>28</v>
      </c>
      <c r="R273" t="s">
        <v>29</v>
      </c>
      <c r="S273" t="s">
        <v>30</v>
      </c>
      <c r="T273">
        <v>1193566421</v>
      </c>
      <c r="U273" t="s">
        <v>4055</v>
      </c>
      <c r="V273" t="s">
        <v>4056</v>
      </c>
      <c r="W273" s="9">
        <f>IF(V273="pregrado",31,
IF(V273="posgrados",31,
IF(V273="rEINTEGROS",7,
IF(V273="BIT",90,
IF(V273="OP GRADO - INGLÉS",17,"")))))</f>
        <v>90</v>
      </c>
      <c r="X273" t="s">
        <v>4075</v>
      </c>
    </row>
    <row r="274" spans="1:24" ht="15" x14ac:dyDescent="0.35">
      <c r="A274" s="4">
        <v>46066.591851851852</v>
      </c>
      <c r="B274">
        <v>20123212</v>
      </c>
      <c r="C274" s="6" t="s">
        <v>19</v>
      </c>
      <c r="D274">
        <v>63330</v>
      </c>
      <c r="E274" t="s">
        <v>267</v>
      </c>
      <c r="F274">
        <v>1014186884</v>
      </c>
      <c r="G274" t="s">
        <v>3170</v>
      </c>
      <c r="H274">
        <v>100229002</v>
      </c>
      <c r="I274">
        <v>202604</v>
      </c>
      <c r="J274">
        <v>1014186884</v>
      </c>
      <c r="K274" t="s">
        <v>270</v>
      </c>
      <c r="L274" t="s">
        <v>589</v>
      </c>
      <c r="M274" t="s">
        <v>271</v>
      </c>
      <c r="N274" t="s">
        <v>35</v>
      </c>
      <c r="O274" t="s">
        <v>26</v>
      </c>
      <c r="P274" t="s">
        <v>27</v>
      </c>
      <c r="Q274" t="s">
        <v>28</v>
      </c>
      <c r="R274" t="s">
        <v>29</v>
      </c>
      <c r="S274" t="s">
        <v>30</v>
      </c>
      <c r="T274">
        <v>52834109</v>
      </c>
      <c r="U274" t="s">
        <v>4019</v>
      </c>
      <c r="V274" t="s">
        <v>4020</v>
      </c>
      <c r="W274" s="9">
        <f>IF(V274="pregrado",31,
IF(V274="posgrados",31,
IF(V274="rEINTEGROS",7,
IF(V274="BIT",90,
IF(V274="OP GRADO - INGLÉS",17,"")))))</f>
        <v>17</v>
      </c>
      <c r="X274" t="s">
        <v>4018</v>
      </c>
    </row>
    <row r="275" spans="1:24" ht="15" x14ac:dyDescent="0.35">
      <c r="A275" s="4">
        <v>46069.763472222221</v>
      </c>
      <c r="B275">
        <v>20123891</v>
      </c>
      <c r="C275" s="6" t="s">
        <v>19</v>
      </c>
      <c r="D275">
        <v>63335</v>
      </c>
      <c r="E275" t="s">
        <v>267</v>
      </c>
      <c r="F275">
        <v>10018240</v>
      </c>
      <c r="G275" t="s">
        <v>3266</v>
      </c>
      <c r="H275">
        <v>100139946</v>
      </c>
      <c r="I275">
        <v>202604</v>
      </c>
      <c r="J275">
        <v>42148030</v>
      </c>
      <c r="K275" t="s">
        <v>270</v>
      </c>
      <c r="L275" t="s">
        <v>409</v>
      </c>
      <c r="M275" t="s">
        <v>271</v>
      </c>
      <c r="N275" t="s">
        <v>35</v>
      </c>
      <c r="O275" t="s">
        <v>26</v>
      </c>
      <c r="P275" t="s">
        <v>27</v>
      </c>
      <c r="Q275" t="s">
        <v>28</v>
      </c>
      <c r="R275" t="s">
        <v>29</v>
      </c>
      <c r="S275" t="s">
        <v>30</v>
      </c>
      <c r="T275">
        <v>60345453</v>
      </c>
      <c r="U275" t="s">
        <v>4019</v>
      </c>
      <c r="V275" t="s">
        <v>4020</v>
      </c>
      <c r="W275" s="9">
        <f>IF(V275="pregrado",31,
IF(V275="posgrados",31,
IF(V275="rEINTEGROS",7,
IF(V275="BIT",90,
IF(V275="OP GRADO - INGLÉS",17,"")))))</f>
        <v>17</v>
      </c>
      <c r="X275" t="s">
        <v>4063</v>
      </c>
    </row>
    <row r="276" spans="1:24" ht="15" x14ac:dyDescent="0.35">
      <c r="A276" s="4">
        <v>46066.644467592596</v>
      </c>
      <c r="B276">
        <v>20123255</v>
      </c>
      <c r="C276" s="6" t="s">
        <v>19</v>
      </c>
      <c r="D276">
        <v>63337</v>
      </c>
      <c r="E276" t="s">
        <v>267</v>
      </c>
      <c r="F276">
        <v>1193480623</v>
      </c>
      <c r="G276" t="s">
        <v>3177</v>
      </c>
      <c r="H276">
        <v>100136674</v>
      </c>
      <c r="I276">
        <v>202604</v>
      </c>
      <c r="J276">
        <v>1193480623</v>
      </c>
      <c r="K276" t="s">
        <v>270</v>
      </c>
      <c r="L276" t="s">
        <v>1521</v>
      </c>
      <c r="M276" t="s">
        <v>271</v>
      </c>
      <c r="N276" t="s">
        <v>35</v>
      </c>
      <c r="O276" t="s">
        <v>26</v>
      </c>
      <c r="P276" t="s">
        <v>27</v>
      </c>
      <c r="Q276" t="s">
        <v>28</v>
      </c>
      <c r="R276" t="s">
        <v>29</v>
      </c>
      <c r="S276" t="s">
        <v>30</v>
      </c>
      <c r="T276">
        <v>52834109</v>
      </c>
      <c r="U276" t="s">
        <v>4019</v>
      </c>
      <c r="V276" t="s">
        <v>4020</v>
      </c>
      <c r="W276" s="9">
        <f>IF(V276="pregrado",31,
IF(V276="posgrados",31,
IF(V276="rEINTEGROS",7,
IF(V276="BIT",90,
IF(V276="OP GRADO - INGLÉS",17,"")))))</f>
        <v>17</v>
      </c>
      <c r="X276" t="s">
        <v>4018</v>
      </c>
    </row>
    <row r="277" spans="1:24" ht="15" x14ac:dyDescent="0.35">
      <c r="A277" s="4">
        <v>46066.643379629626</v>
      </c>
      <c r="B277">
        <v>20123253</v>
      </c>
      <c r="C277" s="6" t="s">
        <v>19</v>
      </c>
      <c r="D277">
        <v>63343</v>
      </c>
      <c r="E277" t="s">
        <v>267</v>
      </c>
      <c r="F277">
        <v>1020769951</v>
      </c>
      <c r="G277" t="s">
        <v>3175</v>
      </c>
      <c r="H277">
        <v>100218261</v>
      </c>
      <c r="I277">
        <v>202604</v>
      </c>
      <c r="J277">
        <v>1020769951</v>
      </c>
      <c r="K277" t="s">
        <v>23</v>
      </c>
      <c r="L277" t="s">
        <v>1258</v>
      </c>
      <c r="M277" t="s">
        <v>271</v>
      </c>
      <c r="N277" t="s">
        <v>35</v>
      </c>
      <c r="O277" t="s">
        <v>26</v>
      </c>
      <c r="P277" t="s">
        <v>27</v>
      </c>
      <c r="Q277" t="s">
        <v>28</v>
      </c>
      <c r="R277" t="s">
        <v>29</v>
      </c>
      <c r="S277" t="s">
        <v>30</v>
      </c>
      <c r="T277">
        <v>1018484247</v>
      </c>
      <c r="U277" t="s">
        <v>4055</v>
      </c>
      <c r="V277" t="s">
        <v>4056</v>
      </c>
      <c r="W277" s="9">
        <f>IF(V277="pregrado",31,
IF(V277="posgrados",31,
IF(V277="rEINTEGROS",7,
IF(V277="BIT",90,
IF(V277="OP GRADO - INGLÉS",17,"")))))</f>
        <v>90</v>
      </c>
      <c r="X277" t="s">
        <v>4069</v>
      </c>
    </row>
    <row r="278" spans="1:24" ht="15" x14ac:dyDescent="0.35">
      <c r="A278" s="4">
        <v>46069.936215277776</v>
      </c>
      <c r="B278">
        <v>20123963</v>
      </c>
      <c r="C278" s="6" t="s">
        <v>19</v>
      </c>
      <c r="D278">
        <v>63344</v>
      </c>
      <c r="E278" t="s">
        <v>267</v>
      </c>
      <c r="F278">
        <v>1125764389</v>
      </c>
      <c r="G278" t="s">
        <v>3275</v>
      </c>
      <c r="H278">
        <v>100230523</v>
      </c>
      <c r="I278">
        <v>202604</v>
      </c>
      <c r="J278">
        <v>1125764389</v>
      </c>
      <c r="K278" t="s">
        <v>270</v>
      </c>
      <c r="L278" t="s">
        <v>589</v>
      </c>
      <c r="M278" t="s">
        <v>271</v>
      </c>
      <c r="N278" t="s">
        <v>35</v>
      </c>
      <c r="O278" t="s">
        <v>26</v>
      </c>
      <c r="P278" t="s">
        <v>27</v>
      </c>
      <c r="Q278" t="s">
        <v>28</v>
      </c>
      <c r="R278" t="s">
        <v>29</v>
      </c>
      <c r="S278" t="s">
        <v>30</v>
      </c>
      <c r="T278">
        <v>52834109</v>
      </c>
      <c r="U278" t="s">
        <v>4019</v>
      </c>
      <c r="V278" t="s">
        <v>4020</v>
      </c>
      <c r="W278" s="9">
        <f>IF(V278="pregrado",31,
IF(V278="posgrados",31,
IF(V278="rEINTEGROS",7,
IF(V278="BIT",90,
IF(V278="OP GRADO - INGLÉS",17,"")))))</f>
        <v>17</v>
      </c>
      <c r="X278" t="s">
        <v>4018</v>
      </c>
    </row>
    <row r="279" spans="1:24" ht="15" x14ac:dyDescent="0.35">
      <c r="A279" s="4">
        <v>46069.955659722225</v>
      </c>
      <c r="B279">
        <v>20123966</v>
      </c>
      <c r="C279" s="6" t="s">
        <v>19</v>
      </c>
      <c r="D279">
        <v>63345</v>
      </c>
      <c r="E279" t="s">
        <v>267</v>
      </c>
      <c r="F279">
        <v>1029985785</v>
      </c>
      <c r="G279" t="s">
        <v>3276</v>
      </c>
      <c r="H279">
        <v>100230653</v>
      </c>
      <c r="I279">
        <v>202604</v>
      </c>
      <c r="J279">
        <v>1006533399</v>
      </c>
      <c r="K279" t="s">
        <v>270</v>
      </c>
      <c r="L279" t="s">
        <v>589</v>
      </c>
      <c r="M279" t="s">
        <v>271</v>
      </c>
      <c r="N279" t="s">
        <v>35</v>
      </c>
      <c r="O279" t="s">
        <v>26</v>
      </c>
      <c r="P279" t="s">
        <v>27</v>
      </c>
      <c r="Q279" t="s">
        <v>28</v>
      </c>
      <c r="R279" t="s">
        <v>29</v>
      </c>
      <c r="S279" t="s">
        <v>30</v>
      </c>
      <c r="T279">
        <v>52834109</v>
      </c>
      <c r="U279" t="s">
        <v>4019</v>
      </c>
      <c r="V279" t="s">
        <v>4020</v>
      </c>
      <c r="W279" s="9">
        <f>IF(V279="pregrado",31,
IF(V279="posgrados",31,
IF(V279="rEINTEGROS",7,
IF(V279="BIT",90,
IF(V279="OP GRADO - INGLÉS",17,"")))))</f>
        <v>17</v>
      </c>
      <c r="X279" t="s">
        <v>4018</v>
      </c>
    </row>
    <row r="280" spans="1:24" ht="15" x14ac:dyDescent="0.35">
      <c r="A280" s="4">
        <v>46067.481805555559</v>
      </c>
      <c r="B280">
        <v>20123446</v>
      </c>
      <c r="C280" s="6" t="s">
        <v>19</v>
      </c>
      <c r="D280">
        <v>63346</v>
      </c>
      <c r="E280" t="s">
        <v>267</v>
      </c>
      <c r="F280">
        <v>1096225639</v>
      </c>
      <c r="G280" t="s">
        <v>3208</v>
      </c>
      <c r="H280">
        <v>100160342</v>
      </c>
      <c r="I280">
        <v>202604</v>
      </c>
      <c r="J280">
        <v>1101201889</v>
      </c>
      <c r="K280" t="s">
        <v>270</v>
      </c>
      <c r="L280" t="s">
        <v>269</v>
      </c>
      <c r="M280" t="s">
        <v>271</v>
      </c>
      <c r="N280" t="s">
        <v>35</v>
      </c>
      <c r="O280" t="s">
        <v>26</v>
      </c>
      <c r="P280" t="s">
        <v>27</v>
      </c>
      <c r="Q280" t="s">
        <v>28</v>
      </c>
      <c r="R280" t="s">
        <v>29</v>
      </c>
      <c r="S280" t="s">
        <v>30</v>
      </c>
      <c r="T280">
        <v>1033714104</v>
      </c>
      <c r="U280" t="s">
        <v>4019</v>
      </c>
      <c r="V280" t="s">
        <v>4020</v>
      </c>
      <c r="W280" s="9">
        <f>IF(V280="pregrado",31,
IF(V280="posgrados",31,
IF(V280="rEINTEGROS",7,
IF(V280="BIT",90,
IF(V280="OP GRADO - INGLÉS",17,"")))))</f>
        <v>17</v>
      </c>
      <c r="X280" t="s">
        <v>4029</v>
      </c>
    </row>
    <row r="281" spans="1:24" ht="15" x14ac:dyDescent="0.35">
      <c r="A281" s="4">
        <v>46066.719270833331</v>
      </c>
      <c r="B281">
        <v>20123323</v>
      </c>
      <c r="C281" s="6" t="s">
        <v>19</v>
      </c>
      <c r="D281">
        <v>63347</v>
      </c>
      <c r="E281" t="s">
        <v>267</v>
      </c>
      <c r="F281">
        <v>51664184</v>
      </c>
      <c r="G281" t="s">
        <v>3185</v>
      </c>
      <c r="H281">
        <v>100174332</v>
      </c>
      <c r="I281">
        <v>202604</v>
      </c>
      <c r="J281">
        <v>1000163314</v>
      </c>
      <c r="K281" t="s">
        <v>270</v>
      </c>
      <c r="L281" t="s">
        <v>269</v>
      </c>
      <c r="M281" t="s">
        <v>271</v>
      </c>
      <c r="N281" t="s">
        <v>35</v>
      </c>
      <c r="O281" t="s">
        <v>26</v>
      </c>
      <c r="P281" t="s">
        <v>27</v>
      </c>
      <c r="Q281" t="s">
        <v>28</v>
      </c>
      <c r="R281" t="s">
        <v>29</v>
      </c>
      <c r="S281" t="s">
        <v>30</v>
      </c>
      <c r="T281">
        <v>1033714104</v>
      </c>
      <c r="U281" t="s">
        <v>4019</v>
      </c>
      <c r="V281" t="s">
        <v>4020</v>
      </c>
      <c r="W281" s="9">
        <f>IF(V281="pregrado",31,
IF(V281="posgrados",31,
IF(V281="rEINTEGROS",7,
IF(V281="BIT",90,
IF(V281="OP GRADO - INGLÉS",17,"")))))</f>
        <v>17</v>
      </c>
      <c r="X281" t="s">
        <v>4029</v>
      </c>
    </row>
    <row r="282" spans="1:24" ht="15" x14ac:dyDescent="0.35">
      <c r="A282" s="4">
        <v>46072.990115740744</v>
      </c>
      <c r="B282">
        <v>20125077</v>
      </c>
      <c r="C282" s="6" t="s">
        <v>19</v>
      </c>
      <c r="D282">
        <v>63351</v>
      </c>
      <c r="E282" t="s">
        <v>267</v>
      </c>
      <c r="F282">
        <v>1077480995</v>
      </c>
      <c r="G282" t="s">
        <v>3451</v>
      </c>
      <c r="H282">
        <v>100224375</v>
      </c>
      <c r="I282">
        <v>202604</v>
      </c>
      <c r="J282">
        <v>1077480995</v>
      </c>
      <c r="K282" t="s">
        <v>270</v>
      </c>
      <c r="L282" t="s">
        <v>1928</v>
      </c>
      <c r="M282" t="s">
        <v>271</v>
      </c>
      <c r="N282" t="s">
        <v>35</v>
      </c>
      <c r="O282" t="s">
        <v>26</v>
      </c>
      <c r="P282" t="s">
        <v>27</v>
      </c>
      <c r="Q282" t="s">
        <v>28</v>
      </c>
      <c r="R282" t="s">
        <v>29</v>
      </c>
      <c r="S282" t="s">
        <v>30</v>
      </c>
      <c r="T282">
        <v>1033714104</v>
      </c>
      <c r="U282" t="s">
        <v>4019</v>
      </c>
      <c r="V282" t="s">
        <v>4020</v>
      </c>
      <c r="W282" s="9">
        <f>IF(V282="pregrado",31,
IF(V282="posgrados",31,
IF(V282="rEINTEGROS",7,
IF(V282="BIT",90,
IF(V282="OP GRADO - INGLÉS",17,"")))))</f>
        <v>17</v>
      </c>
      <c r="X282" t="s">
        <v>4029</v>
      </c>
    </row>
    <row r="283" spans="1:24" ht="15" x14ac:dyDescent="0.35">
      <c r="A283" s="4">
        <v>46067.460509259261</v>
      </c>
      <c r="B283">
        <v>20123431</v>
      </c>
      <c r="C283" s="6" t="s">
        <v>19</v>
      </c>
      <c r="D283">
        <v>63363</v>
      </c>
      <c r="E283" t="s">
        <v>267</v>
      </c>
      <c r="F283">
        <v>93371012</v>
      </c>
      <c r="G283" t="s">
        <v>3206</v>
      </c>
      <c r="H283">
        <v>100146303</v>
      </c>
      <c r="I283">
        <v>202604</v>
      </c>
      <c r="J283">
        <v>1012400968</v>
      </c>
      <c r="K283" t="s">
        <v>23</v>
      </c>
      <c r="L283" t="s">
        <v>1414</v>
      </c>
      <c r="M283" t="s">
        <v>271</v>
      </c>
      <c r="N283" t="s">
        <v>35</v>
      </c>
      <c r="O283" t="s">
        <v>26</v>
      </c>
      <c r="P283" t="s">
        <v>27</v>
      </c>
      <c r="Q283" t="s">
        <v>28</v>
      </c>
      <c r="R283" t="s">
        <v>29</v>
      </c>
      <c r="S283" t="s">
        <v>30</v>
      </c>
      <c r="T283">
        <v>1019052150</v>
      </c>
      <c r="U283" t="s">
        <v>4055</v>
      </c>
      <c r="V283" t="s">
        <v>4056</v>
      </c>
      <c r="W283" s="9">
        <f>IF(V283="pregrado",31,
IF(V283="posgrados",31,
IF(V283="rEINTEGROS",7,
IF(V283="BIT",90,
IF(V283="OP GRADO - INGLÉS",17,"")))))</f>
        <v>90</v>
      </c>
      <c r="X283" t="s">
        <v>4074</v>
      </c>
    </row>
    <row r="284" spans="1:24" ht="15" x14ac:dyDescent="0.35">
      <c r="A284" s="4">
        <v>46072.73542824074</v>
      </c>
      <c r="B284">
        <v>20125017</v>
      </c>
      <c r="C284" s="6" t="s">
        <v>19</v>
      </c>
      <c r="D284">
        <v>63375</v>
      </c>
      <c r="E284" t="s">
        <v>267</v>
      </c>
      <c r="F284">
        <v>24711479</v>
      </c>
      <c r="G284" t="s">
        <v>3440</v>
      </c>
      <c r="H284">
        <v>100209223</v>
      </c>
      <c r="I284">
        <v>202604</v>
      </c>
      <c r="J284">
        <v>24713220</v>
      </c>
      <c r="K284" t="s">
        <v>270</v>
      </c>
      <c r="L284" t="s">
        <v>595</v>
      </c>
      <c r="M284" t="s">
        <v>271</v>
      </c>
      <c r="N284" t="s">
        <v>35</v>
      </c>
      <c r="O284" t="s">
        <v>26</v>
      </c>
      <c r="P284" t="s">
        <v>27</v>
      </c>
      <c r="Q284" t="s">
        <v>28</v>
      </c>
      <c r="R284" t="s">
        <v>29</v>
      </c>
      <c r="S284" t="s">
        <v>30</v>
      </c>
      <c r="T284">
        <v>1033714104</v>
      </c>
      <c r="U284" t="s">
        <v>4019</v>
      </c>
      <c r="V284" t="s">
        <v>4020</v>
      </c>
      <c r="W284" s="9">
        <f>IF(V284="pregrado",31,
IF(V284="posgrados",31,
IF(V284="rEINTEGROS",7,
IF(V284="BIT",90,
IF(V284="OP GRADO - INGLÉS",17,"")))))</f>
        <v>17</v>
      </c>
      <c r="X284" t="s">
        <v>4029</v>
      </c>
    </row>
    <row r="285" spans="1:24" ht="15" x14ac:dyDescent="0.35">
      <c r="A285" s="4">
        <v>46069.598379629628</v>
      </c>
      <c r="B285">
        <v>20123711</v>
      </c>
      <c r="C285" s="6" t="s">
        <v>19</v>
      </c>
      <c r="D285">
        <v>63378</v>
      </c>
      <c r="E285" t="s">
        <v>267</v>
      </c>
      <c r="F285">
        <v>1116614264</v>
      </c>
      <c r="G285" t="s">
        <v>3243</v>
      </c>
      <c r="H285">
        <v>100246466</v>
      </c>
      <c r="I285">
        <v>202604</v>
      </c>
      <c r="J285">
        <v>1116614264</v>
      </c>
      <c r="K285" t="s">
        <v>23</v>
      </c>
      <c r="L285" t="s">
        <v>1414</v>
      </c>
      <c r="M285" t="s">
        <v>271</v>
      </c>
      <c r="N285" t="s">
        <v>35</v>
      </c>
      <c r="O285" t="s">
        <v>26</v>
      </c>
      <c r="P285" t="s">
        <v>27</v>
      </c>
      <c r="Q285" t="s">
        <v>28</v>
      </c>
      <c r="R285" t="s">
        <v>29</v>
      </c>
      <c r="S285" t="s">
        <v>30</v>
      </c>
      <c r="T285">
        <v>52221286</v>
      </c>
      <c r="U285" t="s">
        <v>4055</v>
      </c>
      <c r="V285" t="s">
        <v>4056</v>
      </c>
      <c r="W285" s="9">
        <f>IF(V285="pregrado",31,
IF(V285="posgrados",31,
IF(V285="rEINTEGROS",7,
IF(V285="BIT",90,
IF(V285="OP GRADO - INGLÉS",17,"")))))</f>
        <v>90</v>
      </c>
      <c r="X285" t="s">
        <v>4076</v>
      </c>
    </row>
    <row r="286" spans="1:24" ht="15" x14ac:dyDescent="0.35">
      <c r="A286" s="4">
        <v>46080.689560185187</v>
      </c>
      <c r="B286">
        <v>20126930</v>
      </c>
      <c r="C286" s="6" t="s">
        <v>19</v>
      </c>
      <c r="D286">
        <v>63394</v>
      </c>
      <c r="E286" t="s">
        <v>267</v>
      </c>
      <c r="F286">
        <v>1000574280</v>
      </c>
      <c r="G286" t="s">
        <v>3740</v>
      </c>
      <c r="H286">
        <v>100127509</v>
      </c>
      <c r="I286">
        <v>202604</v>
      </c>
      <c r="J286">
        <v>1000574280</v>
      </c>
      <c r="K286" t="s">
        <v>270</v>
      </c>
      <c r="L286" t="s">
        <v>3376</v>
      </c>
      <c r="M286" t="s">
        <v>271</v>
      </c>
      <c r="N286" t="s">
        <v>35</v>
      </c>
      <c r="O286" t="s">
        <v>26</v>
      </c>
      <c r="P286" t="s">
        <v>27</v>
      </c>
      <c r="Q286" t="s">
        <v>28</v>
      </c>
      <c r="R286" t="s">
        <v>29</v>
      </c>
      <c r="S286" t="s">
        <v>30</v>
      </c>
      <c r="T286">
        <v>1033714104</v>
      </c>
      <c r="U286" t="s">
        <v>4019</v>
      </c>
      <c r="V286" t="s">
        <v>4020</v>
      </c>
      <c r="W286" s="9">
        <f>IF(V286="pregrado",31,
IF(V286="posgrados",31,
IF(V286="rEINTEGROS",7,
IF(V286="BIT",90,
IF(V286="OP GRADO - INGLÉS",17,"")))))</f>
        <v>17</v>
      </c>
      <c r="X286" t="s">
        <v>4029</v>
      </c>
    </row>
    <row r="287" spans="1:24" ht="15" x14ac:dyDescent="0.35">
      <c r="A287" s="4">
        <v>46071.666435185187</v>
      </c>
      <c r="B287">
        <v>20124558</v>
      </c>
      <c r="C287" s="6" t="s">
        <v>19</v>
      </c>
      <c r="D287">
        <v>63398</v>
      </c>
      <c r="E287" t="s">
        <v>267</v>
      </c>
      <c r="F287">
        <v>1032483118</v>
      </c>
      <c r="G287" t="s">
        <v>3361</v>
      </c>
      <c r="H287">
        <v>100149660</v>
      </c>
      <c r="I287">
        <v>202604</v>
      </c>
      <c r="J287">
        <v>1032494969</v>
      </c>
      <c r="K287" t="s">
        <v>270</v>
      </c>
      <c r="L287" t="s">
        <v>596</v>
      </c>
      <c r="M287" t="s">
        <v>271</v>
      </c>
      <c r="N287" t="s">
        <v>35</v>
      </c>
      <c r="O287" t="s">
        <v>26</v>
      </c>
      <c r="P287" t="s">
        <v>27</v>
      </c>
      <c r="Q287" t="s">
        <v>28</v>
      </c>
      <c r="R287" t="s">
        <v>29</v>
      </c>
      <c r="S287" t="s">
        <v>30</v>
      </c>
      <c r="T287">
        <v>1024464496</v>
      </c>
      <c r="U287" t="s">
        <v>4055</v>
      </c>
      <c r="V287" t="s">
        <v>4056</v>
      </c>
      <c r="W287" s="9">
        <f>IF(V287="pregrado",31,
IF(V287="posgrados",31,
IF(V287="rEINTEGROS",7,
IF(V287="BIT",90,
IF(V287="OP GRADO - INGLÉS",17,"")))))</f>
        <v>90</v>
      </c>
      <c r="X287" t="s">
        <v>4092</v>
      </c>
    </row>
    <row r="288" spans="1:24" ht="15" x14ac:dyDescent="0.35">
      <c r="A288" s="4">
        <v>46072.519513888888</v>
      </c>
      <c r="B288">
        <v>20124843</v>
      </c>
      <c r="C288" s="6" t="s">
        <v>19</v>
      </c>
      <c r="D288">
        <v>63409</v>
      </c>
      <c r="E288" t="s">
        <v>267</v>
      </c>
      <c r="F288">
        <v>1073231500</v>
      </c>
      <c r="G288" t="s">
        <v>3411</v>
      </c>
      <c r="H288">
        <v>100192678</v>
      </c>
      <c r="I288">
        <v>202604</v>
      </c>
      <c r="J288">
        <v>1073231500</v>
      </c>
      <c r="K288" t="s">
        <v>270</v>
      </c>
      <c r="L288" t="s">
        <v>3412</v>
      </c>
      <c r="M288" t="s">
        <v>271</v>
      </c>
      <c r="N288" t="s">
        <v>35</v>
      </c>
      <c r="O288" t="s">
        <v>26</v>
      </c>
      <c r="P288" t="s">
        <v>27</v>
      </c>
      <c r="Q288" t="s">
        <v>28</v>
      </c>
      <c r="R288" t="s">
        <v>29</v>
      </c>
      <c r="S288" t="s">
        <v>30</v>
      </c>
      <c r="T288">
        <v>52834109</v>
      </c>
      <c r="U288" t="s">
        <v>4019</v>
      </c>
      <c r="V288" t="s">
        <v>4020</v>
      </c>
      <c r="W288" s="9">
        <f>IF(V288="pregrado",31,
IF(V288="posgrados",31,
IF(V288="rEINTEGROS",7,
IF(V288="BIT",90,
IF(V288="OP GRADO - INGLÉS",17,"")))))</f>
        <v>17</v>
      </c>
      <c r="X288" t="s">
        <v>4018</v>
      </c>
    </row>
    <row r="289" spans="1:24" ht="15" x14ac:dyDescent="0.35">
      <c r="A289" s="4">
        <v>46069.71534722222</v>
      </c>
      <c r="B289">
        <v>20123834</v>
      </c>
      <c r="C289" s="6" t="s">
        <v>19</v>
      </c>
      <c r="D289">
        <v>63410</v>
      </c>
      <c r="E289" t="s">
        <v>267</v>
      </c>
      <c r="F289">
        <v>1073163625</v>
      </c>
      <c r="G289" t="s">
        <v>3257</v>
      </c>
      <c r="H289">
        <v>100246553</v>
      </c>
      <c r="I289">
        <v>202604</v>
      </c>
      <c r="J289">
        <v>466958</v>
      </c>
      <c r="K289" t="s">
        <v>189</v>
      </c>
      <c r="L289" t="s">
        <v>1258</v>
      </c>
      <c r="M289" t="s">
        <v>271</v>
      </c>
      <c r="N289" t="s">
        <v>35</v>
      </c>
      <c r="O289" t="s">
        <v>26</v>
      </c>
      <c r="P289" t="s">
        <v>27</v>
      </c>
      <c r="Q289" t="s">
        <v>28</v>
      </c>
      <c r="R289" t="s">
        <v>29</v>
      </c>
      <c r="S289" t="s">
        <v>30</v>
      </c>
      <c r="T289">
        <v>1019052150</v>
      </c>
      <c r="U289" t="s">
        <v>4055</v>
      </c>
      <c r="V289" t="s">
        <v>4056</v>
      </c>
      <c r="W289" s="9">
        <f>IF(V289="pregrado",31,
IF(V289="posgrados",31,
IF(V289="rEINTEGROS",7,
IF(V289="BIT",90,
IF(V289="OP GRADO - INGLÉS",17,"")))))</f>
        <v>90</v>
      </c>
      <c r="X289" t="s">
        <v>4074</v>
      </c>
    </row>
    <row r="290" spans="1:24" ht="15" x14ac:dyDescent="0.35">
      <c r="A290" s="4">
        <v>46070.826631944445</v>
      </c>
      <c r="B290">
        <v>20124293</v>
      </c>
      <c r="C290" s="6" t="s">
        <v>19</v>
      </c>
      <c r="D290">
        <v>63422</v>
      </c>
      <c r="E290" t="s">
        <v>267</v>
      </c>
      <c r="F290">
        <v>1018481834</v>
      </c>
      <c r="G290" t="s">
        <v>3324</v>
      </c>
      <c r="H290">
        <v>100184548</v>
      </c>
      <c r="I290">
        <v>202604</v>
      </c>
      <c r="J290">
        <v>1018481834</v>
      </c>
      <c r="K290" t="s">
        <v>270</v>
      </c>
      <c r="L290" t="s">
        <v>532</v>
      </c>
      <c r="M290" t="s">
        <v>271</v>
      </c>
      <c r="N290" t="s">
        <v>35</v>
      </c>
      <c r="O290" t="s">
        <v>26</v>
      </c>
      <c r="P290" t="s">
        <v>27</v>
      </c>
      <c r="Q290" t="s">
        <v>28</v>
      </c>
      <c r="R290" t="s">
        <v>29</v>
      </c>
      <c r="S290" t="s">
        <v>30</v>
      </c>
      <c r="T290">
        <v>1033714104</v>
      </c>
      <c r="U290" t="s">
        <v>4019</v>
      </c>
      <c r="V290" t="s">
        <v>4020</v>
      </c>
      <c r="W290" s="9">
        <f>IF(V290="pregrado",31,
IF(V290="posgrados",31,
IF(V290="rEINTEGROS",7,
IF(V290="BIT",90,
IF(V290="OP GRADO - INGLÉS",17,"")))))</f>
        <v>17</v>
      </c>
      <c r="X290" t="s">
        <v>4029</v>
      </c>
    </row>
    <row r="291" spans="1:24" ht="15" x14ac:dyDescent="0.35">
      <c r="A291" s="4">
        <v>46072.826747685183</v>
      </c>
      <c r="B291">
        <v>20125056</v>
      </c>
      <c r="C291" s="6" t="s">
        <v>19</v>
      </c>
      <c r="D291">
        <v>63430</v>
      </c>
      <c r="E291" t="s">
        <v>267</v>
      </c>
      <c r="F291">
        <v>1019083444</v>
      </c>
      <c r="G291" t="s">
        <v>3447</v>
      </c>
      <c r="H291">
        <v>100080087</v>
      </c>
      <c r="I291">
        <v>202604</v>
      </c>
      <c r="J291">
        <v>1019083444</v>
      </c>
      <c r="K291" t="s">
        <v>270</v>
      </c>
      <c r="L291" t="s">
        <v>595</v>
      </c>
      <c r="M291" t="s">
        <v>271</v>
      </c>
      <c r="N291" t="s">
        <v>35</v>
      </c>
      <c r="O291" t="s">
        <v>26</v>
      </c>
      <c r="P291" t="s">
        <v>27</v>
      </c>
      <c r="Q291" t="s">
        <v>28</v>
      </c>
      <c r="R291" t="s">
        <v>29</v>
      </c>
      <c r="S291" t="s">
        <v>30</v>
      </c>
      <c r="T291">
        <v>1024464496</v>
      </c>
      <c r="U291" t="s">
        <v>4055</v>
      </c>
      <c r="V291" t="s">
        <v>4056</v>
      </c>
      <c r="W291" s="9">
        <f>IF(V291="pregrado",31,
IF(V291="posgrados",31,
IF(V291="rEINTEGROS",7,
IF(V291="BIT",90,
IF(V291="OP GRADO - INGLÉS",17,"")))))</f>
        <v>90</v>
      </c>
      <c r="X291" t="s">
        <v>4092</v>
      </c>
    </row>
    <row r="292" spans="1:24" ht="15" x14ac:dyDescent="0.35">
      <c r="A292" s="4">
        <v>46070.721944444442</v>
      </c>
      <c r="B292">
        <v>20124245</v>
      </c>
      <c r="C292" s="6" t="s">
        <v>19</v>
      </c>
      <c r="D292">
        <v>63432</v>
      </c>
      <c r="E292" t="s">
        <v>267</v>
      </c>
      <c r="F292">
        <v>1006538927</v>
      </c>
      <c r="G292" t="s">
        <v>3320</v>
      </c>
      <c r="H292">
        <v>100246418</v>
      </c>
      <c r="I292">
        <v>202604</v>
      </c>
      <c r="J292">
        <v>1006538927</v>
      </c>
      <c r="K292" t="s">
        <v>23</v>
      </c>
      <c r="L292" t="s">
        <v>1258</v>
      </c>
      <c r="M292" t="s">
        <v>271</v>
      </c>
      <c r="N292" t="s">
        <v>35</v>
      </c>
      <c r="O292" t="s">
        <v>26</v>
      </c>
      <c r="P292" t="s">
        <v>27</v>
      </c>
      <c r="Q292" t="s">
        <v>28</v>
      </c>
      <c r="R292" t="s">
        <v>29</v>
      </c>
      <c r="S292" t="s">
        <v>30</v>
      </c>
      <c r="T292">
        <v>1000788047</v>
      </c>
      <c r="U292" t="s">
        <v>4055</v>
      </c>
      <c r="V292" t="s">
        <v>4056</v>
      </c>
      <c r="W292" s="9">
        <f>IF(V292="pregrado",31,
IF(V292="posgrados",31,
IF(V292="rEINTEGROS",7,
IF(V292="BIT",90,
IF(V292="OP GRADO - INGLÉS",17,"")))))</f>
        <v>90</v>
      </c>
      <c r="X292" t="s">
        <v>4068</v>
      </c>
    </row>
    <row r="293" spans="1:24" ht="15" x14ac:dyDescent="0.35">
      <c r="A293" s="4">
        <v>46070.831655092596</v>
      </c>
      <c r="B293">
        <v>20124295</v>
      </c>
      <c r="C293" s="6" t="s">
        <v>19</v>
      </c>
      <c r="D293">
        <v>63444</v>
      </c>
      <c r="E293" t="s">
        <v>267</v>
      </c>
      <c r="F293">
        <v>1097720506</v>
      </c>
      <c r="G293" t="s">
        <v>3325</v>
      </c>
      <c r="H293">
        <v>100151996</v>
      </c>
      <c r="I293">
        <v>202604</v>
      </c>
      <c r="J293">
        <v>1097720506</v>
      </c>
      <c r="K293" t="s">
        <v>270</v>
      </c>
      <c r="L293" t="s">
        <v>1521</v>
      </c>
      <c r="M293" t="s">
        <v>271</v>
      </c>
      <c r="N293" t="s">
        <v>35</v>
      </c>
      <c r="O293" t="s">
        <v>26</v>
      </c>
      <c r="P293" t="s">
        <v>27</v>
      </c>
      <c r="Q293" t="s">
        <v>28</v>
      </c>
      <c r="R293" t="s">
        <v>29</v>
      </c>
      <c r="S293" t="s">
        <v>30</v>
      </c>
      <c r="T293">
        <v>60345453</v>
      </c>
      <c r="U293" t="s">
        <v>4019</v>
      </c>
      <c r="V293" t="s">
        <v>4020</v>
      </c>
      <c r="W293" s="9">
        <f>IF(V293="pregrado",31,
IF(V293="posgrados",31,
IF(V293="rEINTEGROS",7,
IF(V293="BIT",90,
IF(V293="OP GRADO - INGLÉS",17,"")))))</f>
        <v>17</v>
      </c>
      <c r="X293" t="s">
        <v>4063</v>
      </c>
    </row>
    <row r="294" spans="1:24" ht="15" x14ac:dyDescent="0.35">
      <c r="A294" s="4">
        <v>46070.706770833334</v>
      </c>
      <c r="B294">
        <v>20124227</v>
      </c>
      <c r="C294" s="6" t="s">
        <v>19</v>
      </c>
      <c r="D294">
        <v>63446</v>
      </c>
      <c r="E294" t="s">
        <v>267</v>
      </c>
      <c r="F294">
        <v>36552174</v>
      </c>
      <c r="G294" t="s">
        <v>3317</v>
      </c>
      <c r="H294">
        <v>100233466</v>
      </c>
      <c r="I294">
        <v>202604</v>
      </c>
      <c r="J294">
        <v>1083024865</v>
      </c>
      <c r="K294" t="s">
        <v>270</v>
      </c>
      <c r="L294" t="s">
        <v>336</v>
      </c>
      <c r="M294" t="s">
        <v>271</v>
      </c>
      <c r="N294" t="s">
        <v>35</v>
      </c>
      <c r="O294" t="s">
        <v>26</v>
      </c>
      <c r="P294" t="s">
        <v>27</v>
      </c>
      <c r="Q294" t="s">
        <v>28</v>
      </c>
      <c r="R294" t="s">
        <v>29</v>
      </c>
      <c r="S294" t="s">
        <v>30</v>
      </c>
      <c r="T294">
        <v>60345453</v>
      </c>
      <c r="U294" t="s">
        <v>4019</v>
      </c>
      <c r="V294" t="s">
        <v>4020</v>
      </c>
      <c r="W294" s="9">
        <f>IF(V294="pregrado",31,
IF(V294="posgrados",31,
IF(V294="rEINTEGROS",7,
IF(V294="BIT",90,
IF(V294="OP GRADO - INGLÉS",17,"")))))</f>
        <v>17</v>
      </c>
      <c r="X294" t="s">
        <v>4063</v>
      </c>
    </row>
    <row r="295" spans="1:24" ht="15" x14ac:dyDescent="0.35">
      <c r="A295" s="4">
        <v>46077.418738425928</v>
      </c>
      <c r="B295">
        <v>20125911</v>
      </c>
      <c r="C295" s="6" t="s">
        <v>19</v>
      </c>
      <c r="D295">
        <v>63450</v>
      </c>
      <c r="E295" t="s">
        <v>267</v>
      </c>
      <c r="F295">
        <v>1052837115</v>
      </c>
      <c r="G295" t="s">
        <v>3583</v>
      </c>
      <c r="H295">
        <v>100222818</v>
      </c>
      <c r="I295">
        <v>202604</v>
      </c>
      <c r="J295">
        <v>1052837115</v>
      </c>
      <c r="K295" t="s">
        <v>23</v>
      </c>
      <c r="L295" t="s">
        <v>3584</v>
      </c>
      <c r="M295" t="s">
        <v>271</v>
      </c>
      <c r="N295" t="s">
        <v>35</v>
      </c>
      <c r="O295" t="s">
        <v>26</v>
      </c>
      <c r="P295" t="s">
        <v>27</v>
      </c>
      <c r="Q295" t="s">
        <v>28</v>
      </c>
      <c r="R295" t="s">
        <v>29</v>
      </c>
      <c r="S295" t="s">
        <v>30</v>
      </c>
      <c r="T295">
        <v>52221286</v>
      </c>
      <c r="U295" t="s">
        <v>4055</v>
      </c>
      <c r="V295" t="s">
        <v>4056</v>
      </c>
      <c r="W295" s="9">
        <f>IF(V295="pregrado",31,
IF(V295="posgrados",31,
IF(V295="rEINTEGROS",7,
IF(V295="BIT",90,
IF(V295="OP GRADO - INGLÉS",17,"")))))</f>
        <v>90</v>
      </c>
      <c r="X295" t="s">
        <v>4076</v>
      </c>
    </row>
    <row r="296" spans="1:24" ht="15" x14ac:dyDescent="0.35">
      <c r="A296" s="4">
        <v>46073.431550925925</v>
      </c>
      <c r="B296">
        <v>20125149</v>
      </c>
      <c r="C296" s="6" t="s">
        <v>19</v>
      </c>
      <c r="D296">
        <v>63454</v>
      </c>
      <c r="E296" t="s">
        <v>267</v>
      </c>
      <c r="F296">
        <v>66729777</v>
      </c>
      <c r="G296" t="s">
        <v>3458</v>
      </c>
      <c r="H296">
        <v>100129577</v>
      </c>
      <c r="I296">
        <v>202604</v>
      </c>
      <c r="J296">
        <v>66729777</v>
      </c>
      <c r="K296" t="s">
        <v>270</v>
      </c>
      <c r="L296" t="s">
        <v>486</v>
      </c>
      <c r="M296" t="s">
        <v>271</v>
      </c>
      <c r="N296" t="s">
        <v>35</v>
      </c>
      <c r="O296" t="s">
        <v>26</v>
      </c>
      <c r="P296" t="s">
        <v>27</v>
      </c>
      <c r="Q296" t="s">
        <v>28</v>
      </c>
      <c r="R296" t="s">
        <v>29</v>
      </c>
      <c r="S296" t="s">
        <v>30</v>
      </c>
      <c r="T296">
        <v>60345453</v>
      </c>
      <c r="U296" t="s">
        <v>4019</v>
      </c>
      <c r="V296" t="s">
        <v>4020</v>
      </c>
      <c r="W296" s="9">
        <f>IF(V296="pregrado",31,
IF(V296="posgrados",31,
IF(V296="rEINTEGROS",7,
IF(V296="BIT",90,
IF(V296="OP GRADO - INGLÉS",17,"")))))</f>
        <v>17</v>
      </c>
      <c r="X296" t="s">
        <v>4063</v>
      </c>
    </row>
    <row r="297" spans="1:24" ht="15" x14ac:dyDescent="0.35">
      <c r="A297" s="4">
        <v>46071.672349537039</v>
      </c>
      <c r="B297">
        <v>20124567</v>
      </c>
      <c r="C297" s="6" t="s">
        <v>19</v>
      </c>
      <c r="D297">
        <v>63455</v>
      </c>
      <c r="E297" t="s">
        <v>267</v>
      </c>
      <c r="F297">
        <v>1067952255</v>
      </c>
      <c r="G297" t="s">
        <v>3365</v>
      </c>
      <c r="H297">
        <v>100232745</v>
      </c>
      <c r="I297">
        <v>202604</v>
      </c>
      <c r="J297">
        <v>1067952255</v>
      </c>
      <c r="K297" t="s">
        <v>270</v>
      </c>
      <c r="L297" t="s">
        <v>373</v>
      </c>
      <c r="M297" t="s">
        <v>271</v>
      </c>
      <c r="N297" t="s">
        <v>35</v>
      </c>
      <c r="O297" t="s">
        <v>26</v>
      </c>
      <c r="P297" t="s">
        <v>27</v>
      </c>
      <c r="Q297" t="s">
        <v>28</v>
      </c>
      <c r="R297" t="s">
        <v>29</v>
      </c>
      <c r="S297" t="s">
        <v>30</v>
      </c>
      <c r="T297">
        <v>60345453</v>
      </c>
      <c r="U297" t="s">
        <v>4019</v>
      </c>
      <c r="V297" t="s">
        <v>4020</v>
      </c>
      <c r="W297" s="9">
        <f>IF(V297="pregrado",31,
IF(V297="posgrados",31,
IF(V297="rEINTEGROS",7,
IF(V297="BIT",90,
IF(V297="OP GRADO - INGLÉS",17,"")))))</f>
        <v>17</v>
      </c>
      <c r="X297" t="s">
        <v>4063</v>
      </c>
    </row>
    <row r="298" spans="1:24" ht="15" x14ac:dyDescent="0.35">
      <c r="A298" s="4">
        <v>46070.772870370369</v>
      </c>
      <c r="B298">
        <v>20124274</v>
      </c>
      <c r="C298" s="6" t="s">
        <v>19</v>
      </c>
      <c r="D298">
        <v>63470</v>
      </c>
      <c r="E298" t="s">
        <v>267</v>
      </c>
      <c r="F298">
        <v>13069543</v>
      </c>
      <c r="G298" t="s">
        <v>3322</v>
      </c>
      <c r="H298">
        <v>100246700</v>
      </c>
      <c r="I298">
        <v>202604</v>
      </c>
      <c r="J298">
        <v>13069543</v>
      </c>
      <c r="K298" t="s">
        <v>23</v>
      </c>
      <c r="L298" t="s">
        <v>808</v>
      </c>
      <c r="M298" t="s">
        <v>271</v>
      </c>
      <c r="N298" t="s">
        <v>35</v>
      </c>
      <c r="O298" t="s">
        <v>26</v>
      </c>
      <c r="P298" t="s">
        <v>27</v>
      </c>
      <c r="Q298" t="s">
        <v>28</v>
      </c>
      <c r="R298" t="s">
        <v>29</v>
      </c>
      <c r="S298" t="s">
        <v>30</v>
      </c>
      <c r="T298">
        <v>1019052150</v>
      </c>
      <c r="U298" t="s">
        <v>4055</v>
      </c>
      <c r="V298" t="s">
        <v>4056</v>
      </c>
      <c r="W298" s="9">
        <f>IF(V298="pregrado",31,
IF(V298="posgrados",31,
IF(V298="rEINTEGROS",7,
IF(V298="BIT",90,
IF(V298="OP GRADO - INGLÉS",17,"")))))</f>
        <v>90</v>
      </c>
      <c r="X298" t="s">
        <v>4074</v>
      </c>
    </row>
    <row r="299" spans="1:24" ht="15" x14ac:dyDescent="0.35">
      <c r="A299" s="4">
        <v>46070.684016203704</v>
      </c>
      <c r="B299">
        <v>20124208</v>
      </c>
      <c r="C299" s="6" t="s">
        <v>19</v>
      </c>
      <c r="D299">
        <v>63475</v>
      </c>
      <c r="E299" t="s">
        <v>267</v>
      </c>
      <c r="F299">
        <v>1036953422</v>
      </c>
      <c r="G299" t="s">
        <v>3316</v>
      </c>
      <c r="H299">
        <v>100186956</v>
      </c>
      <c r="I299">
        <v>202604</v>
      </c>
      <c r="J299">
        <v>1036953422</v>
      </c>
      <c r="K299" t="s">
        <v>23</v>
      </c>
      <c r="L299" t="s">
        <v>1414</v>
      </c>
      <c r="M299" t="s">
        <v>271</v>
      </c>
      <c r="N299" t="s">
        <v>35</v>
      </c>
      <c r="O299" t="s">
        <v>26</v>
      </c>
      <c r="P299" t="s">
        <v>27</v>
      </c>
      <c r="Q299" t="s">
        <v>28</v>
      </c>
      <c r="R299" t="s">
        <v>29</v>
      </c>
      <c r="S299" t="s">
        <v>30</v>
      </c>
      <c r="T299">
        <v>52221286</v>
      </c>
      <c r="U299" t="s">
        <v>4055</v>
      </c>
      <c r="V299" t="s">
        <v>4056</v>
      </c>
      <c r="W299" s="9">
        <f>IF(V299="pregrado",31,
IF(V299="posgrados",31,
IF(V299="rEINTEGROS",7,
IF(V299="BIT",90,
IF(V299="OP GRADO - INGLÉS",17,"")))))</f>
        <v>90</v>
      </c>
      <c r="X299" t="s">
        <v>4076</v>
      </c>
    </row>
    <row r="300" spans="1:24" ht="15" x14ac:dyDescent="0.35">
      <c r="A300" s="4">
        <v>46070.71534722222</v>
      </c>
      <c r="B300">
        <v>20124235</v>
      </c>
      <c r="C300" s="6" t="s">
        <v>19</v>
      </c>
      <c r="D300">
        <v>63476</v>
      </c>
      <c r="E300" t="s">
        <v>267</v>
      </c>
      <c r="F300">
        <v>41690632</v>
      </c>
      <c r="G300" t="s">
        <v>3318</v>
      </c>
      <c r="H300">
        <v>100078373</v>
      </c>
      <c r="I300">
        <v>202604</v>
      </c>
      <c r="J300">
        <v>1031172589</v>
      </c>
      <c r="K300" t="s">
        <v>23</v>
      </c>
      <c r="L300" t="s">
        <v>3319</v>
      </c>
      <c r="M300" t="s">
        <v>271</v>
      </c>
      <c r="N300" t="s">
        <v>35</v>
      </c>
      <c r="O300" t="s">
        <v>26</v>
      </c>
      <c r="P300" t="s">
        <v>27</v>
      </c>
      <c r="Q300" t="s">
        <v>28</v>
      </c>
      <c r="R300" t="s">
        <v>29</v>
      </c>
      <c r="S300" t="s">
        <v>30</v>
      </c>
      <c r="T300">
        <v>1123442099</v>
      </c>
      <c r="U300" t="s">
        <v>4055</v>
      </c>
      <c r="V300" t="s">
        <v>4056</v>
      </c>
      <c r="W300" s="9">
        <f>IF(V300="pregrado",31,
IF(V300="posgrados",31,
IF(V300="rEINTEGROS",7,
IF(V300="BIT",90,
IF(V300="OP GRADO - INGLÉS",17,"")))))</f>
        <v>90</v>
      </c>
      <c r="X300" t="s">
        <v>4089</v>
      </c>
    </row>
    <row r="301" spans="1:24" ht="15" x14ac:dyDescent="0.35">
      <c r="A301" s="4">
        <v>46070.865358796298</v>
      </c>
      <c r="B301">
        <v>20124306</v>
      </c>
      <c r="C301" s="6" t="s">
        <v>19</v>
      </c>
      <c r="D301">
        <v>63482</v>
      </c>
      <c r="E301" t="s">
        <v>267</v>
      </c>
      <c r="F301">
        <v>1014233494</v>
      </c>
      <c r="G301" t="s">
        <v>3327</v>
      </c>
      <c r="H301">
        <v>100152216</v>
      </c>
      <c r="I301">
        <v>202604</v>
      </c>
      <c r="J301">
        <v>1014233494</v>
      </c>
      <c r="K301" t="s">
        <v>270</v>
      </c>
      <c r="L301" t="s">
        <v>595</v>
      </c>
      <c r="M301" t="s">
        <v>271</v>
      </c>
      <c r="N301" t="s">
        <v>35</v>
      </c>
      <c r="O301" t="s">
        <v>26</v>
      </c>
      <c r="P301" t="s">
        <v>27</v>
      </c>
      <c r="Q301" t="s">
        <v>28</v>
      </c>
      <c r="R301" t="s">
        <v>29</v>
      </c>
      <c r="S301" t="s">
        <v>30</v>
      </c>
      <c r="T301">
        <v>1024464496</v>
      </c>
      <c r="U301" t="s">
        <v>4055</v>
      </c>
      <c r="V301" t="s">
        <v>4056</v>
      </c>
      <c r="W301" s="9">
        <f>IF(V301="pregrado",31,
IF(V301="posgrados",31,
IF(V301="rEINTEGROS",7,
IF(V301="BIT",90,
IF(V301="OP GRADO - INGLÉS",17,"")))))</f>
        <v>90</v>
      </c>
      <c r="X301" t="s">
        <v>4092</v>
      </c>
    </row>
    <row r="302" spans="1:24" ht="15" x14ac:dyDescent="0.35">
      <c r="A302" s="4">
        <v>46071.380312499998</v>
      </c>
      <c r="B302">
        <v>20124344</v>
      </c>
      <c r="C302" s="6" t="s">
        <v>19</v>
      </c>
      <c r="D302">
        <v>63504</v>
      </c>
      <c r="E302" t="s">
        <v>267</v>
      </c>
      <c r="F302">
        <v>1075687337</v>
      </c>
      <c r="G302" t="s">
        <v>3334</v>
      </c>
      <c r="H302">
        <v>100246821</v>
      </c>
      <c r="I302">
        <v>202604</v>
      </c>
      <c r="J302">
        <v>1075687337</v>
      </c>
      <c r="K302" t="s">
        <v>23</v>
      </c>
      <c r="L302" t="s">
        <v>1258</v>
      </c>
      <c r="M302" t="s">
        <v>271</v>
      </c>
      <c r="N302" t="s">
        <v>35</v>
      </c>
      <c r="O302" t="s">
        <v>26</v>
      </c>
      <c r="P302" t="s">
        <v>27</v>
      </c>
      <c r="Q302" t="s">
        <v>28</v>
      </c>
      <c r="R302" t="s">
        <v>29</v>
      </c>
      <c r="S302" t="s">
        <v>30</v>
      </c>
      <c r="T302">
        <v>1020808943</v>
      </c>
      <c r="U302" t="s">
        <v>4055</v>
      </c>
      <c r="V302" t="s">
        <v>4056</v>
      </c>
      <c r="W302" s="9">
        <f>IF(V302="pregrado",31,
IF(V302="posgrados",31,
IF(V302="rEINTEGROS",7,
IF(V302="BIT",90,
IF(V302="OP GRADO - INGLÉS",17,"")))))</f>
        <v>90</v>
      </c>
      <c r="X302" t="s">
        <v>4088</v>
      </c>
    </row>
    <row r="303" spans="1:24" ht="15" x14ac:dyDescent="0.35">
      <c r="A303" s="4">
        <v>46071.666967592595</v>
      </c>
      <c r="B303">
        <v>20124560</v>
      </c>
      <c r="C303" s="6" t="s">
        <v>19</v>
      </c>
      <c r="D303">
        <v>63505</v>
      </c>
      <c r="E303" t="s">
        <v>267</v>
      </c>
      <c r="F303">
        <v>1093746978</v>
      </c>
      <c r="G303" t="s">
        <v>3362</v>
      </c>
      <c r="H303">
        <v>100230667</v>
      </c>
      <c r="I303">
        <v>202604</v>
      </c>
      <c r="J303">
        <v>1093746978</v>
      </c>
      <c r="K303" t="s">
        <v>270</v>
      </c>
      <c r="L303" t="s">
        <v>589</v>
      </c>
      <c r="M303" t="s">
        <v>271</v>
      </c>
      <c r="N303" t="s">
        <v>35</v>
      </c>
      <c r="O303" t="s">
        <v>26</v>
      </c>
      <c r="P303" t="s">
        <v>27</v>
      </c>
      <c r="Q303" t="s">
        <v>28</v>
      </c>
      <c r="R303" t="s">
        <v>29</v>
      </c>
      <c r="S303" t="s">
        <v>30</v>
      </c>
      <c r="T303">
        <v>52834109</v>
      </c>
      <c r="U303" t="s">
        <v>4019</v>
      </c>
      <c r="V303" t="s">
        <v>4020</v>
      </c>
      <c r="W303" s="9">
        <f>IF(V303="pregrado",31,
IF(V303="posgrados",31,
IF(V303="rEINTEGROS",7,
IF(V303="BIT",90,
IF(V303="OP GRADO - INGLÉS",17,"")))))</f>
        <v>17</v>
      </c>
      <c r="X303" t="s">
        <v>4018</v>
      </c>
    </row>
    <row r="304" spans="1:24" ht="15" x14ac:dyDescent="0.35">
      <c r="A304" s="4">
        <v>46073.630891203706</v>
      </c>
      <c r="B304">
        <v>20125305</v>
      </c>
      <c r="C304" s="6" t="s">
        <v>19</v>
      </c>
      <c r="D304">
        <v>63507</v>
      </c>
      <c r="E304" t="s">
        <v>267</v>
      </c>
      <c r="F304">
        <v>1085926888</v>
      </c>
      <c r="G304" t="s">
        <v>3480</v>
      </c>
      <c r="H304">
        <v>100099945</v>
      </c>
      <c r="I304">
        <v>202604</v>
      </c>
      <c r="J304">
        <v>1085926888</v>
      </c>
      <c r="K304" t="s">
        <v>270</v>
      </c>
      <c r="L304" t="s">
        <v>596</v>
      </c>
      <c r="M304" t="s">
        <v>271</v>
      </c>
      <c r="N304" t="s">
        <v>35</v>
      </c>
      <c r="O304" t="s">
        <v>26</v>
      </c>
      <c r="P304" t="s">
        <v>27</v>
      </c>
      <c r="Q304" t="s">
        <v>28</v>
      </c>
      <c r="R304" t="s">
        <v>29</v>
      </c>
      <c r="S304" t="s">
        <v>30</v>
      </c>
      <c r="T304">
        <v>1033714104</v>
      </c>
      <c r="U304" t="s">
        <v>4019</v>
      </c>
      <c r="V304" t="s">
        <v>4020</v>
      </c>
      <c r="W304" s="9">
        <f>IF(V304="pregrado",31,
IF(V304="posgrados",31,
IF(V304="rEINTEGROS",7,
IF(V304="BIT",90,
IF(V304="OP GRADO - INGLÉS",17,"")))))</f>
        <v>17</v>
      </c>
      <c r="X304" t="s">
        <v>4029</v>
      </c>
    </row>
    <row r="305" spans="1:24" ht="15" x14ac:dyDescent="0.35">
      <c r="A305" s="4">
        <v>46072.622881944444</v>
      </c>
      <c r="B305">
        <v>20124900</v>
      </c>
      <c r="C305" s="6" t="s">
        <v>19</v>
      </c>
      <c r="D305">
        <v>63509</v>
      </c>
      <c r="E305" t="s">
        <v>267</v>
      </c>
      <c r="F305">
        <v>19331488</v>
      </c>
      <c r="G305" t="s">
        <v>3426</v>
      </c>
      <c r="H305">
        <v>100246799</v>
      </c>
      <c r="I305">
        <v>202604</v>
      </c>
      <c r="J305">
        <v>401420060</v>
      </c>
      <c r="K305" t="s">
        <v>23</v>
      </c>
      <c r="L305" t="s">
        <v>1258</v>
      </c>
      <c r="M305" t="s">
        <v>271</v>
      </c>
      <c r="N305" t="s">
        <v>35</v>
      </c>
      <c r="O305" t="s">
        <v>26</v>
      </c>
      <c r="P305" t="s">
        <v>27</v>
      </c>
      <c r="Q305" t="s">
        <v>28</v>
      </c>
      <c r="R305" t="s">
        <v>29</v>
      </c>
      <c r="S305" t="s">
        <v>30</v>
      </c>
      <c r="T305">
        <v>1018484247</v>
      </c>
      <c r="U305" t="s">
        <v>4055</v>
      </c>
      <c r="V305" t="s">
        <v>4056</v>
      </c>
      <c r="W305" s="9">
        <f>IF(V305="pregrado",31,
IF(V305="posgrados",31,
IF(V305="rEINTEGROS",7,
IF(V305="BIT",90,
IF(V305="OP GRADO - INGLÉS",17,"")))))</f>
        <v>90</v>
      </c>
      <c r="X305" t="s">
        <v>4069</v>
      </c>
    </row>
    <row r="306" spans="1:24" ht="15" x14ac:dyDescent="0.35">
      <c r="A306" s="4">
        <v>46071.447384259256</v>
      </c>
      <c r="B306">
        <v>20124402</v>
      </c>
      <c r="C306" s="6" t="s">
        <v>19</v>
      </c>
      <c r="D306">
        <v>63515</v>
      </c>
      <c r="E306" t="s">
        <v>267</v>
      </c>
      <c r="F306">
        <v>79973101</v>
      </c>
      <c r="G306" t="s">
        <v>3345</v>
      </c>
      <c r="H306">
        <v>100246842</v>
      </c>
      <c r="I306">
        <v>202604</v>
      </c>
      <c r="J306">
        <v>79973101</v>
      </c>
      <c r="K306" t="s">
        <v>23</v>
      </c>
      <c r="L306" t="s">
        <v>3319</v>
      </c>
      <c r="M306" t="s">
        <v>271</v>
      </c>
      <c r="N306" t="s">
        <v>35</v>
      </c>
      <c r="O306" t="s">
        <v>26</v>
      </c>
      <c r="P306" t="s">
        <v>27</v>
      </c>
      <c r="Q306" t="s">
        <v>28</v>
      </c>
      <c r="R306" t="s">
        <v>29</v>
      </c>
      <c r="S306" t="s">
        <v>30</v>
      </c>
      <c r="T306">
        <v>1020808943</v>
      </c>
      <c r="U306" t="s">
        <v>4055</v>
      </c>
      <c r="V306" t="s">
        <v>4056</v>
      </c>
      <c r="W306" s="9">
        <f>IF(V306="pregrado",31,
IF(V306="posgrados",31,
IF(V306="rEINTEGROS",7,
IF(V306="BIT",90,
IF(V306="OP GRADO - INGLÉS",17,"")))))</f>
        <v>90</v>
      </c>
      <c r="X306" t="s">
        <v>4088</v>
      </c>
    </row>
    <row r="307" spans="1:24" ht="15" x14ac:dyDescent="0.35">
      <c r="A307" s="4">
        <v>46071.689664351848</v>
      </c>
      <c r="B307">
        <v>20124582</v>
      </c>
      <c r="C307" s="6" t="s">
        <v>19</v>
      </c>
      <c r="D307">
        <v>63519</v>
      </c>
      <c r="E307" t="s">
        <v>267</v>
      </c>
      <c r="F307">
        <v>51802661</v>
      </c>
      <c r="G307" t="s">
        <v>3370</v>
      </c>
      <c r="H307">
        <v>100120815</v>
      </c>
      <c r="I307">
        <v>202604</v>
      </c>
      <c r="J307">
        <v>1032413456</v>
      </c>
      <c r="K307" t="s">
        <v>270</v>
      </c>
      <c r="L307" t="s">
        <v>763</v>
      </c>
      <c r="M307" t="s">
        <v>271</v>
      </c>
      <c r="N307" t="s">
        <v>35</v>
      </c>
      <c r="O307" t="s">
        <v>26</v>
      </c>
      <c r="P307" t="s">
        <v>27</v>
      </c>
      <c r="Q307" t="s">
        <v>28</v>
      </c>
      <c r="R307" t="s">
        <v>29</v>
      </c>
      <c r="S307" t="s">
        <v>30</v>
      </c>
      <c r="T307">
        <v>52834109</v>
      </c>
      <c r="U307" t="s">
        <v>4019</v>
      </c>
      <c r="V307" t="s">
        <v>4020</v>
      </c>
      <c r="W307" s="9">
        <f>IF(V307="pregrado",31,
IF(V307="posgrados",31,
IF(V307="rEINTEGROS",7,
IF(V307="BIT",90,
IF(V307="OP GRADO - INGLÉS",17,"")))))</f>
        <v>17</v>
      </c>
      <c r="X307" t="s">
        <v>4018</v>
      </c>
    </row>
    <row r="308" spans="1:24" ht="15" x14ac:dyDescent="0.35">
      <c r="A308" s="4">
        <v>46071.709502314814</v>
      </c>
      <c r="B308">
        <v>20124606</v>
      </c>
      <c r="C308" s="6" t="s">
        <v>19</v>
      </c>
      <c r="D308">
        <v>63523</v>
      </c>
      <c r="E308" t="s">
        <v>267</v>
      </c>
      <c r="F308">
        <v>51944278</v>
      </c>
      <c r="G308" t="s">
        <v>3375</v>
      </c>
      <c r="H308">
        <v>100134345</v>
      </c>
      <c r="I308">
        <v>202604</v>
      </c>
      <c r="J308">
        <v>51944278</v>
      </c>
      <c r="K308" t="s">
        <v>270</v>
      </c>
      <c r="L308" t="s">
        <v>3376</v>
      </c>
      <c r="M308" t="s">
        <v>271</v>
      </c>
      <c r="N308" t="s">
        <v>35</v>
      </c>
      <c r="O308" t="s">
        <v>26</v>
      </c>
      <c r="P308" t="s">
        <v>27</v>
      </c>
      <c r="Q308" t="s">
        <v>28</v>
      </c>
      <c r="R308" t="s">
        <v>29</v>
      </c>
      <c r="S308" t="s">
        <v>30</v>
      </c>
      <c r="T308">
        <v>52834109</v>
      </c>
      <c r="U308" t="s">
        <v>4019</v>
      </c>
      <c r="V308" t="s">
        <v>4020</v>
      </c>
      <c r="W308" s="9">
        <f>IF(V308="pregrado",31,
IF(V308="posgrados",31,
IF(V308="rEINTEGROS",7,
IF(V308="BIT",90,
IF(V308="OP GRADO - INGLÉS",17,"")))))</f>
        <v>17</v>
      </c>
      <c r="X308" t="s">
        <v>4018</v>
      </c>
    </row>
    <row r="309" spans="1:24" ht="15" x14ac:dyDescent="0.35">
      <c r="A309" s="4">
        <v>46072.590231481481</v>
      </c>
      <c r="B309">
        <v>20124873</v>
      </c>
      <c r="C309" s="6" t="s">
        <v>19</v>
      </c>
      <c r="D309">
        <v>63534</v>
      </c>
      <c r="E309" t="s">
        <v>267</v>
      </c>
      <c r="F309">
        <v>1028024835</v>
      </c>
      <c r="G309" t="s">
        <v>3419</v>
      </c>
      <c r="H309">
        <v>100148730</v>
      </c>
      <c r="I309">
        <v>202604</v>
      </c>
      <c r="J309">
        <v>1028024835</v>
      </c>
      <c r="K309" t="s">
        <v>270</v>
      </c>
      <c r="L309" t="s">
        <v>596</v>
      </c>
      <c r="M309" t="s">
        <v>271</v>
      </c>
      <c r="N309" t="s">
        <v>35</v>
      </c>
      <c r="O309" t="s">
        <v>26</v>
      </c>
      <c r="P309" t="s">
        <v>27</v>
      </c>
      <c r="Q309" t="s">
        <v>28</v>
      </c>
      <c r="R309" t="s">
        <v>29</v>
      </c>
      <c r="S309" t="s">
        <v>30</v>
      </c>
      <c r="T309">
        <v>60345453</v>
      </c>
      <c r="U309" t="s">
        <v>4019</v>
      </c>
      <c r="V309" t="s">
        <v>4020</v>
      </c>
      <c r="W309" s="9">
        <f>IF(V309="pregrado",31,
IF(V309="posgrados",31,
IF(V309="rEINTEGROS",7,
IF(V309="BIT",90,
IF(V309="OP GRADO - INGLÉS",17,"")))))</f>
        <v>17</v>
      </c>
      <c r="X309" t="s">
        <v>4063</v>
      </c>
    </row>
    <row r="310" spans="1:24" ht="15" x14ac:dyDescent="0.35">
      <c r="A310" s="4">
        <v>46072.369849537034</v>
      </c>
      <c r="B310">
        <v>20124712</v>
      </c>
      <c r="C310" s="6" t="s">
        <v>19</v>
      </c>
      <c r="D310">
        <v>63556</v>
      </c>
      <c r="E310" t="s">
        <v>267</v>
      </c>
      <c r="F310">
        <v>1001273811</v>
      </c>
      <c r="G310" t="s">
        <v>3383</v>
      </c>
      <c r="H310">
        <v>100148800</v>
      </c>
      <c r="I310">
        <v>202604</v>
      </c>
      <c r="J310">
        <v>1001273811</v>
      </c>
      <c r="K310" t="s">
        <v>270</v>
      </c>
      <c r="L310" t="s">
        <v>3376</v>
      </c>
      <c r="M310" t="s">
        <v>271</v>
      </c>
      <c r="N310" t="s">
        <v>35</v>
      </c>
      <c r="O310" t="s">
        <v>26</v>
      </c>
      <c r="P310" t="s">
        <v>27</v>
      </c>
      <c r="Q310" t="s">
        <v>28</v>
      </c>
      <c r="R310" t="s">
        <v>29</v>
      </c>
      <c r="S310" t="s">
        <v>30</v>
      </c>
      <c r="T310">
        <v>1024464496</v>
      </c>
      <c r="U310" t="s">
        <v>4055</v>
      </c>
      <c r="V310" t="s">
        <v>4056</v>
      </c>
      <c r="W310" s="9">
        <f>IF(V310="pregrado",31,
IF(V310="posgrados",31,
IF(V310="rEINTEGROS",7,
IF(V310="BIT",90,
IF(V310="OP GRADO - INGLÉS",17,"")))))</f>
        <v>90</v>
      </c>
      <c r="X310" t="s">
        <v>4092</v>
      </c>
    </row>
    <row r="311" spans="1:24" ht="15" x14ac:dyDescent="0.35">
      <c r="A311" s="4">
        <v>46072.467592592591</v>
      </c>
      <c r="B311">
        <v>20124796</v>
      </c>
      <c r="C311" s="6" t="s">
        <v>19</v>
      </c>
      <c r="D311">
        <v>63648</v>
      </c>
      <c r="E311" t="s">
        <v>267</v>
      </c>
      <c r="F311">
        <v>1011092122</v>
      </c>
      <c r="G311" t="s">
        <v>3401</v>
      </c>
      <c r="H311">
        <v>100244892</v>
      </c>
      <c r="I311">
        <v>202604</v>
      </c>
      <c r="J311">
        <v>1011092122</v>
      </c>
      <c r="K311" t="s">
        <v>23</v>
      </c>
      <c r="L311" t="s">
        <v>1258</v>
      </c>
      <c r="M311" t="s">
        <v>271</v>
      </c>
      <c r="N311" t="s">
        <v>35</v>
      </c>
      <c r="O311" t="s">
        <v>26</v>
      </c>
      <c r="P311" t="s">
        <v>27</v>
      </c>
      <c r="Q311" t="s">
        <v>28</v>
      </c>
      <c r="R311" t="s">
        <v>29</v>
      </c>
      <c r="S311" t="s">
        <v>30</v>
      </c>
      <c r="T311">
        <v>1014285426</v>
      </c>
      <c r="U311" t="s">
        <v>4055</v>
      </c>
      <c r="V311" t="s">
        <v>4056</v>
      </c>
      <c r="W311" s="9">
        <f>IF(V311="pregrado",31,
IF(V311="posgrados",31,
IF(V311="rEINTEGROS",7,
IF(V311="BIT",90,
IF(V311="OP GRADO - INGLÉS",17,"")))))</f>
        <v>90</v>
      </c>
      <c r="X311" t="s">
        <v>4081</v>
      </c>
    </row>
    <row r="312" spans="1:24" ht="15" x14ac:dyDescent="0.35">
      <c r="A312" s="4">
        <v>46072.671111111114</v>
      </c>
      <c r="B312">
        <v>20124944</v>
      </c>
      <c r="C312" s="6" t="s">
        <v>19</v>
      </c>
      <c r="D312">
        <v>63655</v>
      </c>
      <c r="E312" t="s">
        <v>267</v>
      </c>
      <c r="F312">
        <v>11200248</v>
      </c>
      <c r="G312" t="s">
        <v>3431</v>
      </c>
      <c r="H312">
        <v>100166966</v>
      </c>
      <c r="I312">
        <v>202604</v>
      </c>
      <c r="J312">
        <v>35195984</v>
      </c>
      <c r="K312" t="s">
        <v>270</v>
      </c>
      <c r="L312" t="s">
        <v>738</v>
      </c>
      <c r="M312" t="s">
        <v>271</v>
      </c>
      <c r="N312" t="s">
        <v>35</v>
      </c>
      <c r="O312" t="s">
        <v>26</v>
      </c>
      <c r="P312" t="s">
        <v>27</v>
      </c>
      <c r="Q312" t="s">
        <v>28</v>
      </c>
      <c r="R312" t="s">
        <v>29</v>
      </c>
      <c r="S312" t="s">
        <v>30</v>
      </c>
      <c r="T312">
        <v>1033714104</v>
      </c>
      <c r="U312" t="s">
        <v>4019</v>
      </c>
      <c r="V312" t="s">
        <v>4020</v>
      </c>
      <c r="W312" s="9">
        <f>IF(V312="pregrado",31,
IF(V312="posgrados",31,
IF(V312="rEINTEGROS",7,
IF(V312="BIT",90,
IF(V312="OP GRADO - INGLÉS",17,"")))))</f>
        <v>17</v>
      </c>
      <c r="X312" t="s">
        <v>4029</v>
      </c>
    </row>
    <row r="313" spans="1:24" ht="15" x14ac:dyDescent="0.35">
      <c r="A313" s="4">
        <v>46073.500347222223</v>
      </c>
      <c r="B313">
        <v>20125241</v>
      </c>
      <c r="C313" s="6" t="s">
        <v>19</v>
      </c>
      <c r="D313">
        <v>63676</v>
      </c>
      <c r="E313" t="s">
        <v>267</v>
      </c>
      <c r="F313">
        <v>1030557982</v>
      </c>
      <c r="G313" t="s">
        <v>3470</v>
      </c>
      <c r="H313">
        <v>100123322</v>
      </c>
      <c r="I313">
        <v>202604</v>
      </c>
      <c r="J313">
        <v>1030557982</v>
      </c>
      <c r="K313" t="s">
        <v>270</v>
      </c>
      <c r="L313" t="s">
        <v>336</v>
      </c>
      <c r="M313" t="s">
        <v>271</v>
      </c>
      <c r="N313" t="s">
        <v>35</v>
      </c>
      <c r="O313" t="s">
        <v>26</v>
      </c>
      <c r="P313" t="s">
        <v>27</v>
      </c>
      <c r="Q313" t="s">
        <v>28</v>
      </c>
      <c r="R313" t="s">
        <v>29</v>
      </c>
      <c r="S313" t="s">
        <v>30</v>
      </c>
      <c r="T313">
        <v>52834109</v>
      </c>
      <c r="U313" t="s">
        <v>4019</v>
      </c>
      <c r="V313" t="s">
        <v>4020</v>
      </c>
      <c r="W313" s="9">
        <f>IF(V313="pregrado",31,
IF(V313="posgrados",31,
IF(V313="rEINTEGROS",7,
IF(V313="BIT",90,
IF(V313="OP GRADO - INGLÉS",17,"")))))</f>
        <v>17</v>
      </c>
      <c r="X313" t="s">
        <v>4018</v>
      </c>
    </row>
    <row r="314" spans="1:24" ht="15" x14ac:dyDescent="0.35">
      <c r="A314" s="4">
        <v>46074.406631944446</v>
      </c>
      <c r="B314">
        <v>20125482</v>
      </c>
      <c r="C314" s="6" t="s">
        <v>19</v>
      </c>
      <c r="D314">
        <v>63678</v>
      </c>
      <c r="E314" t="s">
        <v>267</v>
      </c>
      <c r="F314">
        <v>74378977</v>
      </c>
      <c r="G314" t="s">
        <v>3509</v>
      </c>
      <c r="H314">
        <v>100207142</v>
      </c>
      <c r="I314">
        <v>202604</v>
      </c>
      <c r="J314">
        <v>74378977</v>
      </c>
      <c r="K314" t="s">
        <v>270</v>
      </c>
      <c r="L314" t="s">
        <v>336</v>
      </c>
      <c r="M314" t="s">
        <v>271</v>
      </c>
      <c r="N314" t="s">
        <v>35</v>
      </c>
      <c r="O314" t="s">
        <v>26</v>
      </c>
      <c r="P314" t="s">
        <v>27</v>
      </c>
      <c r="Q314" t="s">
        <v>28</v>
      </c>
      <c r="R314" t="s">
        <v>29</v>
      </c>
      <c r="S314" t="s">
        <v>30</v>
      </c>
      <c r="T314">
        <v>60345453</v>
      </c>
      <c r="U314" t="s">
        <v>4019</v>
      </c>
      <c r="V314" t="s">
        <v>4020</v>
      </c>
      <c r="W314" s="9">
        <f>IF(V314="pregrado",31,
IF(V314="posgrados",31,
IF(V314="rEINTEGROS",7,
IF(V314="BIT",90,
IF(V314="OP GRADO - INGLÉS",17,"")))))</f>
        <v>17</v>
      </c>
      <c r="X314" t="s">
        <v>4063</v>
      </c>
    </row>
    <row r="315" spans="1:24" ht="15" x14ac:dyDescent="0.35">
      <c r="A315" s="4">
        <v>46073.474606481483</v>
      </c>
      <c r="B315">
        <v>20125205</v>
      </c>
      <c r="C315" s="6" t="s">
        <v>19</v>
      </c>
      <c r="D315">
        <v>63681</v>
      </c>
      <c r="E315" t="s">
        <v>267</v>
      </c>
      <c r="F315">
        <v>1001016159</v>
      </c>
      <c r="G315" t="s">
        <v>3468</v>
      </c>
      <c r="H315">
        <v>100247185</v>
      </c>
      <c r="I315">
        <v>202604</v>
      </c>
      <c r="J315">
        <v>1001016159</v>
      </c>
      <c r="K315" t="s">
        <v>23</v>
      </c>
      <c r="L315" t="s">
        <v>1414</v>
      </c>
      <c r="M315" t="s">
        <v>271</v>
      </c>
      <c r="N315" t="s">
        <v>35</v>
      </c>
      <c r="O315" t="s">
        <v>26</v>
      </c>
      <c r="P315" t="s">
        <v>27</v>
      </c>
      <c r="Q315" t="s">
        <v>28</v>
      </c>
      <c r="R315" t="s">
        <v>29</v>
      </c>
      <c r="S315" t="s">
        <v>30</v>
      </c>
      <c r="T315">
        <v>1019052150</v>
      </c>
      <c r="U315" t="s">
        <v>4055</v>
      </c>
      <c r="V315" t="s">
        <v>4056</v>
      </c>
      <c r="W315" s="9">
        <f>IF(V315="pregrado",31,
IF(V315="posgrados",31,
IF(V315="rEINTEGROS",7,
IF(V315="BIT",90,
IF(V315="OP GRADO - INGLÉS",17,"")))))</f>
        <v>90</v>
      </c>
      <c r="X315" t="s">
        <v>4074</v>
      </c>
    </row>
    <row r="316" spans="1:24" ht="15" x14ac:dyDescent="0.35">
      <c r="A316" s="4">
        <v>46076.339317129627</v>
      </c>
      <c r="B316">
        <v>20125553</v>
      </c>
      <c r="C316" s="6" t="s">
        <v>19</v>
      </c>
      <c r="D316">
        <v>63692</v>
      </c>
      <c r="E316" t="s">
        <v>267</v>
      </c>
      <c r="F316">
        <v>1000644444</v>
      </c>
      <c r="G316" t="s">
        <v>3526</v>
      </c>
      <c r="H316">
        <v>100247213</v>
      </c>
      <c r="I316">
        <v>202604</v>
      </c>
      <c r="J316">
        <v>1000644444</v>
      </c>
      <c r="K316" t="s">
        <v>23</v>
      </c>
      <c r="L316" t="s">
        <v>808</v>
      </c>
      <c r="M316" t="s">
        <v>271</v>
      </c>
      <c r="N316" t="s">
        <v>35</v>
      </c>
      <c r="O316" t="s">
        <v>26</v>
      </c>
      <c r="P316" t="s">
        <v>27</v>
      </c>
      <c r="Q316" t="s">
        <v>28</v>
      </c>
      <c r="R316" t="s">
        <v>29</v>
      </c>
      <c r="S316" t="s">
        <v>30</v>
      </c>
      <c r="T316">
        <v>1000788047</v>
      </c>
      <c r="U316" t="s">
        <v>4055</v>
      </c>
      <c r="V316" t="s">
        <v>4056</v>
      </c>
      <c r="W316" s="9">
        <f>IF(V316="pregrado",31,
IF(V316="posgrados",31,
IF(V316="rEINTEGROS",7,
IF(V316="BIT",90,
IF(V316="OP GRADO - INGLÉS",17,"")))))</f>
        <v>90</v>
      </c>
      <c r="X316" t="s">
        <v>4068</v>
      </c>
    </row>
    <row r="317" spans="1:24" ht="15" x14ac:dyDescent="0.35">
      <c r="A317" s="4">
        <v>46076.712013888886</v>
      </c>
      <c r="B317">
        <v>20125791</v>
      </c>
      <c r="C317" s="6" t="s">
        <v>19</v>
      </c>
      <c r="D317">
        <v>63694</v>
      </c>
      <c r="E317" t="s">
        <v>267</v>
      </c>
      <c r="F317">
        <v>29875769</v>
      </c>
      <c r="G317" t="s">
        <v>3564</v>
      </c>
      <c r="H317">
        <v>100130017</v>
      </c>
      <c r="I317">
        <v>202604</v>
      </c>
      <c r="J317">
        <v>29875769</v>
      </c>
      <c r="K317" t="s">
        <v>270</v>
      </c>
      <c r="L317" t="s">
        <v>409</v>
      </c>
      <c r="M317" t="s">
        <v>271</v>
      </c>
      <c r="N317" t="s">
        <v>35</v>
      </c>
      <c r="O317" t="s">
        <v>26</v>
      </c>
      <c r="P317" t="s">
        <v>27</v>
      </c>
      <c r="Q317" t="s">
        <v>28</v>
      </c>
      <c r="R317" t="s">
        <v>29</v>
      </c>
      <c r="S317" t="s">
        <v>30</v>
      </c>
      <c r="T317">
        <v>1024464496</v>
      </c>
      <c r="U317" t="s">
        <v>4055</v>
      </c>
      <c r="V317" t="s">
        <v>4056</v>
      </c>
      <c r="W317" s="9">
        <f>IF(V317="pregrado",31,
IF(V317="posgrados",31,
IF(V317="rEINTEGROS",7,
IF(V317="BIT",90,
IF(V317="OP GRADO - INGLÉS",17,"")))))</f>
        <v>90</v>
      </c>
      <c r="X317" t="s">
        <v>4092</v>
      </c>
    </row>
    <row r="318" spans="1:24" ht="15" x14ac:dyDescent="0.35">
      <c r="A318" s="4">
        <v>46076.749236111114</v>
      </c>
      <c r="B318">
        <v>20125824</v>
      </c>
      <c r="C318" s="6" t="s">
        <v>19</v>
      </c>
      <c r="D318">
        <v>63699</v>
      </c>
      <c r="E318" t="s">
        <v>267</v>
      </c>
      <c r="F318">
        <v>1020452590</v>
      </c>
      <c r="G318" t="s">
        <v>3568</v>
      </c>
      <c r="H318">
        <v>100088854</v>
      </c>
      <c r="I318">
        <v>202604</v>
      </c>
      <c r="J318">
        <v>1000568620</v>
      </c>
      <c r="K318" t="s">
        <v>270</v>
      </c>
      <c r="L318" t="s">
        <v>596</v>
      </c>
      <c r="M318" t="s">
        <v>271</v>
      </c>
      <c r="N318" t="s">
        <v>35</v>
      </c>
      <c r="O318" t="s">
        <v>26</v>
      </c>
      <c r="P318" t="s">
        <v>27</v>
      </c>
      <c r="Q318" t="s">
        <v>28</v>
      </c>
      <c r="R318" t="s">
        <v>29</v>
      </c>
      <c r="S318" t="s">
        <v>30</v>
      </c>
      <c r="T318">
        <v>1033714104</v>
      </c>
      <c r="U318" t="s">
        <v>4019</v>
      </c>
      <c r="V318" t="s">
        <v>4020</v>
      </c>
      <c r="W318" s="9">
        <f>IF(V318="pregrado",31,
IF(V318="posgrados",31,
IF(V318="rEINTEGROS",7,
IF(V318="BIT",90,
IF(V318="OP GRADO - INGLÉS",17,"")))))</f>
        <v>17</v>
      </c>
      <c r="X318" t="s">
        <v>4029</v>
      </c>
    </row>
    <row r="319" spans="1:24" ht="15" x14ac:dyDescent="0.35">
      <c r="A319" s="4">
        <v>46077.459560185183</v>
      </c>
      <c r="B319">
        <v>20125941</v>
      </c>
      <c r="C319" s="6" t="s">
        <v>19</v>
      </c>
      <c r="D319">
        <v>63705</v>
      </c>
      <c r="E319" t="s">
        <v>267</v>
      </c>
      <c r="F319">
        <v>1020420325</v>
      </c>
      <c r="G319" t="s">
        <v>3592</v>
      </c>
      <c r="H319">
        <v>100247271</v>
      </c>
      <c r="I319">
        <v>202604</v>
      </c>
      <c r="J319">
        <v>1020420325</v>
      </c>
      <c r="K319" t="s">
        <v>23</v>
      </c>
      <c r="L319" t="s">
        <v>1066</v>
      </c>
      <c r="M319" t="s">
        <v>271</v>
      </c>
      <c r="N319" t="s">
        <v>35</v>
      </c>
      <c r="O319" t="s">
        <v>26</v>
      </c>
      <c r="P319" t="s">
        <v>27</v>
      </c>
      <c r="Q319" t="s">
        <v>28</v>
      </c>
      <c r="R319" t="s">
        <v>29</v>
      </c>
      <c r="S319" t="s">
        <v>30</v>
      </c>
      <c r="T319">
        <v>1000788047</v>
      </c>
      <c r="U319" t="s">
        <v>4055</v>
      </c>
      <c r="V319" t="s">
        <v>4056</v>
      </c>
      <c r="W319" s="9">
        <f>IF(V319="pregrado",31,
IF(V319="posgrados",31,
IF(V319="rEINTEGROS",7,
IF(V319="BIT",90,
IF(V319="OP GRADO - INGLÉS",17,"")))))</f>
        <v>90</v>
      </c>
      <c r="X319" t="s">
        <v>4068</v>
      </c>
    </row>
    <row r="320" spans="1:24" ht="15" x14ac:dyDescent="0.35">
      <c r="A320" s="4">
        <v>46078.523680555554</v>
      </c>
      <c r="B320">
        <v>20126242</v>
      </c>
      <c r="C320" s="6" t="s">
        <v>19</v>
      </c>
      <c r="D320">
        <v>63706</v>
      </c>
      <c r="E320" t="s">
        <v>267</v>
      </c>
      <c r="F320">
        <v>1130589366</v>
      </c>
      <c r="G320" t="s">
        <v>3630</v>
      </c>
      <c r="H320">
        <v>100247276</v>
      </c>
      <c r="I320">
        <v>202604</v>
      </c>
      <c r="J320">
        <v>1130589366</v>
      </c>
      <c r="K320" t="s">
        <v>23</v>
      </c>
      <c r="L320" t="s">
        <v>1015</v>
      </c>
      <c r="M320" t="s">
        <v>271</v>
      </c>
      <c r="N320" t="s">
        <v>35</v>
      </c>
      <c r="O320" t="s">
        <v>26</v>
      </c>
      <c r="P320" t="s">
        <v>27</v>
      </c>
      <c r="Q320" t="s">
        <v>28</v>
      </c>
      <c r="R320" t="s">
        <v>29</v>
      </c>
      <c r="S320" t="s">
        <v>30</v>
      </c>
      <c r="T320">
        <v>1014285426</v>
      </c>
      <c r="U320" t="s">
        <v>4055</v>
      </c>
      <c r="V320" t="s">
        <v>4056</v>
      </c>
      <c r="W320" s="9">
        <f>IF(V320="pregrado",31,
IF(V320="posgrados",31,
IF(V320="rEINTEGROS",7,
IF(V320="BIT",90,
IF(V320="OP GRADO - INGLÉS",17,"")))))</f>
        <v>90</v>
      </c>
      <c r="X320" t="s">
        <v>4081</v>
      </c>
    </row>
    <row r="321" spans="1:24" ht="15" x14ac:dyDescent="0.35">
      <c r="A321" s="4">
        <v>46076.35533564815</v>
      </c>
      <c r="B321">
        <v>20125557</v>
      </c>
      <c r="C321" s="6" t="s">
        <v>19</v>
      </c>
      <c r="D321">
        <v>63709</v>
      </c>
      <c r="E321" t="s">
        <v>267</v>
      </c>
      <c r="F321">
        <v>1042998930</v>
      </c>
      <c r="G321" t="s">
        <v>3527</v>
      </c>
      <c r="H321">
        <v>100089938</v>
      </c>
      <c r="I321">
        <v>202604</v>
      </c>
      <c r="J321">
        <v>1043009641</v>
      </c>
      <c r="K321" t="s">
        <v>270</v>
      </c>
      <c r="L321" t="s">
        <v>1061</v>
      </c>
      <c r="M321" t="s">
        <v>271</v>
      </c>
      <c r="N321" t="s">
        <v>35</v>
      </c>
      <c r="O321" t="s">
        <v>26</v>
      </c>
      <c r="P321" t="s">
        <v>27</v>
      </c>
      <c r="Q321" t="s">
        <v>28</v>
      </c>
      <c r="R321" t="s">
        <v>29</v>
      </c>
      <c r="S321" t="s">
        <v>30</v>
      </c>
      <c r="T321">
        <v>1024464496</v>
      </c>
      <c r="U321" t="s">
        <v>4055</v>
      </c>
      <c r="V321" t="s">
        <v>4056</v>
      </c>
      <c r="W321" s="9">
        <f>IF(V321="pregrado",31,
IF(V321="posgrados",31,
IF(V321="rEINTEGROS",7,
IF(V321="BIT",90,
IF(V321="OP GRADO - INGLÉS",17,"")))))</f>
        <v>90</v>
      </c>
      <c r="X321" t="s">
        <v>4092</v>
      </c>
    </row>
    <row r="322" spans="1:24" ht="15" x14ac:dyDescent="0.35">
      <c r="A322" s="4">
        <v>46077.50105324074</v>
      </c>
      <c r="B322">
        <v>20125972</v>
      </c>
      <c r="C322" s="6" t="s">
        <v>19</v>
      </c>
      <c r="D322">
        <v>63710</v>
      </c>
      <c r="E322" t="s">
        <v>267</v>
      </c>
      <c r="F322">
        <v>1053798475</v>
      </c>
      <c r="G322" t="s">
        <v>3599</v>
      </c>
      <c r="H322">
        <v>100140627</v>
      </c>
      <c r="I322">
        <v>202604</v>
      </c>
      <c r="J322">
        <v>1053775347</v>
      </c>
      <c r="K322" t="s">
        <v>270</v>
      </c>
      <c r="L322" t="s">
        <v>409</v>
      </c>
      <c r="M322" t="s">
        <v>271</v>
      </c>
      <c r="N322" t="s">
        <v>35</v>
      </c>
      <c r="O322" t="s">
        <v>26</v>
      </c>
      <c r="P322" t="s">
        <v>27</v>
      </c>
      <c r="Q322" t="s">
        <v>28</v>
      </c>
      <c r="R322" t="s">
        <v>29</v>
      </c>
      <c r="S322" t="s">
        <v>30</v>
      </c>
      <c r="T322">
        <v>1033714104</v>
      </c>
      <c r="U322" t="s">
        <v>4019</v>
      </c>
      <c r="V322" t="s">
        <v>4020</v>
      </c>
      <c r="W322" s="9">
        <f>IF(V322="pregrado",31,
IF(V322="posgrados",31,
IF(V322="rEINTEGROS",7,
IF(V322="BIT",90,
IF(V322="OP GRADO - INGLÉS",17,"")))))</f>
        <v>17</v>
      </c>
      <c r="X322" t="s">
        <v>4029</v>
      </c>
    </row>
    <row r="323" spans="1:24" ht="15" x14ac:dyDescent="0.35">
      <c r="A323" s="4">
        <v>46080.412418981483</v>
      </c>
      <c r="B323">
        <v>20126773</v>
      </c>
      <c r="C323" s="6" t="s">
        <v>19</v>
      </c>
      <c r="D323">
        <v>63719</v>
      </c>
      <c r="E323" t="s">
        <v>267</v>
      </c>
      <c r="F323">
        <v>1085320259</v>
      </c>
      <c r="G323" t="s">
        <v>3716</v>
      </c>
      <c r="H323">
        <v>100219933</v>
      </c>
      <c r="I323">
        <v>202604</v>
      </c>
      <c r="J323">
        <v>1085320259</v>
      </c>
      <c r="K323" t="s">
        <v>270</v>
      </c>
      <c r="L323" t="s">
        <v>513</v>
      </c>
      <c r="M323" t="s">
        <v>271</v>
      </c>
      <c r="N323" t="s">
        <v>35</v>
      </c>
      <c r="O323" t="s">
        <v>26</v>
      </c>
      <c r="P323" t="s">
        <v>27</v>
      </c>
      <c r="Q323" t="s">
        <v>28</v>
      </c>
      <c r="R323" t="s">
        <v>29</v>
      </c>
      <c r="S323" t="s">
        <v>30</v>
      </c>
      <c r="T323">
        <v>60345453</v>
      </c>
      <c r="U323" t="s">
        <v>4019</v>
      </c>
      <c r="V323" t="s">
        <v>4020</v>
      </c>
      <c r="W323" s="9">
        <f>IF(V323="pregrado",31,
IF(V323="posgrados",31,
IF(V323="rEINTEGROS",7,
IF(V323="BIT",90,
IF(V323="OP GRADO - INGLÉS",17,"")))))</f>
        <v>17</v>
      </c>
      <c r="X323" t="s">
        <v>4063</v>
      </c>
    </row>
    <row r="324" spans="1:24" ht="15" x14ac:dyDescent="0.35">
      <c r="A324" s="4">
        <v>46080.467349537037</v>
      </c>
      <c r="B324">
        <v>20126813</v>
      </c>
      <c r="C324" s="6" t="s">
        <v>19</v>
      </c>
      <c r="D324">
        <v>63736</v>
      </c>
      <c r="E324" t="s">
        <v>267</v>
      </c>
      <c r="F324">
        <v>1014190903</v>
      </c>
      <c r="G324" t="s">
        <v>3722</v>
      </c>
      <c r="H324">
        <v>100216919</v>
      </c>
      <c r="I324">
        <v>202604</v>
      </c>
      <c r="J324">
        <v>1018456986</v>
      </c>
      <c r="K324" t="s">
        <v>270</v>
      </c>
      <c r="L324" t="s">
        <v>3425</v>
      </c>
      <c r="M324" t="s">
        <v>271</v>
      </c>
      <c r="N324" t="s">
        <v>35</v>
      </c>
      <c r="O324" t="s">
        <v>26</v>
      </c>
      <c r="P324" t="s">
        <v>27</v>
      </c>
      <c r="Q324" t="s">
        <v>28</v>
      </c>
      <c r="R324" t="s">
        <v>29</v>
      </c>
      <c r="S324" t="s">
        <v>30</v>
      </c>
      <c r="T324">
        <v>1033714104</v>
      </c>
      <c r="U324" t="s">
        <v>4019</v>
      </c>
      <c r="V324" t="s">
        <v>4020</v>
      </c>
      <c r="W324" s="9">
        <f>IF(V324="pregrado",31,
IF(V324="posgrados",31,
IF(V324="rEINTEGROS",7,
IF(V324="BIT",90,
IF(V324="OP GRADO - INGLÉS",17,"")))))</f>
        <v>17</v>
      </c>
      <c r="X324" t="s">
        <v>4029</v>
      </c>
    </row>
    <row r="325" spans="1:24" ht="15" x14ac:dyDescent="0.35">
      <c r="A325" s="4">
        <v>46076.796087962961</v>
      </c>
      <c r="B325">
        <v>20125852</v>
      </c>
      <c r="C325" s="6" t="s">
        <v>19</v>
      </c>
      <c r="D325">
        <v>63743</v>
      </c>
      <c r="E325" t="s">
        <v>267</v>
      </c>
      <c r="F325">
        <v>1110511121</v>
      </c>
      <c r="G325" t="s">
        <v>3577</v>
      </c>
      <c r="H325">
        <v>100112487</v>
      </c>
      <c r="I325">
        <v>202604</v>
      </c>
      <c r="J325">
        <v>1110511121</v>
      </c>
      <c r="K325" t="s">
        <v>270</v>
      </c>
      <c r="L325" t="s">
        <v>492</v>
      </c>
      <c r="M325" t="s">
        <v>271</v>
      </c>
      <c r="N325" t="s">
        <v>35</v>
      </c>
      <c r="O325" t="s">
        <v>26</v>
      </c>
      <c r="P325" t="s">
        <v>27</v>
      </c>
      <c r="Q325" t="s">
        <v>28</v>
      </c>
      <c r="R325" t="s">
        <v>29</v>
      </c>
      <c r="S325" t="s">
        <v>30</v>
      </c>
      <c r="T325">
        <v>52834109</v>
      </c>
      <c r="U325" t="s">
        <v>4019</v>
      </c>
      <c r="V325" t="s">
        <v>4020</v>
      </c>
      <c r="W325" s="9">
        <f>IF(V325="pregrado",31,
IF(V325="posgrados",31,
IF(V325="rEINTEGROS",7,
IF(V325="BIT",90,
IF(V325="OP GRADO - INGLÉS",17,"")))))</f>
        <v>17</v>
      </c>
      <c r="X325" t="s">
        <v>4018</v>
      </c>
    </row>
    <row r="326" spans="1:24" ht="15" x14ac:dyDescent="0.35">
      <c r="A326" s="4">
        <v>46077.833368055559</v>
      </c>
      <c r="B326">
        <v>20126133</v>
      </c>
      <c r="C326" s="6" t="s">
        <v>19</v>
      </c>
      <c r="D326">
        <v>63744</v>
      </c>
      <c r="E326" t="s">
        <v>267</v>
      </c>
      <c r="F326">
        <v>52300725</v>
      </c>
      <c r="G326" t="s">
        <v>3622</v>
      </c>
      <c r="H326">
        <v>100247460</v>
      </c>
      <c r="I326">
        <v>202604</v>
      </c>
      <c r="J326">
        <v>1012387696</v>
      </c>
      <c r="K326" t="s">
        <v>23</v>
      </c>
      <c r="L326" t="s">
        <v>808</v>
      </c>
      <c r="M326" t="s">
        <v>271</v>
      </c>
      <c r="N326" t="s">
        <v>35</v>
      </c>
      <c r="O326" t="s">
        <v>26</v>
      </c>
      <c r="P326" t="s">
        <v>27</v>
      </c>
      <c r="Q326" t="s">
        <v>28</v>
      </c>
      <c r="R326" t="s">
        <v>29</v>
      </c>
      <c r="S326" t="s">
        <v>30</v>
      </c>
      <c r="T326">
        <v>1065824282</v>
      </c>
      <c r="U326" t="s">
        <v>4055</v>
      </c>
      <c r="V326" t="s">
        <v>4056</v>
      </c>
      <c r="W326" s="9">
        <f>IF(V326="pregrado",31,
IF(V326="posgrados",31,
IF(V326="rEINTEGROS",7,
IF(V326="BIT",90,
IF(V326="OP GRADO - INGLÉS",17,"")))))</f>
        <v>90</v>
      </c>
      <c r="X326" t="s">
        <v>4090</v>
      </c>
    </row>
    <row r="327" spans="1:24" ht="15" x14ac:dyDescent="0.35">
      <c r="A327" s="4">
        <v>46080.760057870371</v>
      </c>
      <c r="B327">
        <v>20126984</v>
      </c>
      <c r="C327" s="6" t="s">
        <v>19</v>
      </c>
      <c r="D327">
        <v>63750</v>
      </c>
      <c r="E327" t="s">
        <v>267</v>
      </c>
      <c r="F327">
        <v>65555769</v>
      </c>
      <c r="G327" t="s">
        <v>3751</v>
      </c>
      <c r="H327">
        <v>100192494</v>
      </c>
      <c r="I327">
        <v>202604</v>
      </c>
      <c r="J327">
        <v>1000286619</v>
      </c>
      <c r="K327" t="s">
        <v>270</v>
      </c>
      <c r="L327" t="s">
        <v>3425</v>
      </c>
      <c r="M327" t="s">
        <v>271</v>
      </c>
      <c r="N327">
        <v>0</v>
      </c>
      <c r="O327" t="s">
        <v>26</v>
      </c>
      <c r="P327" t="s">
        <v>27</v>
      </c>
      <c r="Q327" t="s">
        <v>28</v>
      </c>
      <c r="R327" t="s">
        <v>29</v>
      </c>
      <c r="S327" t="s">
        <v>30</v>
      </c>
      <c r="T327">
        <v>60345453</v>
      </c>
      <c r="U327" t="s">
        <v>4019</v>
      </c>
      <c r="V327" t="s">
        <v>4020</v>
      </c>
      <c r="W327" s="9">
        <f>IF(V327="pregrado",31,
IF(V327="posgrados",31,
IF(V327="rEINTEGROS",7,
IF(V327="BIT",90,
IF(V327="OP GRADO - INGLÉS",17,"")))))</f>
        <v>17</v>
      </c>
      <c r="X327" t="s">
        <v>4063</v>
      </c>
    </row>
    <row r="328" spans="1:24" ht="15" x14ac:dyDescent="0.35">
      <c r="A328" s="4">
        <v>46078.755601851852</v>
      </c>
      <c r="B328">
        <v>20126357</v>
      </c>
      <c r="C328" s="6" t="s">
        <v>19</v>
      </c>
      <c r="D328">
        <v>63771</v>
      </c>
      <c r="E328" t="s">
        <v>267</v>
      </c>
      <c r="F328">
        <v>94399711</v>
      </c>
      <c r="G328" t="s">
        <v>3645</v>
      </c>
      <c r="H328">
        <v>100247633</v>
      </c>
      <c r="I328">
        <v>202604</v>
      </c>
      <c r="J328">
        <v>1108338203</v>
      </c>
      <c r="K328" t="s">
        <v>23</v>
      </c>
      <c r="L328" t="s">
        <v>1015</v>
      </c>
      <c r="M328" t="s">
        <v>271</v>
      </c>
      <c r="N328" t="s">
        <v>35</v>
      </c>
      <c r="O328" t="s">
        <v>26</v>
      </c>
      <c r="P328" t="s">
        <v>27</v>
      </c>
      <c r="Q328" t="s">
        <v>28</v>
      </c>
      <c r="R328" t="s">
        <v>29</v>
      </c>
      <c r="S328" t="s">
        <v>30</v>
      </c>
      <c r="T328">
        <v>1065824282</v>
      </c>
      <c r="U328" t="s">
        <v>4055</v>
      </c>
      <c r="V328" t="s">
        <v>4056</v>
      </c>
      <c r="W328" s="9">
        <f>IF(V328="pregrado",31,
IF(V328="posgrados",31,
IF(V328="rEINTEGROS",7,
IF(V328="BIT",90,
IF(V328="OP GRADO - INGLÉS",17,"")))))</f>
        <v>90</v>
      </c>
      <c r="X328" t="s">
        <v>4090</v>
      </c>
    </row>
    <row r="329" spans="1:24" ht="15" x14ac:dyDescent="0.35">
      <c r="A329" s="4">
        <v>46078.556875000002</v>
      </c>
      <c r="B329">
        <v>20126257</v>
      </c>
      <c r="C329" s="6" t="s">
        <v>19</v>
      </c>
      <c r="D329">
        <v>63777</v>
      </c>
      <c r="E329" t="s">
        <v>267</v>
      </c>
      <c r="F329">
        <v>9528116</v>
      </c>
      <c r="G329" t="s">
        <v>3632</v>
      </c>
      <c r="H329">
        <v>100247724</v>
      </c>
      <c r="I329">
        <v>202604</v>
      </c>
      <c r="J329">
        <v>1098676336</v>
      </c>
      <c r="K329" t="s">
        <v>23</v>
      </c>
      <c r="L329" t="s">
        <v>1015</v>
      </c>
      <c r="M329" t="s">
        <v>271</v>
      </c>
      <c r="N329" t="s">
        <v>35</v>
      </c>
      <c r="O329" t="s">
        <v>26</v>
      </c>
      <c r="P329" t="s">
        <v>27</v>
      </c>
      <c r="Q329" t="s">
        <v>28</v>
      </c>
      <c r="R329" t="s">
        <v>29</v>
      </c>
      <c r="S329" t="s">
        <v>30</v>
      </c>
      <c r="T329">
        <v>1065824282</v>
      </c>
      <c r="U329" t="s">
        <v>4055</v>
      </c>
      <c r="V329" t="s">
        <v>4056</v>
      </c>
      <c r="W329" s="9">
        <f>IF(V329="pregrado",31,
IF(V329="posgrados",31,
IF(V329="rEINTEGROS",7,
IF(V329="BIT",90,
IF(V329="OP GRADO - INGLÉS",17,"")))))</f>
        <v>90</v>
      </c>
      <c r="X329" t="s">
        <v>4090</v>
      </c>
    </row>
    <row r="330" spans="1:24" ht="15" x14ac:dyDescent="0.35">
      <c r="A330" s="4">
        <v>46080.420925925922</v>
      </c>
      <c r="B330">
        <v>20126781</v>
      </c>
      <c r="C330" s="6" t="s">
        <v>19</v>
      </c>
      <c r="D330">
        <v>63779</v>
      </c>
      <c r="E330" t="s">
        <v>267</v>
      </c>
      <c r="F330">
        <v>1193208959</v>
      </c>
      <c r="G330" t="s">
        <v>3718</v>
      </c>
      <c r="H330">
        <v>100247726</v>
      </c>
      <c r="I330">
        <v>202604</v>
      </c>
      <c r="J330">
        <v>1023908891</v>
      </c>
      <c r="K330" t="s">
        <v>23</v>
      </c>
      <c r="L330" t="s">
        <v>1258</v>
      </c>
      <c r="M330" t="s">
        <v>271</v>
      </c>
      <c r="N330" t="s">
        <v>35</v>
      </c>
      <c r="O330" t="s">
        <v>26</v>
      </c>
      <c r="P330" t="s">
        <v>27</v>
      </c>
      <c r="Q330" t="s">
        <v>28</v>
      </c>
      <c r="R330" t="s">
        <v>29</v>
      </c>
      <c r="S330" t="s">
        <v>30</v>
      </c>
      <c r="T330">
        <v>1193566421</v>
      </c>
      <c r="U330" t="s">
        <v>4055</v>
      </c>
      <c r="V330" t="s">
        <v>4056</v>
      </c>
      <c r="W330" s="9">
        <f>IF(V330="pregrado",31,
IF(V330="posgrados",31,
IF(V330="rEINTEGROS",7,
IF(V330="BIT",90,
IF(V330="OP GRADO - INGLÉS",17,"")))))</f>
        <v>90</v>
      </c>
      <c r="X330" t="s">
        <v>4075</v>
      </c>
    </row>
    <row r="331" spans="1:24" ht="15" x14ac:dyDescent="0.35">
      <c r="A331" s="4">
        <v>46079.530648148146</v>
      </c>
      <c r="B331">
        <v>20126533</v>
      </c>
      <c r="C331" s="6" t="s">
        <v>19</v>
      </c>
      <c r="D331">
        <v>63788</v>
      </c>
      <c r="E331" t="s">
        <v>267</v>
      </c>
      <c r="F331">
        <v>1014274065</v>
      </c>
      <c r="G331" t="s">
        <v>3664</v>
      </c>
      <c r="H331">
        <v>100247781</v>
      </c>
      <c r="I331">
        <v>202604</v>
      </c>
      <c r="J331">
        <v>1014274065</v>
      </c>
      <c r="K331" t="s">
        <v>23</v>
      </c>
      <c r="L331" t="s">
        <v>1066</v>
      </c>
      <c r="M331" t="s">
        <v>271</v>
      </c>
      <c r="N331" t="s">
        <v>35</v>
      </c>
      <c r="O331" t="s">
        <v>26</v>
      </c>
      <c r="P331" t="s">
        <v>27</v>
      </c>
      <c r="Q331" t="s">
        <v>28</v>
      </c>
      <c r="R331" t="s">
        <v>29</v>
      </c>
      <c r="S331" t="s">
        <v>30</v>
      </c>
      <c r="T331">
        <v>1000788047</v>
      </c>
      <c r="U331" t="s">
        <v>4055</v>
      </c>
      <c r="V331" t="s">
        <v>4056</v>
      </c>
      <c r="W331" s="9">
        <f>IF(V331="pregrado",31,
IF(V331="posgrados",31,
IF(V331="rEINTEGROS",7,
IF(V331="BIT",90,
IF(V331="OP GRADO - INGLÉS",17,"")))))</f>
        <v>90</v>
      </c>
      <c r="X331" t="s">
        <v>4068</v>
      </c>
    </row>
    <row r="332" spans="1:24" ht="15" x14ac:dyDescent="0.35">
      <c r="A332" s="4">
        <v>46079.445393518516</v>
      </c>
      <c r="B332">
        <v>20126469</v>
      </c>
      <c r="C332" s="6" t="s">
        <v>19</v>
      </c>
      <c r="D332">
        <v>63794</v>
      </c>
      <c r="E332" t="s">
        <v>267</v>
      </c>
      <c r="F332">
        <v>1085939767</v>
      </c>
      <c r="G332" t="s">
        <v>3655</v>
      </c>
      <c r="H332">
        <v>100247832</v>
      </c>
      <c r="I332">
        <v>202604</v>
      </c>
      <c r="J332">
        <v>1085939767</v>
      </c>
      <c r="K332" t="s">
        <v>23</v>
      </c>
      <c r="L332" t="s">
        <v>808</v>
      </c>
      <c r="M332" t="s">
        <v>271</v>
      </c>
      <c r="N332" t="s">
        <v>35</v>
      </c>
      <c r="O332" t="s">
        <v>26</v>
      </c>
      <c r="P332" t="s">
        <v>27</v>
      </c>
      <c r="Q332" t="s">
        <v>28</v>
      </c>
      <c r="R332" t="s">
        <v>29</v>
      </c>
      <c r="S332" t="s">
        <v>30</v>
      </c>
      <c r="T332">
        <v>1065824282</v>
      </c>
      <c r="U332" t="s">
        <v>4055</v>
      </c>
      <c r="V332" t="s">
        <v>4056</v>
      </c>
      <c r="W332" s="9">
        <f>IF(V332="pregrado",31,
IF(V332="posgrados",31,
IF(V332="rEINTEGROS",7,
IF(V332="BIT",90,
IF(V332="OP GRADO - INGLÉS",17,"")))))</f>
        <v>90</v>
      </c>
      <c r="X332" t="s">
        <v>4090</v>
      </c>
    </row>
    <row r="333" spans="1:24" ht="15" x14ac:dyDescent="0.35">
      <c r="A333" s="4">
        <v>46083.626157407409</v>
      </c>
      <c r="B333">
        <v>20127261</v>
      </c>
      <c r="C333" s="6" t="s">
        <v>19</v>
      </c>
      <c r="D333">
        <v>63804</v>
      </c>
      <c r="E333" t="s">
        <v>267</v>
      </c>
      <c r="F333">
        <v>1065374205</v>
      </c>
      <c r="G333" t="s">
        <v>3787</v>
      </c>
      <c r="H333">
        <v>100065987</v>
      </c>
      <c r="I333">
        <v>202604</v>
      </c>
      <c r="J333">
        <v>1065374205</v>
      </c>
      <c r="K333" t="s">
        <v>270</v>
      </c>
      <c r="L333" t="s">
        <v>409</v>
      </c>
      <c r="M333" t="s">
        <v>271</v>
      </c>
      <c r="N333" t="s">
        <v>35</v>
      </c>
      <c r="O333" t="s">
        <v>26</v>
      </c>
      <c r="P333" t="s">
        <v>27</v>
      </c>
      <c r="Q333" t="s">
        <v>28</v>
      </c>
      <c r="R333" t="s">
        <v>29</v>
      </c>
      <c r="S333" t="s">
        <v>30</v>
      </c>
      <c r="T333">
        <v>52834109</v>
      </c>
      <c r="U333" t="s">
        <v>4019</v>
      </c>
      <c r="V333" t="s">
        <v>4020</v>
      </c>
      <c r="W333" s="9">
        <f>IF(V333="pregrado",31,
IF(V333="posgrados",31,
IF(V333="rEINTEGROS",7,
IF(V333="BIT",90,
IF(V333="OP GRADO - INGLÉS",17,"")))))</f>
        <v>17</v>
      </c>
      <c r="X333" t="s">
        <v>4018</v>
      </c>
    </row>
    <row r="334" spans="1:24" ht="15" x14ac:dyDescent="0.35">
      <c r="A334" s="4">
        <v>46080.464270833334</v>
      </c>
      <c r="B334">
        <v>20126812</v>
      </c>
      <c r="C334" s="6" t="s">
        <v>19</v>
      </c>
      <c r="D334">
        <v>63816</v>
      </c>
      <c r="E334" t="s">
        <v>267</v>
      </c>
      <c r="F334">
        <v>1005571259</v>
      </c>
      <c r="G334" t="s">
        <v>3721</v>
      </c>
      <c r="H334">
        <v>100234098</v>
      </c>
      <c r="I334">
        <v>202604</v>
      </c>
      <c r="J334">
        <v>1005571259</v>
      </c>
      <c r="K334" t="s">
        <v>270</v>
      </c>
      <c r="L334" t="s">
        <v>336</v>
      </c>
      <c r="M334" t="s">
        <v>271</v>
      </c>
      <c r="N334" t="s">
        <v>35</v>
      </c>
      <c r="O334" t="s">
        <v>26</v>
      </c>
      <c r="P334" t="s">
        <v>27</v>
      </c>
      <c r="Q334" t="s">
        <v>28</v>
      </c>
      <c r="R334" t="s">
        <v>29</v>
      </c>
      <c r="S334" t="s">
        <v>30</v>
      </c>
      <c r="T334">
        <v>52834109</v>
      </c>
      <c r="U334" t="s">
        <v>4019</v>
      </c>
      <c r="V334" t="s">
        <v>4020</v>
      </c>
      <c r="W334" s="9">
        <f>IF(V334="pregrado",31,
IF(V334="posgrados",31,
IF(V334="rEINTEGROS",7,
IF(V334="BIT",90,
IF(V334="OP GRADO - INGLÉS",17,"")))))</f>
        <v>17</v>
      </c>
      <c r="X334" t="s">
        <v>4018</v>
      </c>
    </row>
    <row r="335" spans="1:24" ht="15" x14ac:dyDescent="0.35">
      <c r="A335" s="4">
        <v>46080.613703703704</v>
      </c>
      <c r="B335">
        <v>20126882</v>
      </c>
      <c r="C335" s="6" t="s">
        <v>19</v>
      </c>
      <c r="D335">
        <v>63817</v>
      </c>
      <c r="E335" t="s">
        <v>267</v>
      </c>
      <c r="F335">
        <v>1049372704</v>
      </c>
      <c r="G335" t="s">
        <v>3736</v>
      </c>
      <c r="H335">
        <v>100029996</v>
      </c>
      <c r="I335">
        <v>202604</v>
      </c>
      <c r="J335">
        <v>1049372704</v>
      </c>
      <c r="K335" t="s">
        <v>23</v>
      </c>
      <c r="L335" t="s">
        <v>1258</v>
      </c>
      <c r="M335" t="s">
        <v>271</v>
      </c>
      <c r="N335" t="s">
        <v>35</v>
      </c>
      <c r="O335" t="s">
        <v>26</v>
      </c>
      <c r="P335" t="s">
        <v>27</v>
      </c>
      <c r="Q335" t="s">
        <v>28</v>
      </c>
      <c r="R335" t="s">
        <v>29</v>
      </c>
      <c r="S335" t="s">
        <v>30</v>
      </c>
      <c r="T335">
        <v>52221286</v>
      </c>
      <c r="U335" t="s">
        <v>4055</v>
      </c>
      <c r="V335" t="s">
        <v>4056</v>
      </c>
      <c r="W335" s="9">
        <f>IF(V335="pregrado",31,
IF(V335="posgrados",31,
IF(V335="rEINTEGROS",7,
IF(V335="BIT",90,
IF(V335="OP GRADO - INGLÉS",17,"")))))</f>
        <v>90</v>
      </c>
      <c r="X335" t="s">
        <v>4076</v>
      </c>
    </row>
    <row r="336" spans="1:24" ht="15" x14ac:dyDescent="0.35">
      <c r="A336" s="4">
        <v>46080.596620370372</v>
      </c>
      <c r="B336">
        <v>20126872</v>
      </c>
      <c r="C336" s="6" t="s">
        <v>19</v>
      </c>
      <c r="D336">
        <v>63822</v>
      </c>
      <c r="E336" t="s">
        <v>267</v>
      </c>
      <c r="F336">
        <v>1134329802</v>
      </c>
      <c r="G336" t="s">
        <v>3731</v>
      </c>
      <c r="H336">
        <v>100247960</v>
      </c>
      <c r="I336">
        <v>202604</v>
      </c>
      <c r="J336">
        <v>1134329802</v>
      </c>
      <c r="K336" t="s">
        <v>23</v>
      </c>
      <c r="L336" t="s">
        <v>1414</v>
      </c>
      <c r="M336" t="s">
        <v>271</v>
      </c>
      <c r="N336" t="s">
        <v>35</v>
      </c>
      <c r="O336" t="s">
        <v>26</v>
      </c>
      <c r="P336" t="s">
        <v>27</v>
      </c>
      <c r="Q336" t="s">
        <v>28</v>
      </c>
      <c r="R336" t="s">
        <v>29</v>
      </c>
      <c r="S336" t="s">
        <v>30</v>
      </c>
      <c r="T336">
        <v>1018484247</v>
      </c>
      <c r="U336" t="s">
        <v>4055</v>
      </c>
      <c r="V336" t="s">
        <v>4056</v>
      </c>
      <c r="W336" s="9">
        <f>IF(V336="pregrado",31,
IF(V336="posgrados",31,
IF(V336="rEINTEGROS",7,
IF(V336="BIT",90,
IF(V336="OP GRADO - INGLÉS",17,"")))))</f>
        <v>90</v>
      </c>
      <c r="X336" t="s">
        <v>4069</v>
      </c>
    </row>
    <row r="337" spans="1:24" ht="15" x14ac:dyDescent="0.35">
      <c r="A337" s="4">
        <v>46080.633194444446</v>
      </c>
      <c r="B337">
        <v>20126895</v>
      </c>
      <c r="C337" s="6" t="s">
        <v>19</v>
      </c>
      <c r="D337">
        <v>63827</v>
      </c>
      <c r="E337" t="s">
        <v>267</v>
      </c>
      <c r="F337">
        <v>1032461890</v>
      </c>
      <c r="G337" t="s">
        <v>3737</v>
      </c>
      <c r="H337">
        <v>100247977</v>
      </c>
      <c r="I337">
        <v>202604</v>
      </c>
      <c r="J337">
        <v>1032461890</v>
      </c>
      <c r="K337" t="s">
        <v>23</v>
      </c>
      <c r="L337" t="s">
        <v>808</v>
      </c>
      <c r="M337" t="s">
        <v>271</v>
      </c>
      <c r="N337" t="s">
        <v>35</v>
      </c>
      <c r="O337" t="s">
        <v>26</v>
      </c>
      <c r="P337" t="s">
        <v>27</v>
      </c>
      <c r="Q337" t="s">
        <v>28</v>
      </c>
      <c r="R337" t="s">
        <v>29</v>
      </c>
      <c r="S337" t="s">
        <v>30</v>
      </c>
      <c r="T337">
        <v>1193566421</v>
      </c>
      <c r="U337" t="s">
        <v>4055</v>
      </c>
      <c r="V337" t="s">
        <v>4056</v>
      </c>
      <c r="W337" s="9">
        <f>IF(V337="pregrado",31,
IF(V337="posgrados",31,
IF(V337="rEINTEGROS",7,
IF(V337="BIT",90,
IF(V337="OP GRADO - INGLÉS",17,"")))))</f>
        <v>90</v>
      </c>
      <c r="X337" t="s">
        <v>4075</v>
      </c>
    </row>
    <row r="338" spans="1:24" ht="15" x14ac:dyDescent="0.35">
      <c r="A338" s="4">
        <v>46081.505891203706</v>
      </c>
      <c r="B338">
        <v>20127063</v>
      </c>
      <c r="C338" s="6" t="s">
        <v>19</v>
      </c>
      <c r="D338">
        <v>63831</v>
      </c>
      <c r="E338" t="s">
        <v>267</v>
      </c>
      <c r="F338">
        <v>52076726</v>
      </c>
      <c r="G338" t="s">
        <v>3760</v>
      </c>
      <c r="H338">
        <v>100248044</v>
      </c>
      <c r="I338">
        <v>202604</v>
      </c>
      <c r="J338">
        <v>1022956847</v>
      </c>
      <c r="K338" t="s">
        <v>23</v>
      </c>
      <c r="L338" t="s">
        <v>1414</v>
      </c>
      <c r="M338" t="s">
        <v>271</v>
      </c>
      <c r="N338" t="s">
        <v>35</v>
      </c>
      <c r="O338" t="s">
        <v>26</v>
      </c>
      <c r="P338" t="s">
        <v>27</v>
      </c>
      <c r="Q338" t="s">
        <v>28</v>
      </c>
      <c r="R338" t="s">
        <v>29</v>
      </c>
      <c r="S338" t="s">
        <v>30</v>
      </c>
      <c r="T338">
        <v>1018484247</v>
      </c>
      <c r="U338" t="s">
        <v>4055</v>
      </c>
      <c r="V338" t="s">
        <v>4056</v>
      </c>
      <c r="W338" s="9">
        <f>IF(V338="pregrado",31,
IF(V338="posgrados",31,
IF(V338="rEINTEGROS",7,
IF(V338="BIT",90,
IF(V338="OP GRADO - INGLÉS",17,"")))))</f>
        <v>90</v>
      </c>
      <c r="X338" t="s">
        <v>4069</v>
      </c>
    </row>
    <row r="339" spans="1:24" ht="15" x14ac:dyDescent="0.35">
      <c r="A339" s="4">
        <v>46087.430300925924</v>
      </c>
      <c r="B339">
        <v>20127870</v>
      </c>
      <c r="C339" s="6" t="s">
        <v>19</v>
      </c>
      <c r="D339">
        <v>63834</v>
      </c>
      <c r="E339" t="s">
        <v>267</v>
      </c>
      <c r="F339">
        <v>1121966148</v>
      </c>
      <c r="G339" t="s">
        <v>3845</v>
      </c>
      <c r="H339">
        <v>100163716</v>
      </c>
      <c r="I339">
        <v>202604</v>
      </c>
      <c r="J339">
        <v>1014267022</v>
      </c>
      <c r="K339" t="s">
        <v>270</v>
      </c>
      <c r="L339" t="s">
        <v>3425</v>
      </c>
      <c r="M339" t="s">
        <v>271</v>
      </c>
      <c r="N339" t="s">
        <v>35</v>
      </c>
      <c r="O339" t="s">
        <v>26</v>
      </c>
      <c r="P339" t="s">
        <v>27</v>
      </c>
      <c r="Q339" t="s">
        <v>28</v>
      </c>
      <c r="R339" t="s">
        <v>29</v>
      </c>
      <c r="S339" t="s">
        <v>30</v>
      </c>
      <c r="T339">
        <v>52834109</v>
      </c>
      <c r="U339" t="s">
        <v>4019</v>
      </c>
      <c r="V339" t="s">
        <v>4020</v>
      </c>
      <c r="W339" s="9">
        <f>IF(V339="pregrado",31,
IF(V339="posgrados",31,
IF(V339="rEINTEGROS",7,
IF(V339="BIT",90,
IF(V339="OP GRADO - INGLÉS",17,"")))))</f>
        <v>17</v>
      </c>
      <c r="X339" t="s">
        <v>4018</v>
      </c>
    </row>
    <row r="340" spans="1:24" ht="15" x14ac:dyDescent="0.35">
      <c r="A340" s="4">
        <v>46083.676493055558</v>
      </c>
      <c r="B340">
        <v>20127288</v>
      </c>
      <c r="C340" s="6" t="s">
        <v>19</v>
      </c>
      <c r="D340">
        <v>63835</v>
      </c>
      <c r="E340" t="s">
        <v>267</v>
      </c>
      <c r="F340">
        <v>1054857785</v>
      </c>
      <c r="G340" t="s">
        <v>3788</v>
      </c>
      <c r="H340">
        <v>100248107</v>
      </c>
      <c r="I340">
        <v>202604</v>
      </c>
      <c r="J340">
        <v>1054857785</v>
      </c>
      <c r="K340" t="s">
        <v>23</v>
      </c>
      <c r="L340" t="s">
        <v>1066</v>
      </c>
      <c r="M340" t="s">
        <v>271</v>
      </c>
      <c r="N340" t="s">
        <v>35</v>
      </c>
      <c r="O340" t="s">
        <v>26</v>
      </c>
      <c r="P340" t="s">
        <v>27</v>
      </c>
      <c r="Q340" t="s">
        <v>28</v>
      </c>
      <c r="R340" t="s">
        <v>29</v>
      </c>
      <c r="S340" t="s">
        <v>30</v>
      </c>
      <c r="T340">
        <v>1193566421</v>
      </c>
      <c r="U340" t="s">
        <v>4055</v>
      </c>
      <c r="V340" t="s">
        <v>4056</v>
      </c>
      <c r="W340" s="9">
        <f>IF(V340="pregrado",31,
IF(V340="posgrados",31,
IF(V340="rEINTEGROS",7,
IF(V340="BIT",90,
IF(V340="OP GRADO - INGLÉS",17,"")))))</f>
        <v>90</v>
      </c>
      <c r="X340" t="s">
        <v>4075</v>
      </c>
    </row>
    <row r="341" spans="1:24" ht="15" x14ac:dyDescent="0.35">
      <c r="A341" s="4">
        <v>46084.735879629632</v>
      </c>
      <c r="B341">
        <v>20127507</v>
      </c>
      <c r="C341" s="6" t="s">
        <v>19</v>
      </c>
      <c r="D341">
        <v>63836</v>
      </c>
      <c r="E341" t="s">
        <v>267</v>
      </c>
      <c r="F341">
        <v>1019029922</v>
      </c>
      <c r="G341" t="s">
        <v>3808</v>
      </c>
      <c r="H341">
        <v>100248109</v>
      </c>
      <c r="I341">
        <v>202604</v>
      </c>
      <c r="J341">
        <v>1019029922</v>
      </c>
      <c r="K341" t="s">
        <v>23</v>
      </c>
      <c r="L341" t="s">
        <v>1015</v>
      </c>
      <c r="M341" t="s">
        <v>271</v>
      </c>
      <c r="N341" t="s">
        <v>35</v>
      </c>
      <c r="O341" t="s">
        <v>26</v>
      </c>
      <c r="P341" t="s">
        <v>27</v>
      </c>
      <c r="Q341" t="s">
        <v>28</v>
      </c>
      <c r="R341" t="s">
        <v>29</v>
      </c>
      <c r="S341" t="s">
        <v>30</v>
      </c>
      <c r="T341">
        <v>1000788047</v>
      </c>
      <c r="U341" t="s">
        <v>4055</v>
      </c>
      <c r="V341" t="s">
        <v>4056</v>
      </c>
      <c r="W341" s="9">
        <f>IF(V341="pregrado",31,
IF(V341="posgrados",31,
IF(V341="rEINTEGROS",7,
IF(V341="BIT",90,
IF(V341="OP GRADO - INGLÉS",17,"")))))</f>
        <v>90</v>
      </c>
      <c r="X341" t="s">
        <v>4068</v>
      </c>
    </row>
    <row r="342" spans="1:24" ht="15" x14ac:dyDescent="0.35">
      <c r="A342" s="4">
        <v>46084.818356481483</v>
      </c>
      <c r="B342">
        <v>20127530</v>
      </c>
      <c r="C342" s="6" t="s">
        <v>19</v>
      </c>
      <c r="D342">
        <v>63839</v>
      </c>
      <c r="E342" t="s">
        <v>267</v>
      </c>
      <c r="F342">
        <v>1065011746</v>
      </c>
      <c r="G342" t="s">
        <v>3811</v>
      </c>
      <c r="H342">
        <v>100225258</v>
      </c>
      <c r="I342">
        <v>202604</v>
      </c>
      <c r="J342">
        <v>1065011746</v>
      </c>
      <c r="K342" t="s">
        <v>270</v>
      </c>
      <c r="L342" t="s">
        <v>3425</v>
      </c>
      <c r="M342" t="s">
        <v>271</v>
      </c>
      <c r="N342" t="s">
        <v>35</v>
      </c>
      <c r="O342" t="s">
        <v>26</v>
      </c>
      <c r="P342" t="s">
        <v>27</v>
      </c>
      <c r="Q342" t="s">
        <v>28</v>
      </c>
      <c r="R342" t="s">
        <v>29</v>
      </c>
      <c r="S342" t="s">
        <v>30</v>
      </c>
      <c r="T342">
        <v>1033714104</v>
      </c>
      <c r="U342" t="s">
        <v>4019</v>
      </c>
      <c r="V342" t="s">
        <v>4020</v>
      </c>
      <c r="W342" s="9">
        <f>IF(V342="pregrado",31,
IF(V342="posgrados",31,
IF(V342="rEINTEGROS",7,
IF(V342="BIT",90,
IF(V342="OP GRADO - INGLÉS",17,"")))))</f>
        <v>17</v>
      </c>
      <c r="X342" t="s">
        <v>4029</v>
      </c>
    </row>
    <row r="343" spans="1:24" ht="15" x14ac:dyDescent="0.35">
      <c r="A343" s="4">
        <v>46084.486932870372</v>
      </c>
      <c r="B343">
        <v>20127412</v>
      </c>
      <c r="C343" s="6" t="s">
        <v>19</v>
      </c>
      <c r="D343">
        <v>63840</v>
      </c>
      <c r="E343" t="s">
        <v>267</v>
      </c>
      <c r="F343">
        <v>79849109</v>
      </c>
      <c r="G343" t="s">
        <v>3795</v>
      </c>
      <c r="H343">
        <v>100184785</v>
      </c>
      <c r="I343">
        <v>202604</v>
      </c>
      <c r="J343">
        <v>1019985328</v>
      </c>
      <c r="K343" t="s">
        <v>23</v>
      </c>
      <c r="L343" t="s">
        <v>1066</v>
      </c>
      <c r="M343" t="s">
        <v>271</v>
      </c>
      <c r="N343" t="s">
        <v>35</v>
      </c>
      <c r="O343" t="s">
        <v>26</v>
      </c>
      <c r="P343" t="s">
        <v>27</v>
      </c>
      <c r="Q343" t="s">
        <v>28</v>
      </c>
      <c r="R343" t="s">
        <v>29</v>
      </c>
      <c r="S343" t="s">
        <v>30</v>
      </c>
      <c r="T343">
        <v>1018484247</v>
      </c>
      <c r="U343" t="s">
        <v>4055</v>
      </c>
      <c r="V343" t="s">
        <v>4056</v>
      </c>
      <c r="W343" s="9">
        <f>IF(V343="pregrado",31,
IF(V343="posgrados",31,
IF(V343="rEINTEGROS",7,
IF(V343="BIT",90,
IF(V343="OP GRADO - INGLÉS",17,"")))))</f>
        <v>90</v>
      </c>
      <c r="X343" t="s">
        <v>4069</v>
      </c>
    </row>
    <row r="344" spans="1:24" ht="15" x14ac:dyDescent="0.35">
      <c r="A344" s="4">
        <v>46086.642361111109</v>
      </c>
      <c r="B344">
        <v>20127793</v>
      </c>
      <c r="C344" s="6" t="s">
        <v>19</v>
      </c>
      <c r="D344">
        <v>63848</v>
      </c>
      <c r="E344" t="s">
        <v>267</v>
      </c>
      <c r="F344">
        <v>1006321561</v>
      </c>
      <c r="G344" t="s">
        <v>3837</v>
      </c>
      <c r="H344">
        <v>100128602</v>
      </c>
      <c r="I344">
        <v>202604</v>
      </c>
      <c r="J344">
        <v>31436956</v>
      </c>
      <c r="K344" t="s">
        <v>270</v>
      </c>
      <c r="L344" t="s">
        <v>373</v>
      </c>
      <c r="M344" t="s">
        <v>271</v>
      </c>
      <c r="N344" t="s">
        <v>35</v>
      </c>
      <c r="O344" t="s">
        <v>26</v>
      </c>
      <c r="P344" t="s">
        <v>27</v>
      </c>
      <c r="Q344" t="s">
        <v>28</v>
      </c>
      <c r="R344" t="s">
        <v>29</v>
      </c>
      <c r="S344" t="s">
        <v>30</v>
      </c>
      <c r="T344">
        <v>52834109</v>
      </c>
      <c r="U344" t="s">
        <v>4019</v>
      </c>
      <c r="V344" t="s">
        <v>4020</v>
      </c>
      <c r="W344" s="9">
        <f>IF(V344="pregrado",31,
IF(V344="posgrados",31,
IF(V344="rEINTEGROS",7,
IF(V344="BIT",90,
IF(V344="OP GRADO - INGLÉS",17,"")))))</f>
        <v>17</v>
      </c>
      <c r="X344" t="s">
        <v>4018</v>
      </c>
    </row>
    <row r="345" spans="1:24" ht="15" x14ac:dyDescent="0.35">
      <c r="A345" s="4">
        <v>46086.375706018516</v>
      </c>
      <c r="B345">
        <v>20127729</v>
      </c>
      <c r="C345" s="6" t="s">
        <v>19</v>
      </c>
      <c r="D345">
        <v>63853</v>
      </c>
      <c r="E345" t="s">
        <v>267</v>
      </c>
      <c r="F345">
        <v>1061709428</v>
      </c>
      <c r="G345" t="s">
        <v>3826</v>
      </c>
      <c r="H345">
        <v>100248185</v>
      </c>
      <c r="I345">
        <v>202604</v>
      </c>
      <c r="J345">
        <v>1061709428</v>
      </c>
      <c r="K345" t="s">
        <v>23</v>
      </c>
      <c r="L345" t="s">
        <v>1258</v>
      </c>
      <c r="M345" t="s">
        <v>271</v>
      </c>
      <c r="N345" t="s">
        <v>35</v>
      </c>
      <c r="O345" t="s">
        <v>26</v>
      </c>
      <c r="P345" t="s">
        <v>27</v>
      </c>
      <c r="Q345" t="s">
        <v>28</v>
      </c>
      <c r="R345" t="s">
        <v>29</v>
      </c>
      <c r="S345" t="s">
        <v>30</v>
      </c>
      <c r="T345">
        <v>1123442099</v>
      </c>
      <c r="U345" t="s">
        <v>4055</v>
      </c>
      <c r="V345" t="s">
        <v>4056</v>
      </c>
      <c r="W345" s="9">
        <f>IF(V345="pregrado",31,
IF(V345="posgrados",31,
IF(V345="rEINTEGROS",7,
IF(V345="BIT",90,
IF(V345="OP GRADO - INGLÉS",17,"")))))</f>
        <v>90</v>
      </c>
      <c r="X345" t="s">
        <v>4089</v>
      </c>
    </row>
    <row r="346" spans="1:24" ht="15" x14ac:dyDescent="0.35">
      <c r="A346" s="4">
        <v>46085.531851851854</v>
      </c>
      <c r="B346">
        <v>20127605</v>
      </c>
      <c r="C346" s="6" t="s">
        <v>19</v>
      </c>
      <c r="D346">
        <v>63856</v>
      </c>
      <c r="E346" t="s">
        <v>267</v>
      </c>
      <c r="F346">
        <v>1001937250</v>
      </c>
      <c r="G346" t="s">
        <v>3817</v>
      </c>
      <c r="H346">
        <v>100248222</v>
      </c>
      <c r="I346">
        <v>202604</v>
      </c>
      <c r="J346">
        <v>1047396043</v>
      </c>
      <c r="K346" t="s">
        <v>23</v>
      </c>
      <c r="L346" t="s">
        <v>1015</v>
      </c>
      <c r="M346" t="s">
        <v>271</v>
      </c>
      <c r="N346" t="s">
        <v>35</v>
      </c>
      <c r="O346" t="s">
        <v>26</v>
      </c>
      <c r="P346" t="s">
        <v>27</v>
      </c>
      <c r="Q346" t="s">
        <v>28</v>
      </c>
      <c r="R346" t="s">
        <v>29</v>
      </c>
      <c r="S346" t="s">
        <v>30</v>
      </c>
      <c r="T346">
        <v>52221286</v>
      </c>
      <c r="U346" t="s">
        <v>4055</v>
      </c>
      <c r="V346" t="s">
        <v>4056</v>
      </c>
      <c r="W346" s="9">
        <f>IF(V346="pregrado",31,
IF(V346="posgrados",31,
IF(V346="rEINTEGROS",7,
IF(V346="BIT",90,
IF(V346="OP GRADO - INGLÉS",17,"")))))</f>
        <v>90</v>
      </c>
      <c r="X346" t="s">
        <v>4076</v>
      </c>
    </row>
    <row r="347" spans="1:24" ht="15" x14ac:dyDescent="0.35">
      <c r="A347" s="4">
        <v>46085.671689814815</v>
      </c>
      <c r="B347">
        <v>20127655</v>
      </c>
      <c r="C347" s="6" t="s">
        <v>19</v>
      </c>
      <c r="D347">
        <v>63862</v>
      </c>
      <c r="E347" t="s">
        <v>267</v>
      </c>
      <c r="F347">
        <v>1062295120</v>
      </c>
      <c r="G347" t="s">
        <v>3821</v>
      </c>
      <c r="H347">
        <v>100248248</v>
      </c>
      <c r="I347">
        <v>202604</v>
      </c>
      <c r="J347">
        <v>1062295120</v>
      </c>
      <c r="K347" t="s">
        <v>23</v>
      </c>
      <c r="L347" t="s">
        <v>1066</v>
      </c>
      <c r="M347" t="s">
        <v>271</v>
      </c>
      <c r="N347" t="s">
        <v>35</v>
      </c>
      <c r="O347" t="s">
        <v>26</v>
      </c>
      <c r="P347" t="s">
        <v>27</v>
      </c>
      <c r="Q347" t="s">
        <v>28</v>
      </c>
      <c r="R347" t="s">
        <v>29</v>
      </c>
      <c r="S347" t="s">
        <v>30</v>
      </c>
      <c r="T347">
        <v>1123442099</v>
      </c>
      <c r="U347" t="s">
        <v>4055</v>
      </c>
      <c r="V347" t="s">
        <v>4056</v>
      </c>
      <c r="W347" s="9">
        <f>IF(V347="pregrado",31,
IF(V347="posgrados",31,
IF(V347="rEINTEGROS",7,
IF(V347="BIT",90,
IF(V347="OP GRADO - INGLÉS",17,"")))))</f>
        <v>90</v>
      </c>
      <c r="X347" t="s">
        <v>4089</v>
      </c>
    </row>
    <row r="348" spans="1:24" ht="15" x14ac:dyDescent="0.35">
      <c r="A348" s="4">
        <v>46087.380416666667</v>
      </c>
      <c r="B348">
        <v>20127855</v>
      </c>
      <c r="C348" s="6" t="s">
        <v>19</v>
      </c>
      <c r="D348">
        <v>63865</v>
      </c>
      <c r="E348" t="s">
        <v>267</v>
      </c>
      <c r="F348">
        <v>1121861949</v>
      </c>
      <c r="G348" t="s">
        <v>3842</v>
      </c>
      <c r="H348">
        <v>100232150</v>
      </c>
      <c r="I348">
        <v>202604</v>
      </c>
      <c r="J348">
        <v>1018484247</v>
      </c>
      <c r="K348" t="s">
        <v>23</v>
      </c>
      <c r="L348" t="s">
        <v>1258</v>
      </c>
      <c r="M348" t="s">
        <v>271</v>
      </c>
      <c r="N348" t="s">
        <v>35</v>
      </c>
      <c r="O348" t="s">
        <v>26</v>
      </c>
      <c r="P348" t="s">
        <v>27</v>
      </c>
      <c r="Q348" t="s">
        <v>28</v>
      </c>
      <c r="R348" t="s">
        <v>29</v>
      </c>
      <c r="S348" t="s">
        <v>30</v>
      </c>
      <c r="T348">
        <v>1018484247</v>
      </c>
      <c r="U348" t="s">
        <v>4055</v>
      </c>
      <c r="V348" t="s">
        <v>4056</v>
      </c>
      <c r="W348" s="9">
        <f>IF(V348="pregrado",31,
IF(V348="posgrados",31,
IF(V348="rEINTEGROS",7,
IF(V348="BIT",90,
IF(V348="OP GRADO - INGLÉS",17,"")))))</f>
        <v>90</v>
      </c>
      <c r="X348" t="s">
        <v>4069</v>
      </c>
    </row>
    <row r="349" spans="1:24" x14ac:dyDescent="0.3">
      <c r="A349" s="4">
        <v>46086</v>
      </c>
      <c r="B349">
        <v>20127720</v>
      </c>
      <c r="C349" t="s">
        <v>19</v>
      </c>
      <c r="D349">
        <v>63879</v>
      </c>
      <c r="E349" t="s">
        <v>267</v>
      </c>
      <c r="F349">
        <v>1116246824</v>
      </c>
      <c r="G349" t="s">
        <v>4108</v>
      </c>
      <c r="H349">
        <v>100230563</v>
      </c>
      <c r="I349">
        <v>202605</v>
      </c>
      <c r="J349">
        <v>1116246824</v>
      </c>
      <c r="K349" t="s">
        <v>270</v>
      </c>
      <c r="L349" t="s">
        <v>589</v>
      </c>
      <c r="M349" t="s">
        <v>271</v>
      </c>
      <c r="N349" t="s">
        <v>35</v>
      </c>
      <c r="O349" t="s">
        <v>26</v>
      </c>
      <c r="P349" t="s">
        <v>27</v>
      </c>
      <c r="Q349" t="s">
        <v>28</v>
      </c>
      <c r="R349" t="s">
        <v>29</v>
      </c>
      <c r="S349" t="s">
        <v>793</v>
      </c>
      <c r="T349">
        <f>_xlfn.XLOOKUP(X349,Hoja2!D:D,Hoja2!A:A)</f>
        <v>60345453</v>
      </c>
      <c r="U349" t="str">
        <f>_xlfn.XLOOKUP(X349,Hoja2!D:D,Hoja2!B:B)</f>
        <v>JAVIER ORLANDO HERNANDEZ RIVERA</v>
      </c>
      <c r="V349" t="str">
        <f>_xlfn.XLOOKUP(X349,Hoja2!D:D,Hoja2!C:C)</f>
        <v>OP GRADO - INGLÉS</v>
      </c>
      <c r="W349" s="9">
        <f>IF(V349="pregrado",31,
IF(V349="posgrados",31,
IF(V349="rEINTEGROS",7,
IF(V349="BIT",90,
IF(V349="OP GRADO - INGLÉS",17,"")))))</f>
        <v>17</v>
      </c>
      <c r="X349" t="s">
        <v>4063</v>
      </c>
    </row>
    <row r="350" spans="1:24" x14ac:dyDescent="0.3">
      <c r="A350" s="4">
        <v>46089</v>
      </c>
      <c r="B350">
        <v>20128017</v>
      </c>
      <c r="C350" t="s">
        <v>19</v>
      </c>
      <c r="D350">
        <v>63880</v>
      </c>
      <c r="E350" t="s">
        <v>267</v>
      </c>
      <c r="F350">
        <v>1087195101</v>
      </c>
      <c r="G350" t="s">
        <v>4110</v>
      </c>
      <c r="H350">
        <v>100230956</v>
      </c>
      <c r="I350">
        <v>202605</v>
      </c>
      <c r="J350">
        <v>1087195101</v>
      </c>
      <c r="K350" t="s">
        <v>270</v>
      </c>
      <c r="L350" t="s">
        <v>3187</v>
      </c>
      <c r="M350" t="s">
        <v>271</v>
      </c>
      <c r="N350" t="s">
        <v>35</v>
      </c>
      <c r="O350" t="s">
        <v>26</v>
      </c>
      <c r="P350" t="s">
        <v>27</v>
      </c>
      <c r="Q350" t="s">
        <v>28</v>
      </c>
      <c r="R350" t="s">
        <v>29</v>
      </c>
      <c r="S350" t="s">
        <v>793</v>
      </c>
      <c r="T350">
        <f>_xlfn.XLOOKUP(X350,Hoja2!D:D,Hoja2!A:A)</f>
        <v>60345453</v>
      </c>
      <c r="U350" t="str">
        <f>_xlfn.XLOOKUP(X350,Hoja2!D:D,Hoja2!B:B)</f>
        <v>JAVIER ORLANDO HERNANDEZ RIVERA</v>
      </c>
      <c r="V350" t="str">
        <f>_xlfn.XLOOKUP(X350,Hoja2!D:D,Hoja2!C:C)</f>
        <v>OP GRADO - INGLÉS</v>
      </c>
      <c r="W350" s="9">
        <f>IF(V350="pregrado",31,
IF(V350="posgrados",31,
IF(V350="rEINTEGROS",7,
IF(V350="BIT",90,
IF(V350="OP GRADO - INGLÉS",17,"")))))</f>
        <v>17</v>
      </c>
      <c r="X350" t="s">
        <v>4063</v>
      </c>
    </row>
    <row r="351" spans="1:24" ht="15" x14ac:dyDescent="0.35">
      <c r="A351" s="4">
        <v>46086.463240740741</v>
      </c>
      <c r="B351">
        <v>20127751</v>
      </c>
      <c r="C351" s="6" t="s">
        <v>19</v>
      </c>
      <c r="D351">
        <v>63887</v>
      </c>
      <c r="E351" t="s">
        <v>267</v>
      </c>
      <c r="F351">
        <v>1019603217</v>
      </c>
      <c r="G351" t="s">
        <v>3830</v>
      </c>
      <c r="H351">
        <v>100248299</v>
      </c>
      <c r="I351">
        <v>202604</v>
      </c>
      <c r="J351">
        <v>1019603217</v>
      </c>
      <c r="K351" t="s">
        <v>23</v>
      </c>
      <c r="L351" t="s">
        <v>1066</v>
      </c>
      <c r="M351" t="s">
        <v>271</v>
      </c>
      <c r="N351" t="s">
        <v>35</v>
      </c>
      <c r="O351" t="s">
        <v>26</v>
      </c>
      <c r="P351" t="s">
        <v>27</v>
      </c>
      <c r="Q351" t="s">
        <v>28</v>
      </c>
      <c r="R351" t="s">
        <v>29</v>
      </c>
      <c r="S351" t="s">
        <v>30</v>
      </c>
      <c r="T351">
        <v>1123442099</v>
      </c>
      <c r="U351" t="s">
        <v>4055</v>
      </c>
      <c r="V351" t="s">
        <v>4056</v>
      </c>
      <c r="W351" s="9">
        <f>IF(V351="pregrado",31,
IF(V351="posgrados",31,
IF(V351="rEINTEGROS",7,
IF(V351="BIT",90,
IF(V351="OP GRADO - INGLÉS",17,"")))))</f>
        <v>90</v>
      </c>
      <c r="X351" t="s">
        <v>4089</v>
      </c>
    </row>
    <row r="352" spans="1:24" ht="15" x14ac:dyDescent="0.35">
      <c r="A352" s="4">
        <v>46086.636134259257</v>
      </c>
      <c r="B352">
        <v>20127790</v>
      </c>
      <c r="C352" s="6" t="s">
        <v>19</v>
      </c>
      <c r="D352">
        <v>63893</v>
      </c>
      <c r="E352" t="s">
        <v>267</v>
      </c>
      <c r="F352">
        <v>1053324673</v>
      </c>
      <c r="G352" t="s">
        <v>3836</v>
      </c>
      <c r="H352">
        <v>100248330</v>
      </c>
      <c r="I352">
        <v>202604</v>
      </c>
      <c r="J352">
        <v>1053324673</v>
      </c>
      <c r="K352" t="s">
        <v>23</v>
      </c>
      <c r="L352" t="s">
        <v>1258</v>
      </c>
      <c r="M352" t="s">
        <v>271</v>
      </c>
      <c r="N352" t="s">
        <v>35</v>
      </c>
      <c r="O352" t="s">
        <v>26</v>
      </c>
      <c r="P352" t="s">
        <v>27</v>
      </c>
      <c r="Q352" t="s">
        <v>28</v>
      </c>
      <c r="R352" t="s">
        <v>29</v>
      </c>
      <c r="S352" t="s">
        <v>30</v>
      </c>
      <c r="T352">
        <v>1193566421</v>
      </c>
      <c r="U352" t="s">
        <v>4055</v>
      </c>
      <c r="V352" t="s">
        <v>4056</v>
      </c>
      <c r="W352" s="9">
        <f>IF(V352="pregrado",31,
IF(V352="posgrados",31,
IF(V352="rEINTEGROS",7,
IF(V352="BIT",90,
IF(V352="OP GRADO - INGLÉS",17,"")))))</f>
        <v>90</v>
      </c>
      <c r="X352" t="s">
        <v>4075</v>
      </c>
    </row>
    <row r="353" spans="1:24" x14ac:dyDescent="0.3">
      <c r="A353" s="4">
        <v>46093</v>
      </c>
      <c r="B353">
        <v>20128394</v>
      </c>
      <c r="C353" t="s">
        <v>19</v>
      </c>
      <c r="D353">
        <v>63914</v>
      </c>
      <c r="E353" t="s">
        <v>267</v>
      </c>
      <c r="F353">
        <v>1003652178</v>
      </c>
      <c r="G353" t="s">
        <v>4121</v>
      </c>
      <c r="H353">
        <v>100178225</v>
      </c>
      <c r="I353">
        <v>202605</v>
      </c>
      <c r="J353">
        <v>1003652178</v>
      </c>
      <c r="K353" t="s">
        <v>270</v>
      </c>
      <c r="L353" t="s">
        <v>589</v>
      </c>
      <c r="M353" t="s">
        <v>271</v>
      </c>
      <c r="N353" t="s">
        <v>35</v>
      </c>
      <c r="O353" t="s">
        <v>26</v>
      </c>
      <c r="P353" t="s">
        <v>27</v>
      </c>
      <c r="Q353" t="s">
        <v>28</v>
      </c>
      <c r="R353" t="s">
        <v>29</v>
      </c>
      <c r="S353" t="s">
        <v>793</v>
      </c>
      <c r="T353">
        <f>_xlfn.XLOOKUP(X353,Hoja2!D:D,Hoja2!A:A)</f>
        <v>52834109</v>
      </c>
      <c r="U353" t="str">
        <f>_xlfn.XLOOKUP(X353,Hoja2!D:D,Hoja2!B:B)</f>
        <v>JAVIER ORLANDO HERNANDEZ RIVERA</v>
      </c>
      <c r="V353" t="str">
        <f>_xlfn.XLOOKUP(X353,Hoja2!D:D,Hoja2!C:C)</f>
        <v>OP GRADO - INGLÉS</v>
      </c>
      <c r="W353" s="9">
        <f>IF(V353="pregrado",31,
IF(V353="posgrados",31,
IF(V353="rEINTEGROS",7,
IF(V353="BIT",90,
IF(V353="OP GRADO - INGLÉS",17,"")))))</f>
        <v>17</v>
      </c>
      <c r="X353" t="s">
        <v>4018</v>
      </c>
    </row>
    <row r="354" spans="1:24" x14ac:dyDescent="0.3">
      <c r="A354" s="4">
        <v>46106</v>
      </c>
      <c r="B354">
        <v>20129439</v>
      </c>
      <c r="C354" t="s">
        <v>19</v>
      </c>
      <c r="D354">
        <v>63916</v>
      </c>
      <c r="E354" t="s">
        <v>267</v>
      </c>
      <c r="F354">
        <v>1007385075</v>
      </c>
      <c r="G354" t="s">
        <v>4269</v>
      </c>
      <c r="H354">
        <v>100220125</v>
      </c>
      <c r="I354">
        <v>202605</v>
      </c>
      <c r="J354">
        <v>1007385075</v>
      </c>
      <c r="K354" t="s">
        <v>270</v>
      </c>
      <c r="L354" t="s">
        <v>3187</v>
      </c>
      <c r="M354" t="s">
        <v>271</v>
      </c>
      <c r="N354" t="s">
        <v>35</v>
      </c>
      <c r="O354" t="s">
        <v>26</v>
      </c>
      <c r="P354" t="s">
        <v>27</v>
      </c>
      <c r="Q354" t="s">
        <v>28</v>
      </c>
      <c r="R354" t="s">
        <v>29</v>
      </c>
      <c r="S354" t="s">
        <v>793</v>
      </c>
      <c r="T354">
        <f>_xlfn.XLOOKUP(X354,Hoja2!D:D,Hoja2!A:A)</f>
        <v>1033714104</v>
      </c>
      <c r="U354" t="str">
        <f>_xlfn.XLOOKUP(X354,Hoja2!D:D,Hoja2!B:B)</f>
        <v>JAVIER ORLANDO HERNANDEZ RIVERA</v>
      </c>
      <c r="V354" t="str">
        <f>_xlfn.XLOOKUP(X354,Hoja2!D:D,Hoja2!C:C)</f>
        <v>OP GRADO - INGLÉS</v>
      </c>
      <c r="W354" s="9">
        <f>IF(V354="pregrado",31,
IF(V354="posgrados",31,
IF(V354="rEINTEGROS",7,
IF(V354="BIT",90,
IF(V354="OP GRADO - INGLÉS",17,"")))))</f>
        <v>17</v>
      </c>
      <c r="X354" t="s">
        <v>4029</v>
      </c>
    </row>
    <row r="355" spans="1:24" x14ac:dyDescent="0.3">
      <c r="A355" s="4">
        <v>46094</v>
      </c>
      <c r="B355">
        <v>20128517</v>
      </c>
      <c r="C355" t="s">
        <v>19</v>
      </c>
      <c r="D355">
        <v>63917</v>
      </c>
      <c r="E355" t="s">
        <v>267</v>
      </c>
      <c r="F355">
        <v>45542006</v>
      </c>
      <c r="G355" t="s">
        <v>4132</v>
      </c>
      <c r="H355">
        <v>100194166</v>
      </c>
      <c r="I355">
        <v>202605</v>
      </c>
      <c r="J355">
        <v>1042578818</v>
      </c>
      <c r="K355" t="s">
        <v>270</v>
      </c>
      <c r="L355" t="s">
        <v>532</v>
      </c>
      <c r="M355" t="s">
        <v>271</v>
      </c>
      <c r="N355" t="s">
        <v>35</v>
      </c>
      <c r="O355" t="s">
        <v>26</v>
      </c>
      <c r="P355" t="s">
        <v>27</v>
      </c>
      <c r="Q355" t="s">
        <v>28</v>
      </c>
      <c r="R355" t="s">
        <v>29</v>
      </c>
      <c r="S355" t="s">
        <v>793</v>
      </c>
      <c r="T355">
        <f>_xlfn.XLOOKUP(X355,Hoja2!D:D,Hoja2!A:A)</f>
        <v>1033714104</v>
      </c>
      <c r="U355" t="str">
        <f>_xlfn.XLOOKUP(X355,Hoja2!D:D,Hoja2!B:B)</f>
        <v>JAVIER ORLANDO HERNANDEZ RIVERA</v>
      </c>
      <c r="V355" t="str">
        <f>_xlfn.XLOOKUP(X355,Hoja2!D:D,Hoja2!C:C)</f>
        <v>OP GRADO - INGLÉS</v>
      </c>
      <c r="W355" s="9">
        <f>IF(V355="pregrado",31,
IF(V355="posgrados",31,
IF(V355="rEINTEGROS",7,
IF(V355="BIT",90,
IF(V355="OP GRADO - INGLÉS",17,"")))))</f>
        <v>17</v>
      </c>
      <c r="X355" t="s">
        <v>4029</v>
      </c>
    </row>
    <row r="356" spans="1:24" x14ac:dyDescent="0.3">
      <c r="A356" s="4">
        <v>46094</v>
      </c>
      <c r="B356">
        <v>20128500</v>
      </c>
      <c r="C356" t="s">
        <v>19</v>
      </c>
      <c r="D356">
        <v>63932</v>
      </c>
      <c r="E356" t="s">
        <v>267</v>
      </c>
      <c r="F356">
        <v>46385525</v>
      </c>
      <c r="G356" t="s">
        <v>4130</v>
      </c>
      <c r="H356">
        <v>100151020</v>
      </c>
      <c r="I356">
        <v>202605</v>
      </c>
      <c r="J356">
        <v>1057602314</v>
      </c>
      <c r="K356" t="s">
        <v>270</v>
      </c>
      <c r="L356" t="s">
        <v>409</v>
      </c>
      <c r="M356" t="s">
        <v>271</v>
      </c>
      <c r="N356" t="s">
        <v>35</v>
      </c>
      <c r="O356" t="s">
        <v>26</v>
      </c>
      <c r="P356" t="s">
        <v>27</v>
      </c>
      <c r="Q356" t="s">
        <v>28</v>
      </c>
      <c r="R356" t="s">
        <v>29</v>
      </c>
      <c r="S356" t="s">
        <v>793</v>
      </c>
      <c r="T356">
        <f>_xlfn.XLOOKUP(X356,Hoja2!D:D,Hoja2!A:A)</f>
        <v>1033714104</v>
      </c>
      <c r="U356" t="str">
        <f>_xlfn.XLOOKUP(X356,Hoja2!D:D,Hoja2!B:B)</f>
        <v>JAVIER ORLANDO HERNANDEZ RIVERA</v>
      </c>
      <c r="V356" t="str">
        <f>_xlfn.XLOOKUP(X356,Hoja2!D:D,Hoja2!C:C)</f>
        <v>OP GRADO - INGLÉS</v>
      </c>
      <c r="W356" s="9">
        <f>IF(V356="pregrado",31,
IF(V356="posgrados",31,
IF(V356="rEINTEGROS",7,
IF(V356="BIT",90,
IF(V356="OP GRADO - INGLÉS",17,"")))))</f>
        <v>17</v>
      </c>
      <c r="X356" t="s">
        <v>4029</v>
      </c>
    </row>
    <row r="357" spans="1:24" x14ac:dyDescent="0.3">
      <c r="A357" s="4">
        <v>46126</v>
      </c>
      <c r="B357">
        <v>20130960</v>
      </c>
      <c r="C357" t="s">
        <v>19</v>
      </c>
      <c r="D357">
        <v>63940</v>
      </c>
      <c r="E357" t="s">
        <v>267</v>
      </c>
      <c r="F357">
        <v>1054918609</v>
      </c>
      <c r="G357" t="s">
        <v>4564</v>
      </c>
      <c r="H357">
        <v>100146462</v>
      </c>
      <c r="I357">
        <v>202605</v>
      </c>
      <c r="J357">
        <v>1054918287</v>
      </c>
      <c r="K357" t="s">
        <v>270</v>
      </c>
      <c r="L357" t="s">
        <v>3412</v>
      </c>
      <c r="M357" t="s">
        <v>271</v>
      </c>
      <c r="N357" t="s">
        <v>35</v>
      </c>
      <c r="O357" t="s">
        <v>26</v>
      </c>
      <c r="P357" t="s">
        <v>27</v>
      </c>
      <c r="Q357" t="s">
        <v>28</v>
      </c>
      <c r="R357" t="s">
        <v>29</v>
      </c>
      <c r="S357" t="s">
        <v>793</v>
      </c>
      <c r="T357">
        <f>_xlfn.XLOOKUP(X357,Hoja2!D:D,Hoja2!A:A)</f>
        <v>1033714104</v>
      </c>
      <c r="U357" t="str">
        <f>_xlfn.XLOOKUP(X357,Hoja2!D:D,Hoja2!B:B)</f>
        <v>JAVIER ORLANDO HERNANDEZ RIVERA</v>
      </c>
      <c r="V357" t="str">
        <f>_xlfn.XLOOKUP(X357,Hoja2!D:D,Hoja2!C:C)</f>
        <v>OP GRADO - INGLÉS</v>
      </c>
      <c r="W357" s="9">
        <f>IF(V357="pregrado",31,
IF(V357="posgrados",31,
IF(V357="rEINTEGROS",7,
IF(V357="BIT",90,
IF(V357="OP GRADO - INGLÉS",17,"")))))</f>
        <v>17</v>
      </c>
      <c r="X357" t="s">
        <v>4029</v>
      </c>
    </row>
    <row r="358" spans="1:24" x14ac:dyDescent="0.3">
      <c r="A358" s="4">
        <v>46110</v>
      </c>
      <c r="B358">
        <v>20129700</v>
      </c>
      <c r="C358" t="s">
        <v>19</v>
      </c>
      <c r="D358">
        <v>63944</v>
      </c>
      <c r="E358" t="s">
        <v>267</v>
      </c>
      <c r="F358">
        <v>6024900</v>
      </c>
      <c r="G358" t="s">
        <v>4125</v>
      </c>
      <c r="H358">
        <v>100167198</v>
      </c>
      <c r="I358">
        <v>202605</v>
      </c>
      <c r="J358">
        <v>1028860460</v>
      </c>
      <c r="K358" t="s">
        <v>270</v>
      </c>
      <c r="L358" t="s">
        <v>4126</v>
      </c>
      <c r="M358" t="s">
        <v>271</v>
      </c>
      <c r="N358" t="s">
        <v>35</v>
      </c>
      <c r="O358" t="s">
        <v>26</v>
      </c>
      <c r="P358" t="s">
        <v>27</v>
      </c>
      <c r="Q358" t="s">
        <v>28</v>
      </c>
      <c r="R358" t="s">
        <v>29</v>
      </c>
      <c r="S358" t="s">
        <v>793</v>
      </c>
      <c r="T358">
        <f>_xlfn.XLOOKUP(X358,Hoja2!D:D,Hoja2!A:A)</f>
        <v>1033714104</v>
      </c>
      <c r="U358" t="str">
        <f>_xlfn.XLOOKUP(X358,Hoja2!D:D,Hoja2!B:B)</f>
        <v>JAVIER ORLANDO HERNANDEZ RIVERA</v>
      </c>
      <c r="V358" t="str">
        <f>_xlfn.XLOOKUP(X358,Hoja2!D:D,Hoja2!C:C)</f>
        <v>OP GRADO - INGLÉS</v>
      </c>
      <c r="W358" s="9">
        <f>IF(V358="pregrado",31,
IF(V358="posgrados",31,
IF(V358="rEINTEGROS",7,
IF(V358="BIT",90,
IF(V358="OP GRADO - INGLÉS",17,"")))))</f>
        <v>17</v>
      </c>
      <c r="X358" t="s">
        <v>4029</v>
      </c>
    </row>
    <row r="359" spans="1:24" x14ac:dyDescent="0.3">
      <c r="A359" s="4">
        <v>46091</v>
      </c>
      <c r="B359">
        <v>20128224</v>
      </c>
      <c r="C359" t="s">
        <v>19</v>
      </c>
      <c r="D359">
        <v>63945</v>
      </c>
      <c r="E359" t="s">
        <v>267</v>
      </c>
      <c r="F359">
        <v>1084846090</v>
      </c>
      <c r="G359" t="s">
        <v>4112</v>
      </c>
      <c r="H359">
        <v>100099079</v>
      </c>
      <c r="I359">
        <v>202605</v>
      </c>
      <c r="J359">
        <v>1084846090</v>
      </c>
      <c r="K359" t="s">
        <v>270</v>
      </c>
      <c r="L359" t="s">
        <v>589</v>
      </c>
      <c r="M359" t="s">
        <v>271</v>
      </c>
      <c r="N359" t="s">
        <v>35</v>
      </c>
      <c r="O359" t="s">
        <v>26</v>
      </c>
      <c r="P359" t="s">
        <v>27</v>
      </c>
      <c r="Q359" t="s">
        <v>28</v>
      </c>
      <c r="R359" t="s">
        <v>29</v>
      </c>
      <c r="S359" t="s">
        <v>793</v>
      </c>
      <c r="T359">
        <f>_xlfn.XLOOKUP(X359,Hoja2!D:D,Hoja2!A:A)</f>
        <v>1033714104</v>
      </c>
      <c r="U359" t="str">
        <f>_xlfn.XLOOKUP(X359,Hoja2!D:D,Hoja2!B:B)</f>
        <v>JAVIER ORLANDO HERNANDEZ RIVERA</v>
      </c>
      <c r="V359" t="str">
        <f>_xlfn.XLOOKUP(X359,Hoja2!D:D,Hoja2!C:C)</f>
        <v>OP GRADO - INGLÉS</v>
      </c>
      <c r="W359" s="9">
        <f>IF(V359="pregrado",31,
IF(V359="posgrados",31,
IF(V359="rEINTEGROS",7,
IF(V359="BIT",90,
IF(V359="OP GRADO - INGLÉS",17,"")))))</f>
        <v>17</v>
      </c>
      <c r="X359" t="s">
        <v>4029</v>
      </c>
    </row>
    <row r="360" spans="1:24" x14ac:dyDescent="0.3">
      <c r="A360" s="4">
        <v>46093</v>
      </c>
      <c r="B360">
        <v>20128465</v>
      </c>
      <c r="C360" t="s">
        <v>19</v>
      </c>
      <c r="D360">
        <v>63948</v>
      </c>
      <c r="E360" t="s">
        <v>267</v>
      </c>
      <c r="F360">
        <v>6024900</v>
      </c>
      <c r="G360" t="s">
        <v>4125</v>
      </c>
      <c r="H360">
        <v>100167198</v>
      </c>
      <c r="I360">
        <v>202605</v>
      </c>
      <c r="J360">
        <v>1028860460</v>
      </c>
      <c r="K360" t="s">
        <v>270</v>
      </c>
      <c r="L360" t="s">
        <v>4126</v>
      </c>
      <c r="M360" t="s">
        <v>271</v>
      </c>
      <c r="N360" t="s">
        <v>35</v>
      </c>
      <c r="O360" t="s">
        <v>26</v>
      </c>
      <c r="P360" t="s">
        <v>27</v>
      </c>
      <c r="Q360" t="s">
        <v>28</v>
      </c>
      <c r="R360" t="s">
        <v>29</v>
      </c>
      <c r="S360" t="s">
        <v>793</v>
      </c>
      <c r="T360">
        <f>_xlfn.XLOOKUP(X360,Hoja2!D:D,Hoja2!A:A)</f>
        <v>1033714104</v>
      </c>
      <c r="U360" t="str">
        <f>_xlfn.XLOOKUP(X360,Hoja2!D:D,Hoja2!B:B)</f>
        <v>JAVIER ORLANDO HERNANDEZ RIVERA</v>
      </c>
      <c r="V360" t="str">
        <f>_xlfn.XLOOKUP(X360,Hoja2!D:D,Hoja2!C:C)</f>
        <v>OP GRADO - INGLÉS</v>
      </c>
      <c r="W360" s="9">
        <f>IF(V360="pregrado",31,
IF(V360="posgrados",31,
IF(V360="rEINTEGROS",7,
IF(V360="BIT",90,
IF(V360="OP GRADO - INGLÉS",17,"")))))</f>
        <v>17</v>
      </c>
      <c r="X360" t="s">
        <v>4029</v>
      </c>
    </row>
    <row r="361" spans="1:24" x14ac:dyDescent="0.3">
      <c r="A361" s="4">
        <v>46126</v>
      </c>
      <c r="B361">
        <v>20131066</v>
      </c>
      <c r="C361" t="s">
        <v>19</v>
      </c>
      <c r="D361">
        <v>63955</v>
      </c>
      <c r="E361" t="s">
        <v>267</v>
      </c>
      <c r="F361">
        <v>1024593647</v>
      </c>
      <c r="G361" t="s">
        <v>4590</v>
      </c>
      <c r="H361">
        <v>100097491</v>
      </c>
      <c r="I361">
        <v>202605</v>
      </c>
      <c r="J361">
        <v>1024593647</v>
      </c>
      <c r="K361" t="s">
        <v>270</v>
      </c>
      <c r="L361" t="s">
        <v>1281</v>
      </c>
      <c r="M361" t="s">
        <v>271</v>
      </c>
      <c r="N361" t="s">
        <v>35</v>
      </c>
      <c r="O361" t="s">
        <v>26</v>
      </c>
      <c r="P361" t="s">
        <v>27</v>
      </c>
      <c r="Q361" t="s">
        <v>28</v>
      </c>
      <c r="R361" t="s">
        <v>29</v>
      </c>
      <c r="S361" t="s">
        <v>793</v>
      </c>
      <c r="T361">
        <f>_xlfn.XLOOKUP(X361,Hoja2!D:D,Hoja2!A:A)</f>
        <v>52834109</v>
      </c>
      <c r="U361" t="str">
        <f>_xlfn.XLOOKUP(X361,Hoja2!D:D,Hoja2!B:B)</f>
        <v>JAVIER ORLANDO HERNANDEZ RIVERA</v>
      </c>
      <c r="V361" t="str">
        <f>_xlfn.XLOOKUP(X361,Hoja2!D:D,Hoja2!C:C)</f>
        <v>OP GRADO - INGLÉS</v>
      </c>
      <c r="W361" s="9">
        <f>IF(V361="pregrado",31,
IF(V361="posgrados",31,
IF(V361="rEINTEGROS",7,
IF(V361="BIT",90,
IF(V361="OP GRADO - INGLÉS",17,"")))))</f>
        <v>17</v>
      </c>
      <c r="X361" t="s">
        <v>4018</v>
      </c>
    </row>
    <row r="362" spans="1:24" x14ac:dyDescent="0.3">
      <c r="A362" s="4">
        <v>46092</v>
      </c>
      <c r="B362">
        <v>20128280</v>
      </c>
      <c r="C362" t="s">
        <v>19</v>
      </c>
      <c r="D362">
        <v>63956</v>
      </c>
      <c r="E362" t="s">
        <v>267</v>
      </c>
      <c r="F362">
        <v>1023163198</v>
      </c>
      <c r="G362" t="s">
        <v>4113</v>
      </c>
      <c r="H362">
        <v>100194278</v>
      </c>
      <c r="I362">
        <v>202605</v>
      </c>
      <c r="J362">
        <v>1023163198</v>
      </c>
      <c r="K362" t="s">
        <v>270</v>
      </c>
      <c r="L362" t="s">
        <v>532</v>
      </c>
      <c r="M362" t="s">
        <v>271</v>
      </c>
      <c r="N362" t="s">
        <v>35</v>
      </c>
      <c r="O362" t="s">
        <v>26</v>
      </c>
      <c r="P362" t="s">
        <v>27</v>
      </c>
      <c r="Q362" t="s">
        <v>28</v>
      </c>
      <c r="R362" t="s">
        <v>29</v>
      </c>
      <c r="S362" t="s">
        <v>793</v>
      </c>
      <c r="T362">
        <f>_xlfn.XLOOKUP(X362,Hoja2!D:D,Hoja2!A:A)</f>
        <v>1033714104</v>
      </c>
      <c r="U362" t="str">
        <f>_xlfn.XLOOKUP(X362,Hoja2!D:D,Hoja2!B:B)</f>
        <v>JAVIER ORLANDO HERNANDEZ RIVERA</v>
      </c>
      <c r="V362" t="str">
        <f>_xlfn.XLOOKUP(X362,Hoja2!D:D,Hoja2!C:C)</f>
        <v>OP GRADO - INGLÉS</v>
      </c>
      <c r="W362" s="9">
        <f>IF(V362="pregrado",31,
IF(V362="posgrados",31,
IF(V362="rEINTEGROS",7,
IF(V362="BIT",90,
IF(V362="OP GRADO - INGLÉS",17,"")))))</f>
        <v>17</v>
      </c>
      <c r="X362" t="s">
        <v>4029</v>
      </c>
    </row>
    <row r="363" spans="1:24" x14ac:dyDescent="0.3">
      <c r="A363" s="4">
        <v>46112</v>
      </c>
      <c r="B363">
        <v>20129861</v>
      </c>
      <c r="C363" t="s">
        <v>19</v>
      </c>
      <c r="D363">
        <v>63964</v>
      </c>
      <c r="E363" t="s">
        <v>267</v>
      </c>
      <c r="F363">
        <v>32651874</v>
      </c>
      <c r="G363" t="s">
        <v>4358</v>
      </c>
      <c r="H363">
        <v>100217587</v>
      </c>
      <c r="I363">
        <v>202605</v>
      </c>
      <c r="J363">
        <v>55238622</v>
      </c>
      <c r="K363" t="s">
        <v>270</v>
      </c>
      <c r="L363" t="s">
        <v>3187</v>
      </c>
      <c r="M363" t="s">
        <v>271</v>
      </c>
      <c r="N363" t="s">
        <v>35</v>
      </c>
      <c r="O363" t="s">
        <v>26</v>
      </c>
      <c r="P363" t="s">
        <v>27</v>
      </c>
      <c r="Q363" t="s">
        <v>28</v>
      </c>
      <c r="R363" t="s">
        <v>29</v>
      </c>
      <c r="S363" t="s">
        <v>793</v>
      </c>
      <c r="T363">
        <f>_xlfn.XLOOKUP(X363,Hoja2!D:D,Hoja2!A:A)</f>
        <v>1033714104</v>
      </c>
      <c r="U363" t="str">
        <f>_xlfn.XLOOKUP(X363,Hoja2!D:D,Hoja2!B:B)</f>
        <v>JAVIER ORLANDO HERNANDEZ RIVERA</v>
      </c>
      <c r="V363" t="str">
        <f>_xlfn.XLOOKUP(X363,Hoja2!D:D,Hoja2!C:C)</f>
        <v>OP GRADO - INGLÉS</v>
      </c>
      <c r="W363" s="9">
        <f>IF(V363="pregrado",31,
IF(V363="posgrados",31,
IF(V363="rEINTEGROS",7,
IF(V363="BIT",90,
IF(V363="OP GRADO - INGLÉS",17,"")))))</f>
        <v>17</v>
      </c>
      <c r="X363" t="s">
        <v>4029</v>
      </c>
    </row>
    <row r="364" spans="1:24" x14ac:dyDescent="0.3">
      <c r="A364" s="4">
        <v>46108</v>
      </c>
      <c r="B364">
        <v>20129602</v>
      </c>
      <c r="C364" t="s">
        <v>19</v>
      </c>
      <c r="D364">
        <v>63969</v>
      </c>
      <c r="E364" t="s">
        <v>267</v>
      </c>
      <c r="F364">
        <v>19161823</v>
      </c>
      <c r="G364" t="s">
        <v>4307</v>
      </c>
      <c r="H364">
        <v>100134535</v>
      </c>
      <c r="I364">
        <v>202605</v>
      </c>
      <c r="J364">
        <v>52323007</v>
      </c>
      <c r="K364" t="s">
        <v>270</v>
      </c>
      <c r="L364" t="s">
        <v>3376</v>
      </c>
      <c r="M364" t="s">
        <v>271</v>
      </c>
      <c r="N364" t="s">
        <v>35</v>
      </c>
      <c r="O364" t="s">
        <v>26</v>
      </c>
      <c r="P364" t="s">
        <v>27</v>
      </c>
      <c r="Q364" t="s">
        <v>28</v>
      </c>
      <c r="R364" t="s">
        <v>29</v>
      </c>
      <c r="S364" t="s">
        <v>793</v>
      </c>
      <c r="T364">
        <f>_xlfn.XLOOKUP(X364,Hoja2!D:D,Hoja2!A:A)</f>
        <v>1033714104</v>
      </c>
      <c r="U364" t="str">
        <f>_xlfn.XLOOKUP(X364,Hoja2!D:D,Hoja2!B:B)</f>
        <v>JAVIER ORLANDO HERNANDEZ RIVERA</v>
      </c>
      <c r="V364" t="str">
        <f>_xlfn.XLOOKUP(X364,Hoja2!D:D,Hoja2!C:C)</f>
        <v>OP GRADO - INGLÉS</v>
      </c>
      <c r="W364" s="9">
        <f>IF(V364="pregrado",31,
IF(V364="posgrados",31,
IF(V364="rEINTEGROS",7,
IF(V364="BIT",90,
IF(V364="OP GRADO - INGLÉS",17,"")))))</f>
        <v>17</v>
      </c>
      <c r="X364" t="s">
        <v>4029</v>
      </c>
    </row>
    <row r="365" spans="1:24" x14ac:dyDescent="0.3">
      <c r="A365" s="4">
        <v>46147</v>
      </c>
      <c r="B365">
        <v>20132889</v>
      </c>
      <c r="C365" t="s">
        <v>19</v>
      </c>
      <c r="D365">
        <v>63974</v>
      </c>
      <c r="E365" t="s">
        <v>267</v>
      </c>
      <c r="F365">
        <v>41171009</v>
      </c>
      <c r="G365" t="s">
        <v>4912</v>
      </c>
      <c r="H365">
        <v>100169323</v>
      </c>
      <c r="I365">
        <v>202605</v>
      </c>
      <c r="J365">
        <v>41171009</v>
      </c>
      <c r="K365" t="s">
        <v>270</v>
      </c>
      <c r="L365" t="s">
        <v>1928</v>
      </c>
      <c r="M365" t="s">
        <v>271</v>
      </c>
      <c r="N365" t="s">
        <v>35</v>
      </c>
      <c r="O365" t="s">
        <v>26</v>
      </c>
      <c r="P365" t="s">
        <v>27</v>
      </c>
      <c r="Q365" t="s">
        <v>28</v>
      </c>
      <c r="R365" t="s">
        <v>29</v>
      </c>
      <c r="S365" t="s">
        <v>793</v>
      </c>
      <c r="T365">
        <f>_xlfn.XLOOKUP(X365,Hoja2!D:D,Hoja2!A:A)</f>
        <v>79789547</v>
      </c>
      <c r="U365" t="str">
        <f>_xlfn.XLOOKUP(X365,Hoja2!D:D,Hoja2!B:B)</f>
        <v>JAVIER ORLANDO HERNANDEZ RIVERA</v>
      </c>
      <c r="V365" t="str">
        <f>_xlfn.XLOOKUP(X365,Hoja2!D:D,Hoja2!C:C)</f>
        <v>OP GRADO - INGLÉS</v>
      </c>
      <c r="W365" s="9">
        <f>IF(V365="pregrado",31,
IF(V365="posgrados",31,
IF(V365="rEINTEGROS",7,
IF(V365="BIT",90,
IF(V365="OP GRADO - INGLÉS",17,"")))))</f>
        <v>17</v>
      </c>
      <c r="X365" t="s">
        <v>4093</v>
      </c>
    </row>
    <row r="366" spans="1:24" x14ac:dyDescent="0.3">
      <c r="A366" s="4">
        <v>46099</v>
      </c>
      <c r="B366">
        <v>20128935</v>
      </c>
      <c r="C366" t="s">
        <v>19</v>
      </c>
      <c r="D366">
        <v>63978</v>
      </c>
      <c r="E366" t="s">
        <v>267</v>
      </c>
      <c r="F366">
        <v>1020742896</v>
      </c>
      <c r="G366" t="s">
        <v>4172</v>
      </c>
      <c r="H366">
        <v>100233306</v>
      </c>
      <c r="I366">
        <v>202605</v>
      </c>
      <c r="J366">
        <v>1020742896</v>
      </c>
      <c r="K366" t="s">
        <v>270</v>
      </c>
      <c r="L366" t="s">
        <v>589</v>
      </c>
      <c r="M366" t="s">
        <v>271</v>
      </c>
      <c r="N366" t="s">
        <v>35</v>
      </c>
      <c r="O366" t="s">
        <v>26</v>
      </c>
      <c r="P366" t="s">
        <v>27</v>
      </c>
      <c r="Q366" t="s">
        <v>28</v>
      </c>
      <c r="R366" t="s">
        <v>29</v>
      </c>
      <c r="S366" t="s">
        <v>793</v>
      </c>
      <c r="T366">
        <f>_xlfn.XLOOKUP(X366,Hoja2!D:D,Hoja2!A:A)</f>
        <v>1033714104</v>
      </c>
      <c r="U366" t="str">
        <f>_xlfn.XLOOKUP(X366,Hoja2!D:D,Hoja2!B:B)</f>
        <v>JAVIER ORLANDO HERNANDEZ RIVERA</v>
      </c>
      <c r="V366" t="str">
        <f>_xlfn.XLOOKUP(X366,Hoja2!D:D,Hoja2!C:C)</f>
        <v>OP GRADO - INGLÉS</v>
      </c>
      <c r="W366" s="9">
        <f>IF(V366="pregrado",31,
IF(V366="posgrados",31,
IF(V366="rEINTEGROS",7,
IF(V366="BIT",90,
IF(V366="OP GRADO - INGLÉS",17,"")))))</f>
        <v>17</v>
      </c>
      <c r="X366" t="s">
        <v>4029</v>
      </c>
    </row>
    <row r="367" spans="1:24" x14ac:dyDescent="0.3">
      <c r="A367" s="4">
        <v>46132</v>
      </c>
      <c r="B367">
        <v>20131686</v>
      </c>
      <c r="C367" t="s">
        <v>19</v>
      </c>
      <c r="D367">
        <v>63980</v>
      </c>
      <c r="E367" t="s">
        <v>267</v>
      </c>
      <c r="F367">
        <v>1018490103</v>
      </c>
      <c r="G367" t="s">
        <v>4726</v>
      </c>
      <c r="H367">
        <v>100155267</v>
      </c>
      <c r="I367">
        <v>202605</v>
      </c>
      <c r="J367">
        <v>1018490103</v>
      </c>
      <c r="K367" t="s">
        <v>270</v>
      </c>
      <c r="L367" t="s">
        <v>409</v>
      </c>
      <c r="M367" t="s">
        <v>271</v>
      </c>
      <c r="N367" t="s">
        <v>35</v>
      </c>
      <c r="O367" t="s">
        <v>26</v>
      </c>
      <c r="P367" t="s">
        <v>27</v>
      </c>
      <c r="Q367" t="s">
        <v>28</v>
      </c>
      <c r="R367" t="s">
        <v>29</v>
      </c>
      <c r="S367" t="s">
        <v>793</v>
      </c>
      <c r="T367">
        <f>_xlfn.XLOOKUP(X367,Hoja2!D:D,Hoja2!A:A)</f>
        <v>1033714104</v>
      </c>
      <c r="U367" t="str">
        <f>_xlfn.XLOOKUP(X367,Hoja2!D:D,Hoja2!B:B)</f>
        <v>JAVIER ORLANDO HERNANDEZ RIVERA</v>
      </c>
      <c r="V367" t="str">
        <f>_xlfn.XLOOKUP(X367,Hoja2!D:D,Hoja2!C:C)</f>
        <v>OP GRADO - INGLÉS</v>
      </c>
      <c r="W367" s="9">
        <f>IF(V367="pregrado",31,
IF(V367="posgrados",31,
IF(V367="rEINTEGROS",7,
IF(V367="BIT",90,
IF(V367="OP GRADO - INGLÉS",17,"")))))</f>
        <v>17</v>
      </c>
      <c r="X367" t="s">
        <v>4029</v>
      </c>
    </row>
    <row r="368" spans="1:24" x14ac:dyDescent="0.3">
      <c r="A368" s="4">
        <v>46129</v>
      </c>
      <c r="B368">
        <v>20131517</v>
      </c>
      <c r="C368" t="s">
        <v>19</v>
      </c>
      <c r="D368">
        <v>63981</v>
      </c>
      <c r="E368" t="s">
        <v>267</v>
      </c>
      <c r="F368">
        <v>94288254</v>
      </c>
      <c r="G368" t="s">
        <v>4689</v>
      </c>
      <c r="H368">
        <v>100125922</v>
      </c>
      <c r="I368">
        <v>202605</v>
      </c>
      <c r="J368">
        <v>94288254</v>
      </c>
      <c r="K368" t="s">
        <v>270</v>
      </c>
      <c r="L368" t="s">
        <v>589</v>
      </c>
      <c r="M368" t="s">
        <v>271</v>
      </c>
      <c r="N368" t="s">
        <v>35</v>
      </c>
      <c r="O368" t="s">
        <v>26</v>
      </c>
      <c r="P368" t="s">
        <v>27</v>
      </c>
      <c r="Q368" t="s">
        <v>28</v>
      </c>
      <c r="R368" t="s">
        <v>29</v>
      </c>
      <c r="S368" t="s">
        <v>793</v>
      </c>
      <c r="T368">
        <f>_xlfn.XLOOKUP(X368,Hoja2!D:D,Hoja2!A:A)</f>
        <v>1033714104</v>
      </c>
      <c r="U368" t="str">
        <f>_xlfn.XLOOKUP(X368,Hoja2!D:D,Hoja2!B:B)</f>
        <v>JAVIER ORLANDO HERNANDEZ RIVERA</v>
      </c>
      <c r="V368" t="str">
        <f>_xlfn.XLOOKUP(X368,Hoja2!D:D,Hoja2!C:C)</f>
        <v>OP GRADO - INGLÉS</v>
      </c>
      <c r="W368" s="9">
        <f>IF(V368="pregrado",31,
IF(V368="posgrados",31,
IF(V368="rEINTEGROS",7,
IF(V368="BIT",90,
IF(V368="OP GRADO - INGLÉS",17,"")))))</f>
        <v>17</v>
      </c>
      <c r="X368" t="s">
        <v>4029</v>
      </c>
    </row>
    <row r="369" spans="1:24" x14ac:dyDescent="0.3">
      <c r="A369" s="4">
        <v>46096</v>
      </c>
      <c r="B369">
        <v>20128591</v>
      </c>
      <c r="C369" t="s">
        <v>19</v>
      </c>
      <c r="D369">
        <v>63985</v>
      </c>
      <c r="E369" t="s">
        <v>267</v>
      </c>
      <c r="F369">
        <v>1000335819</v>
      </c>
      <c r="G369" t="s">
        <v>4141</v>
      </c>
      <c r="H369">
        <v>100156376</v>
      </c>
      <c r="I369">
        <v>202605</v>
      </c>
      <c r="J369">
        <v>1000335819</v>
      </c>
      <c r="K369" t="s">
        <v>270</v>
      </c>
      <c r="L369" t="s">
        <v>532</v>
      </c>
      <c r="M369" t="s">
        <v>271</v>
      </c>
      <c r="N369" t="s">
        <v>35</v>
      </c>
      <c r="O369" t="s">
        <v>26</v>
      </c>
      <c r="P369" t="s">
        <v>27</v>
      </c>
      <c r="Q369" t="s">
        <v>28</v>
      </c>
      <c r="R369" t="s">
        <v>29</v>
      </c>
      <c r="S369" t="s">
        <v>793</v>
      </c>
      <c r="T369">
        <f>_xlfn.XLOOKUP(X369,Hoja2!D:D,Hoja2!A:A)</f>
        <v>52834109</v>
      </c>
      <c r="U369" t="str">
        <f>_xlfn.XLOOKUP(X369,Hoja2!D:D,Hoja2!B:B)</f>
        <v>JAVIER ORLANDO HERNANDEZ RIVERA</v>
      </c>
      <c r="V369" t="str">
        <f>_xlfn.XLOOKUP(X369,Hoja2!D:D,Hoja2!C:C)</f>
        <v>OP GRADO - INGLÉS</v>
      </c>
      <c r="W369" s="9">
        <f>IF(V369="pregrado",31,
IF(V369="posgrados",31,
IF(V369="rEINTEGROS",7,
IF(V369="BIT",90,
IF(V369="OP GRADO - INGLÉS",17,"")))))</f>
        <v>17</v>
      </c>
      <c r="X369" t="s">
        <v>4018</v>
      </c>
    </row>
    <row r="370" spans="1:24" x14ac:dyDescent="0.3">
      <c r="A370" s="4">
        <v>46093</v>
      </c>
      <c r="B370">
        <v>20128366</v>
      </c>
      <c r="C370" t="s">
        <v>19</v>
      </c>
      <c r="D370">
        <v>63992</v>
      </c>
      <c r="E370" t="s">
        <v>267</v>
      </c>
      <c r="F370">
        <v>1120582417</v>
      </c>
      <c r="G370" t="s">
        <v>4120</v>
      </c>
      <c r="H370">
        <v>100209798</v>
      </c>
      <c r="I370">
        <v>202605</v>
      </c>
      <c r="J370">
        <v>1120582417</v>
      </c>
      <c r="K370" t="s">
        <v>270</v>
      </c>
      <c r="L370" t="s">
        <v>532</v>
      </c>
      <c r="M370" t="s">
        <v>271</v>
      </c>
      <c r="N370" t="s">
        <v>35</v>
      </c>
      <c r="O370" t="s">
        <v>26</v>
      </c>
      <c r="P370" t="s">
        <v>27</v>
      </c>
      <c r="Q370" t="s">
        <v>28</v>
      </c>
      <c r="R370" t="s">
        <v>29</v>
      </c>
      <c r="S370" t="s">
        <v>793</v>
      </c>
      <c r="T370">
        <f>_xlfn.XLOOKUP(X370,Hoja2!D:D,Hoja2!A:A)</f>
        <v>52834109</v>
      </c>
      <c r="U370" t="str">
        <f>_xlfn.XLOOKUP(X370,Hoja2!D:D,Hoja2!B:B)</f>
        <v>JAVIER ORLANDO HERNANDEZ RIVERA</v>
      </c>
      <c r="V370" t="str">
        <f>_xlfn.XLOOKUP(X370,Hoja2!D:D,Hoja2!C:C)</f>
        <v>OP GRADO - INGLÉS</v>
      </c>
      <c r="W370" s="9">
        <f>IF(V370="pregrado",31,
IF(V370="posgrados",31,
IF(V370="rEINTEGROS",7,
IF(V370="BIT",90,
IF(V370="OP GRADO - INGLÉS",17,"")))))</f>
        <v>17</v>
      </c>
      <c r="X370" t="s">
        <v>4018</v>
      </c>
    </row>
    <row r="371" spans="1:24" x14ac:dyDescent="0.3">
      <c r="A371" s="4">
        <v>46097</v>
      </c>
      <c r="B371">
        <v>20128614</v>
      </c>
      <c r="C371" t="s">
        <v>19</v>
      </c>
      <c r="D371">
        <v>63993</v>
      </c>
      <c r="E371" t="s">
        <v>267</v>
      </c>
      <c r="F371">
        <v>1101210087</v>
      </c>
      <c r="G371" t="s">
        <v>4142</v>
      </c>
      <c r="H371">
        <v>100234509</v>
      </c>
      <c r="I371">
        <v>202605</v>
      </c>
      <c r="J371">
        <v>1101210087</v>
      </c>
      <c r="K371" t="s">
        <v>270</v>
      </c>
      <c r="L371" t="s">
        <v>589</v>
      </c>
      <c r="M371" t="s">
        <v>271</v>
      </c>
      <c r="N371" t="s">
        <v>35</v>
      </c>
      <c r="O371" t="s">
        <v>26</v>
      </c>
      <c r="P371" t="s">
        <v>27</v>
      </c>
      <c r="Q371" t="s">
        <v>28</v>
      </c>
      <c r="R371" t="s">
        <v>29</v>
      </c>
      <c r="S371" t="s">
        <v>793</v>
      </c>
      <c r="T371">
        <f>_xlfn.XLOOKUP(X371,Hoja2!D:D,Hoja2!A:A)</f>
        <v>52834109</v>
      </c>
      <c r="U371" t="str">
        <f>_xlfn.XLOOKUP(X371,Hoja2!D:D,Hoja2!B:B)</f>
        <v>JAVIER ORLANDO HERNANDEZ RIVERA</v>
      </c>
      <c r="V371" t="str">
        <f>_xlfn.XLOOKUP(X371,Hoja2!D:D,Hoja2!C:C)</f>
        <v>OP GRADO - INGLÉS</v>
      </c>
      <c r="W371" s="9">
        <f>IF(V371="pregrado",31,
IF(V371="posgrados",31,
IF(V371="rEINTEGROS",7,
IF(V371="BIT",90,
IF(V371="OP GRADO - INGLÉS",17,"")))))</f>
        <v>17</v>
      </c>
      <c r="X371" t="s">
        <v>4018</v>
      </c>
    </row>
    <row r="372" spans="1:24" x14ac:dyDescent="0.3">
      <c r="A372" s="4">
        <v>46112</v>
      </c>
      <c r="B372">
        <v>20129965</v>
      </c>
      <c r="C372" t="s">
        <v>19</v>
      </c>
      <c r="D372">
        <v>64000</v>
      </c>
      <c r="E372" t="s">
        <v>267</v>
      </c>
      <c r="F372">
        <v>1072961366</v>
      </c>
      <c r="G372" t="s">
        <v>4375</v>
      </c>
      <c r="H372">
        <v>100123038</v>
      </c>
      <c r="I372">
        <v>202605</v>
      </c>
      <c r="J372">
        <v>1072961366</v>
      </c>
      <c r="K372" t="s">
        <v>270</v>
      </c>
      <c r="L372" t="s">
        <v>409</v>
      </c>
      <c r="M372" t="s">
        <v>271</v>
      </c>
      <c r="N372" t="s">
        <v>4376</v>
      </c>
      <c r="O372" t="s">
        <v>26</v>
      </c>
      <c r="P372" t="s">
        <v>4226</v>
      </c>
      <c r="Q372" t="s">
        <v>28</v>
      </c>
      <c r="R372" t="s">
        <v>29</v>
      </c>
      <c r="S372" t="s">
        <v>793</v>
      </c>
      <c r="T372">
        <f>_xlfn.XLOOKUP(X372,Hoja2!D:D,Hoja2!A:A)</f>
        <v>1033714104</v>
      </c>
      <c r="U372" t="str">
        <f>_xlfn.XLOOKUP(X372,Hoja2!D:D,Hoja2!B:B)</f>
        <v>JAVIER ORLANDO HERNANDEZ RIVERA</v>
      </c>
      <c r="V372" t="str">
        <f>_xlfn.XLOOKUP(X372,Hoja2!D:D,Hoja2!C:C)</f>
        <v>OP GRADO - INGLÉS</v>
      </c>
      <c r="W372" s="9">
        <f>IF(V372="pregrado",31,
IF(V372="posgrados",31,
IF(V372="rEINTEGROS",7,
IF(V372="BIT",90,
IF(V372="OP GRADO - INGLÉS",17,"")))))</f>
        <v>17</v>
      </c>
      <c r="X372" t="s">
        <v>4029</v>
      </c>
    </row>
    <row r="373" spans="1:24" x14ac:dyDescent="0.3">
      <c r="A373" s="4">
        <v>46118</v>
      </c>
      <c r="B373">
        <v>20130209</v>
      </c>
      <c r="C373" t="s">
        <v>19</v>
      </c>
      <c r="D373">
        <v>64003</v>
      </c>
      <c r="E373" t="s">
        <v>267</v>
      </c>
      <c r="F373">
        <v>39665299</v>
      </c>
      <c r="G373" t="s">
        <v>4414</v>
      </c>
      <c r="H373">
        <v>100141939</v>
      </c>
      <c r="I373">
        <v>202605</v>
      </c>
      <c r="J373">
        <v>1072189328</v>
      </c>
      <c r="K373" t="s">
        <v>270</v>
      </c>
      <c r="L373" t="s">
        <v>1061</v>
      </c>
      <c r="M373" t="s">
        <v>271</v>
      </c>
      <c r="N373" t="s">
        <v>35</v>
      </c>
      <c r="O373" t="s">
        <v>26</v>
      </c>
      <c r="P373" t="s">
        <v>27</v>
      </c>
      <c r="Q373" t="s">
        <v>28</v>
      </c>
      <c r="R373" t="s">
        <v>29</v>
      </c>
      <c r="S373" t="s">
        <v>793</v>
      </c>
      <c r="T373">
        <f>_xlfn.XLOOKUP(X373,Hoja2!D:D,Hoja2!A:A)</f>
        <v>1033714104</v>
      </c>
      <c r="U373" t="str">
        <f>_xlfn.XLOOKUP(X373,Hoja2!D:D,Hoja2!B:B)</f>
        <v>JAVIER ORLANDO HERNANDEZ RIVERA</v>
      </c>
      <c r="V373" t="str">
        <f>_xlfn.XLOOKUP(X373,Hoja2!D:D,Hoja2!C:C)</f>
        <v>OP GRADO - INGLÉS</v>
      </c>
      <c r="W373" s="9">
        <f>IF(V373="pregrado",31,
IF(V373="posgrados",31,
IF(V373="rEINTEGROS",7,
IF(V373="BIT",90,
IF(V373="OP GRADO - INGLÉS",17,"")))))</f>
        <v>17</v>
      </c>
      <c r="X373" t="s">
        <v>4029</v>
      </c>
    </row>
    <row r="374" spans="1:24" x14ac:dyDescent="0.3">
      <c r="A374" s="4">
        <v>46097</v>
      </c>
      <c r="B374">
        <v>20128683</v>
      </c>
      <c r="C374" t="s">
        <v>19</v>
      </c>
      <c r="D374">
        <v>64005</v>
      </c>
      <c r="E374" t="s">
        <v>267</v>
      </c>
      <c r="F374">
        <v>1128401957</v>
      </c>
      <c r="G374" t="s">
        <v>4149</v>
      </c>
      <c r="H374">
        <v>100150864</v>
      </c>
      <c r="I374">
        <v>202605</v>
      </c>
      <c r="J374">
        <v>1128401957</v>
      </c>
      <c r="K374" t="s">
        <v>270</v>
      </c>
      <c r="L374" t="s">
        <v>409</v>
      </c>
      <c r="M374" t="s">
        <v>271</v>
      </c>
      <c r="N374" t="s">
        <v>35</v>
      </c>
      <c r="O374" t="s">
        <v>26</v>
      </c>
      <c r="P374" t="s">
        <v>27</v>
      </c>
      <c r="Q374" t="s">
        <v>28</v>
      </c>
      <c r="R374" t="s">
        <v>29</v>
      </c>
      <c r="S374" t="s">
        <v>793</v>
      </c>
      <c r="T374">
        <f>_xlfn.XLOOKUP(X374,Hoja2!D:D,Hoja2!A:A)</f>
        <v>1033714104</v>
      </c>
      <c r="U374" t="str">
        <f>_xlfn.XLOOKUP(X374,Hoja2!D:D,Hoja2!B:B)</f>
        <v>JAVIER ORLANDO HERNANDEZ RIVERA</v>
      </c>
      <c r="V374" t="str">
        <f>_xlfn.XLOOKUP(X374,Hoja2!D:D,Hoja2!C:C)</f>
        <v>OP GRADO - INGLÉS</v>
      </c>
      <c r="W374" s="9">
        <f>IF(V374="pregrado",31,
IF(V374="posgrados",31,
IF(V374="rEINTEGROS",7,
IF(V374="BIT",90,
IF(V374="OP GRADO - INGLÉS",17,"")))))</f>
        <v>17</v>
      </c>
      <c r="X374" t="s">
        <v>4029</v>
      </c>
    </row>
    <row r="375" spans="1:24" x14ac:dyDescent="0.3">
      <c r="A375" s="4">
        <v>46120</v>
      </c>
      <c r="B375">
        <v>20130436</v>
      </c>
      <c r="C375" t="s">
        <v>19</v>
      </c>
      <c r="D375">
        <v>64013</v>
      </c>
      <c r="E375" t="s">
        <v>267</v>
      </c>
      <c r="F375">
        <v>51723977</v>
      </c>
      <c r="G375" t="s">
        <v>4455</v>
      </c>
      <c r="H375">
        <v>100175460</v>
      </c>
      <c r="I375">
        <v>202605</v>
      </c>
      <c r="J375">
        <v>1015466167</v>
      </c>
      <c r="K375" t="s">
        <v>270</v>
      </c>
      <c r="L375" t="s">
        <v>4301</v>
      </c>
      <c r="M375" t="s">
        <v>271</v>
      </c>
      <c r="N375" t="s">
        <v>35</v>
      </c>
      <c r="O375" t="s">
        <v>26</v>
      </c>
      <c r="P375" t="s">
        <v>27</v>
      </c>
      <c r="Q375" t="s">
        <v>28</v>
      </c>
      <c r="R375" t="s">
        <v>29</v>
      </c>
      <c r="S375" t="s">
        <v>793</v>
      </c>
      <c r="T375">
        <f>_xlfn.XLOOKUP(X375,Hoja2!D:D,Hoja2!A:A)</f>
        <v>60345453</v>
      </c>
      <c r="U375" t="str">
        <f>_xlfn.XLOOKUP(X375,Hoja2!D:D,Hoja2!B:B)</f>
        <v>JAVIER ORLANDO HERNANDEZ RIVERA</v>
      </c>
      <c r="V375" t="str">
        <f>_xlfn.XLOOKUP(X375,Hoja2!D:D,Hoja2!C:C)</f>
        <v>OP GRADO - INGLÉS</v>
      </c>
      <c r="W375" s="9">
        <f>IF(V375="pregrado",31,
IF(V375="posgrados",31,
IF(V375="rEINTEGROS",7,
IF(V375="BIT",90,
IF(V375="OP GRADO - INGLÉS",17,"")))))</f>
        <v>17</v>
      </c>
      <c r="X375" t="s">
        <v>4063</v>
      </c>
    </row>
    <row r="376" spans="1:24" x14ac:dyDescent="0.3">
      <c r="A376" s="4">
        <v>46094</v>
      </c>
      <c r="B376">
        <v>20128513</v>
      </c>
      <c r="C376" t="s">
        <v>19</v>
      </c>
      <c r="D376">
        <v>64021</v>
      </c>
      <c r="E376" t="s">
        <v>267</v>
      </c>
      <c r="F376">
        <v>1002600236</v>
      </c>
      <c r="G376" t="s">
        <v>4131</v>
      </c>
      <c r="H376">
        <v>100166482</v>
      </c>
      <c r="I376">
        <v>202605</v>
      </c>
      <c r="J376">
        <v>1002600236</v>
      </c>
      <c r="K376" t="s">
        <v>270</v>
      </c>
      <c r="L376" t="s">
        <v>269</v>
      </c>
      <c r="M376" t="s">
        <v>271</v>
      </c>
      <c r="N376" t="s">
        <v>35</v>
      </c>
      <c r="O376" t="s">
        <v>26</v>
      </c>
      <c r="P376" t="s">
        <v>27</v>
      </c>
      <c r="Q376" t="s">
        <v>28</v>
      </c>
      <c r="R376" t="s">
        <v>29</v>
      </c>
      <c r="S376" t="s">
        <v>793</v>
      </c>
      <c r="T376">
        <f>_xlfn.XLOOKUP(X376,Hoja2!D:D,Hoja2!A:A)</f>
        <v>1033714104</v>
      </c>
      <c r="U376" t="str">
        <f>_xlfn.XLOOKUP(X376,Hoja2!D:D,Hoja2!B:B)</f>
        <v>JAVIER ORLANDO HERNANDEZ RIVERA</v>
      </c>
      <c r="V376" t="str">
        <f>_xlfn.XLOOKUP(X376,Hoja2!D:D,Hoja2!C:C)</f>
        <v>OP GRADO - INGLÉS</v>
      </c>
      <c r="W376" s="9">
        <f>IF(V376="pregrado",31,
IF(V376="posgrados",31,
IF(V376="rEINTEGROS",7,
IF(V376="BIT",90,
IF(V376="OP GRADO - INGLÉS",17,"")))))</f>
        <v>17</v>
      </c>
      <c r="X376" t="s">
        <v>4029</v>
      </c>
    </row>
    <row r="377" spans="1:24" x14ac:dyDescent="0.3">
      <c r="A377" s="4">
        <v>46100</v>
      </c>
      <c r="B377">
        <v>20128998</v>
      </c>
      <c r="C377" t="s">
        <v>19</v>
      </c>
      <c r="D377">
        <v>64023</v>
      </c>
      <c r="E377" t="s">
        <v>267</v>
      </c>
      <c r="F377">
        <v>1016592452</v>
      </c>
      <c r="G377" t="s">
        <v>4185</v>
      </c>
      <c r="H377">
        <v>100152134</v>
      </c>
      <c r="I377">
        <v>202605</v>
      </c>
      <c r="J377">
        <v>1016592452</v>
      </c>
      <c r="K377" t="s">
        <v>270</v>
      </c>
      <c r="L377" t="s">
        <v>1281</v>
      </c>
      <c r="M377" t="s">
        <v>271</v>
      </c>
      <c r="N377" t="s">
        <v>35</v>
      </c>
      <c r="O377" t="s">
        <v>26</v>
      </c>
      <c r="P377" t="s">
        <v>27</v>
      </c>
      <c r="Q377" t="s">
        <v>28</v>
      </c>
      <c r="R377" t="s">
        <v>29</v>
      </c>
      <c r="S377" t="s">
        <v>793</v>
      </c>
      <c r="T377">
        <f>_xlfn.XLOOKUP(X377,Hoja2!D:D,Hoja2!A:A)</f>
        <v>60345453</v>
      </c>
      <c r="U377" t="str">
        <f>_xlfn.XLOOKUP(X377,Hoja2!D:D,Hoja2!B:B)</f>
        <v>JAVIER ORLANDO HERNANDEZ RIVERA</v>
      </c>
      <c r="V377" t="str">
        <f>_xlfn.XLOOKUP(X377,Hoja2!D:D,Hoja2!C:C)</f>
        <v>OP GRADO - INGLÉS</v>
      </c>
      <c r="W377" s="9">
        <f>IF(V377="pregrado",31,
IF(V377="posgrados",31,
IF(V377="rEINTEGROS",7,
IF(V377="BIT",90,
IF(V377="OP GRADO - INGLÉS",17,"")))))</f>
        <v>17</v>
      </c>
      <c r="X377" t="s">
        <v>4063</v>
      </c>
    </row>
    <row r="378" spans="1:24" x14ac:dyDescent="0.3">
      <c r="A378" s="4">
        <v>46098</v>
      </c>
      <c r="B378">
        <v>20128796</v>
      </c>
      <c r="C378" t="s">
        <v>19</v>
      </c>
      <c r="D378">
        <v>65647</v>
      </c>
      <c r="E378" t="s">
        <v>267</v>
      </c>
      <c r="F378">
        <v>1077647160</v>
      </c>
      <c r="G378" t="s">
        <v>4156</v>
      </c>
      <c r="H378">
        <v>100228747</v>
      </c>
      <c r="I378">
        <v>202605</v>
      </c>
      <c r="J378">
        <v>1077647160</v>
      </c>
      <c r="K378" t="s">
        <v>270</v>
      </c>
      <c r="L378" t="s">
        <v>1928</v>
      </c>
      <c r="M378" t="s">
        <v>271</v>
      </c>
      <c r="N378" t="s">
        <v>35</v>
      </c>
      <c r="O378" t="s">
        <v>26</v>
      </c>
      <c r="P378" t="s">
        <v>27</v>
      </c>
      <c r="Q378" t="s">
        <v>28</v>
      </c>
      <c r="R378" t="s">
        <v>29</v>
      </c>
      <c r="S378" t="s">
        <v>793</v>
      </c>
      <c r="T378">
        <f>_xlfn.XLOOKUP(X378,Hoja2!D:D,Hoja2!A:A)</f>
        <v>1033714104</v>
      </c>
      <c r="U378" t="str">
        <f>_xlfn.XLOOKUP(X378,Hoja2!D:D,Hoja2!B:B)</f>
        <v>JAVIER ORLANDO HERNANDEZ RIVERA</v>
      </c>
      <c r="V378" t="str">
        <f>_xlfn.XLOOKUP(X378,Hoja2!D:D,Hoja2!C:C)</f>
        <v>OP GRADO - INGLÉS</v>
      </c>
      <c r="W378" s="9">
        <f>IF(V378="pregrado",31,
IF(V378="posgrados",31,
IF(V378="rEINTEGROS",7,
IF(V378="BIT",90,
IF(V378="OP GRADO - INGLÉS",17,"")))))</f>
        <v>17</v>
      </c>
      <c r="X378" t="s">
        <v>4029</v>
      </c>
    </row>
    <row r="379" spans="1:24" x14ac:dyDescent="0.3">
      <c r="A379" s="4">
        <v>46108</v>
      </c>
      <c r="B379">
        <v>20129565</v>
      </c>
      <c r="C379" t="s">
        <v>19</v>
      </c>
      <c r="D379">
        <v>65653</v>
      </c>
      <c r="E379" t="s">
        <v>267</v>
      </c>
      <c r="F379">
        <v>1097729437</v>
      </c>
      <c r="G379" t="s">
        <v>4300</v>
      </c>
      <c r="H379">
        <v>100173640</v>
      </c>
      <c r="I379">
        <v>202605</v>
      </c>
      <c r="J379">
        <v>1097729437</v>
      </c>
      <c r="K379" t="s">
        <v>270</v>
      </c>
      <c r="L379" t="s">
        <v>4301</v>
      </c>
      <c r="M379" t="s">
        <v>271</v>
      </c>
      <c r="N379" t="s">
        <v>35</v>
      </c>
      <c r="O379" t="s">
        <v>26</v>
      </c>
      <c r="P379" t="s">
        <v>27</v>
      </c>
      <c r="Q379" t="s">
        <v>28</v>
      </c>
      <c r="R379" t="s">
        <v>29</v>
      </c>
      <c r="S379" t="s">
        <v>793</v>
      </c>
      <c r="T379">
        <f>_xlfn.XLOOKUP(X379,Hoja2!D:D,Hoja2!A:A)</f>
        <v>60345453</v>
      </c>
      <c r="U379" t="str">
        <f>_xlfn.XLOOKUP(X379,Hoja2!D:D,Hoja2!B:B)</f>
        <v>JAVIER ORLANDO HERNANDEZ RIVERA</v>
      </c>
      <c r="V379" t="str">
        <f>_xlfn.XLOOKUP(X379,Hoja2!D:D,Hoja2!C:C)</f>
        <v>OP GRADO - INGLÉS</v>
      </c>
      <c r="W379" s="9">
        <f>IF(V379="pregrado",31,
IF(V379="posgrados",31,
IF(V379="rEINTEGROS",7,
IF(V379="BIT",90,
IF(V379="OP GRADO - INGLÉS",17,"")))))</f>
        <v>17</v>
      </c>
      <c r="X379" t="s">
        <v>4063</v>
      </c>
    </row>
    <row r="380" spans="1:24" x14ac:dyDescent="0.3">
      <c r="A380" s="4">
        <v>46099</v>
      </c>
      <c r="B380">
        <v>20128900</v>
      </c>
      <c r="C380" t="s">
        <v>19</v>
      </c>
      <c r="D380">
        <v>65661</v>
      </c>
      <c r="E380" t="s">
        <v>267</v>
      </c>
      <c r="F380">
        <v>1007495196</v>
      </c>
      <c r="G380" t="s">
        <v>4170</v>
      </c>
      <c r="H380">
        <v>100205434</v>
      </c>
      <c r="I380">
        <v>202605</v>
      </c>
      <c r="J380">
        <v>1007495196</v>
      </c>
      <c r="K380" t="s">
        <v>270</v>
      </c>
      <c r="L380" t="s">
        <v>3376</v>
      </c>
      <c r="M380" t="s">
        <v>271</v>
      </c>
      <c r="N380" t="s">
        <v>35</v>
      </c>
      <c r="O380" t="s">
        <v>26</v>
      </c>
      <c r="P380" t="s">
        <v>27</v>
      </c>
      <c r="Q380" t="s">
        <v>28</v>
      </c>
      <c r="R380" t="s">
        <v>29</v>
      </c>
      <c r="S380" t="s">
        <v>793</v>
      </c>
      <c r="T380">
        <f>_xlfn.XLOOKUP(X380,Hoja2!D:D,Hoja2!A:A)</f>
        <v>52834109</v>
      </c>
      <c r="U380" t="str">
        <f>_xlfn.XLOOKUP(X380,Hoja2!D:D,Hoja2!B:B)</f>
        <v>JAVIER ORLANDO HERNANDEZ RIVERA</v>
      </c>
      <c r="V380" t="str">
        <f>_xlfn.XLOOKUP(X380,Hoja2!D:D,Hoja2!C:C)</f>
        <v>OP GRADO - INGLÉS</v>
      </c>
      <c r="W380" s="9">
        <f>IF(V380="pregrado",31,
IF(V380="posgrados",31,
IF(V380="rEINTEGROS",7,
IF(V380="BIT",90,
IF(V380="OP GRADO - INGLÉS",17,"")))))</f>
        <v>17</v>
      </c>
      <c r="X380" t="s">
        <v>4018</v>
      </c>
    </row>
    <row r="381" spans="1:24" x14ac:dyDescent="0.3">
      <c r="A381" s="4">
        <v>46098</v>
      </c>
      <c r="B381">
        <v>20128816</v>
      </c>
      <c r="C381" t="s">
        <v>19</v>
      </c>
      <c r="D381">
        <v>65673</v>
      </c>
      <c r="E381" t="s">
        <v>267</v>
      </c>
      <c r="F381">
        <v>1030619363</v>
      </c>
      <c r="G381" t="s">
        <v>4159</v>
      </c>
      <c r="H381">
        <v>100173307</v>
      </c>
      <c r="I381">
        <v>202605</v>
      </c>
      <c r="J381">
        <v>1030619363</v>
      </c>
      <c r="K381" t="s">
        <v>270</v>
      </c>
      <c r="L381" t="s">
        <v>269</v>
      </c>
      <c r="M381" t="s">
        <v>271</v>
      </c>
      <c r="N381" t="s">
        <v>35</v>
      </c>
      <c r="O381" t="s">
        <v>26</v>
      </c>
      <c r="P381" t="s">
        <v>27</v>
      </c>
      <c r="Q381" t="s">
        <v>28</v>
      </c>
      <c r="R381" t="s">
        <v>29</v>
      </c>
      <c r="S381" t="s">
        <v>793</v>
      </c>
      <c r="T381">
        <f>_xlfn.XLOOKUP(X381,Hoja2!D:D,Hoja2!A:A)</f>
        <v>60345453</v>
      </c>
      <c r="U381" t="str">
        <f>_xlfn.XLOOKUP(X381,Hoja2!D:D,Hoja2!B:B)</f>
        <v>JAVIER ORLANDO HERNANDEZ RIVERA</v>
      </c>
      <c r="V381" t="str">
        <f>_xlfn.XLOOKUP(X381,Hoja2!D:D,Hoja2!C:C)</f>
        <v>OP GRADO - INGLÉS</v>
      </c>
      <c r="W381" s="9">
        <f>IF(V381="pregrado",31,
IF(V381="posgrados",31,
IF(V381="rEINTEGROS",7,
IF(V381="BIT",90,
IF(V381="OP GRADO - INGLÉS",17,"")))))</f>
        <v>17</v>
      </c>
      <c r="X381" t="s">
        <v>4063</v>
      </c>
    </row>
    <row r="382" spans="1:24" x14ac:dyDescent="0.3">
      <c r="A382" s="4">
        <v>46099</v>
      </c>
      <c r="B382">
        <v>20128906</v>
      </c>
      <c r="C382" t="s">
        <v>19</v>
      </c>
      <c r="D382">
        <v>65689</v>
      </c>
      <c r="E382" t="s">
        <v>267</v>
      </c>
      <c r="F382">
        <v>1233489902</v>
      </c>
      <c r="G382" t="s">
        <v>4171</v>
      </c>
      <c r="H382">
        <v>100249074</v>
      </c>
      <c r="I382">
        <v>202605</v>
      </c>
      <c r="J382">
        <v>1233489902</v>
      </c>
      <c r="K382" t="s">
        <v>23</v>
      </c>
      <c r="L382" t="s">
        <v>1066</v>
      </c>
      <c r="M382" t="s">
        <v>271</v>
      </c>
      <c r="N382" t="s">
        <v>35</v>
      </c>
      <c r="O382" t="s">
        <v>26</v>
      </c>
      <c r="P382" t="s">
        <v>27</v>
      </c>
      <c r="Q382" t="s">
        <v>28</v>
      </c>
      <c r="R382" t="s">
        <v>29</v>
      </c>
      <c r="S382" t="s">
        <v>793</v>
      </c>
      <c r="T382">
        <f>_xlfn.XLOOKUP(X382,Hoja2!D:D,Hoja2!A:A)</f>
        <v>1193566421</v>
      </c>
      <c r="U382" t="str">
        <f>_xlfn.XLOOKUP(X382,Hoja2!D:D,Hoja2!B:B)</f>
        <v>JOHAN SEBASTIAN PARDEYN AGUILAR</v>
      </c>
      <c r="V382" t="str">
        <f>_xlfn.XLOOKUP(X382,Hoja2!D:D,Hoja2!C:C)</f>
        <v>BIT</v>
      </c>
      <c r="W382" s="9">
        <f>IF(V382="pregrado",31,
IF(V382="posgrados",31,
IF(V382="rEINTEGROS",7,
IF(V382="BIT",90,
IF(V382="OP GRADO - INGLÉS",17,"")))))</f>
        <v>90</v>
      </c>
      <c r="X382" t="s">
        <v>4075</v>
      </c>
    </row>
    <row r="383" spans="1:24" x14ac:dyDescent="0.3">
      <c r="A383" s="4">
        <v>46101</v>
      </c>
      <c r="B383">
        <v>20129053</v>
      </c>
      <c r="C383" t="s">
        <v>19</v>
      </c>
      <c r="D383">
        <v>65692</v>
      </c>
      <c r="E383" t="s">
        <v>267</v>
      </c>
      <c r="F383">
        <v>1018503203</v>
      </c>
      <c r="G383" t="s">
        <v>4194</v>
      </c>
      <c r="H383">
        <v>100230857</v>
      </c>
      <c r="I383">
        <v>202605</v>
      </c>
      <c r="J383">
        <v>1018503203</v>
      </c>
      <c r="K383" t="s">
        <v>23</v>
      </c>
      <c r="L383" t="s">
        <v>808</v>
      </c>
      <c r="M383" t="s">
        <v>271</v>
      </c>
      <c r="N383" t="s">
        <v>35</v>
      </c>
      <c r="O383" t="s">
        <v>26</v>
      </c>
      <c r="P383" t="s">
        <v>27</v>
      </c>
      <c r="Q383" t="s">
        <v>28</v>
      </c>
      <c r="R383" t="s">
        <v>29</v>
      </c>
      <c r="S383" t="s">
        <v>793</v>
      </c>
      <c r="T383">
        <f>_xlfn.XLOOKUP(X383,Hoja2!D:D,Hoja2!A:A)</f>
        <v>52221286</v>
      </c>
      <c r="U383" t="str">
        <f>_xlfn.XLOOKUP(X383,Hoja2!D:D,Hoja2!B:B)</f>
        <v>JOHAN SEBASTIAN PARDEYN AGUILAR</v>
      </c>
      <c r="V383" t="str">
        <f>_xlfn.XLOOKUP(X383,Hoja2!D:D,Hoja2!C:C)</f>
        <v>BIT</v>
      </c>
      <c r="W383" s="9">
        <f>IF(V383="pregrado",31,
IF(V383="posgrados",31,
IF(V383="rEINTEGROS",7,
IF(V383="BIT",90,
IF(V383="OP GRADO - INGLÉS",17,"")))))</f>
        <v>90</v>
      </c>
      <c r="X383" t="s">
        <v>4076</v>
      </c>
    </row>
    <row r="384" spans="1:24" x14ac:dyDescent="0.3">
      <c r="A384" s="4">
        <v>46118</v>
      </c>
      <c r="B384">
        <v>20130102</v>
      </c>
      <c r="C384" t="s">
        <v>19</v>
      </c>
      <c r="D384">
        <v>65694</v>
      </c>
      <c r="E384" t="s">
        <v>267</v>
      </c>
      <c r="F384">
        <v>1030664256</v>
      </c>
      <c r="G384" t="s">
        <v>4392</v>
      </c>
      <c r="H384">
        <v>100198541</v>
      </c>
      <c r="I384">
        <v>202605</v>
      </c>
      <c r="J384">
        <v>1053340666</v>
      </c>
      <c r="K384" t="s">
        <v>270</v>
      </c>
      <c r="L384" t="s">
        <v>589</v>
      </c>
      <c r="M384" t="s">
        <v>271</v>
      </c>
      <c r="N384" t="s">
        <v>4354</v>
      </c>
      <c r="O384" t="s">
        <v>26</v>
      </c>
      <c r="P384" t="s">
        <v>4226</v>
      </c>
      <c r="Q384" t="s">
        <v>28</v>
      </c>
      <c r="R384" t="s">
        <v>29</v>
      </c>
      <c r="S384" t="s">
        <v>793</v>
      </c>
      <c r="T384">
        <f>_xlfn.XLOOKUP(X384,Hoja2!D:D,Hoja2!A:A)</f>
        <v>60345453</v>
      </c>
      <c r="U384" t="str">
        <f>_xlfn.XLOOKUP(X384,Hoja2!D:D,Hoja2!B:B)</f>
        <v>JAVIER ORLANDO HERNANDEZ RIVERA</v>
      </c>
      <c r="V384" t="str">
        <f>_xlfn.XLOOKUP(X384,Hoja2!D:D,Hoja2!C:C)</f>
        <v>OP GRADO - INGLÉS</v>
      </c>
      <c r="W384" s="9">
        <f>IF(V384="pregrado",31,
IF(V384="posgrados",31,
IF(V384="rEINTEGROS",7,
IF(V384="BIT",90,
IF(V384="OP GRADO - INGLÉS",17,"")))))</f>
        <v>17</v>
      </c>
      <c r="X384" t="s">
        <v>4063</v>
      </c>
    </row>
    <row r="385" spans="1:24" x14ac:dyDescent="0.3">
      <c r="A385" s="4">
        <v>46105</v>
      </c>
      <c r="B385">
        <v>20129226</v>
      </c>
      <c r="C385" t="s">
        <v>19</v>
      </c>
      <c r="D385">
        <v>65698</v>
      </c>
      <c r="E385" t="s">
        <v>267</v>
      </c>
      <c r="F385">
        <v>1023980631</v>
      </c>
      <c r="G385" t="s">
        <v>4215</v>
      </c>
      <c r="H385">
        <v>100159615</v>
      </c>
      <c r="I385">
        <v>202605</v>
      </c>
      <c r="J385">
        <v>1023980631</v>
      </c>
      <c r="K385" t="s">
        <v>270</v>
      </c>
      <c r="L385" t="s">
        <v>4126</v>
      </c>
      <c r="M385" t="s">
        <v>271</v>
      </c>
      <c r="N385" t="s">
        <v>35</v>
      </c>
      <c r="O385" t="s">
        <v>26</v>
      </c>
      <c r="P385" t="s">
        <v>27</v>
      </c>
      <c r="Q385" t="s">
        <v>28</v>
      </c>
      <c r="R385" t="s">
        <v>29</v>
      </c>
      <c r="S385" t="s">
        <v>793</v>
      </c>
      <c r="T385">
        <f>_xlfn.XLOOKUP(X385,Hoja2!D:D,Hoja2!A:A)</f>
        <v>1033714104</v>
      </c>
      <c r="U385" t="str">
        <f>_xlfn.XLOOKUP(X385,Hoja2!D:D,Hoja2!B:B)</f>
        <v>JAVIER ORLANDO HERNANDEZ RIVERA</v>
      </c>
      <c r="V385" t="str">
        <f>_xlfn.XLOOKUP(X385,Hoja2!D:D,Hoja2!C:C)</f>
        <v>OP GRADO - INGLÉS</v>
      </c>
      <c r="W385" s="9">
        <f>IF(V385="pregrado",31,
IF(V385="posgrados",31,
IF(V385="rEINTEGROS",7,
IF(V385="BIT",90,
IF(V385="OP GRADO - INGLÉS",17,"")))))</f>
        <v>17</v>
      </c>
      <c r="X385" t="s">
        <v>4029</v>
      </c>
    </row>
    <row r="386" spans="1:24" x14ac:dyDescent="0.3">
      <c r="A386" s="4">
        <v>46105</v>
      </c>
      <c r="B386">
        <v>20129222</v>
      </c>
      <c r="C386" t="s">
        <v>19</v>
      </c>
      <c r="D386">
        <v>65707</v>
      </c>
      <c r="E386" t="s">
        <v>267</v>
      </c>
      <c r="F386">
        <v>1003566999</v>
      </c>
      <c r="G386" t="s">
        <v>4213</v>
      </c>
      <c r="H386">
        <v>100249154</v>
      </c>
      <c r="I386">
        <v>202605</v>
      </c>
      <c r="J386">
        <v>1003566999</v>
      </c>
      <c r="K386" t="s">
        <v>23</v>
      </c>
      <c r="L386" t="s">
        <v>1258</v>
      </c>
      <c r="M386" t="s">
        <v>271</v>
      </c>
      <c r="N386" t="s">
        <v>35</v>
      </c>
      <c r="O386" t="s">
        <v>26</v>
      </c>
      <c r="P386" t="s">
        <v>27</v>
      </c>
      <c r="Q386" t="s">
        <v>28</v>
      </c>
      <c r="R386" t="s">
        <v>29</v>
      </c>
      <c r="S386" t="s">
        <v>793</v>
      </c>
      <c r="T386">
        <f>_xlfn.XLOOKUP(X386,Hoja2!D:D,Hoja2!A:A)</f>
        <v>1123442099</v>
      </c>
      <c r="U386" t="str">
        <f>_xlfn.XLOOKUP(X386,Hoja2!D:D,Hoja2!B:B)</f>
        <v>JOHAN SEBASTIAN PARDEYN AGUILAR</v>
      </c>
      <c r="V386" t="str">
        <f>_xlfn.XLOOKUP(X386,Hoja2!D:D,Hoja2!C:C)</f>
        <v>BIT</v>
      </c>
      <c r="W386" s="9">
        <f>IF(V386="pregrado",31,
IF(V386="posgrados",31,
IF(V386="rEINTEGROS",7,
IF(V386="BIT",90,
IF(V386="OP GRADO - INGLÉS",17,"")))))</f>
        <v>90</v>
      </c>
      <c r="X386" t="s">
        <v>4089</v>
      </c>
    </row>
    <row r="387" spans="1:24" x14ac:dyDescent="0.3">
      <c r="A387" s="4">
        <v>46106</v>
      </c>
      <c r="B387">
        <v>20129431</v>
      </c>
      <c r="C387" t="s">
        <v>19</v>
      </c>
      <c r="D387">
        <v>65712</v>
      </c>
      <c r="E387" t="s">
        <v>267</v>
      </c>
      <c r="F387">
        <v>1026153291</v>
      </c>
      <c r="G387" t="s">
        <v>4265</v>
      </c>
      <c r="H387">
        <v>100167501</v>
      </c>
      <c r="I387">
        <v>202605</v>
      </c>
      <c r="J387">
        <v>1026153291</v>
      </c>
      <c r="K387" t="s">
        <v>270</v>
      </c>
      <c r="L387" t="s">
        <v>532</v>
      </c>
      <c r="M387" t="s">
        <v>271</v>
      </c>
      <c r="N387" t="s">
        <v>35</v>
      </c>
      <c r="O387" t="s">
        <v>26</v>
      </c>
      <c r="P387" t="s">
        <v>27</v>
      </c>
      <c r="Q387" t="s">
        <v>28</v>
      </c>
      <c r="R387" t="s">
        <v>29</v>
      </c>
      <c r="S387" t="s">
        <v>793</v>
      </c>
      <c r="T387">
        <f>_xlfn.XLOOKUP(X387,Hoja2!D:D,Hoja2!A:A)</f>
        <v>1033714104</v>
      </c>
      <c r="U387" t="str">
        <f>_xlfn.XLOOKUP(X387,Hoja2!D:D,Hoja2!B:B)</f>
        <v>JAVIER ORLANDO HERNANDEZ RIVERA</v>
      </c>
      <c r="V387" t="str">
        <f>_xlfn.XLOOKUP(X387,Hoja2!D:D,Hoja2!C:C)</f>
        <v>OP GRADO - INGLÉS</v>
      </c>
      <c r="W387" s="9">
        <f>IF(V387="pregrado",31,
IF(V387="posgrados",31,
IF(V387="rEINTEGROS",7,
IF(V387="BIT",90,
IF(V387="OP GRADO - INGLÉS",17,"")))))</f>
        <v>17</v>
      </c>
      <c r="X387" t="s">
        <v>4029</v>
      </c>
    </row>
    <row r="388" spans="1:24" x14ac:dyDescent="0.3">
      <c r="A388" s="4">
        <v>46118</v>
      </c>
      <c r="B388">
        <v>20130136</v>
      </c>
      <c r="C388" t="s">
        <v>19</v>
      </c>
      <c r="D388">
        <v>65714</v>
      </c>
      <c r="E388" t="s">
        <v>267</v>
      </c>
      <c r="F388">
        <v>35891208</v>
      </c>
      <c r="G388" t="s">
        <v>4398</v>
      </c>
      <c r="H388">
        <v>100186705</v>
      </c>
      <c r="I388">
        <v>202605</v>
      </c>
      <c r="J388">
        <v>35891208</v>
      </c>
      <c r="K388" t="s">
        <v>270</v>
      </c>
      <c r="L388" t="s">
        <v>589</v>
      </c>
      <c r="M388" t="s">
        <v>271</v>
      </c>
      <c r="N388" t="s">
        <v>35</v>
      </c>
      <c r="O388" t="s">
        <v>26</v>
      </c>
      <c r="P388" t="s">
        <v>27</v>
      </c>
      <c r="Q388" t="s">
        <v>28</v>
      </c>
      <c r="R388" t="s">
        <v>29</v>
      </c>
      <c r="S388" t="s">
        <v>793</v>
      </c>
      <c r="T388">
        <f>_xlfn.XLOOKUP(X388,Hoja2!D:D,Hoja2!A:A)</f>
        <v>52834109</v>
      </c>
      <c r="U388" t="str">
        <f>_xlfn.XLOOKUP(X388,Hoja2!D:D,Hoja2!B:B)</f>
        <v>JAVIER ORLANDO HERNANDEZ RIVERA</v>
      </c>
      <c r="V388" t="str">
        <f>_xlfn.XLOOKUP(X388,Hoja2!D:D,Hoja2!C:C)</f>
        <v>OP GRADO - INGLÉS</v>
      </c>
      <c r="W388" s="9">
        <f>IF(V388="pregrado",31,
IF(V388="posgrados",31,
IF(V388="rEINTEGROS",7,
IF(V388="BIT",90,
IF(V388="OP GRADO - INGLÉS",17,"")))))</f>
        <v>17</v>
      </c>
      <c r="X388" t="s">
        <v>4018</v>
      </c>
    </row>
    <row r="389" spans="1:24" x14ac:dyDescent="0.3">
      <c r="A389" s="4">
        <v>46100</v>
      </c>
      <c r="B389">
        <v>20129032</v>
      </c>
      <c r="C389" t="s">
        <v>19</v>
      </c>
      <c r="D389">
        <v>65715</v>
      </c>
      <c r="E389" t="s">
        <v>267</v>
      </c>
      <c r="F389">
        <v>52327438</v>
      </c>
      <c r="G389" t="s">
        <v>4190</v>
      </c>
      <c r="H389">
        <v>100249190</v>
      </c>
      <c r="I389">
        <v>202605</v>
      </c>
      <c r="J389">
        <v>1000515824</v>
      </c>
      <c r="K389" t="s">
        <v>23</v>
      </c>
      <c r="L389" t="s">
        <v>1258</v>
      </c>
      <c r="M389" t="s">
        <v>271</v>
      </c>
      <c r="N389" t="s">
        <v>35</v>
      </c>
      <c r="O389" t="s">
        <v>26</v>
      </c>
      <c r="P389" t="s">
        <v>27</v>
      </c>
      <c r="Q389" t="s">
        <v>28</v>
      </c>
      <c r="R389" t="s">
        <v>29</v>
      </c>
      <c r="S389" t="s">
        <v>793</v>
      </c>
      <c r="T389">
        <f>_xlfn.XLOOKUP(X389,Hoja2!D:D,Hoja2!A:A)</f>
        <v>1019052150</v>
      </c>
      <c r="U389" t="str">
        <f>_xlfn.XLOOKUP(X389,Hoja2!D:D,Hoja2!B:B)</f>
        <v>JOHAN SEBASTIAN PARDEYN AGUILAR</v>
      </c>
      <c r="V389" t="str">
        <f>_xlfn.XLOOKUP(X389,Hoja2!D:D,Hoja2!C:C)</f>
        <v>BIT</v>
      </c>
      <c r="W389" s="9">
        <f>IF(V389="pregrado",31,
IF(V389="posgrados",31,
IF(V389="rEINTEGROS",7,
IF(V389="BIT",90,
IF(V389="OP GRADO - INGLÉS",17,"")))))</f>
        <v>90</v>
      </c>
      <c r="X389" t="s">
        <v>4074</v>
      </c>
    </row>
    <row r="390" spans="1:24" x14ac:dyDescent="0.3">
      <c r="A390" s="4">
        <v>46101</v>
      </c>
      <c r="B390">
        <v>20129042</v>
      </c>
      <c r="C390" t="s">
        <v>19</v>
      </c>
      <c r="D390">
        <v>65719</v>
      </c>
      <c r="E390" t="s">
        <v>267</v>
      </c>
      <c r="F390">
        <v>11004105</v>
      </c>
      <c r="G390" t="s">
        <v>4192</v>
      </c>
      <c r="H390">
        <v>100249216</v>
      </c>
      <c r="I390">
        <v>202605</v>
      </c>
      <c r="J390">
        <v>11004105</v>
      </c>
      <c r="K390" t="s">
        <v>23</v>
      </c>
      <c r="L390" t="s">
        <v>1066</v>
      </c>
      <c r="M390" t="s">
        <v>271</v>
      </c>
      <c r="N390" t="s">
        <v>35</v>
      </c>
      <c r="O390" t="s">
        <v>26</v>
      </c>
      <c r="P390" t="s">
        <v>27</v>
      </c>
      <c r="Q390" t="s">
        <v>28</v>
      </c>
      <c r="R390" t="s">
        <v>29</v>
      </c>
      <c r="S390" t="s">
        <v>793</v>
      </c>
      <c r="T390">
        <f>_xlfn.XLOOKUP(X390,Hoja2!D:D,Hoja2!A:A)</f>
        <v>1123442099</v>
      </c>
      <c r="U390" t="str">
        <f>_xlfn.XLOOKUP(X390,Hoja2!D:D,Hoja2!B:B)</f>
        <v>JOHAN SEBASTIAN PARDEYN AGUILAR</v>
      </c>
      <c r="V390" t="str">
        <f>_xlfn.XLOOKUP(X390,Hoja2!D:D,Hoja2!C:C)</f>
        <v>BIT</v>
      </c>
      <c r="W390" s="9">
        <f>IF(V390="pregrado",31,
IF(V390="posgrados",31,
IF(V390="rEINTEGROS",7,
IF(V390="BIT",90,
IF(V390="OP GRADO - INGLÉS",17,"")))))</f>
        <v>90</v>
      </c>
      <c r="X390" t="s">
        <v>4089</v>
      </c>
    </row>
    <row r="391" spans="1:24" x14ac:dyDescent="0.3">
      <c r="A391" s="4">
        <v>46121</v>
      </c>
      <c r="B391">
        <v>20130567</v>
      </c>
      <c r="C391" t="s">
        <v>19</v>
      </c>
      <c r="D391">
        <v>65723</v>
      </c>
      <c r="E391" t="s">
        <v>267</v>
      </c>
      <c r="F391">
        <v>1116233285</v>
      </c>
      <c r="G391" t="s">
        <v>4480</v>
      </c>
      <c r="H391">
        <v>100217574</v>
      </c>
      <c r="I391">
        <v>202605</v>
      </c>
      <c r="J391">
        <v>1116233285</v>
      </c>
      <c r="K391" t="s">
        <v>270</v>
      </c>
      <c r="L391" t="s">
        <v>3187</v>
      </c>
      <c r="M391" t="s">
        <v>271</v>
      </c>
      <c r="N391" t="s">
        <v>35</v>
      </c>
      <c r="O391" t="s">
        <v>26</v>
      </c>
      <c r="P391" t="s">
        <v>27</v>
      </c>
      <c r="Q391" t="s">
        <v>28</v>
      </c>
      <c r="R391" t="s">
        <v>29</v>
      </c>
      <c r="S391" t="s">
        <v>793</v>
      </c>
      <c r="T391">
        <f>_xlfn.XLOOKUP(X391,Hoja2!D:D,Hoja2!A:A)</f>
        <v>1033714104</v>
      </c>
      <c r="U391" t="str">
        <f>_xlfn.XLOOKUP(X391,Hoja2!D:D,Hoja2!B:B)</f>
        <v>JAVIER ORLANDO HERNANDEZ RIVERA</v>
      </c>
      <c r="V391" t="str">
        <f>_xlfn.XLOOKUP(X391,Hoja2!D:D,Hoja2!C:C)</f>
        <v>OP GRADO - INGLÉS</v>
      </c>
      <c r="W391" s="9">
        <f>IF(V391="pregrado",31,
IF(V391="posgrados",31,
IF(V391="rEINTEGROS",7,
IF(V391="BIT",90,
IF(V391="OP GRADO - INGLÉS",17,"")))))</f>
        <v>17</v>
      </c>
      <c r="X391" t="s">
        <v>4029</v>
      </c>
    </row>
    <row r="392" spans="1:24" x14ac:dyDescent="0.3">
      <c r="A392" s="4">
        <v>46102</v>
      </c>
      <c r="B392">
        <v>20129172</v>
      </c>
      <c r="C392" t="s">
        <v>19</v>
      </c>
      <c r="D392">
        <v>65736</v>
      </c>
      <c r="E392" t="s">
        <v>267</v>
      </c>
      <c r="F392">
        <v>1006171429</v>
      </c>
      <c r="G392" t="s">
        <v>4206</v>
      </c>
      <c r="H392">
        <v>100164710</v>
      </c>
      <c r="I392">
        <v>202605</v>
      </c>
      <c r="J392">
        <v>1006171429</v>
      </c>
      <c r="K392" t="s">
        <v>270</v>
      </c>
      <c r="L392" t="s">
        <v>1316</v>
      </c>
      <c r="M392" t="s">
        <v>271</v>
      </c>
      <c r="N392" t="s">
        <v>35</v>
      </c>
      <c r="O392" t="s">
        <v>26</v>
      </c>
      <c r="P392" t="s">
        <v>27</v>
      </c>
      <c r="Q392" t="s">
        <v>28</v>
      </c>
      <c r="R392" t="s">
        <v>29</v>
      </c>
      <c r="S392" t="s">
        <v>793</v>
      </c>
      <c r="T392">
        <f>_xlfn.XLOOKUP(X392,Hoja2!D:D,Hoja2!A:A)</f>
        <v>52834109</v>
      </c>
      <c r="U392" t="str">
        <f>_xlfn.XLOOKUP(X392,Hoja2!D:D,Hoja2!B:B)</f>
        <v>JAVIER ORLANDO HERNANDEZ RIVERA</v>
      </c>
      <c r="V392" t="str">
        <f>_xlfn.XLOOKUP(X392,Hoja2!D:D,Hoja2!C:C)</f>
        <v>OP GRADO - INGLÉS</v>
      </c>
      <c r="W392" s="9">
        <f>IF(V392="pregrado",31,
IF(V392="posgrados",31,
IF(V392="rEINTEGROS",7,
IF(V392="BIT",90,
IF(V392="OP GRADO - INGLÉS",17,"")))))</f>
        <v>17</v>
      </c>
      <c r="X392" t="s">
        <v>4018</v>
      </c>
    </row>
    <row r="393" spans="1:24" x14ac:dyDescent="0.3">
      <c r="A393" s="4">
        <v>46106</v>
      </c>
      <c r="B393">
        <v>20129327</v>
      </c>
      <c r="C393" t="s">
        <v>19</v>
      </c>
      <c r="D393">
        <v>65749</v>
      </c>
      <c r="E393" t="s">
        <v>267</v>
      </c>
      <c r="F393">
        <v>1030520814</v>
      </c>
      <c r="G393" t="s">
        <v>4243</v>
      </c>
      <c r="H393">
        <v>100095318</v>
      </c>
      <c r="I393">
        <v>202605</v>
      </c>
      <c r="J393">
        <v>1030520814</v>
      </c>
      <c r="K393" t="s">
        <v>270</v>
      </c>
      <c r="L393" t="s">
        <v>3187</v>
      </c>
      <c r="M393" t="s">
        <v>271</v>
      </c>
      <c r="N393" t="s">
        <v>35</v>
      </c>
      <c r="O393" t="s">
        <v>26</v>
      </c>
      <c r="P393" t="s">
        <v>27</v>
      </c>
      <c r="Q393" t="s">
        <v>28</v>
      </c>
      <c r="R393" t="s">
        <v>29</v>
      </c>
      <c r="S393" t="s">
        <v>793</v>
      </c>
      <c r="T393">
        <f>_xlfn.XLOOKUP(X393,Hoja2!D:D,Hoja2!A:A)</f>
        <v>60345453</v>
      </c>
      <c r="U393" t="str">
        <f>_xlfn.XLOOKUP(X393,Hoja2!D:D,Hoja2!B:B)</f>
        <v>JAVIER ORLANDO HERNANDEZ RIVERA</v>
      </c>
      <c r="V393" t="str">
        <f>_xlfn.XLOOKUP(X393,Hoja2!D:D,Hoja2!C:C)</f>
        <v>OP GRADO - INGLÉS</v>
      </c>
      <c r="W393" s="9">
        <f>IF(V393="pregrado",31,
IF(V393="posgrados",31,
IF(V393="rEINTEGROS",7,
IF(V393="BIT",90,
IF(V393="OP GRADO - INGLÉS",17,"")))))</f>
        <v>17</v>
      </c>
      <c r="X393" t="s">
        <v>4063</v>
      </c>
    </row>
    <row r="394" spans="1:24" x14ac:dyDescent="0.3">
      <c r="A394" s="4">
        <v>46105</v>
      </c>
      <c r="B394">
        <v>20129289</v>
      </c>
      <c r="C394" t="s">
        <v>19</v>
      </c>
      <c r="D394">
        <v>65753</v>
      </c>
      <c r="E394" t="s">
        <v>267</v>
      </c>
      <c r="F394">
        <v>1065820868</v>
      </c>
      <c r="G394" t="s">
        <v>4235</v>
      </c>
      <c r="H394">
        <v>100230629</v>
      </c>
      <c r="I394">
        <v>202605</v>
      </c>
      <c r="J394">
        <v>1065812205</v>
      </c>
      <c r="K394" t="s">
        <v>270</v>
      </c>
      <c r="L394" t="s">
        <v>589</v>
      </c>
      <c r="M394" t="s">
        <v>271</v>
      </c>
      <c r="N394" t="s">
        <v>35</v>
      </c>
      <c r="O394" t="s">
        <v>26</v>
      </c>
      <c r="P394" t="s">
        <v>27</v>
      </c>
      <c r="Q394" t="s">
        <v>28</v>
      </c>
      <c r="R394" t="s">
        <v>29</v>
      </c>
      <c r="S394" t="s">
        <v>793</v>
      </c>
      <c r="T394">
        <f>_xlfn.XLOOKUP(X394,Hoja2!D:D,Hoja2!A:A)</f>
        <v>1033714104</v>
      </c>
      <c r="U394" t="str">
        <f>_xlfn.XLOOKUP(X394,Hoja2!D:D,Hoja2!B:B)</f>
        <v>JAVIER ORLANDO HERNANDEZ RIVERA</v>
      </c>
      <c r="V394" t="str">
        <f>_xlfn.XLOOKUP(X394,Hoja2!D:D,Hoja2!C:C)</f>
        <v>OP GRADO - INGLÉS</v>
      </c>
      <c r="W394" s="9">
        <f>IF(V394="pregrado",31,
IF(V394="posgrados",31,
IF(V394="rEINTEGROS",7,
IF(V394="BIT",90,
IF(V394="OP GRADO - INGLÉS",17,"")))))</f>
        <v>17</v>
      </c>
      <c r="X394" t="s">
        <v>4029</v>
      </c>
    </row>
    <row r="395" spans="1:24" x14ac:dyDescent="0.3">
      <c r="A395" s="4">
        <v>46105</v>
      </c>
      <c r="B395">
        <v>20129253</v>
      </c>
      <c r="C395" t="s">
        <v>19</v>
      </c>
      <c r="D395">
        <v>65755</v>
      </c>
      <c r="E395" t="s">
        <v>267</v>
      </c>
      <c r="F395">
        <v>1077469718</v>
      </c>
      <c r="G395" t="s">
        <v>4227</v>
      </c>
      <c r="H395">
        <v>100231692</v>
      </c>
      <c r="I395">
        <v>202605</v>
      </c>
      <c r="J395">
        <v>1077469718</v>
      </c>
      <c r="K395" t="s">
        <v>270</v>
      </c>
      <c r="L395" t="s">
        <v>3187</v>
      </c>
      <c r="M395" t="s">
        <v>271</v>
      </c>
      <c r="N395" t="s">
        <v>35</v>
      </c>
      <c r="O395" t="s">
        <v>26</v>
      </c>
      <c r="P395" t="s">
        <v>27</v>
      </c>
      <c r="Q395" t="s">
        <v>28</v>
      </c>
      <c r="R395" t="s">
        <v>29</v>
      </c>
      <c r="S395" t="s">
        <v>793</v>
      </c>
      <c r="T395">
        <f>_xlfn.XLOOKUP(X395,Hoja2!D:D,Hoja2!A:A)</f>
        <v>1033714104</v>
      </c>
      <c r="U395" t="str">
        <f>_xlfn.XLOOKUP(X395,Hoja2!D:D,Hoja2!B:B)</f>
        <v>JAVIER ORLANDO HERNANDEZ RIVERA</v>
      </c>
      <c r="V395" t="str">
        <f>_xlfn.XLOOKUP(X395,Hoja2!D:D,Hoja2!C:C)</f>
        <v>OP GRADO - INGLÉS</v>
      </c>
      <c r="W395" s="9">
        <f>IF(V395="pregrado",31,
IF(V395="posgrados",31,
IF(V395="rEINTEGROS",7,
IF(V395="BIT",90,
IF(V395="OP GRADO - INGLÉS",17,"")))))</f>
        <v>17</v>
      </c>
      <c r="X395" t="s">
        <v>4029</v>
      </c>
    </row>
    <row r="396" spans="1:24" x14ac:dyDescent="0.3">
      <c r="A396" s="4">
        <v>46128</v>
      </c>
      <c r="B396">
        <v>20131277</v>
      </c>
      <c r="C396" t="s">
        <v>19</v>
      </c>
      <c r="D396">
        <v>65756</v>
      </c>
      <c r="E396" t="s">
        <v>267</v>
      </c>
      <c r="F396">
        <v>11805172</v>
      </c>
      <c r="G396" t="s">
        <v>4638</v>
      </c>
      <c r="H396">
        <v>100231626</v>
      </c>
      <c r="I396">
        <v>202605</v>
      </c>
      <c r="J396">
        <v>1077471050</v>
      </c>
      <c r="K396" t="s">
        <v>270</v>
      </c>
      <c r="L396" t="s">
        <v>3187</v>
      </c>
      <c r="M396" t="s">
        <v>271</v>
      </c>
      <c r="N396" t="s">
        <v>35</v>
      </c>
      <c r="O396" t="s">
        <v>26</v>
      </c>
      <c r="P396" t="s">
        <v>27</v>
      </c>
      <c r="Q396" t="s">
        <v>28</v>
      </c>
      <c r="R396" t="s">
        <v>29</v>
      </c>
      <c r="S396" t="s">
        <v>793</v>
      </c>
      <c r="T396">
        <f>_xlfn.XLOOKUP(X396,Hoja2!D:D,Hoja2!A:A)</f>
        <v>1033714104</v>
      </c>
      <c r="U396" t="str">
        <f>_xlfn.XLOOKUP(X396,Hoja2!D:D,Hoja2!B:B)</f>
        <v>JAVIER ORLANDO HERNANDEZ RIVERA</v>
      </c>
      <c r="V396" t="str">
        <f>_xlfn.XLOOKUP(X396,Hoja2!D:D,Hoja2!C:C)</f>
        <v>OP GRADO - INGLÉS</v>
      </c>
      <c r="W396" s="9">
        <f>IF(V396="pregrado",31,
IF(V396="posgrados",31,
IF(V396="rEINTEGROS",7,
IF(V396="BIT",90,
IF(V396="OP GRADO - INGLÉS",17,"")))))</f>
        <v>17</v>
      </c>
      <c r="X396" t="s">
        <v>4029</v>
      </c>
    </row>
    <row r="397" spans="1:24" x14ac:dyDescent="0.3">
      <c r="A397" s="4">
        <v>46126</v>
      </c>
      <c r="B397">
        <v>20130997</v>
      </c>
      <c r="C397" t="s">
        <v>19</v>
      </c>
      <c r="D397">
        <v>65758</v>
      </c>
      <c r="E397" t="s">
        <v>267</v>
      </c>
      <c r="F397">
        <v>1069753816</v>
      </c>
      <c r="G397" t="s">
        <v>4573</v>
      </c>
      <c r="H397">
        <v>100226627</v>
      </c>
      <c r="I397">
        <v>202605</v>
      </c>
      <c r="J397">
        <v>1069753816</v>
      </c>
      <c r="K397" t="s">
        <v>270</v>
      </c>
      <c r="L397" t="s">
        <v>3611</v>
      </c>
      <c r="M397" t="s">
        <v>271</v>
      </c>
      <c r="N397" t="s">
        <v>35</v>
      </c>
      <c r="O397" t="s">
        <v>26</v>
      </c>
      <c r="P397" t="s">
        <v>27</v>
      </c>
      <c r="Q397" t="s">
        <v>28</v>
      </c>
      <c r="R397" t="s">
        <v>29</v>
      </c>
      <c r="S397" t="s">
        <v>793</v>
      </c>
      <c r="T397">
        <f>_xlfn.XLOOKUP(X397,Hoja2!D:D,Hoja2!A:A)</f>
        <v>1033714104</v>
      </c>
      <c r="U397" t="str">
        <f>_xlfn.XLOOKUP(X397,Hoja2!D:D,Hoja2!B:B)</f>
        <v>JAVIER ORLANDO HERNANDEZ RIVERA</v>
      </c>
      <c r="V397" t="str">
        <f>_xlfn.XLOOKUP(X397,Hoja2!D:D,Hoja2!C:C)</f>
        <v>OP GRADO - INGLÉS</v>
      </c>
      <c r="W397" s="9">
        <f>IF(V397="pregrado",31,
IF(V397="posgrados",31,
IF(V397="rEINTEGROS",7,
IF(V397="BIT",90,
IF(V397="OP GRADO - INGLÉS",17,"")))))</f>
        <v>17</v>
      </c>
      <c r="X397" t="s">
        <v>4029</v>
      </c>
    </row>
    <row r="398" spans="1:24" x14ac:dyDescent="0.3">
      <c r="A398" s="4">
        <v>46113</v>
      </c>
      <c r="B398">
        <v>20129992</v>
      </c>
      <c r="C398" t="s">
        <v>19</v>
      </c>
      <c r="D398">
        <v>65761</v>
      </c>
      <c r="E398" t="s">
        <v>267</v>
      </c>
      <c r="F398">
        <v>1123301548</v>
      </c>
      <c r="G398" t="s">
        <v>4382</v>
      </c>
      <c r="H398">
        <v>100187428</v>
      </c>
      <c r="I398">
        <v>202605</v>
      </c>
      <c r="J398">
        <v>1123301548</v>
      </c>
      <c r="K398" t="s">
        <v>270</v>
      </c>
      <c r="L398" t="s">
        <v>336</v>
      </c>
      <c r="M398" t="s">
        <v>271</v>
      </c>
      <c r="N398" t="s">
        <v>35</v>
      </c>
      <c r="O398" t="s">
        <v>26</v>
      </c>
      <c r="P398" t="s">
        <v>27</v>
      </c>
      <c r="Q398" t="s">
        <v>28</v>
      </c>
      <c r="R398" t="s">
        <v>29</v>
      </c>
      <c r="S398" t="s">
        <v>793</v>
      </c>
      <c r="T398">
        <f>_xlfn.XLOOKUP(X398,Hoja2!D:D,Hoja2!A:A)</f>
        <v>1033714104</v>
      </c>
      <c r="U398" t="str">
        <f>_xlfn.XLOOKUP(X398,Hoja2!D:D,Hoja2!B:B)</f>
        <v>JAVIER ORLANDO HERNANDEZ RIVERA</v>
      </c>
      <c r="V398" t="str">
        <f>_xlfn.XLOOKUP(X398,Hoja2!D:D,Hoja2!C:C)</f>
        <v>OP GRADO - INGLÉS</v>
      </c>
      <c r="W398" s="9">
        <f>IF(V398="pregrado",31,
IF(V398="posgrados",31,
IF(V398="rEINTEGROS",7,
IF(V398="BIT",90,
IF(V398="OP GRADO - INGLÉS",17,"")))))</f>
        <v>17</v>
      </c>
      <c r="X398" t="s">
        <v>4029</v>
      </c>
    </row>
    <row r="399" spans="1:24" x14ac:dyDescent="0.3">
      <c r="A399" s="4">
        <v>46107</v>
      </c>
      <c r="B399">
        <v>20129519</v>
      </c>
      <c r="C399" t="s">
        <v>19</v>
      </c>
      <c r="D399">
        <v>65762</v>
      </c>
      <c r="E399" t="s">
        <v>267</v>
      </c>
      <c r="F399">
        <v>1193109602</v>
      </c>
      <c r="G399" t="s">
        <v>4285</v>
      </c>
      <c r="H399">
        <v>100226522</v>
      </c>
      <c r="I399">
        <v>202605</v>
      </c>
      <c r="J399">
        <v>1193109602</v>
      </c>
      <c r="K399" t="s">
        <v>270</v>
      </c>
      <c r="L399" t="s">
        <v>336</v>
      </c>
      <c r="M399" t="s">
        <v>271</v>
      </c>
      <c r="N399" t="s">
        <v>35</v>
      </c>
      <c r="O399" t="s">
        <v>26</v>
      </c>
      <c r="P399" t="s">
        <v>27</v>
      </c>
      <c r="Q399" t="s">
        <v>28</v>
      </c>
      <c r="R399" t="s">
        <v>29</v>
      </c>
      <c r="S399" t="s">
        <v>793</v>
      </c>
      <c r="T399">
        <f>_xlfn.XLOOKUP(X399,Hoja2!D:D,Hoja2!A:A)</f>
        <v>1033714104</v>
      </c>
      <c r="U399" t="str">
        <f>_xlfn.XLOOKUP(X399,Hoja2!D:D,Hoja2!B:B)</f>
        <v>JAVIER ORLANDO HERNANDEZ RIVERA</v>
      </c>
      <c r="V399" t="str">
        <f>_xlfn.XLOOKUP(X399,Hoja2!D:D,Hoja2!C:C)</f>
        <v>OP GRADO - INGLÉS</v>
      </c>
      <c r="W399" s="9">
        <f>IF(V399="pregrado",31,
IF(V399="posgrados",31,
IF(V399="rEINTEGROS",7,
IF(V399="BIT",90,
IF(V399="OP GRADO - INGLÉS",17,"")))))</f>
        <v>17</v>
      </c>
      <c r="X399" t="s">
        <v>4029</v>
      </c>
    </row>
    <row r="400" spans="1:24" x14ac:dyDescent="0.3">
      <c r="A400" s="4">
        <v>46106</v>
      </c>
      <c r="B400">
        <v>20129436</v>
      </c>
      <c r="C400" t="s">
        <v>19</v>
      </c>
      <c r="D400">
        <v>65790</v>
      </c>
      <c r="E400" t="s">
        <v>267</v>
      </c>
      <c r="F400">
        <v>1133679320</v>
      </c>
      <c r="G400" t="s">
        <v>4267</v>
      </c>
      <c r="H400">
        <v>100231419</v>
      </c>
      <c r="I400">
        <v>202605</v>
      </c>
      <c r="J400">
        <v>1076336007</v>
      </c>
      <c r="K400" t="s">
        <v>270</v>
      </c>
      <c r="L400" t="s">
        <v>3187</v>
      </c>
      <c r="M400" t="s">
        <v>271</v>
      </c>
      <c r="N400" t="s">
        <v>35</v>
      </c>
      <c r="O400" t="s">
        <v>26</v>
      </c>
      <c r="P400" t="s">
        <v>27</v>
      </c>
      <c r="Q400" t="s">
        <v>28</v>
      </c>
      <c r="R400" t="s">
        <v>29</v>
      </c>
      <c r="S400" t="s">
        <v>793</v>
      </c>
      <c r="T400">
        <f>_xlfn.XLOOKUP(X400,Hoja2!D:D,Hoja2!A:A)</f>
        <v>1033714104</v>
      </c>
      <c r="U400" t="str">
        <f>_xlfn.XLOOKUP(X400,Hoja2!D:D,Hoja2!B:B)</f>
        <v>JAVIER ORLANDO HERNANDEZ RIVERA</v>
      </c>
      <c r="V400" t="str">
        <f>_xlfn.XLOOKUP(X400,Hoja2!D:D,Hoja2!C:C)</f>
        <v>OP GRADO - INGLÉS</v>
      </c>
      <c r="W400" s="9">
        <f>IF(V400="pregrado",31,
IF(V400="posgrados",31,
IF(V400="rEINTEGROS",7,
IF(V400="BIT",90,
IF(V400="OP GRADO - INGLÉS",17,"")))))</f>
        <v>17</v>
      </c>
      <c r="X400" t="s">
        <v>4029</v>
      </c>
    </row>
    <row r="401" spans="1:24" x14ac:dyDescent="0.3">
      <c r="A401" s="4">
        <v>46119</v>
      </c>
      <c r="B401">
        <v>20130231</v>
      </c>
      <c r="C401" t="s">
        <v>19</v>
      </c>
      <c r="D401">
        <v>65792</v>
      </c>
      <c r="E401" t="s">
        <v>267</v>
      </c>
      <c r="F401">
        <v>1014189659</v>
      </c>
      <c r="G401" t="s">
        <v>4417</v>
      </c>
      <c r="H401">
        <v>100249447</v>
      </c>
      <c r="I401">
        <v>202605</v>
      </c>
      <c r="J401">
        <v>1014189659</v>
      </c>
      <c r="K401" t="s">
        <v>23</v>
      </c>
      <c r="L401" t="s">
        <v>1414</v>
      </c>
      <c r="M401" t="s">
        <v>271</v>
      </c>
      <c r="N401" t="s">
        <v>35</v>
      </c>
      <c r="O401" t="s">
        <v>26</v>
      </c>
      <c r="P401" t="s">
        <v>27</v>
      </c>
      <c r="Q401" t="s">
        <v>28</v>
      </c>
      <c r="R401" t="s">
        <v>29</v>
      </c>
      <c r="S401" t="s">
        <v>793</v>
      </c>
      <c r="T401">
        <f>_xlfn.XLOOKUP(X401,Hoja2!D:D,Hoja2!A:A)</f>
        <v>1065824282</v>
      </c>
      <c r="U401" t="str">
        <f>_xlfn.XLOOKUP(X401,Hoja2!D:D,Hoja2!B:B)</f>
        <v>JOHAN SEBASTIAN PARDEYN AGUILAR</v>
      </c>
      <c r="V401" t="str">
        <f>_xlfn.XLOOKUP(X401,Hoja2!D:D,Hoja2!C:C)</f>
        <v>BIT</v>
      </c>
      <c r="W401" s="9">
        <f>IF(V401="pregrado",31,
IF(V401="posgrados",31,
IF(V401="rEINTEGROS",7,
IF(V401="BIT",90,
IF(V401="OP GRADO - INGLÉS",17,"")))))</f>
        <v>90</v>
      </c>
      <c r="X401" t="s">
        <v>4090</v>
      </c>
    </row>
    <row r="402" spans="1:24" x14ac:dyDescent="0.3">
      <c r="A402" s="4">
        <v>46118</v>
      </c>
      <c r="B402">
        <v>20130168</v>
      </c>
      <c r="C402" t="s">
        <v>19</v>
      </c>
      <c r="D402">
        <v>65803</v>
      </c>
      <c r="E402" t="s">
        <v>267</v>
      </c>
      <c r="F402">
        <v>1007583152</v>
      </c>
      <c r="G402" t="s">
        <v>4405</v>
      </c>
      <c r="H402">
        <v>100148020</v>
      </c>
      <c r="I402">
        <v>202605</v>
      </c>
      <c r="J402">
        <v>1007583152</v>
      </c>
      <c r="K402" t="s">
        <v>270</v>
      </c>
      <c r="L402" t="s">
        <v>486</v>
      </c>
      <c r="M402" t="s">
        <v>271</v>
      </c>
      <c r="N402" t="s">
        <v>35</v>
      </c>
      <c r="O402" t="s">
        <v>26</v>
      </c>
      <c r="P402" t="s">
        <v>27</v>
      </c>
      <c r="Q402" t="s">
        <v>28</v>
      </c>
      <c r="R402" t="s">
        <v>29</v>
      </c>
      <c r="S402" t="s">
        <v>793</v>
      </c>
      <c r="T402">
        <f>_xlfn.XLOOKUP(X402,Hoja2!D:D,Hoja2!A:A)</f>
        <v>1033714104</v>
      </c>
      <c r="U402" t="str">
        <f>_xlfn.XLOOKUP(X402,Hoja2!D:D,Hoja2!B:B)</f>
        <v>JAVIER ORLANDO HERNANDEZ RIVERA</v>
      </c>
      <c r="V402" t="str">
        <f>_xlfn.XLOOKUP(X402,Hoja2!D:D,Hoja2!C:C)</f>
        <v>OP GRADO - INGLÉS</v>
      </c>
      <c r="W402" s="9">
        <f>IF(V402="pregrado",31,
IF(V402="posgrados",31,
IF(V402="rEINTEGROS",7,
IF(V402="BIT",90,
IF(V402="OP GRADO - INGLÉS",17,"")))))</f>
        <v>17</v>
      </c>
      <c r="X402" t="s">
        <v>4029</v>
      </c>
    </row>
    <row r="403" spans="1:24" x14ac:dyDescent="0.3">
      <c r="A403" s="4">
        <v>46112</v>
      </c>
      <c r="B403">
        <v>20129983</v>
      </c>
      <c r="C403" t="s">
        <v>19</v>
      </c>
      <c r="D403">
        <v>65822</v>
      </c>
      <c r="E403" t="s">
        <v>267</v>
      </c>
      <c r="F403">
        <v>1024593629</v>
      </c>
      <c r="G403" t="s">
        <v>4380</v>
      </c>
      <c r="H403">
        <v>100151656</v>
      </c>
      <c r="I403">
        <v>202605</v>
      </c>
      <c r="J403">
        <v>1073717684</v>
      </c>
      <c r="K403" t="s">
        <v>270</v>
      </c>
      <c r="L403" t="s">
        <v>409</v>
      </c>
      <c r="M403" t="s">
        <v>271</v>
      </c>
      <c r="N403" t="s">
        <v>35</v>
      </c>
      <c r="O403" t="s">
        <v>26</v>
      </c>
      <c r="P403" t="s">
        <v>27</v>
      </c>
      <c r="Q403" t="s">
        <v>28</v>
      </c>
      <c r="R403" t="s">
        <v>29</v>
      </c>
      <c r="S403" t="s">
        <v>793</v>
      </c>
      <c r="T403">
        <f>_xlfn.XLOOKUP(X403,Hoja2!D:D,Hoja2!A:A)</f>
        <v>60345453</v>
      </c>
      <c r="U403" t="str">
        <f>_xlfn.XLOOKUP(X403,Hoja2!D:D,Hoja2!B:B)</f>
        <v>JAVIER ORLANDO HERNANDEZ RIVERA</v>
      </c>
      <c r="V403" t="str">
        <f>_xlfn.XLOOKUP(X403,Hoja2!D:D,Hoja2!C:C)</f>
        <v>OP GRADO - INGLÉS</v>
      </c>
      <c r="W403" s="9">
        <f>IF(V403="pregrado",31,
IF(V403="posgrados",31,
IF(V403="rEINTEGROS",7,
IF(V403="BIT",90,
IF(V403="OP GRADO - INGLÉS",17,"")))))</f>
        <v>17</v>
      </c>
      <c r="X403" t="s">
        <v>4063</v>
      </c>
    </row>
    <row r="404" spans="1:24" x14ac:dyDescent="0.3">
      <c r="A404" s="4">
        <v>46128</v>
      </c>
      <c r="B404">
        <v>20131391</v>
      </c>
      <c r="C404" t="s">
        <v>19</v>
      </c>
      <c r="D404">
        <v>65828</v>
      </c>
      <c r="E404" t="s">
        <v>267</v>
      </c>
      <c r="F404">
        <v>1031120638</v>
      </c>
      <c r="G404" t="s">
        <v>4661</v>
      </c>
      <c r="H404">
        <v>100197573</v>
      </c>
      <c r="I404">
        <v>202605</v>
      </c>
      <c r="J404">
        <v>1031120638</v>
      </c>
      <c r="K404" t="s">
        <v>270</v>
      </c>
      <c r="L404" t="s">
        <v>269</v>
      </c>
      <c r="M404" t="s">
        <v>271</v>
      </c>
      <c r="N404" t="s">
        <v>35</v>
      </c>
      <c r="O404" t="s">
        <v>26</v>
      </c>
      <c r="P404" t="s">
        <v>27</v>
      </c>
      <c r="Q404" t="s">
        <v>28</v>
      </c>
      <c r="R404" t="s">
        <v>29</v>
      </c>
      <c r="S404" t="s">
        <v>793</v>
      </c>
      <c r="T404">
        <f>_xlfn.XLOOKUP(X404,Hoja2!D:D,Hoja2!A:A)</f>
        <v>1033714104</v>
      </c>
      <c r="U404" t="str">
        <f>_xlfn.XLOOKUP(X404,Hoja2!D:D,Hoja2!B:B)</f>
        <v>JAVIER ORLANDO HERNANDEZ RIVERA</v>
      </c>
      <c r="V404" t="str">
        <f>_xlfn.XLOOKUP(X404,Hoja2!D:D,Hoja2!C:C)</f>
        <v>OP GRADO - INGLÉS</v>
      </c>
      <c r="W404" s="9">
        <f>IF(V404="pregrado",31,
IF(V404="posgrados",31,
IF(V404="rEINTEGROS",7,
IF(V404="BIT",90,
IF(V404="OP GRADO - INGLÉS",17,"")))))</f>
        <v>17</v>
      </c>
      <c r="X404" t="s">
        <v>4029</v>
      </c>
    </row>
    <row r="405" spans="1:24" x14ac:dyDescent="0.3">
      <c r="A405" s="4">
        <v>46106</v>
      </c>
      <c r="B405">
        <v>20129432</v>
      </c>
      <c r="C405" t="s">
        <v>19</v>
      </c>
      <c r="D405">
        <v>65833</v>
      </c>
      <c r="E405" t="s">
        <v>267</v>
      </c>
      <c r="F405">
        <v>1118028878</v>
      </c>
      <c r="G405" t="s">
        <v>4266</v>
      </c>
      <c r="H405">
        <v>100211212</v>
      </c>
      <c r="I405">
        <v>202605</v>
      </c>
      <c r="J405">
        <v>1118028878</v>
      </c>
      <c r="K405" t="s">
        <v>270</v>
      </c>
      <c r="L405" t="s">
        <v>1281</v>
      </c>
      <c r="M405" t="s">
        <v>271</v>
      </c>
      <c r="N405" t="s">
        <v>35</v>
      </c>
      <c r="O405" t="s">
        <v>26</v>
      </c>
      <c r="P405" t="s">
        <v>27</v>
      </c>
      <c r="Q405" t="s">
        <v>28</v>
      </c>
      <c r="R405" t="s">
        <v>29</v>
      </c>
      <c r="S405" t="s">
        <v>793</v>
      </c>
      <c r="T405">
        <f>_xlfn.XLOOKUP(X405,Hoja2!D:D,Hoja2!A:A)</f>
        <v>60345453</v>
      </c>
      <c r="U405" t="str">
        <f>_xlfn.XLOOKUP(X405,Hoja2!D:D,Hoja2!B:B)</f>
        <v>JAVIER ORLANDO HERNANDEZ RIVERA</v>
      </c>
      <c r="V405" t="str">
        <f>_xlfn.XLOOKUP(X405,Hoja2!D:D,Hoja2!C:C)</f>
        <v>OP GRADO - INGLÉS</v>
      </c>
      <c r="W405" s="9">
        <f>IF(V405="pregrado",31,
IF(V405="posgrados",31,
IF(V405="rEINTEGROS",7,
IF(V405="BIT",90,
IF(V405="OP GRADO - INGLÉS",17,"")))))</f>
        <v>17</v>
      </c>
      <c r="X405" t="s">
        <v>4063</v>
      </c>
    </row>
    <row r="406" spans="1:24" x14ac:dyDescent="0.3">
      <c r="A406" s="4">
        <v>46119</v>
      </c>
      <c r="B406">
        <v>20130287</v>
      </c>
      <c r="C406" t="s">
        <v>19</v>
      </c>
      <c r="D406">
        <v>65837</v>
      </c>
      <c r="E406" t="s">
        <v>267</v>
      </c>
      <c r="F406">
        <v>1033780726</v>
      </c>
      <c r="G406" t="s">
        <v>4431</v>
      </c>
      <c r="H406">
        <v>100189855</v>
      </c>
      <c r="I406">
        <v>202605</v>
      </c>
      <c r="J406">
        <v>1033780726</v>
      </c>
      <c r="K406" t="s">
        <v>270</v>
      </c>
      <c r="L406" t="s">
        <v>4126</v>
      </c>
      <c r="M406" t="s">
        <v>271</v>
      </c>
      <c r="N406" t="s">
        <v>35</v>
      </c>
      <c r="O406" t="s">
        <v>26</v>
      </c>
      <c r="P406" t="s">
        <v>27</v>
      </c>
      <c r="Q406" t="s">
        <v>28</v>
      </c>
      <c r="R406" t="s">
        <v>29</v>
      </c>
      <c r="S406" t="s">
        <v>793</v>
      </c>
      <c r="T406">
        <f>_xlfn.XLOOKUP(X406,Hoja2!D:D,Hoja2!A:A)</f>
        <v>60345453</v>
      </c>
      <c r="U406" t="str">
        <f>_xlfn.XLOOKUP(X406,Hoja2!D:D,Hoja2!B:B)</f>
        <v>JAVIER ORLANDO HERNANDEZ RIVERA</v>
      </c>
      <c r="V406" t="str">
        <f>_xlfn.XLOOKUP(X406,Hoja2!D:D,Hoja2!C:C)</f>
        <v>OP GRADO - INGLÉS</v>
      </c>
      <c r="W406" s="9">
        <f>IF(V406="pregrado",31,
IF(V406="posgrados",31,
IF(V406="rEINTEGROS",7,
IF(V406="BIT",90,
IF(V406="OP GRADO - INGLÉS",17,"")))))</f>
        <v>17</v>
      </c>
      <c r="X406" t="s">
        <v>4063</v>
      </c>
    </row>
    <row r="407" spans="1:24" x14ac:dyDescent="0.3">
      <c r="A407" s="4">
        <v>46111</v>
      </c>
      <c r="B407">
        <v>20129753</v>
      </c>
      <c r="C407" t="s">
        <v>19</v>
      </c>
      <c r="D407">
        <v>65838</v>
      </c>
      <c r="E407" t="s">
        <v>267</v>
      </c>
      <c r="F407">
        <v>1007635235</v>
      </c>
      <c r="G407" t="s">
        <v>4332</v>
      </c>
      <c r="H407">
        <v>100091131</v>
      </c>
      <c r="I407">
        <v>202605</v>
      </c>
      <c r="J407">
        <v>1007635235</v>
      </c>
      <c r="K407" t="s">
        <v>270</v>
      </c>
      <c r="L407" t="s">
        <v>4333</v>
      </c>
      <c r="M407" t="s">
        <v>271</v>
      </c>
      <c r="N407" t="s">
        <v>35</v>
      </c>
      <c r="O407" t="s">
        <v>26</v>
      </c>
      <c r="P407" t="s">
        <v>27</v>
      </c>
      <c r="Q407" t="s">
        <v>28</v>
      </c>
      <c r="R407" t="s">
        <v>29</v>
      </c>
      <c r="S407" t="s">
        <v>793</v>
      </c>
      <c r="T407">
        <f>_xlfn.XLOOKUP(X407,Hoja2!D:D,Hoja2!A:A)</f>
        <v>1033714104</v>
      </c>
      <c r="U407" t="str">
        <f>_xlfn.XLOOKUP(X407,Hoja2!D:D,Hoja2!B:B)</f>
        <v>JAVIER ORLANDO HERNANDEZ RIVERA</v>
      </c>
      <c r="V407" t="str">
        <f>_xlfn.XLOOKUP(X407,Hoja2!D:D,Hoja2!C:C)</f>
        <v>OP GRADO - INGLÉS</v>
      </c>
      <c r="W407" s="9">
        <f>IF(V407="pregrado",31,
IF(V407="posgrados",31,
IF(V407="rEINTEGROS",7,
IF(V407="BIT",90,
IF(V407="OP GRADO - INGLÉS",17,"")))))</f>
        <v>17</v>
      </c>
      <c r="X407" t="s">
        <v>4029</v>
      </c>
    </row>
    <row r="408" spans="1:24" x14ac:dyDescent="0.3">
      <c r="A408" s="4">
        <v>46135</v>
      </c>
      <c r="B408">
        <v>20132024</v>
      </c>
      <c r="C408" t="s">
        <v>19</v>
      </c>
      <c r="D408">
        <v>65843</v>
      </c>
      <c r="E408" t="s">
        <v>267</v>
      </c>
      <c r="F408">
        <v>1075227197</v>
      </c>
      <c r="G408" t="s">
        <v>4801</v>
      </c>
      <c r="H408">
        <v>100118070</v>
      </c>
      <c r="I408">
        <v>202605</v>
      </c>
      <c r="J408">
        <v>1075227197</v>
      </c>
      <c r="K408" t="s">
        <v>270</v>
      </c>
      <c r="L408" t="s">
        <v>409</v>
      </c>
      <c r="M408" t="s">
        <v>271</v>
      </c>
      <c r="N408" t="s">
        <v>35</v>
      </c>
      <c r="O408" t="s">
        <v>26</v>
      </c>
      <c r="P408" t="s">
        <v>27</v>
      </c>
      <c r="Q408" t="s">
        <v>28</v>
      </c>
      <c r="R408" t="s">
        <v>29</v>
      </c>
      <c r="S408" t="s">
        <v>793</v>
      </c>
      <c r="T408">
        <f>_xlfn.XLOOKUP(X408,Hoja2!D:D,Hoja2!A:A)</f>
        <v>60345453</v>
      </c>
      <c r="U408" t="str">
        <f>_xlfn.XLOOKUP(X408,Hoja2!D:D,Hoja2!B:B)</f>
        <v>JAVIER ORLANDO HERNANDEZ RIVERA</v>
      </c>
      <c r="V408" t="str">
        <f>_xlfn.XLOOKUP(X408,Hoja2!D:D,Hoja2!C:C)</f>
        <v>OP GRADO - INGLÉS</v>
      </c>
      <c r="W408" s="9">
        <f>IF(V408="pregrado",31,
IF(V408="posgrados",31,
IF(V408="rEINTEGROS",7,
IF(V408="BIT",90,
IF(V408="OP GRADO - INGLÉS",17,"")))))</f>
        <v>17</v>
      </c>
      <c r="X408" t="s">
        <v>4063</v>
      </c>
    </row>
    <row r="409" spans="1:24" x14ac:dyDescent="0.3">
      <c r="A409" s="4">
        <v>46113</v>
      </c>
      <c r="B409">
        <v>20130015</v>
      </c>
      <c r="C409" t="s">
        <v>19</v>
      </c>
      <c r="D409">
        <v>65844</v>
      </c>
      <c r="E409" t="s">
        <v>267</v>
      </c>
      <c r="F409">
        <v>1001561086</v>
      </c>
      <c r="G409" t="s">
        <v>4383</v>
      </c>
      <c r="H409">
        <v>100177347</v>
      </c>
      <c r="I409">
        <v>202605</v>
      </c>
      <c r="J409">
        <v>1001561086</v>
      </c>
      <c r="K409" t="s">
        <v>270</v>
      </c>
      <c r="L409" t="s">
        <v>4126</v>
      </c>
      <c r="M409" t="s">
        <v>271</v>
      </c>
      <c r="N409" t="s">
        <v>35</v>
      </c>
      <c r="O409" t="s">
        <v>26</v>
      </c>
      <c r="P409" t="s">
        <v>27</v>
      </c>
      <c r="Q409" t="s">
        <v>28</v>
      </c>
      <c r="R409" t="s">
        <v>29</v>
      </c>
      <c r="S409" t="s">
        <v>793</v>
      </c>
      <c r="T409">
        <f>_xlfn.XLOOKUP(X409,Hoja2!D:D,Hoja2!A:A)</f>
        <v>60345453</v>
      </c>
      <c r="U409" t="str">
        <f>_xlfn.XLOOKUP(X409,Hoja2!D:D,Hoja2!B:B)</f>
        <v>JAVIER ORLANDO HERNANDEZ RIVERA</v>
      </c>
      <c r="V409" t="str">
        <f>_xlfn.XLOOKUP(X409,Hoja2!D:D,Hoja2!C:C)</f>
        <v>OP GRADO - INGLÉS</v>
      </c>
      <c r="W409" s="9">
        <f>IF(V409="pregrado",31,
IF(V409="posgrados",31,
IF(V409="rEINTEGROS",7,
IF(V409="BIT",90,
IF(V409="OP GRADO - INGLÉS",17,"")))))</f>
        <v>17</v>
      </c>
      <c r="X409" t="s">
        <v>4063</v>
      </c>
    </row>
    <row r="410" spans="1:24" x14ac:dyDescent="0.3">
      <c r="A410" s="4">
        <v>46127</v>
      </c>
      <c r="B410">
        <v>20131186</v>
      </c>
      <c r="C410" t="s">
        <v>19</v>
      </c>
      <c r="D410">
        <v>65853</v>
      </c>
      <c r="E410" t="s">
        <v>267</v>
      </c>
      <c r="F410">
        <v>1038124571</v>
      </c>
      <c r="G410" t="s">
        <v>4619</v>
      </c>
      <c r="H410">
        <v>100206835</v>
      </c>
      <c r="I410">
        <v>202605</v>
      </c>
      <c r="J410">
        <v>1038124571</v>
      </c>
      <c r="K410" t="s">
        <v>23</v>
      </c>
      <c r="L410" t="s">
        <v>1679</v>
      </c>
      <c r="M410" t="s">
        <v>271</v>
      </c>
      <c r="N410">
        <v>0</v>
      </c>
      <c r="O410" t="s">
        <v>26</v>
      </c>
      <c r="P410" t="s">
        <v>27</v>
      </c>
      <c r="Q410" t="s">
        <v>28</v>
      </c>
      <c r="R410" t="s">
        <v>29</v>
      </c>
      <c r="S410" t="s">
        <v>793</v>
      </c>
      <c r="T410">
        <f>_xlfn.XLOOKUP(X410,Hoja2!D:D,Hoja2!A:A)</f>
        <v>79789547</v>
      </c>
      <c r="U410" t="str">
        <f>_xlfn.XLOOKUP(X410,Hoja2!D:D,Hoja2!B:B)</f>
        <v>JAVIER ORLANDO HERNANDEZ RIVERA</v>
      </c>
      <c r="V410" t="str">
        <f>_xlfn.XLOOKUP(X410,Hoja2!D:D,Hoja2!C:C)</f>
        <v>OP GRADO - INGLÉS</v>
      </c>
      <c r="W410" s="9">
        <f>IF(V410="pregrado",31,
IF(V410="posgrados",31,
IF(V410="rEINTEGROS",7,
IF(V410="BIT",90,
IF(V410="OP GRADO - INGLÉS",17,"")))))</f>
        <v>17</v>
      </c>
      <c r="X410" t="s">
        <v>4093</v>
      </c>
    </row>
    <row r="411" spans="1:24" x14ac:dyDescent="0.3">
      <c r="A411" s="4">
        <v>46118</v>
      </c>
      <c r="B411">
        <v>20130119</v>
      </c>
      <c r="C411" t="s">
        <v>19</v>
      </c>
      <c r="D411">
        <v>65878</v>
      </c>
      <c r="E411" t="s">
        <v>267</v>
      </c>
      <c r="F411">
        <v>1067958549</v>
      </c>
      <c r="G411" t="s">
        <v>4394</v>
      </c>
      <c r="H411">
        <v>100205610</v>
      </c>
      <c r="I411">
        <v>202605</v>
      </c>
      <c r="J411">
        <v>1067958549</v>
      </c>
      <c r="K411" t="s">
        <v>270</v>
      </c>
      <c r="L411" t="s">
        <v>3376</v>
      </c>
      <c r="M411" t="s">
        <v>271</v>
      </c>
      <c r="N411" t="s">
        <v>35</v>
      </c>
      <c r="O411" t="s">
        <v>26</v>
      </c>
      <c r="P411" t="s">
        <v>27</v>
      </c>
      <c r="Q411" t="s">
        <v>28</v>
      </c>
      <c r="R411" t="s">
        <v>29</v>
      </c>
      <c r="S411" t="s">
        <v>793</v>
      </c>
      <c r="T411">
        <f>_xlfn.XLOOKUP(X411,Hoja2!D:D,Hoja2!A:A)</f>
        <v>60345453</v>
      </c>
      <c r="U411" t="str">
        <f>_xlfn.XLOOKUP(X411,Hoja2!D:D,Hoja2!B:B)</f>
        <v>JAVIER ORLANDO HERNANDEZ RIVERA</v>
      </c>
      <c r="V411" t="str">
        <f>_xlfn.XLOOKUP(X411,Hoja2!D:D,Hoja2!C:C)</f>
        <v>OP GRADO - INGLÉS</v>
      </c>
      <c r="W411" s="9">
        <f>IF(V411="pregrado",31,
IF(V411="posgrados",31,
IF(V411="rEINTEGROS",7,
IF(V411="BIT",90,
IF(V411="OP GRADO - INGLÉS",17,"")))))</f>
        <v>17</v>
      </c>
      <c r="X411" t="s">
        <v>4063</v>
      </c>
    </row>
    <row r="412" spans="1:24" x14ac:dyDescent="0.3">
      <c r="A412" s="4">
        <v>46139</v>
      </c>
      <c r="B412">
        <v>20132343</v>
      </c>
      <c r="C412" t="s">
        <v>19</v>
      </c>
      <c r="D412">
        <v>65879</v>
      </c>
      <c r="E412" t="s">
        <v>267</v>
      </c>
      <c r="F412">
        <v>1098606465</v>
      </c>
      <c r="G412" t="s">
        <v>4865</v>
      </c>
      <c r="H412">
        <v>100206213</v>
      </c>
      <c r="I412">
        <v>202605</v>
      </c>
      <c r="J412">
        <v>1098606465</v>
      </c>
      <c r="K412" t="s">
        <v>270</v>
      </c>
      <c r="L412" t="s">
        <v>4301</v>
      </c>
      <c r="M412" t="s">
        <v>271</v>
      </c>
      <c r="N412" t="s">
        <v>35</v>
      </c>
      <c r="O412" t="s">
        <v>26</v>
      </c>
      <c r="P412" t="s">
        <v>27</v>
      </c>
      <c r="Q412" t="s">
        <v>28</v>
      </c>
      <c r="R412" t="s">
        <v>29</v>
      </c>
      <c r="S412" t="s">
        <v>793</v>
      </c>
      <c r="T412">
        <f>_xlfn.XLOOKUP(X412,Hoja2!D:D,Hoja2!A:A)</f>
        <v>1033714104</v>
      </c>
      <c r="U412" t="str">
        <f>_xlfn.XLOOKUP(X412,Hoja2!D:D,Hoja2!B:B)</f>
        <v>JAVIER ORLANDO HERNANDEZ RIVERA</v>
      </c>
      <c r="V412" t="str">
        <f>_xlfn.XLOOKUP(X412,Hoja2!D:D,Hoja2!C:C)</f>
        <v>OP GRADO - INGLÉS</v>
      </c>
      <c r="W412" s="9">
        <f>IF(V412="pregrado",31,
IF(V412="posgrados",31,
IF(V412="rEINTEGROS",7,
IF(V412="BIT",90,
IF(V412="OP GRADO - INGLÉS",17,"")))))</f>
        <v>17</v>
      </c>
      <c r="X412" t="s">
        <v>4029</v>
      </c>
    </row>
    <row r="413" spans="1:24" x14ac:dyDescent="0.3">
      <c r="A413" s="4">
        <v>46126</v>
      </c>
      <c r="B413">
        <v>20131069</v>
      </c>
      <c r="C413" t="s">
        <v>19</v>
      </c>
      <c r="D413">
        <v>65881</v>
      </c>
      <c r="E413" t="s">
        <v>267</v>
      </c>
      <c r="F413">
        <v>1006069668</v>
      </c>
      <c r="G413" t="s">
        <v>4592</v>
      </c>
      <c r="H413">
        <v>100182904</v>
      </c>
      <c r="I413">
        <v>202605</v>
      </c>
      <c r="J413">
        <v>1006069668</v>
      </c>
      <c r="K413" t="s">
        <v>270</v>
      </c>
      <c r="L413" t="s">
        <v>532</v>
      </c>
      <c r="M413" t="s">
        <v>271</v>
      </c>
      <c r="N413" t="s">
        <v>25</v>
      </c>
      <c r="O413" t="s">
        <v>26</v>
      </c>
      <c r="P413" t="s">
        <v>27</v>
      </c>
      <c r="Q413" t="s">
        <v>28</v>
      </c>
      <c r="R413" t="s">
        <v>29</v>
      </c>
      <c r="S413" t="s">
        <v>793</v>
      </c>
      <c r="T413">
        <f>_xlfn.XLOOKUP(X413,Hoja2!D:D,Hoja2!A:A)</f>
        <v>79789547</v>
      </c>
      <c r="U413" t="str">
        <f>_xlfn.XLOOKUP(X413,Hoja2!D:D,Hoja2!B:B)</f>
        <v>JAVIER ORLANDO HERNANDEZ RIVERA</v>
      </c>
      <c r="V413" t="str">
        <f>_xlfn.XLOOKUP(X413,Hoja2!D:D,Hoja2!C:C)</f>
        <v>OP GRADO - INGLÉS</v>
      </c>
      <c r="W413" s="9">
        <f>IF(V413="pregrado",31,
IF(V413="posgrados",31,
IF(V413="rEINTEGROS",7,
IF(V413="BIT",90,
IF(V413="OP GRADO - INGLÉS",17,"")))))</f>
        <v>17</v>
      </c>
      <c r="X413" t="s">
        <v>4093</v>
      </c>
    </row>
    <row r="414" spans="1:24" x14ac:dyDescent="0.3">
      <c r="A414" s="4">
        <v>46142</v>
      </c>
      <c r="B414">
        <v>20132738</v>
      </c>
      <c r="C414" t="s">
        <v>19</v>
      </c>
      <c r="D414">
        <v>65886</v>
      </c>
      <c r="E414" t="s">
        <v>267</v>
      </c>
      <c r="F414">
        <v>1023940574</v>
      </c>
      <c r="G414" t="s">
        <v>4902</v>
      </c>
      <c r="H414">
        <v>100141912</v>
      </c>
      <c r="I414">
        <v>202605</v>
      </c>
      <c r="J414">
        <v>1010042355</v>
      </c>
      <c r="K414" t="s">
        <v>270</v>
      </c>
      <c r="L414" t="s">
        <v>3376</v>
      </c>
      <c r="M414" t="s">
        <v>271</v>
      </c>
      <c r="N414" t="s">
        <v>35</v>
      </c>
      <c r="O414" t="s">
        <v>26</v>
      </c>
      <c r="P414" t="s">
        <v>27</v>
      </c>
      <c r="Q414" t="s">
        <v>28</v>
      </c>
      <c r="R414" t="s">
        <v>29</v>
      </c>
      <c r="S414" t="s">
        <v>793</v>
      </c>
      <c r="T414">
        <f>_xlfn.XLOOKUP(X414,Hoja2!D:D,Hoja2!A:A)</f>
        <v>1033714104</v>
      </c>
      <c r="U414" t="str">
        <f>_xlfn.XLOOKUP(X414,Hoja2!D:D,Hoja2!B:B)</f>
        <v>JAVIER ORLANDO HERNANDEZ RIVERA</v>
      </c>
      <c r="V414" t="str">
        <f>_xlfn.XLOOKUP(X414,Hoja2!D:D,Hoja2!C:C)</f>
        <v>OP GRADO - INGLÉS</v>
      </c>
      <c r="W414" s="9">
        <f>IF(V414="pregrado",31,
IF(V414="posgrados",31,
IF(V414="rEINTEGROS",7,
IF(V414="BIT",90,
IF(V414="OP GRADO - INGLÉS",17,"")))))</f>
        <v>17</v>
      </c>
      <c r="X414" t="s">
        <v>4029</v>
      </c>
    </row>
    <row r="415" spans="1:24" x14ac:dyDescent="0.3">
      <c r="A415" s="4">
        <v>46108</v>
      </c>
      <c r="B415">
        <v>20129629</v>
      </c>
      <c r="C415" t="s">
        <v>19</v>
      </c>
      <c r="D415">
        <v>65889</v>
      </c>
      <c r="E415" t="s">
        <v>267</v>
      </c>
      <c r="F415">
        <v>1127591610</v>
      </c>
      <c r="G415" t="s">
        <v>4314</v>
      </c>
      <c r="H415">
        <v>100249745</v>
      </c>
      <c r="I415">
        <v>202605</v>
      </c>
      <c r="J415">
        <v>1127591610</v>
      </c>
      <c r="K415" t="s">
        <v>23</v>
      </c>
      <c r="L415" t="s">
        <v>1414</v>
      </c>
      <c r="M415" t="s">
        <v>271</v>
      </c>
      <c r="N415" t="s">
        <v>35</v>
      </c>
      <c r="O415" t="s">
        <v>26</v>
      </c>
      <c r="P415" t="s">
        <v>27</v>
      </c>
      <c r="Q415" t="s">
        <v>28</v>
      </c>
      <c r="R415" t="s">
        <v>29</v>
      </c>
      <c r="S415" t="s">
        <v>793</v>
      </c>
      <c r="T415">
        <f>_xlfn.XLOOKUP(X415,Hoja2!D:D,Hoja2!A:A)</f>
        <v>1123442099</v>
      </c>
      <c r="U415" t="str">
        <f>_xlfn.XLOOKUP(X415,Hoja2!D:D,Hoja2!B:B)</f>
        <v>JOHAN SEBASTIAN PARDEYN AGUILAR</v>
      </c>
      <c r="V415" t="str">
        <f>_xlfn.XLOOKUP(X415,Hoja2!D:D,Hoja2!C:C)</f>
        <v>BIT</v>
      </c>
      <c r="W415" s="9">
        <f>IF(V415="pregrado",31,
IF(V415="posgrados",31,
IF(V415="rEINTEGROS",7,
IF(V415="BIT",90,
IF(V415="OP GRADO - INGLÉS",17,"")))))</f>
        <v>90</v>
      </c>
      <c r="X415" t="s">
        <v>4089</v>
      </c>
    </row>
    <row r="416" spans="1:24" x14ac:dyDescent="0.3">
      <c r="A416" s="4">
        <v>46112</v>
      </c>
      <c r="B416">
        <v>20129979</v>
      </c>
      <c r="C416" t="s">
        <v>19</v>
      </c>
      <c r="D416">
        <v>65894</v>
      </c>
      <c r="E416" t="s">
        <v>267</v>
      </c>
      <c r="F416">
        <v>80656546</v>
      </c>
      <c r="G416" t="s">
        <v>4379</v>
      </c>
      <c r="H416">
        <v>100228682</v>
      </c>
      <c r="I416">
        <v>202605</v>
      </c>
      <c r="J416">
        <v>1069642098</v>
      </c>
      <c r="K416" t="s">
        <v>270</v>
      </c>
      <c r="L416" t="s">
        <v>269</v>
      </c>
      <c r="M416" t="s">
        <v>271</v>
      </c>
      <c r="N416" t="s">
        <v>4354</v>
      </c>
      <c r="O416" t="s">
        <v>26</v>
      </c>
      <c r="P416" t="s">
        <v>4226</v>
      </c>
      <c r="Q416" t="s">
        <v>28</v>
      </c>
      <c r="R416" t="s">
        <v>29</v>
      </c>
      <c r="S416" t="s">
        <v>793</v>
      </c>
      <c r="T416">
        <f>_xlfn.XLOOKUP(X416,Hoja2!D:D,Hoja2!A:A)</f>
        <v>60345453</v>
      </c>
      <c r="U416" t="str">
        <f>_xlfn.XLOOKUP(X416,Hoja2!D:D,Hoja2!B:B)</f>
        <v>JAVIER ORLANDO HERNANDEZ RIVERA</v>
      </c>
      <c r="V416" t="str">
        <f>_xlfn.XLOOKUP(X416,Hoja2!D:D,Hoja2!C:C)</f>
        <v>OP GRADO - INGLÉS</v>
      </c>
      <c r="W416" s="9">
        <f>IF(V416="pregrado",31,
IF(V416="posgrados",31,
IF(V416="rEINTEGROS",7,
IF(V416="BIT",90,
IF(V416="OP GRADO - INGLÉS",17,"")))))</f>
        <v>17</v>
      </c>
      <c r="X416" t="s">
        <v>4063</v>
      </c>
    </row>
    <row r="417" spans="1:24" x14ac:dyDescent="0.3">
      <c r="A417" s="4">
        <v>46113</v>
      </c>
      <c r="B417">
        <v>20130027</v>
      </c>
      <c r="C417" t="s">
        <v>19</v>
      </c>
      <c r="D417">
        <v>65897</v>
      </c>
      <c r="E417" t="s">
        <v>267</v>
      </c>
      <c r="F417">
        <v>41241322</v>
      </c>
      <c r="G417" t="s">
        <v>4385</v>
      </c>
      <c r="H417">
        <v>100208214</v>
      </c>
      <c r="I417">
        <v>202605</v>
      </c>
      <c r="J417">
        <v>1120955094</v>
      </c>
      <c r="K417" t="s">
        <v>270</v>
      </c>
      <c r="L417" t="s">
        <v>4126</v>
      </c>
      <c r="M417" t="s">
        <v>271</v>
      </c>
      <c r="N417" t="s">
        <v>35</v>
      </c>
      <c r="O417" t="s">
        <v>26</v>
      </c>
      <c r="P417" t="s">
        <v>27</v>
      </c>
      <c r="Q417" t="s">
        <v>28</v>
      </c>
      <c r="R417" t="s">
        <v>29</v>
      </c>
      <c r="S417" t="s">
        <v>793</v>
      </c>
      <c r="T417">
        <f>_xlfn.XLOOKUP(X417,Hoja2!D:D,Hoja2!A:A)</f>
        <v>60345453</v>
      </c>
      <c r="U417" t="str">
        <f>_xlfn.XLOOKUP(X417,Hoja2!D:D,Hoja2!B:B)</f>
        <v>JAVIER ORLANDO HERNANDEZ RIVERA</v>
      </c>
      <c r="V417" t="str">
        <f>_xlfn.XLOOKUP(X417,Hoja2!D:D,Hoja2!C:C)</f>
        <v>OP GRADO - INGLÉS</v>
      </c>
      <c r="W417" s="9">
        <f>IF(V417="pregrado",31,
IF(V417="posgrados",31,
IF(V417="rEINTEGROS",7,
IF(V417="BIT",90,
IF(V417="OP GRADO - INGLÉS",17,"")))))</f>
        <v>17</v>
      </c>
      <c r="X417" t="s">
        <v>4063</v>
      </c>
    </row>
    <row r="418" spans="1:24" x14ac:dyDescent="0.3">
      <c r="A418" s="4">
        <v>46118</v>
      </c>
      <c r="B418">
        <v>20130185</v>
      </c>
      <c r="C418" t="s">
        <v>19</v>
      </c>
      <c r="D418">
        <v>65901</v>
      </c>
      <c r="E418" t="s">
        <v>267</v>
      </c>
      <c r="F418">
        <v>1104378432</v>
      </c>
      <c r="G418" t="s">
        <v>4408</v>
      </c>
      <c r="H418">
        <v>100175388</v>
      </c>
      <c r="I418">
        <v>202605</v>
      </c>
      <c r="J418">
        <v>1007344960</v>
      </c>
      <c r="K418" t="s">
        <v>270</v>
      </c>
      <c r="L418" t="s">
        <v>4301</v>
      </c>
      <c r="M418" t="s">
        <v>271</v>
      </c>
      <c r="N418" t="s">
        <v>35</v>
      </c>
      <c r="O418" t="s">
        <v>26</v>
      </c>
      <c r="P418" t="s">
        <v>27</v>
      </c>
      <c r="Q418" t="s">
        <v>28</v>
      </c>
      <c r="R418" t="s">
        <v>29</v>
      </c>
      <c r="S418" t="s">
        <v>793</v>
      </c>
      <c r="T418">
        <f>_xlfn.XLOOKUP(X418,Hoja2!D:D,Hoja2!A:A)</f>
        <v>1033714104</v>
      </c>
      <c r="U418" t="str">
        <f>_xlfn.XLOOKUP(X418,Hoja2!D:D,Hoja2!B:B)</f>
        <v>JAVIER ORLANDO HERNANDEZ RIVERA</v>
      </c>
      <c r="V418" t="str">
        <f>_xlfn.XLOOKUP(X418,Hoja2!D:D,Hoja2!C:C)</f>
        <v>OP GRADO - INGLÉS</v>
      </c>
      <c r="W418" s="9">
        <f>IF(V418="pregrado",31,
IF(V418="posgrados",31,
IF(V418="rEINTEGROS",7,
IF(V418="BIT",90,
IF(V418="OP GRADO - INGLÉS",17,"")))))</f>
        <v>17</v>
      </c>
      <c r="X418" t="s">
        <v>4029</v>
      </c>
    </row>
    <row r="419" spans="1:24" x14ac:dyDescent="0.3">
      <c r="A419" s="4">
        <v>46111</v>
      </c>
      <c r="B419">
        <v>20129789</v>
      </c>
      <c r="C419" t="s">
        <v>19</v>
      </c>
      <c r="D419">
        <v>65903</v>
      </c>
      <c r="E419" t="s">
        <v>267</v>
      </c>
      <c r="F419">
        <v>1007825371</v>
      </c>
      <c r="G419" t="s">
        <v>4341</v>
      </c>
      <c r="H419">
        <v>100127686</v>
      </c>
      <c r="I419">
        <v>202605</v>
      </c>
      <c r="J419">
        <v>1007825371</v>
      </c>
      <c r="K419" t="s">
        <v>270</v>
      </c>
      <c r="L419" t="s">
        <v>4126</v>
      </c>
      <c r="M419" t="s">
        <v>271</v>
      </c>
      <c r="N419" t="s">
        <v>35</v>
      </c>
      <c r="O419" t="s">
        <v>26</v>
      </c>
      <c r="P419" t="s">
        <v>27</v>
      </c>
      <c r="Q419" t="s">
        <v>28</v>
      </c>
      <c r="R419" t="s">
        <v>29</v>
      </c>
      <c r="S419" t="s">
        <v>793</v>
      </c>
      <c r="T419">
        <f>_xlfn.XLOOKUP(X419,Hoja2!D:D,Hoja2!A:A)</f>
        <v>1033714104</v>
      </c>
      <c r="U419" t="str">
        <f>_xlfn.XLOOKUP(X419,Hoja2!D:D,Hoja2!B:B)</f>
        <v>JAVIER ORLANDO HERNANDEZ RIVERA</v>
      </c>
      <c r="V419" t="str">
        <f>_xlfn.XLOOKUP(X419,Hoja2!D:D,Hoja2!C:C)</f>
        <v>OP GRADO - INGLÉS</v>
      </c>
      <c r="W419" s="9">
        <f>IF(V419="pregrado",31,
IF(V419="posgrados",31,
IF(V419="rEINTEGROS",7,
IF(V419="BIT",90,
IF(V419="OP GRADO - INGLÉS",17,"")))))</f>
        <v>17</v>
      </c>
      <c r="X419" t="s">
        <v>4029</v>
      </c>
    </row>
    <row r="420" spans="1:24" x14ac:dyDescent="0.3">
      <c r="A420" s="4">
        <v>46112</v>
      </c>
      <c r="B420">
        <v>20129878</v>
      </c>
      <c r="C420" t="s">
        <v>19</v>
      </c>
      <c r="D420">
        <v>65908</v>
      </c>
      <c r="E420" t="s">
        <v>267</v>
      </c>
      <c r="F420">
        <v>1004550022</v>
      </c>
      <c r="G420" t="s">
        <v>4361</v>
      </c>
      <c r="H420">
        <v>100225350</v>
      </c>
      <c r="I420">
        <v>202605</v>
      </c>
      <c r="J420">
        <v>1004550022</v>
      </c>
      <c r="K420" t="s">
        <v>270</v>
      </c>
      <c r="L420" t="s">
        <v>336</v>
      </c>
      <c r="M420" t="s">
        <v>271</v>
      </c>
      <c r="N420" t="s">
        <v>35</v>
      </c>
      <c r="O420" t="s">
        <v>26</v>
      </c>
      <c r="P420" t="s">
        <v>27</v>
      </c>
      <c r="Q420" t="s">
        <v>28</v>
      </c>
      <c r="R420" t="s">
        <v>29</v>
      </c>
      <c r="S420" t="s">
        <v>793</v>
      </c>
      <c r="T420">
        <f>_xlfn.XLOOKUP(X420,Hoja2!D:D,Hoja2!A:A)</f>
        <v>1033714104</v>
      </c>
      <c r="U420" t="str">
        <f>_xlfn.XLOOKUP(X420,Hoja2!D:D,Hoja2!B:B)</f>
        <v>JAVIER ORLANDO HERNANDEZ RIVERA</v>
      </c>
      <c r="V420" t="str">
        <f>_xlfn.XLOOKUP(X420,Hoja2!D:D,Hoja2!C:C)</f>
        <v>OP GRADO - INGLÉS</v>
      </c>
      <c r="W420" s="9">
        <f>IF(V420="pregrado",31,
IF(V420="posgrados",31,
IF(V420="rEINTEGROS",7,
IF(V420="BIT",90,
IF(V420="OP GRADO - INGLÉS",17,"")))))</f>
        <v>17</v>
      </c>
      <c r="X420" t="s">
        <v>4029</v>
      </c>
    </row>
    <row r="421" spans="1:24" x14ac:dyDescent="0.3">
      <c r="A421" s="4">
        <v>46111</v>
      </c>
      <c r="B421">
        <v>20129839</v>
      </c>
      <c r="C421" t="s">
        <v>19</v>
      </c>
      <c r="D421">
        <v>65912</v>
      </c>
      <c r="E421" t="s">
        <v>267</v>
      </c>
      <c r="F421">
        <v>1022935926</v>
      </c>
      <c r="G421" t="s">
        <v>4352</v>
      </c>
      <c r="H421">
        <v>100065384</v>
      </c>
      <c r="I421">
        <v>202605</v>
      </c>
      <c r="J421">
        <v>1022935926</v>
      </c>
      <c r="K421" t="s">
        <v>270</v>
      </c>
      <c r="L421" t="s">
        <v>4353</v>
      </c>
      <c r="M421" t="s">
        <v>271</v>
      </c>
      <c r="N421" t="s">
        <v>4354</v>
      </c>
      <c r="O421" t="s">
        <v>26</v>
      </c>
      <c r="P421" t="s">
        <v>4226</v>
      </c>
      <c r="Q421" t="s">
        <v>28</v>
      </c>
      <c r="R421" t="s">
        <v>29</v>
      </c>
      <c r="S421" t="s">
        <v>793</v>
      </c>
      <c r="T421">
        <f>_xlfn.XLOOKUP(X421,Hoja2!D:D,Hoja2!A:A)</f>
        <v>60345453</v>
      </c>
      <c r="U421" t="str">
        <f>_xlfn.XLOOKUP(X421,Hoja2!D:D,Hoja2!B:B)</f>
        <v>JAVIER ORLANDO HERNANDEZ RIVERA</v>
      </c>
      <c r="V421" t="str">
        <f>_xlfn.XLOOKUP(X421,Hoja2!D:D,Hoja2!C:C)</f>
        <v>OP GRADO - INGLÉS</v>
      </c>
      <c r="W421" s="9">
        <f>IF(V421="pregrado",31,
IF(V421="posgrados",31,
IF(V421="rEINTEGROS",7,
IF(V421="BIT",90,
IF(V421="OP GRADO - INGLÉS",17,"")))))</f>
        <v>17</v>
      </c>
      <c r="X421" t="s">
        <v>4063</v>
      </c>
    </row>
    <row r="422" spans="1:24" x14ac:dyDescent="0.3">
      <c r="A422" s="4">
        <v>46112</v>
      </c>
      <c r="B422">
        <v>20129844</v>
      </c>
      <c r="C422" t="s">
        <v>19</v>
      </c>
      <c r="D422">
        <v>65914</v>
      </c>
      <c r="E422" t="s">
        <v>267</v>
      </c>
      <c r="F422">
        <v>1098721504</v>
      </c>
      <c r="G422" t="s">
        <v>4355</v>
      </c>
      <c r="H422">
        <v>100106665</v>
      </c>
      <c r="I422">
        <v>202605</v>
      </c>
      <c r="J422">
        <v>1098721504</v>
      </c>
      <c r="K422" t="s">
        <v>270</v>
      </c>
      <c r="L422" t="s">
        <v>409</v>
      </c>
      <c r="M422" t="s">
        <v>271</v>
      </c>
      <c r="N422">
        <v>0</v>
      </c>
      <c r="O422" t="s">
        <v>26</v>
      </c>
      <c r="P422" t="s">
        <v>27</v>
      </c>
      <c r="Q422" t="s">
        <v>28</v>
      </c>
      <c r="R422" t="s">
        <v>29</v>
      </c>
      <c r="S422" t="s">
        <v>793</v>
      </c>
      <c r="T422">
        <f>_xlfn.XLOOKUP(X422,Hoja2!D:D,Hoja2!A:A)</f>
        <v>60345453</v>
      </c>
      <c r="U422" t="str">
        <f>_xlfn.XLOOKUP(X422,Hoja2!D:D,Hoja2!B:B)</f>
        <v>JAVIER ORLANDO HERNANDEZ RIVERA</v>
      </c>
      <c r="V422" t="str">
        <f>_xlfn.XLOOKUP(X422,Hoja2!D:D,Hoja2!C:C)</f>
        <v>OP GRADO - INGLÉS</v>
      </c>
      <c r="W422" s="9">
        <f>IF(V422="pregrado",31,
IF(V422="posgrados",31,
IF(V422="rEINTEGROS",7,
IF(V422="BIT",90,
IF(V422="OP GRADO - INGLÉS",17,"")))))</f>
        <v>17</v>
      </c>
      <c r="X422" t="s">
        <v>4063</v>
      </c>
    </row>
    <row r="423" spans="1:24" x14ac:dyDescent="0.3">
      <c r="A423" s="4">
        <v>46118</v>
      </c>
      <c r="B423">
        <v>20130189</v>
      </c>
      <c r="C423" t="s">
        <v>19</v>
      </c>
      <c r="D423">
        <v>65917</v>
      </c>
      <c r="E423" t="s">
        <v>267</v>
      </c>
      <c r="F423">
        <v>1024529694</v>
      </c>
      <c r="G423" t="s">
        <v>4410</v>
      </c>
      <c r="H423">
        <v>100131251</v>
      </c>
      <c r="I423">
        <v>202605</v>
      </c>
      <c r="J423">
        <v>1024529694</v>
      </c>
      <c r="K423" t="s">
        <v>270</v>
      </c>
      <c r="L423" t="s">
        <v>4126</v>
      </c>
      <c r="M423" t="s">
        <v>271</v>
      </c>
      <c r="N423" t="s">
        <v>25</v>
      </c>
      <c r="O423" t="s">
        <v>26</v>
      </c>
      <c r="P423" t="s">
        <v>27</v>
      </c>
      <c r="Q423" t="s">
        <v>28</v>
      </c>
      <c r="R423" t="s">
        <v>29</v>
      </c>
      <c r="S423" t="s">
        <v>793</v>
      </c>
      <c r="T423">
        <f>_xlfn.XLOOKUP(X423,Hoja2!D:D,Hoja2!A:A)</f>
        <v>52834109</v>
      </c>
      <c r="U423" t="str">
        <f>_xlfn.XLOOKUP(X423,Hoja2!D:D,Hoja2!B:B)</f>
        <v>JAVIER ORLANDO HERNANDEZ RIVERA</v>
      </c>
      <c r="V423" t="str">
        <f>_xlfn.XLOOKUP(X423,Hoja2!D:D,Hoja2!C:C)</f>
        <v>OP GRADO - INGLÉS</v>
      </c>
      <c r="W423" s="9">
        <f>IF(V423="pregrado",31,
IF(V423="posgrados",31,
IF(V423="rEINTEGROS",7,
IF(V423="BIT",90,
IF(V423="OP GRADO - INGLÉS",17,"")))))</f>
        <v>17</v>
      </c>
      <c r="X423" t="s">
        <v>4018</v>
      </c>
    </row>
    <row r="424" spans="1:24" x14ac:dyDescent="0.3">
      <c r="A424" s="4">
        <v>46119</v>
      </c>
      <c r="B424">
        <v>20130226</v>
      </c>
      <c r="C424" t="s">
        <v>19</v>
      </c>
      <c r="D424">
        <v>65924</v>
      </c>
      <c r="E424" t="s">
        <v>267</v>
      </c>
      <c r="F424">
        <v>1107078865</v>
      </c>
      <c r="G424" t="s">
        <v>4416</v>
      </c>
      <c r="H424">
        <v>100132083</v>
      </c>
      <c r="I424">
        <v>202605</v>
      </c>
      <c r="J424">
        <v>1107078865</v>
      </c>
      <c r="K424" t="s">
        <v>270</v>
      </c>
      <c r="L424" t="s">
        <v>3376</v>
      </c>
      <c r="M424" t="s">
        <v>271</v>
      </c>
      <c r="N424" t="s">
        <v>35</v>
      </c>
      <c r="O424" t="s">
        <v>26</v>
      </c>
      <c r="P424" t="s">
        <v>27</v>
      </c>
      <c r="Q424" t="s">
        <v>28</v>
      </c>
      <c r="R424" t="s">
        <v>29</v>
      </c>
      <c r="S424" t="s">
        <v>793</v>
      </c>
      <c r="T424">
        <f>_xlfn.XLOOKUP(X424,Hoja2!D:D,Hoja2!A:A)</f>
        <v>1033714104</v>
      </c>
      <c r="U424" t="str">
        <f>_xlfn.XLOOKUP(X424,Hoja2!D:D,Hoja2!B:B)</f>
        <v>JAVIER ORLANDO HERNANDEZ RIVERA</v>
      </c>
      <c r="V424" t="str">
        <f>_xlfn.XLOOKUP(X424,Hoja2!D:D,Hoja2!C:C)</f>
        <v>OP GRADO - INGLÉS</v>
      </c>
      <c r="W424" s="9">
        <f>IF(V424="pregrado",31,
IF(V424="posgrados",31,
IF(V424="rEINTEGROS",7,
IF(V424="BIT",90,
IF(V424="OP GRADO - INGLÉS",17,"")))))</f>
        <v>17</v>
      </c>
      <c r="X424" t="s">
        <v>4029</v>
      </c>
    </row>
    <row r="425" spans="1:24" x14ac:dyDescent="0.3">
      <c r="A425" s="4">
        <v>46127</v>
      </c>
      <c r="B425">
        <v>20131227</v>
      </c>
      <c r="C425" t="s">
        <v>19</v>
      </c>
      <c r="D425">
        <v>68419</v>
      </c>
      <c r="E425" t="s">
        <v>267</v>
      </c>
      <c r="F425">
        <v>1049629873</v>
      </c>
      <c r="G425" t="s">
        <v>4630</v>
      </c>
      <c r="H425">
        <v>100192087</v>
      </c>
      <c r="I425">
        <v>202605</v>
      </c>
      <c r="J425">
        <v>1049629873</v>
      </c>
      <c r="K425" t="s">
        <v>270</v>
      </c>
      <c r="L425" t="s">
        <v>1061</v>
      </c>
      <c r="M425" t="s">
        <v>271</v>
      </c>
      <c r="N425" t="s">
        <v>4354</v>
      </c>
      <c r="O425" t="s">
        <v>26</v>
      </c>
      <c r="P425" t="s">
        <v>4226</v>
      </c>
      <c r="Q425" t="s">
        <v>28</v>
      </c>
      <c r="R425" t="s">
        <v>29</v>
      </c>
      <c r="S425" t="s">
        <v>793</v>
      </c>
      <c r="T425">
        <f>_xlfn.XLOOKUP(X425,Hoja2!D:D,Hoja2!A:A)</f>
        <v>60345453</v>
      </c>
      <c r="U425" t="str">
        <f>_xlfn.XLOOKUP(X425,Hoja2!D:D,Hoja2!B:B)</f>
        <v>JAVIER ORLANDO HERNANDEZ RIVERA</v>
      </c>
      <c r="V425" t="str">
        <f>_xlfn.XLOOKUP(X425,Hoja2!D:D,Hoja2!C:C)</f>
        <v>OP GRADO - INGLÉS</v>
      </c>
      <c r="W425" s="9">
        <f>IF(V425="pregrado",31,
IF(V425="posgrados",31,
IF(V425="rEINTEGROS",7,
IF(V425="BIT",90,
IF(V425="OP GRADO - INGLÉS",17,"")))))</f>
        <v>17</v>
      </c>
      <c r="X425" t="s">
        <v>4063</v>
      </c>
    </row>
    <row r="426" spans="1:24" x14ac:dyDescent="0.3">
      <c r="A426" s="4">
        <v>46125</v>
      </c>
      <c r="B426">
        <v>20130854</v>
      </c>
      <c r="C426" t="s">
        <v>19</v>
      </c>
      <c r="D426">
        <v>68439</v>
      </c>
      <c r="E426" t="s">
        <v>267</v>
      </c>
      <c r="F426">
        <v>1073601143</v>
      </c>
      <c r="G426" t="s">
        <v>4539</v>
      </c>
      <c r="H426">
        <v>100133640</v>
      </c>
      <c r="I426">
        <v>202605</v>
      </c>
      <c r="J426">
        <v>1073601143</v>
      </c>
      <c r="K426" t="s">
        <v>270</v>
      </c>
      <c r="L426" t="s">
        <v>532</v>
      </c>
      <c r="M426" t="s">
        <v>271</v>
      </c>
      <c r="N426" t="s">
        <v>35</v>
      </c>
      <c r="O426" t="s">
        <v>26</v>
      </c>
      <c r="P426" t="s">
        <v>27</v>
      </c>
      <c r="Q426" t="s">
        <v>28</v>
      </c>
      <c r="R426" t="s">
        <v>29</v>
      </c>
      <c r="S426" t="s">
        <v>793</v>
      </c>
      <c r="T426">
        <f>_xlfn.XLOOKUP(X426,Hoja2!D:D,Hoja2!A:A)</f>
        <v>1033714104</v>
      </c>
      <c r="U426" t="str">
        <f>_xlfn.XLOOKUP(X426,Hoja2!D:D,Hoja2!B:B)</f>
        <v>JAVIER ORLANDO HERNANDEZ RIVERA</v>
      </c>
      <c r="V426" t="str">
        <f>_xlfn.XLOOKUP(X426,Hoja2!D:D,Hoja2!C:C)</f>
        <v>OP GRADO - INGLÉS</v>
      </c>
      <c r="W426" s="9">
        <f>IF(V426="pregrado",31,
IF(V426="posgrados",31,
IF(V426="rEINTEGROS",7,
IF(V426="BIT",90,
IF(V426="OP GRADO - INGLÉS",17,"")))))</f>
        <v>17</v>
      </c>
      <c r="X426" t="s">
        <v>4029</v>
      </c>
    </row>
    <row r="427" spans="1:24" x14ac:dyDescent="0.3">
      <c r="A427" s="4">
        <v>46119</v>
      </c>
      <c r="B427">
        <v>20130297</v>
      </c>
      <c r="C427" t="s">
        <v>19</v>
      </c>
      <c r="D427">
        <v>68440</v>
      </c>
      <c r="E427" t="s">
        <v>267</v>
      </c>
      <c r="F427">
        <v>1073715812</v>
      </c>
      <c r="G427" t="s">
        <v>4432</v>
      </c>
      <c r="H427">
        <v>100163515</v>
      </c>
      <c r="I427">
        <v>202605</v>
      </c>
      <c r="J427">
        <v>1073715812</v>
      </c>
      <c r="K427" t="s">
        <v>270</v>
      </c>
      <c r="L427" t="s">
        <v>409</v>
      </c>
      <c r="M427" t="s">
        <v>271</v>
      </c>
      <c r="N427" t="s">
        <v>35</v>
      </c>
      <c r="O427" t="s">
        <v>26</v>
      </c>
      <c r="P427" t="s">
        <v>27</v>
      </c>
      <c r="Q427" t="s">
        <v>28</v>
      </c>
      <c r="R427" t="s">
        <v>29</v>
      </c>
      <c r="S427" t="s">
        <v>793</v>
      </c>
      <c r="T427">
        <f>_xlfn.XLOOKUP(X427,Hoja2!D:D,Hoja2!A:A)</f>
        <v>1033714104</v>
      </c>
      <c r="U427" t="str">
        <f>_xlfn.XLOOKUP(X427,Hoja2!D:D,Hoja2!B:B)</f>
        <v>JAVIER ORLANDO HERNANDEZ RIVERA</v>
      </c>
      <c r="V427" t="str">
        <f>_xlfn.XLOOKUP(X427,Hoja2!D:D,Hoja2!C:C)</f>
        <v>OP GRADO - INGLÉS</v>
      </c>
      <c r="W427" s="9">
        <f>IF(V427="pregrado",31,
IF(V427="posgrados",31,
IF(V427="rEINTEGROS",7,
IF(V427="BIT",90,
IF(V427="OP GRADO - INGLÉS",17,"")))))</f>
        <v>17</v>
      </c>
      <c r="X427" t="s">
        <v>4029</v>
      </c>
    </row>
    <row r="428" spans="1:24" x14ac:dyDescent="0.3">
      <c r="A428" s="4">
        <v>46135</v>
      </c>
      <c r="B428">
        <v>20132080</v>
      </c>
      <c r="C428" t="s">
        <v>19</v>
      </c>
      <c r="D428">
        <v>68444</v>
      </c>
      <c r="E428" t="s">
        <v>267</v>
      </c>
      <c r="F428">
        <v>1087132753</v>
      </c>
      <c r="G428" t="s">
        <v>4819</v>
      </c>
      <c r="H428">
        <v>100225787</v>
      </c>
      <c r="I428">
        <v>202605</v>
      </c>
      <c r="J428">
        <v>1087132753</v>
      </c>
      <c r="K428" t="s">
        <v>270</v>
      </c>
      <c r="L428" t="s">
        <v>336</v>
      </c>
      <c r="M428" t="s">
        <v>271</v>
      </c>
      <c r="N428" t="s">
        <v>35</v>
      </c>
      <c r="O428" t="s">
        <v>26</v>
      </c>
      <c r="P428" t="s">
        <v>27</v>
      </c>
      <c r="Q428" t="s">
        <v>28</v>
      </c>
      <c r="R428" t="s">
        <v>29</v>
      </c>
      <c r="S428" t="s">
        <v>793</v>
      </c>
      <c r="T428">
        <f>_xlfn.XLOOKUP(X428,Hoja2!D:D,Hoja2!A:A)</f>
        <v>1033714104</v>
      </c>
      <c r="U428" t="str">
        <f>_xlfn.XLOOKUP(X428,Hoja2!D:D,Hoja2!B:B)</f>
        <v>JAVIER ORLANDO HERNANDEZ RIVERA</v>
      </c>
      <c r="V428" t="str">
        <f>_xlfn.XLOOKUP(X428,Hoja2!D:D,Hoja2!C:C)</f>
        <v>OP GRADO - INGLÉS</v>
      </c>
      <c r="W428" s="9">
        <f>IF(V428="pregrado",31,
IF(V428="posgrados",31,
IF(V428="rEINTEGROS",7,
IF(V428="BIT",90,
IF(V428="OP GRADO - INGLÉS",17,"")))))</f>
        <v>17</v>
      </c>
      <c r="X428" t="s">
        <v>4029</v>
      </c>
    </row>
    <row r="429" spans="1:24" x14ac:dyDescent="0.3">
      <c r="A429" s="4">
        <v>46127</v>
      </c>
      <c r="B429">
        <v>20131106</v>
      </c>
      <c r="C429" t="s">
        <v>19</v>
      </c>
      <c r="D429">
        <v>68449</v>
      </c>
      <c r="E429" t="s">
        <v>267</v>
      </c>
      <c r="F429">
        <v>1193033611</v>
      </c>
      <c r="G429" t="s">
        <v>4602</v>
      </c>
      <c r="H429">
        <v>100140993</v>
      </c>
      <c r="I429">
        <v>202605</v>
      </c>
      <c r="J429">
        <v>1193033611</v>
      </c>
      <c r="K429" t="s">
        <v>270</v>
      </c>
      <c r="L429" t="s">
        <v>316</v>
      </c>
      <c r="M429" t="s">
        <v>271</v>
      </c>
      <c r="N429" t="s">
        <v>4466</v>
      </c>
      <c r="O429" t="s">
        <v>26</v>
      </c>
      <c r="P429" t="s">
        <v>4166</v>
      </c>
      <c r="Q429" t="s">
        <v>28</v>
      </c>
      <c r="R429" t="s">
        <v>29</v>
      </c>
      <c r="S429" t="s">
        <v>793</v>
      </c>
      <c r="T429">
        <f>_xlfn.XLOOKUP(X429,Hoja2!D:D,Hoja2!A:A)</f>
        <v>1013634750</v>
      </c>
      <c r="U429" t="str">
        <f>_xlfn.XLOOKUP(X429,Hoja2!D:D,Hoja2!B:B)</f>
        <v>OP NACIONAL</v>
      </c>
      <c r="V429" t="str">
        <f>_xlfn.XLOOKUP(X429,Hoja2!D:D,Hoja2!C:C)</f>
        <v>PREGRADO</v>
      </c>
      <c r="W429" s="9">
        <f>IF(V429="pregrado",31,
IF(V429="posgrados",31,
IF(V429="rEINTEGROS",7,
IF(V429="BIT",90,
IF(V429="OP GRADO - INGLÉS",17,"")))))</f>
        <v>31</v>
      </c>
      <c r="X429" t="s">
        <v>4932</v>
      </c>
    </row>
    <row r="430" spans="1:24" x14ac:dyDescent="0.3">
      <c r="A430" s="4">
        <v>46118</v>
      </c>
      <c r="B430">
        <v>20130177</v>
      </c>
      <c r="C430" t="s">
        <v>19</v>
      </c>
      <c r="D430">
        <v>68457</v>
      </c>
      <c r="E430" t="s">
        <v>267</v>
      </c>
      <c r="F430">
        <v>23944869</v>
      </c>
      <c r="G430" t="s">
        <v>4407</v>
      </c>
      <c r="H430">
        <v>100178194</v>
      </c>
      <c r="I430">
        <v>202605</v>
      </c>
      <c r="J430">
        <v>1051472293</v>
      </c>
      <c r="K430" t="s">
        <v>270</v>
      </c>
      <c r="L430" t="s">
        <v>269</v>
      </c>
      <c r="M430" t="s">
        <v>271</v>
      </c>
      <c r="N430" t="s">
        <v>35</v>
      </c>
      <c r="O430" t="s">
        <v>26</v>
      </c>
      <c r="P430" t="s">
        <v>27</v>
      </c>
      <c r="Q430" t="s">
        <v>28</v>
      </c>
      <c r="R430" t="s">
        <v>29</v>
      </c>
      <c r="S430" t="s">
        <v>793</v>
      </c>
      <c r="T430">
        <f>_xlfn.XLOOKUP(X430,Hoja2!D:D,Hoja2!A:A)</f>
        <v>60345453</v>
      </c>
      <c r="U430" t="str">
        <f>_xlfn.XLOOKUP(X430,Hoja2!D:D,Hoja2!B:B)</f>
        <v>JAVIER ORLANDO HERNANDEZ RIVERA</v>
      </c>
      <c r="V430" t="str">
        <f>_xlfn.XLOOKUP(X430,Hoja2!D:D,Hoja2!C:C)</f>
        <v>OP GRADO - INGLÉS</v>
      </c>
      <c r="W430" s="9">
        <f>IF(V430="pregrado",31,
IF(V430="posgrados",31,
IF(V430="rEINTEGROS",7,
IF(V430="BIT",90,
IF(V430="OP GRADO - INGLÉS",17,"")))))</f>
        <v>17</v>
      </c>
      <c r="X430" t="s">
        <v>4063</v>
      </c>
    </row>
    <row r="431" spans="1:24" x14ac:dyDescent="0.3">
      <c r="A431" s="4">
        <v>46127</v>
      </c>
      <c r="B431">
        <v>20131174</v>
      </c>
      <c r="C431" t="s">
        <v>19</v>
      </c>
      <c r="D431">
        <v>68468</v>
      </c>
      <c r="E431" t="s">
        <v>267</v>
      </c>
      <c r="F431">
        <v>1013654693</v>
      </c>
      <c r="G431" t="s">
        <v>4616</v>
      </c>
      <c r="H431">
        <v>100158057</v>
      </c>
      <c r="I431">
        <v>202605</v>
      </c>
      <c r="J431">
        <v>1016027746</v>
      </c>
      <c r="K431" t="s">
        <v>270</v>
      </c>
      <c r="L431" t="s">
        <v>316</v>
      </c>
      <c r="M431" t="s">
        <v>271</v>
      </c>
      <c r="N431" t="s">
        <v>35</v>
      </c>
      <c r="O431" t="s">
        <v>26</v>
      </c>
      <c r="P431" t="s">
        <v>27</v>
      </c>
      <c r="Q431" t="s">
        <v>28</v>
      </c>
      <c r="R431" t="s">
        <v>29</v>
      </c>
      <c r="S431" t="s">
        <v>793</v>
      </c>
      <c r="T431">
        <f>_xlfn.XLOOKUP(X431,Hoja2!D:D,Hoja2!A:A)</f>
        <v>1033714104</v>
      </c>
      <c r="U431" t="str">
        <f>_xlfn.XLOOKUP(X431,Hoja2!D:D,Hoja2!B:B)</f>
        <v>JAVIER ORLANDO HERNANDEZ RIVERA</v>
      </c>
      <c r="V431" t="str">
        <f>_xlfn.XLOOKUP(X431,Hoja2!D:D,Hoja2!C:C)</f>
        <v>OP GRADO - INGLÉS</v>
      </c>
      <c r="W431" s="9">
        <f>IF(V431="pregrado",31,
IF(V431="posgrados",31,
IF(V431="rEINTEGROS",7,
IF(V431="BIT",90,
IF(V431="OP GRADO - INGLÉS",17,"")))))</f>
        <v>17</v>
      </c>
      <c r="X431" t="s">
        <v>4029</v>
      </c>
    </row>
    <row r="432" spans="1:24" x14ac:dyDescent="0.3">
      <c r="A432" s="4">
        <v>46125</v>
      </c>
      <c r="B432">
        <v>20130863</v>
      </c>
      <c r="C432" t="s">
        <v>19</v>
      </c>
      <c r="D432">
        <v>68475</v>
      </c>
      <c r="E432" t="s">
        <v>267</v>
      </c>
      <c r="F432">
        <v>1030659617</v>
      </c>
      <c r="G432" t="s">
        <v>4541</v>
      </c>
      <c r="H432">
        <v>100133670</v>
      </c>
      <c r="I432">
        <v>202605</v>
      </c>
      <c r="J432">
        <v>1030659617</v>
      </c>
      <c r="K432" t="s">
        <v>23</v>
      </c>
      <c r="L432" t="s">
        <v>409</v>
      </c>
      <c r="M432" t="s">
        <v>271</v>
      </c>
      <c r="N432" t="s">
        <v>38</v>
      </c>
      <c r="O432" t="s">
        <v>26</v>
      </c>
      <c r="P432" t="s">
        <v>27</v>
      </c>
      <c r="Q432" t="s">
        <v>28</v>
      </c>
      <c r="R432" t="s">
        <v>29</v>
      </c>
      <c r="S432" t="s">
        <v>793</v>
      </c>
      <c r="T432">
        <f>_xlfn.XLOOKUP(X432,Hoja2!D:D,Hoja2!A:A)</f>
        <v>1033714104</v>
      </c>
      <c r="U432" t="str">
        <f>_xlfn.XLOOKUP(X432,Hoja2!D:D,Hoja2!B:B)</f>
        <v>JAVIER ORLANDO HERNANDEZ RIVERA</v>
      </c>
      <c r="V432" t="str">
        <f>_xlfn.XLOOKUP(X432,Hoja2!D:D,Hoja2!C:C)</f>
        <v>OP GRADO - INGLÉS</v>
      </c>
      <c r="W432" s="9">
        <f>IF(V432="pregrado",31,
IF(V432="posgrados",31,
IF(V432="rEINTEGROS",7,
IF(V432="BIT",90,
IF(V432="OP GRADO - INGLÉS",17,"")))))</f>
        <v>17</v>
      </c>
      <c r="X432" t="s">
        <v>4029</v>
      </c>
    </row>
    <row r="433" spans="1:24" x14ac:dyDescent="0.3">
      <c r="A433" s="4">
        <v>46120</v>
      </c>
      <c r="B433">
        <v>20130319</v>
      </c>
      <c r="C433" t="s">
        <v>19</v>
      </c>
      <c r="D433">
        <v>68477</v>
      </c>
      <c r="E433" t="s">
        <v>267</v>
      </c>
      <c r="F433">
        <v>1032361452</v>
      </c>
      <c r="G433" t="s">
        <v>3687</v>
      </c>
      <c r="H433">
        <v>100061011</v>
      </c>
      <c r="I433">
        <v>202605</v>
      </c>
      <c r="J433">
        <v>1032361452</v>
      </c>
      <c r="K433" t="s">
        <v>270</v>
      </c>
      <c r="L433" t="s">
        <v>589</v>
      </c>
      <c r="M433" t="s">
        <v>271</v>
      </c>
      <c r="N433" t="s">
        <v>35</v>
      </c>
      <c r="O433" t="s">
        <v>26</v>
      </c>
      <c r="P433" t="s">
        <v>27</v>
      </c>
      <c r="Q433" t="s">
        <v>28</v>
      </c>
      <c r="R433" t="s">
        <v>29</v>
      </c>
      <c r="S433" t="s">
        <v>793</v>
      </c>
      <c r="T433">
        <f>_xlfn.XLOOKUP(X433,Hoja2!D:D,Hoja2!A:A)</f>
        <v>1033714104</v>
      </c>
      <c r="U433" t="str">
        <f>_xlfn.XLOOKUP(X433,Hoja2!D:D,Hoja2!B:B)</f>
        <v>JAVIER ORLANDO HERNANDEZ RIVERA</v>
      </c>
      <c r="V433" t="str">
        <f>_xlfn.XLOOKUP(X433,Hoja2!D:D,Hoja2!C:C)</f>
        <v>OP GRADO - INGLÉS</v>
      </c>
      <c r="W433" s="9">
        <f>IF(V433="pregrado",31,
IF(V433="posgrados",31,
IF(V433="rEINTEGROS",7,
IF(V433="BIT",90,
IF(V433="OP GRADO - INGLÉS",17,"")))))</f>
        <v>17</v>
      </c>
      <c r="X433" t="s">
        <v>4029</v>
      </c>
    </row>
    <row r="434" spans="1:24" x14ac:dyDescent="0.3">
      <c r="A434" s="4">
        <v>46119</v>
      </c>
      <c r="B434">
        <v>20130279</v>
      </c>
      <c r="C434" t="s">
        <v>19</v>
      </c>
      <c r="D434">
        <v>68495</v>
      </c>
      <c r="E434" t="s">
        <v>267</v>
      </c>
      <c r="F434">
        <v>1000576859</v>
      </c>
      <c r="G434" t="s">
        <v>4427</v>
      </c>
      <c r="H434">
        <v>100070247</v>
      </c>
      <c r="I434">
        <v>202605</v>
      </c>
      <c r="J434">
        <v>1000576859</v>
      </c>
      <c r="K434" t="s">
        <v>270</v>
      </c>
      <c r="L434" t="s">
        <v>589</v>
      </c>
      <c r="M434" t="s">
        <v>271</v>
      </c>
      <c r="N434" t="s">
        <v>35</v>
      </c>
      <c r="O434" t="s">
        <v>26</v>
      </c>
      <c r="P434" t="s">
        <v>27</v>
      </c>
      <c r="Q434" t="s">
        <v>28</v>
      </c>
      <c r="R434" t="s">
        <v>29</v>
      </c>
      <c r="S434" t="s">
        <v>793</v>
      </c>
      <c r="T434">
        <f>_xlfn.XLOOKUP(X434,Hoja2!D:D,Hoja2!A:A)</f>
        <v>1033714104</v>
      </c>
      <c r="U434" t="str">
        <f>_xlfn.XLOOKUP(X434,Hoja2!D:D,Hoja2!B:B)</f>
        <v>JAVIER ORLANDO HERNANDEZ RIVERA</v>
      </c>
      <c r="V434" t="str">
        <f>_xlfn.XLOOKUP(X434,Hoja2!D:D,Hoja2!C:C)</f>
        <v>OP GRADO - INGLÉS</v>
      </c>
      <c r="W434" s="9">
        <f>IF(V434="pregrado",31,
IF(V434="posgrados",31,
IF(V434="rEINTEGROS",7,
IF(V434="BIT",90,
IF(V434="OP GRADO - INGLÉS",17,"")))))</f>
        <v>17</v>
      </c>
      <c r="X434" t="s">
        <v>4029</v>
      </c>
    </row>
    <row r="435" spans="1:24" x14ac:dyDescent="0.3">
      <c r="A435" s="4">
        <v>46120</v>
      </c>
      <c r="B435">
        <v>20130340</v>
      </c>
      <c r="C435" t="s">
        <v>19</v>
      </c>
      <c r="D435">
        <v>68497</v>
      </c>
      <c r="E435" t="s">
        <v>267</v>
      </c>
      <c r="F435">
        <v>1020432192</v>
      </c>
      <c r="G435" t="s">
        <v>4437</v>
      </c>
      <c r="H435">
        <v>100176858</v>
      </c>
      <c r="I435">
        <v>202605</v>
      </c>
      <c r="J435">
        <v>1020432192</v>
      </c>
      <c r="K435" t="s">
        <v>270</v>
      </c>
      <c r="L435" t="s">
        <v>1281</v>
      </c>
      <c r="M435" t="s">
        <v>271</v>
      </c>
      <c r="N435" t="s">
        <v>35</v>
      </c>
      <c r="O435" t="s">
        <v>26</v>
      </c>
      <c r="P435" t="s">
        <v>27</v>
      </c>
      <c r="Q435" t="s">
        <v>28</v>
      </c>
      <c r="R435" t="s">
        <v>29</v>
      </c>
      <c r="S435" t="s">
        <v>793</v>
      </c>
      <c r="T435">
        <f>_xlfn.XLOOKUP(X435,Hoja2!D:D,Hoja2!A:A)</f>
        <v>52834109</v>
      </c>
      <c r="U435" t="str">
        <f>_xlfn.XLOOKUP(X435,Hoja2!D:D,Hoja2!B:B)</f>
        <v>JAVIER ORLANDO HERNANDEZ RIVERA</v>
      </c>
      <c r="V435" t="str">
        <f>_xlfn.XLOOKUP(X435,Hoja2!D:D,Hoja2!C:C)</f>
        <v>OP GRADO - INGLÉS</v>
      </c>
      <c r="W435" s="9">
        <f>IF(V435="pregrado",31,
IF(V435="posgrados",31,
IF(V435="rEINTEGROS",7,
IF(V435="BIT",90,
IF(V435="OP GRADO - INGLÉS",17,"")))))</f>
        <v>17</v>
      </c>
      <c r="X435" t="s">
        <v>4018</v>
      </c>
    </row>
    <row r="436" spans="1:24" x14ac:dyDescent="0.3">
      <c r="A436" s="4">
        <v>46120</v>
      </c>
      <c r="B436">
        <v>20130358</v>
      </c>
      <c r="C436" t="s">
        <v>19</v>
      </c>
      <c r="D436">
        <v>68498</v>
      </c>
      <c r="E436" t="s">
        <v>267</v>
      </c>
      <c r="F436">
        <v>1000624661</v>
      </c>
      <c r="G436" t="s">
        <v>4442</v>
      </c>
      <c r="H436">
        <v>100112822</v>
      </c>
      <c r="I436">
        <v>202605</v>
      </c>
      <c r="J436">
        <v>1000624661</v>
      </c>
      <c r="K436" t="s">
        <v>270</v>
      </c>
      <c r="L436" t="s">
        <v>532</v>
      </c>
      <c r="M436" t="s">
        <v>271</v>
      </c>
      <c r="N436" t="s">
        <v>35</v>
      </c>
      <c r="O436" t="s">
        <v>26</v>
      </c>
      <c r="P436" t="s">
        <v>27</v>
      </c>
      <c r="Q436" t="s">
        <v>28</v>
      </c>
      <c r="R436" t="s">
        <v>29</v>
      </c>
      <c r="S436" t="s">
        <v>793</v>
      </c>
      <c r="T436">
        <f>_xlfn.XLOOKUP(X436,Hoja2!D:D,Hoja2!A:A)</f>
        <v>1033714104</v>
      </c>
      <c r="U436" t="str">
        <f>_xlfn.XLOOKUP(X436,Hoja2!D:D,Hoja2!B:B)</f>
        <v>JAVIER ORLANDO HERNANDEZ RIVERA</v>
      </c>
      <c r="V436" t="str">
        <f>_xlfn.XLOOKUP(X436,Hoja2!D:D,Hoja2!C:C)</f>
        <v>OP GRADO - INGLÉS</v>
      </c>
      <c r="W436" s="9">
        <f>IF(V436="pregrado",31,
IF(V436="posgrados",31,
IF(V436="rEINTEGROS",7,
IF(V436="BIT",90,
IF(V436="OP GRADO - INGLÉS",17,"")))))</f>
        <v>17</v>
      </c>
      <c r="X436" t="s">
        <v>4029</v>
      </c>
    </row>
    <row r="437" spans="1:24" x14ac:dyDescent="0.3">
      <c r="A437" s="4">
        <v>46134</v>
      </c>
      <c r="B437">
        <v>20131951</v>
      </c>
      <c r="C437" t="s">
        <v>19</v>
      </c>
      <c r="D437">
        <v>68509</v>
      </c>
      <c r="E437" t="s">
        <v>267</v>
      </c>
      <c r="F437">
        <v>40912729</v>
      </c>
      <c r="G437" t="s">
        <v>4784</v>
      </c>
      <c r="H437">
        <v>100226922</v>
      </c>
      <c r="I437">
        <v>202605</v>
      </c>
      <c r="J437">
        <v>1123403518</v>
      </c>
      <c r="K437" t="s">
        <v>270</v>
      </c>
      <c r="L437" t="s">
        <v>3187</v>
      </c>
      <c r="M437" t="s">
        <v>271</v>
      </c>
      <c r="N437" t="s">
        <v>4354</v>
      </c>
      <c r="O437" t="s">
        <v>26</v>
      </c>
      <c r="P437" t="s">
        <v>4226</v>
      </c>
      <c r="Q437" t="s">
        <v>28</v>
      </c>
      <c r="R437" t="s">
        <v>29</v>
      </c>
      <c r="S437" t="s">
        <v>793</v>
      </c>
      <c r="T437">
        <f>_xlfn.XLOOKUP(X437,Hoja2!D:D,Hoja2!A:A)</f>
        <v>60345453</v>
      </c>
      <c r="U437" t="str">
        <f>_xlfn.XLOOKUP(X437,Hoja2!D:D,Hoja2!B:B)</f>
        <v>JAVIER ORLANDO HERNANDEZ RIVERA</v>
      </c>
      <c r="V437" t="str">
        <f>_xlfn.XLOOKUP(X437,Hoja2!D:D,Hoja2!C:C)</f>
        <v>OP GRADO - INGLÉS</v>
      </c>
      <c r="W437" s="9">
        <f>IF(V437="pregrado",31,
IF(V437="posgrados",31,
IF(V437="rEINTEGROS",7,
IF(V437="BIT",90,
IF(V437="OP GRADO - INGLÉS",17,"")))))</f>
        <v>17</v>
      </c>
      <c r="X437" t="s">
        <v>4063</v>
      </c>
    </row>
    <row r="438" spans="1:24" x14ac:dyDescent="0.3">
      <c r="A438" s="4">
        <v>46120</v>
      </c>
      <c r="B438">
        <v>20130446</v>
      </c>
      <c r="C438" t="s">
        <v>19</v>
      </c>
      <c r="D438">
        <v>68510</v>
      </c>
      <c r="E438" t="s">
        <v>267</v>
      </c>
      <c r="F438">
        <v>79905495</v>
      </c>
      <c r="G438" t="s">
        <v>4457</v>
      </c>
      <c r="H438">
        <v>100160580</v>
      </c>
      <c r="I438">
        <v>202605</v>
      </c>
      <c r="J438">
        <v>1014859484</v>
      </c>
      <c r="K438" t="s">
        <v>270</v>
      </c>
      <c r="L438" t="s">
        <v>4126</v>
      </c>
      <c r="M438" t="s">
        <v>271</v>
      </c>
      <c r="N438" t="s">
        <v>35</v>
      </c>
      <c r="O438" t="s">
        <v>26</v>
      </c>
      <c r="P438" t="s">
        <v>27</v>
      </c>
      <c r="Q438" t="s">
        <v>28</v>
      </c>
      <c r="R438" t="s">
        <v>29</v>
      </c>
      <c r="S438" t="s">
        <v>793</v>
      </c>
      <c r="T438">
        <f>_xlfn.XLOOKUP(X438,Hoja2!D:D,Hoja2!A:A)</f>
        <v>1033714104</v>
      </c>
      <c r="U438" t="str">
        <f>_xlfn.XLOOKUP(X438,Hoja2!D:D,Hoja2!B:B)</f>
        <v>JAVIER ORLANDO HERNANDEZ RIVERA</v>
      </c>
      <c r="V438" t="str">
        <f>_xlfn.XLOOKUP(X438,Hoja2!D:D,Hoja2!C:C)</f>
        <v>OP GRADO - INGLÉS</v>
      </c>
      <c r="W438" s="9">
        <f>IF(V438="pregrado",31,
IF(V438="posgrados",31,
IF(V438="rEINTEGROS",7,
IF(V438="BIT",90,
IF(V438="OP GRADO - INGLÉS",17,"")))))</f>
        <v>17</v>
      </c>
      <c r="X438" t="s">
        <v>4029</v>
      </c>
    </row>
    <row r="439" spans="1:24" x14ac:dyDescent="0.3">
      <c r="A439" s="4">
        <v>46124</v>
      </c>
      <c r="B439">
        <v>20130779</v>
      </c>
      <c r="C439" t="s">
        <v>19</v>
      </c>
      <c r="D439">
        <v>68511</v>
      </c>
      <c r="E439" t="s">
        <v>267</v>
      </c>
      <c r="F439">
        <v>1024539960</v>
      </c>
      <c r="G439" t="s">
        <v>4519</v>
      </c>
      <c r="H439">
        <v>100091025</v>
      </c>
      <c r="I439">
        <v>202605</v>
      </c>
      <c r="J439">
        <v>1024539960</v>
      </c>
      <c r="K439" t="s">
        <v>270</v>
      </c>
      <c r="L439" t="s">
        <v>532</v>
      </c>
      <c r="M439" t="s">
        <v>271</v>
      </c>
      <c r="N439" t="s">
        <v>35</v>
      </c>
      <c r="O439" t="s">
        <v>26</v>
      </c>
      <c r="P439" t="s">
        <v>27</v>
      </c>
      <c r="Q439" t="s">
        <v>28</v>
      </c>
      <c r="R439" t="s">
        <v>29</v>
      </c>
      <c r="S439" t="s">
        <v>793</v>
      </c>
      <c r="T439">
        <f>_xlfn.XLOOKUP(X439,Hoja2!D:D,Hoja2!A:A)</f>
        <v>1033714104</v>
      </c>
      <c r="U439" t="str">
        <f>_xlfn.XLOOKUP(X439,Hoja2!D:D,Hoja2!B:B)</f>
        <v>JAVIER ORLANDO HERNANDEZ RIVERA</v>
      </c>
      <c r="V439" t="str">
        <f>_xlfn.XLOOKUP(X439,Hoja2!D:D,Hoja2!C:C)</f>
        <v>OP GRADO - INGLÉS</v>
      </c>
      <c r="W439" s="9">
        <f>IF(V439="pregrado",31,
IF(V439="posgrados",31,
IF(V439="rEINTEGROS",7,
IF(V439="BIT",90,
IF(V439="OP GRADO - INGLÉS",17,"")))))</f>
        <v>17</v>
      </c>
      <c r="X439" t="s">
        <v>4029</v>
      </c>
    </row>
    <row r="440" spans="1:24" x14ac:dyDescent="0.3">
      <c r="A440" s="4">
        <v>46127</v>
      </c>
      <c r="B440">
        <v>20131201</v>
      </c>
      <c r="C440" t="s">
        <v>19</v>
      </c>
      <c r="D440">
        <v>68514</v>
      </c>
      <c r="E440" t="s">
        <v>267</v>
      </c>
      <c r="F440">
        <v>1022382958</v>
      </c>
      <c r="G440" t="s">
        <v>4625</v>
      </c>
      <c r="H440">
        <v>100156423</v>
      </c>
      <c r="I440">
        <v>202605</v>
      </c>
      <c r="J440">
        <v>1022382958</v>
      </c>
      <c r="K440" t="s">
        <v>270</v>
      </c>
      <c r="L440" t="s">
        <v>1061</v>
      </c>
      <c r="M440" t="s">
        <v>271</v>
      </c>
      <c r="N440" t="s">
        <v>35</v>
      </c>
      <c r="O440" t="s">
        <v>26</v>
      </c>
      <c r="P440" t="s">
        <v>27</v>
      </c>
      <c r="Q440" t="s">
        <v>28</v>
      </c>
      <c r="R440" t="s">
        <v>29</v>
      </c>
      <c r="S440" t="s">
        <v>793</v>
      </c>
      <c r="T440">
        <f>_xlfn.XLOOKUP(X440,Hoja2!D:D,Hoja2!A:A)</f>
        <v>1033714104</v>
      </c>
      <c r="U440" t="str">
        <f>_xlfn.XLOOKUP(X440,Hoja2!D:D,Hoja2!B:B)</f>
        <v>JAVIER ORLANDO HERNANDEZ RIVERA</v>
      </c>
      <c r="V440" t="str">
        <f>_xlfn.XLOOKUP(X440,Hoja2!D:D,Hoja2!C:C)</f>
        <v>OP GRADO - INGLÉS</v>
      </c>
      <c r="W440" s="9">
        <f>IF(V440="pregrado",31,
IF(V440="posgrados",31,
IF(V440="rEINTEGROS",7,
IF(V440="BIT",90,
IF(V440="OP GRADO - INGLÉS",17,"")))))</f>
        <v>17</v>
      </c>
      <c r="X440" t="s">
        <v>4029</v>
      </c>
    </row>
    <row r="441" spans="1:24" x14ac:dyDescent="0.3">
      <c r="A441" s="4">
        <v>46121</v>
      </c>
      <c r="B441">
        <v>20130448</v>
      </c>
      <c r="C441" t="s">
        <v>19</v>
      </c>
      <c r="D441">
        <v>68518</v>
      </c>
      <c r="E441" t="s">
        <v>267</v>
      </c>
      <c r="F441">
        <v>1007630787</v>
      </c>
      <c r="G441" t="s">
        <v>4458</v>
      </c>
      <c r="H441">
        <v>100111021</v>
      </c>
      <c r="I441">
        <v>202605</v>
      </c>
      <c r="J441">
        <v>1007630787</v>
      </c>
      <c r="K441" t="s">
        <v>270</v>
      </c>
      <c r="L441" t="s">
        <v>1281</v>
      </c>
      <c r="M441" t="s">
        <v>271</v>
      </c>
      <c r="N441" t="s">
        <v>4354</v>
      </c>
      <c r="O441" t="s">
        <v>26</v>
      </c>
      <c r="P441" t="s">
        <v>4226</v>
      </c>
      <c r="Q441" t="s">
        <v>28</v>
      </c>
      <c r="R441" t="s">
        <v>29</v>
      </c>
      <c r="S441" t="s">
        <v>793</v>
      </c>
      <c r="T441">
        <f>_xlfn.XLOOKUP(X441,Hoja2!D:D,Hoja2!A:A)</f>
        <v>60345453</v>
      </c>
      <c r="U441" t="str">
        <f>_xlfn.XLOOKUP(X441,Hoja2!D:D,Hoja2!B:B)</f>
        <v>JAVIER ORLANDO HERNANDEZ RIVERA</v>
      </c>
      <c r="V441" t="str">
        <f>_xlfn.XLOOKUP(X441,Hoja2!D:D,Hoja2!C:C)</f>
        <v>OP GRADO - INGLÉS</v>
      </c>
      <c r="W441" s="9">
        <f>IF(V441="pregrado",31,
IF(V441="posgrados",31,
IF(V441="rEINTEGROS",7,
IF(V441="BIT",90,
IF(V441="OP GRADO - INGLÉS",17,"")))))</f>
        <v>17</v>
      </c>
      <c r="X441" t="s">
        <v>4063</v>
      </c>
    </row>
    <row r="442" spans="1:24" x14ac:dyDescent="0.3">
      <c r="A442" s="4">
        <v>46121</v>
      </c>
      <c r="B442">
        <v>20130530</v>
      </c>
      <c r="C442" t="s">
        <v>19</v>
      </c>
      <c r="D442">
        <v>68522</v>
      </c>
      <c r="E442" t="s">
        <v>267</v>
      </c>
      <c r="F442">
        <v>1016112849</v>
      </c>
      <c r="G442" t="s">
        <v>4473</v>
      </c>
      <c r="H442">
        <v>100149049</v>
      </c>
      <c r="I442">
        <v>202605</v>
      </c>
      <c r="J442">
        <v>1016112849</v>
      </c>
      <c r="K442" t="s">
        <v>270</v>
      </c>
      <c r="L442" t="s">
        <v>486</v>
      </c>
      <c r="M442" t="s">
        <v>271</v>
      </c>
      <c r="N442" t="s">
        <v>4354</v>
      </c>
      <c r="O442" t="s">
        <v>26</v>
      </c>
      <c r="P442" t="s">
        <v>4226</v>
      </c>
      <c r="Q442" t="s">
        <v>28</v>
      </c>
      <c r="R442" t="s">
        <v>29</v>
      </c>
      <c r="S442" t="s">
        <v>793</v>
      </c>
      <c r="T442">
        <f>_xlfn.XLOOKUP(X442,Hoja2!D:D,Hoja2!A:A)</f>
        <v>60345453</v>
      </c>
      <c r="U442" t="str">
        <f>_xlfn.XLOOKUP(X442,Hoja2!D:D,Hoja2!B:B)</f>
        <v>JAVIER ORLANDO HERNANDEZ RIVERA</v>
      </c>
      <c r="V442" t="str">
        <f>_xlfn.XLOOKUP(X442,Hoja2!D:D,Hoja2!C:C)</f>
        <v>OP GRADO - INGLÉS</v>
      </c>
      <c r="W442" s="9">
        <f>IF(V442="pregrado",31,
IF(V442="posgrados",31,
IF(V442="rEINTEGROS",7,
IF(V442="BIT",90,
IF(V442="OP GRADO - INGLÉS",17,"")))))</f>
        <v>17</v>
      </c>
      <c r="X442" t="s">
        <v>4063</v>
      </c>
    </row>
    <row r="443" spans="1:24" x14ac:dyDescent="0.3">
      <c r="A443" s="4">
        <v>46125</v>
      </c>
      <c r="B443">
        <v>20130903</v>
      </c>
      <c r="C443" t="s">
        <v>19</v>
      </c>
      <c r="D443">
        <v>68524</v>
      </c>
      <c r="E443" t="s">
        <v>267</v>
      </c>
      <c r="F443">
        <v>1124053375</v>
      </c>
      <c r="G443" t="s">
        <v>4554</v>
      </c>
      <c r="H443">
        <v>100190308</v>
      </c>
      <c r="I443">
        <v>202605</v>
      </c>
      <c r="J443">
        <v>1124053375</v>
      </c>
      <c r="K443" t="s">
        <v>270</v>
      </c>
      <c r="L443" t="s">
        <v>4126</v>
      </c>
      <c r="M443" t="s">
        <v>271</v>
      </c>
      <c r="N443" t="s">
        <v>35</v>
      </c>
      <c r="O443" t="s">
        <v>26</v>
      </c>
      <c r="P443" t="s">
        <v>27</v>
      </c>
      <c r="Q443" t="s">
        <v>28</v>
      </c>
      <c r="R443" t="s">
        <v>29</v>
      </c>
      <c r="S443" t="s">
        <v>793</v>
      </c>
      <c r="T443">
        <f>_xlfn.XLOOKUP(X443,Hoja2!D:D,Hoja2!A:A)</f>
        <v>1033714104</v>
      </c>
      <c r="U443" t="str">
        <f>_xlfn.XLOOKUP(X443,Hoja2!D:D,Hoja2!B:B)</f>
        <v>JAVIER ORLANDO HERNANDEZ RIVERA</v>
      </c>
      <c r="V443" t="str">
        <f>_xlfn.XLOOKUP(X443,Hoja2!D:D,Hoja2!C:C)</f>
        <v>OP GRADO - INGLÉS</v>
      </c>
      <c r="W443" s="9">
        <f>IF(V443="pregrado",31,
IF(V443="posgrados",31,
IF(V443="rEINTEGROS",7,
IF(V443="BIT",90,
IF(V443="OP GRADO - INGLÉS",17,"")))))</f>
        <v>17</v>
      </c>
      <c r="X443" t="s">
        <v>4029</v>
      </c>
    </row>
    <row r="444" spans="1:24" x14ac:dyDescent="0.3">
      <c r="A444" s="4">
        <v>46122</v>
      </c>
      <c r="B444">
        <v>20130711</v>
      </c>
      <c r="C444" t="s">
        <v>19</v>
      </c>
      <c r="D444">
        <v>68525</v>
      </c>
      <c r="E444" t="s">
        <v>267</v>
      </c>
      <c r="F444">
        <v>1000224813</v>
      </c>
      <c r="G444" t="s">
        <v>4505</v>
      </c>
      <c r="H444">
        <v>100149380</v>
      </c>
      <c r="I444">
        <v>202605</v>
      </c>
      <c r="J444">
        <v>1000224813</v>
      </c>
      <c r="K444" t="s">
        <v>270</v>
      </c>
      <c r="L444" t="s">
        <v>1061</v>
      </c>
      <c r="M444" t="s">
        <v>271</v>
      </c>
      <c r="N444" t="s">
        <v>4354</v>
      </c>
      <c r="O444" t="s">
        <v>26</v>
      </c>
      <c r="P444" t="s">
        <v>4226</v>
      </c>
      <c r="Q444" t="s">
        <v>28</v>
      </c>
      <c r="R444" t="s">
        <v>29</v>
      </c>
      <c r="S444" t="s">
        <v>793</v>
      </c>
      <c r="T444">
        <f>_xlfn.XLOOKUP(X444,Hoja2!D:D,Hoja2!A:A)</f>
        <v>60345453</v>
      </c>
      <c r="U444" t="str">
        <f>_xlfn.XLOOKUP(X444,Hoja2!D:D,Hoja2!B:B)</f>
        <v>JAVIER ORLANDO HERNANDEZ RIVERA</v>
      </c>
      <c r="V444" t="str">
        <f>_xlfn.XLOOKUP(X444,Hoja2!D:D,Hoja2!C:C)</f>
        <v>OP GRADO - INGLÉS</v>
      </c>
      <c r="W444" s="9">
        <f>IF(V444="pregrado",31,
IF(V444="posgrados",31,
IF(V444="rEINTEGROS",7,
IF(V444="BIT",90,
IF(V444="OP GRADO - INGLÉS",17,"")))))</f>
        <v>17</v>
      </c>
      <c r="X444" t="s">
        <v>4063</v>
      </c>
    </row>
    <row r="445" spans="1:24" x14ac:dyDescent="0.3">
      <c r="A445" s="4">
        <v>46121</v>
      </c>
      <c r="B445">
        <v>20130496</v>
      </c>
      <c r="C445" t="s">
        <v>19</v>
      </c>
      <c r="D445">
        <v>68534</v>
      </c>
      <c r="E445" t="s">
        <v>267</v>
      </c>
      <c r="F445">
        <v>1073131788</v>
      </c>
      <c r="G445" t="s">
        <v>4469</v>
      </c>
      <c r="H445">
        <v>100141259</v>
      </c>
      <c r="I445">
        <v>202605</v>
      </c>
      <c r="J445">
        <v>1073131788</v>
      </c>
      <c r="K445" t="s">
        <v>270</v>
      </c>
      <c r="L445" t="s">
        <v>589</v>
      </c>
      <c r="M445" t="s">
        <v>271</v>
      </c>
      <c r="N445" t="s">
        <v>35</v>
      </c>
      <c r="O445" t="s">
        <v>26</v>
      </c>
      <c r="P445" t="s">
        <v>27</v>
      </c>
      <c r="Q445" t="s">
        <v>28</v>
      </c>
      <c r="R445" t="s">
        <v>29</v>
      </c>
      <c r="S445" t="s">
        <v>793</v>
      </c>
      <c r="T445">
        <f>_xlfn.XLOOKUP(X445,Hoja2!D:D,Hoja2!A:A)</f>
        <v>1033714104</v>
      </c>
      <c r="U445" t="str">
        <f>_xlfn.XLOOKUP(X445,Hoja2!D:D,Hoja2!B:B)</f>
        <v>JAVIER ORLANDO HERNANDEZ RIVERA</v>
      </c>
      <c r="V445" t="str">
        <f>_xlfn.XLOOKUP(X445,Hoja2!D:D,Hoja2!C:C)</f>
        <v>OP GRADO - INGLÉS</v>
      </c>
      <c r="W445" s="9">
        <f>IF(V445="pregrado",31,
IF(V445="posgrados",31,
IF(V445="rEINTEGROS",7,
IF(V445="BIT",90,
IF(V445="OP GRADO - INGLÉS",17,"")))))</f>
        <v>17</v>
      </c>
      <c r="X445" t="s">
        <v>4029</v>
      </c>
    </row>
    <row r="446" spans="1:24" x14ac:dyDescent="0.3">
      <c r="A446" s="4">
        <v>46125</v>
      </c>
      <c r="B446">
        <v>20130794</v>
      </c>
      <c r="C446" t="s">
        <v>19</v>
      </c>
      <c r="D446">
        <v>68552</v>
      </c>
      <c r="E446" t="s">
        <v>267</v>
      </c>
      <c r="F446">
        <v>1001854588</v>
      </c>
      <c r="G446" t="s">
        <v>4524</v>
      </c>
      <c r="H446">
        <v>100190797</v>
      </c>
      <c r="I446">
        <v>202605</v>
      </c>
      <c r="J446">
        <v>1001854588</v>
      </c>
      <c r="K446" t="s">
        <v>270</v>
      </c>
      <c r="L446" t="s">
        <v>2034</v>
      </c>
      <c r="M446" t="s">
        <v>271</v>
      </c>
      <c r="N446" t="s">
        <v>35</v>
      </c>
      <c r="O446" t="s">
        <v>26</v>
      </c>
      <c r="P446" t="s">
        <v>27</v>
      </c>
      <c r="Q446" t="s">
        <v>28</v>
      </c>
      <c r="R446" t="s">
        <v>29</v>
      </c>
      <c r="S446" t="s">
        <v>793</v>
      </c>
      <c r="T446">
        <f>_xlfn.XLOOKUP(X446,Hoja2!D:D,Hoja2!A:A)</f>
        <v>1033714104</v>
      </c>
      <c r="U446" t="str">
        <f>_xlfn.XLOOKUP(X446,Hoja2!D:D,Hoja2!B:B)</f>
        <v>JAVIER ORLANDO HERNANDEZ RIVERA</v>
      </c>
      <c r="V446" t="str">
        <f>_xlfn.XLOOKUP(X446,Hoja2!D:D,Hoja2!C:C)</f>
        <v>OP GRADO - INGLÉS</v>
      </c>
      <c r="W446" s="9">
        <f>IF(V446="pregrado",31,
IF(V446="posgrados",31,
IF(V446="rEINTEGROS",7,
IF(V446="BIT",90,
IF(V446="OP GRADO - INGLÉS",17,"")))))</f>
        <v>17</v>
      </c>
      <c r="X446" t="s">
        <v>4029</v>
      </c>
    </row>
    <row r="447" spans="1:24" x14ac:dyDescent="0.3">
      <c r="A447" s="4">
        <v>46125</v>
      </c>
      <c r="B447">
        <v>20130823</v>
      </c>
      <c r="C447" t="s">
        <v>19</v>
      </c>
      <c r="D447">
        <v>68555</v>
      </c>
      <c r="E447" t="s">
        <v>267</v>
      </c>
      <c r="F447">
        <v>23190832</v>
      </c>
      <c r="G447" t="s">
        <v>4530</v>
      </c>
      <c r="H447">
        <v>100229819</v>
      </c>
      <c r="I447">
        <v>202605</v>
      </c>
      <c r="J447">
        <v>1051418662</v>
      </c>
      <c r="K447" t="s">
        <v>270</v>
      </c>
      <c r="L447" t="s">
        <v>3187</v>
      </c>
      <c r="M447" t="s">
        <v>271</v>
      </c>
      <c r="N447" t="s">
        <v>35</v>
      </c>
      <c r="O447" t="s">
        <v>26</v>
      </c>
      <c r="P447" t="s">
        <v>27</v>
      </c>
      <c r="Q447" t="s">
        <v>28</v>
      </c>
      <c r="R447" t="s">
        <v>29</v>
      </c>
      <c r="S447" t="s">
        <v>793</v>
      </c>
      <c r="T447">
        <f>_xlfn.XLOOKUP(X447,Hoja2!D:D,Hoja2!A:A)</f>
        <v>1033714104</v>
      </c>
      <c r="U447" t="str">
        <f>_xlfn.XLOOKUP(X447,Hoja2!D:D,Hoja2!B:B)</f>
        <v>JAVIER ORLANDO HERNANDEZ RIVERA</v>
      </c>
      <c r="V447" t="str">
        <f>_xlfn.XLOOKUP(X447,Hoja2!D:D,Hoja2!C:C)</f>
        <v>OP GRADO - INGLÉS</v>
      </c>
      <c r="W447" s="9">
        <f>IF(V447="pregrado",31,
IF(V447="posgrados",31,
IF(V447="rEINTEGROS",7,
IF(V447="BIT",90,
IF(V447="OP GRADO - INGLÉS",17,"")))))</f>
        <v>17</v>
      </c>
      <c r="X447" t="s">
        <v>4029</v>
      </c>
    </row>
    <row r="448" spans="1:24" x14ac:dyDescent="0.3">
      <c r="A448" s="4">
        <v>46122</v>
      </c>
      <c r="B448">
        <v>20130714</v>
      </c>
      <c r="C448" t="s">
        <v>19</v>
      </c>
      <c r="D448">
        <v>68561</v>
      </c>
      <c r="E448" t="s">
        <v>267</v>
      </c>
      <c r="F448">
        <v>1019130131</v>
      </c>
      <c r="G448" t="s">
        <v>4506</v>
      </c>
      <c r="H448">
        <v>100250553</v>
      </c>
      <c r="I448">
        <v>202605</v>
      </c>
      <c r="J448">
        <v>1019130131</v>
      </c>
      <c r="K448" t="s">
        <v>23</v>
      </c>
      <c r="L448" t="s">
        <v>1258</v>
      </c>
      <c r="M448" t="s">
        <v>271</v>
      </c>
      <c r="N448" t="s">
        <v>35</v>
      </c>
      <c r="O448" t="s">
        <v>26</v>
      </c>
      <c r="P448" t="s">
        <v>27</v>
      </c>
      <c r="Q448" t="s">
        <v>28</v>
      </c>
      <c r="R448" t="s">
        <v>29</v>
      </c>
      <c r="S448" t="s">
        <v>793</v>
      </c>
      <c r="T448">
        <f>_xlfn.XLOOKUP(X448,Hoja2!D:D,Hoja2!A:A)</f>
        <v>52221286</v>
      </c>
      <c r="U448" t="str">
        <f>_xlfn.XLOOKUP(X448,Hoja2!D:D,Hoja2!B:B)</f>
        <v>JOHAN SEBASTIAN PARDEYN AGUILAR</v>
      </c>
      <c r="V448" t="str">
        <f>_xlfn.XLOOKUP(X448,Hoja2!D:D,Hoja2!C:C)</f>
        <v>BIT</v>
      </c>
      <c r="W448" s="9">
        <f>IF(V448="pregrado",31,
IF(V448="posgrados",31,
IF(V448="rEINTEGROS",7,
IF(V448="BIT",90,
IF(V448="OP GRADO - INGLÉS",17,"")))))</f>
        <v>90</v>
      </c>
      <c r="X448" t="s">
        <v>4076</v>
      </c>
    </row>
    <row r="449" spans="1:24" x14ac:dyDescent="0.3">
      <c r="A449" s="4">
        <v>46141</v>
      </c>
      <c r="B449">
        <v>20132530</v>
      </c>
      <c r="C449" t="s">
        <v>19</v>
      </c>
      <c r="D449">
        <v>68573</v>
      </c>
      <c r="E449" t="s">
        <v>267</v>
      </c>
      <c r="F449">
        <v>1015408604</v>
      </c>
      <c r="G449" t="s">
        <v>4888</v>
      </c>
      <c r="H449">
        <v>100187454</v>
      </c>
      <c r="I449">
        <v>202605</v>
      </c>
      <c r="J449">
        <v>1015408604</v>
      </c>
      <c r="K449" t="s">
        <v>270</v>
      </c>
      <c r="L449" t="s">
        <v>409</v>
      </c>
      <c r="M449" t="s">
        <v>271</v>
      </c>
      <c r="N449" t="s">
        <v>35</v>
      </c>
      <c r="O449" t="s">
        <v>26</v>
      </c>
      <c r="P449" t="s">
        <v>27</v>
      </c>
      <c r="Q449" t="s">
        <v>28</v>
      </c>
      <c r="R449" t="s">
        <v>29</v>
      </c>
      <c r="S449" t="s">
        <v>793</v>
      </c>
      <c r="T449">
        <f>_xlfn.XLOOKUP(X449,Hoja2!D:D,Hoja2!A:A)</f>
        <v>1010081108</v>
      </c>
      <c r="U449" t="str">
        <f>_xlfn.XLOOKUP(X449,Hoja2!D:D,Hoja2!B:B)</f>
        <v>HEIDY LORENA PRIETO AHUMADA</v>
      </c>
      <c r="V449" t="str">
        <f>_xlfn.XLOOKUP(X449,Hoja2!D:D,Hoja2!C:C)</f>
        <v>PREGRADO</v>
      </c>
      <c r="W449" s="9">
        <f>IF(V449="pregrado",31,
IF(V449="posgrados",31,
IF(V449="rEINTEGROS",7,
IF(V449="BIT",90,
IF(V449="OP GRADO - INGLÉS",17,"")))))</f>
        <v>31</v>
      </c>
      <c r="X449" t="s">
        <v>4009</v>
      </c>
    </row>
    <row r="450" spans="1:24" x14ac:dyDescent="0.3">
      <c r="A450" s="4">
        <v>46126</v>
      </c>
      <c r="B450">
        <v>20131012</v>
      </c>
      <c r="C450" t="s">
        <v>19</v>
      </c>
      <c r="D450">
        <v>68576</v>
      </c>
      <c r="E450" t="s">
        <v>267</v>
      </c>
      <c r="F450">
        <v>1047468117</v>
      </c>
      <c r="G450" t="s">
        <v>4578</v>
      </c>
      <c r="H450">
        <v>100173454</v>
      </c>
      <c r="I450">
        <v>202605</v>
      </c>
      <c r="J450">
        <v>1047468117</v>
      </c>
      <c r="K450" t="s">
        <v>270</v>
      </c>
      <c r="L450" t="s">
        <v>4126</v>
      </c>
      <c r="M450" t="s">
        <v>271</v>
      </c>
      <c r="N450" t="s">
        <v>35</v>
      </c>
      <c r="O450" t="s">
        <v>26</v>
      </c>
      <c r="P450" t="s">
        <v>27</v>
      </c>
      <c r="Q450" t="s">
        <v>28</v>
      </c>
      <c r="R450" t="s">
        <v>29</v>
      </c>
      <c r="S450" t="s">
        <v>793</v>
      </c>
      <c r="T450">
        <f>_xlfn.XLOOKUP(X450,Hoja2!D:D,Hoja2!A:A)</f>
        <v>52759865</v>
      </c>
      <c r="U450" t="str">
        <f>_xlfn.XLOOKUP(X450,Hoja2!D:D,Hoja2!B:B)</f>
        <v>Heidy Lorena Prieto Ahumada</v>
      </c>
      <c r="V450" t="str">
        <f>_xlfn.XLOOKUP(X450,Hoja2!D:D,Hoja2!C:C)</f>
        <v>PREGRADO</v>
      </c>
      <c r="W450" s="9">
        <f>IF(V450="pregrado",31,
IF(V450="posgrados",31,
IF(V450="rEINTEGROS",7,
IF(V450="BIT",90,
IF(V450="OP GRADO - INGLÉS",17,"")))))</f>
        <v>31</v>
      </c>
      <c r="X450" t="s">
        <v>4923</v>
      </c>
    </row>
    <row r="451" spans="1:24" x14ac:dyDescent="0.3">
      <c r="A451" s="4">
        <v>46125</v>
      </c>
      <c r="B451">
        <v>20130937</v>
      </c>
      <c r="C451" t="s">
        <v>19</v>
      </c>
      <c r="D451">
        <v>68602</v>
      </c>
      <c r="E451" t="s">
        <v>267</v>
      </c>
      <c r="F451">
        <v>1030680092</v>
      </c>
      <c r="G451" t="s">
        <v>2755</v>
      </c>
      <c r="H451">
        <v>100180587</v>
      </c>
      <c r="I451">
        <v>202605</v>
      </c>
      <c r="J451">
        <v>1030680092</v>
      </c>
      <c r="K451" t="s">
        <v>270</v>
      </c>
      <c r="L451" t="s">
        <v>336</v>
      </c>
      <c r="M451" t="s">
        <v>271</v>
      </c>
      <c r="N451" t="s">
        <v>35</v>
      </c>
      <c r="O451" t="s">
        <v>26</v>
      </c>
      <c r="P451" t="s">
        <v>27</v>
      </c>
      <c r="Q451" t="s">
        <v>28</v>
      </c>
      <c r="R451" t="s">
        <v>29</v>
      </c>
      <c r="S451" t="s">
        <v>793</v>
      </c>
      <c r="T451">
        <f>_xlfn.XLOOKUP(X451,Hoja2!D:D,Hoja2!A:A)</f>
        <v>1033714104</v>
      </c>
      <c r="U451" t="str">
        <f>_xlfn.XLOOKUP(X451,Hoja2!D:D,Hoja2!B:B)</f>
        <v>JAVIER ORLANDO HERNANDEZ RIVERA</v>
      </c>
      <c r="V451" t="str">
        <f>_xlfn.XLOOKUP(X451,Hoja2!D:D,Hoja2!C:C)</f>
        <v>OP GRADO - INGLÉS</v>
      </c>
      <c r="W451" s="9">
        <f>IF(V451="pregrado",31,
IF(V451="posgrados",31,
IF(V451="rEINTEGROS",7,
IF(V451="BIT",90,
IF(V451="OP GRADO - INGLÉS",17,"")))))</f>
        <v>17</v>
      </c>
      <c r="X451" t="s">
        <v>4029</v>
      </c>
    </row>
    <row r="452" spans="1:24" x14ac:dyDescent="0.3">
      <c r="A452" s="4">
        <v>46127</v>
      </c>
      <c r="B452">
        <v>20131126</v>
      </c>
      <c r="C452" t="s">
        <v>19</v>
      </c>
      <c r="D452">
        <v>68604</v>
      </c>
      <c r="E452" t="s">
        <v>267</v>
      </c>
      <c r="F452">
        <v>1000128693</v>
      </c>
      <c r="G452" t="s">
        <v>4607</v>
      </c>
      <c r="H452">
        <v>100066579</v>
      </c>
      <c r="I452">
        <v>202605</v>
      </c>
      <c r="J452">
        <v>1000128693</v>
      </c>
      <c r="K452" t="s">
        <v>270</v>
      </c>
      <c r="L452" t="s">
        <v>3187</v>
      </c>
      <c r="M452" t="s">
        <v>271</v>
      </c>
      <c r="N452" t="s">
        <v>4354</v>
      </c>
      <c r="O452" t="s">
        <v>26</v>
      </c>
      <c r="P452" t="s">
        <v>4226</v>
      </c>
      <c r="Q452" t="s">
        <v>28</v>
      </c>
      <c r="R452" t="s">
        <v>29</v>
      </c>
      <c r="S452" t="s">
        <v>793</v>
      </c>
      <c r="T452">
        <f>_xlfn.XLOOKUP(X452,Hoja2!D:D,Hoja2!A:A)</f>
        <v>60345453</v>
      </c>
      <c r="U452" t="str">
        <f>_xlfn.XLOOKUP(X452,Hoja2!D:D,Hoja2!B:B)</f>
        <v>JAVIER ORLANDO HERNANDEZ RIVERA</v>
      </c>
      <c r="V452" t="str">
        <f>_xlfn.XLOOKUP(X452,Hoja2!D:D,Hoja2!C:C)</f>
        <v>OP GRADO - INGLÉS</v>
      </c>
      <c r="W452" s="9">
        <f>IF(V452="pregrado",31,
IF(V452="posgrados",31,
IF(V452="rEINTEGROS",7,
IF(V452="BIT",90,
IF(V452="OP GRADO - INGLÉS",17,"")))))</f>
        <v>17</v>
      </c>
      <c r="X452" t="s">
        <v>4063</v>
      </c>
    </row>
    <row r="453" spans="1:24" x14ac:dyDescent="0.3">
      <c r="A453" s="4">
        <v>46125</v>
      </c>
      <c r="B453">
        <v>20130867</v>
      </c>
      <c r="C453" t="s">
        <v>19</v>
      </c>
      <c r="D453">
        <v>68621</v>
      </c>
      <c r="E453" t="s">
        <v>267</v>
      </c>
      <c r="F453">
        <v>1030575723</v>
      </c>
      <c r="G453" t="s">
        <v>4542</v>
      </c>
      <c r="H453">
        <v>900004201</v>
      </c>
      <c r="I453">
        <v>202605</v>
      </c>
      <c r="J453">
        <v>1030575723</v>
      </c>
      <c r="K453" t="s">
        <v>270</v>
      </c>
      <c r="L453" t="s">
        <v>3187</v>
      </c>
      <c r="M453" t="s">
        <v>271</v>
      </c>
      <c r="N453" t="s">
        <v>35</v>
      </c>
      <c r="O453" t="s">
        <v>26</v>
      </c>
      <c r="P453" t="s">
        <v>27</v>
      </c>
      <c r="Q453" t="s">
        <v>28</v>
      </c>
      <c r="R453" t="s">
        <v>29</v>
      </c>
      <c r="S453" t="s">
        <v>793</v>
      </c>
      <c r="T453">
        <f>_xlfn.XLOOKUP(X453,Hoja2!D:D,Hoja2!A:A)</f>
        <v>1033714104</v>
      </c>
      <c r="U453" t="str">
        <f>_xlfn.XLOOKUP(X453,Hoja2!D:D,Hoja2!B:B)</f>
        <v>JAVIER ORLANDO HERNANDEZ RIVERA</v>
      </c>
      <c r="V453" t="str">
        <f>_xlfn.XLOOKUP(X453,Hoja2!D:D,Hoja2!C:C)</f>
        <v>OP GRADO - INGLÉS</v>
      </c>
      <c r="W453" s="9">
        <f>IF(V453="pregrado",31,
IF(V453="posgrados",31,
IF(V453="rEINTEGROS",7,
IF(V453="BIT",90,
IF(V453="OP GRADO - INGLÉS",17,"")))))</f>
        <v>17</v>
      </c>
      <c r="X453" t="s">
        <v>4029</v>
      </c>
    </row>
    <row r="454" spans="1:24" x14ac:dyDescent="0.3">
      <c r="A454" s="4">
        <v>46125</v>
      </c>
      <c r="B454">
        <v>20130891</v>
      </c>
      <c r="C454" t="s">
        <v>19</v>
      </c>
      <c r="D454">
        <v>68633</v>
      </c>
      <c r="E454" t="s">
        <v>267</v>
      </c>
      <c r="F454">
        <v>1085920812</v>
      </c>
      <c r="G454" t="s">
        <v>4551</v>
      </c>
      <c r="H454">
        <v>100211408</v>
      </c>
      <c r="I454">
        <v>202605</v>
      </c>
      <c r="J454">
        <v>1085920812</v>
      </c>
      <c r="K454" t="s">
        <v>270</v>
      </c>
      <c r="L454" t="s">
        <v>336</v>
      </c>
      <c r="M454" t="s">
        <v>271</v>
      </c>
      <c r="N454" t="s">
        <v>35</v>
      </c>
      <c r="O454" t="s">
        <v>26</v>
      </c>
      <c r="P454" t="s">
        <v>27</v>
      </c>
      <c r="Q454" t="s">
        <v>28</v>
      </c>
      <c r="R454" t="s">
        <v>29</v>
      </c>
      <c r="S454" t="s">
        <v>793</v>
      </c>
      <c r="T454">
        <f>_xlfn.XLOOKUP(X454,Hoja2!D:D,Hoja2!A:A)</f>
        <v>1030561016</v>
      </c>
      <c r="U454" t="str">
        <f>_xlfn.XLOOKUP(X454,Hoja2!D:D,Hoja2!B:B)</f>
        <v>JENIFFER VARGAS</v>
      </c>
      <c r="V454" t="str">
        <f>_xlfn.XLOOKUP(X454,Hoja2!D:D,Hoja2!C:C)</f>
        <v>PREGRADO</v>
      </c>
      <c r="W454" s="9">
        <f>IF(V454="pregrado",31,
IF(V454="posgrados",31,
IF(V454="rEINTEGROS",7,
IF(V454="BIT",90,
IF(V454="OP GRADO - INGLÉS",17,"")))))</f>
        <v>31</v>
      </c>
      <c r="X454" t="s">
        <v>4931</v>
      </c>
    </row>
    <row r="455" spans="1:24" x14ac:dyDescent="0.3">
      <c r="A455" s="4">
        <v>46125</v>
      </c>
      <c r="B455">
        <v>20130911</v>
      </c>
      <c r="C455" t="s">
        <v>19</v>
      </c>
      <c r="D455">
        <v>68635</v>
      </c>
      <c r="E455" t="s">
        <v>267</v>
      </c>
      <c r="F455">
        <v>53012729</v>
      </c>
      <c r="G455" t="s">
        <v>4558</v>
      </c>
      <c r="H455">
        <v>100182806</v>
      </c>
      <c r="I455">
        <v>202605</v>
      </c>
      <c r="J455">
        <v>1031128199</v>
      </c>
      <c r="K455" t="s">
        <v>270</v>
      </c>
      <c r="L455" t="s">
        <v>4126</v>
      </c>
      <c r="M455" t="s">
        <v>271</v>
      </c>
      <c r="N455" t="s">
        <v>35</v>
      </c>
      <c r="O455" t="s">
        <v>26</v>
      </c>
      <c r="P455" t="s">
        <v>27</v>
      </c>
      <c r="Q455" t="s">
        <v>28</v>
      </c>
      <c r="R455" t="s">
        <v>29</v>
      </c>
      <c r="S455" t="s">
        <v>793</v>
      </c>
      <c r="T455">
        <f>_xlfn.XLOOKUP(X455,Hoja2!D:D,Hoja2!A:A)</f>
        <v>1033714104</v>
      </c>
      <c r="U455" t="str">
        <f>_xlfn.XLOOKUP(X455,Hoja2!D:D,Hoja2!B:B)</f>
        <v>JAVIER ORLANDO HERNANDEZ RIVERA</v>
      </c>
      <c r="V455" t="str">
        <f>_xlfn.XLOOKUP(X455,Hoja2!D:D,Hoja2!C:C)</f>
        <v>OP GRADO - INGLÉS</v>
      </c>
      <c r="W455" s="9">
        <f>IF(V455="pregrado",31,
IF(V455="posgrados",31,
IF(V455="rEINTEGROS",7,
IF(V455="BIT",90,
IF(V455="OP GRADO - INGLÉS",17,"")))))</f>
        <v>17</v>
      </c>
      <c r="X455" t="s">
        <v>4029</v>
      </c>
    </row>
    <row r="456" spans="1:24" x14ac:dyDescent="0.3">
      <c r="A456" s="4">
        <v>46127</v>
      </c>
      <c r="B456">
        <v>20131139</v>
      </c>
      <c r="C456" t="s">
        <v>19</v>
      </c>
      <c r="D456">
        <v>68659</v>
      </c>
      <c r="E456" t="s">
        <v>267</v>
      </c>
      <c r="F456">
        <v>1062300146</v>
      </c>
      <c r="G456" t="s">
        <v>4608</v>
      </c>
      <c r="H456">
        <v>100222261</v>
      </c>
      <c r="I456">
        <v>202605</v>
      </c>
      <c r="J456">
        <v>1062300146</v>
      </c>
      <c r="K456" t="s">
        <v>270</v>
      </c>
      <c r="L456" t="s">
        <v>589</v>
      </c>
      <c r="M456" t="s">
        <v>271</v>
      </c>
      <c r="N456" t="s">
        <v>35</v>
      </c>
      <c r="O456" t="s">
        <v>26</v>
      </c>
      <c r="P456" t="s">
        <v>27</v>
      </c>
      <c r="Q456" t="s">
        <v>28</v>
      </c>
      <c r="R456" t="s">
        <v>29</v>
      </c>
      <c r="S456" t="s">
        <v>793</v>
      </c>
      <c r="T456">
        <f>_xlfn.XLOOKUP(X456,Hoja2!D:D,Hoja2!A:A)</f>
        <v>1033714104</v>
      </c>
      <c r="U456" t="str">
        <f>_xlfn.XLOOKUP(X456,Hoja2!D:D,Hoja2!B:B)</f>
        <v>JAVIER ORLANDO HERNANDEZ RIVERA</v>
      </c>
      <c r="V456" t="str">
        <f>_xlfn.XLOOKUP(X456,Hoja2!D:D,Hoja2!C:C)</f>
        <v>OP GRADO - INGLÉS</v>
      </c>
      <c r="W456" s="9">
        <f>IF(V456="pregrado",31,
IF(V456="posgrados",31,
IF(V456="rEINTEGROS",7,
IF(V456="BIT",90,
IF(V456="OP GRADO - INGLÉS",17,"")))))</f>
        <v>17</v>
      </c>
      <c r="X456" t="s">
        <v>4029</v>
      </c>
    </row>
    <row r="457" spans="1:24" x14ac:dyDescent="0.3">
      <c r="A457" s="4">
        <v>46137</v>
      </c>
      <c r="B457">
        <v>20132251</v>
      </c>
      <c r="C457" t="s">
        <v>19</v>
      </c>
      <c r="D457">
        <v>68661</v>
      </c>
      <c r="E457" t="s">
        <v>267</v>
      </c>
      <c r="F457">
        <v>1037613115</v>
      </c>
      <c r="G457" t="s">
        <v>4847</v>
      </c>
      <c r="H457">
        <v>100187371</v>
      </c>
      <c r="I457">
        <v>202605</v>
      </c>
      <c r="J457">
        <v>1040366730</v>
      </c>
      <c r="K457" t="s">
        <v>270</v>
      </c>
      <c r="L457" t="s">
        <v>3412</v>
      </c>
      <c r="M457" t="s">
        <v>271</v>
      </c>
      <c r="N457" t="s">
        <v>35</v>
      </c>
      <c r="O457" t="s">
        <v>26</v>
      </c>
      <c r="P457" t="s">
        <v>27</v>
      </c>
      <c r="Q457" t="s">
        <v>28</v>
      </c>
      <c r="R457" t="s">
        <v>29</v>
      </c>
      <c r="S457" t="s">
        <v>793</v>
      </c>
      <c r="T457">
        <f>_xlfn.XLOOKUP(X457,Hoja2!D:D,Hoja2!A:A)</f>
        <v>52834109</v>
      </c>
      <c r="U457" t="str">
        <f>_xlfn.XLOOKUP(X457,Hoja2!D:D,Hoja2!B:B)</f>
        <v>JAVIER ORLANDO HERNANDEZ RIVERA</v>
      </c>
      <c r="V457" t="str">
        <f>_xlfn.XLOOKUP(X457,Hoja2!D:D,Hoja2!C:C)</f>
        <v>OP GRADO - INGLÉS</v>
      </c>
      <c r="W457" s="9">
        <f>IF(V457="pregrado",31,
IF(V457="posgrados",31,
IF(V457="rEINTEGROS",7,
IF(V457="BIT",90,
IF(V457="OP GRADO - INGLÉS",17,"")))))</f>
        <v>17</v>
      </c>
      <c r="X457" t="s">
        <v>4018</v>
      </c>
    </row>
    <row r="458" spans="1:24" x14ac:dyDescent="0.3">
      <c r="A458" s="4">
        <v>46127</v>
      </c>
      <c r="B458">
        <v>20131143</v>
      </c>
      <c r="C458" t="s">
        <v>19</v>
      </c>
      <c r="D458">
        <v>68667</v>
      </c>
      <c r="E458" t="s">
        <v>267</v>
      </c>
      <c r="F458">
        <v>1014281890</v>
      </c>
      <c r="G458" t="s">
        <v>4610</v>
      </c>
      <c r="H458">
        <v>100211977</v>
      </c>
      <c r="I458">
        <v>202605</v>
      </c>
      <c r="J458">
        <v>1014281890</v>
      </c>
      <c r="K458" t="s">
        <v>23</v>
      </c>
      <c r="L458" t="s">
        <v>1258</v>
      </c>
      <c r="M458" t="s">
        <v>271</v>
      </c>
      <c r="N458" t="s">
        <v>35</v>
      </c>
      <c r="O458" t="s">
        <v>26</v>
      </c>
      <c r="P458" t="s">
        <v>27</v>
      </c>
      <c r="Q458" t="s">
        <v>28</v>
      </c>
      <c r="R458" t="s">
        <v>29</v>
      </c>
      <c r="S458" t="s">
        <v>793</v>
      </c>
      <c r="T458">
        <f>_xlfn.XLOOKUP(X458,Hoja2!D:D,Hoja2!A:A)</f>
        <v>52221286</v>
      </c>
      <c r="U458" t="str">
        <f>_xlfn.XLOOKUP(X458,Hoja2!D:D,Hoja2!B:B)</f>
        <v>JOHAN SEBASTIAN PARDEYN AGUILAR</v>
      </c>
      <c r="V458" t="str">
        <f>_xlfn.XLOOKUP(X458,Hoja2!D:D,Hoja2!C:C)</f>
        <v>BIT</v>
      </c>
      <c r="W458" s="9">
        <f>IF(V458="pregrado",31,
IF(V458="posgrados",31,
IF(V458="rEINTEGROS",7,
IF(V458="BIT",90,
IF(V458="OP GRADO - INGLÉS",17,"")))))</f>
        <v>90</v>
      </c>
      <c r="X458" t="s">
        <v>4076</v>
      </c>
    </row>
    <row r="459" spans="1:24" x14ac:dyDescent="0.3">
      <c r="A459" s="4">
        <v>46127</v>
      </c>
      <c r="B459">
        <v>20131229</v>
      </c>
      <c r="C459" t="s">
        <v>19</v>
      </c>
      <c r="D459">
        <v>68668</v>
      </c>
      <c r="E459" t="s">
        <v>267</v>
      </c>
      <c r="F459">
        <v>1072715199</v>
      </c>
      <c r="G459" t="s">
        <v>4632</v>
      </c>
      <c r="H459">
        <v>100094115</v>
      </c>
      <c r="I459">
        <v>202605</v>
      </c>
      <c r="J459">
        <v>1072715199</v>
      </c>
      <c r="K459" t="s">
        <v>270</v>
      </c>
      <c r="L459" t="s">
        <v>4126</v>
      </c>
      <c r="M459" t="s">
        <v>271</v>
      </c>
      <c r="N459" t="s">
        <v>35</v>
      </c>
      <c r="O459" t="s">
        <v>26</v>
      </c>
      <c r="P459" t="s">
        <v>27</v>
      </c>
      <c r="Q459" t="s">
        <v>28</v>
      </c>
      <c r="R459" t="s">
        <v>29</v>
      </c>
      <c r="S459" t="s">
        <v>793</v>
      </c>
      <c r="T459">
        <f>_xlfn.XLOOKUP(X459,Hoja2!D:D,Hoja2!A:A)</f>
        <v>1033714104</v>
      </c>
      <c r="U459" t="str">
        <f>_xlfn.XLOOKUP(X459,Hoja2!D:D,Hoja2!B:B)</f>
        <v>JAVIER ORLANDO HERNANDEZ RIVERA</v>
      </c>
      <c r="V459" t="str">
        <f>_xlfn.XLOOKUP(X459,Hoja2!D:D,Hoja2!C:C)</f>
        <v>OP GRADO - INGLÉS</v>
      </c>
      <c r="W459" s="9">
        <f>IF(V459="pregrado",31,
IF(V459="posgrados",31,
IF(V459="rEINTEGROS",7,
IF(V459="BIT",90,
IF(V459="OP GRADO - INGLÉS",17,"")))))</f>
        <v>17</v>
      </c>
      <c r="X459" t="s">
        <v>4029</v>
      </c>
    </row>
    <row r="460" spans="1:24" x14ac:dyDescent="0.3">
      <c r="A460" s="4">
        <v>46126</v>
      </c>
      <c r="B460">
        <v>20131078</v>
      </c>
      <c r="C460" t="s">
        <v>19</v>
      </c>
      <c r="D460">
        <v>68669</v>
      </c>
      <c r="E460" t="s">
        <v>267</v>
      </c>
      <c r="F460">
        <v>1106485075</v>
      </c>
      <c r="G460" t="s">
        <v>4594</v>
      </c>
      <c r="H460">
        <v>100173958</v>
      </c>
      <c r="I460">
        <v>202605</v>
      </c>
      <c r="J460">
        <v>1106485075</v>
      </c>
      <c r="K460" t="s">
        <v>270</v>
      </c>
      <c r="L460" t="s">
        <v>269</v>
      </c>
      <c r="M460" t="s">
        <v>271</v>
      </c>
      <c r="N460" t="s">
        <v>35</v>
      </c>
      <c r="O460" t="s">
        <v>26</v>
      </c>
      <c r="P460" t="s">
        <v>27</v>
      </c>
      <c r="Q460" t="s">
        <v>28</v>
      </c>
      <c r="R460" t="s">
        <v>29</v>
      </c>
      <c r="S460" t="s">
        <v>793</v>
      </c>
      <c r="T460">
        <f>_xlfn.XLOOKUP(X460,Hoja2!D:D,Hoja2!A:A)</f>
        <v>1033714104</v>
      </c>
      <c r="U460" t="str">
        <f>_xlfn.XLOOKUP(X460,Hoja2!D:D,Hoja2!B:B)</f>
        <v>JAVIER ORLANDO HERNANDEZ RIVERA</v>
      </c>
      <c r="V460" t="str">
        <f>_xlfn.XLOOKUP(X460,Hoja2!D:D,Hoja2!C:C)</f>
        <v>OP GRADO - INGLÉS</v>
      </c>
      <c r="W460" s="9">
        <f>IF(V460="pregrado",31,
IF(V460="posgrados",31,
IF(V460="rEINTEGROS",7,
IF(V460="BIT",90,
IF(V460="OP GRADO - INGLÉS",17,"")))))</f>
        <v>17</v>
      </c>
      <c r="X460" t="s">
        <v>4029</v>
      </c>
    </row>
    <row r="461" spans="1:24" x14ac:dyDescent="0.3">
      <c r="A461" s="4">
        <v>46126</v>
      </c>
      <c r="B461">
        <v>20131070</v>
      </c>
      <c r="C461" t="s">
        <v>19</v>
      </c>
      <c r="D461">
        <v>68671</v>
      </c>
      <c r="E461" t="s">
        <v>267</v>
      </c>
      <c r="F461">
        <v>1007435748</v>
      </c>
      <c r="G461" t="s">
        <v>4593</v>
      </c>
      <c r="H461">
        <v>100163555</v>
      </c>
      <c r="I461">
        <v>202605</v>
      </c>
      <c r="J461">
        <v>1007435748</v>
      </c>
      <c r="K461" t="s">
        <v>270</v>
      </c>
      <c r="L461" t="s">
        <v>1061</v>
      </c>
      <c r="M461" t="s">
        <v>271</v>
      </c>
      <c r="N461" t="s">
        <v>35</v>
      </c>
      <c r="O461" t="s">
        <v>26</v>
      </c>
      <c r="P461" t="s">
        <v>27</v>
      </c>
      <c r="Q461" t="s">
        <v>28</v>
      </c>
      <c r="R461" t="s">
        <v>29</v>
      </c>
      <c r="S461" t="s">
        <v>793</v>
      </c>
      <c r="T461">
        <f>_xlfn.XLOOKUP(X461,Hoja2!D:D,Hoja2!A:A)</f>
        <v>1030561016</v>
      </c>
      <c r="U461" t="str">
        <f>_xlfn.XLOOKUP(X461,Hoja2!D:D,Hoja2!B:B)</f>
        <v>JENIFFER VARGAS</v>
      </c>
      <c r="V461" t="str">
        <f>_xlfn.XLOOKUP(X461,Hoja2!D:D,Hoja2!C:C)</f>
        <v>PREGRADO</v>
      </c>
      <c r="W461" s="9">
        <f>IF(V461="pregrado",31,
IF(V461="posgrados",31,
IF(V461="rEINTEGROS",7,
IF(V461="BIT",90,
IF(V461="OP GRADO - INGLÉS",17,"")))))</f>
        <v>31</v>
      </c>
      <c r="X461" t="s">
        <v>4931</v>
      </c>
    </row>
    <row r="462" spans="1:24" x14ac:dyDescent="0.3">
      <c r="A462" s="4">
        <v>46136</v>
      </c>
      <c r="B462">
        <v>20132119</v>
      </c>
      <c r="C462" t="s">
        <v>19</v>
      </c>
      <c r="D462">
        <v>68678</v>
      </c>
      <c r="E462" t="s">
        <v>267</v>
      </c>
      <c r="F462">
        <v>1023869755</v>
      </c>
      <c r="G462" t="s">
        <v>4825</v>
      </c>
      <c r="H462">
        <v>100171795</v>
      </c>
      <c r="I462">
        <v>202605</v>
      </c>
      <c r="J462">
        <v>1023869754</v>
      </c>
      <c r="K462" t="s">
        <v>270</v>
      </c>
      <c r="L462" t="s">
        <v>1281</v>
      </c>
      <c r="M462" t="s">
        <v>271</v>
      </c>
      <c r="N462" t="s">
        <v>35</v>
      </c>
      <c r="O462" t="s">
        <v>26</v>
      </c>
      <c r="P462" t="s">
        <v>27</v>
      </c>
      <c r="Q462" t="s">
        <v>28</v>
      </c>
      <c r="R462" t="s">
        <v>29</v>
      </c>
      <c r="S462" t="s">
        <v>793</v>
      </c>
      <c r="T462">
        <f>_xlfn.XLOOKUP(X462,Hoja2!D:D,Hoja2!A:A)</f>
        <v>52834109</v>
      </c>
      <c r="U462" t="str">
        <f>_xlfn.XLOOKUP(X462,Hoja2!D:D,Hoja2!B:B)</f>
        <v>JAVIER ORLANDO HERNANDEZ RIVERA</v>
      </c>
      <c r="V462" t="str">
        <f>_xlfn.XLOOKUP(X462,Hoja2!D:D,Hoja2!C:C)</f>
        <v>OP GRADO - INGLÉS</v>
      </c>
      <c r="W462" s="9">
        <f>IF(V462="pregrado",31,
IF(V462="posgrados",31,
IF(V462="rEINTEGROS",7,
IF(V462="BIT",90,
IF(V462="OP GRADO - INGLÉS",17,"")))))</f>
        <v>17</v>
      </c>
      <c r="X462" t="s">
        <v>4018</v>
      </c>
    </row>
    <row r="463" spans="1:24" x14ac:dyDescent="0.3">
      <c r="A463" s="4">
        <v>46129</v>
      </c>
      <c r="B463">
        <v>20131479</v>
      </c>
      <c r="C463" t="s">
        <v>19</v>
      </c>
      <c r="D463">
        <v>68685</v>
      </c>
      <c r="E463" t="s">
        <v>267</v>
      </c>
      <c r="F463">
        <v>49792108</v>
      </c>
      <c r="G463" t="s">
        <v>4679</v>
      </c>
      <c r="H463">
        <v>100229583</v>
      </c>
      <c r="I463">
        <v>202605</v>
      </c>
      <c r="J463">
        <v>1065814486</v>
      </c>
      <c r="K463" t="s">
        <v>270</v>
      </c>
      <c r="L463" t="s">
        <v>4680</v>
      </c>
      <c r="M463" t="s">
        <v>271</v>
      </c>
      <c r="N463" t="s">
        <v>35</v>
      </c>
      <c r="O463" t="s">
        <v>26</v>
      </c>
      <c r="P463" t="s">
        <v>27</v>
      </c>
      <c r="Q463" t="s">
        <v>28</v>
      </c>
      <c r="R463" t="s">
        <v>29</v>
      </c>
      <c r="S463" t="s">
        <v>793</v>
      </c>
      <c r="T463">
        <f>_xlfn.XLOOKUP(X463,Hoja2!D:D,Hoja2!A:A)</f>
        <v>1033714104</v>
      </c>
      <c r="U463" t="str">
        <f>_xlfn.XLOOKUP(X463,Hoja2!D:D,Hoja2!B:B)</f>
        <v>JAVIER ORLANDO HERNANDEZ RIVERA</v>
      </c>
      <c r="V463" t="str">
        <f>_xlfn.XLOOKUP(X463,Hoja2!D:D,Hoja2!C:C)</f>
        <v>OP GRADO - INGLÉS</v>
      </c>
      <c r="W463" s="9">
        <f>IF(V463="pregrado",31,
IF(V463="posgrados",31,
IF(V463="rEINTEGROS",7,
IF(V463="BIT",90,
IF(V463="OP GRADO - INGLÉS",17,"")))))</f>
        <v>17</v>
      </c>
      <c r="X463" t="s">
        <v>4029</v>
      </c>
    </row>
    <row r="464" spans="1:24" x14ac:dyDescent="0.3">
      <c r="A464" s="4">
        <v>46128</v>
      </c>
      <c r="B464">
        <v>20131351</v>
      </c>
      <c r="C464" t="s">
        <v>19</v>
      </c>
      <c r="D464">
        <v>68690</v>
      </c>
      <c r="E464" t="s">
        <v>267</v>
      </c>
      <c r="F464">
        <v>1004579253</v>
      </c>
      <c r="G464" t="s">
        <v>4647</v>
      </c>
      <c r="H464">
        <v>100115683</v>
      </c>
      <c r="I464">
        <v>202605</v>
      </c>
      <c r="J464">
        <v>1004579253</v>
      </c>
      <c r="K464" t="s">
        <v>270</v>
      </c>
      <c r="L464" t="s">
        <v>532</v>
      </c>
      <c r="M464" t="s">
        <v>271</v>
      </c>
      <c r="N464" t="s">
        <v>35</v>
      </c>
      <c r="O464" t="s">
        <v>26</v>
      </c>
      <c r="P464" t="s">
        <v>27</v>
      </c>
      <c r="Q464" t="s">
        <v>28</v>
      </c>
      <c r="R464" t="s">
        <v>29</v>
      </c>
      <c r="S464" t="s">
        <v>793</v>
      </c>
      <c r="T464">
        <f>_xlfn.XLOOKUP(X464,Hoja2!D:D,Hoja2!A:A)</f>
        <v>52834109</v>
      </c>
      <c r="U464" t="str">
        <f>_xlfn.XLOOKUP(X464,Hoja2!D:D,Hoja2!B:B)</f>
        <v>JAVIER ORLANDO HERNANDEZ RIVERA</v>
      </c>
      <c r="V464" t="str">
        <f>_xlfn.XLOOKUP(X464,Hoja2!D:D,Hoja2!C:C)</f>
        <v>OP GRADO - INGLÉS</v>
      </c>
      <c r="W464" s="9">
        <f>IF(V464="pregrado",31,
IF(V464="posgrados",31,
IF(V464="rEINTEGROS",7,
IF(V464="BIT",90,
IF(V464="OP GRADO - INGLÉS",17,"")))))</f>
        <v>17</v>
      </c>
      <c r="X464" t="s">
        <v>4018</v>
      </c>
    </row>
    <row r="465" spans="1:24" x14ac:dyDescent="0.3">
      <c r="A465" s="4">
        <v>46129</v>
      </c>
      <c r="B465">
        <v>20131552</v>
      </c>
      <c r="C465" t="s">
        <v>19</v>
      </c>
      <c r="D465">
        <v>68692</v>
      </c>
      <c r="E465" t="s">
        <v>267</v>
      </c>
      <c r="F465">
        <v>1116803714</v>
      </c>
      <c r="G465" t="s">
        <v>4694</v>
      </c>
      <c r="H465">
        <v>100224844</v>
      </c>
      <c r="I465">
        <v>202605</v>
      </c>
      <c r="J465">
        <v>1116803714</v>
      </c>
      <c r="K465" t="s">
        <v>270</v>
      </c>
      <c r="L465" t="s">
        <v>3376</v>
      </c>
      <c r="M465" t="s">
        <v>271</v>
      </c>
      <c r="N465" t="s">
        <v>4354</v>
      </c>
      <c r="O465" t="s">
        <v>26</v>
      </c>
      <c r="P465" t="s">
        <v>4226</v>
      </c>
      <c r="Q465" t="s">
        <v>28</v>
      </c>
      <c r="R465" t="s">
        <v>29</v>
      </c>
      <c r="S465" t="s">
        <v>793</v>
      </c>
      <c r="T465">
        <f>_xlfn.XLOOKUP(X465,Hoja2!D:D,Hoja2!A:A)</f>
        <v>60345453</v>
      </c>
      <c r="U465" t="str">
        <f>_xlfn.XLOOKUP(X465,Hoja2!D:D,Hoja2!B:B)</f>
        <v>JAVIER ORLANDO HERNANDEZ RIVERA</v>
      </c>
      <c r="V465" t="str">
        <f>_xlfn.XLOOKUP(X465,Hoja2!D:D,Hoja2!C:C)</f>
        <v>OP GRADO - INGLÉS</v>
      </c>
      <c r="W465" s="9">
        <f>IF(V465="pregrado",31,
IF(V465="posgrados",31,
IF(V465="rEINTEGROS",7,
IF(V465="BIT",90,
IF(V465="OP GRADO - INGLÉS",17,"")))))</f>
        <v>17</v>
      </c>
      <c r="X465" t="s">
        <v>4063</v>
      </c>
    </row>
    <row r="466" spans="1:24" x14ac:dyDescent="0.3">
      <c r="A466" s="4">
        <v>46130</v>
      </c>
      <c r="B466">
        <v>20131578</v>
      </c>
      <c r="C466" t="s">
        <v>19</v>
      </c>
      <c r="D466">
        <v>68703</v>
      </c>
      <c r="E466" t="s">
        <v>267</v>
      </c>
      <c r="F466">
        <v>1022934473</v>
      </c>
      <c r="G466" t="s">
        <v>4701</v>
      </c>
      <c r="H466">
        <v>100151116</v>
      </c>
      <c r="I466">
        <v>202605</v>
      </c>
      <c r="J466">
        <v>1022934473</v>
      </c>
      <c r="K466" t="s">
        <v>270</v>
      </c>
      <c r="L466" t="s">
        <v>409</v>
      </c>
      <c r="M466" t="s">
        <v>271</v>
      </c>
      <c r="N466" t="s">
        <v>35</v>
      </c>
      <c r="O466" t="s">
        <v>26</v>
      </c>
      <c r="P466" t="s">
        <v>27</v>
      </c>
      <c r="Q466" t="s">
        <v>28</v>
      </c>
      <c r="R466" t="s">
        <v>29</v>
      </c>
      <c r="S466" t="s">
        <v>793</v>
      </c>
      <c r="T466">
        <f>_xlfn.XLOOKUP(X466,Hoja2!D:D,Hoja2!A:A)</f>
        <v>52834109</v>
      </c>
      <c r="U466" t="str">
        <f>_xlfn.XLOOKUP(X466,Hoja2!D:D,Hoja2!B:B)</f>
        <v>JAVIER ORLANDO HERNANDEZ RIVERA</v>
      </c>
      <c r="V466" t="str">
        <f>_xlfn.XLOOKUP(X466,Hoja2!D:D,Hoja2!C:C)</f>
        <v>OP GRADO - INGLÉS</v>
      </c>
      <c r="W466" s="9">
        <f>IF(V466="pregrado",31,
IF(V466="posgrados",31,
IF(V466="rEINTEGROS",7,
IF(V466="BIT",90,
IF(V466="OP GRADO - INGLÉS",17,"")))))</f>
        <v>17</v>
      </c>
      <c r="X466" t="s">
        <v>4018</v>
      </c>
    </row>
    <row r="467" spans="1:24" x14ac:dyDescent="0.3">
      <c r="A467" s="4">
        <v>46128</v>
      </c>
      <c r="B467">
        <v>20131360</v>
      </c>
      <c r="C467" t="s">
        <v>19</v>
      </c>
      <c r="D467">
        <v>68707</v>
      </c>
      <c r="E467" t="s">
        <v>267</v>
      </c>
      <c r="F467">
        <v>1042850670</v>
      </c>
      <c r="G467" t="s">
        <v>4650</v>
      </c>
      <c r="H467">
        <v>100251029</v>
      </c>
      <c r="I467">
        <v>202605</v>
      </c>
      <c r="J467">
        <v>1042850670</v>
      </c>
      <c r="K467" t="s">
        <v>23</v>
      </c>
      <c r="L467" t="s">
        <v>1066</v>
      </c>
      <c r="M467" t="s">
        <v>271</v>
      </c>
      <c r="N467" t="s">
        <v>35</v>
      </c>
      <c r="O467" t="s">
        <v>26</v>
      </c>
      <c r="P467" t="s">
        <v>27</v>
      </c>
      <c r="Q467" t="s">
        <v>28</v>
      </c>
      <c r="R467" t="s">
        <v>29</v>
      </c>
      <c r="S467" t="s">
        <v>793</v>
      </c>
      <c r="T467">
        <f>_xlfn.XLOOKUP(X467,Hoja2!D:D,Hoja2!A:A)</f>
        <v>52221286</v>
      </c>
      <c r="U467" t="str">
        <f>_xlfn.XLOOKUP(X467,Hoja2!D:D,Hoja2!B:B)</f>
        <v>JOHAN SEBASTIAN PARDEYN AGUILAR</v>
      </c>
      <c r="V467" t="str">
        <f>_xlfn.XLOOKUP(X467,Hoja2!D:D,Hoja2!C:C)</f>
        <v>BIT</v>
      </c>
      <c r="W467" s="9">
        <f>IF(V467="pregrado",31,
IF(V467="posgrados",31,
IF(V467="rEINTEGROS",7,
IF(V467="BIT",90,
IF(V467="OP GRADO - INGLÉS",17,"")))))</f>
        <v>90</v>
      </c>
      <c r="X467" t="s">
        <v>4076</v>
      </c>
    </row>
    <row r="468" spans="1:24" x14ac:dyDescent="0.3">
      <c r="A468" s="4">
        <v>46128</v>
      </c>
      <c r="B468">
        <v>20131281</v>
      </c>
      <c r="C468" t="s">
        <v>19</v>
      </c>
      <c r="D468">
        <v>68709</v>
      </c>
      <c r="E468" t="s">
        <v>267</v>
      </c>
      <c r="F468">
        <v>1001116467</v>
      </c>
      <c r="G468" t="s">
        <v>4640</v>
      </c>
      <c r="H468">
        <v>100172767</v>
      </c>
      <c r="I468">
        <v>202605</v>
      </c>
      <c r="J468">
        <v>1001116467</v>
      </c>
      <c r="K468" t="s">
        <v>270</v>
      </c>
      <c r="L468" t="s">
        <v>532</v>
      </c>
      <c r="M468" t="s">
        <v>271</v>
      </c>
      <c r="N468" t="s">
        <v>35</v>
      </c>
      <c r="O468" t="s">
        <v>26</v>
      </c>
      <c r="P468" t="s">
        <v>27</v>
      </c>
      <c r="Q468" t="s">
        <v>28</v>
      </c>
      <c r="R468" t="s">
        <v>29</v>
      </c>
      <c r="S468" t="s">
        <v>793</v>
      </c>
      <c r="T468">
        <f>_xlfn.XLOOKUP(X468,Hoja2!D:D,Hoja2!A:A)</f>
        <v>52834109</v>
      </c>
      <c r="U468" t="str">
        <f>_xlfn.XLOOKUP(X468,Hoja2!D:D,Hoja2!B:B)</f>
        <v>JAVIER ORLANDO HERNANDEZ RIVERA</v>
      </c>
      <c r="V468" t="str">
        <f>_xlfn.XLOOKUP(X468,Hoja2!D:D,Hoja2!C:C)</f>
        <v>OP GRADO - INGLÉS</v>
      </c>
      <c r="W468" s="9">
        <f>IF(V468="pregrado",31,
IF(V468="posgrados",31,
IF(V468="rEINTEGROS",7,
IF(V468="BIT",90,
IF(V468="OP GRADO - INGLÉS",17,"")))))</f>
        <v>17</v>
      </c>
      <c r="X468" t="s">
        <v>4018</v>
      </c>
    </row>
    <row r="469" spans="1:24" x14ac:dyDescent="0.3">
      <c r="A469" s="4">
        <v>46128</v>
      </c>
      <c r="B469">
        <v>20131404</v>
      </c>
      <c r="C469" t="s">
        <v>19</v>
      </c>
      <c r="D469">
        <v>68712</v>
      </c>
      <c r="E469" t="s">
        <v>267</v>
      </c>
      <c r="F469">
        <v>1006068746</v>
      </c>
      <c r="G469" t="s">
        <v>4669</v>
      </c>
      <c r="H469">
        <v>100189551</v>
      </c>
      <c r="I469">
        <v>202605</v>
      </c>
      <c r="J469">
        <v>1006068746</v>
      </c>
      <c r="K469" t="s">
        <v>270</v>
      </c>
      <c r="L469" t="s">
        <v>409</v>
      </c>
      <c r="M469" t="s">
        <v>271</v>
      </c>
      <c r="N469" t="s">
        <v>35</v>
      </c>
      <c r="O469" t="s">
        <v>26</v>
      </c>
      <c r="P469" t="s">
        <v>27</v>
      </c>
      <c r="Q469" t="s">
        <v>28</v>
      </c>
      <c r="R469" t="s">
        <v>29</v>
      </c>
      <c r="S469" t="s">
        <v>793</v>
      </c>
      <c r="T469">
        <f>_xlfn.XLOOKUP(X469,Hoja2!D:D,Hoja2!A:A)</f>
        <v>52168054</v>
      </c>
      <c r="U469" t="str">
        <f>_xlfn.XLOOKUP(X469,Hoja2!D:D,Hoja2!B:B)</f>
        <v>JEISSON FABIAN MOLINA CIRO</v>
      </c>
      <c r="V469" t="str">
        <f>_xlfn.XLOOKUP(X469,Hoja2!D:D,Hoja2!C:C)</f>
        <v>REINTEGROS</v>
      </c>
      <c r="W469" s="9">
        <f>IF(V469="pregrado",31,
IF(V469="posgrados",31,
IF(V469="rEINTEGROS",7,
IF(V469="BIT",90,
IF(V469="OP GRADO - INGLÉS",17,"")))))</f>
        <v>7</v>
      </c>
      <c r="X469" t="s">
        <v>4057</v>
      </c>
    </row>
    <row r="470" spans="1:24" x14ac:dyDescent="0.3">
      <c r="A470" s="4">
        <v>46129</v>
      </c>
      <c r="B470">
        <v>20131510</v>
      </c>
      <c r="C470" t="s">
        <v>19</v>
      </c>
      <c r="D470">
        <v>68721</v>
      </c>
      <c r="E470" t="s">
        <v>267</v>
      </c>
      <c r="F470">
        <v>1085176518</v>
      </c>
      <c r="G470" t="s">
        <v>4687</v>
      </c>
      <c r="H470">
        <v>100251087</v>
      </c>
      <c r="I470">
        <v>202605</v>
      </c>
      <c r="J470">
        <v>1085176518</v>
      </c>
      <c r="K470" t="s">
        <v>23</v>
      </c>
      <c r="L470" t="s">
        <v>1414</v>
      </c>
      <c r="M470" t="s">
        <v>271</v>
      </c>
      <c r="N470" t="s">
        <v>35</v>
      </c>
      <c r="O470" t="s">
        <v>26</v>
      </c>
      <c r="P470" t="s">
        <v>27</v>
      </c>
      <c r="Q470" t="s">
        <v>28</v>
      </c>
      <c r="R470" t="s">
        <v>29</v>
      </c>
      <c r="S470" t="s">
        <v>793</v>
      </c>
      <c r="T470">
        <f>_xlfn.XLOOKUP(X470,Hoja2!D:D,Hoja2!A:A)</f>
        <v>1193566421</v>
      </c>
      <c r="U470" t="str">
        <f>_xlfn.XLOOKUP(X470,Hoja2!D:D,Hoja2!B:B)</f>
        <v>JOHAN SEBASTIAN PARDEYN AGUILAR</v>
      </c>
      <c r="V470" t="str">
        <f>_xlfn.XLOOKUP(X470,Hoja2!D:D,Hoja2!C:C)</f>
        <v>BIT</v>
      </c>
      <c r="W470" s="9">
        <f>IF(V470="pregrado",31,
IF(V470="posgrados",31,
IF(V470="rEINTEGROS",7,
IF(V470="BIT",90,
IF(V470="OP GRADO - INGLÉS",17,"")))))</f>
        <v>90</v>
      </c>
      <c r="X470" t="s">
        <v>4075</v>
      </c>
    </row>
    <row r="471" spans="1:24" x14ac:dyDescent="0.3">
      <c r="A471" s="4">
        <v>46128</v>
      </c>
      <c r="B471">
        <v>20131390</v>
      </c>
      <c r="C471" t="s">
        <v>19</v>
      </c>
      <c r="D471">
        <v>68727</v>
      </c>
      <c r="E471" t="s">
        <v>267</v>
      </c>
      <c r="F471">
        <v>1041270381</v>
      </c>
      <c r="G471" t="s">
        <v>4660</v>
      </c>
      <c r="H471">
        <v>100142575</v>
      </c>
      <c r="I471">
        <v>202605</v>
      </c>
      <c r="J471">
        <v>1041270381</v>
      </c>
      <c r="K471" t="s">
        <v>270</v>
      </c>
      <c r="L471" t="s">
        <v>316</v>
      </c>
      <c r="M471" t="s">
        <v>271</v>
      </c>
      <c r="N471" t="s">
        <v>35</v>
      </c>
      <c r="O471" t="s">
        <v>26</v>
      </c>
      <c r="P471" t="s">
        <v>27</v>
      </c>
      <c r="Q471" t="s">
        <v>28</v>
      </c>
      <c r="R471" t="s">
        <v>29</v>
      </c>
      <c r="S471" t="s">
        <v>793</v>
      </c>
      <c r="T471">
        <f>_xlfn.XLOOKUP(X471,Hoja2!D:D,Hoja2!A:A)</f>
        <v>52168054</v>
      </c>
      <c r="U471" t="str">
        <f>_xlfn.XLOOKUP(X471,Hoja2!D:D,Hoja2!B:B)</f>
        <v>JEISSON FABIAN MOLINA CIRO</v>
      </c>
      <c r="V471" t="str">
        <f>_xlfn.XLOOKUP(X471,Hoja2!D:D,Hoja2!C:C)</f>
        <v>REINTEGROS</v>
      </c>
      <c r="W471" s="9">
        <f>IF(V471="pregrado",31,
IF(V471="posgrados",31,
IF(V471="rEINTEGROS",7,
IF(V471="BIT",90,
IF(V471="OP GRADO - INGLÉS",17,"")))))</f>
        <v>7</v>
      </c>
      <c r="X471" t="s">
        <v>4057</v>
      </c>
    </row>
    <row r="472" spans="1:24" x14ac:dyDescent="0.3">
      <c r="A472" s="4">
        <v>46128</v>
      </c>
      <c r="B472">
        <v>20131349</v>
      </c>
      <c r="C472" t="s">
        <v>19</v>
      </c>
      <c r="D472">
        <v>68733</v>
      </c>
      <c r="E472" t="s">
        <v>267</v>
      </c>
      <c r="F472">
        <v>1073164720</v>
      </c>
      <c r="G472" t="s">
        <v>4646</v>
      </c>
      <c r="H472">
        <v>100195672</v>
      </c>
      <c r="I472">
        <v>202605</v>
      </c>
      <c r="J472">
        <v>1073164720</v>
      </c>
      <c r="K472" t="s">
        <v>270</v>
      </c>
      <c r="L472" t="s">
        <v>4126</v>
      </c>
      <c r="M472" t="s">
        <v>271</v>
      </c>
      <c r="N472" t="s">
        <v>35</v>
      </c>
      <c r="O472" t="s">
        <v>26</v>
      </c>
      <c r="P472" t="s">
        <v>27</v>
      </c>
      <c r="Q472" t="s">
        <v>28</v>
      </c>
      <c r="R472" t="s">
        <v>29</v>
      </c>
      <c r="S472" t="s">
        <v>793</v>
      </c>
      <c r="T472">
        <f>_xlfn.XLOOKUP(X472,Hoja2!D:D,Hoja2!A:A)</f>
        <v>1033714104</v>
      </c>
      <c r="U472" t="str">
        <f>_xlfn.XLOOKUP(X472,Hoja2!D:D,Hoja2!B:B)</f>
        <v>JAVIER ORLANDO HERNANDEZ RIVERA</v>
      </c>
      <c r="V472" t="str">
        <f>_xlfn.XLOOKUP(X472,Hoja2!D:D,Hoja2!C:C)</f>
        <v>OP GRADO - INGLÉS</v>
      </c>
      <c r="W472" s="9">
        <f>IF(V472="pregrado",31,
IF(V472="posgrados",31,
IF(V472="rEINTEGROS",7,
IF(V472="BIT",90,
IF(V472="OP GRADO - INGLÉS",17,"")))))</f>
        <v>17</v>
      </c>
      <c r="X472" t="s">
        <v>4029</v>
      </c>
    </row>
    <row r="473" spans="1:24" x14ac:dyDescent="0.3">
      <c r="A473" s="4">
        <v>46134</v>
      </c>
      <c r="B473">
        <v>20131911</v>
      </c>
      <c r="C473" t="s">
        <v>19</v>
      </c>
      <c r="D473">
        <v>68736</v>
      </c>
      <c r="E473" t="s">
        <v>267</v>
      </c>
      <c r="F473">
        <v>1062811405</v>
      </c>
      <c r="G473" t="s">
        <v>4774</v>
      </c>
      <c r="H473">
        <v>100226831</v>
      </c>
      <c r="I473">
        <v>202605</v>
      </c>
      <c r="J473">
        <v>1062811405</v>
      </c>
      <c r="K473" t="s">
        <v>270</v>
      </c>
      <c r="L473" t="s">
        <v>336</v>
      </c>
      <c r="M473" t="s">
        <v>271</v>
      </c>
      <c r="N473" t="s">
        <v>35</v>
      </c>
      <c r="O473" t="s">
        <v>26</v>
      </c>
      <c r="P473" t="s">
        <v>27</v>
      </c>
      <c r="Q473" t="s">
        <v>28</v>
      </c>
      <c r="R473" t="s">
        <v>29</v>
      </c>
      <c r="S473" t="s">
        <v>793</v>
      </c>
      <c r="T473">
        <f>_xlfn.XLOOKUP(X473,Hoja2!D:D,Hoja2!A:A)</f>
        <v>1033714104</v>
      </c>
      <c r="U473" t="str">
        <f>_xlfn.XLOOKUP(X473,Hoja2!D:D,Hoja2!B:B)</f>
        <v>JAVIER ORLANDO HERNANDEZ RIVERA</v>
      </c>
      <c r="V473" t="str">
        <f>_xlfn.XLOOKUP(X473,Hoja2!D:D,Hoja2!C:C)</f>
        <v>OP GRADO - INGLÉS</v>
      </c>
      <c r="W473" s="9">
        <f>IF(V473="pregrado",31,
IF(V473="posgrados",31,
IF(V473="rEINTEGROS",7,
IF(V473="BIT",90,
IF(V473="OP GRADO - INGLÉS",17,"")))))</f>
        <v>17</v>
      </c>
      <c r="X473" t="s">
        <v>4029</v>
      </c>
    </row>
    <row r="474" spans="1:24" x14ac:dyDescent="0.3">
      <c r="A474" s="4">
        <v>46129</v>
      </c>
      <c r="B474">
        <v>20131563</v>
      </c>
      <c r="C474" t="s">
        <v>19</v>
      </c>
      <c r="D474">
        <v>68744</v>
      </c>
      <c r="E474" t="s">
        <v>267</v>
      </c>
      <c r="F474">
        <v>1059474144</v>
      </c>
      <c r="G474" t="s">
        <v>4697</v>
      </c>
      <c r="H474">
        <v>100228217</v>
      </c>
      <c r="I474">
        <v>202605</v>
      </c>
      <c r="J474">
        <v>1059474144</v>
      </c>
      <c r="K474" t="s">
        <v>270</v>
      </c>
      <c r="L474" t="s">
        <v>1061</v>
      </c>
      <c r="M474" t="s">
        <v>271</v>
      </c>
      <c r="N474" t="s">
        <v>35</v>
      </c>
      <c r="O474" t="s">
        <v>26</v>
      </c>
      <c r="P474" t="s">
        <v>27</v>
      </c>
      <c r="Q474" t="s">
        <v>28</v>
      </c>
      <c r="R474" t="s">
        <v>29</v>
      </c>
      <c r="S474" t="s">
        <v>793</v>
      </c>
      <c r="T474">
        <f>_xlfn.XLOOKUP(X474,Hoja2!D:D,Hoja2!A:A)</f>
        <v>52168054</v>
      </c>
      <c r="U474" t="str">
        <f>_xlfn.XLOOKUP(X474,Hoja2!D:D,Hoja2!B:B)</f>
        <v>JEISSON FABIAN MOLINA CIRO</v>
      </c>
      <c r="V474" t="str">
        <f>_xlfn.XLOOKUP(X474,Hoja2!D:D,Hoja2!C:C)</f>
        <v>REINTEGROS</v>
      </c>
      <c r="W474" s="9">
        <f>IF(V474="pregrado",31,
IF(V474="posgrados",31,
IF(V474="rEINTEGROS",7,
IF(V474="BIT",90,
IF(V474="OP GRADO - INGLÉS",17,"")))))</f>
        <v>7</v>
      </c>
      <c r="X474" t="s">
        <v>4057</v>
      </c>
    </row>
    <row r="475" spans="1:24" x14ac:dyDescent="0.3">
      <c r="A475" s="4">
        <v>46131</v>
      </c>
      <c r="B475">
        <v>20131623</v>
      </c>
      <c r="C475" t="s">
        <v>19</v>
      </c>
      <c r="D475">
        <v>68757</v>
      </c>
      <c r="E475" t="s">
        <v>267</v>
      </c>
      <c r="F475">
        <v>1024529062</v>
      </c>
      <c r="G475" t="s">
        <v>4712</v>
      </c>
      <c r="H475">
        <v>100192712</v>
      </c>
      <c r="I475">
        <v>202605</v>
      </c>
      <c r="J475">
        <v>1022390743</v>
      </c>
      <c r="K475" t="s">
        <v>270</v>
      </c>
      <c r="L475" t="s">
        <v>1061</v>
      </c>
      <c r="M475" t="s">
        <v>271</v>
      </c>
      <c r="N475" t="s">
        <v>35</v>
      </c>
      <c r="O475" t="s">
        <v>26</v>
      </c>
      <c r="P475" t="s">
        <v>27</v>
      </c>
      <c r="Q475" t="s">
        <v>28</v>
      </c>
      <c r="R475" t="s">
        <v>29</v>
      </c>
      <c r="S475" t="s">
        <v>793</v>
      </c>
      <c r="T475">
        <f>_xlfn.XLOOKUP(X475,Hoja2!D:D,Hoja2!A:A)</f>
        <v>52429528</v>
      </c>
      <c r="U475" t="str">
        <f>_xlfn.XLOOKUP(X475,Hoja2!D:D,Hoja2!B:B)</f>
        <v>JENIFFER VARGAS</v>
      </c>
      <c r="V475" t="s">
        <v>3934</v>
      </c>
      <c r="W475" s="9">
        <f>IF(V475="pregrado",31,
IF(V475="posgrados",31,
IF(V475="rEINTEGROS",7,
IF(V475="BIT",90,
IF(V475="OP GRADO - INGLÉS",17,"")))))</f>
        <v>31</v>
      </c>
      <c r="X475" t="s">
        <v>4933</v>
      </c>
    </row>
    <row r="476" spans="1:24" x14ac:dyDescent="0.3">
      <c r="A476" s="4">
        <v>46132</v>
      </c>
      <c r="B476">
        <v>20131683</v>
      </c>
      <c r="C476" t="s">
        <v>19</v>
      </c>
      <c r="D476">
        <v>68771</v>
      </c>
      <c r="E476" t="s">
        <v>267</v>
      </c>
      <c r="F476">
        <v>32705472</v>
      </c>
      <c r="G476" t="s">
        <v>4724</v>
      </c>
      <c r="H476">
        <v>100089269</v>
      </c>
      <c r="I476">
        <v>202605</v>
      </c>
      <c r="J476">
        <v>1143259372</v>
      </c>
      <c r="K476" t="s">
        <v>270</v>
      </c>
      <c r="L476" t="s">
        <v>1061</v>
      </c>
      <c r="M476" t="s">
        <v>271</v>
      </c>
      <c r="N476" t="s">
        <v>4354</v>
      </c>
      <c r="O476" t="s">
        <v>26</v>
      </c>
      <c r="P476" t="s">
        <v>4226</v>
      </c>
      <c r="Q476" t="s">
        <v>28</v>
      </c>
      <c r="R476" t="s">
        <v>29</v>
      </c>
      <c r="S476" t="s">
        <v>793</v>
      </c>
      <c r="T476">
        <f>_xlfn.XLOOKUP(X476,Hoja2!D:D,Hoja2!A:A)</f>
        <v>1010081108</v>
      </c>
      <c r="U476" t="str">
        <f>_xlfn.XLOOKUP(X476,Hoja2!D:D,Hoja2!B:B)</f>
        <v>HEIDY LORENA PRIETO AHUMADA</v>
      </c>
      <c r="V476" t="str">
        <f>_xlfn.XLOOKUP(X476,Hoja2!D:D,Hoja2!C:C)</f>
        <v>PREGRADO</v>
      </c>
      <c r="W476" s="9">
        <f>IF(V476="pregrado",31,
IF(V476="posgrados",31,
IF(V476="rEINTEGROS",7,
IF(V476="BIT",90,
IF(V476="OP GRADO - INGLÉS",17,"")))))</f>
        <v>31</v>
      </c>
      <c r="X476" t="s">
        <v>4009</v>
      </c>
    </row>
    <row r="477" spans="1:24" x14ac:dyDescent="0.3">
      <c r="A477" s="4">
        <v>46140</v>
      </c>
      <c r="B477">
        <v>20132356</v>
      </c>
      <c r="C477" t="s">
        <v>19</v>
      </c>
      <c r="D477">
        <v>68775</v>
      </c>
      <c r="E477" t="s">
        <v>267</v>
      </c>
      <c r="F477">
        <v>1000731334</v>
      </c>
      <c r="G477" t="s">
        <v>4869</v>
      </c>
      <c r="H477">
        <v>100166890</v>
      </c>
      <c r="I477">
        <v>202605</v>
      </c>
      <c r="J477">
        <v>1000731334</v>
      </c>
      <c r="K477" t="s">
        <v>270</v>
      </c>
      <c r="L477" t="s">
        <v>1061</v>
      </c>
      <c r="M477" t="s">
        <v>271</v>
      </c>
      <c r="N477" t="s">
        <v>35</v>
      </c>
      <c r="O477" t="s">
        <v>26</v>
      </c>
      <c r="P477" t="s">
        <v>27</v>
      </c>
      <c r="Q477" t="s">
        <v>28</v>
      </c>
      <c r="R477" t="s">
        <v>29</v>
      </c>
      <c r="S477" t="s">
        <v>793</v>
      </c>
      <c r="T477">
        <f>_xlfn.XLOOKUP(X477,Hoja2!D:D,Hoja2!A:A)</f>
        <v>60345453</v>
      </c>
      <c r="U477" t="str">
        <f>_xlfn.XLOOKUP(X477,Hoja2!D:D,Hoja2!B:B)</f>
        <v>JAVIER ORLANDO HERNANDEZ RIVERA</v>
      </c>
      <c r="V477" t="str">
        <f>_xlfn.XLOOKUP(X477,Hoja2!D:D,Hoja2!C:C)</f>
        <v>OP GRADO - INGLÉS</v>
      </c>
      <c r="W477" s="9">
        <f>IF(V477="pregrado",31,
IF(V477="posgrados",31,
IF(V477="rEINTEGROS",7,
IF(V477="BIT",90,
IF(V477="OP GRADO - INGLÉS",17,"")))))</f>
        <v>17</v>
      </c>
      <c r="X477" t="s">
        <v>4063</v>
      </c>
    </row>
    <row r="478" spans="1:24" x14ac:dyDescent="0.3">
      <c r="A478" s="4">
        <v>46134</v>
      </c>
      <c r="B478">
        <v>20131909</v>
      </c>
      <c r="C478" t="s">
        <v>19</v>
      </c>
      <c r="D478">
        <v>68794</v>
      </c>
      <c r="E478" t="s">
        <v>267</v>
      </c>
      <c r="F478">
        <v>1034310347</v>
      </c>
      <c r="G478" t="s">
        <v>4773</v>
      </c>
      <c r="H478">
        <v>100154798</v>
      </c>
      <c r="I478">
        <v>202605</v>
      </c>
      <c r="J478">
        <v>1034310347</v>
      </c>
      <c r="K478" t="s">
        <v>270</v>
      </c>
      <c r="L478" t="s">
        <v>1281</v>
      </c>
      <c r="M478" t="s">
        <v>271</v>
      </c>
      <c r="N478" t="s">
        <v>35</v>
      </c>
      <c r="O478" t="s">
        <v>26</v>
      </c>
      <c r="P478" t="s">
        <v>27</v>
      </c>
      <c r="Q478" t="s">
        <v>28</v>
      </c>
      <c r="R478" t="s">
        <v>29</v>
      </c>
      <c r="S478" t="s">
        <v>793</v>
      </c>
      <c r="T478">
        <f>_xlfn.XLOOKUP(X478,Hoja2!D:D,Hoja2!A:A)</f>
        <v>52759865</v>
      </c>
      <c r="U478" t="str">
        <f>_xlfn.XLOOKUP(X478,Hoja2!D:D,Hoja2!B:B)</f>
        <v>Heidy Lorena Prieto Ahumada</v>
      </c>
      <c r="V478" t="str">
        <f>_xlfn.XLOOKUP(X478,Hoja2!D:D,Hoja2!C:C)</f>
        <v>PREGRADO</v>
      </c>
      <c r="W478" s="9">
        <f>IF(V478="pregrado",31,
IF(V478="posgrados",31,
IF(V478="rEINTEGROS",7,
IF(V478="BIT",90,
IF(V478="OP GRADO - INGLÉS",17,"")))))</f>
        <v>31</v>
      </c>
      <c r="X478" t="s">
        <v>4923</v>
      </c>
    </row>
    <row r="479" spans="1:24" x14ac:dyDescent="0.3">
      <c r="A479" s="4">
        <v>46135</v>
      </c>
      <c r="B479">
        <v>20132057</v>
      </c>
      <c r="C479" t="s">
        <v>19</v>
      </c>
      <c r="D479">
        <v>68803</v>
      </c>
      <c r="E479" t="s">
        <v>267</v>
      </c>
      <c r="F479">
        <v>1085303241</v>
      </c>
      <c r="G479" t="s">
        <v>4811</v>
      </c>
      <c r="H479">
        <v>100153264</v>
      </c>
      <c r="I479">
        <v>202605</v>
      </c>
      <c r="J479">
        <v>1085303241</v>
      </c>
      <c r="K479" t="s">
        <v>270</v>
      </c>
      <c r="L479" t="s">
        <v>1061</v>
      </c>
      <c r="M479" t="s">
        <v>271</v>
      </c>
      <c r="N479" t="s">
        <v>35</v>
      </c>
      <c r="O479" t="s">
        <v>26</v>
      </c>
      <c r="P479" t="s">
        <v>27</v>
      </c>
      <c r="Q479" t="s">
        <v>28</v>
      </c>
      <c r="R479" t="s">
        <v>29</v>
      </c>
      <c r="S479" t="s">
        <v>793</v>
      </c>
      <c r="T479">
        <f>_xlfn.XLOOKUP(X479,Hoja2!D:D,Hoja2!A:A)</f>
        <v>52759865</v>
      </c>
      <c r="U479" t="str">
        <f>_xlfn.XLOOKUP(X479,Hoja2!D:D,Hoja2!B:B)</f>
        <v>Heidy Lorena Prieto Ahumada</v>
      </c>
      <c r="V479" t="str">
        <f>_xlfn.XLOOKUP(X479,Hoja2!D:D,Hoja2!C:C)</f>
        <v>PREGRADO</v>
      </c>
      <c r="W479" s="9">
        <f>IF(V479="pregrado",31,
IF(V479="posgrados",31,
IF(V479="rEINTEGROS",7,
IF(V479="BIT",90,
IF(V479="OP GRADO - INGLÉS",17,"")))))</f>
        <v>31</v>
      </c>
      <c r="X479" t="s">
        <v>4923</v>
      </c>
    </row>
    <row r="480" spans="1:24" x14ac:dyDescent="0.3">
      <c r="A480" s="4">
        <v>46141</v>
      </c>
      <c r="B480">
        <v>20132457</v>
      </c>
      <c r="C480" t="s">
        <v>19</v>
      </c>
      <c r="D480">
        <v>68821</v>
      </c>
      <c r="E480" t="s">
        <v>267</v>
      </c>
      <c r="F480">
        <v>1075241915</v>
      </c>
      <c r="G480" t="s">
        <v>4886</v>
      </c>
      <c r="H480">
        <v>100157933</v>
      </c>
      <c r="I480">
        <v>202605</v>
      </c>
      <c r="J480">
        <v>1075241915</v>
      </c>
      <c r="K480" t="s">
        <v>270</v>
      </c>
      <c r="L480" t="s">
        <v>409</v>
      </c>
      <c r="M480" t="s">
        <v>271</v>
      </c>
      <c r="N480" t="s">
        <v>35</v>
      </c>
      <c r="O480" t="s">
        <v>26</v>
      </c>
      <c r="P480" t="s">
        <v>27</v>
      </c>
      <c r="Q480" t="s">
        <v>28</v>
      </c>
      <c r="R480" t="s">
        <v>29</v>
      </c>
      <c r="S480" t="s">
        <v>793</v>
      </c>
      <c r="T480">
        <f>_xlfn.XLOOKUP(X480,Hoja2!D:D,Hoja2!A:A)</f>
        <v>1030561016</v>
      </c>
      <c r="U480" t="str">
        <f>_xlfn.XLOOKUP(X480,Hoja2!D:D,Hoja2!B:B)</f>
        <v>JENIFFER VARGAS</v>
      </c>
      <c r="V480" t="str">
        <f>_xlfn.XLOOKUP(X480,Hoja2!D:D,Hoja2!C:C)</f>
        <v>PREGRADO</v>
      </c>
      <c r="W480" s="9">
        <f>IF(V480="pregrado",31,
IF(V480="posgrados",31,
IF(V480="rEINTEGROS",7,
IF(V480="BIT",90,
IF(V480="OP GRADO - INGLÉS",17,"")))))</f>
        <v>31</v>
      </c>
      <c r="X480" t="s">
        <v>4931</v>
      </c>
    </row>
    <row r="481" spans="1:24" x14ac:dyDescent="0.3">
      <c r="A481" s="4">
        <v>46134</v>
      </c>
      <c r="B481">
        <v>20131925</v>
      </c>
      <c r="C481" t="s">
        <v>19</v>
      </c>
      <c r="D481">
        <v>68824</v>
      </c>
      <c r="E481" t="s">
        <v>267</v>
      </c>
      <c r="F481">
        <v>1098746469</v>
      </c>
      <c r="G481" t="s">
        <v>4779</v>
      </c>
      <c r="H481">
        <v>100251532</v>
      </c>
      <c r="I481">
        <v>202605</v>
      </c>
      <c r="J481">
        <v>1098746469</v>
      </c>
      <c r="K481" t="s">
        <v>23</v>
      </c>
      <c r="L481" t="s">
        <v>1066</v>
      </c>
      <c r="M481" t="s">
        <v>271</v>
      </c>
      <c r="N481" t="s">
        <v>35</v>
      </c>
      <c r="O481" t="s">
        <v>26</v>
      </c>
      <c r="P481" t="s">
        <v>27</v>
      </c>
      <c r="Q481" t="s">
        <v>28</v>
      </c>
      <c r="R481" t="s">
        <v>29</v>
      </c>
      <c r="S481" t="s">
        <v>793</v>
      </c>
      <c r="T481">
        <f>_xlfn.XLOOKUP(X481,Hoja2!D:D,Hoja2!A:A)</f>
        <v>1019052150</v>
      </c>
      <c r="U481" t="str">
        <f>_xlfn.XLOOKUP(X481,Hoja2!D:D,Hoja2!B:B)</f>
        <v>JOHAN SEBASTIAN PARDEYN AGUILAR</v>
      </c>
      <c r="V481" t="str">
        <f>_xlfn.XLOOKUP(X481,Hoja2!D:D,Hoja2!C:C)</f>
        <v>BIT</v>
      </c>
      <c r="W481" s="9">
        <f>IF(V481="pregrado",31,
IF(V481="posgrados",31,
IF(V481="rEINTEGROS",7,
IF(V481="BIT",90,
IF(V481="OP GRADO - INGLÉS",17,"")))))</f>
        <v>90</v>
      </c>
      <c r="X481" t="s">
        <v>4074</v>
      </c>
    </row>
    <row r="482" spans="1:24" x14ac:dyDescent="0.3">
      <c r="A482" s="4">
        <v>46134</v>
      </c>
      <c r="B482">
        <v>20131963</v>
      </c>
      <c r="C482" t="s">
        <v>19</v>
      </c>
      <c r="D482">
        <v>68825</v>
      </c>
      <c r="E482" t="s">
        <v>267</v>
      </c>
      <c r="F482">
        <v>1117826384</v>
      </c>
      <c r="G482" t="s">
        <v>4788</v>
      </c>
      <c r="H482">
        <v>100122622</v>
      </c>
      <c r="I482">
        <v>202605</v>
      </c>
      <c r="J482">
        <v>1117826384</v>
      </c>
      <c r="K482" t="s">
        <v>270</v>
      </c>
      <c r="L482" t="s">
        <v>1281</v>
      </c>
      <c r="M482" t="s">
        <v>271</v>
      </c>
      <c r="N482" t="s">
        <v>35</v>
      </c>
      <c r="O482" t="s">
        <v>26</v>
      </c>
      <c r="P482" t="s">
        <v>27</v>
      </c>
      <c r="Q482" t="s">
        <v>28</v>
      </c>
      <c r="R482" t="s">
        <v>29</v>
      </c>
      <c r="S482" t="s">
        <v>793</v>
      </c>
      <c r="T482">
        <f>_xlfn.XLOOKUP(X482,Hoja2!D:D,Hoja2!A:A)</f>
        <v>52759865</v>
      </c>
      <c r="U482" t="str">
        <f>_xlfn.XLOOKUP(X482,Hoja2!D:D,Hoja2!B:B)</f>
        <v>Heidy Lorena Prieto Ahumada</v>
      </c>
      <c r="V482" t="str">
        <f>_xlfn.XLOOKUP(X482,Hoja2!D:D,Hoja2!C:C)</f>
        <v>PREGRADO</v>
      </c>
      <c r="W482" s="9">
        <f>IF(V482="pregrado",31,
IF(V482="posgrados",31,
IF(V482="rEINTEGROS",7,
IF(V482="BIT",90,
IF(V482="OP GRADO - INGLÉS",17,"")))))</f>
        <v>31</v>
      </c>
      <c r="X482" t="s">
        <v>4923</v>
      </c>
    </row>
    <row r="483" spans="1:24" x14ac:dyDescent="0.3">
      <c r="A483" s="4">
        <v>46134</v>
      </c>
      <c r="B483">
        <v>20131985</v>
      </c>
      <c r="C483" t="s">
        <v>19</v>
      </c>
      <c r="D483">
        <v>68827</v>
      </c>
      <c r="E483" t="s">
        <v>267</v>
      </c>
      <c r="F483">
        <v>1024563412</v>
      </c>
      <c r="G483" t="s">
        <v>4794</v>
      </c>
      <c r="H483">
        <v>100148105</v>
      </c>
      <c r="I483">
        <v>202605</v>
      </c>
      <c r="J483">
        <v>1024563412</v>
      </c>
      <c r="K483" t="s">
        <v>270</v>
      </c>
      <c r="L483" t="s">
        <v>4126</v>
      </c>
      <c r="M483" t="s">
        <v>271</v>
      </c>
      <c r="N483">
        <v>0</v>
      </c>
      <c r="O483" t="s">
        <v>26</v>
      </c>
      <c r="P483" t="s">
        <v>27</v>
      </c>
      <c r="Q483" t="s">
        <v>28</v>
      </c>
      <c r="R483" t="s">
        <v>29</v>
      </c>
      <c r="S483" t="s">
        <v>793</v>
      </c>
      <c r="T483">
        <f>_xlfn.XLOOKUP(X483,Hoja2!D:D,Hoja2!A:A)</f>
        <v>1033714104</v>
      </c>
      <c r="U483" t="str">
        <f>_xlfn.XLOOKUP(X483,Hoja2!D:D,Hoja2!B:B)</f>
        <v>JAVIER ORLANDO HERNANDEZ RIVERA</v>
      </c>
      <c r="V483" t="str">
        <f>_xlfn.XLOOKUP(X483,Hoja2!D:D,Hoja2!C:C)</f>
        <v>OP GRADO - INGLÉS</v>
      </c>
      <c r="W483" s="9">
        <f>IF(V483="pregrado",31,
IF(V483="posgrados",31,
IF(V483="rEINTEGROS",7,
IF(V483="BIT",90,
IF(V483="OP GRADO - INGLÉS",17,"")))))</f>
        <v>17</v>
      </c>
      <c r="X483" t="s">
        <v>4029</v>
      </c>
    </row>
    <row r="484" spans="1:24" x14ac:dyDescent="0.3">
      <c r="A484" s="4">
        <v>46134</v>
      </c>
      <c r="B484">
        <v>20131968</v>
      </c>
      <c r="C484" t="s">
        <v>19</v>
      </c>
      <c r="D484">
        <v>68842</v>
      </c>
      <c r="E484" t="s">
        <v>267</v>
      </c>
      <c r="F484">
        <v>16015854</v>
      </c>
      <c r="G484" t="s">
        <v>4789</v>
      </c>
      <c r="H484">
        <v>100142911</v>
      </c>
      <c r="I484">
        <v>202605</v>
      </c>
      <c r="J484">
        <v>16015854</v>
      </c>
      <c r="K484" t="s">
        <v>270</v>
      </c>
      <c r="L484" t="s">
        <v>2360</v>
      </c>
      <c r="M484" t="s">
        <v>271</v>
      </c>
      <c r="N484" t="s">
        <v>35</v>
      </c>
      <c r="O484" t="s">
        <v>26</v>
      </c>
      <c r="P484" t="s">
        <v>27</v>
      </c>
      <c r="Q484" t="s">
        <v>28</v>
      </c>
      <c r="R484" t="s">
        <v>29</v>
      </c>
      <c r="S484" t="s">
        <v>793</v>
      </c>
      <c r="T484">
        <f>_xlfn.XLOOKUP(X484,Hoja2!D:D,Hoja2!A:A)</f>
        <v>1033714104</v>
      </c>
      <c r="U484" t="str">
        <f>_xlfn.XLOOKUP(X484,Hoja2!D:D,Hoja2!B:B)</f>
        <v>JAVIER ORLANDO HERNANDEZ RIVERA</v>
      </c>
      <c r="V484" t="str">
        <f>_xlfn.XLOOKUP(X484,Hoja2!D:D,Hoja2!C:C)</f>
        <v>OP GRADO - INGLÉS</v>
      </c>
      <c r="W484" s="9">
        <f>IF(V484="pregrado",31,
IF(V484="posgrados",31,
IF(V484="rEINTEGROS",7,
IF(V484="BIT",90,
IF(V484="OP GRADO - INGLÉS",17,"")))))</f>
        <v>17</v>
      </c>
      <c r="X484" t="s">
        <v>4029</v>
      </c>
    </row>
    <row r="485" spans="1:24" x14ac:dyDescent="0.3">
      <c r="A485" s="4">
        <v>46135</v>
      </c>
      <c r="B485">
        <v>20132072</v>
      </c>
      <c r="C485" t="s">
        <v>19</v>
      </c>
      <c r="D485">
        <v>68848</v>
      </c>
      <c r="E485" t="s">
        <v>267</v>
      </c>
      <c r="F485">
        <v>1073238477</v>
      </c>
      <c r="G485" t="s">
        <v>4816</v>
      </c>
      <c r="H485">
        <v>100185281</v>
      </c>
      <c r="I485">
        <v>202605</v>
      </c>
      <c r="J485">
        <v>1073238477</v>
      </c>
      <c r="K485" t="s">
        <v>270</v>
      </c>
      <c r="L485" t="s">
        <v>1061</v>
      </c>
      <c r="M485" t="s">
        <v>271</v>
      </c>
      <c r="N485" t="s">
        <v>35</v>
      </c>
      <c r="O485" t="s">
        <v>26</v>
      </c>
      <c r="P485" t="s">
        <v>27</v>
      </c>
      <c r="Q485" t="s">
        <v>28</v>
      </c>
      <c r="R485" t="s">
        <v>29</v>
      </c>
      <c r="S485" t="s">
        <v>793</v>
      </c>
      <c r="T485">
        <f>_xlfn.XLOOKUP(X485,Hoja2!D:D,Hoja2!A:A)</f>
        <v>1030561016</v>
      </c>
      <c r="U485" t="str">
        <f>_xlfn.XLOOKUP(X485,Hoja2!D:D,Hoja2!B:B)</f>
        <v>JENIFFER VARGAS</v>
      </c>
      <c r="V485" t="str">
        <f>_xlfn.XLOOKUP(X485,Hoja2!D:D,Hoja2!C:C)</f>
        <v>PREGRADO</v>
      </c>
      <c r="W485" s="9">
        <f>IF(V485="pregrado",31,
IF(V485="posgrados",31,
IF(V485="rEINTEGROS",7,
IF(V485="BIT",90,
IF(V485="OP GRADO - INGLÉS",17,"")))))</f>
        <v>31</v>
      </c>
      <c r="X485" t="s">
        <v>4931</v>
      </c>
    </row>
    <row r="486" spans="1:24" x14ac:dyDescent="0.3">
      <c r="A486" s="4">
        <v>46146</v>
      </c>
      <c r="B486">
        <v>20132771</v>
      </c>
      <c r="C486" t="s">
        <v>19</v>
      </c>
      <c r="D486">
        <v>68860</v>
      </c>
      <c r="E486" t="s">
        <v>267</v>
      </c>
      <c r="F486">
        <v>80226538</v>
      </c>
      <c r="G486" t="s">
        <v>4906</v>
      </c>
      <c r="H486">
        <v>100124110</v>
      </c>
      <c r="I486">
        <v>202605</v>
      </c>
      <c r="J486">
        <v>1102548666</v>
      </c>
      <c r="K486" t="s">
        <v>270</v>
      </c>
      <c r="L486" t="s">
        <v>4301</v>
      </c>
      <c r="M486" t="s">
        <v>271</v>
      </c>
      <c r="N486" t="s">
        <v>35</v>
      </c>
      <c r="O486" t="s">
        <v>26</v>
      </c>
      <c r="P486" t="s">
        <v>27</v>
      </c>
      <c r="Q486" t="s">
        <v>28</v>
      </c>
      <c r="R486" t="s">
        <v>29</v>
      </c>
      <c r="S486" t="s">
        <v>793</v>
      </c>
      <c r="T486">
        <f>_xlfn.XLOOKUP(X486,Hoja2!D:D,Hoja2!A:A)</f>
        <v>52834109</v>
      </c>
      <c r="U486" t="str">
        <f>_xlfn.XLOOKUP(X486,Hoja2!D:D,Hoja2!B:B)</f>
        <v>JAVIER ORLANDO HERNANDEZ RIVERA</v>
      </c>
      <c r="V486" t="str">
        <f>_xlfn.XLOOKUP(X486,Hoja2!D:D,Hoja2!C:C)</f>
        <v>OP GRADO - INGLÉS</v>
      </c>
      <c r="W486" s="9">
        <f>IF(V486="pregrado",31,
IF(V486="posgrados",31,
IF(V486="rEINTEGROS",7,
IF(V486="BIT",90,
IF(V486="OP GRADO - INGLÉS",17,"")))))</f>
        <v>17</v>
      </c>
      <c r="X486" t="s">
        <v>4018</v>
      </c>
    </row>
    <row r="487" spans="1:24" x14ac:dyDescent="0.3">
      <c r="A487" s="4">
        <v>46136</v>
      </c>
      <c r="B487">
        <v>20132127</v>
      </c>
      <c r="C487" t="s">
        <v>19</v>
      </c>
      <c r="D487">
        <v>68862</v>
      </c>
      <c r="E487" t="s">
        <v>267</v>
      </c>
      <c r="F487">
        <v>1006050877</v>
      </c>
      <c r="G487" t="s">
        <v>4828</v>
      </c>
      <c r="H487">
        <v>100251734</v>
      </c>
      <c r="I487">
        <v>202605</v>
      </c>
      <c r="J487">
        <v>1006050877</v>
      </c>
      <c r="K487" t="s">
        <v>23</v>
      </c>
      <c r="L487" t="s">
        <v>1258</v>
      </c>
      <c r="M487" t="s">
        <v>271</v>
      </c>
      <c r="N487" t="s">
        <v>35</v>
      </c>
      <c r="O487" t="s">
        <v>26</v>
      </c>
      <c r="P487" t="s">
        <v>27</v>
      </c>
      <c r="Q487" t="s">
        <v>28</v>
      </c>
      <c r="R487" t="s">
        <v>29</v>
      </c>
      <c r="S487" t="s">
        <v>793</v>
      </c>
      <c r="T487">
        <f>_xlfn.XLOOKUP(X487,Hoja2!D:D,Hoja2!A:A)</f>
        <v>1000788047</v>
      </c>
      <c r="U487" t="str">
        <f>_xlfn.XLOOKUP(X487,Hoja2!D:D,Hoja2!B:B)</f>
        <v>JOHAN SEBASTIAN PARDEYN AGUILAR</v>
      </c>
      <c r="V487" t="str">
        <f>_xlfn.XLOOKUP(X487,Hoja2!D:D,Hoja2!C:C)</f>
        <v>BIT</v>
      </c>
      <c r="W487" s="9">
        <f>IF(V487="pregrado",31,
IF(V487="posgrados",31,
IF(V487="rEINTEGROS",7,
IF(V487="BIT",90,
IF(V487="OP GRADO - INGLÉS",17,"")))))</f>
        <v>90</v>
      </c>
      <c r="X487" t="s">
        <v>4068</v>
      </c>
    </row>
    <row r="488" spans="1:24" x14ac:dyDescent="0.3">
      <c r="A488" s="4">
        <v>46135</v>
      </c>
      <c r="B488">
        <v>20132064</v>
      </c>
      <c r="C488" t="s">
        <v>19</v>
      </c>
      <c r="D488">
        <v>68863</v>
      </c>
      <c r="E488" t="s">
        <v>267</v>
      </c>
      <c r="F488">
        <v>1125685384</v>
      </c>
      <c r="G488" t="s">
        <v>4814</v>
      </c>
      <c r="H488">
        <v>100251738</v>
      </c>
      <c r="I488">
        <v>202605</v>
      </c>
      <c r="J488">
        <v>1125685384</v>
      </c>
      <c r="K488" t="s">
        <v>23</v>
      </c>
      <c r="L488" t="s">
        <v>808</v>
      </c>
      <c r="M488" t="s">
        <v>271</v>
      </c>
      <c r="N488" t="s">
        <v>35</v>
      </c>
      <c r="O488" t="s">
        <v>26</v>
      </c>
      <c r="P488" t="s">
        <v>27</v>
      </c>
      <c r="Q488" t="s">
        <v>28</v>
      </c>
      <c r="R488" t="s">
        <v>29</v>
      </c>
      <c r="S488" t="s">
        <v>793</v>
      </c>
      <c r="T488">
        <f>_xlfn.XLOOKUP(X488,Hoja2!D:D,Hoja2!A:A)</f>
        <v>1123442099</v>
      </c>
      <c r="U488" t="str">
        <f>_xlfn.XLOOKUP(X488,Hoja2!D:D,Hoja2!B:B)</f>
        <v>JOHAN SEBASTIAN PARDEYN AGUILAR</v>
      </c>
      <c r="V488" t="str">
        <f>_xlfn.XLOOKUP(X488,Hoja2!D:D,Hoja2!C:C)</f>
        <v>BIT</v>
      </c>
      <c r="W488" s="9">
        <f>IF(V488="pregrado",31,
IF(V488="posgrados",31,
IF(V488="rEINTEGROS",7,
IF(V488="BIT",90,
IF(V488="OP GRADO - INGLÉS",17,"")))))</f>
        <v>90</v>
      </c>
      <c r="X488" t="s">
        <v>4089</v>
      </c>
    </row>
    <row r="489" spans="1:24" x14ac:dyDescent="0.3">
      <c r="A489" s="4">
        <v>46141</v>
      </c>
      <c r="B489">
        <v>20132628</v>
      </c>
      <c r="C489" t="s">
        <v>19</v>
      </c>
      <c r="D489">
        <v>68866</v>
      </c>
      <c r="E489" t="s">
        <v>267</v>
      </c>
      <c r="F489">
        <v>1012347756</v>
      </c>
      <c r="G489" t="s">
        <v>4892</v>
      </c>
      <c r="H489">
        <v>100189322</v>
      </c>
      <c r="I489">
        <v>202605</v>
      </c>
      <c r="J489">
        <v>1012347756</v>
      </c>
      <c r="K489" t="s">
        <v>270</v>
      </c>
      <c r="L489" t="s">
        <v>738</v>
      </c>
      <c r="M489" t="s">
        <v>271</v>
      </c>
      <c r="N489" t="s">
        <v>35</v>
      </c>
      <c r="O489" t="s">
        <v>26</v>
      </c>
      <c r="P489" t="s">
        <v>27</v>
      </c>
      <c r="Q489" t="s">
        <v>28</v>
      </c>
      <c r="R489" t="s">
        <v>29</v>
      </c>
      <c r="S489" t="s">
        <v>793</v>
      </c>
      <c r="T489">
        <f>_xlfn.XLOOKUP(X489,Hoja2!D:D,Hoja2!A:A)</f>
        <v>1010081108</v>
      </c>
      <c r="U489" t="str">
        <f>_xlfn.XLOOKUP(X489,Hoja2!D:D,Hoja2!B:B)</f>
        <v>HEIDY LORENA PRIETO AHUMADA</v>
      </c>
      <c r="V489" t="str">
        <f>_xlfn.XLOOKUP(X489,Hoja2!D:D,Hoja2!C:C)</f>
        <v>PREGRADO</v>
      </c>
      <c r="W489" s="9">
        <f>IF(V489="pregrado",31,
IF(V489="posgrados",31,
IF(V489="rEINTEGROS",7,
IF(V489="BIT",90,
IF(V489="OP GRADO - INGLÉS",17,"")))))</f>
        <v>31</v>
      </c>
      <c r="X489" t="s">
        <v>4009</v>
      </c>
    </row>
    <row r="490" spans="1:24" x14ac:dyDescent="0.3">
      <c r="A490" s="4">
        <v>46139</v>
      </c>
      <c r="B490">
        <v>20132316</v>
      </c>
      <c r="C490" t="s">
        <v>19</v>
      </c>
      <c r="D490">
        <v>68874</v>
      </c>
      <c r="E490" t="s">
        <v>267</v>
      </c>
      <c r="F490">
        <v>9169531</v>
      </c>
      <c r="G490" t="s">
        <v>801</v>
      </c>
      <c r="H490">
        <v>100237590</v>
      </c>
      <c r="I490">
        <v>202605</v>
      </c>
      <c r="J490">
        <v>9169531</v>
      </c>
      <c r="K490" t="s">
        <v>270</v>
      </c>
      <c r="L490" t="s">
        <v>3376</v>
      </c>
      <c r="M490" t="s">
        <v>271</v>
      </c>
      <c r="N490" t="s">
        <v>35</v>
      </c>
      <c r="O490" t="s">
        <v>26</v>
      </c>
      <c r="P490" t="s">
        <v>27</v>
      </c>
      <c r="Q490" t="s">
        <v>28</v>
      </c>
      <c r="R490" t="s">
        <v>29</v>
      </c>
      <c r="S490" t="s">
        <v>793</v>
      </c>
      <c r="T490">
        <f>_xlfn.XLOOKUP(X490,Hoja2!D:D,Hoja2!A:A)</f>
        <v>60345453</v>
      </c>
      <c r="U490" t="str">
        <f>_xlfn.XLOOKUP(X490,Hoja2!D:D,Hoja2!B:B)</f>
        <v>JAVIER ORLANDO HERNANDEZ RIVERA</v>
      </c>
      <c r="V490" t="str">
        <f>_xlfn.XLOOKUP(X490,Hoja2!D:D,Hoja2!C:C)</f>
        <v>OP GRADO - INGLÉS</v>
      </c>
      <c r="W490" s="9">
        <f>IF(V490="pregrado",31,
IF(V490="posgrados",31,
IF(V490="rEINTEGROS",7,
IF(V490="BIT",90,
IF(V490="OP GRADO - INGLÉS",17,"")))))</f>
        <v>17</v>
      </c>
      <c r="X490" t="s">
        <v>4063</v>
      </c>
    </row>
    <row r="491" spans="1:24" x14ac:dyDescent="0.3">
      <c r="A491" s="4">
        <v>46140</v>
      </c>
      <c r="B491">
        <v>20132357</v>
      </c>
      <c r="C491" t="s">
        <v>19</v>
      </c>
      <c r="D491">
        <v>68875</v>
      </c>
      <c r="E491" t="s">
        <v>267</v>
      </c>
      <c r="F491">
        <v>1073715211</v>
      </c>
      <c r="G491" t="s">
        <v>4870</v>
      </c>
      <c r="H491">
        <v>100035000</v>
      </c>
      <c r="I491">
        <v>202605</v>
      </c>
      <c r="J491">
        <v>1073715211</v>
      </c>
      <c r="K491" t="s">
        <v>23</v>
      </c>
      <c r="L491" t="s">
        <v>1015</v>
      </c>
      <c r="M491" t="s">
        <v>271</v>
      </c>
      <c r="N491" t="s">
        <v>35</v>
      </c>
      <c r="O491" t="s">
        <v>26</v>
      </c>
      <c r="P491" t="s">
        <v>27</v>
      </c>
      <c r="Q491" t="s">
        <v>28</v>
      </c>
      <c r="R491" t="s">
        <v>29</v>
      </c>
      <c r="S491" t="s">
        <v>793</v>
      </c>
      <c r="T491">
        <f>_xlfn.XLOOKUP(X491,Hoja2!D:D,Hoja2!A:A)</f>
        <v>1019052150</v>
      </c>
      <c r="U491" t="str">
        <f>_xlfn.XLOOKUP(X491,Hoja2!D:D,Hoja2!B:B)</f>
        <v>JOHAN SEBASTIAN PARDEYN AGUILAR</v>
      </c>
      <c r="V491" t="str">
        <f>_xlfn.XLOOKUP(X491,Hoja2!D:D,Hoja2!C:C)</f>
        <v>BIT</v>
      </c>
      <c r="W491" s="9">
        <f>IF(V491="pregrado",31,
IF(V491="posgrados",31,
IF(V491="rEINTEGROS",7,
IF(V491="BIT",90,
IF(V491="OP GRADO - INGLÉS",17,"")))))</f>
        <v>90</v>
      </c>
      <c r="X491" t="s">
        <v>4074</v>
      </c>
    </row>
    <row r="492" spans="1:24" x14ac:dyDescent="0.3">
      <c r="A492" s="4">
        <v>46139</v>
      </c>
      <c r="B492">
        <v>20132335</v>
      </c>
      <c r="C492" t="s">
        <v>19</v>
      </c>
      <c r="D492">
        <v>68880</v>
      </c>
      <c r="E492" t="s">
        <v>267</v>
      </c>
      <c r="F492">
        <v>80174510</v>
      </c>
      <c r="G492" t="s">
        <v>4863</v>
      </c>
      <c r="H492">
        <v>100132435</v>
      </c>
      <c r="I492">
        <v>202605</v>
      </c>
      <c r="J492">
        <v>80174510</v>
      </c>
      <c r="K492" t="s">
        <v>270</v>
      </c>
      <c r="L492" t="s">
        <v>4680</v>
      </c>
      <c r="M492" t="s">
        <v>271</v>
      </c>
      <c r="N492" t="s">
        <v>35</v>
      </c>
      <c r="O492" t="s">
        <v>26</v>
      </c>
      <c r="P492" t="s">
        <v>27</v>
      </c>
      <c r="Q492" t="s">
        <v>28</v>
      </c>
      <c r="R492" t="s">
        <v>29</v>
      </c>
      <c r="S492" t="s">
        <v>793</v>
      </c>
      <c r="T492">
        <f>_xlfn.XLOOKUP(X492,Hoja2!D:D,Hoja2!A:A)</f>
        <v>1033714104</v>
      </c>
      <c r="U492" t="str">
        <f>_xlfn.XLOOKUP(X492,Hoja2!D:D,Hoja2!B:B)</f>
        <v>JAVIER ORLANDO HERNANDEZ RIVERA</v>
      </c>
      <c r="V492" t="str">
        <f>_xlfn.XLOOKUP(X492,Hoja2!D:D,Hoja2!C:C)</f>
        <v>OP GRADO - INGLÉS</v>
      </c>
      <c r="W492" s="9">
        <f>IF(V492="pregrado",31,
IF(V492="posgrados",31,
IF(V492="rEINTEGROS",7,
IF(V492="BIT",90,
IF(V492="OP GRADO - INGLÉS",17,"")))))</f>
        <v>17</v>
      </c>
      <c r="X492" t="s">
        <v>4029</v>
      </c>
    </row>
    <row r="493" spans="1:24" x14ac:dyDescent="0.3">
      <c r="A493" s="4">
        <v>46140</v>
      </c>
      <c r="B493">
        <v>20132366</v>
      </c>
      <c r="C493" t="s">
        <v>19</v>
      </c>
      <c r="D493">
        <v>68881</v>
      </c>
      <c r="E493" t="s">
        <v>267</v>
      </c>
      <c r="F493">
        <v>1007562663</v>
      </c>
      <c r="G493" t="s">
        <v>4872</v>
      </c>
      <c r="H493">
        <v>100251929</v>
      </c>
      <c r="I493">
        <v>202605</v>
      </c>
      <c r="J493">
        <v>1007562663</v>
      </c>
      <c r="K493" t="s">
        <v>23</v>
      </c>
      <c r="L493" t="s">
        <v>1258</v>
      </c>
      <c r="M493" t="s">
        <v>271</v>
      </c>
      <c r="N493" t="s">
        <v>35</v>
      </c>
      <c r="O493" t="s">
        <v>26</v>
      </c>
      <c r="P493" t="s">
        <v>27</v>
      </c>
      <c r="Q493" t="s">
        <v>28</v>
      </c>
      <c r="R493" t="s">
        <v>29</v>
      </c>
      <c r="S493" t="s">
        <v>793</v>
      </c>
      <c r="T493">
        <f>_xlfn.XLOOKUP(X493,Hoja2!D:D,Hoja2!A:A)</f>
        <v>52221286</v>
      </c>
      <c r="U493" t="str">
        <f>_xlfn.XLOOKUP(X493,Hoja2!D:D,Hoja2!B:B)</f>
        <v>JOHAN SEBASTIAN PARDEYN AGUILAR</v>
      </c>
      <c r="V493" t="str">
        <f>_xlfn.XLOOKUP(X493,Hoja2!D:D,Hoja2!C:C)</f>
        <v>BIT</v>
      </c>
      <c r="W493" s="9">
        <f>IF(V493="pregrado",31,
IF(V493="posgrados",31,
IF(V493="rEINTEGROS",7,
IF(V493="BIT",90,
IF(V493="OP GRADO - INGLÉS",17,"")))))</f>
        <v>90</v>
      </c>
      <c r="X493" t="s">
        <v>4076</v>
      </c>
    </row>
    <row r="494" spans="1:24" x14ac:dyDescent="0.3">
      <c r="A494" s="4">
        <v>46140</v>
      </c>
      <c r="B494">
        <v>20132371</v>
      </c>
      <c r="C494" t="s">
        <v>19</v>
      </c>
      <c r="D494">
        <v>68887</v>
      </c>
      <c r="E494" t="s">
        <v>267</v>
      </c>
      <c r="F494">
        <v>1018470263</v>
      </c>
      <c r="G494" t="s">
        <v>4873</v>
      </c>
      <c r="H494">
        <v>100251951</v>
      </c>
      <c r="I494">
        <v>202605</v>
      </c>
      <c r="J494">
        <v>1018470263</v>
      </c>
      <c r="K494" t="s">
        <v>23</v>
      </c>
      <c r="L494" t="s">
        <v>1258</v>
      </c>
      <c r="M494" t="s">
        <v>271</v>
      </c>
      <c r="N494" t="s">
        <v>35</v>
      </c>
      <c r="O494" t="s">
        <v>26</v>
      </c>
      <c r="P494" t="s">
        <v>27</v>
      </c>
      <c r="Q494" t="s">
        <v>28</v>
      </c>
      <c r="R494" t="s">
        <v>29</v>
      </c>
      <c r="S494" t="s">
        <v>793</v>
      </c>
      <c r="T494">
        <f>_xlfn.XLOOKUP(X494,Hoja2!D:D,Hoja2!A:A)</f>
        <v>1123442099</v>
      </c>
      <c r="U494" t="str">
        <f>_xlfn.XLOOKUP(X494,Hoja2!D:D,Hoja2!B:B)</f>
        <v>JOHAN SEBASTIAN PARDEYN AGUILAR</v>
      </c>
      <c r="V494" t="str">
        <f>_xlfn.XLOOKUP(X494,Hoja2!D:D,Hoja2!C:C)</f>
        <v>BIT</v>
      </c>
      <c r="W494" s="9">
        <f>IF(V494="pregrado",31,
IF(V494="posgrados",31,
IF(V494="rEINTEGROS",7,
IF(V494="BIT",90,
IF(V494="OP GRADO - INGLÉS",17,"")))))</f>
        <v>90</v>
      </c>
      <c r="X494" t="s">
        <v>4089</v>
      </c>
    </row>
    <row r="495" spans="1:24" x14ac:dyDescent="0.3">
      <c r="A495" s="4">
        <v>46144</v>
      </c>
      <c r="B495">
        <v>20132751</v>
      </c>
      <c r="C495" t="s">
        <v>19</v>
      </c>
      <c r="D495">
        <v>68904</v>
      </c>
      <c r="E495" t="s">
        <v>267</v>
      </c>
      <c r="F495">
        <v>1047367161</v>
      </c>
      <c r="G495" t="s">
        <v>4903</v>
      </c>
      <c r="H495">
        <v>100149370</v>
      </c>
      <c r="I495">
        <v>202605</v>
      </c>
      <c r="J495">
        <v>1047367161</v>
      </c>
      <c r="K495" t="s">
        <v>270</v>
      </c>
      <c r="L495" t="s">
        <v>3376</v>
      </c>
      <c r="M495" t="s">
        <v>271</v>
      </c>
      <c r="N495" t="s">
        <v>35</v>
      </c>
      <c r="O495" t="s">
        <v>26</v>
      </c>
      <c r="P495" t="s">
        <v>27</v>
      </c>
      <c r="Q495" t="s">
        <v>28</v>
      </c>
      <c r="R495" t="s">
        <v>29</v>
      </c>
      <c r="S495" t="s">
        <v>793</v>
      </c>
      <c r="T495">
        <f>_xlfn.XLOOKUP(X495,Hoja2!D:D,Hoja2!A:A)</f>
        <v>52834109</v>
      </c>
      <c r="U495" t="str">
        <f>_xlfn.XLOOKUP(X495,Hoja2!D:D,Hoja2!B:B)</f>
        <v>JAVIER ORLANDO HERNANDEZ RIVERA</v>
      </c>
      <c r="V495" t="str">
        <f>_xlfn.XLOOKUP(X495,Hoja2!D:D,Hoja2!C:C)</f>
        <v>OP GRADO - INGLÉS</v>
      </c>
      <c r="W495" s="9">
        <f>IF(V495="pregrado",31,
IF(V495="posgrados",31,
IF(V495="rEINTEGROS",7,
IF(V495="BIT",90,
IF(V495="OP GRADO - INGLÉS",17,"")))))</f>
        <v>17</v>
      </c>
      <c r="X495" t="s">
        <v>4018</v>
      </c>
    </row>
    <row r="496" spans="1:24" x14ac:dyDescent="0.3">
      <c r="A496" s="4">
        <v>46142</v>
      </c>
      <c r="B496">
        <v>20132696</v>
      </c>
      <c r="C496" t="s">
        <v>19</v>
      </c>
      <c r="D496">
        <v>68926</v>
      </c>
      <c r="E496" t="s">
        <v>267</v>
      </c>
      <c r="F496">
        <v>19313278</v>
      </c>
      <c r="G496" t="s">
        <v>4901</v>
      </c>
      <c r="H496">
        <v>100212516</v>
      </c>
      <c r="I496">
        <v>202605</v>
      </c>
      <c r="J496">
        <v>1023029701</v>
      </c>
      <c r="K496" t="s">
        <v>270</v>
      </c>
      <c r="L496" t="s">
        <v>3376</v>
      </c>
      <c r="M496" t="s">
        <v>271</v>
      </c>
      <c r="N496" t="s">
        <v>38</v>
      </c>
      <c r="O496" t="s">
        <v>26</v>
      </c>
      <c r="P496" t="s">
        <v>27</v>
      </c>
      <c r="Q496" t="s">
        <v>28</v>
      </c>
      <c r="R496" t="s">
        <v>29</v>
      </c>
      <c r="S496" t="s">
        <v>793</v>
      </c>
      <c r="T496">
        <f>_xlfn.XLOOKUP(X496,Hoja2!D:D,Hoja2!A:A)</f>
        <v>1033714104</v>
      </c>
      <c r="U496" t="str">
        <f>_xlfn.XLOOKUP(X496,Hoja2!D:D,Hoja2!B:B)</f>
        <v>JAVIER ORLANDO HERNANDEZ RIVERA</v>
      </c>
      <c r="V496" t="str">
        <f>_xlfn.XLOOKUP(X496,Hoja2!D:D,Hoja2!C:C)</f>
        <v>OP GRADO - INGLÉS</v>
      </c>
      <c r="W496" s="9">
        <f>IF(V496="pregrado",31,
IF(V496="posgrados",31,
IF(V496="rEINTEGROS",7,
IF(V496="BIT",90,
IF(V496="OP GRADO - INGLÉS",17,"")))))</f>
        <v>17</v>
      </c>
      <c r="X496" t="s">
        <v>4029</v>
      </c>
    </row>
    <row r="497" spans="1:24" x14ac:dyDescent="0.3">
      <c r="A497" s="4">
        <v>46142</v>
      </c>
      <c r="B497">
        <v>20132676</v>
      </c>
      <c r="C497" t="s">
        <v>19</v>
      </c>
      <c r="D497">
        <v>68929</v>
      </c>
      <c r="E497" t="s">
        <v>267</v>
      </c>
      <c r="F497">
        <v>39656203</v>
      </c>
      <c r="G497" t="s">
        <v>4899</v>
      </c>
      <c r="H497">
        <v>100252167</v>
      </c>
      <c r="I497">
        <v>202605</v>
      </c>
      <c r="J497">
        <v>1000130796</v>
      </c>
      <c r="K497" t="s">
        <v>23</v>
      </c>
      <c r="L497" t="s">
        <v>1015</v>
      </c>
      <c r="M497" t="s">
        <v>271</v>
      </c>
      <c r="N497" t="s">
        <v>35</v>
      </c>
      <c r="O497" t="s">
        <v>26</v>
      </c>
      <c r="P497" t="s">
        <v>27</v>
      </c>
      <c r="Q497" t="s">
        <v>28</v>
      </c>
      <c r="R497" t="s">
        <v>29</v>
      </c>
      <c r="S497" t="s">
        <v>793</v>
      </c>
      <c r="T497">
        <f>_xlfn.XLOOKUP(X497,Hoja2!D:D,Hoja2!A:A)</f>
        <v>1000788047</v>
      </c>
      <c r="U497" t="str">
        <f>_xlfn.XLOOKUP(X497,Hoja2!D:D,Hoja2!B:B)</f>
        <v>JOHAN SEBASTIAN PARDEYN AGUILAR</v>
      </c>
      <c r="V497" t="str">
        <f>_xlfn.XLOOKUP(X497,Hoja2!D:D,Hoja2!C:C)</f>
        <v>BIT</v>
      </c>
      <c r="W497" s="9">
        <f>IF(V497="pregrado",31,
IF(V497="posgrados",31,
IF(V497="rEINTEGROS",7,
IF(V497="BIT",90,
IF(V497="OP GRADO - INGLÉS",17,"")))))</f>
        <v>90</v>
      </c>
      <c r="X497" t="s">
        <v>4068</v>
      </c>
    </row>
    <row r="498" spans="1:24" x14ac:dyDescent="0.3">
      <c r="A498" s="4">
        <v>46144</v>
      </c>
      <c r="B498">
        <v>20132752</v>
      </c>
      <c r="C498" t="s">
        <v>19</v>
      </c>
      <c r="D498">
        <v>68936</v>
      </c>
      <c r="E498" t="s">
        <v>267</v>
      </c>
      <c r="F498">
        <v>1067880259</v>
      </c>
      <c r="G498" t="s">
        <v>4904</v>
      </c>
      <c r="H498">
        <v>100252202</v>
      </c>
      <c r="I498">
        <v>202605</v>
      </c>
      <c r="J498">
        <v>1067880259</v>
      </c>
      <c r="K498" t="s">
        <v>23</v>
      </c>
      <c r="L498" t="s">
        <v>1414</v>
      </c>
      <c r="M498" t="s">
        <v>271</v>
      </c>
      <c r="N498" t="s">
        <v>35</v>
      </c>
      <c r="O498" t="s">
        <v>26</v>
      </c>
      <c r="P498" t="s">
        <v>27</v>
      </c>
      <c r="Q498" t="s">
        <v>28</v>
      </c>
      <c r="R498" t="s">
        <v>29</v>
      </c>
      <c r="S498" t="s">
        <v>793</v>
      </c>
      <c r="T498">
        <f>_xlfn.XLOOKUP(X498,Hoja2!D:D,Hoja2!A:A)</f>
        <v>1033750951</v>
      </c>
      <c r="U498" t="str">
        <f>_xlfn.XLOOKUP(X498,Hoja2!D:D,Hoja2!B:B)</f>
        <v>Johan Sebastián Pardeyn Aguilar</v>
      </c>
      <c r="V498" t="str">
        <f>_xlfn.XLOOKUP(X498,Hoja2!D:D,Hoja2!C:C)</f>
        <v>BIT</v>
      </c>
      <c r="W498" s="9">
        <f>IF(V498="pregrado",31,
IF(V498="posgrados",31,
IF(V498="rEINTEGROS",7,
IF(V498="BIT",90,
IF(V498="OP GRADO - INGLÉS",17,"")))))</f>
        <v>90</v>
      </c>
      <c r="X498" t="s">
        <v>4934</v>
      </c>
    </row>
    <row r="499" spans="1:24" x14ac:dyDescent="0.3">
      <c r="A499" s="4">
        <v>46146</v>
      </c>
      <c r="B499">
        <v>20132789</v>
      </c>
      <c r="C499" t="s">
        <v>19</v>
      </c>
      <c r="D499">
        <v>68952</v>
      </c>
      <c r="E499" t="s">
        <v>267</v>
      </c>
      <c r="F499">
        <v>1043026499</v>
      </c>
      <c r="G499" t="s">
        <v>4908</v>
      </c>
      <c r="H499">
        <v>100217096</v>
      </c>
      <c r="I499">
        <v>202605</v>
      </c>
      <c r="J499">
        <v>1043026499</v>
      </c>
      <c r="K499" t="s">
        <v>270</v>
      </c>
      <c r="L499" t="s">
        <v>3376</v>
      </c>
      <c r="M499" t="s">
        <v>271</v>
      </c>
      <c r="N499" t="s">
        <v>35</v>
      </c>
      <c r="O499" t="s">
        <v>26</v>
      </c>
      <c r="P499" t="s">
        <v>27</v>
      </c>
      <c r="Q499" t="s">
        <v>28</v>
      </c>
      <c r="R499" t="s">
        <v>29</v>
      </c>
      <c r="S499" t="s">
        <v>793</v>
      </c>
      <c r="T499">
        <f>_xlfn.XLOOKUP(X499,Hoja2!D:D,Hoja2!A:A)</f>
        <v>52759865</v>
      </c>
      <c r="U499" t="str">
        <f>_xlfn.XLOOKUP(X499,Hoja2!D:D,Hoja2!B:B)</f>
        <v>Heidy Lorena Prieto Ahumada</v>
      </c>
      <c r="V499" t="str">
        <f>_xlfn.XLOOKUP(X499,Hoja2!D:D,Hoja2!C:C)</f>
        <v>PREGRADO</v>
      </c>
      <c r="W499" s="9">
        <f>IF(V499="pregrado",31,
IF(V499="posgrados",31,
IF(V499="rEINTEGROS",7,
IF(V499="BIT",90,
IF(V499="OP GRADO - INGLÉS",17,"")))))</f>
        <v>31</v>
      </c>
      <c r="X499" t="s">
        <v>4923</v>
      </c>
    </row>
    <row r="500" spans="1:24" x14ac:dyDescent="0.3">
      <c r="A500" s="4">
        <v>46147</v>
      </c>
      <c r="B500">
        <v>20132895</v>
      </c>
      <c r="C500" t="s">
        <v>19</v>
      </c>
      <c r="D500">
        <v>68954</v>
      </c>
      <c r="E500" t="s">
        <v>267</v>
      </c>
      <c r="F500">
        <v>1233688369</v>
      </c>
      <c r="G500" t="s">
        <v>4913</v>
      </c>
      <c r="H500">
        <v>100167214</v>
      </c>
      <c r="I500">
        <v>202605</v>
      </c>
      <c r="J500">
        <v>1233688369</v>
      </c>
      <c r="K500" t="s">
        <v>270</v>
      </c>
      <c r="L500" t="s">
        <v>4301</v>
      </c>
      <c r="M500" t="s">
        <v>271</v>
      </c>
      <c r="N500" t="s">
        <v>35</v>
      </c>
      <c r="O500" t="s">
        <v>26</v>
      </c>
      <c r="P500" t="s">
        <v>27</v>
      </c>
      <c r="Q500" t="s">
        <v>28</v>
      </c>
      <c r="R500" t="s">
        <v>29</v>
      </c>
      <c r="S500" t="s">
        <v>793</v>
      </c>
      <c r="T500">
        <f>_xlfn.XLOOKUP(X500,Hoja2!D:D,Hoja2!A:A)</f>
        <v>52834109</v>
      </c>
      <c r="U500" t="str">
        <f>_xlfn.XLOOKUP(X500,Hoja2!D:D,Hoja2!B:B)</f>
        <v>JAVIER ORLANDO HERNANDEZ RIVERA</v>
      </c>
      <c r="V500" t="str">
        <f>_xlfn.XLOOKUP(X500,Hoja2!D:D,Hoja2!C:C)</f>
        <v>OP GRADO - INGLÉS</v>
      </c>
      <c r="W500" s="9">
        <f>IF(V500="pregrado",31,
IF(V500="posgrados",31,
IF(V500="rEINTEGROS",7,
IF(V500="BIT",90,
IF(V500="OP GRADO - INGLÉS",17,"")))))</f>
        <v>17</v>
      </c>
      <c r="X500" t="s">
        <v>4018</v>
      </c>
    </row>
    <row r="501" spans="1:24" x14ac:dyDescent="0.3">
      <c r="A501" s="4">
        <v>46146</v>
      </c>
      <c r="B501">
        <v>20132819</v>
      </c>
      <c r="C501" t="s">
        <v>19</v>
      </c>
      <c r="D501">
        <v>68958</v>
      </c>
      <c r="E501" t="s">
        <v>267</v>
      </c>
      <c r="F501">
        <v>1088156824</v>
      </c>
      <c r="G501" t="s">
        <v>4910</v>
      </c>
      <c r="H501">
        <v>100149519</v>
      </c>
      <c r="I501">
        <v>202605</v>
      </c>
      <c r="J501">
        <v>1088156824</v>
      </c>
      <c r="K501" t="s">
        <v>270</v>
      </c>
      <c r="L501" t="s">
        <v>4301</v>
      </c>
      <c r="M501" t="s">
        <v>271</v>
      </c>
      <c r="N501" t="s">
        <v>35</v>
      </c>
      <c r="O501" t="s">
        <v>26</v>
      </c>
      <c r="P501" t="s">
        <v>27</v>
      </c>
      <c r="Q501" t="s">
        <v>28</v>
      </c>
      <c r="R501" t="s">
        <v>29</v>
      </c>
      <c r="S501" t="s">
        <v>793</v>
      </c>
      <c r="T501">
        <f>_xlfn.XLOOKUP(X501,Hoja2!D:D,Hoja2!A:A)</f>
        <v>52759865</v>
      </c>
      <c r="U501" t="str">
        <f>_xlfn.XLOOKUP(X501,Hoja2!D:D,Hoja2!B:B)</f>
        <v>Heidy Lorena Prieto Ahumada</v>
      </c>
      <c r="V501" t="str">
        <f>_xlfn.XLOOKUP(X501,Hoja2!D:D,Hoja2!C:C)</f>
        <v>PREGRADO</v>
      </c>
      <c r="W501" s="9">
        <f>IF(V501="pregrado",31,
IF(V501="posgrados",31,
IF(V501="rEINTEGROS",7,
IF(V501="BIT",90,
IF(V501="OP GRADO - INGLÉS",17,"")))))</f>
        <v>31</v>
      </c>
      <c r="X501" t="s">
        <v>4923</v>
      </c>
    </row>
    <row r="502" spans="1:24" x14ac:dyDescent="0.3">
      <c r="A502" s="4">
        <v>46147</v>
      </c>
      <c r="B502">
        <v>20132823</v>
      </c>
      <c r="C502" t="s">
        <v>19</v>
      </c>
      <c r="D502">
        <v>68967</v>
      </c>
      <c r="E502" t="s">
        <v>267</v>
      </c>
      <c r="F502">
        <v>1000183834</v>
      </c>
      <c r="G502" t="s">
        <v>4911</v>
      </c>
      <c r="H502">
        <v>100252321</v>
      </c>
      <c r="I502">
        <v>202605</v>
      </c>
      <c r="J502">
        <v>1000183834</v>
      </c>
      <c r="K502" t="s">
        <v>23</v>
      </c>
      <c r="L502" t="s">
        <v>1258</v>
      </c>
      <c r="M502" t="s">
        <v>271</v>
      </c>
      <c r="N502">
        <v>0</v>
      </c>
      <c r="O502" t="s">
        <v>26</v>
      </c>
      <c r="P502" t="s">
        <v>27</v>
      </c>
      <c r="Q502" t="s">
        <v>28</v>
      </c>
      <c r="R502" t="s">
        <v>29</v>
      </c>
      <c r="S502" t="s">
        <v>793</v>
      </c>
      <c r="T502">
        <f>_xlfn.XLOOKUP(X502,Hoja2!D:D,Hoja2!A:A)</f>
        <v>1193566421</v>
      </c>
      <c r="U502" t="str">
        <f>_xlfn.XLOOKUP(X502,Hoja2!D:D,Hoja2!B:B)</f>
        <v>JOHAN SEBASTIAN PARDEYN AGUILAR</v>
      </c>
      <c r="V502" t="str">
        <f>_xlfn.XLOOKUP(X502,Hoja2!D:D,Hoja2!C:C)</f>
        <v>BIT</v>
      </c>
      <c r="W502" s="9">
        <f>IF(V502="pregrado",31,
IF(V502="posgrados",31,
IF(V502="rEINTEGROS",7,
IF(V502="BIT",90,
IF(V502="OP GRADO - INGLÉS",17,"")))))</f>
        <v>90</v>
      </c>
      <c r="X502" t="s">
        <v>4075</v>
      </c>
    </row>
    <row r="503" spans="1:24" x14ac:dyDescent="0.3">
      <c r="A503" s="4">
        <v>46148</v>
      </c>
      <c r="B503">
        <v>20132939</v>
      </c>
      <c r="C503" t="s">
        <v>19</v>
      </c>
      <c r="D503">
        <v>69000</v>
      </c>
      <c r="E503" t="s">
        <v>267</v>
      </c>
      <c r="F503">
        <v>80425664</v>
      </c>
      <c r="G503" t="s">
        <v>4914</v>
      </c>
      <c r="H503">
        <v>100252502</v>
      </c>
      <c r="I503">
        <v>202605</v>
      </c>
      <c r="J503">
        <v>80425664</v>
      </c>
      <c r="K503" t="s">
        <v>23</v>
      </c>
      <c r="L503" t="s">
        <v>1414</v>
      </c>
      <c r="M503" t="s">
        <v>271</v>
      </c>
      <c r="N503" t="s">
        <v>35</v>
      </c>
      <c r="O503" t="s">
        <v>26</v>
      </c>
      <c r="P503" t="s">
        <v>27</v>
      </c>
      <c r="Q503" t="s">
        <v>28</v>
      </c>
      <c r="R503" t="s">
        <v>29</v>
      </c>
      <c r="S503" t="s">
        <v>793</v>
      </c>
      <c r="T503">
        <f>_xlfn.XLOOKUP(X503,Hoja2!D:D,Hoja2!A:A)</f>
        <v>1193566421</v>
      </c>
      <c r="U503" t="str">
        <f>_xlfn.XLOOKUP(X503,Hoja2!D:D,Hoja2!B:B)</f>
        <v>JOHAN SEBASTIAN PARDEYN AGUILAR</v>
      </c>
      <c r="V503" t="str">
        <f>_xlfn.XLOOKUP(X503,Hoja2!D:D,Hoja2!C:C)</f>
        <v>BIT</v>
      </c>
      <c r="W503" s="9">
        <f>IF(V503="pregrado",31,
IF(V503="posgrados",31,
IF(V503="rEINTEGROS",7,
IF(V503="BIT",90,
IF(V503="OP GRADO - INGLÉS",17,"")))))</f>
        <v>90</v>
      </c>
      <c r="X503" t="s">
        <v>4075</v>
      </c>
    </row>
    <row r="504" spans="1:24" x14ac:dyDescent="0.3">
      <c r="A504" s="4">
        <v>46149</v>
      </c>
      <c r="B504">
        <v>20133073</v>
      </c>
      <c r="C504" t="s">
        <v>19</v>
      </c>
      <c r="D504">
        <v>69029</v>
      </c>
      <c r="E504" t="s">
        <v>267</v>
      </c>
      <c r="F504">
        <v>1053815894</v>
      </c>
      <c r="G504" t="s">
        <v>4917</v>
      </c>
      <c r="H504">
        <v>100252588</v>
      </c>
      <c r="I504">
        <v>202605</v>
      </c>
      <c r="J504">
        <v>1053815894</v>
      </c>
      <c r="K504" t="s">
        <v>23</v>
      </c>
      <c r="L504" t="s">
        <v>1015</v>
      </c>
      <c r="M504" t="s">
        <v>271</v>
      </c>
      <c r="N504" t="s">
        <v>35</v>
      </c>
      <c r="O504" t="s">
        <v>26</v>
      </c>
      <c r="P504" t="s">
        <v>27</v>
      </c>
      <c r="Q504" t="s">
        <v>28</v>
      </c>
      <c r="R504" t="s">
        <v>29</v>
      </c>
      <c r="S504" t="s">
        <v>793</v>
      </c>
      <c r="T504">
        <f>_xlfn.XLOOKUP(X504,Hoja2!D:D,Hoja2!A:A)</f>
        <v>1193566421</v>
      </c>
      <c r="U504" t="str">
        <f>_xlfn.XLOOKUP(X504,Hoja2!D:D,Hoja2!B:B)</f>
        <v>JOHAN SEBASTIAN PARDEYN AGUILAR</v>
      </c>
      <c r="V504" t="str">
        <f>_xlfn.XLOOKUP(X504,Hoja2!D:D,Hoja2!C:C)</f>
        <v>BIT</v>
      </c>
      <c r="W504" s="9">
        <f>IF(V504="pregrado",31,
IF(V504="posgrados",31,
IF(V504="rEINTEGROS",7,
IF(V504="BIT",90,
IF(V504="OP GRADO - INGLÉS",17,"")))))</f>
        <v>90</v>
      </c>
      <c r="X504" t="s">
        <v>4075</v>
      </c>
    </row>
    <row r="505" spans="1:24" x14ac:dyDescent="0.3">
      <c r="A505" s="4">
        <v>46149</v>
      </c>
      <c r="B505">
        <v>20133100</v>
      </c>
      <c r="C505" t="s">
        <v>19</v>
      </c>
      <c r="D505">
        <v>69045</v>
      </c>
      <c r="E505" t="s">
        <v>267</v>
      </c>
      <c r="F505">
        <v>1010166269</v>
      </c>
      <c r="G505" t="s">
        <v>4918</v>
      </c>
      <c r="H505">
        <v>100252650</v>
      </c>
      <c r="I505">
        <v>202605</v>
      </c>
      <c r="J505">
        <v>1010166269</v>
      </c>
      <c r="K505" t="s">
        <v>23</v>
      </c>
      <c r="L505" t="s">
        <v>1258</v>
      </c>
      <c r="M505" t="s">
        <v>271</v>
      </c>
      <c r="N505" t="s">
        <v>35</v>
      </c>
      <c r="O505" t="s">
        <v>26</v>
      </c>
      <c r="P505" t="s">
        <v>27</v>
      </c>
      <c r="Q505" t="s">
        <v>28</v>
      </c>
      <c r="R505" t="s">
        <v>29</v>
      </c>
      <c r="S505" t="s">
        <v>793</v>
      </c>
      <c r="T505">
        <f>_xlfn.XLOOKUP(X505,Hoja2!D:D,Hoja2!A:A)</f>
        <v>1193566421</v>
      </c>
      <c r="U505" t="str">
        <f>_xlfn.XLOOKUP(X505,Hoja2!D:D,Hoja2!B:B)</f>
        <v>JOHAN SEBASTIAN PARDEYN AGUILAR</v>
      </c>
      <c r="V505" t="str">
        <f>_xlfn.XLOOKUP(X505,Hoja2!D:D,Hoja2!C:C)</f>
        <v>BIT</v>
      </c>
      <c r="W505" s="9">
        <f>IF(V505="pregrado",31,
IF(V505="posgrados",31,
IF(V505="rEINTEGROS",7,
IF(V505="BIT",90,
IF(V505="OP GRADO - INGLÉS",17,"")))))</f>
        <v>90</v>
      </c>
      <c r="X505" t="s">
        <v>4075</v>
      </c>
    </row>
    <row r="506" spans="1:24" ht="15" x14ac:dyDescent="0.35">
      <c r="A506" s="4">
        <v>45912.399201388886</v>
      </c>
      <c r="B506">
        <v>20096047</v>
      </c>
      <c r="C506" s="5" t="s">
        <v>19</v>
      </c>
      <c r="D506">
        <v>149841</v>
      </c>
      <c r="E506" t="s">
        <v>43</v>
      </c>
      <c r="F506">
        <v>18130946</v>
      </c>
      <c r="G506" t="s">
        <v>44</v>
      </c>
      <c r="H506">
        <v>100158818</v>
      </c>
      <c r="I506">
        <v>202641</v>
      </c>
      <c r="J506">
        <v>18130946</v>
      </c>
      <c r="K506" t="s">
        <v>46</v>
      </c>
      <c r="L506" t="s">
        <v>45</v>
      </c>
      <c r="M506" t="s">
        <v>47</v>
      </c>
      <c r="N506" t="s">
        <v>35</v>
      </c>
      <c r="O506" t="s">
        <v>26</v>
      </c>
      <c r="P506" t="s">
        <v>27</v>
      </c>
      <c r="Q506" t="s">
        <v>28</v>
      </c>
      <c r="R506" t="s">
        <v>29</v>
      </c>
      <c r="S506" t="s">
        <v>30</v>
      </c>
      <c r="T506">
        <v>1015401969</v>
      </c>
      <c r="U506" t="s">
        <v>3936</v>
      </c>
      <c r="V506" t="s">
        <v>3937</v>
      </c>
      <c r="W506" s="9">
        <f>IF(V506="pregrado",31,
IF(V506="posgrados",31,
IF(V506="rEINTEGROS",7,
IF(V506="BIT",90,
IF(V506="OP GRADO - INGLÉS",17,"")))))</f>
        <v>31</v>
      </c>
      <c r="X506" t="s">
        <v>3945</v>
      </c>
    </row>
    <row r="507" spans="1:24" ht="15" x14ac:dyDescent="0.35">
      <c r="A507" s="4">
        <v>45917.702523148146</v>
      </c>
      <c r="B507">
        <v>20096706</v>
      </c>
      <c r="C507" s="5" t="s">
        <v>19</v>
      </c>
      <c r="D507">
        <v>150077</v>
      </c>
      <c r="E507" t="s">
        <v>43</v>
      </c>
      <c r="F507">
        <v>1112967055</v>
      </c>
      <c r="G507" t="s">
        <v>58</v>
      </c>
      <c r="H507">
        <v>100134666</v>
      </c>
      <c r="I507">
        <v>202641</v>
      </c>
      <c r="J507">
        <v>1112967055</v>
      </c>
      <c r="K507" t="s">
        <v>23</v>
      </c>
      <c r="L507" t="s">
        <v>59</v>
      </c>
      <c r="M507" t="s">
        <v>47</v>
      </c>
      <c r="N507" t="s">
        <v>35</v>
      </c>
      <c r="O507" t="s">
        <v>26</v>
      </c>
      <c r="P507" t="s">
        <v>27</v>
      </c>
      <c r="Q507" t="s">
        <v>28</v>
      </c>
      <c r="R507" t="s">
        <v>29</v>
      </c>
      <c r="S507" t="s">
        <v>30</v>
      </c>
      <c r="T507">
        <v>1014285873</v>
      </c>
      <c r="U507" t="s">
        <v>3948</v>
      </c>
      <c r="V507" t="s">
        <v>3937</v>
      </c>
      <c r="W507" s="9">
        <f>IF(V507="pregrado",31,
IF(V507="posgrados",31,
IF(V507="rEINTEGROS",7,
IF(V507="BIT",90,
IF(V507="OP GRADO - INGLÉS",17,"")))))</f>
        <v>31</v>
      </c>
      <c r="X507" t="s">
        <v>3953</v>
      </c>
    </row>
    <row r="508" spans="1:24" ht="15" x14ac:dyDescent="0.35">
      <c r="A508" s="4">
        <v>45930.625636574077</v>
      </c>
      <c r="B508">
        <v>20098169</v>
      </c>
      <c r="C508" s="5" t="s">
        <v>19</v>
      </c>
      <c r="D508">
        <v>150675</v>
      </c>
      <c r="E508" t="s">
        <v>43</v>
      </c>
      <c r="F508">
        <v>1077973229</v>
      </c>
      <c r="G508" t="s">
        <v>98</v>
      </c>
      <c r="H508">
        <v>100230934</v>
      </c>
      <c r="I508">
        <v>202641</v>
      </c>
      <c r="J508">
        <v>1077973229</v>
      </c>
      <c r="K508" t="s">
        <v>23</v>
      </c>
      <c r="L508" t="s">
        <v>99</v>
      </c>
      <c r="M508" t="s">
        <v>47</v>
      </c>
      <c r="N508" t="s">
        <v>35</v>
      </c>
      <c r="O508" t="s">
        <v>26</v>
      </c>
      <c r="P508" t="s">
        <v>27</v>
      </c>
      <c r="Q508" t="s">
        <v>28</v>
      </c>
      <c r="R508" t="s">
        <v>29</v>
      </c>
      <c r="S508" t="s">
        <v>30</v>
      </c>
      <c r="T508">
        <v>1075542872</v>
      </c>
      <c r="U508" t="s">
        <v>3948</v>
      </c>
      <c r="V508" t="s">
        <v>3937</v>
      </c>
      <c r="W508" s="9">
        <f>IF(V508="pregrado",31,
IF(V508="posgrados",31,
IF(V508="rEINTEGROS",7,
IF(V508="BIT",90,
IF(V508="OP GRADO - INGLÉS",17,"")))))</f>
        <v>31</v>
      </c>
      <c r="X508" t="s">
        <v>3974</v>
      </c>
    </row>
    <row r="509" spans="1:24" ht="15" x14ac:dyDescent="0.35">
      <c r="A509" s="4">
        <v>45924.752523148149</v>
      </c>
      <c r="B509">
        <v>20097465</v>
      </c>
      <c r="C509" s="5" t="s">
        <v>19</v>
      </c>
      <c r="D509">
        <v>150739</v>
      </c>
      <c r="E509" t="s">
        <v>43</v>
      </c>
      <c r="F509">
        <v>1003674807</v>
      </c>
      <c r="G509" t="s">
        <v>73</v>
      </c>
      <c r="H509">
        <v>100095114</v>
      </c>
      <c r="I509">
        <v>202641</v>
      </c>
      <c r="J509">
        <v>1003674807</v>
      </c>
      <c r="K509" t="s">
        <v>74</v>
      </c>
      <c r="L509" t="s">
        <v>72</v>
      </c>
      <c r="M509" t="s">
        <v>47</v>
      </c>
      <c r="N509" t="s">
        <v>35</v>
      </c>
      <c r="O509" t="s">
        <v>26</v>
      </c>
      <c r="P509" t="s">
        <v>27</v>
      </c>
      <c r="Q509" t="s">
        <v>28</v>
      </c>
      <c r="R509" t="s">
        <v>29</v>
      </c>
      <c r="S509" t="s">
        <v>30</v>
      </c>
      <c r="T509">
        <v>52965969</v>
      </c>
      <c r="U509" t="s">
        <v>3936</v>
      </c>
      <c r="V509" t="s">
        <v>3937</v>
      </c>
      <c r="W509" s="9">
        <f>IF(V509="pregrado",31,
IF(V509="posgrados",31,
IF(V509="rEINTEGROS",7,
IF(V509="BIT",90,
IF(V509="OP GRADO - INGLÉS",17,"")))))</f>
        <v>31</v>
      </c>
      <c r="X509" t="s">
        <v>3960</v>
      </c>
    </row>
    <row r="510" spans="1:24" ht="15" x14ac:dyDescent="0.35">
      <c r="A510" s="4">
        <v>45924.712037037039</v>
      </c>
      <c r="B510">
        <v>20097444</v>
      </c>
      <c r="C510" s="5" t="s">
        <v>19</v>
      </c>
      <c r="D510">
        <v>150762</v>
      </c>
      <c r="E510" t="s">
        <v>43</v>
      </c>
      <c r="F510">
        <v>14471915</v>
      </c>
      <c r="G510" t="s">
        <v>71</v>
      </c>
      <c r="H510">
        <v>100231115</v>
      </c>
      <c r="I510">
        <v>202641</v>
      </c>
      <c r="J510">
        <v>1013677884</v>
      </c>
      <c r="K510" t="s">
        <v>23</v>
      </c>
      <c r="L510" t="s">
        <v>72</v>
      </c>
      <c r="M510" t="s">
        <v>47</v>
      </c>
      <c r="N510" t="s">
        <v>35</v>
      </c>
      <c r="O510" t="s">
        <v>26</v>
      </c>
      <c r="P510" t="s">
        <v>27</v>
      </c>
      <c r="Q510" t="s">
        <v>28</v>
      </c>
      <c r="R510" t="s">
        <v>29</v>
      </c>
      <c r="S510" t="s">
        <v>30</v>
      </c>
      <c r="T510">
        <v>1013687925</v>
      </c>
      <c r="U510" t="s">
        <v>3933</v>
      </c>
      <c r="V510" t="s">
        <v>3934</v>
      </c>
      <c r="W510" s="9">
        <f>IF(V510="pregrado",31,
IF(V510="posgrados",31,
IF(V510="rEINTEGROS",7,
IF(V510="BIT",90,
IF(V510="OP GRADO - INGLÉS",17,"")))))</f>
        <v>31</v>
      </c>
      <c r="X510" t="s">
        <v>3959</v>
      </c>
    </row>
    <row r="511" spans="1:24" ht="15" x14ac:dyDescent="0.35">
      <c r="A511" s="4">
        <v>45930.511331018519</v>
      </c>
      <c r="B511">
        <v>20098121</v>
      </c>
      <c r="C511" s="5" t="s">
        <v>19</v>
      </c>
      <c r="D511">
        <v>151016</v>
      </c>
      <c r="E511" t="s">
        <v>43</v>
      </c>
      <c r="F511">
        <v>1023900285</v>
      </c>
      <c r="G511" t="s">
        <v>93</v>
      </c>
      <c r="H511">
        <v>100135685</v>
      </c>
      <c r="I511">
        <v>202641</v>
      </c>
      <c r="J511">
        <v>1023900285</v>
      </c>
      <c r="K511" t="s">
        <v>46</v>
      </c>
      <c r="L511" t="s">
        <v>94</v>
      </c>
      <c r="M511" t="s">
        <v>47</v>
      </c>
      <c r="N511" t="s">
        <v>35</v>
      </c>
      <c r="O511" t="s">
        <v>26</v>
      </c>
      <c r="P511" t="s">
        <v>27</v>
      </c>
      <c r="Q511" t="s">
        <v>28</v>
      </c>
      <c r="R511" t="s">
        <v>29</v>
      </c>
      <c r="S511" t="s">
        <v>30</v>
      </c>
      <c r="T511">
        <v>1140420282</v>
      </c>
      <c r="U511" t="s">
        <v>3948</v>
      </c>
      <c r="V511" t="s">
        <v>3937</v>
      </c>
      <c r="W511" s="9">
        <f>IF(V511="pregrado",31,
IF(V511="posgrados",31,
IF(V511="rEINTEGROS",7,
IF(V511="BIT",90,
IF(V511="OP GRADO - INGLÉS",17,"")))))</f>
        <v>31</v>
      </c>
      <c r="X511" t="s">
        <v>3972</v>
      </c>
    </row>
    <row r="512" spans="1:24" ht="15" x14ac:dyDescent="0.35">
      <c r="A512" s="4">
        <v>45938.502210648148</v>
      </c>
      <c r="B512">
        <v>20099434</v>
      </c>
      <c r="C512" s="5" t="s">
        <v>19</v>
      </c>
      <c r="D512">
        <v>151193</v>
      </c>
      <c r="E512" t="s">
        <v>43</v>
      </c>
      <c r="F512">
        <v>1107520893</v>
      </c>
      <c r="G512" t="s">
        <v>117</v>
      </c>
      <c r="H512">
        <v>100108019</v>
      </c>
      <c r="I512">
        <v>202641</v>
      </c>
      <c r="J512">
        <v>1107520893</v>
      </c>
      <c r="K512" t="s">
        <v>46</v>
      </c>
      <c r="L512" t="s">
        <v>45</v>
      </c>
      <c r="M512" t="s">
        <v>47</v>
      </c>
      <c r="N512" t="s">
        <v>35</v>
      </c>
      <c r="O512" t="s">
        <v>26</v>
      </c>
      <c r="P512" t="s">
        <v>27</v>
      </c>
      <c r="Q512" t="s">
        <v>28</v>
      </c>
      <c r="R512" t="s">
        <v>29</v>
      </c>
      <c r="S512" t="s">
        <v>30</v>
      </c>
      <c r="T512">
        <v>1020754225</v>
      </c>
      <c r="U512" t="s">
        <v>3948</v>
      </c>
      <c r="V512" t="s">
        <v>3937</v>
      </c>
      <c r="W512" s="9">
        <f>IF(V512="pregrado",31,
IF(V512="posgrados",31,
IF(V512="rEINTEGROS",7,
IF(V512="BIT",90,
IF(V512="OP GRADO - INGLÉS",17,"")))))</f>
        <v>31</v>
      </c>
      <c r="X512" t="s">
        <v>3981</v>
      </c>
    </row>
    <row r="513" spans="1:24" ht="15" x14ac:dyDescent="0.35">
      <c r="A513" s="4">
        <v>45985.577233796299</v>
      </c>
      <c r="B513">
        <v>20104691</v>
      </c>
      <c r="C513" s="5" t="s">
        <v>19</v>
      </c>
      <c r="D513">
        <v>151210</v>
      </c>
      <c r="E513" t="s">
        <v>43</v>
      </c>
      <c r="F513">
        <v>94539093</v>
      </c>
      <c r="G513" t="s">
        <v>488</v>
      </c>
      <c r="H513">
        <v>100129709</v>
      </c>
      <c r="I513">
        <v>202641</v>
      </c>
      <c r="J513">
        <v>94539093</v>
      </c>
      <c r="K513" t="s">
        <v>46</v>
      </c>
      <c r="L513" t="s">
        <v>59</v>
      </c>
      <c r="M513" t="s">
        <v>47</v>
      </c>
      <c r="N513" t="s">
        <v>35</v>
      </c>
      <c r="O513" t="s">
        <v>26</v>
      </c>
      <c r="P513" t="s">
        <v>27</v>
      </c>
      <c r="Q513" t="s">
        <v>28</v>
      </c>
      <c r="R513" t="s">
        <v>29</v>
      </c>
      <c r="S513" t="s">
        <v>30</v>
      </c>
      <c r="T513">
        <v>1140420282</v>
      </c>
      <c r="U513" t="s">
        <v>3948</v>
      </c>
      <c r="V513" t="s">
        <v>3937</v>
      </c>
      <c r="W513" s="9">
        <f>IF(V513="pregrado",31,
IF(V513="posgrados",31,
IF(V513="rEINTEGROS",7,
IF(V513="BIT",90,
IF(V513="OP GRADO - INGLÉS",17,"")))))</f>
        <v>31</v>
      </c>
      <c r="X513" t="s">
        <v>3972</v>
      </c>
    </row>
    <row r="514" spans="1:24" ht="15" x14ac:dyDescent="0.35">
      <c r="A514" s="4">
        <v>45936.723298611112</v>
      </c>
      <c r="B514">
        <v>20099126</v>
      </c>
      <c r="C514" s="5" t="s">
        <v>19</v>
      </c>
      <c r="D514">
        <v>151408</v>
      </c>
      <c r="E514" t="s">
        <v>43</v>
      </c>
      <c r="F514">
        <v>1018473294</v>
      </c>
      <c r="G514" t="s">
        <v>105</v>
      </c>
      <c r="H514">
        <v>100232152</v>
      </c>
      <c r="I514">
        <v>202641</v>
      </c>
      <c r="J514">
        <v>1018473294</v>
      </c>
      <c r="K514" t="s">
        <v>23</v>
      </c>
      <c r="L514" t="s">
        <v>94</v>
      </c>
      <c r="M514" t="s">
        <v>47</v>
      </c>
      <c r="N514" t="s">
        <v>35</v>
      </c>
      <c r="O514" t="s">
        <v>26</v>
      </c>
      <c r="P514" t="s">
        <v>27</v>
      </c>
      <c r="Q514" t="s">
        <v>28</v>
      </c>
      <c r="R514" t="s">
        <v>29</v>
      </c>
      <c r="S514" t="s">
        <v>30</v>
      </c>
      <c r="T514">
        <v>1022407392</v>
      </c>
      <c r="U514" t="s">
        <v>3936</v>
      </c>
      <c r="V514" t="s">
        <v>3937</v>
      </c>
      <c r="W514" s="9">
        <f>IF(V514="pregrado",31,
IF(V514="posgrados",31,
IF(V514="rEINTEGROS",7,
IF(V514="BIT",90,
IF(V514="OP GRADO - INGLÉS",17,"")))))</f>
        <v>31</v>
      </c>
      <c r="X514" t="s">
        <v>3975</v>
      </c>
    </row>
    <row r="515" spans="1:24" ht="15" x14ac:dyDescent="0.35">
      <c r="A515" s="4">
        <v>45953.717453703706</v>
      </c>
      <c r="B515">
        <v>20101981</v>
      </c>
      <c r="C515" s="5" t="s">
        <v>19</v>
      </c>
      <c r="D515">
        <v>151740</v>
      </c>
      <c r="E515" t="s">
        <v>43</v>
      </c>
      <c r="F515">
        <v>1003520237</v>
      </c>
      <c r="G515" t="s">
        <v>170</v>
      </c>
      <c r="H515">
        <v>100232663</v>
      </c>
      <c r="I515">
        <v>202641</v>
      </c>
      <c r="J515">
        <v>1003520237</v>
      </c>
      <c r="K515" t="s">
        <v>23</v>
      </c>
      <c r="L515" t="s">
        <v>45</v>
      </c>
      <c r="M515" t="s">
        <v>47</v>
      </c>
      <c r="N515" t="s">
        <v>35</v>
      </c>
      <c r="O515" t="s">
        <v>26</v>
      </c>
      <c r="P515" t="s">
        <v>27</v>
      </c>
      <c r="Q515" t="s">
        <v>28</v>
      </c>
      <c r="R515" t="s">
        <v>29</v>
      </c>
      <c r="S515" t="s">
        <v>30</v>
      </c>
      <c r="T515">
        <v>1233888787</v>
      </c>
      <c r="U515" t="s">
        <v>3936</v>
      </c>
      <c r="V515" t="s">
        <v>3937</v>
      </c>
      <c r="W515" s="9">
        <f>IF(V515="pregrado",31,
IF(V515="posgrados",31,
IF(V515="rEINTEGROS",7,
IF(V515="BIT",90,
IF(V515="OP GRADO - INGLÉS",17,"")))))</f>
        <v>31</v>
      </c>
      <c r="X515" t="s">
        <v>3998</v>
      </c>
    </row>
    <row r="516" spans="1:24" ht="15" x14ac:dyDescent="0.35">
      <c r="A516" s="4">
        <v>45952.448391203703</v>
      </c>
      <c r="B516">
        <v>20101627</v>
      </c>
      <c r="C516" s="5" t="s">
        <v>19</v>
      </c>
      <c r="D516">
        <v>151843</v>
      </c>
      <c r="E516" t="s">
        <v>43</v>
      </c>
      <c r="F516">
        <v>52703397</v>
      </c>
      <c r="G516" t="s">
        <v>159</v>
      </c>
      <c r="H516">
        <v>100080102</v>
      </c>
      <c r="I516">
        <v>202641</v>
      </c>
      <c r="J516">
        <v>52703397</v>
      </c>
      <c r="K516" t="s">
        <v>46</v>
      </c>
      <c r="L516" t="s">
        <v>160</v>
      </c>
      <c r="M516" t="s">
        <v>47</v>
      </c>
      <c r="N516" t="s">
        <v>35</v>
      </c>
      <c r="O516" t="s">
        <v>26</v>
      </c>
      <c r="P516" t="s">
        <v>27</v>
      </c>
      <c r="Q516" t="s">
        <v>28</v>
      </c>
      <c r="R516" t="s">
        <v>29</v>
      </c>
      <c r="S516" t="s">
        <v>30</v>
      </c>
      <c r="T516">
        <v>1016030683</v>
      </c>
      <c r="U516" t="s">
        <v>3936</v>
      </c>
      <c r="V516" t="s">
        <v>3937</v>
      </c>
      <c r="W516" s="9">
        <f>IF(V516="pregrado",31,
IF(V516="posgrados",31,
IF(V516="rEINTEGROS",7,
IF(V516="BIT",90,
IF(V516="OP GRADO - INGLÉS",17,"")))))</f>
        <v>31</v>
      </c>
      <c r="X516" t="s">
        <v>3992</v>
      </c>
    </row>
    <row r="517" spans="1:24" ht="15" x14ac:dyDescent="0.35">
      <c r="A517" s="4">
        <v>45947.424340277779</v>
      </c>
      <c r="B517">
        <v>20100856</v>
      </c>
      <c r="C517" s="5" t="s">
        <v>19</v>
      </c>
      <c r="D517">
        <v>152081</v>
      </c>
      <c r="E517" t="s">
        <v>43</v>
      </c>
      <c r="F517">
        <v>1004010421</v>
      </c>
      <c r="G517" t="s">
        <v>139</v>
      </c>
      <c r="H517">
        <v>100233267</v>
      </c>
      <c r="I517">
        <v>202641</v>
      </c>
      <c r="J517">
        <v>1004010421</v>
      </c>
      <c r="K517" t="s">
        <v>23</v>
      </c>
      <c r="L517" t="s">
        <v>140</v>
      </c>
      <c r="M517" t="s">
        <v>47</v>
      </c>
      <c r="N517" t="s">
        <v>25</v>
      </c>
      <c r="O517" t="s">
        <v>26</v>
      </c>
      <c r="P517" t="s">
        <v>27</v>
      </c>
      <c r="Q517" t="s">
        <v>28</v>
      </c>
      <c r="R517" t="s">
        <v>29</v>
      </c>
      <c r="S517" t="s">
        <v>30</v>
      </c>
      <c r="T517">
        <v>52032666</v>
      </c>
      <c r="U517" t="s">
        <v>3948</v>
      </c>
      <c r="V517" t="s">
        <v>3937</v>
      </c>
      <c r="W517" s="9">
        <f>IF(V517="pregrado",31,
IF(V517="posgrados",31,
IF(V517="rEINTEGROS",7,
IF(V517="BIT",90,
IF(V517="OP GRADO - INGLÉS",17,"")))))</f>
        <v>31</v>
      </c>
      <c r="X517" t="s">
        <v>3983</v>
      </c>
    </row>
    <row r="518" spans="1:24" ht="15" x14ac:dyDescent="0.35">
      <c r="A518" s="4">
        <v>45951.823541666665</v>
      </c>
      <c r="B518">
        <v>20101545</v>
      </c>
      <c r="C518" s="5" t="s">
        <v>19</v>
      </c>
      <c r="D518">
        <v>153721</v>
      </c>
      <c r="E518" t="s">
        <v>43</v>
      </c>
      <c r="F518">
        <v>1065629562</v>
      </c>
      <c r="G518" t="s">
        <v>156</v>
      </c>
      <c r="H518">
        <v>100175955</v>
      </c>
      <c r="I518">
        <v>202641</v>
      </c>
      <c r="J518">
        <v>1065629562</v>
      </c>
      <c r="K518" t="s">
        <v>46</v>
      </c>
      <c r="L518" t="s">
        <v>45</v>
      </c>
      <c r="M518" t="s">
        <v>47</v>
      </c>
      <c r="N518" t="s">
        <v>35</v>
      </c>
      <c r="O518" t="s">
        <v>26</v>
      </c>
      <c r="P518" t="s">
        <v>27</v>
      </c>
      <c r="Q518" t="s">
        <v>28</v>
      </c>
      <c r="R518" t="s">
        <v>29</v>
      </c>
      <c r="S518" t="s">
        <v>30</v>
      </c>
      <c r="T518">
        <v>1032406382</v>
      </c>
      <c r="U518" t="s">
        <v>3936</v>
      </c>
      <c r="V518" t="s">
        <v>3937</v>
      </c>
      <c r="W518" s="9">
        <f>IF(V518="pregrado",31,
IF(V518="posgrados",31,
IF(V518="rEINTEGROS",7,
IF(V518="BIT",90,
IF(V518="OP GRADO - INGLÉS",17,"")))))</f>
        <v>31</v>
      </c>
      <c r="X518" t="s">
        <v>3991</v>
      </c>
    </row>
    <row r="519" spans="1:24" ht="15" x14ac:dyDescent="0.35">
      <c r="A519" s="4">
        <v>45952.732581018521</v>
      </c>
      <c r="B519">
        <v>20101772</v>
      </c>
      <c r="C519" s="5" t="s">
        <v>19</v>
      </c>
      <c r="D519">
        <v>153780</v>
      </c>
      <c r="E519" t="s">
        <v>43</v>
      </c>
      <c r="F519">
        <v>1234090037</v>
      </c>
      <c r="G519" t="s">
        <v>166</v>
      </c>
      <c r="H519">
        <v>100180239</v>
      </c>
      <c r="I519">
        <v>202641</v>
      </c>
      <c r="J519">
        <v>1234090037</v>
      </c>
      <c r="K519" t="s">
        <v>89</v>
      </c>
      <c r="L519" t="s">
        <v>160</v>
      </c>
      <c r="M519" t="s">
        <v>47</v>
      </c>
      <c r="N519" t="s">
        <v>35</v>
      </c>
      <c r="O519" t="s">
        <v>26</v>
      </c>
      <c r="P519" t="s">
        <v>27</v>
      </c>
      <c r="Q519" t="s">
        <v>28</v>
      </c>
      <c r="R519" t="s">
        <v>29</v>
      </c>
      <c r="S519" t="s">
        <v>30</v>
      </c>
      <c r="T519">
        <v>1023899450</v>
      </c>
      <c r="U519" t="s">
        <v>3969</v>
      </c>
      <c r="V519" t="s">
        <v>3970</v>
      </c>
      <c r="W519" s="9">
        <f>IF(V519="pregrado",31,
IF(V519="posgrados",31,
IF(V519="rEINTEGROS",7,
IF(V519="BIT",90,
IF(V519="OP GRADO - INGLÉS",17,"")))))</f>
        <v>7</v>
      </c>
      <c r="X519" t="s">
        <v>3969</v>
      </c>
    </row>
    <row r="520" spans="1:24" ht="15" x14ac:dyDescent="0.35">
      <c r="A520" s="4">
        <v>45988.676585648151</v>
      </c>
      <c r="B520">
        <v>20105140</v>
      </c>
      <c r="C520" s="6" t="s">
        <v>19</v>
      </c>
      <c r="D520">
        <v>153852</v>
      </c>
      <c r="E520" t="s">
        <v>43</v>
      </c>
      <c r="F520">
        <v>1018437070</v>
      </c>
      <c r="G520" t="s">
        <v>623</v>
      </c>
      <c r="H520">
        <v>100071924</v>
      </c>
      <c r="I520">
        <v>202641</v>
      </c>
      <c r="J520">
        <v>1018437070</v>
      </c>
      <c r="K520" t="s">
        <v>46</v>
      </c>
      <c r="L520" t="s">
        <v>59</v>
      </c>
      <c r="M520" t="s">
        <v>47</v>
      </c>
      <c r="N520" t="s">
        <v>35</v>
      </c>
      <c r="O520" t="s">
        <v>26</v>
      </c>
      <c r="P520" t="s">
        <v>27</v>
      </c>
      <c r="Q520" t="s">
        <v>28</v>
      </c>
      <c r="R520" t="s">
        <v>29</v>
      </c>
      <c r="S520" t="s">
        <v>30</v>
      </c>
      <c r="T520">
        <v>52965969</v>
      </c>
      <c r="U520" t="s">
        <v>3936</v>
      </c>
      <c r="V520" t="s">
        <v>3937</v>
      </c>
      <c r="W520" s="9">
        <f>IF(V520="pregrado",31,
IF(V520="posgrados",31,
IF(V520="rEINTEGROS",7,
IF(V520="BIT",90,
IF(V520="OP GRADO - INGLÉS",17,"")))))</f>
        <v>31</v>
      </c>
      <c r="X520" t="s">
        <v>3960</v>
      </c>
    </row>
    <row r="521" spans="1:24" ht="15" x14ac:dyDescent="0.35">
      <c r="A521" s="4">
        <v>45954.425312500003</v>
      </c>
      <c r="B521">
        <v>20102034</v>
      </c>
      <c r="C521" s="5" t="s">
        <v>19</v>
      </c>
      <c r="D521">
        <v>153873</v>
      </c>
      <c r="E521" t="s">
        <v>43</v>
      </c>
      <c r="F521">
        <v>1102865791</v>
      </c>
      <c r="G521" t="s">
        <v>171</v>
      </c>
      <c r="H521">
        <v>100233648</v>
      </c>
      <c r="I521">
        <v>202641</v>
      </c>
      <c r="J521">
        <v>1102865791</v>
      </c>
      <c r="K521" t="s">
        <v>23</v>
      </c>
      <c r="L521" t="s">
        <v>45</v>
      </c>
      <c r="M521" t="s">
        <v>47</v>
      </c>
      <c r="N521" t="s">
        <v>35</v>
      </c>
      <c r="O521" t="s">
        <v>26</v>
      </c>
      <c r="P521" t="s">
        <v>27</v>
      </c>
      <c r="Q521" t="s">
        <v>28</v>
      </c>
      <c r="R521" t="s">
        <v>29</v>
      </c>
      <c r="S521" t="s">
        <v>30</v>
      </c>
      <c r="T521">
        <v>1082250716</v>
      </c>
      <c r="U521" t="s">
        <v>3936</v>
      </c>
      <c r="V521" t="s">
        <v>3937</v>
      </c>
      <c r="W521" s="9">
        <f>IF(V521="pregrado",31,
IF(V521="posgrados",31,
IF(V521="rEINTEGROS",7,
IF(V521="BIT",90,
IF(V521="OP GRADO - INGLÉS",17,"")))))</f>
        <v>31</v>
      </c>
      <c r="X521" t="s">
        <v>3997</v>
      </c>
    </row>
    <row r="522" spans="1:24" ht="15" x14ac:dyDescent="0.35">
      <c r="A522" s="4">
        <v>45953.677210648151</v>
      </c>
      <c r="B522">
        <v>20101960</v>
      </c>
      <c r="C522" s="5" t="s">
        <v>19</v>
      </c>
      <c r="D522">
        <v>153962</v>
      </c>
      <c r="E522" t="s">
        <v>43</v>
      </c>
      <c r="F522">
        <v>1128441127</v>
      </c>
      <c r="G522" t="s">
        <v>168</v>
      </c>
      <c r="H522">
        <v>100233786</v>
      </c>
      <c r="I522">
        <v>202641</v>
      </c>
      <c r="J522">
        <v>1128441127</v>
      </c>
      <c r="K522" t="s">
        <v>23</v>
      </c>
      <c r="L522" t="s">
        <v>94</v>
      </c>
      <c r="M522" t="s">
        <v>47</v>
      </c>
      <c r="N522" t="s">
        <v>35</v>
      </c>
      <c r="O522" t="s">
        <v>26</v>
      </c>
      <c r="P522" t="s">
        <v>27</v>
      </c>
      <c r="Q522" t="s">
        <v>28</v>
      </c>
      <c r="R522" t="s">
        <v>29</v>
      </c>
      <c r="S522" t="s">
        <v>30</v>
      </c>
      <c r="T522">
        <v>1082250716</v>
      </c>
      <c r="U522" t="s">
        <v>3936</v>
      </c>
      <c r="V522" t="s">
        <v>3937</v>
      </c>
      <c r="W522" s="9">
        <f>IF(V522="pregrado",31,
IF(V522="posgrados",31,
IF(V522="rEINTEGROS",7,
IF(V522="BIT",90,
IF(V522="OP GRADO - INGLÉS",17,"")))))</f>
        <v>31</v>
      </c>
      <c r="X522" t="s">
        <v>3997</v>
      </c>
    </row>
    <row r="523" spans="1:24" ht="15" x14ac:dyDescent="0.35">
      <c r="A523" s="4">
        <v>45965.75403935185</v>
      </c>
      <c r="B523">
        <v>20103362</v>
      </c>
      <c r="C523" s="5" t="s">
        <v>19</v>
      </c>
      <c r="D523">
        <v>154452</v>
      </c>
      <c r="E523" t="s">
        <v>43</v>
      </c>
      <c r="F523">
        <v>1000099218</v>
      </c>
      <c r="G523" t="s">
        <v>205</v>
      </c>
      <c r="H523">
        <v>100234621</v>
      </c>
      <c r="I523">
        <v>202641</v>
      </c>
      <c r="J523">
        <v>1000099218</v>
      </c>
      <c r="K523" t="s">
        <v>23</v>
      </c>
      <c r="L523" t="s">
        <v>72</v>
      </c>
      <c r="M523" t="s">
        <v>47</v>
      </c>
      <c r="N523" t="s">
        <v>35</v>
      </c>
      <c r="O523" t="s">
        <v>26</v>
      </c>
      <c r="P523" t="s">
        <v>27</v>
      </c>
      <c r="Q523" t="s">
        <v>28</v>
      </c>
      <c r="R523" t="s">
        <v>29</v>
      </c>
      <c r="S523" t="s">
        <v>30</v>
      </c>
      <c r="T523">
        <v>1020730718</v>
      </c>
      <c r="U523" t="s">
        <v>3941</v>
      </c>
      <c r="V523" t="s">
        <v>3934</v>
      </c>
      <c r="W523" s="9">
        <f>IF(V523="pregrado",31,
IF(V523="posgrados",31,
IF(V523="rEINTEGROS",7,
IF(V523="BIT",90,
IF(V523="OP GRADO - INGLÉS",17,"")))))</f>
        <v>31</v>
      </c>
      <c r="X523" t="s">
        <v>3952</v>
      </c>
    </row>
    <row r="524" spans="1:24" ht="15" x14ac:dyDescent="0.35">
      <c r="A524" s="4">
        <v>45992.427708333336</v>
      </c>
      <c r="B524">
        <v>20105414</v>
      </c>
      <c r="C524" s="6" t="s">
        <v>19</v>
      </c>
      <c r="D524">
        <v>154459</v>
      </c>
      <c r="E524" t="s">
        <v>43</v>
      </c>
      <c r="F524">
        <v>1116265957</v>
      </c>
      <c r="G524" t="s">
        <v>695</v>
      </c>
      <c r="H524">
        <v>100234644</v>
      </c>
      <c r="I524">
        <v>202641</v>
      </c>
      <c r="J524">
        <v>1116265957</v>
      </c>
      <c r="K524" t="s">
        <v>23</v>
      </c>
      <c r="L524" t="s">
        <v>45</v>
      </c>
      <c r="M524" t="s">
        <v>47</v>
      </c>
      <c r="N524" t="s">
        <v>35</v>
      </c>
      <c r="O524" t="s">
        <v>26</v>
      </c>
      <c r="P524" t="s">
        <v>27</v>
      </c>
      <c r="Q524" t="s">
        <v>28</v>
      </c>
      <c r="R524" t="s">
        <v>29</v>
      </c>
      <c r="S524" t="s">
        <v>30</v>
      </c>
      <c r="T524">
        <v>52916205</v>
      </c>
      <c r="U524" t="s">
        <v>3936</v>
      </c>
      <c r="V524" t="s">
        <v>3937</v>
      </c>
      <c r="W524" s="9">
        <f>IF(V524="pregrado",31,
IF(V524="posgrados",31,
IF(V524="rEINTEGROS",7,
IF(V524="BIT",90,
IF(V524="OP GRADO - INGLÉS",17,"")))))</f>
        <v>31</v>
      </c>
      <c r="X524" t="s">
        <v>4032</v>
      </c>
    </row>
    <row r="525" spans="1:24" ht="15" x14ac:dyDescent="0.35">
      <c r="A525" s="4">
        <v>45979.435798611114</v>
      </c>
      <c r="B525">
        <v>20104279</v>
      </c>
      <c r="C525" s="5" t="s">
        <v>19</v>
      </c>
      <c r="D525">
        <v>154466</v>
      </c>
      <c r="E525" t="s">
        <v>43</v>
      </c>
      <c r="F525">
        <v>1058972907</v>
      </c>
      <c r="G525" t="s">
        <v>394</v>
      </c>
      <c r="H525">
        <v>100046909</v>
      </c>
      <c r="I525">
        <v>202641</v>
      </c>
      <c r="J525">
        <v>1058972907</v>
      </c>
      <c r="K525" t="s">
        <v>46</v>
      </c>
      <c r="L525" t="s">
        <v>294</v>
      </c>
      <c r="M525" t="s">
        <v>47</v>
      </c>
      <c r="N525" t="s">
        <v>35</v>
      </c>
      <c r="O525" t="s">
        <v>26</v>
      </c>
      <c r="P525" t="s">
        <v>27</v>
      </c>
      <c r="Q525" t="s">
        <v>28</v>
      </c>
      <c r="R525" t="s">
        <v>29</v>
      </c>
      <c r="S525" t="s">
        <v>30</v>
      </c>
      <c r="T525">
        <v>53116792</v>
      </c>
      <c r="U525" t="s">
        <v>3936</v>
      </c>
      <c r="V525" t="s">
        <v>3937</v>
      </c>
      <c r="W525" s="9">
        <f>IF(V525="pregrado",31,
IF(V525="posgrados",31,
IF(V525="rEINTEGROS",7,
IF(V525="BIT",90,
IF(V525="OP GRADO - INGLÉS",17,"")))))</f>
        <v>31</v>
      </c>
      <c r="X525" t="s">
        <v>4008</v>
      </c>
    </row>
    <row r="526" spans="1:24" ht="15" x14ac:dyDescent="0.35">
      <c r="A526" s="4">
        <v>45966.639189814814</v>
      </c>
      <c r="B526">
        <v>20103449</v>
      </c>
      <c r="C526" s="5" t="s">
        <v>19</v>
      </c>
      <c r="D526">
        <v>154487</v>
      </c>
      <c r="E526" t="s">
        <v>43</v>
      </c>
      <c r="F526">
        <v>1000897701</v>
      </c>
      <c r="G526" t="s">
        <v>212</v>
      </c>
      <c r="H526">
        <v>100234703</v>
      </c>
      <c r="I526">
        <v>202641</v>
      </c>
      <c r="J526">
        <v>1000897701</v>
      </c>
      <c r="K526" t="s">
        <v>23</v>
      </c>
      <c r="L526" t="s">
        <v>72</v>
      </c>
      <c r="M526" t="s">
        <v>47</v>
      </c>
      <c r="N526" t="s">
        <v>35</v>
      </c>
      <c r="O526" t="s">
        <v>26</v>
      </c>
      <c r="P526" t="s">
        <v>27</v>
      </c>
      <c r="Q526" t="s">
        <v>28</v>
      </c>
      <c r="R526" t="s">
        <v>29</v>
      </c>
      <c r="S526" t="s">
        <v>30</v>
      </c>
      <c r="T526">
        <v>1020730718</v>
      </c>
      <c r="U526" t="s">
        <v>3941</v>
      </c>
      <c r="V526" t="s">
        <v>3934</v>
      </c>
      <c r="W526" s="9">
        <f>IF(V526="pregrado",31,
IF(V526="posgrados",31,
IF(V526="rEINTEGROS",7,
IF(V526="BIT",90,
IF(V526="OP GRADO - INGLÉS",17,"")))))</f>
        <v>31</v>
      </c>
      <c r="X526" t="s">
        <v>3952</v>
      </c>
    </row>
    <row r="527" spans="1:24" ht="15" x14ac:dyDescent="0.35">
      <c r="A527" s="4">
        <v>45967.386550925927</v>
      </c>
      <c r="B527">
        <v>20103519</v>
      </c>
      <c r="C527" s="5" t="s">
        <v>19</v>
      </c>
      <c r="D527">
        <v>154498</v>
      </c>
      <c r="E527" t="s">
        <v>43</v>
      </c>
      <c r="F527">
        <v>1087047561</v>
      </c>
      <c r="G527" t="s">
        <v>225</v>
      </c>
      <c r="H527">
        <v>100234727</v>
      </c>
      <c r="I527">
        <v>202641</v>
      </c>
      <c r="J527">
        <v>1087046814</v>
      </c>
      <c r="K527" t="s">
        <v>23</v>
      </c>
      <c r="L527" t="s">
        <v>59</v>
      </c>
      <c r="M527" t="s">
        <v>47</v>
      </c>
      <c r="N527" t="s">
        <v>35</v>
      </c>
      <c r="O527" t="s">
        <v>26</v>
      </c>
      <c r="P527" t="s">
        <v>27</v>
      </c>
      <c r="Q527" t="s">
        <v>28</v>
      </c>
      <c r="R527" t="s">
        <v>29</v>
      </c>
      <c r="S527" t="s">
        <v>30</v>
      </c>
      <c r="T527">
        <v>53116792</v>
      </c>
      <c r="U527" t="s">
        <v>3936</v>
      </c>
      <c r="V527" t="s">
        <v>3937</v>
      </c>
      <c r="W527" s="9">
        <f>IF(V527="pregrado",31,
IF(V527="posgrados",31,
IF(V527="rEINTEGROS",7,
IF(V527="BIT",90,
IF(V527="OP GRADO - INGLÉS",17,"")))))</f>
        <v>31</v>
      </c>
      <c r="X527" t="s">
        <v>4008</v>
      </c>
    </row>
    <row r="528" spans="1:24" ht="15" x14ac:dyDescent="0.35">
      <c r="A528" s="4">
        <v>45973.760416666664</v>
      </c>
      <c r="B528">
        <v>20104015</v>
      </c>
      <c r="C528" s="5" t="s">
        <v>19</v>
      </c>
      <c r="D528">
        <v>154513</v>
      </c>
      <c r="E528" t="s">
        <v>43</v>
      </c>
      <c r="F528">
        <v>1124316575</v>
      </c>
      <c r="G528" t="s">
        <v>327</v>
      </c>
      <c r="H528">
        <v>100234768</v>
      </c>
      <c r="I528">
        <v>202641</v>
      </c>
      <c r="J528">
        <v>1124316575</v>
      </c>
      <c r="K528" t="s">
        <v>23</v>
      </c>
      <c r="L528" t="s">
        <v>72</v>
      </c>
      <c r="M528" t="s">
        <v>47</v>
      </c>
      <c r="N528" t="s">
        <v>35</v>
      </c>
      <c r="O528" t="s">
        <v>26</v>
      </c>
      <c r="P528" t="s">
        <v>27</v>
      </c>
      <c r="Q528" t="s">
        <v>28</v>
      </c>
      <c r="R528" t="s">
        <v>29</v>
      </c>
      <c r="S528" t="s">
        <v>30</v>
      </c>
      <c r="T528">
        <v>53116792</v>
      </c>
      <c r="U528" t="s">
        <v>3936</v>
      </c>
      <c r="V528" t="s">
        <v>3937</v>
      </c>
      <c r="W528" s="9">
        <f>IF(V528="pregrado",31,
IF(V528="posgrados",31,
IF(V528="rEINTEGROS",7,
IF(V528="BIT",90,
IF(V528="OP GRADO - INGLÉS",17,"")))))</f>
        <v>31</v>
      </c>
      <c r="X528" t="s">
        <v>4008</v>
      </c>
    </row>
    <row r="529" spans="1:24" ht="15" x14ac:dyDescent="0.35">
      <c r="A529" s="4">
        <v>45967.885185185187</v>
      </c>
      <c r="B529">
        <v>20103633</v>
      </c>
      <c r="C529" s="5" t="s">
        <v>19</v>
      </c>
      <c r="D529">
        <v>154537</v>
      </c>
      <c r="E529" t="s">
        <v>43</v>
      </c>
      <c r="F529">
        <v>1122821823</v>
      </c>
      <c r="G529" t="s">
        <v>237</v>
      </c>
      <c r="H529">
        <v>100234850</v>
      </c>
      <c r="I529">
        <v>202641</v>
      </c>
      <c r="J529">
        <v>1122821823</v>
      </c>
      <c r="K529" t="s">
        <v>23</v>
      </c>
      <c r="L529" t="s">
        <v>45</v>
      </c>
      <c r="M529" t="s">
        <v>47</v>
      </c>
      <c r="N529" t="s">
        <v>35</v>
      </c>
      <c r="O529" t="s">
        <v>26</v>
      </c>
      <c r="P529" t="s">
        <v>27</v>
      </c>
      <c r="Q529" t="s">
        <v>28</v>
      </c>
      <c r="R529" t="s">
        <v>29</v>
      </c>
      <c r="S529" t="s">
        <v>30</v>
      </c>
      <c r="T529">
        <v>1032406382</v>
      </c>
      <c r="U529" t="s">
        <v>3936</v>
      </c>
      <c r="V529" t="s">
        <v>3937</v>
      </c>
      <c r="W529" s="9">
        <f>IF(V529="pregrado",31,
IF(V529="posgrados",31,
IF(V529="rEINTEGROS",7,
IF(V529="BIT",90,
IF(V529="OP GRADO - INGLÉS",17,"")))))</f>
        <v>31</v>
      </c>
      <c r="X529" t="s">
        <v>3991</v>
      </c>
    </row>
    <row r="530" spans="1:24" ht="15" x14ac:dyDescent="0.35">
      <c r="A530" s="4">
        <v>45971.663703703707</v>
      </c>
      <c r="B530">
        <v>20103803</v>
      </c>
      <c r="C530" s="5" t="s">
        <v>19</v>
      </c>
      <c r="D530">
        <v>154555</v>
      </c>
      <c r="E530" t="s">
        <v>43</v>
      </c>
      <c r="F530">
        <v>1047969177</v>
      </c>
      <c r="G530" t="s">
        <v>274</v>
      </c>
      <c r="H530">
        <v>100234885</v>
      </c>
      <c r="I530">
        <v>202651</v>
      </c>
      <c r="J530">
        <v>1047969177</v>
      </c>
      <c r="K530" t="s">
        <v>23</v>
      </c>
      <c r="L530" t="s">
        <v>252</v>
      </c>
      <c r="M530" t="s">
        <v>253</v>
      </c>
      <c r="N530" t="s">
        <v>35</v>
      </c>
      <c r="O530" t="s">
        <v>26</v>
      </c>
      <c r="P530" t="s">
        <v>27</v>
      </c>
      <c r="Q530" t="s">
        <v>28</v>
      </c>
      <c r="R530" t="s">
        <v>29</v>
      </c>
      <c r="S530" t="s">
        <v>30</v>
      </c>
      <c r="T530">
        <v>1140420282</v>
      </c>
      <c r="U530" t="s">
        <v>3948</v>
      </c>
      <c r="V530" t="s">
        <v>3937</v>
      </c>
      <c r="W530" s="9">
        <f>IF(V530="pregrado",31,
IF(V530="posgrados",31,
IF(V530="rEINTEGROS",7,
IF(V530="BIT",90,
IF(V530="OP GRADO - INGLÉS",17,"")))))</f>
        <v>31</v>
      </c>
      <c r="X530" t="s">
        <v>3972</v>
      </c>
    </row>
    <row r="531" spans="1:24" ht="15" x14ac:dyDescent="0.35">
      <c r="A531" s="4">
        <v>45968.673715277779</v>
      </c>
      <c r="B531">
        <v>20103703</v>
      </c>
      <c r="C531" s="5" t="s">
        <v>19</v>
      </c>
      <c r="D531">
        <v>154557</v>
      </c>
      <c r="E531" t="s">
        <v>43</v>
      </c>
      <c r="F531">
        <v>1059694966</v>
      </c>
      <c r="G531" t="s">
        <v>251</v>
      </c>
      <c r="H531">
        <v>100021519</v>
      </c>
      <c r="I531">
        <v>202651</v>
      </c>
      <c r="J531">
        <v>1059694966</v>
      </c>
      <c r="K531" t="s">
        <v>23</v>
      </c>
      <c r="L531" t="s">
        <v>252</v>
      </c>
      <c r="M531" t="s">
        <v>253</v>
      </c>
      <c r="N531" t="s">
        <v>35</v>
      </c>
      <c r="O531" t="s">
        <v>26</v>
      </c>
      <c r="P531" t="s">
        <v>27</v>
      </c>
      <c r="Q531" t="s">
        <v>28</v>
      </c>
      <c r="R531" t="s">
        <v>29</v>
      </c>
      <c r="S531" t="s">
        <v>30</v>
      </c>
      <c r="T531">
        <v>1140420282</v>
      </c>
      <c r="U531" t="s">
        <v>3948</v>
      </c>
      <c r="V531" t="s">
        <v>3937</v>
      </c>
      <c r="W531" s="9">
        <f>IF(V531="pregrado",31,
IF(V531="posgrados",31,
IF(V531="rEINTEGROS",7,
IF(V531="BIT",90,
IF(V531="OP GRADO - INGLÉS",17,"")))))</f>
        <v>31</v>
      </c>
      <c r="X531" t="s">
        <v>3972</v>
      </c>
    </row>
    <row r="532" spans="1:24" ht="15" x14ac:dyDescent="0.35">
      <c r="A532" s="4">
        <v>45979.743136574078</v>
      </c>
      <c r="B532">
        <v>20104338</v>
      </c>
      <c r="C532" s="5" t="s">
        <v>19</v>
      </c>
      <c r="D532">
        <v>154579</v>
      </c>
      <c r="E532" t="s">
        <v>43</v>
      </c>
      <c r="F532">
        <v>1140848460</v>
      </c>
      <c r="G532" t="s">
        <v>413</v>
      </c>
      <c r="H532">
        <v>100234950</v>
      </c>
      <c r="I532">
        <v>202641</v>
      </c>
      <c r="J532">
        <v>1140848460</v>
      </c>
      <c r="K532" t="s">
        <v>33</v>
      </c>
      <c r="L532" t="s">
        <v>59</v>
      </c>
      <c r="M532" t="s">
        <v>47</v>
      </c>
      <c r="N532" t="s">
        <v>35</v>
      </c>
      <c r="O532" t="s">
        <v>26</v>
      </c>
      <c r="P532" t="s">
        <v>27</v>
      </c>
      <c r="Q532" t="s">
        <v>28</v>
      </c>
      <c r="R532" t="s">
        <v>29</v>
      </c>
      <c r="S532" t="s">
        <v>30</v>
      </c>
      <c r="T532">
        <v>1233888787</v>
      </c>
      <c r="U532" t="s">
        <v>3936</v>
      </c>
      <c r="V532" t="s">
        <v>3937</v>
      </c>
      <c r="W532" s="9">
        <f>IF(V532="pregrado",31,
IF(V532="posgrados",31,
IF(V532="rEINTEGROS",7,
IF(V532="BIT",90,
IF(V532="OP GRADO - INGLÉS",17,"")))))</f>
        <v>31</v>
      </c>
      <c r="X532" t="s">
        <v>3998</v>
      </c>
    </row>
    <row r="533" spans="1:24" ht="15" x14ac:dyDescent="0.35">
      <c r="A533" s="4">
        <v>45976.623773148145</v>
      </c>
      <c r="B533">
        <v>20104248</v>
      </c>
      <c r="C533" s="5" t="s">
        <v>19</v>
      </c>
      <c r="D533">
        <v>154612</v>
      </c>
      <c r="E533" t="s">
        <v>43</v>
      </c>
      <c r="F533">
        <v>11785166</v>
      </c>
      <c r="G533" t="s">
        <v>385</v>
      </c>
      <c r="H533">
        <v>100235020</v>
      </c>
      <c r="I533">
        <v>202651</v>
      </c>
      <c r="J533">
        <v>11808041</v>
      </c>
      <c r="K533" t="s">
        <v>23</v>
      </c>
      <c r="L533" t="s">
        <v>252</v>
      </c>
      <c r="M533" t="s">
        <v>253</v>
      </c>
      <c r="N533" t="s">
        <v>35</v>
      </c>
      <c r="O533" t="s">
        <v>26</v>
      </c>
      <c r="P533" t="s">
        <v>27</v>
      </c>
      <c r="Q533" t="s">
        <v>28</v>
      </c>
      <c r="R533" t="s">
        <v>29</v>
      </c>
      <c r="S533" t="s">
        <v>30</v>
      </c>
      <c r="T533">
        <v>1032451737</v>
      </c>
      <c r="U533" t="s">
        <v>3948</v>
      </c>
      <c r="V533" t="s">
        <v>3937</v>
      </c>
      <c r="W533" s="9">
        <f>IF(V533="pregrado",31,
IF(V533="posgrados",31,
IF(V533="rEINTEGROS",7,
IF(V533="BIT",90,
IF(V533="OP GRADO - INGLÉS",17,"")))))</f>
        <v>31</v>
      </c>
      <c r="X533" t="s">
        <v>4033</v>
      </c>
    </row>
    <row r="534" spans="1:24" ht="15" x14ac:dyDescent="0.35">
      <c r="A534" s="4">
        <v>45972.66846064815</v>
      </c>
      <c r="B534">
        <v>20103909</v>
      </c>
      <c r="C534" s="5" t="s">
        <v>19</v>
      </c>
      <c r="D534">
        <v>154626</v>
      </c>
      <c r="E534" t="s">
        <v>43</v>
      </c>
      <c r="F534">
        <v>1085331934</v>
      </c>
      <c r="G534" t="s">
        <v>298</v>
      </c>
      <c r="H534">
        <v>100235068</v>
      </c>
      <c r="I534">
        <v>202651</v>
      </c>
      <c r="J534">
        <v>1085331934</v>
      </c>
      <c r="K534" t="s">
        <v>23</v>
      </c>
      <c r="L534" t="s">
        <v>252</v>
      </c>
      <c r="M534" t="s">
        <v>253</v>
      </c>
      <c r="N534" t="s">
        <v>35</v>
      </c>
      <c r="O534" t="s">
        <v>26</v>
      </c>
      <c r="P534" t="s">
        <v>27</v>
      </c>
      <c r="Q534" t="s">
        <v>28</v>
      </c>
      <c r="R534" t="s">
        <v>29</v>
      </c>
      <c r="S534" t="s">
        <v>30</v>
      </c>
      <c r="T534">
        <v>1014285873</v>
      </c>
      <c r="U534" t="s">
        <v>3948</v>
      </c>
      <c r="V534" t="s">
        <v>3937</v>
      </c>
      <c r="W534" s="9">
        <f>IF(V534="pregrado",31,
IF(V534="posgrados",31,
IF(V534="rEINTEGROS",7,
IF(V534="BIT",90,
IF(V534="OP GRADO - INGLÉS",17,"")))))</f>
        <v>31</v>
      </c>
      <c r="X534" t="s">
        <v>3953</v>
      </c>
    </row>
    <row r="535" spans="1:24" ht="15" x14ac:dyDescent="0.35">
      <c r="A535" s="4">
        <v>45971.686018518521</v>
      </c>
      <c r="B535">
        <v>20103807</v>
      </c>
      <c r="C535" s="5" t="s">
        <v>19</v>
      </c>
      <c r="D535">
        <v>154627</v>
      </c>
      <c r="E535" t="s">
        <v>43</v>
      </c>
      <c r="F535">
        <v>1130683887</v>
      </c>
      <c r="G535" t="s">
        <v>276</v>
      </c>
      <c r="H535">
        <v>100235069</v>
      </c>
      <c r="I535">
        <v>202651</v>
      </c>
      <c r="J535">
        <v>1130683887</v>
      </c>
      <c r="K535" t="s">
        <v>23</v>
      </c>
      <c r="L535" t="s">
        <v>252</v>
      </c>
      <c r="M535" t="s">
        <v>253</v>
      </c>
      <c r="N535" t="s">
        <v>35</v>
      </c>
      <c r="O535" t="s">
        <v>26</v>
      </c>
      <c r="P535" t="s">
        <v>27</v>
      </c>
      <c r="Q535" t="s">
        <v>28</v>
      </c>
      <c r="R535" t="s">
        <v>29</v>
      </c>
      <c r="S535" t="s">
        <v>30</v>
      </c>
      <c r="T535">
        <v>1014285873</v>
      </c>
      <c r="U535" t="s">
        <v>3948</v>
      </c>
      <c r="V535" t="s">
        <v>3937</v>
      </c>
      <c r="W535" s="9">
        <f>IF(V535="pregrado",31,
IF(V535="posgrados",31,
IF(V535="rEINTEGROS",7,
IF(V535="BIT",90,
IF(V535="OP GRADO - INGLÉS",17,"")))))</f>
        <v>31</v>
      </c>
      <c r="X535" t="s">
        <v>3953</v>
      </c>
    </row>
    <row r="536" spans="1:24" ht="15" x14ac:dyDescent="0.35">
      <c r="A536" s="4">
        <v>45971.720960648148</v>
      </c>
      <c r="B536">
        <v>20103816</v>
      </c>
      <c r="C536" s="5" t="s">
        <v>19</v>
      </c>
      <c r="D536">
        <v>154628</v>
      </c>
      <c r="E536" t="s">
        <v>43</v>
      </c>
      <c r="F536">
        <v>1032415763</v>
      </c>
      <c r="G536" t="s">
        <v>278</v>
      </c>
      <c r="H536">
        <v>100235070</v>
      </c>
      <c r="I536">
        <v>202641</v>
      </c>
      <c r="J536">
        <v>1032415763</v>
      </c>
      <c r="K536" t="s">
        <v>23</v>
      </c>
      <c r="L536" t="s">
        <v>279</v>
      </c>
      <c r="M536" t="s">
        <v>47</v>
      </c>
      <c r="N536" t="s">
        <v>35</v>
      </c>
      <c r="O536" t="s">
        <v>26</v>
      </c>
      <c r="P536" t="s">
        <v>27</v>
      </c>
      <c r="Q536" t="s">
        <v>28</v>
      </c>
      <c r="R536" t="s">
        <v>29</v>
      </c>
      <c r="S536" t="s">
        <v>30</v>
      </c>
      <c r="T536">
        <v>1022407392</v>
      </c>
      <c r="U536" t="s">
        <v>3936</v>
      </c>
      <c r="V536" t="s">
        <v>3937</v>
      </c>
      <c r="W536" s="9">
        <f>IF(V536="pregrado",31,
IF(V536="posgrados",31,
IF(V536="rEINTEGROS",7,
IF(V536="BIT",90,
IF(V536="OP GRADO - INGLÉS",17,"")))))</f>
        <v>31</v>
      </c>
      <c r="X536" t="s">
        <v>3975</v>
      </c>
    </row>
    <row r="537" spans="1:24" ht="15" x14ac:dyDescent="0.35">
      <c r="A537" s="4">
        <v>45972.467511574076</v>
      </c>
      <c r="B537">
        <v>20103865</v>
      </c>
      <c r="C537" s="5" t="s">
        <v>19</v>
      </c>
      <c r="D537">
        <v>154629</v>
      </c>
      <c r="E537" t="s">
        <v>43</v>
      </c>
      <c r="F537">
        <v>1000362761</v>
      </c>
      <c r="G537" t="s">
        <v>287</v>
      </c>
      <c r="H537">
        <v>100235071</v>
      </c>
      <c r="I537">
        <v>202641</v>
      </c>
      <c r="J537">
        <v>1000362761</v>
      </c>
      <c r="K537" t="s">
        <v>23</v>
      </c>
      <c r="L537" t="s">
        <v>59</v>
      </c>
      <c r="M537" t="s">
        <v>47</v>
      </c>
      <c r="N537" t="s">
        <v>35</v>
      </c>
      <c r="O537" t="s">
        <v>26</v>
      </c>
      <c r="P537" t="s">
        <v>27</v>
      </c>
      <c r="Q537" t="s">
        <v>28</v>
      </c>
      <c r="R537" t="s">
        <v>29</v>
      </c>
      <c r="S537" t="s">
        <v>30</v>
      </c>
      <c r="T537">
        <v>53116792</v>
      </c>
      <c r="U537" t="s">
        <v>3936</v>
      </c>
      <c r="V537" t="s">
        <v>3937</v>
      </c>
      <c r="W537" s="9">
        <f>IF(V537="pregrado",31,
IF(V537="posgrados",31,
IF(V537="rEINTEGROS",7,
IF(V537="BIT",90,
IF(V537="OP GRADO - INGLÉS",17,"")))))</f>
        <v>31</v>
      </c>
      <c r="X537" t="s">
        <v>4008</v>
      </c>
    </row>
    <row r="538" spans="1:24" ht="15" x14ac:dyDescent="0.35">
      <c r="A538" s="4">
        <v>45972.432893518519</v>
      </c>
      <c r="B538">
        <v>20103854</v>
      </c>
      <c r="C538" s="5" t="s">
        <v>19</v>
      </c>
      <c r="D538">
        <v>154646</v>
      </c>
      <c r="E538" t="s">
        <v>43</v>
      </c>
      <c r="F538">
        <v>1058670111</v>
      </c>
      <c r="G538" t="s">
        <v>285</v>
      </c>
      <c r="H538">
        <v>100025634</v>
      </c>
      <c r="I538">
        <v>202651</v>
      </c>
      <c r="J538">
        <v>1061779516</v>
      </c>
      <c r="K538" t="s">
        <v>46</v>
      </c>
      <c r="L538" t="s">
        <v>252</v>
      </c>
      <c r="M538" t="s">
        <v>253</v>
      </c>
      <c r="N538" t="s">
        <v>35</v>
      </c>
      <c r="O538" t="s">
        <v>26</v>
      </c>
      <c r="P538" t="s">
        <v>27</v>
      </c>
      <c r="Q538" t="s">
        <v>28</v>
      </c>
      <c r="R538" t="s">
        <v>29</v>
      </c>
      <c r="S538" t="s">
        <v>30</v>
      </c>
      <c r="T538">
        <v>1014285873</v>
      </c>
      <c r="U538" t="s">
        <v>3948</v>
      </c>
      <c r="V538" t="s">
        <v>3937</v>
      </c>
      <c r="W538" s="9">
        <f>IF(V538="pregrado",31,
IF(V538="posgrados",31,
IF(V538="rEINTEGROS",7,
IF(V538="BIT",90,
IF(V538="OP GRADO - INGLÉS",17,"")))))</f>
        <v>31</v>
      </c>
      <c r="X538" t="s">
        <v>3953</v>
      </c>
    </row>
    <row r="539" spans="1:24" ht="15" x14ac:dyDescent="0.35">
      <c r="A539" s="4">
        <v>45972.408032407409</v>
      </c>
      <c r="B539">
        <v>20103842</v>
      </c>
      <c r="C539" s="5" t="s">
        <v>19</v>
      </c>
      <c r="D539">
        <v>154648</v>
      </c>
      <c r="E539" t="s">
        <v>43</v>
      </c>
      <c r="F539">
        <v>1067862786</v>
      </c>
      <c r="G539" t="s">
        <v>282</v>
      </c>
      <c r="H539">
        <v>100229562</v>
      </c>
      <c r="I539">
        <v>202651</v>
      </c>
      <c r="J539">
        <v>1067862786</v>
      </c>
      <c r="K539" t="s">
        <v>23</v>
      </c>
      <c r="L539" t="s">
        <v>252</v>
      </c>
      <c r="M539" t="s">
        <v>253</v>
      </c>
      <c r="N539" t="s">
        <v>35</v>
      </c>
      <c r="O539" t="s">
        <v>26</v>
      </c>
      <c r="P539" t="s">
        <v>27</v>
      </c>
      <c r="Q539" t="s">
        <v>28</v>
      </c>
      <c r="R539" t="s">
        <v>29</v>
      </c>
      <c r="S539" t="s">
        <v>30</v>
      </c>
      <c r="T539">
        <v>1022407392</v>
      </c>
      <c r="U539" t="s">
        <v>3936</v>
      </c>
      <c r="V539" t="s">
        <v>3937</v>
      </c>
      <c r="W539" s="9">
        <f>IF(V539="pregrado",31,
IF(V539="posgrados",31,
IF(V539="rEINTEGROS",7,
IF(V539="BIT",90,
IF(V539="OP GRADO - INGLÉS",17,"")))))</f>
        <v>31</v>
      </c>
      <c r="X539" t="s">
        <v>3975</v>
      </c>
    </row>
    <row r="540" spans="1:24" ht="15" x14ac:dyDescent="0.35">
      <c r="A540" s="4">
        <v>45971.749421296299</v>
      </c>
      <c r="B540">
        <v>20103823</v>
      </c>
      <c r="C540" s="5" t="s">
        <v>19</v>
      </c>
      <c r="D540">
        <v>154650</v>
      </c>
      <c r="E540" t="s">
        <v>43</v>
      </c>
      <c r="F540">
        <v>1073605821</v>
      </c>
      <c r="G540" t="s">
        <v>281</v>
      </c>
      <c r="H540">
        <v>100235132</v>
      </c>
      <c r="I540">
        <v>202641</v>
      </c>
      <c r="J540">
        <v>1073605821</v>
      </c>
      <c r="K540" t="s">
        <v>23</v>
      </c>
      <c r="L540" t="s">
        <v>160</v>
      </c>
      <c r="M540" t="s">
        <v>47</v>
      </c>
      <c r="N540" t="s">
        <v>35</v>
      </c>
      <c r="O540" t="s">
        <v>26</v>
      </c>
      <c r="P540" t="s">
        <v>27</v>
      </c>
      <c r="Q540" t="s">
        <v>28</v>
      </c>
      <c r="R540" t="s">
        <v>29</v>
      </c>
      <c r="S540" t="s">
        <v>30</v>
      </c>
      <c r="T540">
        <v>1022407392</v>
      </c>
      <c r="U540" t="s">
        <v>3936</v>
      </c>
      <c r="V540" t="s">
        <v>3937</v>
      </c>
      <c r="W540" s="9">
        <f>IF(V540="pregrado",31,
IF(V540="posgrados",31,
IF(V540="rEINTEGROS",7,
IF(V540="BIT",90,
IF(V540="OP GRADO - INGLÉS",17,"")))))</f>
        <v>31</v>
      </c>
      <c r="X540" t="s">
        <v>3975</v>
      </c>
    </row>
    <row r="541" spans="1:24" ht="15" x14ac:dyDescent="0.35">
      <c r="A541" s="4">
        <v>45972.691134259258</v>
      </c>
      <c r="B541">
        <v>20103915</v>
      </c>
      <c r="C541" s="5" t="s">
        <v>19</v>
      </c>
      <c r="D541">
        <v>154659</v>
      </c>
      <c r="E541" t="s">
        <v>43</v>
      </c>
      <c r="F541">
        <v>1040754664</v>
      </c>
      <c r="G541" t="s">
        <v>300</v>
      </c>
      <c r="H541">
        <v>100235142</v>
      </c>
      <c r="I541">
        <v>202651</v>
      </c>
      <c r="J541">
        <v>1040754664</v>
      </c>
      <c r="K541" t="s">
        <v>23</v>
      </c>
      <c r="L541" t="s">
        <v>252</v>
      </c>
      <c r="M541" t="s">
        <v>253</v>
      </c>
      <c r="N541" t="s">
        <v>35</v>
      </c>
      <c r="O541" t="s">
        <v>26</v>
      </c>
      <c r="P541" t="s">
        <v>27</v>
      </c>
      <c r="Q541" t="s">
        <v>28</v>
      </c>
      <c r="R541" t="s">
        <v>29</v>
      </c>
      <c r="S541" t="s">
        <v>30</v>
      </c>
      <c r="T541">
        <v>1014285873</v>
      </c>
      <c r="U541" t="s">
        <v>3948</v>
      </c>
      <c r="V541" t="s">
        <v>3937</v>
      </c>
      <c r="W541" s="9">
        <f>IF(V541="pregrado",31,
IF(V541="posgrados",31,
IF(V541="rEINTEGROS",7,
IF(V541="BIT",90,
IF(V541="OP GRADO - INGLÉS",17,"")))))</f>
        <v>31</v>
      </c>
      <c r="X541" t="s">
        <v>3953</v>
      </c>
    </row>
    <row r="542" spans="1:24" ht="15" x14ac:dyDescent="0.35">
      <c r="A542" s="4">
        <v>45973.552604166667</v>
      </c>
      <c r="B542">
        <v>20103977</v>
      </c>
      <c r="C542" s="5" t="s">
        <v>19</v>
      </c>
      <c r="D542">
        <v>154665</v>
      </c>
      <c r="E542" t="s">
        <v>43</v>
      </c>
      <c r="F542">
        <v>1006720545</v>
      </c>
      <c r="G542" t="s">
        <v>318</v>
      </c>
      <c r="H542">
        <v>100235149</v>
      </c>
      <c r="I542">
        <v>202641</v>
      </c>
      <c r="J542">
        <v>1006720545</v>
      </c>
      <c r="K542" t="s">
        <v>23</v>
      </c>
      <c r="L542" t="s">
        <v>279</v>
      </c>
      <c r="M542" t="s">
        <v>47</v>
      </c>
      <c r="N542" t="s">
        <v>35</v>
      </c>
      <c r="O542" t="s">
        <v>26</v>
      </c>
      <c r="P542" t="s">
        <v>27</v>
      </c>
      <c r="Q542" t="s">
        <v>28</v>
      </c>
      <c r="R542" t="s">
        <v>29</v>
      </c>
      <c r="S542" t="s">
        <v>30</v>
      </c>
      <c r="T542">
        <v>1082250716</v>
      </c>
      <c r="U542" t="s">
        <v>3936</v>
      </c>
      <c r="V542" t="s">
        <v>3937</v>
      </c>
      <c r="W542" s="9">
        <f>IF(V542="pregrado",31,
IF(V542="posgrados",31,
IF(V542="rEINTEGROS",7,
IF(V542="BIT",90,
IF(V542="OP GRADO - INGLÉS",17,"")))))</f>
        <v>31</v>
      </c>
      <c r="X542" t="s">
        <v>3997</v>
      </c>
    </row>
    <row r="543" spans="1:24" ht="15" x14ac:dyDescent="0.35">
      <c r="A543" s="4">
        <v>46057.547881944447</v>
      </c>
      <c r="B543">
        <v>20120444</v>
      </c>
      <c r="C543" s="6" t="s">
        <v>19</v>
      </c>
      <c r="D543">
        <v>154668</v>
      </c>
      <c r="E543" t="s">
        <v>43</v>
      </c>
      <c r="F543">
        <v>91324664</v>
      </c>
      <c r="G543" t="s">
        <v>2747</v>
      </c>
      <c r="H543">
        <v>100235152</v>
      </c>
      <c r="I543">
        <v>202651</v>
      </c>
      <c r="J543">
        <v>91324664</v>
      </c>
      <c r="K543" t="s">
        <v>23</v>
      </c>
      <c r="L543" t="s">
        <v>252</v>
      </c>
      <c r="M543" t="s">
        <v>253</v>
      </c>
      <c r="N543" t="s">
        <v>35</v>
      </c>
      <c r="O543" t="s">
        <v>26</v>
      </c>
      <c r="P543" t="s">
        <v>27</v>
      </c>
      <c r="Q543" t="s">
        <v>28</v>
      </c>
      <c r="R543" t="s">
        <v>29</v>
      </c>
      <c r="S543" t="s">
        <v>30</v>
      </c>
      <c r="T543">
        <v>1082250716</v>
      </c>
      <c r="U543" t="s">
        <v>3936</v>
      </c>
      <c r="V543" t="s">
        <v>3937</v>
      </c>
      <c r="W543" s="9">
        <f>IF(V543="pregrado",31,
IF(V543="posgrados",31,
IF(V543="rEINTEGROS",7,
IF(V543="BIT",90,
IF(V543="OP GRADO - INGLÉS",17,"")))))</f>
        <v>31</v>
      </c>
      <c r="X543" t="s">
        <v>3997</v>
      </c>
    </row>
    <row r="544" spans="1:24" ht="15" x14ac:dyDescent="0.35">
      <c r="A544" s="4">
        <v>45981.732835648145</v>
      </c>
      <c r="B544">
        <v>20104569</v>
      </c>
      <c r="C544" s="5" t="s">
        <v>19</v>
      </c>
      <c r="D544">
        <v>154671</v>
      </c>
      <c r="E544" t="s">
        <v>43</v>
      </c>
      <c r="F544">
        <v>1097404771</v>
      </c>
      <c r="G544" t="s">
        <v>464</v>
      </c>
      <c r="H544">
        <v>100234480</v>
      </c>
      <c r="I544">
        <v>202641</v>
      </c>
      <c r="J544">
        <v>1097404771</v>
      </c>
      <c r="K544" t="s">
        <v>23</v>
      </c>
      <c r="L544" t="s">
        <v>279</v>
      </c>
      <c r="M544" t="s">
        <v>47</v>
      </c>
      <c r="N544" t="s">
        <v>35</v>
      </c>
      <c r="O544" t="s">
        <v>26</v>
      </c>
      <c r="P544" t="s">
        <v>27</v>
      </c>
      <c r="Q544" t="s">
        <v>28</v>
      </c>
      <c r="R544" t="s">
        <v>29</v>
      </c>
      <c r="S544" t="s">
        <v>30</v>
      </c>
      <c r="T544">
        <v>51951991</v>
      </c>
      <c r="U544" t="s">
        <v>3936</v>
      </c>
      <c r="V544" t="s">
        <v>3937</v>
      </c>
      <c r="W544" s="9">
        <f>IF(V544="pregrado",31,
IF(V544="posgrados",31,
IF(V544="rEINTEGROS",7,
IF(V544="BIT",90,
IF(V544="OP GRADO - INGLÉS",17,"")))))</f>
        <v>31</v>
      </c>
      <c r="X544" t="s">
        <v>4049</v>
      </c>
    </row>
    <row r="545" spans="1:24" ht="15" x14ac:dyDescent="0.35">
      <c r="A545" s="4">
        <v>45972.811562499999</v>
      </c>
      <c r="B545">
        <v>20103934</v>
      </c>
      <c r="C545" s="5" t="s">
        <v>19</v>
      </c>
      <c r="D545">
        <v>154678</v>
      </c>
      <c r="E545" t="s">
        <v>43</v>
      </c>
      <c r="F545">
        <v>1022425498</v>
      </c>
      <c r="G545" t="s">
        <v>304</v>
      </c>
      <c r="H545">
        <v>100029709</v>
      </c>
      <c r="I545">
        <v>202641</v>
      </c>
      <c r="J545">
        <v>1022425498</v>
      </c>
      <c r="K545" t="s">
        <v>23</v>
      </c>
      <c r="L545" t="s">
        <v>59</v>
      </c>
      <c r="M545" t="s">
        <v>47</v>
      </c>
      <c r="N545" t="s">
        <v>35</v>
      </c>
      <c r="O545" t="s">
        <v>26</v>
      </c>
      <c r="P545" t="s">
        <v>27</v>
      </c>
      <c r="Q545" t="s">
        <v>28</v>
      </c>
      <c r="R545" t="s">
        <v>29</v>
      </c>
      <c r="S545" t="s">
        <v>30</v>
      </c>
      <c r="T545">
        <v>1032406382</v>
      </c>
      <c r="U545" t="s">
        <v>3936</v>
      </c>
      <c r="V545" t="s">
        <v>3937</v>
      </c>
      <c r="W545" s="9">
        <f>IF(V545="pregrado",31,
IF(V545="posgrados",31,
IF(V545="rEINTEGROS",7,
IF(V545="BIT",90,
IF(V545="OP GRADO - INGLÉS",17,"")))))</f>
        <v>31</v>
      </c>
      <c r="X545" t="s">
        <v>3991</v>
      </c>
    </row>
    <row r="546" spans="1:24" ht="15" x14ac:dyDescent="0.35">
      <c r="A546" s="4">
        <v>45973.677106481482</v>
      </c>
      <c r="B546">
        <v>20103995</v>
      </c>
      <c r="C546" s="5" t="s">
        <v>19</v>
      </c>
      <c r="D546">
        <v>154688</v>
      </c>
      <c r="E546" t="s">
        <v>43</v>
      </c>
      <c r="F546">
        <v>1074007673</v>
      </c>
      <c r="G546" t="s">
        <v>323</v>
      </c>
      <c r="H546">
        <v>100235208</v>
      </c>
      <c r="I546">
        <v>202641</v>
      </c>
      <c r="J546">
        <v>1074007673</v>
      </c>
      <c r="K546" t="s">
        <v>23</v>
      </c>
      <c r="L546" t="s">
        <v>294</v>
      </c>
      <c r="M546" t="s">
        <v>47</v>
      </c>
      <c r="N546" t="s">
        <v>35</v>
      </c>
      <c r="O546" t="s">
        <v>26</v>
      </c>
      <c r="P546" t="s">
        <v>27</v>
      </c>
      <c r="Q546" t="s">
        <v>28</v>
      </c>
      <c r="R546" t="s">
        <v>29</v>
      </c>
      <c r="S546" t="s">
        <v>30</v>
      </c>
      <c r="T546">
        <v>1032451737</v>
      </c>
      <c r="U546" t="s">
        <v>3948</v>
      </c>
      <c r="V546" t="s">
        <v>3937</v>
      </c>
      <c r="W546" s="9">
        <f>IF(V546="pregrado",31,
IF(V546="posgrados",31,
IF(V546="rEINTEGROS",7,
IF(V546="BIT",90,
IF(V546="OP GRADO - INGLÉS",17,"")))))</f>
        <v>31</v>
      </c>
      <c r="X546" t="s">
        <v>4033</v>
      </c>
    </row>
    <row r="547" spans="1:24" ht="15" x14ac:dyDescent="0.35">
      <c r="A547" s="4">
        <v>45972.613252314812</v>
      </c>
      <c r="B547">
        <v>20103900</v>
      </c>
      <c r="C547" s="5" t="s">
        <v>19</v>
      </c>
      <c r="D547">
        <v>154697</v>
      </c>
      <c r="E547" t="s">
        <v>43</v>
      </c>
      <c r="F547">
        <v>1233505289</v>
      </c>
      <c r="G547" t="s">
        <v>293</v>
      </c>
      <c r="H547">
        <v>100059166</v>
      </c>
      <c r="I547">
        <v>202641</v>
      </c>
      <c r="J547">
        <v>1233505289</v>
      </c>
      <c r="K547" t="s">
        <v>23</v>
      </c>
      <c r="L547" t="s">
        <v>294</v>
      </c>
      <c r="M547" t="s">
        <v>47</v>
      </c>
      <c r="N547" t="s">
        <v>35</v>
      </c>
      <c r="O547" t="s">
        <v>26</v>
      </c>
      <c r="P547" t="s">
        <v>27</v>
      </c>
      <c r="Q547" t="s">
        <v>28</v>
      </c>
      <c r="R547" t="s">
        <v>29</v>
      </c>
      <c r="S547" t="s">
        <v>30</v>
      </c>
      <c r="T547">
        <v>1016030683</v>
      </c>
      <c r="U547" t="s">
        <v>3936</v>
      </c>
      <c r="V547" t="s">
        <v>3937</v>
      </c>
      <c r="W547" s="9">
        <f>IF(V547="pregrado",31,
IF(V547="posgrados",31,
IF(V547="rEINTEGROS",7,
IF(V547="BIT",90,
IF(V547="OP GRADO - INGLÉS",17,"")))))</f>
        <v>31</v>
      </c>
      <c r="X547" t="s">
        <v>3992</v>
      </c>
    </row>
    <row r="548" spans="1:24" ht="15" x14ac:dyDescent="0.35">
      <c r="A548" s="4">
        <v>45986.765138888892</v>
      </c>
      <c r="B548">
        <v>20104861</v>
      </c>
      <c r="C548" s="5" t="s">
        <v>19</v>
      </c>
      <c r="D548">
        <v>154703</v>
      </c>
      <c r="E548" t="s">
        <v>43</v>
      </c>
      <c r="F548">
        <v>1013687528</v>
      </c>
      <c r="G548" t="s">
        <v>541</v>
      </c>
      <c r="H548">
        <v>100235233</v>
      </c>
      <c r="I548">
        <v>202651</v>
      </c>
      <c r="J548">
        <v>1013687528</v>
      </c>
      <c r="K548" t="s">
        <v>23</v>
      </c>
      <c r="L548" t="s">
        <v>542</v>
      </c>
      <c r="M548" t="s">
        <v>253</v>
      </c>
      <c r="N548" t="s">
        <v>35</v>
      </c>
      <c r="O548" t="s">
        <v>26</v>
      </c>
      <c r="P548" t="s">
        <v>27</v>
      </c>
      <c r="Q548" t="s">
        <v>28</v>
      </c>
      <c r="R548" t="s">
        <v>29</v>
      </c>
      <c r="S548" t="s">
        <v>30</v>
      </c>
      <c r="T548">
        <v>1233888787</v>
      </c>
      <c r="U548" t="s">
        <v>3936</v>
      </c>
      <c r="V548" t="s">
        <v>3937</v>
      </c>
      <c r="W548" s="9">
        <f>IF(V548="pregrado",31,
IF(V548="posgrados",31,
IF(V548="rEINTEGROS",7,
IF(V548="BIT",90,
IF(V548="OP GRADO - INGLÉS",17,"")))))</f>
        <v>31</v>
      </c>
      <c r="X548" t="s">
        <v>3998</v>
      </c>
    </row>
    <row r="549" spans="1:24" ht="15" x14ac:dyDescent="0.35">
      <c r="A549" s="4">
        <v>45979.584548611114</v>
      </c>
      <c r="B549">
        <v>20104308</v>
      </c>
      <c r="C549" s="5" t="s">
        <v>19</v>
      </c>
      <c r="D549">
        <v>154713</v>
      </c>
      <c r="E549" t="s">
        <v>43</v>
      </c>
      <c r="F549">
        <v>1082872858</v>
      </c>
      <c r="G549" t="s">
        <v>402</v>
      </c>
      <c r="H549">
        <v>100235253</v>
      </c>
      <c r="I549">
        <v>202651</v>
      </c>
      <c r="J549">
        <v>1082872858</v>
      </c>
      <c r="K549" t="s">
        <v>23</v>
      </c>
      <c r="L549" t="s">
        <v>252</v>
      </c>
      <c r="M549" t="s">
        <v>253</v>
      </c>
      <c r="N549" t="s">
        <v>35</v>
      </c>
      <c r="O549" t="s">
        <v>26</v>
      </c>
      <c r="P549" t="s">
        <v>27</v>
      </c>
      <c r="Q549" t="s">
        <v>28</v>
      </c>
      <c r="R549" t="s">
        <v>29</v>
      </c>
      <c r="S549" t="s">
        <v>30</v>
      </c>
      <c r="T549">
        <v>1075542872</v>
      </c>
      <c r="U549" t="s">
        <v>3948</v>
      </c>
      <c r="V549" t="s">
        <v>3937</v>
      </c>
      <c r="W549" s="9">
        <f>IF(V549="pregrado",31,
IF(V549="posgrados",31,
IF(V549="rEINTEGROS",7,
IF(V549="BIT",90,
IF(V549="OP GRADO - INGLÉS",17,"")))))</f>
        <v>31</v>
      </c>
      <c r="X549" t="s">
        <v>3974</v>
      </c>
    </row>
    <row r="550" spans="1:24" ht="15" x14ac:dyDescent="0.35">
      <c r="A550" s="4">
        <v>45973.641979166663</v>
      </c>
      <c r="B550">
        <v>20103990</v>
      </c>
      <c r="C550" s="5" t="s">
        <v>19</v>
      </c>
      <c r="D550">
        <v>154718</v>
      </c>
      <c r="E550" t="s">
        <v>43</v>
      </c>
      <c r="F550">
        <v>1058787796</v>
      </c>
      <c r="G550" t="s">
        <v>322</v>
      </c>
      <c r="H550">
        <v>100232890</v>
      </c>
      <c r="I550">
        <v>202651</v>
      </c>
      <c r="J550">
        <v>1058787796</v>
      </c>
      <c r="K550" t="s">
        <v>23</v>
      </c>
      <c r="L550" t="s">
        <v>252</v>
      </c>
      <c r="M550" t="s">
        <v>253</v>
      </c>
      <c r="N550" t="s">
        <v>25</v>
      </c>
      <c r="O550" t="s">
        <v>26</v>
      </c>
      <c r="P550" t="s">
        <v>27</v>
      </c>
      <c r="Q550" t="s">
        <v>28</v>
      </c>
      <c r="R550" t="s">
        <v>29</v>
      </c>
      <c r="S550" t="s">
        <v>30</v>
      </c>
      <c r="T550">
        <v>52916205</v>
      </c>
      <c r="U550" t="s">
        <v>3936</v>
      </c>
      <c r="V550" t="s">
        <v>3937</v>
      </c>
      <c r="W550" s="9">
        <f>IF(V550="pregrado",31,
IF(V550="posgrados",31,
IF(V550="rEINTEGROS",7,
IF(V550="BIT",90,
IF(V550="OP GRADO - INGLÉS",17,"")))))</f>
        <v>31</v>
      </c>
      <c r="X550" t="s">
        <v>4032</v>
      </c>
    </row>
    <row r="551" spans="1:24" ht="15" x14ac:dyDescent="0.35">
      <c r="A551" s="4">
        <v>45988.569548611114</v>
      </c>
      <c r="B551">
        <v>20105099</v>
      </c>
      <c r="C551" s="6" t="s">
        <v>19</v>
      </c>
      <c r="D551">
        <v>154725</v>
      </c>
      <c r="E551" t="s">
        <v>43</v>
      </c>
      <c r="F551">
        <v>45470887</v>
      </c>
      <c r="G551" t="s">
        <v>614</v>
      </c>
      <c r="H551">
        <v>100235279</v>
      </c>
      <c r="I551">
        <v>202641</v>
      </c>
      <c r="J551">
        <v>1124496877</v>
      </c>
      <c r="K551" t="s">
        <v>23</v>
      </c>
      <c r="L551" t="s">
        <v>294</v>
      </c>
      <c r="M551" t="s">
        <v>47</v>
      </c>
      <c r="N551" t="s">
        <v>35</v>
      </c>
      <c r="O551" t="s">
        <v>26</v>
      </c>
      <c r="P551" t="s">
        <v>27</v>
      </c>
      <c r="Q551" t="s">
        <v>28</v>
      </c>
      <c r="R551" t="s">
        <v>29</v>
      </c>
      <c r="S551" t="s">
        <v>30</v>
      </c>
      <c r="T551">
        <v>1075542872</v>
      </c>
      <c r="U551" t="s">
        <v>3948</v>
      </c>
      <c r="V551" t="s">
        <v>3937</v>
      </c>
      <c r="W551" s="9">
        <f>IF(V551="pregrado",31,
IF(V551="posgrados",31,
IF(V551="rEINTEGROS",7,
IF(V551="BIT",90,
IF(V551="OP GRADO - INGLÉS",17,"")))))</f>
        <v>31</v>
      </c>
      <c r="X551" t="s">
        <v>3974</v>
      </c>
    </row>
    <row r="552" spans="1:24" ht="15" x14ac:dyDescent="0.35">
      <c r="A552" s="4">
        <v>45980.514062499999</v>
      </c>
      <c r="B552">
        <v>20104388</v>
      </c>
      <c r="C552" s="5" t="s">
        <v>19</v>
      </c>
      <c r="D552">
        <v>154735</v>
      </c>
      <c r="E552" t="s">
        <v>43</v>
      </c>
      <c r="F552">
        <v>1077033248</v>
      </c>
      <c r="G552" t="s">
        <v>421</v>
      </c>
      <c r="H552">
        <v>100235317</v>
      </c>
      <c r="I552">
        <v>202641</v>
      </c>
      <c r="J552">
        <v>1077033248</v>
      </c>
      <c r="K552" t="s">
        <v>23</v>
      </c>
      <c r="L552" t="s">
        <v>99</v>
      </c>
      <c r="M552" t="s">
        <v>47</v>
      </c>
      <c r="N552" t="s">
        <v>35</v>
      </c>
      <c r="O552" t="s">
        <v>26</v>
      </c>
      <c r="P552" t="s">
        <v>27</v>
      </c>
      <c r="Q552" t="s">
        <v>28</v>
      </c>
      <c r="R552" t="s">
        <v>29</v>
      </c>
      <c r="S552" t="s">
        <v>30</v>
      </c>
      <c r="T552">
        <v>1012355141</v>
      </c>
      <c r="U552" t="s">
        <v>3936</v>
      </c>
      <c r="V552" t="s">
        <v>3937</v>
      </c>
      <c r="W552" s="9">
        <f>IF(V552="pregrado",31,
IF(V552="posgrados",31,
IF(V552="rEINTEGROS",7,
IF(V552="BIT",90,
IF(V552="OP GRADO - INGLÉS",17,"")))))</f>
        <v>31</v>
      </c>
      <c r="X552" t="s">
        <v>4045</v>
      </c>
    </row>
    <row r="553" spans="1:24" ht="15" x14ac:dyDescent="0.35">
      <c r="A553" s="4">
        <v>45973.627175925925</v>
      </c>
      <c r="B553">
        <v>20103987</v>
      </c>
      <c r="C553" s="5" t="s">
        <v>19</v>
      </c>
      <c r="D553">
        <v>154738</v>
      </c>
      <c r="E553" t="s">
        <v>43</v>
      </c>
      <c r="F553">
        <v>1192901285</v>
      </c>
      <c r="G553" t="s">
        <v>320</v>
      </c>
      <c r="H553">
        <v>100235326</v>
      </c>
      <c r="I553">
        <v>202651</v>
      </c>
      <c r="J553">
        <v>1192901285</v>
      </c>
      <c r="K553" t="s">
        <v>23</v>
      </c>
      <c r="L553" t="s">
        <v>252</v>
      </c>
      <c r="M553" t="s">
        <v>253</v>
      </c>
      <c r="N553" t="s">
        <v>35</v>
      </c>
      <c r="O553" t="s">
        <v>26</v>
      </c>
      <c r="P553" t="s">
        <v>27</v>
      </c>
      <c r="Q553" t="s">
        <v>28</v>
      </c>
      <c r="R553" t="s">
        <v>29</v>
      </c>
      <c r="S553" t="s">
        <v>30</v>
      </c>
      <c r="T553">
        <v>1033781417</v>
      </c>
      <c r="U553" t="s">
        <v>3948</v>
      </c>
      <c r="V553" t="s">
        <v>3937</v>
      </c>
      <c r="W553" s="9">
        <f>IF(V553="pregrado",31,
IF(V553="posgrados",31,
IF(V553="rEINTEGROS",7,
IF(V553="BIT",90,
IF(V553="OP GRADO - INGLÉS",17,"")))))</f>
        <v>31</v>
      </c>
      <c r="X553" t="s">
        <v>4031</v>
      </c>
    </row>
    <row r="554" spans="1:24" ht="15" x14ac:dyDescent="0.35">
      <c r="A554" s="4">
        <v>45974.710324074076</v>
      </c>
      <c r="B554">
        <v>20104086</v>
      </c>
      <c r="C554" s="5" t="s">
        <v>19</v>
      </c>
      <c r="D554">
        <v>154743</v>
      </c>
      <c r="E554" t="s">
        <v>43</v>
      </c>
      <c r="F554">
        <v>1004006687</v>
      </c>
      <c r="G554" t="s">
        <v>346</v>
      </c>
      <c r="H554">
        <v>100229367</v>
      </c>
      <c r="I554">
        <v>202641</v>
      </c>
      <c r="J554">
        <v>1004006687</v>
      </c>
      <c r="K554" t="s">
        <v>23</v>
      </c>
      <c r="L554" t="s">
        <v>140</v>
      </c>
      <c r="M554" t="s">
        <v>47</v>
      </c>
      <c r="N554" t="s">
        <v>35</v>
      </c>
      <c r="O554" t="s">
        <v>26</v>
      </c>
      <c r="P554" t="s">
        <v>27</v>
      </c>
      <c r="Q554" t="s">
        <v>28</v>
      </c>
      <c r="R554" t="s">
        <v>29</v>
      </c>
      <c r="S554" t="s">
        <v>30</v>
      </c>
      <c r="T554">
        <v>1233513889</v>
      </c>
      <c r="U554" t="s">
        <v>3948</v>
      </c>
      <c r="V554" t="s">
        <v>3937</v>
      </c>
      <c r="W554" s="9">
        <f>IF(V554="pregrado",31,
IF(V554="posgrados",31,
IF(V554="rEINTEGROS",7,
IF(V554="BIT",90,
IF(V554="OP GRADO - INGLÉS",17,"")))))</f>
        <v>31</v>
      </c>
      <c r="X554" t="s">
        <v>4035</v>
      </c>
    </row>
    <row r="555" spans="1:24" ht="15" x14ac:dyDescent="0.35">
      <c r="A555" s="4">
        <v>45981.541724537034</v>
      </c>
      <c r="B555">
        <v>20104513</v>
      </c>
      <c r="C555" s="5" t="s">
        <v>19</v>
      </c>
      <c r="D555">
        <v>154745</v>
      </c>
      <c r="E555" t="s">
        <v>43</v>
      </c>
      <c r="F555">
        <v>1032388589</v>
      </c>
      <c r="G555" t="s">
        <v>452</v>
      </c>
      <c r="H555">
        <v>100030471</v>
      </c>
      <c r="I555">
        <v>202651</v>
      </c>
      <c r="J555">
        <v>1032388589</v>
      </c>
      <c r="K555" t="s">
        <v>23</v>
      </c>
      <c r="L555" t="s">
        <v>252</v>
      </c>
      <c r="M555" t="s">
        <v>253</v>
      </c>
      <c r="N555" t="s">
        <v>35</v>
      </c>
      <c r="O555" t="s">
        <v>26</v>
      </c>
      <c r="P555" t="s">
        <v>27</v>
      </c>
      <c r="Q555" t="s">
        <v>28</v>
      </c>
      <c r="R555" t="s">
        <v>29</v>
      </c>
      <c r="S555" t="s">
        <v>30</v>
      </c>
      <c r="T555">
        <v>1020754225</v>
      </c>
      <c r="U555" t="s">
        <v>3948</v>
      </c>
      <c r="V555" t="s">
        <v>3937</v>
      </c>
      <c r="W555" s="9">
        <f>IF(V555="pregrado",31,
IF(V555="posgrados",31,
IF(V555="rEINTEGROS",7,
IF(V555="BIT",90,
IF(V555="OP GRADO - INGLÉS",17,"")))))</f>
        <v>31</v>
      </c>
      <c r="X555" t="s">
        <v>3981</v>
      </c>
    </row>
    <row r="556" spans="1:24" ht="15" x14ac:dyDescent="0.35">
      <c r="A556" s="4">
        <v>46073.651423611111</v>
      </c>
      <c r="B556">
        <v>20125327</v>
      </c>
      <c r="C556" s="6" t="s">
        <v>19</v>
      </c>
      <c r="D556">
        <v>154762</v>
      </c>
      <c r="E556" t="s">
        <v>43</v>
      </c>
      <c r="F556">
        <v>60267896</v>
      </c>
      <c r="G556" t="s">
        <v>3485</v>
      </c>
      <c r="H556">
        <v>100198099</v>
      </c>
      <c r="I556">
        <v>202651</v>
      </c>
      <c r="J556">
        <v>60267896</v>
      </c>
      <c r="K556" t="s">
        <v>23</v>
      </c>
      <c r="L556" t="s">
        <v>252</v>
      </c>
      <c r="M556" t="s">
        <v>253</v>
      </c>
      <c r="N556" t="s">
        <v>35</v>
      </c>
      <c r="O556" t="s">
        <v>26</v>
      </c>
      <c r="P556" t="s">
        <v>27</v>
      </c>
      <c r="Q556" t="s">
        <v>28</v>
      </c>
      <c r="R556" t="s">
        <v>29</v>
      </c>
      <c r="S556" t="s">
        <v>30</v>
      </c>
      <c r="T556">
        <v>1015407851</v>
      </c>
      <c r="U556" t="s">
        <v>3944</v>
      </c>
      <c r="V556" t="s">
        <v>3934</v>
      </c>
      <c r="W556" s="9">
        <f>IF(V556="pregrado",31,
IF(V556="posgrados",31,
IF(V556="rEINTEGROS",7,
IF(V556="BIT",90,
IF(V556="OP GRADO - INGLÉS",17,"")))))</f>
        <v>31</v>
      </c>
      <c r="X556" t="s">
        <v>4102</v>
      </c>
    </row>
    <row r="557" spans="1:24" ht="15" x14ac:dyDescent="0.35">
      <c r="A557" s="4">
        <v>45974.634594907409</v>
      </c>
      <c r="B557">
        <v>20104077</v>
      </c>
      <c r="C557" s="5" t="s">
        <v>19</v>
      </c>
      <c r="D557">
        <v>154766</v>
      </c>
      <c r="E557" t="s">
        <v>43</v>
      </c>
      <c r="F557">
        <v>1116781674</v>
      </c>
      <c r="G557" t="s">
        <v>344</v>
      </c>
      <c r="H557">
        <v>100032463</v>
      </c>
      <c r="I557">
        <v>202651</v>
      </c>
      <c r="J557">
        <v>1116781674</v>
      </c>
      <c r="K557" t="s">
        <v>46</v>
      </c>
      <c r="L557" t="s">
        <v>252</v>
      </c>
      <c r="M557" t="s">
        <v>253</v>
      </c>
      <c r="N557" t="s">
        <v>35</v>
      </c>
      <c r="O557" t="s">
        <v>26</v>
      </c>
      <c r="P557" t="s">
        <v>27</v>
      </c>
      <c r="Q557" t="s">
        <v>28</v>
      </c>
      <c r="R557" t="s">
        <v>29</v>
      </c>
      <c r="S557" t="s">
        <v>30</v>
      </c>
      <c r="T557">
        <v>1014285873</v>
      </c>
      <c r="U557" t="s">
        <v>3948</v>
      </c>
      <c r="V557" t="s">
        <v>3937</v>
      </c>
      <c r="W557" s="9">
        <f>IF(V557="pregrado",31,
IF(V557="posgrados",31,
IF(V557="rEINTEGROS",7,
IF(V557="BIT",90,
IF(V557="OP GRADO - INGLÉS",17,"")))))</f>
        <v>31</v>
      </c>
      <c r="X557" t="s">
        <v>3953</v>
      </c>
    </row>
    <row r="558" spans="1:24" ht="15" x14ac:dyDescent="0.35">
      <c r="A558" s="4">
        <v>45988.679224537038</v>
      </c>
      <c r="B558">
        <v>20105143</v>
      </c>
      <c r="C558" s="6" t="s">
        <v>19</v>
      </c>
      <c r="D558">
        <v>154768</v>
      </c>
      <c r="E558" t="s">
        <v>43</v>
      </c>
      <c r="F558">
        <v>66872818</v>
      </c>
      <c r="G558" t="s">
        <v>624</v>
      </c>
      <c r="H558">
        <v>100162164</v>
      </c>
      <c r="I558">
        <v>202641</v>
      </c>
      <c r="J558">
        <v>66872818</v>
      </c>
      <c r="K558" t="s">
        <v>23</v>
      </c>
      <c r="L558" t="s">
        <v>160</v>
      </c>
      <c r="M558" t="s">
        <v>47</v>
      </c>
      <c r="N558" t="s">
        <v>35</v>
      </c>
      <c r="O558" t="s">
        <v>26</v>
      </c>
      <c r="P558" t="s">
        <v>27</v>
      </c>
      <c r="Q558" t="s">
        <v>28</v>
      </c>
      <c r="R558" t="s">
        <v>29</v>
      </c>
      <c r="S558" t="s">
        <v>30</v>
      </c>
      <c r="T558">
        <v>1016030683</v>
      </c>
      <c r="U558" t="s">
        <v>3936</v>
      </c>
      <c r="V558" t="s">
        <v>3937</v>
      </c>
      <c r="W558" s="9">
        <f>IF(V558="pregrado",31,
IF(V558="posgrados",31,
IF(V558="rEINTEGROS",7,
IF(V558="BIT",90,
IF(V558="OP GRADO - INGLÉS",17,"")))))</f>
        <v>31</v>
      </c>
      <c r="X558" t="s">
        <v>3992</v>
      </c>
    </row>
    <row r="559" spans="1:24" ht="15" x14ac:dyDescent="0.35">
      <c r="A559" s="4">
        <v>45979.669224537036</v>
      </c>
      <c r="B559">
        <v>20104319</v>
      </c>
      <c r="C559" s="5" t="s">
        <v>19</v>
      </c>
      <c r="D559">
        <v>154776</v>
      </c>
      <c r="E559" t="s">
        <v>43</v>
      </c>
      <c r="F559">
        <v>1046817446</v>
      </c>
      <c r="G559" t="s">
        <v>407</v>
      </c>
      <c r="H559">
        <v>100235398</v>
      </c>
      <c r="I559">
        <v>202641</v>
      </c>
      <c r="J559">
        <v>1002142503</v>
      </c>
      <c r="K559" t="s">
        <v>23</v>
      </c>
      <c r="L559" t="s">
        <v>160</v>
      </c>
      <c r="M559" t="s">
        <v>47</v>
      </c>
      <c r="N559" t="s">
        <v>35</v>
      </c>
      <c r="O559" t="s">
        <v>26</v>
      </c>
      <c r="P559" t="s">
        <v>27</v>
      </c>
      <c r="Q559" t="s">
        <v>28</v>
      </c>
      <c r="R559" t="s">
        <v>29</v>
      </c>
      <c r="S559" t="s">
        <v>30</v>
      </c>
      <c r="T559">
        <v>1012355141</v>
      </c>
      <c r="U559" t="s">
        <v>3936</v>
      </c>
      <c r="V559" t="s">
        <v>3937</v>
      </c>
      <c r="W559" s="9">
        <f>IF(V559="pregrado",31,
IF(V559="posgrados",31,
IF(V559="rEINTEGROS",7,
IF(V559="BIT",90,
IF(V559="OP GRADO - INGLÉS",17,"")))))</f>
        <v>31</v>
      </c>
      <c r="X559" t="s">
        <v>4045</v>
      </c>
    </row>
    <row r="560" spans="1:24" ht="15" x14ac:dyDescent="0.35">
      <c r="A560" s="4">
        <v>45980.637418981481</v>
      </c>
      <c r="B560">
        <v>20104411</v>
      </c>
      <c r="C560" s="5" t="s">
        <v>19</v>
      </c>
      <c r="D560">
        <v>154778</v>
      </c>
      <c r="E560" t="s">
        <v>43</v>
      </c>
      <c r="F560">
        <v>35892140</v>
      </c>
      <c r="G560" t="s">
        <v>433</v>
      </c>
      <c r="H560">
        <v>100162908</v>
      </c>
      <c r="I560">
        <v>202651</v>
      </c>
      <c r="J560">
        <v>35892140</v>
      </c>
      <c r="K560" t="s">
        <v>23</v>
      </c>
      <c r="L560" t="s">
        <v>252</v>
      </c>
      <c r="M560" t="s">
        <v>253</v>
      </c>
      <c r="N560" t="s">
        <v>35</v>
      </c>
      <c r="O560" t="s">
        <v>26</v>
      </c>
      <c r="P560" t="s">
        <v>27</v>
      </c>
      <c r="Q560" t="s">
        <v>28</v>
      </c>
      <c r="R560" t="s">
        <v>29</v>
      </c>
      <c r="S560" t="s">
        <v>30</v>
      </c>
      <c r="T560">
        <v>53116792</v>
      </c>
      <c r="U560" t="s">
        <v>3936</v>
      </c>
      <c r="V560" t="s">
        <v>3937</v>
      </c>
      <c r="W560" s="9">
        <f>IF(V560="pregrado",31,
IF(V560="posgrados",31,
IF(V560="rEINTEGROS",7,
IF(V560="BIT",90,
IF(V560="OP GRADO - INGLÉS",17,"")))))</f>
        <v>31</v>
      </c>
      <c r="X560" t="s">
        <v>4008</v>
      </c>
    </row>
    <row r="561" spans="1:24" ht="15" x14ac:dyDescent="0.35">
      <c r="A561" s="4">
        <v>45974.436342592591</v>
      </c>
      <c r="B561">
        <v>20104043</v>
      </c>
      <c r="C561" s="5" t="s">
        <v>19</v>
      </c>
      <c r="D561">
        <v>154781</v>
      </c>
      <c r="E561" t="s">
        <v>43</v>
      </c>
      <c r="F561">
        <v>40088762</v>
      </c>
      <c r="G561" t="s">
        <v>333</v>
      </c>
      <c r="H561">
        <v>100235384</v>
      </c>
      <c r="I561">
        <v>202651</v>
      </c>
      <c r="J561">
        <v>40088762</v>
      </c>
      <c r="K561" t="s">
        <v>23</v>
      </c>
      <c r="L561" t="s">
        <v>252</v>
      </c>
      <c r="M561" t="s">
        <v>253</v>
      </c>
      <c r="N561" t="s">
        <v>35</v>
      </c>
      <c r="O561" t="s">
        <v>26</v>
      </c>
      <c r="P561" t="s">
        <v>27</v>
      </c>
      <c r="Q561" t="s">
        <v>28</v>
      </c>
      <c r="R561" t="s">
        <v>29</v>
      </c>
      <c r="S561" t="s">
        <v>30</v>
      </c>
      <c r="T561">
        <v>1033781417</v>
      </c>
      <c r="U561" t="s">
        <v>3948</v>
      </c>
      <c r="V561" t="s">
        <v>3937</v>
      </c>
      <c r="W561" s="9">
        <f>IF(V561="pregrado",31,
IF(V561="posgrados",31,
IF(V561="rEINTEGROS",7,
IF(V561="BIT",90,
IF(V561="OP GRADO - INGLÉS",17,"")))))</f>
        <v>31</v>
      </c>
      <c r="X561" t="s">
        <v>4031</v>
      </c>
    </row>
    <row r="562" spans="1:24" ht="15" x14ac:dyDescent="0.35">
      <c r="A562" s="4">
        <v>45974.905428240738</v>
      </c>
      <c r="B562">
        <v>20104110</v>
      </c>
      <c r="C562" s="5" t="s">
        <v>19</v>
      </c>
      <c r="D562">
        <v>154785</v>
      </c>
      <c r="E562" t="s">
        <v>43</v>
      </c>
      <c r="F562">
        <v>1007669708</v>
      </c>
      <c r="G562" t="s">
        <v>351</v>
      </c>
      <c r="H562">
        <v>100235408</v>
      </c>
      <c r="I562">
        <v>202641</v>
      </c>
      <c r="J562">
        <v>1007669708</v>
      </c>
      <c r="K562" t="s">
        <v>23</v>
      </c>
      <c r="L562" t="s">
        <v>342</v>
      </c>
      <c r="M562" t="s">
        <v>47</v>
      </c>
      <c r="N562" t="s">
        <v>35</v>
      </c>
      <c r="O562" t="s">
        <v>26</v>
      </c>
      <c r="P562" t="s">
        <v>27</v>
      </c>
      <c r="Q562" t="s">
        <v>28</v>
      </c>
      <c r="R562" t="s">
        <v>29</v>
      </c>
      <c r="S562" t="s">
        <v>30</v>
      </c>
      <c r="T562">
        <v>1233513889</v>
      </c>
      <c r="U562" t="s">
        <v>3948</v>
      </c>
      <c r="V562" t="s">
        <v>3937</v>
      </c>
      <c r="W562" s="9">
        <f>IF(V562="pregrado",31,
IF(V562="posgrados",31,
IF(V562="rEINTEGROS",7,
IF(V562="BIT",90,
IF(V562="OP GRADO - INGLÉS",17,"")))))</f>
        <v>31</v>
      </c>
      <c r="X562" t="s">
        <v>4035</v>
      </c>
    </row>
    <row r="563" spans="1:24" ht="15" x14ac:dyDescent="0.35">
      <c r="A563" s="4">
        <v>46000.672395833331</v>
      </c>
      <c r="B563">
        <v>20106205</v>
      </c>
      <c r="C563" s="6" t="s">
        <v>19</v>
      </c>
      <c r="D563">
        <v>154789</v>
      </c>
      <c r="E563" t="s">
        <v>43</v>
      </c>
      <c r="F563">
        <v>1067865513</v>
      </c>
      <c r="G563" t="s">
        <v>834</v>
      </c>
      <c r="H563">
        <v>100147001</v>
      </c>
      <c r="I563">
        <v>202651</v>
      </c>
      <c r="J563">
        <v>1067865513</v>
      </c>
      <c r="K563" t="s">
        <v>46</v>
      </c>
      <c r="L563" t="s">
        <v>252</v>
      </c>
      <c r="M563" t="s">
        <v>253</v>
      </c>
      <c r="N563" t="s">
        <v>35</v>
      </c>
      <c r="O563" t="s">
        <v>26</v>
      </c>
      <c r="P563" t="s">
        <v>27</v>
      </c>
      <c r="Q563" t="s">
        <v>28</v>
      </c>
      <c r="R563" t="s">
        <v>29</v>
      </c>
      <c r="S563" t="s">
        <v>30</v>
      </c>
      <c r="T563">
        <v>1014285873</v>
      </c>
      <c r="U563" t="s">
        <v>3948</v>
      </c>
      <c r="V563" t="s">
        <v>3937</v>
      </c>
      <c r="W563" s="9">
        <f>IF(V563="pregrado",31,
IF(V563="posgrados",31,
IF(V563="rEINTEGROS",7,
IF(V563="BIT",90,
IF(V563="OP GRADO - INGLÉS",17,"")))))</f>
        <v>31</v>
      </c>
      <c r="X563" t="s">
        <v>3953</v>
      </c>
    </row>
    <row r="564" spans="1:24" ht="15" x14ac:dyDescent="0.35">
      <c r="A564" s="4">
        <v>45974.601087962961</v>
      </c>
      <c r="B564">
        <v>20104072</v>
      </c>
      <c r="C564" s="5" t="s">
        <v>19</v>
      </c>
      <c r="D564">
        <v>154801</v>
      </c>
      <c r="E564" t="s">
        <v>43</v>
      </c>
      <c r="F564">
        <v>1077971312</v>
      </c>
      <c r="G564" t="s">
        <v>341</v>
      </c>
      <c r="H564">
        <v>100217214</v>
      </c>
      <c r="I564">
        <v>202641</v>
      </c>
      <c r="J564">
        <v>1077971312</v>
      </c>
      <c r="K564" t="s">
        <v>23</v>
      </c>
      <c r="L564" t="s">
        <v>342</v>
      </c>
      <c r="M564" t="s">
        <v>47</v>
      </c>
      <c r="N564" t="s">
        <v>35</v>
      </c>
      <c r="O564" t="s">
        <v>26</v>
      </c>
      <c r="P564" t="s">
        <v>27</v>
      </c>
      <c r="Q564" t="s">
        <v>28</v>
      </c>
      <c r="R564" t="s">
        <v>29</v>
      </c>
      <c r="S564" t="s">
        <v>30</v>
      </c>
      <c r="T564">
        <v>1033781417</v>
      </c>
      <c r="U564" t="s">
        <v>3948</v>
      </c>
      <c r="V564" t="s">
        <v>3937</v>
      </c>
      <c r="W564" s="9">
        <f>IF(V564="pregrado",31,
IF(V564="posgrados",31,
IF(V564="rEINTEGROS",7,
IF(V564="BIT",90,
IF(V564="OP GRADO - INGLÉS",17,"")))))</f>
        <v>31</v>
      </c>
      <c r="X564" t="s">
        <v>4031</v>
      </c>
    </row>
    <row r="565" spans="1:24" ht="15" x14ac:dyDescent="0.35">
      <c r="A565" s="4">
        <v>45974.579444444447</v>
      </c>
      <c r="B565">
        <v>20104070</v>
      </c>
      <c r="C565" s="5" t="s">
        <v>19</v>
      </c>
      <c r="D565">
        <v>154802</v>
      </c>
      <c r="E565" t="s">
        <v>43</v>
      </c>
      <c r="F565">
        <v>86045032</v>
      </c>
      <c r="G565" t="s">
        <v>340</v>
      </c>
      <c r="H565">
        <v>100145893</v>
      </c>
      <c r="I565">
        <v>202651</v>
      </c>
      <c r="J565">
        <v>86045032</v>
      </c>
      <c r="K565" t="s">
        <v>46</v>
      </c>
      <c r="L565" t="s">
        <v>252</v>
      </c>
      <c r="M565" t="s">
        <v>253</v>
      </c>
      <c r="N565" t="s">
        <v>35</v>
      </c>
      <c r="O565" t="s">
        <v>26</v>
      </c>
      <c r="P565" t="s">
        <v>27</v>
      </c>
      <c r="Q565" t="s">
        <v>28</v>
      </c>
      <c r="R565" t="s">
        <v>29</v>
      </c>
      <c r="S565" t="s">
        <v>30</v>
      </c>
      <c r="T565">
        <v>1033781417</v>
      </c>
      <c r="U565" t="s">
        <v>3948</v>
      </c>
      <c r="V565" t="s">
        <v>3937</v>
      </c>
      <c r="W565" s="9">
        <f>IF(V565="pregrado",31,
IF(V565="posgrados",31,
IF(V565="rEINTEGROS",7,
IF(V565="BIT",90,
IF(V565="OP GRADO - INGLÉS",17,"")))))</f>
        <v>31</v>
      </c>
      <c r="X565" t="s">
        <v>4031</v>
      </c>
    </row>
    <row r="566" spans="1:24" ht="15" x14ac:dyDescent="0.35">
      <c r="A566" s="4">
        <v>45974.742881944447</v>
      </c>
      <c r="B566">
        <v>20104093</v>
      </c>
      <c r="C566" s="5" t="s">
        <v>19</v>
      </c>
      <c r="D566">
        <v>154803</v>
      </c>
      <c r="E566" t="s">
        <v>43</v>
      </c>
      <c r="F566">
        <v>1115729973</v>
      </c>
      <c r="G566" t="s">
        <v>348</v>
      </c>
      <c r="H566">
        <v>100052962</v>
      </c>
      <c r="I566">
        <v>202651</v>
      </c>
      <c r="J566">
        <v>1115729973</v>
      </c>
      <c r="K566" t="s">
        <v>23</v>
      </c>
      <c r="L566" t="s">
        <v>252</v>
      </c>
      <c r="M566" t="s">
        <v>253</v>
      </c>
      <c r="N566" t="s">
        <v>35</v>
      </c>
      <c r="O566" t="s">
        <v>26</v>
      </c>
      <c r="P566" t="s">
        <v>27</v>
      </c>
      <c r="Q566" t="s">
        <v>28</v>
      </c>
      <c r="R566" t="s">
        <v>29</v>
      </c>
      <c r="S566" t="s">
        <v>30</v>
      </c>
      <c r="T566">
        <v>1014285873</v>
      </c>
      <c r="U566" t="s">
        <v>3948</v>
      </c>
      <c r="V566" t="s">
        <v>3937</v>
      </c>
      <c r="W566" s="9">
        <f>IF(V566="pregrado",31,
IF(V566="posgrados",31,
IF(V566="rEINTEGROS",7,
IF(V566="BIT",90,
IF(V566="OP GRADO - INGLÉS",17,"")))))</f>
        <v>31</v>
      </c>
      <c r="X566" t="s">
        <v>3953</v>
      </c>
    </row>
    <row r="567" spans="1:24" ht="15" x14ac:dyDescent="0.35">
      <c r="A567" s="4">
        <v>45988.4768287037</v>
      </c>
      <c r="B567">
        <v>20105065</v>
      </c>
      <c r="C567" s="6" t="s">
        <v>19</v>
      </c>
      <c r="D567">
        <v>154815</v>
      </c>
      <c r="E567" t="s">
        <v>43</v>
      </c>
      <c r="F567">
        <v>1193135649</v>
      </c>
      <c r="G567" t="s">
        <v>600</v>
      </c>
      <c r="H567">
        <v>100235470</v>
      </c>
      <c r="I567">
        <v>202641</v>
      </c>
      <c r="J567">
        <v>1193135649</v>
      </c>
      <c r="K567" t="s">
        <v>23</v>
      </c>
      <c r="L567" t="s">
        <v>279</v>
      </c>
      <c r="M567" t="s">
        <v>47</v>
      </c>
      <c r="N567" t="s">
        <v>35</v>
      </c>
      <c r="O567" t="s">
        <v>26</v>
      </c>
      <c r="P567" t="s">
        <v>27</v>
      </c>
      <c r="Q567" t="s">
        <v>28</v>
      </c>
      <c r="R567" t="s">
        <v>29</v>
      </c>
      <c r="S567" t="s">
        <v>30</v>
      </c>
      <c r="T567">
        <v>51951991</v>
      </c>
      <c r="U567" t="s">
        <v>3936</v>
      </c>
      <c r="V567" t="s">
        <v>3937</v>
      </c>
      <c r="W567" s="9">
        <f>IF(V567="pregrado",31,
IF(V567="posgrados",31,
IF(V567="rEINTEGROS",7,
IF(V567="BIT",90,
IF(V567="OP GRADO - INGLÉS",17,"")))))</f>
        <v>31</v>
      </c>
      <c r="X567" t="s">
        <v>4049</v>
      </c>
    </row>
    <row r="568" spans="1:24" ht="15" x14ac:dyDescent="0.35">
      <c r="A568" s="4">
        <v>45982.692627314813</v>
      </c>
      <c r="B568">
        <v>20104610</v>
      </c>
      <c r="C568" s="5" t="s">
        <v>19</v>
      </c>
      <c r="D568">
        <v>154816</v>
      </c>
      <c r="E568" t="s">
        <v>43</v>
      </c>
      <c r="F568">
        <v>1062083835</v>
      </c>
      <c r="G568" t="s">
        <v>469</v>
      </c>
      <c r="H568">
        <v>100075745</v>
      </c>
      <c r="I568">
        <v>202651</v>
      </c>
      <c r="J568">
        <v>1062083835</v>
      </c>
      <c r="K568" t="s">
        <v>23</v>
      </c>
      <c r="L568" t="s">
        <v>252</v>
      </c>
      <c r="M568" t="s">
        <v>253</v>
      </c>
      <c r="N568" t="s">
        <v>35</v>
      </c>
      <c r="O568" t="s">
        <v>26</v>
      </c>
      <c r="P568" t="s">
        <v>27</v>
      </c>
      <c r="Q568" t="s">
        <v>28</v>
      </c>
      <c r="R568" t="s">
        <v>29</v>
      </c>
      <c r="S568" t="s">
        <v>30</v>
      </c>
      <c r="T568">
        <v>53116792</v>
      </c>
      <c r="U568" t="s">
        <v>3936</v>
      </c>
      <c r="V568" t="s">
        <v>3937</v>
      </c>
      <c r="W568" s="9">
        <f>IF(V568="pregrado",31,
IF(V568="posgrados",31,
IF(V568="rEINTEGROS",7,
IF(V568="BIT",90,
IF(V568="OP GRADO - INGLÉS",17,"")))))</f>
        <v>31</v>
      </c>
      <c r="X568" t="s">
        <v>4008</v>
      </c>
    </row>
    <row r="569" spans="1:24" ht="15" x14ac:dyDescent="0.35">
      <c r="A569" s="4">
        <v>45975.536597222221</v>
      </c>
      <c r="B569">
        <v>20104144</v>
      </c>
      <c r="C569" s="5" t="s">
        <v>19</v>
      </c>
      <c r="D569">
        <v>154818</v>
      </c>
      <c r="E569" t="s">
        <v>43</v>
      </c>
      <c r="F569">
        <v>1088311553</v>
      </c>
      <c r="G569" t="s">
        <v>359</v>
      </c>
      <c r="H569">
        <v>100235472</v>
      </c>
      <c r="I569">
        <v>202641</v>
      </c>
      <c r="J569">
        <v>1088311553</v>
      </c>
      <c r="K569" t="s">
        <v>23</v>
      </c>
      <c r="L569" t="s">
        <v>294</v>
      </c>
      <c r="M569" t="s">
        <v>47</v>
      </c>
      <c r="N569" t="s">
        <v>35</v>
      </c>
      <c r="O569" t="s">
        <v>26</v>
      </c>
      <c r="P569" t="s">
        <v>27</v>
      </c>
      <c r="Q569" t="s">
        <v>28</v>
      </c>
      <c r="R569" t="s">
        <v>29</v>
      </c>
      <c r="S569" t="s">
        <v>30</v>
      </c>
      <c r="T569">
        <v>1026262709</v>
      </c>
      <c r="U569" t="s">
        <v>3936</v>
      </c>
      <c r="V569" t="s">
        <v>3937</v>
      </c>
      <c r="W569" s="9">
        <f>IF(V569="pregrado",31,
IF(V569="posgrados",31,
IF(V569="rEINTEGROS",7,
IF(V569="BIT",90,
IF(V569="OP GRADO - INGLÉS",17,"")))))</f>
        <v>31</v>
      </c>
      <c r="X569" t="s">
        <v>4037</v>
      </c>
    </row>
    <row r="570" spans="1:24" ht="15" x14ac:dyDescent="0.35">
      <c r="A570" s="4">
        <v>45975.618842592594</v>
      </c>
      <c r="B570">
        <v>20104163</v>
      </c>
      <c r="C570" s="5" t="s">
        <v>19</v>
      </c>
      <c r="D570">
        <v>154828</v>
      </c>
      <c r="E570" t="s">
        <v>43</v>
      </c>
      <c r="F570">
        <v>1004379949</v>
      </c>
      <c r="G570" t="s">
        <v>367</v>
      </c>
      <c r="H570">
        <v>100070297</v>
      </c>
      <c r="I570">
        <v>202651</v>
      </c>
      <c r="J570">
        <v>1004379949</v>
      </c>
      <c r="K570" t="s">
        <v>23</v>
      </c>
      <c r="L570" t="s">
        <v>252</v>
      </c>
      <c r="M570" t="s">
        <v>253</v>
      </c>
      <c r="N570" t="s">
        <v>35</v>
      </c>
      <c r="O570" t="s">
        <v>26</v>
      </c>
      <c r="P570" t="s">
        <v>27</v>
      </c>
      <c r="Q570" t="s">
        <v>28</v>
      </c>
      <c r="R570" t="s">
        <v>29</v>
      </c>
      <c r="S570" t="s">
        <v>30</v>
      </c>
      <c r="T570">
        <v>1032451737</v>
      </c>
      <c r="U570" t="s">
        <v>3948</v>
      </c>
      <c r="V570" t="s">
        <v>3937</v>
      </c>
      <c r="W570" s="9">
        <f>IF(V570="pregrado",31,
IF(V570="posgrados",31,
IF(V570="rEINTEGROS",7,
IF(V570="BIT",90,
IF(V570="OP GRADO - INGLÉS",17,"")))))</f>
        <v>31</v>
      </c>
      <c r="X570" t="s">
        <v>4033</v>
      </c>
    </row>
    <row r="571" spans="1:24" ht="15" x14ac:dyDescent="0.35">
      <c r="A571" s="4">
        <v>45976.625474537039</v>
      </c>
      <c r="B571">
        <v>20104249</v>
      </c>
      <c r="C571" s="5" t="s">
        <v>19</v>
      </c>
      <c r="D571">
        <v>154830</v>
      </c>
      <c r="E571" t="s">
        <v>43</v>
      </c>
      <c r="F571">
        <v>1028022730</v>
      </c>
      <c r="G571" t="s">
        <v>386</v>
      </c>
      <c r="H571">
        <v>100235504</v>
      </c>
      <c r="I571">
        <v>202641</v>
      </c>
      <c r="J571">
        <v>1028022730</v>
      </c>
      <c r="K571" t="s">
        <v>23</v>
      </c>
      <c r="L571" t="s">
        <v>99</v>
      </c>
      <c r="M571" t="s">
        <v>47</v>
      </c>
      <c r="N571" t="s">
        <v>35</v>
      </c>
      <c r="O571" t="s">
        <v>26</v>
      </c>
      <c r="P571" t="s">
        <v>27</v>
      </c>
      <c r="Q571" t="s">
        <v>28</v>
      </c>
      <c r="R571" t="s">
        <v>29</v>
      </c>
      <c r="S571" t="s">
        <v>30</v>
      </c>
      <c r="T571">
        <v>1082250716</v>
      </c>
      <c r="U571" t="s">
        <v>3936</v>
      </c>
      <c r="V571" t="s">
        <v>3937</v>
      </c>
      <c r="W571" s="9">
        <f>IF(V571="pregrado",31,
IF(V571="posgrados",31,
IF(V571="rEINTEGROS",7,
IF(V571="BIT",90,
IF(V571="OP GRADO - INGLÉS",17,"")))))</f>
        <v>31</v>
      </c>
      <c r="X571" t="s">
        <v>3997</v>
      </c>
    </row>
    <row r="572" spans="1:24" ht="15" x14ac:dyDescent="0.35">
      <c r="A572" s="4">
        <v>45975.472986111112</v>
      </c>
      <c r="B572">
        <v>20104132</v>
      </c>
      <c r="C572" s="5" t="s">
        <v>19</v>
      </c>
      <c r="D572">
        <v>154832</v>
      </c>
      <c r="E572" t="s">
        <v>43</v>
      </c>
      <c r="F572">
        <v>1030675591</v>
      </c>
      <c r="G572" t="s">
        <v>358</v>
      </c>
      <c r="H572">
        <v>100235508</v>
      </c>
      <c r="I572">
        <v>202641</v>
      </c>
      <c r="J572">
        <v>1030675591</v>
      </c>
      <c r="K572" t="s">
        <v>23</v>
      </c>
      <c r="L572" t="s">
        <v>342</v>
      </c>
      <c r="M572" t="s">
        <v>47</v>
      </c>
      <c r="N572" t="s">
        <v>35</v>
      </c>
      <c r="O572" t="s">
        <v>26</v>
      </c>
      <c r="P572" t="s">
        <v>27</v>
      </c>
      <c r="Q572" t="s">
        <v>28</v>
      </c>
      <c r="R572" t="s">
        <v>29</v>
      </c>
      <c r="S572" t="s">
        <v>30</v>
      </c>
      <c r="T572">
        <v>1033781417</v>
      </c>
      <c r="U572" t="s">
        <v>3948</v>
      </c>
      <c r="V572" t="s">
        <v>3937</v>
      </c>
      <c r="W572" s="9">
        <f>IF(V572="pregrado",31,
IF(V572="posgrados",31,
IF(V572="rEINTEGROS",7,
IF(V572="BIT",90,
IF(V572="OP GRADO - INGLÉS",17,"")))))</f>
        <v>31</v>
      </c>
      <c r="X572" t="s">
        <v>4031</v>
      </c>
    </row>
    <row r="573" spans="1:24" ht="15" x14ac:dyDescent="0.35">
      <c r="A573" s="4">
        <v>45980.566342592596</v>
      </c>
      <c r="B573">
        <v>20104396</v>
      </c>
      <c r="C573" s="5" t="s">
        <v>19</v>
      </c>
      <c r="D573">
        <v>154846</v>
      </c>
      <c r="E573" t="s">
        <v>43</v>
      </c>
      <c r="F573">
        <v>1119216966</v>
      </c>
      <c r="G573" t="s">
        <v>426</v>
      </c>
      <c r="H573">
        <v>100235533</v>
      </c>
      <c r="I573">
        <v>202641</v>
      </c>
      <c r="J573">
        <v>1119216966</v>
      </c>
      <c r="K573" t="s">
        <v>23</v>
      </c>
      <c r="L573" t="s">
        <v>294</v>
      </c>
      <c r="M573" t="s">
        <v>47</v>
      </c>
      <c r="N573" t="s">
        <v>35</v>
      </c>
      <c r="O573" t="s">
        <v>26</v>
      </c>
      <c r="P573" t="s">
        <v>27</v>
      </c>
      <c r="Q573" t="s">
        <v>28</v>
      </c>
      <c r="R573" t="s">
        <v>29</v>
      </c>
      <c r="S573" t="s">
        <v>30</v>
      </c>
      <c r="T573">
        <v>1020754225</v>
      </c>
      <c r="U573" t="s">
        <v>3948</v>
      </c>
      <c r="V573" t="s">
        <v>3937</v>
      </c>
      <c r="W573" s="9">
        <f>IF(V573="pregrado",31,
IF(V573="posgrados",31,
IF(V573="rEINTEGROS",7,
IF(V573="BIT",90,
IF(V573="OP GRADO - INGLÉS",17,"")))))</f>
        <v>31</v>
      </c>
      <c r="X573" t="s">
        <v>3981</v>
      </c>
    </row>
    <row r="574" spans="1:24" ht="15" x14ac:dyDescent="0.35">
      <c r="A574" s="4">
        <v>45975.695474537039</v>
      </c>
      <c r="B574">
        <v>20104194</v>
      </c>
      <c r="C574" s="5" t="s">
        <v>19</v>
      </c>
      <c r="D574">
        <v>154849</v>
      </c>
      <c r="E574" t="s">
        <v>43</v>
      </c>
      <c r="F574">
        <v>1104133120</v>
      </c>
      <c r="G574" t="s">
        <v>377</v>
      </c>
      <c r="H574">
        <v>100212873</v>
      </c>
      <c r="I574">
        <v>202651</v>
      </c>
      <c r="J574">
        <v>1104133120</v>
      </c>
      <c r="K574" t="s">
        <v>23</v>
      </c>
      <c r="L574" t="s">
        <v>252</v>
      </c>
      <c r="M574" t="s">
        <v>253</v>
      </c>
      <c r="N574" t="s">
        <v>35</v>
      </c>
      <c r="O574" t="s">
        <v>26</v>
      </c>
      <c r="P574" t="s">
        <v>27</v>
      </c>
      <c r="Q574" t="s">
        <v>28</v>
      </c>
      <c r="R574" t="s">
        <v>29</v>
      </c>
      <c r="S574" t="s">
        <v>30</v>
      </c>
      <c r="T574">
        <v>1082250716</v>
      </c>
      <c r="U574" t="s">
        <v>3936</v>
      </c>
      <c r="V574" t="s">
        <v>3937</v>
      </c>
      <c r="W574" s="9">
        <f>IF(V574="pregrado",31,
IF(V574="posgrados",31,
IF(V574="rEINTEGROS",7,
IF(V574="BIT",90,
IF(V574="OP GRADO - INGLÉS",17,"")))))</f>
        <v>31</v>
      </c>
      <c r="X574" t="s">
        <v>3997</v>
      </c>
    </row>
    <row r="575" spans="1:24" ht="15" x14ac:dyDescent="0.35">
      <c r="A575" s="4">
        <v>45975.444988425923</v>
      </c>
      <c r="B575">
        <v>20104126</v>
      </c>
      <c r="C575" s="5" t="s">
        <v>19</v>
      </c>
      <c r="D575">
        <v>154851</v>
      </c>
      <c r="E575" t="s">
        <v>43</v>
      </c>
      <c r="F575">
        <v>1048328506</v>
      </c>
      <c r="G575" t="s">
        <v>357</v>
      </c>
      <c r="H575">
        <v>100235554</v>
      </c>
      <c r="I575">
        <v>202641</v>
      </c>
      <c r="J575">
        <v>1048328506</v>
      </c>
      <c r="K575" t="s">
        <v>23</v>
      </c>
      <c r="L575" t="s">
        <v>279</v>
      </c>
      <c r="M575" t="s">
        <v>47</v>
      </c>
      <c r="N575" t="s">
        <v>35</v>
      </c>
      <c r="O575" t="s">
        <v>26</v>
      </c>
      <c r="P575" t="s">
        <v>27</v>
      </c>
      <c r="Q575" t="s">
        <v>28</v>
      </c>
      <c r="R575" t="s">
        <v>29</v>
      </c>
      <c r="S575" t="s">
        <v>30</v>
      </c>
      <c r="T575">
        <v>1022407392</v>
      </c>
      <c r="U575" t="s">
        <v>3936</v>
      </c>
      <c r="V575" t="s">
        <v>3937</v>
      </c>
      <c r="W575" s="9">
        <f>IF(V575="pregrado",31,
IF(V575="posgrados",31,
IF(V575="rEINTEGROS",7,
IF(V575="BIT",90,
IF(V575="OP GRADO - INGLÉS",17,"")))))</f>
        <v>31</v>
      </c>
      <c r="X575" t="s">
        <v>3975</v>
      </c>
    </row>
    <row r="576" spans="1:24" ht="15" x14ac:dyDescent="0.35">
      <c r="A576" s="4">
        <v>45975.437025462961</v>
      </c>
      <c r="B576">
        <v>20104123</v>
      </c>
      <c r="C576" s="5" t="s">
        <v>19</v>
      </c>
      <c r="D576">
        <v>154857</v>
      </c>
      <c r="E576" t="s">
        <v>43</v>
      </c>
      <c r="F576">
        <v>52229271</v>
      </c>
      <c r="G576" t="s">
        <v>356</v>
      </c>
      <c r="H576">
        <v>100235445</v>
      </c>
      <c r="I576">
        <v>202651</v>
      </c>
      <c r="J576">
        <v>52229271</v>
      </c>
      <c r="K576" t="s">
        <v>23</v>
      </c>
      <c r="L576" t="s">
        <v>252</v>
      </c>
      <c r="M576" t="s">
        <v>253</v>
      </c>
      <c r="N576" t="s">
        <v>35</v>
      </c>
      <c r="O576" t="s">
        <v>26</v>
      </c>
      <c r="P576" t="s">
        <v>27</v>
      </c>
      <c r="Q576" t="s">
        <v>28</v>
      </c>
      <c r="R576" t="s">
        <v>29</v>
      </c>
      <c r="S576" t="s">
        <v>30</v>
      </c>
      <c r="T576">
        <v>1233513889</v>
      </c>
      <c r="U576" t="s">
        <v>3948</v>
      </c>
      <c r="V576" t="s">
        <v>3937</v>
      </c>
      <c r="W576" s="9">
        <f>IF(V576="pregrado",31,
IF(V576="posgrados",31,
IF(V576="rEINTEGROS",7,
IF(V576="BIT",90,
IF(V576="OP GRADO - INGLÉS",17,"")))))</f>
        <v>31</v>
      </c>
      <c r="X576" t="s">
        <v>4035</v>
      </c>
    </row>
    <row r="577" spans="1:24" ht="15" x14ac:dyDescent="0.35">
      <c r="A577" s="4">
        <v>46028.639849537038</v>
      </c>
      <c r="B577">
        <v>20111245</v>
      </c>
      <c r="C577" s="6" t="s">
        <v>19</v>
      </c>
      <c r="D577">
        <v>154862</v>
      </c>
      <c r="E577" t="s">
        <v>43</v>
      </c>
      <c r="F577">
        <v>1088005613</v>
      </c>
      <c r="G577" t="s">
        <v>1527</v>
      </c>
      <c r="H577">
        <v>100235572</v>
      </c>
      <c r="I577">
        <v>202641</v>
      </c>
      <c r="J577">
        <v>1088005613</v>
      </c>
      <c r="K577" t="s">
        <v>23</v>
      </c>
      <c r="L577" t="s">
        <v>955</v>
      </c>
      <c r="M577" t="s">
        <v>47</v>
      </c>
      <c r="N577" t="s">
        <v>35</v>
      </c>
      <c r="O577" t="s">
        <v>26</v>
      </c>
      <c r="P577" t="s">
        <v>27</v>
      </c>
      <c r="Q577" t="s">
        <v>28</v>
      </c>
      <c r="R577" t="s">
        <v>29</v>
      </c>
      <c r="S577" t="s">
        <v>30</v>
      </c>
      <c r="T577">
        <v>1012355141</v>
      </c>
      <c r="U577" t="s">
        <v>3936</v>
      </c>
      <c r="V577" t="s">
        <v>3937</v>
      </c>
      <c r="W577" s="9">
        <f>IF(V577="pregrado",31,
IF(V577="posgrados",31,
IF(V577="rEINTEGROS",7,
IF(V577="BIT",90,
IF(V577="OP GRADO - INGLÉS",17,"")))))</f>
        <v>31</v>
      </c>
      <c r="X577" t="s">
        <v>4045</v>
      </c>
    </row>
    <row r="578" spans="1:24" ht="15" x14ac:dyDescent="0.35">
      <c r="A578" s="4">
        <v>45980.648321759261</v>
      </c>
      <c r="B578">
        <v>20104414</v>
      </c>
      <c r="C578" s="5" t="s">
        <v>19</v>
      </c>
      <c r="D578">
        <v>154866</v>
      </c>
      <c r="E578" t="s">
        <v>43</v>
      </c>
      <c r="F578">
        <v>1116918074</v>
      </c>
      <c r="G578" t="s">
        <v>434</v>
      </c>
      <c r="H578">
        <v>100235588</v>
      </c>
      <c r="I578">
        <v>202641</v>
      </c>
      <c r="J578">
        <v>1116918074</v>
      </c>
      <c r="K578" t="s">
        <v>23</v>
      </c>
      <c r="L578" t="s">
        <v>294</v>
      </c>
      <c r="M578" t="s">
        <v>47</v>
      </c>
      <c r="N578" t="s">
        <v>35</v>
      </c>
      <c r="O578" t="s">
        <v>26</v>
      </c>
      <c r="P578" t="s">
        <v>27</v>
      </c>
      <c r="Q578" t="s">
        <v>28</v>
      </c>
      <c r="R578" t="s">
        <v>29</v>
      </c>
      <c r="S578" t="s">
        <v>30</v>
      </c>
      <c r="T578">
        <v>1020754225</v>
      </c>
      <c r="U578" t="s">
        <v>3948</v>
      </c>
      <c r="V578" t="s">
        <v>3937</v>
      </c>
      <c r="W578" s="9">
        <f>IF(V578="pregrado",31,
IF(V578="posgrados",31,
IF(V578="rEINTEGROS",7,
IF(V578="BIT",90,
IF(V578="OP GRADO - INGLÉS",17,"")))))</f>
        <v>31</v>
      </c>
      <c r="X578" t="s">
        <v>3981</v>
      </c>
    </row>
    <row r="579" spans="1:24" ht="15" x14ac:dyDescent="0.35">
      <c r="A579" s="4">
        <v>46052.555289351854</v>
      </c>
      <c r="B579">
        <v>20118933</v>
      </c>
      <c r="C579" s="6" t="s">
        <v>19</v>
      </c>
      <c r="D579">
        <v>154869</v>
      </c>
      <c r="E579" t="s">
        <v>43</v>
      </c>
      <c r="F579">
        <v>1010190528</v>
      </c>
      <c r="G579" t="s">
        <v>2560</v>
      </c>
      <c r="H579">
        <v>100087646</v>
      </c>
      <c r="I579">
        <v>202641</v>
      </c>
      <c r="J579">
        <v>1010190528</v>
      </c>
      <c r="K579" t="s">
        <v>46</v>
      </c>
      <c r="L579" t="s">
        <v>342</v>
      </c>
      <c r="M579" t="s">
        <v>47</v>
      </c>
      <c r="N579" t="s">
        <v>35</v>
      </c>
      <c r="O579" t="s">
        <v>26</v>
      </c>
      <c r="P579" t="s">
        <v>27</v>
      </c>
      <c r="Q579" t="s">
        <v>28</v>
      </c>
      <c r="R579" t="s">
        <v>29</v>
      </c>
      <c r="S579" t="s">
        <v>30</v>
      </c>
      <c r="T579">
        <v>52032666</v>
      </c>
      <c r="U579" t="s">
        <v>3948</v>
      </c>
      <c r="V579" t="s">
        <v>3937</v>
      </c>
      <c r="W579" s="9">
        <f>IF(V579="pregrado",31,
IF(V579="posgrados",31,
IF(V579="rEINTEGROS",7,
IF(V579="BIT",90,
IF(V579="OP GRADO - INGLÉS",17,"")))))</f>
        <v>31</v>
      </c>
      <c r="X579" t="s">
        <v>3983</v>
      </c>
    </row>
    <row r="580" spans="1:24" ht="15" x14ac:dyDescent="0.35">
      <c r="A580" s="4">
        <v>45976.707233796296</v>
      </c>
      <c r="B580">
        <v>20104253</v>
      </c>
      <c r="C580" s="5" t="s">
        <v>19</v>
      </c>
      <c r="D580">
        <v>154870</v>
      </c>
      <c r="E580" t="s">
        <v>43</v>
      </c>
      <c r="F580">
        <v>40378425</v>
      </c>
      <c r="G580" t="s">
        <v>387</v>
      </c>
      <c r="H580">
        <v>100235600</v>
      </c>
      <c r="I580">
        <v>202651</v>
      </c>
      <c r="J580">
        <v>1121890465</v>
      </c>
      <c r="K580" t="s">
        <v>23</v>
      </c>
      <c r="L580" t="s">
        <v>252</v>
      </c>
      <c r="M580" t="s">
        <v>253</v>
      </c>
      <c r="N580" t="s">
        <v>35</v>
      </c>
      <c r="O580" t="s">
        <v>26</v>
      </c>
      <c r="P580" t="s">
        <v>27</v>
      </c>
      <c r="Q580" t="s">
        <v>28</v>
      </c>
      <c r="R580" t="s">
        <v>29</v>
      </c>
      <c r="S580" t="s">
        <v>30</v>
      </c>
      <c r="T580">
        <v>1233513889</v>
      </c>
      <c r="U580" t="s">
        <v>3948</v>
      </c>
      <c r="V580" t="s">
        <v>3937</v>
      </c>
      <c r="W580" s="9">
        <f>IF(V580="pregrado",31,
IF(V580="posgrados",31,
IF(V580="rEINTEGROS",7,
IF(V580="BIT",90,
IF(V580="OP GRADO - INGLÉS",17,"")))))</f>
        <v>31</v>
      </c>
      <c r="X580" t="s">
        <v>4035</v>
      </c>
    </row>
    <row r="581" spans="1:24" ht="15" x14ac:dyDescent="0.35">
      <c r="A581" s="4">
        <v>46027.669062499997</v>
      </c>
      <c r="B581">
        <v>20111008</v>
      </c>
      <c r="C581" s="6" t="s">
        <v>19</v>
      </c>
      <c r="D581">
        <v>154875</v>
      </c>
      <c r="E581" t="s">
        <v>43</v>
      </c>
      <c r="F581">
        <v>17547328</v>
      </c>
      <c r="G581" t="s">
        <v>1489</v>
      </c>
      <c r="H581">
        <v>100046381</v>
      </c>
      <c r="I581">
        <v>202641</v>
      </c>
      <c r="J581">
        <v>1116868139</v>
      </c>
      <c r="K581" t="s">
        <v>46</v>
      </c>
      <c r="L581" t="s">
        <v>294</v>
      </c>
      <c r="M581" t="s">
        <v>47</v>
      </c>
      <c r="N581" t="s">
        <v>35</v>
      </c>
      <c r="O581" t="s">
        <v>26</v>
      </c>
      <c r="P581" t="s">
        <v>27</v>
      </c>
      <c r="Q581" t="s">
        <v>28</v>
      </c>
      <c r="R581" t="s">
        <v>29</v>
      </c>
      <c r="S581" t="s">
        <v>30</v>
      </c>
      <c r="T581">
        <v>1073673268</v>
      </c>
      <c r="U581" t="s">
        <v>3948</v>
      </c>
      <c r="V581" t="s">
        <v>3937</v>
      </c>
      <c r="W581" s="9">
        <f>IF(V581="pregrado",31,
IF(V581="posgrados",31,
IF(V581="rEINTEGROS",7,
IF(V581="BIT",90,
IF(V581="OP GRADO - INGLÉS",17,"")))))</f>
        <v>31</v>
      </c>
      <c r="X581" t="s">
        <v>4080</v>
      </c>
    </row>
    <row r="582" spans="1:24" ht="15" x14ac:dyDescent="0.35">
      <c r="A582" s="4">
        <v>45982.468842592592</v>
      </c>
      <c r="B582">
        <v>20104585</v>
      </c>
      <c r="C582" s="5" t="s">
        <v>19</v>
      </c>
      <c r="D582">
        <v>154893</v>
      </c>
      <c r="E582" t="s">
        <v>43</v>
      </c>
      <c r="F582">
        <v>80096932</v>
      </c>
      <c r="G582" t="s">
        <v>467</v>
      </c>
      <c r="H582">
        <v>100235638</v>
      </c>
      <c r="I582">
        <v>202641</v>
      </c>
      <c r="J582">
        <v>80096932</v>
      </c>
      <c r="K582" t="s">
        <v>23</v>
      </c>
      <c r="L582" t="s">
        <v>140</v>
      </c>
      <c r="M582" t="s">
        <v>47</v>
      </c>
      <c r="N582" t="s">
        <v>35</v>
      </c>
      <c r="O582" t="s">
        <v>26</v>
      </c>
      <c r="P582" t="s">
        <v>27</v>
      </c>
      <c r="Q582" t="s">
        <v>28</v>
      </c>
      <c r="R582" t="s">
        <v>29</v>
      </c>
      <c r="S582" t="s">
        <v>30</v>
      </c>
      <c r="T582">
        <v>1233513889</v>
      </c>
      <c r="U582" t="s">
        <v>3948</v>
      </c>
      <c r="V582" t="s">
        <v>3937</v>
      </c>
      <c r="W582" s="9">
        <f>IF(V582="pregrado",31,
IF(V582="posgrados",31,
IF(V582="rEINTEGROS",7,
IF(V582="BIT",90,
IF(V582="OP GRADO - INGLÉS",17,"")))))</f>
        <v>31</v>
      </c>
      <c r="X582" t="s">
        <v>4035</v>
      </c>
    </row>
    <row r="583" spans="1:24" ht="15" x14ac:dyDescent="0.35">
      <c r="A583" s="4">
        <v>45980.383252314816</v>
      </c>
      <c r="B583">
        <v>20104357</v>
      </c>
      <c r="C583" s="5" t="s">
        <v>19</v>
      </c>
      <c r="D583">
        <v>154894</v>
      </c>
      <c r="E583" t="s">
        <v>43</v>
      </c>
      <c r="F583">
        <v>48628674</v>
      </c>
      <c r="G583" t="s">
        <v>416</v>
      </c>
      <c r="H583">
        <v>100235642</v>
      </c>
      <c r="I583">
        <v>202651</v>
      </c>
      <c r="J583">
        <v>48628674</v>
      </c>
      <c r="K583" t="s">
        <v>23</v>
      </c>
      <c r="L583" t="s">
        <v>252</v>
      </c>
      <c r="M583" t="s">
        <v>253</v>
      </c>
      <c r="N583" t="s">
        <v>35</v>
      </c>
      <c r="O583" t="s">
        <v>26</v>
      </c>
      <c r="P583" t="s">
        <v>27</v>
      </c>
      <c r="Q583" t="s">
        <v>28</v>
      </c>
      <c r="R583" t="s">
        <v>29</v>
      </c>
      <c r="S583" t="s">
        <v>30</v>
      </c>
      <c r="T583">
        <v>1020754225</v>
      </c>
      <c r="U583" t="s">
        <v>3948</v>
      </c>
      <c r="V583" t="s">
        <v>3937</v>
      </c>
      <c r="W583" s="9">
        <f>IF(V583="pregrado",31,
IF(V583="posgrados",31,
IF(V583="rEINTEGROS",7,
IF(V583="BIT",90,
IF(V583="OP GRADO - INGLÉS",17,"")))))</f>
        <v>31</v>
      </c>
      <c r="X583" t="s">
        <v>3981</v>
      </c>
    </row>
    <row r="584" spans="1:24" ht="15" x14ac:dyDescent="0.35">
      <c r="A584" s="4">
        <v>45975.76734953704</v>
      </c>
      <c r="B584">
        <v>20104212</v>
      </c>
      <c r="C584" s="5" t="s">
        <v>19</v>
      </c>
      <c r="D584">
        <v>154896</v>
      </c>
      <c r="E584" t="s">
        <v>43</v>
      </c>
      <c r="F584">
        <v>41181333</v>
      </c>
      <c r="G584" t="s">
        <v>380</v>
      </c>
      <c r="H584">
        <v>100235542</v>
      </c>
      <c r="I584">
        <v>202641</v>
      </c>
      <c r="J584">
        <v>1123329186</v>
      </c>
      <c r="K584" t="s">
        <v>74</v>
      </c>
      <c r="L584" t="s">
        <v>294</v>
      </c>
      <c r="M584" t="s">
        <v>47</v>
      </c>
      <c r="N584" t="s">
        <v>35</v>
      </c>
      <c r="O584" t="s">
        <v>26</v>
      </c>
      <c r="P584" t="s">
        <v>27</v>
      </c>
      <c r="Q584" t="s">
        <v>28</v>
      </c>
      <c r="R584" t="s">
        <v>29</v>
      </c>
      <c r="S584" t="s">
        <v>30</v>
      </c>
      <c r="T584">
        <v>1015407851</v>
      </c>
      <c r="U584" t="s">
        <v>3944</v>
      </c>
      <c r="V584" t="s">
        <v>3934</v>
      </c>
      <c r="W584" s="9">
        <f>IF(V584="pregrado",31,
IF(V584="posgrados",31,
IF(V584="rEINTEGROS",7,
IF(V584="BIT",90,
IF(V584="OP GRADO - INGLÉS",17,"")))))</f>
        <v>31</v>
      </c>
      <c r="X584" t="s">
        <v>4102</v>
      </c>
    </row>
    <row r="585" spans="1:24" ht="15" x14ac:dyDescent="0.35">
      <c r="A585" s="4">
        <v>45979.375787037039</v>
      </c>
      <c r="B585">
        <v>20104272</v>
      </c>
      <c r="C585" s="5" t="s">
        <v>19</v>
      </c>
      <c r="D585">
        <v>154930</v>
      </c>
      <c r="E585" t="s">
        <v>43</v>
      </c>
      <c r="F585">
        <v>1000688465</v>
      </c>
      <c r="G585" t="s">
        <v>391</v>
      </c>
      <c r="H585">
        <v>100235591</v>
      </c>
      <c r="I585">
        <v>202651</v>
      </c>
      <c r="J585">
        <v>1000688465</v>
      </c>
      <c r="K585" t="s">
        <v>23</v>
      </c>
      <c r="L585" t="s">
        <v>252</v>
      </c>
      <c r="M585" t="s">
        <v>253</v>
      </c>
      <c r="N585" t="s">
        <v>35</v>
      </c>
      <c r="O585" t="s">
        <v>26</v>
      </c>
      <c r="P585" t="s">
        <v>27</v>
      </c>
      <c r="Q585" t="s">
        <v>28</v>
      </c>
      <c r="R585" t="s">
        <v>29</v>
      </c>
      <c r="S585" t="s">
        <v>30</v>
      </c>
      <c r="T585">
        <v>1033781417</v>
      </c>
      <c r="U585" t="s">
        <v>3948</v>
      </c>
      <c r="V585" t="s">
        <v>3937</v>
      </c>
      <c r="W585" s="9">
        <f>IF(V585="pregrado",31,
IF(V585="posgrados",31,
IF(V585="rEINTEGROS",7,
IF(V585="BIT",90,
IF(V585="OP GRADO - INGLÉS",17,"")))))</f>
        <v>31</v>
      </c>
      <c r="X585" t="s">
        <v>4031</v>
      </c>
    </row>
    <row r="586" spans="1:24" ht="15" x14ac:dyDescent="0.35">
      <c r="A586" s="4">
        <v>45988.692199074074</v>
      </c>
      <c r="B586">
        <v>20105156</v>
      </c>
      <c r="C586" s="6" t="s">
        <v>19</v>
      </c>
      <c r="D586">
        <v>154932</v>
      </c>
      <c r="E586" t="s">
        <v>43</v>
      </c>
      <c r="F586">
        <v>1075220892</v>
      </c>
      <c r="G586" t="s">
        <v>628</v>
      </c>
      <c r="H586">
        <v>100122170</v>
      </c>
      <c r="I586">
        <v>202651</v>
      </c>
      <c r="J586">
        <v>1075220892</v>
      </c>
      <c r="K586" t="s">
        <v>46</v>
      </c>
      <c r="L586" t="s">
        <v>252</v>
      </c>
      <c r="M586" t="s">
        <v>253</v>
      </c>
      <c r="N586" t="s">
        <v>35</v>
      </c>
      <c r="O586" t="s">
        <v>26</v>
      </c>
      <c r="P586" t="s">
        <v>27</v>
      </c>
      <c r="Q586" t="s">
        <v>28</v>
      </c>
      <c r="R586" t="s">
        <v>29</v>
      </c>
      <c r="S586" t="s">
        <v>30</v>
      </c>
      <c r="T586">
        <v>1075542872</v>
      </c>
      <c r="U586" t="s">
        <v>3948</v>
      </c>
      <c r="V586" t="s">
        <v>3937</v>
      </c>
      <c r="W586" s="9">
        <f>IF(V586="pregrado",31,
IF(V586="posgrados",31,
IF(V586="rEINTEGROS",7,
IF(V586="BIT",90,
IF(V586="OP GRADO - INGLÉS",17,"")))))</f>
        <v>31</v>
      </c>
      <c r="X586" t="s">
        <v>3974</v>
      </c>
    </row>
    <row r="587" spans="1:24" ht="15" x14ac:dyDescent="0.35">
      <c r="A587" s="4">
        <v>45985.476261574076</v>
      </c>
      <c r="B587">
        <v>20104674</v>
      </c>
      <c r="C587" s="5" t="s">
        <v>19</v>
      </c>
      <c r="D587">
        <v>154935</v>
      </c>
      <c r="E587" t="s">
        <v>43</v>
      </c>
      <c r="F587">
        <v>1073707765</v>
      </c>
      <c r="G587" t="s">
        <v>482</v>
      </c>
      <c r="H587">
        <v>100235744</v>
      </c>
      <c r="I587">
        <v>202641</v>
      </c>
      <c r="J587">
        <v>1073707765</v>
      </c>
      <c r="K587" t="s">
        <v>23</v>
      </c>
      <c r="L587" t="s">
        <v>279</v>
      </c>
      <c r="M587" t="s">
        <v>47</v>
      </c>
      <c r="N587" t="s">
        <v>35</v>
      </c>
      <c r="O587" t="s">
        <v>26</v>
      </c>
      <c r="P587" t="s">
        <v>27</v>
      </c>
      <c r="Q587" t="s">
        <v>28</v>
      </c>
      <c r="R587" t="s">
        <v>29</v>
      </c>
      <c r="S587" t="s">
        <v>30</v>
      </c>
      <c r="T587">
        <v>1082250716</v>
      </c>
      <c r="U587" t="s">
        <v>3936</v>
      </c>
      <c r="V587" t="s">
        <v>3937</v>
      </c>
      <c r="W587" s="9">
        <f>IF(V587="pregrado",31,
IF(V587="posgrados",31,
IF(V587="rEINTEGROS",7,
IF(V587="BIT",90,
IF(V587="OP GRADO - INGLÉS",17,"")))))</f>
        <v>31</v>
      </c>
      <c r="X587" t="s">
        <v>3997</v>
      </c>
    </row>
    <row r="588" spans="1:24" ht="15" x14ac:dyDescent="0.35">
      <c r="A588" s="4">
        <v>45979.669212962966</v>
      </c>
      <c r="B588">
        <v>20104318</v>
      </c>
      <c r="C588" s="5" t="s">
        <v>19</v>
      </c>
      <c r="D588">
        <v>154953</v>
      </c>
      <c r="E588" t="s">
        <v>43</v>
      </c>
      <c r="F588">
        <v>63457098</v>
      </c>
      <c r="G588" t="s">
        <v>406</v>
      </c>
      <c r="H588">
        <v>100021761</v>
      </c>
      <c r="I588">
        <v>202651</v>
      </c>
      <c r="J588">
        <v>63457098</v>
      </c>
      <c r="K588" t="s">
        <v>46</v>
      </c>
      <c r="L588" t="s">
        <v>252</v>
      </c>
      <c r="M588" t="s">
        <v>253</v>
      </c>
      <c r="N588" t="s">
        <v>35</v>
      </c>
      <c r="O588" t="s">
        <v>26</v>
      </c>
      <c r="P588" t="s">
        <v>27</v>
      </c>
      <c r="Q588" t="s">
        <v>28</v>
      </c>
      <c r="R588" t="s">
        <v>29</v>
      </c>
      <c r="S588" t="s">
        <v>30</v>
      </c>
      <c r="T588">
        <v>1033781417</v>
      </c>
      <c r="U588" t="s">
        <v>3948</v>
      </c>
      <c r="V588" t="s">
        <v>3937</v>
      </c>
      <c r="W588" s="9">
        <f>IF(V588="pregrado",31,
IF(V588="posgrados",31,
IF(V588="rEINTEGROS",7,
IF(V588="BIT",90,
IF(V588="OP GRADO - INGLÉS",17,"")))))</f>
        <v>31</v>
      </c>
      <c r="X588" t="s">
        <v>4031</v>
      </c>
    </row>
    <row r="589" spans="1:24" ht="15" x14ac:dyDescent="0.35">
      <c r="A589" s="4">
        <v>45979.77034722222</v>
      </c>
      <c r="B589">
        <v>20104343</v>
      </c>
      <c r="C589" s="5" t="s">
        <v>19</v>
      </c>
      <c r="D589">
        <v>154962</v>
      </c>
      <c r="E589" t="s">
        <v>43</v>
      </c>
      <c r="F589">
        <v>1110487259</v>
      </c>
      <c r="G589" t="s">
        <v>414</v>
      </c>
      <c r="H589">
        <v>100235825</v>
      </c>
      <c r="I589">
        <v>202651</v>
      </c>
      <c r="J589">
        <v>1110487259</v>
      </c>
      <c r="K589" t="s">
        <v>23</v>
      </c>
      <c r="L589" t="s">
        <v>252</v>
      </c>
      <c r="M589" t="s">
        <v>253</v>
      </c>
      <c r="N589" t="s">
        <v>35</v>
      </c>
      <c r="O589" t="s">
        <v>26</v>
      </c>
      <c r="P589" t="s">
        <v>27</v>
      </c>
      <c r="Q589" t="s">
        <v>28</v>
      </c>
      <c r="R589" t="s">
        <v>29</v>
      </c>
      <c r="S589" t="s">
        <v>30</v>
      </c>
      <c r="T589">
        <v>1014285873</v>
      </c>
      <c r="U589" t="s">
        <v>3948</v>
      </c>
      <c r="V589" t="s">
        <v>3937</v>
      </c>
      <c r="W589" s="9">
        <f>IF(V589="pregrado",31,
IF(V589="posgrados",31,
IF(V589="rEINTEGROS",7,
IF(V589="BIT",90,
IF(V589="OP GRADO - INGLÉS",17,"")))))</f>
        <v>31</v>
      </c>
      <c r="X589" t="s">
        <v>3953</v>
      </c>
    </row>
    <row r="590" spans="1:24" ht="15" x14ac:dyDescent="0.35">
      <c r="A590" s="4">
        <v>46016.462025462963</v>
      </c>
      <c r="B590">
        <v>20109765</v>
      </c>
      <c r="C590" s="6" t="s">
        <v>19</v>
      </c>
      <c r="D590">
        <v>154963</v>
      </c>
      <c r="E590" t="s">
        <v>43</v>
      </c>
      <c r="F590">
        <v>1048330055</v>
      </c>
      <c r="G590" t="s">
        <v>1308</v>
      </c>
      <c r="H590">
        <v>100126521</v>
      </c>
      <c r="I590">
        <v>202641</v>
      </c>
      <c r="J590">
        <v>1048330055</v>
      </c>
      <c r="K590" t="s">
        <v>46</v>
      </c>
      <c r="L590" t="s">
        <v>342</v>
      </c>
      <c r="M590" t="s">
        <v>47</v>
      </c>
      <c r="N590" t="s">
        <v>35</v>
      </c>
      <c r="O590" t="s">
        <v>26</v>
      </c>
      <c r="P590" t="s">
        <v>27</v>
      </c>
      <c r="Q590" t="s">
        <v>28</v>
      </c>
      <c r="R590" t="s">
        <v>29</v>
      </c>
      <c r="S590" t="s">
        <v>30</v>
      </c>
      <c r="T590">
        <v>1014285873</v>
      </c>
      <c r="U590" t="s">
        <v>3948</v>
      </c>
      <c r="V590" t="s">
        <v>3937</v>
      </c>
      <c r="W590" s="9">
        <f>IF(V590="pregrado",31,
IF(V590="posgrados",31,
IF(V590="rEINTEGROS",7,
IF(V590="BIT",90,
IF(V590="OP GRADO - INGLÉS",17,"")))))</f>
        <v>31</v>
      </c>
      <c r="X590" t="s">
        <v>3953</v>
      </c>
    </row>
    <row r="591" spans="1:24" ht="15" x14ac:dyDescent="0.35">
      <c r="A591" s="4">
        <v>45980.599004629628</v>
      </c>
      <c r="B591">
        <v>20104404</v>
      </c>
      <c r="C591" s="5" t="s">
        <v>19</v>
      </c>
      <c r="D591">
        <v>154966</v>
      </c>
      <c r="E591" t="s">
        <v>43</v>
      </c>
      <c r="F591">
        <v>1043022868</v>
      </c>
      <c r="G591" t="s">
        <v>431</v>
      </c>
      <c r="H591">
        <v>100235839</v>
      </c>
      <c r="I591">
        <v>202651</v>
      </c>
      <c r="J591">
        <v>1043022868</v>
      </c>
      <c r="K591" t="s">
        <v>23</v>
      </c>
      <c r="L591" t="s">
        <v>252</v>
      </c>
      <c r="M591" t="s">
        <v>253</v>
      </c>
      <c r="N591" t="s">
        <v>25</v>
      </c>
      <c r="O591" t="s">
        <v>26</v>
      </c>
      <c r="P591" t="s">
        <v>27</v>
      </c>
      <c r="Q591" t="s">
        <v>28</v>
      </c>
      <c r="R591" t="s">
        <v>29</v>
      </c>
      <c r="S591" t="s">
        <v>30</v>
      </c>
      <c r="T591">
        <v>1233513889</v>
      </c>
      <c r="U591" t="s">
        <v>3948</v>
      </c>
      <c r="V591" t="s">
        <v>3937</v>
      </c>
      <c r="W591" s="9">
        <f>IF(V591="pregrado",31,
IF(V591="posgrados",31,
IF(V591="rEINTEGROS",7,
IF(V591="BIT",90,
IF(V591="OP GRADO - INGLÉS",17,"")))))</f>
        <v>31</v>
      </c>
      <c r="X591" t="s">
        <v>4035</v>
      </c>
    </row>
    <row r="592" spans="1:24" ht="15" x14ac:dyDescent="0.35">
      <c r="A592" s="4">
        <v>45983.397268518522</v>
      </c>
      <c r="B592">
        <v>20104621</v>
      </c>
      <c r="C592" s="5" t="s">
        <v>19</v>
      </c>
      <c r="D592">
        <v>154992</v>
      </c>
      <c r="E592" t="s">
        <v>43</v>
      </c>
      <c r="F592">
        <v>1096907100</v>
      </c>
      <c r="G592" t="s">
        <v>472</v>
      </c>
      <c r="H592">
        <v>100236012</v>
      </c>
      <c r="I592">
        <v>202651</v>
      </c>
      <c r="J592">
        <v>1096907100</v>
      </c>
      <c r="K592" t="s">
        <v>23</v>
      </c>
      <c r="L592" t="s">
        <v>252</v>
      </c>
      <c r="M592" t="s">
        <v>253</v>
      </c>
      <c r="N592" t="s">
        <v>35</v>
      </c>
      <c r="O592" t="s">
        <v>26</v>
      </c>
      <c r="P592" t="s">
        <v>27</v>
      </c>
      <c r="Q592" t="s">
        <v>28</v>
      </c>
      <c r="R592" t="s">
        <v>29</v>
      </c>
      <c r="S592" t="s">
        <v>30</v>
      </c>
      <c r="T592">
        <v>1026262709</v>
      </c>
      <c r="U592" t="s">
        <v>3936</v>
      </c>
      <c r="V592" t="s">
        <v>3937</v>
      </c>
      <c r="W592" s="9">
        <f>IF(V592="pregrado",31,
IF(V592="posgrados",31,
IF(V592="rEINTEGROS",7,
IF(V592="BIT",90,
IF(V592="OP GRADO - INGLÉS",17,"")))))</f>
        <v>31</v>
      </c>
      <c r="X592" t="s">
        <v>4037</v>
      </c>
    </row>
    <row r="593" spans="1:24" ht="15" x14ac:dyDescent="0.35">
      <c r="A593" s="4">
        <v>45981.592210648145</v>
      </c>
      <c r="B593">
        <v>20104532</v>
      </c>
      <c r="C593" s="5" t="s">
        <v>19</v>
      </c>
      <c r="D593">
        <v>154995</v>
      </c>
      <c r="E593" t="s">
        <v>43</v>
      </c>
      <c r="F593">
        <v>1060362377</v>
      </c>
      <c r="G593" t="s">
        <v>458</v>
      </c>
      <c r="H593">
        <v>100052222</v>
      </c>
      <c r="I593">
        <v>202651</v>
      </c>
      <c r="J593">
        <v>1060362377</v>
      </c>
      <c r="K593" t="s">
        <v>23</v>
      </c>
      <c r="L593" t="s">
        <v>252</v>
      </c>
      <c r="M593" t="s">
        <v>253</v>
      </c>
      <c r="N593" t="s">
        <v>35</v>
      </c>
      <c r="O593" t="s">
        <v>26</v>
      </c>
      <c r="P593" t="s">
        <v>27</v>
      </c>
      <c r="Q593" t="s">
        <v>28</v>
      </c>
      <c r="R593" t="s">
        <v>29</v>
      </c>
      <c r="S593" t="s">
        <v>30</v>
      </c>
      <c r="T593">
        <v>1140420282</v>
      </c>
      <c r="U593" t="s">
        <v>3948</v>
      </c>
      <c r="V593" t="s">
        <v>3937</v>
      </c>
      <c r="W593" s="9">
        <f>IF(V593="pregrado",31,
IF(V593="posgrados",31,
IF(V593="rEINTEGROS",7,
IF(V593="BIT",90,
IF(V593="OP GRADO - INGLÉS",17,"")))))</f>
        <v>31</v>
      </c>
      <c r="X593" t="s">
        <v>3972</v>
      </c>
    </row>
    <row r="594" spans="1:24" ht="15" x14ac:dyDescent="0.35">
      <c r="A594" s="4">
        <v>45980.740219907406</v>
      </c>
      <c r="B594">
        <v>20104441</v>
      </c>
      <c r="C594" s="5" t="s">
        <v>19</v>
      </c>
      <c r="D594">
        <v>154996</v>
      </c>
      <c r="E594" t="s">
        <v>43</v>
      </c>
      <c r="F594">
        <v>1060361464</v>
      </c>
      <c r="G594" t="s">
        <v>439</v>
      </c>
      <c r="H594">
        <v>100022395</v>
      </c>
      <c r="I594">
        <v>202651</v>
      </c>
      <c r="J594">
        <v>1060361464</v>
      </c>
      <c r="K594" t="s">
        <v>23</v>
      </c>
      <c r="L594" t="s">
        <v>252</v>
      </c>
      <c r="M594" t="s">
        <v>253</v>
      </c>
      <c r="N594" t="s">
        <v>35</v>
      </c>
      <c r="O594" t="s">
        <v>26</v>
      </c>
      <c r="P594" t="s">
        <v>27</v>
      </c>
      <c r="Q594" t="s">
        <v>28</v>
      </c>
      <c r="R594" t="s">
        <v>29</v>
      </c>
      <c r="S594" t="s">
        <v>30</v>
      </c>
      <c r="T594">
        <v>1033781417</v>
      </c>
      <c r="U594" t="s">
        <v>3948</v>
      </c>
      <c r="V594" t="s">
        <v>3937</v>
      </c>
      <c r="W594" s="9">
        <f>IF(V594="pregrado",31,
IF(V594="posgrados",31,
IF(V594="rEINTEGROS",7,
IF(V594="BIT",90,
IF(V594="OP GRADO - INGLÉS",17,"")))))</f>
        <v>31</v>
      </c>
      <c r="X594" t="s">
        <v>4031</v>
      </c>
    </row>
    <row r="595" spans="1:24" ht="15" x14ac:dyDescent="0.35">
      <c r="A595" s="4">
        <v>45981.627546296295</v>
      </c>
      <c r="B595">
        <v>20104541</v>
      </c>
      <c r="C595" s="5" t="s">
        <v>19</v>
      </c>
      <c r="D595">
        <v>155002</v>
      </c>
      <c r="E595" t="s">
        <v>43</v>
      </c>
      <c r="F595">
        <v>1035127278</v>
      </c>
      <c r="G595" t="s">
        <v>460</v>
      </c>
      <c r="H595">
        <v>100236034</v>
      </c>
      <c r="I595">
        <v>202651</v>
      </c>
      <c r="J595">
        <v>1035127278</v>
      </c>
      <c r="K595" t="s">
        <v>23</v>
      </c>
      <c r="L595" t="s">
        <v>252</v>
      </c>
      <c r="M595" t="s">
        <v>253</v>
      </c>
      <c r="N595" t="s">
        <v>35</v>
      </c>
      <c r="O595" t="s">
        <v>26</v>
      </c>
      <c r="P595" t="s">
        <v>27</v>
      </c>
      <c r="Q595" t="s">
        <v>28</v>
      </c>
      <c r="R595" t="s">
        <v>29</v>
      </c>
      <c r="S595" t="s">
        <v>30</v>
      </c>
      <c r="T595">
        <v>1140420282</v>
      </c>
      <c r="U595" t="s">
        <v>3948</v>
      </c>
      <c r="V595" t="s">
        <v>3937</v>
      </c>
      <c r="W595" s="9">
        <f>IF(V595="pregrado",31,
IF(V595="posgrados",31,
IF(V595="rEINTEGROS",7,
IF(V595="BIT",90,
IF(V595="OP GRADO - INGLÉS",17,"")))))</f>
        <v>31</v>
      </c>
      <c r="X595" t="s">
        <v>3972</v>
      </c>
    </row>
    <row r="596" spans="1:24" ht="15" x14ac:dyDescent="0.35">
      <c r="A596" s="4">
        <v>45981.396956018521</v>
      </c>
      <c r="B596">
        <v>20104472</v>
      </c>
      <c r="C596" s="5" t="s">
        <v>19</v>
      </c>
      <c r="D596">
        <v>155012</v>
      </c>
      <c r="E596" t="s">
        <v>43</v>
      </c>
      <c r="F596">
        <v>1133797051</v>
      </c>
      <c r="G596" t="s">
        <v>443</v>
      </c>
      <c r="H596">
        <v>100236059</v>
      </c>
      <c r="I596">
        <v>202651</v>
      </c>
      <c r="J596">
        <v>1133797051</v>
      </c>
      <c r="K596" t="s">
        <v>23</v>
      </c>
      <c r="L596" t="s">
        <v>252</v>
      </c>
      <c r="M596" t="s">
        <v>253</v>
      </c>
      <c r="N596" t="s">
        <v>35</v>
      </c>
      <c r="O596" t="s">
        <v>26</v>
      </c>
      <c r="P596" t="s">
        <v>27</v>
      </c>
      <c r="Q596" t="s">
        <v>28</v>
      </c>
      <c r="R596" t="s">
        <v>29</v>
      </c>
      <c r="S596" t="s">
        <v>30</v>
      </c>
      <c r="T596">
        <v>1014285873</v>
      </c>
      <c r="U596" t="s">
        <v>3948</v>
      </c>
      <c r="V596" t="s">
        <v>3937</v>
      </c>
      <c r="W596" s="9">
        <f>IF(V596="pregrado",31,
IF(V596="posgrados",31,
IF(V596="rEINTEGROS",7,
IF(V596="BIT",90,
IF(V596="OP GRADO - INGLÉS",17,"")))))</f>
        <v>31</v>
      </c>
      <c r="X596" t="s">
        <v>3953</v>
      </c>
    </row>
    <row r="597" spans="1:24" ht="15" x14ac:dyDescent="0.35">
      <c r="A597" s="4">
        <v>45981.693773148145</v>
      </c>
      <c r="B597">
        <v>20104557</v>
      </c>
      <c r="C597" s="5" t="s">
        <v>19</v>
      </c>
      <c r="D597">
        <v>155017</v>
      </c>
      <c r="E597" t="s">
        <v>43</v>
      </c>
      <c r="F597">
        <v>1001996373</v>
      </c>
      <c r="G597" t="s">
        <v>461</v>
      </c>
      <c r="H597">
        <v>100236063</v>
      </c>
      <c r="I597">
        <v>202641</v>
      </c>
      <c r="J597">
        <v>1001996373</v>
      </c>
      <c r="K597" t="s">
        <v>23</v>
      </c>
      <c r="L597" t="s">
        <v>59</v>
      </c>
      <c r="M597" t="s">
        <v>47</v>
      </c>
      <c r="N597" t="s">
        <v>35</v>
      </c>
      <c r="O597" t="s">
        <v>26</v>
      </c>
      <c r="P597" t="s">
        <v>27</v>
      </c>
      <c r="Q597" t="s">
        <v>28</v>
      </c>
      <c r="R597" t="s">
        <v>29</v>
      </c>
      <c r="S597" t="s">
        <v>30</v>
      </c>
      <c r="T597">
        <v>52965969</v>
      </c>
      <c r="U597" t="s">
        <v>3936</v>
      </c>
      <c r="V597" t="s">
        <v>3937</v>
      </c>
      <c r="W597" s="9">
        <f>IF(V597="pregrado",31,
IF(V597="posgrados",31,
IF(V597="rEINTEGROS",7,
IF(V597="BIT",90,
IF(V597="OP GRADO - INGLÉS",17,"")))))</f>
        <v>31</v>
      </c>
      <c r="X597" t="s">
        <v>3960</v>
      </c>
    </row>
    <row r="598" spans="1:24" ht="15" x14ac:dyDescent="0.35">
      <c r="A598" s="4">
        <v>45981.544652777775</v>
      </c>
      <c r="B598">
        <v>20104514</v>
      </c>
      <c r="C598" s="5" t="s">
        <v>19</v>
      </c>
      <c r="D598">
        <v>155030</v>
      </c>
      <c r="E598" t="s">
        <v>43</v>
      </c>
      <c r="F598">
        <v>25329090</v>
      </c>
      <c r="G598" t="s">
        <v>453</v>
      </c>
      <c r="H598">
        <v>100035973</v>
      </c>
      <c r="I598">
        <v>202651</v>
      </c>
      <c r="J598">
        <v>1060362094</v>
      </c>
      <c r="K598" t="s">
        <v>23</v>
      </c>
      <c r="L598" t="s">
        <v>252</v>
      </c>
      <c r="M598" t="s">
        <v>253</v>
      </c>
      <c r="N598" t="s">
        <v>35</v>
      </c>
      <c r="O598" t="s">
        <v>26</v>
      </c>
      <c r="P598" t="s">
        <v>27</v>
      </c>
      <c r="Q598" t="s">
        <v>28</v>
      </c>
      <c r="R598" t="s">
        <v>29</v>
      </c>
      <c r="S598" t="s">
        <v>30</v>
      </c>
      <c r="T598">
        <v>1014285873</v>
      </c>
      <c r="U598" t="s">
        <v>3948</v>
      </c>
      <c r="V598" t="s">
        <v>3937</v>
      </c>
      <c r="W598" s="9">
        <f>IF(V598="pregrado",31,
IF(V598="posgrados",31,
IF(V598="rEINTEGROS",7,
IF(V598="BIT",90,
IF(V598="OP GRADO - INGLÉS",17,"")))))</f>
        <v>31</v>
      </c>
      <c r="X598" t="s">
        <v>3953</v>
      </c>
    </row>
    <row r="599" spans="1:24" ht="15" x14ac:dyDescent="0.35">
      <c r="A599" s="4">
        <v>45988.405868055554</v>
      </c>
      <c r="B599">
        <v>20105037</v>
      </c>
      <c r="C599" s="6" t="s">
        <v>19</v>
      </c>
      <c r="D599">
        <v>155036</v>
      </c>
      <c r="E599" t="s">
        <v>43</v>
      </c>
      <c r="F599">
        <v>28152257</v>
      </c>
      <c r="G599" t="s">
        <v>593</v>
      </c>
      <c r="H599">
        <v>100236092</v>
      </c>
      <c r="I599">
        <v>202651</v>
      </c>
      <c r="J599">
        <v>28152257</v>
      </c>
      <c r="K599" t="s">
        <v>23</v>
      </c>
      <c r="L599" t="s">
        <v>252</v>
      </c>
      <c r="M599" t="s">
        <v>253</v>
      </c>
      <c r="N599" t="s">
        <v>35</v>
      </c>
      <c r="O599" t="s">
        <v>26</v>
      </c>
      <c r="P599" t="s">
        <v>27</v>
      </c>
      <c r="Q599" t="s">
        <v>28</v>
      </c>
      <c r="R599" t="s">
        <v>29</v>
      </c>
      <c r="S599" t="s">
        <v>30</v>
      </c>
      <c r="T599">
        <v>1082250716</v>
      </c>
      <c r="U599" t="s">
        <v>3936</v>
      </c>
      <c r="V599" t="s">
        <v>3937</v>
      </c>
      <c r="W599" s="9">
        <f>IF(V599="pregrado",31,
IF(V599="posgrados",31,
IF(V599="rEINTEGROS",7,
IF(V599="BIT",90,
IF(V599="OP GRADO - INGLÉS",17,"")))))</f>
        <v>31</v>
      </c>
      <c r="X599" t="s">
        <v>3997</v>
      </c>
    </row>
    <row r="600" spans="1:24" ht="15" x14ac:dyDescent="0.35">
      <c r="A600" s="4">
        <v>45981.459143518521</v>
      </c>
      <c r="B600">
        <v>20104483</v>
      </c>
      <c r="C600" s="5" t="s">
        <v>19</v>
      </c>
      <c r="D600">
        <v>155038</v>
      </c>
      <c r="E600" t="s">
        <v>43</v>
      </c>
      <c r="F600">
        <v>1018468757</v>
      </c>
      <c r="G600" t="s">
        <v>446</v>
      </c>
      <c r="H600">
        <v>100143900</v>
      </c>
      <c r="I600">
        <v>202651</v>
      </c>
      <c r="J600">
        <v>1018468757</v>
      </c>
      <c r="K600" t="s">
        <v>46</v>
      </c>
      <c r="L600" t="s">
        <v>252</v>
      </c>
      <c r="M600" t="s">
        <v>253</v>
      </c>
      <c r="N600" t="s">
        <v>35</v>
      </c>
      <c r="O600" t="s">
        <v>26</v>
      </c>
      <c r="P600" t="s">
        <v>27</v>
      </c>
      <c r="Q600" t="s">
        <v>28</v>
      </c>
      <c r="R600" t="s">
        <v>29</v>
      </c>
      <c r="S600" t="s">
        <v>30</v>
      </c>
      <c r="T600">
        <v>1014285873</v>
      </c>
      <c r="U600" t="s">
        <v>3948</v>
      </c>
      <c r="V600" t="s">
        <v>3937</v>
      </c>
      <c r="W600" s="9">
        <f>IF(V600="pregrado",31,
IF(V600="posgrados",31,
IF(V600="rEINTEGROS",7,
IF(V600="BIT",90,
IF(V600="OP GRADO - INGLÉS",17,"")))))</f>
        <v>31</v>
      </c>
      <c r="X600" t="s">
        <v>3953</v>
      </c>
    </row>
    <row r="601" spans="1:24" ht="15" x14ac:dyDescent="0.35">
      <c r="A601" s="4">
        <v>45982.467743055553</v>
      </c>
      <c r="B601">
        <v>20104584</v>
      </c>
      <c r="C601" s="5" t="s">
        <v>19</v>
      </c>
      <c r="D601">
        <v>155044</v>
      </c>
      <c r="E601" t="s">
        <v>43</v>
      </c>
      <c r="F601">
        <v>39001927</v>
      </c>
      <c r="G601" t="s">
        <v>466</v>
      </c>
      <c r="H601">
        <v>100172635</v>
      </c>
      <c r="I601">
        <v>202641</v>
      </c>
      <c r="J601">
        <v>39001927</v>
      </c>
      <c r="K601" t="s">
        <v>46</v>
      </c>
      <c r="L601" t="s">
        <v>294</v>
      </c>
      <c r="M601" t="s">
        <v>47</v>
      </c>
      <c r="N601" t="s">
        <v>25</v>
      </c>
      <c r="O601" t="s">
        <v>26</v>
      </c>
      <c r="P601" t="s">
        <v>27</v>
      </c>
      <c r="Q601" t="s">
        <v>28</v>
      </c>
      <c r="R601" t="s">
        <v>29</v>
      </c>
      <c r="S601" t="s">
        <v>30</v>
      </c>
      <c r="T601">
        <v>1016110979</v>
      </c>
      <c r="U601" t="s">
        <v>3977</v>
      </c>
      <c r="V601" t="s">
        <v>3970</v>
      </c>
      <c r="W601" s="9">
        <f>IF(V601="pregrado",31,
IF(V601="posgrados",31,
IF(V601="rEINTEGROS",7,
IF(V601="BIT",90,
IF(V601="OP GRADO - INGLÉS",17,"")))))</f>
        <v>7</v>
      </c>
      <c r="X601" t="s">
        <v>4051</v>
      </c>
    </row>
    <row r="602" spans="1:24" ht="15" x14ac:dyDescent="0.35">
      <c r="A602" s="4">
        <v>45986.508622685185</v>
      </c>
      <c r="B602">
        <v>20104789</v>
      </c>
      <c r="C602" s="5" t="s">
        <v>19</v>
      </c>
      <c r="D602">
        <v>155050</v>
      </c>
      <c r="E602" t="s">
        <v>43</v>
      </c>
      <c r="F602">
        <v>1039048661</v>
      </c>
      <c r="G602" t="s">
        <v>522</v>
      </c>
      <c r="H602">
        <v>100119341</v>
      </c>
      <c r="I602">
        <v>202651</v>
      </c>
      <c r="J602">
        <v>1039048661</v>
      </c>
      <c r="K602" t="s">
        <v>23</v>
      </c>
      <c r="L602" t="s">
        <v>252</v>
      </c>
      <c r="M602" t="s">
        <v>253</v>
      </c>
      <c r="N602" t="s">
        <v>35</v>
      </c>
      <c r="O602" t="s">
        <v>26</v>
      </c>
      <c r="P602" t="s">
        <v>27</v>
      </c>
      <c r="Q602" t="s">
        <v>28</v>
      </c>
      <c r="R602" t="s">
        <v>29</v>
      </c>
      <c r="S602" t="s">
        <v>30</v>
      </c>
      <c r="T602">
        <v>1032451737</v>
      </c>
      <c r="U602" t="s">
        <v>3948</v>
      </c>
      <c r="V602" t="s">
        <v>3937</v>
      </c>
      <c r="W602" s="9">
        <f>IF(V602="pregrado",31,
IF(V602="posgrados",31,
IF(V602="rEINTEGROS",7,
IF(V602="BIT",90,
IF(V602="OP GRADO - INGLÉS",17,"")))))</f>
        <v>31</v>
      </c>
      <c r="X602" t="s">
        <v>4033</v>
      </c>
    </row>
    <row r="603" spans="1:24" ht="15" x14ac:dyDescent="0.35">
      <c r="A603" s="4">
        <v>45988.690995370373</v>
      </c>
      <c r="B603">
        <v>20105155</v>
      </c>
      <c r="C603" s="6" t="s">
        <v>19</v>
      </c>
      <c r="D603">
        <v>155053</v>
      </c>
      <c r="E603" t="s">
        <v>43</v>
      </c>
      <c r="F603">
        <v>60399092</v>
      </c>
      <c r="G603" t="s">
        <v>627</v>
      </c>
      <c r="H603">
        <v>100058504</v>
      </c>
      <c r="I603">
        <v>202651</v>
      </c>
      <c r="J603">
        <v>60399092</v>
      </c>
      <c r="K603" t="s">
        <v>23</v>
      </c>
      <c r="L603" t="s">
        <v>252</v>
      </c>
      <c r="M603" t="s">
        <v>253</v>
      </c>
      <c r="N603" t="s">
        <v>35</v>
      </c>
      <c r="O603" t="s">
        <v>26</v>
      </c>
      <c r="P603" t="s">
        <v>27</v>
      </c>
      <c r="Q603" t="s">
        <v>28</v>
      </c>
      <c r="R603" t="s">
        <v>29</v>
      </c>
      <c r="S603" t="s">
        <v>30</v>
      </c>
      <c r="T603">
        <v>1032451737</v>
      </c>
      <c r="U603" t="s">
        <v>3948</v>
      </c>
      <c r="V603" t="s">
        <v>3937</v>
      </c>
      <c r="W603" s="9">
        <f>IF(V603="pregrado",31,
IF(V603="posgrados",31,
IF(V603="rEINTEGROS",7,
IF(V603="BIT",90,
IF(V603="OP GRADO - INGLÉS",17,"")))))</f>
        <v>31</v>
      </c>
      <c r="X603" t="s">
        <v>4033</v>
      </c>
    </row>
    <row r="604" spans="1:24" ht="15" x14ac:dyDescent="0.35">
      <c r="A604" s="4">
        <v>45995.400914351849</v>
      </c>
      <c r="B604">
        <v>20105828</v>
      </c>
      <c r="C604" s="6" t="s">
        <v>19</v>
      </c>
      <c r="D604">
        <v>155055</v>
      </c>
      <c r="E604" t="s">
        <v>43</v>
      </c>
      <c r="F604">
        <v>1031802076</v>
      </c>
      <c r="G604" t="s">
        <v>767</v>
      </c>
      <c r="H604">
        <v>100068585</v>
      </c>
      <c r="I604">
        <v>202651</v>
      </c>
      <c r="J604">
        <v>52799241</v>
      </c>
      <c r="K604" t="s">
        <v>46</v>
      </c>
      <c r="L604" t="s">
        <v>252</v>
      </c>
      <c r="M604" t="s">
        <v>253</v>
      </c>
      <c r="N604" t="s">
        <v>35</v>
      </c>
      <c r="O604" t="s">
        <v>26</v>
      </c>
      <c r="P604" t="s">
        <v>27</v>
      </c>
      <c r="Q604" t="s">
        <v>28</v>
      </c>
      <c r="R604" t="s">
        <v>29</v>
      </c>
      <c r="S604" t="s">
        <v>30</v>
      </c>
      <c r="T604">
        <v>1032451737</v>
      </c>
      <c r="U604" t="s">
        <v>3948</v>
      </c>
      <c r="V604" t="s">
        <v>3937</v>
      </c>
      <c r="W604" s="9">
        <f>IF(V604="pregrado",31,
IF(V604="posgrados",31,
IF(V604="rEINTEGROS",7,
IF(V604="BIT",90,
IF(V604="OP GRADO - INGLÉS",17,"")))))</f>
        <v>31</v>
      </c>
      <c r="X604" t="s">
        <v>4033</v>
      </c>
    </row>
    <row r="605" spans="1:24" ht="15" x14ac:dyDescent="0.35">
      <c r="A605" s="4">
        <v>45989.728692129633</v>
      </c>
      <c r="B605">
        <v>20105314</v>
      </c>
      <c r="C605" s="6" t="s">
        <v>19</v>
      </c>
      <c r="D605">
        <v>155069</v>
      </c>
      <c r="E605" t="s">
        <v>43</v>
      </c>
      <c r="F605">
        <v>25480421</v>
      </c>
      <c r="G605" t="s">
        <v>675</v>
      </c>
      <c r="H605">
        <v>100049225</v>
      </c>
      <c r="I605">
        <v>202651</v>
      </c>
      <c r="J605">
        <v>25480421</v>
      </c>
      <c r="K605" t="s">
        <v>23</v>
      </c>
      <c r="L605" t="s">
        <v>252</v>
      </c>
      <c r="M605" t="s">
        <v>253</v>
      </c>
      <c r="N605" t="s">
        <v>35</v>
      </c>
      <c r="O605" t="s">
        <v>26</v>
      </c>
      <c r="P605" t="s">
        <v>27</v>
      </c>
      <c r="Q605" t="s">
        <v>28</v>
      </c>
      <c r="R605" t="s">
        <v>29</v>
      </c>
      <c r="S605" t="s">
        <v>30</v>
      </c>
      <c r="T605">
        <v>52916205</v>
      </c>
      <c r="U605" t="s">
        <v>3936</v>
      </c>
      <c r="V605" t="s">
        <v>3937</v>
      </c>
      <c r="W605" s="9">
        <f>IF(V605="pregrado",31,
IF(V605="posgrados",31,
IF(V605="rEINTEGROS",7,
IF(V605="BIT",90,
IF(V605="OP GRADO - INGLÉS",17,"")))))</f>
        <v>31</v>
      </c>
      <c r="X605" t="s">
        <v>4032</v>
      </c>
    </row>
    <row r="606" spans="1:24" ht="15" x14ac:dyDescent="0.35">
      <c r="A606" s="4">
        <v>45989.416296296295</v>
      </c>
      <c r="B606">
        <v>20105217</v>
      </c>
      <c r="C606" s="6" t="s">
        <v>19</v>
      </c>
      <c r="D606">
        <v>155077</v>
      </c>
      <c r="E606" t="s">
        <v>43</v>
      </c>
      <c r="F606">
        <v>1023953910</v>
      </c>
      <c r="G606" t="s">
        <v>642</v>
      </c>
      <c r="H606">
        <v>100236222</v>
      </c>
      <c r="I606">
        <v>202651</v>
      </c>
      <c r="J606">
        <v>1023953910</v>
      </c>
      <c r="K606" t="s">
        <v>23</v>
      </c>
      <c r="L606" t="s">
        <v>252</v>
      </c>
      <c r="M606" t="s">
        <v>253</v>
      </c>
      <c r="N606" t="s">
        <v>35</v>
      </c>
      <c r="O606" t="s">
        <v>26</v>
      </c>
      <c r="P606" t="s">
        <v>27</v>
      </c>
      <c r="Q606" t="s">
        <v>28</v>
      </c>
      <c r="R606" t="s">
        <v>29</v>
      </c>
      <c r="S606" t="s">
        <v>30</v>
      </c>
      <c r="T606">
        <v>1014285873</v>
      </c>
      <c r="U606" t="s">
        <v>3948</v>
      </c>
      <c r="V606" t="s">
        <v>3937</v>
      </c>
      <c r="W606" s="9">
        <f>IF(V606="pregrado",31,
IF(V606="posgrados",31,
IF(V606="rEINTEGROS",7,
IF(V606="BIT",90,
IF(V606="OP GRADO - INGLÉS",17,"")))))</f>
        <v>31</v>
      </c>
      <c r="X606" t="s">
        <v>3953</v>
      </c>
    </row>
    <row r="607" spans="1:24" ht="15" x14ac:dyDescent="0.35">
      <c r="A607" s="4">
        <v>46013.656469907408</v>
      </c>
      <c r="B607">
        <v>20109239</v>
      </c>
      <c r="C607" s="6" t="s">
        <v>19</v>
      </c>
      <c r="D607">
        <v>155079</v>
      </c>
      <c r="E607" t="s">
        <v>43</v>
      </c>
      <c r="F607">
        <v>1111804812</v>
      </c>
      <c r="G607" t="s">
        <v>1232</v>
      </c>
      <c r="H607">
        <v>100234696</v>
      </c>
      <c r="I607">
        <v>202651</v>
      </c>
      <c r="J607">
        <v>1111804812</v>
      </c>
      <c r="K607" t="s">
        <v>23</v>
      </c>
      <c r="L607" t="s">
        <v>252</v>
      </c>
      <c r="M607" t="s">
        <v>253</v>
      </c>
      <c r="N607" t="s">
        <v>35</v>
      </c>
      <c r="O607" t="s">
        <v>26</v>
      </c>
      <c r="P607" t="s">
        <v>27</v>
      </c>
      <c r="Q607" t="s">
        <v>28</v>
      </c>
      <c r="R607" t="s">
        <v>29</v>
      </c>
      <c r="S607" t="s">
        <v>30</v>
      </c>
      <c r="T607">
        <v>1032451737</v>
      </c>
      <c r="U607" t="s">
        <v>3948</v>
      </c>
      <c r="V607" t="s">
        <v>3937</v>
      </c>
      <c r="W607" s="9">
        <f>IF(V607="pregrado",31,
IF(V607="posgrados",31,
IF(V607="rEINTEGROS",7,
IF(V607="BIT",90,
IF(V607="OP GRADO - INGLÉS",17,"")))))</f>
        <v>31</v>
      </c>
      <c r="X607" t="s">
        <v>4033</v>
      </c>
    </row>
    <row r="608" spans="1:24" ht="15" x14ac:dyDescent="0.35">
      <c r="A608" s="4">
        <v>45985.746828703705</v>
      </c>
      <c r="B608">
        <v>20104736</v>
      </c>
      <c r="C608" s="5" t="s">
        <v>19</v>
      </c>
      <c r="D608">
        <v>155108</v>
      </c>
      <c r="E608" t="s">
        <v>43</v>
      </c>
      <c r="F608">
        <v>1152705269</v>
      </c>
      <c r="G608" t="s">
        <v>502</v>
      </c>
      <c r="H608">
        <v>100236300</v>
      </c>
      <c r="I608">
        <v>202651</v>
      </c>
      <c r="J608">
        <v>1152705269</v>
      </c>
      <c r="K608" t="s">
        <v>23</v>
      </c>
      <c r="L608" t="s">
        <v>252</v>
      </c>
      <c r="M608" t="s">
        <v>253</v>
      </c>
      <c r="N608" t="s">
        <v>35</v>
      </c>
      <c r="O608" t="s">
        <v>26</v>
      </c>
      <c r="P608" t="s">
        <v>27</v>
      </c>
      <c r="Q608" t="s">
        <v>28</v>
      </c>
      <c r="R608" t="s">
        <v>29</v>
      </c>
      <c r="S608" t="s">
        <v>30</v>
      </c>
      <c r="T608">
        <v>1140420282</v>
      </c>
      <c r="U608" t="s">
        <v>3948</v>
      </c>
      <c r="V608" t="s">
        <v>3937</v>
      </c>
      <c r="W608" s="9">
        <f>IF(V608="pregrado",31,
IF(V608="posgrados",31,
IF(V608="rEINTEGROS",7,
IF(V608="BIT",90,
IF(V608="OP GRADO - INGLÉS",17,"")))))</f>
        <v>31</v>
      </c>
      <c r="X608" t="s">
        <v>3972</v>
      </c>
    </row>
    <row r="609" spans="1:24" ht="15" x14ac:dyDescent="0.35">
      <c r="A609" s="4">
        <v>45985.347650462965</v>
      </c>
      <c r="B609">
        <v>20104650</v>
      </c>
      <c r="C609" s="5" t="s">
        <v>19</v>
      </c>
      <c r="D609">
        <v>155113</v>
      </c>
      <c r="E609" t="s">
        <v>43</v>
      </c>
      <c r="F609">
        <v>41241331</v>
      </c>
      <c r="G609" t="s">
        <v>479</v>
      </c>
      <c r="H609">
        <v>100236306</v>
      </c>
      <c r="I609">
        <v>202651</v>
      </c>
      <c r="J609">
        <v>1094285498</v>
      </c>
      <c r="K609" t="s">
        <v>23</v>
      </c>
      <c r="L609" t="s">
        <v>252</v>
      </c>
      <c r="M609" t="s">
        <v>253</v>
      </c>
      <c r="N609" t="s">
        <v>35</v>
      </c>
      <c r="O609" t="s">
        <v>26</v>
      </c>
      <c r="P609" t="s">
        <v>27</v>
      </c>
      <c r="Q609" t="s">
        <v>28</v>
      </c>
      <c r="R609" t="s">
        <v>29</v>
      </c>
      <c r="S609" t="s">
        <v>30</v>
      </c>
      <c r="T609">
        <v>1020754225</v>
      </c>
      <c r="U609" t="s">
        <v>3948</v>
      </c>
      <c r="V609" t="s">
        <v>3937</v>
      </c>
      <c r="W609" s="9">
        <f>IF(V609="pregrado",31,
IF(V609="posgrados",31,
IF(V609="rEINTEGROS",7,
IF(V609="BIT",90,
IF(V609="OP GRADO - INGLÉS",17,"")))))</f>
        <v>31</v>
      </c>
      <c r="X609" t="s">
        <v>3981</v>
      </c>
    </row>
    <row r="610" spans="1:24" ht="15" x14ac:dyDescent="0.35">
      <c r="A610" s="4">
        <v>45983.641747685186</v>
      </c>
      <c r="B610">
        <v>20104643</v>
      </c>
      <c r="C610" s="5" t="s">
        <v>19</v>
      </c>
      <c r="D610">
        <v>155115</v>
      </c>
      <c r="E610" t="s">
        <v>43</v>
      </c>
      <c r="F610">
        <v>1116871148</v>
      </c>
      <c r="G610" t="s">
        <v>477</v>
      </c>
      <c r="H610">
        <v>100236311</v>
      </c>
      <c r="I610">
        <v>202651</v>
      </c>
      <c r="J610">
        <v>1116871148</v>
      </c>
      <c r="K610" t="s">
        <v>23</v>
      </c>
      <c r="L610" t="s">
        <v>252</v>
      </c>
      <c r="M610" t="s">
        <v>253</v>
      </c>
      <c r="N610" t="s">
        <v>35</v>
      </c>
      <c r="O610" t="s">
        <v>26</v>
      </c>
      <c r="P610" t="s">
        <v>27</v>
      </c>
      <c r="Q610" t="s">
        <v>28</v>
      </c>
      <c r="R610" t="s">
        <v>29</v>
      </c>
      <c r="S610" t="s">
        <v>30</v>
      </c>
      <c r="T610">
        <v>1020754225</v>
      </c>
      <c r="U610" t="s">
        <v>3948</v>
      </c>
      <c r="V610" t="s">
        <v>3937</v>
      </c>
      <c r="W610" s="9">
        <f>IF(V610="pregrado",31,
IF(V610="posgrados",31,
IF(V610="rEINTEGROS",7,
IF(V610="BIT",90,
IF(V610="OP GRADO - INGLÉS",17,"")))))</f>
        <v>31</v>
      </c>
      <c r="X610" t="s">
        <v>3981</v>
      </c>
    </row>
    <row r="611" spans="1:24" ht="15" x14ac:dyDescent="0.35">
      <c r="A611" s="4">
        <v>45985.647719907407</v>
      </c>
      <c r="B611">
        <v>20104707</v>
      </c>
      <c r="C611" s="5" t="s">
        <v>19</v>
      </c>
      <c r="D611">
        <v>155120</v>
      </c>
      <c r="E611" t="s">
        <v>43</v>
      </c>
      <c r="F611">
        <v>57428983</v>
      </c>
      <c r="G611" t="s">
        <v>493</v>
      </c>
      <c r="H611">
        <v>100236324</v>
      </c>
      <c r="I611">
        <v>202641</v>
      </c>
      <c r="J611">
        <v>1082987314</v>
      </c>
      <c r="K611" t="s">
        <v>23</v>
      </c>
      <c r="L611" t="s">
        <v>294</v>
      </c>
      <c r="M611" t="s">
        <v>47</v>
      </c>
      <c r="N611" t="s">
        <v>35</v>
      </c>
      <c r="O611" t="s">
        <v>26</v>
      </c>
      <c r="P611" t="s">
        <v>27</v>
      </c>
      <c r="Q611" t="s">
        <v>28</v>
      </c>
      <c r="R611" t="s">
        <v>29</v>
      </c>
      <c r="S611" t="s">
        <v>30</v>
      </c>
      <c r="T611">
        <v>1014285873</v>
      </c>
      <c r="U611" t="s">
        <v>3948</v>
      </c>
      <c r="V611" t="s">
        <v>3937</v>
      </c>
      <c r="W611" s="9">
        <f>IF(V611="pregrado",31,
IF(V611="posgrados",31,
IF(V611="rEINTEGROS",7,
IF(V611="BIT",90,
IF(V611="OP GRADO - INGLÉS",17,"")))))</f>
        <v>31</v>
      </c>
      <c r="X611" t="s">
        <v>3953</v>
      </c>
    </row>
    <row r="612" spans="1:24" ht="15" x14ac:dyDescent="0.35">
      <c r="A612" s="4">
        <v>45997.386331018519</v>
      </c>
      <c r="B612">
        <v>20106015</v>
      </c>
      <c r="C612" s="6" t="s">
        <v>19</v>
      </c>
      <c r="D612">
        <v>155124</v>
      </c>
      <c r="E612" t="s">
        <v>43</v>
      </c>
      <c r="F612">
        <v>39141640</v>
      </c>
      <c r="G612" t="s">
        <v>803</v>
      </c>
      <c r="H612">
        <v>100236337</v>
      </c>
      <c r="I612">
        <v>202651</v>
      </c>
      <c r="J612">
        <v>39141640</v>
      </c>
      <c r="K612" t="s">
        <v>23</v>
      </c>
      <c r="L612" t="s">
        <v>252</v>
      </c>
      <c r="M612" t="s">
        <v>253</v>
      </c>
      <c r="N612" t="s">
        <v>35</v>
      </c>
      <c r="O612" t="s">
        <v>26</v>
      </c>
      <c r="P612" t="s">
        <v>27</v>
      </c>
      <c r="Q612" t="s">
        <v>28</v>
      </c>
      <c r="R612" t="s">
        <v>29</v>
      </c>
      <c r="S612" t="s">
        <v>30</v>
      </c>
      <c r="T612">
        <v>1140420282</v>
      </c>
      <c r="U612" t="s">
        <v>3948</v>
      </c>
      <c r="V612" t="s">
        <v>3937</v>
      </c>
      <c r="W612" s="9">
        <f>IF(V612="pregrado",31,
IF(V612="posgrados",31,
IF(V612="rEINTEGROS",7,
IF(V612="BIT",90,
IF(V612="OP GRADO - INGLÉS",17,"")))))</f>
        <v>31</v>
      </c>
      <c r="X612" t="s">
        <v>3972</v>
      </c>
    </row>
    <row r="613" spans="1:24" ht="15" x14ac:dyDescent="0.35">
      <c r="A613" s="4">
        <v>45987.537199074075</v>
      </c>
      <c r="B613">
        <v>20104933</v>
      </c>
      <c r="C613" s="6" t="s">
        <v>19</v>
      </c>
      <c r="D613">
        <v>155129</v>
      </c>
      <c r="E613" t="s">
        <v>43</v>
      </c>
      <c r="F613">
        <v>33818961</v>
      </c>
      <c r="G613" t="s">
        <v>562</v>
      </c>
      <c r="H613">
        <v>100236347</v>
      </c>
      <c r="I613">
        <v>202641</v>
      </c>
      <c r="J613">
        <v>33818961</v>
      </c>
      <c r="K613" t="s">
        <v>23</v>
      </c>
      <c r="L613" t="s">
        <v>160</v>
      </c>
      <c r="M613" t="s">
        <v>47</v>
      </c>
      <c r="N613" t="s">
        <v>35</v>
      </c>
      <c r="O613" t="s">
        <v>26</v>
      </c>
      <c r="P613" t="s">
        <v>27</v>
      </c>
      <c r="Q613" t="s">
        <v>28</v>
      </c>
      <c r="R613" t="s">
        <v>29</v>
      </c>
      <c r="S613" t="s">
        <v>30</v>
      </c>
      <c r="T613">
        <v>51951991</v>
      </c>
      <c r="U613" t="s">
        <v>3936</v>
      </c>
      <c r="V613" t="s">
        <v>3937</v>
      </c>
      <c r="W613" s="9">
        <f>IF(V613="pregrado",31,
IF(V613="posgrados",31,
IF(V613="rEINTEGROS",7,
IF(V613="BIT",90,
IF(V613="OP GRADO - INGLÉS",17,"")))))</f>
        <v>31</v>
      </c>
      <c r="X613" t="s">
        <v>4049</v>
      </c>
    </row>
    <row r="614" spans="1:24" ht="15" x14ac:dyDescent="0.35">
      <c r="A614" s="4">
        <v>46028.468622685185</v>
      </c>
      <c r="B614">
        <v>20111151</v>
      </c>
      <c r="C614" s="6" t="s">
        <v>19</v>
      </c>
      <c r="D614">
        <v>155148</v>
      </c>
      <c r="E614" t="s">
        <v>43</v>
      </c>
      <c r="F614">
        <v>1082988324</v>
      </c>
      <c r="G614" t="s">
        <v>1513</v>
      </c>
      <c r="H614">
        <v>100236372</v>
      </c>
      <c r="I614">
        <v>202641</v>
      </c>
      <c r="J614">
        <v>1082988324</v>
      </c>
      <c r="K614" t="s">
        <v>23</v>
      </c>
      <c r="L614" t="s">
        <v>294</v>
      </c>
      <c r="M614" t="s">
        <v>47</v>
      </c>
      <c r="N614" t="s">
        <v>35</v>
      </c>
      <c r="O614" t="s">
        <v>26</v>
      </c>
      <c r="P614" t="s">
        <v>27</v>
      </c>
      <c r="Q614" t="s">
        <v>28</v>
      </c>
      <c r="R614" t="s">
        <v>29</v>
      </c>
      <c r="S614" t="s">
        <v>30</v>
      </c>
      <c r="T614">
        <v>1033781417</v>
      </c>
      <c r="U614" t="s">
        <v>3948</v>
      </c>
      <c r="V614" t="s">
        <v>3937</v>
      </c>
      <c r="W614" s="9">
        <f>IF(V614="pregrado",31,
IF(V614="posgrados",31,
IF(V614="rEINTEGROS",7,
IF(V614="BIT",90,
IF(V614="OP GRADO - INGLÉS",17,"")))))</f>
        <v>31</v>
      </c>
      <c r="X614" t="s">
        <v>4031</v>
      </c>
    </row>
    <row r="615" spans="1:24" ht="15" x14ac:dyDescent="0.35">
      <c r="A615" s="4">
        <v>46003.598101851851</v>
      </c>
      <c r="B615">
        <v>20106956</v>
      </c>
      <c r="C615" s="6" t="s">
        <v>19</v>
      </c>
      <c r="D615">
        <v>155151</v>
      </c>
      <c r="E615" t="s">
        <v>43</v>
      </c>
      <c r="F615">
        <v>1020447439</v>
      </c>
      <c r="G615" t="s">
        <v>964</v>
      </c>
      <c r="H615">
        <v>100047465</v>
      </c>
      <c r="I615">
        <v>202651</v>
      </c>
      <c r="J615">
        <v>39948921</v>
      </c>
      <c r="K615" t="s">
        <v>46</v>
      </c>
      <c r="L615" t="s">
        <v>252</v>
      </c>
      <c r="M615" t="s">
        <v>253</v>
      </c>
      <c r="N615" t="s">
        <v>35</v>
      </c>
      <c r="O615" t="s">
        <v>26</v>
      </c>
      <c r="P615" t="s">
        <v>27</v>
      </c>
      <c r="Q615" t="s">
        <v>28</v>
      </c>
      <c r="R615" t="s">
        <v>29</v>
      </c>
      <c r="S615" t="s">
        <v>30</v>
      </c>
      <c r="T615">
        <v>1019068131</v>
      </c>
      <c r="U615" t="s">
        <v>3948</v>
      </c>
      <c r="V615" t="s">
        <v>3937</v>
      </c>
      <c r="W615" s="9">
        <f>IF(V615="pregrado",31,
IF(V615="posgrados",31,
IF(V615="rEINTEGROS",7,
IF(V615="BIT",90,
IF(V615="OP GRADO - INGLÉS",17,"")))))</f>
        <v>31</v>
      </c>
      <c r="X615" t="s">
        <v>4066</v>
      </c>
    </row>
    <row r="616" spans="1:24" ht="15" x14ac:dyDescent="0.35">
      <c r="A616" s="4">
        <v>45985.755173611113</v>
      </c>
      <c r="B616">
        <v>20104738</v>
      </c>
      <c r="C616" s="5" t="s">
        <v>19</v>
      </c>
      <c r="D616">
        <v>155158</v>
      </c>
      <c r="E616" t="s">
        <v>43</v>
      </c>
      <c r="F616">
        <v>1032507578</v>
      </c>
      <c r="G616" t="s">
        <v>503</v>
      </c>
      <c r="H616">
        <v>100236405</v>
      </c>
      <c r="I616">
        <v>202641</v>
      </c>
      <c r="J616">
        <v>1032507578</v>
      </c>
      <c r="K616" t="s">
        <v>23</v>
      </c>
      <c r="L616" t="s">
        <v>279</v>
      </c>
      <c r="M616" t="s">
        <v>47</v>
      </c>
      <c r="N616" t="s">
        <v>35</v>
      </c>
      <c r="O616" t="s">
        <v>26</v>
      </c>
      <c r="P616" t="s">
        <v>27</v>
      </c>
      <c r="Q616" t="s">
        <v>28</v>
      </c>
      <c r="R616" t="s">
        <v>29</v>
      </c>
      <c r="S616" t="s">
        <v>30</v>
      </c>
      <c r="T616">
        <v>51951991</v>
      </c>
      <c r="U616" t="s">
        <v>3936</v>
      </c>
      <c r="V616" t="s">
        <v>3937</v>
      </c>
      <c r="W616" s="9">
        <f>IF(V616="pregrado",31,
IF(V616="posgrados",31,
IF(V616="rEINTEGROS",7,
IF(V616="BIT",90,
IF(V616="OP GRADO - INGLÉS",17,"")))))</f>
        <v>31</v>
      </c>
      <c r="X616" t="s">
        <v>4049</v>
      </c>
    </row>
    <row r="617" spans="1:24" ht="15" x14ac:dyDescent="0.35">
      <c r="A617" s="4">
        <v>45986.51699074074</v>
      </c>
      <c r="B617">
        <v>20104792</v>
      </c>
      <c r="C617" s="5" t="s">
        <v>19</v>
      </c>
      <c r="D617">
        <v>155170</v>
      </c>
      <c r="E617" t="s">
        <v>43</v>
      </c>
      <c r="F617">
        <v>1022424770</v>
      </c>
      <c r="G617" t="s">
        <v>524</v>
      </c>
      <c r="H617">
        <v>100236447</v>
      </c>
      <c r="I617">
        <v>202641</v>
      </c>
      <c r="J617">
        <v>1022424770</v>
      </c>
      <c r="K617" t="s">
        <v>23</v>
      </c>
      <c r="L617" t="s">
        <v>160</v>
      </c>
      <c r="M617" t="s">
        <v>47</v>
      </c>
      <c r="N617" t="s">
        <v>35</v>
      </c>
      <c r="O617" t="s">
        <v>26</v>
      </c>
      <c r="P617" t="s">
        <v>27</v>
      </c>
      <c r="Q617" t="s">
        <v>28</v>
      </c>
      <c r="R617" t="s">
        <v>29</v>
      </c>
      <c r="S617" t="s">
        <v>30</v>
      </c>
      <c r="T617">
        <v>1026262709</v>
      </c>
      <c r="U617" t="s">
        <v>3936</v>
      </c>
      <c r="V617" t="s">
        <v>3937</v>
      </c>
      <c r="W617" s="9">
        <f>IF(V617="pregrado",31,
IF(V617="posgrados",31,
IF(V617="rEINTEGROS",7,
IF(V617="BIT",90,
IF(V617="OP GRADO - INGLÉS",17,"")))))</f>
        <v>31</v>
      </c>
      <c r="X617" t="s">
        <v>4037</v>
      </c>
    </row>
    <row r="618" spans="1:24" ht="15" x14ac:dyDescent="0.35">
      <c r="A618" s="4">
        <v>45986.395370370374</v>
      </c>
      <c r="B618">
        <v>20104764</v>
      </c>
      <c r="C618" s="5" t="s">
        <v>19</v>
      </c>
      <c r="D618">
        <v>155176</v>
      </c>
      <c r="E618" t="s">
        <v>43</v>
      </c>
      <c r="F618">
        <v>1077440846</v>
      </c>
      <c r="G618" t="s">
        <v>515</v>
      </c>
      <c r="H618">
        <v>100236464</v>
      </c>
      <c r="I618">
        <v>202651</v>
      </c>
      <c r="J618">
        <v>1077440846</v>
      </c>
      <c r="K618" t="s">
        <v>23</v>
      </c>
      <c r="L618" t="s">
        <v>252</v>
      </c>
      <c r="M618" t="s">
        <v>253</v>
      </c>
      <c r="N618" t="s">
        <v>35</v>
      </c>
      <c r="O618" t="s">
        <v>26</v>
      </c>
      <c r="P618" t="s">
        <v>27</v>
      </c>
      <c r="Q618" t="s">
        <v>28</v>
      </c>
      <c r="R618" t="s">
        <v>29</v>
      </c>
      <c r="S618" t="s">
        <v>30</v>
      </c>
      <c r="T618">
        <v>1140420282</v>
      </c>
      <c r="U618" t="s">
        <v>3948</v>
      </c>
      <c r="V618" t="s">
        <v>3937</v>
      </c>
      <c r="W618" s="9">
        <f>IF(V618="pregrado",31,
IF(V618="posgrados",31,
IF(V618="rEINTEGROS",7,
IF(V618="BIT",90,
IF(V618="OP GRADO - INGLÉS",17,"")))))</f>
        <v>31</v>
      </c>
      <c r="X618" t="s">
        <v>3972</v>
      </c>
    </row>
    <row r="619" spans="1:24" ht="15" x14ac:dyDescent="0.35">
      <c r="A619" s="4">
        <v>45985.723344907405</v>
      </c>
      <c r="B619">
        <v>20104732</v>
      </c>
      <c r="C619" s="5" t="s">
        <v>19</v>
      </c>
      <c r="D619">
        <v>155181</v>
      </c>
      <c r="E619" t="s">
        <v>43</v>
      </c>
      <c r="F619">
        <v>1006502670</v>
      </c>
      <c r="G619" t="s">
        <v>501</v>
      </c>
      <c r="H619">
        <v>100236475</v>
      </c>
      <c r="I619">
        <v>202651</v>
      </c>
      <c r="J619">
        <v>1006502670</v>
      </c>
      <c r="K619" t="s">
        <v>23</v>
      </c>
      <c r="L619" t="s">
        <v>252</v>
      </c>
      <c r="M619" t="s">
        <v>253</v>
      </c>
      <c r="N619" t="s">
        <v>35</v>
      </c>
      <c r="O619" t="s">
        <v>26</v>
      </c>
      <c r="P619" t="s">
        <v>27</v>
      </c>
      <c r="Q619" t="s">
        <v>28</v>
      </c>
      <c r="R619" t="s">
        <v>29</v>
      </c>
      <c r="S619" t="s">
        <v>30</v>
      </c>
      <c r="T619">
        <v>1033781417</v>
      </c>
      <c r="U619" t="s">
        <v>3948</v>
      </c>
      <c r="V619" t="s">
        <v>3937</v>
      </c>
      <c r="W619" s="9">
        <f>IF(V619="pregrado",31,
IF(V619="posgrados",31,
IF(V619="rEINTEGROS",7,
IF(V619="BIT",90,
IF(V619="OP GRADO - INGLÉS",17,"")))))</f>
        <v>31</v>
      </c>
      <c r="X619" t="s">
        <v>4031</v>
      </c>
    </row>
    <row r="620" spans="1:24" ht="15" x14ac:dyDescent="0.35">
      <c r="A620" s="4">
        <v>45989.615937499999</v>
      </c>
      <c r="B620">
        <v>20105272</v>
      </c>
      <c r="C620" s="6" t="s">
        <v>19</v>
      </c>
      <c r="D620">
        <v>155188</v>
      </c>
      <c r="E620" t="s">
        <v>43</v>
      </c>
      <c r="F620">
        <v>1047360641</v>
      </c>
      <c r="G620" t="s">
        <v>662</v>
      </c>
      <c r="H620">
        <v>100236495</v>
      </c>
      <c r="I620">
        <v>202641</v>
      </c>
      <c r="J620">
        <v>1047360641</v>
      </c>
      <c r="K620" t="s">
        <v>23</v>
      </c>
      <c r="L620" t="s">
        <v>45</v>
      </c>
      <c r="M620" t="s">
        <v>47</v>
      </c>
      <c r="N620" t="s">
        <v>35</v>
      </c>
      <c r="O620" t="s">
        <v>26</v>
      </c>
      <c r="P620" t="s">
        <v>27</v>
      </c>
      <c r="Q620" t="s">
        <v>28</v>
      </c>
      <c r="R620" t="s">
        <v>29</v>
      </c>
      <c r="S620" t="s">
        <v>30</v>
      </c>
      <c r="T620">
        <v>52916205</v>
      </c>
      <c r="U620" t="s">
        <v>3936</v>
      </c>
      <c r="V620" t="s">
        <v>3937</v>
      </c>
      <c r="W620" s="9">
        <f>IF(V620="pregrado",31,
IF(V620="posgrados",31,
IF(V620="rEINTEGROS",7,
IF(V620="BIT",90,
IF(V620="OP GRADO - INGLÉS",17,"")))))</f>
        <v>31</v>
      </c>
      <c r="X620" t="s">
        <v>4032</v>
      </c>
    </row>
    <row r="621" spans="1:24" ht="15" x14ac:dyDescent="0.35">
      <c r="A621" s="4">
        <v>45986.556423611109</v>
      </c>
      <c r="B621">
        <v>20104801</v>
      </c>
      <c r="C621" s="5" t="s">
        <v>19</v>
      </c>
      <c r="D621">
        <v>155189</v>
      </c>
      <c r="E621" t="s">
        <v>43</v>
      </c>
      <c r="F621">
        <v>1077425972</v>
      </c>
      <c r="G621" t="s">
        <v>525</v>
      </c>
      <c r="H621">
        <v>100236497</v>
      </c>
      <c r="I621">
        <v>202651</v>
      </c>
      <c r="J621">
        <v>1077425972</v>
      </c>
      <c r="K621" t="s">
        <v>23</v>
      </c>
      <c r="L621" t="s">
        <v>252</v>
      </c>
      <c r="M621" t="s">
        <v>253</v>
      </c>
      <c r="N621" t="s">
        <v>35</v>
      </c>
      <c r="O621" t="s">
        <v>26</v>
      </c>
      <c r="P621" t="s">
        <v>27</v>
      </c>
      <c r="Q621" t="s">
        <v>28</v>
      </c>
      <c r="R621" t="s">
        <v>29</v>
      </c>
      <c r="S621" t="s">
        <v>30</v>
      </c>
      <c r="T621">
        <v>1075542872</v>
      </c>
      <c r="U621" t="s">
        <v>3948</v>
      </c>
      <c r="V621" t="s">
        <v>3937</v>
      </c>
      <c r="W621" s="9">
        <f>IF(V621="pregrado",31,
IF(V621="posgrados",31,
IF(V621="rEINTEGROS",7,
IF(V621="BIT",90,
IF(V621="OP GRADO - INGLÉS",17,"")))))</f>
        <v>31</v>
      </c>
      <c r="X621" t="s">
        <v>3974</v>
      </c>
    </row>
    <row r="622" spans="1:24" ht="15" x14ac:dyDescent="0.35">
      <c r="A622" s="4">
        <v>45987.662604166668</v>
      </c>
      <c r="B622">
        <v>20104979</v>
      </c>
      <c r="C622" s="6" t="s">
        <v>19</v>
      </c>
      <c r="D622">
        <v>155204</v>
      </c>
      <c r="E622" t="s">
        <v>43</v>
      </c>
      <c r="F622">
        <v>1010141591</v>
      </c>
      <c r="G622" t="s">
        <v>526</v>
      </c>
      <c r="H622">
        <v>100236564</v>
      </c>
      <c r="I622">
        <v>202651</v>
      </c>
      <c r="J622">
        <v>1010141591</v>
      </c>
      <c r="K622" t="s">
        <v>23</v>
      </c>
      <c r="L622" t="s">
        <v>252</v>
      </c>
      <c r="M622" t="s">
        <v>253</v>
      </c>
      <c r="N622" t="s">
        <v>35</v>
      </c>
      <c r="O622" t="s">
        <v>26</v>
      </c>
      <c r="P622" t="s">
        <v>27</v>
      </c>
      <c r="Q622" t="s">
        <v>28</v>
      </c>
      <c r="R622" t="s">
        <v>29</v>
      </c>
      <c r="S622" t="s">
        <v>30</v>
      </c>
      <c r="T622">
        <v>1075542872</v>
      </c>
      <c r="U622" t="s">
        <v>3948</v>
      </c>
      <c r="V622" t="s">
        <v>3937</v>
      </c>
      <c r="W622" s="9">
        <f>IF(V622="pregrado",31,
IF(V622="posgrados",31,
IF(V622="rEINTEGROS",7,
IF(V622="BIT",90,
IF(V622="OP GRADO - INGLÉS",17,"")))))</f>
        <v>31</v>
      </c>
      <c r="X622" t="s">
        <v>3974</v>
      </c>
    </row>
    <row r="623" spans="1:24" ht="15" x14ac:dyDescent="0.35">
      <c r="A623" s="4">
        <v>45992.642708333333</v>
      </c>
      <c r="B623">
        <v>20105482</v>
      </c>
      <c r="C623" s="6" t="s">
        <v>19</v>
      </c>
      <c r="D623">
        <v>155217</v>
      </c>
      <c r="E623" t="s">
        <v>43</v>
      </c>
      <c r="F623">
        <v>1033747393</v>
      </c>
      <c r="G623" t="s">
        <v>708</v>
      </c>
      <c r="H623">
        <v>100049349</v>
      </c>
      <c r="I623">
        <v>202651</v>
      </c>
      <c r="J623">
        <v>1033747393</v>
      </c>
      <c r="K623" t="s">
        <v>23</v>
      </c>
      <c r="L623" t="s">
        <v>252</v>
      </c>
      <c r="M623" t="s">
        <v>253</v>
      </c>
      <c r="N623" t="s">
        <v>35</v>
      </c>
      <c r="O623" t="s">
        <v>26</v>
      </c>
      <c r="P623" t="s">
        <v>27</v>
      </c>
      <c r="Q623" t="s">
        <v>28</v>
      </c>
      <c r="R623" t="s">
        <v>29</v>
      </c>
      <c r="S623" t="s">
        <v>30</v>
      </c>
      <c r="T623">
        <v>1033784244</v>
      </c>
      <c r="U623" t="s">
        <v>3948</v>
      </c>
      <c r="V623" t="s">
        <v>3937</v>
      </c>
      <c r="W623" s="9">
        <f>IF(V623="pregrado",31,
IF(V623="posgrados",31,
IF(V623="rEINTEGROS",7,
IF(V623="BIT",90,
IF(V623="OP GRADO - INGLÉS",17,"")))))</f>
        <v>31</v>
      </c>
      <c r="X623" t="s">
        <v>4067</v>
      </c>
    </row>
    <row r="624" spans="1:24" ht="15" x14ac:dyDescent="0.35">
      <c r="A624" s="4">
        <v>45988.733391203707</v>
      </c>
      <c r="B624">
        <v>20105175</v>
      </c>
      <c r="C624" s="6" t="s">
        <v>19</v>
      </c>
      <c r="D624">
        <v>155227</v>
      </c>
      <c r="E624" t="s">
        <v>43</v>
      </c>
      <c r="F624">
        <v>1032256365</v>
      </c>
      <c r="G624" t="s">
        <v>630</v>
      </c>
      <c r="H624">
        <v>100236612</v>
      </c>
      <c r="I624">
        <v>202651</v>
      </c>
      <c r="J624">
        <v>8064659</v>
      </c>
      <c r="K624" t="s">
        <v>23</v>
      </c>
      <c r="L624" t="s">
        <v>252</v>
      </c>
      <c r="M624" t="s">
        <v>253</v>
      </c>
      <c r="N624" t="s">
        <v>35</v>
      </c>
      <c r="O624" t="s">
        <v>26</v>
      </c>
      <c r="P624" t="s">
        <v>27</v>
      </c>
      <c r="Q624" t="s">
        <v>28</v>
      </c>
      <c r="R624" t="s">
        <v>29</v>
      </c>
      <c r="S624" t="s">
        <v>30</v>
      </c>
      <c r="T624">
        <v>1032451737</v>
      </c>
      <c r="U624" t="s">
        <v>3948</v>
      </c>
      <c r="V624" t="s">
        <v>3937</v>
      </c>
      <c r="W624" s="9">
        <f>IF(V624="pregrado",31,
IF(V624="posgrados",31,
IF(V624="rEINTEGROS",7,
IF(V624="BIT",90,
IF(V624="OP GRADO - INGLÉS",17,"")))))</f>
        <v>31</v>
      </c>
      <c r="X624" t="s">
        <v>4033</v>
      </c>
    </row>
    <row r="625" spans="1:24" ht="15" x14ac:dyDescent="0.35">
      <c r="A625" s="4">
        <v>45988.630370370367</v>
      </c>
      <c r="B625">
        <v>20105118</v>
      </c>
      <c r="C625" s="6" t="s">
        <v>19</v>
      </c>
      <c r="D625">
        <v>155235</v>
      </c>
      <c r="E625" t="s">
        <v>43</v>
      </c>
      <c r="F625">
        <v>1048274550</v>
      </c>
      <c r="G625" t="s">
        <v>618</v>
      </c>
      <c r="H625">
        <v>100169425</v>
      </c>
      <c r="I625">
        <v>202641</v>
      </c>
      <c r="J625">
        <v>1048274550</v>
      </c>
      <c r="K625" t="s">
        <v>89</v>
      </c>
      <c r="L625" t="s">
        <v>160</v>
      </c>
      <c r="M625" t="s">
        <v>47</v>
      </c>
      <c r="N625" t="s">
        <v>38</v>
      </c>
      <c r="O625" t="s">
        <v>26</v>
      </c>
      <c r="P625" t="s">
        <v>27</v>
      </c>
      <c r="Q625" t="s">
        <v>28</v>
      </c>
      <c r="R625" t="s">
        <v>29</v>
      </c>
      <c r="S625" t="s">
        <v>30</v>
      </c>
      <c r="T625">
        <v>1016110979</v>
      </c>
      <c r="U625" t="s">
        <v>3977</v>
      </c>
      <c r="V625" t="s">
        <v>3970</v>
      </c>
      <c r="W625" s="9">
        <f>IF(V625="pregrado",31,
IF(V625="posgrados",31,
IF(V625="rEINTEGROS",7,
IF(V625="BIT",90,
IF(V625="OP GRADO - INGLÉS",17,"")))))</f>
        <v>7</v>
      </c>
      <c r="X625" t="s">
        <v>4051</v>
      </c>
    </row>
    <row r="626" spans="1:24" ht="15" x14ac:dyDescent="0.35">
      <c r="A626" s="4">
        <v>45987.64471064815</v>
      </c>
      <c r="B626">
        <v>20104969</v>
      </c>
      <c r="C626" s="6" t="s">
        <v>19</v>
      </c>
      <c r="D626">
        <v>155240</v>
      </c>
      <c r="E626" t="s">
        <v>43</v>
      </c>
      <c r="F626">
        <v>1020479561</v>
      </c>
      <c r="G626" t="s">
        <v>573</v>
      </c>
      <c r="H626">
        <v>100236628</v>
      </c>
      <c r="I626">
        <v>202641</v>
      </c>
      <c r="J626">
        <v>1020479561</v>
      </c>
      <c r="K626" t="s">
        <v>23</v>
      </c>
      <c r="L626" t="s">
        <v>279</v>
      </c>
      <c r="M626" t="s">
        <v>47</v>
      </c>
      <c r="N626" t="s">
        <v>35</v>
      </c>
      <c r="O626" t="s">
        <v>26</v>
      </c>
      <c r="P626" t="s">
        <v>27</v>
      </c>
      <c r="Q626" t="s">
        <v>28</v>
      </c>
      <c r="R626" t="s">
        <v>29</v>
      </c>
      <c r="S626" t="s">
        <v>30</v>
      </c>
      <c r="T626">
        <v>1016030683</v>
      </c>
      <c r="U626" t="s">
        <v>3936</v>
      </c>
      <c r="V626" t="s">
        <v>3937</v>
      </c>
      <c r="W626" s="9">
        <f>IF(V626="pregrado",31,
IF(V626="posgrados",31,
IF(V626="rEINTEGROS",7,
IF(V626="BIT",90,
IF(V626="OP GRADO - INGLÉS",17,"")))))</f>
        <v>31</v>
      </c>
      <c r="X626" t="s">
        <v>3992</v>
      </c>
    </row>
    <row r="627" spans="1:24" ht="15" x14ac:dyDescent="0.35">
      <c r="A627" s="4">
        <v>46006.704687500001</v>
      </c>
      <c r="B627">
        <v>20107522</v>
      </c>
      <c r="C627" s="6" t="s">
        <v>19</v>
      </c>
      <c r="D627">
        <v>155252</v>
      </c>
      <c r="E627" t="s">
        <v>43</v>
      </c>
      <c r="F627">
        <v>49715521</v>
      </c>
      <c r="G627" t="s">
        <v>1021</v>
      </c>
      <c r="H627">
        <v>100230069</v>
      </c>
      <c r="I627">
        <v>202641</v>
      </c>
      <c r="J627">
        <v>1065607310</v>
      </c>
      <c r="K627" t="s">
        <v>23</v>
      </c>
      <c r="L627" t="s">
        <v>279</v>
      </c>
      <c r="M627" t="s">
        <v>47</v>
      </c>
      <c r="N627" t="s">
        <v>35</v>
      </c>
      <c r="O627" t="s">
        <v>26</v>
      </c>
      <c r="P627" t="s">
        <v>27</v>
      </c>
      <c r="Q627" t="s">
        <v>28</v>
      </c>
      <c r="R627" t="s">
        <v>29</v>
      </c>
      <c r="S627" t="s">
        <v>30</v>
      </c>
      <c r="T627">
        <v>1016030683</v>
      </c>
      <c r="U627" t="s">
        <v>3936</v>
      </c>
      <c r="V627" t="s">
        <v>3937</v>
      </c>
      <c r="W627" s="9">
        <f>IF(V627="pregrado",31,
IF(V627="posgrados",31,
IF(V627="rEINTEGROS",7,
IF(V627="BIT",90,
IF(V627="OP GRADO - INGLÉS",17,"")))))</f>
        <v>31</v>
      </c>
      <c r="X627" t="s">
        <v>3992</v>
      </c>
    </row>
    <row r="628" spans="1:24" ht="15" x14ac:dyDescent="0.35">
      <c r="A628" s="4">
        <v>45989.530358796299</v>
      </c>
      <c r="B628">
        <v>20105259</v>
      </c>
      <c r="C628" s="6" t="s">
        <v>19</v>
      </c>
      <c r="D628">
        <v>155259</v>
      </c>
      <c r="E628" t="s">
        <v>43</v>
      </c>
      <c r="F628">
        <v>14297454</v>
      </c>
      <c r="G628" t="s">
        <v>657</v>
      </c>
      <c r="H628">
        <v>100236659</v>
      </c>
      <c r="I628">
        <v>202641</v>
      </c>
      <c r="J628">
        <v>14297454</v>
      </c>
      <c r="K628" t="s">
        <v>23</v>
      </c>
      <c r="L628" t="s">
        <v>279</v>
      </c>
      <c r="M628" t="s">
        <v>47</v>
      </c>
      <c r="N628" t="s">
        <v>35</v>
      </c>
      <c r="O628" t="s">
        <v>26</v>
      </c>
      <c r="P628" t="s">
        <v>27</v>
      </c>
      <c r="Q628" t="s">
        <v>28</v>
      </c>
      <c r="R628" t="s">
        <v>29</v>
      </c>
      <c r="S628" t="s">
        <v>30</v>
      </c>
      <c r="T628">
        <v>1016030683</v>
      </c>
      <c r="U628" t="s">
        <v>3936</v>
      </c>
      <c r="V628" t="s">
        <v>3937</v>
      </c>
      <c r="W628" s="9">
        <f>IF(V628="pregrado",31,
IF(V628="posgrados",31,
IF(V628="rEINTEGROS",7,
IF(V628="BIT",90,
IF(V628="OP GRADO - INGLÉS",17,"")))))</f>
        <v>31</v>
      </c>
      <c r="X628" t="s">
        <v>3992</v>
      </c>
    </row>
    <row r="629" spans="1:24" ht="15" x14ac:dyDescent="0.35">
      <c r="A629" s="4">
        <v>46002.642013888886</v>
      </c>
      <c r="B629">
        <v>20106685</v>
      </c>
      <c r="C629" s="6" t="s">
        <v>19</v>
      </c>
      <c r="D629">
        <v>155268</v>
      </c>
      <c r="E629" t="s">
        <v>43</v>
      </c>
      <c r="F629">
        <v>1002491723</v>
      </c>
      <c r="G629" t="s">
        <v>917</v>
      </c>
      <c r="H629">
        <v>100236676</v>
      </c>
      <c r="I629">
        <v>202641</v>
      </c>
      <c r="J629">
        <v>1002491723</v>
      </c>
      <c r="K629" t="s">
        <v>23</v>
      </c>
      <c r="L629" t="s">
        <v>99</v>
      </c>
      <c r="M629" t="s">
        <v>47</v>
      </c>
      <c r="N629" t="s">
        <v>25</v>
      </c>
      <c r="O629" t="s">
        <v>26</v>
      </c>
      <c r="P629" t="s">
        <v>27</v>
      </c>
      <c r="Q629" t="s">
        <v>28</v>
      </c>
      <c r="R629" t="s">
        <v>29</v>
      </c>
      <c r="S629" t="s">
        <v>30</v>
      </c>
      <c r="T629">
        <v>52965969</v>
      </c>
      <c r="U629" t="s">
        <v>3936</v>
      </c>
      <c r="V629" t="s">
        <v>3937</v>
      </c>
      <c r="W629" s="9">
        <f>IF(V629="pregrado",31,
IF(V629="posgrados",31,
IF(V629="rEINTEGROS",7,
IF(V629="BIT",90,
IF(V629="OP GRADO - INGLÉS",17,"")))))</f>
        <v>31</v>
      </c>
      <c r="X629" t="s">
        <v>3960</v>
      </c>
    </row>
    <row r="630" spans="1:24" ht="15" x14ac:dyDescent="0.35">
      <c r="A630" s="4">
        <v>45988.611539351848</v>
      </c>
      <c r="B630">
        <v>20105108</v>
      </c>
      <c r="C630" s="6" t="s">
        <v>19</v>
      </c>
      <c r="D630">
        <v>155269</v>
      </c>
      <c r="E630" t="s">
        <v>43</v>
      </c>
      <c r="F630">
        <v>1116249014</v>
      </c>
      <c r="G630" t="s">
        <v>616</v>
      </c>
      <c r="H630">
        <v>100236677</v>
      </c>
      <c r="I630">
        <v>202641</v>
      </c>
      <c r="J630">
        <v>1107057409</v>
      </c>
      <c r="K630" t="s">
        <v>23</v>
      </c>
      <c r="L630" t="s">
        <v>99</v>
      </c>
      <c r="M630" t="s">
        <v>47</v>
      </c>
      <c r="N630" t="s">
        <v>35</v>
      </c>
      <c r="O630" t="s">
        <v>26</v>
      </c>
      <c r="P630" t="s">
        <v>27</v>
      </c>
      <c r="Q630" t="s">
        <v>28</v>
      </c>
      <c r="R630" t="s">
        <v>29</v>
      </c>
      <c r="S630" t="s">
        <v>30</v>
      </c>
      <c r="T630">
        <v>52916205</v>
      </c>
      <c r="U630" t="s">
        <v>3936</v>
      </c>
      <c r="V630" t="s">
        <v>3937</v>
      </c>
      <c r="W630" s="9">
        <f>IF(V630="pregrado",31,
IF(V630="posgrados",31,
IF(V630="rEINTEGROS",7,
IF(V630="BIT",90,
IF(V630="OP GRADO - INGLÉS",17,"")))))</f>
        <v>31</v>
      </c>
      <c r="X630" t="s">
        <v>4032</v>
      </c>
    </row>
    <row r="631" spans="1:24" ht="15" x14ac:dyDescent="0.35">
      <c r="A631" s="4">
        <v>45995.752280092594</v>
      </c>
      <c r="B631">
        <v>20105925</v>
      </c>
      <c r="C631" s="6" t="s">
        <v>19</v>
      </c>
      <c r="D631">
        <v>155277</v>
      </c>
      <c r="E631" t="s">
        <v>43</v>
      </c>
      <c r="F631">
        <v>1004133994</v>
      </c>
      <c r="G631" t="s">
        <v>791</v>
      </c>
      <c r="H631">
        <v>100235662</v>
      </c>
      <c r="I631">
        <v>202642</v>
      </c>
      <c r="J631">
        <v>1004133994</v>
      </c>
      <c r="K631" t="s">
        <v>23</v>
      </c>
      <c r="L631" t="s">
        <v>792</v>
      </c>
      <c r="M631" t="s">
        <v>47</v>
      </c>
      <c r="N631" t="s">
        <v>35</v>
      </c>
      <c r="O631" t="s">
        <v>26</v>
      </c>
      <c r="P631" t="s">
        <v>27</v>
      </c>
      <c r="Q631" t="s">
        <v>28</v>
      </c>
      <c r="R631" t="s">
        <v>29</v>
      </c>
      <c r="S631" t="s">
        <v>793</v>
      </c>
      <c r="T631">
        <v>52965969</v>
      </c>
      <c r="U631" t="s">
        <v>3936</v>
      </c>
      <c r="V631" t="s">
        <v>3937</v>
      </c>
      <c r="W631" s="9">
        <f>IF(V631="pregrado",31,
IF(V631="posgrados",31,
IF(V631="rEINTEGROS",7,
IF(V631="BIT",90,
IF(V631="OP GRADO - INGLÉS",17,"")))))</f>
        <v>31</v>
      </c>
      <c r="X631" t="s">
        <v>3960</v>
      </c>
    </row>
    <row r="632" spans="1:24" ht="15" x14ac:dyDescent="0.35">
      <c r="A632" s="4">
        <v>45988.483703703707</v>
      </c>
      <c r="B632">
        <v>20105069</v>
      </c>
      <c r="C632" s="6" t="s">
        <v>19</v>
      </c>
      <c r="D632">
        <v>155288</v>
      </c>
      <c r="E632" t="s">
        <v>43</v>
      </c>
      <c r="F632">
        <v>1010091089</v>
      </c>
      <c r="G632" t="s">
        <v>601</v>
      </c>
      <c r="H632">
        <v>100076948</v>
      </c>
      <c r="I632">
        <v>202651</v>
      </c>
      <c r="J632">
        <v>1010091089</v>
      </c>
      <c r="K632" t="s">
        <v>46</v>
      </c>
      <c r="L632" t="s">
        <v>252</v>
      </c>
      <c r="M632" t="s">
        <v>253</v>
      </c>
      <c r="N632" t="s">
        <v>35</v>
      </c>
      <c r="O632" t="s">
        <v>26</v>
      </c>
      <c r="P632" t="s">
        <v>27</v>
      </c>
      <c r="Q632" t="s">
        <v>28</v>
      </c>
      <c r="R632" t="s">
        <v>29</v>
      </c>
      <c r="S632" t="s">
        <v>30</v>
      </c>
      <c r="T632">
        <v>1033781417</v>
      </c>
      <c r="U632" t="s">
        <v>3948</v>
      </c>
      <c r="V632" t="s">
        <v>3937</v>
      </c>
      <c r="W632" s="9">
        <f>IF(V632="pregrado",31,
IF(V632="posgrados",31,
IF(V632="rEINTEGROS",7,
IF(V632="BIT",90,
IF(V632="OP GRADO - INGLÉS",17,"")))))</f>
        <v>31</v>
      </c>
      <c r="X632" t="s">
        <v>4031</v>
      </c>
    </row>
    <row r="633" spans="1:24" ht="15" x14ac:dyDescent="0.35">
      <c r="A633" s="4">
        <v>45987.636828703704</v>
      </c>
      <c r="B633">
        <v>20104965</v>
      </c>
      <c r="C633" s="6" t="s">
        <v>19</v>
      </c>
      <c r="D633">
        <v>155290</v>
      </c>
      <c r="E633" t="s">
        <v>43</v>
      </c>
      <c r="F633">
        <v>1015432025</v>
      </c>
      <c r="G633" t="s">
        <v>571</v>
      </c>
      <c r="H633">
        <v>100236711</v>
      </c>
      <c r="I633">
        <v>202651</v>
      </c>
      <c r="J633">
        <v>1015432025</v>
      </c>
      <c r="K633" t="s">
        <v>23</v>
      </c>
      <c r="L633" t="s">
        <v>252</v>
      </c>
      <c r="M633" t="s">
        <v>253</v>
      </c>
      <c r="N633" t="s">
        <v>35</v>
      </c>
      <c r="O633" t="s">
        <v>26</v>
      </c>
      <c r="P633" t="s">
        <v>27</v>
      </c>
      <c r="Q633" t="s">
        <v>28</v>
      </c>
      <c r="R633" t="s">
        <v>29</v>
      </c>
      <c r="S633" t="s">
        <v>30</v>
      </c>
      <c r="T633">
        <v>1020754225</v>
      </c>
      <c r="U633" t="s">
        <v>3948</v>
      </c>
      <c r="V633" t="s">
        <v>3937</v>
      </c>
      <c r="W633" s="9">
        <f>IF(V633="pregrado",31,
IF(V633="posgrados",31,
IF(V633="rEINTEGROS",7,
IF(V633="BIT",90,
IF(V633="OP GRADO - INGLÉS",17,"")))))</f>
        <v>31</v>
      </c>
      <c r="X633" t="s">
        <v>3981</v>
      </c>
    </row>
    <row r="634" spans="1:24" ht="15" x14ac:dyDescent="0.35">
      <c r="A634" s="4">
        <v>45988.559201388889</v>
      </c>
      <c r="B634">
        <v>20105097</v>
      </c>
      <c r="C634" s="6" t="s">
        <v>19</v>
      </c>
      <c r="D634">
        <v>155311</v>
      </c>
      <c r="E634" t="s">
        <v>43</v>
      </c>
      <c r="F634">
        <v>32785552</v>
      </c>
      <c r="G634" t="s">
        <v>613</v>
      </c>
      <c r="H634">
        <v>100236745</v>
      </c>
      <c r="I634">
        <v>202641</v>
      </c>
      <c r="J634">
        <v>32785552</v>
      </c>
      <c r="K634" t="s">
        <v>23</v>
      </c>
      <c r="L634" t="s">
        <v>279</v>
      </c>
      <c r="M634" t="s">
        <v>47</v>
      </c>
      <c r="N634" t="s">
        <v>35</v>
      </c>
      <c r="O634" t="s">
        <v>26</v>
      </c>
      <c r="P634" t="s">
        <v>27</v>
      </c>
      <c r="Q634" t="s">
        <v>28</v>
      </c>
      <c r="R634" t="s">
        <v>29</v>
      </c>
      <c r="S634" t="s">
        <v>30</v>
      </c>
      <c r="T634">
        <v>1082250716</v>
      </c>
      <c r="U634" t="s">
        <v>3936</v>
      </c>
      <c r="V634" t="s">
        <v>3937</v>
      </c>
      <c r="W634" s="9">
        <f>IF(V634="pregrado",31,
IF(V634="posgrados",31,
IF(V634="rEINTEGROS",7,
IF(V634="BIT",90,
IF(V634="OP GRADO - INGLÉS",17,"")))))</f>
        <v>31</v>
      </c>
      <c r="X634" t="s">
        <v>3997</v>
      </c>
    </row>
    <row r="635" spans="1:24" ht="15" x14ac:dyDescent="0.35">
      <c r="A635" s="4">
        <v>45988.688807870371</v>
      </c>
      <c r="B635">
        <v>20105153</v>
      </c>
      <c r="C635" s="6" t="s">
        <v>19</v>
      </c>
      <c r="D635">
        <v>155321</v>
      </c>
      <c r="E635" t="s">
        <v>43</v>
      </c>
      <c r="F635">
        <v>88033519</v>
      </c>
      <c r="G635" t="s">
        <v>626</v>
      </c>
      <c r="H635">
        <v>100236764</v>
      </c>
      <c r="I635">
        <v>202651</v>
      </c>
      <c r="J635">
        <v>63528515</v>
      </c>
      <c r="K635" t="s">
        <v>23</v>
      </c>
      <c r="L635" t="s">
        <v>252</v>
      </c>
      <c r="M635" t="s">
        <v>253</v>
      </c>
      <c r="N635" t="s">
        <v>35</v>
      </c>
      <c r="O635" t="s">
        <v>26</v>
      </c>
      <c r="P635" t="s">
        <v>27</v>
      </c>
      <c r="Q635" t="s">
        <v>28</v>
      </c>
      <c r="R635" t="s">
        <v>29</v>
      </c>
      <c r="S635" t="s">
        <v>30</v>
      </c>
      <c r="T635">
        <v>53116792</v>
      </c>
      <c r="U635" t="s">
        <v>3936</v>
      </c>
      <c r="V635" t="s">
        <v>3937</v>
      </c>
      <c r="W635" s="9">
        <f>IF(V635="pregrado",31,
IF(V635="posgrados",31,
IF(V635="rEINTEGROS",7,
IF(V635="BIT",90,
IF(V635="OP GRADO - INGLÉS",17,"")))))</f>
        <v>31</v>
      </c>
      <c r="X635" t="s">
        <v>4008</v>
      </c>
    </row>
    <row r="636" spans="1:24" ht="15" x14ac:dyDescent="0.35">
      <c r="A636" s="4">
        <v>45988.558310185188</v>
      </c>
      <c r="B636">
        <v>20105096</v>
      </c>
      <c r="C636" s="6" t="s">
        <v>19</v>
      </c>
      <c r="D636">
        <v>155334</v>
      </c>
      <c r="E636" t="s">
        <v>43</v>
      </c>
      <c r="F636">
        <v>1123311542</v>
      </c>
      <c r="G636" t="s">
        <v>612</v>
      </c>
      <c r="H636">
        <v>100236791</v>
      </c>
      <c r="I636">
        <v>202641</v>
      </c>
      <c r="J636">
        <v>1123311542</v>
      </c>
      <c r="K636" t="s">
        <v>23</v>
      </c>
      <c r="L636" t="s">
        <v>279</v>
      </c>
      <c r="M636" t="s">
        <v>47</v>
      </c>
      <c r="N636" t="s">
        <v>35</v>
      </c>
      <c r="O636" t="s">
        <v>26</v>
      </c>
      <c r="P636" t="s">
        <v>27</v>
      </c>
      <c r="Q636" t="s">
        <v>28</v>
      </c>
      <c r="R636" t="s">
        <v>29</v>
      </c>
      <c r="S636" t="s">
        <v>30</v>
      </c>
      <c r="T636">
        <v>52965969</v>
      </c>
      <c r="U636" t="s">
        <v>3936</v>
      </c>
      <c r="V636" t="s">
        <v>3937</v>
      </c>
      <c r="W636" s="9">
        <f>IF(V636="pregrado",31,
IF(V636="posgrados",31,
IF(V636="rEINTEGROS",7,
IF(V636="BIT",90,
IF(V636="OP GRADO - INGLÉS",17,"")))))</f>
        <v>31</v>
      </c>
      <c r="X636" t="s">
        <v>3960</v>
      </c>
    </row>
    <row r="637" spans="1:24" ht="15" x14ac:dyDescent="0.35">
      <c r="A637" s="4">
        <v>45987.667245370372</v>
      </c>
      <c r="B637">
        <v>20104980</v>
      </c>
      <c r="C637" s="6" t="s">
        <v>19</v>
      </c>
      <c r="D637">
        <v>155339</v>
      </c>
      <c r="E637" t="s">
        <v>43</v>
      </c>
      <c r="F637">
        <v>1030579514</v>
      </c>
      <c r="G637" t="s">
        <v>575</v>
      </c>
      <c r="H637">
        <v>100034732</v>
      </c>
      <c r="I637">
        <v>202651</v>
      </c>
      <c r="J637">
        <v>1030579514</v>
      </c>
      <c r="K637" t="s">
        <v>23</v>
      </c>
      <c r="L637" t="s">
        <v>542</v>
      </c>
      <c r="M637" t="s">
        <v>253</v>
      </c>
      <c r="N637" t="s">
        <v>35</v>
      </c>
      <c r="O637" t="s">
        <v>26</v>
      </c>
      <c r="P637" t="s">
        <v>27</v>
      </c>
      <c r="Q637" t="s">
        <v>28</v>
      </c>
      <c r="R637" t="s">
        <v>29</v>
      </c>
      <c r="S637" t="s">
        <v>30</v>
      </c>
      <c r="T637">
        <v>1016030683</v>
      </c>
      <c r="U637" t="s">
        <v>3936</v>
      </c>
      <c r="V637" t="s">
        <v>3937</v>
      </c>
      <c r="W637" s="9">
        <f>IF(V637="pregrado",31,
IF(V637="posgrados",31,
IF(V637="rEINTEGROS",7,
IF(V637="BIT",90,
IF(V637="OP GRADO - INGLÉS",17,"")))))</f>
        <v>31</v>
      </c>
      <c r="X637" t="s">
        <v>3992</v>
      </c>
    </row>
    <row r="638" spans="1:24" ht="15" x14ac:dyDescent="0.35">
      <c r="A638" s="4">
        <v>45987.675069444442</v>
      </c>
      <c r="B638">
        <v>20104984</v>
      </c>
      <c r="C638" s="6" t="s">
        <v>19</v>
      </c>
      <c r="D638">
        <v>155342</v>
      </c>
      <c r="E638" t="s">
        <v>43</v>
      </c>
      <c r="F638">
        <v>39819127</v>
      </c>
      <c r="G638" t="s">
        <v>578</v>
      </c>
      <c r="H638">
        <v>100029844</v>
      </c>
      <c r="I638">
        <v>202651</v>
      </c>
      <c r="J638">
        <v>39819127</v>
      </c>
      <c r="K638" t="s">
        <v>23</v>
      </c>
      <c r="L638" t="s">
        <v>252</v>
      </c>
      <c r="M638" t="s">
        <v>253</v>
      </c>
      <c r="N638" t="s">
        <v>35</v>
      </c>
      <c r="O638" t="s">
        <v>26</v>
      </c>
      <c r="P638" t="s">
        <v>27</v>
      </c>
      <c r="Q638" t="s">
        <v>28</v>
      </c>
      <c r="R638" t="s">
        <v>29</v>
      </c>
      <c r="S638" t="s">
        <v>30</v>
      </c>
      <c r="T638">
        <v>1015407851</v>
      </c>
      <c r="U638" t="s">
        <v>3944</v>
      </c>
      <c r="V638" t="s">
        <v>3934</v>
      </c>
      <c r="W638" s="9">
        <f>IF(V638="pregrado",31,
IF(V638="posgrados",31,
IF(V638="rEINTEGROS",7,
IF(V638="BIT",90,
IF(V638="OP GRADO - INGLÉS",17,"")))))</f>
        <v>31</v>
      </c>
      <c r="X638" t="s">
        <v>4102</v>
      </c>
    </row>
    <row r="639" spans="1:24" ht="15" x14ac:dyDescent="0.35">
      <c r="A639" s="4">
        <v>45990.47855324074</v>
      </c>
      <c r="B639">
        <v>20105356</v>
      </c>
      <c r="C639" s="6" t="s">
        <v>19</v>
      </c>
      <c r="D639">
        <v>155371</v>
      </c>
      <c r="E639" t="s">
        <v>43</v>
      </c>
      <c r="F639">
        <v>1075267608</v>
      </c>
      <c r="G639" t="s">
        <v>682</v>
      </c>
      <c r="H639">
        <v>100236834</v>
      </c>
      <c r="I639">
        <v>202651</v>
      </c>
      <c r="J639">
        <v>40779950</v>
      </c>
      <c r="K639" t="s">
        <v>23</v>
      </c>
      <c r="L639" t="s">
        <v>252</v>
      </c>
      <c r="M639" t="s">
        <v>253</v>
      </c>
      <c r="N639" t="s">
        <v>35</v>
      </c>
      <c r="O639" t="s">
        <v>26</v>
      </c>
      <c r="P639" t="s">
        <v>27</v>
      </c>
      <c r="Q639" t="s">
        <v>28</v>
      </c>
      <c r="R639" t="s">
        <v>29</v>
      </c>
      <c r="S639" t="s">
        <v>30</v>
      </c>
      <c r="T639">
        <v>1140420282</v>
      </c>
      <c r="U639" t="s">
        <v>3948</v>
      </c>
      <c r="V639" t="s">
        <v>3937</v>
      </c>
      <c r="W639" s="9">
        <f>IF(V639="pregrado",31,
IF(V639="posgrados",31,
IF(V639="rEINTEGROS",7,
IF(V639="BIT",90,
IF(V639="OP GRADO - INGLÉS",17,"")))))</f>
        <v>31</v>
      </c>
      <c r="X639" t="s">
        <v>3972</v>
      </c>
    </row>
    <row r="640" spans="1:24" ht="15" x14ac:dyDescent="0.35">
      <c r="A640" s="4">
        <v>46002.56453703704</v>
      </c>
      <c r="B640">
        <v>20106650</v>
      </c>
      <c r="C640" s="6" t="s">
        <v>19</v>
      </c>
      <c r="D640">
        <v>155375</v>
      </c>
      <c r="E640" t="s">
        <v>43</v>
      </c>
      <c r="F640">
        <v>43594836</v>
      </c>
      <c r="G640" t="s">
        <v>911</v>
      </c>
      <c r="H640">
        <v>100193942</v>
      </c>
      <c r="I640">
        <v>202651</v>
      </c>
      <c r="J640">
        <v>43594836</v>
      </c>
      <c r="K640" t="s">
        <v>46</v>
      </c>
      <c r="L640" t="s">
        <v>252</v>
      </c>
      <c r="M640" t="s">
        <v>253</v>
      </c>
      <c r="N640" t="s">
        <v>35</v>
      </c>
      <c r="O640" t="s">
        <v>26</v>
      </c>
      <c r="P640" t="s">
        <v>27</v>
      </c>
      <c r="Q640" t="s">
        <v>28</v>
      </c>
      <c r="R640" t="s">
        <v>29</v>
      </c>
      <c r="S640" t="s">
        <v>30</v>
      </c>
      <c r="T640">
        <v>1032451737</v>
      </c>
      <c r="U640" t="s">
        <v>3948</v>
      </c>
      <c r="V640" t="s">
        <v>3937</v>
      </c>
      <c r="W640" s="9">
        <f>IF(V640="pregrado",31,
IF(V640="posgrados",31,
IF(V640="rEINTEGROS",7,
IF(V640="BIT",90,
IF(V640="OP GRADO - INGLÉS",17,"")))))</f>
        <v>31</v>
      </c>
      <c r="X640" t="s">
        <v>4033</v>
      </c>
    </row>
    <row r="641" spans="1:24" ht="15" x14ac:dyDescent="0.35">
      <c r="A641" s="4">
        <v>45992.559386574074</v>
      </c>
      <c r="B641">
        <v>20105458</v>
      </c>
      <c r="C641" s="6" t="s">
        <v>19</v>
      </c>
      <c r="D641">
        <v>155389</v>
      </c>
      <c r="E641" t="s">
        <v>43</v>
      </c>
      <c r="F641">
        <v>1006433978</v>
      </c>
      <c r="G641" t="s">
        <v>707</v>
      </c>
      <c r="H641">
        <v>100236866</v>
      </c>
      <c r="I641">
        <v>202641</v>
      </c>
      <c r="J641">
        <v>38794313</v>
      </c>
      <c r="K641" t="s">
        <v>23</v>
      </c>
      <c r="L641" t="s">
        <v>342</v>
      </c>
      <c r="M641" t="s">
        <v>47</v>
      </c>
      <c r="N641" t="s">
        <v>35</v>
      </c>
      <c r="O641" t="s">
        <v>26</v>
      </c>
      <c r="P641" t="s">
        <v>27</v>
      </c>
      <c r="Q641" t="s">
        <v>28</v>
      </c>
      <c r="R641" t="s">
        <v>29</v>
      </c>
      <c r="S641" t="s">
        <v>30</v>
      </c>
      <c r="T641">
        <v>1019068131</v>
      </c>
      <c r="U641" t="s">
        <v>3948</v>
      </c>
      <c r="V641" t="s">
        <v>3937</v>
      </c>
      <c r="W641" s="9">
        <f>IF(V641="pregrado",31,
IF(V641="posgrados",31,
IF(V641="rEINTEGROS",7,
IF(V641="BIT",90,
IF(V641="OP GRADO - INGLÉS",17,"")))))</f>
        <v>31</v>
      </c>
      <c r="X641" t="s">
        <v>4066</v>
      </c>
    </row>
    <row r="642" spans="1:24" ht="15" x14ac:dyDescent="0.35">
      <c r="A642" s="4">
        <v>45995.583449074074</v>
      </c>
      <c r="B642">
        <v>20105869</v>
      </c>
      <c r="C642" s="6" t="s">
        <v>19</v>
      </c>
      <c r="D642">
        <v>155393</v>
      </c>
      <c r="E642" t="s">
        <v>43</v>
      </c>
      <c r="F642">
        <v>1001116410</v>
      </c>
      <c r="G642" t="s">
        <v>778</v>
      </c>
      <c r="H642">
        <v>100236878</v>
      </c>
      <c r="I642">
        <v>202651</v>
      </c>
      <c r="J642">
        <v>1001116410</v>
      </c>
      <c r="K642" t="s">
        <v>23</v>
      </c>
      <c r="L642" t="s">
        <v>252</v>
      </c>
      <c r="M642" t="s">
        <v>253</v>
      </c>
      <c r="N642" t="s">
        <v>35</v>
      </c>
      <c r="O642" t="s">
        <v>26</v>
      </c>
      <c r="P642" t="s">
        <v>27</v>
      </c>
      <c r="Q642" t="s">
        <v>28</v>
      </c>
      <c r="R642" t="s">
        <v>29</v>
      </c>
      <c r="S642" t="s">
        <v>30</v>
      </c>
      <c r="T642">
        <v>1014285873</v>
      </c>
      <c r="U642" t="s">
        <v>3948</v>
      </c>
      <c r="V642" t="s">
        <v>3937</v>
      </c>
      <c r="W642" s="9">
        <f>IF(V642="pregrado",31,
IF(V642="posgrados",31,
IF(V642="rEINTEGROS",7,
IF(V642="BIT",90,
IF(V642="OP GRADO - INGLÉS",17,"")))))</f>
        <v>31</v>
      </c>
      <c r="X642" t="s">
        <v>3953</v>
      </c>
    </row>
    <row r="643" spans="1:24" ht="15" x14ac:dyDescent="0.35">
      <c r="A643" s="4">
        <v>45997.790555555555</v>
      </c>
      <c r="B643">
        <v>20106045</v>
      </c>
      <c r="C643" s="6" t="s">
        <v>19</v>
      </c>
      <c r="D643">
        <v>155421</v>
      </c>
      <c r="E643" t="s">
        <v>43</v>
      </c>
      <c r="F643">
        <v>1061817129</v>
      </c>
      <c r="G643" t="s">
        <v>809</v>
      </c>
      <c r="H643">
        <v>100236931</v>
      </c>
      <c r="I643">
        <v>202651</v>
      </c>
      <c r="J643">
        <v>1061817129</v>
      </c>
      <c r="K643" t="s">
        <v>23</v>
      </c>
      <c r="L643" t="s">
        <v>252</v>
      </c>
      <c r="M643" t="s">
        <v>253</v>
      </c>
      <c r="N643" t="s">
        <v>35</v>
      </c>
      <c r="O643" t="s">
        <v>26</v>
      </c>
      <c r="P643" t="s">
        <v>27</v>
      </c>
      <c r="Q643" t="s">
        <v>28</v>
      </c>
      <c r="R643" t="s">
        <v>29</v>
      </c>
      <c r="S643" t="s">
        <v>30</v>
      </c>
      <c r="T643">
        <v>1022407392</v>
      </c>
      <c r="U643" t="s">
        <v>3936</v>
      </c>
      <c r="V643" t="s">
        <v>3937</v>
      </c>
      <c r="W643" s="9">
        <f>IF(V643="pregrado",31,
IF(V643="posgrados",31,
IF(V643="rEINTEGROS",7,
IF(V643="BIT",90,
IF(V643="OP GRADO - INGLÉS",17,"")))))</f>
        <v>31</v>
      </c>
      <c r="X643" t="s">
        <v>3975</v>
      </c>
    </row>
    <row r="644" spans="1:24" ht="15" x14ac:dyDescent="0.35">
      <c r="A644" s="4">
        <v>46003.506550925929</v>
      </c>
      <c r="B644">
        <v>20106911</v>
      </c>
      <c r="C644" s="6" t="s">
        <v>19</v>
      </c>
      <c r="D644">
        <v>155425</v>
      </c>
      <c r="E644" t="s">
        <v>43</v>
      </c>
      <c r="F644">
        <v>1143129874</v>
      </c>
      <c r="G644" t="s">
        <v>954</v>
      </c>
      <c r="H644">
        <v>100236943</v>
      </c>
      <c r="I644">
        <v>202641</v>
      </c>
      <c r="J644">
        <v>1143129874</v>
      </c>
      <c r="K644" t="s">
        <v>23</v>
      </c>
      <c r="L644" t="s">
        <v>955</v>
      </c>
      <c r="M644" t="s">
        <v>47</v>
      </c>
      <c r="N644" t="s">
        <v>35</v>
      </c>
      <c r="O644" t="s">
        <v>26</v>
      </c>
      <c r="P644" t="s">
        <v>27</v>
      </c>
      <c r="Q644" t="s">
        <v>28</v>
      </c>
      <c r="R644" t="s">
        <v>29</v>
      </c>
      <c r="S644" t="s">
        <v>30</v>
      </c>
      <c r="T644">
        <v>1019068131</v>
      </c>
      <c r="U644" t="s">
        <v>3948</v>
      </c>
      <c r="V644" t="s">
        <v>3937</v>
      </c>
      <c r="W644" s="9">
        <f>IF(V644="pregrado",31,
IF(V644="posgrados",31,
IF(V644="rEINTEGROS",7,
IF(V644="BIT",90,
IF(V644="OP GRADO - INGLÉS",17,"")))))</f>
        <v>31</v>
      </c>
      <c r="X644" t="s">
        <v>4066</v>
      </c>
    </row>
    <row r="645" spans="1:24" ht="15" x14ac:dyDescent="0.35">
      <c r="A645" s="4">
        <v>45988.734247685185</v>
      </c>
      <c r="B645">
        <v>20105176</v>
      </c>
      <c r="C645" s="6" t="s">
        <v>19</v>
      </c>
      <c r="D645">
        <v>155428</v>
      </c>
      <c r="E645" t="s">
        <v>43</v>
      </c>
      <c r="F645">
        <v>1069731760</v>
      </c>
      <c r="G645" t="s">
        <v>631</v>
      </c>
      <c r="H645">
        <v>100236947</v>
      </c>
      <c r="I645">
        <v>202651</v>
      </c>
      <c r="J645">
        <v>1069731760</v>
      </c>
      <c r="K645" t="s">
        <v>23</v>
      </c>
      <c r="L645" t="s">
        <v>252</v>
      </c>
      <c r="M645" t="s">
        <v>253</v>
      </c>
      <c r="N645" t="s">
        <v>35</v>
      </c>
      <c r="O645" t="s">
        <v>26</v>
      </c>
      <c r="P645" t="s">
        <v>27</v>
      </c>
      <c r="Q645" t="s">
        <v>28</v>
      </c>
      <c r="R645" t="s">
        <v>29</v>
      </c>
      <c r="S645" t="s">
        <v>30</v>
      </c>
      <c r="T645">
        <v>1033781417</v>
      </c>
      <c r="U645" t="s">
        <v>3948</v>
      </c>
      <c r="V645" t="s">
        <v>3937</v>
      </c>
      <c r="W645" s="9">
        <f>IF(V645="pregrado",31,
IF(V645="posgrados",31,
IF(V645="rEINTEGROS",7,
IF(V645="BIT",90,
IF(V645="OP GRADO - INGLÉS",17,"")))))</f>
        <v>31</v>
      </c>
      <c r="X645" t="s">
        <v>4031</v>
      </c>
    </row>
    <row r="646" spans="1:24" ht="15" x14ac:dyDescent="0.35">
      <c r="A646" s="4">
        <v>45988.76866898148</v>
      </c>
      <c r="B646">
        <v>20105180</v>
      </c>
      <c r="C646" s="6" t="s">
        <v>19</v>
      </c>
      <c r="D646">
        <v>155429</v>
      </c>
      <c r="E646" t="s">
        <v>43</v>
      </c>
      <c r="F646">
        <v>1110509651</v>
      </c>
      <c r="G646" t="s">
        <v>632</v>
      </c>
      <c r="H646">
        <v>100236948</v>
      </c>
      <c r="I646">
        <v>202641</v>
      </c>
      <c r="J646">
        <v>1110509651</v>
      </c>
      <c r="K646" t="s">
        <v>23</v>
      </c>
      <c r="L646" t="s">
        <v>294</v>
      </c>
      <c r="M646" t="s">
        <v>47</v>
      </c>
      <c r="N646" t="s">
        <v>35</v>
      </c>
      <c r="O646" t="s">
        <v>26</v>
      </c>
      <c r="P646" t="s">
        <v>27</v>
      </c>
      <c r="Q646" t="s">
        <v>28</v>
      </c>
      <c r="R646" t="s">
        <v>29</v>
      </c>
      <c r="S646" t="s">
        <v>30</v>
      </c>
      <c r="T646">
        <v>1233513889</v>
      </c>
      <c r="U646" t="s">
        <v>3948</v>
      </c>
      <c r="V646" t="s">
        <v>3937</v>
      </c>
      <c r="W646" s="9">
        <f>IF(V646="pregrado",31,
IF(V646="posgrados",31,
IF(V646="rEINTEGROS",7,
IF(V646="BIT",90,
IF(V646="OP GRADO - INGLÉS",17,"")))))</f>
        <v>31</v>
      </c>
      <c r="X646" t="s">
        <v>4035</v>
      </c>
    </row>
    <row r="647" spans="1:24" ht="15" x14ac:dyDescent="0.35">
      <c r="A647" s="4">
        <v>45992.454733796294</v>
      </c>
      <c r="B647">
        <v>20105426</v>
      </c>
      <c r="C647" s="6" t="s">
        <v>19</v>
      </c>
      <c r="D647">
        <v>155433</v>
      </c>
      <c r="E647" t="s">
        <v>43</v>
      </c>
      <c r="F647">
        <v>76322507</v>
      </c>
      <c r="G647" t="s">
        <v>697</v>
      </c>
      <c r="H647">
        <v>100236955</v>
      </c>
      <c r="I647">
        <v>202651</v>
      </c>
      <c r="J647">
        <v>76322507</v>
      </c>
      <c r="K647" t="s">
        <v>23</v>
      </c>
      <c r="L647" t="s">
        <v>698</v>
      </c>
      <c r="M647" t="s">
        <v>253</v>
      </c>
      <c r="N647" t="s">
        <v>35</v>
      </c>
      <c r="O647" t="s">
        <v>26</v>
      </c>
      <c r="P647" t="s">
        <v>27</v>
      </c>
      <c r="Q647" t="s">
        <v>28</v>
      </c>
      <c r="R647" t="s">
        <v>29</v>
      </c>
      <c r="S647" t="s">
        <v>30</v>
      </c>
      <c r="T647">
        <v>1015401969</v>
      </c>
      <c r="U647" t="s">
        <v>3936</v>
      </c>
      <c r="V647" t="s">
        <v>3937</v>
      </c>
      <c r="W647" s="9">
        <f>IF(V647="pregrado",31,
IF(V647="posgrados",31,
IF(V647="rEINTEGROS",7,
IF(V647="BIT",90,
IF(V647="OP GRADO - INGLÉS",17,"")))))</f>
        <v>31</v>
      </c>
      <c r="X647" t="s">
        <v>3945</v>
      </c>
    </row>
    <row r="648" spans="1:24" ht="15" x14ac:dyDescent="0.35">
      <c r="A648" s="4">
        <v>45992.477650462963</v>
      </c>
      <c r="B648">
        <v>20105438</v>
      </c>
      <c r="C648" s="6" t="s">
        <v>19</v>
      </c>
      <c r="D648">
        <v>155434</v>
      </c>
      <c r="E648" t="s">
        <v>43</v>
      </c>
      <c r="F648">
        <v>27401384</v>
      </c>
      <c r="G648" t="s">
        <v>702</v>
      </c>
      <c r="H648">
        <v>100074741</v>
      </c>
      <c r="I648">
        <v>202651</v>
      </c>
      <c r="J648">
        <v>27401384</v>
      </c>
      <c r="K648" t="s">
        <v>46</v>
      </c>
      <c r="L648" t="s">
        <v>252</v>
      </c>
      <c r="M648" t="s">
        <v>253</v>
      </c>
      <c r="N648" t="s">
        <v>35</v>
      </c>
      <c r="O648" t="s">
        <v>26</v>
      </c>
      <c r="P648" t="s">
        <v>27</v>
      </c>
      <c r="Q648" t="s">
        <v>28</v>
      </c>
      <c r="R648" t="s">
        <v>29</v>
      </c>
      <c r="S648" t="s">
        <v>30</v>
      </c>
      <c r="T648">
        <v>1032451737</v>
      </c>
      <c r="U648" t="s">
        <v>3948</v>
      </c>
      <c r="V648" t="s">
        <v>3937</v>
      </c>
      <c r="W648" s="9">
        <f>IF(V648="pregrado",31,
IF(V648="posgrados",31,
IF(V648="rEINTEGROS",7,
IF(V648="BIT",90,
IF(V648="OP GRADO - INGLÉS",17,"")))))</f>
        <v>31</v>
      </c>
      <c r="X648" t="s">
        <v>4033</v>
      </c>
    </row>
    <row r="649" spans="1:24" ht="15" x14ac:dyDescent="0.35">
      <c r="A649" s="4">
        <v>45989.490717592591</v>
      </c>
      <c r="B649">
        <v>20105245</v>
      </c>
      <c r="C649" s="6" t="s">
        <v>19</v>
      </c>
      <c r="D649">
        <v>155439</v>
      </c>
      <c r="E649" t="s">
        <v>43</v>
      </c>
      <c r="F649">
        <v>1102853661</v>
      </c>
      <c r="G649" t="s">
        <v>652</v>
      </c>
      <c r="H649">
        <v>100236961</v>
      </c>
      <c r="I649">
        <v>202651</v>
      </c>
      <c r="J649">
        <v>1102853661</v>
      </c>
      <c r="K649" t="s">
        <v>23</v>
      </c>
      <c r="L649" t="s">
        <v>252</v>
      </c>
      <c r="M649" t="s">
        <v>253</v>
      </c>
      <c r="N649" t="s">
        <v>35</v>
      </c>
      <c r="O649" t="s">
        <v>26</v>
      </c>
      <c r="P649" t="s">
        <v>27</v>
      </c>
      <c r="Q649" t="s">
        <v>28</v>
      </c>
      <c r="R649" t="s">
        <v>29</v>
      </c>
      <c r="S649" t="s">
        <v>30</v>
      </c>
      <c r="T649">
        <v>1140420282</v>
      </c>
      <c r="U649" t="s">
        <v>3948</v>
      </c>
      <c r="V649" t="s">
        <v>3937</v>
      </c>
      <c r="W649" s="9">
        <f>IF(V649="pregrado",31,
IF(V649="posgrados",31,
IF(V649="rEINTEGROS",7,
IF(V649="BIT",90,
IF(V649="OP GRADO - INGLÉS",17,"")))))</f>
        <v>31</v>
      </c>
      <c r="X649" t="s">
        <v>3972</v>
      </c>
    </row>
    <row r="650" spans="1:24" ht="15" x14ac:dyDescent="0.35">
      <c r="A650" s="4">
        <v>46006.436481481483</v>
      </c>
      <c r="B650">
        <v>20107239</v>
      </c>
      <c r="C650" s="6" t="s">
        <v>19</v>
      </c>
      <c r="D650">
        <v>155448</v>
      </c>
      <c r="E650" t="s">
        <v>43</v>
      </c>
      <c r="F650">
        <v>39617947</v>
      </c>
      <c r="G650" t="s">
        <v>991</v>
      </c>
      <c r="H650">
        <v>100236978</v>
      </c>
      <c r="I650">
        <v>202641</v>
      </c>
      <c r="J650">
        <v>1003519990</v>
      </c>
      <c r="K650" t="s">
        <v>23</v>
      </c>
      <c r="L650" t="s">
        <v>45</v>
      </c>
      <c r="M650" t="s">
        <v>47</v>
      </c>
      <c r="N650" t="s">
        <v>35</v>
      </c>
      <c r="O650" t="s">
        <v>26</v>
      </c>
      <c r="P650" t="s">
        <v>27</v>
      </c>
      <c r="Q650" t="s">
        <v>28</v>
      </c>
      <c r="R650" t="s">
        <v>29</v>
      </c>
      <c r="S650" t="s">
        <v>30</v>
      </c>
      <c r="T650">
        <v>1193146767</v>
      </c>
      <c r="U650" t="s">
        <v>3936</v>
      </c>
      <c r="V650" t="s">
        <v>3937</v>
      </c>
      <c r="W650" s="9">
        <f>IF(V650="pregrado",31,
IF(V650="posgrados",31,
IF(V650="rEINTEGROS",7,
IF(V650="BIT",90,
IF(V650="OP GRADO - INGLÉS",17,"")))))</f>
        <v>31</v>
      </c>
      <c r="X650" t="s">
        <v>4072</v>
      </c>
    </row>
    <row r="651" spans="1:24" ht="15" x14ac:dyDescent="0.35">
      <c r="A651" s="4">
        <v>46010.589444444442</v>
      </c>
      <c r="B651">
        <v>20108845</v>
      </c>
      <c r="C651" s="6" t="s">
        <v>19</v>
      </c>
      <c r="D651">
        <v>155452</v>
      </c>
      <c r="E651" t="s">
        <v>43</v>
      </c>
      <c r="F651">
        <v>39579003</v>
      </c>
      <c r="G651" t="s">
        <v>1188</v>
      </c>
      <c r="H651">
        <v>100236988</v>
      </c>
      <c r="I651">
        <v>202641</v>
      </c>
      <c r="J651">
        <v>39579003</v>
      </c>
      <c r="K651" t="s">
        <v>23</v>
      </c>
      <c r="L651" t="s">
        <v>279</v>
      </c>
      <c r="M651" t="s">
        <v>47</v>
      </c>
      <c r="N651" t="s">
        <v>35</v>
      </c>
      <c r="O651" t="s">
        <v>26</v>
      </c>
      <c r="P651" t="s">
        <v>27</v>
      </c>
      <c r="Q651" t="s">
        <v>28</v>
      </c>
      <c r="R651" t="s">
        <v>29</v>
      </c>
      <c r="S651" t="s">
        <v>30</v>
      </c>
      <c r="T651">
        <v>1193146767</v>
      </c>
      <c r="U651" t="s">
        <v>3936</v>
      </c>
      <c r="V651" t="s">
        <v>3937</v>
      </c>
      <c r="W651" s="9">
        <f>IF(V651="pregrado",31,
IF(V651="posgrados",31,
IF(V651="rEINTEGROS",7,
IF(V651="BIT",90,
IF(V651="OP GRADO - INGLÉS",17,"")))))</f>
        <v>31</v>
      </c>
      <c r="X651" t="s">
        <v>4072</v>
      </c>
    </row>
    <row r="652" spans="1:24" ht="15" x14ac:dyDescent="0.35">
      <c r="A652" s="4">
        <v>45989.377118055556</v>
      </c>
      <c r="B652">
        <v>20105208</v>
      </c>
      <c r="C652" s="6" t="s">
        <v>19</v>
      </c>
      <c r="D652">
        <v>155453</v>
      </c>
      <c r="E652" t="s">
        <v>43</v>
      </c>
      <c r="F652">
        <v>1100403700</v>
      </c>
      <c r="G652" t="s">
        <v>640</v>
      </c>
      <c r="H652">
        <v>100211900</v>
      </c>
      <c r="I652">
        <v>202651</v>
      </c>
      <c r="J652">
        <v>1100403700</v>
      </c>
      <c r="K652" t="s">
        <v>23</v>
      </c>
      <c r="L652" t="s">
        <v>252</v>
      </c>
      <c r="M652" t="s">
        <v>253</v>
      </c>
      <c r="N652" t="s">
        <v>35</v>
      </c>
      <c r="O652" t="s">
        <v>26</v>
      </c>
      <c r="P652" t="s">
        <v>27</v>
      </c>
      <c r="Q652" t="s">
        <v>28</v>
      </c>
      <c r="R652" t="s">
        <v>29</v>
      </c>
      <c r="S652" t="s">
        <v>30</v>
      </c>
      <c r="T652">
        <v>1033781417</v>
      </c>
      <c r="U652" t="s">
        <v>3948</v>
      </c>
      <c r="V652" t="s">
        <v>3937</v>
      </c>
      <c r="W652" s="9">
        <f>IF(V652="pregrado",31,
IF(V652="posgrados",31,
IF(V652="rEINTEGROS",7,
IF(V652="BIT",90,
IF(V652="OP GRADO - INGLÉS",17,"")))))</f>
        <v>31</v>
      </c>
      <c r="X652" t="s">
        <v>4031</v>
      </c>
    </row>
    <row r="653" spans="1:24" ht="15" x14ac:dyDescent="0.35">
      <c r="A653" s="4">
        <v>45989.686249999999</v>
      </c>
      <c r="B653">
        <v>20105295</v>
      </c>
      <c r="C653" s="6" t="s">
        <v>19</v>
      </c>
      <c r="D653">
        <v>155462</v>
      </c>
      <c r="E653" t="s">
        <v>43</v>
      </c>
      <c r="F653">
        <v>1107520774</v>
      </c>
      <c r="G653" t="s">
        <v>669</v>
      </c>
      <c r="H653">
        <v>100219166</v>
      </c>
      <c r="I653">
        <v>202641</v>
      </c>
      <c r="J653">
        <v>1107520774</v>
      </c>
      <c r="K653" t="s">
        <v>23</v>
      </c>
      <c r="L653" t="s">
        <v>160</v>
      </c>
      <c r="M653" t="s">
        <v>47</v>
      </c>
      <c r="N653" t="s">
        <v>35</v>
      </c>
      <c r="O653" t="s">
        <v>26</v>
      </c>
      <c r="P653" t="s">
        <v>27</v>
      </c>
      <c r="Q653" t="s">
        <v>28</v>
      </c>
      <c r="R653" t="s">
        <v>29</v>
      </c>
      <c r="S653" t="s">
        <v>30</v>
      </c>
      <c r="T653">
        <v>1012355141</v>
      </c>
      <c r="U653" t="s">
        <v>3936</v>
      </c>
      <c r="V653" t="s">
        <v>3937</v>
      </c>
      <c r="W653" s="9">
        <f>IF(V653="pregrado",31,
IF(V653="posgrados",31,
IF(V653="rEINTEGROS",7,
IF(V653="BIT",90,
IF(V653="OP GRADO - INGLÉS",17,"")))))</f>
        <v>31</v>
      </c>
      <c r="X653" t="s">
        <v>4045</v>
      </c>
    </row>
    <row r="654" spans="1:24" ht="15" x14ac:dyDescent="0.35">
      <c r="A654" s="4">
        <v>45992.437511574077</v>
      </c>
      <c r="B654">
        <v>20105417</v>
      </c>
      <c r="C654" s="6" t="s">
        <v>19</v>
      </c>
      <c r="D654">
        <v>155492</v>
      </c>
      <c r="E654" t="s">
        <v>43</v>
      </c>
      <c r="F654">
        <v>1065868700</v>
      </c>
      <c r="G654" t="s">
        <v>696</v>
      </c>
      <c r="H654">
        <v>100048914</v>
      </c>
      <c r="I654">
        <v>202651</v>
      </c>
      <c r="J654">
        <v>27706640</v>
      </c>
      <c r="K654" t="s">
        <v>23</v>
      </c>
      <c r="L654" t="s">
        <v>252</v>
      </c>
      <c r="M654" t="s">
        <v>253</v>
      </c>
      <c r="N654" t="s">
        <v>35</v>
      </c>
      <c r="O654" t="s">
        <v>26</v>
      </c>
      <c r="P654" t="s">
        <v>27</v>
      </c>
      <c r="Q654" t="s">
        <v>28</v>
      </c>
      <c r="R654" t="s">
        <v>29</v>
      </c>
      <c r="S654" t="s">
        <v>30</v>
      </c>
      <c r="T654">
        <v>1014285873</v>
      </c>
      <c r="U654" t="s">
        <v>3948</v>
      </c>
      <c r="V654" t="s">
        <v>3937</v>
      </c>
      <c r="W654" s="9">
        <f>IF(V654="pregrado",31,
IF(V654="posgrados",31,
IF(V654="rEINTEGROS",7,
IF(V654="BIT",90,
IF(V654="OP GRADO - INGLÉS",17,"")))))</f>
        <v>31</v>
      </c>
      <c r="X654" t="s">
        <v>3953</v>
      </c>
    </row>
    <row r="655" spans="1:24" ht="15" x14ac:dyDescent="0.35">
      <c r="A655" s="4">
        <v>45990.614189814813</v>
      </c>
      <c r="B655">
        <v>20105372</v>
      </c>
      <c r="C655" s="6" t="s">
        <v>19</v>
      </c>
      <c r="D655">
        <v>155494</v>
      </c>
      <c r="E655" t="s">
        <v>43</v>
      </c>
      <c r="F655">
        <v>1128419338</v>
      </c>
      <c r="G655" t="s">
        <v>687</v>
      </c>
      <c r="H655">
        <v>100106020</v>
      </c>
      <c r="I655">
        <v>202641</v>
      </c>
      <c r="J655">
        <v>1128419338</v>
      </c>
      <c r="K655" t="s">
        <v>23</v>
      </c>
      <c r="L655" t="s">
        <v>294</v>
      </c>
      <c r="M655" t="s">
        <v>47</v>
      </c>
      <c r="N655" t="s">
        <v>35</v>
      </c>
      <c r="O655" t="s">
        <v>26</v>
      </c>
      <c r="P655" t="s">
        <v>27</v>
      </c>
      <c r="Q655" t="s">
        <v>28</v>
      </c>
      <c r="R655" t="s">
        <v>29</v>
      </c>
      <c r="S655" t="s">
        <v>30</v>
      </c>
      <c r="T655">
        <v>1012389748</v>
      </c>
      <c r="U655" t="s">
        <v>3948</v>
      </c>
      <c r="V655" t="s">
        <v>3937</v>
      </c>
      <c r="W655" s="9">
        <f>IF(V655="pregrado",31,
IF(V655="posgrados",31,
IF(V655="rEINTEGROS",7,
IF(V655="BIT",90,
IF(V655="OP GRADO - INGLÉS",17,"")))))</f>
        <v>31</v>
      </c>
      <c r="X655" t="s">
        <v>4065</v>
      </c>
    </row>
    <row r="656" spans="1:24" ht="15" x14ac:dyDescent="0.35">
      <c r="A656" s="4">
        <v>46070.387812499997</v>
      </c>
      <c r="B656">
        <v>20123993</v>
      </c>
      <c r="C656" s="6" t="s">
        <v>19</v>
      </c>
      <c r="D656">
        <v>155496</v>
      </c>
      <c r="E656" t="s">
        <v>43</v>
      </c>
      <c r="F656">
        <v>1062904892</v>
      </c>
      <c r="G656" t="s">
        <v>3277</v>
      </c>
      <c r="H656">
        <v>100210311</v>
      </c>
      <c r="I656">
        <v>202641</v>
      </c>
      <c r="J656">
        <v>1062904892</v>
      </c>
      <c r="K656" t="s">
        <v>46</v>
      </c>
      <c r="L656" t="s">
        <v>45</v>
      </c>
      <c r="M656" t="s">
        <v>47</v>
      </c>
      <c r="N656" t="s">
        <v>35</v>
      </c>
      <c r="O656" t="s">
        <v>26</v>
      </c>
      <c r="P656" t="s">
        <v>27</v>
      </c>
      <c r="Q656" t="s">
        <v>28</v>
      </c>
      <c r="R656" t="s">
        <v>29</v>
      </c>
      <c r="S656" t="s">
        <v>30</v>
      </c>
      <c r="T656">
        <v>1012355141</v>
      </c>
      <c r="U656" t="s">
        <v>3936</v>
      </c>
      <c r="V656" t="s">
        <v>3937</v>
      </c>
      <c r="W656" s="9">
        <f>IF(V656="pregrado",31,
IF(V656="posgrados",31,
IF(V656="rEINTEGROS",7,
IF(V656="BIT",90,
IF(V656="OP GRADO - INGLÉS",17,"")))))</f>
        <v>31</v>
      </c>
      <c r="X656" t="s">
        <v>4045</v>
      </c>
    </row>
    <row r="657" spans="1:24" ht="15" x14ac:dyDescent="0.35">
      <c r="A657" s="4">
        <v>45994.775810185187</v>
      </c>
      <c r="B657">
        <v>20105797</v>
      </c>
      <c r="C657" s="6" t="s">
        <v>19</v>
      </c>
      <c r="D657">
        <v>155526</v>
      </c>
      <c r="E657" t="s">
        <v>43</v>
      </c>
      <c r="F657">
        <v>46645524</v>
      </c>
      <c r="G657" t="s">
        <v>758</v>
      </c>
      <c r="H657">
        <v>100076245</v>
      </c>
      <c r="I657">
        <v>202651</v>
      </c>
      <c r="J657">
        <v>1056776417</v>
      </c>
      <c r="K657" t="s">
        <v>23</v>
      </c>
      <c r="L657" t="s">
        <v>252</v>
      </c>
      <c r="M657" t="s">
        <v>253</v>
      </c>
      <c r="N657" t="s">
        <v>35</v>
      </c>
      <c r="O657" t="s">
        <v>26</v>
      </c>
      <c r="P657" t="s">
        <v>27</v>
      </c>
      <c r="Q657" t="s">
        <v>28</v>
      </c>
      <c r="R657" t="s">
        <v>29</v>
      </c>
      <c r="S657" t="s">
        <v>30</v>
      </c>
      <c r="T657">
        <v>1082250716</v>
      </c>
      <c r="U657" t="s">
        <v>3936</v>
      </c>
      <c r="V657" t="s">
        <v>3937</v>
      </c>
      <c r="W657" s="9">
        <f>IF(V657="pregrado",31,
IF(V657="posgrados",31,
IF(V657="rEINTEGROS",7,
IF(V657="BIT",90,
IF(V657="OP GRADO - INGLÉS",17,"")))))</f>
        <v>31</v>
      </c>
      <c r="X657" t="s">
        <v>3997</v>
      </c>
    </row>
    <row r="658" spans="1:24" ht="15" x14ac:dyDescent="0.35">
      <c r="A658" s="4">
        <v>45994.47210648148</v>
      </c>
      <c r="B658">
        <v>20105711</v>
      </c>
      <c r="C658" s="6" t="s">
        <v>19</v>
      </c>
      <c r="D658">
        <v>155550</v>
      </c>
      <c r="E658" t="s">
        <v>43</v>
      </c>
      <c r="F658">
        <v>1001048730</v>
      </c>
      <c r="G658" t="s">
        <v>745</v>
      </c>
      <c r="H658">
        <v>100237200</v>
      </c>
      <c r="I658">
        <v>202651</v>
      </c>
      <c r="J658">
        <v>1001048730</v>
      </c>
      <c r="K658" t="s">
        <v>23</v>
      </c>
      <c r="L658" t="s">
        <v>252</v>
      </c>
      <c r="M658" t="s">
        <v>253</v>
      </c>
      <c r="N658" t="s">
        <v>35</v>
      </c>
      <c r="O658" t="s">
        <v>26</v>
      </c>
      <c r="P658" t="s">
        <v>27</v>
      </c>
      <c r="Q658" t="s">
        <v>28</v>
      </c>
      <c r="R658" t="s">
        <v>29</v>
      </c>
      <c r="S658" t="s">
        <v>30</v>
      </c>
      <c r="T658">
        <v>1233888787</v>
      </c>
      <c r="U658" t="s">
        <v>3936</v>
      </c>
      <c r="V658" t="s">
        <v>3937</v>
      </c>
      <c r="W658" s="9">
        <f>IF(V658="pregrado",31,
IF(V658="posgrados",31,
IF(V658="rEINTEGROS",7,
IF(V658="BIT",90,
IF(V658="OP GRADO - INGLÉS",17,"")))))</f>
        <v>31</v>
      </c>
      <c r="X658" t="s">
        <v>3998</v>
      </c>
    </row>
    <row r="659" spans="1:24" ht="15" x14ac:dyDescent="0.35">
      <c r="A659" s="4">
        <v>46000.381828703707</v>
      </c>
      <c r="B659">
        <v>20106079</v>
      </c>
      <c r="C659" s="6" t="s">
        <v>19</v>
      </c>
      <c r="D659">
        <v>155578</v>
      </c>
      <c r="E659" t="s">
        <v>43</v>
      </c>
      <c r="F659">
        <v>1001970935</v>
      </c>
      <c r="G659" t="s">
        <v>812</v>
      </c>
      <c r="H659">
        <v>100237264</v>
      </c>
      <c r="I659">
        <v>202651</v>
      </c>
      <c r="J659">
        <v>1001970935</v>
      </c>
      <c r="K659" t="s">
        <v>23</v>
      </c>
      <c r="L659" t="s">
        <v>252</v>
      </c>
      <c r="M659" t="s">
        <v>253</v>
      </c>
      <c r="N659" t="s">
        <v>35</v>
      </c>
      <c r="O659" t="s">
        <v>26</v>
      </c>
      <c r="P659" t="s">
        <v>27</v>
      </c>
      <c r="Q659" t="s">
        <v>28</v>
      </c>
      <c r="R659" t="s">
        <v>29</v>
      </c>
      <c r="S659" t="s">
        <v>30</v>
      </c>
      <c r="T659">
        <v>52032666</v>
      </c>
      <c r="U659" t="s">
        <v>3948</v>
      </c>
      <c r="V659" t="s">
        <v>3937</v>
      </c>
      <c r="W659" s="9">
        <f>IF(V659="pregrado",31,
IF(V659="posgrados",31,
IF(V659="rEINTEGROS",7,
IF(V659="BIT",90,
IF(V659="OP GRADO - INGLÉS",17,"")))))</f>
        <v>31</v>
      </c>
      <c r="X659" t="s">
        <v>3983</v>
      </c>
    </row>
    <row r="660" spans="1:24" ht="15" x14ac:dyDescent="0.35">
      <c r="A660" s="4">
        <v>45992.788425925923</v>
      </c>
      <c r="B660">
        <v>20105521</v>
      </c>
      <c r="C660" s="6" t="s">
        <v>19</v>
      </c>
      <c r="D660">
        <v>155585</v>
      </c>
      <c r="E660" t="s">
        <v>43</v>
      </c>
      <c r="F660">
        <v>1032500620</v>
      </c>
      <c r="G660" t="s">
        <v>712</v>
      </c>
      <c r="H660">
        <v>100237279</v>
      </c>
      <c r="I660">
        <v>202641</v>
      </c>
      <c r="J660">
        <v>1032500620</v>
      </c>
      <c r="K660" t="s">
        <v>23</v>
      </c>
      <c r="L660" t="s">
        <v>294</v>
      </c>
      <c r="M660" t="s">
        <v>47</v>
      </c>
      <c r="N660" t="s">
        <v>25</v>
      </c>
      <c r="O660" t="s">
        <v>26</v>
      </c>
      <c r="P660" t="s">
        <v>27</v>
      </c>
      <c r="Q660" t="s">
        <v>28</v>
      </c>
      <c r="R660" t="s">
        <v>29</v>
      </c>
      <c r="S660" t="s">
        <v>30</v>
      </c>
      <c r="T660">
        <v>1140420282</v>
      </c>
      <c r="U660" t="s">
        <v>3948</v>
      </c>
      <c r="V660" t="s">
        <v>3937</v>
      </c>
      <c r="W660" s="9">
        <f>IF(V660="pregrado",31,
IF(V660="posgrados",31,
IF(V660="rEINTEGROS",7,
IF(V660="BIT",90,
IF(V660="OP GRADO - INGLÉS",17,"")))))</f>
        <v>31</v>
      </c>
      <c r="X660" t="s">
        <v>3972</v>
      </c>
    </row>
    <row r="661" spans="1:24" ht="15" x14ac:dyDescent="0.35">
      <c r="A661" s="4">
        <v>45992.536620370367</v>
      </c>
      <c r="B661">
        <v>20105453</v>
      </c>
      <c r="C661" s="6" t="s">
        <v>19</v>
      </c>
      <c r="D661">
        <v>155589</v>
      </c>
      <c r="E661" t="s">
        <v>43</v>
      </c>
      <c r="F661">
        <v>1193244141</v>
      </c>
      <c r="G661" t="s">
        <v>706</v>
      </c>
      <c r="H661">
        <v>100237252</v>
      </c>
      <c r="I661">
        <v>202641</v>
      </c>
      <c r="J661">
        <v>1087205429</v>
      </c>
      <c r="K661" t="s">
        <v>23</v>
      </c>
      <c r="L661" t="s">
        <v>59</v>
      </c>
      <c r="M661" t="s">
        <v>47</v>
      </c>
      <c r="N661" t="s">
        <v>35</v>
      </c>
      <c r="O661" t="s">
        <v>26</v>
      </c>
      <c r="P661" t="s">
        <v>27</v>
      </c>
      <c r="Q661" t="s">
        <v>28</v>
      </c>
      <c r="R661" t="s">
        <v>29</v>
      </c>
      <c r="S661" t="s">
        <v>30</v>
      </c>
      <c r="T661">
        <v>1022407392</v>
      </c>
      <c r="U661" t="s">
        <v>3936</v>
      </c>
      <c r="V661" t="s">
        <v>3937</v>
      </c>
      <c r="W661" s="9">
        <f>IF(V661="pregrado",31,
IF(V661="posgrados",31,
IF(V661="rEINTEGROS",7,
IF(V661="BIT",90,
IF(V661="OP GRADO - INGLÉS",17,"")))))</f>
        <v>31</v>
      </c>
      <c r="X661" t="s">
        <v>3975</v>
      </c>
    </row>
    <row r="662" spans="1:24" ht="15" x14ac:dyDescent="0.35">
      <c r="A662" s="4">
        <v>45993.402766203704</v>
      </c>
      <c r="B662">
        <v>20105548</v>
      </c>
      <c r="C662" s="6" t="s">
        <v>19</v>
      </c>
      <c r="D662">
        <v>155596</v>
      </c>
      <c r="E662" t="s">
        <v>43</v>
      </c>
      <c r="F662">
        <v>1084260945</v>
      </c>
      <c r="G662" t="s">
        <v>713</v>
      </c>
      <c r="H662">
        <v>100237308</v>
      </c>
      <c r="I662">
        <v>202641</v>
      </c>
      <c r="J662">
        <v>1084260945</v>
      </c>
      <c r="K662" t="s">
        <v>23</v>
      </c>
      <c r="L662" t="s">
        <v>160</v>
      </c>
      <c r="M662" t="s">
        <v>47</v>
      </c>
      <c r="N662" t="s">
        <v>35</v>
      </c>
      <c r="O662" t="s">
        <v>26</v>
      </c>
      <c r="P662" t="s">
        <v>27</v>
      </c>
      <c r="Q662" t="s">
        <v>28</v>
      </c>
      <c r="R662" t="s">
        <v>29</v>
      </c>
      <c r="S662" t="s">
        <v>30</v>
      </c>
      <c r="T662">
        <v>1022407392</v>
      </c>
      <c r="U662" t="s">
        <v>3936</v>
      </c>
      <c r="V662" t="s">
        <v>3937</v>
      </c>
      <c r="W662" s="9">
        <f>IF(V662="pregrado",31,
IF(V662="posgrados",31,
IF(V662="rEINTEGROS",7,
IF(V662="BIT",90,
IF(V662="OP GRADO - INGLÉS",17,"")))))</f>
        <v>31</v>
      </c>
      <c r="X662" t="s">
        <v>3975</v>
      </c>
    </row>
    <row r="663" spans="1:24" ht="15" x14ac:dyDescent="0.35">
      <c r="A663" s="4">
        <v>45996.264108796298</v>
      </c>
      <c r="B663">
        <v>20105941</v>
      </c>
      <c r="C663" s="6" t="s">
        <v>19</v>
      </c>
      <c r="D663">
        <v>155613</v>
      </c>
      <c r="E663" t="s">
        <v>43</v>
      </c>
      <c r="F663">
        <v>1003908094</v>
      </c>
      <c r="G663" t="s">
        <v>800</v>
      </c>
      <c r="H663">
        <v>100237345</v>
      </c>
      <c r="I663">
        <v>202651</v>
      </c>
      <c r="J663">
        <v>1003908094</v>
      </c>
      <c r="K663" t="s">
        <v>23</v>
      </c>
      <c r="L663" t="s">
        <v>542</v>
      </c>
      <c r="M663" t="s">
        <v>253</v>
      </c>
      <c r="N663" t="s">
        <v>35</v>
      </c>
      <c r="O663" t="s">
        <v>26</v>
      </c>
      <c r="P663" t="s">
        <v>27</v>
      </c>
      <c r="Q663" t="s">
        <v>28</v>
      </c>
      <c r="R663" t="s">
        <v>29</v>
      </c>
      <c r="S663" t="s">
        <v>30</v>
      </c>
      <c r="T663">
        <v>1015407851</v>
      </c>
      <c r="U663" t="s">
        <v>3944</v>
      </c>
      <c r="V663" t="s">
        <v>3934</v>
      </c>
      <c r="W663" s="9">
        <f>IF(V663="pregrado",31,
IF(V663="posgrados",31,
IF(V663="rEINTEGROS",7,
IF(V663="BIT",90,
IF(V663="OP GRADO - INGLÉS",17,"")))))</f>
        <v>31</v>
      </c>
      <c r="X663" t="s">
        <v>4102</v>
      </c>
    </row>
    <row r="664" spans="1:24" ht="15" x14ac:dyDescent="0.35">
      <c r="A664" s="4">
        <v>45993.48028935185</v>
      </c>
      <c r="B664">
        <v>20105578</v>
      </c>
      <c r="C664" s="6" t="s">
        <v>19</v>
      </c>
      <c r="D664">
        <v>155622</v>
      </c>
      <c r="E664" t="s">
        <v>43</v>
      </c>
      <c r="F664">
        <v>1067720213</v>
      </c>
      <c r="G664" t="s">
        <v>716</v>
      </c>
      <c r="H664">
        <v>100237359</v>
      </c>
      <c r="I664">
        <v>202641</v>
      </c>
      <c r="J664">
        <v>1067720213</v>
      </c>
      <c r="K664" t="s">
        <v>23</v>
      </c>
      <c r="L664" t="s">
        <v>294</v>
      </c>
      <c r="M664" t="s">
        <v>47</v>
      </c>
      <c r="N664" t="s">
        <v>25</v>
      </c>
      <c r="O664" t="s">
        <v>26</v>
      </c>
      <c r="P664" t="s">
        <v>27</v>
      </c>
      <c r="Q664" t="s">
        <v>28</v>
      </c>
      <c r="R664" t="s">
        <v>29</v>
      </c>
      <c r="S664" t="s">
        <v>30</v>
      </c>
      <c r="T664">
        <v>1031147887</v>
      </c>
      <c r="U664" t="s">
        <v>3948</v>
      </c>
      <c r="V664" t="s">
        <v>3937</v>
      </c>
      <c r="W664" s="9">
        <f>IF(V664="pregrado",31,
IF(V664="posgrados",31,
IF(V664="rEINTEGROS",7,
IF(V664="BIT",90,
IF(V664="OP GRADO - INGLÉS",17,"")))))</f>
        <v>31</v>
      </c>
      <c r="X664" t="s">
        <v>3947</v>
      </c>
    </row>
    <row r="665" spans="1:24" ht="15" x14ac:dyDescent="0.35">
      <c r="A665" s="4">
        <v>45994.626921296294</v>
      </c>
      <c r="B665">
        <v>20105745</v>
      </c>
      <c r="C665" s="6" t="s">
        <v>19</v>
      </c>
      <c r="D665">
        <v>155636</v>
      </c>
      <c r="E665" t="s">
        <v>43</v>
      </c>
      <c r="F665">
        <v>1076321419</v>
      </c>
      <c r="G665" t="s">
        <v>750</v>
      </c>
      <c r="H665">
        <v>100237396</v>
      </c>
      <c r="I665">
        <v>202651</v>
      </c>
      <c r="J665">
        <v>1076321419</v>
      </c>
      <c r="K665" t="s">
        <v>23</v>
      </c>
      <c r="L665" t="s">
        <v>252</v>
      </c>
      <c r="M665" t="s">
        <v>253</v>
      </c>
      <c r="N665" t="s">
        <v>35</v>
      </c>
      <c r="O665" t="s">
        <v>26</v>
      </c>
      <c r="P665" t="s">
        <v>27</v>
      </c>
      <c r="Q665" t="s">
        <v>28</v>
      </c>
      <c r="R665" t="s">
        <v>29</v>
      </c>
      <c r="S665" t="s">
        <v>30</v>
      </c>
      <c r="T665">
        <v>1033781417</v>
      </c>
      <c r="U665" t="s">
        <v>3948</v>
      </c>
      <c r="V665" t="s">
        <v>3937</v>
      </c>
      <c r="W665" s="9">
        <f>IF(V665="pregrado",31,
IF(V665="posgrados",31,
IF(V665="rEINTEGROS",7,
IF(V665="BIT",90,
IF(V665="OP GRADO - INGLÉS",17,"")))))</f>
        <v>31</v>
      </c>
      <c r="X665" t="s">
        <v>4031</v>
      </c>
    </row>
    <row r="666" spans="1:24" ht="15" x14ac:dyDescent="0.35">
      <c r="A666" s="4">
        <v>45993.528252314813</v>
      </c>
      <c r="B666">
        <v>20105589</v>
      </c>
      <c r="C666" s="6" t="s">
        <v>19</v>
      </c>
      <c r="D666">
        <v>155644</v>
      </c>
      <c r="E666" t="s">
        <v>43</v>
      </c>
      <c r="F666">
        <v>1049645231</v>
      </c>
      <c r="G666" t="s">
        <v>718</v>
      </c>
      <c r="H666">
        <v>100237408</v>
      </c>
      <c r="I666">
        <v>202641</v>
      </c>
      <c r="J666">
        <v>1049645231</v>
      </c>
      <c r="K666" t="s">
        <v>23</v>
      </c>
      <c r="L666" t="s">
        <v>279</v>
      </c>
      <c r="M666" t="s">
        <v>47</v>
      </c>
      <c r="N666" t="s">
        <v>35</v>
      </c>
      <c r="O666" t="s">
        <v>26</v>
      </c>
      <c r="P666" t="s">
        <v>27</v>
      </c>
      <c r="Q666" t="s">
        <v>28</v>
      </c>
      <c r="R666" t="s">
        <v>29</v>
      </c>
      <c r="S666" t="s">
        <v>30</v>
      </c>
      <c r="T666">
        <v>1014285873</v>
      </c>
      <c r="U666" t="s">
        <v>3948</v>
      </c>
      <c r="V666" t="s">
        <v>3937</v>
      </c>
      <c r="W666" s="9">
        <f>IF(V666="pregrado",31,
IF(V666="posgrados",31,
IF(V666="rEINTEGROS",7,
IF(V666="BIT",90,
IF(V666="OP GRADO - INGLÉS",17,"")))))</f>
        <v>31</v>
      </c>
      <c r="X666" t="s">
        <v>3953</v>
      </c>
    </row>
    <row r="667" spans="1:24" ht="15" x14ac:dyDescent="0.35">
      <c r="A667" s="4">
        <v>45993.606296296297</v>
      </c>
      <c r="B667">
        <v>20105608</v>
      </c>
      <c r="C667" s="6" t="s">
        <v>19</v>
      </c>
      <c r="D667">
        <v>155646</v>
      </c>
      <c r="E667" t="s">
        <v>43</v>
      </c>
      <c r="F667">
        <v>1140864143</v>
      </c>
      <c r="G667" t="s">
        <v>724</v>
      </c>
      <c r="H667">
        <v>100237413</v>
      </c>
      <c r="I667">
        <v>202641</v>
      </c>
      <c r="J667">
        <v>1140864143</v>
      </c>
      <c r="K667" t="s">
        <v>23</v>
      </c>
      <c r="L667" t="s">
        <v>140</v>
      </c>
      <c r="M667" t="s">
        <v>47</v>
      </c>
      <c r="N667" t="s">
        <v>35</v>
      </c>
      <c r="O667" t="s">
        <v>26</v>
      </c>
      <c r="P667" t="s">
        <v>27</v>
      </c>
      <c r="Q667" t="s">
        <v>28</v>
      </c>
      <c r="R667" t="s">
        <v>29</v>
      </c>
      <c r="S667" t="s">
        <v>30</v>
      </c>
      <c r="T667">
        <v>1033781417</v>
      </c>
      <c r="U667" t="s">
        <v>3948</v>
      </c>
      <c r="V667" t="s">
        <v>3937</v>
      </c>
      <c r="W667" s="9">
        <f>IF(V667="pregrado",31,
IF(V667="posgrados",31,
IF(V667="rEINTEGROS",7,
IF(V667="BIT",90,
IF(V667="OP GRADO - INGLÉS",17,"")))))</f>
        <v>31</v>
      </c>
      <c r="X667" t="s">
        <v>4031</v>
      </c>
    </row>
    <row r="668" spans="1:24" ht="15" x14ac:dyDescent="0.35">
      <c r="A668" s="4">
        <v>46021.493298611109</v>
      </c>
      <c r="B668">
        <v>20110344</v>
      </c>
      <c r="C668" s="6" t="s">
        <v>19</v>
      </c>
      <c r="D668">
        <v>155647</v>
      </c>
      <c r="E668" t="s">
        <v>43</v>
      </c>
      <c r="F668">
        <v>1193519453</v>
      </c>
      <c r="G668" t="s">
        <v>1400</v>
      </c>
      <c r="H668">
        <v>100237414</v>
      </c>
      <c r="I668">
        <v>202651</v>
      </c>
      <c r="J668">
        <v>1193519453</v>
      </c>
      <c r="K668" t="s">
        <v>23</v>
      </c>
      <c r="L668" t="s">
        <v>252</v>
      </c>
      <c r="M668" t="s">
        <v>253</v>
      </c>
      <c r="N668" t="s">
        <v>35</v>
      </c>
      <c r="O668" t="s">
        <v>26</v>
      </c>
      <c r="P668" t="s">
        <v>27</v>
      </c>
      <c r="Q668" t="s">
        <v>28</v>
      </c>
      <c r="R668" t="s">
        <v>29</v>
      </c>
      <c r="S668" t="s">
        <v>30</v>
      </c>
      <c r="T668">
        <v>1031147887</v>
      </c>
      <c r="U668" t="s">
        <v>3948</v>
      </c>
      <c r="V668" t="s">
        <v>3937</v>
      </c>
      <c r="W668" s="9">
        <f>IF(V668="pregrado",31,
IF(V668="posgrados",31,
IF(V668="rEINTEGROS",7,
IF(V668="BIT",90,
IF(V668="OP GRADO - INGLÉS",17,"")))))</f>
        <v>31</v>
      </c>
      <c r="X668" t="s">
        <v>3947</v>
      </c>
    </row>
    <row r="669" spans="1:24" ht="15" x14ac:dyDescent="0.35">
      <c r="A669" s="4">
        <v>45993.584178240744</v>
      </c>
      <c r="B669">
        <v>20105604</v>
      </c>
      <c r="C669" s="6" t="s">
        <v>19</v>
      </c>
      <c r="D669">
        <v>155649</v>
      </c>
      <c r="E669" t="s">
        <v>43</v>
      </c>
      <c r="F669">
        <v>1098619642</v>
      </c>
      <c r="G669" t="s">
        <v>723</v>
      </c>
      <c r="H669">
        <v>100188121</v>
      </c>
      <c r="I669">
        <v>202651</v>
      </c>
      <c r="J669">
        <v>1093780892</v>
      </c>
      <c r="K669" t="s">
        <v>46</v>
      </c>
      <c r="L669" t="s">
        <v>542</v>
      </c>
      <c r="M669" t="s">
        <v>253</v>
      </c>
      <c r="N669" t="s">
        <v>35</v>
      </c>
      <c r="O669" t="s">
        <v>26</v>
      </c>
      <c r="P669" t="s">
        <v>27</v>
      </c>
      <c r="Q669" t="s">
        <v>28</v>
      </c>
      <c r="R669" t="s">
        <v>29</v>
      </c>
      <c r="S669" t="s">
        <v>30</v>
      </c>
      <c r="T669">
        <v>1033781417</v>
      </c>
      <c r="U669" t="s">
        <v>3948</v>
      </c>
      <c r="V669" t="s">
        <v>3937</v>
      </c>
      <c r="W669" s="9">
        <f>IF(V669="pregrado",31,
IF(V669="posgrados",31,
IF(V669="rEINTEGROS",7,
IF(V669="BIT",90,
IF(V669="OP GRADO - INGLÉS",17,"")))))</f>
        <v>31</v>
      </c>
      <c r="X669" t="s">
        <v>4031</v>
      </c>
    </row>
    <row r="670" spans="1:24" ht="15" x14ac:dyDescent="0.35">
      <c r="A670" s="4">
        <v>45994.445104166669</v>
      </c>
      <c r="B670">
        <v>20105701</v>
      </c>
      <c r="C670" s="6" t="s">
        <v>19</v>
      </c>
      <c r="D670">
        <v>155653</v>
      </c>
      <c r="E670" t="s">
        <v>43</v>
      </c>
      <c r="F670">
        <v>44191176</v>
      </c>
      <c r="G670" t="s">
        <v>743</v>
      </c>
      <c r="H670">
        <v>100237421</v>
      </c>
      <c r="I670">
        <v>202641</v>
      </c>
      <c r="J670">
        <v>44191176</v>
      </c>
      <c r="K670" t="s">
        <v>23</v>
      </c>
      <c r="L670" t="s">
        <v>160</v>
      </c>
      <c r="M670" t="s">
        <v>47</v>
      </c>
      <c r="N670" t="s">
        <v>25</v>
      </c>
      <c r="O670" t="s">
        <v>26</v>
      </c>
      <c r="P670" t="s">
        <v>27</v>
      </c>
      <c r="Q670" t="s">
        <v>28</v>
      </c>
      <c r="R670" t="s">
        <v>29</v>
      </c>
      <c r="S670" t="s">
        <v>30</v>
      </c>
      <c r="T670">
        <v>51951991</v>
      </c>
      <c r="U670" t="s">
        <v>3936</v>
      </c>
      <c r="V670" t="s">
        <v>3937</v>
      </c>
      <c r="W670" s="9">
        <f>IF(V670="pregrado",31,
IF(V670="posgrados",31,
IF(V670="rEINTEGROS",7,
IF(V670="BIT",90,
IF(V670="OP GRADO - INGLÉS",17,"")))))</f>
        <v>31</v>
      </c>
      <c r="X670" t="s">
        <v>4049</v>
      </c>
    </row>
    <row r="671" spans="1:24" ht="15" x14ac:dyDescent="0.35">
      <c r="A671" s="4">
        <v>45995.594085648147</v>
      </c>
      <c r="B671">
        <v>20105873</v>
      </c>
      <c r="C671" s="6" t="s">
        <v>19</v>
      </c>
      <c r="D671">
        <v>155660</v>
      </c>
      <c r="E671" t="s">
        <v>43</v>
      </c>
      <c r="F671">
        <v>1013624901</v>
      </c>
      <c r="G671" t="s">
        <v>779</v>
      </c>
      <c r="H671">
        <v>100082017</v>
      </c>
      <c r="I671">
        <v>202651</v>
      </c>
      <c r="J671">
        <v>1013624901</v>
      </c>
      <c r="K671" t="s">
        <v>46</v>
      </c>
      <c r="L671" t="s">
        <v>252</v>
      </c>
      <c r="M671" t="s">
        <v>253</v>
      </c>
      <c r="N671" t="s">
        <v>35</v>
      </c>
      <c r="O671" t="s">
        <v>26</v>
      </c>
      <c r="P671" t="s">
        <v>27</v>
      </c>
      <c r="Q671" t="s">
        <v>28</v>
      </c>
      <c r="R671" t="s">
        <v>29</v>
      </c>
      <c r="S671" t="s">
        <v>30</v>
      </c>
      <c r="T671">
        <v>1014285873</v>
      </c>
      <c r="U671" t="s">
        <v>3948</v>
      </c>
      <c r="V671" t="s">
        <v>3937</v>
      </c>
      <c r="W671" s="9">
        <f>IF(V671="pregrado",31,
IF(V671="posgrados",31,
IF(V671="rEINTEGROS",7,
IF(V671="BIT",90,
IF(V671="OP GRADO - INGLÉS",17,"")))))</f>
        <v>31</v>
      </c>
      <c r="X671" t="s">
        <v>3953</v>
      </c>
    </row>
    <row r="672" spans="1:24" ht="15" x14ac:dyDescent="0.35">
      <c r="A672" s="4">
        <v>45993.776689814818</v>
      </c>
      <c r="B672">
        <v>20105672</v>
      </c>
      <c r="C672" s="6" t="s">
        <v>19</v>
      </c>
      <c r="D672">
        <v>155665</v>
      </c>
      <c r="E672" t="s">
        <v>43</v>
      </c>
      <c r="F672">
        <v>1007531694</v>
      </c>
      <c r="G672" t="s">
        <v>735</v>
      </c>
      <c r="H672">
        <v>200068265</v>
      </c>
      <c r="I672">
        <v>202641</v>
      </c>
      <c r="J672">
        <v>1007531694</v>
      </c>
      <c r="K672" t="s">
        <v>23</v>
      </c>
      <c r="L672" t="s">
        <v>736</v>
      </c>
      <c r="M672" t="s">
        <v>47</v>
      </c>
      <c r="N672" t="s">
        <v>25</v>
      </c>
      <c r="O672" t="s">
        <v>26</v>
      </c>
      <c r="P672" t="s">
        <v>27</v>
      </c>
      <c r="Q672" t="s">
        <v>28</v>
      </c>
      <c r="R672" t="s">
        <v>29</v>
      </c>
      <c r="S672" t="s">
        <v>30</v>
      </c>
      <c r="T672">
        <v>1022407392</v>
      </c>
      <c r="U672" t="s">
        <v>3936</v>
      </c>
      <c r="V672" t="s">
        <v>3937</v>
      </c>
      <c r="W672" s="9">
        <f>IF(V672="pregrado",31,
IF(V672="posgrados",31,
IF(V672="rEINTEGROS",7,
IF(V672="BIT",90,
IF(V672="OP GRADO - INGLÉS",17,"")))))</f>
        <v>31</v>
      </c>
      <c r="X672" t="s">
        <v>3975</v>
      </c>
    </row>
    <row r="673" spans="1:24" ht="15" x14ac:dyDescent="0.35">
      <c r="A673" s="4">
        <v>45995.47079861111</v>
      </c>
      <c r="B673">
        <v>20105840</v>
      </c>
      <c r="C673" s="6" t="s">
        <v>19</v>
      </c>
      <c r="D673">
        <v>155685</v>
      </c>
      <c r="E673" t="s">
        <v>43</v>
      </c>
      <c r="F673">
        <v>1062320546</v>
      </c>
      <c r="G673" t="s">
        <v>771</v>
      </c>
      <c r="H673">
        <v>100237502</v>
      </c>
      <c r="I673">
        <v>202651</v>
      </c>
      <c r="J673">
        <v>1062320546</v>
      </c>
      <c r="K673" t="s">
        <v>23</v>
      </c>
      <c r="L673" t="s">
        <v>252</v>
      </c>
      <c r="M673" t="s">
        <v>253</v>
      </c>
      <c r="N673" t="s">
        <v>35</v>
      </c>
      <c r="O673" t="s">
        <v>26</v>
      </c>
      <c r="P673" t="s">
        <v>27</v>
      </c>
      <c r="Q673" t="s">
        <v>28</v>
      </c>
      <c r="R673" t="s">
        <v>29</v>
      </c>
      <c r="S673" t="s">
        <v>30</v>
      </c>
      <c r="T673">
        <v>1033781417</v>
      </c>
      <c r="U673" t="s">
        <v>3948</v>
      </c>
      <c r="V673" t="s">
        <v>3937</v>
      </c>
      <c r="W673" s="9">
        <f>IF(V673="pregrado",31,
IF(V673="posgrados",31,
IF(V673="rEINTEGROS",7,
IF(V673="BIT",90,
IF(V673="OP GRADO - INGLÉS",17,"")))))</f>
        <v>31</v>
      </c>
      <c r="X673" t="s">
        <v>4031</v>
      </c>
    </row>
    <row r="674" spans="1:24" ht="15" x14ac:dyDescent="0.35">
      <c r="A674" s="4">
        <v>46000.534884259258</v>
      </c>
      <c r="B674">
        <v>20106151</v>
      </c>
      <c r="C674" s="6" t="s">
        <v>19</v>
      </c>
      <c r="D674">
        <v>155686</v>
      </c>
      <c r="E674" t="s">
        <v>43</v>
      </c>
      <c r="F674">
        <v>25517725</v>
      </c>
      <c r="G674" t="s">
        <v>823</v>
      </c>
      <c r="H674">
        <v>200062376</v>
      </c>
      <c r="I674">
        <v>202641</v>
      </c>
      <c r="J674">
        <v>25290913</v>
      </c>
      <c r="K674" t="s">
        <v>23</v>
      </c>
      <c r="L674" t="s">
        <v>736</v>
      </c>
      <c r="M674" t="s">
        <v>47</v>
      </c>
      <c r="N674" t="s">
        <v>35</v>
      </c>
      <c r="O674" t="s">
        <v>26</v>
      </c>
      <c r="P674" t="s">
        <v>27</v>
      </c>
      <c r="Q674" t="s">
        <v>28</v>
      </c>
      <c r="R674" t="s">
        <v>29</v>
      </c>
      <c r="S674" t="s">
        <v>30</v>
      </c>
      <c r="T674">
        <v>1193146767</v>
      </c>
      <c r="U674" t="s">
        <v>3936</v>
      </c>
      <c r="V674" t="s">
        <v>3937</v>
      </c>
      <c r="W674" s="9">
        <f>IF(V674="pregrado",31,
IF(V674="posgrados",31,
IF(V674="rEINTEGROS",7,
IF(V674="BIT",90,
IF(V674="OP GRADO - INGLÉS",17,"")))))</f>
        <v>31</v>
      </c>
      <c r="X674" t="s">
        <v>4072</v>
      </c>
    </row>
    <row r="675" spans="1:24" ht="15" x14ac:dyDescent="0.35">
      <c r="A675" s="4">
        <v>46000.504374999997</v>
      </c>
      <c r="B675">
        <v>20106129</v>
      </c>
      <c r="C675" s="6" t="s">
        <v>19</v>
      </c>
      <c r="D675">
        <v>155689</v>
      </c>
      <c r="E675" t="s">
        <v>43</v>
      </c>
      <c r="F675">
        <v>1012429198</v>
      </c>
      <c r="G675" t="s">
        <v>820</v>
      </c>
      <c r="H675">
        <v>100237514</v>
      </c>
      <c r="I675">
        <v>202641</v>
      </c>
      <c r="J675">
        <v>1012429198</v>
      </c>
      <c r="K675" t="s">
        <v>23</v>
      </c>
      <c r="L675" t="s">
        <v>160</v>
      </c>
      <c r="M675" t="s">
        <v>47</v>
      </c>
      <c r="N675" t="s">
        <v>25</v>
      </c>
      <c r="O675" t="s">
        <v>26</v>
      </c>
      <c r="P675" t="s">
        <v>27</v>
      </c>
      <c r="Q675" t="s">
        <v>28</v>
      </c>
      <c r="R675" t="s">
        <v>29</v>
      </c>
      <c r="S675" t="s">
        <v>30</v>
      </c>
      <c r="T675">
        <v>51951991</v>
      </c>
      <c r="U675" t="s">
        <v>3936</v>
      </c>
      <c r="V675" t="s">
        <v>3937</v>
      </c>
      <c r="W675" s="9">
        <f>IF(V675="pregrado",31,
IF(V675="posgrados",31,
IF(V675="rEINTEGROS",7,
IF(V675="BIT",90,
IF(V675="OP GRADO - INGLÉS",17,"")))))</f>
        <v>31</v>
      </c>
      <c r="X675" t="s">
        <v>4049</v>
      </c>
    </row>
    <row r="676" spans="1:24" ht="15" x14ac:dyDescent="0.35">
      <c r="A676" s="4">
        <v>46002.440289351849</v>
      </c>
      <c r="B676">
        <v>20106587</v>
      </c>
      <c r="C676" s="6" t="s">
        <v>19</v>
      </c>
      <c r="D676">
        <v>155710</v>
      </c>
      <c r="E676" t="s">
        <v>43</v>
      </c>
      <c r="F676">
        <v>26136881</v>
      </c>
      <c r="G676" t="s">
        <v>903</v>
      </c>
      <c r="H676">
        <v>100237581</v>
      </c>
      <c r="I676">
        <v>202641</v>
      </c>
      <c r="J676">
        <v>1063726472</v>
      </c>
      <c r="K676" t="s">
        <v>23</v>
      </c>
      <c r="L676" t="s">
        <v>140</v>
      </c>
      <c r="M676" t="s">
        <v>47</v>
      </c>
      <c r="N676" t="s">
        <v>904</v>
      </c>
      <c r="O676" t="s">
        <v>26</v>
      </c>
      <c r="P676" t="s">
        <v>27</v>
      </c>
      <c r="Q676" t="s">
        <v>28</v>
      </c>
      <c r="R676" t="s">
        <v>29</v>
      </c>
      <c r="S676" t="s">
        <v>30</v>
      </c>
      <c r="T676">
        <v>1140420282</v>
      </c>
      <c r="U676" t="s">
        <v>3948</v>
      </c>
      <c r="V676" t="s">
        <v>3937</v>
      </c>
      <c r="W676" s="9">
        <f>IF(V676="pregrado",31,
IF(V676="posgrados",31,
IF(V676="rEINTEGROS",7,
IF(V676="BIT",90,
IF(V676="OP GRADO - INGLÉS",17,"")))))</f>
        <v>31</v>
      </c>
      <c r="X676" t="s">
        <v>3972</v>
      </c>
    </row>
    <row r="677" spans="1:24" ht="15" x14ac:dyDescent="0.35">
      <c r="A677" s="4">
        <v>45996.434201388889</v>
      </c>
      <c r="B677">
        <v>20105955</v>
      </c>
      <c r="C677" s="6" t="s">
        <v>19</v>
      </c>
      <c r="D677">
        <v>155711</v>
      </c>
      <c r="E677" t="s">
        <v>43</v>
      </c>
      <c r="F677">
        <v>9169531</v>
      </c>
      <c r="G677" t="s">
        <v>801</v>
      </c>
      <c r="H677">
        <v>100237590</v>
      </c>
      <c r="I677">
        <v>202641</v>
      </c>
      <c r="J677">
        <v>9169531</v>
      </c>
      <c r="K677" t="s">
        <v>23</v>
      </c>
      <c r="L677" t="s">
        <v>279</v>
      </c>
      <c r="M677" t="s">
        <v>47</v>
      </c>
      <c r="N677" t="s">
        <v>35</v>
      </c>
      <c r="O677" t="s">
        <v>26</v>
      </c>
      <c r="P677" t="s">
        <v>27</v>
      </c>
      <c r="Q677" t="s">
        <v>28</v>
      </c>
      <c r="R677" t="s">
        <v>29</v>
      </c>
      <c r="S677" t="s">
        <v>30</v>
      </c>
      <c r="T677">
        <v>1015401969</v>
      </c>
      <c r="U677" t="s">
        <v>3936</v>
      </c>
      <c r="V677" t="s">
        <v>3937</v>
      </c>
      <c r="W677" s="9">
        <f>IF(V677="pregrado",31,
IF(V677="posgrados",31,
IF(V677="rEINTEGROS",7,
IF(V677="BIT",90,
IF(V677="OP GRADO - INGLÉS",17,"")))))</f>
        <v>31</v>
      </c>
      <c r="X677" t="s">
        <v>3945</v>
      </c>
    </row>
    <row r="678" spans="1:24" ht="15" x14ac:dyDescent="0.35">
      <c r="A678" s="4">
        <v>45995.648796296293</v>
      </c>
      <c r="B678">
        <v>20105887</v>
      </c>
      <c r="C678" s="6" t="s">
        <v>19</v>
      </c>
      <c r="D678">
        <v>155717</v>
      </c>
      <c r="E678" t="s">
        <v>43</v>
      </c>
      <c r="F678">
        <v>1043850629</v>
      </c>
      <c r="G678" t="s">
        <v>780</v>
      </c>
      <c r="H678">
        <v>100237611</v>
      </c>
      <c r="I678">
        <v>202651</v>
      </c>
      <c r="J678">
        <v>1043850629</v>
      </c>
      <c r="K678" t="s">
        <v>23</v>
      </c>
      <c r="L678" t="s">
        <v>252</v>
      </c>
      <c r="M678" t="s">
        <v>253</v>
      </c>
      <c r="N678" t="s">
        <v>35</v>
      </c>
      <c r="O678" t="s">
        <v>26</v>
      </c>
      <c r="P678" t="s">
        <v>27</v>
      </c>
      <c r="Q678" t="s">
        <v>28</v>
      </c>
      <c r="R678" t="s">
        <v>29</v>
      </c>
      <c r="S678" t="s">
        <v>30</v>
      </c>
      <c r="T678">
        <v>1020754225</v>
      </c>
      <c r="U678" t="s">
        <v>3948</v>
      </c>
      <c r="V678" t="s">
        <v>3937</v>
      </c>
      <c r="W678" s="9">
        <f>IF(V678="pregrado",31,
IF(V678="posgrados",31,
IF(V678="rEINTEGROS",7,
IF(V678="BIT",90,
IF(V678="OP GRADO - INGLÉS",17,"")))))</f>
        <v>31</v>
      </c>
      <c r="X678" t="s">
        <v>3981</v>
      </c>
    </row>
    <row r="679" spans="1:24" ht="15" x14ac:dyDescent="0.35">
      <c r="A679" s="4">
        <v>45995.379525462966</v>
      </c>
      <c r="B679">
        <v>20105823</v>
      </c>
      <c r="C679" s="6" t="s">
        <v>19</v>
      </c>
      <c r="D679">
        <v>155723</v>
      </c>
      <c r="E679" t="s">
        <v>43</v>
      </c>
      <c r="F679">
        <v>1134034618</v>
      </c>
      <c r="G679" t="s">
        <v>766</v>
      </c>
      <c r="H679">
        <v>100237626</v>
      </c>
      <c r="I679">
        <v>202651</v>
      </c>
      <c r="J679">
        <v>1134034618</v>
      </c>
      <c r="K679" t="s">
        <v>23</v>
      </c>
      <c r="L679" t="s">
        <v>252</v>
      </c>
      <c r="M679" t="s">
        <v>253</v>
      </c>
      <c r="N679" t="s">
        <v>35</v>
      </c>
      <c r="O679" t="s">
        <v>26</v>
      </c>
      <c r="P679" t="s">
        <v>27</v>
      </c>
      <c r="Q679" t="s">
        <v>28</v>
      </c>
      <c r="R679" t="s">
        <v>29</v>
      </c>
      <c r="S679" t="s">
        <v>30</v>
      </c>
      <c r="T679">
        <v>1015401969</v>
      </c>
      <c r="U679" t="s">
        <v>3936</v>
      </c>
      <c r="V679" t="s">
        <v>3937</v>
      </c>
      <c r="W679" s="9">
        <f>IF(V679="pregrado",31,
IF(V679="posgrados",31,
IF(V679="rEINTEGROS",7,
IF(V679="BIT",90,
IF(V679="OP GRADO - INGLÉS",17,"")))))</f>
        <v>31</v>
      </c>
      <c r="X679" t="s">
        <v>3945</v>
      </c>
    </row>
    <row r="680" spans="1:24" ht="15" x14ac:dyDescent="0.35">
      <c r="A680" s="4">
        <v>45994.788912037038</v>
      </c>
      <c r="B680">
        <v>20105799</v>
      </c>
      <c r="C680" s="6" t="s">
        <v>19</v>
      </c>
      <c r="D680">
        <v>155738</v>
      </c>
      <c r="E680" t="s">
        <v>43</v>
      </c>
      <c r="F680">
        <v>1040184405</v>
      </c>
      <c r="G680" t="s">
        <v>759</v>
      </c>
      <c r="H680">
        <v>100237657</v>
      </c>
      <c r="I680">
        <v>202641</v>
      </c>
      <c r="J680">
        <v>1040184405</v>
      </c>
      <c r="K680" t="s">
        <v>23</v>
      </c>
      <c r="L680" t="s">
        <v>99</v>
      </c>
      <c r="M680" t="s">
        <v>47</v>
      </c>
      <c r="N680" t="s">
        <v>35</v>
      </c>
      <c r="O680" t="s">
        <v>26</v>
      </c>
      <c r="P680" t="s">
        <v>27</v>
      </c>
      <c r="Q680" t="s">
        <v>28</v>
      </c>
      <c r="R680" t="s">
        <v>29</v>
      </c>
      <c r="S680" t="s">
        <v>30</v>
      </c>
      <c r="T680">
        <v>1022407392</v>
      </c>
      <c r="U680" t="s">
        <v>3936</v>
      </c>
      <c r="V680" t="s">
        <v>3937</v>
      </c>
      <c r="W680" s="9">
        <f>IF(V680="pregrado",31,
IF(V680="posgrados",31,
IF(V680="rEINTEGROS",7,
IF(V680="BIT",90,
IF(V680="OP GRADO - INGLÉS",17,"")))))</f>
        <v>31</v>
      </c>
      <c r="X680" t="s">
        <v>3975</v>
      </c>
    </row>
    <row r="681" spans="1:24" ht="15" x14ac:dyDescent="0.35">
      <c r="A681" s="4">
        <v>45995.499259259261</v>
      </c>
      <c r="B681">
        <v>20105845</v>
      </c>
      <c r="C681" s="6" t="s">
        <v>19</v>
      </c>
      <c r="D681">
        <v>155739</v>
      </c>
      <c r="E681" t="s">
        <v>43</v>
      </c>
      <c r="F681">
        <v>64866547</v>
      </c>
      <c r="G681" t="s">
        <v>772</v>
      </c>
      <c r="H681">
        <v>100237658</v>
      </c>
      <c r="I681">
        <v>202651</v>
      </c>
      <c r="J681">
        <v>1100397319</v>
      </c>
      <c r="K681" t="s">
        <v>23</v>
      </c>
      <c r="L681" t="s">
        <v>252</v>
      </c>
      <c r="M681" t="s">
        <v>253</v>
      </c>
      <c r="N681" t="s">
        <v>35</v>
      </c>
      <c r="O681" t="s">
        <v>26</v>
      </c>
      <c r="P681" t="s">
        <v>27</v>
      </c>
      <c r="Q681" t="s">
        <v>28</v>
      </c>
      <c r="R681" t="s">
        <v>29</v>
      </c>
      <c r="S681" t="s">
        <v>30</v>
      </c>
      <c r="T681">
        <v>1140420282</v>
      </c>
      <c r="U681" t="s">
        <v>3948</v>
      </c>
      <c r="V681" t="s">
        <v>3937</v>
      </c>
      <c r="W681" s="9">
        <f>IF(V681="pregrado",31,
IF(V681="posgrados",31,
IF(V681="rEINTEGROS",7,
IF(V681="BIT",90,
IF(V681="OP GRADO - INGLÉS",17,"")))))</f>
        <v>31</v>
      </c>
      <c r="X681" t="s">
        <v>3972</v>
      </c>
    </row>
    <row r="682" spans="1:24" ht="15" x14ac:dyDescent="0.35">
      <c r="A682" s="4">
        <v>46002.419861111113</v>
      </c>
      <c r="B682">
        <v>20106573</v>
      </c>
      <c r="C682" s="6" t="s">
        <v>19</v>
      </c>
      <c r="D682">
        <v>155750</v>
      </c>
      <c r="E682" t="s">
        <v>43</v>
      </c>
      <c r="F682">
        <v>73184944</v>
      </c>
      <c r="G682" t="s">
        <v>899</v>
      </c>
      <c r="H682">
        <v>100237683</v>
      </c>
      <c r="I682">
        <v>202651</v>
      </c>
      <c r="J682">
        <v>73184944</v>
      </c>
      <c r="K682" t="s">
        <v>23</v>
      </c>
      <c r="L682" t="s">
        <v>252</v>
      </c>
      <c r="M682" t="s">
        <v>253</v>
      </c>
      <c r="N682" t="s">
        <v>35</v>
      </c>
      <c r="O682" t="s">
        <v>26</v>
      </c>
      <c r="P682" t="s">
        <v>27</v>
      </c>
      <c r="Q682" t="s">
        <v>28</v>
      </c>
      <c r="R682" t="s">
        <v>29</v>
      </c>
      <c r="S682" t="s">
        <v>30</v>
      </c>
      <c r="T682">
        <v>1012389748</v>
      </c>
      <c r="U682" t="s">
        <v>3948</v>
      </c>
      <c r="V682" t="s">
        <v>3937</v>
      </c>
      <c r="W682" s="9">
        <f>IF(V682="pregrado",31,
IF(V682="posgrados",31,
IF(V682="rEINTEGROS",7,
IF(V682="BIT",90,
IF(V682="OP GRADO - INGLÉS",17,"")))))</f>
        <v>31</v>
      </c>
      <c r="X682" t="s">
        <v>4065</v>
      </c>
    </row>
    <row r="683" spans="1:24" ht="15" x14ac:dyDescent="0.35">
      <c r="A683" s="4">
        <v>45995.765289351853</v>
      </c>
      <c r="B683">
        <v>20105927</v>
      </c>
      <c r="C683" s="6" t="s">
        <v>19</v>
      </c>
      <c r="D683">
        <v>155765</v>
      </c>
      <c r="E683" t="s">
        <v>43</v>
      </c>
      <c r="F683">
        <v>1046404844</v>
      </c>
      <c r="G683" t="s">
        <v>794</v>
      </c>
      <c r="H683">
        <v>100237703</v>
      </c>
      <c r="I683">
        <v>202651</v>
      </c>
      <c r="J683">
        <v>1046404844</v>
      </c>
      <c r="K683" t="s">
        <v>23</v>
      </c>
      <c r="L683" t="s">
        <v>252</v>
      </c>
      <c r="M683" t="s">
        <v>253</v>
      </c>
      <c r="N683" t="s">
        <v>38</v>
      </c>
      <c r="O683" t="s">
        <v>26</v>
      </c>
      <c r="P683" t="s">
        <v>27</v>
      </c>
      <c r="Q683" t="s">
        <v>28</v>
      </c>
      <c r="R683" t="s">
        <v>29</v>
      </c>
      <c r="S683" t="s">
        <v>30</v>
      </c>
      <c r="T683">
        <v>1140420282</v>
      </c>
      <c r="U683" t="s">
        <v>3948</v>
      </c>
      <c r="V683" t="s">
        <v>3937</v>
      </c>
      <c r="W683" s="9">
        <f>IF(V683="pregrado",31,
IF(V683="posgrados",31,
IF(V683="rEINTEGROS",7,
IF(V683="BIT",90,
IF(V683="OP GRADO - INGLÉS",17,"")))))</f>
        <v>31</v>
      </c>
      <c r="X683" t="s">
        <v>3972</v>
      </c>
    </row>
    <row r="684" spans="1:24" ht="15" x14ac:dyDescent="0.35">
      <c r="A684" s="4">
        <v>46009.544074074074</v>
      </c>
      <c r="B684">
        <v>20108527</v>
      </c>
      <c r="C684" s="6" t="s">
        <v>19</v>
      </c>
      <c r="D684">
        <v>157339</v>
      </c>
      <c r="E684" t="s">
        <v>43</v>
      </c>
      <c r="F684">
        <v>1116916254</v>
      </c>
      <c r="G684" t="s">
        <v>1134</v>
      </c>
      <c r="H684">
        <v>100043819</v>
      </c>
      <c r="I684">
        <v>202651</v>
      </c>
      <c r="J684">
        <v>1116916254</v>
      </c>
      <c r="K684" t="s">
        <v>23</v>
      </c>
      <c r="L684" t="s">
        <v>252</v>
      </c>
      <c r="M684" t="s">
        <v>253</v>
      </c>
      <c r="N684" t="s">
        <v>35</v>
      </c>
      <c r="O684" t="s">
        <v>26</v>
      </c>
      <c r="P684" t="s">
        <v>27</v>
      </c>
      <c r="Q684" t="s">
        <v>28</v>
      </c>
      <c r="R684" t="s">
        <v>29</v>
      </c>
      <c r="S684" t="s">
        <v>30</v>
      </c>
      <c r="T684">
        <v>1140420282</v>
      </c>
      <c r="U684" t="s">
        <v>3948</v>
      </c>
      <c r="V684" t="s">
        <v>3937</v>
      </c>
      <c r="W684" s="9">
        <f>IF(V684="pregrado",31,
IF(V684="posgrados",31,
IF(V684="rEINTEGROS",7,
IF(V684="BIT",90,
IF(V684="OP GRADO - INGLÉS",17,"")))))</f>
        <v>31</v>
      </c>
      <c r="X684" t="s">
        <v>3972</v>
      </c>
    </row>
    <row r="685" spans="1:24" ht="15" x14ac:dyDescent="0.35">
      <c r="A685" s="4">
        <v>45995.687534722223</v>
      </c>
      <c r="B685">
        <v>20105907</v>
      </c>
      <c r="C685" s="6" t="s">
        <v>19</v>
      </c>
      <c r="D685">
        <v>157346</v>
      </c>
      <c r="E685" t="s">
        <v>43</v>
      </c>
      <c r="F685">
        <v>1049928843</v>
      </c>
      <c r="G685" t="s">
        <v>785</v>
      </c>
      <c r="H685">
        <v>100237764</v>
      </c>
      <c r="I685">
        <v>202651</v>
      </c>
      <c r="J685">
        <v>1049928843</v>
      </c>
      <c r="K685" t="s">
        <v>23</v>
      </c>
      <c r="L685" t="s">
        <v>252</v>
      </c>
      <c r="M685" t="s">
        <v>253</v>
      </c>
      <c r="N685" t="s">
        <v>35</v>
      </c>
      <c r="O685" t="s">
        <v>26</v>
      </c>
      <c r="P685" t="s">
        <v>27</v>
      </c>
      <c r="Q685" t="s">
        <v>28</v>
      </c>
      <c r="R685" t="s">
        <v>29</v>
      </c>
      <c r="S685" t="s">
        <v>30</v>
      </c>
      <c r="T685">
        <v>1033781417</v>
      </c>
      <c r="U685" t="s">
        <v>3948</v>
      </c>
      <c r="V685" t="s">
        <v>3937</v>
      </c>
      <c r="W685" s="9">
        <f>IF(V685="pregrado",31,
IF(V685="posgrados",31,
IF(V685="rEINTEGROS",7,
IF(V685="BIT",90,
IF(V685="OP GRADO - INGLÉS",17,"")))))</f>
        <v>31</v>
      </c>
      <c r="X685" t="s">
        <v>4031</v>
      </c>
    </row>
    <row r="686" spans="1:24" ht="15" x14ac:dyDescent="0.35">
      <c r="A686" s="4">
        <v>46049.38208333333</v>
      </c>
      <c r="B686">
        <v>20117414</v>
      </c>
      <c r="C686" s="6" t="s">
        <v>19</v>
      </c>
      <c r="D686">
        <v>157386</v>
      </c>
      <c r="E686" t="s">
        <v>43</v>
      </c>
      <c r="F686">
        <v>1026287154</v>
      </c>
      <c r="G686" t="s">
        <v>2327</v>
      </c>
      <c r="H686">
        <v>100162132</v>
      </c>
      <c r="I686">
        <v>202641</v>
      </c>
      <c r="J686">
        <v>1026287154</v>
      </c>
      <c r="K686" t="s">
        <v>46</v>
      </c>
      <c r="L686" t="s">
        <v>294</v>
      </c>
      <c r="M686" t="s">
        <v>47</v>
      </c>
      <c r="N686" t="s">
        <v>35</v>
      </c>
      <c r="O686" t="s">
        <v>26</v>
      </c>
      <c r="P686" t="s">
        <v>27</v>
      </c>
      <c r="Q686" t="s">
        <v>28</v>
      </c>
      <c r="R686" t="s">
        <v>29</v>
      </c>
      <c r="S686" t="s">
        <v>30</v>
      </c>
      <c r="T686">
        <v>1019102787</v>
      </c>
      <c r="U686" t="s">
        <v>3977</v>
      </c>
      <c r="V686" t="s">
        <v>3970</v>
      </c>
      <c r="W686" s="9">
        <f>IF(V686="pregrado",31,
IF(V686="posgrados",31,
IF(V686="rEINTEGROS",7,
IF(V686="BIT",90,
IF(V686="OP GRADO - INGLÉS",17,"")))))</f>
        <v>7</v>
      </c>
      <c r="X686" t="s">
        <v>3976</v>
      </c>
    </row>
    <row r="687" spans="1:24" ht="15" x14ac:dyDescent="0.35">
      <c r="A687" s="4">
        <v>46001.448483796295</v>
      </c>
      <c r="B687">
        <v>20106338</v>
      </c>
      <c r="C687" s="6" t="s">
        <v>19</v>
      </c>
      <c r="D687">
        <v>157390</v>
      </c>
      <c r="E687" t="s">
        <v>43</v>
      </c>
      <c r="F687">
        <v>1061502784</v>
      </c>
      <c r="G687" t="s">
        <v>855</v>
      </c>
      <c r="H687">
        <v>100041556</v>
      </c>
      <c r="I687">
        <v>202651</v>
      </c>
      <c r="J687">
        <v>1062290354</v>
      </c>
      <c r="K687" t="s">
        <v>23</v>
      </c>
      <c r="L687" t="s">
        <v>252</v>
      </c>
      <c r="M687" t="s">
        <v>253</v>
      </c>
      <c r="N687" t="s">
        <v>35</v>
      </c>
      <c r="O687" t="s">
        <v>26</v>
      </c>
      <c r="P687" t="s">
        <v>27</v>
      </c>
      <c r="Q687" t="s">
        <v>28</v>
      </c>
      <c r="R687" t="s">
        <v>29</v>
      </c>
      <c r="S687" t="s">
        <v>30</v>
      </c>
      <c r="T687">
        <v>1033781417</v>
      </c>
      <c r="U687" t="s">
        <v>3948</v>
      </c>
      <c r="V687" t="s">
        <v>3937</v>
      </c>
      <c r="W687" s="9">
        <f>IF(V687="pregrado",31,
IF(V687="posgrados",31,
IF(V687="rEINTEGROS",7,
IF(V687="BIT",90,
IF(V687="OP GRADO - INGLÉS",17,"")))))</f>
        <v>31</v>
      </c>
      <c r="X687" t="s">
        <v>4031</v>
      </c>
    </row>
    <row r="688" spans="1:24" ht="15" x14ac:dyDescent="0.35">
      <c r="A688" s="4">
        <v>46001.648344907408</v>
      </c>
      <c r="B688">
        <v>20106444</v>
      </c>
      <c r="C688" s="6" t="s">
        <v>19</v>
      </c>
      <c r="D688">
        <v>157482</v>
      </c>
      <c r="E688" t="s">
        <v>43</v>
      </c>
      <c r="F688">
        <v>40913992</v>
      </c>
      <c r="G688" t="s">
        <v>875</v>
      </c>
      <c r="H688">
        <v>100205342</v>
      </c>
      <c r="I688">
        <v>202651</v>
      </c>
      <c r="J688">
        <v>1143114309</v>
      </c>
      <c r="K688" t="s">
        <v>23</v>
      </c>
      <c r="L688" t="s">
        <v>252</v>
      </c>
      <c r="M688" t="s">
        <v>253</v>
      </c>
      <c r="N688" t="s">
        <v>35</v>
      </c>
      <c r="O688" t="s">
        <v>26</v>
      </c>
      <c r="P688" t="s">
        <v>27</v>
      </c>
      <c r="Q688" t="s">
        <v>28</v>
      </c>
      <c r="R688" t="s">
        <v>29</v>
      </c>
      <c r="S688" t="s">
        <v>30</v>
      </c>
      <c r="T688">
        <v>1233513889</v>
      </c>
      <c r="U688" t="s">
        <v>3948</v>
      </c>
      <c r="V688" t="s">
        <v>3937</v>
      </c>
      <c r="W688" s="9">
        <f>IF(V688="pregrado",31,
IF(V688="posgrados",31,
IF(V688="rEINTEGROS",7,
IF(V688="BIT",90,
IF(V688="OP GRADO - INGLÉS",17,"")))))</f>
        <v>31</v>
      </c>
      <c r="X688" t="s">
        <v>4035</v>
      </c>
    </row>
    <row r="689" spans="1:24" ht="15" x14ac:dyDescent="0.35">
      <c r="A689" s="4">
        <v>45995.775601851848</v>
      </c>
      <c r="B689">
        <v>20105929</v>
      </c>
      <c r="C689" s="6" t="s">
        <v>19</v>
      </c>
      <c r="D689">
        <v>157485</v>
      </c>
      <c r="E689" t="s">
        <v>43</v>
      </c>
      <c r="F689">
        <v>1066523168</v>
      </c>
      <c r="G689" t="s">
        <v>795</v>
      </c>
      <c r="H689">
        <v>100237781</v>
      </c>
      <c r="I689">
        <v>202641</v>
      </c>
      <c r="J689">
        <v>1066523168</v>
      </c>
      <c r="K689" t="s">
        <v>23</v>
      </c>
      <c r="L689" t="s">
        <v>342</v>
      </c>
      <c r="M689" t="s">
        <v>47</v>
      </c>
      <c r="N689" t="s">
        <v>35</v>
      </c>
      <c r="O689" t="s">
        <v>26</v>
      </c>
      <c r="P689" t="s">
        <v>27</v>
      </c>
      <c r="Q689" t="s">
        <v>28</v>
      </c>
      <c r="R689" t="s">
        <v>29</v>
      </c>
      <c r="S689" t="s">
        <v>30</v>
      </c>
      <c r="T689">
        <v>1020754225</v>
      </c>
      <c r="U689" t="s">
        <v>3948</v>
      </c>
      <c r="V689" t="s">
        <v>3937</v>
      </c>
      <c r="W689" s="9">
        <f>IF(V689="pregrado",31,
IF(V689="posgrados",31,
IF(V689="rEINTEGROS",7,
IF(V689="BIT",90,
IF(V689="OP GRADO - INGLÉS",17,"")))))</f>
        <v>31</v>
      </c>
      <c r="X689" t="s">
        <v>3981</v>
      </c>
    </row>
    <row r="690" spans="1:24" ht="15" x14ac:dyDescent="0.35">
      <c r="A690" s="4">
        <v>46022.605891203704</v>
      </c>
      <c r="B690">
        <v>20110618</v>
      </c>
      <c r="C690" s="6" t="s">
        <v>19</v>
      </c>
      <c r="D690">
        <v>157490</v>
      </c>
      <c r="E690" t="s">
        <v>43</v>
      </c>
      <c r="F690">
        <v>79600565</v>
      </c>
      <c r="G690" t="s">
        <v>1451</v>
      </c>
      <c r="H690">
        <v>100062737</v>
      </c>
      <c r="I690">
        <v>202641</v>
      </c>
      <c r="J690">
        <v>53047133</v>
      </c>
      <c r="K690" t="s">
        <v>46</v>
      </c>
      <c r="L690" t="s">
        <v>45</v>
      </c>
      <c r="M690" t="s">
        <v>47</v>
      </c>
      <c r="N690" t="s">
        <v>35</v>
      </c>
      <c r="O690" t="s">
        <v>26</v>
      </c>
      <c r="P690" t="s">
        <v>27</v>
      </c>
      <c r="Q690" t="s">
        <v>28</v>
      </c>
      <c r="R690" t="s">
        <v>29</v>
      </c>
      <c r="S690" t="s">
        <v>30</v>
      </c>
      <c r="T690">
        <v>52916205</v>
      </c>
      <c r="U690" t="s">
        <v>3936</v>
      </c>
      <c r="V690" t="s">
        <v>3937</v>
      </c>
      <c r="W690" s="9">
        <f>IF(V690="pregrado",31,
IF(V690="posgrados",31,
IF(V690="rEINTEGROS",7,
IF(V690="BIT",90,
IF(V690="OP GRADO - INGLÉS",17,"")))))</f>
        <v>31</v>
      </c>
      <c r="X690" t="s">
        <v>4032</v>
      </c>
    </row>
    <row r="691" spans="1:24" ht="15" x14ac:dyDescent="0.35">
      <c r="A691" s="4">
        <v>46001.465069444443</v>
      </c>
      <c r="B691">
        <v>20106350</v>
      </c>
      <c r="C691" s="6" t="s">
        <v>19</v>
      </c>
      <c r="D691">
        <v>157491</v>
      </c>
      <c r="E691" t="s">
        <v>43</v>
      </c>
      <c r="F691">
        <v>1143151655</v>
      </c>
      <c r="G691" t="s">
        <v>857</v>
      </c>
      <c r="H691">
        <v>100237785</v>
      </c>
      <c r="I691">
        <v>202651</v>
      </c>
      <c r="J691">
        <v>1143151655</v>
      </c>
      <c r="K691" t="s">
        <v>23</v>
      </c>
      <c r="L691" t="s">
        <v>252</v>
      </c>
      <c r="M691" t="s">
        <v>253</v>
      </c>
      <c r="N691" t="s">
        <v>35</v>
      </c>
      <c r="O691" t="s">
        <v>26</v>
      </c>
      <c r="P691" t="s">
        <v>27</v>
      </c>
      <c r="Q691" t="s">
        <v>28</v>
      </c>
      <c r="R691" t="s">
        <v>29</v>
      </c>
      <c r="S691" t="s">
        <v>30</v>
      </c>
      <c r="T691">
        <v>1233513889</v>
      </c>
      <c r="U691" t="s">
        <v>3948</v>
      </c>
      <c r="V691" t="s">
        <v>3937</v>
      </c>
      <c r="W691" s="9">
        <f>IF(V691="pregrado",31,
IF(V691="posgrados",31,
IF(V691="rEINTEGROS",7,
IF(V691="BIT",90,
IF(V691="OP GRADO - INGLÉS",17,"")))))</f>
        <v>31</v>
      </c>
      <c r="X691" t="s">
        <v>4035</v>
      </c>
    </row>
    <row r="692" spans="1:24" ht="15" x14ac:dyDescent="0.35">
      <c r="A692" s="4">
        <v>45995.732592592591</v>
      </c>
      <c r="B692">
        <v>20105919</v>
      </c>
      <c r="C692" s="6" t="s">
        <v>19</v>
      </c>
      <c r="D692">
        <v>157498</v>
      </c>
      <c r="E692" t="s">
        <v>43</v>
      </c>
      <c r="F692">
        <v>82361394</v>
      </c>
      <c r="G692" t="s">
        <v>788</v>
      </c>
      <c r="H692">
        <v>100237789</v>
      </c>
      <c r="I692">
        <v>202651</v>
      </c>
      <c r="J692">
        <v>82361394</v>
      </c>
      <c r="K692" t="s">
        <v>23</v>
      </c>
      <c r="L692" t="s">
        <v>252</v>
      </c>
      <c r="M692" t="s">
        <v>253</v>
      </c>
      <c r="N692" t="s">
        <v>35</v>
      </c>
      <c r="O692" t="s">
        <v>26</v>
      </c>
      <c r="P692" t="s">
        <v>27</v>
      </c>
      <c r="Q692" t="s">
        <v>28</v>
      </c>
      <c r="R692" t="s">
        <v>29</v>
      </c>
      <c r="S692" t="s">
        <v>30</v>
      </c>
      <c r="T692">
        <v>1020754225</v>
      </c>
      <c r="U692" t="s">
        <v>3948</v>
      </c>
      <c r="V692" t="s">
        <v>3937</v>
      </c>
      <c r="W692" s="9">
        <f>IF(V692="pregrado",31,
IF(V692="posgrados",31,
IF(V692="rEINTEGROS",7,
IF(V692="BIT",90,
IF(V692="OP GRADO - INGLÉS",17,"")))))</f>
        <v>31</v>
      </c>
      <c r="X692" t="s">
        <v>3981</v>
      </c>
    </row>
    <row r="693" spans="1:24" ht="15" x14ac:dyDescent="0.35">
      <c r="A693" s="4">
        <v>45997.494490740741</v>
      </c>
      <c r="B693">
        <v>20106028</v>
      </c>
      <c r="C693" s="6" t="s">
        <v>19</v>
      </c>
      <c r="D693">
        <v>157503</v>
      </c>
      <c r="E693" t="s">
        <v>43</v>
      </c>
      <c r="F693">
        <v>37898196</v>
      </c>
      <c r="G693" t="s">
        <v>805</v>
      </c>
      <c r="H693">
        <v>100237793</v>
      </c>
      <c r="I693">
        <v>202651</v>
      </c>
      <c r="J693">
        <v>37898196</v>
      </c>
      <c r="K693" t="s">
        <v>23</v>
      </c>
      <c r="L693" t="s">
        <v>252</v>
      </c>
      <c r="M693" t="s">
        <v>253</v>
      </c>
      <c r="N693" t="s">
        <v>35</v>
      </c>
      <c r="O693" t="s">
        <v>26</v>
      </c>
      <c r="P693" t="s">
        <v>27</v>
      </c>
      <c r="Q693" t="s">
        <v>28</v>
      </c>
      <c r="R693" t="s">
        <v>29</v>
      </c>
      <c r="S693" t="s">
        <v>30</v>
      </c>
      <c r="T693">
        <v>1014285873</v>
      </c>
      <c r="U693" t="s">
        <v>3948</v>
      </c>
      <c r="V693" t="s">
        <v>3937</v>
      </c>
      <c r="W693" s="9">
        <f>IF(V693="pregrado",31,
IF(V693="posgrados",31,
IF(V693="rEINTEGROS",7,
IF(V693="BIT",90,
IF(V693="OP GRADO - INGLÉS",17,"")))))</f>
        <v>31</v>
      </c>
      <c r="X693" t="s">
        <v>3953</v>
      </c>
    </row>
    <row r="694" spans="1:24" ht="15" x14ac:dyDescent="0.35">
      <c r="A694" s="4">
        <v>46001.44159722222</v>
      </c>
      <c r="B694">
        <v>20106335</v>
      </c>
      <c r="C694" s="6" t="s">
        <v>19</v>
      </c>
      <c r="D694">
        <v>157518</v>
      </c>
      <c r="E694" t="s">
        <v>43</v>
      </c>
      <c r="F694">
        <v>5468675</v>
      </c>
      <c r="G694" t="s">
        <v>853</v>
      </c>
      <c r="H694">
        <v>100237808</v>
      </c>
      <c r="I694">
        <v>202651</v>
      </c>
      <c r="J694">
        <v>5468675</v>
      </c>
      <c r="K694" t="s">
        <v>23</v>
      </c>
      <c r="L694" t="s">
        <v>252</v>
      </c>
      <c r="M694" t="s">
        <v>253</v>
      </c>
      <c r="N694" t="s">
        <v>35</v>
      </c>
      <c r="O694" t="s">
        <v>26</v>
      </c>
      <c r="P694" t="s">
        <v>27</v>
      </c>
      <c r="Q694" t="s">
        <v>28</v>
      </c>
      <c r="R694" t="s">
        <v>29</v>
      </c>
      <c r="S694" t="s">
        <v>30</v>
      </c>
      <c r="T694">
        <v>51951991</v>
      </c>
      <c r="U694" t="s">
        <v>3936</v>
      </c>
      <c r="V694" t="s">
        <v>3937</v>
      </c>
      <c r="W694" s="9">
        <f>IF(V694="pregrado",31,
IF(V694="posgrados",31,
IF(V694="rEINTEGROS",7,
IF(V694="BIT",90,
IF(V694="OP GRADO - INGLÉS",17,"")))))</f>
        <v>31</v>
      </c>
      <c r="X694" t="s">
        <v>4049</v>
      </c>
    </row>
    <row r="695" spans="1:24" ht="15" x14ac:dyDescent="0.35">
      <c r="A695" s="4">
        <v>46002.73238425926</v>
      </c>
      <c r="B695">
        <v>20106744</v>
      </c>
      <c r="C695" s="6" t="s">
        <v>19</v>
      </c>
      <c r="D695">
        <v>157523</v>
      </c>
      <c r="E695" t="s">
        <v>43</v>
      </c>
      <c r="F695">
        <v>1007417156</v>
      </c>
      <c r="G695" t="s">
        <v>931</v>
      </c>
      <c r="H695">
        <v>100237814</v>
      </c>
      <c r="I695">
        <v>202651</v>
      </c>
      <c r="J695">
        <v>1007417156</v>
      </c>
      <c r="K695" t="s">
        <v>33</v>
      </c>
      <c r="L695" t="s">
        <v>252</v>
      </c>
      <c r="M695" t="s">
        <v>253</v>
      </c>
      <c r="N695" t="s">
        <v>35</v>
      </c>
      <c r="O695" t="s">
        <v>26</v>
      </c>
      <c r="P695" t="s">
        <v>27</v>
      </c>
      <c r="Q695" t="s">
        <v>28</v>
      </c>
      <c r="R695" t="s">
        <v>29</v>
      </c>
      <c r="S695" t="s">
        <v>30</v>
      </c>
      <c r="T695">
        <v>1233513889</v>
      </c>
      <c r="U695" t="s">
        <v>3948</v>
      </c>
      <c r="V695" t="s">
        <v>3937</v>
      </c>
      <c r="W695" s="9">
        <f>IF(V695="pregrado",31,
IF(V695="posgrados",31,
IF(V695="rEINTEGROS",7,
IF(V695="BIT",90,
IF(V695="OP GRADO - INGLÉS",17,"")))))</f>
        <v>31</v>
      </c>
      <c r="X695" t="s">
        <v>4035</v>
      </c>
    </row>
    <row r="696" spans="1:24" ht="15" x14ac:dyDescent="0.35">
      <c r="A696" s="4">
        <v>46002.487951388888</v>
      </c>
      <c r="B696">
        <v>20106618</v>
      </c>
      <c r="C696" s="6" t="s">
        <v>19</v>
      </c>
      <c r="D696">
        <v>157527</v>
      </c>
      <c r="E696" t="s">
        <v>43</v>
      </c>
      <c r="F696">
        <v>30350377</v>
      </c>
      <c r="G696" t="s">
        <v>907</v>
      </c>
      <c r="H696">
        <v>100237817</v>
      </c>
      <c r="I696">
        <v>202651</v>
      </c>
      <c r="J696">
        <v>52467302</v>
      </c>
      <c r="K696" t="s">
        <v>23</v>
      </c>
      <c r="L696" t="s">
        <v>252</v>
      </c>
      <c r="M696" t="s">
        <v>253</v>
      </c>
      <c r="N696" t="s">
        <v>35</v>
      </c>
      <c r="O696" t="s">
        <v>26</v>
      </c>
      <c r="P696" t="s">
        <v>27</v>
      </c>
      <c r="Q696" t="s">
        <v>28</v>
      </c>
      <c r="R696" t="s">
        <v>29</v>
      </c>
      <c r="S696" t="s">
        <v>30</v>
      </c>
      <c r="T696">
        <v>1082250716</v>
      </c>
      <c r="U696" t="s">
        <v>3936</v>
      </c>
      <c r="V696" t="s">
        <v>3937</v>
      </c>
      <c r="W696" s="9">
        <f>IF(V696="pregrado",31,
IF(V696="posgrados",31,
IF(V696="rEINTEGROS",7,
IF(V696="BIT",90,
IF(V696="OP GRADO - INGLÉS",17,"")))))</f>
        <v>31</v>
      </c>
      <c r="X696" t="s">
        <v>3997</v>
      </c>
    </row>
    <row r="697" spans="1:24" ht="15" x14ac:dyDescent="0.35">
      <c r="A697" s="4">
        <v>46000.599583333336</v>
      </c>
      <c r="B697">
        <v>20106176</v>
      </c>
      <c r="C697" s="6" t="s">
        <v>19</v>
      </c>
      <c r="D697">
        <v>157535</v>
      </c>
      <c r="E697" t="s">
        <v>43</v>
      </c>
      <c r="F697">
        <v>1098131034</v>
      </c>
      <c r="G697" t="s">
        <v>828</v>
      </c>
      <c r="H697">
        <v>100237825</v>
      </c>
      <c r="I697">
        <v>202651</v>
      </c>
      <c r="J697">
        <v>1098131034</v>
      </c>
      <c r="K697" t="s">
        <v>23</v>
      </c>
      <c r="L697" t="s">
        <v>252</v>
      </c>
      <c r="M697" t="s">
        <v>253</v>
      </c>
      <c r="N697" t="s">
        <v>35</v>
      </c>
      <c r="O697" t="s">
        <v>26</v>
      </c>
      <c r="P697" t="s">
        <v>27</v>
      </c>
      <c r="Q697" t="s">
        <v>28</v>
      </c>
      <c r="R697" t="s">
        <v>29</v>
      </c>
      <c r="S697" t="s">
        <v>30</v>
      </c>
      <c r="T697">
        <v>1014285873</v>
      </c>
      <c r="U697" t="s">
        <v>3948</v>
      </c>
      <c r="V697" t="s">
        <v>3937</v>
      </c>
      <c r="W697" s="9">
        <f>IF(V697="pregrado",31,
IF(V697="posgrados",31,
IF(V697="rEINTEGROS",7,
IF(V697="BIT",90,
IF(V697="OP GRADO - INGLÉS",17,"")))))</f>
        <v>31</v>
      </c>
      <c r="X697" t="s">
        <v>3953</v>
      </c>
    </row>
    <row r="698" spans="1:24" ht="15" x14ac:dyDescent="0.35">
      <c r="A698" s="4">
        <v>46000.470613425925</v>
      </c>
      <c r="B698">
        <v>20106111</v>
      </c>
      <c r="C698" s="6" t="s">
        <v>19</v>
      </c>
      <c r="D698">
        <v>157537</v>
      </c>
      <c r="E698" t="s">
        <v>43</v>
      </c>
      <c r="F698">
        <v>1002320143</v>
      </c>
      <c r="G698" t="s">
        <v>817</v>
      </c>
      <c r="H698">
        <v>100237828</v>
      </c>
      <c r="I698">
        <v>202651</v>
      </c>
      <c r="J698">
        <v>1002320143</v>
      </c>
      <c r="K698" t="s">
        <v>23</v>
      </c>
      <c r="L698" t="s">
        <v>252</v>
      </c>
      <c r="M698" t="s">
        <v>253</v>
      </c>
      <c r="N698" t="s">
        <v>35</v>
      </c>
      <c r="O698" t="s">
        <v>26</v>
      </c>
      <c r="P698" t="s">
        <v>27</v>
      </c>
      <c r="Q698" t="s">
        <v>28</v>
      </c>
      <c r="R698" t="s">
        <v>29</v>
      </c>
      <c r="S698" t="s">
        <v>30</v>
      </c>
      <c r="T698">
        <v>1033781417</v>
      </c>
      <c r="U698" t="s">
        <v>3948</v>
      </c>
      <c r="V698" t="s">
        <v>3937</v>
      </c>
      <c r="W698" s="9">
        <f>IF(V698="pregrado",31,
IF(V698="posgrados",31,
IF(V698="rEINTEGROS",7,
IF(V698="BIT",90,
IF(V698="OP GRADO - INGLÉS",17,"")))))</f>
        <v>31</v>
      </c>
      <c r="X698" t="s">
        <v>4031</v>
      </c>
    </row>
    <row r="699" spans="1:24" ht="15" x14ac:dyDescent="0.35">
      <c r="A699" s="4">
        <v>46002.467430555553</v>
      </c>
      <c r="B699">
        <v>20106602</v>
      </c>
      <c r="C699" s="6" t="s">
        <v>19</v>
      </c>
      <c r="D699">
        <v>157564</v>
      </c>
      <c r="E699" t="s">
        <v>43</v>
      </c>
      <c r="F699">
        <v>28722293</v>
      </c>
      <c r="G699" t="s">
        <v>906</v>
      </c>
      <c r="H699">
        <v>100218948</v>
      </c>
      <c r="I699">
        <v>202651</v>
      </c>
      <c r="J699">
        <v>52304829</v>
      </c>
      <c r="K699" t="s">
        <v>23</v>
      </c>
      <c r="L699" t="s">
        <v>252</v>
      </c>
      <c r="M699" t="s">
        <v>253</v>
      </c>
      <c r="N699" t="s">
        <v>35</v>
      </c>
      <c r="O699" t="s">
        <v>26</v>
      </c>
      <c r="P699" t="s">
        <v>27</v>
      </c>
      <c r="Q699" t="s">
        <v>28</v>
      </c>
      <c r="R699" t="s">
        <v>29</v>
      </c>
      <c r="S699" t="s">
        <v>30</v>
      </c>
      <c r="T699">
        <v>1082250716</v>
      </c>
      <c r="U699" t="s">
        <v>3936</v>
      </c>
      <c r="V699" t="s">
        <v>3937</v>
      </c>
      <c r="W699" s="9">
        <f>IF(V699="pregrado",31,
IF(V699="posgrados",31,
IF(V699="rEINTEGROS",7,
IF(V699="BIT",90,
IF(V699="OP GRADO - INGLÉS",17,"")))))</f>
        <v>31</v>
      </c>
      <c r="X699" t="s">
        <v>3997</v>
      </c>
    </row>
    <row r="700" spans="1:24" ht="15" x14ac:dyDescent="0.35">
      <c r="A700" s="4">
        <v>46000.626423611109</v>
      </c>
      <c r="B700">
        <v>20106188</v>
      </c>
      <c r="C700" s="6" t="s">
        <v>19</v>
      </c>
      <c r="D700">
        <v>157565</v>
      </c>
      <c r="E700" t="s">
        <v>43</v>
      </c>
      <c r="F700">
        <v>1048205201</v>
      </c>
      <c r="G700" t="s">
        <v>830</v>
      </c>
      <c r="H700">
        <v>100211878</v>
      </c>
      <c r="I700">
        <v>202651</v>
      </c>
      <c r="J700">
        <v>1048205201</v>
      </c>
      <c r="K700" t="s">
        <v>23</v>
      </c>
      <c r="L700" t="s">
        <v>252</v>
      </c>
      <c r="M700" t="s">
        <v>253</v>
      </c>
      <c r="N700" t="s">
        <v>35</v>
      </c>
      <c r="O700" t="s">
        <v>26</v>
      </c>
      <c r="P700" t="s">
        <v>27</v>
      </c>
      <c r="Q700" t="s">
        <v>28</v>
      </c>
      <c r="R700" t="s">
        <v>29</v>
      </c>
      <c r="S700" t="s">
        <v>30</v>
      </c>
      <c r="T700">
        <v>1233513889</v>
      </c>
      <c r="U700" t="s">
        <v>3948</v>
      </c>
      <c r="V700" t="s">
        <v>3937</v>
      </c>
      <c r="W700" s="9">
        <f>IF(V700="pregrado",31,
IF(V700="posgrados",31,
IF(V700="rEINTEGROS",7,
IF(V700="BIT",90,
IF(V700="OP GRADO - INGLÉS",17,"")))))</f>
        <v>31</v>
      </c>
      <c r="X700" t="s">
        <v>4035</v>
      </c>
    </row>
    <row r="701" spans="1:24" ht="15" x14ac:dyDescent="0.35">
      <c r="A701" s="4">
        <v>46004.440405092595</v>
      </c>
      <c r="B701">
        <v>20107105</v>
      </c>
      <c r="C701" s="6" t="s">
        <v>19</v>
      </c>
      <c r="D701">
        <v>157581</v>
      </c>
      <c r="E701" t="s">
        <v>43</v>
      </c>
      <c r="F701">
        <v>1113303828</v>
      </c>
      <c r="G701" t="s">
        <v>982</v>
      </c>
      <c r="H701">
        <v>100237910</v>
      </c>
      <c r="I701">
        <v>202641</v>
      </c>
      <c r="J701">
        <v>1113303828</v>
      </c>
      <c r="K701" t="s">
        <v>23</v>
      </c>
      <c r="L701" t="s">
        <v>99</v>
      </c>
      <c r="M701" t="s">
        <v>47</v>
      </c>
      <c r="N701" t="s">
        <v>35</v>
      </c>
      <c r="O701" t="s">
        <v>26</v>
      </c>
      <c r="P701" t="s">
        <v>27</v>
      </c>
      <c r="Q701" t="s">
        <v>28</v>
      </c>
      <c r="R701" t="s">
        <v>29</v>
      </c>
      <c r="S701" t="s">
        <v>30</v>
      </c>
      <c r="T701">
        <v>1082250716</v>
      </c>
      <c r="U701" t="s">
        <v>3936</v>
      </c>
      <c r="V701" t="s">
        <v>3937</v>
      </c>
      <c r="W701" s="9">
        <f>IF(V701="pregrado",31,
IF(V701="posgrados",31,
IF(V701="rEINTEGROS",7,
IF(V701="BIT",90,
IF(V701="OP GRADO - INGLÉS",17,"")))))</f>
        <v>31</v>
      </c>
      <c r="X701" t="s">
        <v>3997</v>
      </c>
    </row>
    <row r="702" spans="1:24" ht="15" x14ac:dyDescent="0.35">
      <c r="A702" s="4">
        <v>46001.517696759256</v>
      </c>
      <c r="B702">
        <v>20106378</v>
      </c>
      <c r="C702" s="6" t="s">
        <v>19</v>
      </c>
      <c r="D702">
        <v>157583</v>
      </c>
      <c r="E702" t="s">
        <v>43</v>
      </c>
      <c r="F702">
        <v>1061764882</v>
      </c>
      <c r="G702" t="s">
        <v>866</v>
      </c>
      <c r="H702">
        <v>100237915</v>
      </c>
      <c r="I702">
        <v>202651</v>
      </c>
      <c r="J702">
        <v>1061764882</v>
      </c>
      <c r="K702" t="s">
        <v>23</v>
      </c>
      <c r="L702" t="s">
        <v>252</v>
      </c>
      <c r="M702" t="s">
        <v>253</v>
      </c>
      <c r="N702" t="s">
        <v>35</v>
      </c>
      <c r="O702" t="s">
        <v>26</v>
      </c>
      <c r="P702" t="s">
        <v>27</v>
      </c>
      <c r="Q702" t="s">
        <v>28</v>
      </c>
      <c r="R702" t="s">
        <v>29</v>
      </c>
      <c r="S702" t="s">
        <v>30</v>
      </c>
      <c r="T702">
        <v>1233513889</v>
      </c>
      <c r="U702" t="s">
        <v>3948</v>
      </c>
      <c r="V702" t="s">
        <v>3937</v>
      </c>
      <c r="W702" s="9">
        <f>IF(V702="pregrado",31,
IF(V702="posgrados",31,
IF(V702="rEINTEGROS",7,
IF(V702="BIT",90,
IF(V702="OP GRADO - INGLÉS",17,"")))))</f>
        <v>31</v>
      </c>
      <c r="X702" t="s">
        <v>4035</v>
      </c>
    </row>
    <row r="703" spans="1:24" ht="15" x14ac:dyDescent="0.35">
      <c r="A703" s="4">
        <v>46001.779652777775</v>
      </c>
      <c r="B703">
        <v>20106508</v>
      </c>
      <c r="C703" s="6" t="s">
        <v>19</v>
      </c>
      <c r="D703">
        <v>157603</v>
      </c>
      <c r="E703" t="s">
        <v>43</v>
      </c>
      <c r="F703">
        <v>1052945712</v>
      </c>
      <c r="G703" t="s">
        <v>885</v>
      </c>
      <c r="H703">
        <v>100237950</v>
      </c>
      <c r="I703">
        <v>202651</v>
      </c>
      <c r="J703">
        <v>1045684171</v>
      </c>
      <c r="K703" t="s">
        <v>23</v>
      </c>
      <c r="L703" t="s">
        <v>252</v>
      </c>
      <c r="M703" t="s">
        <v>253</v>
      </c>
      <c r="N703" t="s">
        <v>35</v>
      </c>
      <c r="O703" t="s">
        <v>26</v>
      </c>
      <c r="P703" t="s">
        <v>27</v>
      </c>
      <c r="Q703" t="s">
        <v>28</v>
      </c>
      <c r="R703" t="s">
        <v>29</v>
      </c>
      <c r="S703" t="s">
        <v>30</v>
      </c>
      <c r="T703">
        <v>1233888787</v>
      </c>
      <c r="U703" t="s">
        <v>3936</v>
      </c>
      <c r="V703" t="s">
        <v>3937</v>
      </c>
      <c r="W703" s="9">
        <f>IF(V703="pregrado",31,
IF(V703="posgrados",31,
IF(V703="rEINTEGROS",7,
IF(V703="BIT",90,
IF(V703="OP GRADO - INGLÉS",17,"")))))</f>
        <v>31</v>
      </c>
      <c r="X703" t="s">
        <v>3998</v>
      </c>
    </row>
    <row r="704" spans="1:24" ht="15" x14ac:dyDescent="0.35">
      <c r="A704" s="4">
        <v>46013.693599537037</v>
      </c>
      <c r="B704">
        <v>20109267</v>
      </c>
      <c r="C704" s="6" t="s">
        <v>19</v>
      </c>
      <c r="D704">
        <v>157604</v>
      </c>
      <c r="E704" t="s">
        <v>43</v>
      </c>
      <c r="F704">
        <v>64719618</v>
      </c>
      <c r="G704" t="s">
        <v>1238</v>
      </c>
      <c r="H704">
        <v>100237951</v>
      </c>
      <c r="I704">
        <v>202651</v>
      </c>
      <c r="J704">
        <v>64719618</v>
      </c>
      <c r="K704" t="s">
        <v>23</v>
      </c>
      <c r="L704" t="s">
        <v>252</v>
      </c>
      <c r="M704" t="s">
        <v>253</v>
      </c>
      <c r="N704" t="s">
        <v>35</v>
      </c>
      <c r="O704" t="s">
        <v>26</v>
      </c>
      <c r="P704" t="s">
        <v>27</v>
      </c>
      <c r="Q704" t="s">
        <v>28</v>
      </c>
      <c r="R704" t="s">
        <v>29</v>
      </c>
      <c r="S704" t="s">
        <v>30</v>
      </c>
      <c r="T704">
        <v>1032451737</v>
      </c>
      <c r="U704" t="s">
        <v>3948</v>
      </c>
      <c r="V704" t="s">
        <v>3937</v>
      </c>
      <c r="W704" s="9">
        <f>IF(V704="pregrado",31,
IF(V704="posgrados",31,
IF(V704="rEINTEGROS",7,
IF(V704="BIT",90,
IF(V704="OP GRADO - INGLÉS",17,"")))))</f>
        <v>31</v>
      </c>
      <c r="X704" t="s">
        <v>4033</v>
      </c>
    </row>
    <row r="705" spans="1:24" ht="15" x14ac:dyDescent="0.35">
      <c r="A705" s="4">
        <v>46018.505023148151</v>
      </c>
      <c r="B705">
        <v>20109984</v>
      </c>
      <c r="C705" s="6" t="s">
        <v>19</v>
      </c>
      <c r="D705">
        <v>157605</v>
      </c>
      <c r="E705" t="s">
        <v>43</v>
      </c>
      <c r="F705">
        <v>24339403</v>
      </c>
      <c r="G705" t="s">
        <v>1346</v>
      </c>
      <c r="H705">
        <v>100196946</v>
      </c>
      <c r="I705">
        <v>202651</v>
      </c>
      <c r="J705">
        <v>24339403</v>
      </c>
      <c r="K705" t="s">
        <v>46</v>
      </c>
      <c r="L705" t="s">
        <v>252</v>
      </c>
      <c r="M705" t="s">
        <v>253</v>
      </c>
      <c r="N705" t="s">
        <v>35</v>
      </c>
      <c r="O705" t="s">
        <v>26</v>
      </c>
      <c r="P705" t="s">
        <v>27</v>
      </c>
      <c r="Q705" t="s">
        <v>28</v>
      </c>
      <c r="R705" t="s">
        <v>29</v>
      </c>
      <c r="S705" t="s">
        <v>30</v>
      </c>
      <c r="T705">
        <v>1082250716</v>
      </c>
      <c r="U705" t="s">
        <v>3936</v>
      </c>
      <c r="V705" t="s">
        <v>3937</v>
      </c>
      <c r="W705" s="9">
        <f>IF(V705="pregrado",31,
IF(V705="posgrados",31,
IF(V705="rEINTEGROS",7,
IF(V705="BIT",90,
IF(V705="OP GRADO - INGLÉS",17,"")))))</f>
        <v>31</v>
      </c>
      <c r="X705" t="s">
        <v>3997</v>
      </c>
    </row>
    <row r="706" spans="1:24" ht="15" x14ac:dyDescent="0.35">
      <c r="A706" s="4">
        <v>46000.750578703701</v>
      </c>
      <c r="B706">
        <v>20106239</v>
      </c>
      <c r="C706" s="6" t="s">
        <v>19</v>
      </c>
      <c r="D706">
        <v>157643</v>
      </c>
      <c r="E706" t="s">
        <v>43</v>
      </c>
      <c r="F706">
        <v>80471197</v>
      </c>
      <c r="G706" t="s">
        <v>840</v>
      </c>
      <c r="H706">
        <v>100238019</v>
      </c>
      <c r="I706">
        <v>202641</v>
      </c>
      <c r="J706">
        <v>1000953193</v>
      </c>
      <c r="K706" t="s">
        <v>23</v>
      </c>
      <c r="L706" t="s">
        <v>94</v>
      </c>
      <c r="M706" t="s">
        <v>47</v>
      </c>
      <c r="N706" t="s">
        <v>35</v>
      </c>
      <c r="O706" t="s">
        <v>26</v>
      </c>
      <c r="P706" t="s">
        <v>27</v>
      </c>
      <c r="Q706" t="s">
        <v>28</v>
      </c>
      <c r="R706" t="s">
        <v>29</v>
      </c>
      <c r="S706" t="s">
        <v>30</v>
      </c>
      <c r="T706">
        <v>1000120140</v>
      </c>
      <c r="U706" t="s">
        <v>3936</v>
      </c>
      <c r="V706" t="s">
        <v>3937</v>
      </c>
      <c r="W706" s="9">
        <f>IF(V706="pregrado",31,
IF(V706="posgrados",31,
IF(V706="rEINTEGROS",7,
IF(V706="BIT",90,
IF(V706="OP GRADO - INGLÉS",17,"")))))</f>
        <v>31</v>
      </c>
      <c r="X706" t="s">
        <v>3935</v>
      </c>
    </row>
    <row r="707" spans="1:24" ht="15" x14ac:dyDescent="0.35">
      <c r="A707" s="4">
        <v>46001.387638888889</v>
      </c>
      <c r="B707">
        <v>20106299</v>
      </c>
      <c r="C707" s="6" t="s">
        <v>19</v>
      </c>
      <c r="D707">
        <v>157644</v>
      </c>
      <c r="E707" t="s">
        <v>43</v>
      </c>
      <c r="F707">
        <v>1058972990</v>
      </c>
      <c r="G707" t="s">
        <v>849</v>
      </c>
      <c r="H707">
        <v>100238021</v>
      </c>
      <c r="I707">
        <v>202641</v>
      </c>
      <c r="J707">
        <v>1058972990</v>
      </c>
      <c r="K707" t="s">
        <v>23</v>
      </c>
      <c r="L707" t="s">
        <v>72</v>
      </c>
      <c r="M707" t="s">
        <v>47</v>
      </c>
      <c r="N707" t="s">
        <v>35</v>
      </c>
      <c r="O707" t="s">
        <v>26</v>
      </c>
      <c r="P707" t="s">
        <v>27</v>
      </c>
      <c r="Q707" t="s">
        <v>28</v>
      </c>
      <c r="R707" t="s">
        <v>29</v>
      </c>
      <c r="S707" t="s">
        <v>30</v>
      </c>
      <c r="T707">
        <v>1026262709</v>
      </c>
      <c r="U707" t="s">
        <v>3936</v>
      </c>
      <c r="V707" t="s">
        <v>3937</v>
      </c>
      <c r="W707" s="9">
        <f>IF(V707="pregrado",31,
IF(V707="posgrados",31,
IF(V707="rEINTEGROS",7,
IF(V707="BIT",90,
IF(V707="OP GRADO - INGLÉS",17,"")))))</f>
        <v>31</v>
      </c>
      <c r="X707" t="s">
        <v>4037</v>
      </c>
    </row>
    <row r="708" spans="1:24" ht="15" x14ac:dyDescent="0.35">
      <c r="A708" s="4">
        <v>46000.712500000001</v>
      </c>
      <c r="B708">
        <v>20106225</v>
      </c>
      <c r="C708" s="6" t="s">
        <v>19</v>
      </c>
      <c r="D708">
        <v>157658</v>
      </c>
      <c r="E708" t="s">
        <v>43</v>
      </c>
      <c r="F708">
        <v>1014269458</v>
      </c>
      <c r="G708" t="s">
        <v>838</v>
      </c>
      <c r="H708">
        <v>100237959</v>
      </c>
      <c r="I708">
        <v>202641</v>
      </c>
      <c r="J708">
        <v>1014269458</v>
      </c>
      <c r="K708" t="s">
        <v>23</v>
      </c>
      <c r="L708" t="s">
        <v>72</v>
      </c>
      <c r="M708" t="s">
        <v>47</v>
      </c>
      <c r="N708" t="s">
        <v>38</v>
      </c>
      <c r="O708" t="s">
        <v>26</v>
      </c>
      <c r="P708" t="s">
        <v>27</v>
      </c>
      <c r="Q708" t="s">
        <v>28</v>
      </c>
      <c r="R708" t="s">
        <v>29</v>
      </c>
      <c r="S708" t="s">
        <v>30</v>
      </c>
      <c r="T708">
        <v>1033784244</v>
      </c>
      <c r="U708" t="s">
        <v>3948</v>
      </c>
      <c r="V708" t="s">
        <v>3937</v>
      </c>
      <c r="W708" s="9">
        <f>IF(V708="pregrado",31,
IF(V708="posgrados",31,
IF(V708="rEINTEGROS",7,
IF(V708="BIT",90,
IF(V708="OP GRADO - INGLÉS",17,"")))))</f>
        <v>31</v>
      </c>
      <c r="X708" t="s">
        <v>4067</v>
      </c>
    </row>
    <row r="709" spans="1:24" ht="15" x14ac:dyDescent="0.35">
      <c r="A709" s="4">
        <v>46006.554756944446</v>
      </c>
      <c r="B709">
        <v>20107359</v>
      </c>
      <c r="C709" s="6" t="s">
        <v>19</v>
      </c>
      <c r="D709">
        <v>157673</v>
      </c>
      <c r="E709" t="s">
        <v>43</v>
      </c>
      <c r="F709">
        <v>1233691654</v>
      </c>
      <c r="G709" t="s">
        <v>1004</v>
      </c>
      <c r="H709">
        <v>100223150</v>
      </c>
      <c r="I709">
        <v>202641</v>
      </c>
      <c r="J709">
        <v>1233691654</v>
      </c>
      <c r="K709" t="s">
        <v>23</v>
      </c>
      <c r="L709" t="s">
        <v>279</v>
      </c>
      <c r="M709" t="s">
        <v>47</v>
      </c>
      <c r="N709" t="s">
        <v>25</v>
      </c>
      <c r="O709" t="s">
        <v>26</v>
      </c>
      <c r="P709" t="s">
        <v>27</v>
      </c>
      <c r="Q709" t="s">
        <v>28</v>
      </c>
      <c r="R709" t="s">
        <v>29</v>
      </c>
      <c r="S709" t="s">
        <v>30</v>
      </c>
      <c r="T709">
        <v>1193146767</v>
      </c>
      <c r="U709" t="s">
        <v>3936</v>
      </c>
      <c r="V709" t="s">
        <v>3937</v>
      </c>
      <c r="W709" s="9">
        <f>IF(V709="pregrado",31,
IF(V709="posgrados",31,
IF(V709="rEINTEGROS",7,
IF(V709="BIT",90,
IF(V709="OP GRADO - INGLÉS",17,"")))))</f>
        <v>31</v>
      </c>
      <c r="X709" t="s">
        <v>4072</v>
      </c>
    </row>
    <row r="710" spans="1:24" ht="15" x14ac:dyDescent="0.35">
      <c r="A710" s="4">
        <v>46002.352662037039</v>
      </c>
      <c r="B710">
        <v>20106530</v>
      </c>
      <c r="C710" s="6" t="s">
        <v>19</v>
      </c>
      <c r="D710">
        <v>157685</v>
      </c>
      <c r="E710" t="s">
        <v>43</v>
      </c>
      <c r="F710">
        <v>1118536811</v>
      </c>
      <c r="G710" t="s">
        <v>889</v>
      </c>
      <c r="H710">
        <v>100238072</v>
      </c>
      <c r="I710">
        <v>202641</v>
      </c>
      <c r="J710">
        <v>1118530103</v>
      </c>
      <c r="K710" t="s">
        <v>23</v>
      </c>
      <c r="L710" t="s">
        <v>45</v>
      </c>
      <c r="M710" t="s">
        <v>47</v>
      </c>
      <c r="N710" t="s">
        <v>35</v>
      </c>
      <c r="O710" t="s">
        <v>26</v>
      </c>
      <c r="P710" t="s">
        <v>27</v>
      </c>
      <c r="Q710" t="s">
        <v>28</v>
      </c>
      <c r="R710" t="s">
        <v>29</v>
      </c>
      <c r="S710" t="s">
        <v>30</v>
      </c>
      <c r="T710">
        <v>52965969</v>
      </c>
      <c r="U710" t="s">
        <v>3936</v>
      </c>
      <c r="V710" t="s">
        <v>3937</v>
      </c>
      <c r="W710" s="9">
        <f>IF(V710="pregrado",31,
IF(V710="posgrados",31,
IF(V710="rEINTEGROS",7,
IF(V710="BIT",90,
IF(V710="OP GRADO - INGLÉS",17,"")))))</f>
        <v>31</v>
      </c>
      <c r="X710" t="s">
        <v>3960</v>
      </c>
    </row>
    <row r="711" spans="1:24" ht="15" x14ac:dyDescent="0.35">
      <c r="A711" s="4">
        <v>46017.587465277778</v>
      </c>
      <c r="B711">
        <v>20109866</v>
      </c>
      <c r="C711" s="6" t="s">
        <v>19</v>
      </c>
      <c r="D711">
        <v>157696</v>
      </c>
      <c r="E711" t="s">
        <v>43</v>
      </c>
      <c r="F711">
        <v>26431996</v>
      </c>
      <c r="G711" t="s">
        <v>1327</v>
      </c>
      <c r="H711">
        <v>100020938</v>
      </c>
      <c r="I711">
        <v>202651</v>
      </c>
      <c r="J711">
        <v>26431996</v>
      </c>
      <c r="K711" t="s">
        <v>46</v>
      </c>
      <c r="L711" t="s">
        <v>252</v>
      </c>
      <c r="M711" t="s">
        <v>253</v>
      </c>
      <c r="N711" t="s">
        <v>35</v>
      </c>
      <c r="O711" t="s">
        <v>26</v>
      </c>
      <c r="P711" t="s">
        <v>27</v>
      </c>
      <c r="Q711" t="s">
        <v>28</v>
      </c>
      <c r="R711" t="s">
        <v>29</v>
      </c>
      <c r="S711" t="s">
        <v>30</v>
      </c>
      <c r="T711">
        <v>52032666</v>
      </c>
      <c r="U711" t="s">
        <v>3948</v>
      </c>
      <c r="V711" t="s">
        <v>3937</v>
      </c>
      <c r="W711" s="9">
        <f>IF(V711="pregrado",31,
IF(V711="posgrados",31,
IF(V711="rEINTEGROS",7,
IF(V711="BIT",90,
IF(V711="OP GRADO - INGLÉS",17,"")))))</f>
        <v>31</v>
      </c>
      <c r="X711" t="s">
        <v>3983</v>
      </c>
    </row>
    <row r="712" spans="1:24" ht="15" x14ac:dyDescent="0.35">
      <c r="A712" s="4">
        <v>46001.702962962961</v>
      </c>
      <c r="B712">
        <v>20106483</v>
      </c>
      <c r="C712" s="6" t="s">
        <v>19</v>
      </c>
      <c r="D712">
        <v>157700</v>
      </c>
      <c r="E712" t="s">
        <v>43</v>
      </c>
      <c r="F712">
        <v>1109490883</v>
      </c>
      <c r="G712" t="s">
        <v>882</v>
      </c>
      <c r="H712">
        <v>100040929</v>
      </c>
      <c r="I712">
        <v>202641</v>
      </c>
      <c r="J712">
        <v>65588113</v>
      </c>
      <c r="K712" t="s">
        <v>23</v>
      </c>
      <c r="L712" t="s">
        <v>342</v>
      </c>
      <c r="M712" t="s">
        <v>47</v>
      </c>
      <c r="N712" t="s">
        <v>35</v>
      </c>
      <c r="O712" t="s">
        <v>26</v>
      </c>
      <c r="P712" t="s">
        <v>27</v>
      </c>
      <c r="Q712" t="s">
        <v>28</v>
      </c>
      <c r="R712" t="s">
        <v>29</v>
      </c>
      <c r="S712" t="s">
        <v>30</v>
      </c>
      <c r="T712">
        <v>1016030683</v>
      </c>
      <c r="U712" t="s">
        <v>3936</v>
      </c>
      <c r="V712" t="s">
        <v>3937</v>
      </c>
      <c r="W712" s="9">
        <f>IF(V712="pregrado",31,
IF(V712="posgrados",31,
IF(V712="rEINTEGROS",7,
IF(V712="BIT",90,
IF(V712="OP GRADO - INGLÉS",17,"")))))</f>
        <v>31</v>
      </c>
      <c r="X712" t="s">
        <v>3992</v>
      </c>
    </row>
    <row r="713" spans="1:24" ht="15" x14ac:dyDescent="0.35">
      <c r="A713" s="4">
        <v>46024.557638888888</v>
      </c>
      <c r="B713">
        <v>20110695</v>
      </c>
      <c r="C713" s="6" t="s">
        <v>19</v>
      </c>
      <c r="D713">
        <v>157715</v>
      </c>
      <c r="E713" t="s">
        <v>43</v>
      </c>
      <c r="F713">
        <v>1019034501</v>
      </c>
      <c r="G713" t="s">
        <v>1458</v>
      </c>
      <c r="H713">
        <v>100238137</v>
      </c>
      <c r="I713">
        <v>202641</v>
      </c>
      <c r="J713">
        <v>1069582592</v>
      </c>
      <c r="K713" t="s">
        <v>23</v>
      </c>
      <c r="L713" t="s">
        <v>99</v>
      </c>
      <c r="M713" t="s">
        <v>47</v>
      </c>
      <c r="N713" t="s">
        <v>35</v>
      </c>
      <c r="O713" t="s">
        <v>26</v>
      </c>
      <c r="P713" t="s">
        <v>27</v>
      </c>
      <c r="Q713" t="s">
        <v>28</v>
      </c>
      <c r="R713" t="s">
        <v>29</v>
      </c>
      <c r="S713" t="s">
        <v>30</v>
      </c>
      <c r="T713">
        <v>52965969</v>
      </c>
      <c r="U713" t="s">
        <v>3936</v>
      </c>
      <c r="V713" t="s">
        <v>3937</v>
      </c>
      <c r="W713" s="9">
        <f>IF(V713="pregrado",31,
IF(V713="posgrados",31,
IF(V713="rEINTEGROS",7,
IF(V713="BIT",90,
IF(V713="OP GRADO - INGLÉS",17,"")))))</f>
        <v>31</v>
      </c>
      <c r="X713" t="s">
        <v>3960</v>
      </c>
    </row>
    <row r="714" spans="1:24" ht="15" x14ac:dyDescent="0.35">
      <c r="A714" s="4">
        <v>46006.608206018522</v>
      </c>
      <c r="B714">
        <v>20107406</v>
      </c>
      <c r="C714" s="6" t="s">
        <v>19</v>
      </c>
      <c r="D714">
        <v>157717</v>
      </c>
      <c r="E714" t="s">
        <v>43</v>
      </c>
      <c r="F714">
        <v>1122782961</v>
      </c>
      <c r="G714" t="s">
        <v>1010</v>
      </c>
      <c r="H714">
        <v>100089503</v>
      </c>
      <c r="I714">
        <v>202651</v>
      </c>
      <c r="J714">
        <v>1122782961</v>
      </c>
      <c r="K714" t="s">
        <v>46</v>
      </c>
      <c r="L714" t="s">
        <v>252</v>
      </c>
      <c r="M714" t="s">
        <v>253</v>
      </c>
      <c r="N714" t="s">
        <v>35</v>
      </c>
      <c r="O714" t="s">
        <v>26</v>
      </c>
      <c r="P714" t="s">
        <v>27</v>
      </c>
      <c r="Q714" t="s">
        <v>28</v>
      </c>
      <c r="R714" t="s">
        <v>29</v>
      </c>
      <c r="S714" t="s">
        <v>30</v>
      </c>
      <c r="T714">
        <v>1233513889</v>
      </c>
      <c r="U714" t="s">
        <v>3948</v>
      </c>
      <c r="V714" t="s">
        <v>3937</v>
      </c>
      <c r="W714" s="9">
        <f>IF(V714="pregrado",31,
IF(V714="posgrados",31,
IF(V714="rEINTEGROS",7,
IF(V714="BIT",90,
IF(V714="OP GRADO - INGLÉS",17,"")))))</f>
        <v>31</v>
      </c>
      <c r="X714" t="s">
        <v>4035</v>
      </c>
    </row>
    <row r="715" spans="1:24" ht="15" x14ac:dyDescent="0.35">
      <c r="A715" s="4">
        <v>46002.511597222219</v>
      </c>
      <c r="B715">
        <v>20106633</v>
      </c>
      <c r="C715" s="6" t="s">
        <v>19</v>
      </c>
      <c r="D715">
        <v>157725</v>
      </c>
      <c r="E715" t="s">
        <v>43</v>
      </c>
      <c r="F715">
        <v>1103102582</v>
      </c>
      <c r="G715" t="s">
        <v>908</v>
      </c>
      <c r="H715">
        <v>100238148</v>
      </c>
      <c r="I715">
        <v>202651</v>
      </c>
      <c r="J715">
        <v>1103102582</v>
      </c>
      <c r="K715" t="s">
        <v>23</v>
      </c>
      <c r="L715" t="s">
        <v>252</v>
      </c>
      <c r="M715" t="s">
        <v>253</v>
      </c>
      <c r="N715" t="s">
        <v>35</v>
      </c>
      <c r="O715" t="s">
        <v>26</v>
      </c>
      <c r="P715" t="s">
        <v>27</v>
      </c>
      <c r="Q715" t="s">
        <v>28</v>
      </c>
      <c r="R715" t="s">
        <v>29</v>
      </c>
      <c r="S715" t="s">
        <v>30</v>
      </c>
      <c r="T715">
        <v>1031147887</v>
      </c>
      <c r="U715" t="s">
        <v>3948</v>
      </c>
      <c r="V715" t="s">
        <v>3937</v>
      </c>
      <c r="W715" s="9">
        <f>IF(V715="pregrado",31,
IF(V715="posgrados",31,
IF(V715="rEINTEGROS",7,
IF(V715="BIT",90,
IF(V715="OP GRADO - INGLÉS",17,"")))))</f>
        <v>31</v>
      </c>
      <c r="X715" t="s">
        <v>3947</v>
      </c>
    </row>
    <row r="716" spans="1:24" ht="15" x14ac:dyDescent="0.35">
      <c r="A716" s="4">
        <v>46002.369884259257</v>
      </c>
      <c r="B716">
        <v>20106541</v>
      </c>
      <c r="C716" s="6" t="s">
        <v>19</v>
      </c>
      <c r="D716">
        <v>157732</v>
      </c>
      <c r="E716" t="s">
        <v>43</v>
      </c>
      <c r="F716">
        <v>7641587</v>
      </c>
      <c r="G716" t="s">
        <v>892</v>
      </c>
      <c r="H716">
        <v>100238158</v>
      </c>
      <c r="I716">
        <v>202651</v>
      </c>
      <c r="J716">
        <v>1082069254</v>
      </c>
      <c r="K716" t="s">
        <v>23</v>
      </c>
      <c r="L716" t="s">
        <v>252</v>
      </c>
      <c r="M716" t="s">
        <v>253</v>
      </c>
      <c r="N716" t="s">
        <v>35</v>
      </c>
      <c r="O716" t="s">
        <v>26</v>
      </c>
      <c r="P716" t="s">
        <v>27</v>
      </c>
      <c r="Q716" t="s">
        <v>28</v>
      </c>
      <c r="R716" t="s">
        <v>29</v>
      </c>
      <c r="S716" t="s">
        <v>30</v>
      </c>
      <c r="T716">
        <v>1014285873</v>
      </c>
      <c r="U716" t="s">
        <v>3948</v>
      </c>
      <c r="V716" t="s">
        <v>3937</v>
      </c>
      <c r="W716" s="9">
        <f>IF(V716="pregrado",31,
IF(V716="posgrados",31,
IF(V716="rEINTEGROS",7,
IF(V716="BIT",90,
IF(V716="OP GRADO - INGLÉS",17,"")))))</f>
        <v>31</v>
      </c>
      <c r="X716" t="s">
        <v>3953</v>
      </c>
    </row>
    <row r="717" spans="1:24" ht="15" x14ac:dyDescent="0.35">
      <c r="A717" s="4">
        <v>46001.650567129633</v>
      </c>
      <c r="B717">
        <v>20106445</v>
      </c>
      <c r="C717" s="6" t="s">
        <v>19</v>
      </c>
      <c r="D717">
        <v>157739</v>
      </c>
      <c r="E717" t="s">
        <v>43</v>
      </c>
      <c r="F717">
        <v>1061501141</v>
      </c>
      <c r="G717" t="s">
        <v>876</v>
      </c>
      <c r="H717">
        <v>100238173</v>
      </c>
      <c r="I717">
        <v>202651</v>
      </c>
      <c r="J717">
        <v>1061501141</v>
      </c>
      <c r="K717" t="s">
        <v>23</v>
      </c>
      <c r="L717" t="s">
        <v>252</v>
      </c>
      <c r="M717" t="s">
        <v>253</v>
      </c>
      <c r="N717" t="s">
        <v>35</v>
      </c>
      <c r="O717" t="s">
        <v>26</v>
      </c>
      <c r="P717" t="s">
        <v>27</v>
      </c>
      <c r="Q717" t="s">
        <v>28</v>
      </c>
      <c r="R717" t="s">
        <v>29</v>
      </c>
      <c r="S717" t="s">
        <v>30</v>
      </c>
      <c r="T717">
        <v>1033781417</v>
      </c>
      <c r="U717" t="s">
        <v>3948</v>
      </c>
      <c r="V717" t="s">
        <v>3937</v>
      </c>
      <c r="W717" s="9">
        <f>IF(V717="pregrado",31,
IF(V717="posgrados",31,
IF(V717="rEINTEGROS",7,
IF(V717="BIT",90,
IF(V717="OP GRADO - INGLÉS",17,"")))))</f>
        <v>31</v>
      </c>
      <c r="X717" t="s">
        <v>4031</v>
      </c>
    </row>
    <row r="718" spans="1:24" ht="15" x14ac:dyDescent="0.35">
      <c r="A718" s="4">
        <v>46001.704108796293</v>
      </c>
      <c r="B718">
        <v>20106485</v>
      </c>
      <c r="C718" s="6" t="s">
        <v>19</v>
      </c>
      <c r="D718">
        <v>157740</v>
      </c>
      <c r="E718" t="s">
        <v>43</v>
      </c>
      <c r="F718">
        <v>1100970908</v>
      </c>
      <c r="G718" t="s">
        <v>883</v>
      </c>
      <c r="H718">
        <v>100038648</v>
      </c>
      <c r="I718">
        <v>202651</v>
      </c>
      <c r="J718">
        <v>1100970908</v>
      </c>
      <c r="K718" t="s">
        <v>46</v>
      </c>
      <c r="L718" t="s">
        <v>252</v>
      </c>
      <c r="M718" t="s">
        <v>253</v>
      </c>
      <c r="N718" t="s">
        <v>35</v>
      </c>
      <c r="O718" t="s">
        <v>26</v>
      </c>
      <c r="P718" t="s">
        <v>27</v>
      </c>
      <c r="Q718" t="s">
        <v>28</v>
      </c>
      <c r="R718" t="s">
        <v>29</v>
      </c>
      <c r="S718" t="s">
        <v>30</v>
      </c>
      <c r="T718">
        <v>1140420282</v>
      </c>
      <c r="U718" t="s">
        <v>3948</v>
      </c>
      <c r="V718" t="s">
        <v>3937</v>
      </c>
      <c r="W718" s="9">
        <f>IF(V718="pregrado",31,
IF(V718="posgrados",31,
IF(V718="rEINTEGROS",7,
IF(V718="BIT",90,
IF(V718="OP GRADO - INGLÉS",17,"")))))</f>
        <v>31</v>
      </c>
      <c r="X718" t="s">
        <v>3972</v>
      </c>
    </row>
    <row r="719" spans="1:24" ht="15" x14ac:dyDescent="0.35">
      <c r="A719" s="4">
        <v>46001.654085648152</v>
      </c>
      <c r="B719">
        <v>20106449</v>
      </c>
      <c r="C719" s="6" t="s">
        <v>19</v>
      </c>
      <c r="D719">
        <v>157744</v>
      </c>
      <c r="E719" t="s">
        <v>43</v>
      </c>
      <c r="F719">
        <v>1121862041</v>
      </c>
      <c r="G719" t="s">
        <v>877</v>
      </c>
      <c r="H719">
        <v>100238190</v>
      </c>
      <c r="I719">
        <v>202651</v>
      </c>
      <c r="J719">
        <v>1121862041</v>
      </c>
      <c r="K719" t="s">
        <v>23</v>
      </c>
      <c r="L719" t="s">
        <v>252</v>
      </c>
      <c r="M719" t="s">
        <v>253</v>
      </c>
      <c r="N719" t="s">
        <v>35</v>
      </c>
      <c r="O719" t="s">
        <v>26</v>
      </c>
      <c r="P719" t="s">
        <v>27</v>
      </c>
      <c r="Q719" t="s">
        <v>28</v>
      </c>
      <c r="R719" t="s">
        <v>29</v>
      </c>
      <c r="S719" t="s">
        <v>30</v>
      </c>
      <c r="T719">
        <v>1031147887</v>
      </c>
      <c r="U719" t="s">
        <v>3948</v>
      </c>
      <c r="V719" t="s">
        <v>3937</v>
      </c>
      <c r="W719" s="9">
        <f>IF(V719="pregrado",31,
IF(V719="posgrados",31,
IF(V719="rEINTEGROS",7,
IF(V719="BIT",90,
IF(V719="OP GRADO - INGLÉS",17,"")))))</f>
        <v>31</v>
      </c>
      <c r="X719" t="s">
        <v>3947</v>
      </c>
    </row>
    <row r="720" spans="1:24" ht="15" x14ac:dyDescent="0.35">
      <c r="A720" s="4">
        <v>46007.507847222223</v>
      </c>
      <c r="B720">
        <v>20107821</v>
      </c>
      <c r="C720" s="6" t="s">
        <v>19</v>
      </c>
      <c r="D720">
        <v>157748</v>
      </c>
      <c r="E720" t="s">
        <v>43</v>
      </c>
      <c r="F720">
        <v>91320709</v>
      </c>
      <c r="G720" t="s">
        <v>1040</v>
      </c>
      <c r="H720">
        <v>100238199</v>
      </c>
      <c r="I720">
        <v>202641</v>
      </c>
      <c r="J720">
        <v>1098799554</v>
      </c>
      <c r="K720" t="s">
        <v>23</v>
      </c>
      <c r="L720" t="s">
        <v>59</v>
      </c>
      <c r="M720" t="s">
        <v>47</v>
      </c>
      <c r="N720" t="s">
        <v>35</v>
      </c>
      <c r="O720" t="s">
        <v>26</v>
      </c>
      <c r="P720" t="s">
        <v>27</v>
      </c>
      <c r="Q720" t="s">
        <v>28</v>
      </c>
      <c r="R720" t="s">
        <v>29</v>
      </c>
      <c r="S720" t="s">
        <v>30</v>
      </c>
      <c r="T720">
        <v>1000120140</v>
      </c>
      <c r="U720" t="s">
        <v>3936</v>
      </c>
      <c r="V720" t="s">
        <v>3937</v>
      </c>
      <c r="W720" s="9">
        <f>IF(V720="pregrado",31,
IF(V720="posgrados",31,
IF(V720="rEINTEGROS",7,
IF(V720="BIT",90,
IF(V720="OP GRADO - INGLÉS",17,"")))))</f>
        <v>31</v>
      </c>
      <c r="X720" t="s">
        <v>3935</v>
      </c>
    </row>
    <row r="721" spans="1:24" ht="15" x14ac:dyDescent="0.35">
      <c r="A721" s="4">
        <v>46014.397314814814</v>
      </c>
      <c r="B721">
        <v>20109395</v>
      </c>
      <c r="C721" s="6" t="s">
        <v>19</v>
      </c>
      <c r="D721">
        <v>157758</v>
      </c>
      <c r="E721" t="s">
        <v>43</v>
      </c>
      <c r="F721">
        <v>1140868780</v>
      </c>
      <c r="G721" t="s">
        <v>1253</v>
      </c>
      <c r="H721">
        <v>100238212</v>
      </c>
      <c r="I721">
        <v>202641</v>
      </c>
      <c r="J721">
        <v>1140858688</v>
      </c>
      <c r="K721" t="s">
        <v>23</v>
      </c>
      <c r="L721" t="s">
        <v>955</v>
      </c>
      <c r="M721" t="s">
        <v>47</v>
      </c>
      <c r="N721" t="s">
        <v>35</v>
      </c>
      <c r="O721" t="s">
        <v>26</v>
      </c>
      <c r="P721" t="s">
        <v>27</v>
      </c>
      <c r="Q721" t="s">
        <v>28</v>
      </c>
      <c r="R721" t="s">
        <v>29</v>
      </c>
      <c r="S721" t="s">
        <v>30</v>
      </c>
      <c r="T721">
        <v>1012389748</v>
      </c>
      <c r="U721" t="s">
        <v>3948</v>
      </c>
      <c r="V721" t="s">
        <v>3937</v>
      </c>
      <c r="W721" s="9">
        <f>IF(V721="pregrado",31,
IF(V721="posgrados",31,
IF(V721="rEINTEGROS",7,
IF(V721="BIT",90,
IF(V721="OP GRADO - INGLÉS",17,"")))))</f>
        <v>31</v>
      </c>
      <c r="X721" t="s">
        <v>4065</v>
      </c>
    </row>
    <row r="722" spans="1:24" ht="15" x14ac:dyDescent="0.35">
      <c r="A722" s="4">
        <v>46002.459953703707</v>
      </c>
      <c r="B722">
        <v>20106599</v>
      </c>
      <c r="C722" s="6" t="s">
        <v>19</v>
      </c>
      <c r="D722">
        <v>157763</v>
      </c>
      <c r="E722" t="s">
        <v>43</v>
      </c>
      <c r="F722">
        <v>35890346</v>
      </c>
      <c r="G722" t="s">
        <v>905</v>
      </c>
      <c r="H722">
        <v>100156327</v>
      </c>
      <c r="I722">
        <v>202651</v>
      </c>
      <c r="J722">
        <v>35890346</v>
      </c>
      <c r="K722" t="s">
        <v>23</v>
      </c>
      <c r="L722" t="s">
        <v>252</v>
      </c>
      <c r="M722" t="s">
        <v>253</v>
      </c>
      <c r="N722" t="s">
        <v>35</v>
      </c>
      <c r="O722" t="s">
        <v>26</v>
      </c>
      <c r="P722" t="s">
        <v>27</v>
      </c>
      <c r="Q722" t="s">
        <v>28</v>
      </c>
      <c r="R722" t="s">
        <v>29</v>
      </c>
      <c r="S722" t="s">
        <v>30</v>
      </c>
      <c r="T722">
        <v>1015401969</v>
      </c>
      <c r="U722" t="s">
        <v>3936</v>
      </c>
      <c r="V722" t="s">
        <v>3937</v>
      </c>
      <c r="W722" s="9">
        <f>IF(V722="pregrado",31,
IF(V722="posgrados",31,
IF(V722="rEINTEGROS",7,
IF(V722="BIT",90,
IF(V722="OP GRADO - INGLÉS",17,"")))))</f>
        <v>31</v>
      </c>
      <c r="X722" t="s">
        <v>3945</v>
      </c>
    </row>
    <row r="723" spans="1:24" ht="15" x14ac:dyDescent="0.35">
      <c r="A723" s="4">
        <v>46002.64234953704</v>
      </c>
      <c r="B723">
        <v>20106686</v>
      </c>
      <c r="C723" s="6" t="s">
        <v>19</v>
      </c>
      <c r="D723">
        <v>157764</v>
      </c>
      <c r="E723" t="s">
        <v>43</v>
      </c>
      <c r="F723">
        <v>39057607</v>
      </c>
      <c r="G723" t="s">
        <v>918</v>
      </c>
      <c r="H723">
        <v>100238222</v>
      </c>
      <c r="I723">
        <v>202651</v>
      </c>
      <c r="J723">
        <v>39057607</v>
      </c>
      <c r="K723" t="s">
        <v>23</v>
      </c>
      <c r="L723" t="s">
        <v>252</v>
      </c>
      <c r="M723" t="s">
        <v>253</v>
      </c>
      <c r="N723" t="s">
        <v>35</v>
      </c>
      <c r="O723" t="s">
        <v>26</v>
      </c>
      <c r="P723" t="s">
        <v>27</v>
      </c>
      <c r="Q723" t="s">
        <v>28</v>
      </c>
      <c r="R723" t="s">
        <v>29</v>
      </c>
      <c r="S723" t="s">
        <v>30</v>
      </c>
      <c r="T723">
        <v>1014285873</v>
      </c>
      <c r="U723" t="s">
        <v>3948</v>
      </c>
      <c r="V723" t="s">
        <v>3937</v>
      </c>
      <c r="W723" s="9">
        <f>IF(V723="pregrado",31,
IF(V723="posgrados",31,
IF(V723="rEINTEGROS",7,
IF(V723="BIT",90,
IF(V723="OP GRADO - INGLÉS",17,"")))))</f>
        <v>31</v>
      </c>
      <c r="X723" t="s">
        <v>3953</v>
      </c>
    </row>
    <row r="724" spans="1:24" ht="15" x14ac:dyDescent="0.35">
      <c r="A724" s="4">
        <v>46001.920868055553</v>
      </c>
      <c r="B724">
        <v>20106525</v>
      </c>
      <c r="C724" s="6" t="s">
        <v>19</v>
      </c>
      <c r="D724">
        <v>157768</v>
      </c>
      <c r="E724" t="s">
        <v>43</v>
      </c>
      <c r="F724">
        <v>1085329951</v>
      </c>
      <c r="G724" t="s">
        <v>887</v>
      </c>
      <c r="H724">
        <v>100238251</v>
      </c>
      <c r="I724">
        <v>202651</v>
      </c>
      <c r="J724">
        <v>1085329951</v>
      </c>
      <c r="K724" t="s">
        <v>23</v>
      </c>
      <c r="L724" t="s">
        <v>252</v>
      </c>
      <c r="M724" t="s">
        <v>253</v>
      </c>
      <c r="N724" t="s">
        <v>35</v>
      </c>
      <c r="O724" t="s">
        <v>26</v>
      </c>
      <c r="P724" t="s">
        <v>27</v>
      </c>
      <c r="Q724" t="s">
        <v>28</v>
      </c>
      <c r="R724" t="s">
        <v>29</v>
      </c>
      <c r="S724" t="s">
        <v>30</v>
      </c>
      <c r="T724">
        <v>1022407392</v>
      </c>
      <c r="U724" t="s">
        <v>3936</v>
      </c>
      <c r="V724" t="s">
        <v>3937</v>
      </c>
      <c r="W724" s="9">
        <f>IF(V724="pregrado",31,
IF(V724="posgrados",31,
IF(V724="rEINTEGROS",7,
IF(V724="BIT",90,
IF(V724="OP GRADO - INGLÉS",17,"")))))</f>
        <v>31</v>
      </c>
      <c r="X724" t="s">
        <v>3975</v>
      </c>
    </row>
    <row r="725" spans="1:24" ht="15" x14ac:dyDescent="0.35">
      <c r="A725" s="4">
        <v>46002.430347222224</v>
      </c>
      <c r="B725">
        <v>20106581</v>
      </c>
      <c r="C725" s="6" t="s">
        <v>19</v>
      </c>
      <c r="D725">
        <v>157786</v>
      </c>
      <c r="E725" t="s">
        <v>43</v>
      </c>
      <c r="F725">
        <v>1070601083</v>
      </c>
      <c r="G725" t="s">
        <v>902</v>
      </c>
      <c r="H725">
        <v>100238269</v>
      </c>
      <c r="I725">
        <v>202651</v>
      </c>
      <c r="J725">
        <v>1070601083</v>
      </c>
      <c r="K725" t="s">
        <v>23</v>
      </c>
      <c r="L725" t="s">
        <v>252</v>
      </c>
      <c r="M725" t="s">
        <v>253</v>
      </c>
      <c r="N725" t="s">
        <v>35</v>
      </c>
      <c r="O725" t="s">
        <v>26</v>
      </c>
      <c r="P725" t="s">
        <v>27</v>
      </c>
      <c r="Q725" t="s">
        <v>28</v>
      </c>
      <c r="R725" t="s">
        <v>29</v>
      </c>
      <c r="S725" t="s">
        <v>30</v>
      </c>
      <c r="T725">
        <v>1033784244</v>
      </c>
      <c r="U725" t="s">
        <v>3948</v>
      </c>
      <c r="V725" t="s">
        <v>3937</v>
      </c>
      <c r="W725" s="9">
        <f>IF(V725="pregrado",31,
IF(V725="posgrados",31,
IF(V725="rEINTEGROS",7,
IF(V725="BIT",90,
IF(V725="OP GRADO - INGLÉS",17,"")))))</f>
        <v>31</v>
      </c>
      <c r="X725" t="s">
        <v>4067</v>
      </c>
    </row>
    <row r="726" spans="1:24" ht="15" x14ac:dyDescent="0.35">
      <c r="A726" s="4">
        <v>46002.732523148145</v>
      </c>
      <c r="B726">
        <v>20106745</v>
      </c>
      <c r="C726" s="6" t="s">
        <v>19</v>
      </c>
      <c r="D726">
        <v>157790</v>
      </c>
      <c r="E726" t="s">
        <v>43</v>
      </c>
      <c r="F726">
        <v>1083041789</v>
      </c>
      <c r="G726" t="s">
        <v>932</v>
      </c>
      <c r="H726">
        <v>100238273</v>
      </c>
      <c r="I726">
        <v>202651</v>
      </c>
      <c r="J726">
        <v>1083041789</v>
      </c>
      <c r="K726" t="s">
        <v>23</v>
      </c>
      <c r="L726" t="s">
        <v>252</v>
      </c>
      <c r="M726" t="s">
        <v>253</v>
      </c>
      <c r="N726" t="s">
        <v>35</v>
      </c>
      <c r="O726" t="s">
        <v>26</v>
      </c>
      <c r="P726" t="s">
        <v>27</v>
      </c>
      <c r="Q726" t="s">
        <v>28</v>
      </c>
      <c r="R726" t="s">
        <v>29</v>
      </c>
      <c r="S726" t="s">
        <v>30</v>
      </c>
      <c r="T726">
        <v>52032666</v>
      </c>
      <c r="U726" t="s">
        <v>3948</v>
      </c>
      <c r="V726" t="s">
        <v>3937</v>
      </c>
      <c r="W726" s="9">
        <f>IF(V726="pregrado",31,
IF(V726="posgrados",31,
IF(V726="rEINTEGROS",7,
IF(V726="BIT",90,
IF(V726="OP GRADO - INGLÉS",17,"")))))</f>
        <v>31</v>
      </c>
      <c r="X726" t="s">
        <v>3983</v>
      </c>
    </row>
    <row r="727" spans="1:24" ht="15" x14ac:dyDescent="0.35">
      <c r="A727" s="4">
        <v>46022.579699074071</v>
      </c>
      <c r="B727">
        <v>20110611</v>
      </c>
      <c r="C727" s="6" t="s">
        <v>19</v>
      </c>
      <c r="D727">
        <v>157795</v>
      </c>
      <c r="E727" t="s">
        <v>43</v>
      </c>
      <c r="F727">
        <v>1043021437</v>
      </c>
      <c r="G727" t="s">
        <v>1449</v>
      </c>
      <c r="H727">
        <v>100238278</v>
      </c>
      <c r="I727">
        <v>202651</v>
      </c>
      <c r="J727">
        <v>32847116</v>
      </c>
      <c r="K727" t="s">
        <v>23</v>
      </c>
      <c r="L727" t="s">
        <v>252</v>
      </c>
      <c r="M727" t="s">
        <v>253</v>
      </c>
      <c r="N727" t="s">
        <v>35</v>
      </c>
      <c r="O727" t="s">
        <v>26</v>
      </c>
      <c r="P727" t="s">
        <v>27</v>
      </c>
      <c r="Q727" t="s">
        <v>28</v>
      </c>
      <c r="R727" t="s">
        <v>29</v>
      </c>
      <c r="S727" t="s">
        <v>30</v>
      </c>
      <c r="T727">
        <v>1032451737</v>
      </c>
      <c r="U727" t="s">
        <v>3948</v>
      </c>
      <c r="V727" t="s">
        <v>3937</v>
      </c>
      <c r="W727" s="9">
        <f>IF(V727="pregrado",31,
IF(V727="posgrados",31,
IF(V727="rEINTEGROS",7,
IF(V727="BIT",90,
IF(V727="OP GRADO - INGLÉS",17,"")))))</f>
        <v>31</v>
      </c>
      <c r="X727" t="s">
        <v>4033</v>
      </c>
    </row>
    <row r="728" spans="1:24" ht="15" x14ac:dyDescent="0.35">
      <c r="A728" s="4">
        <v>46002.648680555554</v>
      </c>
      <c r="B728">
        <v>20106688</v>
      </c>
      <c r="C728" s="6" t="s">
        <v>19</v>
      </c>
      <c r="D728">
        <v>157796</v>
      </c>
      <c r="E728" t="s">
        <v>43</v>
      </c>
      <c r="F728">
        <v>1101443229</v>
      </c>
      <c r="G728" t="s">
        <v>919</v>
      </c>
      <c r="H728">
        <v>100238311</v>
      </c>
      <c r="I728">
        <v>202651</v>
      </c>
      <c r="J728">
        <v>1101457776</v>
      </c>
      <c r="K728" t="s">
        <v>23</v>
      </c>
      <c r="L728" t="s">
        <v>252</v>
      </c>
      <c r="M728" t="s">
        <v>253</v>
      </c>
      <c r="N728" t="s">
        <v>35</v>
      </c>
      <c r="O728" t="s">
        <v>26</v>
      </c>
      <c r="P728" t="s">
        <v>27</v>
      </c>
      <c r="Q728" t="s">
        <v>28</v>
      </c>
      <c r="R728" t="s">
        <v>29</v>
      </c>
      <c r="S728" t="s">
        <v>30</v>
      </c>
      <c r="T728">
        <v>1033781417</v>
      </c>
      <c r="U728" t="s">
        <v>3948</v>
      </c>
      <c r="V728" t="s">
        <v>3937</v>
      </c>
      <c r="W728" s="9">
        <f>IF(V728="pregrado",31,
IF(V728="posgrados",31,
IF(V728="rEINTEGROS",7,
IF(V728="BIT",90,
IF(V728="OP GRADO - INGLÉS",17,"")))))</f>
        <v>31</v>
      </c>
      <c r="X728" t="s">
        <v>4031</v>
      </c>
    </row>
    <row r="729" spans="1:24" ht="15" x14ac:dyDescent="0.35">
      <c r="A729" s="4">
        <v>46003.694351851853</v>
      </c>
      <c r="B729">
        <v>20107026</v>
      </c>
      <c r="C729" s="6" t="s">
        <v>19</v>
      </c>
      <c r="D729">
        <v>157801</v>
      </c>
      <c r="E729" t="s">
        <v>43</v>
      </c>
      <c r="F729">
        <v>1000328466</v>
      </c>
      <c r="G729" t="s">
        <v>974</v>
      </c>
      <c r="H729">
        <v>100238323</v>
      </c>
      <c r="I729">
        <v>202641</v>
      </c>
      <c r="J729">
        <v>1000328466</v>
      </c>
      <c r="K729" t="s">
        <v>23</v>
      </c>
      <c r="L729" t="s">
        <v>294</v>
      </c>
      <c r="M729" t="s">
        <v>47</v>
      </c>
      <c r="N729" t="s">
        <v>35</v>
      </c>
      <c r="O729" t="s">
        <v>26</v>
      </c>
      <c r="P729" t="s">
        <v>27</v>
      </c>
      <c r="Q729" t="s">
        <v>28</v>
      </c>
      <c r="R729" t="s">
        <v>29</v>
      </c>
      <c r="S729" t="s">
        <v>30</v>
      </c>
      <c r="T729">
        <v>52965969</v>
      </c>
      <c r="U729" t="s">
        <v>3936</v>
      </c>
      <c r="V729" t="s">
        <v>3937</v>
      </c>
      <c r="W729" s="9">
        <f>IF(V729="pregrado",31,
IF(V729="posgrados",31,
IF(V729="rEINTEGROS",7,
IF(V729="BIT",90,
IF(V729="OP GRADO - INGLÉS",17,"")))))</f>
        <v>31</v>
      </c>
      <c r="X729" t="s">
        <v>3960</v>
      </c>
    </row>
    <row r="730" spans="1:24" ht="15" x14ac:dyDescent="0.35">
      <c r="A730" s="4">
        <v>46001.722199074073</v>
      </c>
      <c r="B730">
        <v>20106492</v>
      </c>
      <c r="C730" s="6" t="s">
        <v>19</v>
      </c>
      <c r="D730">
        <v>157803</v>
      </c>
      <c r="E730" t="s">
        <v>43</v>
      </c>
      <c r="F730">
        <v>1006739438</v>
      </c>
      <c r="G730" t="s">
        <v>884</v>
      </c>
      <c r="H730">
        <v>100088404</v>
      </c>
      <c r="I730">
        <v>202641</v>
      </c>
      <c r="J730">
        <v>1006739438</v>
      </c>
      <c r="K730" t="s">
        <v>23</v>
      </c>
      <c r="L730" t="s">
        <v>59</v>
      </c>
      <c r="M730" t="s">
        <v>47</v>
      </c>
      <c r="N730" t="s">
        <v>35</v>
      </c>
      <c r="O730" t="s">
        <v>26</v>
      </c>
      <c r="P730" t="s">
        <v>27</v>
      </c>
      <c r="Q730" t="s">
        <v>28</v>
      </c>
      <c r="R730" t="s">
        <v>29</v>
      </c>
      <c r="S730" t="s">
        <v>30</v>
      </c>
      <c r="T730">
        <v>53116792</v>
      </c>
      <c r="U730" t="s">
        <v>3936</v>
      </c>
      <c r="V730" t="s">
        <v>3937</v>
      </c>
      <c r="W730" s="9">
        <f>IF(V730="pregrado",31,
IF(V730="posgrados",31,
IF(V730="rEINTEGROS",7,
IF(V730="BIT",90,
IF(V730="OP GRADO - INGLÉS",17,"")))))</f>
        <v>31</v>
      </c>
      <c r="X730" t="s">
        <v>4008</v>
      </c>
    </row>
    <row r="731" spans="1:24" ht="15" x14ac:dyDescent="0.35">
      <c r="A731" s="4">
        <v>46002.408900462964</v>
      </c>
      <c r="B731">
        <v>20106565</v>
      </c>
      <c r="C731" s="6" t="s">
        <v>19</v>
      </c>
      <c r="D731">
        <v>157808</v>
      </c>
      <c r="E731" t="s">
        <v>43</v>
      </c>
      <c r="F731">
        <v>1059447556</v>
      </c>
      <c r="G731" t="s">
        <v>896</v>
      </c>
      <c r="H731">
        <v>100035698</v>
      </c>
      <c r="I731">
        <v>202651</v>
      </c>
      <c r="J731">
        <v>1059447556</v>
      </c>
      <c r="K731" t="s">
        <v>46</v>
      </c>
      <c r="L731" t="s">
        <v>252</v>
      </c>
      <c r="M731" t="s">
        <v>253</v>
      </c>
      <c r="N731" t="s">
        <v>35</v>
      </c>
      <c r="O731" t="s">
        <v>26</v>
      </c>
      <c r="P731" t="s">
        <v>27</v>
      </c>
      <c r="Q731" t="s">
        <v>28</v>
      </c>
      <c r="R731" t="s">
        <v>29</v>
      </c>
      <c r="S731" t="s">
        <v>30</v>
      </c>
      <c r="T731">
        <v>1033781417</v>
      </c>
      <c r="U731" t="s">
        <v>3948</v>
      </c>
      <c r="V731" t="s">
        <v>3937</v>
      </c>
      <c r="W731" s="9">
        <f>IF(V731="pregrado",31,
IF(V731="posgrados",31,
IF(V731="rEINTEGROS",7,
IF(V731="BIT",90,
IF(V731="OP GRADO - INGLÉS",17,"")))))</f>
        <v>31</v>
      </c>
      <c r="X731" t="s">
        <v>4031</v>
      </c>
    </row>
    <row r="732" spans="1:24" ht="15" x14ac:dyDescent="0.35">
      <c r="A732" s="4">
        <v>46002.616956018515</v>
      </c>
      <c r="B732">
        <v>20106669</v>
      </c>
      <c r="C732" s="6" t="s">
        <v>19</v>
      </c>
      <c r="D732">
        <v>157824</v>
      </c>
      <c r="E732" t="s">
        <v>43</v>
      </c>
      <c r="F732">
        <v>1031152499</v>
      </c>
      <c r="G732" t="s">
        <v>914</v>
      </c>
      <c r="H732">
        <v>900002480</v>
      </c>
      <c r="I732">
        <v>202641</v>
      </c>
      <c r="J732">
        <v>1031152499</v>
      </c>
      <c r="K732" t="s">
        <v>23</v>
      </c>
      <c r="L732" t="s">
        <v>59</v>
      </c>
      <c r="M732" t="s">
        <v>47</v>
      </c>
      <c r="N732" t="s">
        <v>35</v>
      </c>
      <c r="O732" t="s">
        <v>26</v>
      </c>
      <c r="P732" t="s">
        <v>27</v>
      </c>
      <c r="Q732" t="s">
        <v>28</v>
      </c>
      <c r="R732" t="s">
        <v>29</v>
      </c>
      <c r="S732" t="s">
        <v>30</v>
      </c>
      <c r="T732">
        <v>1070973852</v>
      </c>
      <c r="U732" t="s">
        <v>3936</v>
      </c>
      <c r="V732" t="s">
        <v>3937</v>
      </c>
      <c r="W732" s="9">
        <f>IF(V732="pregrado",31,
IF(V732="posgrados",31,
IF(V732="rEINTEGROS",7,
IF(V732="BIT",90,
IF(V732="OP GRADO - INGLÉS",17,"")))))</f>
        <v>31</v>
      </c>
      <c r="X732" t="s">
        <v>3957</v>
      </c>
    </row>
    <row r="733" spans="1:24" ht="15" x14ac:dyDescent="0.35">
      <c r="A733" s="4">
        <v>46003.665590277778</v>
      </c>
      <c r="B733">
        <v>20107010</v>
      </c>
      <c r="C733" s="6" t="s">
        <v>19</v>
      </c>
      <c r="D733">
        <v>157834</v>
      </c>
      <c r="E733" t="s">
        <v>43</v>
      </c>
      <c r="F733">
        <v>36564939</v>
      </c>
      <c r="G733" t="s">
        <v>972</v>
      </c>
      <c r="H733">
        <v>100238381</v>
      </c>
      <c r="I733">
        <v>202651</v>
      </c>
      <c r="J733">
        <v>36564939</v>
      </c>
      <c r="K733" t="s">
        <v>23</v>
      </c>
      <c r="L733" t="s">
        <v>252</v>
      </c>
      <c r="M733" t="s">
        <v>253</v>
      </c>
      <c r="N733" t="s">
        <v>35</v>
      </c>
      <c r="O733" t="s">
        <v>26</v>
      </c>
      <c r="P733" t="s">
        <v>27</v>
      </c>
      <c r="Q733" t="s">
        <v>28</v>
      </c>
      <c r="R733" t="s">
        <v>29</v>
      </c>
      <c r="S733" t="s">
        <v>30</v>
      </c>
      <c r="T733">
        <v>1014285873</v>
      </c>
      <c r="U733" t="s">
        <v>3948</v>
      </c>
      <c r="V733" t="s">
        <v>3937</v>
      </c>
      <c r="W733" s="9">
        <f>IF(V733="pregrado",31,
IF(V733="posgrados",31,
IF(V733="rEINTEGROS",7,
IF(V733="BIT",90,
IF(V733="OP GRADO - INGLÉS",17,"")))))</f>
        <v>31</v>
      </c>
      <c r="X733" t="s">
        <v>3953</v>
      </c>
    </row>
    <row r="734" spans="1:24" ht="15" x14ac:dyDescent="0.35">
      <c r="A734" s="4">
        <v>46002.738969907405</v>
      </c>
      <c r="B734">
        <v>20106747</v>
      </c>
      <c r="C734" s="6" t="s">
        <v>19</v>
      </c>
      <c r="D734">
        <v>157839</v>
      </c>
      <c r="E734" t="s">
        <v>43</v>
      </c>
      <c r="F734">
        <v>1080426889</v>
      </c>
      <c r="G734" t="s">
        <v>933</v>
      </c>
      <c r="H734">
        <v>100238388</v>
      </c>
      <c r="I734">
        <v>202651</v>
      </c>
      <c r="J734">
        <v>39144888</v>
      </c>
      <c r="K734" t="s">
        <v>23</v>
      </c>
      <c r="L734" t="s">
        <v>252</v>
      </c>
      <c r="M734" t="s">
        <v>253</v>
      </c>
      <c r="N734" t="s">
        <v>35</v>
      </c>
      <c r="O734" t="s">
        <v>26</v>
      </c>
      <c r="P734" t="s">
        <v>27</v>
      </c>
      <c r="Q734" t="s">
        <v>28</v>
      </c>
      <c r="R734" t="s">
        <v>29</v>
      </c>
      <c r="S734" t="s">
        <v>30</v>
      </c>
      <c r="T734">
        <v>1014285873</v>
      </c>
      <c r="U734" t="s">
        <v>3948</v>
      </c>
      <c r="V734" t="s">
        <v>3937</v>
      </c>
      <c r="W734" s="9">
        <f>IF(V734="pregrado",31,
IF(V734="posgrados",31,
IF(V734="rEINTEGROS",7,
IF(V734="BIT",90,
IF(V734="OP GRADO - INGLÉS",17,"")))))</f>
        <v>31</v>
      </c>
      <c r="X734" t="s">
        <v>3953</v>
      </c>
    </row>
    <row r="735" spans="1:24" ht="15" x14ac:dyDescent="0.35">
      <c r="A735" s="4">
        <v>46002.423645833333</v>
      </c>
      <c r="B735">
        <v>20106576</v>
      </c>
      <c r="C735" s="6" t="s">
        <v>19</v>
      </c>
      <c r="D735">
        <v>157840</v>
      </c>
      <c r="E735" t="s">
        <v>43</v>
      </c>
      <c r="F735">
        <v>1233493908</v>
      </c>
      <c r="G735" t="s">
        <v>900</v>
      </c>
      <c r="H735">
        <v>100055422</v>
      </c>
      <c r="I735">
        <v>202651</v>
      </c>
      <c r="J735">
        <v>1233493908</v>
      </c>
      <c r="K735" t="s">
        <v>23</v>
      </c>
      <c r="L735" t="s">
        <v>542</v>
      </c>
      <c r="M735" t="s">
        <v>253</v>
      </c>
      <c r="N735" t="s">
        <v>35</v>
      </c>
      <c r="O735" t="s">
        <v>26</v>
      </c>
      <c r="P735" t="s">
        <v>27</v>
      </c>
      <c r="Q735" t="s">
        <v>28</v>
      </c>
      <c r="R735" t="s">
        <v>29</v>
      </c>
      <c r="S735" t="s">
        <v>30</v>
      </c>
      <c r="T735">
        <v>1033781417</v>
      </c>
      <c r="U735" t="s">
        <v>3948</v>
      </c>
      <c r="V735" t="s">
        <v>3937</v>
      </c>
      <c r="W735" s="9">
        <f>IF(V735="pregrado",31,
IF(V735="posgrados",31,
IF(V735="rEINTEGROS",7,
IF(V735="BIT",90,
IF(V735="OP GRADO - INGLÉS",17,"")))))</f>
        <v>31</v>
      </c>
      <c r="X735" t="s">
        <v>4031</v>
      </c>
    </row>
    <row r="736" spans="1:24" ht="15" x14ac:dyDescent="0.35">
      <c r="A736" s="4">
        <v>46006.706956018519</v>
      </c>
      <c r="B736">
        <v>20107525</v>
      </c>
      <c r="C736" s="6" t="s">
        <v>19</v>
      </c>
      <c r="D736">
        <v>157844</v>
      </c>
      <c r="E736" t="s">
        <v>43</v>
      </c>
      <c r="F736">
        <v>71352742</v>
      </c>
      <c r="G736" t="s">
        <v>1022</v>
      </c>
      <c r="H736">
        <v>100238402</v>
      </c>
      <c r="I736">
        <v>202651</v>
      </c>
      <c r="J736">
        <v>1045513994</v>
      </c>
      <c r="K736" t="s">
        <v>23</v>
      </c>
      <c r="L736" t="s">
        <v>252</v>
      </c>
      <c r="M736" t="s">
        <v>253</v>
      </c>
      <c r="N736" t="s">
        <v>35</v>
      </c>
      <c r="O736" t="s">
        <v>26</v>
      </c>
      <c r="P736" t="s">
        <v>27</v>
      </c>
      <c r="Q736" t="s">
        <v>28</v>
      </c>
      <c r="R736" t="s">
        <v>29</v>
      </c>
      <c r="S736" t="s">
        <v>30</v>
      </c>
      <c r="T736">
        <v>1020754225</v>
      </c>
      <c r="U736" t="s">
        <v>3948</v>
      </c>
      <c r="V736" t="s">
        <v>3937</v>
      </c>
      <c r="W736" s="9">
        <f>IF(V736="pregrado",31,
IF(V736="posgrados",31,
IF(V736="rEINTEGROS",7,
IF(V736="BIT",90,
IF(V736="OP GRADO - INGLÉS",17,"")))))</f>
        <v>31</v>
      </c>
      <c r="X736" t="s">
        <v>3981</v>
      </c>
    </row>
    <row r="737" spans="1:24" ht="15" x14ac:dyDescent="0.35">
      <c r="A737" s="4">
        <v>46006.770150462966</v>
      </c>
      <c r="B737">
        <v>20107586</v>
      </c>
      <c r="C737" s="6" t="s">
        <v>19</v>
      </c>
      <c r="D737">
        <v>157847</v>
      </c>
      <c r="E737" t="s">
        <v>43</v>
      </c>
      <c r="F737">
        <v>37915891</v>
      </c>
      <c r="G737" t="s">
        <v>1026</v>
      </c>
      <c r="H737">
        <v>100035540</v>
      </c>
      <c r="I737">
        <v>202641</v>
      </c>
      <c r="J737">
        <v>37915891</v>
      </c>
      <c r="K737" t="s">
        <v>46</v>
      </c>
      <c r="L737" t="s">
        <v>294</v>
      </c>
      <c r="M737" t="s">
        <v>47</v>
      </c>
      <c r="N737" t="s">
        <v>35</v>
      </c>
      <c r="O737" t="s">
        <v>26</v>
      </c>
      <c r="P737" t="s">
        <v>27</v>
      </c>
      <c r="Q737" t="s">
        <v>28</v>
      </c>
      <c r="R737" t="s">
        <v>29</v>
      </c>
      <c r="S737" t="s">
        <v>30</v>
      </c>
      <c r="T737">
        <v>1000934874</v>
      </c>
      <c r="U737" t="s">
        <v>3977</v>
      </c>
      <c r="V737" t="s">
        <v>3970</v>
      </c>
      <c r="W737" s="9">
        <f>IF(V737="pregrado",31,
IF(V737="posgrados",31,
IF(V737="rEINTEGROS",7,
IF(V737="BIT",90,
IF(V737="OP GRADO - INGLÉS",17,"")))))</f>
        <v>7</v>
      </c>
      <c r="X737" t="s">
        <v>3999</v>
      </c>
    </row>
    <row r="738" spans="1:24" ht="15" x14ac:dyDescent="0.35">
      <c r="A738" s="4">
        <v>46004.418043981481</v>
      </c>
      <c r="B738">
        <v>20107094</v>
      </c>
      <c r="C738" s="6" t="s">
        <v>19</v>
      </c>
      <c r="D738">
        <v>157850</v>
      </c>
      <c r="E738" t="s">
        <v>43</v>
      </c>
      <c r="F738">
        <v>20723523</v>
      </c>
      <c r="G738" t="s">
        <v>980</v>
      </c>
      <c r="H738">
        <v>100238416</v>
      </c>
      <c r="I738">
        <v>202641</v>
      </c>
      <c r="J738">
        <v>1076661795</v>
      </c>
      <c r="K738" t="s">
        <v>23</v>
      </c>
      <c r="L738" t="s">
        <v>279</v>
      </c>
      <c r="M738" t="s">
        <v>47</v>
      </c>
      <c r="N738" t="s">
        <v>35</v>
      </c>
      <c r="O738" t="s">
        <v>26</v>
      </c>
      <c r="P738" t="s">
        <v>27</v>
      </c>
      <c r="Q738" t="s">
        <v>28</v>
      </c>
      <c r="R738" t="s">
        <v>29</v>
      </c>
      <c r="S738" t="s">
        <v>30</v>
      </c>
      <c r="T738">
        <v>1012355141</v>
      </c>
      <c r="U738" t="s">
        <v>3936</v>
      </c>
      <c r="V738" t="s">
        <v>3937</v>
      </c>
      <c r="W738" s="9">
        <f>IF(V738="pregrado",31,
IF(V738="posgrados",31,
IF(V738="rEINTEGROS",7,
IF(V738="BIT",90,
IF(V738="OP GRADO - INGLÉS",17,"")))))</f>
        <v>31</v>
      </c>
      <c r="X738" t="s">
        <v>4045</v>
      </c>
    </row>
    <row r="739" spans="1:24" ht="15" x14ac:dyDescent="0.35">
      <c r="A739" s="4">
        <v>46002.775081018517</v>
      </c>
      <c r="B739">
        <v>20106757</v>
      </c>
      <c r="C739" s="6" t="s">
        <v>19</v>
      </c>
      <c r="D739">
        <v>157862</v>
      </c>
      <c r="E739" t="s">
        <v>43</v>
      </c>
      <c r="F739">
        <v>26863669</v>
      </c>
      <c r="G739" t="s">
        <v>936</v>
      </c>
      <c r="H739">
        <v>100238437</v>
      </c>
      <c r="I739">
        <v>202641</v>
      </c>
      <c r="J739">
        <v>26863669</v>
      </c>
      <c r="K739" t="s">
        <v>23</v>
      </c>
      <c r="L739" t="s">
        <v>279</v>
      </c>
      <c r="M739" t="s">
        <v>47</v>
      </c>
      <c r="N739" t="s">
        <v>35</v>
      </c>
      <c r="O739" t="s">
        <v>26</v>
      </c>
      <c r="P739" t="s">
        <v>27</v>
      </c>
      <c r="Q739" t="s">
        <v>28</v>
      </c>
      <c r="R739" t="s">
        <v>29</v>
      </c>
      <c r="S739" t="s">
        <v>30</v>
      </c>
      <c r="T739">
        <v>1032406382</v>
      </c>
      <c r="U739" t="s">
        <v>3936</v>
      </c>
      <c r="V739" t="s">
        <v>3937</v>
      </c>
      <c r="W739" s="9">
        <f>IF(V739="pregrado",31,
IF(V739="posgrados",31,
IF(V739="rEINTEGROS",7,
IF(V739="BIT",90,
IF(V739="OP GRADO - INGLÉS",17,"")))))</f>
        <v>31</v>
      </c>
      <c r="X739" t="s">
        <v>3991</v>
      </c>
    </row>
    <row r="740" spans="1:24" ht="15" x14ac:dyDescent="0.35">
      <c r="A740" s="4">
        <v>46002.63480324074</v>
      </c>
      <c r="B740">
        <v>20106680</v>
      </c>
      <c r="C740" s="6" t="s">
        <v>19</v>
      </c>
      <c r="D740">
        <v>157863</v>
      </c>
      <c r="E740" t="s">
        <v>43</v>
      </c>
      <c r="F740">
        <v>66875395</v>
      </c>
      <c r="G740" t="s">
        <v>916</v>
      </c>
      <c r="H740">
        <v>100238438</v>
      </c>
      <c r="I740">
        <v>202651</v>
      </c>
      <c r="J740">
        <v>1111799393</v>
      </c>
      <c r="K740" t="s">
        <v>23</v>
      </c>
      <c r="L740" t="s">
        <v>252</v>
      </c>
      <c r="M740" t="s">
        <v>253</v>
      </c>
      <c r="N740" t="s">
        <v>35</v>
      </c>
      <c r="O740" t="s">
        <v>26</v>
      </c>
      <c r="P740" t="s">
        <v>27</v>
      </c>
      <c r="Q740" t="s">
        <v>28</v>
      </c>
      <c r="R740" t="s">
        <v>29</v>
      </c>
      <c r="S740" t="s">
        <v>30</v>
      </c>
      <c r="T740">
        <v>1014285873</v>
      </c>
      <c r="U740" t="s">
        <v>3948</v>
      </c>
      <c r="V740" t="s">
        <v>3937</v>
      </c>
      <c r="W740" s="9">
        <f>IF(V740="pregrado",31,
IF(V740="posgrados",31,
IF(V740="rEINTEGROS",7,
IF(V740="BIT",90,
IF(V740="OP GRADO - INGLÉS",17,"")))))</f>
        <v>31</v>
      </c>
      <c r="X740" t="s">
        <v>3953</v>
      </c>
    </row>
    <row r="741" spans="1:24" ht="15" x14ac:dyDescent="0.35">
      <c r="A741" s="4">
        <v>46003.662199074075</v>
      </c>
      <c r="B741">
        <v>20107006</v>
      </c>
      <c r="C741" s="6" t="s">
        <v>19</v>
      </c>
      <c r="D741">
        <v>157864</v>
      </c>
      <c r="E741" t="s">
        <v>43</v>
      </c>
      <c r="F741">
        <v>1192894256</v>
      </c>
      <c r="G741" t="s">
        <v>971</v>
      </c>
      <c r="H741">
        <v>100238439</v>
      </c>
      <c r="I741">
        <v>202641</v>
      </c>
      <c r="J741">
        <v>1192894256</v>
      </c>
      <c r="K741" t="s">
        <v>23</v>
      </c>
      <c r="L741" t="s">
        <v>160</v>
      </c>
      <c r="M741" t="s">
        <v>47</v>
      </c>
      <c r="N741" t="s">
        <v>35</v>
      </c>
      <c r="O741" t="s">
        <v>26</v>
      </c>
      <c r="P741" t="s">
        <v>27</v>
      </c>
      <c r="Q741" t="s">
        <v>28</v>
      </c>
      <c r="R741" t="s">
        <v>29</v>
      </c>
      <c r="S741" t="s">
        <v>30</v>
      </c>
      <c r="T741">
        <v>1012355141</v>
      </c>
      <c r="U741" t="s">
        <v>3936</v>
      </c>
      <c r="V741" t="s">
        <v>3937</v>
      </c>
      <c r="W741" s="9">
        <f>IF(V741="pregrado",31,
IF(V741="posgrados",31,
IF(V741="rEINTEGROS",7,
IF(V741="BIT",90,
IF(V741="OP GRADO - INGLÉS",17,"")))))</f>
        <v>31</v>
      </c>
      <c r="X741" t="s">
        <v>4045</v>
      </c>
    </row>
    <row r="742" spans="1:24" ht="15" x14ac:dyDescent="0.35">
      <c r="A742" s="4">
        <v>46002.802337962959</v>
      </c>
      <c r="B742">
        <v>20106763</v>
      </c>
      <c r="C742" s="6" t="s">
        <v>19</v>
      </c>
      <c r="D742">
        <v>157866</v>
      </c>
      <c r="E742" t="s">
        <v>43</v>
      </c>
      <c r="F742">
        <v>1003174831</v>
      </c>
      <c r="G742" t="s">
        <v>938</v>
      </c>
      <c r="H742">
        <v>100238442</v>
      </c>
      <c r="I742">
        <v>202641</v>
      </c>
      <c r="J742">
        <v>1003174831</v>
      </c>
      <c r="K742" t="s">
        <v>23</v>
      </c>
      <c r="L742" t="s">
        <v>279</v>
      </c>
      <c r="M742" t="s">
        <v>47</v>
      </c>
      <c r="N742" t="s">
        <v>35</v>
      </c>
      <c r="O742" t="s">
        <v>26</v>
      </c>
      <c r="P742" t="s">
        <v>27</v>
      </c>
      <c r="Q742" t="s">
        <v>28</v>
      </c>
      <c r="R742" t="s">
        <v>29</v>
      </c>
      <c r="S742" t="s">
        <v>30</v>
      </c>
      <c r="T742">
        <v>1032406382</v>
      </c>
      <c r="U742" t="s">
        <v>3936</v>
      </c>
      <c r="V742" t="s">
        <v>3937</v>
      </c>
      <c r="W742" s="9">
        <f>IF(V742="pregrado",31,
IF(V742="posgrados",31,
IF(V742="rEINTEGROS",7,
IF(V742="BIT",90,
IF(V742="OP GRADO - INGLÉS",17,"")))))</f>
        <v>31</v>
      </c>
      <c r="X742" t="s">
        <v>3991</v>
      </c>
    </row>
    <row r="743" spans="1:24" ht="15" x14ac:dyDescent="0.35">
      <c r="A743" s="4">
        <v>46002.656863425924</v>
      </c>
      <c r="B743">
        <v>20106695</v>
      </c>
      <c r="C743" s="6" t="s">
        <v>19</v>
      </c>
      <c r="D743">
        <v>157876</v>
      </c>
      <c r="E743" t="s">
        <v>43</v>
      </c>
      <c r="F743">
        <v>1057602452</v>
      </c>
      <c r="G743" t="s">
        <v>920</v>
      </c>
      <c r="H743">
        <v>100238465</v>
      </c>
      <c r="I743">
        <v>202651</v>
      </c>
      <c r="J743">
        <v>1057602452</v>
      </c>
      <c r="K743" t="s">
        <v>23</v>
      </c>
      <c r="L743" t="s">
        <v>252</v>
      </c>
      <c r="M743" t="s">
        <v>253</v>
      </c>
      <c r="N743" t="s">
        <v>35</v>
      </c>
      <c r="O743" t="s">
        <v>26</v>
      </c>
      <c r="P743" t="s">
        <v>27</v>
      </c>
      <c r="Q743" t="s">
        <v>28</v>
      </c>
      <c r="R743" t="s">
        <v>29</v>
      </c>
      <c r="S743" t="s">
        <v>30</v>
      </c>
      <c r="T743">
        <v>1019068131</v>
      </c>
      <c r="U743" t="s">
        <v>3948</v>
      </c>
      <c r="V743" t="s">
        <v>3937</v>
      </c>
      <c r="W743" s="9">
        <f>IF(V743="pregrado",31,
IF(V743="posgrados",31,
IF(V743="rEINTEGROS",7,
IF(V743="BIT",90,
IF(V743="OP GRADO - INGLÉS",17,"")))))</f>
        <v>31</v>
      </c>
      <c r="X743" t="s">
        <v>4066</v>
      </c>
    </row>
    <row r="744" spans="1:24" ht="15" x14ac:dyDescent="0.35">
      <c r="A744" s="4">
        <v>46002.681377314817</v>
      </c>
      <c r="B744">
        <v>20106714</v>
      </c>
      <c r="C744" s="6" t="s">
        <v>19</v>
      </c>
      <c r="D744">
        <v>157877</v>
      </c>
      <c r="E744" t="s">
        <v>43</v>
      </c>
      <c r="F744">
        <v>1068975667</v>
      </c>
      <c r="G744" t="s">
        <v>925</v>
      </c>
      <c r="H744">
        <v>100035596</v>
      </c>
      <c r="I744">
        <v>202651</v>
      </c>
      <c r="J744">
        <v>1068975667</v>
      </c>
      <c r="K744" t="s">
        <v>23</v>
      </c>
      <c r="L744" t="s">
        <v>252</v>
      </c>
      <c r="M744" t="s">
        <v>253</v>
      </c>
      <c r="N744" t="s">
        <v>35</v>
      </c>
      <c r="O744" t="s">
        <v>26</v>
      </c>
      <c r="P744" t="s">
        <v>27</v>
      </c>
      <c r="Q744" t="s">
        <v>28</v>
      </c>
      <c r="R744" t="s">
        <v>29</v>
      </c>
      <c r="S744" t="s">
        <v>30</v>
      </c>
      <c r="T744">
        <v>1014285873</v>
      </c>
      <c r="U744" t="s">
        <v>3948</v>
      </c>
      <c r="V744" t="s">
        <v>3937</v>
      </c>
      <c r="W744" s="9">
        <f>IF(V744="pregrado",31,
IF(V744="posgrados",31,
IF(V744="rEINTEGROS",7,
IF(V744="BIT",90,
IF(V744="OP GRADO - INGLÉS",17,"")))))</f>
        <v>31</v>
      </c>
      <c r="X744" t="s">
        <v>3953</v>
      </c>
    </row>
    <row r="745" spans="1:24" ht="15" x14ac:dyDescent="0.35">
      <c r="A745" s="4">
        <v>46002.801076388889</v>
      </c>
      <c r="B745">
        <v>20106762</v>
      </c>
      <c r="C745" s="6" t="s">
        <v>19</v>
      </c>
      <c r="D745">
        <v>157878</v>
      </c>
      <c r="E745" t="s">
        <v>43</v>
      </c>
      <c r="F745">
        <v>1070948674</v>
      </c>
      <c r="G745" t="s">
        <v>937</v>
      </c>
      <c r="H745">
        <v>100038961</v>
      </c>
      <c r="I745">
        <v>202651</v>
      </c>
      <c r="J745">
        <v>1070948674</v>
      </c>
      <c r="K745" t="s">
        <v>23</v>
      </c>
      <c r="L745" t="s">
        <v>252</v>
      </c>
      <c r="M745" t="s">
        <v>253</v>
      </c>
      <c r="N745" t="s">
        <v>35</v>
      </c>
      <c r="O745" t="s">
        <v>26</v>
      </c>
      <c r="P745" t="s">
        <v>27</v>
      </c>
      <c r="Q745" t="s">
        <v>28</v>
      </c>
      <c r="R745" t="s">
        <v>29</v>
      </c>
      <c r="S745" t="s">
        <v>30</v>
      </c>
      <c r="T745">
        <v>1014285873</v>
      </c>
      <c r="U745" t="s">
        <v>3948</v>
      </c>
      <c r="V745" t="s">
        <v>3937</v>
      </c>
      <c r="W745" s="9">
        <f>IF(V745="pregrado",31,
IF(V745="posgrados",31,
IF(V745="rEINTEGROS",7,
IF(V745="BIT",90,
IF(V745="OP GRADO - INGLÉS",17,"")))))</f>
        <v>31</v>
      </c>
      <c r="X745" t="s">
        <v>3953</v>
      </c>
    </row>
    <row r="746" spans="1:24" ht="15" x14ac:dyDescent="0.35">
      <c r="A746" s="4">
        <v>46002.753344907411</v>
      </c>
      <c r="B746">
        <v>20106752</v>
      </c>
      <c r="C746" s="6" t="s">
        <v>19</v>
      </c>
      <c r="D746">
        <v>157883</v>
      </c>
      <c r="E746" t="s">
        <v>43</v>
      </c>
      <c r="F746">
        <v>1122415867</v>
      </c>
      <c r="G746" t="s">
        <v>934</v>
      </c>
      <c r="H746">
        <v>100238464</v>
      </c>
      <c r="I746">
        <v>202641</v>
      </c>
      <c r="J746">
        <v>1122415867</v>
      </c>
      <c r="K746" t="s">
        <v>23</v>
      </c>
      <c r="L746" t="s">
        <v>279</v>
      </c>
      <c r="M746" t="s">
        <v>47</v>
      </c>
      <c r="N746" t="s">
        <v>35</v>
      </c>
      <c r="O746" t="s">
        <v>26</v>
      </c>
      <c r="P746" t="s">
        <v>27</v>
      </c>
      <c r="Q746" t="s">
        <v>28</v>
      </c>
      <c r="R746" t="s">
        <v>29</v>
      </c>
      <c r="S746" t="s">
        <v>30</v>
      </c>
      <c r="T746">
        <v>1233888787</v>
      </c>
      <c r="U746" t="s">
        <v>3936</v>
      </c>
      <c r="V746" t="s">
        <v>3937</v>
      </c>
      <c r="W746" s="9">
        <f>IF(V746="pregrado",31,
IF(V746="posgrados",31,
IF(V746="rEINTEGROS",7,
IF(V746="BIT",90,
IF(V746="OP GRADO - INGLÉS",17,"")))))</f>
        <v>31</v>
      </c>
      <c r="X746" t="s">
        <v>3998</v>
      </c>
    </row>
    <row r="747" spans="1:24" ht="15" x14ac:dyDescent="0.35">
      <c r="A747" s="4">
        <v>46006.385752314818</v>
      </c>
      <c r="B747">
        <v>20107199</v>
      </c>
      <c r="C747" s="6" t="s">
        <v>19</v>
      </c>
      <c r="D747">
        <v>157886</v>
      </c>
      <c r="E747" t="s">
        <v>43</v>
      </c>
      <c r="F747">
        <v>1019029504</v>
      </c>
      <c r="G747" t="s">
        <v>986</v>
      </c>
      <c r="H747">
        <v>900013303</v>
      </c>
      <c r="I747">
        <v>202651</v>
      </c>
      <c r="J747">
        <v>1019029504</v>
      </c>
      <c r="K747" t="s">
        <v>23</v>
      </c>
      <c r="L747" t="s">
        <v>252</v>
      </c>
      <c r="M747" t="s">
        <v>253</v>
      </c>
      <c r="N747" t="s">
        <v>35</v>
      </c>
      <c r="O747" t="s">
        <v>26</v>
      </c>
      <c r="P747" t="s">
        <v>27</v>
      </c>
      <c r="Q747" t="s">
        <v>28</v>
      </c>
      <c r="R747" t="s">
        <v>29</v>
      </c>
      <c r="S747" t="s">
        <v>30</v>
      </c>
      <c r="T747">
        <v>1020754225</v>
      </c>
      <c r="U747" t="s">
        <v>3948</v>
      </c>
      <c r="V747" t="s">
        <v>3937</v>
      </c>
      <c r="W747" s="9">
        <f>IF(V747="pregrado",31,
IF(V747="posgrados",31,
IF(V747="rEINTEGROS",7,
IF(V747="BIT",90,
IF(V747="OP GRADO - INGLÉS",17,"")))))</f>
        <v>31</v>
      </c>
      <c r="X747" t="s">
        <v>3981</v>
      </c>
    </row>
    <row r="748" spans="1:24" ht="15" x14ac:dyDescent="0.35">
      <c r="A748" s="4">
        <v>46002.69127314815</v>
      </c>
      <c r="B748">
        <v>20106722</v>
      </c>
      <c r="C748" s="6" t="s">
        <v>19</v>
      </c>
      <c r="D748">
        <v>157890</v>
      </c>
      <c r="E748" t="s">
        <v>43</v>
      </c>
      <c r="F748">
        <v>1073978969</v>
      </c>
      <c r="G748" t="s">
        <v>927</v>
      </c>
      <c r="H748">
        <v>100101066</v>
      </c>
      <c r="I748">
        <v>202651</v>
      </c>
      <c r="J748">
        <v>1073978969</v>
      </c>
      <c r="K748" t="s">
        <v>46</v>
      </c>
      <c r="L748" t="s">
        <v>252</v>
      </c>
      <c r="M748" t="s">
        <v>253</v>
      </c>
      <c r="N748" t="s">
        <v>35</v>
      </c>
      <c r="O748" t="s">
        <v>26</v>
      </c>
      <c r="P748" t="s">
        <v>27</v>
      </c>
      <c r="Q748" t="s">
        <v>28</v>
      </c>
      <c r="R748" t="s">
        <v>29</v>
      </c>
      <c r="S748" t="s">
        <v>30</v>
      </c>
      <c r="T748">
        <v>1033781417</v>
      </c>
      <c r="U748" t="s">
        <v>3948</v>
      </c>
      <c r="V748" t="s">
        <v>3937</v>
      </c>
      <c r="W748" s="9">
        <f>IF(V748="pregrado",31,
IF(V748="posgrados",31,
IF(V748="rEINTEGROS",7,
IF(V748="BIT",90,
IF(V748="OP GRADO - INGLÉS",17,"")))))</f>
        <v>31</v>
      </c>
      <c r="X748" t="s">
        <v>4031</v>
      </c>
    </row>
    <row r="749" spans="1:24" ht="15" x14ac:dyDescent="0.35">
      <c r="A749" s="4">
        <v>46003.633298611108</v>
      </c>
      <c r="B749">
        <v>20106979</v>
      </c>
      <c r="C749" s="6" t="s">
        <v>19</v>
      </c>
      <c r="D749">
        <v>157894</v>
      </c>
      <c r="E749" t="s">
        <v>43</v>
      </c>
      <c r="F749">
        <v>12449058</v>
      </c>
      <c r="G749" t="s">
        <v>967</v>
      </c>
      <c r="H749">
        <v>100238498</v>
      </c>
      <c r="I749">
        <v>202651</v>
      </c>
      <c r="J749">
        <v>12449058</v>
      </c>
      <c r="K749" t="s">
        <v>23</v>
      </c>
      <c r="L749" t="s">
        <v>252</v>
      </c>
      <c r="M749" t="s">
        <v>253</v>
      </c>
      <c r="N749" t="s">
        <v>35</v>
      </c>
      <c r="O749" t="s">
        <v>26</v>
      </c>
      <c r="P749" t="s">
        <v>27</v>
      </c>
      <c r="Q749" t="s">
        <v>28</v>
      </c>
      <c r="R749" t="s">
        <v>29</v>
      </c>
      <c r="S749" t="s">
        <v>30</v>
      </c>
      <c r="T749">
        <v>1014285873</v>
      </c>
      <c r="U749" t="s">
        <v>3948</v>
      </c>
      <c r="V749" t="s">
        <v>3937</v>
      </c>
      <c r="W749" s="9">
        <f>IF(V749="pregrado",31,
IF(V749="posgrados",31,
IF(V749="rEINTEGROS",7,
IF(V749="BIT",90,
IF(V749="OP GRADO - INGLÉS",17,"")))))</f>
        <v>31</v>
      </c>
      <c r="X749" t="s">
        <v>3953</v>
      </c>
    </row>
    <row r="750" spans="1:24" ht="15" x14ac:dyDescent="0.35">
      <c r="A750" s="4">
        <v>46006.438171296293</v>
      </c>
      <c r="B750">
        <v>20107241</v>
      </c>
      <c r="C750" s="6" t="s">
        <v>19</v>
      </c>
      <c r="D750">
        <v>157898</v>
      </c>
      <c r="E750" t="s">
        <v>43</v>
      </c>
      <c r="F750">
        <v>40082038</v>
      </c>
      <c r="G750" t="s">
        <v>992</v>
      </c>
      <c r="H750">
        <v>100238510</v>
      </c>
      <c r="I750">
        <v>202651</v>
      </c>
      <c r="J750">
        <v>40082038</v>
      </c>
      <c r="K750" t="s">
        <v>23</v>
      </c>
      <c r="L750" t="s">
        <v>252</v>
      </c>
      <c r="M750" t="s">
        <v>253</v>
      </c>
      <c r="N750" t="s">
        <v>35</v>
      </c>
      <c r="O750" t="s">
        <v>26</v>
      </c>
      <c r="P750" t="s">
        <v>27</v>
      </c>
      <c r="Q750" t="s">
        <v>28</v>
      </c>
      <c r="R750" t="s">
        <v>29</v>
      </c>
      <c r="S750" t="s">
        <v>30</v>
      </c>
      <c r="T750">
        <v>1014285873</v>
      </c>
      <c r="U750" t="s">
        <v>3948</v>
      </c>
      <c r="V750" t="s">
        <v>3937</v>
      </c>
      <c r="W750" s="9">
        <f>IF(V750="pregrado",31,
IF(V750="posgrados",31,
IF(V750="rEINTEGROS",7,
IF(V750="BIT",90,
IF(V750="OP GRADO - INGLÉS",17,"")))))</f>
        <v>31</v>
      </c>
      <c r="X750" t="s">
        <v>3953</v>
      </c>
    </row>
    <row r="751" spans="1:24" ht="15" x14ac:dyDescent="0.35">
      <c r="A751" s="4">
        <v>46043.459062499998</v>
      </c>
      <c r="B751">
        <v>20115683</v>
      </c>
      <c r="C751" s="6" t="s">
        <v>19</v>
      </c>
      <c r="D751">
        <v>157899</v>
      </c>
      <c r="E751" t="s">
        <v>43</v>
      </c>
      <c r="F751">
        <v>1000687447</v>
      </c>
      <c r="G751" t="s">
        <v>2076</v>
      </c>
      <c r="H751">
        <v>100087894</v>
      </c>
      <c r="I751">
        <v>202641</v>
      </c>
      <c r="J751">
        <v>1000687447</v>
      </c>
      <c r="K751" t="s">
        <v>46</v>
      </c>
      <c r="L751" t="s">
        <v>294</v>
      </c>
      <c r="M751" t="s">
        <v>47</v>
      </c>
      <c r="N751" t="s">
        <v>35</v>
      </c>
      <c r="O751" t="s">
        <v>26</v>
      </c>
      <c r="P751" t="s">
        <v>27</v>
      </c>
      <c r="Q751" t="s">
        <v>28</v>
      </c>
      <c r="R751" t="s">
        <v>29</v>
      </c>
      <c r="S751" t="s">
        <v>30</v>
      </c>
      <c r="T751">
        <v>1140420282</v>
      </c>
      <c r="U751" t="s">
        <v>3948</v>
      </c>
      <c r="V751" t="s">
        <v>3937</v>
      </c>
      <c r="W751" s="9">
        <f>IF(V751="pregrado",31,
IF(V751="posgrados",31,
IF(V751="rEINTEGROS",7,
IF(V751="BIT",90,
IF(V751="OP GRADO - INGLÉS",17,"")))))</f>
        <v>31</v>
      </c>
      <c r="X751" t="s">
        <v>3972</v>
      </c>
    </row>
    <row r="752" spans="1:24" ht="15" x14ac:dyDescent="0.35">
      <c r="A752" s="4">
        <v>46003.416620370372</v>
      </c>
      <c r="B752">
        <v>20106848</v>
      </c>
      <c r="C752" s="6" t="s">
        <v>19</v>
      </c>
      <c r="D752">
        <v>157908</v>
      </c>
      <c r="E752" t="s">
        <v>43</v>
      </c>
      <c r="F752">
        <v>39277314</v>
      </c>
      <c r="G752" t="s">
        <v>947</v>
      </c>
      <c r="H752">
        <v>100238523</v>
      </c>
      <c r="I752">
        <v>202651</v>
      </c>
      <c r="J752">
        <v>39277314</v>
      </c>
      <c r="K752" t="s">
        <v>23</v>
      </c>
      <c r="L752" t="s">
        <v>252</v>
      </c>
      <c r="M752" t="s">
        <v>253</v>
      </c>
      <c r="N752" t="s">
        <v>35</v>
      </c>
      <c r="O752" t="s">
        <v>26</v>
      </c>
      <c r="P752" t="s">
        <v>27</v>
      </c>
      <c r="Q752" t="s">
        <v>28</v>
      </c>
      <c r="R752" t="s">
        <v>29</v>
      </c>
      <c r="S752" t="s">
        <v>30</v>
      </c>
      <c r="T752">
        <v>1233513889</v>
      </c>
      <c r="U752" t="s">
        <v>3948</v>
      </c>
      <c r="V752" t="s">
        <v>3937</v>
      </c>
      <c r="W752" s="9">
        <f>IF(V752="pregrado",31,
IF(V752="posgrados",31,
IF(V752="rEINTEGROS",7,
IF(V752="BIT",90,
IF(V752="OP GRADO - INGLÉS",17,"")))))</f>
        <v>31</v>
      </c>
      <c r="X752" t="s">
        <v>4035</v>
      </c>
    </row>
    <row r="753" spans="1:24" ht="15" x14ac:dyDescent="0.35">
      <c r="A753" s="4">
        <v>46008.355787037035</v>
      </c>
      <c r="B753">
        <v>20108072</v>
      </c>
      <c r="C753" s="6" t="s">
        <v>19</v>
      </c>
      <c r="D753">
        <v>157911</v>
      </c>
      <c r="E753" t="s">
        <v>43</v>
      </c>
      <c r="F753">
        <v>1144049544</v>
      </c>
      <c r="G753" t="s">
        <v>1064</v>
      </c>
      <c r="H753">
        <v>100238527</v>
      </c>
      <c r="I753">
        <v>202641</v>
      </c>
      <c r="J753">
        <v>1144049544</v>
      </c>
      <c r="K753" t="s">
        <v>23</v>
      </c>
      <c r="L753" t="s">
        <v>59</v>
      </c>
      <c r="M753" t="s">
        <v>47</v>
      </c>
      <c r="N753" t="s">
        <v>25</v>
      </c>
      <c r="O753" t="s">
        <v>26</v>
      </c>
      <c r="P753" t="s">
        <v>27</v>
      </c>
      <c r="Q753" t="s">
        <v>28</v>
      </c>
      <c r="R753" t="s">
        <v>29</v>
      </c>
      <c r="S753" t="s">
        <v>30</v>
      </c>
      <c r="T753">
        <v>52916205</v>
      </c>
      <c r="U753" t="s">
        <v>3936</v>
      </c>
      <c r="V753" t="s">
        <v>3937</v>
      </c>
      <c r="W753" s="9">
        <f>IF(V753="pregrado",31,
IF(V753="posgrados",31,
IF(V753="rEINTEGROS",7,
IF(V753="BIT",90,
IF(V753="OP GRADO - INGLÉS",17,"")))))</f>
        <v>31</v>
      </c>
      <c r="X753" t="s">
        <v>4032</v>
      </c>
    </row>
    <row r="754" spans="1:24" ht="15" x14ac:dyDescent="0.35">
      <c r="A754" s="4">
        <v>46003.410428240742</v>
      </c>
      <c r="B754">
        <v>20106841</v>
      </c>
      <c r="C754" s="6" t="s">
        <v>19</v>
      </c>
      <c r="D754">
        <v>157912</v>
      </c>
      <c r="E754" t="s">
        <v>43</v>
      </c>
      <c r="F754">
        <v>1100400342</v>
      </c>
      <c r="G754" t="s">
        <v>944</v>
      </c>
      <c r="H754">
        <v>100238529</v>
      </c>
      <c r="I754">
        <v>202651</v>
      </c>
      <c r="J754">
        <v>1100400342</v>
      </c>
      <c r="K754" t="s">
        <v>23</v>
      </c>
      <c r="L754" t="s">
        <v>252</v>
      </c>
      <c r="M754" t="s">
        <v>253</v>
      </c>
      <c r="N754" t="s">
        <v>35</v>
      </c>
      <c r="O754" t="s">
        <v>26</v>
      </c>
      <c r="P754" t="s">
        <v>27</v>
      </c>
      <c r="Q754" t="s">
        <v>28</v>
      </c>
      <c r="R754" t="s">
        <v>29</v>
      </c>
      <c r="S754" t="s">
        <v>30</v>
      </c>
      <c r="T754">
        <v>1016030683</v>
      </c>
      <c r="U754" t="s">
        <v>3936</v>
      </c>
      <c r="V754" t="s">
        <v>3937</v>
      </c>
      <c r="W754" s="9">
        <f>IF(V754="pregrado",31,
IF(V754="posgrados",31,
IF(V754="rEINTEGROS",7,
IF(V754="BIT",90,
IF(V754="OP GRADO - INGLÉS",17,"")))))</f>
        <v>31</v>
      </c>
      <c r="X754" t="s">
        <v>3992</v>
      </c>
    </row>
    <row r="755" spans="1:24" ht="15" x14ac:dyDescent="0.35">
      <c r="A755" s="4">
        <v>46004.475069444445</v>
      </c>
      <c r="B755">
        <v>20107111</v>
      </c>
      <c r="C755" s="6" t="s">
        <v>19</v>
      </c>
      <c r="D755">
        <v>157914</v>
      </c>
      <c r="E755" t="s">
        <v>43</v>
      </c>
      <c r="F755">
        <v>1013620915</v>
      </c>
      <c r="G755" t="s">
        <v>983</v>
      </c>
      <c r="H755">
        <v>100060424</v>
      </c>
      <c r="I755">
        <v>202651</v>
      </c>
      <c r="J755">
        <v>1013647501</v>
      </c>
      <c r="K755" t="s">
        <v>23</v>
      </c>
      <c r="L755" t="s">
        <v>252</v>
      </c>
      <c r="M755" t="s">
        <v>253</v>
      </c>
      <c r="N755">
        <v>0</v>
      </c>
      <c r="O755" t="s">
        <v>26</v>
      </c>
      <c r="P755" t="s">
        <v>27</v>
      </c>
      <c r="Q755" t="s">
        <v>28</v>
      </c>
      <c r="R755" t="s">
        <v>29</v>
      </c>
      <c r="S755" t="s">
        <v>30</v>
      </c>
      <c r="T755">
        <v>1000120140</v>
      </c>
      <c r="U755" t="s">
        <v>3936</v>
      </c>
      <c r="V755" t="s">
        <v>3937</v>
      </c>
      <c r="W755" s="9">
        <f>IF(V755="pregrado",31,
IF(V755="posgrados",31,
IF(V755="rEINTEGROS",7,
IF(V755="BIT",90,
IF(V755="OP GRADO - INGLÉS",17,"")))))</f>
        <v>31</v>
      </c>
      <c r="X755" t="s">
        <v>3935</v>
      </c>
    </row>
    <row r="756" spans="1:24" ht="15" x14ac:dyDescent="0.35">
      <c r="A756" s="4">
        <v>46003.428831018522</v>
      </c>
      <c r="B756">
        <v>20106863</v>
      </c>
      <c r="C756" s="6" t="s">
        <v>19</v>
      </c>
      <c r="D756">
        <v>157916</v>
      </c>
      <c r="E756" t="s">
        <v>43</v>
      </c>
      <c r="F756">
        <v>43544942</v>
      </c>
      <c r="G756" t="s">
        <v>950</v>
      </c>
      <c r="H756">
        <v>100238519</v>
      </c>
      <c r="I756">
        <v>202641</v>
      </c>
      <c r="J756">
        <v>1152460330</v>
      </c>
      <c r="K756" t="s">
        <v>23</v>
      </c>
      <c r="L756" t="s">
        <v>279</v>
      </c>
      <c r="M756" t="s">
        <v>47</v>
      </c>
      <c r="N756" t="s">
        <v>35</v>
      </c>
      <c r="O756" t="s">
        <v>26</v>
      </c>
      <c r="P756" t="s">
        <v>27</v>
      </c>
      <c r="Q756" t="s">
        <v>28</v>
      </c>
      <c r="R756" t="s">
        <v>29</v>
      </c>
      <c r="S756" t="s">
        <v>30</v>
      </c>
      <c r="T756">
        <v>1070973852</v>
      </c>
      <c r="U756" t="s">
        <v>3936</v>
      </c>
      <c r="V756" t="s">
        <v>3937</v>
      </c>
      <c r="W756" s="9">
        <f>IF(V756="pregrado",31,
IF(V756="posgrados",31,
IF(V756="rEINTEGROS",7,
IF(V756="BIT",90,
IF(V756="OP GRADO - INGLÉS",17,"")))))</f>
        <v>31</v>
      </c>
      <c r="X756" t="s">
        <v>3957</v>
      </c>
    </row>
    <row r="757" spans="1:24" ht="15" x14ac:dyDescent="0.35">
      <c r="A757" s="4">
        <v>46003.417870370373</v>
      </c>
      <c r="B757">
        <v>20106850</v>
      </c>
      <c r="C757" s="6" t="s">
        <v>19</v>
      </c>
      <c r="D757">
        <v>157918</v>
      </c>
      <c r="E757" t="s">
        <v>43</v>
      </c>
      <c r="F757">
        <v>1002493639</v>
      </c>
      <c r="G757" t="s">
        <v>948</v>
      </c>
      <c r="H757">
        <v>100238537</v>
      </c>
      <c r="I757">
        <v>202641</v>
      </c>
      <c r="J757">
        <v>1002493639</v>
      </c>
      <c r="K757" t="s">
        <v>23</v>
      </c>
      <c r="L757" t="s">
        <v>279</v>
      </c>
      <c r="M757" t="s">
        <v>47</v>
      </c>
      <c r="N757" t="s">
        <v>35</v>
      </c>
      <c r="O757" t="s">
        <v>26</v>
      </c>
      <c r="P757" t="s">
        <v>27</v>
      </c>
      <c r="Q757" t="s">
        <v>28</v>
      </c>
      <c r="R757" t="s">
        <v>29</v>
      </c>
      <c r="S757" t="s">
        <v>30</v>
      </c>
      <c r="T757">
        <v>1000120140</v>
      </c>
      <c r="U757" t="s">
        <v>3936</v>
      </c>
      <c r="V757" t="s">
        <v>3937</v>
      </c>
      <c r="W757" s="9">
        <f>IF(V757="pregrado",31,
IF(V757="posgrados",31,
IF(V757="rEINTEGROS",7,
IF(V757="BIT",90,
IF(V757="OP GRADO - INGLÉS",17,"")))))</f>
        <v>31</v>
      </c>
      <c r="X757" t="s">
        <v>3935</v>
      </c>
    </row>
    <row r="758" spans="1:24" ht="15" x14ac:dyDescent="0.35">
      <c r="A758" s="4">
        <v>46008.4606712963</v>
      </c>
      <c r="B758">
        <v>20108145</v>
      </c>
      <c r="C758" s="6" t="s">
        <v>19</v>
      </c>
      <c r="D758">
        <v>157945</v>
      </c>
      <c r="E758" t="s">
        <v>43</v>
      </c>
      <c r="F758">
        <v>26883808</v>
      </c>
      <c r="G758" t="s">
        <v>1075</v>
      </c>
      <c r="H758">
        <v>100238566</v>
      </c>
      <c r="I758">
        <v>202641</v>
      </c>
      <c r="J758">
        <v>26883808</v>
      </c>
      <c r="K758" t="s">
        <v>23</v>
      </c>
      <c r="L758" t="s">
        <v>279</v>
      </c>
      <c r="M758" t="s">
        <v>47</v>
      </c>
      <c r="N758" t="s">
        <v>35</v>
      </c>
      <c r="O758" t="s">
        <v>26</v>
      </c>
      <c r="P758" t="s">
        <v>27</v>
      </c>
      <c r="Q758" t="s">
        <v>28</v>
      </c>
      <c r="R758" t="s">
        <v>29</v>
      </c>
      <c r="S758" t="s">
        <v>30</v>
      </c>
      <c r="T758">
        <v>1193146767</v>
      </c>
      <c r="U758" t="s">
        <v>3936</v>
      </c>
      <c r="V758" t="s">
        <v>3937</v>
      </c>
      <c r="W758" s="9">
        <f>IF(V758="pregrado",31,
IF(V758="posgrados",31,
IF(V758="rEINTEGROS",7,
IF(V758="BIT",90,
IF(V758="OP GRADO - INGLÉS",17,"")))))</f>
        <v>31</v>
      </c>
      <c r="X758" t="s">
        <v>4072</v>
      </c>
    </row>
    <row r="759" spans="1:24" ht="15" x14ac:dyDescent="0.35">
      <c r="A759" s="4">
        <v>46006.506215277775</v>
      </c>
      <c r="B759">
        <v>20107305</v>
      </c>
      <c r="C759" s="6" t="s">
        <v>19</v>
      </c>
      <c r="D759">
        <v>157966</v>
      </c>
      <c r="E759" t="s">
        <v>43</v>
      </c>
      <c r="F759">
        <v>53083163</v>
      </c>
      <c r="G759" t="s">
        <v>998</v>
      </c>
      <c r="H759">
        <v>100238594</v>
      </c>
      <c r="I759">
        <v>202651</v>
      </c>
      <c r="J759">
        <v>53083163</v>
      </c>
      <c r="K759" t="s">
        <v>23</v>
      </c>
      <c r="L759" t="s">
        <v>252</v>
      </c>
      <c r="M759" t="s">
        <v>253</v>
      </c>
      <c r="N759" t="s">
        <v>35</v>
      </c>
      <c r="O759" t="s">
        <v>26</v>
      </c>
      <c r="P759" t="s">
        <v>27</v>
      </c>
      <c r="Q759" t="s">
        <v>28</v>
      </c>
      <c r="R759" t="s">
        <v>29</v>
      </c>
      <c r="S759" t="s">
        <v>30</v>
      </c>
      <c r="T759">
        <v>1020754225</v>
      </c>
      <c r="U759" t="s">
        <v>3948</v>
      </c>
      <c r="V759" t="s">
        <v>3937</v>
      </c>
      <c r="W759" s="9">
        <f>IF(V759="pregrado",31,
IF(V759="posgrados",31,
IF(V759="rEINTEGROS",7,
IF(V759="BIT",90,
IF(V759="OP GRADO - INGLÉS",17,"")))))</f>
        <v>31</v>
      </c>
      <c r="X759" t="s">
        <v>3981</v>
      </c>
    </row>
    <row r="760" spans="1:24" ht="15" x14ac:dyDescent="0.35">
      <c r="A760" s="4">
        <v>46003.635613425926</v>
      </c>
      <c r="B760">
        <v>20106980</v>
      </c>
      <c r="C760" s="6" t="s">
        <v>19</v>
      </c>
      <c r="D760">
        <v>157992</v>
      </c>
      <c r="E760" t="s">
        <v>43</v>
      </c>
      <c r="F760">
        <v>46385111</v>
      </c>
      <c r="G760" t="s">
        <v>968</v>
      </c>
      <c r="H760">
        <v>100238658</v>
      </c>
      <c r="I760">
        <v>202651</v>
      </c>
      <c r="J760">
        <v>46385111</v>
      </c>
      <c r="K760" t="s">
        <v>23</v>
      </c>
      <c r="L760" t="s">
        <v>252</v>
      </c>
      <c r="M760" t="s">
        <v>253</v>
      </c>
      <c r="N760" t="s">
        <v>35</v>
      </c>
      <c r="O760" t="s">
        <v>26</v>
      </c>
      <c r="P760" t="s">
        <v>27</v>
      </c>
      <c r="Q760" t="s">
        <v>28</v>
      </c>
      <c r="R760" t="s">
        <v>29</v>
      </c>
      <c r="S760" t="s">
        <v>30</v>
      </c>
      <c r="T760">
        <v>1014285873</v>
      </c>
      <c r="U760" t="s">
        <v>3948</v>
      </c>
      <c r="V760" t="s">
        <v>3937</v>
      </c>
      <c r="W760" s="9">
        <f>IF(V760="pregrado",31,
IF(V760="posgrados",31,
IF(V760="rEINTEGROS",7,
IF(V760="BIT",90,
IF(V760="OP GRADO - INGLÉS",17,"")))))</f>
        <v>31</v>
      </c>
      <c r="X760" t="s">
        <v>3953</v>
      </c>
    </row>
    <row r="761" spans="1:24" ht="15" x14ac:dyDescent="0.35">
      <c r="A761" s="4">
        <v>46013.682442129626</v>
      </c>
      <c r="B761">
        <v>20109256</v>
      </c>
      <c r="C761" s="6" t="s">
        <v>19</v>
      </c>
      <c r="D761">
        <v>158027</v>
      </c>
      <c r="E761" t="s">
        <v>43</v>
      </c>
      <c r="F761">
        <v>1053814341</v>
      </c>
      <c r="G761" t="s">
        <v>1236</v>
      </c>
      <c r="H761">
        <v>100053139</v>
      </c>
      <c r="I761">
        <v>202641</v>
      </c>
      <c r="J761">
        <v>1053814341</v>
      </c>
      <c r="K761" t="s">
        <v>89</v>
      </c>
      <c r="L761" t="s">
        <v>99</v>
      </c>
      <c r="M761" t="s">
        <v>47</v>
      </c>
      <c r="N761" t="s">
        <v>35</v>
      </c>
      <c r="O761" t="s">
        <v>26</v>
      </c>
      <c r="P761" t="s">
        <v>27</v>
      </c>
      <c r="Q761" t="s">
        <v>28</v>
      </c>
      <c r="R761" t="s">
        <v>29</v>
      </c>
      <c r="S761" t="s">
        <v>30</v>
      </c>
      <c r="T761">
        <v>1019102787</v>
      </c>
      <c r="U761" t="s">
        <v>3977</v>
      </c>
      <c r="V761" t="s">
        <v>3970</v>
      </c>
      <c r="W761" s="9">
        <f>IF(V761="pregrado",31,
IF(V761="posgrados",31,
IF(V761="rEINTEGROS",7,
IF(V761="BIT",90,
IF(V761="OP GRADO - INGLÉS",17,"")))))</f>
        <v>7</v>
      </c>
      <c r="X761" t="s">
        <v>3976</v>
      </c>
    </row>
    <row r="762" spans="1:24" ht="15" x14ac:dyDescent="0.35">
      <c r="A762" s="4">
        <v>46003.765833333331</v>
      </c>
      <c r="B762">
        <v>20107064</v>
      </c>
      <c r="C762" s="6" t="s">
        <v>19</v>
      </c>
      <c r="D762">
        <v>158057</v>
      </c>
      <c r="E762" t="s">
        <v>43</v>
      </c>
      <c r="F762">
        <v>55166868</v>
      </c>
      <c r="G762" t="s">
        <v>977</v>
      </c>
      <c r="H762">
        <v>100238713</v>
      </c>
      <c r="I762">
        <v>202651</v>
      </c>
      <c r="J762">
        <v>55166868</v>
      </c>
      <c r="K762" t="s">
        <v>23</v>
      </c>
      <c r="L762" t="s">
        <v>252</v>
      </c>
      <c r="M762" t="s">
        <v>253</v>
      </c>
      <c r="N762" t="s">
        <v>35</v>
      </c>
      <c r="O762" t="s">
        <v>26</v>
      </c>
      <c r="P762" t="s">
        <v>27</v>
      </c>
      <c r="Q762" t="s">
        <v>28</v>
      </c>
      <c r="R762" t="s">
        <v>29</v>
      </c>
      <c r="S762" t="s">
        <v>30</v>
      </c>
      <c r="T762">
        <v>1233513889</v>
      </c>
      <c r="U762" t="s">
        <v>3948</v>
      </c>
      <c r="V762" t="s">
        <v>3937</v>
      </c>
      <c r="W762" s="9">
        <f>IF(V762="pregrado",31,
IF(V762="posgrados",31,
IF(V762="rEINTEGROS",7,
IF(V762="BIT",90,
IF(V762="OP GRADO - INGLÉS",17,"")))))</f>
        <v>31</v>
      </c>
      <c r="X762" t="s">
        <v>4035</v>
      </c>
    </row>
    <row r="763" spans="1:24" ht="15" x14ac:dyDescent="0.35">
      <c r="A763" s="4">
        <v>46006.421469907407</v>
      </c>
      <c r="B763">
        <v>20107223</v>
      </c>
      <c r="C763" s="6" t="s">
        <v>19</v>
      </c>
      <c r="D763">
        <v>158072</v>
      </c>
      <c r="E763" t="s">
        <v>43</v>
      </c>
      <c r="F763">
        <v>6177281</v>
      </c>
      <c r="G763" t="s">
        <v>988</v>
      </c>
      <c r="H763">
        <v>100238722</v>
      </c>
      <c r="I763">
        <v>202651</v>
      </c>
      <c r="J763">
        <v>1111807020</v>
      </c>
      <c r="K763" t="s">
        <v>23</v>
      </c>
      <c r="L763" t="s">
        <v>252</v>
      </c>
      <c r="M763" t="s">
        <v>253</v>
      </c>
      <c r="N763" t="s">
        <v>35</v>
      </c>
      <c r="O763" t="s">
        <v>26</v>
      </c>
      <c r="P763" t="s">
        <v>27</v>
      </c>
      <c r="Q763" t="s">
        <v>28</v>
      </c>
      <c r="R763" t="s">
        <v>29</v>
      </c>
      <c r="S763" t="s">
        <v>30</v>
      </c>
      <c r="T763">
        <v>1020754225</v>
      </c>
      <c r="U763" t="s">
        <v>3948</v>
      </c>
      <c r="V763" t="s">
        <v>3937</v>
      </c>
      <c r="W763" s="9">
        <f>IF(V763="pregrado",31,
IF(V763="posgrados",31,
IF(V763="rEINTEGROS",7,
IF(V763="BIT",90,
IF(V763="OP GRADO - INGLÉS",17,"")))))</f>
        <v>31</v>
      </c>
      <c r="X763" t="s">
        <v>3981</v>
      </c>
    </row>
    <row r="764" spans="1:24" ht="15" x14ac:dyDescent="0.35">
      <c r="A764" s="4">
        <v>46006.533680555556</v>
      </c>
      <c r="B764">
        <v>20107331</v>
      </c>
      <c r="C764" s="6" t="s">
        <v>19</v>
      </c>
      <c r="D764">
        <v>158079</v>
      </c>
      <c r="E764" t="s">
        <v>43</v>
      </c>
      <c r="F764">
        <v>1143263464</v>
      </c>
      <c r="G764" t="s">
        <v>1003</v>
      </c>
      <c r="H764">
        <v>100238771</v>
      </c>
      <c r="I764">
        <v>202651</v>
      </c>
      <c r="J764">
        <v>1143260424</v>
      </c>
      <c r="K764" t="s">
        <v>23</v>
      </c>
      <c r="L764" t="s">
        <v>542</v>
      </c>
      <c r="M764" t="s">
        <v>253</v>
      </c>
      <c r="N764" t="s">
        <v>35</v>
      </c>
      <c r="O764" t="s">
        <v>26</v>
      </c>
      <c r="P764" t="s">
        <v>27</v>
      </c>
      <c r="Q764" t="s">
        <v>28</v>
      </c>
      <c r="R764" t="s">
        <v>29</v>
      </c>
      <c r="S764" t="s">
        <v>30</v>
      </c>
      <c r="T764">
        <v>1026262709</v>
      </c>
      <c r="U764" t="s">
        <v>3936</v>
      </c>
      <c r="V764" t="s">
        <v>3937</v>
      </c>
      <c r="W764" s="9">
        <f>IF(V764="pregrado",31,
IF(V764="posgrados",31,
IF(V764="rEINTEGROS",7,
IF(V764="BIT",90,
IF(V764="OP GRADO - INGLÉS",17,"")))))</f>
        <v>31</v>
      </c>
      <c r="X764" t="s">
        <v>4037</v>
      </c>
    </row>
    <row r="765" spans="1:24" ht="15" x14ac:dyDescent="0.35">
      <c r="A765" s="4">
        <v>46006.430775462963</v>
      </c>
      <c r="B765">
        <v>20107233</v>
      </c>
      <c r="C765" s="6" t="s">
        <v>19</v>
      </c>
      <c r="D765">
        <v>158081</v>
      </c>
      <c r="E765" t="s">
        <v>43</v>
      </c>
      <c r="F765">
        <v>1111792855</v>
      </c>
      <c r="G765" t="s">
        <v>989</v>
      </c>
      <c r="H765">
        <v>100238724</v>
      </c>
      <c r="I765">
        <v>202651</v>
      </c>
      <c r="J765">
        <v>1111792855</v>
      </c>
      <c r="K765" t="s">
        <v>23</v>
      </c>
      <c r="L765" t="s">
        <v>252</v>
      </c>
      <c r="M765" t="s">
        <v>253</v>
      </c>
      <c r="N765" t="s">
        <v>35</v>
      </c>
      <c r="O765" t="s">
        <v>26</v>
      </c>
      <c r="P765" t="s">
        <v>27</v>
      </c>
      <c r="Q765" t="s">
        <v>28</v>
      </c>
      <c r="R765" t="s">
        <v>29</v>
      </c>
      <c r="S765" t="s">
        <v>30</v>
      </c>
      <c r="T765">
        <v>1075542872</v>
      </c>
      <c r="U765" t="s">
        <v>3948</v>
      </c>
      <c r="V765" t="s">
        <v>3937</v>
      </c>
      <c r="W765" s="9">
        <f>IF(V765="pregrado",31,
IF(V765="posgrados",31,
IF(V765="rEINTEGROS",7,
IF(V765="BIT",90,
IF(V765="OP GRADO - INGLÉS",17,"")))))</f>
        <v>31</v>
      </c>
      <c r="X765" t="s">
        <v>3974</v>
      </c>
    </row>
    <row r="766" spans="1:24" ht="15" x14ac:dyDescent="0.35">
      <c r="A766" s="4">
        <v>46010.729502314818</v>
      </c>
      <c r="B766">
        <v>20108937</v>
      </c>
      <c r="C766" s="6" t="s">
        <v>19</v>
      </c>
      <c r="D766">
        <v>158145</v>
      </c>
      <c r="E766" t="s">
        <v>43</v>
      </c>
      <c r="F766">
        <v>1045145597</v>
      </c>
      <c r="G766" t="s">
        <v>1194</v>
      </c>
      <c r="H766">
        <v>100201995</v>
      </c>
      <c r="I766">
        <v>202651</v>
      </c>
      <c r="J766">
        <v>35891924</v>
      </c>
      <c r="K766" t="s">
        <v>33</v>
      </c>
      <c r="L766" t="s">
        <v>252</v>
      </c>
      <c r="M766" t="s">
        <v>253</v>
      </c>
      <c r="N766" t="s">
        <v>35</v>
      </c>
      <c r="O766" t="s">
        <v>26</v>
      </c>
      <c r="P766" t="s">
        <v>27</v>
      </c>
      <c r="Q766" t="s">
        <v>28</v>
      </c>
      <c r="R766" t="s">
        <v>29</v>
      </c>
      <c r="S766" t="s">
        <v>30</v>
      </c>
      <c r="T766">
        <v>1233513889</v>
      </c>
      <c r="U766" t="s">
        <v>3948</v>
      </c>
      <c r="V766" t="s">
        <v>3937</v>
      </c>
      <c r="W766" s="9">
        <f>IF(V766="pregrado",31,
IF(V766="posgrados",31,
IF(V766="rEINTEGROS",7,
IF(V766="BIT",90,
IF(V766="OP GRADO - INGLÉS",17,"")))))</f>
        <v>31</v>
      </c>
      <c r="X766" t="s">
        <v>4035</v>
      </c>
    </row>
    <row r="767" spans="1:24" ht="15" x14ac:dyDescent="0.35">
      <c r="A767" s="4">
        <v>46017.492708333331</v>
      </c>
      <c r="B767">
        <v>20109842</v>
      </c>
      <c r="C767" s="6" t="s">
        <v>19</v>
      </c>
      <c r="D767">
        <v>158236</v>
      </c>
      <c r="E767" t="s">
        <v>43</v>
      </c>
      <c r="F767">
        <v>1052414589</v>
      </c>
      <c r="G767" t="s">
        <v>1320</v>
      </c>
      <c r="H767">
        <v>100235155</v>
      </c>
      <c r="I767">
        <v>202651</v>
      </c>
      <c r="J767">
        <v>1052414589</v>
      </c>
      <c r="K767" t="s">
        <v>23</v>
      </c>
      <c r="L767" t="s">
        <v>252</v>
      </c>
      <c r="M767" t="s">
        <v>253</v>
      </c>
      <c r="N767" t="s">
        <v>35</v>
      </c>
      <c r="O767" t="s">
        <v>26</v>
      </c>
      <c r="P767" t="s">
        <v>27</v>
      </c>
      <c r="Q767" t="s">
        <v>28</v>
      </c>
      <c r="R767" t="s">
        <v>29</v>
      </c>
      <c r="S767" t="s">
        <v>30</v>
      </c>
      <c r="T767">
        <v>1020754225</v>
      </c>
      <c r="U767" t="s">
        <v>3948</v>
      </c>
      <c r="V767" t="s">
        <v>3937</v>
      </c>
      <c r="W767" s="9">
        <f>IF(V767="pregrado",31,
IF(V767="posgrados",31,
IF(V767="rEINTEGROS",7,
IF(V767="BIT",90,
IF(V767="OP GRADO - INGLÉS",17,"")))))</f>
        <v>31</v>
      </c>
      <c r="X767" t="s">
        <v>3981</v>
      </c>
    </row>
    <row r="768" spans="1:24" ht="15" x14ac:dyDescent="0.35">
      <c r="A768" s="4">
        <v>46041.878692129627</v>
      </c>
      <c r="B768">
        <v>20115129</v>
      </c>
      <c r="C768" s="6" t="s">
        <v>19</v>
      </c>
      <c r="D768">
        <v>158385</v>
      </c>
      <c r="E768" t="s">
        <v>43</v>
      </c>
      <c r="F768">
        <v>1022383586</v>
      </c>
      <c r="G768" t="s">
        <v>1994</v>
      </c>
      <c r="H768">
        <v>100238588</v>
      </c>
      <c r="I768">
        <v>202651</v>
      </c>
      <c r="J768">
        <v>1003630111</v>
      </c>
      <c r="K768" t="s">
        <v>23</v>
      </c>
      <c r="L768" t="s">
        <v>252</v>
      </c>
      <c r="M768" t="s">
        <v>253</v>
      </c>
      <c r="N768" t="s">
        <v>35</v>
      </c>
      <c r="O768" t="s">
        <v>26</v>
      </c>
      <c r="P768" t="s">
        <v>27</v>
      </c>
      <c r="Q768" t="s">
        <v>28</v>
      </c>
      <c r="R768" t="s">
        <v>29</v>
      </c>
      <c r="S768" t="s">
        <v>30</v>
      </c>
      <c r="T768">
        <v>1014285873</v>
      </c>
      <c r="U768" t="s">
        <v>3948</v>
      </c>
      <c r="V768" t="s">
        <v>3937</v>
      </c>
      <c r="W768" s="9">
        <f>IF(V768="pregrado",31,
IF(V768="posgrados",31,
IF(V768="rEINTEGROS",7,
IF(V768="BIT",90,
IF(V768="OP GRADO - INGLÉS",17,"")))))</f>
        <v>31</v>
      </c>
      <c r="X768" t="s">
        <v>3953</v>
      </c>
    </row>
    <row r="769" spans="1:24" ht="15" x14ac:dyDescent="0.35">
      <c r="A769" s="4">
        <v>46015.40519675926</v>
      </c>
      <c r="B769">
        <v>20109705</v>
      </c>
      <c r="C769" s="6" t="s">
        <v>19</v>
      </c>
      <c r="D769">
        <v>158387</v>
      </c>
      <c r="E769" t="s">
        <v>43</v>
      </c>
      <c r="F769">
        <v>52615752</v>
      </c>
      <c r="G769" t="s">
        <v>1293</v>
      </c>
      <c r="H769">
        <v>100238618</v>
      </c>
      <c r="I769">
        <v>202641</v>
      </c>
      <c r="J769">
        <v>1033815331</v>
      </c>
      <c r="K769" t="s">
        <v>23</v>
      </c>
      <c r="L769" t="s">
        <v>342</v>
      </c>
      <c r="M769" t="s">
        <v>47</v>
      </c>
      <c r="N769" t="s">
        <v>35</v>
      </c>
      <c r="O769" t="s">
        <v>26</v>
      </c>
      <c r="P769" t="s">
        <v>27</v>
      </c>
      <c r="Q769" t="s">
        <v>28</v>
      </c>
      <c r="R769" t="s">
        <v>29</v>
      </c>
      <c r="S769" t="s">
        <v>30</v>
      </c>
      <c r="T769">
        <v>1014285873</v>
      </c>
      <c r="U769" t="s">
        <v>3948</v>
      </c>
      <c r="V769" t="s">
        <v>3937</v>
      </c>
      <c r="W769" s="9">
        <f>IF(V769="pregrado",31,
IF(V769="posgrados",31,
IF(V769="rEINTEGROS",7,
IF(V769="BIT",90,
IF(V769="OP GRADO - INGLÉS",17,"")))))</f>
        <v>31</v>
      </c>
      <c r="X769" t="s">
        <v>3953</v>
      </c>
    </row>
    <row r="770" spans="1:24" ht="15" x14ac:dyDescent="0.35">
      <c r="A770" s="4">
        <v>46010.51835648148</v>
      </c>
      <c r="B770">
        <v>20108786</v>
      </c>
      <c r="C770" s="6" t="s">
        <v>19</v>
      </c>
      <c r="D770">
        <v>158394</v>
      </c>
      <c r="E770" t="s">
        <v>43</v>
      </c>
      <c r="F770">
        <v>1111773951</v>
      </c>
      <c r="G770" t="s">
        <v>990</v>
      </c>
      <c r="H770">
        <v>100238690</v>
      </c>
      <c r="I770">
        <v>202651</v>
      </c>
      <c r="J770">
        <v>1111773951</v>
      </c>
      <c r="K770" t="s">
        <v>23</v>
      </c>
      <c r="L770" t="s">
        <v>252</v>
      </c>
      <c r="M770" t="s">
        <v>253</v>
      </c>
      <c r="N770" t="s">
        <v>35</v>
      </c>
      <c r="O770" t="s">
        <v>26</v>
      </c>
      <c r="P770" t="s">
        <v>27</v>
      </c>
      <c r="Q770" t="s">
        <v>28</v>
      </c>
      <c r="R770" t="s">
        <v>29</v>
      </c>
      <c r="S770" t="s">
        <v>30</v>
      </c>
      <c r="T770">
        <v>1020754225</v>
      </c>
      <c r="U770" t="s">
        <v>3948</v>
      </c>
      <c r="V770" t="s">
        <v>3937</v>
      </c>
      <c r="W770" s="9">
        <f>IF(V770="pregrado",31,
IF(V770="posgrados",31,
IF(V770="rEINTEGROS",7,
IF(V770="BIT",90,
IF(V770="OP GRADO - INGLÉS",17,"")))))</f>
        <v>31</v>
      </c>
      <c r="X770" t="s">
        <v>3981</v>
      </c>
    </row>
    <row r="771" spans="1:24" ht="15" x14ac:dyDescent="0.35">
      <c r="A771" s="4">
        <v>46014.732986111114</v>
      </c>
      <c r="B771">
        <v>20109634</v>
      </c>
      <c r="C771" s="6" t="s">
        <v>19</v>
      </c>
      <c r="D771">
        <v>158397</v>
      </c>
      <c r="E771" t="s">
        <v>43</v>
      </c>
      <c r="F771">
        <v>1106363249</v>
      </c>
      <c r="G771" t="s">
        <v>1288</v>
      </c>
      <c r="H771">
        <v>100238707</v>
      </c>
      <c r="I771">
        <v>202651</v>
      </c>
      <c r="J771">
        <v>1106363249</v>
      </c>
      <c r="K771" t="s">
        <v>23</v>
      </c>
      <c r="L771" t="s">
        <v>252</v>
      </c>
      <c r="M771" t="s">
        <v>253</v>
      </c>
      <c r="N771" t="s">
        <v>35</v>
      </c>
      <c r="O771" t="s">
        <v>26</v>
      </c>
      <c r="P771" t="s">
        <v>27</v>
      </c>
      <c r="Q771" t="s">
        <v>28</v>
      </c>
      <c r="R771" t="s">
        <v>29</v>
      </c>
      <c r="S771" t="s">
        <v>30</v>
      </c>
      <c r="T771">
        <v>1014285873</v>
      </c>
      <c r="U771" t="s">
        <v>3948</v>
      </c>
      <c r="V771" t="s">
        <v>3937</v>
      </c>
      <c r="W771" s="9">
        <f>IF(V771="pregrado",31,
IF(V771="posgrados",31,
IF(V771="rEINTEGROS",7,
IF(V771="BIT",90,
IF(V771="OP GRADO - INGLÉS",17,"")))))</f>
        <v>31</v>
      </c>
      <c r="X771" t="s">
        <v>3953</v>
      </c>
    </row>
    <row r="772" spans="1:24" ht="15" x14ac:dyDescent="0.35">
      <c r="A772" s="4">
        <v>46028.689247685186</v>
      </c>
      <c r="B772">
        <v>20111280</v>
      </c>
      <c r="C772" s="6" t="s">
        <v>19</v>
      </c>
      <c r="D772">
        <v>158405</v>
      </c>
      <c r="E772" t="s">
        <v>43</v>
      </c>
      <c r="F772">
        <v>1069468023</v>
      </c>
      <c r="G772" t="s">
        <v>1531</v>
      </c>
      <c r="H772">
        <v>200068699</v>
      </c>
      <c r="I772">
        <v>202641</v>
      </c>
      <c r="J772">
        <v>1069468023</v>
      </c>
      <c r="K772" t="s">
        <v>23</v>
      </c>
      <c r="L772" t="s">
        <v>736</v>
      </c>
      <c r="M772" t="s">
        <v>47</v>
      </c>
      <c r="N772" t="s">
        <v>35</v>
      </c>
      <c r="O772" t="s">
        <v>26</v>
      </c>
      <c r="P772" t="s">
        <v>27</v>
      </c>
      <c r="Q772" t="s">
        <v>28</v>
      </c>
      <c r="R772" t="s">
        <v>29</v>
      </c>
      <c r="S772" t="s">
        <v>30</v>
      </c>
      <c r="T772">
        <v>1022407392</v>
      </c>
      <c r="U772" t="s">
        <v>3936</v>
      </c>
      <c r="V772" t="s">
        <v>3937</v>
      </c>
      <c r="W772" s="9">
        <f>IF(V772="pregrado",31,
IF(V772="posgrados",31,
IF(V772="rEINTEGROS",7,
IF(V772="BIT",90,
IF(V772="OP GRADO - INGLÉS",17,"")))))</f>
        <v>31</v>
      </c>
      <c r="X772" t="s">
        <v>3975</v>
      </c>
    </row>
    <row r="773" spans="1:24" ht="15" x14ac:dyDescent="0.35">
      <c r="A773" s="4">
        <v>46043.718229166669</v>
      </c>
      <c r="B773">
        <v>20115897</v>
      </c>
      <c r="C773" s="6" t="s">
        <v>19</v>
      </c>
      <c r="D773">
        <v>158409</v>
      </c>
      <c r="E773" t="s">
        <v>43</v>
      </c>
      <c r="F773">
        <v>1073519962</v>
      </c>
      <c r="G773" t="s">
        <v>2117</v>
      </c>
      <c r="H773">
        <v>900004466</v>
      </c>
      <c r="I773">
        <v>202641</v>
      </c>
      <c r="J773">
        <v>1073519962</v>
      </c>
      <c r="K773" t="s">
        <v>23</v>
      </c>
      <c r="L773" t="s">
        <v>45</v>
      </c>
      <c r="M773" t="s">
        <v>47</v>
      </c>
      <c r="N773" t="s">
        <v>35</v>
      </c>
      <c r="O773" t="s">
        <v>26</v>
      </c>
      <c r="P773" t="s">
        <v>27</v>
      </c>
      <c r="Q773" t="s">
        <v>28</v>
      </c>
      <c r="R773" t="s">
        <v>29</v>
      </c>
      <c r="S773" t="s">
        <v>30</v>
      </c>
      <c r="T773">
        <v>1140420282</v>
      </c>
      <c r="U773" t="s">
        <v>3948</v>
      </c>
      <c r="V773" t="s">
        <v>3937</v>
      </c>
      <c r="W773" s="9">
        <f>IF(V773="pregrado",31,
IF(V773="posgrados",31,
IF(V773="rEINTEGROS",7,
IF(V773="BIT",90,
IF(V773="OP GRADO - INGLÉS",17,"")))))</f>
        <v>31</v>
      </c>
      <c r="X773" t="s">
        <v>3972</v>
      </c>
    </row>
    <row r="774" spans="1:24" ht="15" x14ac:dyDescent="0.35">
      <c r="A774" s="4">
        <v>46038.630613425928</v>
      </c>
      <c r="B774">
        <v>20114372</v>
      </c>
      <c r="C774" s="6" t="s">
        <v>19</v>
      </c>
      <c r="D774">
        <v>158416</v>
      </c>
      <c r="E774" t="s">
        <v>43</v>
      </c>
      <c r="F774">
        <v>1077466755</v>
      </c>
      <c r="G774" t="s">
        <v>1908</v>
      </c>
      <c r="H774">
        <v>100238799</v>
      </c>
      <c r="I774">
        <v>202651</v>
      </c>
      <c r="J774">
        <v>1077466755</v>
      </c>
      <c r="K774" t="s">
        <v>23</v>
      </c>
      <c r="L774" t="s">
        <v>252</v>
      </c>
      <c r="M774" t="s">
        <v>253</v>
      </c>
      <c r="N774" t="s">
        <v>35</v>
      </c>
      <c r="O774" t="s">
        <v>26</v>
      </c>
      <c r="P774" t="s">
        <v>27</v>
      </c>
      <c r="Q774" t="s">
        <v>28</v>
      </c>
      <c r="R774" t="s">
        <v>29</v>
      </c>
      <c r="S774" t="s">
        <v>30</v>
      </c>
      <c r="T774">
        <v>52032666</v>
      </c>
      <c r="U774" t="s">
        <v>3948</v>
      </c>
      <c r="V774" t="s">
        <v>3937</v>
      </c>
      <c r="W774" s="9">
        <f>IF(V774="pregrado",31,
IF(V774="posgrados",31,
IF(V774="rEINTEGROS",7,
IF(V774="BIT",90,
IF(V774="OP GRADO - INGLÉS",17,"")))))</f>
        <v>31</v>
      </c>
      <c r="X774" t="s">
        <v>3983</v>
      </c>
    </row>
    <row r="775" spans="1:24" ht="15" x14ac:dyDescent="0.35">
      <c r="A775" s="4">
        <v>46020.585520833331</v>
      </c>
      <c r="B775">
        <v>20110121</v>
      </c>
      <c r="C775" s="6" t="s">
        <v>19</v>
      </c>
      <c r="D775">
        <v>158420</v>
      </c>
      <c r="E775" t="s">
        <v>43</v>
      </c>
      <c r="F775">
        <v>1117521463</v>
      </c>
      <c r="G775" t="s">
        <v>1370</v>
      </c>
      <c r="H775">
        <v>100237864</v>
      </c>
      <c r="I775">
        <v>202651</v>
      </c>
      <c r="J775">
        <v>1117521463</v>
      </c>
      <c r="K775" t="s">
        <v>23</v>
      </c>
      <c r="L775" t="s">
        <v>252</v>
      </c>
      <c r="M775" t="s">
        <v>253</v>
      </c>
      <c r="N775" t="s">
        <v>35</v>
      </c>
      <c r="O775" t="s">
        <v>26</v>
      </c>
      <c r="P775" t="s">
        <v>27</v>
      </c>
      <c r="Q775" t="s">
        <v>28</v>
      </c>
      <c r="R775" t="s">
        <v>29</v>
      </c>
      <c r="S775" t="s">
        <v>30</v>
      </c>
      <c r="T775">
        <v>52032666</v>
      </c>
      <c r="U775" t="s">
        <v>3948</v>
      </c>
      <c r="V775" t="s">
        <v>3937</v>
      </c>
      <c r="W775" s="9">
        <f>IF(V775="pregrado",31,
IF(V775="posgrados",31,
IF(V775="rEINTEGROS",7,
IF(V775="BIT",90,
IF(V775="OP GRADO - INGLÉS",17,"")))))</f>
        <v>31</v>
      </c>
      <c r="X775" t="s">
        <v>3983</v>
      </c>
    </row>
    <row r="776" spans="1:24" ht="15" x14ac:dyDescent="0.35">
      <c r="A776" s="4">
        <v>46015.545092592591</v>
      </c>
      <c r="B776">
        <v>20109739</v>
      </c>
      <c r="C776" s="6" t="s">
        <v>19</v>
      </c>
      <c r="D776">
        <v>158422</v>
      </c>
      <c r="E776" t="s">
        <v>43</v>
      </c>
      <c r="F776">
        <v>1121880859</v>
      </c>
      <c r="G776" t="s">
        <v>1302</v>
      </c>
      <c r="H776">
        <v>100238807</v>
      </c>
      <c r="I776">
        <v>202651</v>
      </c>
      <c r="J776">
        <v>1121880859</v>
      </c>
      <c r="K776" t="s">
        <v>23</v>
      </c>
      <c r="L776" t="s">
        <v>252</v>
      </c>
      <c r="M776" t="s">
        <v>253</v>
      </c>
      <c r="N776" t="s">
        <v>35</v>
      </c>
      <c r="O776" t="s">
        <v>26</v>
      </c>
      <c r="P776" t="s">
        <v>27</v>
      </c>
      <c r="Q776" t="s">
        <v>28</v>
      </c>
      <c r="R776" t="s">
        <v>29</v>
      </c>
      <c r="S776" t="s">
        <v>30</v>
      </c>
      <c r="T776">
        <v>1031147887</v>
      </c>
      <c r="U776" t="s">
        <v>3948</v>
      </c>
      <c r="V776" t="s">
        <v>3937</v>
      </c>
      <c r="W776" s="9">
        <f>IF(V776="pregrado",31,
IF(V776="posgrados",31,
IF(V776="rEINTEGROS",7,
IF(V776="BIT",90,
IF(V776="OP GRADO - INGLÉS",17,"")))))</f>
        <v>31</v>
      </c>
      <c r="X776" t="s">
        <v>3947</v>
      </c>
    </row>
    <row r="777" spans="1:24" ht="15" x14ac:dyDescent="0.35">
      <c r="A777" s="4">
        <v>46009.523333333331</v>
      </c>
      <c r="B777">
        <v>20108510</v>
      </c>
      <c r="C777" s="6" t="s">
        <v>19</v>
      </c>
      <c r="D777">
        <v>158424</v>
      </c>
      <c r="E777" t="s">
        <v>43</v>
      </c>
      <c r="F777">
        <v>10307588</v>
      </c>
      <c r="G777" t="s">
        <v>1130</v>
      </c>
      <c r="H777">
        <v>100238810</v>
      </c>
      <c r="I777">
        <v>202651</v>
      </c>
      <c r="J777">
        <v>10307588</v>
      </c>
      <c r="K777" t="s">
        <v>23</v>
      </c>
      <c r="L777" t="s">
        <v>252</v>
      </c>
      <c r="M777" t="s">
        <v>253</v>
      </c>
      <c r="N777" t="s">
        <v>35</v>
      </c>
      <c r="O777" t="s">
        <v>26</v>
      </c>
      <c r="P777" t="s">
        <v>27</v>
      </c>
      <c r="Q777" t="s">
        <v>28</v>
      </c>
      <c r="R777" t="s">
        <v>29</v>
      </c>
      <c r="S777" t="s">
        <v>30</v>
      </c>
      <c r="T777">
        <v>1016030683</v>
      </c>
      <c r="U777" t="s">
        <v>3936</v>
      </c>
      <c r="V777" t="s">
        <v>3937</v>
      </c>
      <c r="W777" s="9">
        <f>IF(V777="pregrado",31,
IF(V777="posgrados",31,
IF(V777="rEINTEGROS",7,
IF(V777="BIT",90,
IF(V777="OP GRADO - INGLÉS",17,"")))))</f>
        <v>31</v>
      </c>
      <c r="X777" t="s">
        <v>3992</v>
      </c>
    </row>
    <row r="778" spans="1:24" ht="15" x14ac:dyDescent="0.35">
      <c r="A778" s="4">
        <v>46006.597696759258</v>
      </c>
      <c r="B778">
        <v>20107398</v>
      </c>
      <c r="C778" s="6" t="s">
        <v>19</v>
      </c>
      <c r="D778">
        <v>158426</v>
      </c>
      <c r="E778" t="s">
        <v>43</v>
      </c>
      <c r="F778">
        <v>73191576</v>
      </c>
      <c r="G778" t="s">
        <v>1007</v>
      </c>
      <c r="H778">
        <v>100238728</v>
      </c>
      <c r="I778">
        <v>202651</v>
      </c>
      <c r="J778">
        <v>1083017411</v>
      </c>
      <c r="K778" t="s">
        <v>23</v>
      </c>
      <c r="L778" t="s">
        <v>252</v>
      </c>
      <c r="M778" t="s">
        <v>253</v>
      </c>
      <c r="N778" t="s">
        <v>35</v>
      </c>
      <c r="O778" t="s">
        <v>26</v>
      </c>
      <c r="P778" t="s">
        <v>27</v>
      </c>
      <c r="Q778" t="s">
        <v>28</v>
      </c>
      <c r="R778" t="s">
        <v>29</v>
      </c>
      <c r="S778" t="s">
        <v>30</v>
      </c>
      <c r="T778">
        <v>1020754225</v>
      </c>
      <c r="U778" t="s">
        <v>3948</v>
      </c>
      <c r="V778" t="s">
        <v>3937</v>
      </c>
      <c r="W778" s="9">
        <f>IF(V778="pregrado",31,
IF(V778="posgrados",31,
IF(V778="rEINTEGROS",7,
IF(V778="BIT",90,
IF(V778="OP GRADO - INGLÉS",17,"")))))</f>
        <v>31</v>
      </c>
      <c r="X778" t="s">
        <v>3981</v>
      </c>
    </row>
    <row r="779" spans="1:24" ht="15" x14ac:dyDescent="0.35">
      <c r="A779" s="4">
        <v>46009.474317129629</v>
      </c>
      <c r="B779">
        <v>20108475</v>
      </c>
      <c r="C779" s="6" t="s">
        <v>19</v>
      </c>
      <c r="D779">
        <v>158437</v>
      </c>
      <c r="E779" t="s">
        <v>43</v>
      </c>
      <c r="F779">
        <v>41517768</v>
      </c>
      <c r="G779" t="s">
        <v>1123</v>
      </c>
      <c r="H779">
        <v>100238738</v>
      </c>
      <c r="I779">
        <v>202651</v>
      </c>
      <c r="J779">
        <v>1083006177</v>
      </c>
      <c r="K779" t="s">
        <v>23</v>
      </c>
      <c r="L779" t="s">
        <v>252</v>
      </c>
      <c r="M779" t="s">
        <v>253</v>
      </c>
      <c r="N779" t="s">
        <v>35</v>
      </c>
      <c r="O779" t="s">
        <v>26</v>
      </c>
      <c r="P779" t="s">
        <v>27</v>
      </c>
      <c r="Q779" t="s">
        <v>28</v>
      </c>
      <c r="R779" t="s">
        <v>29</v>
      </c>
      <c r="S779" t="s">
        <v>30</v>
      </c>
      <c r="T779">
        <v>1020754225</v>
      </c>
      <c r="U779" t="s">
        <v>3948</v>
      </c>
      <c r="V779" t="s">
        <v>3937</v>
      </c>
      <c r="W779" s="9">
        <f>IF(V779="pregrado",31,
IF(V779="posgrados",31,
IF(V779="rEINTEGROS",7,
IF(V779="BIT",90,
IF(V779="OP GRADO - INGLÉS",17,"")))))</f>
        <v>31</v>
      </c>
      <c r="X779" t="s">
        <v>3981</v>
      </c>
    </row>
    <row r="780" spans="1:24" ht="15" x14ac:dyDescent="0.35">
      <c r="A780" s="4">
        <v>46006.607708333337</v>
      </c>
      <c r="B780">
        <v>20107404</v>
      </c>
      <c r="C780" s="6" t="s">
        <v>19</v>
      </c>
      <c r="D780">
        <v>158439</v>
      </c>
      <c r="E780" t="s">
        <v>43</v>
      </c>
      <c r="F780">
        <v>1083896921</v>
      </c>
      <c r="G780" t="s">
        <v>1009</v>
      </c>
      <c r="H780">
        <v>100238823</v>
      </c>
      <c r="I780">
        <v>202651</v>
      </c>
      <c r="J780">
        <v>1083896921</v>
      </c>
      <c r="K780" t="s">
        <v>23</v>
      </c>
      <c r="L780" t="s">
        <v>252</v>
      </c>
      <c r="M780" t="s">
        <v>253</v>
      </c>
      <c r="N780" t="s">
        <v>35</v>
      </c>
      <c r="O780" t="s">
        <v>26</v>
      </c>
      <c r="P780" t="s">
        <v>27</v>
      </c>
      <c r="Q780" t="s">
        <v>28</v>
      </c>
      <c r="R780" t="s">
        <v>29</v>
      </c>
      <c r="S780" t="s">
        <v>30</v>
      </c>
      <c r="T780">
        <v>1019068131</v>
      </c>
      <c r="U780" t="s">
        <v>3948</v>
      </c>
      <c r="V780" t="s">
        <v>3937</v>
      </c>
      <c r="W780" s="9">
        <f>IF(V780="pregrado",31,
IF(V780="posgrados",31,
IF(V780="rEINTEGROS",7,
IF(V780="BIT",90,
IF(V780="OP GRADO - INGLÉS",17,"")))))</f>
        <v>31</v>
      </c>
      <c r="X780" t="s">
        <v>4066</v>
      </c>
    </row>
    <row r="781" spans="1:24" ht="15" x14ac:dyDescent="0.35">
      <c r="A781" s="4">
        <v>46007.708912037036</v>
      </c>
      <c r="B781">
        <v>20107957</v>
      </c>
      <c r="C781" s="6" t="s">
        <v>19</v>
      </c>
      <c r="D781">
        <v>158440</v>
      </c>
      <c r="E781" t="s">
        <v>43</v>
      </c>
      <c r="F781">
        <v>1020779129</v>
      </c>
      <c r="G781" t="s">
        <v>1057</v>
      </c>
      <c r="H781">
        <v>900000352</v>
      </c>
      <c r="I781">
        <v>202641</v>
      </c>
      <c r="J781">
        <v>1020779129</v>
      </c>
      <c r="K781" t="s">
        <v>23</v>
      </c>
      <c r="L781" t="s">
        <v>59</v>
      </c>
      <c r="M781" t="s">
        <v>47</v>
      </c>
      <c r="N781" t="s">
        <v>35</v>
      </c>
      <c r="O781" t="s">
        <v>26</v>
      </c>
      <c r="P781" t="s">
        <v>27</v>
      </c>
      <c r="Q781" t="s">
        <v>28</v>
      </c>
      <c r="R781" t="s">
        <v>29</v>
      </c>
      <c r="S781" t="s">
        <v>30</v>
      </c>
      <c r="T781">
        <v>1193146767</v>
      </c>
      <c r="U781" t="s">
        <v>3936</v>
      </c>
      <c r="V781" t="s">
        <v>3937</v>
      </c>
      <c r="W781" s="9">
        <f>IF(V781="pregrado",31,
IF(V781="posgrados",31,
IF(V781="rEINTEGROS",7,
IF(V781="BIT",90,
IF(V781="OP GRADO - INGLÉS",17,"")))))</f>
        <v>31</v>
      </c>
      <c r="X781" t="s">
        <v>4072</v>
      </c>
    </row>
    <row r="782" spans="1:24" ht="15" x14ac:dyDescent="0.35">
      <c r="A782" s="4">
        <v>46009.419282407405</v>
      </c>
      <c r="B782">
        <v>20108430</v>
      </c>
      <c r="C782" s="6" t="s">
        <v>19</v>
      </c>
      <c r="D782">
        <v>158448</v>
      </c>
      <c r="E782" t="s">
        <v>43</v>
      </c>
      <c r="F782">
        <v>30571521</v>
      </c>
      <c r="G782" t="s">
        <v>1110</v>
      </c>
      <c r="H782">
        <v>100139367</v>
      </c>
      <c r="I782">
        <v>202651</v>
      </c>
      <c r="J782">
        <v>1069487169</v>
      </c>
      <c r="K782" t="s">
        <v>23</v>
      </c>
      <c r="L782" t="s">
        <v>252</v>
      </c>
      <c r="M782" t="s">
        <v>253</v>
      </c>
      <c r="N782" t="s">
        <v>35</v>
      </c>
      <c r="O782" t="s">
        <v>26</v>
      </c>
      <c r="P782" t="s">
        <v>27</v>
      </c>
      <c r="Q782" t="s">
        <v>28</v>
      </c>
      <c r="R782" t="s">
        <v>29</v>
      </c>
      <c r="S782" t="s">
        <v>30</v>
      </c>
      <c r="T782">
        <v>1000120140</v>
      </c>
      <c r="U782" t="s">
        <v>3936</v>
      </c>
      <c r="V782" t="s">
        <v>3937</v>
      </c>
      <c r="W782" s="9">
        <f>IF(V782="pregrado",31,
IF(V782="posgrados",31,
IF(V782="rEINTEGROS",7,
IF(V782="BIT",90,
IF(V782="OP GRADO - INGLÉS",17,"")))))</f>
        <v>31</v>
      </c>
      <c r="X782" t="s">
        <v>3935</v>
      </c>
    </row>
    <row r="783" spans="1:24" ht="15" x14ac:dyDescent="0.35">
      <c r="A783" s="4">
        <v>46010.938206018516</v>
      </c>
      <c r="B783">
        <v>20108963</v>
      </c>
      <c r="C783" s="6" t="s">
        <v>19</v>
      </c>
      <c r="D783">
        <v>158453</v>
      </c>
      <c r="E783" t="s">
        <v>43</v>
      </c>
      <c r="F783">
        <v>1052988306</v>
      </c>
      <c r="G783" t="s">
        <v>1200</v>
      </c>
      <c r="H783">
        <v>100238843</v>
      </c>
      <c r="I783">
        <v>202651</v>
      </c>
      <c r="J783">
        <v>1002497532</v>
      </c>
      <c r="K783" t="s">
        <v>23</v>
      </c>
      <c r="L783" t="s">
        <v>252</v>
      </c>
      <c r="M783" t="s">
        <v>253</v>
      </c>
      <c r="N783" t="s">
        <v>35</v>
      </c>
      <c r="O783" t="s">
        <v>26</v>
      </c>
      <c r="P783" t="s">
        <v>27</v>
      </c>
      <c r="Q783" t="s">
        <v>28</v>
      </c>
      <c r="R783" t="s">
        <v>29</v>
      </c>
      <c r="S783" t="s">
        <v>30</v>
      </c>
      <c r="T783">
        <v>1075542872</v>
      </c>
      <c r="U783" t="s">
        <v>3948</v>
      </c>
      <c r="V783" t="s">
        <v>3937</v>
      </c>
      <c r="W783" s="9">
        <f>IF(V783="pregrado",31,
IF(V783="posgrados",31,
IF(V783="rEINTEGROS",7,
IF(V783="BIT",90,
IF(V783="OP GRADO - INGLÉS",17,"")))))</f>
        <v>31</v>
      </c>
      <c r="X783" t="s">
        <v>3974</v>
      </c>
    </row>
    <row r="784" spans="1:24" ht="15" x14ac:dyDescent="0.35">
      <c r="A784" s="4">
        <v>46007.875740740739</v>
      </c>
      <c r="B784">
        <v>20108034</v>
      </c>
      <c r="C784" s="6" t="s">
        <v>19</v>
      </c>
      <c r="D784">
        <v>158458</v>
      </c>
      <c r="E784" t="s">
        <v>43</v>
      </c>
      <c r="F784">
        <v>40692739</v>
      </c>
      <c r="G784" t="s">
        <v>1062</v>
      </c>
      <c r="H784">
        <v>100031196</v>
      </c>
      <c r="I784">
        <v>202651</v>
      </c>
      <c r="J784">
        <v>40692739</v>
      </c>
      <c r="K784" t="s">
        <v>23</v>
      </c>
      <c r="L784" t="s">
        <v>252</v>
      </c>
      <c r="M784" t="s">
        <v>253</v>
      </c>
      <c r="N784" t="s">
        <v>35</v>
      </c>
      <c r="O784" t="s">
        <v>26</v>
      </c>
      <c r="P784" t="s">
        <v>27</v>
      </c>
      <c r="Q784" t="s">
        <v>28</v>
      </c>
      <c r="R784" t="s">
        <v>29</v>
      </c>
      <c r="S784" t="s">
        <v>30</v>
      </c>
      <c r="T784">
        <v>1031147887</v>
      </c>
      <c r="U784" t="s">
        <v>3948</v>
      </c>
      <c r="V784" t="s">
        <v>3937</v>
      </c>
      <c r="W784" s="9">
        <f>IF(V784="pregrado",31,
IF(V784="posgrados",31,
IF(V784="rEINTEGROS",7,
IF(V784="BIT",90,
IF(V784="OP GRADO - INGLÉS",17,"")))))</f>
        <v>31</v>
      </c>
      <c r="X784" t="s">
        <v>3947</v>
      </c>
    </row>
    <row r="785" spans="1:24" ht="15" x14ac:dyDescent="0.35">
      <c r="A785" s="4">
        <v>46008.584027777775</v>
      </c>
      <c r="B785">
        <v>20108215</v>
      </c>
      <c r="C785" s="6" t="s">
        <v>19</v>
      </c>
      <c r="D785">
        <v>158463</v>
      </c>
      <c r="E785" t="s">
        <v>43</v>
      </c>
      <c r="F785">
        <v>1065375749</v>
      </c>
      <c r="G785" t="s">
        <v>1086</v>
      </c>
      <c r="H785">
        <v>100238857</v>
      </c>
      <c r="I785">
        <v>202641</v>
      </c>
      <c r="J785">
        <v>1003067030</v>
      </c>
      <c r="K785" t="s">
        <v>23</v>
      </c>
      <c r="L785" t="s">
        <v>279</v>
      </c>
      <c r="M785" t="s">
        <v>47</v>
      </c>
      <c r="N785" t="s">
        <v>35</v>
      </c>
      <c r="O785" t="s">
        <v>26</v>
      </c>
      <c r="P785" t="s">
        <v>27</v>
      </c>
      <c r="Q785" t="s">
        <v>28</v>
      </c>
      <c r="R785" t="s">
        <v>29</v>
      </c>
      <c r="S785" t="s">
        <v>30</v>
      </c>
      <c r="T785">
        <v>1022407392</v>
      </c>
      <c r="U785" t="s">
        <v>3936</v>
      </c>
      <c r="V785" t="s">
        <v>3937</v>
      </c>
      <c r="W785" s="9">
        <f>IF(V785="pregrado",31,
IF(V785="posgrados",31,
IF(V785="rEINTEGROS",7,
IF(V785="BIT",90,
IF(V785="OP GRADO - INGLÉS",17,"")))))</f>
        <v>31</v>
      </c>
      <c r="X785" t="s">
        <v>3975</v>
      </c>
    </row>
    <row r="786" spans="1:24" ht="15" x14ac:dyDescent="0.35">
      <c r="A786" s="4">
        <v>46048.757488425923</v>
      </c>
      <c r="B786">
        <v>20117338</v>
      </c>
      <c r="C786" s="6" t="s">
        <v>19</v>
      </c>
      <c r="D786">
        <v>158465</v>
      </c>
      <c r="E786" t="s">
        <v>43</v>
      </c>
      <c r="F786">
        <v>31479678</v>
      </c>
      <c r="G786" t="s">
        <v>2316</v>
      </c>
      <c r="H786">
        <v>100195629</v>
      </c>
      <c r="I786">
        <v>202651</v>
      </c>
      <c r="J786">
        <v>31479678</v>
      </c>
      <c r="K786" t="s">
        <v>46</v>
      </c>
      <c r="L786" t="s">
        <v>252</v>
      </c>
      <c r="M786" t="s">
        <v>253</v>
      </c>
      <c r="N786" t="s">
        <v>35</v>
      </c>
      <c r="O786" t="s">
        <v>26</v>
      </c>
      <c r="P786" t="s">
        <v>27</v>
      </c>
      <c r="Q786" t="s">
        <v>28</v>
      </c>
      <c r="R786" t="s">
        <v>29</v>
      </c>
      <c r="S786" t="s">
        <v>30</v>
      </c>
      <c r="T786">
        <v>1140420282</v>
      </c>
      <c r="U786" t="s">
        <v>3948</v>
      </c>
      <c r="V786" t="s">
        <v>3937</v>
      </c>
      <c r="W786" s="9">
        <f>IF(V786="pregrado",31,
IF(V786="posgrados",31,
IF(V786="rEINTEGROS",7,
IF(V786="BIT",90,
IF(V786="OP GRADO - INGLÉS",17,"")))))</f>
        <v>31</v>
      </c>
      <c r="X786" t="s">
        <v>3972</v>
      </c>
    </row>
    <row r="787" spans="1:24" ht="15" x14ac:dyDescent="0.35">
      <c r="A787" s="4">
        <v>46007.6484837963</v>
      </c>
      <c r="B787">
        <v>20107901</v>
      </c>
      <c r="C787" s="6" t="s">
        <v>19</v>
      </c>
      <c r="D787">
        <v>158484</v>
      </c>
      <c r="E787" t="s">
        <v>43</v>
      </c>
      <c r="F787">
        <v>1073252091</v>
      </c>
      <c r="G787" t="s">
        <v>1049</v>
      </c>
      <c r="H787">
        <v>100029979</v>
      </c>
      <c r="I787">
        <v>202641</v>
      </c>
      <c r="J787">
        <v>1073252091</v>
      </c>
      <c r="K787" t="s">
        <v>23</v>
      </c>
      <c r="L787" t="s">
        <v>59</v>
      </c>
      <c r="M787" t="s">
        <v>47</v>
      </c>
      <c r="N787" t="s">
        <v>35</v>
      </c>
      <c r="O787" t="s">
        <v>26</v>
      </c>
      <c r="P787" t="s">
        <v>27</v>
      </c>
      <c r="Q787" t="s">
        <v>28</v>
      </c>
      <c r="R787" t="s">
        <v>29</v>
      </c>
      <c r="S787" t="s">
        <v>30</v>
      </c>
      <c r="T787">
        <v>1082250716</v>
      </c>
      <c r="U787" t="s">
        <v>3936</v>
      </c>
      <c r="V787" t="s">
        <v>3937</v>
      </c>
      <c r="W787" s="9">
        <f>IF(V787="pregrado",31,
IF(V787="posgrados",31,
IF(V787="rEINTEGROS",7,
IF(V787="BIT",90,
IF(V787="OP GRADO - INGLÉS",17,"")))))</f>
        <v>31</v>
      </c>
      <c r="X787" t="s">
        <v>3997</v>
      </c>
    </row>
    <row r="788" spans="1:24" ht="15" x14ac:dyDescent="0.35">
      <c r="A788" s="4">
        <v>46052.657384259262</v>
      </c>
      <c r="B788">
        <v>20119033</v>
      </c>
      <c r="C788" s="6" t="s">
        <v>19</v>
      </c>
      <c r="D788">
        <v>158487</v>
      </c>
      <c r="E788" t="s">
        <v>43</v>
      </c>
      <c r="F788">
        <v>22463420</v>
      </c>
      <c r="G788" t="s">
        <v>2571</v>
      </c>
      <c r="H788">
        <v>100152108</v>
      </c>
      <c r="I788">
        <v>202641</v>
      </c>
      <c r="J788">
        <v>22463420</v>
      </c>
      <c r="K788" t="s">
        <v>46</v>
      </c>
      <c r="L788" t="s">
        <v>45</v>
      </c>
      <c r="M788" t="s">
        <v>47</v>
      </c>
      <c r="N788" t="s">
        <v>35</v>
      </c>
      <c r="O788" t="s">
        <v>26</v>
      </c>
      <c r="P788" t="s">
        <v>27</v>
      </c>
      <c r="Q788" t="s">
        <v>28</v>
      </c>
      <c r="R788" t="s">
        <v>29</v>
      </c>
      <c r="S788" t="s">
        <v>30</v>
      </c>
      <c r="T788">
        <v>1233513889</v>
      </c>
      <c r="U788" t="s">
        <v>3948</v>
      </c>
      <c r="V788" t="s">
        <v>3937</v>
      </c>
      <c r="W788" s="9">
        <f>IF(V788="pregrado",31,
IF(V788="posgrados",31,
IF(V788="rEINTEGROS",7,
IF(V788="BIT",90,
IF(V788="OP GRADO - INGLÉS",17,"")))))</f>
        <v>31</v>
      </c>
      <c r="X788" t="s">
        <v>4035</v>
      </c>
    </row>
    <row r="789" spans="1:24" ht="15" x14ac:dyDescent="0.35">
      <c r="A789" s="4">
        <v>46009.528657407405</v>
      </c>
      <c r="B789">
        <v>20108514</v>
      </c>
      <c r="C789" s="6" t="s">
        <v>19</v>
      </c>
      <c r="D789">
        <v>158497</v>
      </c>
      <c r="E789" t="s">
        <v>43</v>
      </c>
      <c r="F789">
        <v>1037581613</v>
      </c>
      <c r="G789" t="s">
        <v>1132</v>
      </c>
      <c r="H789">
        <v>100168596</v>
      </c>
      <c r="I789">
        <v>202651</v>
      </c>
      <c r="J789">
        <v>1037581613</v>
      </c>
      <c r="K789" t="s">
        <v>46</v>
      </c>
      <c r="L789" t="s">
        <v>252</v>
      </c>
      <c r="M789" t="s">
        <v>253</v>
      </c>
      <c r="N789" t="s">
        <v>35</v>
      </c>
      <c r="O789" t="s">
        <v>26</v>
      </c>
      <c r="P789" t="s">
        <v>27</v>
      </c>
      <c r="Q789" t="s">
        <v>28</v>
      </c>
      <c r="R789" t="s">
        <v>29</v>
      </c>
      <c r="S789" t="s">
        <v>30</v>
      </c>
      <c r="T789">
        <v>1031147887</v>
      </c>
      <c r="U789" t="s">
        <v>3948</v>
      </c>
      <c r="V789" t="s">
        <v>3937</v>
      </c>
      <c r="W789" s="9">
        <f>IF(V789="pregrado",31,
IF(V789="posgrados",31,
IF(V789="rEINTEGROS",7,
IF(V789="BIT",90,
IF(V789="OP GRADO - INGLÉS",17,"")))))</f>
        <v>31</v>
      </c>
      <c r="X789" t="s">
        <v>3947</v>
      </c>
    </row>
    <row r="790" spans="1:24" ht="15" x14ac:dyDescent="0.35">
      <c r="A790" s="4">
        <v>46009.777199074073</v>
      </c>
      <c r="B790">
        <v>20108650</v>
      </c>
      <c r="C790" s="6" t="s">
        <v>19</v>
      </c>
      <c r="D790">
        <v>158502</v>
      </c>
      <c r="E790" t="s">
        <v>43</v>
      </c>
      <c r="F790">
        <v>1151184311</v>
      </c>
      <c r="G790" t="s">
        <v>1165</v>
      </c>
      <c r="H790">
        <v>100238921</v>
      </c>
      <c r="I790">
        <v>202641</v>
      </c>
      <c r="J790">
        <v>1151184311</v>
      </c>
      <c r="K790" t="s">
        <v>23</v>
      </c>
      <c r="L790" t="s">
        <v>279</v>
      </c>
      <c r="M790" t="s">
        <v>47</v>
      </c>
      <c r="N790" t="s">
        <v>35</v>
      </c>
      <c r="O790" t="s">
        <v>26</v>
      </c>
      <c r="P790" t="s">
        <v>27</v>
      </c>
      <c r="Q790" t="s">
        <v>28</v>
      </c>
      <c r="R790" t="s">
        <v>29</v>
      </c>
      <c r="S790" t="s">
        <v>30</v>
      </c>
      <c r="T790">
        <v>1082250716</v>
      </c>
      <c r="U790" t="s">
        <v>3936</v>
      </c>
      <c r="V790" t="s">
        <v>3937</v>
      </c>
      <c r="W790" s="9">
        <f>IF(V790="pregrado",31,
IF(V790="posgrados",31,
IF(V790="rEINTEGROS",7,
IF(V790="BIT",90,
IF(V790="OP GRADO - INGLÉS",17,"")))))</f>
        <v>31</v>
      </c>
      <c r="X790" t="s">
        <v>3997</v>
      </c>
    </row>
    <row r="791" spans="1:24" ht="15" x14ac:dyDescent="0.35">
      <c r="A791" s="4">
        <v>46007.612280092595</v>
      </c>
      <c r="B791">
        <v>20107872</v>
      </c>
      <c r="C791" s="6" t="s">
        <v>19</v>
      </c>
      <c r="D791">
        <v>158503</v>
      </c>
      <c r="E791" t="s">
        <v>43</v>
      </c>
      <c r="F791">
        <v>1030621056</v>
      </c>
      <c r="G791" t="s">
        <v>1045</v>
      </c>
      <c r="H791">
        <v>100238922</v>
      </c>
      <c r="I791">
        <v>202651</v>
      </c>
      <c r="J791">
        <v>1030621056</v>
      </c>
      <c r="K791" t="s">
        <v>23</v>
      </c>
      <c r="L791" t="s">
        <v>252</v>
      </c>
      <c r="M791" t="s">
        <v>253</v>
      </c>
      <c r="N791" t="s">
        <v>35</v>
      </c>
      <c r="O791" t="s">
        <v>26</v>
      </c>
      <c r="P791" t="s">
        <v>27</v>
      </c>
      <c r="Q791" t="s">
        <v>28</v>
      </c>
      <c r="R791" t="s">
        <v>29</v>
      </c>
      <c r="S791" t="s">
        <v>30</v>
      </c>
      <c r="T791">
        <v>1033784244</v>
      </c>
      <c r="U791" t="s">
        <v>3948</v>
      </c>
      <c r="V791" t="s">
        <v>3937</v>
      </c>
      <c r="W791" s="9">
        <f>IF(V791="pregrado",31,
IF(V791="posgrados",31,
IF(V791="rEINTEGROS",7,
IF(V791="BIT",90,
IF(V791="OP GRADO - INGLÉS",17,"")))))</f>
        <v>31</v>
      </c>
      <c r="X791" t="s">
        <v>4067</v>
      </c>
    </row>
    <row r="792" spans="1:24" ht="15" x14ac:dyDescent="0.35">
      <c r="A792" s="4">
        <v>46009.514224537037</v>
      </c>
      <c r="B792">
        <v>20108501</v>
      </c>
      <c r="C792" s="6" t="s">
        <v>19</v>
      </c>
      <c r="D792">
        <v>158513</v>
      </c>
      <c r="E792" t="s">
        <v>43</v>
      </c>
      <c r="F792">
        <v>14476985</v>
      </c>
      <c r="G792" t="s">
        <v>1128</v>
      </c>
      <c r="H792">
        <v>100238732</v>
      </c>
      <c r="I792">
        <v>202651</v>
      </c>
      <c r="J792">
        <v>1111750369</v>
      </c>
      <c r="K792" t="s">
        <v>23</v>
      </c>
      <c r="L792" t="s">
        <v>252</v>
      </c>
      <c r="M792" t="s">
        <v>253</v>
      </c>
      <c r="N792" t="s">
        <v>35</v>
      </c>
      <c r="O792" t="s">
        <v>26</v>
      </c>
      <c r="P792" t="s">
        <v>27</v>
      </c>
      <c r="Q792" t="s">
        <v>28</v>
      </c>
      <c r="R792" t="s">
        <v>29</v>
      </c>
      <c r="S792" t="s">
        <v>30</v>
      </c>
      <c r="T792">
        <v>1020754225</v>
      </c>
      <c r="U792" t="s">
        <v>3948</v>
      </c>
      <c r="V792" t="s">
        <v>3937</v>
      </c>
      <c r="W792" s="9">
        <f>IF(V792="pregrado",31,
IF(V792="posgrados",31,
IF(V792="rEINTEGROS",7,
IF(V792="BIT",90,
IF(V792="OP GRADO - INGLÉS",17,"")))))</f>
        <v>31</v>
      </c>
      <c r="X792" t="s">
        <v>3981</v>
      </c>
    </row>
    <row r="793" spans="1:24" ht="15" x14ac:dyDescent="0.35">
      <c r="A793" s="4">
        <v>46008.636284722219</v>
      </c>
      <c r="B793">
        <v>20108245</v>
      </c>
      <c r="C793" s="6" t="s">
        <v>19</v>
      </c>
      <c r="D793">
        <v>158517</v>
      </c>
      <c r="E793" t="s">
        <v>43</v>
      </c>
      <c r="F793">
        <v>92032537</v>
      </c>
      <c r="G793" t="s">
        <v>1088</v>
      </c>
      <c r="H793">
        <v>100238952</v>
      </c>
      <c r="I793">
        <v>202651</v>
      </c>
      <c r="J793">
        <v>92032537</v>
      </c>
      <c r="K793" t="s">
        <v>23</v>
      </c>
      <c r="L793" t="s">
        <v>252</v>
      </c>
      <c r="M793" t="s">
        <v>253</v>
      </c>
      <c r="N793" t="s">
        <v>35</v>
      </c>
      <c r="O793" t="s">
        <v>26</v>
      </c>
      <c r="P793" t="s">
        <v>27</v>
      </c>
      <c r="Q793" t="s">
        <v>28</v>
      </c>
      <c r="R793" t="s">
        <v>29</v>
      </c>
      <c r="S793" t="s">
        <v>30</v>
      </c>
      <c r="T793">
        <v>1075542872</v>
      </c>
      <c r="U793" t="s">
        <v>3948</v>
      </c>
      <c r="V793" t="s">
        <v>3937</v>
      </c>
      <c r="W793" s="9">
        <f>IF(V793="pregrado",31,
IF(V793="posgrados",31,
IF(V793="rEINTEGROS",7,
IF(V793="BIT",90,
IF(V793="OP GRADO - INGLÉS",17,"")))))</f>
        <v>31</v>
      </c>
      <c r="X793" t="s">
        <v>3974</v>
      </c>
    </row>
    <row r="794" spans="1:24" ht="15" x14ac:dyDescent="0.35">
      <c r="A794" s="4">
        <v>46007.705694444441</v>
      </c>
      <c r="B794">
        <v>20107952</v>
      </c>
      <c r="C794" s="6" t="s">
        <v>19</v>
      </c>
      <c r="D794">
        <v>158533</v>
      </c>
      <c r="E794" t="s">
        <v>43</v>
      </c>
      <c r="F794">
        <v>1120377231</v>
      </c>
      <c r="G794" t="s">
        <v>1055</v>
      </c>
      <c r="H794">
        <v>100238977</v>
      </c>
      <c r="I794">
        <v>202651</v>
      </c>
      <c r="J794">
        <v>1120377231</v>
      </c>
      <c r="K794" t="s">
        <v>23</v>
      </c>
      <c r="L794" t="s">
        <v>252</v>
      </c>
      <c r="M794" t="s">
        <v>253</v>
      </c>
      <c r="N794" t="s">
        <v>35</v>
      </c>
      <c r="O794" t="s">
        <v>26</v>
      </c>
      <c r="P794" t="s">
        <v>27</v>
      </c>
      <c r="Q794" t="s">
        <v>28</v>
      </c>
      <c r="R794" t="s">
        <v>29</v>
      </c>
      <c r="S794" t="s">
        <v>30</v>
      </c>
      <c r="T794">
        <v>1140420282</v>
      </c>
      <c r="U794" t="s">
        <v>3948</v>
      </c>
      <c r="V794" t="s">
        <v>3937</v>
      </c>
      <c r="W794" s="9">
        <f>IF(V794="pregrado",31,
IF(V794="posgrados",31,
IF(V794="rEINTEGROS",7,
IF(V794="BIT",90,
IF(V794="OP GRADO - INGLÉS",17,"")))))</f>
        <v>31</v>
      </c>
      <c r="X794" t="s">
        <v>3972</v>
      </c>
    </row>
    <row r="795" spans="1:24" ht="15" x14ac:dyDescent="0.35">
      <c r="A795" s="4">
        <v>46007.640474537038</v>
      </c>
      <c r="B795">
        <v>20107891</v>
      </c>
      <c r="C795" s="6" t="s">
        <v>19</v>
      </c>
      <c r="D795">
        <v>158535</v>
      </c>
      <c r="E795" t="s">
        <v>43</v>
      </c>
      <c r="F795">
        <v>15679260</v>
      </c>
      <c r="G795" t="s">
        <v>1048</v>
      </c>
      <c r="H795">
        <v>100238979</v>
      </c>
      <c r="I795">
        <v>202651</v>
      </c>
      <c r="J795">
        <v>15679260</v>
      </c>
      <c r="K795" t="s">
        <v>23</v>
      </c>
      <c r="L795" t="s">
        <v>252</v>
      </c>
      <c r="M795" t="s">
        <v>253</v>
      </c>
      <c r="N795" t="s">
        <v>35</v>
      </c>
      <c r="O795" t="s">
        <v>26</v>
      </c>
      <c r="P795" t="s">
        <v>27</v>
      </c>
      <c r="Q795" t="s">
        <v>28</v>
      </c>
      <c r="R795" t="s">
        <v>29</v>
      </c>
      <c r="S795" t="s">
        <v>30</v>
      </c>
      <c r="T795">
        <v>1031147887</v>
      </c>
      <c r="U795" t="s">
        <v>3948</v>
      </c>
      <c r="V795" t="s">
        <v>3937</v>
      </c>
      <c r="W795" s="9">
        <f>IF(V795="pregrado",31,
IF(V795="posgrados",31,
IF(V795="rEINTEGROS",7,
IF(V795="BIT",90,
IF(V795="OP GRADO - INGLÉS",17,"")))))</f>
        <v>31</v>
      </c>
      <c r="X795" t="s">
        <v>3947</v>
      </c>
    </row>
    <row r="796" spans="1:24" ht="15" x14ac:dyDescent="0.35">
      <c r="A796" s="4">
        <v>46007.706284722219</v>
      </c>
      <c r="B796">
        <v>20107953</v>
      </c>
      <c r="C796" s="6" t="s">
        <v>19</v>
      </c>
      <c r="D796">
        <v>158536</v>
      </c>
      <c r="E796" t="s">
        <v>43</v>
      </c>
      <c r="F796">
        <v>40386276</v>
      </c>
      <c r="G796" t="s">
        <v>1056</v>
      </c>
      <c r="H796">
        <v>100032608</v>
      </c>
      <c r="I796">
        <v>202651</v>
      </c>
      <c r="J796">
        <v>1118167989</v>
      </c>
      <c r="K796" t="s">
        <v>23</v>
      </c>
      <c r="L796" t="s">
        <v>252</v>
      </c>
      <c r="M796" t="s">
        <v>253</v>
      </c>
      <c r="N796" t="s">
        <v>35</v>
      </c>
      <c r="O796" t="s">
        <v>26</v>
      </c>
      <c r="P796" t="s">
        <v>27</v>
      </c>
      <c r="Q796" t="s">
        <v>28</v>
      </c>
      <c r="R796" t="s">
        <v>29</v>
      </c>
      <c r="S796" t="s">
        <v>30</v>
      </c>
      <c r="T796">
        <v>1015401969</v>
      </c>
      <c r="U796" t="s">
        <v>3936</v>
      </c>
      <c r="V796" t="s">
        <v>3937</v>
      </c>
      <c r="W796" s="9">
        <f>IF(V796="pregrado",31,
IF(V796="posgrados",31,
IF(V796="rEINTEGROS",7,
IF(V796="BIT",90,
IF(V796="OP GRADO - INGLÉS",17,"")))))</f>
        <v>31</v>
      </c>
      <c r="X796" t="s">
        <v>3945</v>
      </c>
    </row>
    <row r="797" spans="1:24" ht="15" x14ac:dyDescent="0.35">
      <c r="A797" s="4">
        <v>46013.7262962963</v>
      </c>
      <c r="B797">
        <v>20109284</v>
      </c>
      <c r="C797" s="6" t="s">
        <v>19</v>
      </c>
      <c r="D797">
        <v>158537</v>
      </c>
      <c r="E797" t="s">
        <v>43</v>
      </c>
      <c r="F797">
        <v>1038107080</v>
      </c>
      <c r="G797" t="s">
        <v>1243</v>
      </c>
      <c r="H797">
        <v>100195370</v>
      </c>
      <c r="I797">
        <v>202651</v>
      </c>
      <c r="J797">
        <v>1038107080</v>
      </c>
      <c r="K797" t="s">
        <v>46</v>
      </c>
      <c r="L797" t="s">
        <v>252</v>
      </c>
      <c r="M797" t="s">
        <v>253</v>
      </c>
      <c r="N797" t="s">
        <v>35</v>
      </c>
      <c r="O797" t="s">
        <v>26</v>
      </c>
      <c r="P797" t="s">
        <v>27</v>
      </c>
      <c r="Q797" t="s">
        <v>28</v>
      </c>
      <c r="R797" t="s">
        <v>29</v>
      </c>
      <c r="S797" t="s">
        <v>30</v>
      </c>
      <c r="T797">
        <v>1032451737</v>
      </c>
      <c r="U797" t="s">
        <v>3948</v>
      </c>
      <c r="V797" t="s">
        <v>3937</v>
      </c>
      <c r="W797" s="9">
        <f>IF(V797="pregrado",31,
IF(V797="posgrados",31,
IF(V797="rEINTEGROS",7,
IF(V797="BIT",90,
IF(V797="OP GRADO - INGLÉS",17,"")))))</f>
        <v>31</v>
      </c>
      <c r="X797" t="s">
        <v>4033</v>
      </c>
    </row>
    <row r="798" spans="1:24" ht="15" x14ac:dyDescent="0.35">
      <c r="A798" s="4">
        <v>46008.486296296294</v>
      </c>
      <c r="B798">
        <v>20108161</v>
      </c>
      <c r="C798" s="6" t="s">
        <v>19</v>
      </c>
      <c r="D798">
        <v>158549</v>
      </c>
      <c r="E798" t="s">
        <v>43</v>
      </c>
      <c r="F798">
        <v>10772679</v>
      </c>
      <c r="G798" t="s">
        <v>1078</v>
      </c>
      <c r="H798">
        <v>100238662</v>
      </c>
      <c r="I798">
        <v>202651</v>
      </c>
      <c r="J798">
        <v>10772679</v>
      </c>
      <c r="K798" t="s">
        <v>23</v>
      </c>
      <c r="L798" t="s">
        <v>252</v>
      </c>
      <c r="M798" t="s">
        <v>253</v>
      </c>
      <c r="N798" t="s">
        <v>35</v>
      </c>
      <c r="O798" t="s">
        <v>26</v>
      </c>
      <c r="P798" t="s">
        <v>27</v>
      </c>
      <c r="Q798" t="s">
        <v>28</v>
      </c>
      <c r="R798" t="s">
        <v>29</v>
      </c>
      <c r="S798" t="s">
        <v>30</v>
      </c>
      <c r="T798">
        <v>53116792</v>
      </c>
      <c r="U798" t="s">
        <v>3936</v>
      </c>
      <c r="V798" t="s">
        <v>3937</v>
      </c>
      <c r="W798" s="9">
        <f>IF(V798="pregrado",31,
IF(V798="posgrados",31,
IF(V798="rEINTEGROS",7,
IF(V798="BIT",90,
IF(V798="OP GRADO - INGLÉS",17,"")))))</f>
        <v>31</v>
      </c>
      <c r="X798" t="s">
        <v>4008</v>
      </c>
    </row>
    <row r="799" spans="1:24" ht="15" x14ac:dyDescent="0.35">
      <c r="A799" s="4">
        <v>46008.496458333335</v>
      </c>
      <c r="B799">
        <v>20108166</v>
      </c>
      <c r="C799" s="6" t="s">
        <v>19</v>
      </c>
      <c r="D799">
        <v>158556</v>
      </c>
      <c r="E799" t="s">
        <v>43</v>
      </c>
      <c r="F799">
        <v>1023946674</v>
      </c>
      <c r="G799" t="s">
        <v>1079</v>
      </c>
      <c r="H799">
        <v>100120848</v>
      </c>
      <c r="I799">
        <v>202641</v>
      </c>
      <c r="J799">
        <v>1023946674</v>
      </c>
      <c r="K799" t="s">
        <v>46</v>
      </c>
      <c r="L799" t="s">
        <v>736</v>
      </c>
      <c r="M799" t="s">
        <v>47</v>
      </c>
      <c r="N799" t="s">
        <v>35</v>
      </c>
      <c r="O799" t="s">
        <v>26</v>
      </c>
      <c r="P799" t="s">
        <v>27</v>
      </c>
      <c r="Q799" t="s">
        <v>28</v>
      </c>
      <c r="R799" t="s">
        <v>29</v>
      </c>
      <c r="S799" t="s">
        <v>30</v>
      </c>
      <c r="T799">
        <v>1012355141</v>
      </c>
      <c r="U799" t="s">
        <v>3936</v>
      </c>
      <c r="V799" t="s">
        <v>3937</v>
      </c>
      <c r="W799" s="9">
        <f>IF(V799="pregrado",31,
IF(V799="posgrados",31,
IF(V799="rEINTEGROS",7,
IF(V799="BIT",90,
IF(V799="OP GRADO - INGLÉS",17,"")))))</f>
        <v>31</v>
      </c>
      <c r="X799" t="s">
        <v>4045</v>
      </c>
    </row>
    <row r="800" spans="1:24" ht="15" x14ac:dyDescent="0.35">
      <c r="A800" s="4">
        <v>46007.698067129626</v>
      </c>
      <c r="B800">
        <v>20107943</v>
      </c>
      <c r="C800" s="6" t="s">
        <v>19</v>
      </c>
      <c r="D800">
        <v>158557</v>
      </c>
      <c r="E800" t="s">
        <v>43</v>
      </c>
      <c r="F800">
        <v>39950916</v>
      </c>
      <c r="G800" t="s">
        <v>1054</v>
      </c>
      <c r="H800">
        <v>100239022</v>
      </c>
      <c r="I800">
        <v>202651</v>
      </c>
      <c r="J800">
        <v>39950916</v>
      </c>
      <c r="K800" t="s">
        <v>23</v>
      </c>
      <c r="L800" t="s">
        <v>252</v>
      </c>
      <c r="M800" t="s">
        <v>253</v>
      </c>
      <c r="N800" t="s">
        <v>35</v>
      </c>
      <c r="O800" t="s">
        <v>26</v>
      </c>
      <c r="P800" t="s">
        <v>27</v>
      </c>
      <c r="Q800" t="s">
        <v>28</v>
      </c>
      <c r="R800" t="s">
        <v>29</v>
      </c>
      <c r="S800" t="s">
        <v>30</v>
      </c>
      <c r="T800">
        <v>1015401969</v>
      </c>
      <c r="U800" t="s">
        <v>3936</v>
      </c>
      <c r="V800" t="s">
        <v>3937</v>
      </c>
      <c r="W800" s="9">
        <f>IF(V800="pregrado",31,
IF(V800="posgrados",31,
IF(V800="rEINTEGROS",7,
IF(V800="BIT",90,
IF(V800="OP GRADO - INGLÉS",17,"")))))</f>
        <v>31</v>
      </c>
      <c r="X800" t="s">
        <v>3945</v>
      </c>
    </row>
    <row r="801" spans="1:24" ht="15" x14ac:dyDescent="0.35">
      <c r="A801" s="4">
        <v>46007.615208333336</v>
      </c>
      <c r="B801">
        <v>20107876</v>
      </c>
      <c r="C801" s="6" t="s">
        <v>19</v>
      </c>
      <c r="D801">
        <v>158568</v>
      </c>
      <c r="E801" t="s">
        <v>43</v>
      </c>
      <c r="F801">
        <v>1036927316</v>
      </c>
      <c r="G801" t="s">
        <v>1046</v>
      </c>
      <c r="H801">
        <v>100239034</v>
      </c>
      <c r="I801">
        <v>202651</v>
      </c>
      <c r="J801">
        <v>1036927316</v>
      </c>
      <c r="K801" t="s">
        <v>23</v>
      </c>
      <c r="L801" t="s">
        <v>252</v>
      </c>
      <c r="M801" t="s">
        <v>253</v>
      </c>
      <c r="N801" t="s">
        <v>35</v>
      </c>
      <c r="O801" t="s">
        <v>26</v>
      </c>
      <c r="P801" t="s">
        <v>27</v>
      </c>
      <c r="Q801" t="s">
        <v>28</v>
      </c>
      <c r="R801" t="s">
        <v>29</v>
      </c>
      <c r="S801" t="s">
        <v>30</v>
      </c>
      <c r="T801">
        <v>1026262709</v>
      </c>
      <c r="U801" t="s">
        <v>3936</v>
      </c>
      <c r="V801" t="s">
        <v>3937</v>
      </c>
      <c r="W801" s="9">
        <f>IF(V801="pregrado",31,
IF(V801="posgrados",31,
IF(V801="rEINTEGROS",7,
IF(V801="BIT",90,
IF(V801="OP GRADO - INGLÉS",17,"")))))</f>
        <v>31</v>
      </c>
      <c r="X801" t="s">
        <v>4037</v>
      </c>
    </row>
    <row r="802" spans="1:24" ht="15" x14ac:dyDescent="0.35">
      <c r="A802" s="4">
        <v>46015.455034722225</v>
      </c>
      <c r="B802">
        <v>20109717</v>
      </c>
      <c r="C802" s="6" t="s">
        <v>19</v>
      </c>
      <c r="D802">
        <v>158574</v>
      </c>
      <c r="E802" t="s">
        <v>43</v>
      </c>
      <c r="F802">
        <v>79526179</v>
      </c>
      <c r="G802" t="s">
        <v>1295</v>
      </c>
      <c r="H802">
        <v>100228145</v>
      </c>
      <c r="I802">
        <v>202641</v>
      </c>
      <c r="J802">
        <v>1022381220</v>
      </c>
      <c r="K802" t="s">
        <v>23</v>
      </c>
      <c r="L802" t="s">
        <v>59</v>
      </c>
      <c r="M802" t="s">
        <v>47</v>
      </c>
      <c r="N802" t="s">
        <v>25</v>
      </c>
      <c r="O802" t="s">
        <v>26</v>
      </c>
      <c r="P802" t="s">
        <v>27</v>
      </c>
      <c r="Q802" t="s">
        <v>28</v>
      </c>
      <c r="R802" t="s">
        <v>29</v>
      </c>
      <c r="S802" t="s">
        <v>30</v>
      </c>
      <c r="T802">
        <v>1020754225</v>
      </c>
      <c r="U802" t="s">
        <v>3948</v>
      </c>
      <c r="V802" t="s">
        <v>3937</v>
      </c>
      <c r="W802" s="9">
        <f>IF(V802="pregrado",31,
IF(V802="posgrados",31,
IF(V802="rEINTEGROS",7,
IF(V802="BIT",90,
IF(V802="OP GRADO - INGLÉS",17,"")))))</f>
        <v>31</v>
      </c>
      <c r="X802" t="s">
        <v>3981</v>
      </c>
    </row>
    <row r="803" spans="1:24" ht="15" x14ac:dyDescent="0.35">
      <c r="A803" s="4">
        <v>46009.582476851851</v>
      </c>
      <c r="B803">
        <v>20108543</v>
      </c>
      <c r="C803" s="6" t="s">
        <v>19</v>
      </c>
      <c r="D803">
        <v>158575</v>
      </c>
      <c r="E803" t="s">
        <v>43</v>
      </c>
      <c r="F803">
        <v>26279171</v>
      </c>
      <c r="G803" t="s">
        <v>1140</v>
      </c>
      <c r="H803">
        <v>100239045</v>
      </c>
      <c r="I803">
        <v>202641</v>
      </c>
      <c r="J803">
        <v>26279171</v>
      </c>
      <c r="K803" t="s">
        <v>23</v>
      </c>
      <c r="L803" t="s">
        <v>99</v>
      </c>
      <c r="M803" t="s">
        <v>47</v>
      </c>
      <c r="N803" t="s">
        <v>35</v>
      </c>
      <c r="O803" t="s">
        <v>26</v>
      </c>
      <c r="P803" t="s">
        <v>27</v>
      </c>
      <c r="Q803" t="s">
        <v>28</v>
      </c>
      <c r="R803" t="s">
        <v>29</v>
      </c>
      <c r="S803" t="s">
        <v>30</v>
      </c>
      <c r="T803">
        <v>51951991</v>
      </c>
      <c r="U803" t="s">
        <v>3936</v>
      </c>
      <c r="V803" t="s">
        <v>3937</v>
      </c>
      <c r="W803" s="9">
        <f>IF(V803="pregrado",31,
IF(V803="posgrados",31,
IF(V803="rEINTEGROS",7,
IF(V803="BIT",90,
IF(V803="OP GRADO - INGLÉS",17,"")))))</f>
        <v>31</v>
      </c>
      <c r="X803" t="s">
        <v>4049</v>
      </c>
    </row>
    <row r="804" spans="1:24" ht="15" x14ac:dyDescent="0.35">
      <c r="A804" s="4">
        <v>46008.563935185186</v>
      </c>
      <c r="B804">
        <v>20108206</v>
      </c>
      <c r="C804" s="6" t="s">
        <v>19</v>
      </c>
      <c r="D804">
        <v>158583</v>
      </c>
      <c r="E804" t="s">
        <v>43</v>
      </c>
      <c r="F804">
        <v>49690720</v>
      </c>
      <c r="G804" t="s">
        <v>1084</v>
      </c>
      <c r="H804">
        <v>100238650</v>
      </c>
      <c r="I804">
        <v>202651</v>
      </c>
      <c r="J804">
        <v>49690720</v>
      </c>
      <c r="K804" t="s">
        <v>23</v>
      </c>
      <c r="L804" t="s">
        <v>252</v>
      </c>
      <c r="M804" t="s">
        <v>253</v>
      </c>
      <c r="N804" t="s">
        <v>35</v>
      </c>
      <c r="O804" t="s">
        <v>26</v>
      </c>
      <c r="P804" t="s">
        <v>27</v>
      </c>
      <c r="Q804" t="s">
        <v>28</v>
      </c>
      <c r="R804" t="s">
        <v>29</v>
      </c>
      <c r="S804" t="s">
        <v>30</v>
      </c>
      <c r="T804">
        <v>52032666</v>
      </c>
      <c r="U804" t="s">
        <v>3948</v>
      </c>
      <c r="V804" t="s">
        <v>3937</v>
      </c>
      <c r="W804" s="9">
        <f>IF(V804="pregrado",31,
IF(V804="posgrados",31,
IF(V804="rEINTEGROS",7,
IF(V804="BIT",90,
IF(V804="OP GRADO - INGLÉS",17,"")))))</f>
        <v>31</v>
      </c>
      <c r="X804" t="s">
        <v>3983</v>
      </c>
    </row>
    <row r="805" spans="1:24" ht="15" x14ac:dyDescent="0.35">
      <c r="A805" s="4">
        <v>46007.674490740741</v>
      </c>
      <c r="B805">
        <v>20107923</v>
      </c>
      <c r="C805" s="6" t="s">
        <v>19</v>
      </c>
      <c r="D805">
        <v>158585</v>
      </c>
      <c r="E805" t="s">
        <v>43</v>
      </c>
      <c r="F805">
        <v>40388096</v>
      </c>
      <c r="G805" t="s">
        <v>1052</v>
      </c>
      <c r="H805">
        <v>100239057</v>
      </c>
      <c r="I805">
        <v>202651</v>
      </c>
      <c r="J805">
        <v>1121869456</v>
      </c>
      <c r="K805" t="s">
        <v>23</v>
      </c>
      <c r="L805" t="s">
        <v>252</v>
      </c>
      <c r="M805" t="s">
        <v>253</v>
      </c>
      <c r="N805" t="s">
        <v>35</v>
      </c>
      <c r="O805" t="s">
        <v>26</v>
      </c>
      <c r="P805" t="s">
        <v>27</v>
      </c>
      <c r="Q805" t="s">
        <v>28</v>
      </c>
      <c r="R805" t="s">
        <v>29</v>
      </c>
      <c r="S805" t="s">
        <v>30</v>
      </c>
      <c r="T805">
        <v>1033781417</v>
      </c>
      <c r="U805" t="s">
        <v>3948</v>
      </c>
      <c r="V805" t="s">
        <v>3937</v>
      </c>
      <c r="W805" s="9">
        <f>IF(V805="pregrado",31,
IF(V805="posgrados",31,
IF(V805="rEINTEGROS",7,
IF(V805="BIT",90,
IF(V805="OP GRADO - INGLÉS",17,"")))))</f>
        <v>31</v>
      </c>
      <c r="X805" t="s">
        <v>4031</v>
      </c>
    </row>
    <row r="806" spans="1:24" ht="15" x14ac:dyDescent="0.35">
      <c r="A806" s="4">
        <v>46057.753275462965</v>
      </c>
      <c r="B806">
        <v>20120639</v>
      </c>
      <c r="C806" s="6" t="s">
        <v>19</v>
      </c>
      <c r="D806">
        <v>158599</v>
      </c>
      <c r="E806" t="s">
        <v>43</v>
      </c>
      <c r="F806">
        <v>37122687</v>
      </c>
      <c r="G806" t="s">
        <v>2773</v>
      </c>
      <c r="H806">
        <v>100239069</v>
      </c>
      <c r="I806">
        <v>202641</v>
      </c>
      <c r="J806">
        <v>37122687</v>
      </c>
      <c r="K806" t="s">
        <v>23</v>
      </c>
      <c r="L806" t="s">
        <v>279</v>
      </c>
      <c r="M806" t="s">
        <v>47</v>
      </c>
      <c r="N806" t="s">
        <v>35</v>
      </c>
      <c r="O806" t="s">
        <v>26</v>
      </c>
      <c r="P806" t="s">
        <v>27</v>
      </c>
      <c r="Q806" t="s">
        <v>28</v>
      </c>
      <c r="R806" t="s">
        <v>29</v>
      </c>
      <c r="S806" t="s">
        <v>30</v>
      </c>
      <c r="T806">
        <v>51951991</v>
      </c>
      <c r="U806" t="s">
        <v>3936</v>
      </c>
      <c r="V806" t="s">
        <v>3937</v>
      </c>
      <c r="W806" s="9">
        <f>IF(V806="pregrado",31,
IF(V806="posgrados",31,
IF(V806="rEINTEGROS",7,
IF(V806="BIT",90,
IF(V806="OP GRADO - INGLÉS",17,"")))))</f>
        <v>31</v>
      </c>
      <c r="X806" t="s">
        <v>4049</v>
      </c>
    </row>
    <row r="807" spans="1:24" ht="15" x14ac:dyDescent="0.35">
      <c r="A807" s="4">
        <v>46007.729525462964</v>
      </c>
      <c r="B807">
        <v>20107980</v>
      </c>
      <c r="C807" s="6" t="s">
        <v>19</v>
      </c>
      <c r="D807">
        <v>158601</v>
      </c>
      <c r="E807" t="s">
        <v>43</v>
      </c>
      <c r="F807">
        <v>75082065</v>
      </c>
      <c r="G807" t="s">
        <v>1059</v>
      </c>
      <c r="H807">
        <v>100239070</v>
      </c>
      <c r="I807">
        <v>202651</v>
      </c>
      <c r="J807">
        <v>75082065</v>
      </c>
      <c r="K807" t="s">
        <v>23</v>
      </c>
      <c r="L807" t="s">
        <v>252</v>
      </c>
      <c r="M807" t="s">
        <v>253</v>
      </c>
      <c r="N807" t="s">
        <v>35</v>
      </c>
      <c r="O807" t="s">
        <v>26</v>
      </c>
      <c r="P807" t="s">
        <v>27</v>
      </c>
      <c r="Q807" t="s">
        <v>28</v>
      </c>
      <c r="R807" t="s">
        <v>29</v>
      </c>
      <c r="S807" t="s">
        <v>30</v>
      </c>
      <c r="T807">
        <v>1015401969</v>
      </c>
      <c r="U807" t="s">
        <v>3936</v>
      </c>
      <c r="V807" t="s">
        <v>3937</v>
      </c>
      <c r="W807" s="9">
        <f>IF(V807="pregrado",31,
IF(V807="posgrados",31,
IF(V807="rEINTEGROS",7,
IF(V807="BIT",90,
IF(V807="OP GRADO - INGLÉS",17,"")))))</f>
        <v>31</v>
      </c>
      <c r="X807" t="s">
        <v>3945</v>
      </c>
    </row>
    <row r="808" spans="1:24" ht="15" x14ac:dyDescent="0.35">
      <c r="A808" s="4">
        <v>46021.376921296294</v>
      </c>
      <c r="B808">
        <v>20110265</v>
      </c>
      <c r="C808" s="6" t="s">
        <v>19</v>
      </c>
      <c r="D808">
        <v>158619</v>
      </c>
      <c r="E808" t="s">
        <v>43</v>
      </c>
      <c r="F808">
        <v>45754591</v>
      </c>
      <c r="G808" t="s">
        <v>1389</v>
      </c>
      <c r="H808">
        <v>100239100</v>
      </c>
      <c r="I808">
        <v>202651</v>
      </c>
      <c r="J808">
        <v>1002275658</v>
      </c>
      <c r="K808" t="s">
        <v>23</v>
      </c>
      <c r="L808" t="s">
        <v>252</v>
      </c>
      <c r="M808" t="s">
        <v>253</v>
      </c>
      <c r="N808" t="s">
        <v>35</v>
      </c>
      <c r="O808" t="s">
        <v>26</v>
      </c>
      <c r="P808" t="s">
        <v>27</v>
      </c>
      <c r="Q808" t="s">
        <v>28</v>
      </c>
      <c r="R808" t="s">
        <v>29</v>
      </c>
      <c r="S808" t="s">
        <v>30</v>
      </c>
      <c r="T808">
        <v>1233513889</v>
      </c>
      <c r="U808" t="s">
        <v>3948</v>
      </c>
      <c r="V808" t="s">
        <v>3937</v>
      </c>
      <c r="W808" s="9">
        <f>IF(V808="pregrado",31,
IF(V808="posgrados",31,
IF(V808="rEINTEGROS",7,
IF(V808="BIT",90,
IF(V808="OP GRADO - INGLÉS",17,"")))))</f>
        <v>31</v>
      </c>
      <c r="X808" t="s">
        <v>4035</v>
      </c>
    </row>
    <row r="809" spans="1:24" ht="15" x14ac:dyDescent="0.35">
      <c r="A809" s="4">
        <v>46013.716284722221</v>
      </c>
      <c r="B809">
        <v>20109278</v>
      </c>
      <c r="C809" s="6" t="s">
        <v>19</v>
      </c>
      <c r="D809">
        <v>158633</v>
      </c>
      <c r="E809" t="s">
        <v>43</v>
      </c>
      <c r="F809">
        <v>55067899</v>
      </c>
      <c r="G809" t="s">
        <v>1240</v>
      </c>
      <c r="H809">
        <v>100238458</v>
      </c>
      <c r="I809">
        <v>202641</v>
      </c>
      <c r="J809">
        <v>55067899</v>
      </c>
      <c r="K809" t="s">
        <v>23</v>
      </c>
      <c r="L809" t="s">
        <v>294</v>
      </c>
      <c r="M809" t="s">
        <v>47</v>
      </c>
      <c r="N809" t="s">
        <v>35</v>
      </c>
      <c r="O809" t="s">
        <v>26</v>
      </c>
      <c r="P809" t="s">
        <v>27</v>
      </c>
      <c r="Q809" t="s">
        <v>28</v>
      </c>
      <c r="R809" t="s">
        <v>29</v>
      </c>
      <c r="S809" t="s">
        <v>30</v>
      </c>
      <c r="T809">
        <v>1032451737</v>
      </c>
      <c r="U809" t="s">
        <v>3948</v>
      </c>
      <c r="V809" t="s">
        <v>3937</v>
      </c>
      <c r="W809" s="9">
        <f>IF(V809="pregrado",31,
IF(V809="posgrados",31,
IF(V809="rEINTEGROS",7,
IF(V809="BIT",90,
IF(V809="OP GRADO - INGLÉS",17,"")))))</f>
        <v>31</v>
      </c>
      <c r="X809" t="s">
        <v>4033</v>
      </c>
    </row>
    <row r="810" spans="1:24" ht="15" x14ac:dyDescent="0.35">
      <c r="A810" s="4">
        <v>46014.552777777775</v>
      </c>
      <c r="B810">
        <v>20109524</v>
      </c>
      <c r="C810" s="6" t="s">
        <v>19</v>
      </c>
      <c r="D810">
        <v>158634</v>
      </c>
      <c r="E810" t="s">
        <v>43</v>
      </c>
      <c r="F810">
        <v>43890680</v>
      </c>
      <c r="G810" t="s">
        <v>1272</v>
      </c>
      <c r="H810">
        <v>100167525</v>
      </c>
      <c r="I810">
        <v>202641</v>
      </c>
      <c r="J810">
        <v>1007351225</v>
      </c>
      <c r="K810" t="s">
        <v>23</v>
      </c>
      <c r="L810" t="s">
        <v>72</v>
      </c>
      <c r="M810" t="s">
        <v>47</v>
      </c>
      <c r="N810" t="s">
        <v>35</v>
      </c>
      <c r="O810" t="s">
        <v>26</v>
      </c>
      <c r="P810" t="s">
        <v>27</v>
      </c>
      <c r="Q810" t="s">
        <v>28</v>
      </c>
      <c r="R810" t="s">
        <v>29</v>
      </c>
      <c r="S810" t="s">
        <v>30</v>
      </c>
      <c r="T810">
        <v>1193146767</v>
      </c>
      <c r="U810" t="s">
        <v>3936</v>
      </c>
      <c r="V810" t="s">
        <v>3937</v>
      </c>
      <c r="W810" s="9">
        <f>IF(V810="pregrado",31,
IF(V810="posgrados",31,
IF(V810="rEINTEGROS",7,
IF(V810="BIT",90,
IF(V810="OP GRADO - INGLÉS",17,"")))))</f>
        <v>31</v>
      </c>
      <c r="X810" t="s">
        <v>4072</v>
      </c>
    </row>
    <row r="811" spans="1:24" ht="15" x14ac:dyDescent="0.35">
      <c r="A811" s="4">
        <v>46008.712453703702</v>
      </c>
      <c r="B811">
        <v>20108318</v>
      </c>
      <c r="C811" s="6" t="s">
        <v>19</v>
      </c>
      <c r="D811">
        <v>158639</v>
      </c>
      <c r="E811" t="s">
        <v>43</v>
      </c>
      <c r="F811">
        <v>23914519</v>
      </c>
      <c r="G811" t="s">
        <v>1094</v>
      </c>
      <c r="H811">
        <v>100025514</v>
      </c>
      <c r="I811">
        <v>202651</v>
      </c>
      <c r="J811">
        <v>23914519</v>
      </c>
      <c r="K811" t="s">
        <v>46</v>
      </c>
      <c r="L811" t="s">
        <v>252</v>
      </c>
      <c r="M811" t="s">
        <v>253</v>
      </c>
      <c r="N811" t="s">
        <v>35</v>
      </c>
      <c r="O811" t="s">
        <v>26</v>
      </c>
      <c r="P811" t="s">
        <v>27</v>
      </c>
      <c r="Q811" t="s">
        <v>28</v>
      </c>
      <c r="R811" t="s">
        <v>29</v>
      </c>
      <c r="S811" t="s">
        <v>30</v>
      </c>
      <c r="T811">
        <v>1031147887</v>
      </c>
      <c r="U811" t="s">
        <v>3948</v>
      </c>
      <c r="V811" t="s">
        <v>3937</v>
      </c>
      <c r="W811" s="9">
        <f>IF(V811="pregrado",31,
IF(V811="posgrados",31,
IF(V811="rEINTEGROS",7,
IF(V811="BIT",90,
IF(V811="OP GRADO - INGLÉS",17,"")))))</f>
        <v>31</v>
      </c>
      <c r="X811" t="s">
        <v>3947</v>
      </c>
    </row>
    <row r="812" spans="1:24" ht="15" x14ac:dyDescent="0.35">
      <c r="A812" s="4">
        <v>46020.314166666663</v>
      </c>
      <c r="B812">
        <v>20110004</v>
      </c>
      <c r="C812" s="6" t="s">
        <v>19</v>
      </c>
      <c r="D812">
        <v>158645</v>
      </c>
      <c r="E812" t="s">
        <v>43</v>
      </c>
      <c r="F812">
        <v>52804147</v>
      </c>
      <c r="G812" t="s">
        <v>1350</v>
      </c>
      <c r="H812">
        <v>100030237</v>
      </c>
      <c r="I812">
        <v>202651</v>
      </c>
      <c r="J812">
        <v>52804147</v>
      </c>
      <c r="K812" t="s">
        <v>46</v>
      </c>
      <c r="L812" t="s">
        <v>252</v>
      </c>
      <c r="M812" t="s">
        <v>253</v>
      </c>
      <c r="N812" t="s">
        <v>35</v>
      </c>
      <c r="O812" t="s">
        <v>26</v>
      </c>
      <c r="P812" t="s">
        <v>27</v>
      </c>
      <c r="Q812" t="s">
        <v>28</v>
      </c>
      <c r="R812" t="s">
        <v>29</v>
      </c>
      <c r="S812" t="s">
        <v>30</v>
      </c>
      <c r="T812">
        <v>1233513889</v>
      </c>
      <c r="U812" t="s">
        <v>3948</v>
      </c>
      <c r="V812" t="s">
        <v>3937</v>
      </c>
      <c r="W812" s="9">
        <f>IF(V812="pregrado",31,
IF(V812="posgrados",31,
IF(V812="rEINTEGROS",7,
IF(V812="BIT",90,
IF(V812="OP GRADO - INGLÉS",17,"")))))</f>
        <v>31</v>
      </c>
      <c r="X812" t="s">
        <v>4035</v>
      </c>
    </row>
    <row r="813" spans="1:24" ht="15" x14ac:dyDescent="0.35">
      <c r="A813" s="4">
        <v>46008.763935185183</v>
      </c>
      <c r="B813">
        <v>20108347</v>
      </c>
      <c r="C813" s="6" t="s">
        <v>19</v>
      </c>
      <c r="D813">
        <v>158646</v>
      </c>
      <c r="E813" t="s">
        <v>43</v>
      </c>
      <c r="F813">
        <v>23914049</v>
      </c>
      <c r="G813" t="s">
        <v>1097</v>
      </c>
      <c r="H813">
        <v>100043777</v>
      </c>
      <c r="I813">
        <v>202651</v>
      </c>
      <c r="J813">
        <v>23914049</v>
      </c>
      <c r="K813" t="s">
        <v>46</v>
      </c>
      <c r="L813" t="s">
        <v>252</v>
      </c>
      <c r="M813" t="s">
        <v>253</v>
      </c>
      <c r="N813" t="s">
        <v>35</v>
      </c>
      <c r="O813" t="s">
        <v>26</v>
      </c>
      <c r="P813" t="s">
        <v>27</v>
      </c>
      <c r="Q813" t="s">
        <v>28</v>
      </c>
      <c r="R813" t="s">
        <v>29</v>
      </c>
      <c r="S813" t="s">
        <v>30</v>
      </c>
      <c r="T813">
        <v>1031147887</v>
      </c>
      <c r="U813" t="s">
        <v>3948</v>
      </c>
      <c r="V813" t="s">
        <v>3937</v>
      </c>
      <c r="W813" s="9">
        <f>IF(V813="pregrado",31,
IF(V813="posgrados",31,
IF(V813="rEINTEGROS",7,
IF(V813="BIT",90,
IF(V813="OP GRADO - INGLÉS",17,"")))))</f>
        <v>31</v>
      </c>
      <c r="X813" t="s">
        <v>3947</v>
      </c>
    </row>
    <row r="814" spans="1:24" ht="15" x14ac:dyDescent="0.35">
      <c r="A814" s="4">
        <v>46011.430636574078</v>
      </c>
      <c r="B814">
        <v>20108994</v>
      </c>
      <c r="C814" s="6" t="s">
        <v>19</v>
      </c>
      <c r="D814">
        <v>158648</v>
      </c>
      <c r="E814" t="s">
        <v>43</v>
      </c>
      <c r="F814">
        <v>1003073164</v>
      </c>
      <c r="G814" t="s">
        <v>1202</v>
      </c>
      <c r="H814">
        <v>100239147</v>
      </c>
      <c r="I814">
        <v>202651</v>
      </c>
      <c r="J814">
        <v>1003073164</v>
      </c>
      <c r="K814" t="s">
        <v>23</v>
      </c>
      <c r="L814" t="s">
        <v>252</v>
      </c>
      <c r="M814" t="s">
        <v>253</v>
      </c>
      <c r="N814" t="s">
        <v>35</v>
      </c>
      <c r="O814" t="s">
        <v>26</v>
      </c>
      <c r="P814" t="s">
        <v>27</v>
      </c>
      <c r="Q814" t="s">
        <v>28</v>
      </c>
      <c r="R814" t="s">
        <v>29</v>
      </c>
      <c r="S814" t="s">
        <v>30</v>
      </c>
      <c r="T814">
        <v>1140420282</v>
      </c>
      <c r="U814" t="s">
        <v>3948</v>
      </c>
      <c r="V814" t="s">
        <v>3937</v>
      </c>
      <c r="W814" s="9">
        <f>IF(V814="pregrado",31,
IF(V814="posgrados",31,
IF(V814="rEINTEGROS",7,
IF(V814="BIT",90,
IF(V814="OP GRADO - INGLÉS",17,"")))))</f>
        <v>31</v>
      </c>
      <c r="X814" t="s">
        <v>3972</v>
      </c>
    </row>
    <row r="815" spans="1:24" ht="15" x14ac:dyDescent="0.35">
      <c r="A815" s="4">
        <v>46009.623877314814</v>
      </c>
      <c r="B815">
        <v>20108563</v>
      </c>
      <c r="C815" s="6" t="s">
        <v>19</v>
      </c>
      <c r="D815">
        <v>158666</v>
      </c>
      <c r="E815" t="s">
        <v>43</v>
      </c>
      <c r="F815">
        <v>42769302</v>
      </c>
      <c r="G815" t="s">
        <v>1144</v>
      </c>
      <c r="H815">
        <v>100239170</v>
      </c>
      <c r="I815">
        <v>202651</v>
      </c>
      <c r="J815">
        <v>42769302</v>
      </c>
      <c r="K815" t="s">
        <v>23</v>
      </c>
      <c r="L815" t="s">
        <v>252</v>
      </c>
      <c r="M815" t="s">
        <v>253</v>
      </c>
      <c r="N815" t="s">
        <v>35</v>
      </c>
      <c r="O815" t="s">
        <v>26</v>
      </c>
      <c r="P815" t="s">
        <v>27</v>
      </c>
      <c r="Q815" t="s">
        <v>28</v>
      </c>
      <c r="R815" t="s">
        <v>29</v>
      </c>
      <c r="S815" t="s">
        <v>30</v>
      </c>
      <c r="T815">
        <v>1016030683</v>
      </c>
      <c r="U815" t="s">
        <v>3936</v>
      </c>
      <c r="V815" t="s">
        <v>3937</v>
      </c>
      <c r="W815" s="9">
        <f>IF(V815="pregrado",31,
IF(V815="posgrados",31,
IF(V815="rEINTEGROS",7,
IF(V815="BIT",90,
IF(V815="OP GRADO - INGLÉS",17,"")))))</f>
        <v>31</v>
      </c>
      <c r="X815" t="s">
        <v>3992</v>
      </c>
    </row>
    <row r="816" spans="1:24" ht="15" x14ac:dyDescent="0.35">
      <c r="A816" s="4">
        <v>46041.685104166667</v>
      </c>
      <c r="B816">
        <v>20115009</v>
      </c>
      <c r="C816" s="6" t="s">
        <v>19</v>
      </c>
      <c r="D816">
        <v>158675</v>
      </c>
      <c r="E816" t="s">
        <v>43</v>
      </c>
      <c r="F816">
        <v>1053815598</v>
      </c>
      <c r="G816" t="s">
        <v>1978</v>
      </c>
      <c r="H816">
        <v>100092920</v>
      </c>
      <c r="I816">
        <v>202641</v>
      </c>
      <c r="J816">
        <v>1053815598</v>
      </c>
      <c r="K816" t="s">
        <v>46</v>
      </c>
      <c r="L816" t="s">
        <v>72</v>
      </c>
      <c r="M816" t="s">
        <v>47</v>
      </c>
      <c r="N816" t="s">
        <v>35</v>
      </c>
      <c r="O816" t="s">
        <v>26</v>
      </c>
      <c r="P816" t="s">
        <v>27</v>
      </c>
      <c r="Q816" t="s">
        <v>28</v>
      </c>
      <c r="R816" t="s">
        <v>29</v>
      </c>
      <c r="S816" t="s">
        <v>30</v>
      </c>
      <c r="T816">
        <v>1015401969</v>
      </c>
      <c r="U816" t="s">
        <v>3936</v>
      </c>
      <c r="V816" t="s">
        <v>3937</v>
      </c>
      <c r="W816" s="9">
        <f>IF(V816="pregrado",31,
IF(V816="posgrados",31,
IF(V816="rEINTEGROS",7,
IF(V816="BIT",90,
IF(V816="OP GRADO - INGLÉS",17,"")))))</f>
        <v>31</v>
      </c>
      <c r="X816" t="s">
        <v>3945</v>
      </c>
    </row>
    <row r="817" spans="1:24" ht="15" x14ac:dyDescent="0.35">
      <c r="A817" s="4">
        <v>46009.694201388891</v>
      </c>
      <c r="B817">
        <v>20108606</v>
      </c>
      <c r="C817" s="6" t="s">
        <v>19</v>
      </c>
      <c r="D817">
        <v>158679</v>
      </c>
      <c r="E817" t="s">
        <v>43</v>
      </c>
      <c r="F817">
        <v>1045746419</v>
      </c>
      <c r="G817" t="s">
        <v>1155</v>
      </c>
      <c r="H817">
        <v>100239187</v>
      </c>
      <c r="I817">
        <v>202651</v>
      </c>
      <c r="J817">
        <v>1045746419</v>
      </c>
      <c r="K817" t="s">
        <v>23</v>
      </c>
      <c r="L817" t="s">
        <v>252</v>
      </c>
      <c r="M817" t="s">
        <v>253</v>
      </c>
      <c r="N817" t="s">
        <v>35</v>
      </c>
      <c r="O817" t="s">
        <v>26</v>
      </c>
      <c r="P817" t="s">
        <v>27</v>
      </c>
      <c r="Q817" t="s">
        <v>28</v>
      </c>
      <c r="R817" t="s">
        <v>29</v>
      </c>
      <c r="S817" t="s">
        <v>30</v>
      </c>
      <c r="T817">
        <v>1032451737</v>
      </c>
      <c r="U817" t="s">
        <v>3948</v>
      </c>
      <c r="V817" t="s">
        <v>3937</v>
      </c>
      <c r="W817" s="9">
        <f>IF(V817="pregrado",31,
IF(V817="posgrados",31,
IF(V817="rEINTEGROS",7,
IF(V817="BIT",90,
IF(V817="OP GRADO - INGLÉS",17,"")))))</f>
        <v>31</v>
      </c>
      <c r="X817" t="s">
        <v>4033</v>
      </c>
    </row>
    <row r="818" spans="1:24" ht="15" x14ac:dyDescent="0.35">
      <c r="A818" s="4">
        <v>46009.457986111112</v>
      </c>
      <c r="B818">
        <v>20108463</v>
      </c>
      <c r="C818" s="6" t="s">
        <v>19</v>
      </c>
      <c r="D818">
        <v>158684</v>
      </c>
      <c r="E818" t="s">
        <v>43</v>
      </c>
      <c r="F818">
        <v>1049627971</v>
      </c>
      <c r="G818" t="s">
        <v>1118</v>
      </c>
      <c r="H818">
        <v>100197248</v>
      </c>
      <c r="I818">
        <v>202651</v>
      </c>
      <c r="J818">
        <v>1049627971</v>
      </c>
      <c r="K818" t="s">
        <v>46</v>
      </c>
      <c r="L818" t="s">
        <v>252</v>
      </c>
      <c r="M818" t="s">
        <v>253</v>
      </c>
      <c r="N818" t="s">
        <v>35</v>
      </c>
      <c r="O818" t="s">
        <v>26</v>
      </c>
      <c r="P818" t="s">
        <v>27</v>
      </c>
      <c r="Q818" t="s">
        <v>28</v>
      </c>
      <c r="R818" t="s">
        <v>29</v>
      </c>
      <c r="S818" t="s">
        <v>30</v>
      </c>
      <c r="T818">
        <v>1075542872</v>
      </c>
      <c r="U818" t="s">
        <v>3948</v>
      </c>
      <c r="V818" t="s">
        <v>3937</v>
      </c>
      <c r="W818" s="9">
        <f>IF(V818="pregrado",31,
IF(V818="posgrados",31,
IF(V818="rEINTEGROS",7,
IF(V818="BIT",90,
IF(V818="OP GRADO - INGLÉS",17,"")))))</f>
        <v>31</v>
      </c>
      <c r="X818" t="s">
        <v>3974</v>
      </c>
    </row>
    <row r="819" spans="1:24" ht="15" x14ac:dyDescent="0.35">
      <c r="A819" s="4">
        <v>46011.445324074077</v>
      </c>
      <c r="B819">
        <v>20108999</v>
      </c>
      <c r="C819" s="6" t="s">
        <v>19</v>
      </c>
      <c r="D819">
        <v>158685</v>
      </c>
      <c r="E819" t="s">
        <v>43</v>
      </c>
      <c r="F819">
        <v>1082912242</v>
      </c>
      <c r="G819" t="s">
        <v>1203</v>
      </c>
      <c r="H819">
        <v>100239200</v>
      </c>
      <c r="I819">
        <v>202651</v>
      </c>
      <c r="J819">
        <v>1082912242</v>
      </c>
      <c r="K819" t="s">
        <v>23</v>
      </c>
      <c r="L819" t="s">
        <v>252</v>
      </c>
      <c r="M819" t="s">
        <v>253</v>
      </c>
      <c r="N819" t="s">
        <v>35</v>
      </c>
      <c r="O819" t="s">
        <v>26</v>
      </c>
      <c r="P819" t="s">
        <v>27</v>
      </c>
      <c r="Q819" t="s">
        <v>28</v>
      </c>
      <c r="R819" t="s">
        <v>29</v>
      </c>
      <c r="S819" t="s">
        <v>30</v>
      </c>
      <c r="T819">
        <v>1014285873</v>
      </c>
      <c r="U819" t="s">
        <v>3948</v>
      </c>
      <c r="V819" t="s">
        <v>3937</v>
      </c>
      <c r="W819" s="9">
        <f>IF(V819="pregrado",31,
IF(V819="posgrados",31,
IF(V819="rEINTEGROS",7,
IF(V819="BIT",90,
IF(V819="OP GRADO - INGLÉS",17,"")))))</f>
        <v>31</v>
      </c>
      <c r="X819" t="s">
        <v>3953</v>
      </c>
    </row>
    <row r="820" spans="1:24" ht="15" x14ac:dyDescent="0.35">
      <c r="A820" s="4">
        <v>46013.669629629629</v>
      </c>
      <c r="B820">
        <v>20109248</v>
      </c>
      <c r="C820" s="6" t="s">
        <v>19</v>
      </c>
      <c r="D820">
        <v>158695</v>
      </c>
      <c r="E820" t="s">
        <v>43</v>
      </c>
      <c r="F820">
        <v>1071631422</v>
      </c>
      <c r="G820" t="s">
        <v>1235</v>
      </c>
      <c r="H820">
        <v>100239212</v>
      </c>
      <c r="I820">
        <v>202641</v>
      </c>
      <c r="J820">
        <v>1071631422</v>
      </c>
      <c r="K820" t="s">
        <v>23</v>
      </c>
      <c r="L820" t="s">
        <v>279</v>
      </c>
      <c r="M820" t="s">
        <v>47</v>
      </c>
      <c r="N820" t="s">
        <v>35</v>
      </c>
      <c r="O820" t="s">
        <v>26</v>
      </c>
      <c r="P820" t="s">
        <v>27</v>
      </c>
      <c r="Q820" t="s">
        <v>28</v>
      </c>
      <c r="R820" t="s">
        <v>29</v>
      </c>
      <c r="S820" t="s">
        <v>30</v>
      </c>
      <c r="T820">
        <v>1070973852</v>
      </c>
      <c r="U820" t="s">
        <v>3936</v>
      </c>
      <c r="V820" t="s">
        <v>3937</v>
      </c>
      <c r="W820" s="9">
        <f>IF(V820="pregrado",31,
IF(V820="posgrados",31,
IF(V820="rEINTEGROS",7,
IF(V820="BIT",90,
IF(V820="OP GRADO - INGLÉS",17,"")))))</f>
        <v>31</v>
      </c>
      <c r="X820" t="s">
        <v>3957</v>
      </c>
    </row>
    <row r="821" spans="1:24" ht="15" x14ac:dyDescent="0.35">
      <c r="A821" s="4">
        <v>46013.58252314815</v>
      </c>
      <c r="B821">
        <v>20109205</v>
      </c>
      <c r="C821" s="6" t="s">
        <v>19</v>
      </c>
      <c r="D821">
        <v>158697</v>
      </c>
      <c r="E821" t="s">
        <v>43</v>
      </c>
      <c r="F821">
        <v>1113687954</v>
      </c>
      <c r="G821" t="s">
        <v>1226</v>
      </c>
      <c r="H821">
        <v>100239217</v>
      </c>
      <c r="I821">
        <v>202651</v>
      </c>
      <c r="J821">
        <v>1113687954</v>
      </c>
      <c r="K821" t="s">
        <v>23</v>
      </c>
      <c r="L821" t="s">
        <v>252</v>
      </c>
      <c r="M821" t="s">
        <v>253</v>
      </c>
      <c r="N821" t="s">
        <v>35</v>
      </c>
      <c r="O821" t="s">
        <v>26</v>
      </c>
      <c r="P821" t="s">
        <v>27</v>
      </c>
      <c r="Q821" t="s">
        <v>28</v>
      </c>
      <c r="R821" t="s">
        <v>29</v>
      </c>
      <c r="S821" t="s">
        <v>30</v>
      </c>
      <c r="T821">
        <v>1033781417</v>
      </c>
      <c r="U821" t="s">
        <v>3948</v>
      </c>
      <c r="V821" t="s">
        <v>3937</v>
      </c>
      <c r="W821" s="9">
        <f>IF(V821="pregrado",31,
IF(V821="posgrados",31,
IF(V821="rEINTEGROS",7,
IF(V821="BIT",90,
IF(V821="OP GRADO - INGLÉS",17,"")))))</f>
        <v>31</v>
      </c>
      <c r="X821" t="s">
        <v>4031</v>
      </c>
    </row>
    <row r="822" spans="1:24" ht="15" x14ac:dyDescent="0.35">
      <c r="A822" s="4">
        <v>46017.63858796296</v>
      </c>
      <c r="B822">
        <v>20109889</v>
      </c>
      <c r="C822" s="6" t="s">
        <v>19</v>
      </c>
      <c r="D822">
        <v>158699</v>
      </c>
      <c r="E822" t="s">
        <v>43</v>
      </c>
      <c r="F822">
        <v>1069498492</v>
      </c>
      <c r="G822" t="s">
        <v>1332</v>
      </c>
      <c r="H822">
        <v>100239221</v>
      </c>
      <c r="I822">
        <v>202651</v>
      </c>
      <c r="J822">
        <v>1069498492</v>
      </c>
      <c r="K822" t="s">
        <v>23</v>
      </c>
      <c r="L822" t="s">
        <v>252</v>
      </c>
      <c r="M822" t="s">
        <v>253</v>
      </c>
      <c r="N822" t="s">
        <v>35</v>
      </c>
      <c r="O822" t="s">
        <v>26</v>
      </c>
      <c r="P822" t="s">
        <v>27</v>
      </c>
      <c r="Q822" t="s">
        <v>28</v>
      </c>
      <c r="R822" t="s">
        <v>29</v>
      </c>
      <c r="S822" t="s">
        <v>30</v>
      </c>
      <c r="T822">
        <v>52032666</v>
      </c>
      <c r="U822" t="s">
        <v>3948</v>
      </c>
      <c r="V822" t="s">
        <v>3937</v>
      </c>
      <c r="W822" s="9">
        <f>IF(V822="pregrado",31,
IF(V822="posgrados",31,
IF(V822="rEINTEGROS",7,
IF(V822="BIT",90,
IF(V822="OP GRADO - INGLÉS",17,"")))))</f>
        <v>31</v>
      </c>
      <c r="X822" t="s">
        <v>3983</v>
      </c>
    </row>
    <row r="823" spans="1:24" ht="15" x14ac:dyDescent="0.35">
      <c r="A823" s="4">
        <v>46014.666620370372</v>
      </c>
      <c r="B823">
        <v>20109590</v>
      </c>
      <c r="C823" s="6" t="s">
        <v>19</v>
      </c>
      <c r="D823">
        <v>158716</v>
      </c>
      <c r="E823" t="s">
        <v>43</v>
      </c>
      <c r="F823">
        <v>1077463364</v>
      </c>
      <c r="G823" t="s">
        <v>1282</v>
      </c>
      <c r="H823">
        <v>100239232</v>
      </c>
      <c r="I823">
        <v>202651</v>
      </c>
      <c r="J823">
        <v>1077463364</v>
      </c>
      <c r="K823" t="s">
        <v>23</v>
      </c>
      <c r="L823" t="s">
        <v>252</v>
      </c>
      <c r="M823" t="s">
        <v>253</v>
      </c>
      <c r="N823" t="s">
        <v>25</v>
      </c>
      <c r="O823" t="s">
        <v>26</v>
      </c>
      <c r="P823" t="s">
        <v>27</v>
      </c>
      <c r="Q823" t="s">
        <v>28</v>
      </c>
      <c r="R823" t="s">
        <v>29</v>
      </c>
      <c r="S823" t="s">
        <v>30</v>
      </c>
      <c r="T823">
        <v>1031147887</v>
      </c>
      <c r="U823" t="s">
        <v>3948</v>
      </c>
      <c r="V823" t="s">
        <v>3937</v>
      </c>
      <c r="W823" s="9">
        <f>IF(V823="pregrado",31,
IF(V823="posgrados",31,
IF(V823="rEINTEGROS",7,
IF(V823="BIT",90,
IF(V823="OP GRADO - INGLÉS",17,"")))))</f>
        <v>31</v>
      </c>
      <c r="X823" t="s">
        <v>3947</v>
      </c>
    </row>
    <row r="824" spans="1:24" ht="15" x14ac:dyDescent="0.35">
      <c r="A824" s="4">
        <v>46009.44494212963</v>
      </c>
      <c r="B824">
        <v>20108447</v>
      </c>
      <c r="C824" s="6" t="s">
        <v>19</v>
      </c>
      <c r="D824">
        <v>158718</v>
      </c>
      <c r="E824" t="s">
        <v>43</v>
      </c>
      <c r="F824">
        <v>66973173</v>
      </c>
      <c r="G824" t="s">
        <v>1116</v>
      </c>
      <c r="H824">
        <v>100239236</v>
      </c>
      <c r="I824">
        <v>202651</v>
      </c>
      <c r="J824">
        <v>66973173</v>
      </c>
      <c r="K824" t="s">
        <v>23</v>
      </c>
      <c r="L824" t="s">
        <v>252</v>
      </c>
      <c r="M824" t="s">
        <v>253</v>
      </c>
      <c r="N824" t="s">
        <v>35</v>
      </c>
      <c r="O824" t="s">
        <v>26</v>
      </c>
      <c r="P824" t="s">
        <v>27</v>
      </c>
      <c r="Q824" t="s">
        <v>28</v>
      </c>
      <c r="R824" t="s">
        <v>29</v>
      </c>
      <c r="S824" t="s">
        <v>30</v>
      </c>
      <c r="T824">
        <v>1033781417</v>
      </c>
      <c r="U824" t="s">
        <v>3948</v>
      </c>
      <c r="V824" t="s">
        <v>3937</v>
      </c>
      <c r="W824" s="9">
        <f>IF(V824="pregrado",31,
IF(V824="posgrados",31,
IF(V824="rEINTEGROS",7,
IF(V824="BIT",90,
IF(V824="OP GRADO - INGLÉS",17,"")))))</f>
        <v>31</v>
      </c>
      <c r="X824" t="s">
        <v>4031</v>
      </c>
    </row>
    <row r="825" spans="1:24" ht="15" x14ac:dyDescent="0.35">
      <c r="A825" s="4">
        <v>46009.387002314812</v>
      </c>
      <c r="B825">
        <v>20108408</v>
      </c>
      <c r="C825" s="6" t="s">
        <v>19</v>
      </c>
      <c r="D825">
        <v>158724</v>
      </c>
      <c r="E825" t="s">
        <v>43</v>
      </c>
      <c r="F825">
        <v>1032468686</v>
      </c>
      <c r="G825" t="s">
        <v>1105</v>
      </c>
      <c r="H825">
        <v>900013770</v>
      </c>
      <c r="I825">
        <v>202651</v>
      </c>
      <c r="J825">
        <v>1032468686</v>
      </c>
      <c r="K825" t="s">
        <v>46</v>
      </c>
      <c r="L825" t="s">
        <v>252</v>
      </c>
      <c r="M825" t="s">
        <v>253</v>
      </c>
      <c r="N825" t="s">
        <v>35</v>
      </c>
      <c r="O825" t="s">
        <v>26</v>
      </c>
      <c r="P825" t="s">
        <v>27</v>
      </c>
      <c r="Q825" t="s">
        <v>28</v>
      </c>
      <c r="R825" t="s">
        <v>29</v>
      </c>
      <c r="S825" t="s">
        <v>30</v>
      </c>
      <c r="T825">
        <v>1014285873</v>
      </c>
      <c r="U825" t="s">
        <v>3948</v>
      </c>
      <c r="V825" t="s">
        <v>3937</v>
      </c>
      <c r="W825" s="9">
        <f>IF(V825="pregrado",31,
IF(V825="posgrados",31,
IF(V825="rEINTEGROS",7,
IF(V825="BIT",90,
IF(V825="OP GRADO - INGLÉS",17,"")))))</f>
        <v>31</v>
      </c>
      <c r="X825" t="s">
        <v>3953</v>
      </c>
    </row>
    <row r="826" spans="1:24" ht="15" x14ac:dyDescent="0.35">
      <c r="A826" s="4">
        <v>46009.440752314818</v>
      </c>
      <c r="B826">
        <v>20108444</v>
      </c>
      <c r="C826" s="6" t="s">
        <v>19</v>
      </c>
      <c r="D826">
        <v>158727</v>
      </c>
      <c r="E826" t="s">
        <v>43</v>
      </c>
      <c r="F826">
        <v>34835772</v>
      </c>
      <c r="G826" t="s">
        <v>1115</v>
      </c>
      <c r="H826">
        <v>100074813</v>
      </c>
      <c r="I826">
        <v>202651</v>
      </c>
      <c r="J826">
        <v>34835772</v>
      </c>
      <c r="K826" t="s">
        <v>46</v>
      </c>
      <c r="L826" t="s">
        <v>252</v>
      </c>
      <c r="M826" t="s">
        <v>253</v>
      </c>
      <c r="N826" t="s">
        <v>35</v>
      </c>
      <c r="O826" t="s">
        <v>26</v>
      </c>
      <c r="P826" t="s">
        <v>27</v>
      </c>
      <c r="Q826" t="s">
        <v>28</v>
      </c>
      <c r="R826" t="s">
        <v>29</v>
      </c>
      <c r="S826" t="s">
        <v>30</v>
      </c>
      <c r="T826">
        <v>1020754225</v>
      </c>
      <c r="U826" t="s">
        <v>3948</v>
      </c>
      <c r="V826" t="s">
        <v>3937</v>
      </c>
      <c r="W826" s="9">
        <f>IF(V826="pregrado",31,
IF(V826="posgrados",31,
IF(V826="rEINTEGROS",7,
IF(V826="BIT",90,
IF(V826="OP GRADO - INGLÉS",17,"")))))</f>
        <v>31</v>
      </c>
      <c r="X826" t="s">
        <v>3981</v>
      </c>
    </row>
    <row r="827" spans="1:24" ht="15" x14ac:dyDescent="0.35">
      <c r="A827" s="4">
        <v>46009.640219907407</v>
      </c>
      <c r="B827">
        <v>20108570</v>
      </c>
      <c r="C827" s="6" t="s">
        <v>19</v>
      </c>
      <c r="D827">
        <v>158728</v>
      </c>
      <c r="E827" t="s">
        <v>43</v>
      </c>
      <c r="F827">
        <v>28215965</v>
      </c>
      <c r="G827" t="s">
        <v>1147</v>
      </c>
      <c r="H827">
        <v>100179626</v>
      </c>
      <c r="I827">
        <v>202651</v>
      </c>
      <c r="J827">
        <v>28215965</v>
      </c>
      <c r="K827" t="s">
        <v>46</v>
      </c>
      <c r="L827" t="s">
        <v>252</v>
      </c>
      <c r="M827" t="s">
        <v>253</v>
      </c>
      <c r="N827" t="s">
        <v>35</v>
      </c>
      <c r="O827" t="s">
        <v>26</v>
      </c>
      <c r="P827" t="s">
        <v>27</v>
      </c>
      <c r="Q827" t="s">
        <v>28</v>
      </c>
      <c r="R827" t="s">
        <v>29</v>
      </c>
      <c r="S827" t="s">
        <v>30</v>
      </c>
      <c r="T827">
        <v>51951991</v>
      </c>
      <c r="U827" t="s">
        <v>3936</v>
      </c>
      <c r="V827" t="s">
        <v>3937</v>
      </c>
      <c r="W827" s="9">
        <f>IF(V827="pregrado",31,
IF(V827="posgrados",31,
IF(V827="rEINTEGROS",7,
IF(V827="BIT",90,
IF(V827="OP GRADO - INGLÉS",17,"")))))</f>
        <v>31</v>
      </c>
      <c r="X827" t="s">
        <v>4049</v>
      </c>
    </row>
    <row r="828" spans="1:24" ht="15" x14ac:dyDescent="0.35">
      <c r="A828" s="4">
        <v>46009.425636574073</v>
      </c>
      <c r="B828">
        <v>20108436</v>
      </c>
      <c r="C828" s="6" t="s">
        <v>19</v>
      </c>
      <c r="D828">
        <v>158730</v>
      </c>
      <c r="E828" t="s">
        <v>43</v>
      </c>
      <c r="F828">
        <v>1019102741</v>
      </c>
      <c r="G828" t="s">
        <v>1112</v>
      </c>
      <c r="H828">
        <v>100239256</v>
      </c>
      <c r="I828">
        <v>202651</v>
      </c>
      <c r="J828">
        <v>1019102741</v>
      </c>
      <c r="K828" t="s">
        <v>23</v>
      </c>
      <c r="L828" t="s">
        <v>252</v>
      </c>
      <c r="M828" t="s">
        <v>253</v>
      </c>
      <c r="N828" t="s">
        <v>35</v>
      </c>
      <c r="O828" t="s">
        <v>26</v>
      </c>
      <c r="P828" t="s">
        <v>27</v>
      </c>
      <c r="Q828" t="s">
        <v>28</v>
      </c>
      <c r="R828" t="s">
        <v>29</v>
      </c>
      <c r="S828" t="s">
        <v>30</v>
      </c>
      <c r="T828">
        <v>1020754225</v>
      </c>
      <c r="U828" t="s">
        <v>3948</v>
      </c>
      <c r="V828" t="s">
        <v>3937</v>
      </c>
      <c r="W828" s="9">
        <f>IF(V828="pregrado",31,
IF(V828="posgrados",31,
IF(V828="rEINTEGROS",7,
IF(V828="BIT",90,
IF(V828="OP GRADO - INGLÉS",17,"")))))</f>
        <v>31</v>
      </c>
      <c r="X828" t="s">
        <v>3981</v>
      </c>
    </row>
    <row r="829" spans="1:24" ht="15" x14ac:dyDescent="0.35">
      <c r="A829" s="4">
        <v>46013.445856481485</v>
      </c>
      <c r="B829">
        <v>20109119</v>
      </c>
      <c r="C829" s="6" t="s">
        <v>19</v>
      </c>
      <c r="D829">
        <v>158734</v>
      </c>
      <c r="E829" t="s">
        <v>43</v>
      </c>
      <c r="F829">
        <v>1063276795</v>
      </c>
      <c r="G829" t="s">
        <v>1215</v>
      </c>
      <c r="H829">
        <v>100239260</v>
      </c>
      <c r="I829">
        <v>202651</v>
      </c>
      <c r="J829">
        <v>1063276795</v>
      </c>
      <c r="K829" t="s">
        <v>23</v>
      </c>
      <c r="L829" t="s">
        <v>252</v>
      </c>
      <c r="M829" t="s">
        <v>253</v>
      </c>
      <c r="N829" t="s">
        <v>35</v>
      </c>
      <c r="O829" t="s">
        <v>26</v>
      </c>
      <c r="P829" t="s">
        <v>27</v>
      </c>
      <c r="Q829" t="s">
        <v>28</v>
      </c>
      <c r="R829" t="s">
        <v>29</v>
      </c>
      <c r="S829" t="s">
        <v>30</v>
      </c>
      <c r="T829">
        <v>52032666</v>
      </c>
      <c r="U829" t="s">
        <v>3948</v>
      </c>
      <c r="V829" t="s">
        <v>3937</v>
      </c>
      <c r="W829" s="9">
        <f>IF(V829="pregrado",31,
IF(V829="posgrados",31,
IF(V829="rEINTEGROS",7,
IF(V829="BIT",90,
IF(V829="OP GRADO - INGLÉS",17,"")))))</f>
        <v>31</v>
      </c>
      <c r="X829" t="s">
        <v>3983</v>
      </c>
    </row>
    <row r="830" spans="1:24" ht="15" x14ac:dyDescent="0.35">
      <c r="A830" s="4">
        <v>46009.48097222222</v>
      </c>
      <c r="B830">
        <v>20108479</v>
      </c>
      <c r="C830" s="6" t="s">
        <v>19</v>
      </c>
      <c r="D830">
        <v>158751</v>
      </c>
      <c r="E830" t="s">
        <v>43</v>
      </c>
      <c r="F830">
        <v>1143937392</v>
      </c>
      <c r="G830" t="s">
        <v>1125</v>
      </c>
      <c r="H830">
        <v>100239294</v>
      </c>
      <c r="I830">
        <v>202651</v>
      </c>
      <c r="J830">
        <v>1143937392</v>
      </c>
      <c r="K830" t="s">
        <v>23</v>
      </c>
      <c r="L830" t="s">
        <v>252</v>
      </c>
      <c r="M830" t="s">
        <v>253</v>
      </c>
      <c r="N830" t="s">
        <v>35</v>
      </c>
      <c r="O830" t="s">
        <v>26</v>
      </c>
      <c r="P830" t="s">
        <v>27</v>
      </c>
      <c r="Q830" t="s">
        <v>28</v>
      </c>
      <c r="R830" t="s">
        <v>29</v>
      </c>
      <c r="S830" t="s">
        <v>30</v>
      </c>
      <c r="T830">
        <v>1033781417</v>
      </c>
      <c r="U830" t="s">
        <v>3948</v>
      </c>
      <c r="V830" t="s">
        <v>3937</v>
      </c>
      <c r="W830" s="9">
        <f>IF(V830="pregrado",31,
IF(V830="posgrados",31,
IF(V830="rEINTEGROS",7,
IF(V830="BIT",90,
IF(V830="OP GRADO - INGLÉS",17,"")))))</f>
        <v>31</v>
      </c>
      <c r="X830" t="s">
        <v>4031</v>
      </c>
    </row>
    <row r="831" spans="1:24" ht="15" x14ac:dyDescent="0.35">
      <c r="A831" s="4">
        <v>46013.511412037034</v>
      </c>
      <c r="B831">
        <v>20109161</v>
      </c>
      <c r="C831" s="6" t="s">
        <v>19</v>
      </c>
      <c r="D831">
        <v>158763</v>
      </c>
      <c r="E831" t="s">
        <v>43</v>
      </c>
      <c r="F831">
        <v>1017269605</v>
      </c>
      <c r="G831" t="s">
        <v>1218</v>
      </c>
      <c r="H831">
        <v>100239313</v>
      </c>
      <c r="I831">
        <v>202641</v>
      </c>
      <c r="J831">
        <v>1017269605</v>
      </c>
      <c r="K831" t="s">
        <v>23</v>
      </c>
      <c r="L831" t="s">
        <v>342</v>
      </c>
      <c r="M831" t="s">
        <v>47</v>
      </c>
      <c r="N831" t="s">
        <v>35</v>
      </c>
      <c r="O831" t="s">
        <v>26</v>
      </c>
      <c r="P831" t="s">
        <v>27</v>
      </c>
      <c r="Q831" t="s">
        <v>28</v>
      </c>
      <c r="R831" t="s">
        <v>29</v>
      </c>
      <c r="S831" t="s">
        <v>30</v>
      </c>
      <c r="T831">
        <v>1031147887</v>
      </c>
      <c r="U831" t="s">
        <v>3948</v>
      </c>
      <c r="V831" t="s">
        <v>3937</v>
      </c>
      <c r="W831" s="9">
        <f>IF(V831="pregrado",31,
IF(V831="posgrados",31,
IF(V831="rEINTEGROS",7,
IF(V831="BIT",90,
IF(V831="OP GRADO - INGLÉS",17,"")))))</f>
        <v>31</v>
      </c>
      <c r="X831" t="s">
        <v>3947</v>
      </c>
    </row>
    <row r="832" spans="1:24" ht="15" x14ac:dyDescent="0.35">
      <c r="A832" s="4">
        <v>46009.546273148146</v>
      </c>
      <c r="B832">
        <v>20108529</v>
      </c>
      <c r="C832" s="6" t="s">
        <v>19</v>
      </c>
      <c r="D832">
        <v>158771</v>
      </c>
      <c r="E832" t="s">
        <v>43</v>
      </c>
      <c r="F832">
        <v>11430873</v>
      </c>
      <c r="G832" t="s">
        <v>1136</v>
      </c>
      <c r="H832">
        <v>100239335</v>
      </c>
      <c r="I832">
        <v>202641</v>
      </c>
      <c r="J832">
        <v>1073249567</v>
      </c>
      <c r="K832" t="s">
        <v>23</v>
      </c>
      <c r="L832" t="s">
        <v>72</v>
      </c>
      <c r="M832" t="s">
        <v>47</v>
      </c>
      <c r="N832" t="s">
        <v>35</v>
      </c>
      <c r="O832" t="s">
        <v>26</v>
      </c>
      <c r="P832" t="s">
        <v>27</v>
      </c>
      <c r="Q832" t="s">
        <v>28</v>
      </c>
      <c r="R832" t="s">
        <v>29</v>
      </c>
      <c r="S832" t="s">
        <v>30</v>
      </c>
      <c r="T832">
        <v>1070973852</v>
      </c>
      <c r="U832" t="s">
        <v>3936</v>
      </c>
      <c r="V832" t="s">
        <v>3937</v>
      </c>
      <c r="W832" s="9">
        <f>IF(V832="pregrado",31,
IF(V832="posgrados",31,
IF(V832="rEINTEGROS",7,
IF(V832="BIT",90,
IF(V832="OP GRADO - INGLÉS",17,"")))))</f>
        <v>31</v>
      </c>
      <c r="X832" t="s">
        <v>3957</v>
      </c>
    </row>
    <row r="833" spans="1:24" ht="15" x14ac:dyDescent="0.35">
      <c r="A833" s="4">
        <v>46051.513912037037</v>
      </c>
      <c r="B833">
        <v>20118466</v>
      </c>
      <c r="C833" s="6" t="s">
        <v>19</v>
      </c>
      <c r="D833">
        <v>158775</v>
      </c>
      <c r="E833" t="s">
        <v>43</v>
      </c>
      <c r="F833">
        <v>38015537</v>
      </c>
      <c r="G833" t="s">
        <v>2482</v>
      </c>
      <c r="H833">
        <v>100239343</v>
      </c>
      <c r="I833">
        <v>202651</v>
      </c>
      <c r="J833">
        <v>38015537</v>
      </c>
      <c r="K833" t="s">
        <v>23</v>
      </c>
      <c r="L833" t="s">
        <v>252</v>
      </c>
      <c r="M833" t="s">
        <v>253</v>
      </c>
      <c r="N833" t="s">
        <v>35</v>
      </c>
      <c r="O833" t="s">
        <v>26</v>
      </c>
      <c r="P833" t="s">
        <v>27</v>
      </c>
      <c r="Q833" t="s">
        <v>28</v>
      </c>
      <c r="R833" t="s">
        <v>29</v>
      </c>
      <c r="S833" t="s">
        <v>30</v>
      </c>
      <c r="T833">
        <v>1033784244</v>
      </c>
      <c r="U833" t="s">
        <v>3948</v>
      </c>
      <c r="V833" t="s">
        <v>3937</v>
      </c>
      <c r="W833" s="9">
        <f>IF(V833="pregrado",31,
IF(V833="posgrados",31,
IF(V833="rEINTEGROS",7,
IF(V833="BIT",90,
IF(V833="OP GRADO - INGLÉS",17,"")))))</f>
        <v>31</v>
      </c>
      <c r="X833" t="s">
        <v>4067</v>
      </c>
    </row>
    <row r="834" spans="1:24" ht="15" x14ac:dyDescent="0.35">
      <c r="A834" s="4">
        <v>46010.80369212963</v>
      </c>
      <c r="B834">
        <v>20108954</v>
      </c>
      <c r="C834" s="6" t="s">
        <v>19</v>
      </c>
      <c r="D834">
        <v>158776</v>
      </c>
      <c r="E834" t="s">
        <v>43</v>
      </c>
      <c r="F834">
        <v>39275876</v>
      </c>
      <c r="G834" t="s">
        <v>1197</v>
      </c>
      <c r="H834">
        <v>100239349</v>
      </c>
      <c r="I834">
        <v>202641</v>
      </c>
      <c r="J834">
        <v>39275876</v>
      </c>
      <c r="K834" t="s">
        <v>23</v>
      </c>
      <c r="L834" t="s">
        <v>45</v>
      </c>
      <c r="M834" t="s">
        <v>47</v>
      </c>
      <c r="N834" t="s">
        <v>35</v>
      </c>
      <c r="O834" t="s">
        <v>26</v>
      </c>
      <c r="P834" t="s">
        <v>27</v>
      </c>
      <c r="Q834" t="s">
        <v>28</v>
      </c>
      <c r="R834" t="s">
        <v>29</v>
      </c>
      <c r="S834" t="s">
        <v>30</v>
      </c>
      <c r="T834">
        <v>1032406382</v>
      </c>
      <c r="U834" t="s">
        <v>3936</v>
      </c>
      <c r="V834" t="s">
        <v>3937</v>
      </c>
      <c r="W834" s="9">
        <f>IF(V834="pregrado",31,
IF(V834="posgrados",31,
IF(V834="rEINTEGROS",7,
IF(V834="BIT",90,
IF(V834="OP GRADO - INGLÉS",17,"")))))</f>
        <v>31</v>
      </c>
      <c r="X834" t="s">
        <v>3991</v>
      </c>
    </row>
    <row r="835" spans="1:24" ht="15" x14ac:dyDescent="0.35">
      <c r="A835" s="4">
        <v>46009.599942129629</v>
      </c>
      <c r="B835">
        <v>20108552</v>
      </c>
      <c r="C835" s="6" t="s">
        <v>19</v>
      </c>
      <c r="D835">
        <v>158778</v>
      </c>
      <c r="E835" t="s">
        <v>43</v>
      </c>
      <c r="F835">
        <v>53065832</v>
      </c>
      <c r="G835" t="s">
        <v>1142</v>
      </c>
      <c r="H835">
        <v>100085374</v>
      </c>
      <c r="I835">
        <v>202651</v>
      </c>
      <c r="J835">
        <v>53065832</v>
      </c>
      <c r="K835" t="s">
        <v>23</v>
      </c>
      <c r="L835" t="s">
        <v>252</v>
      </c>
      <c r="M835" t="s">
        <v>253</v>
      </c>
      <c r="N835" t="s">
        <v>35</v>
      </c>
      <c r="O835" t="s">
        <v>26</v>
      </c>
      <c r="P835" t="s">
        <v>27</v>
      </c>
      <c r="Q835" t="s">
        <v>28</v>
      </c>
      <c r="R835" t="s">
        <v>29</v>
      </c>
      <c r="S835" t="s">
        <v>30</v>
      </c>
      <c r="T835">
        <v>1033781417</v>
      </c>
      <c r="U835" t="s">
        <v>3948</v>
      </c>
      <c r="V835" t="s">
        <v>3937</v>
      </c>
      <c r="W835" s="9">
        <f>IF(V835="pregrado",31,
IF(V835="posgrados",31,
IF(V835="rEINTEGROS",7,
IF(V835="BIT",90,
IF(V835="OP GRADO - INGLÉS",17,"")))))</f>
        <v>31</v>
      </c>
      <c r="X835" t="s">
        <v>4031</v>
      </c>
    </row>
    <row r="836" spans="1:24" ht="15" x14ac:dyDescent="0.35">
      <c r="A836" s="4">
        <v>46009.656817129631</v>
      </c>
      <c r="B836">
        <v>20108582</v>
      </c>
      <c r="C836" s="6" t="s">
        <v>19</v>
      </c>
      <c r="D836">
        <v>158779</v>
      </c>
      <c r="E836" t="s">
        <v>43</v>
      </c>
      <c r="F836">
        <v>1118197618</v>
      </c>
      <c r="G836" t="s">
        <v>1149</v>
      </c>
      <c r="H836">
        <v>100239356</v>
      </c>
      <c r="I836">
        <v>202651</v>
      </c>
      <c r="J836">
        <v>1118197618</v>
      </c>
      <c r="K836" t="s">
        <v>23</v>
      </c>
      <c r="L836" t="s">
        <v>252</v>
      </c>
      <c r="M836" t="s">
        <v>253</v>
      </c>
      <c r="N836" t="s">
        <v>35</v>
      </c>
      <c r="O836" t="s">
        <v>26</v>
      </c>
      <c r="P836" t="s">
        <v>27</v>
      </c>
      <c r="Q836" t="s">
        <v>28</v>
      </c>
      <c r="R836" t="s">
        <v>29</v>
      </c>
      <c r="S836" t="s">
        <v>30</v>
      </c>
      <c r="T836">
        <v>1015401969</v>
      </c>
      <c r="U836" t="s">
        <v>3936</v>
      </c>
      <c r="V836" t="s">
        <v>3937</v>
      </c>
      <c r="W836" s="9">
        <f>IF(V836="pregrado",31,
IF(V836="posgrados",31,
IF(V836="rEINTEGROS",7,
IF(V836="BIT",90,
IF(V836="OP GRADO - INGLÉS",17,"")))))</f>
        <v>31</v>
      </c>
      <c r="X836" t="s">
        <v>3945</v>
      </c>
    </row>
    <row r="837" spans="1:24" ht="15" x14ac:dyDescent="0.35">
      <c r="A837" s="4">
        <v>46009.662407407406</v>
      </c>
      <c r="B837">
        <v>20108584</v>
      </c>
      <c r="C837" s="6" t="s">
        <v>19</v>
      </c>
      <c r="D837">
        <v>158781</v>
      </c>
      <c r="E837" t="s">
        <v>43</v>
      </c>
      <c r="F837">
        <v>1116992982</v>
      </c>
      <c r="G837" t="s">
        <v>1150</v>
      </c>
      <c r="H837">
        <v>100239360</v>
      </c>
      <c r="I837">
        <v>202651</v>
      </c>
      <c r="J837">
        <v>1116992982</v>
      </c>
      <c r="K837" t="s">
        <v>23</v>
      </c>
      <c r="L837" t="s">
        <v>252</v>
      </c>
      <c r="M837" t="s">
        <v>253</v>
      </c>
      <c r="N837" t="s">
        <v>35</v>
      </c>
      <c r="O837" t="s">
        <v>26</v>
      </c>
      <c r="P837" t="s">
        <v>27</v>
      </c>
      <c r="Q837" t="s">
        <v>28</v>
      </c>
      <c r="R837" t="s">
        <v>29</v>
      </c>
      <c r="S837" t="s">
        <v>30</v>
      </c>
      <c r="T837">
        <v>1015401969</v>
      </c>
      <c r="U837" t="s">
        <v>3936</v>
      </c>
      <c r="V837" t="s">
        <v>3937</v>
      </c>
      <c r="W837" s="9">
        <f>IF(V837="pregrado",31,
IF(V837="posgrados",31,
IF(V837="rEINTEGROS",7,
IF(V837="BIT",90,
IF(V837="OP GRADO - INGLÉS",17,"")))))</f>
        <v>31</v>
      </c>
      <c r="X837" t="s">
        <v>3945</v>
      </c>
    </row>
    <row r="838" spans="1:24" ht="15" x14ac:dyDescent="0.35">
      <c r="A838" s="4">
        <v>46009.808113425926</v>
      </c>
      <c r="B838">
        <v>20108663</v>
      </c>
      <c r="C838" s="6" t="s">
        <v>19</v>
      </c>
      <c r="D838">
        <v>158782</v>
      </c>
      <c r="E838" t="s">
        <v>43</v>
      </c>
      <c r="F838">
        <v>79717373</v>
      </c>
      <c r="G838" t="s">
        <v>1167</v>
      </c>
      <c r="H838">
        <v>100239368</v>
      </c>
      <c r="I838">
        <v>202641</v>
      </c>
      <c r="J838">
        <v>79717373</v>
      </c>
      <c r="K838" t="s">
        <v>23</v>
      </c>
      <c r="L838" t="s">
        <v>59</v>
      </c>
      <c r="M838" t="s">
        <v>47</v>
      </c>
      <c r="N838" t="s">
        <v>35</v>
      </c>
      <c r="O838" t="s">
        <v>26</v>
      </c>
      <c r="P838" t="s">
        <v>27</v>
      </c>
      <c r="Q838" t="s">
        <v>28</v>
      </c>
      <c r="R838" t="s">
        <v>29</v>
      </c>
      <c r="S838" t="s">
        <v>30</v>
      </c>
      <c r="T838">
        <v>1033784244</v>
      </c>
      <c r="U838" t="s">
        <v>3948</v>
      </c>
      <c r="V838" t="s">
        <v>3937</v>
      </c>
      <c r="W838" s="9">
        <f>IF(V838="pregrado",31,
IF(V838="posgrados",31,
IF(V838="rEINTEGROS",7,
IF(V838="BIT",90,
IF(V838="OP GRADO - INGLÉS",17,"")))))</f>
        <v>31</v>
      </c>
      <c r="X838" t="s">
        <v>4067</v>
      </c>
    </row>
    <row r="839" spans="1:24" ht="15" x14ac:dyDescent="0.35">
      <c r="A839" s="4">
        <v>46014.345949074072</v>
      </c>
      <c r="B839">
        <v>20109355</v>
      </c>
      <c r="C839" s="6" t="s">
        <v>19</v>
      </c>
      <c r="D839">
        <v>158784</v>
      </c>
      <c r="E839" t="s">
        <v>43</v>
      </c>
      <c r="F839">
        <v>1124853192</v>
      </c>
      <c r="G839" t="s">
        <v>1248</v>
      </c>
      <c r="H839">
        <v>100239371</v>
      </c>
      <c r="I839">
        <v>202651</v>
      </c>
      <c r="J839">
        <v>1124853192</v>
      </c>
      <c r="K839" t="s">
        <v>23</v>
      </c>
      <c r="L839" t="s">
        <v>252</v>
      </c>
      <c r="M839" t="s">
        <v>253</v>
      </c>
      <c r="N839" t="s">
        <v>35</v>
      </c>
      <c r="O839" t="s">
        <v>26</v>
      </c>
      <c r="P839" t="s">
        <v>27</v>
      </c>
      <c r="Q839" t="s">
        <v>28</v>
      </c>
      <c r="R839" t="s">
        <v>29</v>
      </c>
      <c r="S839" t="s">
        <v>30</v>
      </c>
      <c r="T839">
        <v>1000120140</v>
      </c>
      <c r="U839" t="s">
        <v>3936</v>
      </c>
      <c r="V839" t="s">
        <v>3937</v>
      </c>
      <c r="W839" s="9">
        <f>IF(V839="pregrado",31,
IF(V839="posgrados",31,
IF(V839="rEINTEGROS",7,
IF(V839="BIT",90,
IF(V839="OP GRADO - INGLÉS",17,"")))))</f>
        <v>31</v>
      </c>
      <c r="X839" t="s">
        <v>3935</v>
      </c>
    </row>
    <row r="840" spans="1:24" ht="15" x14ac:dyDescent="0.35">
      <c r="A840" s="4">
        <v>46065.554479166669</v>
      </c>
      <c r="B840">
        <v>20122827</v>
      </c>
      <c r="C840" s="6" t="s">
        <v>19</v>
      </c>
      <c r="D840">
        <v>158786</v>
      </c>
      <c r="E840" t="s">
        <v>43</v>
      </c>
      <c r="F840">
        <v>1042090675</v>
      </c>
      <c r="G840" t="s">
        <v>3100</v>
      </c>
      <c r="H840">
        <v>100087392</v>
      </c>
      <c r="I840">
        <v>202651</v>
      </c>
      <c r="J840">
        <v>1042090675</v>
      </c>
      <c r="K840" t="s">
        <v>46</v>
      </c>
      <c r="L840" t="s">
        <v>252</v>
      </c>
      <c r="M840" t="s">
        <v>253</v>
      </c>
      <c r="N840" t="s">
        <v>35</v>
      </c>
      <c r="O840" t="s">
        <v>26</v>
      </c>
      <c r="P840" t="s">
        <v>27</v>
      </c>
      <c r="Q840" t="s">
        <v>28</v>
      </c>
      <c r="R840" t="s">
        <v>29</v>
      </c>
      <c r="S840" t="s">
        <v>30</v>
      </c>
      <c r="T840">
        <v>1075542872</v>
      </c>
      <c r="U840" t="s">
        <v>3948</v>
      </c>
      <c r="V840" t="s">
        <v>3937</v>
      </c>
      <c r="W840" s="9">
        <f>IF(V840="pregrado",31,
IF(V840="posgrados",31,
IF(V840="rEINTEGROS",7,
IF(V840="BIT",90,
IF(V840="OP GRADO - INGLÉS",17,"")))))</f>
        <v>31</v>
      </c>
      <c r="X840" t="s">
        <v>3974</v>
      </c>
    </row>
    <row r="841" spans="1:24" ht="15" x14ac:dyDescent="0.35">
      <c r="A841" s="4">
        <v>46009.742569444446</v>
      </c>
      <c r="B841">
        <v>20108630</v>
      </c>
      <c r="C841" s="6" t="s">
        <v>19</v>
      </c>
      <c r="D841">
        <v>158790</v>
      </c>
      <c r="E841" t="s">
        <v>43</v>
      </c>
      <c r="F841">
        <v>52504565</v>
      </c>
      <c r="G841" t="s">
        <v>1161</v>
      </c>
      <c r="H841">
        <v>100101529</v>
      </c>
      <c r="I841">
        <v>202651</v>
      </c>
      <c r="J841">
        <v>52504565</v>
      </c>
      <c r="K841" t="s">
        <v>46</v>
      </c>
      <c r="L841" t="s">
        <v>252</v>
      </c>
      <c r="M841" t="s">
        <v>253</v>
      </c>
      <c r="N841" t="s">
        <v>35</v>
      </c>
      <c r="O841" t="s">
        <v>26</v>
      </c>
      <c r="P841" t="s">
        <v>27</v>
      </c>
      <c r="Q841" t="s">
        <v>28</v>
      </c>
      <c r="R841" t="s">
        <v>29</v>
      </c>
      <c r="S841" t="s">
        <v>30</v>
      </c>
      <c r="T841">
        <v>52032666</v>
      </c>
      <c r="U841" t="s">
        <v>3948</v>
      </c>
      <c r="V841" t="s">
        <v>3937</v>
      </c>
      <c r="W841" s="9">
        <f>IF(V841="pregrado",31,
IF(V841="posgrados",31,
IF(V841="rEINTEGROS",7,
IF(V841="BIT",90,
IF(V841="OP GRADO - INGLÉS",17,"")))))</f>
        <v>31</v>
      </c>
      <c r="X841" t="s">
        <v>3983</v>
      </c>
    </row>
    <row r="842" spans="1:24" ht="15" x14ac:dyDescent="0.35">
      <c r="A842" s="4">
        <v>46027.645636574074</v>
      </c>
      <c r="B842">
        <v>20110993</v>
      </c>
      <c r="C842" s="6" t="s">
        <v>19</v>
      </c>
      <c r="D842">
        <v>158802</v>
      </c>
      <c r="E842" t="s">
        <v>43</v>
      </c>
      <c r="F842">
        <v>1077421790</v>
      </c>
      <c r="G842" t="s">
        <v>1485</v>
      </c>
      <c r="H842">
        <v>100239397</v>
      </c>
      <c r="I842">
        <v>202651</v>
      </c>
      <c r="J842">
        <v>1077421790</v>
      </c>
      <c r="K842" t="s">
        <v>23</v>
      </c>
      <c r="L842" t="s">
        <v>252</v>
      </c>
      <c r="M842" t="s">
        <v>253</v>
      </c>
      <c r="N842" t="s">
        <v>35</v>
      </c>
      <c r="O842" t="s">
        <v>26</v>
      </c>
      <c r="P842" t="s">
        <v>27</v>
      </c>
      <c r="Q842" t="s">
        <v>28</v>
      </c>
      <c r="R842" t="s">
        <v>29</v>
      </c>
      <c r="S842" t="s">
        <v>30</v>
      </c>
      <c r="T842">
        <v>1031147887</v>
      </c>
      <c r="U842" t="s">
        <v>3948</v>
      </c>
      <c r="V842" t="s">
        <v>3937</v>
      </c>
      <c r="W842" s="9">
        <f>IF(V842="pregrado",31,
IF(V842="posgrados",31,
IF(V842="rEINTEGROS",7,
IF(V842="BIT",90,
IF(V842="OP GRADO - INGLÉS",17,"")))))</f>
        <v>31</v>
      </c>
      <c r="X842" t="s">
        <v>3947</v>
      </c>
    </row>
    <row r="843" spans="1:24" ht="15" x14ac:dyDescent="0.35">
      <c r="A843" s="4">
        <v>46017.653634259259</v>
      </c>
      <c r="B843">
        <v>20109897</v>
      </c>
      <c r="C843" s="6" t="s">
        <v>19</v>
      </c>
      <c r="D843">
        <v>158810</v>
      </c>
      <c r="E843" t="s">
        <v>43</v>
      </c>
      <c r="F843">
        <v>78762232</v>
      </c>
      <c r="G843" t="s">
        <v>1333</v>
      </c>
      <c r="H843">
        <v>100206532</v>
      </c>
      <c r="I843">
        <v>202641</v>
      </c>
      <c r="J843">
        <v>661458</v>
      </c>
      <c r="K843" t="s">
        <v>46</v>
      </c>
      <c r="L843" t="s">
        <v>45</v>
      </c>
      <c r="M843" t="s">
        <v>47</v>
      </c>
      <c r="N843" t="s">
        <v>35</v>
      </c>
      <c r="O843" t="s">
        <v>26</v>
      </c>
      <c r="P843" t="s">
        <v>27</v>
      </c>
      <c r="Q843" t="s">
        <v>28</v>
      </c>
      <c r="R843" t="s">
        <v>29</v>
      </c>
      <c r="S843" t="s">
        <v>30</v>
      </c>
      <c r="T843">
        <v>1032406382</v>
      </c>
      <c r="U843" t="s">
        <v>3936</v>
      </c>
      <c r="V843" t="s">
        <v>3937</v>
      </c>
      <c r="W843" s="9">
        <f>IF(V843="pregrado",31,
IF(V843="posgrados",31,
IF(V843="rEINTEGROS",7,
IF(V843="BIT",90,
IF(V843="OP GRADO - INGLÉS",17,"")))))</f>
        <v>31</v>
      </c>
      <c r="X843" t="s">
        <v>3991</v>
      </c>
    </row>
    <row r="844" spans="1:24" ht="15" x14ac:dyDescent="0.35">
      <c r="A844" s="4">
        <v>46010.428483796299</v>
      </c>
      <c r="B844">
        <v>20108723</v>
      </c>
      <c r="C844" s="6" t="s">
        <v>19</v>
      </c>
      <c r="D844">
        <v>158823</v>
      </c>
      <c r="E844" t="s">
        <v>43</v>
      </c>
      <c r="F844">
        <v>1022405586</v>
      </c>
      <c r="G844" t="s">
        <v>1173</v>
      </c>
      <c r="H844">
        <v>100236422</v>
      </c>
      <c r="I844">
        <v>202641</v>
      </c>
      <c r="J844">
        <v>1022405586</v>
      </c>
      <c r="K844" t="s">
        <v>23</v>
      </c>
      <c r="L844" t="s">
        <v>59</v>
      </c>
      <c r="M844" t="s">
        <v>47</v>
      </c>
      <c r="N844" t="s">
        <v>35</v>
      </c>
      <c r="O844" t="s">
        <v>26</v>
      </c>
      <c r="P844" t="s">
        <v>27</v>
      </c>
      <c r="Q844" t="s">
        <v>28</v>
      </c>
      <c r="R844" t="s">
        <v>29</v>
      </c>
      <c r="S844" t="s">
        <v>30</v>
      </c>
      <c r="T844">
        <v>1026262709</v>
      </c>
      <c r="U844" t="s">
        <v>3936</v>
      </c>
      <c r="V844" t="s">
        <v>3937</v>
      </c>
      <c r="W844" s="9">
        <f>IF(V844="pregrado",31,
IF(V844="posgrados",31,
IF(V844="rEINTEGROS",7,
IF(V844="BIT",90,
IF(V844="OP GRADO - INGLÉS",17,"")))))</f>
        <v>31</v>
      </c>
      <c r="X844" t="s">
        <v>4037</v>
      </c>
    </row>
    <row r="845" spans="1:24" ht="15" x14ac:dyDescent="0.35">
      <c r="A845" s="4">
        <v>46010.513194444444</v>
      </c>
      <c r="B845">
        <v>20108780</v>
      </c>
      <c r="C845" s="6" t="s">
        <v>19</v>
      </c>
      <c r="D845">
        <v>158824</v>
      </c>
      <c r="E845" t="s">
        <v>43</v>
      </c>
      <c r="F845">
        <v>1192772339</v>
      </c>
      <c r="G845" t="s">
        <v>1183</v>
      </c>
      <c r="H845">
        <v>100239431</v>
      </c>
      <c r="I845">
        <v>202641</v>
      </c>
      <c r="J845">
        <v>1192772339</v>
      </c>
      <c r="K845" t="s">
        <v>23</v>
      </c>
      <c r="L845" t="s">
        <v>59</v>
      </c>
      <c r="M845" t="s">
        <v>47</v>
      </c>
      <c r="N845" t="s">
        <v>35</v>
      </c>
      <c r="O845" t="s">
        <v>26</v>
      </c>
      <c r="P845" t="s">
        <v>27</v>
      </c>
      <c r="Q845" t="s">
        <v>28</v>
      </c>
      <c r="R845" t="s">
        <v>29</v>
      </c>
      <c r="S845" t="s">
        <v>30</v>
      </c>
      <c r="T845">
        <v>1233888787</v>
      </c>
      <c r="U845" t="s">
        <v>3936</v>
      </c>
      <c r="V845" t="s">
        <v>3937</v>
      </c>
      <c r="W845" s="9">
        <f>IF(V845="pregrado",31,
IF(V845="posgrados",31,
IF(V845="rEINTEGROS",7,
IF(V845="BIT",90,
IF(V845="OP GRADO - INGLÉS",17,"")))))</f>
        <v>31</v>
      </c>
      <c r="X845" t="s">
        <v>3998</v>
      </c>
    </row>
    <row r="846" spans="1:24" ht="15" x14ac:dyDescent="0.35">
      <c r="A846" s="4">
        <v>46036.471284722225</v>
      </c>
      <c r="B846">
        <v>20112979</v>
      </c>
      <c r="C846" s="6" t="s">
        <v>19</v>
      </c>
      <c r="D846">
        <v>158836</v>
      </c>
      <c r="E846" t="s">
        <v>43</v>
      </c>
      <c r="F846">
        <v>1013613532</v>
      </c>
      <c r="G846" t="s">
        <v>1750</v>
      </c>
      <c r="H846">
        <v>100239444</v>
      </c>
      <c r="I846">
        <v>202641</v>
      </c>
      <c r="J846">
        <v>1013613532</v>
      </c>
      <c r="K846" t="s">
        <v>23</v>
      </c>
      <c r="L846" t="s">
        <v>279</v>
      </c>
      <c r="M846" t="s">
        <v>47</v>
      </c>
      <c r="N846" t="s">
        <v>35</v>
      </c>
      <c r="O846" t="s">
        <v>26</v>
      </c>
      <c r="P846" t="s">
        <v>27</v>
      </c>
      <c r="Q846" t="s">
        <v>28</v>
      </c>
      <c r="R846" t="s">
        <v>29</v>
      </c>
      <c r="S846" t="s">
        <v>30</v>
      </c>
      <c r="T846">
        <v>1193146767</v>
      </c>
      <c r="U846" t="s">
        <v>3936</v>
      </c>
      <c r="V846" t="s">
        <v>3937</v>
      </c>
      <c r="W846" s="9">
        <f>IF(V846="pregrado",31,
IF(V846="posgrados",31,
IF(V846="rEINTEGROS",7,
IF(V846="BIT",90,
IF(V846="OP GRADO - INGLÉS",17,"")))))</f>
        <v>31</v>
      </c>
      <c r="X846" t="s">
        <v>4072</v>
      </c>
    </row>
    <row r="847" spans="1:24" ht="15" x14ac:dyDescent="0.35">
      <c r="A847" s="4">
        <v>46010.448576388888</v>
      </c>
      <c r="B847">
        <v>20108737</v>
      </c>
      <c r="C847" s="6" t="s">
        <v>19</v>
      </c>
      <c r="D847">
        <v>158843</v>
      </c>
      <c r="E847" t="s">
        <v>43</v>
      </c>
      <c r="F847">
        <v>37279457</v>
      </c>
      <c r="G847" t="s">
        <v>1176</v>
      </c>
      <c r="H847">
        <v>100239461</v>
      </c>
      <c r="I847">
        <v>202651</v>
      </c>
      <c r="J847">
        <v>37279457</v>
      </c>
      <c r="K847" t="s">
        <v>23</v>
      </c>
      <c r="L847" t="s">
        <v>252</v>
      </c>
      <c r="M847" t="s">
        <v>253</v>
      </c>
      <c r="N847" t="s">
        <v>35</v>
      </c>
      <c r="O847" t="s">
        <v>26</v>
      </c>
      <c r="P847" t="s">
        <v>27</v>
      </c>
      <c r="Q847" t="s">
        <v>28</v>
      </c>
      <c r="R847" t="s">
        <v>29</v>
      </c>
      <c r="S847" t="s">
        <v>30</v>
      </c>
      <c r="T847">
        <v>1033784244</v>
      </c>
      <c r="U847" t="s">
        <v>3948</v>
      </c>
      <c r="V847" t="s">
        <v>3937</v>
      </c>
      <c r="W847" s="9">
        <f>IF(V847="pregrado",31,
IF(V847="posgrados",31,
IF(V847="rEINTEGROS",7,
IF(V847="BIT",90,
IF(V847="OP GRADO - INGLÉS",17,"")))))</f>
        <v>31</v>
      </c>
      <c r="X847" t="s">
        <v>4067</v>
      </c>
    </row>
    <row r="848" spans="1:24" ht="15" x14ac:dyDescent="0.35">
      <c r="A848" s="4">
        <v>46029.333981481483</v>
      </c>
      <c r="B848">
        <v>20111337</v>
      </c>
      <c r="C848" s="6" t="s">
        <v>19</v>
      </c>
      <c r="D848">
        <v>158857</v>
      </c>
      <c r="E848" t="s">
        <v>43</v>
      </c>
      <c r="F848">
        <v>1152206670</v>
      </c>
      <c r="G848" t="s">
        <v>1540</v>
      </c>
      <c r="H848">
        <v>100239479</v>
      </c>
      <c r="I848">
        <v>202641</v>
      </c>
      <c r="J848">
        <v>1152206670</v>
      </c>
      <c r="K848" t="s">
        <v>23</v>
      </c>
      <c r="L848" t="s">
        <v>99</v>
      </c>
      <c r="M848" t="s">
        <v>47</v>
      </c>
      <c r="N848" t="s">
        <v>35</v>
      </c>
      <c r="O848" t="s">
        <v>26</v>
      </c>
      <c r="P848" t="s">
        <v>27</v>
      </c>
      <c r="Q848" t="s">
        <v>28</v>
      </c>
      <c r="R848" t="s">
        <v>29</v>
      </c>
      <c r="S848" t="s">
        <v>30</v>
      </c>
      <c r="T848">
        <v>52965969</v>
      </c>
      <c r="U848" t="s">
        <v>3936</v>
      </c>
      <c r="V848" t="s">
        <v>3937</v>
      </c>
      <c r="W848" s="9">
        <f>IF(V848="pregrado",31,
IF(V848="posgrados",31,
IF(V848="rEINTEGROS",7,
IF(V848="BIT",90,
IF(V848="OP GRADO - INGLÉS",17,"")))))</f>
        <v>31</v>
      </c>
      <c r="X848" t="s">
        <v>3960</v>
      </c>
    </row>
    <row r="849" spans="1:24" ht="15" x14ac:dyDescent="0.35">
      <c r="A849" s="4">
        <v>46069.335949074077</v>
      </c>
      <c r="B849">
        <v>20123567</v>
      </c>
      <c r="C849" s="6" t="s">
        <v>19</v>
      </c>
      <c r="D849">
        <v>158876</v>
      </c>
      <c r="E849" t="s">
        <v>43</v>
      </c>
      <c r="F849">
        <v>1061709658</v>
      </c>
      <c r="G849" t="s">
        <v>3219</v>
      </c>
      <c r="H849">
        <v>100177452</v>
      </c>
      <c r="I849">
        <v>202641</v>
      </c>
      <c r="J849">
        <v>1061709658</v>
      </c>
      <c r="K849" t="s">
        <v>46</v>
      </c>
      <c r="L849" t="s">
        <v>59</v>
      </c>
      <c r="M849" t="s">
        <v>47</v>
      </c>
      <c r="N849" t="s">
        <v>35</v>
      </c>
      <c r="O849" t="s">
        <v>26</v>
      </c>
      <c r="P849" t="s">
        <v>27</v>
      </c>
      <c r="Q849" t="s">
        <v>28</v>
      </c>
      <c r="R849" t="s">
        <v>29</v>
      </c>
      <c r="S849" t="s">
        <v>30</v>
      </c>
      <c r="T849">
        <v>1233888787</v>
      </c>
      <c r="U849" t="s">
        <v>3936</v>
      </c>
      <c r="V849" t="s">
        <v>3937</v>
      </c>
      <c r="W849" s="9">
        <f>IF(V849="pregrado",31,
IF(V849="posgrados",31,
IF(V849="rEINTEGROS",7,
IF(V849="BIT",90,
IF(V849="OP GRADO - INGLÉS",17,"")))))</f>
        <v>31</v>
      </c>
      <c r="X849" t="s">
        <v>3998</v>
      </c>
    </row>
    <row r="850" spans="1:24" ht="15" x14ac:dyDescent="0.35">
      <c r="A850" s="4">
        <v>46020.693773148145</v>
      </c>
      <c r="B850">
        <v>20110173</v>
      </c>
      <c r="C850" s="6" t="s">
        <v>19</v>
      </c>
      <c r="D850">
        <v>158894</v>
      </c>
      <c r="E850" t="s">
        <v>43</v>
      </c>
      <c r="F850">
        <v>71535504</v>
      </c>
      <c r="G850" t="s">
        <v>1377</v>
      </c>
      <c r="H850">
        <v>100215732</v>
      </c>
      <c r="I850">
        <v>202641</v>
      </c>
      <c r="J850">
        <v>1037525238</v>
      </c>
      <c r="K850" t="s">
        <v>46</v>
      </c>
      <c r="L850" t="s">
        <v>45</v>
      </c>
      <c r="M850" t="s">
        <v>47</v>
      </c>
      <c r="N850" t="s">
        <v>35</v>
      </c>
      <c r="O850" t="s">
        <v>26</v>
      </c>
      <c r="P850" t="s">
        <v>27</v>
      </c>
      <c r="Q850" t="s">
        <v>28</v>
      </c>
      <c r="R850" t="s">
        <v>29</v>
      </c>
      <c r="S850" t="s">
        <v>30</v>
      </c>
      <c r="T850">
        <v>1075542872</v>
      </c>
      <c r="U850" t="s">
        <v>3948</v>
      </c>
      <c r="V850" t="s">
        <v>3937</v>
      </c>
      <c r="W850" s="9">
        <f>IF(V850="pregrado",31,
IF(V850="posgrados",31,
IF(V850="rEINTEGROS",7,
IF(V850="BIT",90,
IF(V850="OP GRADO - INGLÉS",17,"")))))</f>
        <v>31</v>
      </c>
      <c r="X850" t="s">
        <v>3974</v>
      </c>
    </row>
    <row r="851" spans="1:24" ht="15" x14ac:dyDescent="0.35">
      <c r="A851" s="4">
        <v>46013.615671296298</v>
      </c>
      <c r="B851">
        <v>20109215</v>
      </c>
      <c r="C851" s="6" t="s">
        <v>19</v>
      </c>
      <c r="D851">
        <v>158900</v>
      </c>
      <c r="E851" t="s">
        <v>43</v>
      </c>
      <c r="F851">
        <v>1117494088</v>
      </c>
      <c r="G851" t="s">
        <v>1229</v>
      </c>
      <c r="H851">
        <v>100239551</v>
      </c>
      <c r="I851">
        <v>202651</v>
      </c>
      <c r="J851">
        <v>1117494088</v>
      </c>
      <c r="K851" t="s">
        <v>23</v>
      </c>
      <c r="L851" t="s">
        <v>252</v>
      </c>
      <c r="M851" t="s">
        <v>253</v>
      </c>
      <c r="N851" t="s">
        <v>35</v>
      </c>
      <c r="O851" t="s">
        <v>26</v>
      </c>
      <c r="P851" t="s">
        <v>27</v>
      </c>
      <c r="Q851" t="s">
        <v>28</v>
      </c>
      <c r="R851" t="s">
        <v>29</v>
      </c>
      <c r="S851" t="s">
        <v>30</v>
      </c>
      <c r="T851">
        <v>1026262709</v>
      </c>
      <c r="U851" t="s">
        <v>3936</v>
      </c>
      <c r="V851" t="s">
        <v>3937</v>
      </c>
      <c r="W851" s="9">
        <f>IF(V851="pregrado",31,
IF(V851="posgrados",31,
IF(V851="rEINTEGROS",7,
IF(V851="BIT",90,
IF(V851="OP GRADO - INGLÉS",17,"")))))</f>
        <v>31</v>
      </c>
      <c r="X851" t="s">
        <v>4037</v>
      </c>
    </row>
    <row r="852" spans="1:24" ht="15" x14ac:dyDescent="0.35">
      <c r="A852" s="4">
        <v>46017.494837962964</v>
      </c>
      <c r="B852">
        <v>20109845</v>
      </c>
      <c r="C852" s="6" t="s">
        <v>19</v>
      </c>
      <c r="D852">
        <v>158911</v>
      </c>
      <c r="E852" t="s">
        <v>43</v>
      </c>
      <c r="F852">
        <v>1063298387</v>
      </c>
      <c r="G852" t="s">
        <v>1322</v>
      </c>
      <c r="H852">
        <v>100238579</v>
      </c>
      <c r="I852">
        <v>202641</v>
      </c>
      <c r="J852">
        <v>1063298387</v>
      </c>
      <c r="K852" t="s">
        <v>23</v>
      </c>
      <c r="L852" t="s">
        <v>279</v>
      </c>
      <c r="M852" t="s">
        <v>47</v>
      </c>
      <c r="N852" t="s">
        <v>35</v>
      </c>
      <c r="O852" t="s">
        <v>26</v>
      </c>
      <c r="P852" t="s">
        <v>27</v>
      </c>
      <c r="Q852" t="s">
        <v>28</v>
      </c>
      <c r="R852" t="s">
        <v>29</v>
      </c>
      <c r="S852" t="s">
        <v>30</v>
      </c>
      <c r="T852">
        <v>1193146767</v>
      </c>
      <c r="U852" t="s">
        <v>3936</v>
      </c>
      <c r="V852" t="s">
        <v>3937</v>
      </c>
      <c r="W852" s="9">
        <f>IF(V852="pregrado",31,
IF(V852="posgrados",31,
IF(V852="rEINTEGROS",7,
IF(V852="BIT",90,
IF(V852="OP GRADO - INGLÉS",17,"")))))</f>
        <v>31</v>
      </c>
      <c r="X852" t="s">
        <v>4072</v>
      </c>
    </row>
    <row r="853" spans="1:24" ht="15" x14ac:dyDescent="0.35">
      <c r="A853" s="4">
        <v>46013.667430555557</v>
      </c>
      <c r="B853">
        <v>20109246</v>
      </c>
      <c r="C853" s="6" t="s">
        <v>19</v>
      </c>
      <c r="D853">
        <v>158913</v>
      </c>
      <c r="E853" t="s">
        <v>43</v>
      </c>
      <c r="F853">
        <v>1045522365</v>
      </c>
      <c r="G853" t="s">
        <v>1234</v>
      </c>
      <c r="H853">
        <v>100239574</v>
      </c>
      <c r="I853">
        <v>202651</v>
      </c>
      <c r="J853">
        <v>1045522365</v>
      </c>
      <c r="K853" t="s">
        <v>23</v>
      </c>
      <c r="L853" t="s">
        <v>252</v>
      </c>
      <c r="M853" t="s">
        <v>253</v>
      </c>
      <c r="N853" t="s">
        <v>35</v>
      </c>
      <c r="O853" t="s">
        <v>26</v>
      </c>
      <c r="P853" t="s">
        <v>27</v>
      </c>
      <c r="Q853" t="s">
        <v>28</v>
      </c>
      <c r="R853" t="s">
        <v>29</v>
      </c>
      <c r="S853" t="s">
        <v>30</v>
      </c>
      <c r="T853">
        <v>1073673268</v>
      </c>
      <c r="U853" t="s">
        <v>3948</v>
      </c>
      <c r="V853" t="s">
        <v>3937</v>
      </c>
      <c r="W853" s="9">
        <f>IF(V853="pregrado",31,
IF(V853="posgrados",31,
IF(V853="rEINTEGROS",7,
IF(V853="BIT",90,
IF(V853="OP GRADO - INGLÉS",17,"")))))</f>
        <v>31</v>
      </c>
      <c r="X853" t="s">
        <v>4080</v>
      </c>
    </row>
    <row r="854" spans="1:24" ht="15" x14ac:dyDescent="0.35">
      <c r="A854" s="4">
        <v>46041.756469907406</v>
      </c>
      <c r="B854">
        <v>20115075</v>
      </c>
      <c r="C854" s="6" t="s">
        <v>19</v>
      </c>
      <c r="D854">
        <v>158920</v>
      </c>
      <c r="E854" t="s">
        <v>43</v>
      </c>
      <c r="F854">
        <v>14472447</v>
      </c>
      <c r="G854" t="s">
        <v>1988</v>
      </c>
      <c r="H854">
        <v>100168462</v>
      </c>
      <c r="I854">
        <v>202651</v>
      </c>
      <c r="J854">
        <v>1130587618</v>
      </c>
      <c r="K854" t="s">
        <v>74</v>
      </c>
      <c r="L854" t="s">
        <v>252</v>
      </c>
      <c r="M854" t="s">
        <v>253</v>
      </c>
      <c r="N854" t="s">
        <v>35</v>
      </c>
      <c r="O854" t="s">
        <v>26</v>
      </c>
      <c r="P854" t="s">
        <v>27</v>
      </c>
      <c r="Q854" t="s">
        <v>28</v>
      </c>
      <c r="R854" t="s">
        <v>29</v>
      </c>
      <c r="S854" t="s">
        <v>30</v>
      </c>
      <c r="T854">
        <v>1233513889</v>
      </c>
      <c r="U854" t="s">
        <v>3948</v>
      </c>
      <c r="V854" t="s">
        <v>3937</v>
      </c>
      <c r="W854" s="9">
        <f>IF(V854="pregrado",31,
IF(V854="posgrados",31,
IF(V854="rEINTEGROS",7,
IF(V854="BIT",90,
IF(V854="OP GRADO - INGLÉS",17,"")))))</f>
        <v>31</v>
      </c>
      <c r="X854" t="s">
        <v>4035</v>
      </c>
    </row>
    <row r="855" spans="1:24" ht="15" x14ac:dyDescent="0.35">
      <c r="A855" s="4">
        <v>46011.556226851855</v>
      </c>
      <c r="B855">
        <v>20109028</v>
      </c>
      <c r="C855" s="6" t="s">
        <v>19</v>
      </c>
      <c r="D855">
        <v>158922</v>
      </c>
      <c r="E855" t="s">
        <v>43</v>
      </c>
      <c r="F855">
        <v>1007682962</v>
      </c>
      <c r="G855" t="s">
        <v>1208</v>
      </c>
      <c r="H855">
        <v>100239586</v>
      </c>
      <c r="I855">
        <v>202651</v>
      </c>
      <c r="J855">
        <v>1007682962</v>
      </c>
      <c r="K855" t="s">
        <v>23</v>
      </c>
      <c r="L855" t="s">
        <v>252</v>
      </c>
      <c r="M855" t="s">
        <v>253</v>
      </c>
      <c r="N855" t="s">
        <v>35</v>
      </c>
      <c r="O855" t="s">
        <v>26</v>
      </c>
      <c r="P855" t="s">
        <v>27</v>
      </c>
      <c r="Q855" t="s">
        <v>28</v>
      </c>
      <c r="R855" t="s">
        <v>29</v>
      </c>
      <c r="S855" t="s">
        <v>30</v>
      </c>
      <c r="T855">
        <v>1014285873</v>
      </c>
      <c r="U855" t="s">
        <v>3948</v>
      </c>
      <c r="V855" t="s">
        <v>3937</v>
      </c>
      <c r="W855" s="9">
        <f>IF(V855="pregrado",31,
IF(V855="posgrados",31,
IF(V855="rEINTEGROS",7,
IF(V855="BIT",90,
IF(V855="OP GRADO - INGLÉS",17,"")))))</f>
        <v>31</v>
      </c>
      <c r="X855" t="s">
        <v>3953</v>
      </c>
    </row>
    <row r="856" spans="1:24" ht="15" x14ac:dyDescent="0.35">
      <c r="A856" s="4">
        <v>46019.790960648148</v>
      </c>
      <c r="B856">
        <v>20110001</v>
      </c>
      <c r="C856" s="6" t="s">
        <v>19</v>
      </c>
      <c r="D856">
        <v>158934</v>
      </c>
      <c r="E856" t="s">
        <v>43</v>
      </c>
      <c r="F856">
        <v>68287011</v>
      </c>
      <c r="G856" t="s">
        <v>1349</v>
      </c>
      <c r="H856">
        <v>100104015</v>
      </c>
      <c r="I856">
        <v>202651</v>
      </c>
      <c r="J856">
        <v>1116793813</v>
      </c>
      <c r="K856" t="s">
        <v>46</v>
      </c>
      <c r="L856" t="s">
        <v>252</v>
      </c>
      <c r="M856" t="s">
        <v>253</v>
      </c>
      <c r="N856" t="s">
        <v>35</v>
      </c>
      <c r="O856" t="s">
        <v>26</v>
      </c>
      <c r="P856" t="s">
        <v>27</v>
      </c>
      <c r="Q856" t="s">
        <v>28</v>
      </c>
      <c r="R856" t="s">
        <v>29</v>
      </c>
      <c r="S856" t="s">
        <v>30</v>
      </c>
      <c r="T856">
        <v>1032451737</v>
      </c>
      <c r="U856" t="s">
        <v>3948</v>
      </c>
      <c r="V856" t="s">
        <v>3937</v>
      </c>
      <c r="W856" s="9">
        <f>IF(V856="pregrado",31,
IF(V856="posgrados",31,
IF(V856="rEINTEGROS",7,
IF(V856="BIT",90,
IF(V856="OP GRADO - INGLÉS",17,"")))))</f>
        <v>31</v>
      </c>
      <c r="X856" t="s">
        <v>4033</v>
      </c>
    </row>
    <row r="857" spans="1:24" ht="15" x14ac:dyDescent="0.35">
      <c r="A857" s="4">
        <v>46020.643287037034</v>
      </c>
      <c r="B857">
        <v>20110150</v>
      </c>
      <c r="C857" s="6" t="s">
        <v>19</v>
      </c>
      <c r="D857">
        <v>158940</v>
      </c>
      <c r="E857" t="s">
        <v>43</v>
      </c>
      <c r="F857">
        <v>4863982</v>
      </c>
      <c r="G857" t="s">
        <v>1374</v>
      </c>
      <c r="H857">
        <v>100239616</v>
      </c>
      <c r="I857">
        <v>202651</v>
      </c>
      <c r="J857">
        <v>1129045453</v>
      </c>
      <c r="K857" t="s">
        <v>23</v>
      </c>
      <c r="L857" t="s">
        <v>252</v>
      </c>
      <c r="M857" t="s">
        <v>253</v>
      </c>
      <c r="N857" t="s">
        <v>35</v>
      </c>
      <c r="O857" t="s">
        <v>26</v>
      </c>
      <c r="P857" t="s">
        <v>27</v>
      </c>
      <c r="Q857" t="s">
        <v>28</v>
      </c>
      <c r="R857" t="s">
        <v>29</v>
      </c>
      <c r="S857" t="s">
        <v>30</v>
      </c>
      <c r="T857">
        <v>52032666</v>
      </c>
      <c r="U857" t="s">
        <v>3948</v>
      </c>
      <c r="V857" t="s">
        <v>3937</v>
      </c>
      <c r="W857" s="9">
        <f>IF(V857="pregrado",31,
IF(V857="posgrados",31,
IF(V857="rEINTEGROS",7,
IF(V857="BIT",90,
IF(V857="OP GRADO - INGLÉS",17,"")))))</f>
        <v>31</v>
      </c>
      <c r="X857" t="s">
        <v>3983</v>
      </c>
    </row>
    <row r="858" spans="1:24" ht="15" x14ac:dyDescent="0.35">
      <c r="A858" s="4">
        <v>46017.634722222225</v>
      </c>
      <c r="B858">
        <v>20109887</v>
      </c>
      <c r="C858" s="6" t="s">
        <v>19</v>
      </c>
      <c r="D858">
        <v>158942</v>
      </c>
      <c r="E858" t="s">
        <v>43</v>
      </c>
      <c r="F858">
        <v>63471918</v>
      </c>
      <c r="G858" t="s">
        <v>1331</v>
      </c>
      <c r="H858">
        <v>100034577</v>
      </c>
      <c r="I858">
        <v>202651</v>
      </c>
      <c r="J858">
        <v>63471918</v>
      </c>
      <c r="K858" t="s">
        <v>23</v>
      </c>
      <c r="L858" t="s">
        <v>252</v>
      </c>
      <c r="M858" t="s">
        <v>253</v>
      </c>
      <c r="N858" t="s">
        <v>35</v>
      </c>
      <c r="O858" t="s">
        <v>26</v>
      </c>
      <c r="P858" t="s">
        <v>27</v>
      </c>
      <c r="Q858" t="s">
        <v>28</v>
      </c>
      <c r="R858" t="s">
        <v>29</v>
      </c>
      <c r="S858" t="s">
        <v>30</v>
      </c>
      <c r="T858">
        <v>1233513889</v>
      </c>
      <c r="U858" t="s">
        <v>3948</v>
      </c>
      <c r="V858" t="s">
        <v>3937</v>
      </c>
      <c r="W858" s="9">
        <f>IF(V858="pregrado",31,
IF(V858="posgrados",31,
IF(V858="rEINTEGROS",7,
IF(V858="BIT",90,
IF(V858="OP GRADO - INGLÉS",17,"")))))</f>
        <v>31</v>
      </c>
      <c r="X858" t="s">
        <v>4035</v>
      </c>
    </row>
    <row r="859" spans="1:24" ht="15" x14ac:dyDescent="0.35">
      <c r="A859" s="4">
        <v>46017.464560185188</v>
      </c>
      <c r="B859">
        <v>20109829</v>
      </c>
      <c r="C859" s="6" t="s">
        <v>19</v>
      </c>
      <c r="D859">
        <v>158957</v>
      </c>
      <c r="E859" t="s">
        <v>43</v>
      </c>
      <c r="F859">
        <v>1004364826</v>
      </c>
      <c r="G859" t="s">
        <v>1318</v>
      </c>
      <c r="H859">
        <v>100238592</v>
      </c>
      <c r="I859">
        <v>202651</v>
      </c>
      <c r="J859">
        <v>36695573</v>
      </c>
      <c r="K859" t="s">
        <v>23</v>
      </c>
      <c r="L859" t="s">
        <v>252</v>
      </c>
      <c r="M859" t="s">
        <v>253</v>
      </c>
      <c r="N859" t="s">
        <v>35</v>
      </c>
      <c r="O859" t="s">
        <v>26</v>
      </c>
      <c r="P859" t="s">
        <v>27</v>
      </c>
      <c r="Q859" t="s">
        <v>28</v>
      </c>
      <c r="R859" t="s">
        <v>29</v>
      </c>
      <c r="S859" t="s">
        <v>30</v>
      </c>
      <c r="T859">
        <v>52032666</v>
      </c>
      <c r="U859" t="s">
        <v>3948</v>
      </c>
      <c r="V859" t="s">
        <v>3937</v>
      </c>
      <c r="W859" s="9">
        <f>IF(V859="pregrado",31,
IF(V859="posgrados",31,
IF(V859="rEINTEGROS",7,
IF(V859="BIT",90,
IF(V859="OP GRADO - INGLÉS",17,"")))))</f>
        <v>31</v>
      </c>
      <c r="X859" t="s">
        <v>3983</v>
      </c>
    </row>
    <row r="860" spans="1:24" ht="15" x14ac:dyDescent="0.35">
      <c r="A860" s="4">
        <v>46013.634756944448</v>
      </c>
      <c r="B860">
        <v>20109229</v>
      </c>
      <c r="C860" s="6" t="s">
        <v>19</v>
      </c>
      <c r="D860">
        <v>158961</v>
      </c>
      <c r="E860" t="s">
        <v>43</v>
      </c>
      <c r="F860">
        <v>1101692631</v>
      </c>
      <c r="G860" t="s">
        <v>1231</v>
      </c>
      <c r="H860">
        <v>100239649</v>
      </c>
      <c r="I860">
        <v>202651</v>
      </c>
      <c r="J860">
        <v>1101685612</v>
      </c>
      <c r="K860" t="s">
        <v>23</v>
      </c>
      <c r="L860" t="s">
        <v>252</v>
      </c>
      <c r="M860" t="s">
        <v>253</v>
      </c>
      <c r="N860" t="s">
        <v>35</v>
      </c>
      <c r="O860" t="s">
        <v>26</v>
      </c>
      <c r="P860" t="s">
        <v>27</v>
      </c>
      <c r="Q860" t="s">
        <v>28</v>
      </c>
      <c r="R860" t="s">
        <v>29</v>
      </c>
      <c r="S860" t="s">
        <v>30</v>
      </c>
      <c r="T860">
        <v>1000120140</v>
      </c>
      <c r="U860" t="s">
        <v>3936</v>
      </c>
      <c r="V860" t="s">
        <v>3937</v>
      </c>
      <c r="W860" s="9">
        <f>IF(V860="pregrado",31,
IF(V860="posgrados",31,
IF(V860="rEINTEGROS",7,
IF(V860="BIT",90,
IF(V860="OP GRADO - INGLÉS",17,"")))))</f>
        <v>31</v>
      </c>
      <c r="X860" t="s">
        <v>3935</v>
      </c>
    </row>
    <row r="861" spans="1:24" ht="15" x14ac:dyDescent="0.35">
      <c r="A861" s="4">
        <v>46013.658194444448</v>
      </c>
      <c r="B861">
        <v>20109241</v>
      </c>
      <c r="C861" s="6" t="s">
        <v>19</v>
      </c>
      <c r="D861">
        <v>158978</v>
      </c>
      <c r="E861" t="s">
        <v>43</v>
      </c>
      <c r="F861">
        <v>1035127166</v>
      </c>
      <c r="G861" t="s">
        <v>1233</v>
      </c>
      <c r="H861">
        <v>100239670</v>
      </c>
      <c r="I861">
        <v>202651</v>
      </c>
      <c r="J861">
        <v>1035127166</v>
      </c>
      <c r="K861" t="s">
        <v>23</v>
      </c>
      <c r="L861" t="s">
        <v>252</v>
      </c>
      <c r="M861" t="s">
        <v>253</v>
      </c>
      <c r="N861" t="s">
        <v>35</v>
      </c>
      <c r="O861" t="s">
        <v>26</v>
      </c>
      <c r="P861" t="s">
        <v>27</v>
      </c>
      <c r="Q861" t="s">
        <v>28</v>
      </c>
      <c r="R861" t="s">
        <v>29</v>
      </c>
      <c r="S861" t="s">
        <v>30</v>
      </c>
      <c r="T861">
        <v>1031147887</v>
      </c>
      <c r="U861" t="s">
        <v>3948</v>
      </c>
      <c r="V861" t="s">
        <v>3937</v>
      </c>
      <c r="W861" s="9">
        <f>IF(V861="pregrado",31,
IF(V861="posgrados",31,
IF(V861="rEINTEGROS",7,
IF(V861="BIT",90,
IF(V861="OP GRADO - INGLÉS",17,"")))))</f>
        <v>31</v>
      </c>
      <c r="X861" t="s">
        <v>3947</v>
      </c>
    </row>
    <row r="862" spans="1:24" ht="15" x14ac:dyDescent="0.35">
      <c r="A862" s="4">
        <v>46021.333171296297</v>
      </c>
      <c r="B862">
        <v>20110252</v>
      </c>
      <c r="C862" s="6" t="s">
        <v>19</v>
      </c>
      <c r="D862">
        <v>158980</v>
      </c>
      <c r="E862" t="s">
        <v>43</v>
      </c>
      <c r="F862">
        <v>42404424</v>
      </c>
      <c r="G862" t="s">
        <v>1385</v>
      </c>
      <c r="H862">
        <v>100239673</v>
      </c>
      <c r="I862">
        <v>202651</v>
      </c>
      <c r="J862">
        <v>42404424</v>
      </c>
      <c r="K862" t="s">
        <v>23</v>
      </c>
      <c r="L862" t="s">
        <v>252</v>
      </c>
      <c r="M862" t="s">
        <v>253</v>
      </c>
      <c r="N862" t="s">
        <v>35</v>
      </c>
      <c r="O862" t="s">
        <v>26</v>
      </c>
      <c r="P862" t="s">
        <v>27</v>
      </c>
      <c r="Q862" t="s">
        <v>28</v>
      </c>
      <c r="R862" t="s">
        <v>29</v>
      </c>
      <c r="S862" t="s">
        <v>30</v>
      </c>
      <c r="T862">
        <v>1031147887</v>
      </c>
      <c r="U862" t="s">
        <v>3948</v>
      </c>
      <c r="V862" t="s">
        <v>3937</v>
      </c>
      <c r="W862" s="9">
        <f>IF(V862="pregrado",31,
IF(V862="posgrados",31,
IF(V862="rEINTEGROS",7,
IF(V862="BIT",90,
IF(V862="OP GRADO - INGLÉS",17,"")))))</f>
        <v>31</v>
      </c>
      <c r="X862" t="s">
        <v>3947</v>
      </c>
    </row>
    <row r="863" spans="1:24" ht="15" x14ac:dyDescent="0.35">
      <c r="A863" s="4">
        <v>46014.77306712963</v>
      </c>
      <c r="B863">
        <v>20109649</v>
      </c>
      <c r="C863" s="6" t="s">
        <v>19</v>
      </c>
      <c r="D863">
        <v>158984</v>
      </c>
      <c r="E863" t="s">
        <v>43</v>
      </c>
      <c r="F863">
        <v>1002835866</v>
      </c>
      <c r="G863" t="s">
        <v>1290</v>
      </c>
      <c r="H863">
        <v>100239678</v>
      </c>
      <c r="I863">
        <v>202651</v>
      </c>
      <c r="J863">
        <v>1061798377</v>
      </c>
      <c r="K863" t="s">
        <v>23</v>
      </c>
      <c r="L863" t="s">
        <v>252</v>
      </c>
      <c r="M863" t="s">
        <v>253</v>
      </c>
      <c r="N863" t="s">
        <v>35</v>
      </c>
      <c r="O863" t="s">
        <v>26</v>
      </c>
      <c r="P863" t="s">
        <v>27</v>
      </c>
      <c r="Q863" t="s">
        <v>28</v>
      </c>
      <c r="R863" t="s">
        <v>29</v>
      </c>
      <c r="S863" t="s">
        <v>30</v>
      </c>
      <c r="T863">
        <v>1033781417</v>
      </c>
      <c r="U863" t="s">
        <v>3948</v>
      </c>
      <c r="V863" t="s">
        <v>3937</v>
      </c>
      <c r="W863" s="9">
        <f>IF(V863="pregrado",31,
IF(V863="posgrados",31,
IF(V863="rEINTEGROS",7,
IF(V863="BIT",90,
IF(V863="OP GRADO - INGLÉS",17,"")))))</f>
        <v>31</v>
      </c>
      <c r="X863" t="s">
        <v>4031</v>
      </c>
    </row>
    <row r="864" spans="1:24" ht="15" x14ac:dyDescent="0.35">
      <c r="A864" s="4">
        <v>46030.593877314815</v>
      </c>
      <c r="B864">
        <v>20111749</v>
      </c>
      <c r="C864" s="6" t="s">
        <v>19</v>
      </c>
      <c r="D864">
        <v>158996</v>
      </c>
      <c r="E864" t="s">
        <v>43</v>
      </c>
      <c r="F864">
        <v>35604674</v>
      </c>
      <c r="G864" t="s">
        <v>1591</v>
      </c>
      <c r="H864">
        <v>100239691</v>
      </c>
      <c r="I864">
        <v>202651</v>
      </c>
      <c r="J864">
        <v>35604674</v>
      </c>
      <c r="K864" t="s">
        <v>23</v>
      </c>
      <c r="L864" t="s">
        <v>252</v>
      </c>
      <c r="M864" t="s">
        <v>253</v>
      </c>
      <c r="N864" t="s">
        <v>35</v>
      </c>
      <c r="O864" t="s">
        <v>26</v>
      </c>
      <c r="P864" t="s">
        <v>27</v>
      </c>
      <c r="Q864" t="s">
        <v>28</v>
      </c>
      <c r="R864" t="s">
        <v>29</v>
      </c>
      <c r="S864" t="s">
        <v>30</v>
      </c>
      <c r="T864">
        <v>1016030683</v>
      </c>
      <c r="U864" t="s">
        <v>3936</v>
      </c>
      <c r="V864" t="s">
        <v>3937</v>
      </c>
      <c r="W864" s="9">
        <f>IF(V864="pregrado",31,
IF(V864="posgrados",31,
IF(V864="rEINTEGROS",7,
IF(V864="BIT",90,
IF(V864="OP GRADO - INGLÉS",17,"")))))</f>
        <v>31</v>
      </c>
      <c r="X864" t="s">
        <v>3992</v>
      </c>
    </row>
    <row r="865" spans="1:24" ht="15" x14ac:dyDescent="0.35">
      <c r="A865" s="4">
        <v>46014.445798611108</v>
      </c>
      <c r="B865">
        <v>20109428</v>
      </c>
      <c r="C865" s="6" t="s">
        <v>19</v>
      </c>
      <c r="D865">
        <v>158999</v>
      </c>
      <c r="E865" t="s">
        <v>43</v>
      </c>
      <c r="F865">
        <v>7232594</v>
      </c>
      <c r="G865" t="s">
        <v>1259</v>
      </c>
      <c r="H865">
        <v>100239693</v>
      </c>
      <c r="I865">
        <v>202651</v>
      </c>
      <c r="J865">
        <v>7232594</v>
      </c>
      <c r="K865" t="s">
        <v>23</v>
      </c>
      <c r="L865" t="s">
        <v>252</v>
      </c>
      <c r="M865" t="s">
        <v>253</v>
      </c>
      <c r="N865" t="s">
        <v>35</v>
      </c>
      <c r="O865" t="s">
        <v>26</v>
      </c>
      <c r="P865" t="s">
        <v>27</v>
      </c>
      <c r="Q865" t="s">
        <v>28</v>
      </c>
      <c r="R865" t="s">
        <v>29</v>
      </c>
      <c r="S865" t="s">
        <v>30</v>
      </c>
      <c r="T865">
        <v>1073673268</v>
      </c>
      <c r="U865" t="s">
        <v>3948</v>
      </c>
      <c r="V865" t="s">
        <v>3937</v>
      </c>
      <c r="W865" s="9">
        <f>IF(V865="pregrado",31,
IF(V865="posgrados",31,
IF(V865="rEINTEGROS",7,
IF(V865="BIT",90,
IF(V865="OP GRADO - INGLÉS",17,"")))))</f>
        <v>31</v>
      </c>
      <c r="X865" t="s">
        <v>4080</v>
      </c>
    </row>
    <row r="866" spans="1:24" ht="15" x14ac:dyDescent="0.35">
      <c r="A866" s="4">
        <v>46014.705462962964</v>
      </c>
      <c r="B866">
        <v>20109622</v>
      </c>
      <c r="C866" s="6" t="s">
        <v>19</v>
      </c>
      <c r="D866">
        <v>159002</v>
      </c>
      <c r="E866" t="s">
        <v>43</v>
      </c>
      <c r="F866">
        <v>94501246</v>
      </c>
      <c r="G866" t="s">
        <v>1287</v>
      </c>
      <c r="H866">
        <v>100239698</v>
      </c>
      <c r="I866">
        <v>202651</v>
      </c>
      <c r="J866">
        <v>94501246</v>
      </c>
      <c r="K866" t="s">
        <v>23</v>
      </c>
      <c r="L866" t="s">
        <v>252</v>
      </c>
      <c r="M866" t="s">
        <v>253</v>
      </c>
      <c r="N866" t="s">
        <v>35</v>
      </c>
      <c r="O866" t="s">
        <v>26</v>
      </c>
      <c r="P866" t="s">
        <v>27</v>
      </c>
      <c r="Q866" t="s">
        <v>28</v>
      </c>
      <c r="R866" t="s">
        <v>29</v>
      </c>
      <c r="S866" t="s">
        <v>30</v>
      </c>
      <c r="T866">
        <v>1031147887</v>
      </c>
      <c r="U866" t="s">
        <v>3948</v>
      </c>
      <c r="V866" t="s">
        <v>3937</v>
      </c>
      <c r="W866" s="9">
        <f>IF(V866="pregrado",31,
IF(V866="posgrados",31,
IF(V866="rEINTEGROS",7,
IF(V866="BIT",90,
IF(V866="OP GRADO - INGLÉS",17,"")))))</f>
        <v>31</v>
      </c>
      <c r="X866" t="s">
        <v>3947</v>
      </c>
    </row>
    <row r="867" spans="1:24" ht="15" x14ac:dyDescent="0.35">
      <c r="A867" s="4">
        <v>46014.649780092594</v>
      </c>
      <c r="B867">
        <v>20109578</v>
      </c>
      <c r="C867" s="6" t="s">
        <v>19</v>
      </c>
      <c r="D867">
        <v>159007</v>
      </c>
      <c r="E867" t="s">
        <v>43</v>
      </c>
      <c r="F867">
        <v>1077420079</v>
      </c>
      <c r="G867" t="s">
        <v>1278</v>
      </c>
      <c r="H867">
        <v>100239707</v>
      </c>
      <c r="I867">
        <v>202651</v>
      </c>
      <c r="J867">
        <v>1077420079</v>
      </c>
      <c r="K867" t="s">
        <v>23</v>
      </c>
      <c r="L867" t="s">
        <v>252</v>
      </c>
      <c r="M867" t="s">
        <v>253</v>
      </c>
      <c r="N867" t="s">
        <v>35</v>
      </c>
      <c r="O867" t="s">
        <v>26</v>
      </c>
      <c r="P867" t="s">
        <v>27</v>
      </c>
      <c r="Q867" t="s">
        <v>28</v>
      </c>
      <c r="R867" t="s">
        <v>29</v>
      </c>
      <c r="S867" t="s">
        <v>30</v>
      </c>
      <c r="T867">
        <v>1012389748</v>
      </c>
      <c r="U867" t="s">
        <v>3948</v>
      </c>
      <c r="V867" t="s">
        <v>3937</v>
      </c>
      <c r="W867" s="9">
        <f>IF(V867="pregrado",31,
IF(V867="posgrados",31,
IF(V867="rEINTEGROS",7,
IF(V867="BIT",90,
IF(V867="OP GRADO - INGLÉS",17,"")))))</f>
        <v>31</v>
      </c>
      <c r="X867" t="s">
        <v>4065</v>
      </c>
    </row>
    <row r="868" spans="1:24" ht="15" x14ac:dyDescent="0.35">
      <c r="A868" s="4">
        <v>46031.830196759256</v>
      </c>
      <c r="B868">
        <v>20112219</v>
      </c>
      <c r="C868" s="6" t="s">
        <v>19</v>
      </c>
      <c r="D868">
        <v>159024</v>
      </c>
      <c r="E868" t="s">
        <v>43</v>
      </c>
      <c r="F868">
        <v>1116614738</v>
      </c>
      <c r="G868" t="s">
        <v>1662</v>
      </c>
      <c r="H868">
        <v>100239725</v>
      </c>
      <c r="I868">
        <v>202641</v>
      </c>
      <c r="J868">
        <v>1118571788</v>
      </c>
      <c r="K868" t="s">
        <v>23</v>
      </c>
      <c r="L868" t="s">
        <v>294</v>
      </c>
      <c r="M868" t="s">
        <v>47</v>
      </c>
      <c r="N868" t="s">
        <v>35</v>
      </c>
      <c r="O868" t="s">
        <v>26</v>
      </c>
      <c r="P868" t="s">
        <v>27</v>
      </c>
      <c r="Q868" t="s">
        <v>28</v>
      </c>
      <c r="R868" t="s">
        <v>29</v>
      </c>
      <c r="S868" t="s">
        <v>30</v>
      </c>
      <c r="T868">
        <v>1140420282</v>
      </c>
      <c r="U868" t="s">
        <v>3948</v>
      </c>
      <c r="V868" t="s">
        <v>3937</v>
      </c>
      <c r="W868" s="9">
        <f>IF(V868="pregrado",31,
IF(V868="posgrados",31,
IF(V868="rEINTEGROS",7,
IF(V868="BIT",90,
IF(V868="OP GRADO - INGLÉS",17,"")))))</f>
        <v>31</v>
      </c>
      <c r="X868" t="s">
        <v>3972</v>
      </c>
    </row>
    <row r="869" spans="1:24" ht="15" x14ac:dyDescent="0.35">
      <c r="A869" s="4">
        <v>46014.689189814817</v>
      </c>
      <c r="B869">
        <v>20109615</v>
      </c>
      <c r="C869" s="6" t="s">
        <v>19</v>
      </c>
      <c r="D869">
        <v>159032</v>
      </c>
      <c r="E869" t="s">
        <v>43</v>
      </c>
      <c r="F869">
        <v>49606224</v>
      </c>
      <c r="G869" t="s">
        <v>1286</v>
      </c>
      <c r="H869">
        <v>100090966</v>
      </c>
      <c r="I869">
        <v>202651</v>
      </c>
      <c r="J869">
        <v>49606224</v>
      </c>
      <c r="K869" t="s">
        <v>46</v>
      </c>
      <c r="L869" t="s">
        <v>252</v>
      </c>
      <c r="M869" t="s">
        <v>253</v>
      </c>
      <c r="N869" t="s">
        <v>35</v>
      </c>
      <c r="O869" t="s">
        <v>26</v>
      </c>
      <c r="P869" t="s">
        <v>27</v>
      </c>
      <c r="Q869" t="s">
        <v>28</v>
      </c>
      <c r="R869" t="s">
        <v>29</v>
      </c>
      <c r="S869" t="s">
        <v>30</v>
      </c>
      <c r="T869">
        <v>1026262709</v>
      </c>
      <c r="U869" t="s">
        <v>3936</v>
      </c>
      <c r="V869" t="s">
        <v>3937</v>
      </c>
      <c r="W869" s="9">
        <f>IF(V869="pregrado",31,
IF(V869="posgrados",31,
IF(V869="rEINTEGROS",7,
IF(V869="BIT",90,
IF(V869="OP GRADO - INGLÉS",17,"")))))</f>
        <v>31</v>
      </c>
      <c r="X869" t="s">
        <v>4037</v>
      </c>
    </row>
    <row r="870" spans="1:24" ht="15" x14ac:dyDescent="0.35">
      <c r="A870" s="4">
        <v>46014.678495370368</v>
      </c>
      <c r="B870">
        <v>20109607</v>
      </c>
      <c r="C870" s="6" t="s">
        <v>19</v>
      </c>
      <c r="D870">
        <v>159039</v>
      </c>
      <c r="E870" t="s">
        <v>43</v>
      </c>
      <c r="F870">
        <v>1110583669</v>
      </c>
      <c r="G870" t="s">
        <v>1284</v>
      </c>
      <c r="H870">
        <v>100159623</v>
      </c>
      <c r="I870">
        <v>202651</v>
      </c>
      <c r="J870">
        <v>1110583669</v>
      </c>
      <c r="K870" t="s">
        <v>46</v>
      </c>
      <c r="L870" t="s">
        <v>252</v>
      </c>
      <c r="M870" t="s">
        <v>253</v>
      </c>
      <c r="N870" t="s">
        <v>35</v>
      </c>
      <c r="O870" t="s">
        <v>26</v>
      </c>
      <c r="P870" t="s">
        <v>27</v>
      </c>
      <c r="Q870" t="s">
        <v>28</v>
      </c>
      <c r="R870" t="s">
        <v>29</v>
      </c>
      <c r="S870" t="s">
        <v>30</v>
      </c>
      <c r="T870">
        <v>1012389748</v>
      </c>
      <c r="U870" t="s">
        <v>3948</v>
      </c>
      <c r="V870" t="s">
        <v>3937</v>
      </c>
      <c r="W870" s="9">
        <f>IF(V870="pregrado",31,
IF(V870="posgrados",31,
IF(V870="rEINTEGROS",7,
IF(V870="BIT",90,
IF(V870="OP GRADO - INGLÉS",17,"")))))</f>
        <v>31</v>
      </c>
      <c r="X870" t="s">
        <v>4065</v>
      </c>
    </row>
    <row r="871" spans="1:24" ht="15" x14ac:dyDescent="0.35">
      <c r="A871" s="4">
        <v>46017.556701388887</v>
      </c>
      <c r="B871">
        <v>20109861</v>
      </c>
      <c r="C871" s="6" t="s">
        <v>19</v>
      </c>
      <c r="D871">
        <v>159041</v>
      </c>
      <c r="E871" t="s">
        <v>43</v>
      </c>
      <c r="F871">
        <v>1077449542</v>
      </c>
      <c r="G871" t="s">
        <v>1324</v>
      </c>
      <c r="H871">
        <v>100239750</v>
      </c>
      <c r="I871">
        <v>202651</v>
      </c>
      <c r="J871">
        <v>1077449542</v>
      </c>
      <c r="K871" t="s">
        <v>23</v>
      </c>
      <c r="L871" t="s">
        <v>252</v>
      </c>
      <c r="M871" t="s">
        <v>253</v>
      </c>
      <c r="N871" t="s">
        <v>25</v>
      </c>
      <c r="O871" t="s">
        <v>26</v>
      </c>
      <c r="P871" t="s">
        <v>27</v>
      </c>
      <c r="Q871" t="s">
        <v>28</v>
      </c>
      <c r="R871" t="s">
        <v>29</v>
      </c>
      <c r="S871" t="s">
        <v>30</v>
      </c>
      <c r="T871">
        <v>1000120140</v>
      </c>
      <c r="U871" t="s">
        <v>3936</v>
      </c>
      <c r="V871" t="s">
        <v>3937</v>
      </c>
      <c r="W871" s="9">
        <f>IF(V871="pregrado",31,
IF(V871="posgrados",31,
IF(V871="rEINTEGROS",7,
IF(V871="BIT",90,
IF(V871="OP GRADO - INGLÉS",17,"")))))</f>
        <v>31</v>
      </c>
      <c r="X871" t="s">
        <v>3935</v>
      </c>
    </row>
    <row r="872" spans="1:24" ht="15" x14ac:dyDescent="0.35">
      <c r="A872" s="4">
        <v>46017.369930555556</v>
      </c>
      <c r="B872">
        <v>20109790</v>
      </c>
      <c r="C872" s="6" t="s">
        <v>19</v>
      </c>
      <c r="D872">
        <v>159048</v>
      </c>
      <c r="E872" t="s">
        <v>43</v>
      </c>
      <c r="F872">
        <v>1143391678</v>
      </c>
      <c r="G872" t="s">
        <v>1312</v>
      </c>
      <c r="H872">
        <v>100239760</v>
      </c>
      <c r="I872">
        <v>202641</v>
      </c>
      <c r="J872">
        <v>1143391678</v>
      </c>
      <c r="K872" t="s">
        <v>23</v>
      </c>
      <c r="L872" t="s">
        <v>279</v>
      </c>
      <c r="M872" t="s">
        <v>47</v>
      </c>
      <c r="N872" t="s">
        <v>35</v>
      </c>
      <c r="O872" t="s">
        <v>26</v>
      </c>
      <c r="P872" t="s">
        <v>27</v>
      </c>
      <c r="Q872" t="s">
        <v>28</v>
      </c>
      <c r="R872" t="s">
        <v>29</v>
      </c>
      <c r="S872" t="s">
        <v>30</v>
      </c>
      <c r="T872">
        <v>1026262709</v>
      </c>
      <c r="U872" t="s">
        <v>3936</v>
      </c>
      <c r="V872" t="s">
        <v>3937</v>
      </c>
      <c r="W872" s="9">
        <f>IF(V872="pregrado",31,
IF(V872="posgrados",31,
IF(V872="rEINTEGROS",7,
IF(V872="BIT",90,
IF(V872="OP GRADO - INGLÉS",17,"")))))</f>
        <v>31</v>
      </c>
      <c r="X872" t="s">
        <v>4037</v>
      </c>
    </row>
    <row r="873" spans="1:24" ht="15" x14ac:dyDescent="0.35">
      <c r="A873" s="4">
        <v>46017.870254629626</v>
      </c>
      <c r="B873">
        <v>20109949</v>
      </c>
      <c r="C873" s="6" t="s">
        <v>19</v>
      </c>
      <c r="D873">
        <v>159050</v>
      </c>
      <c r="E873" t="s">
        <v>43</v>
      </c>
      <c r="F873">
        <v>1064427404</v>
      </c>
      <c r="G873" t="s">
        <v>1343</v>
      </c>
      <c r="H873">
        <v>100049975</v>
      </c>
      <c r="I873">
        <v>202651</v>
      </c>
      <c r="J873">
        <v>1064427404</v>
      </c>
      <c r="K873" t="s">
        <v>46</v>
      </c>
      <c r="L873" t="s">
        <v>252</v>
      </c>
      <c r="M873" t="s">
        <v>253</v>
      </c>
      <c r="N873" t="s">
        <v>35</v>
      </c>
      <c r="O873" t="s">
        <v>26</v>
      </c>
      <c r="P873" t="s">
        <v>27</v>
      </c>
      <c r="Q873" t="s">
        <v>28</v>
      </c>
      <c r="R873" t="s">
        <v>29</v>
      </c>
      <c r="S873" t="s">
        <v>30</v>
      </c>
      <c r="T873">
        <v>1019068131</v>
      </c>
      <c r="U873" t="s">
        <v>3948</v>
      </c>
      <c r="V873" t="s">
        <v>3937</v>
      </c>
      <c r="W873" s="9">
        <f>IF(V873="pregrado",31,
IF(V873="posgrados",31,
IF(V873="rEINTEGROS",7,
IF(V873="BIT",90,
IF(V873="OP GRADO - INGLÉS",17,"")))))</f>
        <v>31</v>
      </c>
      <c r="X873" t="s">
        <v>4066</v>
      </c>
    </row>
    <row r="874" spans="1:24" ht="15" x14ac:dyDescent="0.35">
      <c r="A874" s="4">
        <v>46021.677766203706</v>
      </c>
      <c r="B874">
        <v>20110457</v>
      </c>
      <c r="C874" s="6" t="s">
        <v>19</v>
      </c>
      <c r="D874">
        <v>159066</v>
      </c>
      <c r="E874" t="s">
        <v>43</v>
      </c>
      <c r="F874">
        <v>1005440998</v>
      </c>
      <c r="G874" t="s">
        <v>1420</v>
      </c>
      <c r="H874">
        <v>100216831</v>
      </c>
      <c r="I874">
        <v>202641</v>
      </c>
      <c r="J874">
        <v>1005440998</v>
      </c>
      <c r="K874" t="s">
        <v>46</v>
      </c>
      <c r="L874" t="s">
        <v>45</v>
      </c>
      <c r="M874" t="s">
        <v>47</v>
      </c>
      <c r="N874" t="s">
        <v>35</v>
      </c>
      <c r="O874" t="s">
        <v>26</v>
      </c>
      <c r="P874" t="s">
        <v>27</v>
      </c>
      <c r="Q874" t="s">
        <v>28</v>
      </c>
      <c r="R874" t="s">
        <v>29</v>
      </c>
      <c r="S874" t="s">
        <v>30</v>
      </c>
      <c r="T874">
        <v>1075542872</v>
      </c>
      <c r="U874" t="s">
        <v>3948</v>
      </c>
      <c r="V874" t="s">
        <v>3937</v>
      </c>
      <c r="W874" s="9">
        <f>IF(V874="pregrado",31,
IF(V874="posgrados",31,
IF(V874="rEINTEGROS",7,
IF(V874="BIT",90,
IF(V874="OP GRADO - INGLÉS",17,"")))))</f>
        <v>31</v>
      </c>
      <c r="X874" t="s">
        <v>3974</v>
      </c>
    </row>
    <row r="875" spans="1:24" ht="15" x14ac:dyDescent="0.35">
      <c r="A875" s="4">
        <v>46015.46366898148</v>
      </c>
      <c r="B875">
        <v>20109720</v>
      </c>
      <c r="C875" s="6" t="s">
        <v>19</v>
      </c>
      <c r="D875">
        <v>159067</v>
      </c>
      <c r="E875" t="s">
        <v>43</v>
      </c>
      <c r="F875">
        <v>1192819085</v>
      </c>
      <c r="G875" t="s">
        <v>1296</v>
      </c>
      <c r="H875">
        <v>100056335</v>
      </c>
      <c r="I875">
        <v>202641</v>
      </c>
      <c r="J875">
        <v>1192819085</v>
      </c>
      <c r="K875" t="s">
        <v>23</v>
      </c>
      <c r="L875" t="s">
        <v>59</v>
      </c>
      <c r="M875" t="s">
        <v>47</v>
      </c>
      <c r="N875" t="s">
        <v>35</v>
      </c>
      <c r="O875" t="s">
        <v>26</v>
      </c>
      <c r="P875" t="s">
        <v>27</v>
      </c>
      <c r="Q875" t="s">
        <v>28</v>
      </c>
      <c r="R875" t="s">
        <v>29</v>
      </c>
      <c r="S875" t="s">
        <v>30</v>
      </c>
      <c r="T875">
        <v>52916205</v>
      </c>
      <c r="U875" t="s">
        <v>3936</v>
      </c>
      <c r="V875" t="s">
        <v>3937</v>
      </c>
      <c r="W875" s="9">
        <f>IF(V875="pregrado",31,
IF(V875="posgrados",31,
IF(V875="rEINTEGROS",7,
IF(V875="BIT",90,
IF(V875="OP GRADO - INGLÉS",17,"")))))</f>
        <v>31</v>
      </c>
      <c r="X875" t="s">
        <v>4032</v>
      </c>
    </row>
    <row r="876" spans="1:24" ht="15" x14ac:dyDescent="0.35">
      <c r="A876" s="4">
        <v>46042.49962962963</v>
      </c>
      <c r="B876">
        <v>20115267</v>
      </c>
      <c r="C876" s="6" t="s">
        <v>19</v>
      </c>
      <c r="D876">
        <v>159072</v>
      </c>
      <c r="E876" t="s">
        <v>43</v>
      </c>
      <c r="F876">
        <v>1091811020</v>
      </c>
      <c r="G876" t="s">
        <v>2017</v>
      </c>
      <c r="H876">
        <v>100239825</v>
      </c>
      <c r="I876">
        <v>202651</v>
      </c>
      <c r="J876">
        <v>1091811020</v>
      </c>
      <c r="K876" t="s">
        <v>23</v>
      </c>
      <c r="L876" t="s">
        <v>252</v>
      </c>
      <c r="M876" t="s">
        <v>253</v>
      </c>
      <c r="N876" t="s">
        <v>35</v>
      </c>
      <c r="O876" t="s">
        <v>26</v>
      </c>
      <c r="P876" t="s">
        <v>27</v>
      </c>
      <c r="Q876" t="s">
        <v>28</v>
      </c>
      <c r="R876" t="s">
        <v>29</v>
      </c>
      <c r="S876" t="s">
        <v>30</v>
      </c>
      <c r="T876">
        <v>1031147887</v>
      </c>
      <c r="U876" t="s">
        <v>3948</v>
      </c>
      <c r="V876" t="s">
        <v>3937</v>
      </c>
      <c r="W876" s="9">
        <f>IF(V876="pregrado",31,
IF(V876="posgrados",31,
IF(V876="rEINTEGROS",7,
IF(V876="BIT",90,
IF(V876="OP GRADO - INGLÉS",17,"")))))</f>
        <v>31</v>
      </c>
      <c r="X876" t="s">
        <v>3947</v>
      </c>
    </row>
    <row r="877" spans="1:24" ht="15" x14ac:dyDescent="0.35">
      <c r="A877" s="4">
        <v>46017.700046296297</v>
      </c>
      <c r="B877">
        <v>20109915</v>
      </c>
      <c r="C877" s="6" t="s">
        <v>19</v>
      </c>
      <c r="D877">
        <v>159074</v>
      </c>
      <c r="E877" t="s">
        <v>43</v>
      </c>
      <c r="F877">
        <v>25281836</v>
      </c>
      <c r="G877" t="s">
        <v>1339</v>
      </c>
      <c r="H877">
        <v>100175996</v>
      </c>
      <c r="I877">
        <v>202651</v>
      </c>
      <c r="J877">
        <v>25281836</v>
      </c>
      <c r="K877" t="s">
        <v>46</v>
      </c>
      <c r="L877" t="s">
        <v>252</v>
      </c>
      <c r="M877" t="s">
        <v>253</v>
      </c>
      <c r="N877" t="s">
        <v>35</v>
      </c>
      <c r="O877" t="s">
        <v>26</v>
      </c>
      <c r="P877" t="s">
        <v>27</v>
      </c>
      <c r="Q877" t="s">
        <v>28</v>
      </c>
      <c r="R877" t="s">
        <v>29</v>
      </c>
      <c r="S877" t="s">
        <v>30</v>
      </c>
      <c r="T877">
        <v>1019068131</v>
      </c>
      <c r="U877" t="s">
        <v>3948</v>
      </c>
      <c r="V877" t="s">
        <v>3937</v>
      </c>
      <c r="W877" s="9">
        <f>IF(V877="pregrado",31,
IF(V877="posgrados",31,
IF(V877="rEINTEGROS",7,
IF(V877="BIT",90,
IF(V877="OP GRADO - INGLÉS",17,"")))))</f>
        <v>31</v>
      </c>
      <c r="X877" t="s">
        <v>4066</v>
      </c>
    </row>
    <row r="878" spans="1:24" ht="15" x14ac:dyDescent="0.35">
      <c r="A878" s="4">
        <v>46017.848171296297</v>
      </c>
      <c r="B878">
        <v>20109947</v>
      </c>
      <c r="C878" s="6" t="s">
        <v>19</v>
      </c>
      <c r="D878">
        <v>159077</v>
      </c>
      <c r="E878" t="s">
        <v>43</v>
      </c>
      <c r="F878">
        <v>1004355167</v>
      </c>
      <c r="G878" t="s">
        <v>1342</v>
      </c>
      <c r="H878">
        <v>100239837</v>
      </c>
      <c r="I878">
        <v>202651</v>
      </c>
      <c r="J878">
        <v>1004355167</v>
      </c>
      <c r="K878" t="s">
        <v>23</v>
      </c>
      <c r="L878" t="s">
        <v>252</v>
      </c>
      <c r="M878" t="s">
        <v>253</v>
      </c>
      <c r="N878" t="s">
        <v>35</v>
      </c>
      <c r="O878" t="s">
        <v>26</v>
      </c>
      <c r="P878" t="s">
        <v>27</v>
      </c>
      <c r="Q878" t="s">
        <v>28</v>
      </c>
      <c r="R878" t="s">
        <v>29</v>
      </c>
      <c r="S878" t="s">
        <v>30</v>
      </c>
      <c r="T878">
        <v>1019068131</v>
      </c>
      <c r="U878" t="s">
        <v>3948</v>
      </c>
      <c r="V878" t="s">
        <v>3937</v>
      </c>
      <c r="W878" s="9">
        <f>IF(V878="pregrado",31,
IF(V878="posgrados",31,
IF(V878="rEINTEGROS",7,
IF(V878="BIT",90,
IF(V878="OP GRADO - INGLÉS",17,"")))))</f>
        <v>31</v>
      </c>
      <c r="X878" t="s">
        <v>4066</v>
      </c>
    </row>
    <row r="879" spans="1:24" ht="15" x14ac:dyDescent="0.35">
      <c r="A879" s="4">
        <v>46070.722731481481</v>
      </c>
      <c r="B879">
        <v>20124249</v>
      </c>
      <c r="C879" s="6" t="s">
        <v>19</v>
      </c>
      <c r="D879">
        <v>159078</v>
      </c>
      <c r="E879" t="s">
        <v>43</v>
      </c>
      <c r="F879">
        <v>1110579358</v>
      </c>
      <c r="G879" t="s">
        <v>3321</v>
      </c>
      <c r="H879">
        <v>100239842</v>
      </c>
      <c r="I879">
        <v>202651</v>
      </c>
      <c r="J879">
        <v>1110579358</v>
      </c>
      <c r="K879" t="s">
        <v>33</v>
      </c>
      <c r="L879" t="s">
        <v>252</v>
      </c>
      <c r="M879" t="s">
        <v>253</v>
      </c>
      <c r="N879" t="s">
        <v>35</v>
      </c>
      <c r="O879" t="s">
        <v>26</v>
      </c>
      <c r="P879" t="s">
        <v>27</v>
      </c>
      <c r="Q879" t="s">
        <v>28</v>
      </c>
      <c r="R879" t="s">
        <v>29</v>
      </c>
      <c r="S879" t="s">
        <v>30</v>
      </c>
      <c r="T879">
        <v>1140420282</v>
      </c>
      <c r="U879" t="s">
        <v>3948</v>
      </c>
      <c r="V879" t="s">
        <v>3937</v>
      </c>
      <c r="W879" s="9">
        <f>IF(V879="pregrado",31,
IF(V879="posgrados",31,
IF(V879="rEINTEGROS",7,
IF(V879="BIT",90,
IF(V879="OP GRADO - INGLÉS",17,"")))))</f>
        <v>31</v>
      </c>
      <c r="X879" t="s">
        <v>3972</v>
      </c>
    </row>
    <row r="880" spans="1:24" ht="15" x14ac:dyDescent="0.35">
      <c r="A880" s="4">
        <v>46027.418738425928</v>
      </c>
      <c r="B880">
        <v>20110864</v>
      </c>
      <c r="C880" s="6" t="s">
        <v>19</v>
      </c>
      <c r="D880">
        <v>159082</v>
      </c>
      <c r="E880" t="s">
        <v>43</v>
      </c>
      <c r="F880">
        <v>1067930430</v>
      </c>
      <c r="G880" t="s">
        <v>1474</v>
      </c>
      <c r="H880">
        <v>100182211</v>
      </c>
      <c r="I880">
        <v>202641</v>
      </c>
      <c r="J880">
        <v>1067930430</v>
      </c>
      <c r="K880" t="s">
        <v>23</v>
      </c>
      <c r="L880" t="s">
        <v>160</v>
      </c>
      <c r="M880" t="s">
        <v>47</v>
      </c>
      <c r="N880" t="s">
        <v>35</v>
      </c>
      <c r="O880" t="s">
        <v>26</v>
      </c>
      <c r="P880" t="s">
        <v>27</v>
      </c>
      <c r="Q880" t="s">
        <v>28</v>
      </c>
      <c r="R880" t="s">
        <v>29</v>
      </c>
      <c r="S880" t="s">
        <v>30</v>
      </c>
      <c r="T880">
        <v>1193146767</v>
      </c>
      <c r="U880" t="s">
        <v>3936</v>
      </c>
      <c r="V880" t="s">
        <v>3937</v>
      </c>
      <c r="W880" s="9">
        <f>IF(V880="pregrado",31,
IF(V880="posgrados",31,
IF(V880="rEINTEGROS",7,
IF(V880="BIT",90,
IF(V880="OP GRADO - INGLÉS",17,"")))))</f>
        <v>31</v>
      </c>
      <c r="X880" t="s">
        <v>4072</v>
      </c>
    </row>
    <row r="881" spans="1:24" ht="15" x14ac:dyDescent="0.35">
      <c r="A881" s="4">
        <v>46017.62909722222</v>
      </c>
      <c r="B881">
        <v>20109880</v>
      </c>
      <c r="C881" s="6" t="s">
        <v>19</v>
      </c>
      <c r="D881">
        <v>159087</v>
      </c>
      <c r="E881" t="s">
        <v>43</v>
      </c>
      <c r="F881">
        <v>52618681</v>
      </c>
      <c r="G881" t="s">
        <v>1329</v>
      </c>
      <c r="H881">
        <v>100033429</v>
      </c>
      <c r="I881">
        <v>202641</v>
      </c>
      <c r="J881">
        <v>52618681</v>
      </c>
      <c r="K881" t="s">
        <v>46</v>
      </c>
      <c r="L881" t="s">
        <v>294</v>
      </c>
      <c r="M881" t="s">
        <v>47</v>
      </c>
      <c r="N881" t="s">
        <v>35</v>
      </c>
      <c r="O881" t="s">
        <v>26</v>
      </c>
      <c r="P881" t="s">
        <v>27</v>
      </c>
      <c r="Q881" t="s">
        <v>28</v>
      </c>
      <c r="R881" t="s">
        <v>29</v>
      </c>
      <c r="S881" t="s">
        <v>30</v>
      </c>
      <c r="T881">
        <v>1019102787</v>
      </c>
      <c r="U881" t="s">
        <v>3977</v>
      </c>
      <c r="V881" t="s">
        <v>3970</v>
      </c>
      <c r="W881" s="9">
        <f>IF(V881="pregrado",31,
IF(V881="posgrados",31,
IF(V881="rEINTEGROS",7,
IF(V881="BIT",90,
IF(V881="OP GRADO - INGLÉS",17,"")))))</f>
        <v>7</v>
      </c>
      <c r="X881" t="s">
        <v>3976</v>
      </c>
    </row>
    <row r="882" spans="1:24" ht="15" x14ac:dyDescent="0.35">
      <c r="A882" s="4">
        <v>46017.458541666667</v>
      </c>
      <c r="B882">
        <v>20109824</v>
      </c>
      <c r="C882" s="6" t="s">
        <v>19</v>
      </c>
      <c r="D882">
        <v>159090</v>
      </c>
      <c r="E882" t="s">
        <v>43</v>
      </c>
      <c r="F882">
        <v>32753883</v>
      </c>
      <c r="G882" t="s">
        <v>1317</v>
      </c>
      <c r="H882">
        <v>100131975</v>
      </c>
      <c r="I882">
        <v>202651</v>
      </c>
      <c r="J882">
        <v>32753883</v>
      </c>
      <c r="K882" t="s">
        <v>46</v>
      </c>
      <c r="L882" t="s">
        <v>252</v>
      </c>
      <c r="M882" t="s">
        <v>253</v>
      </c>
      <c r="N882" t="s">
        <v>25</v>
      </c>
      <c r="O882" t="s">
        <v>26</v>
      </c>
      <c r="P882" t="s">
        <v>27</v>
      </c>
      <c r="Q882" t="s">
        <v>28</v>
      </c>
      <c r="R882" t="s">
        <v>29</v>
      </c>
      <c r="S882" t="s">
        <v>30</v>
      </c>
      <c r="T882">
        <v>52168054</v>
      </c>
      <c r="U882" t="s">
        <v>3977</v>
      </c>
      <c r="V882" t="s">
        <v>3970</v>
      </c>
      <c r="W882" s="9">
        <f>IF(V882="pregrado",31,
IF(V882="posgrados",31,
IF(V882="rEINTEGROS",7,
IF(V882="BIT",90,
IF(V882="OP GRADO - INGLÉS",17,"")))))</f>
        <v>7</v>
      </c>
      <c r="X882" t="s">
        <v>4057</v>
      </c>
    </row>
    <row r="883" spans="1:24" ht="15" x14ac:dyDescent="0.35">
      <c r="A883" s="4">
        <v>46015.550891203704</v>
      </c>
      <c r="B883">
        <v>20109741</v>
      </c>
      <c r="C883" s="6" t="s">
        <v>19</v>
      </c>
      <c r="D883">
        <v>159092</v>
      </c>
      <c r="E883" t="s">
        <v>43</v>
      </c>
      <c r="F883">
        <v>11616461</v>
      </c>
      <c r="G883" t="s">
        <v>1303</v>
      </c>
      <c r="H883">
        <v>100239872</v>
      </c>
      <c r="I883">
        <v>202641</v>
      </c>
      <c r="J883">
        <v>11616461</v>
      </c>
      <c r="K883" t="s">
        <v>23</v>
      </c>
      <c r="L883" t="s">
        <v>955</v>
      </c>
      <c r="M883" t="s">
        <v>47</v>
      </c>
      <c r="N883" t="s">
        <v>35</v>
      </c>
      <c r="O883" t="s">
        <v>26</v>
      </c>
      <c r="P883" t="s">
        <v>27</v>
      </c>
      <c r="Q883" t="s">
        <v>28</v>
      </c>
      <c r="R883" t="s">
        <v>29</v>
      </c>
      <c r="S883" t="s">
        <v>30</v>
      </c>
      <c r="T883">
        <v>1012389748</v>
      </c>
      <c r="U883" t="s">
        <v>3948</v>
      </c>
      <c r="V883" t="s">
        <v>3937</v>
      </c>
      <c r="W883" s="9">
        <f>IF(V883="pregrado",31,
IF(V883="posgrados",31,
IF(V883="rEINTEGROS",7,
IF(V883="BIT",90,
IF(V883="OP GRADO - INGLÉS",17,"")))))</f>
        <v>31</v>
      </c>
      <c r="X883" t="s">
        <v>4065</v>
      </c>
    </row>
    <row r="884" spans="1:24" ht="15" x14ac:dyDescent="0.35">
      <c r="A884" s="4">
        <v>46050.351041666669</v>
      </c>
      <c r="B884">
        <v>20117814</v>
      </c>
      <c r="C884" s="6" t="s">
        <v>19</v>
      </c>
      <c r="D884">
        <v>159093</v>
      </c>
      <c r="E884" t="s">
        <v>43</v>
      </c>
      <c r="F884">
        <v>1054549238</v>
      </c>
      <c r="G884" t="s">
        <v>2385</v>
      </c>
      <c r="H884">
        <v>100082815</v>
      </c>
      <c r="I884">
        <v>202651</v>
      </c>
      <c r="J884">
        <v>1054549238</v>
      </c>
      <c r="K884" t="s">
        <v>46</v>
      </c>
      <c r="L884" t="s">
        <v>252</v>
      </c>
      <c r="M884" t="s">
        <v>253</v>
      </c>
      <c r="N884" t="s">
        <v>35</v>
      </c>
      <c r="O884" t="s">
        <v>26</v>
      </c>
      <c r="P884" t="s">
        <v>27</v>
      </c>
      <c r="Q884" t="s">
        <v>28</v>
      </c>
      <c r="R884" t="s">
        <v>29</v>
      </c>
      <c r="S884" t="s">
        <v>30</v>
      </c>
      <c r="T884">
        <v>1233513889</v>
      </c>
      <c r="U884" t="s">
        <v>3948</v>
      </c>
      <c r="V884" t="s">
        <v>3937</v>
      </c>
      <c r="W884" s="9">
        <f>IF(V884="pregrado",31,
IF(V884="posgrados",31,
IF(V884="rEINTEGROS",7,
IF(V884="BIT",90,
IF(V884="OP GRADO - INGLÉS",17,"")))))</f>
        <v>31</v>
      </c>
      <c r="X884" t="s">
        <v>4035</v>
      </c>
    </row>
    <row r="885" spans="1:24" ht="15" x14ac:dyDescent="0.35">
      <c r="A885" s="4">
        <v>46071.681793981479</v>
      </c>
      <c r="B885">
        <v>20124576</v>
      </c>
      <c r="C885" s="6" t="s">
        <v>19</v>
      </c>
      <c r="D885">
        <v>159103</v>
      </c>
      <c r="E885" t="s">
        <v>43</v>
      </c>
      <c r="F885">
        <v>5348687</v>
      </c>
      <c r="G885" t="s">
        <v>3369</v>
      </c>
      <c r="H885">
        <v>100239881</v>
      </c>
      <c r="I885">
        <v>202651</v>
      </c>
      <c r="J885">
        <v>1006947921</v>
      </c>
      <c r="K885" t="s">
        <v>74</v>
      </c>
      <c r="L885" t="s">
        <v>252</v>
      </c>
      <c r="M885" t="s">
        <v>253</v>
      </c>
      <c r="N885" t="s">
        <v>35</v>
      </c>
      <c r="O885" t="s">
        <v>26</v>
      </c>
      <c r="P885" t="s">
        <v>27</v>
      </c>
      <c r="Q885" t="s">
        <v>28</v>
      </c>
      <c r="R885" t="s">
        <v>29</v>
      </c>
      <c r="S885" t="s">
        <v>30</v>
      </c>
      <c r="T885">
        <v>1073673268</v>
      </c>
      <c r="U885" t="s">
        <v>3948</v>
      </c>
      <c r="V885" t="s">
        <v>3937</v>
      </c>
      <c r="W885" s="9">
        <f>IF(V885="pregrado",31,
IF(V885="posgrados",31,
IF(V885="rEINTEGROS",7,
IF(V885="BIT",90,
IF(V885="OP GRADO - INGLÉS",17,"")))))</f>
        <v>31</v>
      </c>
      <c r="X885" t="s">
        <v>4080</v>
      </c>
    </row>
    <row r="886" spans="1:24" ht="15" x14ac:dyDescent="0.35">
      <c r="A886" s="4">
        <v>46017.47216435185</v>
      </c>
      <c r="B886">
        <v>20109832</v>
      </c>
      <c r="C886" s="6" t="s">
        <v>19</v>
      </c>
      <c r="D886">
        <v>165060</v>
      </c>
      <c r="E886" t="s">
        <v>43</v>
      </c>
      <c r="F886">
        <v>52878596</v>
      </c>
      <c r="G886" t="s">
        <v>1319</v>
      </c>
      <c r="H886">
        <v>100239888</v>
      </c>
      <c r="I886">
        <v>202651</v>
      </c>
      <c r="J886">
        <v>52878596</v>
      </c>
      <c r="K886" t="s">
        <v>23</v>
      </c>
      <c r="L886" t="s">
        <v>252</v>
      </c>
      <c r="M886" t="s">
        <v>253</v>
      </c>
      <c r="N886" t="s">
        <v>35</v>
      </c>
      <c r="O886" t="s">
        <v>26</v>
      </c>
      <c r="P886" t="s">
        <v>27</v>
      </c>
      <c r="Q886" t="s">
        <v>28</v>
      </c>
      <c r="R886" t="s">
        <v>29</v>
      </c>
      <c r="S886" t="s">
        <v>30</v>
      </c>
      <c r="T886">
        <v>1020754225</v>
      </c>
      <c r="U886" t="s">
        <v>3948</v>
      </c>
      <c r="V886" t="s">
        <v>3937</v>
      </c>
      <c r="W886" s="9">
        <f>IF(V886="pregrado",31,
IF(V886="posgrados",31,
IF(V886="rEINTEGROS",7,
IF(V886="BIT",90,
IF(V886="OP GRADO - INGLÉS",17,"")))))</f>
        <v>31</v>
      </c>
      <c r="X886" t="s">
        <v>3981</v>
      </c>
    </row>
    <row r="887" spans="1:24" ht="15" x14ac:dyDescent="0.35">
      <c r="A887" s="4">
        <v>46017.598506944443</v>
      </c>
      <c r="B887">
        <v>20109868</v>
      </c>
      <c r="C887" s="6" t="s">
        <v>19</v>
      </c>
      <c r="D887">
        <v>165062</v>
      </c>
      <c r="E887" t="s">
        <v>43</v>
      </c>
      <c r="F887">
        <v>52740585</v>
      </c>
      <c r="G887" t="s">
        <v>1328</v>
      </c>
      <c r="H887">
        <v>100212747</v>
      </c>
      <c r="I887">
        <v>202651</v>
      </c>
      <c r="J887">
        <v>52740585</v>
      </c>
      <c r="K887" t="s">
        <v>23</v>
      </c>
      <c r="L887" t="s">
        <v>252</v>
      </c>
      <c r="M887" t="s">
        <v>253</v>
      </c>
      <c r="N887" t="s">
        <v>35</v>
      </c>
      <c r="O887" t="s">
        <v>26</v>
      </c>
      <c r="P887" t="s">
        <v>27</v>
      </c>
      <c r="Q887" t="s">
        <v>28</v>
      </c>
      <c r="R887" t="s">
        <v>29</v>
      </c>
      <c r="S887" t="s">
        <v>30</v>
      </c>
      <c r="T887">
        <v>1020754225</v>
      </c>
      <c r="U887" t="s">
        <v>3948</v>
      </c>
      <c r="V887" t="s">
        <v>3937</v>
      </c>
      <c r="W887" s="9">
        <f>IF(V887="pregrado",31,
IF(V887="posgrados",31,
IF(V887="rEINTEGROS",7,
IF(V887="BIT",90,
IF(V887="OP GRADO - INGLÉS",17,"")))))</f>
        <v>31</v>
      </c>
      <c r="X887" t="s">
        <v>3981</v>
      </c>
    </row>
    <row r="888" spans="1:24" ht="15" x14ac:dyDescent="0.35">
      <c r="A888" s="4">
        <v>46017.668773148151</v>
      </c>
      <c r="B888">
        <v>20109905</v>
      </c>
      <c r="C888" s="6" t="s">
        <v>19</v>
      </c>
      <c r="D888">
        <v>165064</v>
      </c>
      <c r="E888" t="s">
        <v>43</v>
      </c>
      <c r="F888">
        <v>1096235546</v>
      </c>
      <c r="G888" t="s">
        <v>1336</v>
      </c>
      <c r="H888">
        <v>100239891</v>
      </c>
      <c r="I888">
        <v>202641</v>
      </c>
      <c r="J888">
        <v>1007854418</v>
      </c>
      <c r="K888" t="s">
        <v>23</v>
      </c>
      <c r="L888" t="s">
        <v>45</v>
      </c>
      <c r="M888" t="s">
        <v>47</v>
      </c>
      <c r="N888" t="s">
        <v>25</v>
      </c>
      <c r="O888" t="s">
        <v>26</v>
      </c>
      <c r="P888" t="s">
        <v>27</v>
      </c>
      <c r="Q888" t="s">
        <v>28</v>
      </c>
      <c r="R888" t="s">
        <v>29</v>
      </c>
      <c r="S888" t="s">
        <v>30</v>
      </c>
      <c r="T888">
        <v>1000120140</v>
      </c>
      <c r="U888" t="s">
        <v>3936</v>
      </c>
      <c r="V888" t="s">
        <v>3937</v>
      </c>
      <c r="W888" s="9">
        <f>IF(V888="pregrado",31,
IF(V888="posgrados",31,
IF(V888="rEINTEGROS",7,
IF(V888="BIT",90,
IF(V888="OP GRADO - INGLÉS",17,"")))))</f>
        <v>31</v>
      </c>
      <c r="X888" t="s">
        <v>3935</v>
      </c>
    </row>
    <row r="889" spans="1:24" ht="15" x14ac:dyDescent="0.35">
      <c r="A889" s="4">
        <v>46017.664849537039</v>
      </c>
      <c r="B889">
        <v>20109903</v>
      </c>
      <c r="C889" s="6" t="s">
        <v>19</v>
      </c>
      <c r="D889">
        <v>165070</v>
      </c>
      <c r="E889" t="s">
        <v>43</v>
      </c>
      <c r="F889">
        <v>1033766142</v>
      </c>
      <c r="G889" t="s">
        <v>1334</v>
      </c>
      <c r="H889">
        <v>100239894</v>
      </c>
      <c r="I889">
        <v>202651</v>
      </c>
      <c r="J889">
        <v>1033766142</v>
      </c>
      <c r="K889" t="s">
        <v>23</v>
      </c>
      <c r="L889" t="s">
        <v>252</v>
      </c>
      <c r="M889" t="s">
        <v>253</v>
      </c>
      <c r="N889" t="s">
        <v>35</v>
      </c>
      <c r="O889" t="s">
        <v>26</v>
      </c>
      <c r="P889" t="s">
        <v>27</v>
      </c>
      <c r="Q889" t="s">
        <v>28</v>
      </c>
      <c r="R889" t="s">
        <v>29</v>
      </c>
      <c r="S889" t="s">
        <v>30</v>
      </c>
      <c r="T889">
        <v>1012355141</v>
      </c>
      <c r="U889" t="s">
        <v>3936</v>
      </c>
      <c r="V889" t="s">
        <v>3937</v>
      </c>
      <c r="W889" s="9">
        <f>IF(V889="pregrado",31,
IF(V889="posgrados",31,
IF(V889="rEINTEGROS",7,
IF(V889="BIT",90,
IF(V889="OP GRADO - INGLÉS",17,"")))))</f>
        <v>31</v>
      </c>
      <c r="X889" t="s">
        <v>4045</v>
      </c>
    </row>
    <row r="890" spans="1:24" ht="15" x14ac:dyDescent="0.35">
      <c r="A890" s="4">
        <v>46020.379143518519</v>
      </c>
      <c r="B890">
        <v>20110023</v>
      </c>
      <c r="C890" s="6" t="s">
        <v>19</v>
      </c>
      <c r="D890">
        <v>165074</v>
      </c>
      <c r="E890" t="s">
        <v>43</v>
      </c>
      <c r="F890">
        <v>1050718893</v>
      </c>
      <c r="G890" t="s">
        <v>1353</v>
      </c>
      <c r="H890">
        <v>100239906</v>
      </c>
      <c r="I890">
        <v>202641</v>
      </c>
      <c r="J890">
        <v>1050718893</v>
      </c>
      <c r="K890" t="s">
        <v>23</v>
      </c>
      <c r="L890" t="s">
        <v>279</v>
      </c>
      <c r="M890" t="s">
        <v>47</v>
      </c>
      <c r="N890" t="s">
        <v>35</v>
      </c>
      <c r="O890" t="s">
        <v>26</v>
      </c>
      <c r="P890" t="s">
        <v>27</v>
      </c>
      <c r="Q890" t="s">
        <v>28</v>
      </c>
      <c r="R890" t="s">
        <v>29</v>
      </c>
      <c r="S890" t="s">
        <v>30</v>
      </c>
      <c r="T890">
        <v>1026262709</v>
      </c>
      <c r="U890" t="s">
        <v>3936</v>
      </c>
      <c r="V890" t="s">
        <v>3937</v>
      </c>
      <c r="W890" s="9">
        <f>IF(V890="pregrado",31,
IF(V890="posgrados",31,
IF(V890="rEINTEGROS",7,
IF(V890="BIT",90,
IF(V890="OP GRADO - INGLÉS",17,"")))))</f>
        <v>31</v>
      </c>
      <c r="X890" t="s">
        <v>4037</v>
      </c>
    </row>
    <row r="891" spans="1:24" ht="15" x14ac:dyDescent="0.35">
      <c r="A891" s="4">
        <v>46042.610960648148</v>
      </c>
      <c r="B891">
        <v>20115344</v>
      </c>
      <c r="C891" s="6" t="s">
        <v>19</v>
      </c>
      <c r="D891">
        <v>165081</v>
      </c>
      <c r="E891" t="s">
        <v>43</v>
      </c>
      <c r="F891">
        <v>1003502943</v>
      </c>
      <c r="G891" t="s">
        <v>2024</v>
      </c>
      <c r="H891">
        <v>100239911</v>
      </c>
      <c r="I891">
        <v>202651</v>
      </c>
      <c r="J891">
        <v>1003502943</v>
      </c>
      <c r="K891" t="s">
        <v>23</v>
      </c>
      <c r="L891" t="s">
        <v>252</v>
      </c>
      <c r="M891" t="s">
        <v>253</v>
      </c>
      <c r="N891" t="s">
        <v>35</v>
      </c>
      <c r="O891" t="s">
        <v>26</v>
      </c>
      <c r="P891" t="s">
        <v>27</v>
      </c>
      <c r="Q891" t="s">
        <v>28</v>
      </c>
      <c r="R891" t="s">
        <v>29</v>
      </c>
      <c r="S891" t="s">
        <v>30</v>
      </c>
      <c r="T891">
        <v>1012355141</v>
      </c>
      <c r="U891" t="s">
        <v>3936</v>
      </c>
      <c r="V891" t="s">
        <v>3937</v>
      </c>
      <c r="W891" s="9">
        <f>IF(V891="pregrado",31,
IF(V891="posgrados",31,
IF(V891="rEINTEGROS",7,
IF(V891="BIT",90,
IF(V891="OP GRADO - INGLÉS",17,"")))))</f>
        <v>31</v>
      </c>
      <c r="X891" t="s">
        <v>4045</v>
      </c>
    </row>
    <row r="892" spans="1:24" ht="15" x14ac:dyDescent="0.35">
      <c r="A892" s="4">
        <v>46044.628587962965</v>
      </c>
      <c r="B892">
        <v>20116219</v>
      </c>
      <c r="C892" s="6" t="s">
        <v>19</v>
      </c>
      <c r="D892">
        <v>165085</v>
      </c>
      <c r="E892" t="s">
        <v>43</v>
      </c>
      <c r="F892">
        <v>1054064589</v>
      </c>
      <c r="G892" t="s">
        <v>2176</v>
      </c>
      <c r="H892">
        <v>100079766</v>
      </c>
      <c r="I892">
        <v>202641</v>
      </c>
      <c r="J892">
        <v>1054064589</v>
      </c>
      <c r="K892" t="s">
        <v>46</v>
      </c>
      <c r="L892" t="s">
        <v>160</v>
      </c>
      <c r="M892" t="s">
        <v>47</v>
      </c>
      <c r="N892" t="s">
        <v>35</v>
      </c>
      <c r="O892" t="s">
        <v>26</v>
      </c>
      <c r="P892" t="s">
        <v>27</v>
      </c>
      <c r="Q892" t="s">
        <v>28</v>
      </c>
      <c r="R892" t="s">
        <v>29</v>
      </c>
      <c r="S892" t="s">
        <v>30</v>
      </c>
      <c r="T892">
        <v>1026262709</v>
      </c>
      <c r="U892" t="s">
        <v>3936</v>
      </c>
      <c r="V892" t="s">
        <v>3937</v>
      </c>
      <c r="W892" s="9">
        <f>IF(V892="pregrado",31,
IF(V892="posgrados",31,
IF(V892="rEINTEGROS",7,
IF(V892="BIT",90,
IF(V892="OP GRADO - INGLÉS",17,"")))))</f>
        <v>31</v>
      </c>
      <c r="X892" t="s">
        <v>4037</v>
      </c>
    </row>
    <row r="893" spans="1:24" ht="15" x14ac:dyDescent="0.35">
      <c r="A893" s="4">
        <v>46017.683495370373</v>
      </c>
      <c r="B893">
        <v>20109911</v>
      </c>
      <c r="C893" s="6" t="s">
        <v>19</v>
      </c>
      <c r="D893">
        <v>165088</v>
      </c>
      <c r="E893" t="s">
        <v>43</v>
      </c>
      <c r="F893">
        <v>1103120624</v>
      </c>
      <c r="G893" t="s">
        <v>1337</v>
      </c>
      <c r="H893">
        <v>100239924</v>
      </c>
      <c r="I893">
        <v>202651</v>
      </c>
      <c r="J893">
        <v>1103120624</v>
      </c>
      <c r="K893" t="s">
        <v>23</v>
      </c>
      <c r="L893" t="s">
        <v>252</v>
      </c>
      <c r="M893" t="s">
        <v>253</v>
      </c>
      <c r="N893" t="s">
        <v>35</v>
      </c>
      <c r="O893" t="s">
        <v>26</v>
      </c>
      <c r="P893" t="s">
        <v>27</v>
      </c>
      <c r="Q893" t="s">
        <v>28</v>
      </c>
      <c r="R893" t="s">
        <v>29</v>
      </c>
      <c r="S893" t="s">
        <v>30</v>
      </c>
      <c r="T893">
        <v>1073673268</v>
      </c>
      <c r="U893" t="s">
        <v>3948</v>
      </c>
      <c r="V893" t="s">
        <v>3937</v>
      </c>
      <c r="W893" s="9">
        <f>IF(V893="pregrado",31,
IF(V893="posgrados",31,
IF(V893="rEINTEGROS",7,
IF(V893="BIT",90,
IF(V893="OP GRADO - INGLÉS",17,"")))))</f>
        <v>31</v>
      </c>
      <c r="X893" t="s">
        <v>4080</v>
      </c>
    </row>
    <row r="894" spans="1:24" ht="15" x14ac:dyDescent="0.35">
      <c r="A894" s="4">
        <v>46038.56459490741</v>
      </c>
      <c r="B894">
        <v>20114287</v>
      </c>
      <c r="C894" s="6" t="s">
        <v>19</v>
      </c>
      <c r="D894">
        <v>165089</v>
      </c>
      <c r="E894" t="s">
        <v>43</v>
      </c>
      <c r="F894">
        <v>26137783</v>
      </c>
      <c r="G894" t="s">
        <v>1903</v>
      </c>
      <c r="H894">
        <v>100239926</v>
      </c>
      <c r="I894">
        <v>202651</v>
      </c>
      <c r="J894">
        <v>1070821235</v>
      </c>
      <c r="K894" t="s">
        <v>23</v>
      </c>
      <c r="L894" t="s">
        <v>252</v>
      </c>
      <c r="M894" t="s">
        <v>253</v>
      </c>
      <c r="N894" t="s">
        <v>35</v>
      </c>
      <c r="O894" t="s">
        <v>26</v>
      </c>
      <c r="P894" t="s">
        <v>27</v>
      </c>
      <c r="Q894" t="s">
        <v>28</v>
      </c>
      <c r="R894" t="s">
        <v>29</v>
      </c>
      <c r="S894" t="s">
        <v>30</v>
      </c>
      <c r="T894">
        <v>1140420282</v>
      </c>
      <c r="U894" t="s">
        <v>3948</v>
      </c>
      <c r="V894" t="s">
        <v>3937</v>
      </c>
      <c r="W894" s="9">
        <f>IF(V894="pregrado",31,
IF(V894="posgrados",31,
IF(V894="rEINTEGROS",7,
IF(V894="BIT",90,
IF(V894="OP GRADO - INGLÉS",17,"")))))</f>
        <v>31</v>
      </c>
      <c r="X894" t="s">
        <v>3972</v>
      </c>
    </row>
    <row r="895" spans="1:24" ht="15" x14ac:dyDescent="0.35">
      <c r="A895" s="4">
        <v>46020.493020833332</v>
      </c>
      <c r="B895">
        <v>20110075</v>
      </c>
      <c r="C895" s="6" t="s">
        <v>19</v>
      </c>
      <c r="D895">
        <v>165102</v>
      </c>
      <c r="E895" t="s">
        <v>43</v>
      </c>
      <c r="F895">
        <v>26575840</v>
      </c>
      <c r="G895" t="s">
        <v>1360</v>
      </c>
      <c r="H895">
        <v>100239943</v>
      </c>
      <c r="I895">
        <v>202651</v>
      </c>
      <c r="J895">
        <v>26575840</v>
      </c>
      <c r="K895" t="s">
        <v>23</v>
      </c>
      <c r="L895" t="s">
        <v>252</v>
      </c>
      <c r="M895" t="s">
        <v>253</v>
      </c>
      <c r="N895" t="s">
        <v>35</v>
      </c>
      <c r="O895" t="s">
        <v>26</v>
      </c>
      <c r="P895" t="s">
        <v>27</v>
      </c>
      <c r="Q895" t="s">
        <v>28</v>
      </c>
      <c r="R895" t="s">
        <v>29</v>
      </c>
      <c r="S895" t="s">
        <v>30</v>
      </c>
      <c r="T895">
        <v>1014285873</v>
      </c>
      <c r="U895" t="s">
        <v>3948</v>
      </c>
      <c r="V895" t="s">
        <v>3937</v>
      </c>
      <c r="W895" s="9">
        <f>IF(V895="pregrado",31,
IF(V895="posgrados",31,
IF(V895="rEINTEGROS",7,
IF(V895="BIT",90,
IF(V895="OP GRADO - INGLÉS",17,"")))))</f>
        <v>31</v>
      </c>
      <c r="X895" t="s">
        <v>3953</v>
      </c>
    </row>
    <row r="896" spans="1:24" ht="15" x14ac:dyDescent="0.35">
      <c r="A896" s="4">
        <v>46020.577523148146</v>
      </c>
      <c r="B896">
        <v>20110113</v>
      </c>
      <c r="C896" s="6" t="s">
        <v>19</v>
      </c>
      <c r="D896">
        <v>165105</v>
      </c>
      <c r="E896" t="s">
        <v>43</v>
      </c>
      <c r="F896">
        <v>1013584530</v>
      </c>
      <c r="G896" t="s">
        <v>1368</v>
      </c>
      <c r="H896">
        <v>100239949</v>
      </c>
      <c r="I896">
        <v>202651</v>
      </c>
      <c r="J896">
        <v>1013584530</v>
      </c>
      <c r="K896" t="s">
        <v>23</v>
      </c>
      <c r="L896" t="s">
        <v>252</v>
      </c>
      <c r="M896" t="s">
        <v>253</v>
      </c>
      <c r="N896" t="s">
        <v>35</v>
      </c>
      <c r="O896" t="s">
        <v>26</v>
      </c>
      <c r="P896" t="s">
        <v>27</v>
      </c>
      <c r="Q896" t="s">
        <v>28</v>
      </c>
      <c r="R896" t="s">
        <v>29</v>
      </c>
      <c r="S896" t="s">
        <v>30</v>
      </c>
      <c r="T896">
        <v>52032666</v>
      </c>
      <c r="U896" t="s">
        <v>3948</v>
      </c>
      <c r="V896" t="s">
        <v>3937</v>
      </c>
      <c r="W896" s="9">
        <f>IF(V896="pregrado",31,
IF(V896="posgrados",31,
IF(V896="rEINTEGROS",7,
IF(V896="BIT",90,
IF(V896="OP GRADO - INGLÉS",17,"")))))</f>
        <v>31</v>
      </c>
      <c r="X896" t="s">
        <v>3983</v>
      </c>
    </row>
    <row r="897" spans="1:24" ht="15" x14ac:dyDescent="0.35">
      <c r="A897" s="4">
        <v>46020.427175925928</v>
      </c>
      <c r="B897">
        <v>20110040</v>
      </c>
      <c r="C897" s="6" t="s">
        <v>19</v>
      </c>
      <c r="D897">
        <v>165116</v>
      </c>
      <c r="E897" t="s">
        <v>43</v>
      </c>
      <c r="F897">
        <v>1016076340</v>
      </c>
      <c r="G897" t="s">
        <v>1355</v>
      </c>
      <c r="H897">
        <v>100239965</v>
      </c>
      <c r="I897">
        <v>202651</v>
      </c>
      <c r="J897">
        <v>1016076340</v>
      </c>
      <c r="K897" t="s">
        <v>23</v>
      </c>
      <c r="L897" t="s">
        <v>252</v>
      </c>
      <c r="M897" t="s">
        <v>253</v>
      </c>
      <c r="N897" t="s">
        <v>35</v>
      </c>
      <c r="O897" t="s">
        <v>26</v>
      </c>
      <c r="P897" t="s">
        <v>27</v>
      </c>
      <c r="Q897" t="s">
        <v>28</v>
      </c>
      <c r="R897" t="s">
        <v>29</v>
      </c>
      <c r="S897" t="s">
        <v>30</v>
      </c>
      <c r="T897">
        <v>1012355141</v>
      </c>
      <c r="U897" t="s">
        <v>3936</v>
      </c>
      <c r="V897" t="s">
        <v>3937</v>
      </c>
      <c r="W897" s="9">
        <f>IF(V897="pregrado",31,
IF(V897="posgrados",31,
IF(V897="rEINTEGROS",7,
IF(V897="BIT",90,
IF(V897="OP GRADO - INGLÉS",17,"")))))</f>
        <v>31</v>
      </c>
      <c r="X897" t="s">
        <v>4045</v>
      </c>
    </row>
    <row r="898" spans="1:24" ht="15" x14ac:dyDescent="0.35">
      <c r="A898" s="4">
        <v>46079.426203703704</v>
      </c>
      <c r="B898">
        <v>20126456</v>
      </c>
      <c r="C898" s="6" t="s">
        <v>19</v>
      </c>
      <c r="D898">
        <v>165118</v>
      </c>
      <c r="E898" t="s">
        <v>43</v>
      </c>
      <c r="F898">
        <v>1023903630</v>
      </c>
      <c r="G898" t="s">
        <v>3652</v>
      </c>
      <c r="H898">
        <v>100048113</v>
      </c>
      <c r="I898">
        <v>202651</v>
      </c>
      <c r="J898">
        <v>1023903630</v>
      </c>
      <c r="K898" t="s">
        <v>46</v>
      </c>
      <c r="L898" t="s">
        <v>252</v>
      </c>
      <c r="M898" t="s">
        <v>253</v>
      </c>
      <c r="N898" t="s">
        <v>35</v>
      </c>
      <c r="O898" t="s">
        <v>26</v>
      </c>
      <c r="P898" t="s">
        <v>27</v>
      </c>
      <c r="Q898" t="s">
        <v>28</v>
      </c>
      <c r="R898" t="s">
        <v>29</v>
      </c>
      <c r="S898" t="s">
        <v>30</v>
      </c>
      <c r="T898">
        <v>1012355141</v>
      </c>
      <c r="U898" t="s">
        <v>3936</v>
      </c>
      <c r="V898" t="s">
        <v>3937</v>
      </c>
      <c r="W898" s="9">
        <f>IF(V898="pregrado",31,
IF(V898="posgrados",31,
IF(V898="rEINTEGROS",7,
IF(V898="BIT",90,
IF(V898="OP GRADO - INGLÉS",17,"")))))</f>
        <v>31</v>
      </c>
      <c r="X898" t="s">
        <v>4045</v>
      </c>
    </row>
    <row r="899" spans="1:24" ht="15" x14ac:dyDescent="0.35">
      <c r="A899" s="4">
        <v>46030.567395833335</v>
      </c>
      <c r="B899">
        <v>20111737</v>
      </c>
      <c r="C899" s="6" t="s">
        <v>19</v>
      </c>
      <c r="D899">
        <v>165128</v>
      </c>
      <c r="E899" t="s">
        <v>43</v>
      </c>
      <c r="F899">
        <v>1007197962</v>
      </c>
      <c r="G899" t="s">
        <v>1590</v>
      </c>
      <c r="H899">
        <v>100204355</v>
      </c>
      <c r="I899">
        <v>202651</v>
      </c>
      <c r="J899">
        <v>1007197962</v>
      </c>
      <c r="K899" t="s">
        <v>23</v>
      </c>
      <c r="L899" t="s">
        <v>252</v>
      </c>
      <c r="M899" t="s">
        <v>253</v>
      </c>
      <c r="N899" t="s">
        <v>35</v>
      </c>
      <c r="O899" t="s">
        <v>26</v>
      </c>
      <c r="P899" t="s">
        <v>27</v>
      </c>
      <c r="Q899" t="s">
        <v>28</v>
      </c>
      <c r="R899" t="s">
        <v>29</v>
      </c>
      <c r="S899" t="s">
        <v>30</v>
      </c>
      <c r="T899">
        <v>1233513889</v>
      </c>
      <c r="U899" t="s">
        <v>3948</v>
      </c>
      <c r="V899" t="s">
        <v>3937</v>
      </c>
      <c r="W899" s="9">
        <f>IF(V899="pregrado",31,
IF(V899="posgrados",31,
IF(V899="rEINTEGROS",7,
IF(V899="BIT",90,
IF(V899="OP GRADO - INGLÉS",17,"")))))</f>
        <v>31</v>
      </c>
      <c r="X899" t="s">
        <v>4035</v>
      </c>
    </row>
    <row r="900" spans="1:24" ht="15" x14ac:dyDescent="0.35">
      <c r="A900" s="4">
        <v>46021.486909722225</v>
      </c>
      <c r="B900">
        <v>20110340</v>
      </c>
      <c r="C900" s="6" t="s">
        <v>19</v>
      </c>
      <c r="D900">
        <v>165132</v>
      </c>
      <c r="E900" t="s">
        <v>43</v>
      </c>
      <c r="F900">
        <v>1006880599</v>
      </c>
      <c r="G900" t="s">
        <v>1399</v>
      </c>
      <c r="H900">
        <v>100240007</v>
      </c>
      <c r="I900">
        <v>202641</v>
      </c>
      <c r="J900">
        <v>1006880599</v>
      </c>
      <c r="K900" t="s">
        <v>23</v>
      </c>
      <c r="L900" t="s">
        <v>279</v>
      </c>
      <c r="M900" t="s">
        <v>47</v>
      </c>
      <c r="N900" t="s">
        <v>35</v>
      </c>
      <c r="O900" t="s">
        <v>26</v>
      </c>
      <c r="P900" t="s">
        <v>27</v>
      </c>
      <c r="Q900" t="s">
        <v>28</v>
      </c>
      <c r="R900" t="s">
        <v>29</v>
      </c>
      <c r="S900" t="s">
        <v>30</v>
      </c>
      <c r="T900">
        <v>53116792</v>
      </c>
      <c r="U900" t="s">
        <v>3936</v>
      </c>
      <c r="V900" t="s">
        <v>3937</v>
      </c>
      <c r="W900" s="9">
        <f>IF(V900="pregrado",31,
IF(V900="posgrados",31,
IF(V900="rEINTEGROS",7,
IF(V900="BIT",90,
IF(V900="OP GRADO - INGLÉS",17,"")))))</f>
        <v>31</v>
      </c>
      <c r="X900" t="s">
        <v>4008</v>
      </c>
    </row>
    <row r="901" spans="1:24" ht="15" x14ac:dyDescent="0.35">
      <c r="A901" s="4">
        <v>46028.386828703704</v>
      </c>
      <c r="B901">
        <v>20111106</v>
      </c>
      <c r="C901" s="6" t="s">
        <v>19</v>
      </c>
      <c r="D901">
        <v>165133</v>
      </c>
      <c r="E901" t="s">
        <v>43</v>
      </c>
      <c r="F901">
        <v>1001114030</v>
      </c>
      <c r="G901" t="s">
        <v>1502</v>
      </c>
      <c r="H901">
        <v>100239705</v>
      </c>
      <c r="I901">
        <v>202642</v>
      </c>
      <c r="J901">
        <v>1001114030</v>
      </c>
      <c r="K901" t="s">
        <v>23</v>
      </c>
      <c r="L901" t="s">
        <v>792</v>
      </c>
      <c r="M901" t="s">
        <v>47</v>
      </c>
      <c r="N901" t="s">
        <v>35</v>
      </c>
      <c r="O901" t="s">
        <v>26</v>
      </c>
      <c r="P901" t="s">
        <v>27</v>
      </c>
      <c r="Q901" t="s">
        <v>28</v>
      </c>
      <c r="R901" t="s">
        <v>29</v>
      </c>
      <c r="S901" t="s">
        <v>793</v>
      </c>
      <c r="T901">
        <v>1193146767</v>
      </c>
      <c r="U901" t="s">
        <v>3936</v>
      </c>
      <c r="V901" t="s">
        <v>3937</v>
      </c>
      <c r="W901" s="9">
        <f>IF(V901="pregrado",31,
IF(V901="posgrados",31,
IF(V901="rEINTEGROS",7,
IF(V901="BIT",90,
IF(V901="OP GRADO - INGLÉS",17,"")))))</f>
        <v>31</v>
      </c>
      <c r="X901" t="s">
        <v>4072</v>
      </c>
    </row>
    <row r="902" spans="1:24" ht="15" x14ac:dyDescent="0.35">
      <c r="A902" s="4">
        <v>46020.732523148145</v>
      </c>
      <c r="B902">
        <v>20110194</v>
      </c>
      <c r="C902" s="6" t="s">
        <v>19</v>
      </c>
      <c r="D902">
        <v>165140</v>
      </c>
      <c r="E902" t="s">
        <v>43</v>
      </c>
      <c r="F902">
        <v>1129364302</v>
      </c>
      <c r="G902" t="s">
        <v>1380</v>
      </c>
      <c r="H902">
        <v>100240018</v>
      </c>
      <c r="I902">
        <v>202651</v>
      </c>
      <c r="J902">
        <v>1129364302</v>
      </c>
      <c r="K902" t="s">
        <v>23</v>
      </c>
      <c r="L902" t="s">
        <v>252</v>
      </c>
      <c r="M902" t="s">
        <v>253</v>
      </c>
      <c r="N902" t="s">
        <v>35</v>
      </c>
      <c r="O902" t="s">
        <v>26</v>
      </c>
      <c r="P902" t="s">
        <v>27</v>
      </c>
      <c r="Q902" t="s">
        <v>28</v>
      </c>
      <c r="R902" t="s">
        <v>29</v>
      </c>
      <c r="S902" t="s">
        <v>30</v>
      </c>
      <c r="T902">
        <v>1000120140</v>
      </c>
      <c r="U902" t="s">
        <v>3936</v>
      </c>
      <c r="V902" t="s">
        <v>3937</v>
      </c>
      <c r="W902" s="9">
        <f>IF(V902="pregrado",31,
IF(V902="posgrados",31,
IF(V902="rEINTEGROS",7,
IF(V902="BIT",90,
IF(V902="OP GRADO - INGLÉS",17,"")))))</f>
        <v>31</v>
      </c>
      <c r="X902" t="s">
        <v>3935</v>
      </c>
    </row>
    <row r="903" spans="1:24" ht="15" x14ac:dyDescent="0.35">
      <c r="A903" s="4">
        <v>46021.40357638889</v>
      </c>
      <c r="B903">
        <v>20110281</v>
      </c>
      <c r="C903" s="6" t="s">
        <v>19</v>
      </c>
      <c r="D903">
        <v>165145</v>
      </c>
      <c r="E903" t="s">
        <v>43</v>
      </c>
      <c r="F903">
        <v>1082690980</v>
      </c>
      <c r="G903" t="s">
        <v>1392</v>
      </c>
      <c r="H903">
        <v>100220928</v>
      </c>
      <c r="I903">
        <v>202651</v>
      </c>
      <c r="J903">
        <v>1082690980</v>
      </c>
      <c r="K903" t="s">
        <v>23</v>
      </c>
      <c r="L903" t="s">
        <v>252</v>
      </c>
      <c r="M903" t="s">
        <v>253</v>
      </c>
      <c r="N903" t="s">
        <v>35</v>
      </c>
      <c r="O903" t="s">
        <v>26</v>
      </c>
      <c r="P903" t="s">
        <v>27</v>
      </c>
      <c r="Q903" t="s">
        <v>28</v>
      </c>
      <c r="R903" t="s">
        <v>29</v>
      </c>
      <c r="S903" t="s">
        <v>30</v>
      </c>
      <c r="T903">
        <v>1019068131</v>
      </c>
      <c r="U903" t="s">
        <v>3948</v>
      </c>
      <c r="V903" t="s">
        <v>3937</v>
      </c>
      <c r="W903" s="9">
        <f>IF(V903="pregrado",31,
IF(V903="posgrados",31,
IF(V903="rEINTEGROS",7,
IF(V903="BIT",90,
IF(V903="OP GRADO - INGLÉS",17,"")))))</f>
        <v>31</v>
      </c>
      <c r="X903" t="s">
        <v>4066</v>
      </c>
    </row>
    <row r="904" spans="1:24" ht="15" x14ac:dyDescent="0.35">
      <c r="A904" s="4">
        <v>46021.631782407407</v>
      </c>
      <c r="B904">
        <v>20110426</v>
      </c>
      <c r="C904" s="6" t="s">
        <v>19</v>
      </c>
      <c r="D904">
        <v>165147</v>
      </c>
      <c r="E904" t="s">
        <v>43</v>
      </c>
      <c r="F904">
        <v>1014260166</v>
      </c>
      <c r="G904" t="s">
        <v>1416</v>
      </c>
      <c r="H904">
        <v>100033790</v>
      </c>
      <c r="I904">
        <v>202651</v>
      </c>
      <c r="J904">
        <v>1014260166</v>
      </c>
      <c r="K904" t="s">
        <v>23</v>
      </c>
      <c r="L904" t="s">
        <v>252</v>
      </c>
      <c r="M904" t="s">
        <v>253</v>
      </c>
      <c r="N904" t="s">
        <v>35</v>
      </c>
      <c r="O904" t="s">
        <v>26</v>
      </c>
      <c r="P904" t="s">
        <v>27</v>
      </c>
      <c r="Q904" t="s">
        <v>28</v>
      </c>
      <c r="R904" t="s">
        <v>29</v>
      </c>
      <c r="S904" t="s">
        <v>30</v>
      </c>
      <c r="T904">
        <v>1075542872</v>
      </c>
      <c r="U904" t="s">
        <v>3948</v>
      </c>
      <c r="V904" t="s">
        <v>3937</v>
      </c>
      <c r="W904" s="9">
        <f>IF(V904="pregrado",31,
IF(V904="posgrados",31,
IF(V904="rEINTEGROS",7,
IF(V904="BIT",90,
IF(V904="OP GRADO - INGLÉS",17,"")))))</f>
        <v>31</v>
      </c>
      <c r="X904" t="s">
        <v>3974</v>
      </c>
    </row>
    <row r="905" spans="1:24" ht="15" x14ac:dyDescent="0.35">
      <c r="A905" s="4">
        <v>46021.351574074077</v>
      </c>
      <c r="B905">
        <v>20110256</v>
      </c>
      <c r="C905" s="6" t="s">
        <v>19</v>
      </c>
      <c r="D905">
        <v>165161</v>
      </c>
      <c r="E905" t="s">
        <v>43</v>
      </c>
      <c r="F905">
        <v>33218736</v>
      </c>
      <c r="G905" t="s">
        <v>1387</v>
      </c>
      <c r="H905">
        <v>100240070</v>
      </c>
      <c r="I905">
        <v>202651</v>
      </c>
      <c r="J905">
        <v>33218736</v>
      </c>
      <c r="K905" t="s">
        <v>23</v>
      </c>
      <c r="L905" t="s">
        <v>252</v>
      </c>
      <c r="M905" t="s">
        <v>253</v>
      </c>
      <c r="N905" t="s">
        <v>35</v>
      </c>
      <c r="O905" t="s">
        <v>26</v>
      </c>
      <c r="P905" t="s">
        <v>27</v>
      </c>
      <c r="Q905" t="s">
        <v>28</v>
      </c>
      <c r="R905" t="s">
        <v>29</v>
      </c>
      <c r="S905" t="s">
        <v>30</v>
      </c>
      <c r="T905">
        <v>1031147887</v>
      </c>
      <c r="U905" t="s">
        <v>3948</v>
      </c>
      <c r="V905" t="s">
        <v>3937</v>
      </c>
      <c r="W905" s="9">
        <f>IF(V905="pregrado",31,
IF(V905="posgrados",31,
IF(V905="rEINTEGROS",7,
IF(V905="BIT",90,
IF(V905="OP GRADO - INGLÉS",17,"")))))</f>
        <v>31</v>
      </c>
      <c r="X905" t="s">
        <v>3947</v>
      </c>
    </row>
    <row r="906" spans="1:24" ht="15" x14ac:dyDescent="0.35">
      <c r="A906" s="4">
        <v>46022.078796296293</v>
      </c>
      <c r="B906">
        <v>20110552</v>
      </c>
      <c r="C906" s="6" t="s">
        <v>19</v>
      </c>
      <c r="D906">
        <v>165162</v>
      </c>
      <c r="E906" t="s">
        <v>43</v>
      </c>
      <c r="F906">
        <v>1080294257</v>
      </c>
      <c r="G906" t="s">
        <v>1433</v>
      </c>
      <c r="H906">
        <v>100238708</v>
      </c>
      <c r="I906">
        <v>202651</v>
      </c>
      <c r="J906">
        <v>1080295418</v>
      </c>
      <c r="K906" t="s">
        <v>23</v>
      </c>
      <c r="L906" t="s">
        <v>252</v>
      </c>
      <c r="M906" t="s">
        <v>253</v>
      </c>
      <c r="N906" t="s">
        <v>35</v>
      </c>
      <c r="O906" t="s">
        <v>26</v>
      </c>
      <c r="P906" t="s">
        <v>27</v>
      </c>
      <c r="Q906" t="s">
        <v>28</v>
      </c>
      <c r="R906" t="s">
        <v>29</v>
      </c>
      <c r="S906" t="s">
        <v>30</v>
      </c>
      <c r="T906">
        <v>1233513889</v>
      </c>
      <c r="U906" t="s">
        <v>3948</v>
      </c>
      <c r="V906" t="s">
        <v>3937</v>
      </c>
      <c r="W906" s="9">
        <f>IF(V906="pregrado",31,
IF(V906="posgrados",31,
IF(V906="rEINTEGROS",7,
IF(V906="BIT",90,
IF(V906="OP GRADO - INGLÉS",17,"")))))</f>
        <v>31</v>
      </c>
      <c r="X906" t="s">
        <v>4035</v>
      </c>
    </row>
    <row r="907" spans="1:24" ht="15" x14ac:dyDescent="0.35">
      <c r="A907" s="4">
        <v>46065.716539351852</v>
      </c>
      <c r="B907">
        <v>20122962</v>
      </c>
      <c r="C907" s="6" t="s">
        <v>19</v>
      </c>
      <c r="D907">
        <v>165168</v>
      </c>
      <c r="E907" t="s">
        <v>43</v>
      </c>
      <c r="F907">
        <v>1071303358</v>
      </c>
      <c r="G907" t="s">
        <v>3120</v>
      </c>
      <c r="H907">
        <v>100240081</v>
      </c>
      <c r="I907">
        <v>202651</v>
      </c>
      <c r="J907">
        <v>1071303358</v>
      </c>
      <c r="K907" t="s">
        <v>23</v>
      </c>
      <c r="L907" t="s">
        <v>252</v>
      </c>
      <c r="M907" t="s">
        <v>253</v>
      </c>
      <c r="N907" t="s">
        <v>35</v>
      </c>
      <c r="O907" t="s">
        <v>26</v>
      </c>
      <c r="P907" t="s">
        <v>27</v>
      </c>
      <c r="Q907" t="s">
        <v>28</v>
      </c>
      <c r="R907" t="s">
        <v>29</v>
      </c>
      <c r="S907" t="s">
        <v>30</v>
      </c>
      <c r="T907">
        <v>1012355141</v>
      </c>
      <c r="U907" t="s">
        <v>3936</v>
      </c>
      <c r="V907" t="s">
        <v>3937</v>
      </c>
      <c r="W907" s="9">
        <f>IF(V907="pregrado",31,
IF(V907="posgrados",31,
IF(V907="rEINTEGROS",7,
IF(V907="BIT",90,
IF(V907="OP GRADO - INGLÉS",17,"")))))</f>
        <v>31</v>
      </c>
      <c r="X907" t="s">
        <v>4045</v>
      </c>
    </row>
    <row r="908" spans="1:24" ht="15" x14ac:dyDescent="0.35">
      <c r="A908" s="4">
        <v>46036.611863425926</v>
      </c>
      <c r="B908">
        <v>20113131</v>
      </c>
      <c r="C908" s="6" t="s">
        <v>19</v>
      </c>
      <c r="D908">
        <v>165174</v>
      </c>
      <c r="E908" t="s">
        <v>43</v>
      </c>
      <c r="F908">
        <v>1070812482</v>
      </c>
      <c r="G908" t="s">
        <v>1770</v>
      </c>
      <c r="H908">
        <v>100240086</v>
      </c>
      <c r="I908">
        <v>202651</v>
      </c>
      <c r="J908">
        <v>1070806642</v>
      </c>
      <c r="K908" t="s">
        <v>23</v>
      </c>
      <c r="L908" t="s">
        <v>252</v>
      </c>
      <c r="M908" t="s">
        <v>253</v>
      </c>
      <c r="N908" t="s">
        <v>35</v>
      </c>
      <c r="O908" t="s">
        <v>26</v>
      </c>
      <c r="P908" t="s">
        <v>27</v>
      </c>
      <c r="Q908" t="s">
        <v>28</v>
      </c>
      <c r="R908" t="s">
        <v>29</v>
      </c>
      <c r="S908" t="s">
        <v>30</v>
      </c>
      <c r="T908">
        <v>1140420282</v>
      </c>
      <c r="U908" t="s">
        <v>3948</v>
      </c>
      <c r="V908" t="s">
        <v>3937</v>
      </c>
      <c r="W908" s="9">
        <f>IF(V908="pregrado",31,
IF(V908="posgrados",31,
IF(V908="rEINTEGROS",7,
IF(V908="BIT",90,
IF(V908="OP GRADO - INGLÉS",17,"")))))</f>
        <v>31</v>
      </c>
      <c r="X908" t="s">
        <v>3972</v>
      </c>
    </row>
    <row r="909" spans="1:24" ht="15" x14ac:dyDescent="0.35">
      <c r="A909" s="4">
        <v>46021.505497685182</v>
      </c>
      <c r="B909">
        <v>20110356</v>
      </c>
      <c r="C909" s="6" t="s">
        <v>19</v>
      </c>
      <c r="D909">
        <v>165176</v>
      </c>
      <c r="E909" t="s">
        <v>43</v>
      </c>
      <c r="F909">
        <v>1129364818</v>
      </c>
      <c r="G909" t="s">
        <v>1402</v>
      </c>
      <c r="H909">
        <v>100240088</v>
      </c>
      <c r="I909">
        <v>202651</v>
      </c>
      <c r="J909">
        <v>1129364818</v>
      </c>
      <c r="K909" t="s">
        <v>23</v>
      </c>
      <c r="L909" t="s">
        <v>252</v>
      </c>
      <c r="M909" t="s">
        <v>253</v>
      </c>
      <c r="N909" t="s">
        <v>35</v>
      </c>
      <c r="O909" t="s">
        <v>26</v>
      </c>
      <c r="P909" t="s">
        <v>27</v>
      </c>
      <c r="Q909" t="s">
        <v>28</v>
      </c>
      <c r="R909" t="s">
        <v>29</v>
      </c>
      <c r="S909" t="s">
        <v>30</v>
      </c>
      <c r="T909">
        <v>1000120140</v>
      </c>
      <c r="U909" t="s">
        <v>3936</v>
      </c>
      <c r="V909" t="s">
        <v>3937</v>
      </c>
      <c r="W909" s="9">
        <f>IF(V909="pregrado",31,
IF(V909="posgrados",31,
IF(V909="rEINTEGROS",7,
IF(V909="BIT",90,
IF(V909="OP GRADO - INGLÉS",17,"")))))</f>
        <v>31</v>
      </c>
      <c r="X909" t="s">
        <v>3935</v>
      </c>
    </row>
    <row r="910" spans="1:24" ht="15" x14ac:dyDescent="0.35">
      <c r="A910" s="4">
        <v>46021.457592592589</v>
      </c>
      <c r="B910">
        <v>20110317</v>
      </c>
      <c r="C910" s="6" t="s">
        <v>19</v>
      </c>
      <c r="D910">
        <v>165180</v>
      </c>
      <c r="E910" t="s">
        <v>43</v>
      </c>
      <c r="F910">
        <v>1082689844</v>
      </c>
      <c r="G910" t="s">
        <v>1395</v>
      </c>
      <c r="H910">
        <v>100220933</v>
      </c>
      <c r="I910">
        <v>202651</v>
      </c>
      <c r="J910">
        <v>1082689844</v>
      </c>
      <c r="K910" t="s">
        <v>23</v>
      </c>
      <c r="L910" t="s">
        <v>252</v>
      </c>
      <c r="M910" t="s">
        <v>253</v>
      </c>
      <c r="N910" t="s">
        <v>35</v>
      </c>
      <c r="O910" t="s">
        <v>26</v>
      </c>
      <c r="P910" t="s">
        <v>27</v>
      </c>
      <c r="Q910" t="s">
        <v>28</v>
      </c>
      <c r="R910" t="s">
        <v>29</v>
      </c>
      <c r="S910" t="s">
        <v>30</v>
      </c>
      <c r="T910">
        <v>1019068131</v>
      </c>
      <c r="U910" t="s">
        <v>3948</v>
      </c>
      <c r="V910" t="s">
        <v>3937</v>
      </c>
      <c r="W910" s="9">
        <f>IF(V910="pregrado",31,
IF(V910="posgrados",31,
IF(V910="rEINTEGROS",7,
IF(V910="BIT",90,
IF(V910="OP GRADO - INGLÉS",17,"")))))</f>
        <v>31</v>
      </c>
      <c r="X910" t="s">
        <v>4066</v>
      </c>
    </row>
    <row r="911" spans="1:24" ht="15" x14ac:dyDescent="0.35">
      <c r="A911" s="4">
        <v>46021.696793981479</v>
      </c>
      <c r="B911">
        <v>20110474</v>
      </c>
      <c r="C911" s="6" t="s">
        <v>19</v>
      </c>
      <c r="D911">
        <v>165181</v>
      </c>
      <c r="E911" t="s">
        <v>43</v>
      </c>
      <c r="F911">
        <v>1077085486</v>
      </c>
      <c r="G911" t="s">
        <v>1422</v>
      </c>
      <c r="H911">
        <v>100240100</v>
      </c>
      <c r="I911">
        <v>202641</v>
      </c>
      <c r="J911">
        <v>1077085486</v>
      </c>
      <c r="K911" t="s">
        <v>23</v>
      </c>
      <c r="L911" t="s">
        <v>294</v>
      </c>
      <c r="M911" t="s">
        <v>47</v>
      </c>
      <c r="N911" t="s">
        <v>35</v>
      </c>
      <c r="O911" t="s">
        <v>26</v>
      </c>
      <c r="P911" t="s">
        <v>27</v>
      </c>
      <c r="Q911" t="s">
        <v>28</v>
      </c>
      <c r="R911" t="s">
        <v>29</v>
      </c>
      <c r="S911" t="s">
        <v>30</v>
      </c>
      <c r="T911">
        <v>1012389748</v>
      </c>
      <c r="U911" t="s">
        <v>3948</v>
      </c>
      <c r="V911" t="s">
        <v>3937</v>
      </c>
      <c r="W911" s="9">
        <f>IF(V911="pregrado",31,
IF(V911="posgrados",31,
IF(V911="rEINTEGROS",7,
IF(V911="BIT",90,
IF(V911="OP GRADO - INGLÉS",17,"")))))</f>
        <v>31</v>
      </c>
      <c r="X911" t="s">
        <v>4065</v>
      </c>
    </row>
    <row r="912" spans="1:24" ht="15" x14ac:dyDescent="0.35">
      <c r="A912" s="4">
        <v>46021.446412037039</v>
      </c>
      <c r="B912">
        <v>20110311</v>
      </c>
      <c r="C912" s="6" t="s">
        <v>19</v>
      </c>
      <c r="D912">
        <v>165182</v>
      </c>
      <c r="E912" t="s">
        <v>43</v>
      </c>
      <c r="F912">
        <v>1123636703</v>
      </c>
      <c r="G912" t="s">
        <v>1394</v>
      </c>
      <c r="H912">
        <v>100240116</v>
      </c>
      <c r="I912">
        <v>202641</v>
      </c>
      <c r="J912">
        <v>1123636703</v>
      </c>
      <c r="K912" t="s">
        <v>23</v>
      </c>
      <c r="L912" t="s">
        <v>279</v>
      </c>
      <c r="M912" t="s">
        <v>47</v>
      </c>
      <c r="N912" t="s">
        <v>35</v>
      </c>
      <c r="O912" t="s">
        <v>26</v>
      </c>
      <c r="P912" t="s">
        <v>27</v>
      </c>
      <c r="Q912" t="s">
        <v>28</v>
      </c>
      <c r="R912" t="s">
        <v>29</v>
      </c>
      <c r="S912" t="s">
        <v>30</v>
      </c>
      <c r="T912">
        <v>1016030683</v>
      </c>
      <c r="U912" t="s">
        <v>3936</v>
      </c>
      <c r="V912" t="s">
        <v>3937</v>
      </c>
      <c r="W912" s="9">
        <f>IF(V912="pregrado",31,
IF(V912="posgrados",31,
IF(V912="rEINTEGROS",7,
IF(V912="BIT",90,
IF(V912="OP GRADO - INGLÉS",17,"")))))</f>
        <v>31</v>
      </c>
      <c r="X912" t="s">
        <v>3992</v>
      </c>
    </row>
    <row r="913" spans="1:24" ht="15" x14ac:dyDescent="0.35">
      <c r="A913" s="4">
        <v>46021.403055555558</v>
      </c>
      <c r="B913">
        <v>20110279</v>
      </c>
      <c r="C913" s="6" t="s">
        <v>19</v>
      </c>
      <c r="D913">
        <v>165198</v>
      </c>
      <c r="E913" t="s">
        <v>43</v>
      </c>
      <c r="F913">
        <v>1065663993</v>
      </c>
      <c r="G913" t="s">
        <v>1391</v>
      </c>
      <c r="H913">
        <v>100240130</v>
      </c>
      <c r="I913">
        <v>202641</v>
      </c>
      <c r="J913">
        <v>1065663993</v>
      </c>
      <c r="K913" t="s">
        <v>23</v>
      </c>
      <c r="L913" t="s">
        <v>279</v>
      </c>
      <c r="M913" t="s">
        <v>47</v>
      </c>
      <c r="N913" t="s">
        <v>35</v>
      </c>
      <c r="O913" t="s">
        <v>26</v>
      </c>
      <c r="P913" t="s">
        <v>27</v>
      </c>
      <c r="Q913" t="s">
        <v>28</v>
      </c>
      <c r="R913" t="s">
        <v>29</v>
      </c>
      <c r="S913" t="s">
        <v>30</v>
      </c>
      <c r="T913">
        <v>1082250716</v>
      </c>
      <c r="U913" t="s">
        <v>3936</v>
      </c>
      <c r="V913" t="s">
        <v>3937</v>
      </c>
      <c r="W913" s="9">
        <f>IF(V913="pregrado",31,
IF(V913="posgrados",31,
IF(V913="rEINTEGROS",7,
IF(V913="BIT",90,
IF(V913="OP GRADO - INGLÉS",17,"")))))</f>
        <v>31</v>
      </c>
      <c r="X913" t="s">
        <v>3997</v>
      </c>
    </row>
    <row r="914" spans="1:24" ht="15" x14ac:dyDescent="0.35">
      <c r="A914" s="4">
        <v>46027.489953703705</v>
      </c>
      <c r="B914">
        <v>20110898</v>
      </c>
      <c r="C914" s="6" t="s">
        <v>19</v>
      </c>
      <c r="D914">
        <v>165200</v>
      </c>
      <c r="E914" t="s">
        <v>43</v>
      </c>
      <c r="F914">
        <v>1117542796</v>
      </c>
      <c r="G914" t="s">
        <v>1477</v>
      </c>
      <c r="H914">
        <v>100020935</v>
      </c>
      <c r="I914">
        <v>202651</v>
      </c>
      <c r="J914">
        <v>26425103</v>
      </c>
      <c r="K914" t="s">
        <v>46</v>
      </c>
      <c r="L914" t="s">
        <v>252</v>
      </c>
      <c r="M914" t="s">
        <v>253</v>
      </c>
      <c r="N914" t="s">
        <v>35</v>
      </c>
      <c r="O914" t="s">
        <v>26</v>
      </c>
      <c r="P914" t="s">
        <v>27</v>
      </c>
      <c r="Q914" t="s">
        <v>28</v>
      </c>
      <c r="R914" t="s">
        <v>29</v>
      </c>
      <c r="S914" t="s">
        <v>30</v>
      </c>
      <c r="T914">
        <v>52032666</v>
      </c>
      <c r="U914" t="s">
        <v>3948</v>
      </c>
      <c r="V914" t="s">
        <v>3937</v>
      </c>
      <c r="W914" s="9">
        <f>IF(V914="pregrado",31,
IF(V914="posgrados",31,
IF(V914="rEINTEGROS",7,
IF(V914="BIT",90,
IF(V914="OP GRADO - INGLÉS",17,"")))))</f>
        <v>31</v>
      </c>
      <c r="X914" t="s">
        <v>3983</v>
      </c>
    </row>
    <row r="915" spans="1:24" ht="15" x14ac:dyDescent="0.35">
      <c r="A915" s="4">
        <v>46022.55201388889</v>
      </c>
      <c r="B915">
        <v>20110607</v>
      </c>
      <c r="C915" s="6" t="s">
        <v>19</v>
      </c>
      <c r="D915">
        <v>165208</v>
      </c>
      <c r="E915" t="s">
        <v>43</v>
      </c>
      <c r="F915">
        <v>1016085099</v>
      </c>
      <c r="G915" t="s">
        <v>1447</v>
      </c>
      <c r="H915">
        <v>100240150</v>
      </c>
      <c r="I915">
        <v>202641</v>
      </c>
      <c r="J915">
        <v>1016085099</v>
      </c>
      <c r="K915" t="s">
        <v>23</v>
      </c>
      <c r="L915" t="s">
        <v>99</v>
      </c>
      <c r="M915" t="s">
        <v>47</v>
      </c>
      <c r="N915" t="s">
        <v>38</v>
      </c>
      <c r="O915" t="s">
        <v>26</v>
      </c>
      <c r="P915" t="s">
        <v>27</v>
      </c>
      <c r="Q915" t="s">
        <v>28</v>
      </c>
      <c r="R915" t="s">
        <v>29</v>
      </c>
      <c r="S915" t="s">
        <v>30</v>
      </c>
      <c r="T915">
        <v>1000120140</v>
      </c>
      <c r="U915" t="s">
        <v>3936</v>
      </c>
      <c r="V915" t="s">
        <v>3937</v>
      </c>
      <c r="W915" s="9">
        <f>IF(V915="pregrado",31,
IF(V915="posgrados",31,
IF(V915="rEINTEGROS",7,
IF(V915="BIT",90,
IF(V915="OP GRADO - INGLÉS",17,"")))))</f>
        <v>31</v>
      </c>
      <c r="X915" t="s">
        <v>3935</v>
      </c>
    </row>
    <row r="916" spans="1:24" ht="15" x14ac:dyDescent="0.35">
      <c r="A916" s="4">
        <v>46036.46234953704</v>
      </c>
      <c r="B916">
        <v>20112970</v>
      </c>
      <c r="C916" s="6" t="s">
        <v>19</v>
      </c>
      <c r="D916">
        <v>165209</v>
      </c>
      <c r="E916" t="s">
        <v>43</v>
      </c>
      <c r="F916">
        <v>1077446819</v>
      </c>
      <c r="G916" t="s">
        <v>1748</v>
      </c>
      <c r="H916">
        <v>100204023</v>
      </c>
      <c r="I916">
        <v>202651</v>
      </c>
      <c r="J916">
        <v>1077433534</v>
      </c>
      <c r="K916" t="s">
        <v>23</v>
      </c>
      <c r="L916" t="s">
        <v>252</v>
      </c>
      <c r="M916" t="s">
        <v>253</v>
      </c>
      <c r="N916" t="s">
        <v>35</v>
      </c>
      <c r="O916" t="s">
        <v>26</v>
      </c>
      <c r="P916" t="s">
        <v>27</v>
      </c>
      <c r="Q916" t="s">
        <v>28</v>
      </c>
      <c r="R916" t="s">
        <v>29</v>
      </c>
      <c r="S916" t="s">
        <v>30</v>
      </c>
      <c r="T916">
        <v>1015401969</v>
      </c>
      <c r="U916" t="s">
        <v>3936</v>
      </c>
      <c r="V916" t="s">
        <v>3937</v>
      </c>
      <c r="W916" s="9">
        <f>IF(V916="pregrado",31,
IF(V916="posgrados",31,
IF(V916="rEINTEGROS",7,
IF(V916="BIT",90,
IF(V916="OP GRADO - INGLÉS",17,"")))))</f>
        <v>31</v>
      </c>
      <c r="X916" t="s">
        <v>3945</v>
      </c>
    </row>
    <row r="917" spans="1:24" ht="15" x14ac:dyDescent="0.35">
      <c r="A917" s="4">
        <v>46067.599629629629</v>
      </c>
      <c r="B917">
        <v>20123484</v>
      </c>
      <c r="C917" s="6" t="s">
        <v>19</v>
      </c>
      <c r="D917">
        <v>165219</v>
      </c>
      <c r="E917" t="s">
        <v>43</v>
      </c>
      <c r="F917">
        <v>21588365</v>
      </c>
      <c r="G917" t="s">
        <v>3217</v>
      </c>
      <c r="H917">
        <v>100227440</v>
      </c>
      <c r="I917">
        <v>202651</v>
      </c>
      <c r="J917">
        <v>1032258469</v>
      </c>
      <c r="K917" t="s">
        <v>23</v>
      </c>
      <c r="L917" t="s">
        <v>252</v>
      </c>
      <c r="M917" t="s">
        <v>253</v>
      </c>
      <c r="N917" t="s">
        <v>35</v>
      </c>
      <c r="O917" t="s">
        <v>26</v>
      </c>
      <c r="P917" t="s">
        <v>27</v>
      </c>
      <c r="Q917" t="s">
        <v>28</v>
      </c>
      <c r="R917" t="s">
        <v>29</v>
      </c>
      <c r="S917" t="s">
        <v>30</v>
      </c>
      <c r="T917">
        <v>1033793185</v>
      </c>
      <c r="U917" t="s">
        <v>3948</v>
      </c>
      <c r="V917" t="s">
        <v>3937</v>
      </c>
      <c r="W917" s="9">
        <f>IF(V917="pregrado",31,
IF(V917="posgrados",31,
IF(V917="rEINTEGROS",7,
IF(V917="BIT",90,
IF(V917="OP GRADO - INGLÉS",17,"")))))</f>
        <v>31</v>
      </c>
      <c r="X917" t="s">
        <v>4082</v>
      </c>
    </row>
    <row r="918" spans="1:24" ht="15" x14ac:dyDescent="0.35">
      <c r="A918" s="4">
        <v>46021.545104166667</v>
      </c>
      <c r="B918">
        <v>20110378</v>
      </c>
      <c r="C918" s="6" t="s">
        <v>19</v>
      </c>
      <c r="D918">
        <v>165225</v>
      </c>
      <c r="E918" t="s">
        <v>43</v>
      </c>
      <c r="F918">
        <v>1100399262</v>
      </c>
      <c r="G918" t="s">
        <v>1406</v>
      </c>
      <c r="H918">
        <v>100240174</v>
      </c>
      <c r="I918">
        <v>202651</v>
      </c>
      <c r="J918">
        <v>1100399262</v>
      </c>
      <c r="K918" t="s">
        <v>23</v>
      </c>
      <c r="L918" t="s">
        <v>252</v>
      </c>
      <c r="M918" t="s">
        <v>253</v>
      </c>
      <c r="N918" t="s">
        <v>35</v>
      </c>
      <c r="O918" t="s">
        <v>26</v>
      </c>
      <c r="P918" t="s">
        <v>27</v>
      </c>
      <c r="Q918" t="s">
        <v>28</v>
      </c>
      <c r="R918" t="s">
        <v>29</v>
      </c>
      <c r="S918" t="s">
        <v>30</v>
      </c>
      <c r="T918">
        <v>1019068131</v>
      </c>
      <c r="U918" t="s">
        <v>3948</v>
      </c>
      <c r="V918" t="s">
        <v>3937</v>
      </c>
      <c r="W918" s="9">
        <f>IF(V918="pregrado",31,
IF(V918="posgrados",31,
IF(V918="rEINTEGROS",7,
IF(V918="BIT",90,
IF(V918="OP GRADO - INGLÉS",17,"")))))</f>
        <v>31</v>
      </c>
      <c r="X918" t="s">
        <v>4066</v>
      </c>
    </row>
    <row r="919" spans="1:24" ht="15" x14ac:dyDescent="0.35">
      <c r="A919" s="4">
        <v>46038.668622685182</v>
      </c>
      <c r="B919">
        <v>20114431</v>
      </c>
      <c r="C919" s="6" t="s">
        <v>19</v>
      </c>
      <c r="D919">
        <v>165232</v>
      </c>
      <c r="E919" t="s">
        <v>43</v>
      </c>
      <c r="F919">
        <v>72212394</v>
      </c>
      <c r="G919" t="s">
        <v>1918</v>
      </c>
      <c r="H919">
        <v>100240204</v>
      </c>
      <c r="I919">
        <v>202651</v>
      </c>
      <c r="J919">
        <v>72212394</v>
      </c>
      <c r="K919" t="s">
        <v>23</v>
      </c>
      <c r="L919" t="s">
        <v>542</v>
      </c>
      <c r="M919" t="s">
        <v>253</v>
      </c>
      <c r="N919" t="s">
        <v>35</v>
      </c>
      <c r="O919" t="s">
        <v>26</v>
      </c>
      <c r="P919" t="s">
        <v>27</v>
      </c>
      <c r="Q919" t="s">
        <v>28</v>
      </c>
      <c r="R919" t="s">
        <v>29</v>
      </c>
      <c r="S919" t="s">
        <v>30</v>
      </c>
      <c r="T919">
        <v>1070973852</v>
      </c>
      <c r="U919" t="s">
        <v>3936</v>
      </c>
      <c r="V919" t="s">
        <v>3937</v>
      </c>
      <c r="W919" s="9">
        <f>IF(V919="pregrado",31,
IF(V919="posgrados",31,
IF(V919="rEINTEGROS",7,
IF(V919="BIT",90,
IF(V919="OP GRADO - INGLÉS",17,"")))))</f>
        <v>31</v>
      </c>
      <c r="X919" t="s">
        <v>3957</v>
      </c>
    </row>
    <row r="920" spans="1:24" ht="15" x14ac:dyDescent="0.35">
      <c r="A920" s="4">
        <v>46021.776608796295</v>
      </c>
      <c r="B920">
        <v>20110513</v>
      </c>
      <c r="C920" s="6" t="s">
        <v>19</v>
      </c>
      <c r="D920">
        <v>165235</v>
      </c>
      <c r="E920" t="s">
        <v>43</v>
      </c>
      <c r="F920">
        <v>70074869</v>
      </c>
      <c r="G920" t="s">
        <v>1431</v>
      </c>
      <c r="H920">
        <v>100240206</v>
      </c>
      <c r="I920">
        <v>202651</v>
      </c>
      <c r="J920">
        <v>1007945621</v>
      </c>
      <c r="K920" t="s">
        <v>23</v>
      </c>
      <c r="L920" t="s">
        <v>252</v>
      </c>
      <c r="M920" t="s">
        <v>253</v>
      </c>
      <c r="N920" t="s">
        <v>35</v>
      </c>
      <c r="O920" t="s">
        <v>26</v>
      </c>
      <c r="P920" t="s">
        <v>27</v>
      </c>
      <c r="Q920" t="s">
        <v>28</v>
      </c>
      <c r="R920" t="s">
        <v>29</v>
      </c>
      <c r="S920" t="s">
        <v>30</v>
      </c>
      <c r="T920">
        <v>1070973852</v>
      </c>
      <c r="U920" t="s">
        <v>3936</v>
      </c>
      <c r="V920" t="s">
        <v>3937</v>
      </c>
      <c r="W920" s="9">
        <f>IF(V920="pregrado",31,
IF(V920="posgrados",31,
IF(V920="rEINTEGROS",7,
IF(V920="BIT",90,
IF(V920="OP GRADO - INGLÉS",17,"")))))</f>
        <v>31</v>
      </c>
      <c r="X920" t="s">
        <v>3957</v>
      </c>
    </row>
    <row r="921" spans="1:24" ht="15" x14ac:dyDescent="0.35">
      <c r="A921" s="4">
        <v>46021.663518518515</v>
      </c>
      <c r="B921">
        <v>20110443</v>
      </c>
      <c r="C921" s="6" t="s">
        <v>19</v>
      </c>
      <c r="D921">
        <v>165236</v>
      </c>
      <c r="E921" t="s">
        <v>43</v>
      </c>
      <c r="F921">
        <v>26391934</v>
      </c>
      <c r="G921" t="s">
        <v>1418</v>
      </c>
      <c r="H921">
        <v>100240209</v>
      </c>
      <c r="I921">
        <v>202651</v>
      </c>
      <c r="J921">
        <v>26391934</v>
      </c>
      <c r="K921" t="s">
        <v>23</v>
      </c>
      <c r="L921" t="s">
        <v>252</v>
      </c>
      <c r="M921" t="s">
        <v>253</v>
      </c>
      <c r="N921" t="s">
        <v>35</v>
      </c>
      <c r="O921" t="s">
        <v>26</v>
      </c>
      <c r="P921" t="s">
        <v>27</v>
      </c>
      <c r="Q921" t="s">
        <v>28</v>
      </c>
      <c r="R921" t="s">
        <v>29</v>
      </c>
      <c r="S921" t="s">
        <v>30</v>
      </c>
      <c r="T921">
        <v>52032666</v>
      </c>
      <c r="U921" t="s">
        <v>3948</v>
      </c>
      <c r="V921" t="s">
        <v>3937</v>
      </c>
      <c r="W921" s="9">
        <f>IF(V921="pregrado",31,
IF(V921="posgrados",31,
IF(V921="rEINTEGROS",7,
IF(V921="BIT",90,
IF(V921="OP GRADO - INGLÉS",17,"")))))</f>
        <v>31</v>
      </c>
      <c r="X921" t="s">
        <v>3983</v>
      </c>
    </row>
    <row r="922" spans="1:24" ht="15" x14ac:dyDescent="0.35">
      <c r="A922" s="4">
        <v>46021.746631944443</v>
      </c>
      <c r="B922">
        <v>20110507</v>
      </c>
      <c r="C922" s="6" t="s">
        <v>19</v>
      </c>
      <c r="D922">
        <v>165240</v>
      </c>
      <c r="E922" t="s">
        <v>43</v>
      </c>
      <c r="F922">
        <v>1007406100</v>
      </c>
      <c r="G922" t="s">
        <v>1428</v>
      </c>
      <c r="H922">
        <v>100240216</v>
      </c>
      <c r="I922">
        <v>202651</v>
      </c>
      <c r="J922">
        <v>1007406100</v>
      </c>
      <c r="K922" t="s">
        <v>23</v>
      </c>
      <c r="L922" t="s">
        <v>252</v>
      </c>
      <c r="M922" t="s">
        <v>253</v>
      </c>
      <c r="N922" t="s">
        <v>35</v>
      </c>
      <c r="O922" t="s">
        <v>26</v>
      </c>
      <c r="P922" t="s">
        <v>27</v>
      </c>
      <c r="Q922" t="s">
        <v>28</v>
      </c>
      <c r="R922" t="s">
        <v>29</v>
      </c>
      <c r="S922" t="s">
        <v>30</v>
      </c>
      <c r="T922">
        <v>1016030683</v>
      </c>
      <c r="U922" t="s">
        <v>3936</v>
      </c>
      <c r="V922" t="s">
        <v>3937</v>
      </c>
      <c r="W922" s="9">
        <f>IF(V922="pregrado",31,
IF(V922="posgrados",31,
IF(V922="rEINTEGROS",7,
IF(V922="BIT",90,
IF(V922="OP GRADO - INGLÉS",17,"")))))</f>
        <v>31</v>
      </c>
      <c r="X922" t="s">
        <v>3992</v>
      </c>
    </row>
    <row r="923" spans="1:24" ht="15" x14ac:dyDescent="0.35">
      <c r="A923" s="4">
        <v>46035.722870370373</v>
      </c>
      <c r="B923">
        <v>20112737</v>
      </c>
      <c r="C923" s="6" t="s">
        <v>19</v>
      </c>
      <c r="D923">
        <v>165541</v>
      </c>
      <c r="E923" t="s">
        <v>43</v>
      </c>
      <c r="F923">
        <v>1126453866</v>
      </c>
      <c r="G923" t="s">
        <v>1715</v>
      </c>
      <c r="H923">
        <v>100191600</v>
      </c>
      <c r="I923">
        <v>202651</v>
      </c>
      <c r="J923">
        <v>1126453866</v>
      </c>
      <c r="K923" t="s">
        <v>46</v>
      </c>
      <c r="L923" t="s">
        <v>252</v>
      </c>
      <c r="M923" t="s">
        <v>253</v>
      </c>
      <c r="N923" t="s">
        <v>35</v>
      </c>
      <c r="O923" t="s">
        <v>26</v>
      </c>
      <c r="P923" t="s">
        <v>27</v>
      </c>
      <c r="Q923" t="s">
        <v>28</v>
      </c>
      <c r="R923" t="s">
        <v>29</v>
      </c>
      <c r="S923" t="s">
        <v>30</v>
      </c>
      <c r="T923">
        <v>1033793185</v>
      </c>
      <c r="U923" t="s">
        <v>3948</v>
      </c>
      <c r="V923" t="s">
        <v>3937</v>
      </c>
      <c r="W923" s="9">
        <f>IF(V923="pregrado",31,
IF(V923="posgrados",31,
IF(V923="rEINTEGROS",7,
IF(V923="BIT",90,
IF(V923="OP GRADO - INGLÉS",17,"")))))</f>
        <v>31</v>
      </c>
      <c r="X923" t="s">
        <v>4082</v>
      </c>
    </row>
    <row r="924" spans="1:24" ht="15" x14ac:dyDescent="0.35">
      <c r="A924" s="4">
        <v>46022.526655092595</v>
      </c>
      <c r="B924">
        <v>20110604</v>
      </c>
      <c r="C924" s="6" t="s">
        <v>19</v>
      </c>
      <c r="D924">
        <v>165560</v>
      </c>
      <c r="E924" t="s">
        <v>43</v>
      </c>
      <c r="F924">
        <v>35533195</v>
      </c>
      <c r="G924" t="s">
        <v>1446</v>
      </c>
      <c r="H924">
        <v>100240272</v>
      </c>
      <c r="I924">
        <v>202651</v>
      </c>
      <c r="J924">
        <v>35533195</v>
      </c>
      <c r="K924" t="s">
        <v>23</v>
      </c>
      <c r="L924" t="s">
        <v>252</v>
      </c>
      <c r="M924" t="s">
        <v>253</v>
      </c>
      <c r="N924" t="s">
        <v>35</v>
      </c>
      <c r="O924" t="s">
        <v>26</v>
      </c>
      <c r="P924" t="s">
        <v>27</v>
      </c>
      <c r="Q924" t="s">
        <v>28</v>
      </c>
      <c r="R924" t="s">
        <v>29</v>
      </c>
      <c r="S924" t="s">
        <v>30</v>
      </c>
      <c r="T924">
        <v>1014285873</v>
      </c>
      <c r="U924" t="s">
        <v>3948</v>
      </c>
      <c r="V924" t="s">
        <v>3937</v>
      </c>
      <c r="W924" s="9">
        <f>IF(V924="pregrado",31,
IF(V924="posgrados",31,
IF(V924="rEINTEGROS",7,
IF(V924="BIT",90,
IF(V924="OP GRADO - INGLÉS",17,"")))))</f>
        <v>31</v>
      </c>
      <c r="X924" t="s">
        <v>3953</v>
      </c>
    </row>
    <row r="925" spans="1:24" ht="15" x14ac:dyDescent="0.35">
      <c r="A925" s="4">
        <v>46027.538043981483</v>
      </c>
      <c r="B925">
        <v>20110928</v>
      </c>
      <c r="C925" s="6" t="s">
        <v>19</v>
      </c>
      <c r="D925">
        <v>165562</v>
      </c>
      <c r="E925" t="s">
        <v>43</v>
      </c>
      <c r="F925">
        <v>1120380467</v>
      </c>
      <c r="G925" t="s">
        <v>1481</v>
      </c>
      <c r="H925">
        <v>100167363</v>
      </c>
      <c r="I925">
        <v>202651</v>
      </c>
      <c r="J925">
        <v>1120376852</v>
      </c>
      <c r="K925" t="s">
        <v>74</v>
      </c>
      <c r="L925" t="s">
        <v>252</v>
      </c>
      <c r="M925" t="s">
        <v>253</v>
      </c>
      <c r="N925" t="s">
        <v>35</v>
      </c>
      <c r="O925" t="s">
        <v>26</v>
      </c>
      <c r="P925" t="s">
        <v>27</v>
      </c>
      <c r="Q925" t="s">
        <v>28</v>
      </c>
      <c r="R925" t="s">
        <v>29</v>
      </c>
      <c r="S925" t="s">
        <v>30</v>
      </c>
      <c r="T925">
        <v>1012355141</v>
      </c>
      <c r="U925" t="s">
        <v>3936</v>
      </c>
      <c r="V925" t="s">
        <v>3937</v>
      </c>
      <c r="W925" s="9">
        <f>IF(V925="pregrado",31,
IF(V925="posgrados",31,
IF(V925="rEINTEGROS",7,
IF(V925="BIT",90,
IF(V925="OP GRADO - INGLÉS",17,"")))))</f>
        <v>31</v>
      </c>
      <c r="X925" t="s">
        <v>4045</v>
      </c>
    </row>
    <row r="926" spans="1:24" ht="15" x14ac:dyDescent="0.35">
      <c r="A926" s="4">
        <v>46074.38957175926</v>
      </c>
      <c r="B926">
        <v>20125473</v>
      </c>
      <c r="C926" s="6" t="s">
        <v>19</v>
      </c>
      <c r="D926">
        <v>165563</v>
      </c>
      <c r="E926" t="s">
        <v>43</v>
      </c>
      <c r="F926">
        <v>1089031199</v>
      </c>
      <c r="G926" t="s">
        <v>3504</v>
      </c>
      <c r="H926">
        <v>100240277</v>
      </c>
      <c r="I926">
        <v>202651</v>
      </c>
      <c r="J926">
        <v>1089031199</v>
      </c>
      <c r="K926" t="s">
        <v>23</v>
      </c>
      <c r="L926" t="s">
        <v>252</v>
      </c>
      <c r="M926" t="s">
        <v>253</v>
      </c>
      <c r="N926" t="s">
        <v>35</v>
      </c>
      <c r="O926" t="s">
        <v>26</v>
      </c>
      <c r="P926" t="s">
        <v>27</v>
      </c>
      <c r="Q926" t="s">
        <v>28</v>
      </c>
      <c r="R926" t="s">
        <v>29</v>
      </c>
      <c r="S926" t="s">
        <v>30</v>
      </c>
      <c r="T926">
        <v>1016030683</v>
      </c>
      <c r="U926" t="s">
        <v>3936</v>
      </c>
      <c r="V926" t="s">
        <v>3937</v>
      </c>
      <c r="W926" s="9">
        <f>IF(V926="pregrado",31,
IF(V926="posgrados",31,
IF(V926="rEINTEGROS",7,
IF(V926="BIT",90,
IF(V926="OP GRADO - INGLÉS",17,"")))))</f>
        <v>31</v>
      </c>
      <c r="X926" t="s">
        <v>3992</v>
      </c>
    </row>
    <row r="927" spans="1:24" ht="15" x14ac:dyDescent="0.35">
      <c r="A927" s="4">
        <v>46042.801354166666</v>
      </c>
      <c r="B927">
        <v>20115528</v>
      </c>
      <c r="C927" s="6" t="s">
        <v>19</v>
      </c>
      <c r="D927">
        <v>165566</v>
      </c>
      <c r="E927" t="s">
        <v>43</v>
      </c>
      <c r="F927">
        <v>1007951372</v>
      </c>
      <c r="G927" t="s">
        <v>2051</v>
      </c>
      <c r="H927">
        <v>100240282</v>
      </c>
      <c r="I927">
        <v>202651</v>
      </c>
      <c r="J927">
        <v>1007951372</v>
      </c>
      <c r="K927" t="s">
        <v>23</v>
      </c>
      <c r="L927" t="s">
        <v>252</v>
      </c>
      <c r="M927" t="s">
        <v>253</v>
      </c>
      <c r="N927" t="s">
        <v>35</v>
      </c>
      <c r="O927" t="s">
        <v>26</v>
      </c>
      <c r="P927" t="s">
        <v>27</v>
      </c>
      <c r="Q927" t="s">
        <v>28</v>
      </c>
      <c r="R927" t="s">
        <v>29</v>
      </c>
      <c r="S927" t="s">
        <v>30</v>
      </c>
      <c r="T927">
        <v>1012355141</v>
      </c>
      <c r="U927" t="s">
        <v>3936</v>
      </c>
      <c r="V927" t="s">
        <v>3937</v>
      </c>
      <c r="W927" s="9">
        <f>IF(V927="pregrado",31,
IF(V927="posgrados",31,
IF(V927="rEINTEGROS",7,
IF(V927="BIT",90,
IF(V927="OP GRADO - INGLÉS",17,"")))))</f>
        <v>31</v>
      </c>
      <c r="X927" t="s">
        <v>4045</v>
      </c>
    </row>
    <row r="928" spans="1:24" ht="15" x14ac:dyDescent="0.35">
      <c r="A928" s="4">
        <v>46037.686655092592</v>
      </c>
      <c r="B928">
        <v>20113809</v>
      </c>
      <c r="C928" s="6" t="s">
        <v>19</v>
      </c>
      <c r="D928">
        <v>165578</v>
      </c>
      <c r="E928" t="s">
        <v>43</v>
      </c>
      <c r="F928">
        <v>51980869</v>
      </c>
      <c r="G928" t="s">
        <v>1853</v>
      </c>
      <c r="H928">
        <v>100038956</v>
      </c>
      <c r="I928">
        <v>202641</v>
      </c>
      <c r="J928">
        <v>1023898107</v>
      </c>
      <c r="K928" t="s">
        <v>46</v>
      </c>
      <c r="L928" t="s">
        <v>59</v>
      </c>
      <c r="M928" t="s">
        <v>47</v>
      </c>
      <c r="N928" t="s">
        <v>35</v>
      </c>
      <c r="O928" t="s">
        <v>26</v>
      </c>
      <c r="P928" t="s">
        <v>27</v>
      </c>
      <c r="Q928" t="s">
        <v>28</v>
      </c>
      <c r="R928" t="s">
        <v>29</v>
      </c>
      <c r="S928" t="s">
        <v>30</v>
      </c>
      <c r="T928">
        <v>1015401969</v>
      </c>
      <c r="U928" t="s">
        <v>3936</v>
      </c>
      <c r="V928" t="s">
        <v>3937</v>
      </c>
      <c r="W928" s="9">
        <f>IF(V928="pregrado",31,
IF(V928="posgrados",31,
IF(V928="rEINTEGROS",7,
IF(V928="BIT",90,
IF(V928="OP GRADO - INGLÉS",17,"")))))</f>
        <v>31</v>
      </c>
      <c r="X928" t="s">
        <v>3945</v>
      </c>
    </row>
    <row r="929" spans="1:24" ht="15" x14ac:dyDescent="0.35">
      <c r="A929" s="4">
        <v>46025.542384259257</v>
      </c>
      <c r="B929">
        <v>20110795</v>
      </c>
      <c r="C929" s="6" t="s">
        <v>19</v>
      </c>
      <c r="D929">
        <v>165583</v>
      </c>
      <c r="E929" t="s">
        <v>43</v>
      </c>
      <c r="F929">
        <v>1121950088</v>
      </c>
      <c r="G929" t="s">
        <v>1469</v>
      </c>
      <c r="H929">
        <v>100240303</v>
      </c>
      <c r="I929">
        <v>202651</v>
      </c>
      <c r="J929">
        <v>1121950088</v>
      </c>
      <c r="K929" t="s">
        <v>23</v>
      </c>
      <c r="L929" t="s">
        <v>252</v>
      </c>
      <c r="M929" t="s">
        <v>253</v>
      </c>
      <c r="N929" t="s">
        <v>35</v>
      </c>
      <c r="O929" t="s">
        <v>26</v>
      </c>
      <c r="P929" t="s">
        <v>27</v>
      </c>
      <c r="Q929" t="s">
        <v>28</v>
      </c>
      <c r="R929" t="s">
        <v>29</v>
      </c>
      <c r="S929" t="s">
        <v>30</v>
      </c>
      <c r="T929">
        <v>1033793185</v>
      </c>
      <c r="U929" t="s">
        <v>3948</v>
      </c>
      <c r="V929" t="s">
        <v>3937</v>
      </c>
      <c r="W929" s="9">
        <f>IF(V929="pregrado",31,
IF(V929="posgrados",31,
IF(V929="rEINTEGROS",7,
IF(V929="BIT",90,
IF(V929="OP GRADO - INGLÉS",17,"")))))</f>
        <v>31</v>
      </c>
      <c r="X929" t="s">
        <v>4082</v>
      </c>
    </row>
    <row r="930" spans="1:24" ht="15" x14ac:dyDescent="0.35">
      <c r="A930" s="4">
        <v>46029.46980324074</v>
      </c>
      <c r="B930">
        <v>20111402</v>
      </c>
      <c r="C930" s="6" t="s">
        <v>19</v>
      </c>
      <c r="D930">
        <v>165585</v>
      </c>
      <c r="E930" t="s">
        <v>43</v>
      </c>
      <c r="F930">
        <v>1036396191</v>
      </c>
      <c r="G930" t="s">
        <v>1548</v>
      </c>
      <c r="H930">
        <v>100240310</v>
      </c>
      <c r="I930">
        <v>202651</v>
      </c>
      <c r="J930">
        <v>1036396191</v>
      </c>
      <c r="K930" t="s">
        <v>23</v>
      </c>
      <c r="L930" t="s">
        <v>252</v>
      </c>
      <c r="M930" t="s">
        <v>253</v>
      </c>
      <c r="N930" t="s">
        <v>35</v>
      </c>
      <c r="O930" t="s">
        <v>26</v>
      </c>
      <c r="P930" t="s">
        <v>27</v>
      </c>
      <c r="Q930" t="s">
        <v>28</v>
      </c>
      <c r="R930" t="s">
        <v>29</v>
      </c>
      <c r="S930" t="s">
        <v>30</v>
      </c>
      <c r="T930">
        <v>1073673268</v>
      </c>
      <c r="U930" t="s">
        <v>3948</v>
      </c>
      <c r="V930" t="s">
        <v>3937</v>
      </c>
      <c r="W930" s="9">
        <f>IF(V930="pregrado",31,
IF(V930="posgrados",31,
IF(V930="rEINTEGROS",7,
IF(V930="BIT",90,
IF(V930="OP GRADO - INGLÉS",17,"")))))</f>
        <v>31</v>
      </c>
      <c r="X930" t="s">
        <v>4080</v>
      </c>
    </row>
    <row r="931" spans="1:24" ht="15" x14ac:dyDescent="0.35">
      <c r="A931" s="4">
        <v>46052.67695601852</v>
      </c>
      <c r="B931">
        <v>20119059</v>
      </c>
      <c r="C931" s="6" t="s">
        <v>19</v>
      </c>
      <c r="D931">
        <v>165586</v>
      </c>
      <c r="E931" t="s">
        <v>43</v>
      </c>
      <c r="F931">
        <v>1085663587</v>
      </c>
      <c r="G931" t="s">
        <v>2576</v>
      </c>
      <c r="H931">
        <v>100158870</v>
      </c>
      <c r="I931">
        <v>202651</v>
      </c>
      <c r="J931">
        <v>1085663587</v>
      </c>
      <c r="K931" t="s">
        <v>74</v>
      </c>
      <c r="L931" t="s">
        <v>252</v>
      </c>
      <c r="M931" t="s">
        <v>253</v>
      </c>
      <c r="N931" t="s">
        <v>35</v>
      </c>
      <c r="O931" t="s">
        <v>26</v>
      </c>
      <c r="P931" t="s">
        <v>27</v>
      </c>
      <c r="Q931" t="s">
        <v>28</v>
      </c>
      <c r="R931" t="s">
        <v>29</v>
      </c>
      <c r="S931" t="s">
        <v>30</v>
      </c>
      <c r="T931">
        <v>1015401969</v>
      </c>
      <c r="U931" t="s">
        <v>3936</v>
      </c>
      <c r="V931" t="s">
        <v>3937</v>
      </c>
      <c r="W931" s="9">
        <f>IF(V931="pregrado",31,
IF(V931="posgrados",31,
IF(V931="rEINTEGROS",7,
IF(V931="BIT",90,
IF(V931="OP GRADO - INGLÉS",17,"")))))</f>
        <v>31</v>
      </c>
      <c r="X931" t="s">
        <v>3945</v>
      </c>
    </row>
    <row r="932" spans="1:24" ht="15" x14ac:dyDescent="0.35">
      <c r="A932" s="4">
        <v>46025.448703703703</v>
      </c>
      <c r="B932">
        <v>20110783</v>
      </c>
      <c r="C932" s="6" t="s">
        <v>19</v>
      </c>
      <c r="D932">
        <v>165590</v>
      </c>
      <c r="E932" t="s">
        <v>43</v>
      </c>
      <c r="F932">
        <v>1023967788</v>
      </c>
      <c r="G932" t="s">
        <v>1466</v>
      </c>
      <c r="H932">
        <v>100034416</v>
      </c>
      <c r="I932">
        <v>202641</v>
      </c>
      <c r="J932">
        <v>1023967788</v>
      </c>
      <c r="K932" t="s">
        <v>46</v>
      </c>
      <c r="L932" t="s">
        <v>342</v>
      </c>
      <c r="M932" t="s">
        <v>47</v>
      </c>
      <c r="N932" t="s">
        <v>35</v>
      </c>
      <c r="O932" t="s">
        <v>26</v>
      </c>
      <c r="P932" t="s">
        <v>27</v>
      </c>
      <c r="Q932" t="s">
        <v>28</v>
      </c>
      <c r="R932" t="s">
        <v>29</v>
      </c>
      <c r="S932" t="s">
        <v>30</v>
      </c>
      <c r="T932">
        <v>1033793185</v>
      </c>
      <c r="U932" t="s">
        <v>3948</v>
      </c>
      <c r="V932" t="s">
        <v>3937</v>
      </c>
      <c r="W932" s="9">
        <f>IF(V932="pregrado",31,
IF(V932="posgrados",31,
IF(V932="rEINTEGROS",7,
IF(V932="BIT",90,
IF(V932="OP GRADO - INGLÉS",17,"")))))</f>
        <v>31</v>
      </c>
      <c r="X932" t="s">
        <v>4082</v>
      </c>
    </row>
    <row r="933" spans="1:24" ht="15" x14ac:dyDescent="0.35">
      <c r="A933" s="4">
        <v>46031.482476851852</v>
      </c>
      <c r="B933">
        <v>20112017</v>
      </c>
      <c r="C933" s="6" t="s">
        <v>19</v>
      </c>
      <c r="D933">
        <v>165600</v>
      </c>
      <c r="E933" t="s">
        <v>43</v>
      </c>
      <c r="F933">
        <v>1094279213</v>
      </c>
      <c r="G933" t="s">
        <v>1634</v>
      </c>
      <c r="H933">
        <v>100240331</v>
      </c>
      <c r="I933">
        <v>202641</v>
      </c>
      <c r="J933">
        <v>1094279213</v>
      </c>
      <c r="K933" t="s">
        <v>23</v>
      </c>
      <c r="L933" t="s">
        <v>342</v>
      </c>
      <c r="M933" t="s">
        <v>47</v>
      </c>
      <c r="N933" t="s">
        <v>35</v>
      </c>
      <c r="O933" t="s">
        <v>26</v>
      </c>
      <c r="P933" t="s">
        <v>27</v>
      </c>
      <c r="Q933" t="s">
        <v>28</v>
      </c>
      <c r="R933" t="s">
        <v>29</v>
      </c>
      <c r="S933" t="s">
        <v>30</v>
      </c>
      <c r="T933">
        <v>1070973852</v>
      </c>
      <c r="U933" t="s">
        <v>3936</v>
      </c>
      <c r="V933" t="s">
        <v>3937</v>
      </c>
      <c r="W933" s="9">
        <f>IF(V933="pregrado",31,
IF(V933="posgrados",31,
IF(V933="rEINTEGROS",7,
IF(V933="BIT",90,
IF(V933="OP GRADO - INGLÉS",17,"")))))</f>
        <v>31</v>
      </c>
      <c r="X933" t="s">
        <v>3957</v>
      </c>
    </row>
    <row r="934" spans="1:24" ht="15" x14ac:dyDescent="0.35">
      <c r="A934" s="4">
        <v>46027.696956018517</v>
      </c>
      <c r="B934">
        <v>20111023</v>
      </c>
      <c r="C934" s="6" t="s">
        <v>19</v>
      </c>
      <c r="D934">
        <v>165603</v>
      </c>
      <c r="E934" t="s">
        <v>43</v>
      </c>
      <c r="F934">
        <v>1120564469</v>
      </c>
      <c r="G934" t="s">
        <v>1491</v>
      </c>
      <c r="H934">
        <v>100240334</v>
      </c>
      <c r="I934">
        <v>202651</v>
      </c>
      <c r="J934">
        <v>1120564469</v>
      </c>
      <c r="K934" t="s">
        <v>23</v>
      </c>
      <c r="L934" t="s">
        <v>542</v>
      </c>
      <c r="M934" t="s">
        <v>253</v>
      </c>
      <c r="N934" t="s">
        <v>35</v>
      </c>
      <c r="O934" t="s">
        <v>26</v>
      </c>
      <c r="P934" t="s">
        <v>27</v>
      </c>
      <c r="Q934" t="s">
        <v>28</v>
      </c>
      <c r="R934" t="s">
        <v>29</v>
      </c>
      <c r="S934" t="s">
        <v>30</v>
      </c>
      <c r="T934">
        <v>1015401969</v>
      </c>
      <c r="U934" t="s">
        <v>3936</v>
      </c>
      <c r="V934" t="s">
        <v>3937</v>
      </c>
      <c r="W934" s="9">
        <f>IF(V934="pregrado",31,
IF(V934="posgrados",31,
IF(V934="rEINTEGROS",7,
IF(V934="BIT",90,
IF(V934="OP GRADO - INGLÉS",17,"")))))</f>
        <v>31</v>
      </c>
      <c r="X934" t="s">
        <v>3945</v>
      </c>
    </row>
    <row r="935" spans="1:24" ht="15" x14ac:dyDescent="0.35">
      <c r="A935" s="4">
        <v>46027.681990740741</v>
      </c>
      <c r="B935">
        <v>20111018</v>
      </c>
      <c r="C935" s="6" t="s">
        <v>19</v>
      </c>
      <c r="D935">
        <v>165609</v>
      </c>
      <c r="E935" t="s">
        <v>43</v>
      </c>
      <c r="F935">
        <v>1073131415</v>
      </c>
      <c r="G935" t="s">
        <v>1490</v>
      </c>
      <c r="H935">
        <v>100240340</v>
      </c>
      <c r="I935">
        <v>202651</v>
      </c>
      <c r="J935">
        <v>1073131415</v>
      </c>
      <c r="K935" t="s">
        <v>23</v>
      </c>
      <c r="L935" t="s">
        <v>252</v>
      </c>
      <c r="M935" t="s">
        <v>253</v>
      </c>
      <c r="N935" t="s">
        <v>35</v>
      </c>
      <c r="O935" t="s">
        <v>26</v>
      </c>
      <c r="P935" t="s">
        <v>27</v>
      </c>
      <c r="Q935" t="s">
        <v>28</v>
      </c>
      <c r="R935" t="s">
        <v>29</v>
      </c>
      <c r="S935" t="s">
        <v>30</v>
      </c>
      <c r="T935">
        <v>1015401969</v>
      </c>
      <c r="U935" t="s">
        <v>3936</v>
      </c>
      <c r="V935" t="s">
        <v>3937</v>
      </c>
      <c r="W935" s="9">
        <f>IF(V935="pregrado",31,
IF(V935="posgrados",31,
IF(V935="rEINTEGROS",7,
IF(V935="BIT",90,
IF(V935="OP GRADO - INGLÉS",17,"")))))</f>
        <v>31</v>
      </c>
      <c r="X935" t="s">
        <v>3945</v>
      </c>
    </row>
    <row r="936" spans="1:24" ht="15" x14ac:dyDescent="0.35">
      <c r="A936" s="4">
        <v>46027.452291666668</v>
      </c>
      <c r="B936">
        <v>20110881</v>
      </c>
      <c r="C936" s="6" t="s">
        <v>19</v>
      </c>
      <c r="D936">
        <v>165617</v>
      </c>
      <c r="E936" t="s">
        <v>43</v>
      </c>
      <c r="F936">
        <v>1012346049</v>
      </c>
      <c r="G936" t="s">
        <v>1475</v>
      </c>
      <c r="H936">
        <v>100240352</v>
      </c>
      <c r="I936">
        <v>202651</v>
      </c>
      <c r="J936">
        <v>1012346049</v>
      </c>
      <c r="K936" t="s">
        <v>23</v>
      </c>
      <c r="L936" t="s">
        <v>252</v>
      </c>
      <c r="M936" t="s">
        <v>253</v>
      </c>
      <c r="N936" t="s">
        <v>35</v>
      </c>
      <c r="O936" t="s">
        <v>26</v>
      </c>
      <c r="P936" t="s">
        <v>27</v>
      </c>
      <c r="Q936" t="s">
        <v>28</v>
      </c>
      <c r="R936" t="s">
        <v>29</v>
      </c>
      <c r="S936" t="s">
        <v>30</v>
      </c>
      <c r="T936">
        <v>1033781417</v>
      </c>
      <c r="U936" t="s">
        <v>3948</v>
      </c>
      <c r="V936" t="s">
        <v>3937</v>
      </c>
      <c r="W936" s="9">
        <f>IF(V936="pregrado",31,
IF(V936="posgrados",31,
IF(V936="rEINTEGROS",7,
IF(V936="BIT",90,
IF(V936="OP GRADO - INGLÉS",17,"")))))</f>
        <v>31</v>
      </c>
      <c r="X936" t="s">
        <v>4031</v>
      </c>
    </row>
    <row r="937" spans="1:24" ht="15" x14ac:dyDescent="0.35">
      <c r="A937" s="4">
        <v>46030.565740740742</v>
      </c>
      <c r="B937">
        <v>20111734</v>
      </c>
      <c r="C937" s="6" t="s">
        <v>19</v>
      </c>
      <c r="D937">
        <v>165624</v>
      </c>
      <c r="E937" t="s">
        <v>43</v>
      </c>
      <c r="F937">
        <v>7603868</v>
      </c>
      <c r="G937" t="s">
        <v>1589</v>
      </c>
      <c r="H937">
        <v>100240360</v>
      </c>
      <c r="I937">
        <v>202651</v>
      </c>
      <c r="J937">
        <v>36723578</v>
      </c>
      <c r="K937" t="s">
        <v>23</v>
      </c>
      <c r="L937" t="s">
        <v>252</v>
      </c>
      <c r="M937" t="s">
        <v>253</v>
      </c>
      <c r="N937" t="s">
        <v>35</v>
      </c>
      <c r="O937" t="s">
        <v>26</v>
      </c>
      <c r="P937" t="s">
        <v>27</v>
      </c>
      <c r="Q937" t="s">
        <v>28</v>
      </c>
      <c r="R937" t="s">
        <v>29</v>
      </c>
      <c r="S937" t="s">
        <v>30</v>
      </c>
      <c r="T937">
        <v>1073673268</v>
      </c>
      <c r="U937" t="s">
        <v>3948</v>
      </c>
      <c r="V937" t="s">
        <v>3937</v>
      </c>
      <c r="W937" s="9">
        <f>IF(V937="pregrado",31,
IF(V937="posgrados",31,
IF(V937="rEINTEGROS",7,
IF(V937="BIT",90,
IF(V937="OP GRADO - INGLÉS",17,"")))))</f>
        <v>31</v>
      </c>
      <c r="X937" t="s">
        <v>4080</v>
      </c>
    </row>
    <row r="938" spans="1:24" ht="15" x14ac:dyDescent="0.35">
      <c r="A938" s="4">
        <v>46027.488043981481</v>
      </c>
      <c r="B938">
        <v>20110897</v>
      </c>
      <c r="C938" s="6" t="s">
        <v>19</v>
      </c>
      <c r="D938">
        <v>165627</v>
      </c>
      <c r="E938" t="s">
        <v>43</v>
      </c>
      <c r="F938">
        <v>1032488097</v>
      </c>
      <c r="G938" t="s">
        <v>1476</v>
      </c>
      <c r="H938">
        <v>100240372</v>
      </c>
      <c r="I938">
        <v>202651</v>
      </c>
      <c r="J938">
        <v>1032488097</v>
      </c>
      <c r="K938" t="s">
        <v>23</v>
      </c>
      <c r="L938" t="s">
        <v>252</v>
      </c>
      <c r="M938" t="s">
        <v>253</v>
      </c>
      <c r="N938" t="s">
        <v>35</v>
      </c>
      <c r="O938" t="s">
        <v>26</v>
      </c>
      <c r="P938" t="s">
        <v>27</v>
      </c>
      <c r="Q938" t="s">
        <v>28</v>
      </c>
      <c r="R938" t="s">
        <v>29</v>
      </c>
      <c r="S938" t="s">
        <v>30</v>
      </c>
      <c r="T938">
        <v>1073673268</v>
      </c>
      <c r="U938" t="s">
        <v>3948</v>
      </c>
      <c r="V938" t="s">
        <v>3937</v>
      </c>
      <c r="W938" s="9">
        <f>IF(V938="pregrado",31,
IF(V938="posgrados",31,
IF(V938="rEINTEGROS",7,
IF(V938="BIT",90,
IF(V938="OP GRADO - INGLÉS",17,"")))))</f>
        <v>31</v>
      </c>
      <c r="X938" t="s">
        <v>4080</v>
      </c>
    </row>
    <row r="939" spans="1:24" ht="15" x14ac:dyDescent="0.35">
      <c r="A939" s="4">
        <v>46041.694745370369</v>
      </c>
      <c r="B939">
        <v>20115018</v>
      </c>
      <c r="C939" s="6" t="s">
        <v>19</v>
      </c>
      <c r="D939">
        <v>165628</v>
      </c>
      <c r="E939" t="s">
        <v>43</v>
      </c>
      <c r="F939">
        <v>10934089</v>
      </c>
      <c r="G939" t="s">
        <v>1981</v>
      </c>
      <c r="H939">
        <v>100177215</v>
      </c>
      <c r="I939">
        <v>202651</v>
      </c>
      <c r="J939">
        <v>10934089</v>
      </c>
      <c r="K939" t="s">
        <v>46</v>
      </c>
      <c r="L939" t="s">
        <v>252</v>
      </c>
      <c r="M939" t="s">
        <v>253</v>
      </c>
      <c r="N939" t="s">
        <v>35</v>
      </c>
      <c r="O939" t="s">
        <v>26</v>
      </c>
      <c r="P939" t="s">
        <v>27</v>
      </c>
      <c r="Q939" t="s">
        <v>28</v>
      </c>
      <c r="R939" t="s">
        <v>29</v>
      </c>
      <c r="S939" t="s">
        <v>30</v>
      </c>
      <c r="T939">
        <v>1012389748</v>
      </c>
      <c r="U939" t="s">
        <v>3948</v>
      </c>
      <c r="V939" t="s">
        <v>3937</v>
      </c>
      <c r="W939" s="9">
        <f>IF(V939="pregrado",31,
IF(V939="posgrados",31,
IF(V939="rEINTEGROS",7,
IF(V939="BIT",90,
IF(V939="OP GRADO - INGLÉS",17,"")))))</f>
        <v>31</v>
      </c>
      <c r="X939" t="s">
        <v>4065</v>
      </c>
    </row>
    <row r="940" spans="1:24" ht="15" x14ac:dyDescent="0.35">
      <c r="A940" s="4">
        <v>46027.699826388889</v>
      </c>
      <c r="B940">
        <v>20111025</v>
      </c>
      <c r="C940" s="6" t="s">
        <v>19</v>
      </c>
      <c r="D940">
        <v>165632</v>
      </c>
      <c r="E940" t="s">
        <v>43</v>
      </c>
      <c r="F940">
        <v>1081826748</v>
      </c>
      <c r="G940" t="s">
        <v>1492</v>
      </c>
      <c r="H940">
        <v>100154324</v>
      </c>
      <c r="I940">
        <v>202641</v>
      </c>
      <c r="J940">
        <v>1081826748</v>
      </c>
      <c r="K940" t="s">
        <v>46</v>
      </c>
      <c r="L940" t="s">
        <v>160</v>
      </c>
      <c r="M940" t="s">
        <v>47</v>
      </c>
      <c r="N940" t="s">
        <v>35</v>
      </c>
      <c r="O940" t="s">
        <v>26</v>
      </c>
      <c r="P940" t="s">
        <v>27</v>
      </c>
      <c r="Q940" t="s">
        <v>28</v>
      </c>
      <c r="R940" t="s">
        <v>29</v>
      </c>
      <c r="S940" t="s">
        <v>30</v>
      </c>
      <c r="T940">
        <v>53116792</v>
      </c>
      <c r="U940" t="s">
        <v>3936</v>
      </c>
      <c r="V940" t="s">
        <v>3937</v>
      </c>
      <c r="W940" s="9">
        <f>IF(V940="pregrado",31,
IF(V940="posgrados",31,
IF(V940="rEINTEGROS",7,
IF(V940="BIT",90,
IF(V940="OP GRADO - INGLÉS",17,"")))))</f>
        <v>31</v>
      </c>
      <c r="X940" t="s">
        <v>4008</v>
      </c>
    </row>
    <row r="941" spans="1:24" ht="15" x14ac:dyDescent="0.35">
      <c r="A941" s="4">
        <v>46027.668900462966</v>
      </c>
      <c r="B941">
        <v>20111007</v>
      </c>
      <c r="C941" s="6" t="s">
        <v>19</v>
      </c>
      <c r="D941">
        <v>165641</v>
      </c>
      <c r="E941" t="s">
        <v>43</v>
      </c>
      <c r="F941">
        <v>1075266868</v>
      </c>
      <c r="G941" t="s">
        <v>1488</v>
      </c>
      <c r="H941">
        <v>100240401</v>
      </c>
      <c r="I941">
        <v>202641</v>
      </c>
      <c r="J941">
        <v>1075266868</v>
      </c>
      <c r="K941" t="s">
        <v>23</v>
      </c>
      <c r="L941" t="s">
        <v>279</v>
      </c>
      <c r="M941" t="s">
        <v>47</v>
      </c>
      <c r="N941" t="s">
        <v>35</v>
      </c>
      <c r="O941" t="s">
        <v>26</v>
      </c>
      <c r="P941" t="s">
        <v>27</v>
      </c>
      <c r="Q941" t="s">
        <v>28</v>
      </c>
      <c r="R941" t="s">
        <v>29</v>
      </c>
      <c r="S941" t="s">
        <v>30</v>
      </c>
      <c r="T941">
        <v>1026262709</v>
      </c>
      <c r="U941" t="s">
        <v>3936</v>
      </c>
      <c r="V941" t="s">
        <v>3937</v>
      </c>
      <c r="W941" s="9">
        <f>IF(V941="pregrado",31,
IF(V941="posgrados",31,
IF(V941="rEINTEGROS",7,
IF(V941="BIT",90,
IF(V941="OP GRADO - INGLÉS",17,"")))))</f>
        <v>31</v>
      </c>
      <c r="X941" t="s">
        <v>4037</v>
      </c>
    </row>
    <row r="942" spans="1:24" ht="15" x14ac:dyDescent="0.35">
      <c r="A942" s="4">
        <v>46027.707685185182</v>
      </c>
      <c r="B942">
        <v>20111031</v>
      </c>
      <c r="C942" s="6" t="s">
        <v>19</v>
      </c>
      <c r="D942">
        <v>165645</v>
      </c>
      <c r="E942" t="s">
        <v>43</v>
      </c>
      <c r="F942">
        <v>1094246950</v>
      </c>
      <c r="G942" t="s">
        <v>1495</v>
      </c>
      <c r="H942">
        <v>100199669</v>
      </c>
      <c r="I942">
        <v>202651</v>
      </c>
      <c r="J942">
        <v>1094276585</v>
      </c>
      <c r="K942" t="s">
        <v>23</v>
      </c>
      <c r="L942" t="s">
        <v>252</v>
      </c>
      <c r="M942" t="s">
        <v>253</v>
      </c>
      <c r="N942" t="s">
        <v>35</v>
      </c>
      <c r="O942" t="s">
        <v>26</v>
      </c>
      <c r="P942" t="s">
        <v>27</v>
      </c>
      <c r="Q942" t="s">
        <v>28</v>
      </c>
      <c r="R942" t="s">
        <v>29</v>
      </c>
      <c r="S942" t="s">
        <v>30</v>
      </c>
      <c r="T942">
        <v>1032406382</v>
      </c>
      <c r="U942" t="s">
        <v>3936</v>
      </c>
      <c r="V942" t="s">
        <v>3937</v>
      </c>
      <c r="W942" s="9">
        <f>IF(V942="pregrado",31,
IF(V942="posgrados",31,
IF(V942="rEINTEGROS",7,
IF(V942="BIT",90,
IF(V942="OP GRADO - INGLÉS",17,"")))))</f>
        <v>31</v>
      </c>
      <c r="X942" t="s">
        <v>3991</v>
      </c>
    </row>
    <row r="943" spans="1:24" ht="15" x14ac:dyDescent="0.35">
      <c r="A943" s="4">
        <v>46029.48778935185</v>
      </c>
      <c r="B943">
        <v>20111414</v>
      </c>
      <c r="C943" s="6" t="s">
        <v>19</v>
      </c>
      <c r="D943">
        <v>165653</v>
      </c>
      <c r="E943" t="s">
        <v>43</v>
      </c>
      <c r="F943">
        <v>1003431453</v>
      </c>
      <c r="G943" t="s">
        <v>1552</v>
      </c>
      <c r="H943">
        <v>100240418</v>
      </c>
      <c r="I943">
        <v>202641</v>
      </c>
      <c r="J943">
        <v>1003431453</v>
      </c>
      <c r="K943" t="s">
        <v>23</v>
      </c>
      <c r="L943" t="s">
        <v>160</v>
      </c>
      <c r="M943" t="s">
        <v>47</v>
      </c>
      <c r="N943" t="s">
        <v>35</v>
      </c>
      <c r="O943" t="s">
        <v>26</v>
      </c>
      <c r="P943" t="s">
        <v>27</v>
      </c>
      <c r="Q943" t="s">
        <v>28</v>
      </c>
      <c r="R943" t="s">
        <v>29</v>
      </c>
      <c r="S943" t="s">
        <v>30</v>
      </c>
      <c r="T943">
        <v>1233888787</v>
      </c>
      <c r="U943" t="s">
        <v>3936</v>
      </c>
      <c r="V943" t="s">
        <v>3937</v>
      </c>
      <c r="W943" s="9">
        <f>IF(V943="pregrado",31,
IF(V943="posgrados",31,
IF(V943="rEINTEGROS",7,
IF(V943="BIT",90,
IF(V943="OP GRADO - INGLÉS",17,"")))))</f>
        <v>31</v>
      </c>
      <c r="X943" t="s">
        <v>3998</v>
      </c>
    </row>
    <row r="944" spans="1:24" ht="15" x14ac:dyDescent="0.35">
      <c r="A944" s="4">
        <v>46028.338055555556</v>
      </c>
      <c r="B944">
        <v>20111092</v>
      </c>
      <c r="C944" s="6" t="s">
        <v>19</v>
      </c>
      <c r="D944">
        <v>165660</v>
      </c>
      <c r="E944" t="s">
        <v>43</v>
      </c>
      <c r="F944">
        <v>1052408521</v>
      </c>
      <c r="G944" t="s">
        <v>1499</v>
      </c>
      <c r="H944">
        <v>100240428</v>
      </c>
      <c r="I944">
        <v>202651</v>
      </c>
      <c r="J944">
        <v>1052408521</v>
      </c>
      <c r="K944" t="s">
        <v>23</v>
      </c>
      <c r="L944" t="s">
        <v>252</v>
      </c>
      <c r="M944" t="s">
        <v>253</v>
      </c>
      <c r="N944" t="s">
        <v>35</v>
      </c>
      <c r="O944" t="s">
        <v>26</v>
      </c>
      <c r="P944" t="s">
        <v>27</v>
      </c>
      <c r="Q944" t="s">
        <v>28</v>
      </c>
      <c r="R944" t="s">
        <v>29</v>
      </c>
      <c r="S944" t="s">
        <v>30</v>
      </c>
      <c r="T944">
        <v>52032666</v>
      </c>
      <c r="U944" t="s">
        <v>3948</v>
      </c>
      <c r="V944" t="s">
        <v>3937</v>
      </c>
      <c r="W944" s="9">
        <f>IF(V944="pregrado",31,
IF(V944="posgrados",31,
IF(V944="rEINTEGROS",7,
IF(V944="BIT",90,
IF(V944="OP GRADO - INGLÉS",17,"")))))</f>
        <v>31</v>
      </c>
      <c r="X944" t="s">
        <v>3983</v>
      </c>
    </row>
    <row r="945" spans="1:24" ht="15" x14ac:dyDescent="0.35">
      <c r="A945" s="4">
        <v>46027.704085648147</v>
      </c>
      <c r="B945">
        <v>20111028</v>
      </c>
      <c r="C945" s="6" t="s">
        <v>19</v>
      </c>
      <c r="D945">
        <v>165662</v>
      </c>
      <c r="E945" t="s">
        <v>43</v>
      </c>
      <c r="F945">
        <v>1129533222</v>
      </c>
      <c r="G945" t="s">
        <v>1494</v>
      </c>
      <c r="H945">
        <v>100240434</v>
      </c>
      <c r="I945">
        <v>202651</v>
      </c>
      <c r="J945">
        <v>1129533222</v>
      </c>
      <c r="K945" t="s">
        <v>23</v>
      </c>
      <c r="L945" t="s">
        <v>252</v>
      </c>
      <c r="M945" t="s">
        <v>253</v>
      </c>
      <c r="N945" t="s">
        <v>35</v>
      </c>
      <c r="O945" t="s">
        <v>26</v>
      </c>
      <c r="P945" t="s">
        <v>27</v>
      </c>
      <c r="Q945" t="s">
        <v>28</v>
      </c>
      <c r="R945" t="s">
        <v>29</v>
      </c>
      <c r="S945" t="s">
        <v>30</v>
      </c>
      <c r="T945">
        <v>1015401969</v>
      </c>
      <c r="U945" t="s">
        <v>3936</v>
      </c>
      <c r="V945" t="s">
        <v>3937</v>
      </c>
      <c r="W945" s="9">
        <f>IF(V945="pregrado",31,
IF(V945="posgrados",31,
IF(V945="rEINTEGROS",7,
IF(V945="BIT",90,
IF(V945="OP GRADO - INGLÉS",17,"")))))</f>
        <v>31</v>
      </c>
      <c r="X945" t="s">
        <v>3945</v>
      </c>
    </row>
    <row r="946" spans="1:24" ht="15" x14ac:dyDescent="0.35">
      <c r="A946" s="4">
        <v>46030.495682870373</v>
      </c>
      <c r="B946">
        <v>20111691</v>
      </c>
      <c r="C946" s="6" t="s">
        <v>19</v>
      </c>
      <c r="D946">
        <v>165664</v>
      </c>
      <c r="E946" t="s">
        <v>43</v>
      </c>
      <c r="F946">
        <v>1233344173</v>
      </c>
      <c r="G946" t="s">
        <v>1580</v>
      </c>
      <c r="H946">
        <v>100240439</v>
      </c>
      <c r="I946">
        <v>202641</v>
      </c>
      <c r="J946">
        <v>1233344173</v>
      </c>
      <c r="K946" t="s">
        <v>23</v>
      </c>
      <c r="L946" t="s">
        <v>59</v>
      </c>
      <c r="M946" t="s">
        <v>47</v>
      </c>
      <c r="N946" t="s">
        <v>35</v>
      </c>
      <c r="O946" t="s">
        <v>26</v>
      </c>
      <c r="P946" t="s">
        <v>27</v>
      </c>
      <c r="Q946" t="s">
        <v>28</v>
      </c>
      <c r="R946" t="s">
        <v>29</v>
      </c>
      <c r="S946" t="s">
        <v>30</v>
      </c>
      <c r="T946">
        <v>1082250716</v>
      </c>
      <c r="U946" t="s">
        <v>3936</v>
      </c>
      <c r="V946" t="s">
        <v>3937</v>
      </c>
      <c r="W946" s="9">
        <f>IF(V946="pregrado",31,
IF(V946="posgrados",31,
IF(V946="rEINTEGROS",7,
IF(V946="BIT",90,
IF(V946="OP GRADO - INGLÉS",17,"")))))</f>
        <v>31</v>
      </c>
      <c r="X946" t="s">
        <v>3997</v>
      </c>
    </row>
    <row r="947" spans="1:24" ht="15" x14ac:dyDescent="0.35">
      <c r="A947" s="4">
        <v>46028.442627314813</v>
      </c>
      <c r="B947">
        <v>20111132</v>
      </c>
      <c r="C947" s="6" t="s">
        <v>19</v>
      </c>
      <c r="D947">
        <v>165665</v>
      </c>
      <c r="E947" t="s">
        <v>43</v>
      </c>
      <c r="F947">
        <v>42273172</v>
      </c>
      <c r="G947" t="s">
        <v>1511</v>
      </c>
      <c r="H947">
        <v>100032473</v>
      </c>
      <c r="I947">
        <v>202651</v>
      </c>
      <c r="J947">
        <v>42273172</v>
      </c>
      <c r="K947" t="s">
        <v>46</v>
      </c>
      <c r="L947" t="s">
        <v>252</v>
      </c>
      <c r="M947" t="s">
        <v>253</v>
      </c>
      <c r="N947" t="s">
        <v>35</v>
      </c>
      <c r="O947" t="s">
        <v>26</v>
      </c>
      <c r="P947" t="s">
        <v>27</v>
      </c>
      <c r="Q947" t="s">
        <v>28</v>
      </c>
      <c r="R947" t="s">
        <v>29</v>
      </c>
      <c r="S947" t="s">
        <v>30</v>
      </c>
      <c r="T947">
        <v>1015401969</v>
      </c>
      <c r="U947" t="s">
        <v>3936</v>
      </c>
      <c r="V947" t="s">
        <v>3937</v>
      </c>
      <c r="W947" s="9">
        <f>IF(V947="pregrado",31,
IF(V947="posgrados",31,
IF(V947="rEINTEGROS",7,
IF(V947="BIT",90,
IF(V947="OP GRADO - INGLÉS",17,"")))))</f>
        <v>31</v>
      </c>
      <c r="X947" t="s">
        <v>3945</v>
      </c>
    </row>
    <row r="948" spans="1:24" ht="15" x14ac:dyDescent="0.35">
      <c r="A948" s="4">
        <v>46052.390625</v>
      </c>
      <c r="B948">
        <v>20118777</v>
      </c>
      <c r="C948" s="6" t="s">
        <v>19</v>
      </c>
      <c r="D948">
        <v>165666</v>
      </c>
      <c r="E948" t="s">
        <v>43</v>
      </c>
      <c r="F948">
        <v>1006666186</v>
      </c>
      <c r="G948" t="s">
        <v>2534</v>
      </c>
      <c r="H948">
        <v>100225005</v>
      </c>
      <c r="I948">
        <v>202651</v>
      </c>
      <c r="J948">
        <v>1006666186</v>
      </c>
      <c r="K948" t="s">
        <v>23</v>
      </c>
      <c r="L948" t="s">
        <v>252</v>
      </c>
      <c r="M948" t="s">
        <v>253</v>
      </c>
      <c r="N948" t="s">
        <v>35</v>
      </c>
      <c r="O948" t="s">
        <v>26</v>
      </c>
      <c r="P948" t="s">
        <v>27</v>
      </c>
      <c r="Q948" t="s">
        <v>28</v>
      </c>
      <c r="R948" t="s">
        <v>29</v>
      </c>
      <c r="S948" t="s">
        <v>30</v>
      </c>
      <c r="T948">
        <v>1031147887</v>
      </c>
      <c r="U948" t="s">
        <v>3948</v>
      </c>
      <c r="V948" t="s">
        <v>3937</v>
      </c>
      <c r="W948" s="9">
        <f>IF(V948="pregrado",31,
IF(V948="posgrados",31,
IF(V948="rEINTEGROS",7,
IF(V948="BIT",90,
IF(V948="OP GRADO - INGLÉS",17,"")))))</f>
        <v>31</v>
      </c>
      <c r="X948" t="s">
        <v>3947</v>
      </c>
    </row>
    <row r="949" spans="1:24" ht="15" x14ac:dyDescent="0.35">
      <c r="A949" s="4">
        <v>46050.533020833333</v>
      </c>
      <c r="B949">
        <v>20117976</v>
      </c>
      <c r="C949" s="6" t="s">
        <v>19</v>
      </c>
      <c r="D949">
        <v>165668</v>
      </c>
      <c r="E949" t="s">
        <v>43</v>
      </c>
      <c r="F949">
        <v>1030598611</v>
      </c>
      <c r="G949" t="s">
        <v>2413</v>
      </c>
      <c r="H949">
        <v>200068685</v>
      </c>
      <c r="I949">
        <v>202641</v>
      </c>
      <c r="J949">
        <v>1030598611</v>
      </c>
      <c r="K949" t="s">
        <v>23</v>
      </c>
      <c r="L949" t="s">
        <v>736</v>
      </c>
      <c r="M949" t="s">
        <v>47</v>
      </c>
      <c r="N949" t="s">
        <v>35</v>
      </c>
      <c r="O949" t="s">
        <v>26</v>
      </c>
      <c r="P949" t="s">
        <v>27</v>
      </c>
      <c r="Q949" t="s">
        <v>28</v>
      </c>
      <c r="R949" t="s">
        <v>29</v>
      </c>
      <c r="S949" t="s">
        <v>30</v>
      </c>
      <c r="T949">
        <v>1075542872</v>
      </c>
      <c r="U949" t="s">
        <v>3948</v>
      </c>
      <c r="V949" t="s">
        <v>3937</v>
      </c>
      <c r="W949" s="9">
        <f>IF(V949="pregrado",31,
IF(V949="posgrados",31,
IF(V949="rEINTEGROS",7,
IF(V949="BIT",90,
IF(V949="OP GRADO - INGLÉS",17,"")))))</f>
        <v>31</v>
      </c>
      <c r="X949" t="s">
        <v>3974</v>
      </c>
    </row>
    <row r="950" spans="1:24" ht="15" x14ac:dyDescent="0.35">
      <c r="A950" s="4">
        <v>46031.682349537034</v>
      </c>
      <c r="B950">
        <v>20112148</v>
      </c>
      <c r="C950" s="6" t="s">
        <v>19</v>
      </c>
      <c r="D950">
        <v>165669</v>
      </c>
      <c r="E950" t="s">
        <v>43</v>
      </c>
      <c r="F950">
        <v>40690784</v>
      </c>
      <c r="G950" t="s">
        <v>1653</v>
      </c>
      <c r="H950">
        <v>100240447</v>
      </c>
      <c r="I950">
        <v>202651</v>
      </c>
      <c r="J950">
        <v>40690784</v>
      </c>
      <c r="K950" t="s">
        <v>23</v>
      </c>
      <c r="L950" t="s">
        <v>252</v>
      </c>
      <c r="M950" t="s">
        <v>253</v>
      </c>
      <c r="N950" t="s">
        <v>35</v>
      </c>
      <c r="O950" t="s">
        <v>26</v>
      </c>
      <c r="P950" t="s">
        <v>27</v>
      </c>
      <c r="Q950" t="s">
        <v>28</v>
      </c>
      <c r="R950" t="s">
        <v>29</v>
      </c>
      <c r="S950" t="s">
        <v>30</v>
      </c>
      <c r="T950">
        <v>1019068131</v>
      </c>
      <c r="U950" t="s">
        <v>3948</v>
      </c>
      <c r="V950" t="s">
        <v>3937</v>
      </c>
      <c r="W950" s="9">
        <f>IF(V950="pregrado",31,
IF(V950="posgrados",31,
IF(V950="rEINTEGROS",7,
IF(V950="BIT",90,
IF(V950="OP GRADO - INGLÉS",17,"")))))</f>
        <v>31</v>
      </c>
      <c r="X950" t="s">
        <v>4066</v>
      </c>
    </row>
    <row r="951" spans="1:24" ht="15" x14ac:dyDescent="0.35">
      <c r="A951" s="4">
        <v>46028.377430555556</v>
      </c>
      <c r="B951">
        <v>20111101</v>
      </c>
      <c r="C951" s="6" t="s">
        <v>19</v>
      </c>
      <c r="D951">
        <v>165670</v>
      </c>
      <c r="E951" t="s">
        <v>43</v>
      </c>
      <c r="F951">
        <v>1083559980</v>
      </c>
      <c r="G951" t="s">
        <v>1501</v>
      </c>
      <c r="H951">
        <v>100240449</v>
      </c>
      <c r="I951">
        <v>202651</v>
      </c>
      <c r="J951">
        <v>1083559980</v>
      </c>
      <c r="K951" t="s">
        <v>23</v>
      </c>
      <c r="L951" t="s">
        <v>252</v>
      </c>
      <c r="M951" t="s">
        <v>253</v>
      </c>
      <c r="N951" t="s">
        <v>35</v>
      </c>
      <c r="O951" t="s">
        <v>26</v>
      </c>
      <c r="P951" t="s">
        <v>27</v>
      </c>
      <c r="Q951" t="s">
        <v>28</v>
      </c>
      <c r="R951" t="s">
        <v>29</v>
      </c>
      <c r="S951" t="s">
        <v>30</v>
      </c>
      <c r="T951">
        <v>1012389748</v>
      </c>
      <c r="U951" t="s">
        <v>3948</v>
      </c>
      <c r="V951" t="s">
        <v>3937</v>
      </c>
      <c r="W951" s="9">
        <f>IF(V951="pregrado",31,
IF(V951="posgrados",31,
IF(V951="rEINTEGROS",7,
IF(V951="BIT",90,
IF(V951="OP GRADO - INGLÉS",17,"")))))</f>
        <v>31</v>
      </c>
      <c r="X951" t="s">
        <v>4065</v>
      </c>
    </row>
    <row r="952" spans="1:24" ht="15" x14ac:dyDescent="0.35">
      <c r="A952" s="4">
        <v>46079.754374999997</v>
      </c>
      <c r="B952">
        <v>20126686</v>
      </c>
      <c r="C952" s="6" t="s">
        <v>19</v>
      </c>
      <c r="D952">
        <v>165675</v>
      </c>
      <c r="E952" t="s">
        <v>43</v>
      </c>
      <c r="F952">
        <v>1075222185</v>
      </c>
      <c r="G952" t="s">
        <v>3699</v>
      </c>
      <c r="H952">
        <v>100137475</v>
      </c>
      <c r="I952">
        <v>202651</v>
      </c>
      <c r="J952">
        <v>1075222185</v>
      </c>
      <c r="K952" t="s">
        <v>46</v>
      </c>
      <c r="L952" t="s">
        <v>252</v>
      </c>
      <c r="M952" t="s">
        <v>253</v>
      </c>
      <c r="N952" t="s">
        <v>35</v>
      </c>
      <c r="O952" t="s">
        <v>26</v>
      </c>
      <c r="P952" t="s">
        <v>27</v>
      </c>
      <c r="Q952" t="s">
        <v>28</v>
      </c>
      <c r="R952" t="s">
        <v>29</v>
      </c>
      <c r="S952" t="s">
        <v>30</v>
      </c>
      <c r="T952">
        <v>1073673268</v>
      </c>
      <c r="U952" t="s">
        <v>3948</v>
      </c>
      <c r="V952" t="s">
        <v>3937</v>
      </c>
      <c r="W952" s="9">
        <f>IF(V952="pregrado",31,
IF(V952="posgrados",31,
IF(V952="rEINTEGROS",7,
IF(V952="BIT",90,
IF(V952="OP GRADO - INGLÉS",17,"")))))</f>
        <v>31</v>
      </c>
      <c r="X952" t="s">
        <v>4080</v>
      </c>
    </row>
    <row r="953" spans="1:24" ht="15" x14ac:dyDescent="0.35">
      <c r="A953" s="4">
        <v>46028.513819444444</v>
      </c>
      <c r="B953">
        <v>20111165</v>
      </c>
      <c r="C953" s="6" t="s">
        <v>19</v>
      </c>
      <c r="D953">
        <v>165676</v>
      </c>
      <c r="E953" t="s">
        <v>43</v>
      </c>
      <c r="F953">
        <v>1003949581</v>
      </c>
      <c r="G953" t="s">
        <v>1515</v>
      </c>
      <c r="H953">
        <v>100240462</v>
      </c>
      <c r="I953">
        <v>202641</v>
      </c>
      <c r="J953">
        <v>1003949581</v>
      </c>
      <c r="K953" t="s">
        <v>23</v>
      </c>
      <c r="L953" t="s">
        <v>72</v>
      </c>
      <c r="M953" t="s">
        <v>47</v>
      </c>
      <c r="N953" t="s">
        <v>35</v>
      </c>
      <c r="O953" t="s">
        <v>26</v>
      </c>
      <c r="P953" t="s">
        <v>27</v>
      </c>
      <c r="Q953" t="s">
        <v>28</v>
      </c>
      <c r="R953" t="s">
        <v>29</v>
      </c>
      <c r="S953" t="s">
        <v>30</v>
      </c>
      <c r="T953">
        <v>1033784244</v>
      </c>
      <c r="U953" t="s">
        <v>3948</v>
      </c>
      <c r="V953" t="s">
        <v>3937</v>
      </c>
      <c r="W953" s="9">
        <f>IF(V953="pregrado",31,
IF(V953="posgrados",31,
IF(V953="rEINTEGROS",7,
IF(V953="BIT",90,
IF(V953="OP GRADO - INGLÉS",17,"")))))</f>
        <v>31</v>
      </c>
      <c r="X953" t="s">
        <v>4067</v>
      </c>
    </row>
    <row r="954" spans="1:24" ht="15" x14ac:dyDescent="0.35">
      <c r="A954" s="4">
        <v>46028.453217592592</v>
      </c>
      <c r="B954">
        <v>20111139</v>
      </c>
      <c r="C954" s="6" t="s">
        <v>19</v>
      </c>
      <c r="D954">
        <v>165677</v>
      </c>
      <c r="E954" t="s">
        <v>43</v>
      </c>
      <c r="F954">
        <v>1192810774</v>
      </c>
      <c r="G954" t="s">
        <v>1512</v>
      </c>
      <c r="H954">
        <v>100240463</v>
      </c>
      <c r="I954">
        <v>202651</v>
      </c>
      <c r="J954">
        <v>1192810774</v>
      </c>
      <c r="K954" t="s">
        <v>23</v>
      </c>
      <c r="L954" t="s">
        <v>542</v>
      </c>
      <c r="M954" t="s">
        <v>253</v>
      </c>
      <c r="N954" t="s">
        <v>35</v>
      </c>
      <c r="O954" t="s">
        <v>26</v>
      </c>
      <c r="P954" t="s">
        <v>27</v>
      </c>
      <c r="Q954" t="s">
        <v>28</v>
      </c>
      <c r="R954" t="s">
        <v>29</v>
      </c>
      <c r="S954" t="s">
        <v>30</v>
      </c>
      <c r="T954">
        <v>1070973852</v>
      </c>
      <c r="U954" t="s">
        <v>3936</v>
      </c>
      <c r="V954" t="s">
        <v>3937</v>
      </c>
      <c r="W954" s="9">
        <f>IF(V954="pregrado",31,
IF(V954="posgrados",31,
IF(V954="rEINTEGROS",7,
IF(V954="BIT",90,
IF(V954="OP GRADO - INGLÉS",17,"")))))</f>
        <v>31</v>
      </c>
      <c r="X954" t="s">
        <v>3957</v>
      </c>
    </row>
    <row r="955" spans="1:24" ht="15" x14ac:dyDescent="0.35">
      <c r="A955" s="4">
        <v>46028.63616898148</v>
      </c>
      <c r="B955">
        <v>20111242</v>
      </c>
      <c r="C955" s="6" t="s">
        <v>19</v>
      </c>
      <c r="D955">
        <v>165679</v>
      </c>
      <c r="E955" t="s">
        <v>43</v>
      </c>
      <c r="F955">
        <v>3816191</v>
      </c>
      <c r="G955" t="s">
        <v>1526</v>
      </c>
      <c r="H955">
        <v>100122201</v>
      </c>
      <c r="I955">
        <v>202651</v>
      </c>
      <c r="J955">
        <v>1049898091</v>
      </c>
      <c r="K955" t="s">
        <v>23</v>
      </c>
      <c r="L955" t="s">
        <v>252</v>
      </c>
      <c r="M955" t="s">
        <v>253</v>
      </c>
      <c r="N955" t="s">
        <v>35</v>
      </c>
      <c r="O955" t="s">
        <v>26</v>
      </c>
      <c r="P955" t="s">
        <v>27</v>
      </c>
      <c r="Q955" t="s">
        <v>28</v>
      </c>
      <c r="R955" t="s">
        <v>29</v>
      </c>
      <c r="S955" t="s">
        <v>30</v>
      </c>
      <c r="T955">
        <v>1233513889</v>
      </c>
      <c r="U955" t="s">
        <v>3948</v>
      </c>
      <c r="V955" t="s">
        <v>3937</v>
      </c>
      <c r="W955" s="9">
        <f>IF(V955="pregrado",31,
IF(V955="posgrados",31,
IF(V955="rEINTEGROS",7,
IF(V955="BIT",90,
IF(V955="OP GRADO - INGLÉS",17,"")))))</f>
        <v>31</v>
      </c>
      <c r="X955" t="s">
        <v>4035</v>
      </c>
    </row>
    <row r="956" spans="1:24" ht="15" x14ac:dyDescent="0.35">
      <c r="A956" s="4">
        <v>46030.65221064815</v>
      </c>
      <c r="B956">
        <v>20111791</v>
      </c>
      <c r="C956" s="6" t="s">
        <v>19</v>
      </c>
      <c r="D956">
        <v>165683</v>
      </c>
      <c r="E956" t="s">
        <v>43</v>
      </c>
      <c r="F956">
        <v>1059359116</v>
      </c>
      <c r="G956" t="s">
        <v>1601</v>
      </c>
      <c r="H956">
        <v>100240476</v>
      </c>
      <c r="I956">
        <v>202651</v>
      </c>
      <c r="J956">
        <v>1006999026</v>
      </c>
      <c r="K956" t="s">
        <v>23</v>
      </c>
      <c r="L956" t="s">
        <v>252</v>
      </c>
      <c r="M956" t="s">
        <v>253</v>
      </c>
      <c r="N956" t="s">
        <v>35</v>
      </c>
      <c r="O956" t="s">
        <v>26</v>
      </c>
      <c r="P956" t="s">
        <v>27</v>
      </c>
      <c r="Q956" t="s">
        <v>28</v>
      </c>
      <c r="R956" t="s">
        <v>29</v>
      </c>
      <c r="S956" t="s">
        <v>30</v>
      </c>
      <c r="T956">
        <v>1000120140</v>
      </c>
      <c r="U956" t="s">
        <v>3936</v>
      </c>
      <c r="V956" t="s">
        <v>3937</v>
      </c>
      <c r="W956" s="9">
        <f>IF(V956="pregrado",31,
IF(V956="posgrados",31,
IF(V956="rEINTEGROS",7,
IF(V956="BIT",90,
IF(V956="OP GRADO - INGLÉS",17,"")))))</f>
        <v>31</v>
      </c>
      <c r="X956" t="s">
        <v>3935</v>
      </c>
    </row>
    <row r="957" spans="1:24" ht="15" x14ac:dyDescent="0.35">
      <c r="A957" s="4">
        <v>46037.716446759259</v>
      </c>
      <c r="B957">
        <v>20113842</v>
      </c>
      <c r="C957" s="6" t="s">
        <v>19</v>
      </c>
      <c r="D957">
        <v>165686</v>
      </c>
      <c r="E957" t="s">
        <v>43</v>
      </c>
      <c r="F957">
        <v>1118869933</v>
      </c>
      <c r="G957" t="s">
        <v>1855</v>
      </c>
      <c r="H957">
        <v>100240486</v>
      </c>
      <c r="I957">
        <v>202651</v>
      </c>
      <c r="J957">
        <v>1118869933</v>
      </c>
      <c r="K957" t="s">
        <v>23</v>
      </c>
      <c r="L957" t="s">
        <v>542</v>
      </c>
      <c r="M957" t="s">
        <v>253</v>
      </c>
      <c r="N957" t="s">
        <v>35</v>
      </c>
      <c r="O957" t="s">
        <v>26</v>
      </c>
      <c r="P957" t="s">
        <v>27</v>
      </c>
      <c r="Q957" t="s">
        <v>28</v>
      </c>
      <c r="R957" t="s">
        <v>29</v>
      </c>
      <c r="S957" t="s">
        <v>30</v>
      </c>
      <c r="T957">
        <v>1000120140</v>
      </c>
      <c r="U957" t="s">
        <v>3936</v>
      </c>
      <c r="V957" t="s">
        <v>3937</v>
      </c>
      <c r="W957" s="9">
        <f>IF(V957="pregrado",31,
IF(V957="posgrados",31,
IF(V957="rEINTEGROS",7,
IF(V957="BIT",90,
IF(V957="OP GRADO - INGLÉS",17,"")))))</f>
        <v>31</v>
      </c>
      <c r="X957" t="s">
        <v>3935</v>
      </c>
    </row>
    <row r="958" spans="1:24" ht="15" x14ac:dyDescent="0.35">
      <c r="A958" s="4">
        <v>46074.494317129633</v>
      </c>
      <c r="B958">
        <v>20125515</v>
      </c>
      <c r="C958" s="6" t="s">
        <v>19</v>
      </c>
      <c r="D958">
        <v>165693</v>
      </c>
      <c r="E958" t="s">
        <v>43</v>
      </c>
      <c r="F958">
        <v>39141479</v>
      </c>
      <c r="G958" t="s">
        <v>3515</v>
      </c>
      <c r="H958">
        <v>100163297</v>
      </c>
      <c r="I958">
        <v>202641</v>
      </c>
      <c r="J958">
        <v>39141479</v>
      </c>
      <c r="K958" t="s">
        <v>89</v>
      </c>
      <c r="L958" t="s">
        <v>160</v>
      </c>
      <c r="M958" t="s">
        <v>47</v>
      </c>
      <c r="N958" t="s">
        <v>35</v>
      </c>
      <c r="O958" t="s">
        <v>26</v>
      </c>
      <c r="P958" t="s">
        <v>27</v>
      </c>
      <c r="Q958" t="s">
        <v>28</v>
      </c>
      <c r="R958" t="s">
        <v>29</v>
      </c>
      <c r="S958" t="s">
        <v>30</v>
      </c>
      <c r="T958">
        <v>1072716186</v>
      </c>
      <c r="U958" t="s">
        <v>3977</v>
      </c>
      <c r="V958" t="s">
        <v>3970</v>
      </c>
      <c r="W958" s="9">
        <f>IF(V958="pregrado",31,
IF(V958="posgrados",31,
IF(V958="rEINTEGROS",7,
IF(V958="BIT",90,
IF(V958="OP GRADO - INGLÉS",17,"")))))</f>
        <v>7</v>
      </c>
      <c r="X958" t="s">
        <v>4084</v>
      </c>
    </row>
    <row r="959" spans="1:24" ht="15" x14ac:dyDescent="0.35">
      <c r="A959" s="4">
        <v>46028.69054398148</v>
      </c>
      <c r="B959">
        <v>20111281</v>
      </c>
      <c r="C959" s="6" t="s">
        <v>19</v>
      </c>
      <c r="D959">
        <v>165698</v>
      </c>
      <c r="E959" t="s">
        <v>43</v>
      </c>
      <c r="F959">
        <v>1102821893</v>
      </c>
      <c r="G959" t="s">
        <v>1532</v>
      </c>
      <c r="H959">
        <v>100171207</v>
      </c>
      <c r="I959">
        <v>202641</v>
      </c>
      <c r="J959">
        <v>1102821893</v>
      </c>
      <c r="K959" t="s">
        <v>89</v>
      </c>
      <c r="L959" t="s">
        <v>294</v>
      </c>
      <c r="M959" t="s">
        <v>47</v>
      </c>
      <c r="N959" t="s">
        <v>35</v>
      </c>
      <c r="O959" t="s">
        <v>26</v>
      </c>
      <c r="P959" t="s">
        <v>27</v>
      </c>
      <c r="Q959" t="s">
        <v>28</v>
      </c>
      <c r="R959" t="s">
        <v>29</v>
      </c>
      <c r="S959" t="s">
        <v>30</v>
      </c>
      <c r="T959">
        <v>1019102787</v>
      </c>
      <c r="U959" t="s">
        <v>3977</v>
      </c>
      <c r="V959" t="s">
        <v>3970</v>
      </c>
      <c r="W959" s="9">
        <f>IF(V959="pregrado",31,
IF(V959="posgrados",31,
IF(V959="rEINTEGROS",7,
IF(V959="BIT",90,
IF(V959="OP GRADO - INGLÉS",17,"")))))</f>
        <v>7</v>
      </c>
      <c r="X959" t="s">
        <v>3976</v>
      </c>
    </row>
    <row r="960" spans="1:24" ht="15" x14ac:dyDescent="0.35">
      <c r="A960" s="4">
        <v>46030.50509259259</v>
      </c>
      <c r="B960">
        <v>20111699</v>
      </c>
      <c r="C960" s="6" t="s">
        <v>19</v>
      </c>
      <c r="D960">
        <v>165704</v>
      </c>
      <c r="E960" t="s">
        <v>43</v>
      </c>
      <c r="F960">
        <v>1140855413</v>
      </c>
      <c r="G960" t="s">
        <v>1581</v>
      </c>
      <c r="H960">
        <v>100240524</v>
      </c>
      <c r="I960">
        <v>202651</v>
      </c>
      <c r="J960">
        <v>1140855413</v>
      </c>
      <c r="K960" t="s">
        <v>23</v>
      </c>
      <c r="L960" t="s">
        <v>542</v>
      </c>
      <c r="M960" t="s">
        <v>253</v>
      </c>
      <c r="N960" t="s">
        <v>35</v>
      </c>
      <c r="O960" t="s">
        <v>26</v>
      </c>
      <c r="P960" t="s">
        <v>27</v>
      </c>
      <c r="Q960" t="s">
        <v>28</v>
      </c>
      <c r="R960" t="s">
        <v>29</v>
      </c>
      <c r="S960" t="s">
        <v>30</v>
      </c>
      <c r="T960">
        <v>1000120140</v>
      </c>
      <c r="U960" t="s">
        <v>3936</v>
      </c>
      <c r="V960" t="s">
        <v>3937</v>
      </c>
      <c r="W960" s="9">
        <f>IF(V960="pregrado",31,
IF(V960="posgrados",31,
IF(V960="rEINTEGROS",7,
IF(V960="BIT",90,
IF(V960="OP GRADO - INGLÉS",17,"")))))</f>
        <v>31</v>
      </c>
      <c r="X960" t="s">
        <v>3935</v>
      </c>
    </row>
    <row r="961" spans="1:24" ht="15" x14ac:dyDescent="0.35">
      <c r="A961" s="4">
        <v>46030.700613425928</v>
      </c>
      <c r="B961">
        <v>20111838</v>
      </c>
      <c r="C961" s="6" t="s">
        <v>19</v>
      </c>
      <c r="D961">
        <v>165706</v>
      </c>
      <c r="E961" t="s">
        <v>43</v>
      </c>
      <c r="F961">
        <v>1065996972</v>
      </c>
      <c r="G961" t="s">
        <v>1609</v>
      </c>
      <c r="H961">
        <v>100240526</v>
      </c>
      <c r="I961">
        <v>202641</v>
      </c>
      <c r="J961">
        <v>1065996972</v>
      </c>
      <c r="K961" t="s">
        <v>23</v>
      </c>
      <c r="L961" t="s">
        <v>59</v>
      </c>
      <c r="M961" t="s">
        <v>47</v>
      </c>
      <c r="N961" t="s">
        <v>35</v>
      </c>
      <c r="O961" t="s">
        <v>26</v>
      </c>
      <c r="P961" t="s">
        <v>27</v>
      </c>
      <c r="Q961" t="s">
        <v>28</v>
      </c>
      <c r="R961" t="s">
        <v>29</v>
      </c>
      <c r="S961" t="s">
        <v>30</v>
      </c>
      <c r="T961">
        <v>1000120140</v>
      </c>
      <c r="U961" t="s">
        <v>3936</v>
      </c>
      <c r="V961" t="s">
        <v>3937</v>
      </c>
      <c r="W961" s="9">
        <f>IF(V961="pregrado",31,
IF(V961="posgrados",31,
IF(V961="rEINTEGROS",7,
IF(V961="BIT",90,
IF(V961="OP GRADO - INGLÉS",17,"")))))</f>
        <v>31</v>
      </c>
      <c r="X961" t="s">
        <v>3935</v>
      </c>
    </row>
    <row r="962" spans="1:24" ht="15" x14ac:dyDescent="0.35">
      <c r="A962" s="4">
        <v>46035.509641203702</v>
      </c>
      <c r="B962">
        <v>20112548</v>
      </c>
      <c r="C962" s="6" t="s">
        <v>19</v>
      </c>
      <c r="D962">
        <v>165718</v>
      </c>
      <c r="E962" t="s">
        <v>43</v>
      </c>
      <c r="F962">
        <v>1067939191</v>
      </c>
      <c r="G962" t="s">
        <v>1697</v>
      </c>
      <c r="H962">
        <v>100185818</v>
      </c>
      <c r="I962">
        <v>202641</v>
      </c>
      <c r="J962">
        <v>1067939191</v>
      </c>
      <c r="K962" t="s">
        <v>23</v>
      </c>
      <c r="L962" t="s">
        <v>59</v>
      </c>
      <c r="M962" t="s">
        <v>47</v>
      </c>
      <c r="N962" t="s">
        <v>35</v>
      </c>
      <c r="O962" t="s">
        <v>26</v>
      </c>
      <c r="P962" t="s">
        <v>27</v>
      </c>
      <c r="Q962" t="s">
        <v>28</v>
      </c>
      <c r="R962" t="s">
        <v>29</v>
      </c>
      <c r="S962" t="s">
        <v>30</v>
      </c>
      <c r="T962">
        <v>1233888787</v>
      </c>
      <c r="U962" t="s">
        <v>3936</v>
      </c>
      <c r="V962" t="s">
        <v>3937</v>
      </c>
      <c r="W962" s="9">
        <f>IF(V962="pregrado",31,
IF(V962="posgrados",31,
IF(V962="rEINTEGROS",7,
IF(V962="BIT",90,
IF(V962="OP GRADO - INGLÉS",17,"")))))</f>
        <v>31</v>
      </c>
      <c r="X962" t="s">
        <v>3998</v>
      </c>
    </row>
    <row r="963" spans="1:24" ht="15" x14ac:dyDescent="0.35">
      <c r="A963" s="4">
        <v>46029.487372685187</v>
      </c>
      <c r="B963">
        <v>20111413</v>
      </c>
      <c r="C963" s="6" t="s">
        <v>19</v>
      </c>
      <c r="D963">
        <v>165719</v>
      </c>
      <c r="E963" t="s">
        <v>43</v>
      </c>
      <c r="F963">
        <v>1082992911</v>
      </c>
      <c r="G963" t="s">
        <v>1551</v>
      </c>
      <c r="H963">
        <v>100240548</v>
      </c>
      <c r="I963">
        <v>202651</v>
      </c>
      <c r="J963">
        <v>1082992911</v>
      </c>
      <c r="K963" t="s">
        <v>23</v>
      </c>
      <c r="L963" t="s">
        <v>252</v>
      </c>
      <c r="M963" t="s">
        <v>253</v>
      </c>
      <c r="N963" t="s">
        <v>35</v>
      </c>
      <c r="O963" t="s">
        <v>26</v>
      </c>
      <c r="P963" t="s">
        <v>27</v>
      </c>
      <c r="Q963" t="s">
        <v>28</v>
      </c>
      <c r="R963" t="s">
        <v>29</v>
      </c>
      <c r="S963" t="s">
        <v>30</v>
      </c>
      <c r="T963">
        <v>1233888787</v>
      </c>
      <c r="U963" t="s">
        <v>3936</v>
      </c>
      <c r="V963" t="s">
        <v>3937</v>
      </c>
      <c r="W963" s="9">
        <f>IF(V963="pregrado",31,
IF(V963="posgrados",31,
IF(V963="rEINTEGROS",7,
IF(V963="BIT",90,
IF(V963="OP GRADO - INGLÉS",17,"")))))</f>
        <v>31</v>
      </c>
      <c r="X963" t="s">
        <v>3998</v>
      </c>
    </row>
    <row r="964" spans="1:24" ht="15" x14ac:dyDescent="0.35">
      <c r="A964" s="4">
        <v>46030.6952662037</v>
      </c>
      <c r="B964">
        <v>20111835</v>
      </c>
      <c r="C964" s="6" t="s">
        <v>19</v>
      </c>
      <c r="D964">
        <v>165729</v>
      </c>
      <c r="E964" t="s">
        <v>43</v>
      </c>
      <c r="F964">
        <v>78295137</v>
      </c>
      <c r="G964" t="s">
        <v>1608</v>
      </c>
      <c r="H964">
        <v>100020919</v>
      </c>
      <c r="I964">
        <v>202651</v>
      </c>
      <c r="J964">
        <v>25990924</v>
      </c>
      <c r="K964" t="s">
        <v>23</v>
      </c>
      <c r="L964" t="s">
        <v>252</v>
      </c>
      <c r="M964" t="s">
        <v>253</v>
      </c>
      <c r="N964" t="s">
        <v>35</v>
      </c>
      <c r="O964" t="s">
        <v>26</v>
      </c>
      <c r="P964" t="s">
        <v>27</v>
      </c>
      <c r="Q964" t="s">
        <v>28</v>
      </c>
      <c r="R964" t="s">
        <v>29</v>
      </c>
      <c r="S964" t="s">
        <v>30</v>
      </c>
      <c r="T964">
        <v>1012389748</v>
      </c>
      <c r="U964" t="s">
        <v>3948</v>
      </c>
      <c r="V964" t="s">
        <v>3937</v>
      </c>
      <c r="W964" s="9">
        <f>IF(V964="pregrado",31,
IF(V964="posgrados",31,
IF(V964="rEINTEGROS",7,
IF(V964="BIT",90,
IF(V964="OP GRADO - INGLÉS",17,"")))))</f>
        <v>31</v>
      </c>
      <c r="X964" t="s">
        <v>4065</v>
      </c>
    </row>
    <row r="965" spans="1:24" ht="15" x14ac:dyDescent="0.35">
      <c r="A965" s="4">
        <v>46028.533622685187</v>
      </c>
      <c r="B965">
        <v>20111177</v>
      </c>
      <c r="C965" s="6" t="s">
        <v>19</v>
      </c>
      <c r="D965">
        <v>165741</v>
      </c>
      <c r="E965" t="s">
        <v>43</v>
      </c>
      <c r="F965">
        <v>11803640</v>
      </c>
      <c r="G965" t="s">
        <v>1517</v>
      </c>
      <c r="H965">
        <v>100240581</v>
      </c>
      <c r="I965">
        <v>202651</v>
      </c>
      <c r="J965">
        <v>11803640</v>
      </c>
      <c r="K965" t="s">
        <v>23</v>
      </c>
      <c r="L965" t="s">
        <v>252</v>
      </c>
      <c r="M965" t="s">
        <v>253</v>
      </c>
      <c r="N965" t="s">
        <v>35</v>
      </c>
      <c r="O965" t="s">
        <v>26</v>
      </c>
      <c r="P965" t="s">
        <v>27</v>
      </c>
      <c r="Q965" t="s">
        <v>28</v>
      </c>
      <c r="R965" t="s">
        <v>29</v>
      </c>
      <c r="S965" t="s">
        <v>30</v>
      </c>
      <c r="T965">
        <v>1016030683</v>
      </c>
      <c r="U965" t="s">
        <v>3936</v>
      </c>
      <c r="V965" t="s">
        <v>3937</v>
      </c>
      <c r="W965" s="9">
        <f>IF(V965="pregrado",31,
IF(V965="posgrados",31,
IF(V965="rEINTEGROS",7,
IF(V965="BIT",90,
IF(V965="OP GRADO - INGLÉS",17,"")))))</f>
        <v>31</v>
      </c>
      <c r="X965" t="s">
        <v>3992</v>
      </c>
    </row>
    <row r="966" spans="1:24" ht="15" x14ac:dyDescent="0.35">
      <c r="A966" s="4">
        <v>46028.507743055554</v>
      </c>
      <c r="B966">
        <v>20111164</v>
      </c>
      <c r="C966" s="6" t="s">
        <v>19</v>
      </c>
      <c r="D966">
        <v>165743</v>
      </c>
      <c r="E966" t="s">
        <v>43</v>
      </c>
      <c r="F966">
        <v>11810817</v>
      </c>
      <c r="G966" t="s">
        <v>1514</v>
      </c>
      <c r="H966">
        <v>100173383</v>
      </c>
      <c r="I966">
        <v>202651</v>
      </c>
      <c r="J966">
        <v>11810817</v>
      </c>
      <c r="K966" t="s">
        <v>46</v>
      </c>
      <c r="L966" t="s">
        <v>252</v>
      </c>
      <c r="M966" t="s">
        <v>253</v>
      </c>
      <c r="N966" t="s">
        <v>35</v>
      </c>
      <c r="O966" t="s">
        <v>26</v>
      </c>
      <c r="P966" t="s">
        <v>27</v>
      </c>
      <c r="Q966" t="s">
        <v>28</v>
      </c>
      <c r="R966" t="s">
        <v>29</v>
      </c>
      <c r="S966" t="s">
        <v>30</v>
      </c>
      <c r="T966">
        <v>1033781417</v>
      </c>
      <c r="U966" t="s">
        <v>3948</v>
      </c>
      <c r="V966" t="s">
        <v>3937</v>
      </c>
      <c r="W966" s="9">
        <f>IF(V966="pregrado",31,
IF(V966="posgrados",31,
IF(V966="rEINTEGROS",7,
IF(V966="BIT",90,
IF(V966="OP GRADO - INGLÉS",17,"")))))</f>
        <v>31</v>
      </c>
      <c r="X966" t="s">
        <v>4031</v>
      </c>
    </row>
    <row r="967" spans="1:24" ht="15" x14ac:dyDescent="0.35">
      <c r="A967" s="4">
        <v>46031.393321759257</v>
      </c>
      <c r="B967">
        <v>20111953</v>
      </c>
      <c r="C967" s="6" t="s">
        <v>19</v>
      </c>
      <c r="D967">
        <v>165755</v>
      </c>
      <c r="E967" t="s">
        <v>43</v>
      </c>
      <c r="F967">
        <v>33204585</v>
      </c>
      <c r="G967" t="s">
        <v>1623</v>
      </c>
      <c r="H967">
        <v>100240605</v>
      </c>
      <c r="I967">
        <v>202651</v>
      </c>
      <c r="J967">
        <v>1052993243</v>
      </c>
      <c r="K967" t="s">
        <v>23</v>
      </c>
      <c r="L967" t="s">
        <v>252</v>
      </c>
      <c r="M967" t="s">
        <v>253</v>
      </c>
      <c r="N967" t="s">
        <v>35</v>
      </c>
      <c r="O967" t="s">
        <v>26</v>
      </c>
      <c r="P967" t="s">
        <v>27</v>
      </c>
      <c r="Q967" t="s">
        <v>28</v>
      </c>
      <c r="R967" t="s">
        <v>29</v>
      </c>
      <c r="S967" t="s">
        <v>30</v>
      </c>
      <c r="T967">
        <v>1022407392</v>
      </c>
      <c r="U967" t="s">
        <v>3936</v>
      </c>
      <c r="V967" t="s">
        <v>3937</v>
      </c>
      <c r="W967" s="9">
        <f>IF(V967="pregrado",31,
IF(V967="posgrados",31,
IF(V967="rEINTEGROS",7,
IF(V967="BIT",90,
IF(V967="OP GRADO - INGLÉS",17,"")))))</f>
        <v>31</v>
      </c>
      <c r="X967" t="s">
        <v>3975</v>
      </c>
    </row>
    <row r="968" spans="1:24" ht="15" x14ac:dyDescent="0.35">
      <c r="A968" s="4">
        <v>46029.371631944443</v>
      </c>
      <c r="B968">
        <v>20111348</v>
      </c>
      <c r="C968" s="6" t="s">
        <v>19</v>
      </c>
      <c r="D968">
        <v>165757</v>
      </c>
      <c r="E968" t="s">
        <v>43</v>
      </c>
      <c r="F968">
        <v>8764390</v>
      </c>
      <c r="G968" t="s">
        <v>1542</v>
      </c>
      <c r="H968">
        <v>100240610</v>
      </c>
      <c r="I968">
        <v>202641</v>
      </c>
      <c r="J968">
        <v>1028025312</v>
      </c>
      <c r="K968" t="s">
        <v>23</v>
      </c>
      <c r="L968" t="s">
        <v>160</v>
      </c>
      <c r="M968" t="s">
        <v>47</v>
      </c>
      <c r="N968" t="s">
        <v>35</v>
      </c>
      <c r="O968" t="s">
        <v>26</v>
      </c>
      <c r="P968" t="s">
        <v>27</v>
      </c>
      <c r="Q968" t="s">
        <v>28</v>
      </c>
      <c r="R968" t="s">
        <v>29</v>
      </c>
      <c r="S968" t="s">
        <v>30</v>
      </c>
      <c r="T968">
        <v>1082250716</v>
      </c>
      <c r="U968" t="s">
        <v>3936</v>
      </c>
      <c r="V968" t="s">
        <v>3937</v>
      </c>
      <c r="W968" s="9">
        <f>IF(V968="pregrado",31,
IF(V968="posgrados",31,
IF(V968="rEINTEGROS",7,
IF(V968="BIT",90,
IF(V968="OP GRADO - INGLÉS",17,"")))))</f>
        <v>31</v>
      </c>
      <c r="X968" t="s">
        <v>3997</v>
      </c>
    </row>
    <row r="969" spans="1:24" ht="15" x14ac:dyDescent="0.35">
      <c r="A969" s="4">
        <v>46045.512499999997</v>
      </c>
      <c r="B969">
        <v>20116550</v>
      </c>
      <c r="C969" s="6" t="s">
        <v>19</v>
      </c>
      <c r="D969">
        <v>165760</v>
      </c>
      <c r="E969" t="s">
        <v>43</v>
      </c>
      <c r="F969">
        <v>39047317</v>
      </c>
      <c r="G969" t="s">
        <v>2229</v>
      </c>
      <c r="H969">
        <v>100240616</v>
      </c>
      <c r="I969">
        <v>202651</v>
      </c>
      <c r="J969">
        <v>39047317</v>
      </c>
      <c r="K969" t="s">
        <v>23</v>
      </c>
      <c r="L969" t="s">
        <v>252</v>
      </c>
      <c r="M969" t="s">
        <v>253</v>
      </c>
      <c r="N969" t="s">
        <v>35</v>
      </c>
      <c r="O969" t="s">
        <v>26</v>
      </c>
      <c r="P969" t="s">
        <v>27</v>
      </c>
      <c r="Q969" t="s">
        <v>28</v>
      </c>
      <c r="R969" t="s">
        <v>29</v>
      </c>
      <c r="S969" t="s">
        <v>30</v>
      </c>
      <c r="T969">
        <v>1070973852</v>
      </c>
      <c r="U969" t="s">
        <v>3936</v>
      </c>
      <c r="V969" t="s">
        <v>3937</v>
      </c>
      <c r="W969" s="9">
        <f>IF(V969="pregrado",31,
IF(V969="posgrados",31,
IF(V969="rEINTEGROS",7,
IF(V969="BIT",90,
IF(V969="OP GRADO - INGLÉS",17,"")))))</f>
        <v>31</v>
      </c>
      <c r="X969" t="s">
        <v>3957</v>
      </c>
    </row>
    <row r="970" spans="1:24" ht="15" x14ac:dyDescent="0.35">
      <c r="A970" s="4">
        <v>46030.753148148149</v>
      </c>
      <c r="B970">
        <v>20111879</v>
      </c>
      <c r="C970" s="6" t="s">
        <v>19</v>
      </c>
      <c r="D970">
        <v>165761</v>
      </c>
      <c r="E970" t="s">
        <v>43</v>
      </c>
      <c r="F970">
        <v>1061738647</v>
      </c>
      <c r="G970" t="s">
        <v>1614</v>
      </c>
      <c r="H970">
        <v>100240617</v>
      </c>
      <c r="I970">
        <v>202651</v>
      </c>
      <c r="J970">
        <v>1061738647</v>
      </c>
      <c r="K970" t="s">
        <v>23</v>
      </c>
      <c r="L970" t="s">
        <v>252</v>
      </c>
      <c r="M970" t="s">
        <v>253</v>
      </c>
      <c r="N970" t="s">
        <v>35</v>
      </c>
      <c r="O970" t="s">
        <v>26</v>
      </c>
      <c r="P970" t="s">
        <v>27</v>
      </c>
      <c r="Q970" t="s">
        <v>28</v>
      </c>
      <c r="R970" t="s">
        <v>29</v>
      </c>
      <c r="S970" t="s">
        <v>30</v>
      </c>
      <c r="T970">
        <v>1012389748</v>
      </c>
      <c r="U970" t="s">
        <v>3948</v>
      </c>
      <c r="V970" t="s">
        <v>3937</v>
      </c>
      <c r="W970" s="9">
        <f>IF(V970="pregrado",31,
IF(V970="posgrados",31,
IF(V970="rEINTEGROS",7,
IF(V970="BIT",90,
IF(V970="OP GRADO - INGLÉS",17,"")))))</f>
        <v>31</v>
      </c>
      <c r="X970" t="s">
        <v>4065</v>
      </c>
    </row>
    <row r="971" spans="1:24" ht="15" x14ac:dyDescent="0.35">
      <c r="A971" s="4">
        <v>46076.567997685182</v>
      </c>
      <c r="B971">
        <v>20125673</v>
      </c>
      <c r="C971" s="6" t="s">
        <v>19</v>
      </c>
      <c r="D971">
        <v>165764</v>
      </c>
      <c r="E971" t="s">
        <v>43</v>
      </c>
      <c r="F971">
        <v>1005438313</v>
      </c>
      <c r="G971" t="s">
        <v>3546</v>
      </c>
      <c r="H971">
        <v>100240622</v>
      </c>
      <c r="I971">
        <v>202641</v>
      </c>
      <c r="J971">
        <v>1005438313</v>
      </c>
      <c r="K971" t="s">
        <v>23</v>
      </c>
      <c r="L971" t="s">
        <v>59</v>
      </c>
      <c r="M971" t="s">
        <v>47</v>
      </c>
      <c r="N971" t="s">
        <v>35</v>
      </c>
      <c r="O971" t="s">
        <v>26</v>
      </c>
      <c r="P971" t="s">
        <v>27</v>
      </c>
      <c r="Q971" t="s">
        <v>28</v>
      </c>
      <c r="R971" t="s">
        <v>29</v>
      </c>
      <c r="S971" t="s">
        <v>30</v>
      </c>
      <c r="T971">
        <v>1193146767</v>
      </c>
      <c r="U971" t="s">
        <v>3936</v>
      </c>
      <c r="V971" t="s">
        <v>3937</v>
      </c>
      <c r="W971" s="9">
        <f>IF(V971="pregrado",31,
IF(V971="posgrados",31,
IF(V971="rEINTEGROS",7,
IF(V971="BIT",90,
IF(V971="OP GRADO - INGLÉS",17,"")))))</f>
        <v>31</v>
      </c>
      <c r="X971" t="s">
        <v>4072</v>
      </c>
    </row>
    <row r="972" spans="1:24" ht="15" x14ac:dyDescent="0.35">
      <c r="A972" s="4">
        <v>46035.754965277774</v>
      </c>
      <c r="B972">
        <v>20112771</v>
      </c>
      <c r="C972" s="6" t="s">
        <v>19</v>
      </c>
      <c r="D972">
        <v>165765</v>
      </c>
      <c r="E972" t="s">
        <v>43</v>
      </c>
      <c r="F972">
        <v>27887867</v>
      </c>
      <c r="G972" t="s">
        <v>1722</v>
      </c>
      <c r="H972">
        <v>100108324</v>
      </c>
      <c r="I972">
        <v>202651</v>
      </c>
      <c r="J972">
        <v>1091183160</v>
      </c>
      <c r="K972" t="s">
        <v>46</v>
      </c>
      <c r="L972" t="s">
        <v>252</v>
      </c>
      <c r="M972" t="s">
        <v>253</v>
      </c>
      <c r="N972" t="s">
        <v>35</v>
      </c>
      <c r="O972" t="s">
        <v>26</v>
      </c>
      <c r="P972" t="s">
        <v>27</v>
      </c>
      <c r="Q972" t="s">
        <v>28</v>
      </c>
      <c r="R972" t="s">
        <v>29</v>
      </c>
      <c r="S972" t="s">
        <v>30</v>
      </c>
      <c r="T972">
        <v>1015401969</v>
      </c>
      <c r="U972" t="s">
        <v>3936</v>
      </c>
      <c r="V972" t="s">
        <v>3937</v>
      </c>
      <c r="W972" s="9">
        <f>IF(V972="pregrado",31,
IF(V972="posgrados",31,
IF(V972="rEINTEGROS",7,
IF(V972="BIT",90,
IF(V972="OP GRADO - INGLÉS",17,"")))))</f>
        <v>31</v>
      </c>
      <c r="X972" t="s">
        <v>3945</v>
      </c>
    </row>
    <row r="973" spans="1:24" ht="15" x14ac:dyDescent="0.35">
      <c r="A973" s="4">
        <v>46028.669525462959</v>
      </c>
      <c r="B973">
        <v>20111266</v>
      </c>
      <c r="C973" s="6" t="s">
        <v>19</v>
      </c>
      <c r="D973">
        <v>165766</v>
      </c>
      <c r="E973" t="s">
        <v>43</v>
      </c>
      <c r="F973">
        <v>33647085</v>
      </c>
      <c r="G973" t="s">
        <v>1529</v>
      </c>
      <c r="H973">
        <v>100066817</v>
      </c>
      <c r="I973">
        <v>202651</v>
      </c>
      <c r="J973">
        <v>33647085</v>
      </c>
      <c r="K973" t="s">
        <v>46</v>
      </c>
      <c r="L973" t="s">
        <v>252</v>
      </c>
      <c r="M973" t="s">
        <v>253</v>
      </c>
      <c r="N973" t="s">
        <v>35</v>
      </c>
      <c r="O973" t="s">
        <v>26</v>
      </c>
      <c r="P973" t="s">
        <v>27</v>
      </c>
      <c r="Q973" t="s">
        <v>28</v>
      </c>
      <c r="R973" t="s">
        <v>29</v>
      </c>
      <c r="S973" t="s">
        <v>30</v>
      </c>
      <c r="T973">
        <v>1020754225</v>
      </c>
      <c r="U973" t="s">
        <v>3948</v>
      </c>
      <c r="V973" t="s">
        <v>3937</v>
      </c>
      <c r="W973" s="9">
        <f>IF(V973="pregrado",31,
IF(V973="posgrados",31,
IF(V973="rEINTEGROS",7,
IF(V973="BIT",90,
IF(V973="OP GRADO - INGLÉS",17,"")))))</f>
        <v>31</v>
      </c>
      <c r="X973" t="s">
        <v>3981</v>
      </c>
    </row>
    <row r="974" spans="1:24" ht="15" x14ac:dyDescent="0.35">
      <c r="A974" s="4">
        <v>46028.830879629626</v>
      </c>
      <c r="B974">
        <v>20111329</v>
      </c>
      <c r="C974" s="6" t="s">
        <v>19</v>
      </c>
      <c r="D974">
        <v>165776</v>
      </c>
      <c r="E974" t="s">
        <v>43</v>
      </c>
      <c r="F974">
        <v>42085048</v>
      </c>
      <c r="G974" t="s">
        <v>1539</v>
      </c>
      <c r="H974">
        <v>100240654</v>
      </c>
      <c r="I974">
        <v>202651</v>
      </c>
      <c r="J974">
        <v>1088290291</v>
      </c>
      <c r="K974" t="s">
        <v>23</v>
      </c>
      <c r="L974" t="s">
        <v>252</v>
      </c>
      <c r="M974" t="s">
        <v>253</v>
      </c>
      <c r="N974" t="s">
        <v>35</v>
      </c>
      <c r="O974" t="s">
        <v>26</v>
      </c>
      <c r="P974" t="s">
        <v>27</v>
      </c>
      <c r="Q974" t="s">
        <v>28</v>
      </c>
      <c r="R974" t="s">
        <v>29</v>
      </c>
      <c r="S974" t="s">
        <v>30</v>
      </c>
      <c r="T974">
        <v>1075542872</v>
      </c>
      <c r="U974" t="s">
        <v>3948</v>
      </c>
      <c r="V974" t="s">
        <v>3937</v>
      </c>
      <c r="W974" s="9">
        <f>IF(V974="pregrado",31,
IF(V974="posgrados",31,
IF(V974="rEINTEGROS",7,
IF(V974="BIT",90,
IF(V974="OP GRADO - INGLÉS",17,"")))))</f>
        <v>31</v>
      </c>
      <c r="X974" t="s">
        <v>3974</v>
      </c>
    </row>
    <row r="975" spans="1:24" ht="15" x14ac:dyDescent="0.35">
      <c r="A975" s="4">
        <v>46035.724722222221</v>
      </c>
      <c r="B975">
        <v>20112739</v>
      </c>
      <c r="C975" s="6" t="s">
        <v>19</v>
      </c>
      <c r="D975">
        <v>165778</v>
      </c>
      <c r="E975" t="s">
        <v>43</v>
      </c>
      <c r="F975">
        <v>1030696833</v>
      </c>
      <c r="G975" t="s">
        <v>1717</v>
      </c>
      <c r="H975">
        <v>100240663</v>
      </c>
      <c r="I975">
        <v>202651</v>
      </c>
      <c r="J975">
        <v>1030696833</v>
      </c>
      <c r="K975" t="s">
        <v>23</v>
      </c>
      <c r="L975" t="s">
        <v>252</v>
      </c>
      <c r="M975" t="s">
        <v>253</v>
      </c>
      <c r="N975" t="s">
        <v>35</v>
      </c>
      <c r="O975" t="s">
        <v>26</v>
      </c>
      <c r="P975" t="s">
        <v>27</v>
      </c>
      <c r="Q975" t="s">
        <v>28</v>
      </c>
      <c r="R975" t="s">
        <v>29</v>
      </c>
      <c r="S975" t="s">
        <v>30</v>
      </c>
      <c r="T975">
        <v>1020754225</v>
      </c>
      <c r="U975" t="s">
        <v>3948</v>
      </c>
      <c r="V975" t="s">
        <v>3937</v>
      </c>
      <c r="W975" s="9">
        <f>IF(V975="pregrado",31,
IF(V975="posgrados",31,
IF(V975="rEINTEGROS",7,
IF(V975="BIT",90,
IF(V975="OP GRADO - INGLÉS",17,"")))))</f>
        <v>31</v>
      </c>
      <c r="X975" t="s">
        <v>3981</v>
      </c>
    </row>
    <row r="976" spans="1:24" ht="15" x14ac:dyDescent="0.35">
      <c r="A976" s="4">
        <v>46049.590474537035</v>
      </c>
      <c r="B976">
        <v>20117575</v>
      </c>
      <c r="C976" s="6" t="s">
        <v>19</v>
      </c>
      <c r="D976">
        <v>165797</v>
      </c>
      <c r="E976" t="s">
        <v>43</v>
      </c>
      <c r="F976">
        <v>1002212214</v>
      </c>
      <c r="G976" t="s">
        <v>2347</v>
      </c>
      <c r="H976">
        <v>100155109</v>
      </c>
      <c r="I976">
        <v>202641</v>
      </c>
      <c r="J976">
        <v>1002212214</v>
      </c>
      <c r="K976" t="s">
        <v>46</v>
      </c>
      <c r="L976" t="s">
        <v>140</v>
      </c>
      <c r="M976" t="s">
        <v>47</v>
      </c>
      <c r="N976" t="s">
        <v>35</v>
      </c>
      <c r="O976" t="s">
        <v>26</v>
      </c>
      <c r="P976" t="s">
        <v>27</v>
      </c>
      <c r="Q976" t="s">
        <v>28</v>
      </c>
      <c r="R976" t="s">
        <v>29</v>
      </c>
      <c r="S976" t="s">
        <v>30</v>
      </c>
      <c r="T976">
        <v>1019068131</v>
      </c>
      <c r="U976" t="s">
        <v>3948</v>
      </c>
      <c r="V976" t="s">
        <v>3937</v>
      </c>
      <c r="W976" s="9">
        <f>IF(V976="pregrado",31,
IF(V976="posgrados",31,
IF(V976="rEINTEGROS",7,
IF(V976="BIT",90,
IF(V976="OP GRADO - INGLÉS",17,"")))))</f>
        <v>31</v>
      </c>
      <c r="X976" t="s">
        <v>4066</v>
      </c>
    </row>
    <row r="977" spans="1:24" ht="15" x14ac:dyDescent="0.35">
      <c r="A977" s="4">
        <v>46029.630752314813</v>
      </c>
      <c r="B977">
        <v>20111509</v>
      </c>
      <c r="C977" s="6" t="s">
        <v>19</v>
      </c>
      <c r="D977">
        <v>165802</v>
      </c>
      <c r="E977" t="s">
        <v>43</v>
      </c>
      <c r="F977">
        <v>1117550842</v>
      </c>
      <c r="G977" t="s">
        <v>1562</v>
      </c>
      <c r="H977">
        <v>100240710</v>
      </c>
      <c r="I977">
        <v>202651</v>
      </c>
      <c r="J977">
        <v>1117550842</v>
      </c>
      <c r="K977" t="s">
        <v>23</v>
      </c>
      <c r="L977" t="s">
        <v>252</v>
      </c>
      <c r="M977" t="s">
        <v>253</v>
      </c>
      <c r="N977" t="s">
        <v>35</v>
      </c>
      <c r="O977" t="s">
        <v>26</v>
      </c>
      <c r="P977" t="s">
        <v>27</v>
      </c>
      <c r="Q977" t="s">
        <v>28</v>
      </c>
      <c r="R977" t="s">
        <v>29</v>
      </c>
      <c r="S977" t="s">
        <v>30</v>
      </c>
      <c r="T977">
        <v>1075542872</v>
      </c>
      <c r="U977" t="s">
        <v>3948</v>
      </c>
      <c r="V977" t="s">
        <v>3937</v>
      </c>
      <c r="W977" s="9">
        <f>IF(V977="pregrado",31,
IF(V977="posgrados",31,
IF(V977="rEINTEGROS",7,
IF(V977="BIT",90,
IF(V977="OP GRADO - INGLÉS",17,"")))))</f>
        <v>31</v>
      </c>
      <c r="X977" t="s">
        <v>3974</v>
      </c>
    </row>
    <row r="978" spans="1:24" ht="15" x14ac:dyDescent="0.35">
      <c r="A978" s="4">
        <v>46034.650833333333</v>
      </c>
      <c r="B978">
        <v>20112369</v>
      </c>
      <c r="C978" s="6" t="s">
        <v>19</v>
      </c>
      <c r="D978">
        <v>165811</v>
      </c>
      <c r="E978" t="s">
        <v>43</v>
      </c>
      <c r="F978">
        <v>1116444292</v>
      </c>
      <c r="G978" t="s">
        <v>1684</v>
      </c>
      <c r="H978">
        <v>100240735</v>
      </c>
      <c r="I978">
        <v>202641</v>
      </c>
      <c r="J978">
        <v>1116444292</v>
      </c>
      <c r="K978" t="s">
        <v>23</v>
      </c>
      <c r="L978" t="s">
        <v>279</v>
      </c>
      <c r="M978" t="s">
        <v>47</v>
      </c>
      <c r="N978" t="s">
        <v>35</v>
      </c>
      <c r="O978" t="s">
        <v>26</v>
      </c>
      <c r="P978" t="s">
        <v>27</v>
      </c>
      <c r="Q978" t="s">
        <v>28</v>
      </c>
      <c r="R978" t="s">
        <v>29</v>
      </c>
      <c r="S978" t="s">
        <v>30</v>
      </c>
      <c r="T978">
        <v>52965969</v>
      </c>
      <c r="U978" t="s">
        <v>3936</v>
      </c>
      <c r="V978" t="s">
        <v>3937</v>
      </c>
      <c r="W978" s="9">
        <f>IF(V978="pregrado",31,
IF(V978="posgrados",31,
IF(V978="rEINTEGROS",7,
IF(V978="BIT",90,
IF(V978="OP GRADO - INGLÉS",17,"")))))</f>
        <v>31</v>
      </c>
      <c r="X978" t="s">
        <v>3960</v>
      </c>
    </row>
    <row r="979" spans="1:24" ht="15" x14ac:dyDescent="0.35">
      <c r="A979" s="4">
        <v>46029.525405092594</v>
      </c>
      <c r="B979">
        <v>20111442</v>
      </c>
      <c r="C979" s="6" t="s">
        <v>19</v>
      </c>
      <c r="D979">
        <v>165816</v>
      </c>
      <c r="E979" t="s">
        <v>43</v>
      </c>
      <c r="F979">
        <v>1004731576</v>
      </c>
      <c r="G979" t="s">
        <v>1557</v>
      </c>
      <c r="H979">
        <v>100240750</v>
      </c>
      <c r="I979">
        <v>202641</v>
      </c>
      <c r="J979">
        <v>1116869180</v>
      </c>
      <c r="K979" t="s">
        <v>23</v>
      </c>
      <c r="L979" t="s">
        <v>342</v>
      </c>
      <c r="M979" t="s">
        <v>47</v>
      </c>
      <c r="N979" t="s">
        <v>35</v>
      </c>
      <c r="O979" t="s">
        <v>26</v>
      </c>
      <c r="P979" t="s">
        <v>27</v>
      </c>
      <c r="Q979" t="s">
        <v>28</v>
      </c>
      <c r="R979" t="s">
        <v>29</v>
      </c>
      <c r="S979" t="s">
        <v>30</v>
      </c>
      <c r="T979">
        <v>1033784244</v>
      </c>
      <c r="U979" t="s">
        <v>3948</v>
      </c>
      <c r="V979" t="s">
        <v>3937</v>
      </c>
      <c r="W979" s="9">
        <f>IF(V979="pregrado",31,
IF(V979="posgrados",31,
IF(V979="rEINTEGROS",7,
IF(V979="BIT",90,
IF(V979="OP GRADO - INGLÉS",17,"")))))</f>
        <v>31</v>
      </c>
      <c r="X979" t="s">
        <v>4067</v>
      </c>
    </row>
    <row r="980" spans="1:24" ht="15" x14ac:dyDescent="0.35">
      <c r="A980" s="4">
        <v>46035.676400462966</v>
      </c>
      <c r="B980">
        <v>20112700</v>
      </c>
      <c r="C980" s="6" t="s">
        <v>19</v>
      </c>
      <c r="D980">
        <v>165834</v>
      </c>
      <c r="E980" t="s">
        <v>43</v>
      </c>
      <c r="F980">
        <v>35220540</v>
      </c>
      <c r="G980" t="s">
        <v>1710</v>
      </c>
      <c r="H980">
        <v>100240789</v>
      </c>
      <c r="I980">
        <v>202651</v>
      </c>
      <c r="J980">
        <v>35220540</v>
      </c>
      <c r="K980" t="s">
        <v>23</v>
      </c>
      <c r="L980" t="s">
        <v>252</v>
      </c>
      <c r="M980" t="s">
        <v>253</v>
      </c>
      <c r="N980" t="s">
        <v>1711</v>
      </c>
      <c r="O980" t="s">
        <v>26</v>
      </c>
      <c r="P980" t="s">
        <v>27</v>
      </c>
      <c r="Q980" t="s">
        <v>28</v>
      </c>
      <c r="R980" t="s">
        <v>29</v>
      </c>
      <c r="S980" t="s">
        <v>30</v>
      </c>
      <c r="T980">
        <v>1193146767</v>
      </c>
      <c r="U980" t="s">
        <v>3936</v>
      </c>
      <c r="V980" t="s">
        <v>3937</v>
      </c>
      <c r="W980" s="9">
        <f>IF(V980="pregrado",31,
IF(V980="posgrados",31,
IF(V980="rEINTEGROS",7,
IF(V980="BIT",90,
IF(V980="OP GRADO - INGLÉS",17,"")))))</f>
        <v>31</v>
      </c>
      <c r="X980" t="s">
        <v>4072</v>
      </c>
    </row>
    <row r="981" spans="1:24" ht="15" x14ac:dyDescent="0.35">
      <c r="A981" s="4">
        <v>46048.659108796295</v>
      </c>
      <c r="B981">
        <v>20117258</v>
      </c>
      <c r="C981" s="6" t="s">
        <v>19</v>
      </c>
      <c r="D981">
        <v>165835</v>
      </c>
      <c r="E981" t="s">
        <v>43</v>
      </c>
      <c r="F981">
        <v>1102882139</v>
      </c>
      <c r="G981" t="s">
        <v>2298</v>
      </c>
      <c r="H981">
        <v>100180630</v>
      </c>
      <c r="I981">
        <v>202651</v>
      </c>
      <c r="J981">
        <v>1102882139</v>
      </c>
      <c r="K981" t="s">
        <v>23</v>
      </c>
      <c r="L981" t="s">
        <v>252</v>
      </c>
      <c r="M981" t="s">
        <v>253</v>
      </c>
      <c r="N981" t="s">
        <v>35</v>
      </c>
      <c r="O981" t="s">
        <v>26</v>
      </c>
      <c r="P981" t="s">
        <v>27</v>
      </c>
      <c r="Q981" t="s">
        <v>28</v>
      </c>
      <c r="R981" t="s">
        <v>29</v>
      </c>
      <c r="S981" t="s">
        <v>30</v>
      </c>
      <c r="T981">
        <v>1193146767</v>
      </c>
      <c r="U981" t="s">
        <v>3936</v>
      </c>
      <c r="V981" t="s">
        <v>3937</v>
      </c>
      <c r="W981" s="9">
        <f>IF(V981="pregrado",31,
IF(V981="posgrados",31,
IF(V981="rEINTEGROS",7,
IF(V981="BIT",90,
IF(V981="OP GRADO - INGLÉS",17,"")))))</f>
        <v>31</v>
      </c>
      <c r="X981" t="s">
        <v>4072</v>
      </c>
    </row>
    <row r="982" spans="1:24" ht="15" x14ac:dyDescent="0.35">
      <c r="A982" s="4">
        <v>46030.599131944444</v>
      </c>
      <c r="B982">
        <v>20111751</v>
      </c>
      <c r="C982" s="6" t="s">
        <v>19</v>
      </c>
      <c r="D982">
        <v>165839</v>
      </c>
      <c r="E982" t="s">
        <v>43</v>
      </c>
      <c r="F982">
        <v>1090487735</v>
      </c>
      <c r="G982" t="s">
        <v>1592</v>
      </c>
      <c r="H982">
        <v>100240795</v>
      </c>
      <c r="I982">
        <v>202651</v>
      </c>
      <c r="J982">
        <v>1090487735</v>
      </c>
      <c r="K982" t="s">
        <v>23</v>
      </c>
      <c r="L982" t="s">
        <v>252</v>
      </c>
      <c r="M982" t="s">
        <v>253</v>
      </c>
      <c r="N982" t="s">
        <v>35</v>
      </c>
      <c r="O982" t="s">
        <v>26</v>
      </c>
      <c r="P982" t="s">
        <v>27</v>
      </c>
      <c r="Q982" t="s">
        <v>28</v>
      </c>
      <c r="R982" t="s">
        <v>29</v>
      </c>
      <c r="S982" t="s">
        <v>30</v>
      </c>
      <c r="T982">
        <v>1233888787</v>
      </c>
      <c r="U982" t="s">
        <v>3936</v>
      </c>
      <c r="V982" t="s">
        <v>3937</v>
      </c>
      <c r="W982" s="9">
        <f>IF(V982="pregrado",31,
IF(V982="posgrados",31,
IF(V982="rEINTEGROS",7,
IF(V982="BIT",90,
IF(V982="OP GRADO - INGLÉS",17,"")))))</f>
        <v>31</v>
      </c>
      <c r="X982" t="s">
        <v>3998</v>
      </c>
    </row>
    <row r="983" spans="1:24" ht="15" x14ac:dyDescent="0.35">
      <c r="A983" s="4">
        <v>46036.528391203705</v>
      </c>
      <c r="B983">
        <v>20113048</v>
      </c>
      <c r="C983" s="6" t="s">
        <v>19</v>
      </c>
      <c r="D983">
        <v>165840</v>
      </c>
      <c r="E983" t="s">
        <v>43</v>
      </c>
      <c r="F983">
        <v>1045522073</v>
      </c>
      <c r="G983" t="s">
        <v>1760</v>
      </c>
      <c r="H983">
        <v>100160172</v>
      </c>
      <c r="I983">
        <v>202651</v>
      </c>
      <c r="J983">
        <v>1045522073</v>
      </c>
      <c r="K983" t="s">
        <v>46</v>
      </c>
      <c r="L983" t="s">
        <v>252</v>
      </c>
      <c r="M983" t="s">
        <v>253</v>
      </c>
      <c r="N983" t="s">
        <v>35</v>
      </c>
      <c r="O983" t="s">
        <v>26</v>
      </c>
      <c r="P983" t="s">
        <v>27</v>
      </c>
      <c r="Q983" t="s">
        <v>28</v>
      </c>
      <c r="R983" t="s">
        <v>29</v>
      </c>
      <c r="S983" t="s">
        <v>30</v>
      </c>
      <c r="T983">
        <v>1019068131</v>
      </c>
      <c r="U983" t="s">
        <v>3948</v>
      </c>
      <c r="V983" t="s">
        <v>3937</v>
      </c>
      <c r="W983" s="9">
        <f>IF(V983="pregrado",31,
IF(V983="posgrados",31,
IF(V983="rEINTEGROS",7,
IF(V983="BIT",90,
IF(V983="OP GRADO - INGLÉS",17,"")))))</f>
        <v>31</v>
      </c>
      <c r="X983" t="s">
        <v>4066</v>
      </c>
    </row>
    <row r="984" spans="1:24" ht="15" x14ac:dyDescent="0.35">
      <c r="A984" s="4">
        <v>46029.652800925927</v>
      </c>
      <c r="B984">
        <v>20111519</v>
      </c>
      <c r="C984" s="6" t="s">
        <v>19</v>
      </c>
      <c r="D984">
        <v>165854</v>
      </c>
      <c r="E984" t="s">
        <v>43</v>
      </c>
      <c r="F984">
        <v>1049618766</v>
      </c>
      <c r="G984" t="s">
        <v>1564</v>
      </c>
      <c r="H984">
        <v>100240830</v>
      </c>
      <c r="I984">
        <v>202651</v>
      </c>
      <c r="J984">
        <v>1049618766</v>
      </c>
      <c r="K984" t="s">
        <v>23</v>
      </c>
      <c r="L984" t="s">
        <v>252</v>
      </c>
      <c r="M984" t="s">
        <v>253</v>
      </c>
      <c r="N984" t="s">
        <v>35</v>
      </c>
      <c r="O984" t="s">
        <v>26</v>
      </c>
      <c r="P984" t="s">
        <v>27</v>
      </c>
      <c r="Q984" t="s">
        <v>28</v>
      </c>
      <c r="R984" t="s">
        <v>29</v>
      </c>
      <c r="S984" t="s">
        <v>30</v>
      </c>
      <c r="T984">
        <v>1014285873</v>
      </c>
      <c r="U984" t="s">
        <v>3948</v>
      </c>
      <c r="V984" t="s">
        <v>3937</v>
      </c>
      <c r="W984" s="9">
        <f>IF(V984="pregrado",31,
IF(V984="posgrados",31,
IF(V984="rEINTEGROS",7,
IF(V984="BIT",90,
IF(V984="OP GRADO - INGLÉS",17,"")))))</f>
        <v>31</v>
      </c>
      <c r="X984" t="s">
        <v>3953</v>
      </c>
    </row>
    <row r="985" spans="1:24" ht="15" x14ac:dyDescent="0.35">
      <c r="A985" s="4">
        <v>46032.392418981479</v>
      </c>
      <c r="B985">
        <v>20112248</v>
      </c>
      <c r="C985" s="6" t="s">
        <v>19</v>
      </c>
      <c r="D985">
        <v>165858</v>
      </c>
      <c r="E985" t="s">
        <v>43</v>
      </c>
      <c r="F985">
        <v>1030578451</v>
      </c>
      <c r="G985" t="s">
        <v>1668</v>
      </c>
      <c r="H985">
        <v>100240841</v>
      </c>
      <c r="I985">
        <v>202651</v>
      </c>
      <c r="J985">
        <v>1030578451</v>
      </c>
      <c r="K985" t="s">
        <v>23</v>
      </c>
      <c r="L985" t="s">
        <v>252</v>
      </c>
      <c r="M985" t="s">
        <v>253</v>
      </c>
      <c r="N985" t="s">
        <v>35</v>
      </c>
      <c r="O985" t="s">
        <v>26</v>
      </c>
      <c r="P985" t="s">
        <v>27</v>
      </c>
      <c r="Q985" t="s">
        <v>28</v>
      </c>
      <c r="R985" t="s">
        <v>29</v>
      </c>
      <c r="S985" t="s">
        <v>30</v>
      </c>
      <c r="T985">
        <v>53116792</v>
      </c>
      <c r="U985" t="s">
        <v>3936</v>
      </c>
      <c r="V985" t="s">
        <v>3937</v>
      </c>
      <c r="W985" s="9">
        <f>IF(V985="pregrado",31,
IF(V985="posgrados",31,
IF(V985="rEINTEGROS",7,
IF(V985="BIT",90,
IF(V985="OP GRADO - INGLÉS",17,"")))))</f>
        <v>31</v>
      </c>
      <c r="X985" t="s">
        <v>4008</v>
      </c>
    </row>
    <row r="986" spans="1:24" ht="15" x14ac:dyDescent="0.35">
      <c r="A986" s="4">
        <v>46030.681284722225</v>
      </c>
      <c r="B986">
        <v>20111824</v>
      </c>
      <c r="C986" s="6" t="s">
        <v>19</v>
      </c>
      <c r="D986">
        <v>165863</v>
      </c>
      <c r="E986" t="s">
        <v>43</v>
      </c>
      <c r="F986">
        <v>52832494</v>
      </c>
      <c r="G986" t="s">
        <v>1606</v>
      </c>
      <c r="H986">
        <v>100240847</v>
      </c>
      <c r="I986">
        <v>202651</v>
      </c>
      <c r="J986">
        <v>52832494</v>
      </c>
      <c r="K986" t="s">
        <v>23</v>
      </c>
      <c r="L986" t="s">
        <v>252</v>
      </c>
      <c r="M986" t="s">
        <v>253</v>
      </c>
      <c r="N986" t="s">
        <v>35</v>
      </c>
      <c r="O986" t="s">
        <v>26</v>
      </c>
      <c r="P986" t="s">
        <v>27</v>
      </c>
      <c r="Q986" t="s">
        <v>28</v>
      </c>
      <c r="R986" t="s">
        <v>29</v>
      </c>
      <c r="S986" t="s">
        <v>30</v>
      </c>
      <c r="T986">
        <v>1012355141</v>
      </c>
      <c r="U986" t="s">
        <v>3936</v>
      </c>
      <c r="V986" t="s">
        <v>3937</v>
      </c>
      <c r="W986" s="9">
        <f>IF(V986="pregrado",31,
IF(V986="posgrados",31,
IF(V986="rEINTEGROS",7,
IF(V986="BIT",90,
IF(V986="OP GRADO - INGLÉS",17,"")))))</f>
        <v>31</v>
      </c>
      <c r="X986" t="s">
        <v>4045</v>
      </c>
    </row>
    <row r="987" spans="1:24" ht="15" x14ac:dyDescent="0.35">
      <c r="A987" s="4">
        <v>46031.394212962965</v>
      </c>
      <c r="B987">
        <v>20111957</v>
      </c>
      <c r="C987" s="6" t="s">
        <v>19</v>
      </c>
      <c r="D987">
        <v>165864</v>
      </c>
      <c r="E987" t="s">
        <v>43</v>
      </c>
      <c r="F987">
        <v>50949395</v>
      </c>
      <c r="G987" t="s">
        <v>1624</v>
      </c>
      <c r="H987">
        <v>100240774</v>
      </c>
      <c r="I987">
        <v>202641</v>
      </c>
      <c r="J987">
        <v>1067292881</v>
      </c>
      <c r="K987" t="s">
        <v>23</v>
      </c>
      <c r="L987" t="s">
        <v>59</v>
      </c>
      <c r="M987" t="s">
        <v>47</v>
      </c>
      <c r="N987" t="s">
        <v>35</v>
      </c>
      <c r="O987" t="s">
        <v>26</v>
      </c>
      <c r="P987" t="s">
        <v>27</v>
      </c>
      <c r="Q987" t="s">
        <v>28</v>
      </c>
      <c r="R987" t="s">
        <v>29</v>
      </c>
      <c r="S987" t="s">
        <v>30</v>
      </c>
      <c r="T987">
        <v>52916205</v>
      </c>
      <c r="U987" t="s">
        <v>3936</v>
      </c>
      <c r="V987" t="s">
        <v>3937</v>
      </c>
      <c r="W987" s="9">
        <f>IF(V987="pregrado",31,
IF(V987="posgrados",31,
IF(V987="rEINTEGROS",7,
IF(V987="BIT",90,
IF(V987="OP GRADO - INGLÉS",17,"")))))</f>
        <v>31</v>
      </c>
      <c r="X987" t="s">
        <v>4032</v>
      </c>
    </row>
    <row r="988" spans="1:24" ht="15" x14ac:dyDescent="0.35">
      <c r="A988" s="4">
        <v>46050.412442129629</v>
      </c>
      <c r="B988">
        <v>20117861</v>
      </c>
      <c r="C988" s="6" t="s">
        <v>19</v>
      </c>
      <c r="D988">
        <v>165867</v>
      </c>
      <c r="E988" t="s">
        <v>43</v>
      </c>
      <c r="F988">
        <v>1022447111</v>
      </c>
      <c r="G988" t="s">
        <v>2391</v>
      </c>
      <c r="H988">
        <v>100093022</v>
      </c>
      <c r="I988">
        <v>202641</v>
      </c>
      <c r="J988">
        <v>1022447111</v>
      </c>
      <c r="K988" t="s">
        <v>46</v>
      </c>
      <c r="L988" t="s">
        <v>59</v>
      </c>
      <c r="M988" t="s">
        <v>47</v>
      </c>
      <c r="N988" t="s">
        <v>35</v>
      </c>
      <c r="O988" t="s">
        <v>26</v>
      </c>
      <c r="P988" t="s">
        <v>27</v>
      </c>
      <c r="Q988" t="s">
        <v>28</v>
      </c>
      <c r="R988" t="s">
        <v>29</v>
      </c>
      <c r="S988" t="s">
        <v>30</v>
      </c>
      <c r="T988">
        <v>1022407392</v>
      </c>
      <c r="U988" t="s">
        <v>3936</v>
      </c>
      <c r="V988" t="s">
        <v>3937</v>
      </c>
      <c r="W988" s="9">
        <f>IF(V988="pregrado",31,
IF(V988="posgrados",31,
IF(V988="rEINTEGROS",7,
IF(V988="BIT",90,
IF(V988="OP GRADO - INGLÉS",17,"")))))</f>
        <v>31</v>
      </c>
      <c r="X988" t="s">
        <v>3975</v>
      </c>
    </row>
    <row r="989" spans="1:24" ht="15" x14ac:dyDescent="0.35">
      <c r="A989" s="4">
        <v>46029.702418981484</v>
      </c>
      <c r="B989">
        <v>20111554</v>
      </c>
      <c r="C989" s="6" t="s">
        <v>19</v>
      </c>
      <c r="D989">
        <v>165872</v>
      </c>
      <c r="E989" t="s">
        <v>43</v>
      </c>
      <c r="F989">
        <v>1115953367</v>
      </c>
      <c r="G989" t="s">
        <v>1569</v>
      </c>
      <c r="H989">
        <v>100240859</v>
      </c>
      <c r="I989">
        <v>202651</v>
      </c>
      <c r="J989">
        <v>1115953367</v>
      </c>
      <c r="K989" t="s">
        <v>23</v>
      </c>
      <c r="L989" t="s">
        <v>252</v>
      </c>
      <c r="M989" t="s">
        <v>253</v>
      </c>
      <c r="N989" t="s">
        <v>35</v>
      </c>
      <c r="O989" t="s">
        <v>26</v>
      </c>
      <c r="P989" t="s">
        <v>27</v>
      </c>
      <c r="Q989" t="s">
        <v>28</v>
      </c>
      <c r="R989" t="s">
        <v>29</v>
      </c>
      <c r="S989" t="s">
        <v>30</v>
      </c>
      <c r="T989">
        <v>1022407392</v>
      </c>
      <c r="U989" t="s">
        <v>3936</v>
      </c>
      <c r="V989" t="s">
        <v>3937</v>
      </c>
      <c r="W989" s="9">
        <f>IF(V989="pregrado",31,
IF(V989="posgrados",31,
IF(V989="rEINTEGROS",7,
IF(V989="BIT",90,
IF(V989="OP GRADO - INGLÉS",17,"")))))</f>
        <v>31</v>
      </c>
      <c r="X989" t="s">
        <v>3975</v>
      </c>
    </row>
    <row r="990" spans="1:24" ht="15" x14ac:dyDescent="0.35">
      <c r="A990" s="4">
        <v>46030.551053240742</v>
      </c>
      <c r="B990">
        <v>20111728</v>
      </c>
      <c r="C990" s="6" t="s">
        <v>19</v>
      </c>
      <c r="D990">
        <v>165889</v>
      </c>
      <c r="E990" t="s">
        <v>43</v>
      </c>
      <c r="F990">
        <v>1061696677</v>
      </c>
      <c r="G990" t="s">
        <v>1586</v>
      </c>
      <c r="H990">
        <v>100240898</v>
      </c>
      <c r="I990">
        <v>202651</v>
      </c>
      <c r="J990">
        <v>1061696677</v>
      </c>
      <c r="K990" t="s">
        <v>23</v>
      </c>
      <c r="L990" t="s">
        <v>252</v>
      </c>
      <c r="M990" t="s">
        <v>253</v>
      </c>
      <c r="N990" t="s">
        <v>35</v>
      </c>
      <c r="O990" t="s">
        <v>26</v>
      </c>
      <c r="P990" t="s">
        <v>27</v>
      </c>
      <c r="Q990" t="s">
        <v>28</v>
      </c>
      <c r="R990" t="s">
        <v>29</v>
      </c>
      <c r="S990" t="s">
        <v>30</v>
      </c>
      <c r="T990">
        <v>1082250716</v>
      </c>
      <c r="U990" t="s">
        <v>3936</v>
      </c>
      <c r="V990" t="s">
        <v>3937</v>
      </c>
      <c r="W990" s="9">
        <f>IF(V990="pregrado",31,
IF(V990="posgrados",31,
IF(V990="rEINTEGROS",7,
IF(V990="BIT",90,
IF(V990="OP GRADO - INGLÉS",17,"")))))</f>
        <v>31</v>
      </c>
      <c r="X990" t="s">
        <v>3997</v>
      </c>
    </row>
    <row r="991" spans="1:24" ht="15" x14ac:dyDescent="0.35">
      <c r="A991" s="4">
        <v>46035.406828703701</v>
      </c>
      <c r="B991">
        <v>20112435</v>
      </c>
      <c r="C991" s="6" t="s">
        <v>19</v>
      </c>
      <c r="D991">
        <v>165890</v>
      </c>
      <c r="E991" t="s">
        <v>43</v>
      </c>
      <c r="F991">
        <v>11707645</v>
      </c>
      <c r="G991" t="s">
        <v>1687</v>
      </c>
      <c r="H991">
        <v>100240899</v>
      </c>
      <c r="I991">
        <v>202651</v>
      </c>
      <c r="J991">
        <v>15371908</v>
      </c>
      <c r="K991" t="s">
        <v>23</v>
      </c>
      <c r="L991" t="s">
        <v>252</v>
      </c>
      <c r="M991" t="s">
        <v>253</v>
      </c>
      <c r="N991" t="s">
        <v>35</v>
      </c>
      <c r="O991" t="s">
        <v>26</v>
      </c>
      <c r="P991" t="s">
        <v>27</v>
      </c>
      <c r="Q991" t="s">
        <v>28</v>
      </c>
      <c r="R991" t="s">
        <v>29</v>
      </c>
      <c r="S991" t="s">
        <v>30</v>
      </c>
      <c r="T991">
        <v>1033781417</v>
      </c>
      <c r="U991" t="s">
        <v>3948</v>
      </c>
      <c r="V991" t="s">
        <v>3937</v>
      </c>
      <c r="W991" s="9">
        <f>IF(V991="pregrado",31,
IF(V991="posgrados",31,
IF(V991="rEINTEGROS",7,
IF(V991="BIT",90,
IF(V991="OP GRADO - INGLÉS",17,"")))))</f>
        <v>31</v>
      </c>
      <c r="X991" t="s">
        <v>4031</v>
      </c>
    </row>
    <row r="992" spans="1:24" ht="15" x14ac:dyDescent="0.35">
      <c r="A992" s="4">
        <v>46049.660138888888</v>
      </c>
      <c r="B992">
        <v>20117652</v>
      </c>
      <c r="C992" s="6" t="s">
        <v>19</v>
      </c>
      <c r="D992">
        <v>165897</v>
      </c>
      <c r="E992" t="s">
        <v>43</v>
      </c>
      <c r="F992">
        <v>50978073</v>
      </c>
      <c r="G992" t="s">
        <v>2355</v>
      </c>
      <c r="H992">
        <v>100240911</v>
      </c>
      <c r="I992">
        <v>202651</v>
      </c>
      <c r="J992">
        <v>1066730625</v>
      </c>
      <c r="K992" t="s">
        <v>23</v>
      </c>
      <c r="L992" t="s">
        <v>542</v>
      </c>
      <c r="M992" t="s">
        <v>253</v>
      </c>
      <c r="N992" t="s">
        <v>35</v>
      </c>
      <c r="O992" t="s">
        <v>26</v>
      </c>
      <c r="P992" t="s">
        <v>27</v>
      </c>
      <c r="Q992" t="s">
        <v>28</v>
      </c>
      <c r="R992" t="s">
        <v>29</v>
      </c>
      <c r="S992" t="s">
        <v>30</v>
      </c>
      <c r="T992">
        <v>1082250716</v>
      </c>
      <c r="U992" t="s">
        <v>3936</v>
      </c>
      <c r="V992" t="s">
        <v>3937</v>
      </c>
      <c r="W992" s="9">
        <f>IF(V992="pregrado",31,
IF(V992="posgrados",31,
IF(V992="rEINTEGROS",7,
IF(V992="BIT",90,
IF(V992="OP GRADO - INGLÉS",17,"")))))</f>
        <v>31</v>
      </c>
      <c r="X992" t="s">
        <v>3997</v>
      </c>
    </row>
    <row r="993" spans="1:24" ht="15" x14ac:dyDescent="0.35">
      <c r="A993" s="4">
        <v>46067.352187500001</v>
      </c>
      <c r="B993">
        <v>20123383</v>
      </c>
      <c r="C993" s="6" t="s">
        <v>19</v>
      </c>
      <c r="D993">
        <v>165900</v>
      </c>
      <c r="E993" t="s">
        <v>43</v>
      </c>
      <c r="F993">
        <v>1023923701</v>
      </c>
      <c r="G993" t="s">
        <v>3199</v>
      </c>
      <c r="H993">
        <v>100240916</v>
      </c>
      <c r="I993">
        <v>202651</v>
      </c>
      <c r="J993">
        <v>1023923701</v>
      </c>
      <c r="K993" t="s">
        <v>23</v>
      </c>
      <c r="L993" t="s">
        <v>252</v>
      </c>
      <c r="M993" t="s">
        <v>253</v>
      </c>
      <c r="N993" t="s">
        <v>35</v>
      </c>
      <c r="O993" t="s">
        <v>26</v>
      </c>
      <c r="P993" t="s">
        <v>27</v>
      </c>
      <c r="Q993" t="s">
        <v>28</v>
      </c>
      <c r="R993" t="s">
        <v>29</v>
      </c>
      <c r="S993" t="s">
        <v>30</v>
      </c>
      <c r="T993">
        <v>1031147887</v>
      </c>
      <c r="U993" t="s">
        <v>3948</v>
      </c>
      <c r="V993" t="s">
        <v>3937</v>
      </c>
      <c r="W993" s="9">
        <f>IF(V993="pregrado",31,
IF(V993="posgrados",31,
IF(V993="rEINTEGROS",7,
IF(V993="BIT",90,
IF(V993="OP GRADO - INGLÉS",17,"")))))</f>
        <v>31</v>
      </c>
      <c r="X993" t="s">
        <v>3947</v>
      </c>
    </row>
    <row r="994" spans="1:24" ht="15" x14ac:dyDescent="0.35">
      <c r="A994" s="4">
        <v>46031.626527777778</v>
      </c>
      <c r="B994">
        <v>20112107</v>
      </c>
      <c r="C994" s="6" t="s">
        <v>19</v>
      </c>
      <c r="D994">
        <v>165905</v>
      </c>
      <c r="E994" t="s">
        <v>43</v>
      </c>
      <c r="F994">
        <v>1117262228</v>
      </c>
      <c r="G994" t="s">
        <v>1648</v>
      </c>
      <c r="H994">
        <v>100240930</v>
      </c>
      <c r="I994">
        <v>202641</v>
      </c>
      <c r="J994">
        <v>1117262228</v>
      </c>
      <c r="K994" t="s">
        <v>23</v>
      </c>
      <c r="L994" t="s">
        <v>140</v>
      </c>
      <c r="M994" t="s">
        <v>47</v>
      </c>
      <c r="N994" t="s">
        <v>25</v>
      </c>
      <c r="O994" t="s">
        <v>26</v>
      </c>
      <c r="P994" t="s">
        <v>27</v>
      </c>
      <c r="Q994" t="s">
        <v>28</v>
      </c>
      <c r="R994" t="s">
        <v>29</v>
      </c>
      <c r="S994" t="s">
        <v>30</v>
      </c>
      <c r="T994">
        <v>52032666</v>
      </c>
      <c r="U994" t="s">
        <v>3948</v>
      </c>
      <c r="V994" t="s">
        <v>3937</v>
      </c>
      <c r="W994" s="9">
        <f>IF(V994="pregrado",31,
IF(V994="posgrados",31,
IF(V994="rEINTEGROS",7,
IF(V994="BIT",90,
IF(V994="OP GRADO - INGLÉS",17,"")))))</f>
        <v>31</v>
      </c>
      <c r="X994" t="s">
        <v>3983</v>
      </c>
    </row>
    <row r="995" spans="1:24" ht="15" x14ac:dyDescent="0.35">
      <c r="A995" s="4">
        <v>46044.751574074071</v>
      </c>
      <c r="B995">
        <v>20116347</v>
      </c>
      <c r="C995" s="6" t="s">
        <v>19</v>
      </c>
      <c r="D995">
        <v>165909</v>
      </c>
      <c r="E995" t="s">
        <v>43</v>
      </c>
      <c r="F995">
        <v>1077477436</v>
      </c>
      <c r="G995" t="s">
        <v>2204</v>
      </c>
      <c r="H995">
        <v>100227504</v>
      </c>
      <c r="I995">
        <v>202651</v>
      </c>
      <c r="J995">
        <v>1077477436</v>
      </c>
      <c r="K995" t="s">
        <v>23</v>
      </c>
      <c r="L995" t="s">
        <v>252</v>
      </c>
      <c r="M995" t="s">
        <v>253</v>
      </c>
      <c r="N995" t="s">
        <v>35</v>
      </c>
      <c r="O995" t="s">
        <v>26</v>
      </c>
      <c r="P995" t="s">
        <v>27</v>
      </c>
      <c r="Q995" t="s">
        <v>28</v>
      </c>
      <c r="R995" t="s">
        <v>29</v>
      </c>
      <c r="S995" t="s">
        <v>30</v>
      </c>
      <c r="T995">
        <v>1012389748</v>
      </c>
      <c r="U995" t="s">
        <v>3948</v>
      </c>
      <c r="V995" t="s">
        <v>3937</v>
      </c>
      <c r="W995" s="9">
        <f>IF(V995="pregrado",31,
IF(V995="posgrados",31,
IF(V995="rEINTEGROS",7,
IF(V995="BIT",90,
IF(V995="OP GRADO - INGLÉS",17,"")))))</f>
        <v>31</v>
      </c>
      <c r="X995" t="s">
        <v>4065</v>
      </c>
    </row>
    <row r="996" spans="1:24" ht="15" x14ac:dyDescent="0.35">
      <c r="A996" s="4">
        <v>46030.562754629631</v>
      </c>
      <c r="B996">
        <v>20111732</v>
      </c>
      <c r="C996" s="6" t="s">
        <v>19</v>
      </c>
      <c r="D996">
        <v>165912</v>
      </c>
      <c r="E996" t="s">
        <v>43</v>
      </c>
      <c r="F996">
        <v>1007208079</v>
      </c>
      <c r="G996" t="s">
        <v>1588</v>
      </c>
      <c r="H996">
        <v>100240940</v>
      </c>
      <c r="I996">
        <v>202651</v>
      </c>
      <c r="J996">
        <v>45781550</v>
      </c>
      <c r="K996" t="s">
        <v>23</v>
      </c>
      <c r="L996" t="s">
        <v>252</v>
      </c>
      <c r="M996" t="s">
        <v>253</v>
      </c>
      <c r="N996" t="s">
        <v>35</v>
      </c>
      <c r="O996" t="s">
        <v>26</v>
      </c>
      <c r="P996" t="s">
        <v>27</v>
      </c>
      <c r="Q996" t="s">
        <v>28</v>
      </c>
      <c r="R996" t="s">
        <v>29</v>
      </c>
      <c r="S996" t="s">
        <v>30</v>
      </c>
      <c r="T996">
        <v>1015401969</v>
      </c>
      <c r="U996" t="s">
        <v>3936</v>
      </c>
      <c r="V996" t="s">
        <v>3937</v>
      </c>
      <c r="W996" s="9">
        <f>IF(V996="pregrado",31,
IF(V996="posgrados",31,
IF(V996="rEINTEGROS",7,
IF(V996="BIT",90,
IF(V996="OP GRADO - INGLÉS",17,"")))))</f>
        <v>31</v>
      </c>
      <c r="X996" t="s">
        <v>3945</v>
      </c>
    </row>
    <row r="997" spans="1:24" ht="15" x14ac:dyDescent="0.35">
      <c r="A997" s="4">
        <v>46031.504201388889</v>
      </c>
      <c r="B997">
        <v>20112033</v>
      </c>
      <c r="C997" s="6" t="s">
        <v>19</v>
      </c>
      <c r="D997">
        <v>165917</v>
      </c>
      <c r="E997" t="s">
        <v>43</v>
      </c>
      <c r="F997">
        <v>1042356055</v>
      </c>
      <c r="G997" t="s">
        <v>1637</v>
      </c>
      <c r="H997">
        <v>100240948</v>
      </c>
      <c r="I997">
        <v>202641</v>
      </c>
      <c r="J997">
        <v>1042356055</v>
      </c>
      <c r="K997" t="s">
        <v>23</v>
      </c>
      <c r="L997" t="s">
        <v>294</v>
      </c>
      <c r="M997" t="s">
        <v>47</v>
      </c>
      <c r="N997" t="s">
        <v>35</v>
      </c>
      <c r="O997" t="s">
        <v>26</v>
      </c>
      <c r="P997" t="s">
        <v>27</v>
      </c>
      <c r="Q997" t="s">
        <v>28</v>
      </c>
      <c r="R997" t="s">
        <v>29</v>
      </c>
      <c r="S997" t="s">
        <v>30</v>
      </c>
      <c r="T997">
        <v>1014285873</v>
      </c>
      <c r="U997" t="s">
        <v>3948</v>
      </c>
      <c r="V997" t="s">
        <v>3937</v>
      </c>
      <c r="W997" s="9">
        <f>IF(V997="pregrado",31,
IF(V997="posgrados",31,
IF(V997="rEINTEGROS",7,
IF(V997="BIT",90,
IF(V997="OP GRADO - INGLÉS",17,"")))))</f>
        <v>31</v>
      </c>
      <c r="X997" t="s">
        <v>3953</v>
      </c>
    </row>
    <row r="998" spans="1:24" ht="15" x14ac:dyDescent="0.35">
      <c r="A998" s="4">
        <v>46030.754479166666</v>
      </c>
      <c r="B998">
        <v>20111880</v>
      </c>
      <c r="C998" s="6" t="s">
        <v>19</v>
      </c>
      <c r="D998">
        <v>165918</v>
      </c>
      <c r="E998" t="s">
        <v>43</v>
      </c>
      <c r="F998">
        <v>1030682947</v>
      </c>
      <c r="G998" t="s">
        <v>1615</v>
      </c>
      <c r="H998">
        <v>100240949</v>
      </c>
      <c r="I998">
        <v>202641</v>
      </c>
      <c r="J998">
        <v>1030682947</v>
      </c>
      <c r="K998" t="s">
        <v>23</v>
      </c>
      <c r="L998" t="s">
        <v>279</v>
      </c>
      <c r="M998" t="s">
        <v>47</v>
      </c>
      <c r="N998" t="s">
        <v>35</v>
      </c>
      <c r="O998" t="s">
        <v>26</v>
      </c>
      <c r="P998" t="s">
        <v>27</v>
      </c>
      <c r="Q998" t="s">
        <v>28</v>
      </c>
      <c r="R998" t="s">
        <v>29</v>
      </c>
      <c r="S998" t="s">
        <v>30</v>
      </c>
      <c r="T998">
        <v>1233888787</v>
      </c>
      <c r="U998" t="s">
        <v>3936</v>
      </c>
      <c r="V998" t="s">
        <v>3937</v>
      </c>
      <c r="W998" s="9">
        <f>IF(V998="pregrado",31,
IF(V998="posgrados",31,
IF(V998="rEINTEGROS",7,
IF(V998="BIT",90,
IF(V998="OP GRADO - INGLÉS",17,"")))))</f>
        <v>31</v>
      </c>
      <c r="X998" t="s">
        <v>3998</v>
      </c>
    </row>
    <row r="999" spans="1:24" ht="15" x14ac:dyDescent="0.35">
      <c r="A999" s="4">
        <v>46030.612071759257</v>
      </c>
      <c r="B999">
        <v>20111758</v>
      </c>
      <c r="C999" s="6" t="s">
        <v>19</v>
      </c>
      <c r="D999">
        <v>165921</v>
      </c>
      <c r="E999" t="s">
        <v>43</v>
      </c>
      <c r="F999">
        <v>1085302204</v>
      </c>
      <c r="G999" t="s">
        <v>1594</v>
      </c>
      <c r="H999">
        <v>100240954</v>
      </c>
      <c r="I999">
        <v>202641</v>
      </c>
      <c r="J999">
        <v>1085302204</v>
      </c>
      <c r="K999" t="s">
        <v>23</v>
      </c>
      <c r="L999" t="s">
        <v>279</v>
      </c>
      <c r="M999" t="s">
        <v>47</v>
      </c>
      <c r="N999" t="s">
        <v>35</v>
      </c>
      <c r="O999" t="s">
        <v>26</v>
      </c>
      <c r="P999" t="s">
        <v>27</v>
      </c>
      <c r="Q999" t="s">
        <v>28</v>
      </c>
      <c r="R999" t="s">
        <v>29</v>
      </c>
      <c r="S999" t="s">
        <v>30</v>
      </c>
      <c r="T999">
        <v>1015401969</v>
      </c>
      <c r="U999" t="s">
        <v>3936</v>
      </c>
      <c r="V999" t="s">
        <v>3937</v>
      </c>
      <c r="W999" s="9">
        <f>IF(V999="pregrado",31,
IF(V999="posgrados",31,
IF(V999="rEINTEGROS",7,
IF(V999="BIT",90,
IF(V999="OP GRADO - INGLÉS",17,"")))))</f>
        <v>31</v>
      </c>
      <c r="X999" t="s">
        <v>3945</v>
      </c>
    </row>
    <row r="1000" spans="1:24" ht="15" x14ac:dyDescent="0.35">
      <c r="A1000" s="4">
        <v>46030.616412037038</v>
      </c>
      <c r="B1000">
        <v>20111763</v>
      </c>
      <c r="C1000" s="6" t="s">
        <v>19</v>
      </c>
      <c r="D1000">
        <v>165927</v>
      </c>
      <c r="E1000" t="s">
        <v>43</v>
      </c>
      <c r="F1000">
        <v>1037610486</v>
      </c>
      <c r="G1000" t="s">
        <v>1596</v>
      </c>
      <c r="H1000">
        <v>100240964</v>
      </c>
      <c r="I1000">
        <v>202651</v>
      </c>
      <c r="J1000">
        <v>1037610486</v>
      </c>
      <c r="K1000" t="s">
        <v>23</v>
      </c>
      <c r="L1000" t="s">
        <v>252</v>
      </c>
      <c r="M1000" t="s">
        <v>253</v>
      </c>
      <c r="N1000" t="s">
        <v>35</v>
      </c>
      <c r="O1000" t="s">
        <v>26</v>
      </c>
      <c r="P1000" t="s">
        <v>27</v>
      </c>
      <c r="Q1000" t="s">
        <v>28</v>
      </c>
      <c r="R1000" t="s">
        <v>29</v>
      </c>
      <c r="S1000" t="s">
        <v>30</v>
      </c>
      <c r="T1000">
        <v>1033784244</v>
      </c>
      <c r="U1000" t="s">
        <v>3948</v>
      </c>
      <c r="V1000" t="s">
        <v>3937</v>
      </c>
      <c r="W1000" s="9">
        <f>IF(V1000="pregrado",31,
IF(V1000="posgrados",31,
IF(V1000="rEINTEGROS",7,
IF(V1000="BIT",90,
IF(V1000="OP GRADO - INGLÉS",17,"")))))</f>
        <v>31</v>
      </c>
      <c r="X1000" t="s">
        <v>4067</v>
      </c>
    </row>
    <row r="1001" spans="1:24" ht="15" x14ac:dyDescent="0.35">
      <c r="A1001" s="4">
        <v>46031.390925925924</v>
      </c>
      <c r="B1001">
        <v>20111952</v>
      </c>
      <c r="C1001" s="6" t="s">
        <v>19</v>
      </c>
      <c r="D1001">
        <v>165934</v>
      </c>
      <c r="E1001" t="s">
        <v>43</v>
      </c>
      <c r="F1001">
        <v>38559507</v>
      </c>
      <c r="G1001" t="s">
        <v>1622</v>
      </c>
      <c r="H1001">
        <v>100240982</v>
      </c>
      <c r="I1001">
        <v>202651</v>
      </c>
      <c r="J1001">
        <v>38559507</v>
      </c>
      <c r="K1001" t="s">
        <v>23</v>
      </c>
      <c r="L1001" t="s">
        <v>252</v>
      </c>
      <c r="M1001" t="s">
        <v>253</v>
      </c>
      <c r="N1001" t="s">
        <v>35</v>
      </c>
      <c r="O1001" t="s">
        <v>26</v>
      </c>
      <c r="P1001" t="s">
        <v>27</v>
      </c>
      <c r="Q1001" t="s">
        <v>28</v>
      </c>
      <c r="R1001" t="s">
        <v>29</v>
      </c>
      <c r="S1001" t="s">
        <v>30</v>
      </c>
      <c r="T1001">
        <v>1020754225</v>
      </c>
      <c r="U1001" t="s">
        <v>3948</v>
      </c>
      <c r="V1001" t="s">
        <v>3937</v>
      </c>
      <c r="W1001" s="9">
        <f>IF(V1001="pregrado",31,
IF(V1001="posgrados",31,
IF(V1001="rEINTEGROS",7,
IF(V1001="BIT",90,
IF(V1001="OP GRADO - INGLÉS",17,"")))))</f>
        <v>31</v>
      </c>
      <c r="X1001" t="s">
        <v>3981</v>
      </c>
    </row>
    <row r="1002" spans="1:24" ht="15" x14ac:dyDescent="0.35">
      <c r="A1002" s="4">
        <v>46030.766273148147</v>
      </c>
      <c r="B1002">
        <v>20111884</v>
      </c>
      <c r="C1002" s="6" t="s">
        <v>19</v>
      </c>
      <c r="D1002">
        <v>165937</v>
      </c>
      <c r="E1002" t="s">
        <v>43</v>
      </c>
      <c r="F1002">
        <v>1059362770</v>
      </c>
      <c r="G1002" t="s">
        <v>1616</v>
      </c>
      <c r="H1002">
        <v>100240990</v>
      </c>
      <c r="I1002">
        <v>202651</v>
      </c>
      <c r="J1002">
        <v>1059362770</v>
      </c>
      <c r="K1002" t="s">
        <v>23</v>
      </c>
      <c r="L1002" t="s">
        <v>252</v>
      </c>
      <c r="M1002" t="s">
        <v>253</v>
      </c>
      <c r="N1002" t="s">
        <v>35</v>
      </c>
      <c r="O1002" t="s">
        <v>26</v>
      </c>
      <c r="P1002" t="s">
        <v>27</v>
      </c>
      <c r="Q1002" t="s">
        <v>28</v>
      </c>
      <c r="R1002" t="s">
        <v>29</v>
      </c>
      <c r="S1002" t="s">
        <v>30</v>
      </c>
      <c r="T1002">
        <v>1070973852</v>
      </c>
      <c r="U1002" t="s">
        <v>3936</v>
      </c>
      <c r="V1002" t="s">
        <v>3937</v>
      </c>
      <c r="W1002" s="9">
        <f>IF(V1002="pregrado",31,
IF(V1002="posgrados",31,
IF(V1002="rEINTEGROS",7,
IF(V1002="BIT",90,
IF(V1002="OP GRADO - INGLÉS",17,"")))))</f>
        <v>31</v>
      </c>
      <c r="X1002" t="s">
        <v>3957</v>
      </c>
    </row>
    <row r="1003" spans="1:24" ht="15" x14ac:dyDescent="0.35">
      <c r="A1003" s="4">
        <v>46030.887719907405</v>
      </c>
      <c r="B1003">
        <v>20111908</v>
      </c>
      <c r="C1003" s="6" t="s">
        <v>19</v>
      </c>
      <c r="D1003">
        <v>165956</v>
      </c>
      <c r="E1003" t="s">
        <v>43</v>
      </c>
      <c r="F1003">
        <v>88251431</v>
      </c>
      <c r="G1003" t="s">
        <v>1618</v>
      </c>
      <c r="H1003">
        <v>100240973</v>
      </c>
      <c r="I1003">
        <v>202641</v>
      </c>
      <c r="J1003">
        <v>27603614</v>
      </c>
      <c r="K1003" t="s">
        <v>23</v>
      </c>
      <c r="L1003" t="s">
        <v>279</v>
      </c>
      <c r="M1003" t="s">
        <v>47</v>
      </c>
      <c r="N1003" t="s">
        <v>35</v>
      </c>
      <c r="O1003" t="s">
        <v>26</v>
      </c>
      <c r="P1003" t="s">
        <v>27</v>
      </c>
      <c r="Q1003" t="s">
        <v>28</v>
      </c>
      <c r="R1003" t="s">
        <v>29</v>
      </c>
      <c r="S1003" t="s">
        <v>30</v>
      </c>
      <c r="T1003">
        <v>1082250716</v>
      </c>
      <c r="U1003" t="s">
        <v>3936</v>
      </c>
      <c r="V1003" t="s">
        <v>3937</v>
      </c>
      <c r="W1003" s="9">
        <f>IF(V1003="pregrado",31,
IF(V1003="posgrados",31,
IF(V1003="rEINTEGROS",7,
IF(V1003="BIT",90,
IF(V1003="OP GRADO - INGLÉS",17,"")))))</f>
        <v>31</v>
      </c>
      <c r="X1003" t="s">
        <v>3997</v>
      </c>
    </row>
    <row r="1004" spans="1:24" ht="15" x14ac:dyDescent="0.35">
      <c r="A1004" s="4">
        <v>46032.694710648146</v>
      </c>
      <c r="B1004">
        <v>20112321</v>
      </c>
      <c r="C1004" s="6" t="s">
        <v>19</v>
      </c>
      <c r="D1004">
        <v>165962</v>
      </c>
      <c r="E1004" t="s">
        <v>43</v>
      </c>
      <c r="F1004">
        <v>1192746306</v>
      </c>
      <c r="G1004" t="s">
        <v>1682</v>
      </c>
      <c r="H1004">
        <v>200079623</v>
      </c>
      <c r="I1004">
        <v>202641</v>
      </c>
      <c r="J1004">
        <v>1192746306</v>
      </c>
      <c r="K1004" t="s">
        <v>23</v>
      </c>
      <c r="L1004" t="s">
        <v>736</v>
      </c>
      <c r="M1004" t="s">
        <v>47</v>
      </c>
      <c r="N1004" t="s">
        <v>35</v>
      </c>
      <c r="O1004" t="s">
        <v>26</v>
      </c>
      <c r="P1004" t="s">
        <v>27</v>
      </c>
      <c r="Q1004" t="s">
        <v>28</v>
      </c>
      <c r="R1004" t="s">
        <v>29</v>
      </c>
      <c r="S1004" t="s">
        <v>30</v>
      </c>
      <c r="T1004">
        <v>52965969</v>
      </c>
      <c r="U1004" t="s">
        <v>3936</v>
      </c>
      <c r="V1004" t="s">
        <v>3937</v>
      </c>
      <c r="W1004" s="9">
        <f>IF(V1004="pregrado",31,
IF(V1004="posgrados",31,
IF(V1004="rEINTEGROS",7,
IF(V1004="BIT",90,
IF(V1004="OP GRADO - INGLÉS",17,"")))))</f>
        <v>31</v>
      </c>
      <c r="X1004" t="s">
        <v>3960</v>
      </c>
    </row>
    <row r="1005" spans="1:24" ht="15" x14ac:dyDescent="0.35">
      <c r="A1005" s="4">
        <v>46038.684212962966</v>
      </c>
      <c r="B1005">
        <v>20114460</v>
      </c>
      <c r="C1005" s="6" t="s">
        <v>19</v>
      </c>
      <c r="D1005">
        <v>165982</v>
      </c>
      <c r="E1005" t="s">
        <v>43</v>
      </c>
      <c r="F1005">
        <v>1032431359</v>
      </c>
      <c r="G1005" t="s">
        <v>1922</v>
      </c>
      <c r="H1005">
        <v>100241065</v>
      </c>
      <c r="I1005">
        <v>202651</v>
      </c>
      <c r="J1005">
        <v>1032431359</v>
      </c>
      <c r="K1005" t="s">
        <v>23</v>
      </c>
      <c r="L1005" t="s">
        <v>252</v>
      </c>
      <c r="M1005" t="s">
        <v>253</v>
      </c>
      <c r="N1005" t="s">
        <v>35</v>
      </c>
      <c r="O1005" t="s">
        <v>26</v>
      </c>
      <c r="P1005" t="s">
        <v>27</v>
      </c>
      <c r="Q1005" t="s">
        <v>28</v>
      </c>
      <c r="R1005" t="s">
        <v>29</v>
      </c>
      <c r="S1005" t="s">
        <v>30</v>
      </c>
      <c r="T1005">
        <v>1014285873</v>
      </c>
      <c r="U1005" t="s">
        <v>3948</v>
      </c>
      <c r="V1005" t="s">
        <v>3937</v>
      </c>
      <c r="W1005" s="9">
        <f>IF(V1005="pregrado",31,
IF(V1005="posgrados",31,
IF(V1005="rEINTEGROS",7,
IF(V1005="BIT",90,
IF(V1005="OP GRADO - INGLÉS",17,"")))))</f>
        <v>31</v>
      </c>
      <c r="X1005" t="s">
        <v>3953</v>
      </c>
    </row>
    <row r="1006" spans="1:24" ht="15" x14ac:dyDescent="0.35">
      <c r="A1006" s="4">
        <v>46042.433379629627</v>
      </c>
      <c r="B1006">
        <v>20115211</v>
      </c>
      <c r="C1006" s="6" t="s">
        <v>19</v>
      </c>
      <c r="D1006">
        <v>166007</v>
      </c>
      <c r="E1006" t="s">
        <v>43</v>
      </c>
      <c r="F1006">
        <v>1004600616</v>
      </c>
      <c r="G1006" t="s">
        <v>2006</v>
      </c>
      <c r="H1006">
        <v>100241110</v>
      </c>
      <c r="I1006">
        <v>202651</v>
      </c>
      <c r="J1006">
        <v>1004600616</v>
      </c>
      <c r="K1006" t="s">
        <v>23</v>
      </c>
      <c r="L1006" t="s">
        <v>252</v>
      </c>
      <c r="M1006" t="s">
        <v>253</v>
      </c>
      <c r="N1006" t="s">
        <v>35</v>
      </c>
      <c r="O1006" t="s">
        <v>26</v>
      </c>
      <c r="P1006" t="s">
        <v>27</v>
      </c>
      <c r="Q1006" t="s">
        <v>28</v>
      </c>
      <c r="R1006" t="s">
        <v>29</v>
      </c>
      <c r="S1006" t="s">
        <v>30</v>
      </c>
      <c r="T1006">
        <v>1016030683</v>
      </c>
      <c r="U1006" t="s">
        <v>3936</v>
      </c>
      <c r="V1006" t="s">
        <v>3937</v>
      </c>
      <c r="W1006" s="9">
        <f>IF(V1006="pregrado",31,
IF(V1006="posgrados",31,
IF(V1006="rEINTEGROS",7,
IF(V1006="BIT",90,
IF(V1006="OP GRADO - INGLÉS",17,"")))))</f>
        <v>31</v>
      </c>
      <c r="X1006" t="s">
        <v>3992</v>
      </c>
    </row>
    <row r="1007" spans="1:24" ht="15" x14ac:dyDescent="0.35">
      <c r="A1007" s="4">
        <v>46031.538495370369</v>
      </c>
      <c r="B1007">
        <v>20112054</v>
      </c>
      <c r="C1007" s="6" t="s">
        <v>19</v>
      </c>
      <c r="D1007">
        <v>166012</v>
      </c>
      <c r="E1007" t="s">
        <v>43</v>
      </c>
      <c r="F1007">
        <v>1005046209</v>
      </c>
      <c r="G1007" t="s">
        <v>1639</v>
      </c>
      <c r="H1007">
        <v>100241121</v>
      </c>
      <c r="I1007">
        <v>202651</v>
      </c>
      <c r="J1007">
        <v>1004913166</v>
      </c>
      <c r="K1007" t="s">
        <v>23</v>
      </c>
      <c r="L1007" t="s">
        <v>252</v>
      </c>
      <c r="M1007" t="s">
        <v>253</v>
      </c>
      <c r="N1007" t="s">
        <v>35</v>
      </c>
      <c r="O1007" t="s">
        <v>26</v>
      </c>
      <c r="P1007" t="s">
        <v>27</v>
      </c>
      <c r="Q1007" t="s">
        <v>28</v>
      </c>
      <c r="R1007" t="s">
        <v>29</v>
      </c>
      <c r="S1007" t="s">
        <v>30</v>
      </c>
      <c r="T1007">
        <v>1073673268</v>
      </c>
      <c r="U1007" t="s">
        <v>3948</v>
      </c>
      <c r="V1007" t="s">
        <v>3937</v>
      </c>
      <c r="W1007" s="9">
        <f>IF(V1007="pregrado",31,
IF(V1007="posgrados",31,
IF(V1007="rEINTEGROS",7,
IF(V1007="BIT",90,
IF(V1007="OP GRADO - INGLÉS",17,"")))))</f>
        <v>31</v>
      </c>
      <c r="X1007" t="s">
        <v>4080</v>
      </c>
    </row>
    <row r="1008" spans="1:24" ht="15" x14ac:dyDescent="0.35">
      <c r="A1008" s="4">
        <v>46031.560150462959</v>
      </c>
      <c r="B1008">
        <v>20112068</v>
      </c>
      <c r="C1008" s="6" t="s">
        <v>19</v>
      </c>
      <c r="D1008">
        <v>166015</v>
      </c>
      <c r="E1008" t="s">
        <v>43</v>
      </c>
      <c r="F1008">
        <v>1059360500</v>
      </c>
      <c r="G1008" t="s">
        <v>1642</v>
      </c>
      <c r="H1008">
        <v>100241126</v>
      </c>
      <c r="I1008">
        <v>202651</v>
      </c>
      <c r="J1008">
        <v>1059364236</v>
      </c>
      <c r="K1008" t="s">
        <v>23</v>
      </c>
      <c r="L1008" t="s">
        <v>252</v>
      </c>
      <c r="M1008" t="s">
        <v>253</v>
      </c>
      <c r="N1008" t="s">
        <v>35</v>
      </c>
      <c r="O1008" t="s">
        <v>26</v>
      </c>
      <c r="P1008" t="s">
        <v>27</v>
      </c>
      <c r="Q1008" t="s">
        <v>28</v>
      </c>
      <c r="R1008" t="s">
        <v>29</v>
      </c>
      <c r="S1008" t="s">
        <v>30</v>
      </c>
      <c r="T1008">
        <v>1033781417</v>
      </c>
      <c r="U1008" t="s">
        <v>3948</v>
      </c>
      <c r="V1008" t="s">
        <v>3937</v>
      </c>
      <c r="W1008" s="9">
        <f>IF(V1008="pregrado",31,
IF(V1008="posgrados",31,
IF(V1008="rEINTEGROS",7,
IF(V1008="BIT",90,
IF(V1008="OP GRADO - INGLÉS",17,"")))))</f>
        <v>31</v>
      </c>
      <c r="X1008" t="s">
        <v>4031</v>
      </c>
    </row>
    <row r="1009" spans="1:24" ht="15" x14ac:dyDescent="0.35">
      <c r="A1009" s="4">
        <v>46035.689895833333</v>
      </c>
      <c r="B1009">
        <v>20112714</v>
      </c>
      <c r="C1009" s="6" t="s">
        <v>19</v>
      </c>
      <c r="D1009">
        <v>166026</v>
      </c>
      <c r="E1009" t="s">
        <v>43</v>
      </c>
      <c r="F1009">
        <v>23726315</v>
      </c>
      <c r="G1009" t="s">
        <v>1712</v>
      </c>
      <c r="H1009">
        <v>100241152</v>
      </c>
      <c r="I1009">
        <v>202651</v>
      </c>
      <c r="J1009">
        <v>23726315</v>
      </c>
      <c r="K1009" t="s">
        <v>23</v>
      </c>
      <c r="L1009" t="s">
        <v>252</v>
      </c>
      <c r="M1009" t="s">
        <v>253</v>
      </c>
      <c r="N1009" t="s">
        <v>35</v>
      </c>
      <c r="O1009" t="s">
        <v>26</v>
      </c>
      <c r="P1009" t="s">
        <v>27</v>
      </c>
      <c r="Q1009" t="s">
        <v>28</v>
      </c>
      <c r="R1009" t="s">
        <v>29</v>
      </c>
      <c r="S1009" t="s">
        <v>30</v>
      </c>
      <c r="T1009">
        <v>1022407392</v>
      </c>
      <c r="U1009" t="s">
        <v>3936</v>
      </c>
      <c r="V1009" t="s">
        <v>3937</v>
      </c>
      <c r="W1009" s="9">
        <f>IF(V1009="pregrado",31,
IF(V1009="posgrados",31,
IF(V1009="rEINTEGROS",7,
IF(V1009="BIT",90,
IF(V1009="OP GRADO - INGLÉS",17,"")))))</f>
        <v>31</v>
      </c>
      <c r="X1009" t="s">
        <v>3975</v>
      </c>
    </row>
    <row r="1010" spans="1:24" ht="15" x14ac:dyDescent="0.35">
      <c r="A1010" s="4">
        <v>46031.441724537035</v>
      </c>
      <c r="B1010">
        <v>20111991</v>
      </c>
      <c r="C1010" s="6" t="s">
        <v>19</v>
      </c>
      <c r="D1010">
        <v>166028</v>
      </c>
      <c r="E1010" t="s">
        <v>43</v>
      </c>
      <c r="F1010">
        <v>1038802886</v>
      </c>
      <c r="G1010" t="s">
        <v>1631</v>
      </c>
      <c r="H1010">
        <v>100240885</v>
      </c>
      <c r="I1010">
        <v>202651</v>
      </c>
      <c r="J1010">
        <v>1038802886</v>
      </c>
      <c r="K1010" t="s">
        <v>23</v>
      </c>
      <c r="L1010" t="s">
        <v>252</v>
      </c>
      <c r="M1010" t="s">
        <v>253</v>
      </c>
      <c r="N1010" t="s">
        <v>35</v>
      </c>
      <c r="O1010" t="s">
        <v>26</v>
      </c>
      <c r="P1010" t="s">
        <v>27</v>
      </c>
      <c r="Q1010" t="s">
        <v>28</v>
      </c>
      <c r="R1010" t="s">
        <v>29</v>
      </c>
      <c r="S1010" t="s">
        <v>30</v>
      </c>
      <c r="T1010">
        <v>1033781417</v>
      </c>
      <c r="U1010" t="s">
        <v>3948</v>
      </c>
      <c r="V1010" t="s">
        <v>3937</v>
      </c>
      <c r="W1010" s="9">
        <f>IF(V1010="pregrado",31,
IF(V1010="posgrados",31,
IF(V1010="rEINTEGROS",7,
IF(V1010="BIT",90,
IF(V1010="OP GRADO - INGLÉS",17,"")))))</f>
        <v>31</v>
      </c>
      <c r="X1010" t="s">
        <v>4031</v>
      </c>
    </row>
    <row r="1011" spans="1:24" ht="15" x14ac:dyDescent="0.35">
      <c r="A1011" s="4">
        <v>46036.65960648148</v>
      </c>
      <c r="B1011">
        <v>20113197</v>
      </c>
      <c r="C1011" s="6" t="s">
        <v>19</v>
      </c>
      <c r="D1011">
        <v>166029</v>
      </c>
      <c r="E1011" t="s">
        <v>43</v>
      </c>
      <c r="F1011">
        <v>23936391</v>
      </c>
      <c r="G1011" t="s">
        <v>1787</v>
      </c>
      <c r="H1011">
        <v>100223008</v>
      </c>
      <c r="I1011">
        <v>202651</v>
      </c>
      <c r="J1011">
        <v>47437782</v>
      </c>
      <c r="K1011" t="s">
        <v>23</v>
      </c>
      <c r="L1011" t="s">
        <v>252</v>
      </c>
      <c r="M1011" t="s">
        <v>253</v>
      </c>
      <c r="N1011" t="s">
        <v>35</v>
      </c>
      <c r="O1011" t="s">
        <v>26</v>
      </c>
      <c r="P1011" t="s">
        <v>27</v>
      </c>
      <c r="Q1011" t="s">
        <v>28</v>
      </c>
      <c r="R1011" t="s">
        <v>29</v>
      </c>
      <c r="S1011" t="s">
        <v>30</v>
      </c>
      <c r="T1011">
        <v>1022407392</v>
      </c>
      <c r="U1011" t="s">
        <v>3936</v>
      </c>
      <c r="V1011" t="s">
        <v>3937</v>
      </c>
      <c r="W1011" s="9">
        <f>IF(V1011="pregrado",31,
IF(V1011="posgrados",31,
IF(V1011="rEINTEGROS",7,
IF(V1011="BIT",90,
IF(V1011="OP GRADO - INGLÉS",17,"")))))</f>
        <v>31</v>
      </c>
      <c r="X1011" t="s">
        <v>3975</v>
      </c>
    </row>
    <row r="1012" spans="1:24" ht="15" x14ac:dyDescent="0.35">
      <c r="A1012" s="4">
        <v>46031.62159722222</v>
      </c>
      <c r="B1012">
        <v>20112102</v>
      </c>
      <c r="C1012" s="6" t="s">
        <v>19</v>
      </c>
      <c r="D1012">
        <v>166033</v>
      </c>
      <c r="E1012" t="s">
        <v>43</v>
      </c>
      <c r="F1012">
        <v>18001232</v>
      </c>
      <c r="G1012" t="s">
        <v>1647</v>
      </c>
      <c r="H1012">
        <v>100113525</v>
      </c>
      <c r="I1012">
        <v>202641</v>
      </c>
      <c r="J1012">
        <v>1123638578</v>
      </c>
      <c r="K1012" t="s">
        <v>23</v>
      </c>
      <c r="L1012" t="s">
        <v>342</v>
      </c>
      <c r="M1012" t="s">
        <v>47</v>
      </c>
      <c r="N1012" t="s">
        <v>35</v>
      </c>
      <c r="O1012" t="s">
        <v>26</v>
      </c>
      <c r="P1012" t="s">
        <v>27</v>
      </c>
      <c r="Q1012" t="s">
        <v>28</v>
      </c>
      <c r="R1012" t="s">
        <v>29</v>
      </c>
      <c r="S1012" t="s">
        <v>30</v>
      </c>
      <c r="T1012">
        <v>1012389748</v>
      </c>
      <c r="U1012" t="s">
        <v>3948</v>
      </c>
      <c r="V1012" t="s">
        <v>3937</v>
      </c>
      <c r="W1012" s="9">
        <f>IF(V1012="pregrado",31,
IF(V1012="posgrados",31,
IF(V1012="rEINTEGROS",7,
IF(V1012="BIT",90,
IF(V1012="OP GRADO - INGLÉS",17,"")))))</f>
        <v>31</v>
      </c>
      <c r="X1012" t="s">
        <v>4065</v>
      </c>
    </row>
    <row r="1013" spans="1:24" ht="15" x14ac:dyDescent="0.35">
      <c r="A1013" s="4">
        <v>46035.598171296297</v>
      </c>
      <c r="B1013">
        <v>20112614</v>
      </c>
      <c r="C1013" s="6" t="s">
        <v>19</v>
      </c>
      <c r="D1013">
        <v>166048</v>
      </c>
      <c r="E1013" t="s">
        <v>43</v>
      </c>
      <c r="F1013">
        <v>53160002</v>
      </c>
      <c r="G1013" t="s">
        <v>1704</v>
      </c>
      <c r="H1013">
        <v>100241196</v>
      </c>
      <c r="I1013">
        <v>202651</v>
      </c>
      <c r="J1013">
        <v>53160002</v>
      </c>
      <c r="K1013" t="s">
        <v>23</v>
      </c>
      <c r="L1013" t="s">
        <v>252</v>
      </c>
      <c r="M1013" t="s">
        <v>253</v>
      </c>
      <c r="N1013" t="s">
        <v>35</v>
      </c>
      <c r="O1013" t="s">
        <v>26</v>
      </c>
      <c r="P1013" t="s">
        <v>27</v>
      </c>
      <c r="Q1013" t="s">
        <v>28</v>
      </c>
      <c r="R1013" t="s">
        <v>29</v>
      </c>
      <c r="S1013" t="s">
        <v>30</v>
      </c>
      <c r="T1013">
        <v>1033781417</v>
      </c>
      <c r="U1013" t="s">
        <v>3948</v>
      </c>
      <c r="V1013" t="s">
        <v>3937</v>
      </c>
      <c r="W1013" s="9">
        <f>IF(V1013="pregrado",31,
IF(V1013="posgrados",31,
IF(V1013="rEINTEGROS",7,
IF(V1013="BIT",90,
IF(V1013="OP GRADO - INGLÉS",17,"")))))</f>
        <v>31</v>
      </c>
      <c r="X1013" t="s">
        <v>4031</v>
      </c>
    </row>
    <row r="1014" spans="1:24" ht="15" x14ac:dyDescent="0.35">
      <c r="A1014" s="4">
        <v>46042.39508101852</v>
      </c>
      <c r="B1014">
        <v>20115180</v>
      </c>
      <c r="C1014" s="6" t="s">
        <v>19</v>
      </c>
      <c r="D1014">
        <v>166051</v>
      </c>
      <c r="E1014" t="s">
        <v>43</v>
      </c>
      <c r="F1014">
        <v>1059449206</v>
      </c>
      <c r="G1014" t="s">
        <v>2000</v>
      </c>
      <c r="H1014">
        <v>100135482</v>
      </c>
      <c r="I1014">
        <v>202651</v>
      </c>
      <c r="J1014">
        <v>1059449206</v>
      </c>
      <c r="K1014" t="s">
        <v>46</v>
      </c>
      <c r="L1014" t="s">
        <v>252</v>
      </c>
      <c r="M1014" t="s">
        <v>253</v>
      </c>
      <c r="N1014" t="s">
        <v>35</v>
      </c>
      <c r="O1014" t="s">
        <v>26</v>
      </c>
      <c r="P1014" t="s">
        <v>27</v>
      </c>
      <c r="Q1014" t="s">
        <v>28</v>
      </c>
      <c r="R1014" t="s">
        <v>29</v>
      </c>
      <c r="S1014" t="s">
        <v>30</v>
      </c>
      <c r="T1014">
        <v>51951991</v>
      </c>
      <c r="U1014" t="s">
        <v>3936</v>
      </c>
      <c r="V1014" t="s">
        <v>3937</v>
      </c>
      <c r="W1014" s="9">
        <f>IF(V1014="pregrado",31,
IF(V1014="posgrados",31,
IF(V1014="rEINTEGROS",7,
IF(V1014="BIT",90,
IF(V1014="OP GRADO - INGLÉS",17,"")))))</f>
        <v>31</v>
      </c>
      <c r="X1014" t="s">
        <v>4049</v>
      </c>
    </row>
    <row r="1015" spans="1:24" ht="15" x14ac:dyDescent="0.35">
      <c r="A1015" s="4">
        <v>46035.504027777781</v>
      </c>
      <c r="B1015">
        <v>20112542</v>
      </c>
      <c r="C1015" s="6" t="s">
        <v>19</v>
      </c>
      <c r="D1015">
        <v>166052</v>
      </c>
      <c r="E1015" t="s">
        <v>43</v>
      </c>
      <c r="F1015">
        <v>1092647290</v>
      </c>
      <c r="G1015" t="s">
        <v>1696</v>
      </c>
      <c r="H1015">
        <v>100241201</v>
      </c>
      <c r="I1015">
        <v>202641</v>
      </c>
      <c r="J1015">
        <v>1092647290</v>
      </c>
      <c r="K1015" t="s">
        <v>23</v>
      </c>
      <c r="L1015" t="s">
        <v>160</v>
      </c>
      <c r="M1015" t="s">
        <v>47</v>
      </c>
      <c r="N1015" t="s">
        <v>35</v>
      </c>
      <c r="O1015" t="s">
        <v>26</v>
      </c>
      <c r="P1015" t="s">
        <v>27</v>
      </c>
      <c r="Q1015" t="s">
        <v>28</v>
      </c>
      <c r="R1015" t="s">
        <v>29</v>
      </c>
      <c r="S1015" t="s">
        <v>30</v>
      </c>
      <c r="T1015">
        <v>1015401969</v>
      </c>
      <c r="U1015" t="s">
        <v>3936</v>
      </c>
      <c r="V1015" t="s">
        <v>3937</v>
      </c>
      <c r="W1015" s="9">
        <f>IF(V1015="pregrado",31,
IF(V1015="posgrados",31,
IF(V1015="rEINTEGROS",7,
IF(V1015="BIT",90,
IF(V1015="OP GRADO - INGLÉS",17,"")))))</f>
        <v>31</v>
      </c>
      <c r="X1015" t="s">
        <v>3945</v>
      </c>
    </row>
    <row r="1016" spans="1:24" ht="15" x14ac:dyDescent="0.35">
      <c r="A1016" s="4">
        <v>46031.682581018518</v>
      </c>
      <c r="B1016">
        <v>20112149</v>
      </c>
      <c r="C1016" s="6" t="s">
        <v>19</v>
      </c>
      <c r="D1016">
        <v>166056</v>
      </c>
      <c r="E1016" t="s">
        <v>43</v>
      </c>
      <c r="F1016">
        <v>1003908864</v>
      </c>
      <c r="G1016" t="s">
        <v>1654</v>
      </c>
      <c r="H1016">
        <v>100138974</v>
      </c>
      <c r="I1016">
        <v>202641</v>
      </c>
      <c r="J1016">
        <v>1003908864</v>
      </c>
      <c r="K1016" t="s">
        <v>46</v>
      </c>
      <c r="L1016" t="s">
        <v>59</v>
      </c>
      <c r="M1016" t="s">
        <v>47</v>
      </c>
      <c r="N1016">
        <v>0</v>
      </c>
      <c r="O1016" t="s">
        <v>26</v>
      </c>
      <c r="P1016" t="s">
        <v>27</v>
      </c>
      <c r="Q1016" t="s">
        <v>28</v>
      </c>
      <c r="R1016" t="s">
        <v>29</v>
      </c>
      <c r="S1016" t="s">
        <v>30</v>
      </c>
      <c r="T1016">
        <v>1014285873</v>
      </c>
      <c r="U1016" t="s">
        <v>3948</v>
      </c>
      <c r="V1016" t="s">
        <v>3937</v>
      </c>
      <c r="W1016" s="9">
        <f>IF(V1016="pregrado",31,
IF(V1016="posgrados",31,
IF(V1016="rEINTEGROS",7,
IF(V1016="BIT",90,
IF(V1016="OP GRADO - INGLÉS",17,"")))))</f>
        <v>31</v>
      </c>
      <c r="X1016" t="s">
        <v>3953</v>
      </c>
    </row>
    <row r="1017" spans="1:24" ht="15" x14ac:dyDescent="0.35">
      <c r="A1017" s="4">
        <v>46037.658680555556</v>
      </c>
      <c r="B1017">
        <v>20113755</v>
      </c>
      <c r="C1017" s="6" t="s">
        <v>19</v>
      </c>
      <c r="D1017">
        <v>166063</v>
      </c>
      <c r="E1017" t="s">
        <v>43</v>
      </c>
      <c r="F1017">
        <v>1078181278</v>
      </c>
      <c r="G1017" t="s">
        <v>1844</v>
      </c>
      <c r="H1017">
        <v>100241216</v>
      </c>
      <c r="I1017">
        <v>202651</v>
      </c>
      <c r="J1017">
        <v>1078181278</v>
      </c>
      <c r="K1017" t="s">
        <v>23</v>
      </c>
      <c r="L1017" t="s">
        <v>252</v>
      </c>
      <c r="M1017" t="s">
        <v>253</v>
      </c>
      <c r="N1017" t="s">
        <v>35</v>
      </c>
      <c r="O1017" t="s">
        <v>26</v>
      </c>
      <c r="P1017" t="s">
        <v>27</v>
      </c>
      <c r="Q1017" t="s">
        <v>28</v>
      </c>
      <c r="R1017" t="s">
        <v>29</v>
      </c>
      <c r="S1017" t="s">
        <v>30</v>
      </c>
      <c r="T1017">
        <v>1140420282</v>
      </c>
      <c r="U1017" t="s">
        <v>3948</v>
      </c>
      <c r="V1017" t="s">
        <v>3937</v>
      </c>
      <c r="W1017" s="9">
        <f>IF(V1017="pregrado",31,
IF(V1017="posgrados",31,
IF(V1017="rEINTEGROS",7,
IF(V1017="BIT",90,
IF(V1017="OP GRADO - INGLÉS",17,"")))))</f>
        <v>31</v>
      </c>
      <c r="X1017" t="s">
        <v>3972</v>
      </c>
    </row>
    <row r="1018" spans="1:24" ht="15" x14ac:dyDescent="0.35">
      <c r="A1018" s="4">
        <v>46032.369652777779</v>
      </c>
      <c r="B1018">
        <v>20112243</v>
      </c>
      <c r="C1018" s="6" t="s">
        <v>19</v>
      </c>
      <c r="D1018">
        <v>166067</v>
      </c>
      <c r="E1018" t="s">
        <v>43</v>
      </c>
      <c r="F1018">
        <v>1041265918</v>
      </c>
      <c r="G1018" t="s">
        <v>1666</v>
      </c>
      <c r="H1018">
        <v>100241220</v>
      </c>
      <c r="I1018">
        <v>202651</v>
      </c>
      <c r="J1018">
        <v>1041265918</v>
      </c>
      <c r="K1018" t="s">
        <v>23</v>
      </c>
      <c r="L1018" t="s">
        <v>252</v>
      </c>
      <c r="M1018" t="s">
        <v>253</v>
      </c>
      <c r="N1018" t="s">
        <v>35</v>
      </c>
      <c r="O1018" t="s">
        <v>26</v>
      </c>
      <c r="P1018" t="s">
        <v>27</v>
      </c>
      <c r="Q1018" t="s">
        <v>28</v>
      </c>
      <c r="R1018" t="s">
        <v>29</v>
      </c>
      <c r="S1018" t="s">
        <v>30</v>
      </c>
      <c r="T1018">
        <v>1033781417</v>
      </c>
      <c r="U1018" t="s">
        <v>3948</v>
      </c>
      <c r="V1018" t="s">
        <v>3937</v>
      </c>
      <c r="W1018" s="9">
        <f>IF(V1018="pregrado",31,
IF(V1018="posgrados",31,
IF(V1018="rEINTEGROS",7,
IF(V1018="BIT",90,
IF(V1018="OP GRADO - INGLÉS",17,"")))))</f>
        <v>31</v>
      </c>
      <c r="X1018" t="s">
        <v>4031</v>
      </c>
    </row>
    <row r="1019" spans="1:24" ht="15" x14ac:dyDescent="0.35">
      <c r="A1019" s="4">
        <v>46031.725763888891</v>
      </c>
      <c r="B1019">
        <v>20112186</v>
      </c>
      <c r="C1019" s="6" t="s">
        <v>19</v>
      </c>
      <c r="D1019">
        <v>166068</v>
      </c>
      <c r="E1019" t="s">
        <v>43</v>
      </c>
      <c r="F1019">
        <v>1007517404</v>
      </c>
      <c r="G1019" t="s">
        <v>1659</v>
      </c>
      <c r="H1019">
        <v>100241221</v>
      </c>
      <c r="I1019">
        <v>202651</v>
      </c>
      <c r="J1019">
        <v>1007517404</v>
      </c>
      <c r="K1019" t="s">
        <v>23</v>
      </c>
      <c r="L1019" t="s">
        <v>252</v>
      </c>
      <c r="M1019" t="s">
        <v>253</v>
      </c>
      <c r="N1019" t="s">
        <v>35</v>
      </c>
      <c r="O1019" t="s">
        <v>26</v>
      </c>
      <c r="P1019" t="s">
        <v>27</v>
      </c>
      <c r="Q1019" t="s">
        <v>28</v>
      </c>
      <c r="R1019" t="s">
        <v>29</v>
      </c>
      <c r="S1019" t="s">
        <v>30</v>
      </c>
      <c r="T1019">
        <v>1073673268</v>
      </c>
      <c r="U1019" t="s">
        <v>3948</v>
      </c>
      <c r="V1019" t="s">
        <v>3937</v>
      </c>
      <c r="W1019" s="9">
        <f>IF(V1019="pregrado",31,
IF(V1019="posgrados",31,
IF(V1019="rEINTEGROS",7,
IF(V1019="BIT",90,
IF(V1019="OP GRADO - INGLÉS",17,"")))))</f>
        <v>31</v>
      </c>
      <c r="X1019" t="s">
        <v>4080</v>
      </c>
    </row>
    <row r="1020" spans="1:24" ht="15" x14ac:dyDescent="0.35">
      <c r="A1020" s="4">
        <v>46043.394594907404</v>
      </c>
      <c r="B1020">
        <v>20115624</v>
      </c>
      <c r="C1020" s="6" t="s">
        <v>19</v>
      </c>
      <c r="D1020">
        <v>166070</v>
      </c>
      <c r="E1020" t="s">
        <v>43</v>
      </c>
      <c r="F1020">
        <v>1082979916</v>
      </c>
      <c r="G1020" t="s">
        <v>2067</v>
      </c>
      <c r="H1020">
        <v>100132963</v>
      </c>
      <c r="I1020">
        <v>202651</v>
      </c>
      <c r="J1020">
        <v>1120751900</v>
      </c>
      <c r="K1020" t="s">
        <v>23</v>
      </c>
      <c r="L1020" t="s">
        <v>252</v>
      </c>
      <c r="M1020" t="s">
        <v>253</v>
      </c>
      <c r="N1020" t="s">
        <v>35</v>
      </c>
      <c r="O1020" t="s">
        <v>26</v>
      </c>
      <c r="P1020" t="s">
        <v>27</v>
      </c>
      <c r="Q1020" t="s">
        <v>28</v>
      </c>
      <c r="R1020" t="s">
        <v>29</v>
      </c>
      <c r="S1020" t="s">
        <v>30</v>
      </c>
      <c r="T1020">
        <v>1012355141</v>
      </c>
      <c r="U1020" t="s">
        <v>3936</v>
      </c>
      <c r="V1020" t="s">
        <v>3937</v>
      </c>
      <c r="W1020" s="9">
        <f>IF(V1020="pregrado",31,
IF(V1020="posgrados",31,
IF(V1020="rEINTEGROS",7,
IF(V1020="BIT",90,
IF(V1020="OP GRADO - INGLÉS",17,"")))))</f>
        <v>31</v>
      </c>
      <c r="X1020" t="s">
        <v>4045</v>
      </c>
    </row>
    <row r="1021" spans="1:24" ht="15" x14ac:dyDescent="0.35">
      <c r="A1021" s="4">
        <v>46032.466134259259</v>
      </c>
      <c r="B1021">
        <v>20112271</v>
      </c>
      <c r="C1021" s="6" t="s">
        <v>19</v>
      </c>
      <c r="D1021">
        <v>166079</v>
      </c>
      <c r="E1021" t="s">
        <v>43</v>
      </c>
      <c r="F1021">
        <v>1192916895</v>
      </c>
      <c r="G1021" t="s">
        <v>1670</v>
      </c>
      <c r="H1021">
        <v>100241237</v>
      </c>
      <c r="I1021">
        <v>202651</v>
      </c>
      <c r="J1021">
        <v>1192916895</v>
      </c>
      <c r="K1021" t="s">
        <v>23</v>
      </c>
      <c r="L1021" t="s">
        <v>252</v>
      </c>
      <c r="M1021" t="s">
        <v>253</v>
      </c>
      <c r="N1021" t="s">
        <v>35</v>
      </c>
      <c r="O1021" t="s">
        <v>26</v>
      </c>
      <c r="P1021" t="s">
        <v>27</v>
      </c>
      <c r="Q1021" t="s">
        <v>28</v>
      </c>
      <c r="R1021" t="s">
        <v>29</v>
      </c>
      <c r="S1021" t="s">
        <v>30</v>
      </c>
      <c r="T1021">
        <v>1000120140</v>
      </c>
      <c r="U1021" t="s">
        <v>3936</v>
      </c>
      <c r="V1021" t="s">
        <v>3937</v>
      </c>
      <c r="W1021" s="9">
        <f>IF(V1021="pregrado",31,
IF(V1021="posgrados",31,
IF(V1021="rEINTEGROS",7,
IF(V1021="BIT",90,
IF(V1021="OP GRADO - INGLÉS",17,"")))))</f>
        <v>31</v>
      </c>
      <c r="X1021" t="s">
        <v>3935</v>
      </c>
    </row>
    <row r="1022" spans="1:24" ht="15" x14ac:dyDescent="0.35">
      <c r="A1022" s="4">
        <v>46037.428287037037</v>
      </c>
      <c r="B1022">
        <v>20113471</v>
      </c>
      <c r="C1022" s="6" t="s">
        <v>19</v>
      </c>
      <c r="D1022">
        <v>166083</v>
      </c>
      <c r="E1022" t="s">
        <v>43</v>
      </c>
      <c r="F1022">
        <v>34325590</v>
      </c>
      <c r="G1022" t="s">
        <v>1820</v>
      </c>
      <c r="H1022">
        <v>100135494</v>
      </c>
      <c r="I1022">
        <v>202651</v>
      </c>
      <c r="J1022">
        <v>34325590</v>
      </c>
      <c r="K1022" t="s">
        <v>23</v>
      </c>
      <c r="L1022" t="s">
        <v>252</v>
      </c>
      <c r="M1022" t="s">
        <v>253</v>
      </c>
      <c r="N1022" t="s">
        <v>35</v>
      </c>
      <c r="O1022" t="s">
        <v>26</v>
      </c>
      <c r="P1022" t="s">
        <v>27</v>
      </c>
      <c r="Q1022" t="s">
        <v>28</v>
      </c>
      <c r="R1022" t="s">
        <v>29</v>
      </c>
      <c r="S1022" t="s">
        <v>30</v>
      </c>
      <c r="T1022">
        <v>52916205</v>
      </c>
      <c r="U1022" t="s">
        <v>3936</v>
      </c>
      <c r="V1022" t="s">
        <v>3937</v>
      </c>
      <c r="W1022" s="9">
        <f>IF(V1022="pregrado",31,
IF(V1022="posgrados",31,
IF(V1022="rEINTEGROS",7,
IF(V1022="BIT",90,
IF(V1022="OP GRADO - INGLÉS",17,"")))))</f>
        <v>31</v>
      </c>
      <c r="X1022" t="s">
        <v>4032</v>
      </c>
    </row>
    <row r="1023" spans="1:24" ht="15" x14ac:dyDescent="0.35">
      <c r="A1023" s="4">
        <v>46036.410081018519</v>
      </c>
      <c r="B1023">
        <v>20112903</v>
      </c>
      <c r="C1023" s="6" t="s">
        <v>19</v>
      </c>
      <c r="D1023">
        <v>166087</v>
      </c>
      <c r="E1023" t="s">
        <v>43</v>
      </c>
      <c r="F1023">
        <v>1022408336</v>
      </c>
      <c r="G1023" t="s">
        <v>1736</v>
      </c>
      <c r="H1023">
        <v>100029924</v>
      </c>
      <c r="I1023">
        <v>202641</v>
      </c>
      <c r="J1023">
        <v>1022408336</v>
      </c>
      <c r="K1023" t="s">
        <v>23</v>
      </c>
      <c r="L1023" t="s">
        <v>59</v>
      </c>
      <c r="M1023" t="s">
        <v>47</v>
      </c>
      <c r="N1023" t="s">
        <v>35</v>
      </c>
      <c r="O1023" t="s">
        <v>26</v>
      </c>
      <c r="P1023" t="s">
        <v>27</v>
      </c>
      <c r="Q1023" t="s">
        <v>28</v>
      </c>
      <c r="R1023" t="s">
        <v>29</v>
      </c>
      <c r="S1023" t="s">
        <v>30</v>
      </c>
      <c r="T1023">
        <v>1082250716</v>
      </c>
      <c r="U1023" t="s">
        <v>3936</v>
      </c>
      <c r="V1023" t="s">
        <v>3937</v>
      </c>
      <c r="W1023" s="9">
        <f>IF(V1023="pregrado",31,
IF(V1023="posgrados",31,
IF(V1023="rEINTEGROS",7,
IF(V1023="BIT",90,
IF(V1023="OP GRADO - INGLÉS",17,"")))))</f>
        <v>31</v>
      </c>
      <c r="X1023" t="s">
        <v>3997</v>
      </c>
    </row>
    <row r="1024" spans="1:24" ht="15" x14ac:dyDescent="0.35">
      <c r="A1024" s="4">
        <v>46035.394293981481</v>
      </c>
      <c r="B1024">
        <v>20112426</v>
      </c>
      <c r="C1024" s="6" t="s">
        <v>19</v>
      </c>
      <c r="D1024">
        <v>166088</v>
      </c>
      <c r="E1024" t="s">
        <v>43</v>
      </c>
      <c r="F1024">
        <v>1007447960</v>
      </c>
      <c r="G1024" t="s">
        <v>1686</v>
      </c>
      <c r="H1024">
        <v>100241241</v>
      </c>
      <c r="I1024">
        <v>202651</v>
      </c>
      <c r="J1024">
        <v>1007447960</v>
      </c>
      <c r="K1024" t="s">
        <v>23</v>
      </c>
      <c r="L1024" t="s">
        <v>252</v>
      </c>
      <c r="M1024" t="s">
        <v>253</v>
      </c>
      <c r="N1024" t="s">
        <v>35</v>
      </c>
      <c r="O1024" t="s">
        <v>26</v>
      </c>
      <c r="P1024" t="s">
        <v>27</v>
      </c>
      <c r="Q1024" t="s">
        <v>28</v>
      </c>
      <c r="R1024" t="s">
        <v>29</v>
      </c>
      <c r="S1024" t="s">
        <v>30</v>
      </c>
      <c r="T1024">
        <v>1032451737</v>
      </c>
      <c r="U1024" t="s">
        <v>3948</v>
      </c>
      <c r="V1024" t="s">
        <v>3937</v>
      </c>
      <c r="W1024" s="9">
        <f>IF(V1024="pregrado",31,
IF(V1024="posgrados",31,
IF(V1024="rEINTEGROS",7,
IF(V1024="BIT",90,
IF(V1024="OP GRADO - INGLÉS",17,"")))))</f>
        <v>31</v>
      </c>
      <c r="X1024" t="s">
        <v>4033</v>
      </c>
    </row>
    <row r="1025" spans="1:24" ht="15" x14ac:dyDescent="0.35">
      <c r="A1025" s="4">
        <v>46038.650081018517</v>
      </c>
      <c r="B1025">
        <v>20114404</v>
      </c>
      <c r="C1025" s="6" t="s">
        <v>19</v>
      </c>
      <c r="D1025">
        <v>166093</v>
      </c>
      <c r="E1025" t="s">
        <v>43</v>
      </c>
      <c r="F1025">
        <v>1001546557</v>
      </c>
      <c r="G1025" t="s">
        <v>1911</v>
      </c>
      <c r="H1025">
        <v>100052279</v>
      </c>
      <c r="I1025">
        <v>202651</v>
      </c>
      <c r="J1025">
        <v>1001546557</v>
      </c>
      <c r="K1025" t="s">
        <v>23</v>
      </c>
      <c r="L1025" t="s">
        <v>252</v>
      </c>
      <c r="M1025" t="s">
        <v>253</v>
      </c>
      <c r="N1025" t="s">
        <v>35</v>
      </c>
      <c r="O1025" t="s">
        <v>26</v>
      </c>
      <c r="P1025" t="s">
        <v>27</v>
      </c>
      <c r="Q1025" t="s">
        <v>28</v>
      </c>
      <c r="R1025" t="s">
        <v>29</v>
      </c>
      <c r="S1025" t="s">
        <v>30</v>
      </c>
      <c r="T1025">
        <v>1032451737</v>
      </c>
      <c r="U1025" t="s">
        <v>3948</v>
      </c>
      <c r="V1025" t="s">
        <v>3937</v>
      </c>
      <c r="W1025" s="9">
        <f>IF(V1025="pregrado",31,
IF(V1025="posgrados",31,
IF(V1025="rEINTEGROS",7,
IF(V1025="BIT",90,
IF(V1025="OP GRADO - INGLÉS",17,"")))))</f>
        <v>31</v>
      </c>
      <c r="X1025" t="s">
        <v>4033</v>
      </c>
    </row>
    <row r="1026" spans="1:24" ht="15" x14ac:dyDescent="0.35">
      <c r="A1026" s="4">
        <v>46053.378136574072</v>
      </c>
      <c r="B1026">
        <v>20119206</v>
      </c>
      <c r="C1026" s="6" t="s">
        <v>19</v>
      </c>
      <c r="D1026">
        <v>166099</v>
      </c>
      <c r="E1026" t="s">
        <v>43</v>
      </c>
      <c r="F1026">
        <v>1086551108</v>
      </c>
      <c r="G1026" t="s">
        <v>2607</v>
      </c>
      <c r="H1026">
        <v>100241269</v>
      </c>
      <c r="I1026">
        <v>202651</v>
      </c>
      <c r="J1026">
        <v>1086551108</v>
      </c>
      <c r="K1026" t="s">
        <v>23</v>
      </c>
      <c r="L1026" t="s">
        <v>252</v>
      </c>
      <c r="M1026" t="s">
        <v>253</v>
      </c>
      <c r="N1026" t="s">
        <v>35</v>
      </c>
      <c r="O1026" t="s">
        <v>26</v>
      </c>
      <c r="P1026" t="s">
        <v>27</v>
      </c>
      <c r="Q1026" t="s">
        <v>28</v>
      </c>
      <c r="R1026" t="s">
        <v>29</v>
      </c>
      <c r="S1026" t="s">
        <v>30</v>
      </c>
      <c r="T1026">
        <v>52032666</v>
      </c>
      <c r="U1026" t="s">
        <v>3948</v>
      </c>
      <c r="V1026" t="s">
        <v>3937</v>
      </c>
      <c r="W1026" s="9">
        <f>IF(V1026="pregrado",31,
IF(V1026="posgrados",31,
IF(V1026="rEINTEGROS",7,
IF(V1026="BIT",90,
IF(V1026="OP GRADO - INGLÉS",17,"")))))</f>
        <v>31</v>
      </c>
      <c r="X1026" t="s">
        <v>3983</v>
      </c>
    </row>
    <row r="1027" spans="1:24" ht="15" x14ac:dyDescent="0.35">
      <c r="A1027" s="4">
        <v>46039.453449074077</v>
      </c>
      <c r="B1027">
        <v>20114684</v>
      </c>
      <c r="C1027" s="6" t="s">
        <v>19</v>
      </c>
      <c r="D1027">
        <v>166100</v>
      </c>
      <c r="E1027" t="s">
        <v>43</v>
      </c>
      <c r="F1027">
        <v>1038093075</v>
      </c>
      <c r="G1027" t="s">
        <v>1947</v>
      </c>
      <c r="H1027">
        <v>100200035</v>
      </c>
      <c r="I1027">
        <v>202651</v>
      </c>
      <c r="J1027">
        <v>1038093075</v>
      </c>
      <c r="K1027" t="s">
        <v>23</v>
      </c>
      <c r="L1027" t="s">
        <v>252</v>
      </c>
      <c r="M1027" t="s">
        <v>253</v>
      </c>
      <c r="N1027" t="s">
        <v>35</v>
      </c>
      <c r="O1027" t="s">
        <v>26</v>
      </c>
      <c r="P1027" t="s">
        <v>27</v>
      </c>
      <c r="Q1027" t="s">
        <v>28</v>
      </c>
      <c r="R1027" t="s">
        <v>29</v>
      </c>
      <c r="S1027" t="s">
        <v>30</v>
      </c>
      <c r="T1027">
        <v>1032451737</v>
      </c>
      <c r="U1027" t="s">
        <v>3948</v>
      </c>
      <c r="V1027" t="s">
        <v>3937</v>
      </c>
      <c r="W1027" s="9">
        <f>IF(V1027="pregrado",31,
IF(V1027="posgrados",31,
IF(V1027="rEINTEGROS",7,
IF(V1027="BIT",90,
IF(V1027="OP GRADO - INGLÉS",17,"")))))</f>
        <v>31</v>
      </c>
      <c r="X1027" t="s">
        <v>4033</v>
      </c>
    </row>
    <row r="1028" spans="1:24" ht="15" x14ac:dyDescent="0.35">
      <c r="A1028" s="4">
        <v>46031.761724537035</v>
      </c>
      <c r="B1028">
        <v>20112203</v>
      </c>
      <c r="C1028" s="6" t="s">
        <v>19</v>
      </c>
      <c r="D1028">
        <v>166101</v>
      </c>
      <c r="E1028" t="s">
        <v>43</v>
      </c>
      <c r="F1028">
        <v>1087200820</v>
      </c>
      <c r="G1028" t="s">
        <v>1661</v>
      </c>
      <c r="H1028">
        <v>100241280</v>
      </c>
      <c r="I1028">
        <v>202651</v>
      </c>
      <c r="J1028">
        <v>1087200820</v>
      </c>
      <c r="K1028" t="s">
        <v>23</v>
      </c>
      <c r="L1028" t="s">
        <v>252</v>
      </c>
      <c r="M1028" t="s">
        <v>253</v>
      </c>
      <c r="N1028" t="s">
        <v>35</v>
      </c>
      <c r="O1028" t="s">
        <v>26</v>
      </c>
      <c r="P1028" t="s">
        <v>27</v>
      </c>
      <c r="Q1028" t="s">
        <v>28</v>
      </c>
      <c r="R1028" t="s">
        <v>29</v>
      </c>
      <c r="S1028" t="s">
        <v>30</v>
      </c>
      <c r="T1028">
        <v>52916205</v>
      </c>
      <c r="U1028" t="s">
        <v>3936</v>
      </c>
      <c r="V1028" t="s">
        <v>3937</v>
      </c>
      <c r="W1028" s="9">
        <f>IF(V1028="pregrado",31,
IF(V1028="posgrados",31,
IF(V1028="rEINTEGROS",7,
IF(V1028="BIT",90,
IF(V1028="OP GRADO - INGLÉS",17,"")))))</f>
        <v>31</v>
      </c>
      <c r="X1028" t="s">
        <v>4032</v>
      </c>
    </row>
    <row r="1029" spans="1:24" ht="15" x14ac:dyDescent="0.35">
      <c r="A1029" s="4">
        <v>46032.470173611109</v>
      </c>
      <c r="B1029">
        <v>20112274</v>
      </c>
      <c r="C1029" s="6" t="s">
        <v>19</v>
      </c>
      <c r="D1029">
        <v>166103</v>
      </c>
      <c r="E1029" t="s">
        <v>43</v>
      </c>
      <c r="F1029">
        <v>1117532434</v>
      </c>
      <c r="G1029" t="s">
        <v>1671</v>
      </c>
      <c r="H1029">
        <v>100241244</v>
      </c>
      <c r="I1029">
        <v>202651</v>
      </c>
      <c r="J1029">
        <v>1117532434</v>
      </c>
      <c r="K1029" t="s">
        <v>23</v>
      </c>
      <c r="L1029" t="s">
        <v>252</v>
      </c>
      <c r="M1029" t="s">
        <v>253</v>
      </c>
      <c r="N1029" t="s">
        <v>35</v>
      </c>
      <c r="O1029" t="s">
        <v>26</v>
      </c>
      <c r="P1029" t="s">
        <v>27</v>
      </c>
      <c r="Q1029" t="s">
        <v>28</v>
      </c>
      <c r="R1029" t="s">
        <v>29</v>
      </c>
      <c r="S1029" t="s">
        <v>30</v>
      </c>
      <c r="T1029">
        <v>1012355141</v>
      </c>
      <c r="U1029" t="s">
        <v>3936</v>
      </c>
      <c r="V1029" t="s">
        <v>3937</v>
      </c>
      <c r="W1029" s="9">
        <f>IF(V1029="pregrado",31,
IF(V1029="posgrados",31,
IF(V1029="rEINTEGROS",7,
IF(V1029="BIT",90,
IF(V1029="OP GRADO - INGLÉS",17,"")))))</f>
        <v>31</v>
      </c>
      <c r="X1029" t="s">
        <v>4045</v>
      </c>
    </row>
    <row r="1030" spans="1:24" ht="15" x14ac:dyDescent="0.35">
      <c r="A1030" s="4">
        <v>46036.764513888891</v>
      </c>
      <c r="B1030">
        <v>20113285</v>
      </c>
      <c r="C1030" s="6" t="s">
        <v>19</v>
      </c>
      <c r="D1030">
        <v>166106</v>
      </c>
      <c r="E1030" t="s">
        <v>43</v>
      </c>
      <c r="F1030">
        <v>52896796</v>
      </c>
      <c r="G1030" t="s">
        <v>1800</v>
      </c>
      <c r="H1030">
        <v>100241286</v>
      </c>
      <c r="I1030">
        <v>202641</v>
      </c>
      <c r="J1030">
        <v>52896796</v>
      </c>
      <c r="K1030" t="s">
        <v>23</v>
      </c>
      <c r="L1030" t="s">
        <v>160</v>
      </c>
      <c r="M1030" t="s">
        <v>47</v>
      </c>
      <c r="N1030" t="s">
        <v>35</v>
      </c>
      <c r="O1030" t="s">
        <v>26</v>
      </c>
      <c r="P1030" t="s">
        <v>27</v>
      </c>
      <c r="Q1030" t="s">
        <v>28</v>
      </c>
      <c r="R1030" t="s">
        <v>29</v>
      </c>
      <c r="S1030" t="s">
        <v>30</v>
      </c>
      <c r="T1030">
        <v>52965969</v>
      </c>
      <c r="U1030" t="s">
        <v>3936</v>
      </c>
      <c r="V1030" t="s">
        <v>3937</v>
      </c>
      <c r="W1030" s="9">
        <f>IF(V1030="pregrado",31,
IF(V1030="posgrados",31,
IF(V1030="rEINTEGROS",7,
IF(V1030="BIT",90,
IF(V1030="OP GRADO - INGLÉS",17,"")))))</f>
        <v>31</v>
      </c>
      <c r="X1030" t="s">
        <v>3960</v>
      </c>
    </row>
    <row r="1031" spans="1:24" ht="15" x14ac:dyDescent="0.35">
      <c r="A1031" s="4">
        <v>46036.610960648148</v>
      </c>
      <c r="B1031">
        <v>20113129</v>
      </c>
      <c r="C1031" s="6" t="s">
        <v>19</v>
      </c>
      <c r="D1031">
        <v>166111</v>
      </c>
      <c r="E1031" t="s">
        <v>43</v>
      </c>
      <c r="F1031">
        <v>1143396745</v>
      </c>
      <c r="G1031" t="s">
        <v>1769</v>
      </c>
      <c r="H1031">
        <v>100241290</v>
      </c>
      <c r="I1031">
        <v>202641</v>
      </c>
      <c r="J1031">
        <v>1143396745</v>
      </c>
      <c r="K1031" t="s">
        <v>23</v>
      </c>
      <c r="L1031" t="s">
        <v>99</v>
      </c>
      <c r="M1031" t="s">
        <v>47</v>
      </c>
      <c r="N1031" t="s">
        <v>35</v>
      </c>
      <c r="O1031" t="s">
        <v>26</v>
      </c>
      <c r="P1031" t="s">
        <v>27</v>
      </c>
      <c r="Q1031" t="s">
        <v>28</v>
      </c>
      <c r="R1031" t="s">
        <v>29</v>
      </c>
      <c r="S1031" t="s">
        <v>30</v>
      </c>
      <c r="T1031">
        <v>1082250716</v>
      </c>
      <c r="U1031" t="s">
        <v>3936</v>
      </c>
      <c r="V1031" t="s">
        <v>3937</v>
      </c>
      <c r="W1031" s="9">
        <f>IF(V1031="pregrado",31,
IF(V1031="posgrados",31,
IF(V1031="rEINTEGROS",7,
IF(V1031="BIT",90,
IF(V1031="OP GRADO - INGLÉS",17,"")))))</f>
        <v>31</v>
      </c>
      <c r="X1031" t="s">
        <v>3997</v>
      </c>
    </row>
    <row r="1032" spans="1:24" ht="15" x14ac:dyDescent="0.35">
      <c r="A1032" s="4">
        <v>46032.673993055556</v>
      </c>
      <c r="B1032">
        <v>20112318</v>
      </c>
      <c r="C1032" s="6" t="s">
        <v>19</v>
      </c>
      <c r="D1032">
        <v>166115</v>
      </c>
      <c r="E1032" t="s">
        <v>43</v>
      </c>
      <c r="F1032">
        <v>26509026</v>
      </c>
      <c r="G1032" t="s">
        <v>1681</v>
      </c>
      <c r="H1032">
        <v>100241295</v>
      </c>
      <c r="I1032">
        <v>202651</v>
      </c>
      <c r="J1032">
        <v>1082125000</v>
      </c>
      <c r="K1032" t="s">
        <v>23</v>
      </c>
      <c r="L1032" t="s">
        <v>252</v>
      </c>
      <c r="M1032" t="s">
        <v>253</v>
      </c>
      <c r="N1032" t="s">
        <v>35</v>
      </c>
      <c r="O1032" t="s">
        <v>26</v>
      </c>
      <c r="P1032" t="s">
        <v>27</v>
      </c>
      <c r="Q1032" t="s">
        <v>28</v>
      </c>
      <c r="R1032" t="s">
        <v>29</v>
      </c>
      <c r="S1032" t="s">
        <v>30</v>
      </c>
      <c r="T1032">
        <v>1033793185</v>
      </c>
      <c r="U1032" t="s">
        <v>3948</v>
      </c>
      <c r="V1032" t="s">
        <v>3937</v>
      </c>
      <c r="W1032" s="9">
        <f>IF(V1032="pregrado",31,
IF(V1032="posgrados",31,
IF(V1032="rEINTEGROS",7,
IF(V1032="BIT",90,
IF(V1032="OP GRADO - INGLÉS",17,"")))))</f>
        <v>31</v>
      </c>
      <c r="X1032" t="s">
        <v>4082</v>
      </c>
    </row>
    <row r="1033" spans="1:24" ht="15" x14ac:dyDescent="0.35">
      <c r="A1033" s="4">
        <v>46032.593634259261</v>
      </c>
      <c r="B1033">
        <v>20112306</v>
      </c>
      <c r="C1033" s="6" t="s">
        <v>19</v>
      </c>
      <c r="D1033">
        <v>166116</v>
      </c>
      <c r="E1033" t="s">
        <v>43</v>
      </c>
      <c r="F1033">
        <v>19619222</v>
      </c>
      <c r="G1033" t="s">
        <v>1677</v>
      </c>
      <c r="H1033">
        <v>100241301</v>
      </c>
      <c r="I1033">
        <v>202641</v>
      </c>
      <c r="J1033">
        <v>19619222</v>
      </c>
      <c r="K1033" t="s">
        <v>23</v>
      </c>
      <c r="L1033" t="s">
        <v>160</v>
      </c>
      <c r="M1033" t="s">
        <v>47</v>
      </c>
      <c r="N1033" t="s">
        <v>35</v>
      </c>
      <c r="O1033" t="s">
        <v>26</v>
      </c>
      <c r="P1033" t="s">
        <v>27</v>
      </c>
      <c r="Q1033" t="s">
        <v>28</v>
      </c>
      <c r="R1033" t="s">
        <v>29</v>
      </c>
      <c r="S1033" t="s">
        <v>30</v>
      </c>
      <c r="T1033">
        <v>52916205</v>
      </c>
      <c r="U1033" t="s">
        <v>3936</v>
      </c>
      <c r="V1033" t="s">
        <v>3937</v>
      </c>
      <c r="W1033" s="9">
        <f>IF(V1033="pregrado",31,
IF(V1033="posgrados",31,
IF(V1033="rEINTEGROS",7,
IF(V1033="BIT",90,
IF(V1033="OP GRADO - INGLÉS",17,"")))))</f>
        <v>31</v>
      </c>
      <c r="X1033" t="s">
        <v>4032</v>
      </c>
    </row>
    <row r="1034" spans="1:24" ht="15" x14ac:dyDescent="0.35">
      <c r="A1034" s="4">
        <v>46043.817800925928</v>
      </c>
      <c r="B1034">
        <v>20115953</v>
      </c>
      <c r="C1034" s="6" t="s">
        <v>19</v>
      </c>
      <c r="D1034">
        <v>166123</v>
      </c>
      <c r="E1034" t="s">
        <v>43</v>
      </c>
      <c r="F1034">
        <v>1115721359</v>
      </c>
      <c r="G1034" t="s">
        <v>2123</v>
      </c>
      <c r="H1034">
        <v>100241312</v>
      </c>
      <c r="I1034">
        <v>202651</v>
      </c>
      <c r="J1034">
        <v>1115721359</v>
      </c>
      <c r="K1034" t="s">
        <v>23</v>
      </c>
      <c r="L1034" t="s">
        <v>252</v>
      </c>
      <c r="M1034" t="s">
        <v>253</v>
      </c>
      <c r="N1034" t="s">
        <v>35</v>
      </c>
      <c r="O1034" t="s">
        <v>26</v>
      </c>
      <c r="P1034" t="s">
        <v>27</v>
      </c>
      <c r="Q1034" t="s">
        <v>28</v>
      </c>
      <c r="R1034" t="s">
        <v>29</v>
      </c>
      <c r="S1034" t="s">
        <v>30</v>
      </c>
      <c r="T1034">
        <v>52965969</v>
      </c>
      <c r="U1034" t="s">
        <v>3936</v>
      </c>
      <c r="V1034" t="s">
        <v>3937</v>
      </c>
      <c r="W1034" s="9">
        <f>IF(V1034="pregrado",31,
IF(V1034="posgrados",31,
IF(V1034="rEINTEGROS",7,
IF(V1034="BIT",90,
IF(V1034="OP GRADO - INGLÉS",17,"")))))</f>
        <v>31</v>
      </c>
      <c r="X1034" t="s">
        <v>3960</v>
      </c>
    </row>
    <row r="1035" spans="1:24" ht="15" x14ac:dyDescent="0.35">
      <c r="A1035" s="4">
        <v>46037.499756944446</v>
      </c>
      <c r="B1035">
        <v>20113551</v>
      </c>
      <c r="C1035" s="6" t="s">
        <v>19</v>
      </c>
      <c r="D1035">
        <v>166338</v>
      </c>
      <c r="E1035" t="s">
        <v>43</v>
      </c>
      <c r="F1035">
        <v>52714841</v>
      </c>
      <c r="G1035" t="s">
        <v>1828</v>
      </c>
      <c r="H1035">
        <v>100241329</v>
      </c>
      <c r="I1035">
        <v>202651</v>
      </c>
      <c r="J1035">
        <v>52714841</v>
      </c>
      <c r="K1035" t="s">
        <v>23</v>
      </c>
      <c r="L1035" t="s">
        <v>252</v>
      </c>
      <c r="M1035" t="s">
        <v>253</v>
      </c>
      <c r="N1035" t="s">
        <v>35</v>
      </c>
      <c r="O1035" t="s">
        <v>26</v>
      </c>
      <c r="P1035" t="s">
        <v>27</v>
      </c>
      <c r="Q1035" t="s">
        <v>28</v>
      </c>
      <c r="R1035" t="s">
        <v>29</v>
      </c>
      <c r="S1035" t="s">
        <v>30</v>
      </c>
      <c r="T1035">
        <v>52032666</v>
      </c>
      <c r="U1035" t="s">
        <v>3948</v>
      </c>
      <c r="V1035" t="s">
        <v>3937</v>
      </c>
      <c r="W1035" s="9">
        <f>IF(V1035="pregrado",31,
IF(V1035="posgrados",31,
IF(V1035="rEINTEGROS",7,
IF(V1035="BIT",90,
IF(V1035="OP GRADO - INGLÉS",17,"")))))</f>
        <v>31</v>
      </c>
      <c r="X1035" t="s">
        <v>3983</v>
      </c>
    </row>
    <row r="1036" spans="1:24" ht="15" x14ac:dyDescent="0.35">
      <c r="A1036" s="4">
        <v>46035.479166666664</v>
      </c>
      <c r="B1036">
        <v>20112515</v>
      </c>
      <c r="C1036" s="6" t="s">
        <v>19</v>
      </c>
      <c r="D1036">
        <v>166342</v>
      </c>
      <c r="E1036" t="s">
        <v>43</v>
      </c>
      <c r="F1036">
        <v>1115748474</v>
      </c>
      <c r="G1036" t="s">
        <v>1692</v>
      </c>
      <c r="H1036">
        <v>100241338</v>
      </c>
      <c r="I1036">
        <v>202641</v>
      </c>
      <c r="J1036">
        <v>1115748474</v>
      </c>
      <c r="K1036" t="s">
        <v>23</v>
      </c>
      <c r="L1036" t="s">
        <v>59</v>
      </c>
      <c r="M1036" t="s">
        <v>47</v>
      </c>
      <c r="N1036" t="s">
        <v>35</v>
      </c>
      <c r="O1036" t="s">
        <v>26</v>
      </c>
      <c r="P1036" t="s">
        <v>27</v>
      </c>
      <c r="Q1036" t="s">
        <v>28</v>
      </c>
      <c r="R1036" t="s">
        <v>29</v>
      </c>
      <c r="S1036" t="s">
        <v>30</v>
      </c>
      <c r="T1036">
        <v>1070973852</v>
      </c>
      <c r="U1036" t="s">
        <v>3936</v>
      </c>
      <c r="V1036" t="s">
        <v>3937</v>
      </c>
      <c r="W1036" s="9">
        <f>IF(V1036="pregrado",31,
IF(V1036="posgrados",31,
IF(V1036="rEINTEGROS",7,
IF(V1036="BIT",90,
IF(V1036="OP GRADO - INGLÉS",17,"")))))</f>
        <v>31</v>
      </c>
      <c r="X1036" t="s">
        <v>3957</v>
      </c>
    </row>
    <row r="1037" spans="1:24" ht="15" x14ac:dyDescent="0.35">
      <c r="A1037" s="4">
        <v>46071.47892361111</v>
      </c>
      <c r="B1037">
        <v>20124424</v>
      </c>
      <c r="C1037" s="6" t="s">
        <v>19</v>
      </c>
      <c r="D1037">
        <v>166344</v>
      </c>
      <c r="E1037" t="s">
        <v>43</v>
      </c>
      <c r="F1037">
        <v>1027943781</v>
      </c>
      <c r="G1037" t="s">
        <v>3349</v>
      </c>
      <c r="H1037">
        <v>100241345</v>
      </c>
      <c r="I1037">
        <v>202651</v>
      </c>
      <c r="J1037">
        <v>1027945007</v>
      </c>
      <c r="K1037" t="s">
        <v>23</v>
      </c>
      <c r="L1037" t="s">
        <v>252</v>
      </c>
      <c r="M1037" t="s">
        <v>253</v>
      </c>
      <c r="N1037" t="s">
        <v>35</v>
      </c>
      <c r="O1037" t="s">
        <v>26</v>
      </c>
      <c r="P1037" t="s">
        <v>27</v>
      </c>
      <c r="Q1037" t="s">
        <v>28</v>
      </c>
      <c r="R1037" t="s">
        <v>29</v>
      </c>
      <c r="S1037" t="s">
        <v>30</v>
      </c>
      <c r="T1037">
        <v>1019068131</v>
      </c>
      <c r="U1037" t="s">
        <v>3948</v>
      </c>
      <c r="V1037" t="s">
        <v>3937</v>
      </c>
      <c r="W1037" s="9">
        <f>IF(V1037="pregrado",31,
IF(V1037="posgrados",31,
IF(V1037="rEINTEGROS",7,
IF(V1037="BIT",90,
IF(V1037="OP GRADO - INGLÉS",17,"")))))</f>
        <v>31</v>
      </c>
      <c r="X1037" t="s">
        <v>4066</v>
      </c>
    </row>
    <row r="1038" spans="1:24" ht="15" x14ac:dyDescent="0.35">
      <c r="A1038" s="4">
        <v>46044.755381944444</v>
      </c>
      <c r="B1038">
        <v>20116348</v>
      </c>
      <c r="C1038" s="6" t="s">
        <v>19</v>
      </c>
      <c r="D1038">
        <v>166348</v>
      </c>
      <c r="E1038" t="s">
        <v>43</v>
      </c>
      <c r="F1038">
        <v>1032467269</v>
      </c>
      <c r="G1038" t="s">
        <v>2205</v>
      </c>
      <c r="H1038">
        <v>100170899</v>
      </c>
      <c r="I1038">
        <v>202651</v>
      </c>
      <c r="J1038">
        <v>1032467269</v>
      </c>
      <c r="K1038" t="s">
        <v>74</v>
      </c>
      <c r="L1038" t="s">
        <v>252</v>
      </c>
      <c r="M1038" t="s">
        <v>253</v>
      </c>
      <c r="N1038" t="s">
        <v>35</v>
      </c>
      <c r="O1038" t="s">
        <v>26</v>
      </c>
      <c r="P1038" t="s">
        <v>27</v>
      </c>
      <c r="Q1038" t="s">
        <v>28</v>
      </c>
      <c r="R1038" t="s">
        <v>29</v>
      </c>
      <c r="S1038" t="s">
        <v>30</v>
      </c>
      <c r="T1038">
        <v>1193146767</v>
      </c>
      <c r="U1038" t="s">
        <v>3936</v>
      </c>
      <c r="V1038" t="s">
        <v>3937</v>
      </c>
      <c r="W1038" s="9">
        <f>IF(V1038="pregrado",31,
IF(V1038="posgrados",31,
IF(V1038="rEINTEGROS",7,
IF(V1038="BIT",90,
IF(V1038="OP GRADO - INGLÉS",17,"")))))</f>
        <v>31</v>
      </c>
      <c r="X1038" t="s">
        <v>4072</v>
      </c>
    </row>
    <row r="1039" spans="1:24" ht="15" x14ac:dyDescent="0.35">
      <c r="A1039" s="4">
        <v>46039.454201388886</v>
      </c>
      <c r="B1039">
        <v>20114685</v>
      </c>
      <c r="C1039" s="6" t="s">
        <v>19</v>
      </c>
      <c r="D1039">
        <v>166367</v>
      </c>
      <c r="E1039" t="s">
        <v>43</v>
      </c>
      <c r="F1039">
        <v>1053827793</v>
      </c>
      <c r="G1039" t="s">
        <v>1948</v>
      </c>
      <c r="H1039">
        <v>100097830</v>
      </c>
      <c r="I1039">
        <v>202641</v>
      </c>
      <c r="J1039">
        <v>1053827793</v>
      </c>
      <c r="K1039" t="s">
        <v>23</v>
      </c>
      <c r="L1039" t="s">
        <v>59</v>
      </c>
      <c r="M1039" t="s">
        <v>47</v>
      </c>
      <c r="N1039" t="s">
        <v>35</v>
      </c>
      <c r="O1039" t="s">
        <v>26</v>
      </c>
      <c r="P1039" t="s">
        <v>27</v>
      </c>
      <c r="Q1039" t="s">
        <v>28</v>
      </c>
      <c r="R1039" t="s">
        <v>29</v>
      </c>
      <c r="S1039" t="s">
        <v>30</v>
      </c>
      <c r="T1039">
        <v>1075542872</v>
      </c>
      <c r="U1039" t="s">
        <v>3948</v>
      </c>
      <c r="V1039" t="s">
        <v>3937</v>
      </c>
      <c r="W1039" s="9">
        <f>IF(V1039="pregrado",31,
IF(V1039="posgrados",31,
IF(V1039="rEINTEGROS",7,
IF(V1039="BIT",90,
IF(V1039="OP GRADO - INGLÉS",17,"")))))</f>
        <v>31</v>
      </c>
      <c r="X1039" t="s">
        <v>3974</v>
      </c>
    </row>
    <row r="1040" spans="1:24" ht="15" x14ac:dyDescent="0.35">
      <c r="A1040" s="4">
        <v>46035.604826388888</v>
      </c>
      <c r="B1040">
        <v>20112622</v>
      </c>
      <c r="C1040" s="6" t="s">
        <v>19</v>
      </c>
      <c r="D1040">
        <v>166369</v>
      </c>
      <c r="E1040" t="s">
        <v>43</v>
      </c>
      <c r="F1040">
        <v>1121932803</v>
      </c>
      <c r="G1040" t="s">
        <v>1705</v>
      </c>
      <c r="H1040">
        <v>100241391</v>
      </c>
      <c r="I1040">
        <v>202641</v>
      </c>
      <c r="J1040">
        <v>1121932803</v>
      </c>
      <c r="K1040" t="s">
        <v>23</v>
      </c>
      <c r="L1040" t="s">
        <v>72</v>
      </c>
      <c r="M1040" t="s">
        <v>47</v>
      </c>
      <c r="N1040" t="s">
        <v>35</v>
      </c>
      <c r="O1040" t="s">
        <v>26</v>
      </c>
      <c r="P1040" t="s">
        <v>27</v>
      </c>
      <c r="Q1040" t="s">
        <v>28</v>
      </c>
      <c r="R1040" t="s">
        <v>29</v>
      </c>
      <c r="S1040" t="s">
        <v>30</v>
      </c>
      <c r="T1040">
        <v>52916205</v>
      </c>
      <c r="U1040" t="s">
        <v>3936</v>
      </c>
      <c r="V1040" t="s">
        <v>3937</v>
      </c>
      <c r="W1040" s="9">
        <f>IF(V1040="pregrado",31,
IF(V1040="posgrados",31,
IF(V1040="rEINTEGROS",7,
IF(V1040="BIT",90,
IF(V1040="OP GRADO - INGLÉS",17,"")))))</f>
        <v>31</v>
      </c>
      <c r="X1040" t="s">
        <v>4032</v>
      </c>
    </row>
    <row r="1041" spans="1:24" ht="15" x14ac:dyDescent="0.35">
      <c r="A1041" s="4">
        <v>46036.740879629629</v>
      </c>
      <c r="B1041">
        <v>20113273</v>
      </c>
      <c r="C1041" s="6" t="s">
        <v>19</v>
      </c>
      <c r="D1041">
        <v>166377</v>
      </c>
      <c r="E1041" t="s">
        <v>43</v>
      </c>
      <c r="F1041">
        <v>1053335088</v>
      </c>
      <c r="G1041" t="s">
        <v>1798</v>
      </c>
      <c r="H1041">
        <v>100241405</v>
      </c>
      <c r="I1041">
        <v>202651</v>
      </c>
      <c r="J1041">
        <v>1053335088</v>
      </c>
      <c r="K1041" t="s">
        <v>23</v>
      </c>
      <c r="L1041" t="s">
        <v>252</v>
      </c>
      <c r="M1041" t="s">
        <v>253</v>
      </c>
      <c r="N1041" t="s">
        <v>35</v>
      </c>
      <c r="O1041" t="s">
        <v>26</v>
      </c>
      <c r="P1041" t="s">
        <v>27</v>
      </c>
      <c r="Q1041" t="s">
        <v>28</v>
      </c>
      <c r="R1041" t="s">
        <v>29</v>
      </c>
      <c r="S1041" t="s">
        <v>30</v>
      </c>
      <c r="T1041">
        <v>1033784244</v>
      </c>
      <c r="U1041" t="s">
        <v>3948</v>
      </c>
      <c r="V1041" t="s">
        <v>3937</v>
      </c>
      <c r="W1041" s="9">
        <f>IF(V1041="pregrado",31,
IF(V1041="posgrados",31,
IF(V1041="rEINTEGROS",7,
IF(V1041="BIT",90,
IF(V1041="OP GRADO - INGLÉS",17,"")))))</f>
        <v>31</v>
      </c>
      <c r="X1041" t="s">
        <v>4067</v>
      </c>
    </row>
    <row r="1042" spans="1:24" ht="15" x14ac:dyDescent="0.35">
      <c r="A1042" s="4">
        <v>46036.505740740744</v>
      </c>
      <c r="B1042">
        <v>20113017</v>
      </c>
      <c r="C1042" s="6" t="s">
        <v>19</v>
      </c>
      <c r="D1042">
        <v>166380</v>
      </c>
      <c r="E1042" t="s">
        <v>43</v>
      </c>
      <c r="F1042">
        <v>1088597233</v>
      </c>
      <c r="G1042" t="s">
        <v>1756</v>
      </c>
      <c r="H1042">
        <v>100241408</v>
      </c>
      <c r="I1042">
        <v>202641</v>
      </c>
      <c r="J1042">
        <v>1088597233</v>
      </c>
      <c r="K1042" t="s">
        <v>23</v>
      </c>
      <c r="L1042" t="s">
        <v>955</v>
      </c>
      <c r="M1042" t="s">
        <v>47</v>
      </c>
      <c r="N1042" t="s">
        <v>25</v>
      </c>
      <c r="O1042" t="s">
        <v>26</v>
      </c>
      <c r="P1042" t="s">
        <v>27</v>
      </c>
      <c r="Q1042" t="s">
        <v>28</v>
      </c>
      <c r="R1042" t="s">
        <v>29</v>
      </c>
      <c r="S1042" t="s">
        <v>30</v>
      </c>
      <c r="T1042">
        <v>1033781417</v>
      </c>
      <c r="U1042" t="s">
        <v>3948</v>
      </c>
      <c r="V1042" t="s">
        <v>3937</v>
      </c>
      <c r="W1042" s="9">
        <f>IF(V1042="pregrado",31,
IF(V1042="posgrados",31,
IF(V1042="rEINTEGROS",7,
IF(V1042="BIT",90,
IF(V1042="OP GRADO - INGLÉS",17,"")))))</f>
        <v>31</v>
      </c>
      <c r="X1042" t="s">
        <v>4031</v>
      </c>
    </row>
    <row r="1043" spans="1:24" ht="15" x14ac:dyDescent="0.35">
      <c r="A1043" s="4">
        <v>46067.368645833332</v>
      </c>
      <c r="B1043">
        <v>20123394</v>
      </c>
      <c r="C1043" s="6" t="s">
        <v>19</v>
      </c>
      <c r="D1043">
        <v>166387</v>
      </c>
      <c r="E1043" t="s">
        <v>43</v>
      </c>
      <c r="F1043">
        <v>51672076</v>
      </c>
      <c r="G1043" t="s">
        <v>3200</v>
      </c>
      <c r="H1043">
        <v>100041439</v>
      </c>
      <c r="I1043">
        <v>202641</v>
      </c>
      <c r="J1043">
        <v>1013670755</v>
      </c>
      <c r="K1043" t="s">
        <v>23</v>
      </c>
      <c r="L1043" t="s">
        <v>294</v>
      </c>
      <c r="M1043" t="s">
        <v>47</v>
      </c>
      <c r="N1043" t="s">
        <v>35</v>
      </c>
      <c r="O1043" t="s">
        <v>26</v>
      </c>
      <c r="P1043" t="s">
        <v>27</v>
      </c>
      <c r="Q1043" t="s">
        <v>28</v>
      </c>
      <c r="R1043" t="s">
        <v>29</v>
      </c>
      <c r="S1043" t="s">
        <v>30</v>
      </c>
      <c r="T1043">
        <v>1012389748</v>
      </c>
      <c r="U1043" t="s">
        <v>3948</v>
      </c>
      <c r="V1043" t="s">
        <v>3937</v>
      </c>
      <c r="W1043" s="9">
        <f>IF(V1043="pregrado",31,
IF(V1043="posgrados",31,
IF(V1043="rEINTEGROS",7,
IF(V1043="BIT",90,
IF(V1043="OP GRADO - INGLÉS",17,"")))))</f>
        <v>31</v>
      </c>
      <c r="X1043" t="s">
        <v>4065</v>
      </c>
    </row>
    <row r="1044" spans="1:24" ht="15" x14ac:dyDescent="0.35">
      <c r="A1044" s="4">
        <v>46043.337557870371</v>
      </c>
      <c r="B1044">
        <v>20115571</v>
      </c>
      <c r="C1044" s="6" t="s">
        <v>19</v>
      </c>
      <c r="D1044">
        <v>166391</v>
      </c>
      <c r="E1044" t="s">
        <v>43</v>
      </c>
      <c r="F1044">
        <v>1006723790</v>
      </c>
      <c r="G1044" t="s">
        <v>2054</v>
      </c>
      <c r="H1044">
        <v>100184811</v>
      </c>
      <c r="I1044">
        <v>202641</v>
      </c>
      <c r="J1044">
        <v>1006723790</v>
      </c>
      <c r="K1044" t="s">
        <v>23</v>
      </c>
      <c r="L1044" t="s">
        <v>72</v>
      </c>
      <c r="M1044" t="s">
        <v>47</v>
      </c>
      <c r="N1044" t="s">
        <v>25</v>
      </c>
      <c r="O1044" t="s">
        <v>26</v>
      </c>
      <c r="P1044" t="s">
        <v>27</v>
      </c>
      <c r="Q1044" t="s">
        <v>28</v>
      </c>
      <c r="R1044" t="s">
        <v>29</v>
      </c>
      <c r="S1044" t="s">
        <v>30</v>
      </c>
      <c r="T1044">
        <v>1022407392</v>
      </c>
      <c r="U1044" t="s">
        <v>3936</v>
      </c>
      <c r="V1044" t="s">
        <v>3937</v>
      </c>
      <c r="W1044" s="9">
        <f>IF(V1044="pregrado",31,
IF(V1044="posgrados",31,
IF(V1044="rEINTEGROS",7,
IF(V1044="BIT",90,
IF(V1044="OP GRADO - INGLÉS",17,"")))))</f>
        <v>31</v>
      </c>
      <c r="X1044" t="s">
        <v>3975</v>
      </c>
    </row>
    <row r="1045" spans="1:24" ht="15" x14ac:dyDescent="0.35">
      <c r="A1045" s="4">
        <v>46036.449965277781</v>
      </c>
      <c r="B1045">
        <v>20112951</v>
      </c>
      <c r="C1045" s="6" t="s">
        <v>19</v>
      </c>
      <c r="D1045">
        <v>166392</v>
      </c>
      <c r="E1045" t="s">
        <v>43</v>
      </c>
      <c r="F1045">
        <v>1022335508</v>
      </c>
      <c r="G1045" t="s">
        <v>1743</v>
      </c>
      <c r="H1045">
        <v>100241434</v>
      </c>
      <c r="I1045">
        <v>202651</v>
      </c>
      <c r="J1045">
        <v>1022335508</v>
      </c>
      <c r="K1045" t="s">
        <v>23</v>
      </c>
      <c r="L1045" t="s">
        <v>252</v>
      </c>
      <c r="M1045" t="s">
        <v>253</v>
      </c>
      <c r="N1045" t="s">
        <v>35</v>
      </c>
      <c r="O1045" t="s">
        <v>26</v>
      </c>
      <c r="P1045" t="s">
        <v>27</v>
      </c>
      <c r="Q1045" t="s">
        <v>28</v>
      </c>
      <c r="R1045" t="s">
        <v>29</v>
      </c>
      <c r="S1045" t="s">
        <v>30</v>
      </c>
      <c r="T1045">
        <v>1012355141</v>
      </c>
      <c r="U1045" t="s">
        <v>3936</v>
      </c>
      <c r="V1045" t="s">
        <v>3937</v>
      </c>
      <c r="W1045" s="9">
        <f>IF(V1045="pregrado",31,
IF(V1045="posgrados",31,
IF(V1045="rEINTEGROS",7,
IF(V1045="BIT",90,
IF(V1045="OP GRADO - INGLÉS",17,"")))))</f>
        <v>31</v>
      </c>
      <c r="X1045" t="s">
        <v>4045</v>
      </c>
    </row>
    <row r="1046" spans="1:24" ht="15" x14ac:dyDescent="0.35">
      <c r="A1046" s="4">
        <v>46072.429768518516</v>
      </c>
      <c r="B1046">
        <v>20124768</v>
      </c>
      <c r="C1046" s="6" t="s">
        <v>19</v>
      </c>
      <c r="D1046">
        <v>166395</v>
      </c>
      <c r="E1046" t="s">
        <v>43</v>
      </c>
      <c r="F1046">
        <v>52964389</v>
      </c>
      <c r="G1046" t="s">
        <v>3395</v>
      </c>
      <c r="H1046">
        <v>900001170</v>
      </c>
      <c r="I1046">
        <v>202651</v>
      </c>
      <c r="J1046">
        <v>52964389</v>
      </c>
      <c r="K1046" t="s">
        <v>23</v>
      </c>
      <c r="L1046" t="s">
        <v>252</v>
      </c>
      <c r="M1046" t="s">
        <v>253</v>
      </c>
      <c r="N1046" t="s">
        <v>35</v>
      </c>
      <c r="O1046" t="s">
        <v>26</v>
      </c>
      <c r="P1046" t="s">
        <v>27</v>
      </c>
      <c r="Q1046" t="s">
        <v>28</v>
      </c>
      <c r="R1046" t="s">
        <v>29</v>
      </c>
      <c r="S1046" t="s">
        <v>30</v>
      </c>
      <c r="T1046">
        <v>52032666</v>
      </c>
      <c r="U1046" t="s">
        <v>3948</v>
      </c>
      <c r="V1046" t="s">
        <v>3937</v>
      </c>
      <c r="W1046" s="9">
        <f>IF(V1046="pregrado",31,
IF(V1046="posgrados",31,
IF(V1046="rEINTEGROS",7,
IF(V1046="BIT",90,
IF(V1046="OP GRADO - INGLÉS",17,"")))))</f>
        <v>31</v>
      </c>
      <c r="X1046" t="s">
        <v>3983</v>
      </c>
    </row>
    <row r="1047" spans="1:24" ht="15" x14ac:dyDescent="0.35">
      <c r="A1047" s="4">
        <v>46036.648587962962</v>
      </c>
      <c r="B1047">
        <v>20113180</v>
      </c>
      <c r="C1047" s="6" t="s">
        <v>19</v>
      </c>
      <c r="D1047">
        <v>166404</v>
      </c>
      <c r="E1047" t="s">
        <v>43</v>
      </c>
      <c r="F1047">
        <v>1119217680</v>
      </c>
      <c r="G1047" t="s">
        <v>1779</v>
      </c>
      <c r="H1047">
        <v>100201310</v>
      </c>
      <c r="I1047">
        <v>202641</v>
      </c>
      <c r="J1047">
        <v>1119217680</v>
      </c>
      <c r="K1047" t="s">
        <v>23</v>
      </c>
      <c r="L1047" t="s">
        <v>294</v>
      </c>
      <c r="M1047" t="s">
        <v>47</v>
      </c>
      <c r="N1047" t="s">
        <v>35</v>
      </c>
      <c r="O1047" t="s">
        <v>26</v>
      </c>
      <c r="P1047" t="s">
        <v>27</v>
      </c>
      <c r="Q1047" t="s">
        <v>28</v>
      </c>
      <c r="R1047" t="s">
        <v>29</v>
      </c>
      <c r="S1047" t="s">
        <v>30</v>
      </c>
      <c r="T1047">
        <v>1032406382</v>
      </c>
      <c r="U1047" t="s">
        <v>3936</v>
      </c>
      <c r="V1047" t="s">
        <v>3937</v>
      </c>
      <c r="W1047" s="9">
        <f>IF(V1047="pregrado",31,
IF(V1047="posgrados",31,
IF(V1047="rEINTEGROS",7,
IF(V1047="BIT",90,
IF(V1047="OP GRADO - INGLÉS",17,"")))))</f>
        <v>31</v>
      </c>
      <c r="X1047" t="s">
        <v>3991</v>
      </c>
    </row>
    <row r="1048" spans="1:24" ht="15" x14ac:dyDescent="0.35">
      <c r="A1048" s="4">
        <v>46036.638912037037</v>
      </c>
      <c r="B1048">
        <v>20113166</v>
      </c>
      <c r="C1048" s="6" t="s">
        <v>19</v>
      </c>
      <c r="D1048">
        <v>166407</v>
      </c>
      <c r="E1048" t="s">
        <v>43</v>
      </c>
      <c r="F1048">
        <v>1082903734</v>
      </c>
      <c r="G1048" t="s">
        <v>1775</v>
      </c>
      <c r="H1048">
        <v>100241459</v>
      </c>
      <c r="I1048">
        <v>202651</v>
      </c>
      <c r="J1048">
        <v>1082903734</v>
      </c>
      <c r="K1048" t="s">
        <v>23</v>
      </c>
      <c r="L1048" t="s">
        <v>252</v>
      </c>
      <c r="M1048" t="s">
        <v>253</v>
      </c>
      <c r="N1048" t="s">
        <v>35</v>
      </c>
      <c r="O1048" t="s">
        <v>26</v>
      </c>
      <c r="P1048" t="s">
        <v>27</v>
      </c>
      <c r="Q1048" t="s">
        <v>28</v>
      </c>
      <c r="R1048" t="s">
        <v>29</v>
      </c>
      <c r="S1048" t="s">
        <v>30</v>
      </c>
      <c r="T1048">
        <v>1075542872</v>
      </c>
      <c r="U1048" t="s">
        <v>3948</v>
      </c>
      <c r="V1048" t="s">
        <v>3937</v>
      </c>
      <c r="W1048" s="9">
        <f>IF(V1048="pregrado",31,
IF(V1048="posgrados",31,
IF(V1048="rEINTEGROS",7,
IF(V1048="BIT",90,
IF(V1048="OP GRADO - INGLÉS",17,"")))))</f>
        <v>31</v>
      </c>
      <c r="X1048" t="s">
        <v>3974</v>
      </c>
    </row>
    <row r="1049" spans="1:24" ht="15" x14ac:dyDescent="0.35">
      <c r="A1049" s="4">
        <v>46038.681863425925</v>
      </c>
      <c r="B1049">
        <v>20114455</v>
      </c>
      <c r="C1049" s="6" t="s">
        <v>19</v>
      </c>
      <c r="D1049">
        <v>166410</v>
      </c>
      <c r="E1049" t="s">
        <v>43</v>
      </c>
      <c r="F1049">
        <v>1082692723</v>
      </c>
      <c r="G1049" t="s">
        <v>1921</v>
      </c>
      <c r="H1049">
        <v>100037228</v>
      </c>
      <c r="I1049">
        <v>202651</v>
      </c>
      <c r="J1049">
        <v>1082692723</v>
      </c>
      <c r="K1049" t="s">
        <v>23</v>
      </c>
      <c r="L1049" t="s">
        <v>252</v>
      </c>
      <c r="M1049" t="s">
        <v>253</v>
      </c>
      <c r="N1049" t="s">
        <v>35</v>
      </c>
      <c r="O1049" t="s">
        <v>26</v>
      </c>
      <c r="P1049" t="s">
        <v>27</v>
      </c>
      <c r="Q1049" t="s">
        <v>28</v>
      </c>
      <c r="R1049" t="s">
        <v>29</v>
      </c>
      <c r="S1049" t="s">
        <v>30</v>
      </c>
      <c r="T1049">
        <v>1033781417</v>
      </c>
      <c r="U1049" t="s">
        <v>3948</v>
      </c>
      <c r="V1049" t="s">
        <v>3937</v>
      </c>
      <c r="W1049" s="9">
        <f>IF(V1049="pregrado",31,
IF(V1049="posgrados",31,
IF(V1049="rEINTEGROS",7,
IF(V1049="BIT",90,
IF(V1049="OP GRADO - INGLÉS",17,"")))))</f>
        <v>31</v>
      </c>
      <c r="X1049" t="s">
        <v>4031</v>
      </c>
    </row>
    <row r="1050" spans="1:24" ht="15" x14ac:dyDescent="0.35">
      <c r="A1050" s="4">
        <v>46036.367650462962</v>
      </c>
      <c r="B1050">
        <v>20112867</v>
      </c>
      <c r="C1050" s="6" t="s">
        <v>19</v>
      </c>
      <c r="D1050">
        <v>166412</v>
      </c>
      <c r="E1050" t="s">
        <v>43</v>
      </c>
      <c r="F1050">
        <v>1005051580</v>
      </c>
      <c r="G1050" t="s">
        <v>1731</v>
      </c>
      <c r="H1050">
        <v>100241464</v>
      </c>
      <c r="I1050">
        <v>202651</v>
      </c>
      <c r="J1050">
        <v>1005051580</v>
      </c>
      <c r="K1050" t="s">
        <v>23</v>
      </c>
      <c r="L1050" t="s">
        <v>252</v>
      </c>
      <c r="M1050" t="s">
        <v>253</v>
      </c>
      <c r="N1050" t="s">
        <v>35</v>
      </c>
      <c r="O1050" t="s">
        <v>26</v>
      </c>
      <c r="P1050" t="s">
        <v>27</v>
      </c>
      <c r="Q1050" t="s">
        <v>28</v>
      </c>
      <c r="R1050" t="s">
        <v>29</v>
      </c>
      <c r="S1050" t="s">
        <v>30</v>
      </c>
      <c r="T1050">
        <v>1073673268</v>
      </c>
      <c r="U1050" t="s">
        <v>3948</v>
      </c>
      <c r="V1050" t="s">
        <v>3937</v>
      </c>
      <c r="W1050" s="9">
        <f>IF(V1050="pregrado",31,
IF(V1050="posgrados",31,
IF(V1050="rEINTEGROS",7,
IF(V1050="BIT",90,
IF(V1050="OP GRADO - INGLÉS",17,"")))))</f>
        <v>31</v>
      </c>
      <c r="X1050" t="s">
        <v>4080</v>
      </c>
    </row>
    <row r="1051" spans="1:24" ht="15" x14ac:dyDescent="0.35">
      <c r="A1051" s="4">
        <v>46036.436388888891</v>
      </c>
      <c r="B1051">
        <v>20112931</v>
      </c>
      <c r="C1051" s="6" t="s">
        <v>19</v>
      </c>
      <c r="D1051">
        <v>166414</v>
      </c>
      <c r="E1051" t="s">
        <v>43</v>
      </c>
      <c r="F1051">
        <v>1048324300</v>
      </c>
      <c r="G1051" t="s">
        <v>1741</v>
      </c>
      <c r="H1051">
        <v>100241476</v>
      </c>
      <c r="I1051">
        <v>202641</v>
      </c>
      <c r="J1051">
        <v>1048324300</v>
      </c>
      <c r="K1051" t="s">
        <v>23</v>
      </c>
      <c r="L1051" t="s">
        <v>72</v>
      </c>
      <c r="M1051" t="s">
        <v>47</v>
      </c>
      <c r="N1051" t="s">
        <v>35</v>
      </c>
      <c r="O1051" t="s">
        <v>26</v>
      </c>
      <c r="P1051" t="s">
        <v>27</v>
      </c>
      <c r="Q1051" t="s">
        <v>28</v>
      </c>
      <c r="R1051" t="s">
        <v>29</v>
      </c>
      <c r="S1051" t="s">
        <v>30</v>
      </c>
      <c r="T1051">
        <v>53116792</v>
      </c>
      <c r="U1051" t="s">
        <v>3936</v>
      </c>
      <c r="V1051" t="s">
        <v>3937</v>
      </c>
      <c r="W1051" s="9">
        <f>IF(V1051="pregrado",31,
IF(V1051="posgrados",31,
IF(V1051="rEINTEGROS",7,
IF(V1051="BIT",90,
IF(V1051="OP GRADO - INGLÉS",17,"")))))</f>
        <v>31</v>
      </c>
      <c r="X1051" t="s">
        <v>4008</v>
      </c>
    </row>
    <row r="1052" spans="1:24" ht="15" x14ac:dyDescent="0.35">
      <c r="A1052" s="4">
        <v>46057.515648148146</v>
      </c>
      <c r="B1052">
        <v>20120427</v>
      </c>
      <c r="C1052" s="6" t="s">
        <v>19</v>
      </c>
      <c r="D1052">
        <v>166416</v>
      </c>
      <c r="E1052" t="s">
        <v>43</v>
      </c>
      <c r="F1052">
        <v>43088884</v>
      </c>
      <c r="G1052" t="s">
        <v>2743</v>
      </c>
      <c r="H1052">
        <v>100073970</v>
      </c>
      <c r="I1052">
        <v>202641</v>
      </c>
      <c r="J1052">
        <v>1040490600</v>
      </c>
      <c r="K1052" t="s">
        <v>46</v>
      </c>
      <c r="L1052" t="s">
        <v>45</v>
      </c>
      <c r="M1052" t="s">
        <v>47</v>
      </c>
      <c r="N1052" t="s">
        <v>35</v>
      </c>
      <c r="O1052" t="s">
        <v>26</v>
      </c>
      <c r="P1052" t="s">
        <v>27</v>
      </c>
      <c r="Q1052" t="s">
        <v>28</v>
      </c>
      <c r="R1052" t="s">
        <v>29</v>
      </c>
      <c r="S1052" t="s">
        <v>30</v>
      </c>
      <c r="T1052">
        <v>1022407392</v>
      </c>
      <c r="U1052" t="s">
        <v>3936</v>
      </c>
      <c r="V1052" t="s">
        <v>3937</v>
      </c>
      <c r="W1052" s="9">
        <f>IF(V1052="pregrado",31,
IF(V1052="posgrados",31,
IF(V1052="rEINTEGROS",7,
IF(V1052="BIT",90,
IF(V1052="OP GRADO - INGLÉS",17,"")))))</f>
        <v>31</v>
      </c>
      <c r="X1052" t="s">
        <v>3975</v>
      </c>
    </row>
    <row r="1053" spans="1:24" ht="15" x14ac:dyDescent="0.35">
      <c r="A1053" s="4">
        <v>46041.744131944448</v>
      </c>
      <c r="B1053">
        <v>20115070</v>
      </c>
      <c r="C1053" s="6" t="s">
        <v>19</v>
      </c>
      <c r="D1053">
        <v>166420</v>
      </c>
      <c r="E1053" t="s">
        <v>43</v>
      </c>
      <c r="F1053">
        <v>59672413</v>
      </c>
      <c r="G1053" t="s">
        <v>1987</v>
      </c>
      <c r="H1053">
        <v>100241489</v>
      </c>
      <c r="I1053">
        <v>202651</v>
      </c>
      <c r="J1053">
        <v>1087203588</v>
      </c>
      <c r="K1053" t="s">
        <v>23</v>
      </c>
      <c r="L1053" t="s">
        <v>252</v>
      </c>
      <c r="M1053" t="s">
        <v>253</v>
      </c>
      <c r="N1053" t="s">
        <v>25</v>
      </c>
      <c r="O1053" t="s">
        <v>26</v>
      </c>
      <c r="P1053" t="s">
        <v>27</v>
      </c>
      <c r="Q1053" t="s">
        <v>28</v>
      </c>
      <c r="R1053" t="s">
        <v>29</v>
      </c>
      <c r="S1053" t="s">
        <v>30</v>
      </c>
      <c r="T1053">
        <v>1032406382</v>
      </c>
      <c r="U1053" t="s">
        <v>3936</v>
      </c>
      <c r="V1053" t="s">
        <v>3937</v>
      </c>
      <c r="W1053" s="9">
        <f>IF(V1053="pregrado",31,
IF(V1053="posgrados",31,
IF(V1053="rEINTEGROS",7,
IF(V1053="BIT",90,
IF(V1053="OP GRADO - INGLÉS",17,"")))))</f>
        <v>31</v>
      </c>
      <c r="X1053" t="s">
        <v>3991</v>
      </c>
    </row>
    <row r="1054" spans="1:24" ht="15" x14ac:dyDescent="0.35">
      <c r="A1054" s="4">
        <v>46035.723587962966</v>
      </c>
      <c r="B1054">
        <v>20112738</v>
      </c>
      <c r="C1054" s="6" t="s">
        <v>19</v>
      </c>
      <c r="D1054">
        <v>166423</v>
      </c>
      <c r="E1054" t="s">
        <v>43</v>
      </c>
      <c r="F1054">
        <v>1192751651</v>
      </c>
      <c r="G1054" t="s">
        <v>1716</v>
      </c>
      <c r="H1054">
        <v>100172216</v>
      </c>
      <c r="I1054">
        <v>202651</v>
      </c>
      <c r="J1054">
        <v>1192751651</v>
      </c>
      <c r="K1054" t="s">
        <v>74</v>
      </c>
      <c r="L1054" t="s">
        <v>252</v>
      </c>
      <c r="M1054" t="s">
        <v>253</v>
      </c>
      <c r="N1054" t="s">
        <v>35</v>
      </c>
      <c r="O1054" t="s">
        <v>26</v>
      </c>
      <c r="P1054" t="s">
        <v>27</v>
      </c>
      <c r="Q1054" t="s">
        <v>28</v>
      </c>
      <c r="R1054" t="s">
        <v>29</v>
      </c>
      <c r="S1054" t="s">
        <v>30</v>
      </c>
      <c r="T1054">
        <v>1075542872</v>
      </c>
      <c r="U1054" t="s">
        <v>3948</v>
      </c>
      <c r="V1054" t="s">
        <v>3937</v>
      </c>
      <c r="W1054" s="9">
        <f>IF(V1054="pregrado",31,
IF(V1054="posgrados",31,
IF(V1054="rEINTEGROS",7,
IF(V1054="BIT",90,
IF(V1054="OP GRADO - INGLÉS",17,"")))))</f>
        <v>31</v>
      </c>
      <c r="X1054" t="s">
        <v>3974</v>
      </c>
    </row>
    <row r="1055" spans="1:24" ht="15" x14ac:dyDescent="0.35">
      <c r="A1055" s="4">
        <v>46036.454618055555</v>
      </c>
      <c r="B1055">
        <v>20112957</v>
      </c>
      <c r="C1055" s="6" t="s">
        <v>19</v>
      </c>
      <c r="D1055">
        <v>166431</v>
      </c>
      <c r="E1055" t="s">
        <v>43</v>
      </c>
      <c r="F1055">
        <v>1016030889</v>
      </c>
      <c r="G1055" t="s">
        <v>1744</v>
      </c>
      <c r="H1055">
        <v>100241508</v>
      </c>
      <c r="I1055">
        <v>202641</v>
      </c>
      <c r="J1055">
        <v>1016030889</v>
      </c>
      <c r="K1055" t="s">
        <v>23</v>
      </c>
      <c r="L1055" t="s">
        <v>279</v>
      </c>
      <c r="M1055" t="s">
        <v>47</v>
      </c>
      <c r="N1055" t="s">
        <v>35</v>
      </c>
      <c r="O1055" t="s">
        <v>26</v>
      </c>
      <c r="P1055" t="s">
        <v>27</v>
      </c>
      <c r="Q1055" t="s">
        <v>28</v>
      </c>
      <c r="R1055" t="s">
        <v>29</v>
      </c>
      <c r="S1055" t="s">
        <v>30</v>
      </c>
      <c r="T1055">
        <v>1193146767</v>
      </c>
      <c r="U1055" t="s">
        <v>3936</v>
      </c>
      <c r="V1055" t="s">
        <v>3937</v>
      </c>
      <c r="W1055" s="9">
        <f>IF(V1055="pregrado",31,
IF(V1055="posgrados",31,
IF(V1055="rEINTEGROS",7,
IF(V1055="BIT",90,
IF(V1055="OP GRADO - INGLÉS",17,"")))))</f>
        <v>31</v>
      </c>
      <c r="X1055" t="s">
        <v>4072</v>
      </c>
    </row>
    <row r="1056" spans="1:24" ht="15" x14ac:dyDescent="0.35">
      <c r="A1056" s="4">
        <v>46041.795972222222</v>
      </c>
      <c r="B1056">
        <v>20115094</v>
      </c>
      <c r="C1056" s="6" t="s">
        <v>19</v>
      </c>
      <c r="D1056">
        <v>166443</v>
      </c>
      <c r="E1056" t="s">
        <v>43</v>
      </c>
      <c r="F1056">
        <v>1014259977</v>
      </c>
      <c r="G1056" t="s">
        <v>1991</v>
      </c>
      <c r="H1056">
        <v>100086381</v>
      </c>
      <c r="I1056">
        <v>202641</v>
      </c>
      <c r="J1056">
        <v>1014259977</v>
      </c>
      <c r="K1056" t="s">
        <v>46</v>
      </c>
      <c r="L1056" t="s">
        <v>59</v>
      </c>
      <c r="M1056" t="s">
        <v>47</v>
      </c>
      <c r="N1056" t="s">
        <v>35</v>
      </c>
      <c r="O1056" t="s">
        <v>26</v>
      </c>
      <c r="P1056" t="s">
        <v>27</v>
      </c>
      <c r="Q1056" t="s">
        <v>28</v>
      </c>
      <c r="R1056" t="s">
        <v>29</v>
      </c>
      <c r="S1056" t="s">
        <v>30</v>
      </c>
      <c r="T1056">
        <v>1233888787</v>
      </c>
      <c r="U1056" t="s">
        <v>3936</v>
      </c>
      <c r="V1056" t="s">
        <v>3937</v>
      </c>
      <c r="W1056" s="9">
        <f>IF(V1056="pregrado",31,
IF(V1056="posgrados",31,
IF(V1056="rEINTEGROS",7,
IF(V1056="BIT",90,
IF(V1056="OP GRADO - INGLÉS",17,"")))))</f>
        <v>31</v>
      </c>
      <c r="X1056" t="s">
        <v>3998</v>
      </c>
    </row>
    <row r="1057" spans="1:24" ht="15" x14ac:dyDescent="0.35">
      <c r="A1057" s="4">
        <v>46036.51903935185</v>
      </c>
      <c r="B1057">
        <v>20113033</v>
      </c>
      <c r="C1057" s="6" t="s">
        <v>19</v>
      </c>
      <c r="D1057">
        <v>166448</v>
      </c>
      <c r="E1057" t="s">
        <v>43</v>
      </c>
      <c r="F1057">
        <v>1032386126</v>
      </c>
      <c r="G1057" t="s">
        <v>1757</v>
      </c>
      <c r="H1057">
        <v>100030918</v>
      </c>
      <c r="I1057">
        <v>202651</v>
      </c>
      <c r="J1057">
        <v>1032386126</v>
      </c>
      <c r="K1057" t="s">
        <v>46</v>
      </c>
      <c r="L1057" t="s">
        <v>252</v>
      </c>
      <c r="M1057" t="s">
        <v>253</v>
      </c>
      <c r="N1057" t="s">
        <v>35</v>
      </c>
      <c r="O1057" t="s">
        <v>26</v>
      </c>
      <c r="P1057" t="s">
        <v>27</v>
      </c>
      <c r="Q1057" t="s">
        <v>28</v>
      </c>
      <c r="R1057" t="s">
        <v>29</v>
      </c>
      <c r="S1057" t="s">
        <v>30</v>
      </c>
      <c r="T1057">
        <v>1033781417</v>
      </c>
      <c r="U1057" t="s">
        <v>3948</v>
      </c>
      <c r="V1057" t="s">
        <v>3937</v>
      </c>
      <c r="W1057" s="9">
        <f>IF(V1057="pregrado",31,
IF(V1057="posgrados",31,
IF(V1057="rEINTEGROS",7,
IF(V1057="BIT",90,
IF(V1057="OP GRADO - INGLÉS",17,"")))))</f>
        <v>31</v>
      </c>
      <c r="X1057" t="s">
        <v>4031</v>
      </c>
    </row>
    <row r="1058" spans="1:24" ht="15" x14ac:dyDescent="0.35">
      <c r="A1058" s="4">
        <v>46035.75885416667</v>
      </c>
      <c r="B1058">
        <v>20112772</v>
      </c>
      <c r="C1058" s="6" t="s">
        <v>19</v>
      </c>
      <c r="D1058">
        <v>166458</v>
      </c>
      <c r="E1058" t="s">
        <v>43</v>
      </c>
      <c r="F1058">
        <v>52714769</v>
      </c>
      <c r="G1058" t="s">
        <v>1723</v>
      </c>
      <c r="H1058">
        <v>100241556</v>
      </c>
      <c r="I1058">
        <v>202641</v>
      </c>
      <c r="J1058">
        <v>52714769</v>
      </c>
      <c r="K1058" t="s">
        <v>23</v>
      </c>
      <c r="L1058" t="s">
        <v>342</v>
      </c>
      <c r="M1058" t="s">
        <v>47</v>
      </c>
      <c r="N1058" t="s">
        <v>35</v>
      </c>
      <c r="O1058" t="s">
        <v>26</v>
      </c>
      <c r="P1058" t="s">
        <v>27</v>
      </c>
      <c r="Q1058" t="s">
        <v>28</v>
      </c>
      <c r="R1058" t="s">
        <v>29</v>
      </c>
      <c r="S1058" t="s">
        <v>30</v>
      </c>
      <c r="T1058">
        <v>1033793185</v>
      </c>
      <c r="U1058" t="s">
        <v>3948</v>
      </c>
      <c r="V1058" t="s">
        <v>3937</v>
      </c>
      <c r="W1058" s="9">
        <f>IF(V1058="pregrado",31,
IF(V1058="posgrados",31,
IF(V1058="rEINTEGROS",7,
IF(V1058="BIT",90,
IF(V1058="OP GRADO - INGLÉS",17,"")))))</f>
        <v>31</v>
      </c>
      <c r="X1058" t="s">
        <v>4082</v>
      </c>
    </row>
    <row r="1059" spans="1:24" ht="15" x14ac:dyDescent="0.35">
      <c r="A1059" s="4">
        <v>46037.422824074078</v>
      </c>
      <c r="B1059">
        <v>20113464</v>
      </c>
      <c r="C1059" s="6" t="s">
        <v>19</v>
      </c>
      <c r="D1059">
        <v>166462</v>
      </c>
      <c r="E1059" t="s">
        <v>43</v>
      </c>
      <c r="F1059">
        <v>1006816925</v>
      </c>
      <c r="G1059" t="s">
        <v>1818</v>
      </c>
      <c r="H1059">
        <v>100241561</v>
      </c>
      <c r="I1059">
        <v>202651</v>
      </c>
      <c r="J1059">
        <v>1122809224</v>
      </c>
      <c r="K1059" t="s">
        <v>23</v>
      </c>
      <c r="L1059" t="s">
        <v>252</v>
      </c>
      <c r="M1059" t="s">
        <v>253</v>
      </c>
      <c r="N1059" t="s">
        <v>35</v>
      </c>
      <c r="O1059" t="s">
        <v>26</v>
      </c>
      <c r="P1059" t="s">
        <v>27</v>
      </c>
      <c r="Q1059" t="s">
        <v>28</v>
      </c>
      <c r="R1059" t="s">
        <v>29</v>
      </c>
      <c r="S1059" t="s">
        <v>30</v>
      </c>
      <c r="T1059">
        <v>52032666</v>
      </c>
      <c r="U1059" t="s">
        <v>3948</v>
      </c>
      <c r="V1059" t="s">
        <v>3937</v>
      </c>
      <c r="W1059" s="9">
        <f>IF(V1059="pregrado",31,
IF(V1059="posgrados",31,
IF(V1059="rEINTEGROS",7,
IF(V1059="BIT",90,
IF(V1059="OP GRADO - INGLÉS",17,"")))))</f>
        <v>31</v>
      </c>
      <c r="X1059" t="s">
        <v>3983</v>
      </c>
    </row>
    <row r="1060" spans="1:24" ht="15" x14ac:dyDescent="0.35">
      <c r="A1060" s="4">
        <v>46035.789664351854</v>
      </c>
      <c r="B1060">
        <v>20112782</v>
      </c>
      <c r="C1060" s="6" t="s">
        <v>19</v>
      </c>
      <c r="D1060">
        <v>166470</v>
      </c>
      <c r="E1060" t="s">
        <v>43</v>
      </c>
      <c r="F1060">
        <v>1007741977</v>
      </c>
      <c r="G1060" t="s">
        <v>1724</v>
      </c>
      <c r="H1060">
        <v>100241568</v>
      </c>
      <c r="I1060">
        <v>202651</v>
      </c>
      <c r="J1060">
        <v>1007741977</v>
      </c>
      <c r="K1060" t="s">
        <v>23</v>
      </c>
      <c r="L1060" t="s">
        <v>252</v>
      </c>
      <c r="M1060" t="s">
        <v>253</v>
      </c>
      <c r="N1060" t="s">
        <v>35</v>
      </c>
      <c r="O1060" t="s">
        <v>26</v>
      </c>
      <c r="P1060" t="s">
        <v>27</v>
      </c>
      <c r="Q1060" t="s">
        <v>28</v>
      </c>
      <c r="R1060" t="s">
        <v>29</v>
      </c>
      <c r="S1060" t="s">
        <v>30</v>
      </c>
      <c r="T1060">
        <v>1014285873</v>
      </c>
      <c r="U1060" t="s">
        <v>3948</v>
      </c>
      <c r="V1060" t="s">
        <v>3937</v>
      </c>
      <c r="W1060" s="9">
        <f>IF(V1060="pregrado",31,
IF(V1060="posgrados",31,
IF(V1060="rEINTEGROS",7,
IF(V1060="BIT",90,
IF(V1060="OP GRADO - INGLÉS",17,"")))))</f>
        <v>31</v>
      </c>
      <c r="X1060" t="s">
        <v>3953</v>
      </c>
    </row>
    <row r="1061" spans="1:24" ht="15" x14ac:dyDescent="0.35">
      <c r="A1061" s="4">
        <v>46037.639791666668</v>
      </c>
      <c r="B1061">
        <v>20113724</v>
      </c>
      <c r="C1061" s="6" t="s">
        <v>19</v>
      </c>
      <c r="D1061">
        <v>166473</v>
      </c>
      <c r="E1061" t="s">
        <v>43</v>
      </c>
      <c r="F1061">
        <v>1193516834</v>
      </c>
      <c r="G1061" t="s">
        <v>1839</v>
      </c>
      <c r="H1061">
        <v>100241573</v>
      </c>
      <c r="I1061">
        <v>202641</v>
      </c>
      <c r="J1061">
        <v>1193516834</v>
      </c>
      <c r="K1061" t="s">
        <v>23</v>
      </c>
      <c r="L1061" t="s">
        <v>279</v>
      </c>
      <c r="M1061" t="s">
        <v>47</v>
      </c>
      <c r="N1061" t="s">
        <v>35</v>
      </c>
      <c r="O1061" t="s">
        <v>26</v>
      </c>
      <c r="P1061" t="s">
        <v>27</v>
      </c>
      <c r="Q1061" t="s">
        <v>28</v>
      </c>
      <c r="R1061" t="s">
        <v>29</v>
      </c>
      <c r="S1061" t="s">
        <v>30</v>
      </c>
      <c r="T1061">
        <v>1026262709</v>
      </c>
      <c r="U1061" t="s">
        <v>3936</v>
      </c>
      <c r="V1061" t="s">
        <v>3937</v>
      </c>
      <c r="W1061" s="9">
        <f>IF(V1061="pregrado",31,
IF(V1061="posgrados",31,
IF(V1061="rEINTEGROS",7,
IF(V1061="BIT",90,
IF(V1061="OP GRADO - INGLÉS",17,"")))))</f>
        <v>31</v>
      </c>
      <c r="X1061" t="s">
        <v>4037</v>
      </c>
    </row>
    <row r="1062" spans="1:24" ht="15" x14ac:dyDescent="0.35">
      <c r="A1062" s="4">
        <v>46037.403969907406</v>
      </c>
      <c r="B1062">
        <v>20113445</v>
      </c>
      <c r="C1062" s="6" t="s">
        <v>19</v>
      </c>
      <c r="D1062">
        <v>166479</v>
      </c>
      <c r="E1062" t="s">
        <v>43</v>
      </c>
      <c r="F1062">
        <v>1010237889</v>
      </c>
      <c r="G1062" t="s">
        <v>1813</v>
      </c>
      <c r="H1062">
        <v>100241585</v>
      </c>
      <c r="I1062">
        <v>202641</v>
      </c>
      <c r="J1062">
        <v>1095486442</v>
      </c>
      <c r="K1062" t="s">
        <v>23</v>
      </c>
      <c r="L1062" t="s">
        <v>279</v>
      </c>
      <c r="M1062" t="s">
        <v>47</v>
      </c>
      <c r="N1062" t="s">
        <v>35</v>
      </c>
      <c r="O1062" t="s">
        <v>26</v>
      </c>
      <c r="P1062" t="s">
        <v>27</v>
      </c>
      <c r="Q1062" t="s">
        <v>28</v>
      </c>
      <c r="R1062" t="s">
        <v>29</v>
      </c>
      <c r="S1062" t="s">
        <v>30</v>
      </c>
      <c r="T1062">
        <v>1082250716</v>
      </c>
      <c r="U1062" t="s">
        <v>3936</v>
      </c>
      <c r="V1062" t="s">
        <v>3937</v>
      </c>
      <c r="W1062" s="9">
        <f>IF(V1062="pregrado",31,
IF(V1062="posgrados",31,
IF(V1062="rEINTEGROS",7,
IF(V1062="BIT",90,
IF(V1062="OP GRADO - INGLÉS",17,"")))))</f>
        <v>31</v>
      </c>
      <c r="X1062" t="s">
        <v>3997</v>
      </c>
    </row>
    <row r="1063" spans="1:24" ht="15" x14ac:dyDescent="0.35">
      <c r="A1063" s="4">
        <v>46072.671585648146</v>
      </c>
      <c r="B1063">
        <v>20124947</v>
      </c>
      <c r="C1063" s="6" t="s">
        <v>19</v>
      </c>
      <c r="D1063">
        <v>166483</v>
      </c>
      <c r="E1063" t="s">
        <v>43</v>
      </c>
      <c r="F1063">
        <v>19001901</v>
      </c>
      <c r="G1063" t="s">
        <v>3432</v>
      </c>
      <c r="H1063">
        <v>100161808</v>
      </c>
      <c r="I1063">
        <v>202651</v>
      </c>
      <c r="J1063">
        <v>19001901</v>
      </c>
      <c r="K1063" t="s">
        <v>74</v>
      </c>
      <c r="L1063" t="s">
        <v>252</v>
      </c>
      <c r="M1063" t="s">
        <v>253</v>
      </c>
      <c r="N1063" t="s">
        <v>35</v>
      </c>
      <c r="O1063" t="s">
        <v>26</v>
      </c>
      <c r="P1063" t="s">
        <v>27</v>
      </c>
      <c r="Q1063" t="s">
        <v>28</v>
      </c>
      <c r="R1063" t="s">
        <v>29</v>
      </c>
      <c r="S1063" t="s">
        <v>30</v>
      </c>
      <c r="T1063">
        <v>1016030683</v>
      </c>
      <c r="U1063" t="s">
        <v>3936</v>
      </c>
      <c r="V1063" t="s">
        <v>3937</v>
      </c>
      <c r="W1063" s="9">
        <f>IF(V1063="pregrado",31,
IF(V1063="posgrados",31,
IF(V1063="rEINTEGROS",7,
IF(V1063="BIT",90,
IF(V1063="OP GRADO - INGLÉS",17,"")))))</f>
        <v>31</v>
      </c>
      <c r="X1063" t="s">
        <v>3992</v>
      </c>
    </row>
    <row r="1064" spans="1:24" ht="15" x14ac:dyDescent="0.35">
      <c r="A1064" s="4">
        <v>46037.653807870367</v>
      </c>
      <c r="B1064">
        <v>20113747</v>
      </c>
      <c r="C1064" s="6" t="s">
        <v>19</v>
      </c>
      <c r="D1064">
        <v>166490</v>
      </c>
      <c r="E1064" t="s">
        <v>43</v>
      </c>
      <c r="F1064">
        <v>1032426366</v>
      </c>
      <c r="G1064" t="s">
        <v>1843</v>
      </c>
      <c r="H1064">
        <v>100241609</v>
      </c>
      <c r="I1064">
        <v>202651</v>
      </c>
      <c r="J1064">
        <v>1032426366</v>
      </c>
      <c r="K1064" t="s">
        <v>23</v>
      </c>
      <c r="L1064" t="s">
        <v>252</v>
      </c>
      <c r="M1064" t="s">
        <v>253</v>
      </c>
      <c r="N1064" t="s">
        <v>35</v>
      </c>
      <c r="O1064" t="s">
        <v>26</v>
      </c>
      <c r="P1064" t="s">
        <v>27</v>
      </c>
      <c r="Q1064" t="s">
        <v>28</v>
      </c>
      <c r="R1064" t="s">
        <v>29</v>
      </c>
      <c r="S1064" t="s">
        <v>30</v>
      </c>
      <c r="T1064">
        <v>52032666</v>
      </c>
      <c r="U1064" t="s">
        <v>3948</v>
      </c>
      <c r="V1064" t="s">
        <v>3937</v>
      </c>
      <c r="W1064" s="9">
        <f>IF(V1064="pregrado",31,
IF(V1064="posgrados",31,
IF(V1064="rEINTEGROS",7,
IF(V1064="BIT",90,
IF(V1064="OP GRADO - INGLÉS",17,"")))))</f>
        <v>31</v>
      </c>
      <c r="X1064" t="s">
        <v>3983</v>
      </c>
    </row>
    <row r="1065" spans="1:24" ht="15" x14ac:dyDescent="0.35">
      <c r="A1065" s="4">
        <v>46037.439780092594</v>
      </c>
      <c r="B1065">
        <v>20113482</v>
      </c>
      <c r="C1065" s="6" t="s">
        <v>19</v>
      </c>
      <c r="D1065">
        <v>166494</v>
      </c>
      <c r="E1065" t="s">
        <v>43</v>
      </c>
      <c r="F1065">
        <v>1015399373</v>
      </c>
      <c r="G1065" t="s">
        <v>1822</v>
      </c>
      <c r="H1065">
        <v>100241617</v>
      </c>
      <c r="I1065">
        <v>202651</v>
      </c>
      <c r="J1065">
        <v>40442420</v>
      </c>
      <c r="K1065" t="s">
        <v>23</v>
      </c>
      <c r="L1065" t="s">
        <v>252</v>
      </c>
      <c r="M1065" t="s">
        <v>253</v>
      </c>
      <c r="N1065" t="s">
        <v>35</v>
      </c>
      <c r="O1065" t="s">
        <v>26</v>
      </c>
      <c r="P1065" t="s">
        <v>27</v>
      </c>
      <c r="Q1065" t="s">
        <v>28</v>
      </c>
      <c r="R1065" t="s">
        <v>29</v>
      </c>
      <c r="S1065" t="s">
        <v>30</v>
      </c>
      <c r="T1065">
        <v>1015401969</v>
      </c>
      <c r="U1065" t="s">
        <v>3936</v>
      </c>
      <c r="V1065" t="s">
        <v>3937</v>
      </c>
      <c r="W1065" s="9">
        <f>IF(V1065="pregrado",31,
IF(V1065="posgrados",31,
IF(V1065="rEINTEGROS",7,
IF(V1065="BIT",90,
IF(V1065="OP GRADO - INGLÉS",17,"")))))</f>
        <v>31</v>
      </c>
      <c r="X1065" t="s">
        <v>3945</v>
      </c>
    </row>
    <row r="1066" spans="1:24" ht="15" x14ac:dyDescent="0.35">
      <c r="A1066" s="4">
        <v>46036.545868055553</v>
      </c>
      <c r="B1066">
        <v>20113072</v>
      </c>
      <c r="C1066" s="6" t="s">
        <v>19</v>
      </c>
      <c r="D1066">
        <v>166496</v>
      </c>
      <c r="E1066" t="s">
        <v>43</v>
      </c>
      <c r="F1066">
        <v>1102884716</v>
      </c>
      <c r="G1066" t="s">
        <v>1763</v>
      </c>
      <c r="H1066">
        <v>100241620</v>
      </c>
      <c r="I1066">
        <v>202651</v>
      </c>
      <c r="J1066">
        <v>1102884716</v>
      </c>
      <c r="K1066" t="s">
        <v>23</v>
      </c>
      <c r="L1066" t="s">
        <v>252</v>
      </c>
      <c r="M1066" t="s">
        <v>253</v>
      </c>
      <c r="N1066" t="s">
        <v>35</v>
      </c>
      <c r="O1066" t="s">
        <v>26</v>
      </c>
      <c r="P1066" t="s">
        <v>27</v>
      </c>
      <c r="Q1066" t="s">
        <v>28</v>
      </c>
      <c r="R1066" t="s">
        <v>29</v>
      </c>
      <c r="S1066" t="s">
        <v>30</v>
      </c>
      <c r="T1066">
        <v>1082250716</v>
      </c>
      <c r="U1066" t="s">
        <v>3936</v>
      </c>
      <c r="V1066" t="s">
        <v>3937</v>
      </c>
      <c r="W1066" s="9">
        <f>IF(V1066="pregrado",31,
IF(V1066="posgrados",31,
IF(V1066="rEINTEGROS",7,
IF(V1066="BIT",90,
IF(V1066="OP GRADO - INGLÉS",17,"")))))</f>
        <v>31</v>
      </c>
      <c r="X1066" t="s">
        <v>3997</v>
      </c>
    </row>
    <row r="1067" spans="1:24" ht="15" x14ac:dyDescent="0.35">
      <c r="A1067" s="4">
        <v>46038.685023148151</v>
      </c>
      <c r="B1067">
        <v>20114463</v>
      </c>
      <c r="C1067" s="6" t="s">
        <v>19</v>
      </c>
      <c r="D1067">
        <v>166497</v>
      </c>
      <c r="E1067" t="s">
        <v>43</v>
      </c>
      <c r="F1067">
        <v>1065812725</v>
      </c>
      <c r="G1067" t="s">
        <v>1923</v>
      </c>
      <c r="H1067">
        <v>100241623</v>
      </c>
      <c r="I1067">
        <v>202651</v>
      </c>
      <c r="J1067">
        <v>1065812725</v>
      </c>
      <c r="K1067" t="s">
        <v>23</v>
      </c>
      <c r="L1067" t="s">
        <v>252</v>
      </c>
      <c r="M1067" t="s">
        <v>253</v>
      </c>
      <c r="N1067" t="s">
        <v>35</v>
      </c>
      <c r="O1067" t="s">
        <v>26</v>
      </c>
      <c r="P1067" t="s">
        <v>27</v>
      </c>
      <c r="Q1067" t="s">
        <v>28</v>
      </c>
      <c r="R1067" t="s">
        <v>29</v>
      </c>
      <c r="S1067" t="s">
        <v>30</v>
      </c>
      <c r="T1067">
        <v>52965969</v>
      </c>
      <c r="U1067" t="s">
        <v>3936</v>
      </c>
      <c r="V1067" t="s">
        <v>3937</v>
      </c>
      <c r="W1067" s="9">
        <f>IF(V1067="pregrado",31,
IF(V1067="posgrados",31,
IF(V1067="rEINTEGROS",7,
IF(V1067="BIT",90,
IF(V1067="OP GRADO - INGLÉS",17,"")))))</f>
        <v>31</v>
      </c>
      <c r="X1067" t="s">
        <v>3960</v>
      </c>
    </row>
    <row r="1068" spans="1:24" ht="15" x14ac:dyDescent="0.35">
      <c r="A1068" s="4">
        <v>46036.500798611109</v>
      </c>
      <c r="B1068">
        <v>20113012</v>
      </c>
      <c r="C1068" s="6" t="s">
        <v>19</v>
      </c>
      <c r="D1068">
        <v>166510</v>
      </c>
      <c r="E1068" t="s">
        <v>43</v>
      </c>
      <c r="F1068">
        <v>1073533470</v>
      </c>
      <c r="G1068" t="s">
        <v>1754</v>
      </c>
      <c r="H1068">
        <v>100241636</v>
      </c>
      <c r="I1068">
        <v>202641</v>
      </c>
      <c r="J1068">
        <v>1073533470</v>
      </c>
      <c r="K1068" t="s">
        <v>23</v>
      </c>
      <c r="L1068" t="s">
        <v>342</v>
      </c>
      <c r="M1068" t="s">
        <v>47</v>
      </c>
      <c r="N1068" t="s">
        <v>35</v>
      </c>
      <c r="O1068" t="s">
        <v>26</v>
      </c>
      <c r="P1068" t="s">
        <v>27</v>
      </c>
      <c r="Q1068" t="s">
        <v>28</v>
      </c>
      <c r="R1068" t="s">
        <v>29</v>
      </c>
      <c r="S1068" t="s">
        <v>30</v>
      </c>
      <c r="T1068">
        <v>1019068131</v>
      </c>
      <c r="U1068" t="s">
        <v>3948</v>
      </c>
      <c r="V1068" t="s">
        <v>3937</v>
      </c>
      <c r="W1068" s="9">
        <f>IF(V1068="pregrado",31,
IF(V1068="posgrados",31,
IF(V1068="rEINTEGROS",7,
IF(V1068="BIT",90,
IF(V1068="OP GRADO - INGLÉS",17,"")))))</f>
        <v>31</v>
      </c>
      <c r="X1068" t="s">
        <v>4066</v>
      </c>
    </row>
    <row r="1069" spans="1:24" ht="15" x14ac:dyDescent="0.35">
      <c r="A1069" s="4">
        <v>46038.385613425926</v>
      </c>
      <c r="B1069">
        <v>20114045</v>
      </c>
      <c r="C1069" s="6" t="s">
        <v>19</v>
      </c>
      <c r="D1069">
        <v>166512</v>
      </c>
      <c r="E1069" t="s">
        <v>43</v>
      </c>
      <c r="F1069">
        <v>1032386129</v>
      </c>
      <c r="G1069" t="s">
        <v>1874</v>
      </c>
      <c r="H1069">
        <v>100030796</v>
      </c>
      <c r="I1069">
        <v>202651</v>
      </c>
      <c r="J1069">
        <v>1032386129</v>
      </c>
      <c r="K1069" t="s">
        <v>46</v>
      </c>
      <c r="L1069" t="s">
        <v>252</v>
      </c>
      <c r="M1069" t="s">
        <v>253</v>
      </c>
      <c r="N1069" t="s">
        <v>35</v>
      </c>
      <c r="O1069" t="s">
        <v>26</v>
      </c>
      <c r="P1069" t="s">
        <v>27</v>
      </c>
      <c r="Q1069" t="s">
        <v>28</v>
      </c>
      <c r="R1069" t="s">
        <v>29</v>
      </c>
      <c r="S1069" t="s">
        <v>30</v>
      </c>
      <c r="T1069">
        <v>1033781417</v>
      </c>
      <c r="U1069" t="s">
        <v>3948</v>
      </c>
      <c r="V1069" t="s">
        <v>3937</v>
      </c>
      <c r="W1069" s="9">
        <f>IF(V1069="pregrado",31,
IF(V1069="posgrados",31,
IF(V1069="rEINTEGROS",7,
IF(V1069="BIT",90,
IF(V1069="OP GRADO - INGLÉS",17,"")))))</f>
        <v>31</v>
      </c>
      <c r="X1069" t="s">
        <v>4031</v>
      </c>
    </row>
    <row r="1070" spans="1:24" ht="15" x14ac:dyDescent="0.35">
      <c r="A1070" s="4">
        <v>46036.542337962965</v>
      </c>
      <c r="B1070">
        <v>20113067</v>
      </c>
      <c r="C1070" s="6" t="s">
        <v>19</v>
      </c>
      <c r="D1070">
        <v>166515</v>
      </c>
      <c r="E1070" t="s">
        <v>43</v>
      </c>
      <c r="F1070">
        <v>1018514088</v>
      </c>
      <c r="G1070" t="s">
        <v>1762</v>
      </c>
      <c r="H1070">
        <v>100241646</v>
      </c>
      <c r="I1070">
        <v>202641</v>
      </c>
      <c r="J1070">
        <v>1018514088</v>
      </c>
      <c r="K1070" t="s">
        <v>23</v>
      </c>
      <c r="L1070" t="s">
        <v>279</v>
      </c>
      <c r="M1070" t="s">
        <v>47</v>
      </c>
      <c r="N1070" t="s">
        <v>35</v>
      </c>
      <c r="O1070" t="s">
        <v>26</v>
      </c>
      <c r="P1070" t="s">
        <v>27</v>
      </c>
      <c r="Q1070" t="s">
        <v>28</v>
      </c>
      <c r="R1070" t="s">
        <v>29</v>
      </c>
      <c r="S1070" t="s">
        <v>30</v>
      </c>
      <c r="T1070">
        <v>1070973852</v>
      </c>
      <c r="U1070" t="s">
        <v>3936</v>
      </c>
      <c r="V1070" t="s">
        <v>3937</v>
      </c>
      <c r="W1070" s="9">
        <f>IF(V1070="pregrado",31,
IF(V1070="posgrados",31,
IF(V1070="rEINTEGROS",7,
IF(V1070="BIT",90,
IF(V1070="OP GRADO - INGLÉS",17,"")))))</f>
        <v>31</v>
      </c>
      <c r="X1070" t="s">
        <v>3957</v>
      </c>
    </row>
    <row r="1071" spans="1:24" ht="15" x14ac:dyDescent="0.35">
      <c r="A1071" s="4">
        <v>46038.421701388892</v>
      </c>
      <c r="B1071">
        <v>20114086</v>
      </c>
      <c r="C1071" s="6" t="s">
        <v>19</v>
      </c>
      <c r="D1071">
        <v>166516</v>
      </c>
      <c r="E1071" t="s">
        <v>43</v>
      </c>
      <c r="F1071">
        <v>52887513</v>
      </c>
      <c r="G1071" t="s">
        <v>1880</v>
      </c>
      <c r="H1071">
        <v>100154139</v>
      </c>
      <c r="I1071">
        <v>202651</v>
      </c>
      <c r="J1071">
        <v>52887513</v>
      </c>
      <c r="K1071" t="s">
        <v>46</v>
      </c>
      <c r="L1071" t="s">
        <v>252</v>
      </c>
      <c r="M1071" t="s">
        <v>253</v>
      </c>
      <c r="N1071" t="s">
        <v>35</v>
      </c>
      <c r="O1071" t="s">
        <v>26</v>
      </c>
      <c r="P1071" t="s">
        <v>27</v>
      </c>
      <c r="Q1071" t="s">
        <v>28</v>
      </c>
      <c r="R1071" t="s">
        <v>29</v>
      </c>
      <c r="S1071" t="s">
        <v>30</v>
      </c>
      <c r="T1071">
        <v>1033781417</v>
      </c>
      <c r="U1071" t="s">
        <v>3948</v>
      </c>
      <c r="V1071" t="s">
        <v>3937</v>
      </c>
      <c r="W1071" s="9">
        <f>IF(V1071="pregrado",31,
IF(V1071="posgrados",31,
IF(V1071="rEINTEGROS",7,
IF(V1071="BIT",90,
IF(V1071="OP GRADO - INGLÉS",17,"")))))</f>
        <v>31</v>
      </c>
      <c r="X1071" t="s">
        <v>4031</v>
      </c>
    </row>
    <row r="1072" spans="1:24" ht="15" x14ac:dyDescent="0.35">
      <c r="A1072" s="4">
        <v>46049.643958333334</v>
      </c>
      <c r="B1072">
        <v>20117626</v>
      </c>
      <c r="C1072" s="6" t="s">
        <v>19</v>
      </c>
      <c r="D1072">
        <v>166522</v>
      </c>
      <c r="E1072" t="s">
        <v>43</v>
      </c>
      <c r="F1072">
        <v>1122785172</v>
      </c>
      <c r="G1072" t="s">
        <v>2354</v>
      </c>
      <c r="H1072">
        <v>100158519</v>
      </c>
      <c r="I1072">
        <v>202641</v>
      </c>
      <c r="J1072">
        <v>1122785172</v>
      </c>
      <c r="K1072" t="s">
        <v>89</v>
      </c>
      <c r="L1072" t="s">
        <v>94</v>
      </c>
      <c r="M1072" t="s">
        <v>47</v>
      </c>
      <c r="N1072" t="s">
        <v>35</v>
      </c>
      <c r="O1072" t="s">
        <v>26</v>
      </c>
      <c r="P1072" t="s">
        <v>27</v>
      </c>
      <c r="Q1072" t="s">
        <v>28</v>
      </c>
      <c r="R1072" t="s">
        <v>29</v>
      </c>
      <c r="S1072" t="s">
        <v>30</v>
      </c>
      <c r="T1072">
        <v>1019102787</v>
      </c>
      <c r="U1072" t="s">
        <v>3977</v>
      </c>
      <c r="V1072" t="s">
        <v>3970</v>
      </c>
      <c r="W1072" s="9">
        <f>IF(V1072="pregrado",31,
IF(V1072="posgrados",31,
IF(V1072="rEINTEGROS",7,
IF(V1072="BIT",90,
IF(V1072="OP GRADO - INGLÉS",17,"")))))</f>
        <v>7</v>
      </c>
      <c r="X1072" t="s">
        <v>3976</v>
      </c>
    </row>
    <row r="1073" spans="1:24" ht="15" x14ac:dyDescent="0.35">
      <c r="A1073" s="4">
        <v>46037.642731481479</v>
      </c>
      <c r="B1073">
        <v>20113730</v>
      </c>
      <c r="C1073" s="6" t="s">
        <v>19</v>
      </c>
      <c r="D1073">
        <v>166526</v>
      </c>
      <c r="E1073" t="s">
        <v>43</v>
      </c>
      <c r="F1073">
        <v>1101462875</v>
      </c>
      <c r="G1073" t="s">
        <v>1840</v>
      </c>
      <c r="H1073">
        <v>100220556</v>
      </c>
      <c r="I1073">
        <v>202651</v>
      </c>
      <c r="J1073">
        <v>1101876659</v>
      </c>
      <c r="K1073" t="s">
        <v>23</v>
      </c>
      <c r="L1073" t="s">
        <v>252</v>
      </c>
      <c r="M1073" t="s">
        <v>253</v>
      </c>
      <c r="N1073" t="s">
        <v>35</v>
      </c>
      <c r="O1073" t="s">
        <v>26</v>
      </c>
      <c r="P1073" t="s">
        <v>27</v>
      </c>
      <c r="Q1073" t="s">
        <v>28</v>
      </c>
      <c r="R1073" t="s">
        <v>29</v>
      </c>
      <c r="S1073" t="s">
        <v>30</v>
      </c>
      <c r="T1073">
        <v>1033793185</v>
      </c>
      <c r="U1073" t="s">
        <v>3948</v>
      </c>
      <c r="V1073" t="s">
        <v>3937</v>
      </c>
      <c r="W1073" s="9">
        <f>IF(V1073="pregrado",31,
IF(V1073="posgrados",31,
IF(V1073="rEINTEGROS",7,
IF(V1073="BIT",90,
IF(V1073="OP GRADO - INGLÉS",17,"")))))</f>
        <v>31</v>
      </c>
      <c r="X1073" t="s">
        <v>4082</v>
      </c>
    </row>
    <row r="1074" spans="1:24" ht="15" x14ac:dyDescent="0.35">
      <c r="A1074" s="4">
        <v>46037.903194444443</v>
      </c>
      <c r="B1074">
        <v>20113988</v>
      </c>
      <c r="C1074" s="6" t="s">
        <v>19</v>
      </c>
      <c r="D1074">
        <v>166528</v>
      </c>
      <c r="E1074" t="s">
        <v>43</v>
      </c>
      <c r="F1074">
        <v>1007469602</v>
      </c>
      <c r="G1074" t="s">
        <v>1870</v>
      </c>
      <c r="H1074">
        <v>100241670</v>
      </c>
      <c r="I1074">
        <v>202651</v>
      </c>
      <c r="J1074">
        <v>1116854460</v>
      </c>
      <c r="K1074" t="s">
        <v>23</v>
      </c>
      <c r="L1074" t="s">
        <v>252</v>
      </c>
      <c r="M1074" t="s">
        <v>253</v>
      </c>
      <c r="N1074" t="s">
        <v>35</v>
      </c>
      <c r="O1074" t="s">
        <v>26</v>
      </c>
      <c r="P1074" t="s">
        <v>27</v>
      </c>
      <c r="Q1074" t="s">
        <v>28</v>
      </c>
      <c r="R1074" t="s">
        <v>29</v>
      </c>
      <c r="S1074" t="s">
        <v>30</v>
      </c>
      <c r="T1074">
        <v>1014285873</v>
      </c>
      <c r="U1074" t="s">
        <v>3948</v>
      </c>
      <c r="V1074" t="s">
        <v>3937</v>
      </c>
      <c r="W1074" s="9">
        <f>IF(V1074="pregrado",31,
IF(V1074="posgrados",31,
IF(V1074="rEINTEGROS",7,
IF(V1074="BIT",90,
IF(V1074="OP GRADO - INGLÉS",17,"")))))</f>
        <v>31</v>
      </c>
      <c r="X1074" t="s">
        <v>3953</v>
      </c>
    </row>
    <row r="1075" spans="1:24" ht="15" x14ac:dyDescent="0.35">
      <c r="A1075" s="4">
        <v>46038.716192129628</v>
      </c>
      <c r="B1075">
        <v>20114513</v>
      </c>
      <c r="C1075" s="6" t="s">
        <v>19</v>
      </c>
      <c r="D1075">
        <v>166532</v>
      </c>
      <c r="E1075" t="s">
        <v>43</v>
      </c>
      <c r="F1075">
        <v>1097666794</v>
      </c>
      <c r="G1075" t="s">
        <v>1930</v>
      </c>
      <c r="H1075">
        <v>100241676</v>
      </c>
      <c r="I1075">
        <v>202651</v>
      </c>
      <c r="J1075">
        <v>1097666794</v>
      </c>
      <c r="K1075" t="s">
        <v>23</v>
      </c>
      <c r="L1075" t="s">
        <v>252</v>
      </c>
      <c r="M1075" t="s">
        <v>253</v>
      </c>
      <c r="N1075" t="s">
        <v>35</v>
      </c>
      <c r="O1075" t="s">
        <v>26</v>
      </c>
      <c r="P1075" t="s">
        <v>27</v>
      </c>
      <c r="Q1075" t="s">
        <v>28</v>
      </c>
      <c r="R1075" t="s">
        <v>29</v>
      </c>
      <c r="S1075" t="s">
        <v>30</v>
      </c>
      <c r="T1075">
        <v>1020754225</v>
      </c>
      <c r="U1075" t="s">
        <v>3948</v>
      </c>
      <c r="V1075" t="s">
        <v>3937</v>
      </c>
      <c r="W1075" s="9">
        <f>IF(V1075="pregrado",31,
IF(V1075="posgrados",31,
IF(V1075="rEINTEGROS",7,
IF(V1075="BIT",90,
IF(V1075="OP GRADO - INGLÉS",17,"")))))</f>
        <v>31</v>
      </c>
      <c r="X1075" t="s">
        <v>3981</v>
      </c>
    </row>
    <row r="1076" spans="1:24" ht="15" x14ac:dyDescent="0.35">
      <c r="A1076" s="4">
        <v>46036.539189814815</v>
      </c>
      <c r="B1076">
        <v>20113063</v>
      </c>
      <c r="C1076" s="6" t="s">
        <v>19</v>
      </c>
      <c r="D1076">
        <v>166538</v>
      </c>
      <c r="E1076" t="s">
        <v>43</v>
      </c>
      <c r="F1076">
        <v>84027043</v>
      </c>
      <c r="G1076" t="s">
        <v>1761</v>
      </c>
      <c r="H1076">
        <v>100241687</v>
      </c>
      <c r="I1076">
        <v>202641</v>
      </c>
      <c r="J1076">
        <v>1010142800</v>
      </c>
      <c r="K1076" t="s">
        <v>23</v>
      </c>
      <c r="L1076" t="s">
        <v>45</v>
      </c>
      <c r="M1076" t="s">
        <v>47</v>
      </c>
      <c r="N1076" t="s">
        <v>35</v>
      </c>
      <c r="O1076" t="s">
        <v>26</v>
      </c>
      <c r="P1076" t="s">
        <v>27</v>
      </c>
      <c r="Q1076" t="s">
        <v>28</v>
      </c>
      <c r="R1076" t="s">
        <v>29</v>
      </c>
      <c r="S1076" t="s">
        <v>30</v>
      </c>
      <c r="T1076">
        <v>1015401969</v>
      </c>
      <c r="U1076" t="s">
        <v>3936</v>
      </c>
      <c r="V1076" t="s">
        <v>3937</v>
      </c>
      <c r="W1076" s="9">
        <f>IF(V1076="pregrado",31,
IF(V1076="posgrados",31,
IF(V1076="rEINTEGROS",7,
IF(V1076="BIT",90,
IF(V1076="OP GRADO - INGLÉS",17,"")))))</f>
        <v>31</v>
      </c>
      <c r="X1076" t="s">
        <v>3945</v>
      </c>
    </row>
    <row r="1077" spans="1:24" ht="15" x14ac:dyDescent="0.35">
      <c r="A1077" s="4">
        <v>46042.510636574072</v>
      </c>
      <c r="B1077">
        <v>20115273</v>
      </c>
      <c r="C1077" s="6" t="s">
        <v>19</v>
      </c>
      <c r="D1077">
        <v>166539</v>
      </c>
      <c r="E1077" t="s">
        <v>43</v>
      </c>
      <c r="F1077">
        <v>1030602262</v>
      </c>
      <c r="G1077" t="s">
        <v>2018</v>
      </c>
      <c r="H1077">
        <v>100241693</v>
      </c>
      <c r="I1077">
        <v>202651</v>
      </c>
      <c r="J1077">
        <v>1030602262</v>
      </c>
      <c r="K1077" t="s">
        <v>23</v>
      </c>
      <c r="L1077" t="s">
        <v>252</v>
      </c>
      <c r="M1077" t="s">
        <v>253</v>
      </c>
      <c r="N1077" t="s">
        <v>35</v>
      </c>
      <c r="O1077" t="s">
        <v>26</v>
      </c>
      <c r="P1077" t="s">
        <v>27</v>
      </c>
      <c r="Q1077" t="s">
        <v>28</v>
      </c>
      <c r="R1077" t="s">
        <v>29</v>
      </c>
      <c r="S1077" t="s">
        <v>30</v>
      </c>
      <c r="T1077">
        <v>52032666</v>
      </c>
      <c r="U1077" t="s">
        <v>3948</v>
      </c>
      <c r="V1077" t="s">
        <v>3937</v>
      </c>
      <c r="W1077" s="9">
        <f>IF(V1077="pregrado",31,
IF(V1077="posgrados",31,
IF(V1077="rEINTEGROS",7,
IF(V1077="BIT",90,
IF(V1077="OP GRADO - INGLÉS",17,"")))))</f>
        <v>31</v>
      </c>
      <c r="X1077" t="s">
        <v>3983</v>
      </c>
    </row>
    <row r="1078" spans="1:24" ht="15" x14ac:dyDescent="0.35">
      <c r="A1078" s="4">
        <v>46051.663090277776</v>
      </c>
      <c r="B1078">
        <v>20118600</v>
      </c>
      <c r="C1078" s="6" t="s">
        <v>19</v>
      </c>
      <c r="D1078">
        <v>166541</v>
      </c>
      <c r="E1078" t="s">
        <v>43</v>
      </c>
      <c r="F1078">
        <v>19516707</v>
      </c>
      <c r="G1078" t="s">
        <v>2058</v>
      </c>
      <c r="H1078">
        <v>100241696</v>
      </c>
      <c r="I1078">
        <v>202641</v>
      </c>
      <c r="J1078">
        <v>1079661791</v>
      </c>
      <c r="K1078" t="s">
        <v>23</v>
      </c>
      <c r="L1078" t="s">
        <v>160</v>
      </c>
      <c r="M1078" t="s">
        <v>47</v>
      </c>
      <c r="N1078" t="s">
        <v>38</v>
      </c>
      <c r="O1078" t="s">
        <v>26</v>
      </c>
      <c r="P1078" t="s">
        <v>27</v>
      </c>
      <c r="Q1078" t="s">
        <v>28</v>
      </c>
      <c r="R1078" t="s">
        <v>29</v>
      </c>
      <c r="S1078" t="s">
        <v>30</v>
      </c>
      <c r="T1078">
        <v>1070973852</v>
      </c>
      <c r="U1078" t="s">
        <v>3936</v>
      </c>
      <c r="V1078" t="s">
        <v>3937</v>
      </c>
      <c r="W1078" s="9">
        <f>IF(V1078="pregrado",31,
IF(V1078="posgrados",31,
IF(V1078="rEINTEGROS",7,
IF(V1078="BIT",90,
IF(V1078="OP GRADO - INGLÉS",17,"")))))</f>
        <v>31</v>
      </c>
      <c r="X1078" t="s">
        <v>3957</v>
      </c>
    </row>
    <row r="1079" spans="1:24" ht="15" x14ac:dyDescent="0.35">
      <c r="A1079" s="4">
        <v>46036.616747685184</v>
      </c>
      <c r="B1079">
        <v>20113138</v>
      </c>
      <c r="C1079" s="6" t="s">
        <v>19</v>
      </c>
      <c r="D1079">
        <v>166543</v>
      </c>
      <c r="E1079" t="s">
        <v>43</v>
      </c>
      <c r="F1079">
        <v>1007287922</v>
      </c>
      <c r="G1079" t="s">
        <v>1772</v>
      </c>
      <c r="H1079">
        <v>100241698</v>
      </c>
      <c r="I1079">
        <v>202651</v>
      </c>
      <c r="J1079">
        <v>1007287922</v>
      </c>
      <c r="K1079" t="s">
        <v>23</v>
      </c>
      <c r="L1079" t="s">
        <v>252</v>
      </c>
      <c r="M1079" t="s">
        <v>253</v>
      </c>
      <c r="N1079" t="s">
        <v>35</v>
      </c>
      <c r="O1079" t="s">
        <v>26</v>
      </c>
      <c r="P1079" t="s">
        <v>27</v>
      </c>
      <c r="Q1079" t="s">
        <v>28</v>
      </c>
      <c r="R1079" t="s">
        <v>29</v>
      </c>
      <c r="S1079" t="s">
        <v>30</v>
      </c>
      <c r="T1079">
        <v>1073673268</v>
      </c>
      <c r="U1079" t="s">
        <v>3948</v>
      </c>
      <c r="V1079" t="s">
        <v>3937</v>
      </c>
      <c r="W1079" s="9">
        <f>IF(V1079="pregrado",31,
IF(V1079="posgrados",31,
IF(V1079="rEINTEGROS",7,
IF(V1079="BIT",90,
IF(V1079="OP GRADO - INGLÉS",17,"")))))</f>
        <v>31</v>
      </c>
      <c r="X1079" t="s">
        <v>4080</v>
      </c>
    </row>
    <row r="1080" spans="1:24" ht="15" x14ac:dyDescent="0.35">
      <c r="A1080" s="4">
        <v>46036.653599537036</v>
      </c>
      <c r="B1080">
        <v>20113188</v>
      </c>
      <c r="C1080" s="6" t="s">
        <v>19</v>
      </c>
      <c r="D1080">
        <v>166549</v>
      </c>
      <c r="E1080" t="s">
        <v>43</v>
      </c>
      <c r="F1080">
        <v>1010044011</v>
      </c>
      <c r="G1080" t="s">
        <v>1784</v>
      </c>
      <c r="H1080">
        <v>100241706</v>
      </c>
      <c r="I1080">
        <v>202641</v>
      </c>
      <c r="J1080">
        <v>1010044011</v>
      </c>
      <c r="K1080" t="s">
        <v>23</v>
      </c>
      <c r="L1080" t="s">
        <v>279</v>
      </c>
      <c r="M1080" t="s">
        <v>47</v>
      </c>
      <c r="N1080" t="s">
        <v>25</v>
      </c>
      <c r="O1080" t="s">
        <v>26</v>
      </c>
      <c r="P1080" t="s">
        <v>27</v>
      </c>
      <c r="Q1080" t="s">
        <v>28</v>
      </c>
      <c r="R1080" t="s">
        <v>29</v>
      </c>
      <c r="S1080" t="s">
        <v>30</v>
      </c>
      <c r="T1080">
        <v>52916205</v>
      </c>
      <c r="U1080" t="s">
        <v>3936</v>
      </c>
      <c r="V1080" t="s">
        <v>3937</v>
      </c>
      <c r="W1080" s="9">
        <f>IF(V1080="pregrado",31,
IF(V1080="posgrados",31,
IF(V1080="rEINTEGROS",7,
IF(V1080="BIT",90,
IF(V1080="OP GRADO - INGLÉS",17,"")))))</f>
        <v>31</v>
      </c>
      <c r="X1080" t="s">
        <v>4032</v>
      </c>
    </row>
    <row r="1081" spans="1:24" ht="15" x14ac:dyDescent="0.35">
      <c r="A1081" s="4">
        <v>46036.528275462966</v>
      </c>
      <c r="B1081">
        <v>20113047</v>
      </c>
      <c r="C1081" s="6" t="s">
        <v>19</v>
      </c>
      <c r="D1081">
        <v>166553</v>
      </c>
      <c r="E1081" t="s">
        <v>43</v>
      </c>
      <c r="F1081">
        <v>17547079</v>
      </c>
      <c r="G1081" t="s">
        <v>1759</v>
      </c>
      <c r="H1081">
        <v>100241601</v>
      </c>
      <c r="I1081">
        <v>202651</v>
      </c>
      <c r="J1081">
        <v>1026160636</v>
      </c>
      <c r="K1081" t="s">
        <v>23</v>
      </c>
      <c r="L1081" t="s">
        <v>252</v>
      </c>
      <c r="M1081" t="s">
        <v>253</v>
      </c>
      <c r="N1081" t="s">
        <v>35</v>
      </c>
      <c r="O1081" t="s">
        <v>26</v>
      </c>
      <c r="P1081" t="s">
        <v>27</v>
      </c>
      <c r="Q1081" t="s">
        <v>28</v>
      </c>
      <c r="R1081" t="s">
        <v>29</v>
      </c>
      <c r="S1081" t="s">
        <v>30</v>
      </c>
      <c r="T1081">
        <v>1014285873</v>
      </c>
      <c r="U1081" t="s">
        <v>3948</v>
      </c>
      <c r="V1081" t="s">
        <v>3937</v>
      </c>
      <c r="W1081" s="9">
        <f>IF(V1081="pregrado",31,
IF(V1081="posgrados",31,
IF(V1081="rEINTEGROS",7,
IF(V1081="BIT",90,
IF(V1081="OP GRADO - INGLÉS",17,"")))))</f>
        <v>31</v>
      </c>
      <c r="X1081" t="s">
        <v>3953</v>
      </c>
    </row>
    <row r="1082" spans="1:24" ht="15" x14ac:dyDescent="0.35">
      <c r="A1082" s="4">
        <v>46036.720104166663</v>
      </c>
      <c r="B1082">
        <v>20113254</v>
      </c>
      <c r="C1082" s="6" t="s">
        <v>19</v>
      </c>
      <c r="D1082">
        <v>166557</v>
      </c>
      <c r="E1082" t="s">
        <v>43</v>
      </c>
      <c r="F1082">
        <v>41061459</v>
      </c>
      <c r="G1082" t="s">
        <v>1795</v>
      </c>
      <c r="H1082">
        <v>100241728</v>
      </c>
      <c r="I1082">
        <v>202641</v>
      </c>
      <c r="J1082">
        <v>41061459</v>
      </c>
      <c r="K1082" t="s">
        <v>23</v>
      </c>
      <c r="L1082" t="s">
        <v>279</v>
      </c>
      <c r="M1082" t="s">
        <v>47</v>
      </c>
      <c r="N1082" t="s">
        <v>35</v>
      </c>
      <c r="O1082" t="s">
        <v>26</v>
      </c>
      <c r="P1082" t="s">
        <v>27</v>
      </c>
      <c r="Q1082" t="s">
        <v>28</v>
      </c>
      <c r="R1082" t="s">
        <v>29</v>
      </c>
      <c r="S1082" t="s">
        <v>30</v>
      </c>
      <c r="T1082">
        <v>52916205</v>
      </c>
      <c r="U1082" t="s">
        <v>3936</v>
      </c>
      <c r="V1082" t="s">
        <v>3937</v>
      </c>
      <c r="W1082" s="9">
        <f>IF(V1082="pregrado",31,
IF(V1082="posgrados",31,
IF(V1082="rEINTEGROS",7,
IF(V1082="BIT",90,
IF(V1082="OP GRADO - INGLÉS",17,"")))))</f>
        <v>31</v>
      </c>
      <c r="X1082" t="s">
        <v>4032</v>
      </c>
    </row>
    <row r="1083" spans="1:24" ht="15" x14ac:dyDescent="0.35">
      <c r="A1083" s="4">
        <v>46036.67428240741</v>
      </c>
      <c r="B1083">
        <v>20113215</v>
      </c>
      <c r="C1083" s="6" t="s">
        <v>19</v>
      </c>
      <c r="D1083">
        <v>166562</v>
      </c>
      <c r="E1083" t="s">
        <v>43</v>
      </c>
      <c r="F1083">
        <v>1062354112</v>
      </c>
      <c r="G1083" t="s">
        <v>1791</v>
      </c>
      <c r="H1083">
        <v>100241733</v>
      </c>
      <c r="I1083">
        <v>202641</v>
      </c>
      <c r="J1083">
        <v>1062354112</v>
      </c>
      <c r="K1083" t="s">
        <v>23</v>
      </c>
      <c r="L1083" t="s">
        <v>279</v>
      </c>
      <c r="M1083" t="s">
        <v>47</v>
      </c>
      <c r="N1083" t="s">
        <v>35</v>
      </c>
      <c r="O1083" t="s">
        <v>26</v>
      </c>
      <c r="P1083" t="s">
        <v>27</v>
      </c>
      <c r="Q1083" t="s">
        <v>28</v>
      </c>
      <c r="R1083" t="s">
        <v>29</v>
      </c>
      <c r="S1083" t="s">
        <v>30</v>
      </c>
      <c r="T1083">
        <v>53116792</v>
      </c>
      <c r="U1083" t="s">
        <v>3936</v>
      </c>
      <c r="V1083" t="s">
        <v>3937</v>
      </c>
      <c r="W1083" s="9">
        <f>IF(V1083="pregrado",31,
IF(V1083="posgrados",31,
IF(V1083="rEINTEGROS",7,
IF(V1083="BIT",90,
IF(V1083="OP GRADO - INGLÉS",17,"")))))</f>
        <v>31</v>
      </c>
      <c r="X1083" t="s">
        <v>4008</v>
      </c>
    </row>
    <row r="1084" spans="1:24" ht="15" x14ac:dyDescent="0.35">
      <c r="A1084" s="4">
        <v>46037.739641203705</v>
      </c>
      <c r="B1084">
        <v>20113866</v>
      </c>
      <c r="C1084" s="6" t="s">
        <v>19</v>
      </c>
      <c r="D1084">
        <v>166563</v>
      </c>
      <c r="E1084" t="s">
        <v>43</v>
      </c>
      <c r="F1084">
        <v>23682244</v>
      </c>
      <c r="G1084" t="s">
        <v>1858</v>
      </c>
      <c r="H1084">
        <v>100241705</v>
      </c>
      <c r="I1084">
        <v>202651</v>
      </c>
      <c r="J1084">
        <v>23682244</v>
      </c>
      <c r="K1084" t="s">
        <v>23</v>
      </c>
      <c r="L1084" t="s">
        <v>252</v>
      </c>
      <c r="M1084" t="s">
        <v>253</v>
      </c>
      <c r="N1084" t="s">
        <v>35</v>
      </c>
      <c r="O1084" t="s">
        <v>26</v>
      </c>
      <c r="P1084" t="s">
        <v>27</v>
      </c>
      <c r="Q1084" t="s">
        <v>28</v>
      </c>
      <c r="R1084" t="s">
        <v>29</v>
      </c>
      <c r="S1084" t="s">
        <v>30</v>
      </c>
      <c r="T1084">
        <v>1032451737</v>
      </c>
      <c r="U1084" t="s">
        <v>3948</v>
      </c>
      <c r="V1084" t="s">
        <v>3937</v>
      </c>
      <c r="W1084" s="9">
        <f>IF(V1084="pregrado",31,
IF(V1084="posgrados",31,
IF(V1084="rEINTEGROS",7,
IF(V1084="BIT",90,
IF(V1084="OP GRADO - INGLÉS",17,"")))))</f>
        <v>31</v>
      </c>
      <c r="X1084" t="s">
        <v>4033</v>
      </c>
    </row>
    <row r="1085" spans="1:24" ht="15" x14ac:dyDescent="0.35">
      <c r="A1085" s="4">
        <v>46041.505266203705</v>
      </c>
      <c r="B1085">
        <v>20114873</v>
      </c>
      <c r="C1085" s="6" t="s">
        <v>19</v>
      </c>
      <c r="D1085">
        <v>166567</v>
      </c>
      <c r="E1085" t="s">
        <v>43</v>
      </c>
      <c r="F1085">
        <v>1121716357</v>
      </c>
      <c r="G1085" t="s">
        <v>1965</v>
      </c>
      <c r="H1085">
        <v>100241745</v>
      </c>
      <c r="I1085">
        <v>202641</v>
      </c>
      <c r="J1085">
        <v>1121716357</v>
      </c>
      <c r="K1085" t="s">
        <v>23</v>
      </c>
      <c r="L1085" t="s">
        <v>59</v>
      </c>
      <c r="M1085" t="s">
        <v>47</v>
      </c>
      <c r="N1085" t="s">
        <v>35</v>
      </c>
      <c r="O1085" t="s">
        <v>26</v>
      </c>
      <c r="P1085" t="s">
        <v>27</v>
      </c>
      <c r="Q1085" t="s">
        <v>28</v>
      </c>
      <c r="R1085" t="s">
        <v>29</v>
      </c>
      <c r="S1085" t="s">
        <v>30</v>
      </c>
      <c r="T1085">
        <v>1022407392</v>
      </c>
      <c r="U1085" t="s">
        <v>3936</v>
      </c>
      <c r="V1085" t="s">
        <v>3937</v>
      </c>
      <c r="W1085" s="9">
        <f>IF(V1085="pregrado",31,
IF(V1085="posgrados",31,
IF(V1085="rEINTEGROS",7,
IF(V1085="BIT",90,
IF(V1085="OP GRADO - INGLÉS",17,"")))))</f>
        <v>31</v>
      </c>
      <c r="X1085" t="s">
        <v>3975</v>
      </c>
    </row>
    <row r="1086" spans="1:24" ht="15" x14ac:dyDescent="0.35">
      <c r="A1086" s="4">
        <v>46036.651932870373</v>
      </c>
      <c r="B1086">
        <v>20113185</v>
      </c>
      <c r="C1086" s="6" t="s">
        <v>19</v>
      </c>
      <c r="D1086">
        <v>166568</v>
      </c>
      <c r="E1086" t="s">
        <v>43</v>
      </c>
      <c r="F1086">
        <v>1144184169</v>
      </c>
      <c r="G1086" t="s">
        <v>1783</v>
      </c>
      <c r="H1086">
        <v>100241746</v>
      </c>
      <c r="I1086">
        <v>202651</v>
      </c>
      <c r="J1086">
        <v>1144184169</v>
      </c>
      <c r="K1086" t="s">
        <v>23</v>
      </c>
      <c r="L1086" t="s">
        <v>252</v>
      </c>
      <c r="M1086" t="s">
        <v>253</v>
      </c>
      <c r="N1086" t="s">
        <v>35</v>
      </c>
      <c r="O1086" t="s">
        <v>26</v>
      </c>
      <c r="P1086" t="s">
        <v>27</v>
      </c>
      <c r="Q1086" t="s">
        <v>28</v>
      </c>
      <c r="R1086" t="s">
        <v>29</v>
      </c>
      <c r="S1086" t="s">
        <v>30</v>
      </c>
      <c r="T1086">
        <v>52759865</v>
      </c>
      <c r="U1086" t="s">
        <v>3936</v>
      </c>
      <c r="V1086" t="s">
        <v>3937</v>
      </c>
      <c r="W1086" s="9">
        <f>IF(V1086="pregrado",31,
IF(V1086="posgrados",31,
IF(V1086="rEINTEGROS",7,
IF(V1086="BIT",90,
IF(V1086="OP GRADO - INGLÉS",17,"")))))</f>
        <v>31</v>
      </c>
      <c r="X1086" t="s">
        <v>4105</v>
      </c>
    </row>
    <row r="1087" spans="1:24" ht="15" x14ac:dyDescent="0.35">
      <c r="A1087" s="4">
        <v>46044.659687500003</v>
      </c>
      <c r="B1087">
        <v>20116257</v>
      </c>
      <c r="C1087" s="6" t="s">
        <v>19</v>
      </c>
      <c r="D1087">
        <v>166572</v>
      </c>
      <c r="E1087" t="s">
        <v>43</v>
      </c>
      <c r="F1087">
        <v>1110487159</v>
      </c>
      <c r="G1087" t="s">
        <v>2183</v>
      </c>
      <c r="H1087">
        <v>100241751</v>
      </c>
      <c r="I1087">
        <v>202641</v>
      </c>
      <c r="J1087">
        <v>1110487159</v>
      </c>
      <c r="K1087" t="s">
        <v>23</v>
      </c>
      <c r="L1087" t="s">
        <v>342</v>
      </c>
      <c r="M1087" t="s">
        <v>47</v>
      </c>
      <c r="N1087" t="s">
        <v>35</v>
      </c>
      <c r="O1087" t="s">
        <v>26</v>
      </c>
      <c r="P1087" t="s">
        <v>27</v>
      </c>
      <c r="Q1087" t="s">
        <v>28</v>
      </c>
      <c r="R1087" t="s">
        <v>29</v>
      </c>
      <c r="S1087" t="s">
        <v>30</v>
      </c>
      <c r="T1087">
        <v>1073673268</v>
      </c>
      <c r="U1087" t="s">
        <v>3948</v>
      </c>
      <c r="V1087" t="s">
        <v>3937</v>
      </c>
      <c r="W1087" s="9">
        <f>IF(V1087="pregrado",31,
IF(V1087="posgrados",31,
IF(V1087="rEINTEGROS",7,
IF(V1087="BIT",90,
IF(V1087="OP GRADO - INGLÉS",17,"")))))</f>
        <v>31</v>
      </c>
      <c r="X1087" t="s">
        <v>4080</v>
      </c>
    </row>
    <row r="1088" spans="1:24" ht="15" x14ac:dyDescent="0.35">
      <c r="A1088" s="4">
        <v>46036.780173611114</v>
      </c>
      <c r="B1088">
        <v>20113299</v>
      </c>
      <c r="C1088" s="6" t="s">
        <v>19</v>
      </c>
      <c r="D1088">
        <v>166575</v>
      </c>
      <c r="E1088" t="s">
        <v>43</v>
      </c>
      <c r="F1088">
        <v>1193037490</v>
      </c>
      <c r="G1088" t="s">
        <v>1803</v>
      </c>
      <c r="H1088">
        <v>100241758</v>
      </c>
      <c r="I1088">
        <v>202641</v>
      </c>
      <c r="J1088">
        <v>1193037490</v>
      </c>
      <c r="K1088" t="s">
        <v>23</v>
      </c>
      <c r="L1088" t="s">
        <v>45</v>
      </c>
      <c r="M1088" t="s">
        <v>47</v>
      </c>
      <c r="N1088" t="s">
        <v>35</v>
      </c>
      <c r="O1088" t="s">
        <v>26</v>
      </c>
      <c r="P1088" t="s">
        <v>27</v>
      </c>
      <c r="Q1088" t="s">
        <v>28</v>
      </c>
      <c r="R1088" t="s">
        <v>29</v>
      </c>
      <c r="S1088" t="s">
        <v>30</v>
      </c>
      <c r="T1088">
        <v>1032406382</v>
      </c>
      <c r="U1088" t="s">
        <v>3936</v>
      </c>
      <c r="V1088" t="s">
        <v>3937</v>
      </c>
      <c r="W1088" s="9">
        <f>IF(V1088="pregrado",31,
IF(V1088="posgrados",31,
IF(V1088="rEINTEGROS",7,
IF(V1088="BIT",90,
IF(V1088="OP GRADO - INGLÉS",17,"")))))</f>
        <v>31</v>
      </c>
      <c r="X1088" t="s">
        <v>3991</v>
      </c>
    </row>
    <row r="1089" spans="1:24" ht="15" x14ac:dyDescent="0.35">
      <c r="A1089" s="4">
        <v>46036.779189814813</v>
      </c>
      <c r="B1089">
        <v>20113298</v>
      </c>
      <c r="C1089" s="6" t="s">
        <v>19</v>
      </c>
      <c r="D1089">
        <v>166584</v>
      </c>
      <c r="E1089" t="s">
        <v>43</v>
      </c>
      <c r="F1089">
        <v>50940673</v>
      </c>
      <c r="G1089" t="s">
        <v>1802</v>
      </c>
      <c r="H1089">
        <v>100241777</v>
      </c>
      <c r="I1089">
        <v>202651</v>
      </c>
      <c r="J1089">
        <v>1063277818</v>
      </c>
      <c r="K1089" t="s">
        <v>23</v>
      </c>
      <c r="L1089" t="s">
        <v>252</v>
      </c>
      <c r="M1089" t="s">
        <v>253</v>
      </c>
      <c r="N1089" t="s">
        <v>35</v>
      </c>
      <c r="O1089" t="s">
        <v>26</v>
      </c>
      <c r="P1089" t="s">
        <v>27</v>
      </c>
      <c r="Q1089" t="s">
        <v>28</v>
      </c>
      <c r="R1089" t="s">
        <v>29</v>
      </c>
      <c r="S1089" t="s">
        <v>30</v>
      </c>
      <c r="T1089">
        <v>53116792</v>
      </c>
      <c r="U1089" t="s">
        <v>3936</v>
      </c>
      <c r="V1089" t="s">
        <v>3937</v>
      </c>
      <c r="W1089" s="9">
        <f>IF(V1089="pregrado",31,
IF(V1089="posgrados",31,
IF(V1089="rEINTEGROS",7,
IF(V1089="BIT",90,
IF(V1089="OP GRADO - INGLÉS",17,"")))))</f>
        <v>31</v>
      </c>
      <c r="X1089" t="s">
        <v>4008</v>
      </c>
    </row>
    <row r="1090" spans="1:24" ht="15" x14ac:dyDescent="0.35">
      <c r="A1090" s="4">
        <v>46041.782696759263</v>
      </c>
      <c r="B1090">
        <v>20115086</v>
      </c>
      <c r="C1090" s="6" t="s">
        <v>19</v>
      </c>
      <c r="D1090">
        <v>166593</v>
      </c>
      <c r="E1090" t="s">
        <v>43</v>
      </c>
      <c r="F1090">
        <v>1078117054</v>
      </c>
      <c r="G1090" t="s">
        <v>1989</v>
      </c>
      <c r="H1090">
        <v>100084459</v>
      </c>
      <c r="I1090">
        <v>202651</v>
      </c>
      <c r="J1090">
        <v>1078117054</v>
      </c>
      <c r="K1090" t="s">
        <v>23</v>
      </c>
      <c r="L1090" t="s">
        <v>252</v>
      </c>
      <c r="M1090" t="s">
        <v>253</v>
      </c>
      <c r="N1090" t="s">
        <v>35</v>
      </c>
      <c r="O1090" t="s">
        <v>26</v>
      </c>
      <c r="P1090" t="s">
        <v>27</v>
      </c>
      <c r="Q1090" t="s">
        <v>28</v>
      </c>
      <c r="R1090" t="s">
        <v>29</v>
      </c>
      <c r="S1090" t="s">
        <v>30</v>
      </c>
      <c r="T1090">
        <v>1032451737</v>
      </c>
      <c r="U1090" t="s">
        <v>3948</v>
      </c>
      <c r="V1090" t="s">
        <v>3937</v>
      </c>
      <c r="W1090" s="9">
        <f>IF(V1090="pregrado",31,
IF(V1090="posgrados",31,
IF(V1090="rEINTEGROS",7,
IF(V1090="BIT",90,
IF(V1090="OP GRADO - INGLÉS",17,"")))))</f>
        <v>31</v>
      </c>
      <c r="X1090" t="s">
        <v>4033</v>
      </c>
    </row>
    <row r="1091" spans="1:24" ht="15" x14ac:dyDescent="0.35">
      <c r="A1091" s="4">
        <v>46037.847291666665</v>
      </c>
      <c r="B1091">
        <v>20113962</v>
      </c>
      <c r="C1091" s="6" t="s">
        <v>19</v>
      </c>
      <c r="D1091">
        <v>166597</v>
      </c>
      <c r="E1091" t="s">
        <v>43</v>
      </c>
      <c r="F1091">
        <v>49722877</v>
      </c>
      <c r="G1091" t="s">
        <v>1867</v>
      </c>
      <c r="H1091">
        <v>100241789</v>
      </c>
      <c r="I1091">
        <v>202651</v>
      </c>
      <c r="J1091">
        <v>49722877</v>
      </c>
      <c r="K1091" t="s">
        <v>23</v>
      </c>
      <c r="L1091" t="s">
        <v>252</v>
      </c>
      <c r="M1091" t="s">
        <v>253</v>
      </c>
      <c r="N1091" t="s">
        <v>35</v>
      </c>
      <c r="O1091" t="s">
        <v>26</v>
      </c>
      <c r="P1091" t="s">
        <v>27</v>
      </c>
      <c r="Q1091" t="s">
        <v>28</v>
      </c>
      <c r="R1091" t="s">
        <v>29</v>
      </c>
      <c r="S1091" t="s">
        <v>30</v>
      </c>
      <c r="T1091">
        <v>1020754225</v>
      </c>
      <c r="U1091" t="s">
        <v>3948</v>
      </c>
      <c r="V1091" t="s">
        <v>3937</v>
      </c>
      <c r="W1091" s="9">
        <f>IF(V1091="pregrado",31,
IF(V1091="posgrados",31,
IF(V1091="rEINTEGROS",7,
IF(V1091="BIT",90,
IF(V1091="OP GRADO - INGLÉS",17,"")))))</f>
        <v>31</v>
      </c>
      <c r="X1091" t="s">
        <v>3981</v>
      </c>
    </row>
    <row r="1092" spans="1:24" ht="15" x14ac:dyDescent="0.35">
      <c r="A1092" s="4">
        <v>46041.791215277779</v>
      </c>
      <c r="B1092">
        <v>20115092</v>
      </c>
      <c r="C1092" s="6" t="s">
        <v>19</v>
      </c>
      <c r="D1092">
        <v>166598</v>
      </c>
      <c r="E1092" t="s">
        <v>43</v>
      </c>
      <c r="F1092">
        <v>37060385</v>
      </c>
      <c r="G1092" t="s">
        <v>1990</v>
      </c>
      <c r="H1092">
        <v>100241791</v>
      </c>
      <c r="I1092">
        <v>202651</v>
      </c>
      <c r="J1092">
        <v>37060385</v>
      </c>
      <c r="K1092" t="s">
        <v>23</v>
      </c>
      <c r="L1092" t="s">
        <v>252</v>
      </c>
      <c r="M1092" t="s">
        <v>253</v>
      </c>
      <c r="N1092" t="s">
        <v>35</v>
      </c>
      <c r="O1092" t="s">
        <v>26</v>
      </c>
      <c r="P1092" t="s">
        <v>27</v>
      </c>
      <c r="Q1092" t="s">
        <v>28</v>
      </c>
      <c r="R1092" t="s">
        <v>29</v>
      </c>
      <c r="S1092" t="s">
        <v>30</v>
      </c>
      <c r="T1092">
        <v>1032451737</v>
      </c>
      <c r="U1092" t="s">
        <v>3948</v>
      </c>
      <c r="V1092" t="s">
        <v>3937</v>
      </c>
      <c r="W1092" s="9">
        <f>IF(V1092="pregrado",31,
IF(V1092="posgrados",31,
IF(V1092="rEINTEGROS",7,
IF(V1092="BIT",90,
IF(V1092="OP GRADO - INGLÉS",17,"")))))</f>
        <v>31</v>
      </c>
      <c r="X1092" t="s">
        <v>4033</v>
      </c>
    </row>
    <row r="1093" spans="1:24" ht="15" x14ac:dyDescent="0.35">
      <c r="A1093" s="4">
        <v>46039.467789351853</v>
      </c>
      <c r="B1093">
        <v>20114688</v>
      </c>
      <c r="C1093" s="6" t="s">
        <v>19</v>
      </c>
      <c r="D1093">
        <v>166599</v>
      </c>
      <c r="E1093" t="s">
        <v>43</v>
      </c>
      <c r="F1093">
        <v>1108763833</v>
      </c>
      <c r="G1093" t="s">
        <v>1951</v>
      </c>
      <c r="H1093">
        <v>100241792</v>
      </c>
      <c r="I1093">
        <v>202651</v>
      </c>
      <c r="J1093">
        <v>1108763833</v>
      </c>
      <c r="K1093" t="s">
        <v>23</v>
      </c>
      <c r="L1093" t="s">
        <v>252</v>
      </c>
      <c r="M1093" t="s">
        <v>253</v>
      </c>
      <c r="N1093" t="s">
        <v>35</v>
      </c>
      <c r="O1093" t="s">
        <v>26</v>
      </c>
      <c r="P1093" t="s">
        <v>27</v>
      </c>
      <c r="Q1093" t="s">
        <v>28</v>
      </c>
      <c r="R1093" t="s">
        <v>29</v>
      </c>
      <c r="S1093" t="s">
        <v>30</v>
      </c>
      <c r="T1093">
        <v>1233888787</v>
      </c>
      <c r="U1093" t="s">
        <v>3936</v>
      </c>
      <c r="V1093" t="s">
        <v>3937</v>
      </c>
      <c r="W1093" s="9">
        <f>IF(V1093="pregrado",31,
IF(V1093="posgrados",31,
IF(V1093="rEINTEGROS",7,
IF(V1093="BIT",90,
IF(V1093="OP GRADO - INGLÉS",17,"")))))</f>
        <v>31</v>
      </c>
      <c r="X1093" t="s">
        <v>3998</v>
      </c>
    </row>
    <row r="1094" spans="1:24" ht="15" x14ac:dyDescent="0.35">
      <c r="A1094" s="4">
        <v>46036.692870370367</v>
      </c>
      <c r="B1094">
        <v>20113233</v>
      </c>
      <c r="C1094" s="6" t="s">
        <v>19</v>
      </c>
      <c r="D1094">
        <v>166601</v>
      </c>
      <c r="E1094" t="s">
        <v>43</v>
      </c>
      <c r="F1094">
        <v>38888943</v>
      </c>
      <c r="G1094" t="s">
        <v>1792</v>
      </c>
      <c r="H1094">
        <v>100241795</v>
      </c>
      <c r="I1094">
        <v>202651</v>
      </c>
      <c r="J1094">
        <v>38888943</v>
      </c>
      <c r="K1094" t="s">
        <v>23</v>
      </c>
      <c r="L1094" t="s">
        <v>252</v>
      </c>
      <c r="M1094" t="s">
        <v>253</v>
      </c>
      <c r="N1094" t="s">
        <v>35</v>
      </c>
      <c r="O1094" t="s">
        <v>26</v>
      </c>
      <c r="P1094" t="s">
        <v>27</v>
      </c>
      <c r="Q1094" t="s">
        <v>28</v>
      </c>
      <c r="R1094" t="s">
        <v>29</v>
      </c>
      <c r="S1094" t="s">
        <v>30</v>
      </c>
      <c r="T1094">
        <v>1033781417</v>
      </c>
      <c r="U1094" t="s">
        <v>3948</v>
      </c>
      <c r="V1094" t="s">
        <v>3937</v>
      </c>
      <c r="W1094" s="9">
        <f>IF(V1094="pregrado",31,
IF(V1094="posgrados",31,
IF(V1094="rEINTEGROS",7,
IF(V1094="BIT",90,
IF(V1094="OP GRADO - INGLÉS",17,"")))))</f>
        <v>31</v>
      </c>
      <c r="X1094" t="s">
        <v>4031</v>
      </c>
    </row>
    <row r="1095" spans="1:24" ht="15" x14ac:dyDescent="0.35">
      <c r="A1095" s="4">
        <v>46038.546909722223</v>
      </c>
      <c r="B1095">
        <v>20114273</v>
      </c>
      <c r="C1095" s="6" t="s">
        <v>19</v>
      </c>
      <c r="D1095">
        <v>166603</v>
      </c>
      <c r="E1095" t="s">
        <v>43</v>
      </c>
      <c r="F1095">
        <v>53012535</v>
      </c>
      <c r="G1095" t="s">
        <v>1901</v>
      </c>
      <c r="H1095">
        <v>100241796</v>
      </c>
      <c r="I1095">
        <v>202651</v>
      </c>
      <c r="J1095">
        <v>53012535</v>
      </c>
      <c r="K1095" t="s">
        <v>23</v>
      </c>
      <c r="L1095" t="s">
        <v>252</v>
      </c>
      <c r="M1095" t="s">
        <v>253</v>
      </c>
      <c r="N1095" t="s">
        <v>35</v>
      </c>
      <c r="O1095" t="s">
        <v>26</v>
      </c>
      <c r="P1095" t="s">
        <v>27</v>
      </c>
      <c r="Q1095" t="s">
        <v>28</v>
      </c>
      <c r="R1095" t="s">
        <v>29</v>
      </c>
      <c r="S1095" t="s">
        <v>30</v>
      </c>
      <c r="T1095">
        <v>1233888787</v>
      </c>
      <c r="U1095" t="s">
        <v>3936</v>
      </c>
      <c r="V1095" t="s">
        <v>3937</v>
      </c>
      <c r="W1095" s="9">
        <f>IF(V1095="pregrado",31,
IF(V1095="posgrados",31,
IF(V1095="rEINTEGROS",7,
IF(V1095="BIT",90,
IF(V1095="OP GRADO - INGLÉS",17,"")))))</f>
        <v>31</v>
      </c>
      <c r="X1095" t="s">
        <v>3998</v>
      </c>
    </row>
    <row r="1096" spans="1:24" ht="15" x14ac:dyDescent="0.35">
      <c r="A1096" s="4">
        <v>46038.653182870374</v>
      </c>
      <c r="B1096">
        <v>20114407</v>
      </c>
      <c r="C1096" s="6" t="s">
        <v>19</v>
      </c>
      <c r="D1096">
        <v>166608</v>
      </c>
      <c r="E1096" t="s">
        <v>43</v>
      </c>
      <c r="F1096">
        <v>16493637</v>
      </c>
      <c r="G1096" t="s">
        <v>1914</v>
      </c>
      <c r="H1096">
        <v>100241804</v>
      </c>
      <c r="I1096">
        <v>202651</v>
      </c>
      <c r="J1096">
        <v>66747121</v>
      </c>
      <c r="K1096" t="s">
        <v>23</v>
      </c>
      <c r="L1096" t="s">
        <v>252</v>
      </c>
      <c r="M1096" t="s">
        <v>253</v>
      </c>
      <c r="N1096" t="s">
        <v>35</v>
      </c>
      <c r="O1096" t="s">
        <v>26</v>
      </c>
      <c r="P1096" t="s">
        <v>27</v>
      </c>
      <c r="Q1096" t="s">
        <v>28</v>
      </c>
      <c r="R1096" t="s">
        <v>29</v>
      </c>
      <c r="S1096" t="s">
        <v>30</v>
      </c>
      <c r="T1096">
        <v>1073673268</v>
      </c>
      <c r="U1096" t="s">
        <v>3948</v>
      </c>
      <c r="V1096" t="s">
        <v>3937</v>
      </c>
      <c r="W1096" s="9">
        <f>IF(V1096="pregrado",31,
IF(V1096="posgrados",31,
IF(V1096="rEINTEGROS",7,
IF(V1096="BIT",90,
IF(V1096="OP GRADO - INGLÉS",17,"")))))</f>
        <v>31</v>
      </c>
      <c r="X1096" t="s">
        <v>4080</v>
      </c>
    </row>
    <row r="1097" spans="1:24" ht="15" x14ac:dyDescent="0.35">
      <c r="A1097" s="4">
        <v>46038.514282407406</v>
      </c>
      <c r="B1097">
        <v>20114222</v>
      </c>
      <c r="C1097" s="6" t="s">
        <v>19</v>
      </c>
      <c r="D1097">
        <v>166611</v>
      </c>
      <c r="E1097" t="s">
        <v>43</v>
      </c>
      <c r="F1097">
        <v>1081815458</v>
      </c>
      <c r="G1097" t="s">
        <v>1897</v>
      </c>
      <c r="H1097">
        <v>100241810</v>
      </c>
      <c r="I1097">
        <v>202651</v>
      </c>
      <c r="J1097">
        <v>1081815458</v>
      </c>
      <c r="K1097" t="s">
        <v>23</v>
      </c>
      <c r="L1097" t="s">
        <v>252</v>
      </c>
      <c r="M1097" t="s">
        <v>253</v>
      </c>
      <c r="N1097" t="s">
        <v>35</v>
      </c>
      <c r="O1097" t="s">
        <v>26</v>
      </c>
      <c r="P1097" t="s">
        <v>27</v>
      </c>
      <c r="Q1097" t="s">
        <v>28</v>
      </c>
      <c r="R1097" t="s">
        <v>29</v>
      </c>
      <c r="S1097" t="s">
        <v>30</v>
      </c>
      <c r="T1097">
        <v>1233888787</v>
      </c>
      <c r="U1097" t="s">
        <v>3936</v>
      </c>
      <c r="V1097" t="s">
        <v>3937</v>
      </c>
      <c r="W1097" s="9">
        <f>IF(V1097="pregrado",31,
IF(V1097="posgrados",31,
IF(V1097="rEINTEGROS",7,
IF(V1097="BIT",90,
IF(V1097="OP GRADO - INGLÉS",17,"")))))</f>
        <v>31</v>
      </c>
      <c r="X1097" t="s">
        <v>3998</v>
      </c>
    </row>
    <row r="1098" spans="1:24" ht="15" x14ac:dyDescent="0.35">
      <c r="A1098" s="4">
        <v>46044.760150462964</v>
      </c>
      <c r="B1098">
        <v>20116352</v>
      </c>
      <c r="C1098" s="6" t="s">
        <v>19</v>
      </c>
      <c r="D1098">
        <v>166613</v>
      </c>
      <c r="E1098" t="s">
        <v>43</v>
      </c>
      <c r="F1098">
        <v>1057710897</v>
      </c>
      <c r="G1098" t="s">
        <v>2206</v>
      </c>
      <c r="H1098">
        <v>100052563</v>
      </c>
      <c r="I1098">
        <v>202651</v>
      </c>
      <c r="J1098">
        <v>24179337</v>
      </c>
      <c r="K1098" t="s">
        <v>23</v>
      </c>
      <c r="L1098" t="s">
        <v>252</v>
      </c>
      <c r="M1098" t="s">
        <v>253</v>
      </c>
      <c r="N1098" t="s">
        <v>35</v>
      </c>
      <c r="O1098" t="s">
        <v>26</v>
      </c>
      <c r="P1098" t="s">
        <v>27</v>
      </c>
      <c r="Q1098" t="s">
        <v>28</v>
      </c>
      <c r="R1098" t="s">
        <v>29</v>
      </c>
      <c r="S1098" t="s">
        <v>30</v>
      </c>
      <c r="T1098">
        <v>1233513889</v>
      </c>
      <c r="U1098" t="s">
        <v>3948</v>
      </c>
      <c r="V1098" t="s">
        <v>3937</v>
      </c>
      <c r="W1098" s="9">
        <f>IF(V1098="pregrado",31,
IF(V1098="posgrados",31,
IF(V1098="rEINTEGROS",7,
IF(V1098="BIT",90,
IF(V1098="OP GRADO - INGLÉS",17,"")))))</f>
        <v>31</v>
      </c>
      <c r="X1098" t="s">
        <v>4035</v>
      </c>
    </row>
    <row r="1099" spans="1:24" ht="15" x14ac:dyDescent="0.35">
      <c r="A1099" s="4">
        <v>46039.607974537037</v>
      </c>
      <c r="B1099">
        <v>20114719</v>
      </c>
      <c r="C1099" s="6" t="s">
        <v>19</v>
      </c>
      <c r="D1099">
        <v>166614</v>
      </c>
      <c r="E1099" t="s">
        <v>43</v>
      </c>
      <c r="F1099">
        <v>1075541398</v>
      </c>
      <c r="G1099" t="s">
        <v>1957</v>
      </c>
      <c r="H1099">
        <v>100241819</v>
      </c>
      <c r="I1099">
        <v>202651</v>
      </c>
      <c r="J1099">
        <v>1075541398</v>
      </c>
      <c r="K1099" t="s">
        <v>23</v>
      </c>
      <c r="L1099" t="s">
        <v>252</v>
      </c>
      <c r="M1099" t="s">
        <v>253</v>
      </c>
      <c r="N1099" t="s">
        <v>35</v>
      </c>
      <c r="O1099" t="s">
        <v>26</v>
      </c>
      <c r="P1099" t="s">
        <v>27</v>
      </c>
      <c r="Q1099" t="s">
        <v>28</v>
      </c>
      <c r="R1099" t="s">
        <v>29</v>
      </c>
      <c r="S1099" t="s">
        <v>30</v>
      </c>
      <c r="T1099">
        <v>1140420282</v>
      </c>
      <c r="U1099" t="s">
        <v>3948</v>
      </c>
      <c r="V1099" t="s">
        <v>3937</v>
      </c>
      <c r="W1099" s="9">
        <f>IF(V1099="pregrado",31,
IF(V1099="posgrados",31,
IF(V1099="rEINTEGROS",7,
IF(V1099="BIT",90,
IF(V1099="OP GRADO - INGLÉS",17,"")))))</f>
        <v>31</v>
      </c>
      <c r="X1099" t="s">
        <v>3972</v>
      </c>
    </row>
    <row r="1100" spans="1:24" ht="15" x14ac:dyDescent="0.35">
      <c r="A1100" s="4">
        <v>46037.419768518521</v>
      </c>
      <c r="B1100">
        <v>20113460</v>
      </c>
      <c r="C1100" s="6" t="s">
        <v>19</v>
      </c>
      <c r="D1100">
        <v>166617</v>
      </c>
      <c r="E1100" t="s">
        <v>43</v>
      </c>
      <c r="F1100">
        <v>1000725925</v>
      </c>
      <c r="G1100" t="s">
        <v>1817</v>
      </c>
      <c r="H1100">
        <v>100241713</v>
      </c>
      <c r="I1100">
        <v>202651</v>
      </c>
      <c r="J1100">
        <v>1000725925</v>
      </c>
      <c r="K1100" t="s">
        <v>23</v>
      </c>
      <c r="L1100" t="s">
        <v>252</v>
      </c>
      <c r="M1100" t="s">
        <v>253</v>
      </c>
      <c r="N1100" t="s">
        <v>35</v>
      </c>
      <c r="O1100" t="s">
        <v>26</v>
      </c>
      <c r="P1100" t="s">
        <v>27</v>
      </c>
      <c r="Q1100" t="s">
        <v>28</v>
      </c>
      <c r="R1100" t="s">
        <v>29</v>
      </c>
      <c r="S1100" t="s">
        <v>30</v>
      </c>
      <c r="T1100">
        <v>1012355141</v>
      </c>
      <c r="U1100" t="s">
        <v>3936</v>
      </c>
      <c r="V1100" t="s">
        <v>3937</v>
      </c>
      <c r="W1100" s="9">
        <f>IF(V1100="pregrado",31,
IF(V1100="posgrados",31,
IF(V1100="rEINTEGROS",7,
IF(V1100="BIT",90,
IF(V1100="OP GRADO - INGLÉS",17,"")))))</f>
        <v>31</v>
      </c>
      <c r="X1100" t="s">
        <v>4045</v>
      </c>
    </row>
    <row r="1101" spans="1:24" ht="15" x14ac:dyDescent="0.35">
      <c r="A1101" s="4">
        <v>46037.647824074076</v>
      </c>
      <c r="B1101">
        <v>20113735</v>
      </c>
      <c r="C1101" s="6" t="s">
        <v>19</v>
      </c>
      <c r="D1101">
        <v>166621</v>
      </c>
      <c r="E1101" t="s">
        <v>43</v>
      </c>
      <c r="F1101">
        <v>1112301318</v>
      </c>
      <c r="G1101" t="s">
        <v>1841</v>
      </c>
      <c r="H1101">
        <v>100241829</v>
      </c>
      <c r="I1101">
        <v>202651</v>
      </c>
      <c r="J1101">
        <v>1112301318</v>
      </c>
      <c r="K1101" t="s">
        <v>23</v>
      </c>
      <c r="L1101" t="s">
        <v>252</v>
      </c>
      <c r="M1101" t="s">
        <v>253</v>
      </c>
      <c r="N1101" t="s">
        <v>35</v>
      </c>
      <c r="O1101" t="s">
        <v>26</v>
      </c>
      <c r="P1101" t="s">
        <v>27</v>
      </c>
      <c r="Q1101" t="s">
        <v>28</v>
      </c>
      <c r="R1101" t="s">
        <v>29</v>
      </c>
      <c r="S1101" t="s">
        <v>30</v>
      </c>
      <c r="T1101">
        <v>52759865</v>
      </c>
      <c r="U1101" t="s">
        <v>3936</v>
      </c>
      <c r="V1101" t="s">
        <v>3937</v>
      </c>
      <c r="W1101" s="9">
        <f>IF(V1101="pregrado",31,
IF(V1101="posgrados",31,
IF(V1101="rEINTEGROS",7,
IF(V1101="BIT",90,
IF(V1101="OP GRADO - INGLÉS",17,"")))))</f>
        <v>31</v>
      </c>
      <c r="X1101" t="s">
        <v>4105</v>
      </c>
    </row>
    <row r="1102" spans="1:24" ht="15" x14ac:dyDescent="0.35">
      <c r="A1102" s="4">
        <v>46037.408506944441</v>
      </c>
      <c r="B1102">
        <v>20113449</v>
      </c>
      <c r="C1102" s="6" t="s">
        <v>19</v>
      </c>
      <c r="D1102">
        <v>166625</v>
      </c>
      <c r="E1102" t="s">
        <v>43</v>
      </c>
      <c r="F1102">
        <v>1036617032</v>
      </c>
      <c r="G1102" t="s">
        <v>1814</v>
      </c>
      <c r="H1102">
        <v>100241832</v>
      </c>
      <c r="I1102">
        <v>202651</v>
      </c>
      <c r="J1102">
        <v>1036617032</v>
      </c>
      <c r="K1102" t="s">
        <v>23</v>
      </c>
      <c r="L1102" t="s">
        <v>252</v>
      </c>
      <c r="M1102" t="s">
        <v>253</v>
      </c>
      <c r="N1102" t="s">
        <v>35</v>
      </c>
      <c r="O1102" t="s">
        <v>26</v>
      </c>
      <c r="P1102" t="s">
        <v>27</v>
      </c>
      <c r="Q1102" t="s">
        <v>28</v>
      </c>
      <c r="R1102" t="s">
        <v>29</v>
      </c>
      <c r="S1102" t="s">
        <v>30</v>
      </c>
      <c r="T1102">
        <v>1020754225</v>
      </c>
      <c r="U1102" t="s">
        <v>3948</v>
      </c>
      <c r="V1102" t="s">
        <v>3937</v>
      </c>
      <c r="W1102" s="9">
        <f>IF(V1102="pregrado",31,
IF(V1102="posgrados",31,
IF(V1102="rEINTEGROS",7,
IF(V1102="BIT",90,
IF(V1102="OP GRADO - INGLÉS",17,"")))))</f>
        <v>31</v>
      </c>
      <c r="X1102" t="s">
        <v>3981</v>
      </c>
    </row>
    <row r="1103" spans="1:24" ht="15" x14ac:dyDescent="0.35">
      <c r="A1103" s="4">
        <v>46037.387129629627</v>
      </c>
      <c r="B1103">
        <v>20113427</v>
      </c>
      <c r="C1103" s="6" t="s">
        <v>19</v>
      </c>
      <c r="D1103">
        <v>166631</v>
      </c>
      <c r="E1103" t="s">
        <v>43</v>
      </c>
      <c r="F1103">
        <v>1003035790</v>
      </c>
      <c r="G1103" t="s">
        <v>1811</v>
      </c>
      <c r="H1103">
        <v>100241844</v>
      </c>
      <c r="I1103">
        <v>202641</v>
      </c>
      <c r="J1103">
        <v>1003035790</v>
      </c>
      <c r="K1103" t="s">
        <v>23</v>
      </c>
      <c r="L1103" t="s">
        <v>279</v>
      </c>
      <c r="M1103" t="s">
        <v>47</v>
      </c>
      <c r="N1103" t="s">
        <v>35</v>
      </c>
      <c r="O1103" t="s">
        <v>26</v>
      </c>
      <c r="P1103" t="s">
        <v>27</v>
      </c>
      <c r="Q1103" t="s">
        <v>28</v>
      </c>
      <c r="R1103" t="s">
        <v>29</v>
      </c>
      <c r="S1103" t="s">
        <v>30</v>
      </c>
      <c r="T1103">
        <v>1033781417</v>
      </c>
      <c r="U1103" t="s">
        <v>3948</v>
      </c>
      <c r="V1103" t="s">
        <v>3937</v>
      </c>
      <c r="W1103" s="9">
        <f>IF(V1103="pregrado",31,
IF(V1103="posgrados",31,
IF(V1103="rEINTEGROS",7,
IF(V1103="BIT",90,
IF(V1103="OP GRADO - INGLÉS",17,"")))))</f>
        <v>31</v>
      </c>
      <c r="X1103" t="s">
        <v>4031</v>
      </c>
    </row>
    <row r="1104" spans="1:24" ht="15" x14ac:dyDescent="0.35">
      <c r="A1104" s="4">
        <v>46038.504050925927</v>
      </c>
      <c r="B1104">
        <v>20114210</v>
      </c>
      <c r="C1104" s="6" t="s">
        <v>19</v>
      </c>
      <c r="D1104">
        <v>166635</v>
      </c>
      <c r="E1104" t="s">
        <v>43</v>
      </c>
      <c r="F1104">
        <v>87066152</v>
      </c>
      <c r="G1104" t="s">
        <v>1894</v>
      </c>
      <c r="H1104">
        <v>100241850</v>
      </c>
      <c r="I1104">
        <v>202641</v>
      </c>
      <c r="J1104">
        <v>1128053365</v>
      </c>
      <c r="K1104" t="s">
        <v>23</v>
      </c>
      <c r="L1104" t="s">
        <v>279</v>
      </c>
      <c r="M1104" t="s">
        <v>47</v>
      </c>
      <c r="N1104" t="s">
        <v>35</v>
      </c>
      <c r="O1104" t="s">
        <v>26</v>
      </c>
      <c r="P1104" t="s">
        <v>27</v>
      </c>
      <c r="Q1104" t="s">
        <v>28</v>
      </c>
      <c r="R1104" t="s">
        <v>29</v>
      </c>
      <c r="S1104" t="s">
        <v>30</v>
      </c>
      <c r="T1104">
        <v>1012355141</v>
      </c>
      <c r="U1104" t="s">
        <v>3936</v>
      </c>
      <c r="V1104" t="s">
        <v>3937</v>
      </c>
      <c r="W1104" s="9">
        <f>IF(V1104="pregrado",31,
IF(V1104="posgrados",31,
IF(V1104="rEINTEGROS",7,
IF(V1104="BIT",90,
IF(V1104="OP GRADO - INGLÉS",17,"")))))</f>
        <v>31</v>
      </c>
      <c r="X1104" t="s">
        <v>4045</v>
      </c>
    </row>
    <row r="1105" spans="1:24" ht="15" x14ac:dyDescent="0.35">
      <c r="A1105" s="4">
        <v>46043.436562499999</v>
      </c>
      <c r="B1105">
        <v>20115665</v>
      </c>
      <c r="C1105" s="6" t="s">
        <v>19</v>
      </c>
      <c r="D1105">
        <v>166641</v>
      </c>
      <c r="E1105" t="s">
        <v>43</v>
      </c>
      <c r="F1105">
        <v>1088341309</v>
      </c>
      <c r="G1105" t="s">
        <v>2073</v>
      </c>
      <c r="H1105">
        <v>100241858</v>
      </c>
      <c r="I1105">
        <v>202651</v>
      </c>
      <c r="J1105">
        <v>1088271518</v>
      </c>
      <c r="K1105" t="s">
        <v>23</v>
      </c>
      <c r="L1105" t="s">
        <v>252</v>
      </c>
      <c r="M1105" t="s">
        <v>253</v>
      </c>
      <c r="N1105" t="s">
        <v>35</v>
      </c>
      <c r="O1105" t="s">
        <v>26</v>
      </c>
      <c r="P1105" t="s">
        <v>27</v>
      </c>
      <c r="Q1105" t="s">
        <v>28</v>
      </c>
      <c r="R1105" t="s">
        <v>29</v>
      </c>
      <c r="S1105" t="s">
        <v>30</v>
      </c>
      <c r="T1105">
        <v>1032406382</v>
      </c>
      <c r="U1105" t="s">
        <v>3936</v>
      </c>
      <c r="V1105" t="s">
        <v>3937</v>
      </c>
      <c r="W1105" s="9">
        <f>IF(V1105="pregrado",31,
IF(V1105="posgrados",31,
IF(V1105="rEINTEGROS",7,
IF(V1105="BIT",90,
IF(V1105="OP GRADO - INGLÉS",17,"")))))</f>
        <v>31</v>
      </c>
      <c r="X1105" t="s">
        <v>3991</v>
      </c>
    </row>
    <row r="1106" spans="1:24" ht="15" x14ac:dyDescent="0.35">
      <c r="A1106" s="4">
        <v>46062.505752314813</v>
      </c>
      <c r="B1106">
        <v>20121617</v>
      </c>
      <c r="C1106" s="6" t="s">
        <v>19</v>
      </c>
      <c r="D1106">
        <v>166655</v>
      </c>
      <c r="E1106" t="s">
        <v>43</v>
      </c>
      <c r="F1106">
        <v>1085267142</v>
      </c>
      <c r="G1106" t="s">
        <v>2919</v>
      </c>
      <c r="H1106">
        <v>100241883</v>
      </c>
      <c r="I1106">
        <v>202651</v>
      </c>
      <c r="J1106">
        <v>1085267142</v>
      </c>
      <c r="K1106" t="s">
        <v>23</v>
      </c>
      <c r="L1106" t="s">
        <v>252</v>
      </c>
      <c r="M1106" t="s">
        <v>253</v>
      </c>
      <c r="N1106" t="s">
        <v>35</v>
      </c>
      <c r="O1106" t="s">
        <v>26</v>
      </c>
      <c r="P1106" t="s">
        <v>27</v>
      </c>
      <c r="Q1106" t="s">
        <v>28</v>
      </c>
      <c r="R1106" t="s">
        <v>29</v>
      </c>
      <c r="S1106" t="s">
        <v>30</v>
      </c>
      <c r="T1106">
        <v>1031147887</v>
      </c>
      <c r="U1106" t="s">
        <v>3948</v>
      </c>
      <c r="V1106" t="s">
        <v>3937</v>
      </c>
      <c r="W1106" s="9">
        <f>IF(V1106="pregrado",31,
IF(V1106="posgrados",31,
IF(V1106="rEINTEGROS",7,
IF(V1106="BIT",90,
IF(V1106="OP GRADO - INGLÉS",17,"")))))</f>
        <v>31</v>
      </c>
      <c r="X1106" t="s">
        <v>3947</v>
      </c>
    </row>
    <row r="1107" spans="1:24" ht="15" x14ac:dyDescent="0.35">
      <c r="A1107" s="4">
        <v>46058.674502314818</v>
      </c>
      <c r="B1107">
        <v>20120941</v>
      </c>
      <c r="C1107" s="6" t="s">
        <v>19</v>
      </c>
      <c r="D1107">
        <v>166663</v>
      </c>
      <c r="E1107" t="s">
        <v>43</v>
      </c>
      <c r="F1107">
        <v>37710541</v>
      </c>
      <c r="G1107" t="s">
        <v>2829</v>
      </c>
      <c r="H1107">
        <v>100177093</v>
      </c>
      <c r="I1107">
        <v>202651</v>
      </c>
      <c r="J1107">
        <v>1092386382</v>
      </c>
      <c r="K1107" t="s">
        <v>46</v>
      </c>
      <c r="L1107" t="s">
        <v>252</v>
      </c>
      <c r="M1107" t="s">
        <v>253</v>
      </c>
      <c r="N1107" t="s">
        <v>35</v>
      </c>
      <c r="O1107" t="s">
        <v>26</v>
      </c>
      <c r="P1107" t="s">
        <v>27</v>
      </c>
      <c r="Q1107" t="s">
        <v>28</v>
      </c>
      <c r="R1107" t="s">
        <v>29</v>
      </c>
      <c r="S1107" t="s">
        <v>30</v>
      </c>
      <c r="T1107">
        <v>1033784244</v>
      </c>
      <c r="U1107" t="s">
        <v>3948</v>
      </c>
      <c r="V1107" t="s">
        <v>3937</v>
      </c>
      <c r="W1107" s="9">
        <f>IF(V1107="pregrado",31,
IF(V1107="posgrados",31,
IF(V1107="rEINTEGROS",7,
IF(V1107="BIT",90,
IF(V1107="OP GRADO - INGLÉS",17,"")))))</f>
        <v>31</v>
      </c>
      <c r="X1107" t="s">
        <v>4067</v>
      </c>
    </row>
    <row r="1108" spans="1:24" ht="15" x14ac:dyDescent="0.35">
      <c r="A1108" s="4">
        <v>46051.477303240739</v>
      </c>
      <c r="B1108">
        <v>20118430</v>
      </c>
      <c r="C1108" s="6" t="s">
        <v>19</v>
      </c>
      <c r="D1108">
        <v>166672</v>
      </c>
      <c r="E1108" t="s">
        <v>43</v>
      </c>
      <c r="F1108">
        <v>52786607</v>
      </c>
      <c r="G1108" t="s">
        <v>2476</v>
      </c>
      <c r="H1108">
        <v>100191116</v>
      </c>
      <c r="I1108">
        <v>202641</v>
      </c>
      <c r="J1108">
        <v>52786607</v>
      </c>
      <c r="K1108" t="s">
        <v>89</v>
      </c>
      <c r="L1108" t="s">
        <v>2410</v>
      </c>
      <c r="M1108" t="s">
        <v>47</v>
      </c>
      <c r="N1108" t="s">
        <v>35</v>
      </c>
      <c r="O1108" t="s">
        <v>26</v>
      </c>
      <c r="P1108" t="s">
        <v>27</v>
      </c>
      <c r="Q1108" t="s">
        <v>28</v>
      </c>
      <c r="R1108" t="s">
        <v>29</v>
      </c>
      <c r="S1108" t="s">
        <v>30</v>
      </c>
      <c r="T1108">
        <v>52168054</v>
      </c>
      <c r="U1108" t="s">
        <v>3977</v>
      </c>
      <c r="V1108" t="s">
        <v>3970</v>
      </c>
      <c r="W1108" s="9">
        <f>IF(V1108="pregrado",31,
IF(V1108="posgrados",31,
IF(V1108="rEINTEGROS",7,
IF(V1108="BIT",90,
IF(V1108="OP GRADO - INGLÉS",17,"")))))</f>
        <v>7</v>
      </c>
      <c r="X1108" t="s">
        <v>4057</v>
      </c>
    </row>
    <row r="1109" spans="1:24" ht="15" x14ac:dyDescent="0.35">
      <c r="A1109" s="4">
        <v>46037.639652777776</v>
      </c>
      <c r="B1109">
        <v>20113723</v>
      </c>
      <c r="C1109" s="6" t="s">
        <v>19</v>
      </c>
      <c r="D1109">
        <v>166674</v>
      </c>
      <c r="E1109" t="s">
        <v>43</v>
      </c>
      <c r="F1109">
        <v>1095813484</v>
      </c>
      <c r="G1109" t="s">
        <v>1838</v>
      </c>
      <c r="H1109">
        <v>100241907</v>
      </c>
      <c r="I1109">
        <v>202651</v>
      </c>
      <c r="J1109">
        <v>1095813484</v>
      </c>
      <c r="K1109" t="s">
        <v>23</v>
      </c>
      <c r="L1109" t="s">
        <v>252</v>
      </c>
      <c r="M1109" t="s">
        <v>253</v>
      </c>
      <c r="N1109" t="s">
        <v>35</v>
      </c>
      <c r="O1109" t="s">
        <v>26</v>
      </c>
      <c r="P1109" t="s">
        <v>27</v>
      </c>
      <c r="Q1109" t="s">
        <v>28</v>
      </c>
      <c r="R1109" t="s">
        <v>29</v>
      </c>
      <c r="S1109" t="s">
        <v>30</v>
      </c>
      <c r="T1109">
        <v>1014285873</v>
      </c>
      <c r="U1109" t="s">
        <v>3948</v>
      </c>
      <c r="V1109" t="s">
        <v>3937</v>
      </c>
      <c r="W1109" s="9">
        <f>IF(V1109="pregrado",31,
IF(V1109="posgrados",31,
IF(V1109="rEINTEGROS",7,
IF(V1109="BIT",90,
IF(V1109="OP GRADO - INGLÉS",17,"")))))</f>
        <v>31</v>
      </c>
      <c r="X1109" t="s">
        <v>3953</v>
      </c>
    </row>
    <row r="1110" spans="1:24" ht="15" x14ac:dyDescent="0.35">
      <c r="A1110" s="4">
        <v>46057.598749999997</v>
      </c>
      <c r="B1110">
        <v>20120489</v>
      </c>
      <c r="C1110" s="6" t="s">
        <v>19</v>
      </c>
      <c r="D1110">
        <v>166685</v>
      </c>
      <c r="E1110" t="s">
        <v>43</v>
      </c>
      <c r="F1110">
        <v>1030680092</v>
      </c>
      <c r="G1110" t="s">
        <v>2755</v>
      </c>
      <c r="H1110">
        <v>100180587</v>
      </c>
      <c r="I1110">
        <v>202641</v>
      </c>
      <c r="J1110">
        <v>1030680092</v>
      </c>
      <c r="K1110" t="s">
        <v>46</v>
      </c>
      <c r="L1110" t="s">
        <v>94</v>
      </c>
      <c r="M1110" t="s">
        <v>47</v>
      </c>
      <c r="N1110" t="s">
        <v>35</v>
      </c>
      <c r="O1110" t="s">
        <v>26</v>
      </c>
      <c r="P1110" t="s">
        <v>27</v>
      </c>
      <c r="Q1110" t="s">
        <v>28</v>
      </c>
      <c r="R1110" t="s">
        <v>29</v>
      </c>
      <c r="S1110" t="s">
        <v>30</v>
      </c>
      <c r="T1110">
        <v>1015401969</v>
      </c>
      <c r="U1110" t="s">
        <v>3936</v>
      </c>
      <c r="V1110" t="s">
        <v>3937</v>
      </c>
      <c r="W1110" s="9">
        <f>IF(V1110="pregrado",31,
IF(V1110="posgrados",31,
IF(V1110="rEINTEGROS",7,
IF(V1110="BIT",90,
IF(V1110="OP GRADO - INGLÉS",17,"")))))</f>
        <v>31</v>
      </c>
      <c r="X1110" t="s">
        <v>3945</v>
      </c>
    </row>
    <row r="1111" spans="1:24" ht="15" x14ac:dyDescent="0.35">
      <c r="A1111" s="4">
        <v>46052.694513888891</v>
      </c>
      <c r="B1111">
        <v>20119082</v>
      </c>
      <c r="C1111" s="6" t="s">
        <v>19</v>
      </c>
      <c r="D1111">
        <v>166689</v>
      </c>
      <c r="E1111" t="s">
        <v>43</v>
      </c>
      <c r="F1111">
        <v>1048220033</v>
      </c>
      <c r="G1111" t="s">
        <v>2584</v>
      </c>
      <c r="H1111">
        <v>100241937</v>
      </c>
      <c r="I1111">
        <v>202651</v>
      </c>
      <c r="J1111">
        <v>1048220033</v>
      </c>
      <c r="K1111" t="s">
        <v>23</v>
      </c>
      <c r="L1111" t="s">
        <v>252</v>
      </c>
      <c r="M1111" t="s">
        <v>253</v>
      </c>
      <c r="N1111" t="s">
        <v>35</v>
      </c>
      <c r="O1111" t="s">
        <v>26</v>
      </c>
      <c r="P1111" t="s">
        <v>27</v>
      </c>
      <c r="Q1111" t="s">
        <v>28</v>
      </c>
      <c r="R1111" t="s">
        <v>29</v>
      </c>
      <c r="S1111" t="s">
        <v>30</v>
      </c>
      <c r="T1111">
        <v>1031147887</v>
      </c>
      <c r="U1111" t="s">
        <v>3948</v>
      </c>
      <c r="V1111" t="s">
        <v>3937</v>
      </c>
      <c r="W1111" s="9">
        <f>IF(V1111="pregrado",31,
IF(V1111="posgrados",31,
IF(V1111="rEINTEGROS",7,
IF(V1111="BIT",90,
IF(V1111="OP GRADO - INGLÉS",17,"")))))</f>
        <v>31</v>
      </c>
      <c r="X1111" t="s">
        <v>3947</v>
      </c>
    </row>
    <row r="1112" spans="1:24" ht="15" x14ac:dyDescent="0.35">
      <c r="A1112" s="4">
        <v>46065.696087962962</v>
      </c>
      <c r="B1112">
        <v>20122943</v>
      </c>
      <c r="C1112" s="6" t="s">
        <v>19</v>
      </c>
      <c r="D1112">
        <v>166706</v>
      </c>
      <c r="E1112" t="s">
        <v>43</v>
      </c>
      <c r="F1112">
        <v>1124494321</v>
      </c>
      <c r="G1112" t="s">
        <v>3114</v>
      </c>
      <c r="H1112">
        <v>100196901</v>
      </c>
      <c r="I1112">
        <v>202651</v>
      </c>
      <c r="J1112">
        <v>1124494321</v>
      </c>
      <c r="K1112" t="s">
        <v>46</v>
      </c>
      <c r="L1112" t="s">
        <v>252</v>
      </c>
      <c r="M1112" t="s">
        <v>253</v>
      </c>
      <c r="N1112" t="s">
        <v>35</v>
      </c>
      <c r="O1112" t="s">
        <v>26</v>
      </c>
      <c r="P1112" t="s">
        <v>27</v>
      </c>
      <c r="Q1112" t="s">
        <v>28</v>
      </c>
      <c r="R1112" t="s">
        <v>29</v>
      </c>
      <c r="S1112" t="s">
        <v>30</v>
      </c>
      <c r="T1112">
        <v>1140420282</v>
      </c>
      <c r="U1112" t="s">
        <v>3948</v>
      </c>
      <c r="V1112" t="s">
        <v>3937</v>
      </c>
      <c r="W1112" s="9">
        <f>IF(V1112="pregrado",31,
IF(V1112="posgrados",31,
IF(V1112="rEINTEGROS",7,
IF(V1112="BIT",90,
IF(V1112="OP GRADO - INGLÉS",17,"")))))</f>
        <v>31</v>
      </c>
      <c r="X1112" t="s">
        <v>3972</v>
      </c>
    </row>
    <row r="1113" spans="1:24" ht="15" x14ac:dyDescent="0.35">
      <c r="A1113" s="4">
        <v>46038.789861111109</v>
      </c>
      <c r="B1113">
        <v>20114598</v>
      </c>
      <c r="C1113" s="6" t="s">
        <v>19</v>
      </c>
      <c r="D1113">
        <v>166755</v>
      </c>
      <c r="E1113" t="s">
        <v>43</v>
      </c>
      <c r="F1113">
        <v>1010181900</v>
      </c>
      <c r="G1113" t="s">
        <v>1936</v>
      </c>
      <c r="H1113">
        <v>100241939</v>
      </c>
      <c r="I1113">
        <v>202651</v>
      </c>
      <c r="J1113">
        <v>1010181900</v>
      </c>
      <c r="K1113" t="s">
        <v>23</v>
      </c>
      <c r="L1113" t="s">
        <v>252</v>
      </c>
      <c r="M1113" t="s">
        <v>253</v>
      </c>
      <c r="N1113" t="s">
        <v>35</v>
      </c>
      <c r="O1113" t="s">
        <v>26</v>
      </c>
      <c r="P1113" t="s">
        <v>27</v>
      </c>
      <c r="Q1113" t="s">
        <v>28</v>
      </c>
      <c r="R1113" t="s">
        <v>29</v>
      </c>
      <c r="S1113" t="s">
        <v>30</v>
      </c>
      <c r="T1113">
        <v>1233513889</v>
      </c>
      <c r="U1113" t="s">
        <v>3948</v>
      </c>
      <c r="V1113" t="s">
        <v>3937</v>
      </c>
      <c r="W1113" s="9">
        <f>IF(V1113="pregrado",31,
IF(V1113="posgrados",31,
IF(V1113="rEINTEGROS",7,
IF(V1113="BIT",90,
IF(V1113="OP GRADO - INGLÉS",17,"")))))</f>
        <v>31</v>
      </c>
      <c r="X1113" t="s">
        <v>4035</v>
      </c>
    </row>
    <row r="1114" spans="1:24" ht="15" x14ac:dyDescent="0.35">
      <c r="A1114" s="4">
        <v>46038.292847222219</v>
      </c>
      <c r="B1114">
        <v>20113998</v>
      </c>
      <c r="C1114" s="6" t="s">
        <v>19</v>
      </c>
      <c r="D1114">
        <v>166758</v>
      </c>
      <c r="E1114" t="s">
        <v>43</v>
      </c>
      <c r="F1114">
        <v>1006165248</v>
      </c>
      <c r="G1114" t="s">
        <v>1871</v>
      </c>
      <c r="H1114">
        <v>100241941</v>
      </c>
      <c r="I1114">
        <v>202641</v>
      </c>
      <c r="J1114">
        <v>1006165248</v>
      </c>
      <c r="K1114" t="s">
        <v>23</v>
      </c>
      <c r="L1114" t="s">
        <v>99</v>
      </c>
      <c r="M1114" t="s">
        <v>47</v>
      </c>
      <c r="N1114" t="s">
        <v>35</v>
      </c>
      <c r="O1114" t="s">
        <v>26</v>
      </c>
      <c r="P1114" t="s">
        <v>27</v>
      </c>
      <c r="Q1114" t="s">
        <v>28</v>
      </c>
      <c r="R1114" t="s">
        <v>29</v>
      </c>
      <c r="S1114" t="s">
        <v>30</v>
      </c>
      <c r="T1114">
        <v>1022407392</v>
      </c>
      <c r="U1114" t="s">
        <v>3936</v>
      </c>
      <c r="V1114" t="s">
        <v>3937</v>
      </c>
      <c r="W1114" s="9">
        <f>IF(V1114="pregrado",31,
IF(V1114="posgrados",31,
IF(V1114="rEINTEGROS",7,
IF(V1114="BIT",90,
IF(V1114="OP GRADO - INGLÉS",17,"")))))</f>
        <v>31</v>
      </c>
      <c r="X1114" t="s">
        <v>3975</v>
      </c>
    </row>
    <row r="1115" spans="1:24" ht="15" x14ac:dyDescent="0.35">
      <c r="A1115" s="4">
        <v>46044.300717592596</v>
      </c>
      <c r="B1115">
        <v>20115975</v>
      </c>
      <c r="C1115" s="6" t="s">
        <v>19</v>
      </c>
      <c r="D1115">
        <v>166763</v>
      </c>
      <c r="E1115" t="s">
        <v>43</v>
      </c>
      <c r="F1115">
        <v>1144049193</v>
      </c>
      <c r="G1115" t="s">
        <v>2125</v>
      </c>
      <c r="H1115">
        <v>100241950</v>
      </c>
      <c r="I1115">
        <v>202651</v>
      </c>
      <c r="J1115">
        <v>1062331763</v>
      </c>
      <c r="K1115" t="s">
        <v>23</v>
      </c>
      <c r="L1115" t="s">
        <v>252</v>
      </c>
      <c r="M1115" t="s">
        <v>253</v>
      </c>
      <c r="N1115" t="s">
        <v>35</v>
      </c>
      <c r="O1115" t="s">
        <v>26</v>
      </c>
      <c r="P1115" t="s">
        <v>27</v>
      </c>
      <c r="Q1115" t="s">
        <v>28</v>
      </c>
      <c r="R1115" t="s">
        <v>29</v>
      </c>
      <c r="S1115" t="s">
        <v>30</v>
      </c>
      <c r="T1115">
        <v>1022407392</v>
      </c>
      <c r="U1115" t="s">
        <v>3936</v>
      </c>
      <c r="V1115" t="s">
        <v>3937</v>
      </c>
      <c r="W1115" s="9">
        <f>IF(V1115="pregrado",31,
IF(V1115="posgrados",31,
IF(V1115="rEINTEGROS",7,
IF(V1115="BIT",90,
IF(V1115="OP GRADO - INGLÉS",17,"")))))</f>
        <v>31</v>
      </c>
      <c r="X1115" t="s">
        <v>3975</v>
      </c>
    </row>
    <row r="1116" spans="1:24" ht="15" x14ac:dyDescent="0.35">
      <c r="A1116" s="4">
        <v>46038.443414351852</v>
      </c>
      <c r="B1116">
        <v>20114117</v>
      </c>
      <c r="C1116" s="6" t="s">
        <v>19</v>
      </c>
      <c r="D1116">
        <v>166771</v>
      </c>
      <c r="E1116" t="s">
        <v>43</v>
      </c>
      <c r="F1116">
        <v>1053831401</v>
      </c>
      <c r="G1116" t="s">
        <v>1886</v>
      </c>
      <c r="H1116">
        <v>100241974</v>
      </c>
      <c r="I1116">
        <v>202641</v>
      </c>
      <c r="J1116">
        <v>1053831401</v>
      </c>
      <c r="K1116" t="s">
        <v>23</v>
      </c>
      <c r="L1116" t="s">
        <v>99</v>
      </c>
      <c r="M1116" t="s">
        <v>47</v>
      </c>
      <c r="N1116" t="s">
        <v>35</v>
      </c>
      <c r="O1116" t="s">
        <v>26</v>
      </c>
      <c r="P1116" t="s">
        <v>27</v>
      </c>
      <c r="Q1116" t="s">
        <v>28</v>
      </c>
      <c r="R1116" t="s">
        <v>29</v>
      </c>
      <c r="S1116" t="s">
        <v>30</v>
      </c>
      <c r="T1116">
        <v>1082250716</v>
      </c>
      <c r="U1116" t="s">
        <v>3936</v>
      </c>
      <c r="V1116" t="s">
        <v>3937</v>
      </c>
      <c r="W1116" s="9">
        <f>IF(V1116="pregrado",31,
IF(V1116="posgrados",31,
IF(V1116="rEINTEGROS",7,
IF(V1116="BIT",90,
IF(V1116="OP GRADO - INGLÉS",17,"")))))</f>
        <v>31</v>
      </c>
      <c r="X1116" t="s">
        <v>3997</v>
      </c>
    </row>
    <row r="1117" spans="1:24" ht="15" x14ac:dyDescent="0.35">
      <c r="A1117" s="4">
        <v>46038.532997685186</v>
      </c>
      <c r="B1117">
        <v>20114257</v>
      </c>
      <c r="C1117" s="6" t="s">
        <v>19</v>
      </c>
      <c r="D1117">
        <v>166776</v>
      </c>
      <c r="E1117" t="s">
        <v>43</v>
      </c>
      <c r="F1117">
        <v>31853380</v>
      </c>
      <c r="G1117" t="s">
        <v>1899</v>
      </c>
      <c r="H1117">
        <v>100241981</v>
      </c>
      <c r="I1117">
        <v>202651</v>
      </c>
      <c r="J1117">
        <v>1144153880</v>
      </c>
      <c r="K1117" t="s">
        <v>23</v>
      </c>
      <c r="L1117" t="s">
        <v>252</v>
      </c>
      <c r="M1117" t="s">
        <v>253</v>
      </c>
      <c r="N1117" t="s">
        <v>35</v>
      </c>
      <c r="O1117" t="s">
        <v>26</v>
      </c>
      <c r="P1117" t="s">
        <v>27</v>
      </c>
      <c r="Q1117" t="s">
        <v>28</v>
      </c>
      <c r="R1117" t="s">
        <v>29</v>
      </c>
      <c r="S1117" t="s">
        <v>30</v>
      </c>
      <c r="T1117">
        <v>1075542872</v>
      </c>
      <c r="U1117" t="s">
        <v>3948</v>
      </c>
      <c r="V1117" t="s">
        <v>3937</v>
      </c>
      <c r="W1117" s="9">
        <f>IF(V1117="pregrado",31,
IF(V1117="posgrados",31,
IF(V1117="rEINTEGROS",7,
IF(V1117="BIT",90,
IF(V1117="OP GRADO - INGLÉS",17,"")))))</f>
        <v>31</v>
      </c>
      <c r="X1117" t="s">
        <v>3974</v>
      </c>
    </row>
    <row r="1118" spans="1:24" ht="15" x14ac:dyDescent="0.35">
      <c r="A1118" s="4">
        <v>46038.397696759261</v>
      </c>
      <c r="B1118">
        <v>20114054</v>
      </c>
      <c r="C1118" s="6" t="s">
        <v>19</v>
      </c>
      <c r="D1118">
        <v>166784</v>
      </c>
      <c r="E1118" t="s">
        <v>43</v>
      </c>
      <c r="F1118">
        <v>1010107948</v>
      </c>
      <c r="G1118" t="s">
        <v>1876</v>
      </c>
      <c r="H1118">
        <v>100241993</v>
      </c>
      <c r="I1118">
        <v>202651</v>
      </c>
      <c r="J1118">
        <v>1010107948</v>
      </c>
      <c r="K1118" t="s">
        <v>23</v>
      </c>
      <c r="L1118" t="s">
        <v>252</v>
      </c>
      <c r="M1118" t="s">
        <v>253</v>
      </c>
      <c r="N1118" t="s">
        <v>35</v>
      </c>
      <c r="O1118" t="s">
        <v>26</v>
      </c>
      <c r="P1118" t="s">
        <v>27</v>
      </c>
      <c r="Q1118" t="s">
        <v>28</v>
      </c>
      <c r="R1118" t="s">
        <v>29</v>
      </c>
      <c r="S1118" t="s">
        <v>30</v>
      </c>
      <c r="T1118">
        <v>1033793185</v>
      </c>
      <c r="U1118" t="s">
        <v>3948</v>
      </c>
      <c r="V1118" t="s">
        <v>3937</v>
      </c>
      <c r="W1118" s="9">
        <f>IF(V1118="pregrado",31,
IF(V1118="posgrados",31,
IF(V1118="rEINTEGROS",7,
IF(V1118="BIT",90,
IF(V1118="OP GRADO - INGLÉS",17,"")))))</f>
        <v>31</v>
      </c>
      <c r="X1118" t="s">
        <v>4082</v>
      </c>
    </row>
    <row r="1119" spans="1:24" ht="15" x14ac:dyDescent="0.35">
      <c r="A1119" s="4">
        <v>46043.804270833331</v>
      </c>
      <c r="B1119">
        <v>20115948</v>
      </c>
      <c r="C1119" s="6" t="s">
        <v>19</v>
      </c>
      <c r="D1119">
        <v>166787</v>
      </c>
      <c r="E1119" t="s">
        <v>43</v>
      </c>
      <c r="F1119">
        <v>1102715538</v>
      </c>
      <c r="G1119" t="s">
        <v>2122</v>
      </c>
      <c r="H1119">
        <v>200077898</v>
      </c>
      <c r="I1119">
        <v>202641</v>
      </c>
      <c r="J1119">
        <v>1102715538</v>
      </c>
      <c r="K1119" t="s">
        <v>23</v>
      </c>
      <c r="L1119" t="s">
        <v>736</v>
      </c>
      <c r="M1119" t="s">
        <v>47</v>
      </c>
      <c r="N1119" t="s">
        <v>35</v>
      </c>
      <c r="O1119" t="s">
        <v>26</v>
      </c>
      <c r="P1119" t="s">
        <v>27</v>
      </c>
      <c r="Q1119" t="s">
        <v>28</v>
      </c>
      <c r="R1119" t="s">
        <v>29</v>
      </c>
      <c r="S1119" t="s">
        <v>30</v>
      </c>
      <c r="T1119">
        <v>1032451737</v>
      </c>
      <c r="U1119" t="s">
        <v>3948</v>
      </c>
      <c r="V1119" t="s">
        <v>3937</v>
      </c>
      <c r="W1119" s="9">
        <f>IF(V1119="pregrado",31,
IF(V1119="posgrados",31,
IF(V1119="rEINTEGROS",7,
IF(V1119="BIT",90,
IF(V1119="OP GRADO - INGLÉS",17,"")))))</f>
        <v>31</v>
      </c>
      <c r="X1119" t="s">
        <v>4033</v>
      </c>
    </row>
    <row r="1120" spans="1:24" ht="15" x14ac:dyDescent="0.35">
      <c r="A1120" s="4">
        <v>46038.422592592593</v>
      </c>
      <c r="B1120">
        <v>20114088</v>
      </c>
      <c r="C1120" s="6" t="s">
        <v>19</v>
      </c>
      <c r="D1120">
        <v>166796</v>
      </c>
      <c r="E1120" t="s">
        <v>43</v>
      </c>
      <c r="F1120">
        <v>94394238</v>
      </c>
      <c r="G1120" t="s">
        <v>1881</v>
      </c>
      <c r="H1120">
        <v>100242012</v>
      </c>
      <c r="I1120">
        <v>202651</v>
      </c>
      <c r="J1120">
        <v>94394238</v>
      </c>
      <c r="K1120" t="s">
        <v>23</v>
      </c>
      <c r="L1120" t="s">
        <v>252</v>
      </c>
      <c r="M1120" t="s">
        <v>253</v>
      </c>
      <c r="N1120" t="s">
        <v>35</v>
      </c>
      <c r="O1120" t="s">
        <v>26</v>
      </c>
      <c r="P1120" t="s">
        <v>27</v>
      </c>
      <c r="Q1120" t="s">
        <v>28</v>
      </c>
      <c r="R1120" t="s">
        <v>29</v>
      </c>
      <c r="S1120" t="s">
        <v>30</v>
      </c>
      <c r="T1120">
        <v>1073673268</v>
      </c>
      <c r="U1120" t="s">
        <v>3948</v>
      </c>
      <c r="V1120" t="s">
        <v>3937</v>
      </c>
      <c r="W1120" s="9">
        <f>IF(V1120="pregrado",31,
IF(V1120="posgrados",31,
IF(V1120="rEINTEGROS",7,
IF(V1120="BIT",90,
IF(V1120="OP GRADO - INGLÉS",17,"")))))</f>
        <v>31</v>
      </c>
      <c r="X1120" t="s">
        <v>4080</v>
      </c>
    </row>
    <row r="1121" spans="1:24" ht="15" x14ac:dyDescent="0.35">
      <c r="A1121" s="4">
        <v>46053.797418981485</v>
      </c>
      <c r="B1121">
        <v>20119348</v>
      </c>
      <c r="C1121" s="6" t="s">
        <v>19</v>
      </c>
      <c r="D1121">
        <v>166799</v>
      </c>
      <c r="E1121" t="s">
        <v>43</v>
      </c>
      <c r="F1121">
        <v>8297961</v>
      </c>
      <c r="G1121" t="s">
        <v>2636</v>
      </c>
      <c r="H1121">
        <v>100242017</v>
      </c>
      <c r="I1121">
        <v>202651</v>
      </c>
      <c r="J1121">
        <v>1036839244</v>
      </c>
      <c r="K1121" t="s">
        <v>23</v>
      </c>
      <c r="L1121" t="s">
        <v>252</v>
      </c>
      <c r="M1121" t="s">
        <v>253</v>
      </c>
      <c r="N1121" t="s">
        <v>35</v>
      </c>
      <c r="O1121" t="s">
        <v>26</v>
      </c>
      <c r="P1121" t="s">
        <v>27</v>
      </c>
      <c r="Q1121" t="s">
        <v>28</v>
      </c>
      <c r="R1121" t="s">
        <v>29</v>
      </c>
      <c r="S1121" t="s">
        <v>30</v>
      </c>
      <c r="T1121">
        <v>1082250716</v>
      </c>
      <c r="U1121" t="s">
        <v>3936</v>
      </c>
      <c r="V1121" t="s">
        <v>3937</v>
      </c>
      <c r="W1121" s="9">
        <f>IF(V1121="pregrado",31,
IF(V1121="posgrados",31,
IF(V1121="rEINTEGROS",7,
IF(V1121="BIT",90,
IF(V1121="OP GRADO - INGLÉS",17,"")))))</f>
        <v>31</v>
      </c>
      <c r="X1121" t="s">
        <v>3997</v>
      </c>
    </row>
    <row r="1122" spans="1:24" ht="15" x14ac:dyDescent="0.35">
      <c r="A1122" s="4">
        <v>46041.736539351848</v>
      </c>
      <c r="B1122">
        <v>20115066</v>
      </c>
      <c r="C1122" s="6" t="s">
        <v>19</v>
      </c>
      <c r="D1122">
        <v>166800</v>
      </c>
      <c r="E1122" t="s">
        <v>43</v>
      </c>
      <c r="F1122">
        <v>1016112636</v>
      </c>
      <c r="G1122" t="s">
        <v>1986</v>
      </c>
      <c r="H1122">
        <v>100197618</v>
      </c>
      <c r="I1122">
        <v>202641</v>
      </c>
      <c r="J1122">
        <v>1016112636</v>
      </c>
      <c r="K1122" t="s">
        <v>23</v>
      </c>
      <c r="L1122" t="s">
        <v>342</v>
      </c>
      <c r="M1122" t="s">
        <v>47</v>
      </c>
      <c r="N1122" t="s">
        <v>35</v>
      </c>
      <c r="O1122" t="s">
        <v>26</v>
      </c>
      <c r="P1122" t="s">
        <v>27</v>
      </c>
      <c r="Q1122" t="s">
        <v>28</v>
      </c>
      <c r="R1122" t="s">
        <v>29</v>
      </c>
      <c r="S1122" t="s">
        <v>30</v>
      </c>
      <c r="T1122">
        <v>1026262709</v>
      </c>
      <c r="U1122" t="s">
        <v>3936</v>
      </c>
      <c r="V1122" t="s">
        <v>3937</v>
      </c>
      <c r="W1122" s="9">
        <f>IF(V1122="pregrado",31,
IF(V1122="posgrados",31,
IF(V1122="rEINTEGROS",7,
IF(V1122="BIT",90,
IF(V1122="OP GRADO - INGLÉS",17,"")))))</f>
        <v>31</v>
      </c>
      <c r="X1122" t="s">
        <v>4037</v>
      </c>
    </row>
    <row r="1123" spans="1:24" ht="15" x14ac:dyDescent="0.35">
      <c r="A1123" s="4">
        <v>46044.38082175926</v>
      </c>
      <c r="B1123">
        <v>20116007</v>
      </c>
      <c r="C1123" s="6" t="s">
        <v>19</v>
      </c>
      <c r="D1123">
        <v>166801</v>
      </c>
      <c r="E1123" t="s">
        <v>43</v>
      </c>
      <c r="F1123">
        <v>1063359108</v>
      </c>
      <c r="G1123" t="s">
        <v>2133</v>
      </c>
      <c r="H1123">
        <v>100242010</v>
      </c>
      <c r="I1123">
        <v>202641</v>
      </c>
      <c r="J1123">
        <v>1063359108</v>
      </c>
      <c r="K1123" t="s">
        <v>23</v>
      </c>
      <c r="L1123" t="s">
        <v>99</v>
      </c>
      <c r="M1123" t="s">
        <v>47</v>
      </c>
      <c r="N1123" t="s">
        <v>35</v>
      </c>
      <c r="O1123" t="s">
        <v>26</v>
      </c>
      <c r="P1123" t="s">
        <v>27</v>
      </c>
      <c r="Q1123" t="s">
        <v>28</v>
      </c>
      <c r="R1123" t="s">
        <v>29</v>
      </c>
      <c r="S1123" t="s">
        <v>30</v>
      </c>
      <c r="T1123">
        <v>1082250716</v>
      </c>
      <c r="U1123" t="s">
        <v>3936</v>
      </c>
      <c r="V1123" t="s">
        <v>3937</v>
      </c>
      <c r="W1123" s="9">
        <f>IF(V1123="pregrado",31,
IF(V1123="posgrados",31,
IF(V1123="rEINTEGROS",7,
IF(V1123="BIT",90,
IF(V1123="OP GRADO - INGLÉS",17,"")))))</f>
        <v>31</v>
      </c>
      <c r="X1123" t="s">
        <v>3997</v>
      </c>
    </row>
    <row r="1124" spans="1:24" ht="15" x14ac:dyDescent="0.35">
      <c r="A1124" s="4">
        <v>46048.468692129631</v>
      </c>
      <c r="B1124">
        <v>20117046</v>
      </c>
      <c r="C1124" s="6" t="s">
        <v>19</v>
      </c>
      <c r="D1124">
        <v>166805</v>
      </c>
      <c r="E1124" t="s">
        <v>43</v>
      </c>
      <c r="F1124">
        <v>33216721</v>
      </c>
      <c r="G1124" t="s">
        <v>2282</v>
      </c>
      <c r="H1124">
        <v>100242022</v>
      </c>
      <c r="I1124">
        <v>202651</v>
      </c>
      <c r="J1124">
        <v>33216721</v>
      </c>
      <c r="K1124" t="s">
        <v>23</v>
      </c>
      <c r="L1124" t="s">
        <v>252</v>
      </c>
      <c r="M1124" t="s">
        <v>253</v>
      </c>
      <c r="N1124" t="s">
        <v>35</v>
      </c>
      <c r="O1124" t="s">
        <v>26</v>
      </c>
      <c r="P1124" t="s">
        <v>27</v>
      </c>
      <c r="Q1124" t="s">
        <v>28</v>
      </c>
      <c r="R1124" t="s">
        <v>29</v>
      </c>
      <c r="S1124" t="s">
        <v>30</v>
      </c>
      <c r="T1124">
        <v>1015407851</v>
      </c>
      <c r="U1124" t="s">
        <v>3944</v>
      </c>
      <c r="V1124" t="s">
        <v>3934</v>
      </c>
      <c r="W1124" s="9">
        <f>IF(V1124="pregrado",31,
IF(V1124="posgrados",31,
IF(V1124="rEINTEGROS",7,
IF(V1124="BIT",90,
IF(V1124="OP GRADO - INGLÉS",17,"")))))</f>
        <v>31</v>
      </c>
      <c r="X1124" t="s">
        <v>4102</v>
      </c>
    </row>
    <row r="1125" spans="1:24" ht="15" x14ac:dyDescent="0.35">
      <c r="A1125" s="4">
        <v>46037.797835648147</v>
      </c>
      <c r="B1125">
        <v>20113918</v>
      </c>
      <c r="C1125" s="6" t="s">
        <v>19</v>
      </c>
      <c r="D1125">
        <v>166980</v>
      </c>
      <c r="E1125" t="s">
        <v>43</v>
      </c>
      <c r="F1125">
        <v>1115729245</v>
      </c>
      <c r="G1125" t="s">
        <v>1864</v>
      </c>
      <c r="H1125">
        <v>100242029</v>
      </c>
      <c r="I1125">
        <v>202651</v>
      </c>
      <c r="J1125">
        <v>1115729245</v>
      </c>
      <c r="K1125" t="s">
        <v>23</v>
      </c>
      <c r="L1125" t="s">
        <v>252</v>
      </c>
      <c r="M1125" t="s">
        <v>253</v>
      </c>
      <c r="N1125" t="s">
        <v>35</v>
      </c>
      <c r="O1125" t="s">
        <v>26</v>
      </c>
      <c r="P1125" t="s">
        <v>27</v>
      </c>
      <c r="Q1125" t="s">
        <v>28</v>
      </c>
      <c r="R1125" t="s">
        <v>29</v>
      </c>
      <c r="S1125" t="s">
        <v>30</v>
      </c>
      <c r="T1125">
        <v>1015401969</v>
      </c>
      <c r="U1125" t="s">
        <v>3936</v>
      </c>
      <c r="V1125" t="s">
        <v>3937</v>
      </c>
      <c r="W1125" s="9">
        <f>IF(V1125="pregrado",31,
IF(V1125="posgrados",31,
IF(V1125="rEINTEGROS",7,
IF(V1125="BIT",90,
IF(V1125="OP GRADO - INGLÉS",17,"")))))</f>
        <v>31</v>
      </c>
      <c r="X1125" t="s">
        <v>3945</v>
      </c>
    </row>
    <row r="1126" spans="1:24" ht="15" x14ac:dyDescent="0.35">
      <c r="A1126" s="4">
        <v>46038.69740740741</v>
      </c>
      <c r="B1126">
        <v>20114488</v>
      </c>
      <c r="C1126" s="6" t="s">
        <v>19</v>
      </c>
      <c r="D1126">
        <v>167136</v>
      </c>
      <c r="E1126" t="s">
        <v>43</v>
      </c>
      <c r="F1126">
        <v>1003928352</v>
      </c>
      <c r="G1126" t="s">
        <v>1926</v>
      </c>
      <c r="H1126">
        <v>100242039</v>
      </c>
      <c r="I1126">
        <v>202641</v>
      </c>
      <c r="J1126">
        <v>1003928352</v>
      </c>
      <c r="K1126" t="s">
        <v>23</v>
      </c>
      <c r="L1126" t="s">
        <v>59</v>
      </c>
      <c r="M1126" t="s">
        <v>47</v>
      </c>
      <c r="N1126" t="s">
        <v>35</v>
      </c>
      <c r="O1126" t="s">
        <v>26</v>
      </c>
      <c r="P1126" t="s">
        <v>27</v>
      </c>
      <c r="Q1126" t="s">
        <v>28</v>
      </c>
      <c r="R1126" t="s">
        <v>29</v>
      </c>
      <c r="S1126" t="s">
        <v>30</v>
      </c>
      <c r="T1126">
        <v>1012355141</v>
      </c>
      <c r="U1126" t="s">
        <v>3936</v>
      </c>
      <c r="V1126" t="s">
        <v>3937</v>
      </c>
      <c r="W1126" s="9">
        <f>IF(V1126="pregrado",31,
IF(V1126="posgrados",31,
IF(V1126="rEINTEGROS",7,
IF(V1126="BIT",90,
IF(V1126="OP GRADO - INGLÉS",17,"")))))</f>
        <v>31</v>
      </c>
      <c r="X1126" t="s">
        <v>4045</v>
      </c>
    </row>
    <row r="1127" spans="1:24" ht="15" x14ac:dyDescent="0.35">
      <c r="A1127" s="4">
        <v>46055.749699074076</v>
      </c>
      <c r="B1127">
        <v>20119847</v>
      </c>
      <c r="C1127" s="6" t="s">
        <v>19</v>
      </c>
      <c r="D1127">
        <v>167139</v>
      </c>
      <c r="E1127" t="s">
        <v>43</v>
      </c>
      <c r="F1127">
        <v>55143840</v>
      </c>
      <c r="G1127" t="s">
        <v>2668</v>
      </c>
      <c r="H1127">
        <v>100241994</v>
      </c>
      <c r="I1127">
        <v>202651</v>
      </c>
      <c r="J1127">
        <v>1022359224</v>
      </c>
      <c r="K1127" t="s">
        <v>23</v>
      </c>
      <c r="L1127" t="s">
        <v>252</v>
      </c>
      <c r="M1127" t="s">
        <v>253</v>
      </c>
      <c r="N1127" t="s">
        <v>35</v>
      </c>
      <c r="O1127" t="s">
        <v>26</v>
      </c>
      <c r="P1127" t="s">
        <v>27</v>
      </c>
      <c r="Q1127" t="s">
        <v>28</v>
      </c>
      <c r="R1127" t="s">
        <v>29</v>
      </c>
      <c r="S1127" t="s">
        <v>30</v>
      </c>
      <c r="T1127">
        <v>1015401969</v>
      </c>
      <c r="U1127" t="s">
        <v>3936</v>
      </c>
      <c r="V1127" t="s">
        <v>3937</v>
      </c>
      <c r="W1127" s="9">
        <f>IF(V1127="pregrado",31,
IF(V1127="posgrados",31,
IF(V1127="rEINTEGROS",7,
IF(V1127="BIT",90,
IF(V1127="OP GRADO - INGLÉS",17,"")))))</f>
        <v>31</v>
      </c>
      <c r="X1127" t="s">
        <v>3945</v>
      </c>
    </row>
    <row r="1128" spans="1:24" ht="15" x14ac:dyDescent="0.35">
      <c r="A1128" s="4">
        <v>46038.678831018522</v>
      </c>
      <c r="B1128">
        <v>20114448</v>
      </c>
      <c r="C1128" s="6" t="s">
        <v>19</v>
      </c>
      <c r="D1128">
        <v>167154</v>
      </c>
      <c r="E1128" t="s">
        <v>43</v>
      </c>
      <c r="F1128">
        <v>1103117396</v>
      </c>
      <c r="G1128" t="s">
        <v>1920</v>
      </c>
      <c r="H1128">
        <v>100242072</v>
      </c>
      <c r="I1128">
        <v>202651</v>
      </c>
      <c r="J1128">
        <v>1103117396</v>
      </c>
      <c r="K1128" t="s">
        <v>23</v>
      </c>
      <c r="L1128" t="s">
        <v>252</v>
      </c>
      <c r="M1128" t="s">
        <v>253</v>
      </c>
      <c r="N1128" t="s">
        <v>35</v>
      </c>
      <c r="O1128" t="s">
        <v>26</v>
      </c>
      <c r="P1128" t="s">
        <v>27</v>
      </c>
      <c r="Q1128" t="s">
        <v>28</v>
      </c>
      <c r="R1128" t="s">
        <v>29</v>
      </c>
      <c r="S1128" t="s">
        <v>30</v>
      </c>
      <c r="T1128">
        <v>1019068131</v>
      </c>
      <c r="U1128" t="s">
        <v>3948</v>
      </c>
      <c r="V1128" t="s">
        <v>3937</v>
      </c>
      <c r="W1128" s="9">
        <f>IF(V1128="pregrado",31,
IF(V1128="posgrados",31,
IF(V1128="rEINTEGROS",7,
IF(V1128="BIT",90,
IF(V1128="OP GRADO - INGLÉS",17,"")))))</f>
        <v>31</v>
      </c>
      <c r="X1128" t="s">
        <v>4066</v>
      </c>
    </row>
    <row r="1129" spans="1:24" ht="15" x14ac:dyDescent="0.35">
      <c r="A1129" s="4">
        <v>46043.650312500002</v>
      </c>
      <c r="B1129">
        <v>20115847</v>
      </c>
      <c r="C1129" s="6" t="s">
        <v>19</v>
      </c>
      <c r="D1129">
        <v>167160</v>
      </c>
      <c r="E1129" t="s">
        <v>43</v>
      </c>
      <c r="F1129">
        <v>51996884</v>
      </c>
      <c r="G1129" t="s">
        <v>2104</v>
      </c>
      <c r="H1129">
        <v>100242083</v>
      </c>
      <c r="I1129">
        <v>202651</v>
      </c>
      <c r="J1129">
        <v>1010224256</v>
      </c>
      <c r="K1129" t="s">
        <v>23</v>
      </c>
      <c r="L1129" t="s">
        <v>252</v>
      </c>
      <c r="M1129" t="s">
        <v>253</v>
      </c>
      <c r="N1129" t="s">
        <v>35</v>
      </c>
      <c r="O1129" t="s">
        <v>26</v>
      </c>
      <c r="P1129" t="s">
        <v>27</v>
      </c>
      <c r="Q1129" t="s">
        <v>28</v>
      </c>
      <c r="R1129" t="s">
        <v>29</v>
      </c>
      <c r="S1129" t="s">
        <v>30</v>
      </c>
      <c r="T1129">
        <v>1193146767</v>
      </c>
      <c r="U1129" t="s">
        <v>3936</v>
      </c>
      <c r="V1129" t="s">
        <v>3937</v>
      </c>
      <c r="W1129" s="9">
        <f>IF(V1129="pregrado",31,
IF(V1129="posgrados",31,
IF(V1129="rEINTEGROS",7,
IF(V1129="BIT",90,
IF(V1129="OP GRADO - INGLÉS",17,"")))))</f>
        <v>31</v>
      </c>
      <c r="X1129" t="s">
        <v>4072</v>
      </c>
    </row>
    <row r="1130" spans="1:24" ht="15" x14ac:dyDescent="0.35">
      <c r="A1130" s="4">
        <v>46039.467233796298</v>
      </c>
      <c r="B1130">
        <v>20114687</v>
      </c>
      <c r="C1130" s="6" t="s">
        <v>19</v>
      </c>
      <c r="D1130">
        <v>167163</v>
      </c>
      <c r="E1130" t="s">
        <v>43</v>
      </c>
      <c r="F1130">
        <v>1003000370</v>
      </c>
      <c r="G1130" t="s">
        <v>1950</v>
      </c>
      <c r="H1130">
        <v>100078394</v>
      </c>
      <c r="I1130">
        <v>202641</v>
      </c>
      <c r="J1130">
        <v>1003000370</v>
      </c>
      <c r="K1130" t="s">
        <v>46</v>
      </c>
      <c r="L1130" t="s">
        <v>736</v>
      </c>
      <c r="M1130" t="s">
        <v>47</v>
      </c>
      <c r="N1130" t="s">
        <v>35</v>
      </c>
      <c r="O1130" t="s">
        <v>26</v>
      </c>
      <c r="P1130" t="s">
        <v>27</v>
      </c>
      <c r="Q1130" t="s">
        <v>28</v>
      </c>
      <c r="R1130" t="s">
        <v>29</v>
      </c>
      <c r="S1130" t="s">
        <v>30</v>
      </c>
      <c r="T1130">
        <v>1032451737</v>
      </c>
      <c r="U1130" t="s">
        <v>3948</v>
      </c>
      <c r="V1130" t="s">
        <v>3937</v>
      </c>
      <c r="W1130" s="9">
        <f>IF(V1130="pregrado",31,
IF(V1130="posgrados",31,
IF(V1130="rEINTEGROS",7,
IF(V1130="BIT",90,
IF(V1130="OP GRADO - INGLÉS",17,"")))))</f>
        <v>31</v>
      </c>
      <c r="X1130" t="s">
        <v>4033</v>
      </c>
    </row>
    <row r="1131" spans="1:24" ht="15" x14ac:dyDescent="0.35">
      <c r="A1131" s="4">
        <v>46042.491990740738</v>
      </c>
      <c r="B1131">
        <v>20115261</v>
      </c>
      <c r="C1131" s="6" t="s">
        <v>19</v>
      </c>
      <c r="D1131">
        <v>167168</v>
      </c>
      <c r="E1131" t="s">
        <v>43</v>
      </c>
      <c r="F1131">
        <v>1053854228</v>
      </c>
      <c r="G1131" t="s">
        <v>2014</v>
      </c>
      <c r="H1131">
        <v>100242100</v>
      </c>
      <c r="I1131">
        <v>202651</v>
      </c>
      <c r="J1131">
        <v>1086139753</v>
      </c>
      <c r="K1131" t="s">
        <v>23</v>
      </c>
      <c r="L1131" t="s">
        <v>252</v>
      </c>
      <c r="M1131" t="s">
        <v>253</v>
      </c>
      <c r="N1131" t="s">
        <v>35</v>
      </c>
      <c r="O1131" t="s">
        <v>26</v>
      </c>
      <c r="P1131" t="s">
        <v>27</v>
      </c>
      <c r="Q1131" t="s">
        <v>28</v>
      </c>
      <c r="R1131" t="s">
        <v>29</v>
      </c>
      <c r="S1131" t="s">
        <v>30</v>
      </c>
      <c r="T1131">
        <v>1033784244</v>
      </c>
      <c r="U1131" t="s">
        <v>3948</v>
      </c>
      <c r="V1131" t="s">
        <v>3937</v>
      </c>
      <c r="W1131" s="9">
        <f>IF(V1131="pregrado",31,
IF(V1131="posgrados",31,
IF(V1131="rEINTEGROS",7,
IF(V1131="BIT",90,
IF(V1131="OP GRADO - INGLÉS",17,"")))))</f>
        <v>31</v>
      </c>
      <c r="X1131" t="s">
        <v>4067</v>
      </c>
    </row>
    <row r="1132" spans="1:24" ht="15" x14ac:dyDescent="0.35">
      <c r="A1132" s="4">
        <v>46038.728842592594</v>
      </c>
      <c r="B1132">
        <v>20114531</v>
      </c>
      <c r="C1132" s="6" t="s">
        <v>19</v>
      </c>
      <c r="D1132">
        <v>167177</v>
      </c>
      <c r="E1132" t="s">
        <v>43</v>
      </c>
      <c r="F1132">
        <v>1120751250</v>
      </c>
      <c r="G1132" t="s">
        <v>1933</v>
      </c>
      <c r="H1132">
        <v>100242111</v>
      </c>
      <c r="I1132">
        <v>202641</v>
      </c>
      <c r="J1132">
        <v>1120751250</v>
      </c>
      <c r="K1132" t="s">
        <v>23</v>
      </c>
      <c r="L1132" t="s">
        <v>59</v>
      </c>
      <c r="M1132" t="s">
        <v>47</v>
      </c>
      <c r="N1132" t="s">
        <v>35</v>
      </c>
      <c r="O1132" t="s">
        <v>26</v>
      </c>
      <c r="P1132" t="s">
        <v>27</v>
      </c>
      <c r="Q1132" t="s">
        <v>28</v>
      </c>
      <c r="R1132" t="s">
        <v>29</v>
      </c>
      <c r="S1132" t="s">
        <v>30</v>
      </c>
      <c r="T1132">
        <v>52759865</v>
      </c>
      <c r="U1132" t="s">
        <v>3936</v>
      </c>
      <c r="V1132" t="s">
        <v>3937</v>
      </c>
      <c r="W1132" s="9">
        <f>IF(V1132="pregrado",31,
IF(V1132="posgrados",31,
IF(V1132="rEINTEGROS",7,
IF(V1132="BIT",90,
IF(V1132="OP GRADO - INGLÉS",17,"")))))</f>
        <v>31</v>
      </c>
      <c r="X1132" t="s">
        <v>4105</v>
      </c>
    </row>
    <row r="1133" spans="1:24" ht="15" x14ac:dyDescent="0.35">
      <c r="A1133" s="4">
        <v>46038.633981481478</v>
      </c>
      <c r="B1133">
        <v>20114381</v>
      </c>
      <c r="C1133" s="6" t="s">
        <v>19</v>
      </c>
      <c r="D1133">
        <v>167179</v>
      </c>
      <c r="E1133" t="s">
        <v>43</v>
      </c>
      <c r="F1133">
        <v>1075088421</v>
      </c>
      <c r="G1133" t="s">
        <v>1909</v>
      </c>
      <c r="H1133">
        <v>100237750</v>
      </c>
      <c r="I1133">
        <v>202641</v>
      </c>
      <c r="J1133">
        <v>1075089987</v>
      </c>
      <c r="K1133" t="s">
        <v>23</v>
      </c>
      <c r="L1133" t="s">
        <v>72</v>
      </c>
      <c r="M1133" t="s">
        <v>47</v>
      </c>
      <c r="N1133" t="s">
        <v>25</v>
      </c>
      <c r="O1133" t="s">
        <v>26</v>
      </c>
      <c r="P1133" t="s">
        <v>27</v>
      </c>
      <c r="Q1133" t="s">
        <v>28</v>
      </c>
      <c r="R1133" t="s">
        <v>29</v>
      </c>
      <c r="S1133" t="s">
        <v>30</v>
      </c>
      <c r="T1133">
        <v>52916205</v>
      </c>
      <c r="U1133" t="s">
        <v>3936</v>
      </c>
      <c r="V1133" t="s">
        <v>3937</v>
      </c>
      <c r="W1133" s="9">
        <f>IF(V1133="pregrado",31,
IF(V1133="posgrados",31,
IF(V1133="rEINTEGROS",7,
IF(V1133="BIT",90,
IF(V1133="OP GRADO - INGLÉS",17,"")))))</f>
        <v>31</v>
      </c>
      <c r="X1133" t="s">
        <v>4032</v>
      </c>
    </row>
    <row r="1134" spans="1:24" ht="15" x14ac:dyDescent="0.35">
      <c r="A1134" s="4">
        <v>46038.651030092595</v>
      </c>
      <c r="B1134">
        <v>20114405</v>
      </c>
      <c r="C1134" s="6" t="s">
        <v>19</v>
      </c>
      <c r="D1134">
        <v>167181</v>
      </c>
      <c r="E1134" t="s">
        <v>43</v>
      </c>
      <c r="F1134">
        <v>1007571914</v>
      </c>
      <c r="G1134" t="s">
        <v>1912</v>
      </c>
      <c r="H1134">
        <v>100241951</v>
      </c>
      <c r="I1134">
        <v>202651</v>
      </c>
      <c r="J1134">
        <v>1007571914</v>
      </c>
      <c r="K1134" t="s">
        <v>23</v>
      </c>
      <c r="L1134" t="s">
        <v>252</v>
      </c>
      <c r="M1134" t="s">
        <v>253</v>
      </c>
      <c r="N1134" t="s">
        <v>25</v>
      </c>
      <c r="O1134" t="s">
        <v>26</v>
      </c>
      <c r="P1134" t="s">
        <v>27</v>
      </c>
      <c r="Q1134" t="s">
        <v>28</v>
      </c>
      <c r="R1134" t="s">
        <v>29</v>
      </c>
      <c r="S1134" t="s">
        <v>30</v>
      </c>
      <c r="T1134">
        <v>1000120140</v>
      </c>
      <c r="U1134" t="s">
        <v>3936</v>
      </c>
      <c r="V1134" t="s">
        <v>3937</v>
      </c>
      <c r="W1134" s="9">
        <f>IF(V1134="pregrado",31,
IF(V1134="posgrados",31,
IF(V1134="rEINTEGROS",7,
IF(V1134="BIT",90,
IF(V1134="OP GRADO - INGLÉS",17,"")))))</f>
        <v>31</v>
      </c>
      <c r="X1134" t="s">
        <v>3935</v>
      </c>
    </row>
    <row r="1135" spans="1:24" ht="15" x14ac:dyDescent="0.35">
      <c r="A1135" s="4">
        <v>46041.43849537037</v>
      </c>
      <c r="B1135">
        <v>20114817</v>
      </c>
      <c r="C1135" s="6" t="s">
        <v>19</v>
      </c>
      <c r="D1135">
        <v>167190</v>
      </c>
      <c r="E1135" t="s">
        <v>43</v>
      </c>
      <c r="F1135">
        <v>32881908</v>
      </c>
      <c r="G1135" t="s">
        <v>1962</v>
      </c>
      <c r="H1135">
        <v>100242165</v>
      </c>
      <c r="I1135">
        <v>202641</v>
      </c>
      <c r="J1135">
        <v>32881908</v>
      </c>
      <c r="K1135" t="s">
        <v>23</v>
      </c>
      <c r="L1135" t="s">
        <v>99</v>
      </c>
      <c r="M1135" t="s">
        <v>47</v>
      </c>
      <c r="N1135" t="s">
        <v>35</v>
      </c>
      <c r="O1135" t="s">
        <v>26</v>
      </c>
      <c r="P1135" t="s">
        <v>27</v>
      </c>
      <c r="Q1135" t="s">
        <v>28</v>
      </c>
      <c r="R1135" t="s">
        <v>29</v>
      </c>
      <c r="S1135" t="s">
        <v>30</v>
      </c>
      <c r="T1135">
        <v>1000120140</v>
      </c>
      <c r="U1135" t="s">
        <v>3936</v>
      </c>
      <c r="V1135" t="s">
        <v>3937</v>
      </c>
      <c r="W1135" s="9">
        <f>IF(V1135="pregrado",31,
IF(V1135="posgrados",31,
IF(V1135="rEINTEGROS",7,
IF(V1135="BIT",90,
IF(V1135="OP GRADO - INGLÉS",17,"")))))</f>
        <v>31</v>
      </c>
      <c r="X1135" t="s">
        <v>3935</v>
      </c>
    </row>
    <row r="1136" spans="1:24" ht="15" x14ac:dyDescent="0.35">
      <c r="A1136" s="4">
        <v>46038.664363425924</v>
      </c>
      <c r="B1136">
        <v>20114426</v>
      </c>
      <c r="C1136" s="6" t="s">
        <v>19</v>
      </c>
      <c r="D1136">
        <v>167191</v>
      </c>
      <c r="E1136" t="s">
        <v>43</v>
      </c>
      <c r="F1136">
        <v>1118169189</v>
      </c>
      <c r="G1136" t="s">
        <v>1917</v>
      </c>
      <c r="H1136">
        <v>100242168</v>
      </c>
      <c r="I1136">
        <v>202651</v>
      </c>
      <c r="J1136">
        <v>1118169189</v>
      </c>
      <c r="K1136" t="s">
        <v>23</v>
      </c>
      <c r="L1136" t="s">
        <v>252</v>
      </c>
      <c r="M1136" t="s">
        <v>253</v>
      </c>
      <c r="N1136" t="s">
        <v>35</v>
      </c>
      <c r="O1136" t="s">
        <v>26</v>
      </c>
      <c r="P1136" t="s">
        <v>27</v>
      </c>
      <c r="Q1136" t="s">
        <v>28</v>
      </c>
      <c r="R1136" t="s">
        <v>29</v>
      </c>
      <c r="S1136" t="s">
        <v>30</v>
      </c>
      <c r="T1136">
        <v>1033781417</v>
      </c>
      <c r="U1136" t="s">
        <v>3948</v>
      </c>
      <c r="V1136" t="s">
        <v>3937</v>
      </c>
      <c r="W1136" s="9">
        <f>IF(V1136="pregrado",31,
IF(V1136="posgrados",31,
IF(V1136="rEINTEGROS",7,
IF(V1136="BIT",90,
IF(V1136="OP GRADO - INGLÉS",17,"")))))</f>
        <v>31</v>
      </c>
      <c r="X1136" t="s">
        <v>4031</v>
      </c>
    </row>
    <row r="1137" spans="1:24" ht="15" x14ac:dyDescent="0.35">
      <c r="A1137" s="4">
        <v>46049.618923611109</v>
      </c>
      <c r="B1137">
        <v>20117593</v>
      </c>
      <c r="C1137" s="6" t="s">
        <v>19</v>
      </c>
      <c r="D1137">
        <v>167192</v>
      </c>
      <c r="E1137" t="s">
        <v>43</v>
      </c>
      <c r="F1137">
        <v>1000127700</v>
      </c>
      <c r="G1137" t="s">
        <v>2350</v>
      </c>
      <c r="H1137">
        <v>100230414</v>
      </c>
      <c r="I1137">
        <v>202641</v>
      </c>
      <c r="J1137">
        <v>1000127700</v>
      </c>
      <c r="K1137" t="s">
        <v>23</v>
      </c>
      <c r="L1137" t="s">
        <v>294</v>
      </c>
      <c r="M1137" t="s">
        <v>47</v>
      </c>
      <c r="N1137" t="s">
        <v>35</v>
      </c>
      <c r="O1137" t="s">
        <v>26</v>
      </c>
      <c r="P1137" t="s">
        <v>27</v>
      </c>
      <c r="Q1137" t="s">
        <v>28</v>
      </c>
      <c r="R1137" t="s">
        <v>29</v>
      </c>
      <c r="S1137" t="s">
        <v>30</v>
      </c>
      <c r="T1137">
        <v>1233513889</v>
      </c>
      <c r="U1137" t="s">
        <v>3948</v>
      </c>
      <c r="V1137" t="s">
        <v>3937</v>
      </c>
      <c r="W1137" s="9">
        <f>IF(V1137="pregrado",31,
IF(V1137="posgrados",31,
IF(V1137="rEINTEGROS",7,
IF(V1137="BIT",90,
IF(V1137="OP GRADO - INGLÉS",17,"")))))</f>
        <v>31</v>
      </c>
      <c r="X1137" t="s">
        <v>4035</v>
      </c>
    </row>
    <row r="1138" spans="1:24" ht="15" x14ac:dyDescent="0.35">
      <c r="A1138" s="4">
        <v>46038.634826388887</v>
      </c>
      <c r="B1138">
        <v>20114383</v>
      </c>
      <c r="C1138" s="6" t="s">
        <v>19</v>
      </c>
      <c r="D1138">
        <v>167193</v>
      </c>
      <c r="E1138" t="s">
        <v>43</v>
      </c>
      <c r="F1138">
        <v>1067904190</v>
      </c>
      <c r="G1138" t="s">
        <v>1910</v>
      </c>
      <c r="H1138">
        <v>100211242</v>
      </c>
      <c r="I1138">
        <v>202651</v>
      </c>
      <c r="J1138">
        <v>1067904190</v>
      </c>
      <c r="K1138" t="s">
        <v>23</v>
      </c>
      <c r="L1138" t="s">
        <v>252</v>
      </c>
      <c r="M1138" t="s">
        <v>253</v>
      </c>
      <c r="N1138" t="s">
        <v>35</v>
      </c>
      <c r="O1138" t="s">
        <v>26</v>
      </c>
      <c r="P1138" t="s">
        <v>27</v>
      </c>
      <c r="Q1138" t="s">
        <v>28</v>
      </c>
      <c r="R1138" t="s">
        <v>29</v>
      </c>
      <c r="S1138" t="s">
        <v>30</v>
      </c>
      <c r="T1138">
        <v>1014285873</v>
      </c>
      <c r="U1138" t="s">
        <v>3948</v>
      </c>
      <c r="V1138" t="s">
        <v>3937</v>
      </c>
      <c r="W1138" s="9">
        <f>IF(V1138="pregrado",31,
IF(V1138="posgrados",31,
IF(V1138="rEINTEGROS",7,
IF(V1138="BIT",90,
IF(V1138="OP GRADO - INGLÉS",17,"")))))</f>
        <v>31</v>
      </c>
      <c r="X1138" t="s">
        <v>3953</v>
      </c>
    </row>
    <row r="1139" spans="1:24" ht="15" x14ac:dyDescent="0.35">
      <c r="A1139" s="4">
        <v>46042.633009259262</v>
      </c>
      <c r="B1139">
        <v>20115366</v>
      </c>
      <c r="C1139" s="6" t="s">
        <v>19</v>
      </c>
      <c r="D1139">
        <v>167209</v>
      </c>
      <c r="E1139" t="s">
        <v>43</v>
      </c>
      <c r="F1139">
        <v>1233194087</v>
      </c>
      <c r="G1139" t="s">
        <v>2027</v>
      </c>
      <c r="H1139">
        <v>100242192</v>
      </c>
      <c r="I1139">
        <v>202641</v>
      </c>
      <c r="J1139">
        <v>1233194087</v>
      </c>
      <c r="K1139" t="s">
        <v>23</v>
      </c>
      <c r="L1139" t="s">
        <v>279</v>
      </c>
      <c r="M1139" t="s">
        <v>47</v>
      </c>
      <c r="N1139" t="s">
        <v>35</v>
      </c>
      <c r="O1139" t="s">
        <v>26</v>
      </c>
      <c r="P1139" t="s">
        <v>27</v>
      </c>
      <c r="Q1139" t="s">
        <v>28</v>
      </c>
      <c r="R1139" t="s">
        <v>29</v>
      </c>
      <c r="S1139" t="s">
        <v>30</v>
      </c>
      <c r="T1139">
        <v>1022407392</v>
      </c>
      <c r="U1139" t="s">
        <v>3936</v>
      </c>
      <c r="V1139" t="s">
        <v>3937</v>
      </c>
      <c r="W1139" s="9">
        <f>IF(V1139="pregrado",31,
IF(V1139="posgrados",31,
IF(V1139="rEINTEGROS",7,
IF(V1139="BIT",90,
IF(V1139="OP GRADO - INGLÉS",17,"")))))</f>
        <v>31</v>
      </c>
      <c r="X1139" t="s">
        <v>3975</v>
      </c>
    </row>
    <row r="1140" spans="1:24" ht="15" x14ac:dyDescent="0.35">
      <c r="A1140" s="4">
        <v>46041.503819444442</v>
      </c>
      <c r="B1140">
        <v>20114871</v>
      </c>
      <c r="C1140" s="6" t="s">
        <v>19</v>
      </c>
      <c r="D1140">
        <v>167218</v>
      </c>
      <c r="E1140" t="s">
        <v>43</v>
      </c>
      <c r="F1140">
        <v>1022940103</v>
      </c>
      <c r="G1140" t="s">
        <v>1964</v>
      </c>
      <c r="H1140">
        <v>100242157</v>
      </c>
      <c r="I1140">
        <v>202651</v>
      </c>
      <c r="J1140">
        <v>1022940103</v>
      </c>
      <c r="K1140" t="s">
        <v>23</v>
      </c>
      <c r="L1140" t="s">
        <v>252</v>
      </c>
      <c r="M1140" t="s">
        <v>253</v>
      </c>
      <c r="N1140" t="s">
        <v>35</v>
      </c>
      <c r="O1140" t="s">
        <v>26</v>
      </c>
      <c r="P1140" t="s">
        <v>27</v>
      </c>
      <c r="Q1140" t="s">
        <v>28</v>
      </c>
      <c r="R1140" t="s">
        <v>29</v>
      </c>
      <c r="S1140" t="s">
        <v>30</v>
      </c>
      <c r="T1140">
        <v>52032666</v>
      </c>
      <c r="U1140" t="s">
        <v>3948</v>
      </c>
      <c r="V1140" t="s">
        <v>3937</v>
      </c>
      <c r="W1140" s="9">
        <f>IF(V1140="pregrado",31,
IF(V1140="posgrados",31,
IF(V1140="rEINTEGROS",7,
IF(V1140="BIT",90,
IF(V1140="OP GRADO - INGLÉS",17,"")))))</f>
        <v>31</v>
      </c>
      <c r="X1140" t="s">
        <v>3983</v>
      </c>
    </row>
    <row r="1141" spans="1:24" ht="15" x14ac:dyDescent="0.35">
      <c r="A1141" s="4">
        <v>46038.786006944443</v>
      </c>
      <c r="B1141">
        <v>20114594</v>
      </c>
      <c r="C1141" s="6" t="s">
        <v>19</v>
      </c>
      <c r="D1141">
        <v>167222</v>
      </c>
      <c r="E1141" t="s">
        <v>43</v>
      </c>
      <c r="F1141">
        <v>18154515</v>
      </c>
      <c r="G1141" t="s">
        <v>1935</v>
      </c>
      <c r="H1141">
        <v>100242209</v>
      </c>
      <c r="I1141">
        <v>202641</v>
      </c>
      <c r="J1141">
        <v>1006995926</v>
      </c>
      <c r="K1141" t="s">
        <v>23</v>
      </c>
      <c r="L1141" t="s">
        <v>279</v>
      </c>
      <c r="M1141" t="s">
        <v>47</v>
      </c>
      <c r="N1141" t="s">
        <v>35</v>
      </c>
      <c r="O1141" t="s">
        <v>26</v>
      </c>
      <c r="P1141" t="s">
        <v>27</v>
      </c>
      <c r="Q1141" t="s">
        <v>28</v>
      </c>
      <c r="R1141" t="s">
        <v>29</v>
      </c>
      <c r="S1141" t="s">
        <v>30</v>
      </c>
      <c r="T1141">
        <v>1082250716</v>
      </c>
      <c r="U1141" t="s">
        <v>3936</v>
      </c>
      <c r="V1141" t="s">
        <v>3937</v>
      </c>
      <c r="W1141" s="9">
        <f>IF(V1141="pregrado",31,
IF(V1141="posgrados",31,
IF(V1141="rEINTEGROS",7,
IF(V1141="BIT",90,
IF(V1141="OP GRADO - INGLÉS",17,"")))))</f>
        <v>31</v>
      </c>
      <c r="X1141" t="s">
        <v>3997</v>
      </c>
    </row>
    <row r="1142" spans="1:24" ht="15" x14ac:dyDescent="0.35">
      <c r="A1142" s="4">
        <v>46038.785520833335</v>
      </c>
      <c r="B1142">
        <v>20114593</v>
      </c>
      <c r="C1142" s="6" t="s">
        <v>19</v>
      </c>
      <c r="D1142">
        <v>167226</v>
      </c>
      <c r="E1142" t="s">
        <v>43</v>
      </c>
      <c r="F1142">
        <v>1006843451</v>
      </c>
      <c r="G1142" t="s">
        <v>1934</v>
      </c>
      <c r="H1142">
        <v>100242214</v>
      </c>
      <c r="I1142">
        <v>202641</v>
      </c>
      <c r="J1142">
        <v>1006843451</v>
      </c>
      <c r="K1142" t="s">
        <v>23</v>
      </c>
      <c r="L1142" t="s">
        <v>279</v>
      </c>
      <c r="M1142" t="s">
        <v>47</v>
      </c>
      <c r="N1142" t="s">
        <v>35</v>
      </c>
      <c r="O1142" t="s">
        <v>26</v>
      </c>
      <c r="P1142" t="s">
        <v>27</v>
      </c>
      <c r="Q1142" t="s">
        <v>28</v>
      </c>
      <c r="R1142" t="s">
        <v>29</v>
      </c>
      <c r="S1142" t="s">
        <v>30</v>
      </c>
      <c r="T1142">
        <v>1082250716</v>
      </c>
      <c r="U1142" t="s">
        <v>3936</v>
      </c>
      <c r="V1142" t="s">
        <v>3937</v>
      </c>
      <c r="W1142" s="9">
        <f>IF(V1142="pregrado",31,
IF(V1142="posgrados",31,
IF(V1142="rEINTEGROS",7,
IF(V1142="BIT",90,
IF(V1142="OP GRADO - INGLÉS",17,"")))))</f>
        <v>31</v>
      </c>
      <c r="X1142" t="s">
        <v>3997</v>
      </c>
    </row>
    <row r="1143" spans="1:24" ht="15" x14ac:dyDescent="0.35">
      <c r="A1143" s="4">
        <v>46039.612060185187</v>
      </c>
      <c r="B1143">
        <v>20114720</v>
      </c>
      <c r="C1143" s="6" t="s">
        <v>19</v>
      </c>
      <c r="D1143">
        <v>167242</v>
      </c>
      <c r="E1143" t="s">
        <v>43</v>
      </c>
      <c r="F1143">
        <v>1086548771</v>
      </c>
      <c r="G1143" t="s">
        <v>1958</v>
      </c>
      <c r="H1143">
        <v>100036534</v>
      </c>
      <c r="I1143">
        <v>202651</v>
      </c>
      <c r="J1143">
        <v>1086548771</v>
      </c>
      <c r="K1143" t="s">
        <v>23</v>
      </c>
      <c r="L1143" t="s">
        <v>252</v>
      </c>
      <c r="M1143" t="s">
        <v>253</v>
      </c>
      <c r="N1143" t="s">
        <v>35</v>
      </c>
      <c r="O1143" t="s">
        <v>26</v>
      </c>
      <c r="P1143" t="s">
        <v>27</v>
      </c>
      <c r="Q1143" t="s">
        <v>28</v>
      </c>
      <c r="R1143" t="s">
        <v>29</v>
      </c>
      <c r="S1143" t="s">
        <v>30</v>
      </c>
      <c r="T1143">
        <v>1019068131</v>
      </c>
      <c r="U1143" t="s">
        <v>3948</v>
      </c>
      <c r="V1143" t="s">
        <v>3937</v>
      </c>
      <c r="W1143" s="9">
        <f>IF(V1143="pregrado",31,
IF(V1143="posgrados",31,
IF(V1143="rEINTEGROS",7,
IF(V1143="BIT",90,
IF(V1143="OP GRADO - INGLÉS",17,"")))))</f>
        <v>31</v>
      </c>
      <c r="X1143" t="s">
        <v>4066</v>
      </c>
    </row>
    <row r="1144" spans="1:24" ht="15" x14ac:dyDescent="0.35">
      <c r="A1144" s="4">
        <v>46048.759942129633</v>
      </c>
      <c r="B1144">
        <v>20117342</v>
      </c>
      <c r="C1144" s="6" t="s">
        <v>19</v>
      </c>
      <c r="D1144">
        <v>167261</v>
      </c>
      <c r="E1144" t="s">
        <v>43</v>
      </c>
      <c r="F1144">
        <v>10754562</v>
      </c>
      <c r="G1144" t="s">
        <v>2318</v>
      </c>
      <c r="H1144">
        <v>100041566</v>
      </c>
      <c r="I1144">
        <v>202651</v>
      </c>
      <c r="J1144">
        <v>10754562</v>
      </c>
      <c r="K1144" t="s">
        <v>23</v>
      </c>
      <c r="L1144" t="s">
        <v>252</v>
      </c>
      <c r="M1144" t="s">
        <v>253</v>
      </c>
      <c r="N1144" t="s">
        <v>35</v>
      </c>
      <c r="O1144" t="s">
        <v>26</v>
      </c>
      <c r="P1144" t="s">
        <v>27</v>
      </c>
      <c r="Q1144" t="s">
        <v>28</v>
      </c>
      <c r="R1144" t="s">
        <v>29</v>
      </c>
      <c r="S1144" t="s">
        <v>30</v>
      </c>
      <c r="T1144">
        <v>1019068131</v>
      </c>
      <c r="U1144" t="s">
        <v>3948</v>
      </c>
      <c r="V1144" t="s">
        <v>3937</v>
      </c>
      <c r="W1144" s="9">
        <f>IF(V1144="pregrado",31,
IF(V1144="posgrados",31,
IF(V1144="rEINTEGROS",7,
IF(V1144="BIT",90,
IF(V1144="OP GRADO - INGLÉS",17,"")))))</f>
        <v>31</v>
      </c>
      <c r="X1144" t="s">
        <v>4066</v>
      </c>
    </row>
    <row r="1145" spans="1:24" ht="15" x14ac:dyDescent="0.35">
      <c r="A1145" s="4">
        <v>46048.617858796293</v>
      </c>
      <c r="B1145">
        <v>20117161</v>
      </c>
      <c r="C1145" s="6" t="s">
        <v>19</v>
      </c>
      <c r="D1145">
        <v>167263</v>
      </c>
      <c r="E1145" t="s">
        <v>43</v>
      </c>
      <c r="F1145">
        <v>1047365811</v>
      </c>
      <c r="G1145" t="s">
        <v>2295</v>
      </c>
      <c r="H1145">
        <v>100242266</v>
      </c>
      <c r="I1145">
        <v>202641</v>
      </c>
      <c r="J1145">
        <v>1047365811</v>
      </c>
      <c r="K1145" t="s">
        <v>23</v>
      </c>
      <c r="L1145" t="s">
        <v>59</v>
      </c>
      <c r="M1145" t="s">
        <v>47</v>
      </c>
      <c r="N1145" t="s">
        <v>35</v>
      </c>
      <c r="O1145" t="s">
        <v>26</v>
      </c>
      <c r="P1145" t="s">
        <v>27</v>
      </c>
      <c r="Q1145" t="s">
        <v>28</v>
      </c>
      <c r="R1145" t="s">
        <v>29</v>
      </c>
      <c r="S1145" t="s">
        <v>30</v>
      </c>
      <c r="T1145">
        <v>1233888787</v>
      </c>
      <c r="U1145" t="s">
        <v>3936</v>
      </c>
      <c r="V1145" t="s">
        <v>3937</v>
      </c>
      <c r="W1145" s="9">
        <f>IF(V1145="pregrado",31,
IF(V1145="posgrados",31,
IF(V1145="rEINTEGROS",7,
IF(V1145="BIT",90,
IF(V1145="OP GRADO - INGLÉS",17,"")))))</f>
        <v>31</v>
      </c>
      <c r="X1145" t="s">
        <v>3998</v>
      </c>
    </row>
    <row r="1146" spans="1:24" ht="15" x14ac:dyDescent="0.35">
      <c r="A1146" s="4">
        <v>46057.709548611114</v>
      </c>
      <c r="B1146">
        <v>20120594</v>
      </c>
      <c r="C1146" s="6" t="s">
        <v>19</v>
      </c>
      <c r="D1146">
        <v>167268</v>
      </c>
      <c r="E1146" t="s">
        <v>43</v>
      </c>
      <c r="F1146">
        <v>1006997346</v>
      </c>
      <c r="G1146" t="s">
        <v>2765</v>
      </c>
      <c r="H1146">
        <v>100190335</v>
      </c>
      <c r="I1146">
        <v>202651</v>
      </c>
      <c r="J1146">
        <v>1061714714</v>
      </c>
      <c r="K1146" t="s">
        <v>46</v>
      </c>
      <c r="L1146" t="s">
        <v>252</v>
      </c>
      <c r="M1146" t="s">
        <v>253</v>
      </c>
      <c r="N1146" t="s">
        <v>35</v>
      </c>
      <c r="O1146" t="s">
        <v>26</v>
      </c>
      <c r="P1146" t="s">
        <v>27</v>
      </c>
      <c r="Q1146" t="s">
        <v>28</v>
      </c>
      <c r="R1146" t="s">
        <v>29</v>
      </c>
      <c r="S1146" t="s">
        <v>30</v>
      </c>
      <c r="T1146">
        <v>1140420282</v>
      </c>
      <c r="U1146" t="s">
        <v>3948</v>
      </c>
      <c r="V1146" t="s">
        <v>3937</v>
      </c>
      <c r="W1146" s="9">
        <f>IF(V1146="pregrado",31,
IF(V1146="posgrados",31,
IF(V1146="rEINTEGROS",7,
IF(V1146="BIT",90,
IF(V1146="OP GRADO - INGLÉS",17,"")))))</f>
        <v>31</v>
      </c>
      <c r="X1146" t="s">
        <v>3972</v>
      </c>
    </row>
    <row r="1147" spans="1:24" ht="15" x14ac:dyDescent="0.35">
      <c r="A1147" s="4">
        <v>46041.649247685185</v>
      </c>
      <c r="B1147">
        <v>20114966</v>
      </c>
      <c r="C1147" s="6" t="s">
        <v>19</v>
      </c>
      <c r="D1147">
        <v>167271</v>
      </c>
      <c r="E1147" t="s">
        <v>43</v>
      </c>
      <c r="F1147">
        <v>1085926895</v>
      </c>
      <c r="G1147" t="s">
        <v>1972</v>
      </c>
      <c r="H1147">
        <v>100242276</v>
      </c>
      <c r="I1147">
        <v>202651</v>
      </c>
      <c r="J1147">
        <v>1085926895</v>
      </c>
      <c r="K1147" t="s">
        <v>23</v>
      </c>
      <c r="L1147" t="s">
        <v>252</v>
      </c>
      <c r="M1147" t="s">
        <v>253</v>
      </c>
      <c r="N1147" t="s">
        <v>35</v>
      </c>
      <c r="O1147" t="s">
        <v>26</v>
      </c>
      <c r="P1147" t="s">
        <v>27</v>
      </c>
      <c r="Q1147" t="s">
        <v>28</v>
      </c>
      <c r="R1147" t="s">
        <v>29</v>
      </c>
      <c r="S1147" t="s">
        <v>30</v>
      </c>
      <c r="T1147">
        <v>1233888787</v>
      </c>
      <c r="U1147" t="s">
        <v>3936</v>
      </c>
      <c r="V1147" t="s">
        <v>3937</v>
      </c>
      <c r="W1147" s="9">
        <f>IF(V1147="pregrado",31,
IF(V1147="posgrados",31,
IF(V1147="rEINTEGROS",7,
IF(V1147="BIT",90,
IF(V1147="OP GRADO - INGLÉS",17,"")))))</f>
        <v>31</v>
      </c>
      <c r="X1147" t="s">
        <v>3998</v>
      </c>
    </row>
    <row r="1148" spans="1:24" ht="15" x14ac:dyDescent="0.35">
      <c r="A1148" s="4">
        <v>46042.441469907404</v>
      </c>
      <c r="B1148">
        <v>20115217</v>
      </c>
      <c r="C1148" s="6" t="s">
        <v>19</v>
      </c>
      <c r="D1148">
        <v>167277</v>
      </c>
      <c r="E1148" t="s">
        <v>43</v>
      </c>
      <c r="F1148">
        <v>1099209451</v>
      </c>
      <c r="G1148" t="s">
        <v>2007</v>
      </c>
      <c r="H1148">
        <v>100021340</v>
      </c>
      <c r="I1148">
        <v>202651</v>
      </c>
      <c r="J1148">
        <v>1049027447</v>
      </c>
      <c r="K1148" t="s">
        <v>23</v>
      </c>
      <c r="L1148" t="s">
        <v>252</v>
      </c>
      <c r="M1148" t="s">
        <v>253</v>
      </c>
      <c r="N1148" t="s">
        <v>35</v>
      </c>
      <c r="O1148" t="s">
        <v>26</v>
      </c>
      <c r="P1148" t="s">
        <v>27</v>
      </c>
      <c r="Q1148" t="s">
        <v>28</v>
      </c>
      <c r="R1148" t="s">
        <v>29</v>
      </c>
      <c r="S1148" t="s">
        <v>30</v>
      </c>
      <c r="T1148">
        <v>1032451737</v>
      </c>
      <c r="U1148" t="s">
        <v>3948</v>
      </c>
      <c r="V1148" t="s">
        <v>3937</v>
      </c>
      <c r="W1148" s="9">
        <f>IF(V1148="pregrado",31,
IF(V1148="posgrados",31,
IF(V1148="rEINTEGROS",7,
IF(V1148="BIT",90,
IF(V1148="OP GRADO - INGLÉS",17,"")))))</f>
        <v>31</v>
      </c>
      <c r="X1148" t="s">
        <v>4033</v>
      </c>
    </row>
    <row r="1149" spans="1:24" ht="15" x14ac:dyDescent="0.35">
      <c r="A1149" s="4">
        <v>46042.471597222226</v>
      </c>
      <c r="B1149">
        <v>20115236</v>
      </c>
      <c r="C1149" s="6" t="s">
        <v>19</v>
      </c>
      <c r="D1149">
        <v>167286</v>
      </c>
      <c r="E1149" t="s">
        <v>43</v>
      </c>
      <c r="F1149">
        <v>14697176</v>
      </c>
      <c r="G1149" t="s">
        <v>2009</v>
      </c>
      <c r="H1149">
        <v>100242296</v>
      </c>
      <c r="I1149">
        <v>202641</v>
      </c>
      <c r="J1149">
        <v>14697176</v>
      </c>
      <c r="K1149" t="s">
        <v>23</v>
      </c>
      <c r="L1149" t="s">
        <v>99</v>
      </c>
      <c r="M1149" t="s">
        <v>47</v>
      </c>
      <c r="N1149" t="s">
        <v>35</v>
      </c>
      <c r="O1149" t="s">
        <v>26</v>
      </c>
      <c r="P1149" t="s">
        <v>27</v>
      </c>
      <c r="Q1149" t="s">
        <v>28</v>
      </c>
      <c r="R1149" t="s">
        <v>29</v>
      </c>
      <c r="S1149" t="s">
        <v>30</v>
      </c>
      <c r="T1149">
        <v>1082250716</v>
      </c>
      <c r="U1149" t="s">
        <v>3936</v>
      </c>
      <c r="V1149" t="s">
        <v>3937</v>
      </c>
      <c r="W1149" s="9">
        <f>IF(V1149="pregrado",31,
IF(V1149="posgrados",31,
IF(V1149="rEINTEGROS",7,
IF(V1149="BIT",90,
IF(V1149="OP GRADO - INGLÉS",17,"")))))</f>
        <v>31</v>
      </c>
      <c r="X1149" t="s">
        <v>3997</v>
      </c>
    </row>
    <row r="1150" spans="1:24" ht="15" x14ac:dyDescent="0.35">
      <c r="A1150" s="4">
        <v>46044.495381944442</v>
      </c>
      <c r="B1150">
        <v>20116125</v>
      </c>
      <c r="C1150" s="6" t="s">
        <v>19</v>
      </c>
      <c r="D1150">
        <v>167289</v>
      </c>
      <c r="E1150" t="s">
        <v>43</v>
      </c>
      <c r="F1150">
        <v>1077424744</v>
      </c>
      <c r="G1150" t="s">
        <v>2160</v>
      </c>
      <c r="H1150">
        <v>100242299</v>
      </c>
      <c r="I1150">
        <v>202651</v>
      </c>
      <c r="J1150">
        <v>1077424744</v>
      </c>
      <c r="K1150" t="s">
        <v>23</v>
      </c>
      <c r="L1150" t="s">
        <v>252</v>
      </c>
      <c r="M1150" t="s">
        <v>253</v>
      </c>
      <c r="N1150" t="s">
        <v>35</v>
      </c>
      <c r="O1150" t="s">
        <v>26</v>
      </c>
      <c r="P1150" t="s">
        <v>27</v>
      </c>
      <c r="Q1150" t="s">
        <v>28</v>
      </c>
      <c r="R1150" t="s">
        <v>29</v>
      </c>
      <c r="S1150" t="s">
        <v>30</v>
      </c>
      <c r="T1150">
        <v>1140420282</v>
      </c>
      <c r="U1150" t="s">
        <v>3948</v>
      </c>
      <c r="V1150" t="s">
        <v>3937</v>
      </c>
      <c r="W1150" s="9">
        <f>IF(V1150="pregrado",31,
IF(V1150="posgrados",31,
IF(V1150="rEINTEGROS",7,
IF(V1150="BIT",90,
IF(V1150="OP GRADO - INGLÉS",17,"")))))</f>
        <v>31</v>
      </c>
      <c r="X1150" t="s">
        <v>3972</v>
      </c>
    </row>
    <row r="1151" spans="1:24" ht="15" x14ac:dyDescent="0.35">
      <c r="A1151" s="4">
        <v>46042.70071759259</v>
      </c>
      <c r="B1151">
        <v>20115456</v>
      </c>
      <c r="C1151" s="6" t="s">
        <v>19</v>
      </c>
      <c r="D1151">
        <v>167335</v>
      </c>
      <c r="E1151" t="s">
        <v>43</v>
      </c>
      <c r="F1151">
        <v>18110046</v>
      </c>
      <c r="G1151" t="s">
        <v>2037</v>
      </c>
      <c r="H1151">
        <v>100242360</v>
      </c>
      <c r="I1151">
        <v>202651</v>
      </c>
      <c r="J1151">
        <v>1126456375</v>
      </c>
      <c r="K1151" t="s">
        <v>23</v>
      </c>
      <c r="L1151" t="s">
        <v>252</v>
      </c>
      <c r="M1151" t="s">
        <v>253</v>
      </c>
      <c r="N1151" t="s">
        <v>35</v>
      </c>
      <c r="O1151" t="s">
        <v>26</v>
      </c>
      <c r="P1151" t="s">
        <v>27</v>
      </c>
      <c r="Q1151" t="s">
        <v>28</v>
      </c>
      <c r="R1151" t="s">
        <v>29</v>
      </c>
      <c r="S1151" t="s">
        <v>30</v>
      </c>
      <c r="T1151">
        <v>52032666</v>
      </c>
      <c r="U1151" t="s">
        <v>3948</v>
      </c>
      <c r="V1151" t="s">
        <v>3937</v>
      </c>
      <c r="W1151" s="9">
        <f>IF(V1151="pregrado",31,
IF(V1151="posgrados",31,
IF(V1151="rEINTEGROS",7,
IF(V1151="BIT",90,
IF(V1151="OP GRADO - INGLÉS",17,"")))))</f>
        <v>31</v>
      </c>
      <c r="X1151" t="s">
        <v>3983</v>
      </c>
    </row>
    <row r="1152" spans="1:24" ht="15" x14ac:dyDescent="0.35">
      <c r="A1152" s="4">
        <v>46042.407696759263</v>
      </c>
      <c r="B1152">
        <v>20115190</v>
      </c>
      <c r="C1152" s="6" t="s">
        <v>19</v>
      </c>
      <c r="D1152">
        <v>167344</v>
      </c>
      <c r="E1152" t="s">
        <v>43</v>
      </c>
      <c r="F1152">
        <v>92446767</v>
      </c>
      <c r="G1152" t="s">
        <v>2003</v>
      </c>
      <c r="H1152">
        <v>200083881</v>
      </c>
      <c r="I1152">
        <v>202641</v>
      </c>
      <c r="J1152">
        <v>92446767</v>
      </c>
      <c r="K1152" t="s">
        <v>23</v>
      </c>
      <c r="L1152" t="s">
        <v>736</v>
      </c>
      <c r="M1152" t="s">
        <v>47</v>
      </c>
      <c r="N1152" t="s">
        <v>25</v>
      </c>
      <c r="O1152" t="s">
        <v>26</v>
      </c>
      <c r="P1152" t="s">
        <v>27</v>
      </c>
      <c r="Q1152" t="s">
        <v>28</v>
      </c>
      <c r="R1152" t="s">
        <v>29</v>
      </c>
      <c r="S1152" t="s">
        <v>30</v>
      </c>
      <c r="T1152">
        <v>53116792</v>
      </c>
      <c r="U1152" t="s">
        <v>3936</v>
      </c>
      <c r="V1152" t="s">
        <v>3937</v>
      </c>
      <c r="W1152" s="9">
        <f>IF(V1152="pregrado",31,
IF(V1152="posgrados",31,
IF(V1152="rEINTEGROS",7,
IF(V1152="BIT",90,
IF(V1152="OP GRADO - INGLÉS",17,"")))))</f>
        <v>31</v>
      </c>
      <c r="X1152" t="s">
        <v>4008</v>
      </c>
    </row>
    <row r="1153" spans="1:24" ht="15" x14ac:dyDescent="0.35">
      <c r="A1153" s="4">
        <v>46072.467939814815</v>
      </c>
      <c r="B1153">
        <v>20124797</v>
      </c>
      <c r="C1153" s="6" t="s">
        <v>19</v>
      </c>
      <c r="D1153">
        <v>167345</v>
      </c>
      <c r="E1153" t="s">
        <v>43</v>
      </c>
      <c r="F1153">
        <v>1002343737</v>
      </c>
      <c r="G1153" t="s">
        <v>3402</v>
      </c>
      <c r="H1153">
        <v>100242377</v>
      </c>
      <c r="I1153">
        <v>202641</v>
      </c>
      <c r="J1153">
        <v>1002343737</v>
      </c>
      <c r="K1153" t="s">
        <v>23</v>
      </c>
      <c r="L1153" t="s">
        <v>279</v>
      </c>
      <c r="M1153" t="s">
        <v>47</v>
      </c>
      <c r="N1153" t="s">
        <v>35</v>
      </c>
      <c r="O1153" t="s">
        <v>26</v>
      </c>
      <c r="P1153" t="s">
        <v>27</v>
      </c>
      <c r="Q1153" t="s">
        <v>28</v>
      </c>
      <c r="R1153" t="s">
        <v>29</v>
      </c>
      <c r="S1153" t="s">
        <v>30</v>
      </c>
      <c r="T1153">
        <v>1012355141</v>
      </c>
      <c r="U1153" t="s">
        <v>3936</v>
      </c>
      <c r="V1153" t="s">
        <v>3937</v>
      </c>
      <c r="W1153" s="9">
        <f>IF(V1153="pregrado",31,
IF(V1153="posgrados",31,
IF(V1153="rEINTEGROS",7,
IF(V1153="BIT",90,
IF(V1153="OP GRADO - INGLÉS",17,"")))))</f>
        <v>31</v>
      </c>
      <c r="X1153" t="s">
        <v>4045</v>
      </c>
    </row>
    <row r="1154" spans="1:24" ht="15" x14ac:dyDescent="0.35">
      <c r="A1154" s="4">
        <v>46044.470856481479</v>
      </c>
      <c r="B1154">
        <v>20116099</v>
      </c>
      <c r="C1154" s="6" t="s">
        <v>19</v>
      </c>
      <c r="D1154">
        <v>167350</v>
      </c>
      <c r="E1154" t="s">
        <v>43</v>
      </c>
      <c r="F1154">
        <v>1077449382</v>
      </c>
      <c r="G1154" t="s">
        <v>2154</v>
      </c>
      <c r="H1154">
        <v>100242383</v>
      </c>
      <c r="I1154">
        <v>202651</v>
      </c>
      <c r="J1154">
        <v>1077449382</v>
      </c>
      <c r="K1154" t="s">
        <v>23</v>
      </c>
      <c r="L1154" t="s">
        <v>252</v>
      </c>
      <c r="M1154" t="s">
        <v>253</v>
      </c>
      <c r="N1154" t="s">
        <v>35</v>
      </c>
      <c r="O1154" t="s">
        <v>26</v>
      </c>
      <c r="P1154" t="s">
        <v>27</v>
      </c>
      <c r="Q1154" t="s">
        <v>28</v>
      </c>
      <c r="R1154" t="s">
        <v>29</v>
      </c>
      <c r="S1154" t="s">
        <v>30</v>
      </c>
      <c r="T1154">
        <v>1140420282</v>
      </c>
      <c r="U1154" t="s">
        <v>3948</v>
      </c>
      <c r="V1154" t="s">
        <v>3937</v>
      </c>
      <c r="W1154" s="9">
        <f>IF(V1154="pregrado",31,
IF(V1154="posgrados",31,
IF(V1154="rEINTEGROS",7,
IF(V1154="BIT",90,
IF(V1154="OP GRADO - INGLÉS",17,"")))))</f>
        <v>31</v>
      </c>
      <c r="X1154" t="s">
        <v>3972</v>
      </c>
    </row>
    <row r="1155" spans="1:24" ht="15" x14ac:dyDescent="0.35">
      <c r="A1155" s="4">
        <v>46043.463356481479</v>
      </c>
      <c r="B1155">
        <v>20115688</v>
      </c>
      <c r="C1155" s="6" t="s">
        <v>19</v>
      </c>
      <c r="D1155">
        <v>167351</v>
      </c>
      <c r="E1155" t="s">
        <v>43</v>
      </c>
      <c r="F1155">
        <v>1074012993</v>
      </c>
      <c r="G1155" t="s">
        <v>2078</v>
      </c>
      <c r="H1155">
        <v>100242384</v>
      </c>
      <c r="I1155">
        <v>202651</v>
      </c>
      <c r="J1155">
        <v>1074012993</v>
      </c>
      <c r="K1155" t="s">
        <v>23</v>
      </c>
      <c r="L1155" t="s">
        <v>252</v>
      </c>
      <c r="M1155" t="s">
        <v>253</v>
      </c>
      <c r="N1155" t="s">
        <v>35</v>
      </c>
      <c r="O1155" t="s">
        <v>26</v>
      </c>
      <c r="P1155" t="s">
        <v>27</v>
      </c>
      <c r="Q1155" t="s">
        <v>28</v>
      </c>
      <c r="R1155" t="s">
        <v>29</v>
      </c>
      <c r="S1155" t="s">
        <v>30</v>
      </c>
      <c r="T1155">
        <v>1075542872</v>
      </c>
      <c r="U1155" t="s">
        <v>3948</v>
      </c>
      <c r="V1155" t="s">
        <v>3937</v>
      </c>
      <c r="W1155" s="9">
        <f>IF(V1155="pregrado",31,
IF(V1155="posgrados",31,
IF(V1155="rEINTEGROS",7,
IF(V1155="BIT",90,
IF(V1155="OP GRADO - INGLÉS",17,"")))))</f>
        <v>31</v>
      </c>
      <c r="X1155" t="s">
        <v>3974</v>
      </c>
    </row>
    <row r="1156" spans="1:24" ht="15" x14ac:dyDescent="0.35">
      <c r="A1156" s="4">
        <v>46053.420023148145</v>
      </c>
      <c r="B1156">
        <v>20119239</v>
      </c>
      <c r="C1156" s="6" t="s">
        <v>19</v>
      </c>
      <c r="D1156">
        <v>167352</v>
      </c>
      <c r="E1156" t="s">
        <v>43</v>
      </c>
      <c r="F1156">
        <v>1116855963</v>
      </c>
      <c r="G1156" t="s">
        <v>2615</v>
      </c>
      <c r="H1156">
        <v>100115575</v>
      </c>
      <c r="I1156">
        <v>202651</v>
      </c>
      <c r="J1156">
        <v>1116855963</v>
      </c>
      <c r="K1156" t="s">
        <v>46</v>
      </c>
      <c r="L1156" t="s">
        <v>252</v>
      </c>
      <c r="M1156" t="s">
        <v>253</v>
      </c>
      <c r="N1156" t="s">
        <v>35</v>
      </c>
      <c r="O1156" t="s">
        <v>26</v>
      </c>
      <c r="P1156" t="s">
        <v>27</v>
      </c>
      <c r="Q1156" t="s">
        <v>28</v>
      </c>
      <c r="R1156" t="s">
        <v>29</v>
      </c>
      <c r="S1156" t="s">
        <v>30</v>
      </c>
      <c r="T1156">
        <v>1140420282</v>
      </c>
      <c r="U1156" t="s">
        <v>3948</v>
      </c>
      <c r="V1156" t="s">
        <v>3937</v>
      </c>
      <c r="W1156" s="9">
        <f>IF(V1156="pregrado",31,
IF(V1156="posgrados",31,
IF(V1156="rEINTEGROS",7,
IF(V1156="BIT",90,
IF(V1156="OP GRADO - INGLÉS",17,"")))))</f>
        <v>31</v>
      </c>
      <c r="X1156" t="s">
        <v>3972</v>
      </c>
    </row>
    <row r="1157" spans="1:24" ht="15" x14ac:dyDescent="0.35">
      <c r="A1157" s="4">
        <v>46044.740729166668</v>
      </c>
      <c r="B1157">
        <v>20116342</v>
      </c>
      <c r="C1157" s="6" t="s">
        <v>19</v>
      </c>
      <c r="D1157">
        <v>167357</v>
      </c>
      <c r="E1157" t="s">
        <v>43</v>
      </c>
      <c r="F1157">
        <v>1003674743</v>
      </c>
      <c r="G1157" t="s">
        <v>2201</v>
      </c>
      <c r="H1157">
        <v>100217963</v>
      </c>
      <c r="I1157">
        <v>202641</v>
      </c>
      <c r="J1157">
        <v>1003674743</v>
      </c>
      <c r="K1157" t="s">
        <v>23</v>
      </c>
      <c r="L1157" t="s">
        <v>59</v>
      </c>
      <c r="M1157" t="s">
        <v>47</v>
      </c>
      <c r="N1157" t="s">
        <v>25</v>
      </c>
      <c r="O1157" t="s">
        <v>26</v>
      </c>
      <c r="P1157" t="s">
        <v>27</v>
      </c>
      <c r="Q1157" t="s">
        <v>28</v>
      </c>
      <c r="R1157" t="s">
        <v>29</v>
      </c>
      <c r="S1157" t="s">
        <v>30</v>
      </c>
      <c r="T1157">
        <v>1193146767</v>
      </c>
      <c r="U1157" t="s">
        <v>3936</v>
      </c>
      <c r="V1157" t="s">
        <v>3937</v>
      </c>
      <c r="W1157" s="9">
        <f>IF(V1157="pregrado",31,
IF(V1157="posgrados",31,
IF(V1157="rEINTEGROS",7,
IF(V1157="BIT",90,
IF(V1157="OP GRADO - INGLÉS",17,"")))))</f>
        <v>31</v>
      </c>
      <c r="X1157" t="s">
        <v>4072</v>
      </c>
    </row>
    <row r="1158" spans="1:24" ht="15" x14ac:dyDescent="0.35">
      <c r="A1158" s="4">
        <v>46049.619560185187</v>
      </c>
      <c r="B1158">
        <v>20117595</v>
      </c>
      <c r="C1158" s="6" t="s">
        <v>19</v>
      </c>
      <c r="D1158">
        <v>167359</v>
      </c>
      <c r="E1158" t="s">
        <v>43</v>
      </c>
      <c r="F1158">
        <v>57413087</v>
      </c>
      <c r="G1158" t="s">
        <v>2351</v>
      </c>
      <c r="H1158">
        <v>100240339</v>
      </c>
      <c r="I1158">
        <v>202651</v>
      </c>
      <c r="J1158">
        <v>1083454899</v>
      </c>
      <c r="K1158" t="s">
        <v>23</v>
      </c>
      <c r="L1158" t="s">
        <v>252</v>
      </c>
      <c r="M1158" t="s">
        <v>253</v>
      </c>
      <c r="N1158" t="s">
        <v>35</v>
      </c>
      <c r="O1158" t="s">
        <v>26</v>
      </c>
      <c r="P1158" t="s">
        <v>27</v>
      </c>
      <c r="Q1158" t="s">
        <v>28</v>
      </c>
      <c r="R1158" t="s">
        <v>29</v>
      </c>
      <c r="S1158" t="s">
        <v>30</v>
      </c>
      <c r="T1158">
        <v>1016030683</v>
      </c>
      <c r="U1158" t="s">
        <v>3936</v>
      </c>
      <c r="V1158" t="s">
        <v>3937</v>
      </c>
      <c r="W1158" s="9">
        <f>IF(V1158="pregrado",31,
IF(V1158="posgrados",31,
IF(V1158="rEINTEGROS",7,
IF(V1158="BIT",90,
IF(V1158="OP GRADO - INGLÉS",17,"")))))</f>
        <v>31</v>
      </c>
      <c r="X1158" t="s">
        <v>3992</v>
      </c>
    </row>
    <row r="1159" spans="1:24" ht="15" x14ac:dyDescent="0.35">
      <c r="A1159" s="4">
        <v>46042.665092592593</v>
      </c>
      <c r="B1159">
        <v>20115404</v>
      </c>
      <c r="C1159" s="6" t="s">
        <v>19</v>
      </c>
      <c r="D1159">
        <v>167363</v>
      </c>
      <c r="E1159" t="s">
        <v>43</v>
      </c>
      <c r="F1159">
        <v>1015433295</v>
      </c>
      <c r="G1159" t="s">
        <v>2032</v>
      </c>
      <c r="H1159">
        <v>100242405</v>
      </c>
      <c r="I1159">
        <v>202641</v>
      </c>
      <c r="J1159">
        <v>1015433295</v>
      </c>
      <c r="K1159" t="s">
        <v>23</v>
      </c>
      <c r="L1159" t="s">
        <v>160</v>
      </c>
      <c r="M1159" t="s">
        <v>47</v>
      </c>
      <c r="N1159" t="s">
        <v>35</v>
      </c>
      <c r="O1159" t="s">
        <v>26</v>
      </c>
      <c r="P1159" t="s">
        <v>27</v>
      </c>
      <c r="Q1159" t="s">
        <v>28</v>
      </c>
      <c r="R1159" t="s">
        <v>29</v>
      </c>
      <c r="S1159" t="s">
        <v>30</v>
      </c>
      <c r="T1159">
        <v>1026262709</v>
      </c>
      <c r="U1159" t="s">
        <v>3936</v>
      </c>
      <c r="V1159" t="s">
        <v>3937</v>
      </c>
      <c r="W1159" s="9">
        <f>IF(V1159="pregrado",31,
IF(V1159="posgrados",31,
IF(V1159="rEINTEGROS",7,
IF(V1159="BIT",90,
IF(V1159="OP GRADO - INGLÉS",17,"")))))</f>
        <v>31</v>
      </c>
      <c r="X1159" t="s">
        <v>4037</v>
      </c>
    </row>
    <row r="1160" spans="1:24" ht="15" x14ac:dyDescent="0.35">
      <c r="A1160" s="4">
        <v>46041.595266203702</v>
      </c>
      <c r="B1160">
        <v>20114925</v>
      </c>
      <c r="C1160" s="6" t="s">
        <v>19</v>
      </c>
      <c r="D1160">
        <v>167368</v>
      </c>
      <c r="E1160" t="s">
        <v>43</v>
      </c>
      <c r="F1160">
        <v>35871136</v>
      </c>
      <c r="G1160" t="s">
        <v>1969</v>
      </c>
      <c r="H1160">
        <v>100205857</v>
      </c>
      <c r="I1160">
        <v>202651</v>
      </c>
      <c r="J1160">
        <v>1038812772</v>
      </c>
      <c r="K1160" t="s">
        <v>23</v>
      </c>
      <c r="L1160" t="s">
        <v>252</v>
      </c>
      <c r="M1160" t="s">
        <v>253</v>
      </c>
      <c r="N1160" t="s">
        <v>35</v>
      </c>
      <c r="O1160" t="s">
        <v>26</v>
      </c>
      <c r="P1160" t="s">
        <v>27</v>
      </c>
      <c r="Q1160" t="s">
        <v>28</v>
      </c>
      <c r="R1160" t="s">
        <v>29</v>
      </c>
      <c r="S1160" t="s">
        <v>30</v>
      </c>
      <c r="T1160">
        <v>1033781417</v>
      </c>
      <c r="U1160" t="s">
        <v>3948</v>
      </c>
      <c r="V1160" t="s">
        <v>3937</v>
      </c>
      <c r="W1160" s="9">
        <f>IF(V1160="pregrado",31,
IF(V1160="posgrados",31,
IF(V1160="rEINTEGROS",7,
IF(V1160="BIT",90,
IF(V1160="OP GRADO - INGLÉS",17,"")))))</f>
        <v>31</v>
      </c>
      <c r="X1160" t="s">
        <v>4031</v>
      </c>
    </row>
    <row r="1161" spans="1:24" ht="15" x14ac:dyDescent="0.35">
      <c r="A1161" s="4">
        <v>46043.432847222219</v>
      </c>
      <c r="B1161">
        <v>20115660</v>
      </c>
      <c r="C1161" s="6" t="s">
        <v>19</v>
      </c>
      <c r="D1161">
        <v>167370</v>
      </c>
      <c r="E1161" t="s">
        <v>43</v>
      </c>
      <c r="F1161">
        <v>1062955979</v>
      </c>
      <c r="G1161" t="s">
        <v>2072</v>
      </c>
      <c r="H1161">
        <v>100242423</v>
      </c>
      <c r="I1161">
        <v>202641</v>
      </c>
      <c r="J1161">
        <v>1062955979</v>
      </c>
      <c r="K1161" t="s">
        <v>23</v>
      </c>
      <c r="L1161" t="s">
        <v>59</v>
      </c>
      <c r="M1161" t="s">
        <v>47</v>
      </c>
      <c r="N1161" t="s">
        <v>35</v>
      </c>
      <c r="O1161" t="s">
        <v>26</v>
      </c>
      <c r="P1161" t="s">
        <v>27</v>
      </c>
      <c r="Q1161" t="s">
        <v>28</v>
      </c>
      <c r="R1161" t="s">
        <v>29</v>
      </c>
      <c r="S1161" t="s">
        <v>30</v>
      </c>
      <c r="T1161">
        <v>1032406382</v>
      </c>
      <c r="U1161" t="s">
        <v>3936</v>
      </c>
      <c r="V1161" t="s">
        <v>3937</v>
      </c>
      <c r="W1161" s="9">
        <f>IF(V1161="pregrado",31,
IF(V1161="posgrados",31,
IF(V1161="rEINTEGROS",7,
IF(V1161="BIT",90,
IF(V1161="OP GRADO - INGLÉS",17,"")))))</f>
        <v>31</v>
      </c>
      <c r="X1161" t="s">
        <v>3991</v>
      </c>
    </row>
    <row r="1162" spans="1:24" ht="15" x14ac:dyDescent="0.35">
      <c r="A1162" s="4">
        <v>46041.690115740741</v>
      </c>
      <c r="B1162">
        <v>20115012</v>
      </c>
      <c r="C1162" s="6" t="s">
        <v>19</v>
      </c>
      <c r="D1162">
        <v>167371</v>
      </c>
      <c r="E1162" t="s">
        <v>43</v>
      </c>
      <c r="F1162">
        <v>1087423240</v>
      </c>
      <c r="G1162" t="s">
        <v>1979</v>
      </c>
      <c r="H1162">
        <v>100242424</v>
      </c>
      <c r="I1162">
        <v>202641</v>
      </c>
      <c r="J1162">
        <v>1087423240</v>
      </c>
      <c r="K1162" t="s">
        <v>23</v>
      </c>
      <c r="L1162" t="s">
        <v>160</v>
      </c>
      <c r="M1162" t="s">
        <v>47</v>
      </c>
      <c r="N1162" t="s">
        <v>35</v>
      </c>
      <c r="O1162" t="s">
        <v>26</v>
      </c>
      <c r="P1162" t="s">
        <v>27</v>
      </c>
      <c r="Q1162" t="s">
        <v>28</v>
      </c>
      <c r="R1162" t="s">
        <v>29</v>
      </c>
      <c r="S1162" t="s">
        <v>30</v>
      </c>
      <c r="T1162">
        <v>1032406382</v>
      </c>
      <c r="U1162" t="s">
        <v>3936</v>
      </c>
      <c r="V1162" t="s">
        <v>3937</v>
      </c>
      <c r="W1162" s="9">
        <f>IF(V1162="pregrado",31,
IF(V1162="posgrados",31,
IF(V1162="rEINTEGROS",7,
IF(V1162="BIT",90,
IF(V1162="OP GRADO - INGLÉS",17,"")))))</f>
        <v>31</v>
      </c>
      <c r="X1162" t="s">
        <v>3991</v>
      </c>
    </row>
    <row r="1163" spans="1:24" ht="15" x14ac:dyDescent="0.35">
      <c r="A1163" s="4">
        <v>46041.831273148149</v>
      </c>
      <c r="B1163">
        <v>20115117</v>
      </c>
      <c r="C1163" s="6" t="s">
        <v>19</v>
      </c>
      <c r="D1163">
        <v>167372</v>
      </c>
      <c r="E1163" t="s">
        <v>43</v>
      </c>
      <c r="F1163">
        <v>1003173210</v>
      </c>
      <c r="G1163" t="s">
        <v>1992</v>
      </c>
      <c r="H1163">
        <v>100242425</v>
      </c>
      <c r="I1163">
        <v>202641</v>
      </c>
      <c r="J1163">
        <v>1049624627</v>
      </c>
      <c r="K1163" t="s">
        <v>23</v>
      </c>
      <c r="L1163" t="s">
        <v>279</v>
      </c>
      <c r="M1163" t="s">
        <v>47</v>
      </c>
      <c r="N1163" t="s">
        <v>35</v>
      </c>
      <c r="O1163" t="s">
        <v>26</v>
      </c>
      <c r="P1163" t="s">
        <v>27</v>
      </c>
      <c r="Q1163" t="s">
        <v>28</v>
      </c>
      <c r="R1163" t="s">
        <v>29</v>
      </c>
      <c r="S1163" t="s">
        <v>30</v>
      </c>
      <c r="T1163">
        <v>1233888787</v>
      </c>
      <c r="U1163" t="s">
        <v>3936</v>
      </c>
      <c r="V1163" t="s">
        <v>3937</v>
      </c>
      <c r="W1163" s="9">
        <f>IF(V1163="pregrado",31,
IF(V1163="posgrados",31,
IF(V1163="rEINTEGROS",7,
IF(V1163="BIT",90,
IF(V1163="OP GRADO - INGLÉS",17,"")))))</f>
        <v>31</v>
      </c>
      <c r="X1163" t="s">
        <v>3998</v>
      </c>
    </row>
    <row r="1164" spans="1:24" ht="15" x14ac:dyDescent="0.35">
      <c r="A1164" s="4">
        <v>46042.618148148147</v>
      </c>
      <c r="B1164">
        <v>20115357</v>
      </c>
      <c r="C1164" s="6" t="s">
        <v>19</v>
      </c>
      <c r="D1164">
        <v>167376</v>
      </c>
      <c r="E1164" t="s">
        <v>43</v>
      </c>
      <c r="F1164">
        <v>35546348</v>
      </c>
      <c r="G1164" t="s">
        <v>2026</v>
      </c>
      <c r="H1164">
        <v>100242435</v>
      </c>
      <c r="I1164">
        <v>202651</v>
      </c>
      <c r="J1164">
        <v>35546348</v>
      </c>
      <c r="K1164" t="s">
        <v>23</v>
      </c>
      <c r="L1164" t="s">
        <v>252</v>
      </c>
      <c r="M1164" t="s">
        <v>253</v>
      </c>
      <c r="N1164" t="s">
        <v>35</v>
      </c>
      <c r="O1164" t="s">
        <v>26</v>
      </c>
      <c r="P1164" t="s">
        <v>27</v>
      </c>
      <c r="Q1164" t="s">
        <v>28</v>
      </c>
      <c r="R1164" t="s">
        <v>29</v>
      </c>
      <c r="S1164" t="s">
        <v>30</v>
      </c>
      <c r="T1164">
        <v>1019068131</v>
      </c>
      <c r="U1164" t="s">
        <v>3948</v>
      </c>
      <c r="V1164" t="s">
        <v>3937</v>
      </c>
      <c r="W1164" s="9">
        <f>IF(V1164="pregrado",31,
IF(V1164="posgrados",31,
IF(V1164="rEINTEGROS",7,
IF(V1164="BIT",90,
IF(V1164="OP GRADO - INGLÉS",17,"")))))</f>
        <v>31</v>
      </c>
      <c r="X1164" t="s">
        <v>4066</v>
      </c>
    </row>
    <row r="1165" spans="1:24" ht="15" x14ac:dyDescent="0.35">
      <c r="A1165" s="4">
        <v>46043.551585648151</v>
      </c>
      <c r="B1165">
        <v>20115762</v>
      </c>
      <c r="C1165" s="6" t="s">
        <v>19</v>
      </c>
      <c r="D1165">
        <v>167379</v>
      </c>
      <c r="E1165" t="s">
        <v>43</v>
      </c>
      <c r="F1165">
        <v>52279636</v>
      </c>
      <c r="G1165" t="s">
        <v>2088</v>
      </c>
      <c r="H1165">
        <v>100242444</v>
      </c>
      <c r="I1165">
        <v>202651</v>
      </c>
      <c r="J1165">
        <v>1015999435</v>
      </c>
      <c r="K1165" t="s">
        <v>23</v>
      </c>
      <c r="L1165" t="s">
        <v>252</v>
      </c>
      <c r="M1165" t="s">
        <v>253</v>
      </c>
      <c r="N1165" t="s">
        <v>35</v>
      </c>
      <c r="O1165" t="s">
        <v>26</v>
      </c>
      <c r="P1165" t="s">
        <v>27</v>
      </c>
      <c r="Q1165" t="s">
        <v>28</v>
      </c>
      <c r="R1165" t="s">
        <v>29</v>
      </c>
      <c r="S1165" t="s">
        <v>30</v>
      </c>
      <c r="T1165">
        <v>1031147887</v>
      </c>
      <c r="U1165" t="s">
        <v>3948</v>
      </c>
      <c r="V1165" t="s">
        <v>3937</v>
      </c>
      <c r="W1165" s="9">
        <f>IF(V1165="pregrado",31,
IF(V1165="posgrados",31,
IF(V1165="rEINTEGROS",7,
IF(V1165="BIT",90,
IF(V1165="OP GRADO - INGLÉS",17,"")))))</f>
        <v>31</v>
      </c>
      <c r="X1165" t="s">
        <v>3947</v>
      </c>
    </row>
    <row r="1166" spans="1:24" ht="15" x14ac:dyDescent="0.35">
      <c r="A1166" s="4">
        <v>46045.730081018519</v>
      </c>
      <c r="B1166">
        <v>20116735</v>
      </c>
      <c r="C1166" s="6" t="s">
        <v>19</v>
      </c>
      <c r="D1166">
        <v>167382</v>
      </c>
      <c r="E1166" t="s">
        <v>43</v>
      </c>
      <c r="F1166">
        <v>1010097838</v>
      </c>
      <c r="G1166" t="s">
        <v>2251</v>
      </c>
      <c r="H1166">
        <v>200084919</v>
      </c>
      <c r="I1166">
        <v>202641</v>
      </c>
      <c r="J1166">
        <v>1010097838</v>
      </c>
      <c r="K1166" t="s">
        <v>23</v>
      </c>
      <c r="L1166" t="s">
        <v>736</v>
      </c>
      <c r="M1166" t="s">
        <v>47</v>
      </c>
      <c r="N1166" t="s">
        <v>35</v>
      </c>
      <c r="O1166" t="s">
        <v>26</v>
      </c>
      <c r="P1166" t="s">
        <v>27</v>
      </c>
      <c r="Q1166" t="s">
        <v>28</v>
      </c>
      <c r="R1166" t="s">
        <v>29</v>
      </c>
      <c r="S1166" t="s">
        <v>30</v>
      </c>
      <c r="T1166">
        <v>1033784244</v>
      </c>
      <c r="U1166" t="s">
        <v>3948</v>
      </c>
      <c r="V1166" t="s">
        <v>3937</v>
      </c>
      <c r="W1166" s="9">
        <f>IF(V1166="pregrado",31,
IF(V1166="posgrados",31,
IF(V1166="rEINTEGROS",7,
IF(V1166="BIT",90,
IF(V1166="OP GRADO - INGLÉS",17,"")))))</f>
        <v>31</v>
      </c>
      <c r="X1166" t="s">
        <v>4067</v>
      </c>
    </row>
    <row r="1167" spans="1:24" ht="15" x14ac:dyDescent="0.35">
      <c r="A1167" s="4">
        <v>46052.504884259259</v>
      </c>
      <c r="B1167">
        <v>20118898</v>
      </c>
      <c r="C1167" s="6" t="s">
        <v>19</v>
      </c>
      <c r="D1167">
        <v>167385</v>
      </c>
      <c r="E1167" t="s">
        <v>43</v>
      </c>
      <c r="F1167">
        <v>37890542</v>
      </c>
      <c r="G1167" t="s">
        <v>2554</v>
      </c>
      <c r="H1167">
        <v>100242449</v>
      </c>
      <c r="I1167">
        <v>202641</v>
      </c>
      <c r="J1167">
        <v>1100953084</v>
      </c>
      <c r="K1167" t="s">
        <v>23</v>
      </c>
      <c r="L1167" t="s">
        <v>342</v>
      </c>
      <c r="M1167" t="s">
        <v>47</v>
      </c>
      <c r="N1167" t="s">
        <v>35</v>
      </c>
      <c r="O1167" t="s">
        <v>26</v>
      </c>
      <c r="P1167" t="s">
        <v>27</v>
      </c>
      <c r="Q1167" t="s">
        <v>28</v>
      </c>
      <c r="R1167" t="s">
        <v>29</v>
      </c>
      <c r="S1167" t="s">
        <v>30</v>
      </c>
      <c r="T1167">
        <v>1140420282</v>
      </c>
      <c r="U1167" t="s">
        <v>3948</v>
      </c>
      <c r="V1167" t="s">
        <v>3937</v>
      </c>
      <c r="W1167" s="9">
        <f>IF(V1167="pregrado",31,
IF(V1167="posgrados",31,
IF(V1167="rEINTEGROS",7,
IF(V1167="BIT",90,
IF(V1167="OP GRADO - INGLÉS",17,"")))))</f>
        <v>31</v>
      </c>
      <c r="X1167" t="s">
        <v>3972</v>
      </c>
    </row>
    <row r="1168" spans="1:24" ht="15" x14ac:dyDescent="0.35">
      <c r="A1168" s="4">
        <v>46042.386817129627</v>
      </c>
      <c r="B1168">
        <v>20115175</v>
      </c>
      <c r="C1168" s="6" t="s">
        <v>19</v>
      </c>
      <c r="D1168">
        <v>167391</v>
      </c>
      <c r="E1168" t="s">
        <v>43</v>
      </c>
      <c r="F1168">
        <v>1085896572</v>
      </c>
      <c r="G1168" t="s">
        <v>1999</v>
      </c>
      <c r="H1168">
        <v>100023114</v>
      </c>
      <c r="I1168">
        <v>202651</v>
      </c>
      <c r="J1168">
        <v>1085896572</v>
      </c>
      <c r="K1168" t="s">
        <v>23</v>
      </c>
      <c r="L1168" t="s">
        <v>252</v>
      </c>
      <c r="M1168" t="s">
        <v>253</v>
      </c>
      <c r="N1168" t="s">
        <v>35</v>
      </c>
      <c r="O1168" t="s">
        <v>26</v>
      </c>
      <c r="P1168" t="s">
        <v>27</v>
      </c>
      <c r="Q1168" t="s">
        <v>28</v>
      </c>
      <c r="R1168" t="s">
        <v>29</v>
      </c>
      <c r="S1168" t="s">
        <v>30</v>
      </c>
      <c r="T1168">
        <v>1012355141</v>
      </c>
      <c r="U1168" t="s">
        <v>3936</v>
      </c>
      <c r="V1168" t="s">
        <v>3937</v>
      </c>
      <c r="W1168" s="9">
        <f>IF(V1168="pregrado",31,
IF(V1168="posgrados",31,
IF(V1168="rEINTEGROS",7,
IF(V1168="BIT",90,
IF(V1168="OP GRADO - INGLÉS",17,"")))))</f>
        <v>31</v>
      </c>
      <c r="X1168" t="s">
        <v>4045</v>
      </c>
    </row>
    <row r="1169" spans="1:24" ht="15" x14ac:dyDescent="0.35">
      <c r="A1169" s="4">
        <v>46053.484699074077</v>
      </c>
      <c r="B1169">
        <v>20119273</v>
      </c>
      <c r="C1169" s="6" t="s">
        <v>19</v>
      </c>
      <c r="D1169">
        <v>167392</v>
      </c>
      <c r="E1169" t="s">
        <v>43</v>
      </c>
      <c r="F1169">
        <v>79539495</v>
      </c>
      <c r="G1169" t="s">
        <v>2623</v>
      </c>
      <c r="H1169">
        <v>900001792</v>
      </c>
      <c r="I1169">
        <v>202641</v>
      </c>
      <c r="J1169">
        <v>1101685361</v>
      </c>
      <c r="K1169" t="s">
        <v>23</v>
      </c>
      <c r="L1169" t="s">
        <v>59</v>
      </c>
      <c r="M1169" t="s">
        <v>47</v>
      </c>
      <c r="N1169" t="s">
        <v>35</v>
      </c>
      <c r="O1169" t="s">
        <v>26</v>
      </c>
      <c r="P1169" t="s">
        <v>27</v>
      </c>
      <c r="Q1169" t="s">
        <v>28</v>
      </c>
      <c r="R1169" t="s">
        <v>29</v>
      </c>
      <c r="S1169" t="s">
        <v>30</v>
      </c>
      <c r="T1169">
        <v>1026262709</v>
      </c>
      <c r="U1169" t="s">
        <v>3936</v>
      </c>
      <c r="V1169" t="s">
        <v>3937</v>
      </c>
      <c r="W1169" s="9">
        <f>IF(V1169="pregrado",31,
IF(V1169="posgrados",31,
IF(V1169="rEINTEGROS",7,
IF(V1169="BIT",90,
IF(V1169="OP GRADO - INGLÉS",17,"")))))</f>
        <v>31</v>
      </c>
      <c r="X1169" t="s">
        <v>4037</v>
      </c>
    </row>
    <row r="1170" spans="1:24" ht="15" x14ac:dyDescent="0.35">
      <c r="A1170" s="4">
        <v>46049.713680555556</v>
      </c>
      <c r="B1170">
        <v>20117719</v>
      </c>
      <c r="C1170" s="6" t="s">
        <v>19</v>
      </c>
      <c r="D1170">
        <v>167396</v>
      </c>
      <c r="E1170" t="s">
        <v>43</v>
      </c>
      <c r="F1170">
        <v>21238068</v>
      </c>
      <c r="G1170" t="s">
        <v>2371</v>
      </c>
      <c r="H1170">
        <v>100225432</v>
      </c>
      <c r="I1170">
        <v>202651</v>
      </c>
      <c r="J1170">
        <v>1121927632</v>
      </c>
      <c r="K1170" t="s">
        <v>23</v>
      </c>
      <c r="L1170" t="s">
        <v>1250</v>
      </c>
      <c r="M1170" t="s">
        <v>253</v>
      </c>
      <c r="N1170" t="s">
        <v>35</v>
      </c>
      <c r="O1170" t="s">
        <v>26</v>
      </c>
      <c r="P1170" t="s">
        <v>27</v>
      </c>
      <c r="Q1170" t="s">
        <v>28</v>
      </c>
      <c r="R1170" t="s">
        <v>29</v>
      </c>
      <c r="S1170" t="s">
        <v>30</v>
      </c>
      <c r="T1170">
        <v>52032666</v>
      </c>
      <c r="U1170" t="s">
        <v>3948</v>
      </c>
      <c r="V1170" t="s">
        <v>3937</v>
      </c>
      <c r="W1170" s="9">
        <f>IF(V1170="pregrado",31,
IF(V1170="posgrados",31,
IF(V1170="rEINTEGROS",7,
IF(V1170="BIT",90,
IF(V1170="OP GRADO - INGLÉS",17,"")))))</f>
        <v>31</v>
      </c>
      <c r="X1170" t="s">
        <v>3983</v>
      </c>
    </row>
    <row r="1171" spans="1:24" ht="15" x14ac:dyDescent="0.35">
      <c r="A1171" s="4">
        <v>46043.344525462962</v>
      </c>
      <c r="B1171">
        <v>20115577</v>
      </c>
      <c r="C1171" s="6" t="s">
        <v>19</v>
      </c>
      <c r="D1171">
        <v>167397</v>
      </c>
      <c r="E1171" t="s">
        <v>43</v>
      </c>
      <c r="F1171">
        <v>1085097870</v>
      </c>
      <c r="G1171" t="s">
        <v>2055</v>
      </c>
      <c r="H1171">
        <v>100242467</v>
      </c>
      <c r="I1171">
        <v>202651</v>
      </c>
      <c r="J1171">
        <v>73005934</v>
      </c>
      <c r="K1171" t="s">
        <v>23</v>
      </c>
      <c r="L1171" t="s">
        <v>252</v>
      </c>
      <c r="M1171" t="s">
        <v>253</v>
      </c>
      <c r="N1171" t="s">
        <v>35</v>
      </c>
      <c r="O1171" t="s">
        <v>26</v>
      </c>
      <c r="P1171" t="s">
        <v>27</v>
      </c>
      <c r="Q1171" t="s">
        <v>28</v>
      </c>
      <c r="R1171" t="s">
        <v>29</v>
      </c>
      <c r="S1171" t="s">
        <v>30</v>
      </c>
      <c r="T1171">
        <v>1020754225</v>
      </c>
      <c r="U1171" t="s">
        <v>3948</v>
      </c>
      <c r="V1171" t="s">
        <v>3937</v>
      </c>
      <c r="W1171" s="9">
        <f>IF(V1171="pregrado",31,
IF(V1171="posgrados",31,
IF(V1171="rEINTEGROS",7,
IF(V1171="BIT",90,
IF(V1171="OP GRADO - INGLÉS",17,"")))))</f>
        <v>31</v>
      </c>
      <c r="X1171" t="s">
        <v>3981</v>
      </c>
    </row>
    <row r="1172" spans="1:24" ht="15" x14ac:dyDescent="0.35">
      <c r="A1172" s="4">
        <v>46046.474826388891</v>
      </c>
      <c r="B1172">
        <v>20116851</v>
      </c>
      <c r="C1172" s="6" t="s">
        <v>19</v>
      </c>
      <c r="D1172">
        <v>167404</v>
      </c>
      <c r="E1172" t="s">
        <v>43</v>
      </c>
      <c r="F1172">
        <v>1039686843</v>
      </c>
      <c r="G1172" t="s">
        <v>2262</v>
      </c>
      <c r="H1172">
        <v>100242485</v>
      </c>
      <c r="I1172">
        <v>202651</v>
      </c>
      <c r="J1172">
        <v>1039686843</v>
      </c>
      <c r="K1172" t="s">
        <v>23</v>
      </c>
      <c r="L1172" t="s">
        <v>252</v>
      </c>
      <c r="M1172" t="s">
        <v>253</v>
      </c>
      <c r="N1172" t="s">
        <v>35</v>
      </c>
      <c r="O1172" t="s">
        <v>26</v>
      </c>
      <c r="P1172" t="s">
        <v>27</v>
      </c>
      <c r="Q1172" t="s">
        <v>28</v>
      </c>
      <c r="R1172" t="s">
        <v>29</v>
      </c>
      <c r="S1172" t="s">
        <v>30</v>
      </c>
      <c r="T1172">
        <v>1015407851</v>
      </c>
      <c r="U1172" t="s">
        <v>3944</v>
      </c>
      <c r="V1172" t="s">
        <v>3934</v>
      </c>
      <c r="W1172" s="9">
        <f>IF(V1172="pregrado",31,
IF(V1172="posgrados",31,
IF(V1172="rEINTEGROS",7,
IF(V1172="BIT",90,
IF(V1172="OP GRADO - INGLÉS",17,"")))))</f>
        <v>31</v>
      </c>
      <c r="X1172" t="s">
        <v>4102</v>
      </c>
    </row>
    <row r="1173" spans="1:24" ht="15" x14ac:dyDescent="0.35">
      <c r="A1173" s="4">
        <v>46048.700069444443</v>
      </c>
      <c r="B1173">
        <v>20117294</v>
      </c>
      <c r="C1173" s="6" t="s">
        <v>19</v>
      </c>
      <c r="D1173">
        <v>167407</v>
      </c>
      <c r="E1173" t="s">
        <v>43</v>
      </c>
      <c r="F1173">
        <v>1007694465</v>
      </c>
      <c r="G1173" t="s">
        <v>2304</v>
      </c>
      <c r="H1173">
        <v>100132211</v>
      </c>
      <c r="I1173">
        <v>202641</v>
      </c>
      <c r="J1173">
        <v>1007694465</v>
      </c>
      <c r="K1173" t="s">
        <v>46</v>
      </c>
      <c r="L1173" t="s">
        <v>342</v>
      </c>
      <c r="M1173" t="s">
        <v>47</v>
      </c>
      <c r="N1173" t="s">
        <v>35</v>
      </c>
      <c r="O1173" t="s">
        <v>26</v>
      </c>
      <c r="P1173" t="s">
        <v>27</v>
      </c>
      <c r="Q1173" t="s">
        <v>28</v>
      </c>
      <c r="R1173" t="s">
        <v>29</v>
      </c>
      <c r="S1173" t="s">
        <v>30</v>
      </c>
      <c r="T1173">
        <v>1193146767</v>
      </c>
      <c r="U1173" t="s">
        <v>3936</v>
      </c>
      <c r="V1173" t="s">
        <v>3937</v>
      </c>
      <c r="W1173" s="9">
        <f>IF(V1173="pregrado",31,
IF(V1173="posgrados",31,
IF(V1173="rEINTEGROS",7,
IF(V1173="BIT",90,
IF(V1173="OP GRADO - INGLÉS",17,"")))))</f>
        <v>31</v>
      </c>
      <c r="X1173" t="s">
        <v>4072</v>
      </c>
    </row>
    <row r="1174" spans="1:24" ht="15" x14ac:dyDescent="0.35">
      <c r="A1174" s="4">
        <v>46043.388425925928</v>
      </c>
      <c r="B1174">
        <v>20115617</v>
      </c>
      <c r="C1174" s="6" t="s">
        <v>19</v>
      </c>
      <c r="D1174">
        <v>167411</v>
      </c>
      <c r="E1174" t="s">
        <v>43</v>
      </c>
      <c r="F1174">
        <v>1110531618</v>
      </c>
      <c r="G1174" t="s">
        <v>2065</v>
      </c>
      <c r="H1174">
        <v>100242502</v>
      </c>
      <c r="I1174">
        <v>202641</v>
      </c>
      <c r="J1174">
        <v>1109004492</v>
      </c>
      <c r="K1174" t="s">
        <v>23</v>
      </c>
      <c r="L1174" t="s">
        <v>160</v>
      </c>
      <c r="M1174" t="s">
        <v>47</v>
      </c>
      <c r="N1174" t="s">
        <v>35</v>
      </c>
      <c r="O1174" t="s">
        <v>26</v>
      </c>
      <c r="P1174" t="s">
        <v>27</v>
      </c>
      <c r="Q1174" t="s">
        <v>28</v>
      </c>
      <c r="R1174" t="s">
        <v>29</v>
      </c>
      <c r="S1174" t="s">
        <v>30</v>
      </c>
      <c r="T1174">
        <v>52916205</v>
      </c>
      <c r="U1174" t="s">
        <v>3936</v>
      </c>
      <c r="V1174" t="s">
        <v>3937</v>
      </c>
      <c r="W1174" s="9">
        <f>IF(V1174="pregrado",31,
IF(V1174="posgrados",31,
IF(V1174="rEINTEGROS",7,
IF(V1174="BIT",90,
IF(V1174="OP GRADO - INGLÉS",17,"")))))</f>
        <v>31</v>
      </c>
      <c r="X1174" t="s">
        <v>4032</v>
      </c>
    </row>
    <row r="1175" spans="1:24" ht="15" x14ac:dyDescent="0.35">
      <c r="A1175" s="4">
        <v>46042.432615740741</v>
      </c>
      <c r="B1175">
        <v>20115209</v>
      </c>
      <c r="C1175" s="6" t="s">
        <v>19</v>
      </c>
      <c r="D1175">
        <v>167417</v>
      </c>
      <c r="E1175" t="s">
        <v>43</v>
      </c>
      <c r="F1175">
        <v>1019061250</v>
      </c>
      <c r="G1175" t="s">
        <v>2005</v>
      </c>
      <c r="H1175">
        <v>100242516</v>
      </c>
      <c r="I1175">
        <v>202651</v>
      </c>
      <c r="J1175">
        <v>1019061250</v>
      </c>
      <c r="K1175" t="s">
        <v>23</v>
      </c>
      <c r="L1175" t="s">
        <v>252</v>
      </c>
      <c r="M1175" t="s">
        <v>253</v>
      </c>
      <c r="N1175" t="s">
        <v>35</v>
      </c>
      <c r="O1175" t="s">
        <v>26</v>
      </c>
      <c r="P1175" t="s">
        <v>27</v>
      </c>
      <c r="Q1175" t="s">
        <v>28</v>
      </c>
      <c r="R1175" t="s">
        <v>29</v>
      </c>
      <c r="S1175" t="s">
        <v>30</v>
      </c>
      <c r="T1175">
        <v>52032666</v>
      </c>
      <c r="U1175" t="s">
        <v>3948</v>
      </c>
      <c r="V1175" t="s">
        <v>3937</v>
      </c>
      <c r="W1175" s="9">
        <f>IF(V1175="pregrado",31,
IF(V1175="posgrados",31,
IF(V1175="rEINTEGROS",7,
IF(V1175="BIT",90,
IF(V1175="OP GRADO - INGLÉS",17,"")))))</f>
        <v>31</v>
      </c>
      <c r="X1175" t="s">
        <v>3983</v>
      </c>
    </row>
    <row r="1176" spans="1:24" ht="15" x14ac:dyDescent="0.35">
      <c r="A1176" s="4">
        <v>46042.604351851849</v>
      </c>
      <c r="B1176">
        <v>20115336</v>
      </c>
      <c r="C1176" s="6" t="s">
        <v>19</v>
      </c>
      <c r="D1176">
        <v>167418</v>
      </c>
      <c r="E1176" t="s">
        <v>43</v>
      </c>
      <c r="F1176">
        <v>1077471959</v>
      </c>
      <c r="G1176" t="s">
        <v>2023</v>
      </c>
      <c r="H1176">
        <v>100242517</v>
      </c>
      <c r="I1176">
        <v>202651</v>
      </c>
      <c r="J1176">
        <v>1077471959</v>
      </c>
      <c r="K1176" t="s">
        <v>23</v>
      </c>
      <c r="L1176" t="s">
        <v>252</v>
      </c>
      <c r="M1176" t="s">
        <v>253</v>
      </c>
      <c r="N1176" t="s">
        <v>35</v>
      </c>
      <c r="O1176" t="s">
        <v>26</v>
      </c>
      <c r="P1176" t="s">
        <v>27</v>
      </c>
      <c r="Q1176" t="s">
        <v>28</v>
      </c>
      <c r="R1176" t="s">
        <v>29</v>
      </c>
      <c r="S1176" t="s">
        <v>30</v>
      </c>
      <c r="T1176">
        <v>1073673268</v>
      </c>
      <c r="U1176" t="s">
        <v>3948</v>
      </c>
      <c r="V1176" t="s">
        <v>3937</v>
      </c>
      <c r="W1176" s="9">
        <f>IF(V1176="pregrado",31,
IF(V1176="posgrados",31,
IF(V1176="rEINTEGROS",7,
IF(V1176="BIT",90,
IF(V1176="OP GRADO - INGLÉS",17,"")))))</f>
        <v>31</v>
      </c>
      <c r="X1176" t="s">
        <v>4080</v>
      </c>
    </row>
    <row r="1177" spans="1:24" ht="15" x14ac:dyDescent="0.35">
      <c r="A1177" s="4">
        <v>46051.723425925928</v>
      </c>
      <c r="B1177">
        <v>20118679</v>
      </c>
      <c r="C1177" s="6" t="s">
        <v>19</v>
      </c>
      <c r="D1177">
        <v>167426</v>
      </c>
      <c r="E1177" t="s">
        <v>43</v>
      </c>
      <c r="F1177">
        <v>52253999</v>
      </c>
      <c r="G1177" t="s">
        <v>2517</v>
      </c>
      <c r="H1177">
        <v>100242542</v>
      </c>
      <c r="I1177">
        <v>202651</v>
      </c>
      <c r="J1177">
        <v>52253999</v>
      </c>
      <c r="K1177" t="s">
        <v>23</v>
      </c>
      <c r="L1177" t="s">
        <v>252</v>
      </c>
      <c r="M1177" t="s">
        <v>253</v>
      </c>
      <c r="N1177" t="s">
        <v>35</v>
      </c>
      <c r="O1177" t="s">
        <v>26</v>
      </c>
      <c r="P1177" t="s">
        <v>27</v>
      </c>
      <c r="Q1177" t="s">
        <v>28</v>
      </c>
      <c r="R1177" t="s">
        <v>29</v>
      </c>
      <c r="S1177" t="s">
        <v>30</v>
      </c>
      <c r="T1177">
        <v>1014285873</v>
      </c>
      <c r="U1177" t="s">
        <v>3948</v>
      </c>
      <c r="V1177" t="s">
        <v>3937</v>
      </c>
      <c r="W1177" s="9">
        <f>IF(V1177="pregrado",31,
IF(V1177="posgrados",31,
IF(V1177="rEINTEGROS",7,
IF(V1177="BIT",90,
IF(V1177="OP GRADO - INGLÉS",17,"")))))</f>
        <v>31</v>
      </c>
      <c r="X1177" t="s">
        <v>3953</v>
      </c>
    </row>
    <row r="1178" spans="1:24" ht="15" x14ac:dyDescent="0.35">
      <c r="A1178" s="4">
        <v>46044.486851851849</v>
      </c>
      <c r="B1178">
        <v>20116115</v>
      </c>
      <c r="C1178" s="6" t="s">
        <v>19</v>
      </c>
      <c r="D1178">
        <v>167427</v>
      </c>
      <c r="E1178" t="s">
        <v>43</v>
      </c>
      <c r="F1178">
        <v>1104254746</v>
      </c>
      <c r="G1178" t="s">
        <v>2157</v>
      </c>
      <c r="H1178">
        <v>100242546</v>
      </c>
      <c r="I1178">
        <v>202651</v>
      </c>
      <c r="J1178">
        <v>1104254746</v>
      </c>
      <c r="K1178" t="s">
        <v>23</v>
      </c>
      <c r="L1178" t="s">
        <v>252</v>
      </c>
      <c r="M1178" t="s">
        <v>253</v>
      </c>
      <c r="N1178" t="s">
        <v>35</v>
      </c>
      <c r="O1178" t="s">
        <v>26</v>
      </c>
      <c r="P1178" t="s">
        <v>27</v>
      </c>
      <c r="Q1178" t="s">
        <v>28</v>
      </c>
      <c r="R1178" t="s">
        <v>29</v>
      </c>
      <c r="S1178" t="s">
        <v>30</v>
      </c>
      <c r="T1178">
        <v>52032666</v>
      </c>
      <c r="U1178" t="s">
        <v>3948</v>
      </c>
      <c r="V1178" t="s">
        <v>3937</v>
      </c>
      <c r="W1178" s="9">
        <f>IF(V1178="pregrado",31,
IF(V1178="posgrados",31,
IF(V1178="rEINTEGROS",7,
IF(V1178="BIT",90,
IF(V1178="OP GRADO - INGLÉS",17,"")))))</f>
        <v>31</v>
      </c>
      <c r="X1178" t="s">
        <v>3983</v>
      </c>
    </row>
    <row r="1179" spans="1:24" ht="15" x14ac:dyDescent="0.35">
      <c r="A1179" s="4">
        <v>46044.730844907404</v>
      </c>
      <c r="B1179">
        <v>20116331</v>
      </c>
      <c r="C1179" s="6" t="s">
        <v>19</v>
      </c>
      <c r="D1179">
        <v>167446</v>
      </c>
      <c r="E1179" t="s">
        <v>43</v>
      </c>
      <c r="F1179">
        <v>1116800198</v>
      </c>
      <c r="G1179" t="s">
        <v>2199</v>
      </c>
      <c r="H1179">
        <v>100242556</v>
      </c>
      <c r="I1179">
        <v>202651</v>
      </c>
      <c r="J1179">
        <v>1116800198</v>
      </c>
      <c r="K1179" t="s">
        <v>23</v>
      </c>
      <c r="L1179" t="s">
        <v>252</v>
      </c>
      <c r="M1179" t="s">
        <v>253</v>
      </c>
      <c r="N1179" t="s">
        <v>35</v>
      </c>
      <c r="O1179" t="s">
        <v>26</v>
      </c>
      <c r="P1179" t="s">
        <v>27</v>
      </c>
      <c r="Q1179" t="s">
        <v>28</v>
      </c>
      <c r="R1179" t="s">
        <v>29</v>
      </c>
      <c r="S1179" t="s">
        <v>30</v>
      </c>
      <c r="T1179">
        <v>1233513889</v>
      </c>
      <c r="U1179" t="s">
        <v>3948</v>
      </c>
      <c r="V1179" t="s">
        <v>3937</v>
      </c>
      <c r="W1179" s="9">
        <f>IF(V1179="pregrado",31,
IF(V1179="posgrados",31,
IF(V1179="rEINTEGROS",7,
IF(V1179="BIT",90,
IF(V1179="OP GRADO - INGLÉS",17,"")))))</f>
        <v>31</v>
      </c>
      <c r="X1179" t="s">
        <v>4035</v>
      </c>
    </row>
    <row r="1180" spans="1:24" ht="15" x14ac:dyDescent="0.35">
      <c r="A1180" s="4">
        <v>46043.367685185185</v>
      </c>
      <c r="B1180">
        <v>20115596</v>
      </c>
      <c r="C1180" s="6" t="s">
        <v>19</v>
      </c>
      <c r="D1180">
        <v>167454</v>
      </c>
      <c r="E1180" t="s">
        <v>43</v>
      </c>
      <c r="F1180">
        <v>19516707</v>
      </c>
      <c r="G1180" t="s">
        <v>2058</v>
      </c>
      <c r="H1180">
        <v>200081799</v>
      </c>
      <c r="I1180">
        <v>202641</v>
      </c>
      <c r="J1180">
        <v>1193037027</v>
      </c>
      <c r="K1180" t="s">
        <v>23</v>
      </c>
      <c r="L1180" t="s">
        <v>736</v>
      </c>
      <c r="M1180" t="s">
        <v>47</v>
      </c>
      <c r="N1180" t="s">
        <v>25</v>
      </c>
      <c r="O1180" t="s">
        <v>26</v>
      </c>
      <c r="P1180" t="s">
        <v>27</v>
      </c>
      <c r="Q1180" t="s">
        <v>28</v>
      </c>
      <c r="R1180" t="s">
        <v>29</v>
      </c>
      <c r="S1180" t="s">
        <v>30</v>
      </c>
      <c r="T1180">
        <v>1070973852</v>
      </c>
      <c r="U1180" t="s">
        <v>3936</v>
      </c>
      <c r="V1180" t="s">
        <v>3937</v>
      </c>
      <c r="W1180" s="9">
        <f>IF(V1180="pregrado",31,
IF(V1180="posgrados",31,
IF(V1180="rEINTEGROS",7,
IF(V1180="BIT",90,
IF(V1180="OP GRADO - INGLÉS",17,"")))))</f>
        <v>31</v>
      </c>
      <c r="X1180" t="s">
        <v>3957</v>
      </c>
    </row>
    <row r="1181" spans="1:24" ht="15" x14ac:dyDescent="0.35">
      <c r="A1181" s="4">
        <v>46079.4375462963</v>
      </c>
      <c r="B1181">
        <v>20126464</v>
      </c>
      <c r="C1181" s="6" t="s">
        <v>19</v>
      </c>
      <c r="D1181">
        <v>167456</v>
      </c>
      <c r="E1181" t="s">
        <v>43</v>
      </c>
      <c r="F1181">
        <v>26379130</v>
      </c>
      <c r="G1181" t="s">
        <v>3653</v>
      </c>
      <c r="H1181">
        <v>100153754</v>
      </c>
      <c r="I1181">
        <v>202651</v>
      </c>
      <c r="J1181">
        <v>26379130</v>
      </c>
      <c r="K1181" t="s">
        <v>23</v>
      </c>
      <c r="L1181" t="s">
        <v>252</v>
      </c>
      <c r="M1181" t="s">
        <v>253</v>
      </c>
      <c r="N1181" t="s">
        <v>35</v>
      </c>
      <c r="O1181" t="s">
        <v>26</v>
      </c>
      <c r="P1181" t="s">
        <v>27</v>
      </c>
      <c r="Q1181" t="s">
        <v>28</v>
      </c>
      <c r="R1181" t="s">
        <v>29</v>
      </c>
      <c r="S1181" t="s">
        <v>30</v>
      </c>
      <c r="T1181">
        <v>1140420282</v>
      </c>
      <c r="U1181" t="s">
        <v>3948</v>
      </c>
      <c r="V1181" t="s">
        <v>3937</v>
      </c>
      <c r="W1181" s="9">
        <f>IF(V1181="pregrado",31,
IF(V1181="posgrados",31,
IF(V1181="rEINTEGROS",7,
IF(V1181="BIT",90,
IF(V1181="OP GRADO - INGLÉS",17,"")))))</f>
        <v>31</v>
      </c>
      <c r="X1181" t="s">
        <v>3972</v>
      </c>
    </row>
    <row r="1182" spans="1:24" ht="15" x14ac:dyDescent="0.35">
      <c r="A1182" s="4">
        <v>46042.378668981481</v>
      </c>
      <c r="B1182">
        <v>20115168</v>
      </c>
      <c r="C1182" s="6" t="s">
        <v>19</v>
      </c>
      <c r="D1182">
        <v>167471</v>
      </c>
      <c r="E1182" t="s">
        <v>43</v>
      </c>
      <c r="F1182">
        <v>31969174</v>
      </c>
      <c r="G1182" t="s">
        <v>1998</v>
      </c>
      <c r="H1182">
        <v>100242570</v>
      </c>
      <c r="I1182">
        <v>202651</v>
      </c>
      <c r="J1182">
        <v>31969174</v>
      </c>
      <c r="K1182" t="s">
        <v>23</v>
      </c>
      <c r="L1182" t="s">
        <v>252</v>
      </c>
      <c r="M1182" t="s">
        <v>253</v>
      </c>
      <c r="N1182" t="s">
        <v>35</v>
      </c>
      <c r="O1182" t="s">
        <v>26</v>
      </c>
      <c r="P1182" t="s">
        <v>27</v>
      </c>
      <c r="Q1182" t="s">
        <v>28</v>
      </c>
      <c r="R1182" t="s">
        <v>29</v>
      </c>
      <c r="S1182" t="s">
        <v>30</v>
      </c>
      <c r="T1182">
        <v>1014285873</v>
      </c>
      <c r="U1182" t="s">
        <v>3948</v>
      </c>
      <c r="V1182" t="s">
        <v>3937</v>
      </c>
      <c r="W1182" s="9">
        <f>IF(V1182="pregrado",31,
IF(V1182="posgrados",31,
IF(V1182="rEINTEGROS",7,
IF(V1182="BIT",90,
IF(V1182="OP GRADO - INGLÉS",17,"")))))</f>
        <v>31</v>
      </c>
      <c r="X1182" t="s">
        <v>3953</v>
      </c>
    </row>
    <row r="1183" spans="1:24" ht="15" x14ac:dyDescent="0.35">
      <c r="A1183" s="4">
        <v>46042.734155092592</v>
      </c>
      <c r="B1183">
        <v>20115495</v>
      </c>
      <c r="C1183" s="6" t="s">
        <v>19</v>
      </c>
      <c r="D1183">
        <v>167476</v>
      </c>
      <c r="E1183" t="s">
        <v>43</v>
      </c>
      <c r="F1183">
        <v>1006500827</v>
      </c>
      <c r="G1183" t="s">
        <v>2045</v>
      </c>
      <c r="H1183">
        <v>100242602</v>
      </c>
      <c r="I1183">
        <v>202651</v>
      </c>
      <c r="J1183">
        <v>1006500827</v>
      </c>
      <c r="K1183" t="s">
        <v>23</v>
      </c>
      <c r="L1183" t="s">
        <v>252</v>
      </c>
      <c r="M1183" t="s">
        <v>253</v>
      </c>
      <c r="N1183" t="s">
        <v>35</v>
      </c>
      <c r="O1183" t="s">
        <v>26</v>
      </c>
      <c r="P1183" t="s">
        <v>27</v>
      </c>
      <c r="Q1183" t="s">
        <v>28</v>
      </c>
      <c r="R1183" t="s">
        <v>29</v>
      </c>
      <c r="S1183" t="s">
        <v>30</v>
      </c>
      <c r="T1183">
        <v>1033793185</v>
      </c>
      <c r="U1183" t="s">
        <v>3948</v>
      </c>
      <c r="V1183" t="s">
        <v>3937</v>
      </c>
      <c r="W1183" s="9">
        <f>IF(V1183="pregrado",31,
IF(V1183="posgrados",31,
IF(V1183="rEINTEGROS",7,
IF(V1183="BIT",90,
IF(V1183="OP GRADO - INGLÉS",17,"")))))</f>
        <v>31</v>
      </c>
      <c r="X1183" t="s">
        <v>4082</v>
      </c>
    </row>
    <row r="1184" spans="1:24" ht="15" x14ac:dyDescent="0.35">
      <c r="A1184" s="4">
        <v>46049.517997685187</v>
      </c>
      <c r="B1184">
        <v>20117515</v>
      </c>
      <c r="C1184" s="6" t="s">
        <v>19</v>
      </c>
      <c r="D1184">
        <v>167480</v>
      </c>
      <c r="E1184" t="s">
        <v>43</v>
      </c>
      <c r="F1184">
        <v>1026550705</v>
      </c>
      <c r="G1184" t="s">
        <v>2338</v>
      </c>
      <c r="H1184">
        <v>100242605</v>
      </c>
      <c r="I1184">
        <v>202641</v>
      </c>
      <c r="J1184">
        <v>1026550705</v>
      </c>
      <c r="K1184" t="s">
        <v>23</v>
      </c>
      <c r="L1184" t="s">
        <v>94</v>
      </c>
      <c r="M1184" t="s">
        <v>47</v>
      </c>
      <c r="N1184" t="s">
        <v>35</v>
      </c>
      <c r="O1184" t="s">
        <v>26</v>
      </c>
      <c r="P1184" t="s">
        <v>27</v>
      </c>
      <c r="Q1184" t="s">
        <v>28</v>
      </c>
      <c r="R1184" t="s">
        <v>29</v>
      </c>
      <c r="S1184" t="s">
        <v>30</v>
      </c>
      <c r="T1184">
        <v>1000120140</v>
      </c>
      <c r="U1184" t="s">
        <v>3936</v>
      </c>
      <c r="V1184" t="s">
        <v>3937</v>
      </c>
      <c r="W1184" s="9">
        <f>IF(V1184="pregrado",31,
IF(V1184="posgrados",31,
IF(V1184="rEINTEGROS",7,
IF(V1184="BIT",90,
IF(V1184="OP GRADO - INGLÉS",17,"")))))</f>
        <v>31</v>
      </c>
      <c r="X1184" t="s">
        <v>3935</v>
      </c>
    </row>
    <row r="1185" spans="1:24" ht="15" x14ac:dyDescent="0.35">
      <c r="A1185" s="4">
        <v>46043.6641087963</v>
      </c>
      <c r="B1185">
        <v>20115861</v>
      </c>
      <c r="C1185" s="6" t="s">
        <v>19</v>
      </c>
      <c r="D1185">
        <v>167482</v>
      </c>
      <c r="E1185" t="s">
        <v>43</v>
      </c>
      <c r="F1185">
        <v>1001943783</v>
      </c>
      <c r="G1185" t="s">
        <v>2109</v>
      </c>
      <c r="H1185">
        <v>100242606</v>
      </c>
      <c r="I1185">
        <v>202641</v>
      </c>
      <c r="J1185">
        <v>1001943783</v>
      </c>
      <c r="K1185" t="s">
        <v>23</v>
      </c>
      <c r="L1185" t="s">
        <v>342</v>
      </c>
      <c r="M1185" t="s">
        <v>47</v>
      </c>
      <c r="N1185" t="s">
        <v>35</v>
      </c>
      <c r="O1185" t="s">
        <v>26</v>
      </c>
      <c r="P1185" t="s">
        <v>27</v>
      </c>
      <c r="Q1185" t="s">
        <v>28</v>
      </c>
      <c r="R1185" t="s">
        <v>29</v>
      </c>
      <c r="S1185" t="s">
        <v>30</v>
      </c>
      <c r="T1185">
        <v>1014285873</v>
      </c>
      <c r="U1185" t="s">
        <v>3948</v>
      </c>
      <c r="V1185" t="s">
        <v>3937</v>
      </c>
      <c r="W1185" s="9">
        <f>IF(V1185="pregrado",31,
IF(V1185="posgrados",31,
IF(V1185="rEINTEGROS",7,
IF(V1185="BIT",90,
IF(V1185="OP GRADO - INGLÉS",17,"")))))</f>
        <v>31</v>
      </c>
      <c r="X1185" t="s">
        <v>3953</v>
      </c>
    </row>
    <row r="1186" spans="1:24" ht="15" x14ac:dyDescent="0.35">
      <c r="A1186" s="4">
        <v>46043.368807870371</v>
      </c>
      <c r="B1186">
        <v>20115598</v>
      </c>
      <c r="C1186" s="6" t="s">
        <v>19</v>
      </c>
      <c r="D1186">
        <v>167484</v>
      </c>
      <c r="E1186" t="s">
        <v>43</v>
      </c>
      <c r="F1186">
        <v>13718359</v>
      </c>
      <c r="G1186" t="s">
        <v>2060</v>
      </c>
      <c r="H1186">
        <v>100242613</v>
      </c>
      <c r="I1186">
        <v>202651</v>
      </c>
      <c r="J1186">
        <v>13718359</v>
      </c>
      <c r="K1186" t="s">
        <v>23</v>
      </c>
      <c r="L1186" t="s">
        <v>252</v>
      </c>
      <c r="M1186" t="s">
        <v>253</v>
      </c>
      <c r="N1186" t="s">
        <v>35</v>
      </c>
      <c r="O1186" t="s">
        <v>26</v>
      </c>
      <c r="P1186" t="s">
        <v>27</v>
      </c>
      <c r="Q1186" t="s">
        <v>28</v>
      </c>
      <c r="R1186" t="s">
        <v>29</v>
      </c>
      <c r="S1186" t="s">
        <v>30</v>
      </c>
      <c r="T1186">
        <v>52759865</v>
      </c>
      <c r="U1186" t="s">
        <v>3936</v>
      </c>
      <c r="V1186" t="s">
        <v>3937</v>
      </c>
      <c r="W1186" s="9">
        <f>IF(V1186="pregrado",31,
IF(V1186="posgrados",31,
IF(V1186="rEINTEGROS",7,
IF(V1186="BIT",90,
IF(V1186="OP GRADO - INGLÉS",17,"")))))</f>
        <v>31</v>
      </c>
      <c r="X1186" t="s">
        <v>4105</v>
      </c>
    </row>
    <row r="1187" spans="1:24" ht="15" x14ac:dyDescent="0.35">
      <c r="A1187" s="4">
        <v>46042.760787037034</v>
      </c>
      <c r="B1187">
        <v>20115516</v>
      </c>
      <c r="C1187" s="6" t="s">
        <v>19</v>
      </c>
      <c r="D1187">
        <v>167489</v>
      </c>
      <c r="E1187" t="s">
        <v>43</v>
      </c>
      <c r="F1187">
        <v>1061017969</v>
      </c>
      <c r="G1187" t="s">
        <v>2048</v>
      </c>
      <c r="H1187">
        <v>100242621</v>
      </c>
      <c r="I1187">
        <v>202641</v>
      </c>
      <c r="J1187">
        <v>1061017969</v>
      </c>
      <c r="K1187" t="s">
        <v>23</v>
      </c>
      <c r="L1187" t="s">
        <v>72</v>
      </c>
      <c r="M1187" t="s">
        <v>47</v>
      </c>
      <c r="N1187" t="s">
        <v>35</v>
      </c>
      <c r="O1187" t="s">
        <v>26</v>
      </c>
      <c r="P1187" t="s">
        <v>27</v>
      </c>
      <c r="Q1187" t="s">
        <v>28</v>
      </c>
      <c r="R1187" t="s">
        <v>29</v>
      </c>
      <c r="S1187" t="s">
        <v>30</v>
      </c>
      <c r="T1187">
        <v>1026262709</v>
      </c>
      <c r="U1187" t="s">
        <v>3936</v>
      </c>
      <c r="V1187" t="s">
        <v>3937</v>
      </c>
      <c r="W1187" s="9">
        <f>IF(V1187="pregrado",31,
IF(V1187="posgrados",31,
IF(V1187="rEINTEGROS",7,
IF(V1187="BIT",90,
IF(V1187="OP GRADO - INGLÉS",17,"")))))</f>
        <v>31</v>
      </c>
      <c r="X1187" t="s">
        <v>4037</v>
      </c>
    </row>
    <row r="1188" spans="1:24" ht="15" x14ac:dyDescent="0.35">
      <c r="A1188" s="4">
        <v>46042.766562500001</v>
      </c>
      <c r="B1188">
        <v>20115519</v>
      </c>
      <c r="C1188" s="6" t="s">
        <v>19</v>
      </c>
      <c r="D1188">
        <v>167490</v>
      </c>
      <c r="E1188" t="s">
        <v>43</v>
      </c>
      <c r="F1188">
        <v>1006514487</v>
      </c>
      <c r="G1188" t="s">
        <v>2049</v>
      </c>
      <c r="H1188">
        <v>100204150</v>
      </c>
      <c r="I1188">
        <v>202651</v>
      </c>
      <c r="J1188">
        <v>1006514487</v>
      </c>
      <c r="K1188" t="s">
        <v>23</v>
      </c>
      <c r="L1188" t="s">
        <v>252</v>
      </c>
      <c r="M1188" t="s">
        <v>253</v>
      </c>
      <c r="N1188" t="s">
        <v>35</v>
      </c>
      <c r="O1188" t="s">
        <v>26</v>
      </c>
      <c r="P1188" t="s">
        <v>27</v>
      </c>
      <c r="Q1188" t="s">
        <v>28</v>
      </c>
      <c r="R1188" t="s">
        <v>29</v>
      </c>
      <c r="S1188" t="s">
        <v>30</v>
      </c>
      <c r="T1188">
        <v>1012389748</v>
      </c>
      <c r="U1188" t="s">
        <v>3948</v>
      </c>
      <c r="V1188" t="s">
        <v>3937</v>
      </c>
      <c r="W1188" s="9">
        <f>IF(V1188="pregrado",31,
IF(V1188="posgrados",31,
IF(V1188="rEINTEGROS",7,
IF(V1188="BIT",90,
IF(V1188="OP GRADO - INGLÉS",17,"")))))</f>
        <v>31</v>
      </c>
      <c r="X1188" t="s">
        <v>4065</v>
      </c>
    </row>
    <row r="1189" spans="1:24" ht="15" x14ac:dyDescent="0.35">
      <c r="A1189" s="4">
        <v>46043.71130787037</v>
      </c>
      <c r="B1189">
        <v>20115894</v>
      </c>
      <c r="C1189" s="6" t="s">
        <v>19</v>
      </c>
      <c r="D1189">
        <v>167498</v>
      </c>
      <c r="E1189" t="s">
        <v>43</v>
      </c>
      <c r="F1189">
        <v>17528206</v>
      </c>
      <c r="G1189" t="s">
        <v>2116</v>
      </c>
      <c r="H1189">
        <v>100242642</v>
      </c>
      <c r="I1189">
        <v>202651</v>
      </c>
      <c r="J1189">
        <v>1120370445</v>
      </c>
      <c r="K1189" t="s">
        <v>23</v>
      </c>
      <c r="L1189" t="s">
        <v>252</v>
      </c>
      <c r="M1189" t="s">
        <v>253</v>
      </c>
      <c r="N1189" t="s">
        <v>35</v>
      </c>
      <c r="O1189" t="s">
        <v>26</v>
      </c>
      <c r="P1189" t="s">
        <v>27</v>
      </c>
      <c r="Q1189" t="s">
        <v>28</v>
      </c>
      <c r="R1189" t="s">
        <v>29</v>
      </c>
      <c r="S1189" t="s">
        <v>30</v>
      </c>
      <c r="T1189">
        <v>1012389748</v>
      </c>
      <c r="U1189" t="s">
        <v>3948</v>
      </c>
      <c r="V1189" t="s">
        <v>3937</v>
      </c>
      <c r="W1189" s="9">
        <f>IF(V1189="pregrado",31,
IF(V1189="posgrados",31,
IF(V1189="rEINTEGROS",7,
IF(V1189="BIT",90,
IF(V1189="OP GRADO - INGLÉS",17,"")))))</f>
        <v>31</v>
      </c>
      <c r="X1189" t="s">
        <v>4065</v>
      </c>
    </row>
    <row r="1190" spans="1:24" ht="15" x14ac:dyDescent="0.35">
      <c r="A1190" s="4">
        <v>46044.696226851855</v>
      </c>
      <c r="B1190">
        <v>20116297</v>
      </c>
      <c r="C1190" s="6" t="s">
        <v>19</v>
      </c>
      <c r="D1190">
        <v>167503</v>
      </c>
      <c r="E1190" t="s">
        <v>43</v>
      </c>
      <c r="F1190">
        <v>1108761165</v>
      </c>
      <c r="G1190" t="s">
        <v>2194</v>
      </c>
      <c r="H1190">
        <v>100242652</v>
      </c>
      <c r="I1190">
        <v>202651</v>
      </c>
      <c r="J1190">
        <v>1108761165</v>
      </c>
      <c r="K1190" t="s">
        <v>23</v>
      </c>
      <c r="L1190" t="s">
        <v>252</v>
      </c>
      <c r="M1190" t="s">
        <v>253</v>
      </c>
      <c r="N1190" t="s">
        <v>35</v>
      </c>
      <c r="O1190" t="s">
        <v>26</v>
      </c>
      <c r="P1190" t="s">
        <v>27</v>
      </c>
      <c r="Q1190" t="s">
        <v>28</v>
      </c>
      <c r="R1190" t="s">
        <v>29</v>
      </c>
      <c r="S1190" t="s">
        <v>30</v>
      </c>
      <c r="T1190">
        <v>1140420282</v>
      </c>
      <c r="U1190" t="s">
        <v>3948</v>
      </c>
      <c r="V1190" t="s">
        <v>3937</v>
      </c>
      <c r="W1190" s="9">
        <f>IF(V1190="pregrado",31,
IF(V1190="posgrados",31,
IF(V1190="rEINTEGROS",7,
IF(V1190="BIT",90,
IF(V1190="OP GRADO - INGLÉS",17,"")))))</f>
        <v>31</v>
      </c>
      <c r="X1190" t="s">
        <v>3972</v>
      </c>
    </row>
    <row r="1191" spans="1:24" ht="15" x14ac:dyDescent="0.35">
      <c r="A1191" s="4">
        <v>46049.706875000003</v>
      </c>
      <c r="B1191">
        <v>20117712</v>
      </c>
      <c r="C1191" s="6" t="s">
        <v>19</v>
      </c>
      <c r="D1191">
        <v>167508</v>
      </c>
      <c r="E1191" t="s">
        <v>43</v>
      </c>
      <c r="F1191">
        <v>1007641125</v>
      </c>
      <c r="G1191" t="s">
        <v>2370</v>
      </c>
      <c r="H1191">
        <v>100242656</v>
      </c>
      <c r="I1191">
        <v>202651</v>
      </c>
      <c r="J1191">
        <v>1007641125</v>
      </c>
      <c r="K1191" t="s">
        <v>23</v>
      </c>
      <c r="L1191" t="s">
        <v>252</v>
      </c>
      <c r="M1191" t="s">
        <v>253</v>
      </c>
      <c r="N1191" t="s">
        <v>35</v>
      </c>
      <c r="O1191" t="s">
        <v>26</v>
      </c>
      <c r="P1191" t="s">
        <v>27</v>
      </c>
      <c r="Q1191" t="s">
        <v>28</v>
      </c>
      <c r="R1191" t="s">
        <v>29</v>
      </c>
      <c r="S1191" t="s">
        <v>30</v>
      </c>
      <c r="T1191">
        <v>1140420282</v>
      </c>
      <c r="U1191" t="s">
        <v>3948</v>
      </c>
      <c r="V1191" t="s">
        <v>3937</v>
      </c>
      <c r="W1191" s="9">
        <f>IF(V1191="pregrado",31,
IF(V1191="posgrados",31,
IF(V1191="rEINTEGROS",7,
IF(V1191="BIT",90,
IF(V1191="OP GRADO - INGLÉS",17,"")))))</f>
        <v>31</v>
      </c>
      <c r="X1191" t="s">
        <v>3972</v>
      </c>
    </row>
    <row r="1192" spans="1:24" ht="15" x14ac:dyDescent="0.35">
      <c r="A1192" s="4">
        <v>46042.709826388891</v>
      </c>
      <c r="B1192">
        <v>20115469</v>
      </c>
      <c r="C1192" s="6" t="s">
        <v>19</v>
      </c>
      <c r="D1192">
        <v>167525</v>
      </c>
      <c r="E1192" t="s">
        <v>43</v>
      </c>
      <c r="F1192">
        <v>11793211</v>
      </c>
      <c r="G1192" t="s">
        <v>2040</v>
      </c>
      <c r="H1192">
        <v>100242695</v>
      </c>
      <c r="I1192">
        <v>202651</v>
      </c>
      <c r="J1192">
        <v>11793211</v>
      </c>
      <c r="K1192" t="s">
        <v>23</v>
      </c>
      <c r="L1192" t="s">
        <v>252</v>
      </c>
      <c r="M1192" t="s">
        <v>253</v>
      </c>
      <c r="N1192" t="s">
        <v>35</v>
      </c>
      <c r="O1192" t="s">
        <v>26</v>
      </c>
      <c r="P1192" t="s">
        <v>27</v>
      </c>
      <c r="Q1192" t="s">
        <v>28</v>
      </c>
      <c r="R1192" t="s">
        <v>29</v>
      </c>
      <c r="S1192" t="s">
        <v>30</v>
      </c>
      <c r="T1192">
        <v>1032451737</v>
      </c>
      <c r="U1192" t="s">
        <v>3948</v>
      </c>
      <c r="V1192" t="s">
        <v>3937</v>
      </c>
      <c r="W1192" s="9">
        <f>IF(V1192="pregrado",31,
IF(V1192="posgrados",31,
IF(V1192="rEINTEGROS",7,
IF(V1192="BIT",90,
IF(V1192="OP GRADO - INGLÉS",17,"")))))</f>
        <v>31</v>
      </c>
      <c r="X1192" t="s">
        <v>4033</v>
      </c>
    </row>
    <row r="1193" spans="1:24" ht="15" x14ac:dyDescent="0.35">
      <c r="A1193" s="4">
        <v>46043.548356481479</v>
      </c>
      <c r="B1193">
        <v>20115761</v>
      </c>
      <c r="C1193" s="6" t="s">
        <v>19</v>
      </c>
      <c r="D1193">
        <v>167526</v>
      </c>
      <c r="E1193" t="s">
        <v>43</v>
      </c>
      <c r="F1193">
        <v>1042707654</v>
      </c>
      <c r="G1193" t="s">
        <v>2087</v>
      </c>
      <c r="H1193">
        <v>100039620</v>
      </c>
      <c r="I1193">
        <v>202651</v>
      </c>
      <c r="J1193">
        <v>1042707654</v>
      </c>
      <c r="K1193" t="s">
        <v>23</v>
      </c>
      <c r="L1193" t="s">
        <v>252</v>
      </c>
      <c r="M1193" t="s">
        <v>253</v>
      </c>
      <c r="N1193" t="s">
        <v>35</v>
      </c>
      <c r="O1193" t="s">
        <v>26</v>
      </c>
      <c r="P1193" t="s">
        <v>27</v>
      </c>
      <c r="Q1193" t="s">
        <v>28</v>
      </c>
      <c r="R1193" t="s">
        <v>29</v>
      </c>
      <c r="S1193" t="s">
        <v>30</v>
      </c>
      <c r="T1193">
        <v>1020754225</v>
      </c>
      <c r="U1193" t="s">
        <v>3948</v>
      </c>
      <c r="V1193" t="s">
        <v>3937</v>
      </c>
      <c r="W1193" s="9">
        <f>IF(V1193="pregrado",31,
IF(V1193="posgrados",31,
IF(V1193="rEINTEGROS",7,
IF(V1193="BIT",90,
IF(V1193="OP GRADO - INGLÉS",17,"")))))</f>
        <v>31</v>
      </c>
      <c r="X1193" t="s">
        <v>3981</v>
      </c>
    </row>
    <row r="1194" spans="1:24" ht="15" x14ac:dyDescent="0.35">
      <c r="A1194" s="4">
        <v>46052.702777777777</v>
      </c>
      <c r="B1194">
        <v>20119096</v>
      </c>
      <c r="C1194" s="6" t="s">
        <v>19</v>
      </c>
      <c r="D1194">
        <v>167531</v>
      </c>
      <c r="E1194" t="s">
        <v>43</v>
      </c>
      <c r="F1194">
        <v>1043014248</v>
      </c>
      <c r="G1194" t="s">
        <v>2588</v>
      </c>
      <c r="H1194">
        <v>100242700</v>
      </c>
      <c r="I1194">
        <v>202651</v>
      </c>
      <c r="J1194">
        <v>1043014248</v>
      </c>
      <c r="K1194" t="s">
        <v>23</v>
      </c>
      <c r="L1194" t="s">
        <v>252</v>
      </c>
      <c r="M1194" t="s">
        <v>253</v>
      </c>
      <c r="N1194" t="s">
        <v>35</v>
      </c>
      <c r="O1194" t="s">
        <v>26</v>
      </c>
      <c r="P1194" t="s">
        <v>27</v>
      </c>
      <c r="Q1194" t="s">
        <v>28</v>
      </c>
      <c r="R1194" t="s">
        <v>29</v>
      </c>
      <c r="S1194" t="s">
        <v>30</v>
      </c>
      <c r="T1194">
        <v>1032451737</v>
      </c>
      <c r="U1194" t="s">
        <v>3948</v>
      </c>
      <c r="V1194" t="s">
        <v>3937</v>
      </c>
      <c r="W1194" s="9">
        <f>IF(V1194="pregrado",31,
IF(V1194="posgrados",31,
IF(V1194="rEINTEGROS",7,
IF(V1194="BIT",90,
IF(V1194="OP GRADO - INGLÉS",17,"")))))</f>
        <v>31</v>
      </c>
      <c r="X1194" t="s">
        <v>4033</v>
      </c>
    </row>
    <row r="1195" spans="1:24" ht="15" x14ac:dyDescent="0.35">
      <c r="A1195" s="4">
        <v>46043.597245370373</v>
      </c>
      <c r="B1195">
        <v>20115793</v>
      </c>
      <c r="C1195" s="6" t="s">
        <v>19</v>
      </c>
      <c r="D1195">
        <v>167538</v>
      </c>
      <c r="E1195" t="s">
        <v>43</v>
      </c>
      <c r="F1195">
        <v>34674101</v>
      </c>
      <c r="G1195" t="s">
        <v>2095</v>
      </c>
      <c r="H1195">
        <v>100027112</v>
      </c>
      <c r="I1195">
        <v>202651</v>
      </c>
      <c r="J1195">
        <v>34674101</v>
      </c>
      <c r="K1195" t="s">
        <v>23</v>
      </c>
      <c r="L1195" t="s">
        <v>252</v>
      </c>
      <c r="M1195" t="s">
        <v>253</v>
      </c>
      <c r="N1195" t="s">
        <v>35</v>
      </c>
      <c r="O1195" t="s">
        <v>26</v>
      </c>
      <c r="P1195" t="s">
        <v>27</v>
      </c>
      <c r="Q1195" t="s">
        <v>28</v>
      </c>
      <c r="R1195" t="s">
        <v>29</v>
      </c>
      <c r="S1195" t="s">
        <v>30</v>
      </c>
      <c r="T1195">
        <v>1012355141</v>
      </c>
      <c r="U1195" t="s">
        <v>3936</v>
      </c>
      <c r="V1195" t="s">
        <v>3937</v>
      </c>
      <c r="W1195" s="9">
        <f>IF(V1195="pregrado",31,
IF(V1195="posgrados",31,
IF(V1195="rEINTEGROS",7,
IF(V1195="BIT",90,
IF(V1195="OP GRADO - INGLÉS",17,"")))))</f>
        <v>31</v>
      </c>
      <c r="X1195" t="s">
        <v>4045</v>
      </c>
    </row>
    <row r="1196" spans="1:24" ht="15" x14ac:dyDescent="0.35">
      <c r="A1196" s="4">
        <v>46044.587546296294</v>
      </c>
      <c r="B1196">
        <v>20116190</v>
      </c>
      <c r="C1196" s="6" t="s">
        <v>19</v>
      </c>
      <c r="D1196">
        <v>167543</v>
      </c>
      <c r="E1196" t="s">
        <v>43</v>
      </c>
      <c r="F1196">
        <v>1003404699</v>
      </c>
      <c r="G1196" t="s">
        <v>2172</v>
      </c>
      <c r="H1196">
        <v>100242727</v>
      </c>
      <c r="I1196">
        <v>202651</v>
      </c>
      <c r="J1196">
        <v>1003404699</v>
      </c>
      <c r="K1196" t="s">
        <v>23</v>
      </c>
      <c r="L1196" t="s">
        <v>252</v>
      </c>
      <c r="M1196" t="s">
        <v>253</v>
      </c>
      <c r="N1196" t="s">
        <v>35</v>
      </c>
      <c r="O1196" t="s">
        <v>26</v>
      </c>
      <c r="P1196" t="s">
        <v>27</v>
      </c>
      <c r="Q1196" t="s">
        <v>28</v>
      </c>
      <c r="R1196" t="s">
        <v>29</v>
      </c>
      <c r="S1196" t="s">
        <v>30</v>
      </c>
      <c r="T1196">
        <v>1140420282</v>
      </c>
      <c r="U1196" t="s">
        <v>3948</v>
      </c>
      <c r="V1196" t="s">
        <v>3937</v>
      </c>
      <c r="W1196" s="9">
        <f>IF(V1196="pregrado",31,
IF(V1196="posgrados",31,
IF(V1196="rEINTEGROS",7,
IF(V1196="BIT",90,
IF(V1196="OP GRADO - INGLÉS",17,"")))))</f>
        <v>31</v>
      </c>
      <c r="X1196" t="s">
        <v>3972</v>
      </c>
    </row>
    <row r="1197" spans="1:24" ht="15" x14ac:dyDescent="0.35">
      <c r="A1197" s="4">
        <v>46050.448622685188</v>
      </c>
      <c r="B1197">
        <v>20117893</v>
      </c>
      <c r="C1197" s="6" t="s">
        <v>19</v>
      </c>
      <c r="D1197">
        <v>167546</v>
      </c>
      <c r="E1197" t="s">
        <v>43</v>
      </c>
      <c r="F1197">
        <v>36677998</v>
      </c>
      <c r="G1197" t="s">
        <v>2397</v>
      </c>
      <c r="H1197">
        <v>100242731</v>
      </c>
      <c r="I1197">
        <v>202651</v>
      </c>
      <c r="J1197">
        <v>36677998</v>
      </c>
      <c r="K1197" t="s">
        <v>23</v>
      </c>
      <c r="L1197" t="s">
        <v>252</v>
      </c>
      <c r="M1197" t="s">
        <v>253</v>
      </c>
      <c r="N1197" t="s">
        <v>35</v>
      </c>
      <c r="O1197" t="s">
        <v>26</v>
      </c>
      <c r="P1197" t="s">
        <v>27</v>
      </c>
      <c r="Q1197" t="s">
        <v>28</v>
      </c>
      <c r="R1197" t="s">
        <v>29</v>
      </c>
      <c r="S1197" t="s">
        <v>30</v>
      </c>
      <c r="T1197">
        <v>1075542872</v>
      </c>
      <c r="U1197" t="s">
        <v>3948</v>
      </c>
      <c r="V1197" t="s">
        <v>3937</v>
      </c>
      <c r="W1197" s="9">
        <f>IF(V1197="pregrado",31,
IF(V1197="posgrados",31,
IF(V1197="rEINTEGROS",7,
IF(V1197="BIT",90,
IF(V1197="OP GRADO - INGLÉS",17,"")))))</f>
        <v>31</v>
      </c>
      <c r="X1197" t="s">
        <v>3974</v>
      </c>
    </row>
    <row r="1198" spans="1:24" ht="15" x14ac:dyDescent="0.35">
      <c r="A1198" s="4">
        <v>46043.644618055558</v>
      </c>
      <c r="B1198">
        <v>20115841</v>
      </c>
      <c r="C1198" s="6" t="s">
        <v>19</v>
      </c>
      <c r="D1198">
        <v>167558</v>
      </c>
      <c r="E1198" t="s">
        <v>43</v>
      </c>
      <c r="F1198">
        <v>1058352596</v>
      </c>
      <c r="G1198" t="s">
        <v>2101</v>
      </c>
      <c r="H1198">
        <v>100242747</v>
      </c>
      <c r="I1198">
        <v>202651</v>
      </c>
      <c r="J1198">
        <v>1057600489</v>
      </c>
      <c r="K1198" t="s">
        <v>23</v>
      </c>
      <c r="L1198" t="s">
        <v>252</v>
      </c>
      <c r="M1198" t="s">
        <v>253</v>
      </c>
      <c r="N1198" t="s">
        <v>35</v>
      </c>
      <c r="O1198" t="s">
        <v>26</v>
      </c>
      <c r="P1198" t="s">
        <v>27</v>
      </c>
      <c r="Q1198" t="s">
        <v>28</v>
      </c>
      <c r="R1198" t="s">
        <v>29</v>
      </c>
      <c r="S1198" t="s">
        <v>30</v>
      </c>
      <c r="T1198">
        <v>52759865</v>
      </c>
      <c r="U1198" t="s">
        <v>3936</v>
      </c>
      <c r="V1198" t="s">
        <v>3937</v>
      </c>
      <c r="W1198" s="9">
        <f>IF(V1198="pregrado",31,
IF(V1198="posgrados",31,
IF(V1198="rEINTEGROS",7,
IF(V1198="BIT",90,
IF(V1198="OP GRADO - INGLÉS",17,"")))))</f>
        <v>31</v>
      </c>
      <c r="X1198" t="s">
        <v>4105</v>
      </c>
    </row>
    <row r="1199" spans="1:24" ht="15" x14ac:dyDescent="0.35">
      <c r="A1199" s="4">
        <v>46043.417187500003</v>
      </c>
      <c r="B1199">
        <v>20115645</v>
      </c>
      <c r="C1199" s="6" t="s">
        <v>19</v>
      </c>
      <c r="D1199">
        <v>167560</v>
      </c>
      <c r="E1199" t="s">
        <v>43</v>
      </c>
      <c r="F1199">
        <v>1096244642</v>
      </c>
      <c r="G1199" t="s">
        <v>2070</v>
      </c>
      <c r="H1199">
        <v>100242753</v>
      </c>
      <c r="I1199">
        <v>202641</v>
      </c>
      <c r="J1199">
        <v>1096244642</v>
      </c>
      <c r="K1199" t="s">
        <v>23</v>
      </c>
      <c r="L1199" t="s">
        <v>59</v>
      </c>
      <c r="M1199" t="s">
        <v>47</v>
      </c>
      <c r="N1199" t="s">
        <v>25</v>
      </c>
      <c r="O1199" t="s">
        <v>26</v>
      </c>
      <c r="P1199" t="s">
        <v>27</v>
      </c>
      <c r="Q1199" t="s">
        <v>28</v>
      </c>
      <c r="R1199" t="s">
        <v>29</v>
      </c>
      <c r="S1199" t="s">
        <v>30</v>
      </c>
      <c r="T1199">
        <v>1070973852</v>
      </c>
      <c r="U1199" t="s">
        <v>3936</v>
      </c>
      <c r="V1199" t="s">
        <v>3937</v>
      </c>
      <c r="W1199" s="9">
        <f>IF(V1199="pregrado",31,
IF(V1199="posgrados",31,
IF(V1199="rEINTEGROS",7,
IF(V1199="BIT",90,
IF(V1199="OP GRADO - INGLÉS",17,"")))))</f>
        <v>31</v>
      </c>
      <c r="X1199" t="s">
        <v>3957</v>
      </c>
    </row>
    <row r="1200" spans="1:24" ht="15" x14ac:dyDescent="0.35">
      <c r="A1200" s="4">
        <v>46043.447326388887</v>
      </c>
      <c r="B1200">
        <v>20115673</v>
      </c>
      <c r="C1200" s="6" t="s">
        <v>19</v>
      </c>
      <c r="D1200">
        <v>167561</v>
      </c>
      <c r="E1200" t="s">
        <v>43</v>
      </c>
      <c r="F1200">
        <v>79207945</v>
      </c>
      <c r="G1200" t="s">
        <v>2074</v>
      </c>
      <c r="H1200">
        <v>100242754</v>
      </c>
      <c r="I1200">
        <v>202641</v>
      </c>
      <c r="J1200">
        <v>1233500580</v>
      </c>
      <c r="K1200" t="s">
        <v>23</v>
      </c>
      <c r="L1200" t="s">
        <v>59</v>
      </c>
      <c r="M1200" t="s">
        <v>47</v>
      </c>
      <c r="N1200" t="s">
        <v>35</v>
      </c>
      <c r="O1200" t="s">
        <v>26</v>
      </c>
      <c r="P1200" t="s">
        <v>27</v>
      </c>
      <c r="Q1200" t="s">
        <v>28</v>
      </c>
      <c r="R1200" t="s">
        <v>29</v>
      </c>
      <c r="S1200" t="s">
        <v>30</v>
      </c>
      <c r="T1200">
        <v>1032406382</v>
      </c>
      <c r="U1200" t="s">
        <v>3936</v>
      </c>
      <c r="V1200" t="s">
        <v>3937</v>
      </c>
      <c r="W1200" s="9">
        <f>IF(V1200="pregrado",31,
IF(V1200="posgrados",31,
IF(V1200="rEINTEGROS",7,
IF(V1200="BIT",90,
IF(V1200="OP GRADO - INGLÉS",17,"")))))</f>
        <v>31</v>
      </c>
      <c r="X1200" t="s">
        <v>3991</v>
      </c>
    </row>
    <row r="1201" spans="1:24" ht="15" x14ac:dyDescent="0.35">
      <c r="A1201" s="4">
        <v>46045.360173611109</v>
      </c>
      <c r="B1201">
        <v>20116412</v>
      </c>
      <c r="C1201" s="6" t="s">
        <v>19</v>
      </c>
      <c r="D1201">
        <v>167562</v>
      </c>
      <c r="E1201" t="s">
        <v>43</v>
      </c>
      <c r="F1201">
        <v>1001324191</v>
      </c>
      <c r="G1201" t="s">
        <v>2217</v>
      </c>
      <c r="H1201">
        <v>100057811</v>
      </c>
      <c r="I1201">
        <v>202641</v>
      </c>
      <c r="J1201">
        <v>1001324191</v>
      </c>
      <c r="K1201" t="s">
        <v>23</v>
      </c>
      <c r="L1201" t="s">
        <v>59</v>
      </c>
      <c r="M1201" t="s">
        <v>47</v>
      </c>
      <c r="N1201" t="s">
        <v>35</v>
      </c>
      <c r="O1201" t="s">
        <v>26</v>
      </c>
      <c r="P1201" t="s">
        <v>27</v>
      </c>
      <c r="Q1201" t="s">
        <v>28</v>
      </c>
      <c r="R1201" t="s">
        <v>29</v>
      </c>
      <c r="S1201" t="s">
        <v>30</v>
      </c>
      <c r="T1201">
        <v>52916205</v>
      </c>
      <c r="U1201" t="s">
        <v>3936</v>
      </c>
      <c r="V1201" t="s">
        <v>3937</v>
      </c>
      <c r="W1201" s="9">
        <f>IF(V1201="pregrado",31,
IF(V1201="posgrados",31,
IF(V1201="rEINTEGROS",7,
IF(V1201="BIT",90,
IF(V1201="OP GRADO - INGLÉS",17,"")))))</f>
        <v>31</v>
      </c>
      <c r="X1201" t="s">
        <v>4032</v>
      </c>
    </row>
    <row r="1202" spans="1:24" ht="15" x14ac:dyDescent="0.35">
      <c r="A1202" s="4">
        <v>46051.491168981483</v>
      </c>
      <c r="B1202">
        <v>20118444</v>
      </c>
      <c r="C1202" s="6" t="s">
        <v>19</v>
      </c>
      <c r="D1202">
        <v>167568</v>
      </c>
      <c r="E1202" t="s">
        <v>43</v>
      </c>
      <c r="F1202">
        <v>56079335</v>
      </c>
      <c r="G1202" t="s">
        <v>2479</v>
      </c>
      <c r="H1202">
        <v>100242763</v>
      </c>
      <c r="I1202">
        <v>202651</v>
      </c>
      <c r="J1202">
        <v>56079335</v>
      </c>
      <c r="K1202" t="s">
        <v>23</v>
      </c>
      <c r="L1202" t="s">
        <v>252</v>
      </c>
      <c r="M1202" t="s">
        <v>253</v>
      </c>
      <c r="N1202" t="s">
        <v>35</v>
      </c>
      <c r="O1202" t="s">
        <v>26</v>
      </c>
      <c r="P1202" t="s">
        <v>27</v>
      </c>
      <c r="Q1202" t="s">
        <v>28</v>
      </c>
      <c r="R1202" t="s">
        <v>29</v>
      </c>
      <c r="S1202" t="s">
        <v>30</v>
      </c>
      <c r="T1202">
        <v>1033793185</v>
      </c>
      <c r="U1202" t="s">
        <v>3948</v>
      </c>
      <c r="V1202" t="s">
        <v>3937</v>
      </c>
      <c r="W1202" s="9">
        <f>IF(V1202="pregrado",31,
IF(V1202="posgrados",31,
IF(V1202="rEINTEGROS",7,
IF(V1202="BIT",90,
IF(V1202="OP GRADO - INGLÉS",17,"")))))</f>
        <v>31</v>
      </c>
      <c r="X1202" t="s">
        <v>4082</v>
      </c>
    </row>
    <row r="1203" spans="1:24" ht="15" x14ac:dyDescent="0.35">
      <c r="A1203" s="4">
        <v>46044.410046296296</v>
      </c>
      <c r="B1203">
        <v>20116034</v>
      </c>
      <c r="C1203" s="6" t="s">
        <v>19</v>
      </c>
      <c r="D1203">
        <v>167570</v>
      </c>
      <c r="E1203" t="s">
        <v>43</v>
      </c>
      <c r="F1203">
        <v>1012405458</v>
      </c>
      <c r="G1203" t="s">
        <v>2141</v>
      </c>
      <c r="H1203">
        <v>100071874</v>
      </c>
      <c r="I1203">
        <v>202651</v>
      </c>
      <c r="J1203">
        <v>1012405458</v>
      </c>
      <c r="K1203" t="s">
        <v>23</v>
      </c>
      <c r="L1203" t="s">
        <v>252</v>
      </c>
      <c r="M1203" t="s">
        <v>253</v>
      </c>
      <c r="N1203" t="s">
        <v>35</v>
      </c>
      <c r="O1203" t="s">
        <v>26</v>
      </c>
      <c r="P1203" t="s">
        <v>27</v>
      </c>
      <c r="Q1203" t="s">
        <v>28</v>
      </c>
      <c r="R1203" t="s">
        <v>29</v>
      </c>
      <c r="S1203" t="s">
        <v>30</v>
      </c>
      <c r="T1203">
        <v>52032666</v>
      </c>
      <c r="U1203" t="s">
        <v>3948</v>
      </c>
      <c r="V1203" t="s">
        <v>3937</v>
      </c>
      <c r="W1203" s="9">
        <f>IF(V1203="pregrado",31,
IF(V1203="posgrados",31,
IF(V1203="rEINTEGROS",7,
IF(V1203="BIT",90,
IF(V1203="OP GRADO - INGLÉS",17,"")))))</f>
        <v>31</v>
      </c>
      <c r="X1203" t="s">
        <v>3983</v>
      </c>
    </row>
    <row r="1204" spans="1:24" ht="15" x14ac:dyDescent="0.35">
      <c r="A1204" s="4">
        <v>46044.666006944448</v>
      </c>
      <c r="B1204">
        <v>20116258</v>
      </c>
      <c r="C1204" s="6" t="s">
        <v>19</v>
      </c>
      <c r="D1204">
        <v>167572</v>
      </c>
      <c r="E1204" t="s">
        <v>43</v>
      </c>
      <c r="F1204">
        <v>55231528</v>
      </c>
      <c r="G1204" t="s">
        <v>2184</v>
      </c>
      <c r="H1204">
        <v>100242768</v>
      </c>
      <c r="I1204">
        <v>202641</v>
      </c>
      <c r="J1204">
        <v>55231528</v>
      </c>
      <c r="K1204" t="s">
        <v>23</v>
      </c>
      <c r="L1204" t="s">
        <v>99</v>
      </c>
      <c r="M1204" t="s">
        <v>47</v>
      </c>
      <c r="N1204" t="s">
        <v>35</v>
      </c>
      <c r="O1204" t="s">
        <v>26</v>
      </c>
      <c r="P1204" t="s">
        <v>27</v>
      </c>
      <c r="Q1204" t="s">
        <v>28</v>
      </c>
      <c r="R1204" t="s">
        <v>29</v>
      </c>
      <c r="S1204" t="s">
        <v>30</v>
      </c>
      <c r="T1204">
        <v>1026262709</v>
      </c>
      <c r="U1204" t="s">
        <v>3936</v>
      </c>
      <c r="V1204" t="s">
        <v>3937</v>
      </c>
      <c r="W1204" s="9">
        <f>IF(V1204="pregrado",31,
IF(V1204="posgrados",31,
IF(V1204="rEINTEGROS",7,
IF(V1204="BIT",90,
IF(V1204="OP GRADO - INGLÉS",17,"")))))</f>
        <v>31</v>
      </c>
      <c r="X1204" t="s">
        <v>4037</v>
      </c>
    </row>
    <row r="1205" spans="1:24" ht="15" x14ac:dyDescent="0.35">
      <c r="A1205" s="4">
        <v>46043.688576388886</v>
      </c>
      <c r="B1205">
        <v>20115878</v>
      </c>
      <c r="C1205" s="6" t="s">
        <v>19</v>
      </c>
      <c r="D1205">
        <v>167583</v>
      </c>
      <c r="E1205" t="s">
        <v>43</v>
      </c>
      <c r="F1205">
        <v>1081157880</v>
      </c>
      <c r="G1205" t="s">
        <v>2112</v>
      </c>
      <c r="H1205">
        <v>100242790</v>
      </c>
      <c r="I1205">
        <v>202641</v>
      </c>
      <c r="J1205">
        <v>1081157880</v>
      </c>
      <c r="K1205" t="s">
        <v>23</v>
      </c>
      <c r="L1205" t="s">
        <v>59</v>
      </c>
      <c r="M1205" t="s">
        <v>47</v>
      </c>
      <c r="N1205" t="s">
        <v>35</v>
      </c>
      <c r="O1205" t="s">
        <v>26</v>
      </c>
      <c r="P1205" t="s">
        <v>27</v>
      </c>
      <c r="Q1205" t="s">
        <v>28</v>
      </c>
      <c r="R1205" t="s">
        <v>29</v>
      </c>
      <c r="S1205" t="s">
        <v>30</v>
      </c>
      <c r="T1205">
        <v>1000120140</v>
      </c>
      <c r="U1205" t="s">
        <v>3936</v>
      </c>
      <c r="V1205" t="s">
        <v>3937</v>
      </c>
      <c r="W1205" s="9">
        <f>IF(V1205="pregrado",31,
IF(V1205="posgrados",31,
IF(V1205="rEINTEGROS",7,
IF(V1205="BIT",90,
IF(V1205="OP GRADO - INGLÉS",17,"")))))</f>
        <v>31</v>
      </c>
      <c r="X1205" t="s">
        <v>3935</v>
      </c>
    </row>
    <row r="1206" spans="1:24" ht="15" x14ac:dyDescent="0.35">
      <c r="A1206" s="4">
        <v>46043.391053240739</v>
      </c>
      <c r="B1206">
        <v>20115620</v>
      </c>
      <c r="C1206" s="6" t="s">
        <v>19</v>
      </c>
      <c r="D1206">
        <v>167586</v>
      </c>
      <c r="E1206" t="s">
        <v>43</v>
      </c>
      <c r="F1206">
        <v>1103105878</v>
      </c>
      <c r="G1206" t="s">
        <v>2066</v>
      </c>
      <c r="H1206">
        <v>100242793</v>
      </c>
      <c r="I1206">
        <v>202651</v>
      </c>
      <c r="J1206">
        <v>1103105878</v>
      </c>
      <c r="K1206" t="s">
        <v>23</v>
      </c>
      <c r="L1206" t="s">
        <v>252</v>
      </c>
      <c r="M1206" t="s">
        <v>253</v>
      </c>
      <c r="N1206" t="s">
        <v>35</v>
      </c>
      <c r="O1206" t="s">
        <v>26</v>
      </c>
      <c r="P1206" t="s">
        <v>27</v>
      </c>
      <c r="Q1206" t="s">
        <v>28</v>
      </c>
      <c r="R1206" t="s">
        <v>29</v>
      </c>
      <c r="S1206" t="s">
        <v>30</v>
      </c>
      <c r="T1206">
        <v>1033793185</v>
      </c>
      <c r="U1206" t="s">
        <v>3948</v>
      </c>
      <c r="V1206" t="s">
        <v>3937</v>
      </c>
      <c r="W1206" s="9">
        <f>IF(V1206="pregrado",31,
IF(V1206="posgrados",31,
IF(V1206="rEINTEGROS",7,
IF(V1206="BIT",90,
IF(V1206="OP GRADO - INGLÉS",17,"")))))</f>
        <v>31</v>
      </c>
      <c r="X1206" t="s">
        <v>4082</v>
      </c>
    </row>
    <row r="1207" spans="1:24" ht="15" x14ac:dyDescent="0.35">
      <c r="A1207" s="4">
        <v>46050.698368055557</v>
      </c>
      <c r="B1207">
        <v>20118157</v>
      </c>
      <c r="C1207" s="6" t="s">
        <v>19</v>
      </c>
      <c r="D1207">
        <v>167603</v>
      </c>
      <c r="E1207" t="s">
        <v>43</v>
      </c>
      <c r="F1207">
        <v>1038123322</v>
      </c>
      <c r="G1207" t="s">
        <v>2435</v>
      </c>
      <c r="H1207">
        <v>100229556</v>
      </c>
      <c r="I1207">
        <v>202651</v>
      </c>
      <c r="J1207">
        <v>1038123322</v>
      </c>
      <c r="K1207" t="s">
        <v>23</v>
      </c>
      <c r="L1207" t="s">
        <v>252</v>
      </c>
      <c r="M1207" t="s">
        <v>253</v>
      </c>
      <c r="N1207" t="s">
        <v>35</v>
      </c>
      <c r="O1207" t="s">
        <v>26</v>
      </c>
      <c r="P1207" t="s">
        <v>27</v>
      </c>
      <c r="Q1207" t="s">
        <v>28</v>
      </c>
      <c r="R1207" t="s">
        <v>29</v>
      </c>
      <c r="S1207" t="s">
        <v>30</v>
      </c>
      <c r="T1207">
        <v>1073673268</v>
      </c>
      <c r="U1207" t="s">
        <v>3948</v>
      </c>
      <c r="V1207" t="s">
        <v>3937</v>
      </c>
      <c r="W1207" s="9">
        <f>IF(V1207="pregrado",31,
IF(V1207="posgrados",31,
IF(V1207="rEINTEGROS",7,
IF(V1207="BIT",90,
IF(V1207="OP GRADO - INGLÉS",17,"")))))</f>
        <v>31</v>
      </c>
      <c r="X1207" t="s">
        <v>4080</v>
      </c>
    </row>
    <row r="1208" spans="1:24" ht="15" x14ac:dyDescent="0.35">
      <c r="A1208" s="4">
        <v>46044.487662037034</v>
      </c>
      <c r="B1208">
        <v>20116117</v>
      </c>
      <c r="C1208" s="6" t="s">
        <v>19</v>
      </c>
      <c r="D1208">
        <v>167605</v>
      </c>
      <c r="E1208" t="s">
        <v>43</v>
      </c>
      <c r="F1208">
        <v>1098722359</v>
      </c>
      <c r="G1208" t="s">
        <v>2158</v>
      </c>
      <c r="H1208">
        <v>100242825</v>
      </c>
      <c r="I1208">
        <v>202651</v>
      </c>
      <c r="J1208">
        <v>1098722359</v>
      </c>
      <c r="K1208" t="s">
        <v>23</v>
      </c>
      <c r="L1208" t="s">
        <v>252</v>
      </c>
      <c r="M1208" t="s">
        <v>253</v>
      </c>
      <c r="N1208" t="s">
        <v>35</v>
      </c>
      <c r="O1208" t="s">
        <v>26</v>
      </c>
      <c r="P1208" t="s">
        <v>27</v>
      </c>
      <c r="Q1208" t="s">
        <v>28</v>
      </c>
      <c r="R1208" t="s">
        <v>29</v>
      </c>
      <c r="S1208" t="s">
        <v>30</v>
      </c>
      <c r="T1208">
        <v>52759865</v>
      </c>
      <c r="U1208" t="s">
        <v>3936</v>
      </c>
      <c r="V1208" t="s">
        <v>3937</v>
      </c>
      <c r="W1208" s="9">
        <f>IF(V1208="pregrado",31,
IF(V1208="posgrados",31,
IF(V1208="rEINTEGROS",7,
IF(V1208="BIT",90,
IF(V1208="OP GRADO - INGLÉS",17,"")))))</f>
        <v>31</v>
      </c>
      <c r="X1208" t="s">
        <v>4105</v>
      </c>
    </row>
    <row r="1209" spans="1:24" ht="15" x14ac:dyDescent="0.35">
      <c r="A1209" s="4">
        <v>46043.51903935185</v>
      </c>
      <c r="B1209">
        <v>20115734</v>
      </c>
      <c r="C1209" s="6" t="s">
        <v>19</v>
      </c>
      <c r="D1209">
        <v>167608</v>
      </c>
      <c r="E1209" t="s">
        <v>43</v>
      </c>
      <c r="F1209">
        <v>1064992195</v>
      </c>
      <c r="G1209" t="s">
        <v>2083</v>
      </c>
      <c r="H1209">
        <v>100206887</v>
      </c>
      <c r="I1209">
        <v>202651</v>
      </c>
      <c r="J1209">
        <v>1064992195</v>
      </c>
      <c r="K1209" t="s">
        <v>23</v>
      </c>
      <c r="L1209" t="s">
        <v>252</v>
      </c>
      <c r="M1209" t="s">
        <v>253</v>
      </c>
      <c r="N1209" t="s">
        <v>35</v>
      </c>
      <c r="O1209" t="s">
        <v>26</v>
      </c>
      <c r="P1209" t="s">
        <v>27</v>
      </c>
      <c r="Q1209" t="s">
        <v>28</v>
      </c>
      <c r="R1209" t="s">
        <v>29</v>
      </c>
      <c r="S1209" t="s">
        <v>30</v>
      </c>
      <c r="T1209">
        <v>1020754225</v>
      </c>
      <c r="U1209" t="s">
        <v>3948</v>
      </c>
      <c r="V1209" t="s">
        <v>3937</v>
      </c>
      <c r="W1209" s="9">
        <f>IF(V1209="pregrado",31,
IF(V1209="posgrados",31,
IF(V1209="rEINTEGROS",7,
IF(V1209="BIT",90,
IF(V1209="OP GRADO - INGLÉS",17,"")))))</f>
        <v>31</v>
      </c>
      <c r="X1209" t="s">
        <v>3981</v>
      </c>
    </row>
    <row r="1210" spans="1:24" ht="15" x14ac:dyDescent="0.35">
      <c r="A1210" s="4">
        <v>46044.54184027778</v>
      </c>
      <c r="B1210">
        <v>20116160</v>
      </c>
      <c r="C1210" s="6" t="s">
        <v>19</v>
      </c>
      <c r="D1210">
        <v>167615</v>
      </c>
      <c r="E1210" t="s">
        <v>43</v>
      </c>
      <c r="F1210">
        <v>1003376434</v>
      </c>
      <c r="G1210" t="s">
        <v>2165</v>
      </c>
      <c r="H1210">
        <v>100242841</v>
      </c>
      <c r="I1210">
        <v>202641</v>
      </c>
      <c r="J1210">
        <v>1003376434</v>
      </c>
      <c r="K1210" t="s">
        <v>23</v>
      </c>
      <c r="L1210" t="s">
        <v>294</v>
      </c>
      <c r="M1210" t="s">
        <v>47</v>
      </c>
      <c r="N1210" t="s">
        <v>35</v>
      </c>
      <c r="O1210" t="s">
        <v>26</v>
      </c>
      <c r="P1210" t="s">
        <v>27</v>
      </c>
      <c r="Q1210" t="s">
        <v>28</v>
      </c>
      <c r="R1210" t="s">
        <v>29</v>
      </c>
      <c r="S1210" t="s">
        <v>30</v>
      </c>
      <c r="T1210">
        <v>1033793185</v>
      </c>
      <c r="U1210" t="s">
        <v>3948</v>
      </c>
      <c r="V1210" t="s">
        <v>3937</v>
      </c>
      <c r="W1210" s="9">
        <f>IF(V1210="pregrado",31,
IF(V1210="posgrados",31,
IF(V1210="rEINTEGROS",7,
IF(V1210="BIT",90,
IF(V1210="OP GRADO - INGLÉS",17,"")))))</f>
        <v>31</v>
      </c>
      <c r="X1210" t="s">
        <v>4082</v>
      </c>
    </row>
    <row r="1211" spans="1:24" ht="15" x14ac:dyDescent="0.35">
      <c r="A1211" s="4">
        <v>46043.572175925925</v>
      </c>
      <c r="B1211">
        <v>20115777</v>
      </c>
      <c r="C1211" s="6" t="s">
        <v>19</v>
      </c>
      <c r="D1211">
        <v>167624</v>
      </c>
      <c r="E1211" t="s">
        <v>43</v>
      </c>
      <c r="F1211">
        <v>1105692351</v>
      </c>
      <c r="G1211" t="s">
        <v>2090</v>
      </c>
      <c r="H1211">
        <v>100242861</v>
      </c>
      <c r="I1211">
        <v>202641</v>
      </c>
      <c r="J1211">
        <v>1105692351</v>
      </c>
      <c r="K1211" t="s">
        <v>23</v>
      </c>
      <c r="L1211" t="s">
        <v>72</v>
      </c>
      <c r="M1211" t="s">
        <v>47</v>
      </c>
      <c r="N1211" t="s">
        <v>35</v>
      </c>
      <c r="O1211" t="s">
        <v>26</v>
      </c>
      <c r="P1211" t="s">
        <v>27</v>
      </c>
      <c r="Q1211" t="s">
        <v>28</v>
      </c>
      <c r="R1211" t="s">
        <v>29</v>
      </c>
      <c r="S1211" t="s">
        <v>30</v>
      </c>
      <c r="T1211">
        <v>1233888787</v>
      </c>
      <c r="U1211" t="s">
        <v>3936</v>
      </c>
      <c r="V1211" t="s">
        <v>3937</v>
      </c>
      <c r="W1211" s="9">
        <f>IF(V1211="pregrado",31,
IF(V1211="posgrados",31,
IF(V1211="rEINTEGROS",7,
IF(V1211="BIT",90,
IF(V1211="OP GRADO - INGLÉS",17,"")))))</f>
        <v>31</v>
      </c>
      <c r="X1211" t="s">
        <v>3998</v>
      </c>
    </row>
    <row r="1212" spans="1:24" ht="15" x14ac:dyDescent="0.35">
      <c r="A1212" s="4">
        <v>46062.506736111114</v>
      </c>
      <c r="B1212">
        <v>20121619</v>
      </c>
      <c r="C1212" s="6" t="s">
        <v>19</v>
      </c>
      <c r="D1212">
        <v>167625</v>
      </c>
      <c r="E1212" t="s">
        <v>43</v>
      </c>
      <c r="F1212">
        <v>80142519</v>
      </c>
      <c r="G1212" t="s">
        <v>2920</v>
      </c>
      <c r="H1212">
        <v>100242862</v>
      </c>
      <c r="I1212">
        <v>202651</v>
      </c>
      <c r="J1212">
        <v>80142519</v>
      </c>
      <c r="K1212" t="s">
        <v>23</v>
      </c>
      <c r="L1212" t="s">
        <v>252</v>
      </c>
      <c r="M1212" t="s">
        <v>253</v>
      </c>
      <c r="N1212" t="s">
        <v>35</v>
      </c>
      <c r="O1212" t="s">
        <v>26</v>
      </c>
      <c r="P1212" t="s">
        <v>27</v>
      </c>
      <c r="Q1212" t="s">
        <v>28</v>
      </c>
      <c r="R1212" t="s">
        <v>29</v>
      </c>
      <c r="S1212" t="s">
        <v>30</v>
      </c>
      <c r="T1212">
        <v>1016030683</v>
      </c>
      <c r="U1212" t="s">
        <v>3936</v>
      </c>
      <c r="V1212" t="s">
        <v>3937</v>
      </c>
      <c r="W1212" s="9">
        <f>IF(V1212="pregrado",31,
IF(V1212="posgrados",31,
IF(V1212="rEINTEGROS",7,
IF(V1212="BIT",90,
IF(V1212="OP GRADO - INGLÉS",17,"")))))</f>
        <v>31</v>
      </c>
      <c r="X1212" t="s">
        <v>3992</v>
      </c>
    </row>
    <row r="1213" spans="1:24" ht="15" x14ac:dyDescent="0.35">
      <c r="A1213" s="4">
        <v>46048.429085648146</v>
      </c>
      <c r="B1213">
        <v>20117012</v>
      </c>
      <c r="C1213" s="6" t="s">
        <v>19</v>
      </c>
      <c r="D1213">
        <v>167631</v>
      </c>
      <c r="E1213" t="s">
        <v>43</v>
      </c>
      <c r="F1213">
        <v>79854382</v>
      </c>
      <c r="G1213" t="s">
        <v>2279</v>
      </c>
      <c r="H1213">
        <v>100242866</v>
      </c>
      <c r="I1213">
        <v>202641</v>
      </c>
      <c r="J1213">
        <v>79854382</v>
      </c>
      <c r="K1213" t="s">
        <v>23</v>
      </c>
      <c r="L1213" t="s">
        <v>294</v>
      </c>
      <c r="M1213" t="s">
        <v>47</v>
      </c>
      <c r="N1213" t="s">
        <v>35</v>
      </c>
      <c r="O1213" t="s">
        <v>26</v>
      </c>
      <c r="P1213" t="s">
        <v>27</v>
      </c>
      <c r="Q1213" t="s">
        <v>28</v>
      </c>
      <c r="R1213" t="s">
        <v>29</v>
      </c>
      <c r="S1213" t="s">
        <v>30</v>
      </c>
      <c r="T1213">
        <v>52032666</v>
      </c>
      <c r="U1213" t="s">
        <v>3948</v>
      </c>
      <c r="V1213" t="s">
        <v>3937</v>
      </c>
      <c r="W1213" s="9">
        <f>IF(V1213="pregrado",31,
IF(V1213="posgrados",31,
IF(V1213="rEINTEGROS",7,
IF(V1213="BIT",90,
IF(V1213="OP GRADO - INGLÉS",17,"")))))</f>
        <v>31</v>
      </c>
      <c r="X1213" t="s">
        <v>3983</v>
      </c>
    </row>
    <row r="1214" spans="1:24" ht="15" x14ac:dyDescent="0.35">
      <c r="A1214" s="4">
        <v>46044.725717592592</v>
      </c>
      <c r="B1214">
        <v>20116323</v>
      </c>
      <c r="C1214" s="6" t="s">
        <v>19</v>
      </c>
      <c r="D1214">
        <v>167643</v>
      </c>
      <c r="E1214" t="s">
        <v>43</v>
      </c>
      <c r="F1214">
        <v>9044877</v>
      </c>
      <c r="G1214" t="s">
        <v>2197</v>
      </c>
      <c r="H1214">
        <v>200085661</v>
      </c>
      <c r="I1214">
        <v>202641</v>
      </c>
      <c r="J1214">
        <v>9044877</v>
      </c>
      <c r="K1214" t="s">
        <v>23</v>
      </c>
      <c r="L1214" t="s">
        <v>736</v>
      </c>
      <c r="M1214" t="s">
        <v>47</v>
      </c>
      <c r="N1214" t="s">
        <v>35</v>
      </c>
      <c r="O1214" t="s">
        <v>26</v>
      </c>
      <c r="P1214" t="s">
        <v>27</v>
      </c>
      <c r="Q1214" t="s">
        <v>28</v>
      </c>
      <c r="R1214" t="s">
        <v>29</v>
      </c>
      <c r="S1214" t="s">
        <v>30</v>
      </c>
      <c r="T1214">
        <v>53116792</v>
      </c>
      <c r="U1214" t="s">
        <v>3936</v>
      </c>
      <c r="V1214" t="s">
        <v>3937</v>
      </c>
      <c r="W1214" s="9">
        <f>IF(V1214="pregrado",31,
IF(V1214="posgrados",31,
IF(V1214="rEINTEGROS",7,
IF(V1214="BIT",90,
IF(V1214="OP GRADO - INGLÉS",17,"")))))</f>
        <v>31</v>
      </c>
      <c r="X1214" t="s">
        <v>4008</v>
      </c>
    </row>
    <row r="1215" spans="1:24" ht="15" x14ac:dyDescent="0.35">
      <c r="A1215" s="4">
        <v>46044.591319444444</v>
      </c>
      <c r="B1215">
        <v>20116192</v>
      </c>
      <c r="C1215" s="6" t="s">
        <v>19</v>
      </c>
      <c r="D1215">
        <v>167653</v>
      </c>
      <c r="E1215" t="s">
        <v>43</v>
      </c>
      <c r="F1215">
        <v>27098297</v>
      </c>
      <c r="G1215" t="s">
        <v>2173</v>
      </c>
      <c r="H1215">
        <v>100242900</v>
      </c>
      <c r="I1215">
        <v>202641</v>
      </c>
      <c r="J1215">
        <v>1081595636</v>
      </c>
      <c r="K1215" t="s">
        <v>23</v>
      </c>
      <c r="L1215" t="s">
        <v>160</v>
      </c>
      <c r="M1215" t="s">
        <v>47</v>
      </c>
      <c r="N1215" t="s">
        <v>35</v>
      </c>
      <c r="O1215" t="s">
        <v>26</v>
      </c>
      <c r="P1215" t="s">
        <v>27</v>
      </c>
      <c r="Q1215" t="s">
        <v>28</v>
      </c>
      <c r="R1215" t="s">
        <v>29</v>
      </c>
      <c r="S1215" t="s">
        <v>30</v>
      </c>
      <c r="T1215">
        <v>1015401969</v>
      </c>
      <c r="U1215" t="s">
        <v>3936</v>
      </c>
      <c r="V1215" t="s">
        <v>3937</v>
      </c>
      <c r="W1215" s="9">
        <f>IF(V1215="pregrado",31,
IF(V1215="posgrados",31,
IF(V1215="rEINTEGROS",7,
IF(V1215="BIT",90,
IF(V1215="OP GRADO - INGLÉS",17,"")))))</f>
        <v>31</v>
      </c>
      <c r="X1215" t="s">
        <v>3945</v>
      </c>
    </row>
    <row r="1216" spans="1:24" ht="15" x14ac:dyDescent="0.35">
      <c r="A1216" s="4">
        <v>46044.406851851854</v>
      </c>
      <c r="B1216">
        <v>20116032</v>
      </c>
      <c r="C1216" s="6" t="s">
        <v>19</v>
      </c>
      <c r="D1216">
        <v>167657</v>
      </c>
      <c r="E1216" t="s">
        <v>43</v>
      </c>
      <c r="F1216">
        <v>1007759579</v>
      </c>
      <c r="G1216" t="s">
        <v>2140</v>
      </c>
      <c r="H1216">
        <v>100242908</v>
      </c>
      <c r="I1216">
        <v>202651</v>
      </c>
      <c r="J1216">
        <v>1007759579</v>
      </c>
      <c r="K1216" t="s">
        <v>23</v>
      </c>
      <c r="L1216" t="s">
        <v>252</v>
      </c>
      <c r="M1216" t="s">
        <v>253</v>
      </c>
      <c r="N1216" t="s">
        <v>35</v>
      </c>
      <c r="O1216" t="s">
        <v>26</v>
      </c>
      <c r="P1216" t="s">
        <v>27</v>
      </c>
      <c r="Q1216" t="s">
        <v>28</v>
      </c>
      <c r="R1216" t="s">
        <v>29</v>
      </c>
      <c r="S1216" t="s">
        <v>30</v>
      </c>
      <c r="T1216">
        <v>1020754225</v>
      </c>
      <c r="U1216" t="s">
        <v>3948</v>
      </c>
      <c r="V1216" t="s">
        <v>3937</v>
      </c>
      <c r="W1216" s="9">
        <f>IF(V1216="pregrado",31,
IF(V1216="posgrados",31,
IF(V1216="rEINTEGROS",7,
IF(V1216="BIT",90,
IF(V1216="OP GRADO - INGLÉS",17,"")))))</f>
        <v>31</v>
      </c>
      <c r="X1216" t="s">
        <v>3981</v>
      </c>
    </row>
    <row r="1217" spans="1:24" ht="15" x14ac:dyDescent="0.35">
      <c r="A1217" s="4">
        <v>46045.642314814817</v>
      </c>
      <c r="B1217">
        <v>20116670</v>
      </c>
      <c r="C1217" s="6" t="s">
        <v>19</v>
      </c>
      <c r="D1217">
        <v>167663</v>
      </c>
      <c r="E1217" t="s">
        <v>43</v>
      </c>
      <c r="F1217">
        <v>45489762</v>
      </c>
      <c r="G1217" t="s">
        <v>2244</v>
      </c>
      <c r="H1217">
        <v>100242923</v>
      </c>
      <c r="I1217">
        <v>202651</v>
      </c>
      <c r="J1217">
        <v>1143349869</v>
      </c>
      <c r="K1217" t="s">
        <v>23</v>
      </c>
      <c r="L1217" t="s">
        <v>252</v>
      </c>
      <c r="M1217" t="s">
        <v>253</v>
      </c>
      <c r="N1217" t="s">
        <v>35</v>
      </c>
      <c r="O1217" t="s">
        <v>26</v>
      </c>
      <c r="P1217" t="s">
        <v>27</v>
      </c>
      <c r="Q1217" t="s">
        <v>28</v>
      </c>
      <c r="R1217" t="s">
        <v>29</v>
      </c>
      <c r="S1217" t="s">
        <v>30</v>
      </c>
      <c r="T1217">
        <v>1193146767</v>
      </c>
      <c r="U1217" t="s">
        <v>3936</v>
      </c>
      <c r="V1217" t="s">
        <v>3937</v>
      </c>
      <c r="W1217" s="9">
        <f>IF(V1217="pregrado",31,
IF(V1217="posgrados",31,
IF(V1217="rEINTEGROS",7,
IF(V1217="BIT",90,
IF(V1217="OP GRADO - INGLÉS",17,"")))))</f>
        <v>31</v>
      </c>
      <c r="X1217" t="s">
        <v>4072</v>
      </c>
    </row>
    <row r="1218" spans="1:24" ht="15" x14ac:dyDescent="0.35">
      <c r="A1218" s="4">
        <v>46044.577719907407</v>
      </c>
      <c r="B1218">
        <v>20116185</v>
      </c>
      <c r="C1218" s="6" t="s">
        <v>19</v>
      </c>
      <c r="D1218">
        <v>167666</v>
      </c>
      <c r="E1218" t="s">
        <v>43</v>
      </c>
      <c r="F1218">
        <v>52900009</v>
      </c>
      <c r="G1218" t="s">
        <v>2170</v>
      </c>
      <c r="H1218">
        <v>100242928</v>
      </c>
      <c r="I1218">
        <v>202641</v>
      </c>
      <c r="J1218">
        <v>52900009</v>
      </c>
      <c r="K1218" t="s">
        <v>23</v>
      </c>
      <c r="L1218" t="s">
        <v>279</v>
      </c>
      <c r="M1218" t="s">
        <v>47</v>
      </c>
      <c r="N1218" t="s">
        <v>35</v>
      </c>
      <c r="O1218" t="s">
        <v>26</v>
      </c>
      <c r="P1218" t="s">
        <v>27</v>
      </c>
      <c r="Q1218" t="s">
        <v>28</v>
      </c>
      <c r="R1218" t="s">
        <v>29</v>
      </c>
      <c r="S1218" t="s">
        <v>30</v>
      </c>
      <c r="T1218">
        <v>1022407392</v>
      </c>
      <c r="U1218" t="s">
        <v>3936</v>
      </c>
      <c r="V1218" t="s">
        <v>3937</v>
      </c>
      <c r="W1218" s="9">
        <f>IF(V1218="pregrado",31,
IF(V1218="posgrados",31,
IF(V1218="rEINTEGROS",7,
IF(V1218="BIT",90,
IF(V1218="OP GRADO - INGLÉS",17,"")))))</f>
        <v>31</v>
      </c>
      <c r="X1218" t="s">
        <v>3975</v>
      </c>
    </row>
    <row r="1219" spans="1:24" ht="15" x14ac:dyDescent="0.35">
      <c r="A1219" s="4">
        <v>46045.531886574077</v>
      </c>
      <c r="B1219">
        <v>20116571</v>
      </c>
      <c r="C1219" s="6" t="s">
        <v>19</v>
      </c>
      <c r="D1219">
        <v>167671</v>
      </c>
      <c r="E1219" t="s">
        <v>43</v>
      </c>
      <c r="F1219">
        <v>50949904</v>
      </c>
      <c r="G1219" t="s">
        <v>2234</v>
      </c>
      <c r="H1219">
        <v>100109245</v>
      </c>
      <c r="I1219">
        <v>202651</v>
      </c>
      <c r="J1219">
        <v>50949904</v>
      </c>
      <c r="K1219" t="s">
        <v>23</v>
      </c>
      <c r="L1219" t="s">
        <v>252</v>
      </c>
      <c r="M1219" t="s">
        <v>253</v>
      </c>
      <c r="N1219" t="s">
        <v>35</v>
      </c>
      <c r="O1219" t="s">
        <v>26</v>
      </c>
      <c r="P1219" t="s">
        <v>27</v>
      </c>
      <c r="Q1219" t="s">
        <v>28</v>
      </c>
      <c r="R1219" t="s">
        <v>29</v>
      </c>
      <c r="S1219" t="s">
        <v>30</v>
      </c>
      <c r="T1219">
        <v>1033781417</v>
      </c>
      <c r="U1219" t="s">
        <v>3948</v>
      </c>
      <c r="V1219" t="s">
        <v>3937</v>
      </c>
      <c r="W1219" s="9">
        <f>IF(V1219="pregrado",31,
IF(V1219="posgrados",31,
IF(V1219="rEINTEGROS",7,
IF(V1219="BIT",90,
IF(V1219="OP GRADO - INGLÉS",17,"")))))</f>
        <v>31</v>
      </c>
      <c r="X1219" t="s">
        <v>4031</v>
      </c>
    </row>
    <row r="1220" spans="1:24" ht="15" x14ac:dyDescent="0.35">
      <c r="A1220" s="4">
        <v>46049.427916666667</v>
      </c>
      <c r="B1220">
        <v>20117455</v>
      </c>
      <c r="C1220" s="6" t="s">
        <v>19</v>
      </c>
      <c r="D1220">
        <v>167690</v>
      </c>
      <c r="E1220" t="s">
        <v>43</v>
      </c>
      <c r="F1220">
        <v>19501032</v>
      </c>
      <c r="G1220" t="s">
        <v>2332</v>
      </c>
      <c r="H1220">
        <v>100242959</v>
      </c>
      <c r="I1220">
        <v>202651</v>
      </c>
      <c r="J1220">
        <v>57420853</v>
      </c>
      <c r="K1220" t="s">
        <v>23</v>
      </c>
      <c r="L1220" t="s">
        <v>252</v>
      </c>
      <c r="M1220" t="s">
        <v>253</v>
      </c>
      <c r="N1220" t="s">
        <v>35</v>
      </c>
      <c r="O1220" t="s">
        <v>26</v>
      </c>
      <c r="P1220" t="s">
        <v>27</v>
      </c>
      <c r="Q1220" t="s">
        <v>28</v>
      </c>
      <c r="R1220" t="s">
        <v>29</v>
      </c>
      <c r="S1220" t="s">
        <v>30</v>
      </c>
      <c r="T1220">
        <v>1233888787</v>
      </c>
      <c r="U1220" t="s">
        <v>3936</v>
      </c>
      <c r="V1220" t="s">
        <v>3937</v>
      </c>
      <c r="W1220" s="9">
        <f>IF(V1220="pregrado",31,
IF(V1220="posgrados",31,
IF(V1220="rEINTEGROS",7,
IF(V1220="BIT",90,
IF(V1220="OP GRADO - INGLÉS",17,"")))))</f>
        <v>31</v>
      </c>
      <c r="X1220" t="s">
        <v>3998</v>
      </c>
    </row>
    <row r="1221" spans="1:24" ht="15" x14ac:dyDescent="0.35">
      <c r="A1221" s="4">
        <v>46073.400034722225</v>
      </c>
      <c r="B1221">
        <v>20125123</v>
      </c>
      <c r="C1221" s="6" t="s">
        <v>19</v>
      </c>
      <c r="D1221">
        <v>167697</v>
      </c>
      <c r="E1221" t="s">
        <v>43</v>
      </c>
      <c r="F1221">
        <v>1082976019</v>
      </c>
      <c r="G1221" t="s">
        <v>3456</v>
      </c>
      <c r="H1221">
        <v>100207170</v>
      </c>
      <c r="I1221">
        <v>202651</v>
      </c>
      <c r="J1221">
        <v>1082976019</v>
      </c>
      <c r="K1221" t="s">
        <v>46</v>
      </c>
      <c r="L1221" t="s">
        <v>252</v>
      </c>
      <c r="M1221" t="s">
        <v>253</v>
      </c>
      <c r="N1221" t="s">
        <v>35</v>
      </c>
      <c r="O1221" t="s">
        <v>26</v>
      </c>
      <c r="P1221" t="s">
        <v>27</v>
      </c>
      <c r="Q1221" t="s">
        <v>28</v>
      </c>
      <c r="R1221" t="s">
        <v>29</v>
      </c>
      <c r="S1221" t="s">
        <v>30</v>
      </c>
      <c r="T1221">
        <v>1032451737</v>
      </c>
      <c r="U1221" t="s">
        <v>3948</v>
      </c>
      <c r="V1221" t="s">
        <v>3937</v>
      </c>
      <c r="W1221" s="9">
        <f>IF(V1221="pregrado",31,
IF(V1221="posgrados",31,
IF(V1221="rEINTEGROS",7,
IF(V1221="BIT",90,
IF(V1221="OP GRADO - INGLÉS",17,"")))))</f>
        <v>31</v>
      </c>
      <c r="X1221" t="s">
        <v>4033</v>
      </c>
    </row>
    <row r="1222" spans="1:24" ht="15" x14ac:dyDescent="0.35">
      <c r="A1222" s="4">
        <v>46079.689398148148</v>
      </c>
      <c r="B1222">
        <v>20126634</v>
      </c>
      <c r="C1222" s="6" t="s">
        <v>19</v>
      </c>
      <c r="D1222">
        <v>167699</v>
      </c>
      <c r="E1222" t="s">
        <v>43</v>
      </c>
      <c r="F1222">
        <v>22585846</v>
      </c>
      <c r="G1222" t="s">
        <v>3686</v>
      </c>
      <c r="H1222">
        <v>100143332</v>
      </c>
      <c r="I1222">
        <v>202651</v>
      </c>
      <c r="J1222">
        <v>22585846</v>
      </c>
      <c r="K1222" t="s">
        <v>46</v>
      </c>
      <c r="L1222" t="s">
        <v>252</v>
      </c>
      <c r="M1222" t="s">
        <v>253</v>
      </c>
      <c r="N1222" t="s">
        <v>35</v>
      </c>
      <c r="O1222" t="s">
        <v>26</v>
      </c>
      <c r="P1222" t="s">
        <v>27</v>
      </c>
      <c r="Q1222" t="s">
        <v>28</v>
      </c>
      <c r="R1222" t="s">
        <v>29</v>
      </c>
      <c r="S1222" t="s">
        <v>30</v>
      </c>
      <c r="T1222">
        <v>1033781417</v>
      </c>
      <c r="U1222" t="s">
        <v>3948</v>
      </c>
      <c r="V1222" t="s">
        <v>3937</v>
      </c>
      <c r="W1222" s="9">
        <f>IF(V1222="pregrado",31,
IF(V1222="posgrados",31,
IF(V1222="rEINTEGROS",7,
IF(V1222="BIT",90,
IF(V1222="OP GRADO - INGLÉS",17,"")))))</f>
        <v>31</v>
      </c>
      <c r="X1222" t="s">
        <v>4031</v>
      </c>
    </row>
    <row r="1223" spans="1:24" ht="15" x14ac:dyDescent="0.35">
      <c r="A1223" s="4">
        <v>46044.469074074077</v>
      </c>
      <c r="B1223">
        <v>20116096</v>
      </c>
      <c r="C1223" s="6" t="s">
        <v>19</v>
      </c>
      <c r="D1223">
        <v>167702</v>
      </c>
      <c r="E1223" t="s">
        <v>43</v>
      </c>
      <c r="F1223">
        <v>35604468</v>
      </c>
      <c r="G1223" t="s">
        <v>2152</v>
      </c>
      <c r="H1223">
        <v>100027423</v>
      </c>
      <c r="I1223">
        <v>202651</v>
      </c>
      <c r="J1223">
        <v>35604468</v>
      </c>
      <c r="K1223" t="s">
        <v>23</v>
      </c>
      <c r="L1223" t="s">
        <v>252</v>
      </c>
      <c r="M1223" t="s">
        <v>253</v>
      </c>
      <c r="N1223" t="s">
        <v>35</v>
      </c>
      <c r="O1223" t="s">
        <v>26</v>
      </c>
      <c r="P1223" t="s">
        <v>27</v>
      </c>
      <c r="Q1223" t="s">
        <v>28</v>
      </c>
      <c r="R1223" t="s">
        <v>29</v>
      </c>
      <c r="S1223" t="s">
        <v>30</v>
      </c>
      <c r="T1223">
        <v>1012355141</v>
      </c>
      <c r="U1223" t="s">
        <v>3936</v>
      </c>
      <c r="V1223" t="s">
        <v>3937</v>
      </c>
      <c r="W1223" s="9">
        <f>IF(V1223="pregrado",31,
IF(V1223="posgrados",31,
IF(V1223="rEINTEGROS",7,
IF(V1223="BIT",90,
IF(V1223="OP GRADO - INGLÉS",17,"")))))</f>
        <v>31</v>
      </c>
      <c r="X1223" t="s">
        <v>4045</v>
      </c>
    </row>
    <row r="1224" spans="1:24" ht="15" x14ac:dyDescent="0.35">
      <c r="A1224" s="4">
        <v>46044.399907407409</v>
      </c>
      <c r="B1224">
        <v>20116027</v>
      </c>
      <c r="C1224" s="6" t="s">
        <v>19</v>
      </c>
      <c r="D1224">
        <v>167704</v>
      </c>
      <c r="E1224" t="s">
        <v>43</v>
      </c>
      <c r="F1224">
        <v>16472358</v>
      </c>
      <c r="G1224" t="s">
        <v>2139</v>
      </c>
      <c r="H1224">
        <v>100242980</v>
      </c>
      <c r="I1224">
        <v>202651</v>
      </c>
      <c r="J1224">
        <v>1107061804</v>
      </c>
      <c r="K1224" t="s">
        <v>23</v>
      </c>
      <c r="L1224" t="s">
        <v>252</v>
      </c>
      <c r="M1224" t="s">
        <v>253</v>
      </c>
      <c r="N1224" t="s">
        <v>35</v>
      </c>
      <c r="O1224" t="s">
        <v>26</v>
      </c>
      <c r="P1224" t="s">
        <v>27</v>
      </c>
      <c r="Q1224" t="s">
        <v>28</v>
      </c>
      <c r="R1224" t="s">
        <v>29</v>
      </c>
      <c r="S1224" t="s">
        <v>30</v>
      </c>
      <c r="T1224">
        <v>1033781417</v>
      </c>
      <c r="U1224" t="s">
        <v>3948</v>
      </c>
      <c r="V1224" t="s">
        <v>3937</v>
      </c>
      <c r="W1224" s="9">
        <f>IF(V1224="pregrado",31,
IF(V1224="posgrados",31,
IF(V1224="rEINTEGROS",7,
IF(V1224="BIT",90,
IF(V1224="OP GRADO - INGLÉS",17,"")))))</f>
        <v>31</v>
      </c>
      <c r="X1224" t="s">
        <v>4031</v>
      </c>
    </row>
    <row r="1225" spans="1:24" ht="15" x14ac:dyDescent="0.35">
      <c r="A1225" s="4">
        <v>46044.500833333332</v>
      </c>
      <c r="B1225">
        <v>20116131</v>
      </c>
      <c r="C1225" s="6" t="s">
        <v>19</v>
      </c>
      <c r="D1225">
        <v>167708</v>
      </c>
      <c r="E1225" t="s">
        <v>43</v>
      </c>
      <c r="F1225">
        <v>1061020731</v>
      </c>
      <c r="G1225" t="s">
        <v>2161</v>
      </c>
      <c r="H1225">
        <v>100242987</v>
      </c>
      <c r="I1225">
        <v>202641</v>
      </c>
      <c r="J1225">
        <v>1061020731</v>
      </c>
      <c r="K1225" t="s">
        <v>23</v>
      </c>
      <c r="L1225" t="s">
        <v>72</v>
      </c>
      <c r="M1225" t="s">
        <v>47</v>
      </c>
      <c r="N1225" t="s">
        <v>35</v>
      </c>
      <c r="O1225" t="s">
        <v>26</v>
      </c>
      <c r="P1225" t="s">
        <v>27</v>
      </c>
      <c r="Q1225" t="s">
        <v>28</v>
      </c>
      <c r="R1225" t="s">
        <v>29</v>
      </c>
      <c r="S1225" t="s">
        <v>30</v>
      </c>
      <c r="T1225">
        <v>1026262709</v>
      </c>
      <c r="U1225" t="s">
        <v>3936</v>
      </c>
      <c r="V1225" t="s">
        <v>3937</v>
      </c>
      <c r="W1225" s="9">
        <f>IF(V1225="pregrado",31,
IF(V1225="posgrados",31,
IF(V1225="rEINTEGROS",7,
IF(V1225="BIT",90,
IF(V1225="OP GRADO - INGLÉS",17,"")))))</f>
        <v>31</v>
      </c>
      <c r="X1225" t="s">
        <v>4037</v>
      </c>
    </row>
    <row r="1226" spans="1:24" ht="15" x14ac:dyDescent="0.35">
      <c r="A1226" s="4">
        <v>46044.642233796294</v>
      </c>
      <c r="B1226">
        <v>20116232</v>
      </c>
      <c r="C1226" s="6" t="s">
        <v>19</v>
      </c>
      <c r="D1226">
        <v>167712</v>
      </c>
      <c r="E1226" t="s">
        <v>43</v>
      </c>
      <c r="F1226">
        <v>1042061323</v>
      </c>
      <c r="G1226" t="s">
        <v>2180</v>
      </c>
      <c r="H1226">
        <v>100242998</v>
      </c>
      <c r="I1226">
        <v>202651</v>
      </c>
      <c r="J1226">
        <v>1042061323</v>
      </c>
      <c r="K1226" t="s">
        <v>23</v>
      </c>
      <c r="L1226" t="s">
        <v>252</v>
      </c>
      <c r="M1226" t="s">
        <v>253</v>
      </c>
      <c r="N1226" t="s">
        <v>35</v>
      </c>
      <c r="O1226" t="s">
        <v>26</v>
      </c>
      <c r="P1226" t="s">
        <v>27</v>
      </c>
      <c r="Q1226" t="s">
        <v>28</v>
      </c>
      <c r="R1226" t="s">
        <v>29</v>
      </c>
      <c r="S1226" t="s">
        <v>30</v>
      </c>
      <c r="T1226">
        <v>1032451737</v>
      </c>
      <c r="U1226" t="s">
        <v>3948</v>
      </c>
      <c r="V1226" t="s">
        <v>3937</v>
      </c>
      <c r="W1226" s="9">
        <f>IF(V1226="pregrado",31,
IF(V1226="posgrados",31,
IF(V1226="rEINTEGROS",7,
IF(V1226="BIT",90,
IF(V1226="OP GRADO - INGLÉS",17,"")))))</f>
        <v>31</v>
      </c>
      <c r="X1226" t="s">
        <v>4033</v>
      </c>
    </row>
    <row r="1227" spans="1:24" ht="15" x14ac:dyDescent="0.35">
      <c r="A1227" s="4">
        <v>46044.388645833336</v>
      </c>
      <c r="B1227">
        <v>20116018</v>
      </c>
      <c r="C1227" s="6" t="s">
        <v>19</v>
      </c>
      <c r="D1227">
        <v>167713</v>
      </c>
      <c r="E1227" t="s">
        <v>43</v>
      </c>
      <c r="F1227">
        <v>49791315</v>
      </c>
      <c r="G1227" t="s">
        <v>2136</v>
      </c>
      <c r="H1227">
        <v>100046025</v>
      </c>
      <c r="I1227">
        <v>202651</v>
      </c>
      <c r="J1227">
        <v>49791315</v>
      </c>
      <c r="K1227" t="s">
        <v>46</v>
      </c>
      <c r="L1227" t="s">
        <v>252</v>
      </c>
      <c r="M1227" t="s">
        <v>253</v>
      </c>
      <c r="N1227" t="s">
        <v>35</v>
      </c>
      <c r="O1227" t="s">
        <v>26</v>
      </c>
      <c r="P1227" t="s">
        <v>27</v>
      </c>
      <c r="Q1227" t="s">
        <v>28</v>
      </c>
      <c r="R1227" t="s">
        <v>29</v>
      </c>
      <c r="S1227" t="s">
        <v>30</v>
      </c>
      <c r="T1227">
        <v>1140420282</v>
      </c>
      <c r="U1227" t="s">
        <v>3948</v>
      </c>
      <c r="V1227" t="s">
        <v>3937</v>
      </c>
      <c r="W1227" s="9">
        <f>IF(V1227="pregrado",31,
IF(V1227="posgrados",31,
IF(V1227="rEINTEGROS",7,
IF(V1227="BIT",90,
IF(V1227="OP GRADO - INGLÉS",17,"")))))</f>
        <v>31</v>
      </c>
      <c r="X1227" t="s">
        <v>3972</v>
      </c>
    </row>
    <row r="1228" spans="1:24" ht="15" x14ac:dyDescent="0.35">
      <c r="A1228" s="4">
        <v>46044.633796296293</v>
      </c>
      <c r="B1228">
        <v>20116224</v>
      </c>
      <c r="C1228" s="6" t="s">
        <v>19</v>
      </c>
      <c r="D1228">
        <v>167716</v>
      </c>
      <c r="E1228" t="s">
        <v>43</v>
      </c>
      <c r="F1228">
        <v>1039702445</v>
      </c>
      <c r="G1228" t="s">
        <v>2178</v>
      </c>
      <c r="H1228">
        <v>100243005</v>
      </c>
      <c r="I1228">
        <v>202651</v>
      </c>
      <c r="J1228">
        <v>1039702445</v>
      </c>
      <c r="K1228" t="s">
        <v>23</v>
      </c>
      <c r="L1228" t="s">
        <v>252</v>
      </c>
      <c r="M1228" t="s">
        <v>253</v>
      </c>
      <c r="N1228" t="s">
        <v>35</v>
      </c>
      <c r="O1228" t="s">
        <v>26</v>
      </c>
      <c r="P1228" t="s">
        <v>27</v>
      </c>
      <c r="Q1228" t="s">
        <v>28</v>
      </c>
      <c r="R1228" t="s">
        <v>29</v>
      </c>
      <c r="S1228" t="s">
        <v>30</v>
      </c>
      <c r="T1228">
        <v>1032451737</v>
      </c>
      <c r="U1228" t="s">
        <v>3948</v>
      </c>
      <c r="V1228" t="s">
        <v>3937</v>
      </c>
      <c r="W1228" s="9">
        <f>IF(V1228="pregrado",31,
IF(V1228="posgrados",31,
IF(V1228="rEINTEGROS",7,
IF(V1228="BIT",90,
IF(V1228="OP GRADO - INGLÉS",17,"")))))</f>
        <v>31</v>
      </c>
      <c r="X1228" t="s">
        <v>4033</v>
      </c>
    </row>
    <row r="1229" spans="1:24" ht="15" x14ac:dyDescent="0.35">
      <c r="A1229" s="4">
        <v>46045.717048611114</v>
      </c>
      <c r="B1229">
        <v>20116724</v>
      </c>
      <c r="C1229" s="6" t="s">
        <v>19</v>
      </c>
      <c r="D1229">
        <v>167723</v>
      </c>
      <c r="E1229" t="s">
        <v>43</v>
      </c>
      <c r="F1229">
        <v>1049617449</v>
      </c>
      <c r="G1229" t="s">
        <v>2250</v>
      </c>
      <c r="H1229">
        <v>100243024</v>
      </c>
      <c r="I1229">
        <v>202641</v>
      </c>
      <c r="J1229">
        <v>1049617449</v>
      </c>
      <c r="K1229" t="s">
        <v>23</v>
      </c>
      <c r="L1229" t="s">
        <v>294</v>
      </c>
      <c r="M1229" t="s">
        <v>47</v>
      </c>
      <c r="N1229" t="s">
        <v>35</v>
      </c>
      <c r="O1229" t="s">
        <v>26</v>
      </c>
      <c r="P1229" t="s">
        <v>27</v>
      </c>
      <c r="Q1229" t="s">
        <v>28</v>
      </c>
      <c r="R1229" t="s">
        <v>29</v>
      </c>
      <c r="S1229" t="s">
        <v>30</v>
      </c>
      <c r="T1229">
        <v>1140420282</v>
      </c>
      <c r="U1229" t="s">
        <v>3948</v>
      </c>
      <c r="V1229" t="s">
        <v>3937</v>
      </c>
      <c r="W1229" s="9">
        <f>IF(V1229="pregrado",31,
IF(V1229="posgrados",31,
IF(V1229="rEINTEGROS",7,
IF(V1229="BIT",90,
IF(V1229="OP GRADO - INGLÉS",17,"")))))</f>
        <v>31</v>
      </c>
      <c r="X1229" t="s">
        <v>3972</v>
      </c>
    </row>
    <row r="1230" spans="1:24" ht="15" x14ac:dyDescent="0.35">
      <c r="A1230" s="4">
        <v>46056.608460648145</v>
      </c>
      <c r="B1230">
        <v>20120130</v>
      </c>
      <c r="C1230" s="6" t="s">
        <v>19</v>
      </c>
      <c r="D1230">
        <v>167725</v>
      </c>
      <c r="E1230" t="s">
        <v>43</v>
      </c>
      <c r="F1230">
        <v>1044930143</v>
      </c>
      <c r="G1230" t="s">
        <v>2699</v>
      </c>
      <c r="H1230">
        <v>100243025</v>
      </c>
      <c r="I1230">
        <v>202651</v>
      </c>
      <c r="J1230">
        <v>1044931866</v>
      </c>
      <c r="K1230" t="s">
        <v>23</v>
      </c>
      <c r="L1230" t="s">
        <v>542</v>
      </c>
      <c r="M1230" t="s">
        <v>253</v>
      </c>
      <c r="N1230" t="s">
        <v>35</v>
      </c>
      <c r="O1230" t="s">
        <v>26</v>
      </c>
      <c r="P1230" t="s">
        <v>27</v>
      </c>
      <c r="Q1230" t="s">
        <v>28</v>
      </c>
      <c r="R1230" t="s">
        <v>29</v>
      </c>
      <c r="S1230" t="s">
        <v>30</v>
      </c>
      <c r="T1230">
        <v>52916205</v>
      </c>
      <c r="U1230" t="s">
        <v>3936</v>
      </c>
      <c r="V1230" t="s">
        <v>3937</v>
      </c>
      <c r="W1230" s="9">
        <f>IF(V1230="pregrado",31,
IF(V1230="posgrados",31,
IF(V1230="rEINTEGROS",7,
IF(V1230="BIT",90,
IF(V1230="OP GRADO - INGLÉS",17,"")))))</f>
        <v>31</v>
      </c>
      <c r="X1230" t="s">
        <v>4032</v>
      </c>
    </row>
    <row r="1231" spans="1:24" ht="15" x14ac:dyDescent="0.35">
      <c r="A1231" s="4">
        <v>46044.432025462964</v>
      </c>
      <c r="B1231">
        <v>20116049</v>
      </c>
      <c r="C1231" s="6" t="s">
        <v>19</v>
      </c>
      <c r="D1231">
        <v>167726</v>
      </c>
      <c r="E1231" t="s">
        <v>43</v>
      </c>
      <c r="F1231">
        <v>1102391974</v>
      </c>
      <c r="G1231" t="s">
        <v>2146</v>
      </c>
      <c r="H1231">
        <v>100243026</v>
      </c>
      <c r="I1231">
        <v>202651</v>
      </c>
      <c r="J1231">
        <v>1102391974</v>
      </c>
      <c r="K1231" t="s">
        <v>23</v>
      </c>
      <c r="L1231" t="s">
        <v>252</v>
      </c>
      <c r="M1231" t="s">
        <v>253</v>
      </c>
      <c r="N1231" t="s">
        <v>35</v>
      </c>
      <c r="O1231" t="s">
        <v>26</v>
      </c>
      <c r="P1231" t="s">
        <v>27</v>
      </c>
      <c r="Q1231" t="s">
        <v>28</v>
      </c>
      <c r="R1231" t="s">
        <v>29</v>
      </c>
      <c r="S1231" t="s">
        <v>30</v>
      </c>
      <c r="T1231">
        <v>1015401969</v>
      </c>
      <c r="U1231" t="s">
        <v>3936</v>
      </c>
      <c r="V1231" t="s">
        <v>3937</v>
      </c>
      <c r="W1231" s="9">
        <f>IF(V1231="pregrado",31,
IF(V1231="posgrados",31,
IF(V1231="rEINTEGROS",7,
IF(V1231="BIT",90,
IF(V1231="OP GRADO - INGLÉS",17,"")))))</f>
        <v>31</v>
      </c>
      <c r="X1231" t="s">
        <v>3945</v>
      </c>
    </row>
    <row r="1232" spans="1:24" ht="15" x14ac:dyDescent="0.35">
      <c r="A1232" s="4">
        <v>46046.671122685184</v>
      </c>
      <c r="B1232">
        <v>20116898</v>
      </c>
      <c r="C1232" s="6" t="s">
        <v>19</v>
      </c>
      <c r="D1232">
        <v>167736</v>
      </c>
      <c r="E1232" t="s">
        <v>43</v>
      </c>
      <c r="F1232">
        <v>1060207887</v>
      </c>
      <c r="G1232" t="s">
        <v>2264</v>
      </c>
      <c r="H1232">
        <v>100047997</v>
      </c>
      <c r="I1232">
        <v>202651</v>
      </c>
      <c r="J1232">
        <v>1060207887</v>
      </c>
      <c r="K1232" t="s">
        <v>23</v>
      </c>
      <c r="L1232" t="s">
        <v>252</v>
      </c>
      <c r="M1232" t="s">
        <v>253</v>
      </c>
      <c r="N1232" t="s">
        <v>35</v>
      </c>
      <c r="O1232" t="s">
        <v>26</v>
      </c>
      <c r="P1232" t="s">
        <v>27</v>
      </c>
      <c r="Q1232" t="s">
        <v>28</v>
      </c>
      <c r="R1232" t="s">
        <v>29</v>
      </c>
      <c r="S1232" t="s">
        <v>30</v>
      </c>
      <c r="T1232">
        <v>1012389748</v>
      </c>
      <c r="U1232" t="s">
        <v>3948</v>
      </c>
      <c r="V1232" t="s">
        <v>3937</v>
      </c>
      <c r="W1232" s="9">
        <f>IF(V1232="pregrado",31,
IF(V1232="posgrados",31,
IF(V1232="rEINTEGROS",7,
IF(V1232="BIT",90,
IF(V1232="OP GRADO - INGLÉS",17,"")))))</f>
        <v>31</v>
      </c>
      <c r="X1232" t="s">
        <v>4065</v>
      </c>
    </row>
    <row r="1233" spans="1:24" ht="15" x14ac:dyDescent="0.35">
      <c r="A1233" s="4">
        <v>46046.707291666666</v>
      </c>
      <c r="B1233">
        <v>20116903</v>
      </c>
      <c r="C1233" s="6" t="s">
        <v>19</v>
      </c>
      <c r="D1233">
        <v>167737</v>
      </c>
      <c r="E1233" t="s">
        <v>43</v>
      </c>
      <c r="F1233">
        <v>40082311</v>
      </c>
      <c r="G1233" t="s">
        <v>2266</v>
      </c>
      <c r="H1233">
        <v>100047831</v>
      </c>
      <c r="I1233">
        <v>202651</v>
      </c>
      <c r="J1233">
        <v>40082311</v>
      </c>
      <c r="K1233" t="s">
        <v>23</v>
      </c>
      <c r="L1233" t="s">
        <v>252</v>
      </c>
      <c r="M1233" t="s">
        <v>253</v>
      </c>
      <c r="N1233" t="s">
        <v>35</v>
      </c>
      <c r="O1233" t="s">
        <v>26</v>
      </c>
      <c r="P1233" t="s">
        <v>27</v>
      </c>
      <c r="Q1233" t="s">
        <v>28</v>
      </c>
      <c r="R1233" t="s">
        <v>29</v>
      </c>
      <c r="S1233" t="s">
        <v>30</v>
      </c>
      <c r="T1233">
        <v>1012389748</v>
      </c>
      <c r="U1233" t="s">
        <v>3948</v>
      </c>
      <c r="V1233" t="s">
        <v>3937</v>
      </c>
      <c r="W1233" s="9">
        <f>IF(V1233="pregrado",31,
IF(V1233="posgrados",31,
IF(V1233="rEINTEGROS",7,
IF(V1233="BIT",90,
IF(V1233="OP GRADO - INGLÉS",17,"")))))</f>
        <v>31</v>
      </c>
      <c r="X1233" t="s">
        <v>4065</v>
      </c>
    </row>
    <row r="1234" spans="1:24" ht="15" x14ac:dyDescent="0.35">
      <c r="A1234" s="4">
        <v>46044.653622685182</v>
      </c>
      <c r="B1234">
        <v>20116246</v>
      </c>
      <c r="C1234" s="6" t="s">
        <v>19</v>
      </c>
      <c r="D1234">
        <v>167746</v>
      </c>
      <c r="E1234" t="s">
        <v>43</v>
      </c>
      <c r="F1234">
        <v>43655133</v>
      </c>
      <c r="G1234" t="s">
        <v>2181</v>
      </c>
      <c r="H1234">
        <v>100243015</v>
      </c>
      <c r="I1234">
        <v>202651</v>
      </c>
      <c r="J1234">
        <v>43655133</v>
      </c>
      <c r="K1234" t="s">
        <v>23</v>
      </c>
      <c r="L1234" t="s">
        <v>252</v>
      </c>
      <c r="M1234" t="s">
        <v>253</v>
      </c>
      <c r="N1234" t="s">
        <v>35</v>
      </c>
      <c r="O1234" t="s">
        <v>26</v>
      </c>
      <c r="P1234" t="s">
        <v>27</v>
      </c>
      <c r="Q1234" t="s">
        <v>28</v>
      </c>
      <c r="R1234" t="s">
        <v>29</v>
      </c>
      <c r="S1234" t="s">
        <v>30</v>
      </c>
      <c r="T1234">
        <v>1032451737</v>
      </c>
      <c r="U1234" t="s">
        <v>3948</v>
      </c>
      <c r="V1234" t="s">
        <v>3937</v>
      </c>
      <c r="W1234" s="9">
        <f>IF(V1234="pregrado",31,
IF(V1234="posgrados",31,
IF(V1234="rEINTEGROS",7,
IF(V1234="BIT",90,
IF(V1234="OP GRADO - INGLÉS",17,"")))))</f>
        <v>31</v>
      </c>
      <c r="X1234" t="s">
        <v>4033</v>
      </c>
    </row>
    <row r="1235" spans="1:24" ht="15" x14ac:dyDescent="0.35">
      <c r="A1235" s="4">
        <v>46051.579004629632</v>
      </c>
      <c r="B1235">
        <v>20118496</v>
      </c>
      <c r="C1235" s="6" t="s">
        <v>19</v>
      </c>
      <c r="D1235">
        <v>167750</v>
      </c>
      <c r="E1235" t="s">
        <v>43</v>
      </c>
      <c r="F1235">
        <v>80228755</v>
      </c>
      <c r="G1235" t="s">
        <v>2487</v>
      </c>
      <c r="H1235">
        <v>100034759</v>
      </c>
      <c r="I1235">
        <v>202641</v>
      </c>
      <c r="J1235">
        <v>80228755</v>
      </c>
      <c r="K1235" t="s">
        <v>23</v>
      </c>
      <c r="L1235" t="s">
        <v>294</v>
      </c>
      <c r="M1235" t="s">
        <v>47</v>
      </c>
      <c r="N1235" t="s">
        <v>35</v>
      </c>
      <c r="O1235" t="s">
        <v>26</v>
      </c>
      <c r="P1235" t="s">
        <v>27</v>
      </c>
      <c r="Q1235" t="s">
        <v>28</v>
      </c>
      <c r="R1235" t="s">
        <v>29</v>
      </c>
      <c r="S1235" t="s">
        <v>30</v>
      </c>
      <c r="T1235">
        <v>1140420282</v>
      </c>
      <c r="U1235" t="s">
        <v>3948</v>
      </c>
      <c r="V1235" t="s">
        <v>3937</v>
      </c>
      <c r="W1235" s="9">
        <f>IF(V1235="pregrado",31,
IF(V1235="posgrados",31,
IF(V1235="rEINTEGROS",7,
IF(V1235="BIT",90,
IF(V1235="OP GRADO - INGLÉS",17,"")))))</f>
        <v>31</v>
      </c>
      <c r="X1235" t="s">
        <v>3972</v>
      </c>
    </row>
    <row r="1236" spans="1:24" ht="15" x14ac:dyDescent="0.35">
      <c r="A1236" s="4">
        <v>46050.869004629632</v>
      </c>
      <c r="B1236">
        <v>20118266</v>
      </c>
      <c r="C1236" s="6" t="s">
        <v>19</v>
      </c>
      <c r="D1236">
        <v>167753</v>
      </c>
      <c r="E1236" t="s">
        <v>43</v>
      </c>
      <c r="F1236">
        <v>1066746174</v>
      </c>
      <c r="G1236" t="s">
        <v>2446</v>
      </c>
      <c r="H1236">
        <v>100243058</v>
      </c>
      <c r="I1236">
        <v>202641</v>
      </c>
      <c r="J1236">
        <v>1066746174</v>
      </c>
      <c r="K1236" t="s">
        <v>23</v>
      </c>
      <c r="L1236" t="s">
        <v>59</v>
      </c>
      <c r="M1236" t="s">
        <v>47</v>
      </c>
      <c r="N1236" t="s">
        <v>35</v>
      </c>
      <c r="O1236" t="s">
        <v>26</v>
      </c>
      <c r="P1236" t="s">
        <v>27</v>
      </c>
      <c r="Q1236" t="s">
        <v>28</v>
      </c>
      <c r="R1236" t="s">
        <v>29</v>
      </c>
      <c r="S1236" t="s">
        <v>30</v>
      </c>
      <c r="T1236">
        <v>1032406382</v>
      </c>
      <c r="U1236" t="s">
        <v>3936</v>
      </c>
      <c r="V1236" t="s">
        <v>3937</v>
      </c>
      <c r="W1236" s="9">
        <f>IF(V1236="pregrado",31,
IF(V1236="posgrados",31,
IF(V1236="rEINTEGROS",7,
IF(V1236="BIT",90,
IF(V1236="OP GRADO - INGLÉS",17,"")))))</f>
        <v>31</v>
      </c>
      <c r="X1236" t="s">
        <v>3991</v>
      </c>
    </row>
    <row r="1237" spans="1:24" ht="15" x14ac:dyDescent="0.35">
      <c r="A1237" s="4">
        <v>46044.690983796296</v>
      </c>
      <c r="B1237">
        <v>20116292</v>
      </c>
      <c r="C1237" s="6" t="s">
        <v>19</v>
      </c>
      <c r="D1237">
        <v>167755</v>
      </c>
      <c r="E1237" t="s">
        <v>43</v>
      </c>
      <c r="F1237">
        <v>1101206461</v>
      </c>
      <c r="G1237" t="s">
        <v>2192</v>
      </c>
      <c r="H1237">
        <v>100243063</v>
      </c>
      <c r="I1237">
        <v>202651</v>
      </c>
      <c r="J1237">
        <v>1101206461</v>
      </c>
      <c r="K1237" t="s">
        <v>23</v>
      </c>
      <c r="L1237" t="s">
        <v>252</v>
      </c>
      <c r="M1237" t="s">
        <v>253</v>
      </c>
      <c r="N1237" t="s">
        <v>35</v>
      </c>
      <c r="O1237" t="s">
        <v>26</v>
      </c>
      <c r="P1237" t="s">
        <v>27</v>
      </c>
      <c r="Q1237" t="s">
        <v>28</v>
      </c>
      <c r="R1237" t="s">
        <v>29</v>
      </c>
      <c r="S1237" t="s">
        <v>30</v>
      </c>
      <c r="T1237">
        <v>1193146767</v>
      </c>
      <c r="U1237" t="s">
        <v>3936</v>
      </c>
      <c r="V1237" t="s">
        <v>3937</v>
      </c>
      <c r="W1237" s="9">
        <f>IF(V1237="pregrado",31,
IF(V1237="posgrados",31,
IF(V1237="rEINTEGROS",7,
IF(V1237="BIT",90,
IF(V1237="OP GRADO - INGLÉS",17,"")))))</f>
        <v>31</v>
      </c>
      <c r="X1237" t="s">
        <v>4072</v>
      </c>
    </row>
    <row r="1238" spans="1:24" ht="15" x14ac:dyDescent="0.35">
      <c r="A1238" s="4">
        <v>46044.728414351855</v>
      </c>
      <c r="B1238">
        <v>20116328</v>
      </c>
      <c r="C1238" s="6" t="s">
        <v>19</v>
      </c>
      <c r="D1238">
        <v>167757</v>
      </c>
      <c r="E1238" t="s">
        <v>43</v>
      </c>
      <c r="F1238">
        <v>1022976036</v>
      </c>
      <c r="G1238" t="s">
        <v>2198</v>
      </c>
      <c r="H1238">
        <v>100115496</v>
      </c>
      <c r="I1238">
        <v>202651</v>
      </c>
      <c r="J1238">
        <v>1022976036</v>
      </c>
      <c r="K1238" t="s">
        <v>46</v>
      </c>
      <c r="L1238" t="s">
        <v>252</v>
      </c>
      <c r="M1238" t="s">
        <v>253</v>
      </c>
      <c r="N1238" t="s">
        <v>35</v>
      </c>
      <c r="O1238" t="s">
        <v>26</v>
      </c>
      <c r="P1238" t="s">
        <v>27</v>
      </c>
      <c r="Q1238" t="s">
        <v>28</v>
      </c>
      <c r="R1238" t="s">
        <v>29</v>
      </c>
      <c r="S1238" t="s">
        <v>30</v>
      </c>
      <c r="T1238">
        <v>1193146767</v>
      </c>
      <c r="U1238" t="s">
        <v>3936</v>
      </c>
      <c r="V1238" t="s">
        <v>3937</v>
      </c>
      <c r="W1238" s="9">
        <f>IF(V1238="pregrado",31,
IF(V1238="posgrados",31,
IF(V1238="rEINTEGROS",7,
IF(V1238="BIT",90,
IF(V1238="OP GRADO - INGLÉS",17,"")))))</f>
        <v>31</v>
      </c>
      <c r="X1238" t="s">
        <v>4072</v>
      </c>
    </row>
    <row r="1239" spans="1:24" ht="15" x14ac:dyDescent="0.35">
      <c r="A1239" s="4">
        <v>46044.581793981481</v>
      </c>
      <c r="B1239">
        <v>20116189</v>
      </c>
      <c r="C1239" s="6" t="s">
        <v>19</v>
      </c>
      <c r="D1239">
        <v>167768</v>
      </c>
      <c r="E1239" t="s">
        <v>43</v>
      </c>
      <c r="F1239">
        <v>37293451</v>
      </c>
      <c r="G1239" t="s">
        <v>2171</v>
      </c>
      <c r="H1239">
        <v>100243082</v>
      </c>
      <c r="I1239">
        <v>202641</v>
      </c>
      <c r="J1239">
        <v>37293451</v>
      </c>
      <c r="K1239" t="s">
        <v>23</v>
      </c>
      <c r="L1239" t="s">
        <v>279</v>
      </c>
      <c r="M1239" t="s">
        <v>47</v>
      </c>
      <c r="N1239" t="s">
        <v>35</v>
      </c>
      <c r="O1239" t="s">
        <v>26</v>
      </c>
      <c r="P1239" t="s">
        <v>27</v>
      </c>
      <c r="Q1239" t="s">
        <v>28</v>
      </c>
      <c r="R1239" t="s">
        <v>29</v>
      </c>
      <c r="S1239" t="s">
        <v>30</v>
      </c>
      <c r="T1239">
        <v>1033781417</v>
      </c>
      <c r="U1239" t="s">
        <v>3948</v>
      </c>
      <c r="V1239" t="s">
        <v>3937</v>
      </c>
      <c r="W1239" s="9">
        <f>IF(V1239="pregrado",31,
IF(V1239="posgrados",31,
IF(V1239="rEINTEGROS",7,
IF(V1239="BIT",90,
IF(V1239="OP GRADO - INGLÉS",17,"")))))</f>
        <v>31</v>
      </c>
      <c r="X1239" t="s">
        <v>4031</v>
      </c>
    </row>
    <row r="1240" spans="1:24" ht="15" x14ac:dyDescent="0.35">
      <c r="A1240" s="4">
        <v>46045.65111111111</v>
      </c>
      <c r="B1240">
        <v>20116679</v>
      </c>
      <c r="C1240" s="6" t="s">
        <v>19</v>
      </c>
      <c r="D1240">
        <v>167770</v>
      </c>
      <c r="E1240" t="s">
        <v>43</v>
      </c>
      <c r="F1240">
        <v>15362834</v>
      </c>
      <c r="G1240" t="s">
        <v>2245</v>
      </c>
      <c r="H1240">
        <v>100030692</v>
      </c>
      <c r="I1240">
        <v>202651</v>
      </c>
      <c r="J1240">
        <v>1039690790</v>
      </c>
      <c r="K1240" t="s">
        <v>23</v>
      </c>
      <c r="L1240" t="s">
        <v>252</v>
      </c>
      <c r="M1240" t="s">
        <v>253</v>
      </c>
      <c r="N1240" t="s">
        <v>35</v>
      </c>
      <c r="O1240" t="s">
        <v>26</v>
      </c>
      <c r="P1240" t="s">
        <v>27</v>
      </c>
      <c r="Q1240" t="s">
        <v>28</v>
      </c>
      <c r="R1240" t="s">
        <v>29</v>
      </c>
      <c r="S1240" t="s">
        <v>30</v>
      </c>
      <c r="T1240">
        <v>1032451737</v>
      </c>
      <c r="U1240" t="s">
        <v>3948</v>
      </c>
      <c r="V1240" t="s">
        <v>3937</v>
      </c>
      <c r="W1240" s="9">
        <f>IF(V1240="pregrado",31,
IF(V1240="posgrados",31,
IF(V1240="rEINTEGROS",7,
IF(V1240="BIT",90,
IF(V1240="OP GRADO - INGLÉS",17,"")))))</f>
        <v>31</v>
      </c>
      <c r="X1240" t="s">
        <v>4033</v>
      </c>
    </row>
    <row r="1241" spans="1:24" ht="15" x14ac:dyDescent="0.35">
      <c r="A1241" s="4">
        <v>46049.568553240744</v>
      </c>
      <c r="B1241">
        <v>20117564</v>
      </c>
      <c r="C1241" s="6" t="s">
        <v>19</v>
      </c>
      <c r="D1241">
        <v>167772</v>
      </c>
      <c r="E1241" t="s">
        <v>43</v>
      </c>
      <c r="F1241">
        <v>1082924431</v>
      </c>
      <c r="G1241" t="s">
        <v>2344</v>
      </c>
      <c r="H1241">
        <v>100243094</v>
      </c>
      <c r="I1241">
        <v>202651</v>
      </c>
      <c r="J1241">
        <v>1082990958</v>
      </c>
      <c r="K1241" t="s">
        <v>23</v>
      </c>
      <c r="L1241" t="s">
        <v>252</v>
      </c>
      <c r="M1241" t="s">
        <v>253</v>
      </c>
      <c r="N1241" t="s">
        <v>35</v>
      </c>
      <c r="O1241" t="s">
        <v>26</v>
      </c>
      <c r="P1241" t="s">
        <v>27</v>
      </c>
      <c r="Q1241" t="s">
        <v>28</v>
      </c>
      <c r="R1241" t="s">
        <v>29</v>
      </c>
      <c r="S1241" t="s">
        <v>30</v>
      </c>
      <c r="T1241">
        <v>1015401969</v>
      </c>
      <c r="U1241" t="s">
        <v>3936</v>
      </c>
      <c r="V1241" t="s">
        <v>3937</v>
      </c>
      <c r="W1241" s="9">
        <f>IF(V1241="pregrado",31,
IF(V1241="posgrados",31,
IF(V1241="rEINTEGROS",7,
IF(V1241="BIT",90,
IF(V1241="OP GRADO - INGLÉS",17,"")))))</f>
        <v>31</v>
      </c>
      <c r="X1241" t="s">
        <v>3945</v>
      </c>
    </row>
    <row r="1242" spans="1:24" ht="15" x14ac:dyDescent="0.35">
      <c r="A1242" s="4">
        <v>46052.472372685188</v>
      </c>
      <c r="B1242">
        <v>20118858</v>
      </c>
      <c r="C1242" s="6" t="s">
        <v>19</v>
      </c>
      <c r="D1242">
        <v>167774</v>
      </c>
      <c r="E1242" t="s">
        <v>43</v>
      </c>
      <c r="F1242">
        <v>1004472035</v>
      </c>
      <c r="G1242" t="s">
        <v>2547</v>
      </c>
      <c r="H1242">
        <v>100243097</v>
      </c>
      <c r="I1242">
        <v>202641</v>
      </c>
      <c r="J1242">
        <v>1085311243</v>
      </c>
      <c r="K1242" t="s">
        <v>23</v>
      </c>
      <c r="L1242" t="s">
        <v>294</v>
      </c>
      <c r="M1242" t="s">
        <v>47</v>
      </c>
      <c r="N1242" t="s">
        <v>35</v>
      </c>
      <c r="O1242" t="s">
        <v>26</v>
      </c>
      <c r="P1242" t="s">
        <v>27</v>
      </c>
      <c r="Q1242" t="s">
        <v>28</v>
      </c>
      <c r="R1242" t="s">
        <v>29</v>
      </c>
      <c r="S1242" t="s">
        <v>30</v>
      </c>
      <c r="T1242">
        <v>1022407392</v>
      </c>
      <c r="U1242" t="s">
        <v>3936</v>
      </c>
      <c r="V1242" t="s">
        <v>3937</v>
      </c>
      <c r="W1242" s="9">
        <f>IF(V1242="pregrado",31,
IF(V1242="posgrados",31,
IF(V1242="rEINTEGROS",7,
IF(V1242="BIT",90,
IF(V1242="OP GRADO - INGLÉS",17,"")))))</f>
        <v>31</v>
      </c>
      <c r="X1242" t="s">
        <v>3975</v>
      </c>
    </row>
    <row r="1243" spans="1:24" ht="15" x14ac:dyDescent="0.35">
      <c r="A1243" s="4">
        <v>46044.676412037035</v>
      </c>
      <c r="B1243">
        <v>20116271</v>
      </c>
      <c r="C1243" s="6" t="s">
        <v>19</v>
      </c>
      <c r="D1243">
        <v>167777</v>
      </c>
      <c r="E1243" t="s">
        <v>43</v>
      </c>
      <c r="F1243">
        <v>1144148342</v>
      </c>
      <c r="G1243" t="s">
        <v>2186</v>
      </c>
      <c r="H1243">
        <v>100243101</v>
      </c>
      <c r="I1243">
        <v>202641</v>
      </c>
      <c r="J1243">
        <v>1144148342</v>
      </c>
      <c r="K1243" t="s">
        <v>23</v>
      </c>
      <c r="L1243" t="s">
        <v>294</v>
      </c>
      <c r="M1243" t="s">
        <v>47</v>
      </c>
      <c r="N1243" t="s">
        <v>35</v>
      </c>
      <c r="O1243" t="s">
        <v>26</v>
      </c>
      <c r="P1243" t="s">
        <v>27</v>
      </c>
      <c r="Q1243" t="s">
        <v>28</v>
      </c>
      <c r="R1243" t="s">
        <v>29</v>
      </c>
      <c r="S1243" t="s">
        <v>30</v>
      </c>
      <c r="T1243">
        <v>1033784244</v>
      </c>
      <c r="U1243" t="s">
        <v>3948</v>
      </c>
      <c r="V1243" t="s">
        <v>3937</v>
      </c>
      <c r="W1243" s="9">
        <f>IF(V1243="pregrado",31,
IF(V1243="posgrados",31,
IF(V1243="rEINTEGROS",7,
IF(V1243="BIT",90,
IF(V1243="OP GRADO - INGLÉS",17,"")))))</f>
        <v>31</v>
      </c>
      <c r="X1243" t="s">
        <v>4067</v>
      </c>
    </row>
    <row r="1244" spans="1:24" ht="15" x14ac:dyDescent="0.35">
      <c r="A1244" s="4">
        <v>46044.915046296293</v>
      </c>
      <c r="B1244">
        <v>20116387</v>
      </c>
      <c r="C1244" s="6" t="s">
        <v>19</v>
      </c>
      <c r="D1244">
        <v>167786</v>
      </c>
      <c r="E1244" t="s">
        <v>43</v>
      </c>
      <c r="F1244">
        <v>23606960</v>
      </c>
      <c r="G1244" t="s">
        <v>2216</v>
      </c>
      <c r="H1244">
        <v>100243107</v>
      </c>
      <c r="I1244">
        <v>202641</v>
      </c>
      <c r="J1244">
        <v>1023012663</v>
      </c>
      <c r="K1244" t="s">
        <v>23</v>
      </c>
      <c r="L1244" t="s">
        <v>59</v>
      </c>
      <c r="M1244" t="s">
        <v>47</v>
      </c>
      <c r="N1244" t="s">
        <v>35</v>
      </c>
      <c r="O1244" t="s">
        <v>26</v>
      </c>
      <c r="P1244" t="s">
        <v>27</v>
      </c>
      <c r="Q1244" t="s">
        <v>28</v>
      </c>
      <c r="R1244" t="s">
        <v>29</v>
      </c>
      <c r="S1244" t="s">
        <v>30</v>
      </c>
      <c r="T1244">
        <v>52965969</v>
      </c>
      <c r="U1244" t="s">
        <v>3936</v>
      </c>
      <c r="V1244" t="s">
        <v>3937</v>
      </c>
      <c r="W1244" s="9">
        <f>IF(V1244="pregrado",31,
IF(V1244="posgrados",31,
IF(V1244="rEINTEGROS",7,
IF(V1244="BIT",90,
IF(V1244="OP GRADO - INGLÉS",17,"")))))</f>
        <v>31</v>
      </c>
      <c r="X1244" t="s">
        <v>3960</v>
      </c>
    </row>
    <row r="1245" spans="1:24" ht="15" x14ac:dyDescent="0.35">
      <c r="A1245" s="4">
        <v>46045.462951388887</v>
      </c>
      <c r="B1245">
        <v>20116502</v>
      </c>
      <c r="C1245" s="6" t="s">
        <v>19</v>
      </c>
      <c r="D1245">
        <v>167788</v>
      </c>
      <c r="E1245" t="s">
        <v>43</v>
      </c>
      <c r="F1245">
        <v>40880677</v>
      </c>
      <c r="G1245" t="s">
        <v>2226</v>
      </c>
      <c r="H1245">
        <v>100243109</v>
      </c>
      <c r="I1245">
        <v>202641</v>
      </c>
      <c r="J1245">
        <v>1006892417</v>
      </c>
      <c r="K1245" t="s">
        <v>23</v>
      </c>
      <c r="L1245" t="s">
        <v>342</v>
      </c>
      <c r="M1245" t="s">
        <v>47</v>
      </c>
      <c r="N1245" t="s">
        <v>35</v>
      </c>
      <c r="O1245" t="s">
        <v>26</v>
      </c>
      <c r="P1245" t="s">
        <v>27</v>
      </c>
      <c r="Q1245" t="s">
        <v>28</v>
      </c>
      <c r="R1245" t="s">
        <v>29</v>
      </c>
      <c r="S1245" t="s">
        <v>30</v>
      </c>
      <c r="T1245">
        <v>1075542872</v>
      </c>
      <c r="U1245" t="s">
        <v>3948</v>
      </c>
      <c r="V1245" t="s">
        <v>3937</v>
      </c>
      <c r="W1245" s="9">
        <f>IF(V1245="pregrado",31,
IF(V1245="posgrados",31,
IF(V1245="rEINTEGROS",7,
IF(V1245="BIT",90,
IF(V1245="OP GRADO - INGLÉS",17,"")))))</f>
        <v>31</v>
      </c>
      <c r="X1245" t="s">
        <v>3974</v>
      </c>
    </row>
    <row r="1246" spans="1:24" ht="15" x14ac:dyDescent="0.35">
      <c r="A1246" s="4">
        <v>46055.779849537037</v>
      </c>
      <c r="B1246">
        <v>20119867</v>
      </c>
      <c r="C1246" s="6" t="s">
        <v>19</v>
      </c>
      <c r="D1246">
        <v>167795</v>
      </c>
      <c r="E1246" t="s">
        <v>43</v>
      </c>
      <c r="F1246">
        <v>39285607</v>
      </c>
      <c r="G1246" t="s">
        <v>2672</v>
      </c>
      <c r="H1246">
        <v>100243123</v>
      </c>
      <c r="I1246">
        <v>202651</v>
      </c>
      <c r="J1246">
        <v>39285607</v>
      </c>
      <c r="K1246" t="s">
        <v>23</v>
      </c>
      <c r="L1246" t="s">
        <v>252</v>
      </c>
      <c r="M1246" t="s">
        <v>253</v>
      </c>
      <c r="N1246" t="s">
        <v>35</v>
      </c>
      <c r="O1246" t="s">
        <v>26</v>
      </c>
      <c r="P1246" t="s">
        <v>27</v>
      </c>
      <c r="Q1246" t="s">
        <v>28</v>
      </c>
      <c r="R1246" t="s">
        <v>29</v>
      </c>
      <c r="S1246" t="s">
        <v>30</v>
      </c>
      <c r="T1246">
        <v>1020754225</v>
      </c>
      <c r="U1246" t="s">
        <v>3948</v>
      </c>
      <c r="V1246" t="s">
        <v>3937</v>
      </c>
      <c r="W1246" s="9">
        <f>IF(V1246="pregrado",31,
IF(V1246="posgrados",31,
IF(V1246="rEINTEGROS",7,
IF(V1246="BIT",90,
IF(V1246="OP GRADO - INGLÉS",17,"")))))</f>
        <v>31</v>
      </c>
      <c r="X1246" t="s">
        <v>3981</v>
      </c>
    </row>
    <row r="1247" spans="1:24" ht="15" x14ac:dyDescent="0.35">
      <c r="A1247" s="4">
        <v>46044.694722222222</v>
      </c>
      <c r="B1247">
        <v>20116295</v>
      </c>
      <c r="C1247" s="6" t="s">
        <v>19</v>
      </c>
      <c r="D1247">
        <v>167797</v>
      </c>
      <c r="E1247" t="s">
        <v>43</v>
      </c>
      <c r="F1247">
        <v>1103117351</v>
      </c>
      <c r="G1247" t="s">
        <v>2193</v>
      </c>
      <c r="H1247">
        <v>100243127</v>
      </c>
      <c r="I1247">
        <v>202651</v>
      </c>
      <c r="J1247">
        <v>1103117351</v>
      </c>
      <c r="K1247" t="s">
        <v>23</v>
      </c>
      <c r="L1247" t="s">
        <v>252</v>
      </c>
      <c r="M1247" t="s">
        <v>253</v>
      </c>
      <c r="N1247" t="s">
        <v>35</v>
      </c>
      <c r="O1247" t="s">
        <v>26</v>
      </c>
      <c r="P1247" t="s">
        <v>27</v>
      </c>
      <c r="Q1247" t="s">
        <v>28</v>
      </c>
      <c r="R1247" t="s">
        <v>29</v>
      </c>
      <c r="S1247" t="s">
        <v>30</v>
      </c>
      <c r="T1247">
        <v>1073673268</v>
      </c>
      <c r="U1247" t="s">
        <v>3948</v>
      </c>
      <c r="V1247" t="s">
        <v>3937</v>
      </c>
      <c r="W1247" s="9">
        <f>IF(V1247="pregrado",31,
IF(V1247="posgrados",31,
IF(V1247="rEINTEGROS",7,
IF(V1247="BIT",90,
IF(V1247="OP GRADO - INGLÉS",17,"")))))</f>
        <v>31</v>
      </c>
      <c r="X1247" t="s">
        <v>4080</v>
      </c>
    </row>
    <row r="1248" spans="1:24" ht="15" x14ac:dyDescent="0.35">
      <c r="A1248" s="4">
        <v>46052.350370370368</v>
      </c>
      <c r="B1248">
        <v>20118751</v>
      </c>
      <c r="C1248" s="6" t="s">
        <v>19</v>
      </c>
      <c r="D1248">
        <v>167801</v>
      </c>
      <c r="E1248" t="s">
        <v>43</v>
      </c>
      <c r="F1248">
        <v>1012454102</v>
      </c>
      <c r="G1248" t="s">
        <v>2529</v>
      </c>
      <c r="H1248">
        <v>100243145</v>
      </c>
      <c r="I1248">
        <v>202641</v>
      </c>
      <c r="J1248">
        <v>1022415962</v>
      </c>
      <c r="K1248" t="s">
        <v>23</v>
      </c>
      <c r="L1248" t="s">
        <v>72</v>
      </c>
      <c r="M1248" t="s">
        <v>47</v>
      </c>
      <c r="N1248" t="s">
        <v>35</v>
      </c>
      <c r="O1248" t="s">
        <v>26</v>
      </c>
      <c r="P1248" t="s">
        <v>27</v>
      </c>
      <c r="Q1248" t="s">
        <v>28</v>
      </c>
      <c r="R1248" t="s">
        <v>29</v>
      </c>
      <c r="S1248" t="s">
        <v>30</v>
      </c>
      <c r="T1248">
        <v>1233888787</v>
      </c>
      <c r="U1248" t="s">
        <v>3936</v>
      </c>
      <c r="V1248" t="s">
        <v>3937</v>
      </c>
      <c r="W1248" s="9">
        <f>IF(V1248="pregrado",31,
IF(V1248="posgrados",31,
IF(V1248="rEINTEGROS",7,
IF(V1248="BIT",90,
IF(V1248="OP GRADO - INGLÉS",17,"")))))</f>
        <v>31</v>
      </c>
      <c r="X1248" t="s">
        <v>3998</v>
      </c>
    </row>
    <row r="1249" spans="1:24" ht="15" x14ac:dyDescent="0.35">
      <c r="A1249" s="4">
        <v>46044.731921296298</v>
      </c>
      <c r="B1249">
        <v>20116334</v>
      </c>
      <c r="C1249" s="6" t="s">
        <v>19</v>
      </c>
      <c r="D1249">
        <v>167805</v>
      </c>
      <c r="E1249" t="s">
        <v>43</v>
      </c>
      <c r="F1249">
        <v>80829854</v>
      </c>
      <c r="G1249" t="s">
        <v>2200</v>
      </c>
      <c r="H1249">
        <v>100243151</v>
      </c>
      <c r="I1249">
        <v>202651</v>
      </c>
      <c r="J1249">
        <v>1122136855</v>
      </c>
      <c r="K1249" t="s">
        <v>23</v>
      </c>
      <c r="L1249" t="s">
        <v>252</v>
      </c>
      <c r="M1249" t="s">
        <v>253</v>
      </c>
      <c r="N1249" t="s">
        <v>35</v>
      </c>
      <c r="O1249" t="s">
        <v>26</v>
      </c>
      <c r="P1249" t="s">
        <v>27</v>
      </c>
      <c r="Q1249" t="s">
        <v>28</v>
      </c>
      <c r="R1249" t="s">
        <v>29</v>
      </c>
      <c r="S1249" t="s">
        <v>30</v>
      </c>
      <c r="T1249">
        <v>1020754225</v>
      </c>
      <c r="U1249" t="s">
        <v>3948</v>
      </c>
      <c r="V1249" t="s">
        <v>3937</v>
      </c>
      <c r="W1249" s="9">
        <f>IF(V1249="pregrado",31,
IF(V1249="posgrados",31,
IF(V1249="rEINTEGROS",7,
IF(V1249="BIT",90,
IF(V1249="OP GRADO - INGLÉS",17,"")))))</f>
        <v>31</v>
      </c>
      <c r="X1249" t="s">
        <v>3981</v>
      </c>
    </row>
    <row r="1250" spans="1:24" ht="15" x14ac:dyDescent="0.35">
      <c r="A1250" s="4">
        <v>46045.365972222222</v>
      </c>
      <c r="B1250">
        <v>20116416</v>
      </c>
      <c r="C1250" s="6" t="s">
        <v>19</v>
      </c>
      <c r="D1250">
        <v>167807</v>
      </c>
      <c r="E1250" t="s">
        <v>43</v>
      </c>
      <c r="F1250">
        <v>26422973</v>
      </c>
      <c r="G1250" t="s">
        <v>2218</v>
      </c>
      <c r="H1250">
        <v>100081713</v>
      </c>
      <c r="I1250">
        <v>202651</v>
      </c>
      <c r="J1250">
        <v>1075262768</v>
      </c>
      <c r="K1250" t="s">
        <v>23</v>
      </c>
      <c r="L1250" t="s">
        <v>252</v>
      </c>
      <c r="M1250" t="s">
        <v>253</v>
      </c>
      <c r="N1250" t="s">
        <v>35</v>
      </c>
      <c r="O1250" t="s">
        <v>26</v>
      </c>
      <c r="P1250" t="s">
        <v>27</v>
      </c>
      <c r="Q1250" t="s">
        <v>28</v>
      </c>
      <c r="R1250" t="s">
        <v>29</v>
      </c>
      <c r="S1250" t="s">
        <v>30</v>
      </c>
      <c r="T1250">
        <v>1033781417</v>
      </c>
      <c r="U1250" t="s">
        <v>3948</v>
      </c>
      <c r="V1250" t="s">
        <v>3937</v>
      </c>
      <c r="W1250" s="9">
        <f>IF(V1250="pregrado",31,
IF(V1250="posgrados",31,
IF(V1250="rEINTEGROS",7,
IF(V1250="BIT",90,
IF(V1250="OP GRADO - INGLÉS",17,"")))))</f>
        <v>31</v>
      </c>
      <c r="X1250" t="s">
        <v>4031</v>
      </c>
    </row>
    <row r="1251" spans="1:24" ht="15" x14ac:dyDescent="0.35">
      <c r="A1251" s="4">
        <v>46051.663935185185</v>
      </c>
      <c r="B1251">
        <v>20118603</v>
      </c>
      <c r="C1251" s="6" t="s">
        <v>19</v>
      </c>
      <c r="D1251">
        <v>167811</v>
      </c>
      <c r="E1251" t="s">
        <v>43</v>
      </c>
      <c r="F1251">
        <v>76307817</v>
      </c>
      <c r="G1251" t="s">
        <v>2502</v>
      </c>
      <c r="H1251">
        <v>100090800</v>
      </c>
      <c r="I1251">
        <v>202641</v>
      </c>
      <c r="J1251">
        <v>1061796351</v>
      </c>
      <c r="K1251" t="s">
        <v>46</v>
      </c>
      <c r="L1251" t="s">
        <v>2410</v>
      </c>
      <c r="M1251" t="s">
        <v>47</v>
      </c>
      <c r="N1251" t="s">
        <v>35</v>
      </c>
      <c r="O1251" t="s">
        <v>26</v>
      </c>
      <c r="P1251" t="s">
        <v>27</v>
      </c>
      <c r="Q1251" t="s">
        <v>28</v>
      </c>
      <c r="R1251" t="s">
        <v>29</v>
      </c>
      <c r="S1251" t="s">
        <v>30</v>
      </c>
      <c r="T1251">
        <v>1031147887</v>
      </c>
      <c r="U1251" t="s">
        <v>3948</v>
      </c>
      <c r="V1251" t="s">
        <v>3937</v>
      </c>
      <c r="W1251" s="9">
        <f>IF(V1251="pregrado",31,
IF(V1251="posgrados",31,
IF(V1251="rEINTEGROS",7,
IF(V1251="BIT",90,
IF(V1251="OP GRADO - INGLÉS",17,"")))))</f>
        <v>31</v>
      </c>
      <c r="X1251" t="s">
        <v>3947</v>
      </c>
    </row>
    <row r="1252" spans="1:24" ht="15" x14ac:dyDescent="0.35">
      <c r="A1252" s="4">
        <v>46044.742418981485</v>
      </c>
      <c r="B1252">
        <v>20116343</v>
      </c>
      <c r="C1252" s="6" t="s">
        <v>19</v>
      </c>
      <c r="D1252">
        <v>167812</v>
      </c>
      <c r="E1252" t="s">
        <v>43</v>
      </c>
      <c r="F1252">
        <v>1193555752</v>
      </c>
      <c r="G1252" t="s">
        <v>2202</v>
      </c>
      <c r="H1252">
        <v>100243164</v>
      </c>
      <c r="I1252">
        <v>202651</v>
      </c>
      <c r="J1252">
        <v>1193555752</v>
      </c>
      <c r="K1252" t="s">
        <v>23</v>
      </c>
      <c r="L1252" t="s">
        <v>252</v>
      </c>
      <c r="M1252" t="s">
        <v>253</v>
      </c>
      <c r="N1252" t="s">
        <v>35</v>
      </c>
      <c r="O1252" t="s">
        <v>26</v>
      </c>
      <c r="P1252" t="s">
        <v>27</v>
      </c>
      <c r="Q1252" t="s">
        <v>28</v>
      </c>
      <c r="R1252" t="s">
        <v>29</v>
      </c>
      <c r="S1252" t="s">
        <v>30</v>
      </c>
      <c r="T1252">
        <v>1015401969</v>
      </c>
      <c r="U1252" t="s">
        <v>3936</v>
      </c>
      <c r="V1252" t="s">
        <v>3937</v>
      </c>
      <c r="W1252" s="9">
        <f>IF(V1252="pregrado",31,
IF(V1252="posgrados",31,
IF(V1252="rEINTEGROS",7,
IF(V1252="BIT",90,
IF(V1252="OP GRADO - INGLÉS",17,"")))))</f>
        <v>31</v>
      </c>
      <c r="X1252" t="s">
        <v>3945</v>
      </c>
    </row>
    <row r="1253" spans="1:24" ht="15" x14ac:dyDescent="0.35">
      <c r="A1253" s="4">
        <v>46044.680532407408</v>
      </c>
      <c r="B1253">
        <v>20116281</v>
      </c>
      <c r="C1253" s="6" t="s">
        <v>19</v>
      </c>
      <c r="D1253">
        <v>167813</v>
      </c>
      <c r="E1253" t="s">
        <v>43</v>
      </c>
      <c r="F1253">
        <v>1026274428</v>
      </c>
      <c r="G1253" t="s">
        <v>2187</v>
      </c>
      <c r="H1253">
        <v>100243152</v>
      </c>
      <c r="I1253">
        <v>202651</v>
      </c>
      <c r="J1253">
        <v>1026274428</v>
      </c>
      <c r="K1253" t="s">
        <v>23</v>
      </c>
      <c r="L1253" t="s">
        <v>252</v>
      </c>
      <c r="M1253" t="s">
        <v>253</v>
      </c>
      <c r="N1253" t="s">
        <v>35</v>
      </c>
      <c r="O1253" t="s">
        <v>26</v>
      </c>
      <c r="P1253" t="s">
        <v>27</v>
      </c>
      <c r="Q1253" t="s">
        <v>28</v>
      </c>
      <c r="R1253" t="s">
        <v>29</v>
      </c>
      <c r="S1253" t="s">
        <v>30</v>
      </c>
      <c r="T1253">
        <v>1033781417</v>
      </c>
      <c r="U1253" t="s">
        <v>3948</v>
      </c>
      <c r="V1253" t="s">
        <v>3937</v>
      </c>
      <c r="W1253" s="9">
        <f>IF(V1253="pregrado",31,
IF(V1253="posgrados",31,
IF(V1253="rEINTEGROS",7,
IF(V1253="BIT",90,
IF(V1253="OP GRADO - INGLÉS",17,"")))))</f>
        <v>31</v>
      </c>
      <c r="X1253" t="s">
        <v>4031</v>
      </c>
    </row>
    <row r="1254" spans="1:24" ht="15" x14ac:dyDescent="0.35">
      <c r="A1254" s="4">
        <v>46048.765844907408</v>
      </c>
      <c r="B1254">
        <v>20117347</v>
      </c>
      <c r="C1254" s="6" t="s">
        <v>19</v>
      </c>
      <c r="D1254">
        <v>167814</v>
      </c>
      <c r="E1254" t="s">
        <v>43</v>
      </c>
      <c r="F1254">
        <v>1078919199</v>
      </c>
      <c r="G1254" t="s">
        <v>2319</v>
      </c>
      <c r="H1254">
        <v>100162195</v>
      </c>
      <c r="I1254">
        <v>202651</v>
      </c>
      <c r="J1254">
        <v>1078919199</v>
      </c>
      <c r="K1254" t="s">
        <v>46</v>
      </c>
      <c r="L1254" t="s">
        <v>252</v>
      </c>
      <c r="M1254" t="s">
        <v>253</v>
      </c>
      <c r="N1254" t="s">
        <v>35</v>
      </c>
      <c r="O1254" t="s">
        <v>26</v>
      </c>
      <c r="P1254" t="s">
        <v>27</v>
      </c>
      <c r="Q1254" t="s">
        <v>28</v>
      </c>
      <c r="R1254" t="s">
        <v>29</v>
      </c>
      <c r="S1254" t="s">
        <v>30</v>
      </c>
      <c r="T1254">
        <v>51951991</v>
      </c>
      <c r="U1254" t="s">
        <v>3936</v>
      </c>
      <c r="V1254" t="s">
        <v>3937</v>
      </c>
      <c r="W1254" s="9">
        <f>IF(V1254="pregrado",31,
IF(V1254="posgrados",31,
IF(V1254="rEINTEGROS",7,
IF(V1254="BIT",90,
IF(V1254="OP GRADO - INGLÉS",17,"")))))</f>
        <v>31</v>
      </c>
      <c r="X1254" t="s">
        <v>4049</v>
      </c>
    </row>
    <row r="1255" spans="1:24" ht="15" x14ac:dyDescent="0.35">
      <c r="A1255" s="4">
        <v>46044.79928240741</v>
      </c>
      <c r="B1255">
        <v>20116368</v>
      </c>
      <c r="C1255" s="6" t="s">
        <v>19</v>
      </c>
      <c r="D1255">
        <v>167820</v>
      </c>
      <c r="E1255" t="s">
        <v>43</v>
      </c>
      <c r="F1255">
        <v>52783728</v>
      </c>
      <c r="G1255" t="s">
        <v>2212</v>
      </c>
      <c r="H1255">
        <v>100243177</v>
      </c>
      <c r="I1255">
        <v>202651</v>
      </c>
      <c r="J1255">
        <v>52783728</v>
      </c>
      <c r="K1255" t="s">
        <v>23</v>
      </c>
      <c r="L1255" t="s">
        <v>252</v>
      </c>
      <c r="M1255" t="s">
        <v>253</v>
      </c>
      <c r="N1255" t="s">
        <v>35</v>
      </c>
      <c r="O1255" t="s">
        <v>26</v>
      </c>
      <c r="P1255" t="s">
        <v>27</v>
      </c>
      <c r="Q1255" t="s">
        <v>28</v>
      </c>
      <c r="R1255" t="s">
        <v>29</v>
      </c>
      <c r="S1255" t="s">
        <v>30</v>
      </c>
      <c r="T1255">
        <v>1033784244</v>
      </c>
      <c r="U1255" t="s">
        <v>3948</v>
      </c>
      <c r="V1255" t="s">
        <v>3937</v>
      </c>
      <c r="W1255" s="9">
        <f>IF(V1255="pregrado",31,
IF(V1255="posgrados",31,
IF(V1255="rEINTEGROS",7,
IF(V1255="BIT",90,
IF(V1255="OP GRADO - INGLÉS",17,"")))))</f>
        <v>31</v>
      </c>
      <c r="X1255" t="s">
        <v>4067</v>
      </c>
    </row>
    <row r="1256" spans="1:24" ht="15" x14ac:dyDescent="0.35">
      <c r="A1256" s="4">
        <v>46055.598067129627</v>
      </c>
      <c r="B1256">
        <v>20119665</v>
      </c>
      <c r="C1256" s="6" t="s">
        <v>19</v>
      </c>
      <c r="D1256">
        <v>167822</v>
      </c>
      <c r="E1256" t="s">
        <v>43</v>
      </c>
      <c r="F1256">
        <v>1065835732</v>
      </c>
      <c r="G1256" t="s">
        <v>2655</v>
      </c>
      <c r="H1256">
        <v>100243179</v>
      </c>
      <c r="I1256">
        <v>202651</v>
      </c>
      <c r="J1256">
        <v>1065835732</v>
      </c>
      <c r="K1256" t="s">
        <v>23</v>
      </c>
      <c r="L1256" t="s">
        <v>252</v>
      </c>
      <c r="M1256" t="s">
        <v>253</v>
      </c>
      <c r="N1256" t="s">
        <v>35</v>
      </c>
      <c r="O1256" t="s">
        <v>26</v>
      </c>
      <c r="P1256" t="s">
        <v>27</v>
      </c>
      <c r="Q1256" t="s">
        <v>28</v>
      </c>
      <c r="R1256" t="s">
        <v>29</v>
      </c>
      <c r="S1256" t="s">
        <v>30</v>
      </c>
      <c r="T1256">
        <v>1033781417</v>
      </c>
      <c r="U1256" t="s">
        <v>3948</v>
      </c>
      <c r="V1256" t="s">
        <v>3937</v>
      </c>
      <c r="W1256" s="9">
        <f>IF(V1256="pregrado",31,
IF(V1256="posgrados",31,
IF(V1256="rEINTEGROS",7,
IF(V1256="BIT",90,
IF(V1256="OP GRADO - INGLÉS",17,"")))))</f>
        <v>31</v>
      </c>
      <c r="X1256" t="s">
        <v>4031</v>
      </c>
    </row>
    <row r="1257" spans="1:24" ht="15" x14ac:dyDescent="0.35">
      <c r="A1257" s="4">
        <v>46052.373298611114</v>
      </c>
      <c r="B1257">
        <v>20118766</v>
      </c>
      <c r="C1257" s="6" t="s">
        <v>19</v>
      </c>
      <c r="D1257">
        <v>167824</v>
      </c>
      <c r="E1257" t="s">
        <v>43</v>
      </c>
      <c r="F1257">
        <v>1007381496</v>
      </c>
      <c r="G1257" t="s">
        <v>2532</v>
      </c>
      <c r="H1257">
        <v>100243181</v>
      </c>
      <c r="I1257">
        <v>202651</v>
      </c>
      <c r="J1257">
        <v>1007381496</v>
      </c>
      <c r="K1257" t="s">
        <v>23</v>
      </c>
      <c r="L1257" t="s">
        <v>252</v>
      </c>
      <c r="M1257" t="s">
        <v>253</v>
      </c>
      <c r="N1257" t="s">
        <v>35</v>
      </c>
      <c r="O1257" t="s">
        <v>26</v>
      </c>
      <c r="P1257" t="s">
        <v>27</v>
      </c>
      <c r="Q1257" t="s">
        <v>28</v>
      </c>
      <c r="R1257" t="s">
        <v>29</v>
      </c>
      <c r="S1257" t="s">
        <v>30</v>
      </c>
      <c r="T1257">
        <v>1233513889</v>
      </c>
      <c r="U1257" t="s">
        <v>3948</v>
      </c>
      <c r="V1257" t="s">
        <v>3937</v>
      </c>
      <c r="W1257" s="9">
        <f>IF(V1257="pregrado",31,
IF(V1257="posgrados",31,
IF(V1257="rEINTEGROS",7,
IF(V1257="BIT",90,
IF(V1257="OP GRADO - INGLÉS",17,"")))))</f>
        <v>31</v>
      </c>
      <c r="X1257" t="s">
        <v>4035</v>
      </c>
    </row>
    <row r="1258" spans="1:24" ht="15" x14ac:dyDescent="0.35">
      <c r="A1258" s="4">
        <v>46048.390104166669</v>
      </c>
      <c r="B1258">
        <v>20116982</v>
      </c>
      <c r="C1258" s="6" t="s">
        <v>19</v>
      </c>
      <c r="D1258">
        <v>167828</v>
      </c>
      <c r="E1258" t="s">
        <v>43</v>
      </c>
      <c r="F1258">
        <v>1070604348</v>
      </c>
      <c r="G1258" t="s">
        <v>2273</v>
      </c>
      <c r="H1258">
        <v>900008660</v>
      </c>
      <c r="I1258">
        <v>202641</v>
      </c>
      <c r="J1258">
        <v>1032371898</v>
      </c>
      <c r="K1258" t="s">
        <v>23</v>
      </c>
      <c r="L1258" t="s">
        <v>59</v>
      </c>
      <c r="M1258" t="s">
        <v>47</v>
      </c>
      <c r="N1258" t="s">
        <v>35</v>
      </c>
      <c r="O1258" t="s">
        <v>26</v>
      </c>
      <c r="P1258" t="s">
        <v>27</v>
      </c>
      <c r="Q1258" t="s">
        <v>28</v>
      </c>
      <c r="R1258" t="s">
        <v>29</v>
      </c>
      <c r="S1258" t="s">
        <v>30</v>
      </c>
      <c r="T1258">
        <v>1015401969</v>
      </c>
      <c r="U1258" t="s">
        <v>3936</v>
      </c>
      <c r="V1258" t="s">
        <v>3937</v>
      </c>
      <c r="W1258" s="9">
        <f>IF(V1258="pregrado",31,
IF(V1258="posgrados",31,
IF(V1258="rEINTEGROS",7,
IF(V1258="BIT",90,
IF(V1258="OP GRADO - INGLÉS",17,"")))))</f>
        <v>31</v>
      </c>
      <c r="X1258" t="s">
        <v>3945</v>
      </c>
    </row>
    <row r="1259" spans="1:24" ht="15" x14ac:dyDescent="0.35">
      <c r="A1259" s="4">
        <v>46044.799166666664</v>
      </c>
      <c r="B1259">
        <v>20116367</v>
      </c>
      <c r="C1259" s="6" t="s">
        <v>19</v>
      </c>
      <c r="D1259">
        <v>167830</v>
      </c>
      <c r="E1259" t="s">
        <v>43</v>
      </c>
      <c r="F1259">
        <v>1019045076</v>
      </c>
      <c r="G1259" t="s">
        <v>2211</v>
      </c>
      <c r="H1259">
        <v>100243153</v>
      </c>
      <c r="I1259">
        <v>202651</v>
      </c>
      <c r="J1259">
        <v>1019045076</v>
      </c>
      <c r="K1259" t="s">
        <v>23</v>
      </c>
      <c r="L1259" t="s">
        <v>252</v>
      </c>
      <c r="M1259" t="s">
        <v>253</v>
      </c>
      <c r="N1259" t="s">
        <v>35</v>
      </c>
      <c r="O1259" t="s">
        <v>26</v>
      </c>
      <c r="P1259" t="s">
        <v>27</v>
      </c>
      <c r="Q1259" t="s">
        <v>28</v>
      </c>
      <c r="R1259" t="s">
        <v>29</v>
      </c>
      <c r="S1259" t="s">
        <v>30</v>
      </c>
      <c r="T1259">
        <v>1033784244</v>
      </c>
      <c r="U1259" t="s">
        <v>3948</v>
      </c>
      <c r="V1259" t="s">
        <v>3937</v>
      </c>
      <c r="W1259" s="9">
        <f>IF(V1259="pregrado",31,
IF(V1259="posgrados",31,
IF(V1259="rEINTEGROS",7,
IF(V1259="BIT",90,
IF(V1259="OP GRADO - INGLÉS",17,"")))))</f>
        <v>31</v>
      </c>
      <c r="X1259" t="s">
        <v>4067</v>
      </c>
    </row>
    <row r="1260" spans="1:24" ht="15" x14ac:dyDescent="0.35">
      <c r="A1260" s="4">
        <v>46045.411134259259</v>
      </c>
      <c r="B1260">
        <v>20116449</v>
      </c>
      <c r="C1260" s="6" t="s">
        <v>19</v>
      </c>
      <c r="D1260">
        <v>167845</v>
      </c>
      <c r="E1260" t="s">
        <v>43</v>
      </c>
      <c r="F1260">
        <v>84455979</v>
      </c>
      <c r="G1260" t="s">
        <v>2221</v>
      </c>
      <c r="H1260">
        <v>100242512</v>
      </c>
      <c r="I1260">
        <v>202651</v>
      </c>
      <c r="J1260">
        <v>84455979</v>
      </c>
      <c r="K1260" t="s">
        <v>23</v>
      </c>
      <c r="L1260" t="s">
        <v>252</v>
      </c>
      <c r="M1260" t="s">
        <v>253</v>
      </c>
      <c r="N1260" t="s">
        <v>35</v>
      </c>
      <c r="O1260" t="s">
        <v>26</v>
      </c>
      <c r="P1260" t="s">
        <v>27</v>
      </c>
      <c r="Q1260" t="s">
        <v>28</v>
      </c>
      <c r="R1260" t="s">
        <v>29</v>
      </c>
      <c r="S1260" t="s">
        <v>30</v>
      </c>
      <c r="T1260">
        <v>1033784244</v>
      </c>
      <c r="U1260" t="s">
        <v>3948</v>
      </c>
      <c r="V1260" t="s">
        <v>3937</v>
      </c>
      <c r="W1260" s="9">
        <f>IF(V1260="pregrado",31,
IF(V1260="posgrados",31,
IF(V1260="rEINTEGROS",7,
IF(V1260="BIT",90,
IF(V1260="OP GRADO - INGLÉS",17,"")))))</f>
        <v>31</v>
      </c>
      <c r="X1260" t="s">
        <v>4067</v>
      </c>
    </row>
    <row r="1261" spans="1:24" ht="15" x14ac:dyDescent="0.35">
      <c r="A1261" s="4">
        <v>46045.578576388885</v>
      </c>
      <c r="B1261">
        <v>20116608</v>
      </c>
      <c r="C1261" s="6" t="s">
        <v>19</v>
      </c>
      <c r="D1261">
        <v>167853</v>
      </c>
      <c r="E1261" t="s">
        <v>43</v>
      </c>
      <c r="F1261">
        <v>1070019329</v>
      </c>
      <c r="G1261" t="s">
        <v>2238</v>
      </c>
      <c r="H1261">
        <v>100243215</v>
      </c>
      <c r="I1261">
        <v>202641</v>
      </c>
      <c r="J1261">
        <v>1070019329</v>
      </c>
      <c r="K1261" t="s">
        <v>23</v>
      </c>
      <c r="L1261" t="s">
        <v>160</v>
      </c>
      <c r="M1261" t="s">
        <v>47</v>
      </c>
      <c r="N1261" t="s">
        <v>35</v>
      </c>
      <c r="O1261" t="s">
        <v>26</v>
      </c>
      <c r="P1261" t="s">
        <v>27</v>
      </c>
      <c r="Q1261" t="s">
        <v>28</v>
      </c>
      <c r="R1261" t="s">
        <v>29</v>
      </c>
      <c r="S1261" t="s">
        <v>30</v>
      </c>
      <c r="T1261">
        <v>1193146767</v>
      </c>
      <c r="U1261" t="s">
        <v>3936</v>
      </c>
      <c r="V1261" t="s">
        <v>3937</v>
      </c>
      <c r="W1261" s="9">
        <f>IF(V1261="pregrado",31,
IF(V1261="posgrados",31,
IF(V1261="rEINTEGROS",7,
IF(V1261="BIT",90,
IF(V1261="OP GRADO - INGLÉS",17,"")))))</f>
        <v>31</v>
      </c>
      <c r="X1261" t="s">
        <v>4072</v>
      </c>
    </row>
    <row r="1262" spans="1:24" ht="15" x14ac:dyDescent="0.35">
      <c r="A1262" s="4">
        <v>46056.647557870368</v>
      </c>
      <c r="B1262">
        <v>20120171</v>
      </c>
      <c r="C1262" s="6" t="s">
        <v>19</v>
      </c>
      <c r="D1262">
        <v>167861</v>
      </c>
      <c r="E1262" t="s">
        <v>43</v>
      </c>
      <c r="F1262">
        <v>1042355369</v>
      </c>
      <c r="G1262" t="s">
        <v>2704</v>
      </c>
      <c r="H1262">
        <v>100171977</v>
      </c>
      <c r="I1262">
        <v>202651</v>
      </c>
      <c r="J1262">
        <v>1042355369</v>
      </c>
      <c r="K1262" t="s">
        <v>23</v>
      </c>
      <c r="L1262" t="s">
        <v>252</v>
      </c>
      <c r="M1262" t="s">
        <v>253</v>
      </c>
      <c r="N1262" t="s">
        <v>35</v>
      </c>
      <c r="O1262" t="s">
        <v>26</v>
      </c>
      <c r="P1262" t="s">
        <v>27</v>
      </c>
      <c r="Q1262" t="s">
        <v>28</v>
      </c>
      <c r="R1262" t="s">
        <v>29</v>
      </c>
      <c r="S1262" t="s">
        <v>30</v>
      </c>
      <c r="T1262">
        <v>1073673268</v>
      </c>
      <c r="U1262" t="s">
        <v>3948</v>
      </c>
      <c r="V1262" t="s">
        <v>3937</v>
      </c>
      <c r="W1262" s="9">
        <f>IF(V1262="pregrado",31,
IF(V1262="posgrados",31,
IF(V1262="rEINTEGROS",7,
IF(V1262="BIT",90,
IF(V1262="OP GRADO - INGLÉS",17,"")))))</f>
        <v>31</v>
      </c>
      <c r="X1262" t="s">
        <v>4080</v>
      </c>
    </row>
    <row r="1263" spans="1:24" ht="15" x14ac:dyDescent="0.35">
      <c r="A1263" s="4">
        <v>46045.658796296295</v>
      </c>
      <c r="B1263">
        <v>20116686</v>
      </c>
      <c r="C1263" s="6" t="s">
        <v>19</v>
      </c>
      <c r="D1263">
        <v>167876</v>
      </c>
      <c r="E1263" t="s">
        <v>43</v>
      </c>
      <c r="F1263">
        <v>1030641297</v>
      </c>
      <c r="G1263" t="s">
        <v>2247</v>
      </c>
      <c r="H1263">
        <v>100243258</v>
      </c>
      <c r="I1263">
        <v>202651</v>
      </c>
      <c r="J1263">
        <v>1030641297</v>
      </c>
      <c r="K1263" t="s">
        <v>23</v>
      </c>
      <c r="L1263" t="s">
        <v>252</v>
      </c>
      <c r="M1263" t="s">
        <v>253</v>
      </c>
      <c r="N1263" t="s">
        <v>35</v>
      </c>
      <c r="O1263" t="s">
        <v>26</v>
      </c>
      <c r="P1263" t="s">
        <v>27</v>
      </c>
      <c r="Q1263" t="s">
        <v>28</v>
      </c>
      <c r="R1263" t="s">
        <v>29</v>
      </c>
      <c r="S1263" t="s">
        <v>30</v>
      </c>
      <c r="T1263">
        <v>1073673268</v>
      </c>
      <c r="U1263" t="s">
        <v>3948</v>
      </c>
      <c r="V1263" t="s">
        <v>3937</v>
      </c>
      <c r="W1263" s="9">
        <f>IF(V1263="pregrado",31,
IF(V1263="posgrados",31,
IF(V1263="rEINTEGROS",7,
IF(V1263="BIT",90,
IF(V1263="OP GRADO - INGLÉS",17,"")))))</f>
        <v>31</v>
      </c>
      <c r="X1263" t="s">
        <v>4080</v>
      </c>
    </row>
    <row r="1264" spans="1:24" ht="15" x14ac:dyDescent="0.35">
      <c r="A1264" s="4">
        <v>46050.730254629627</v>
      </c>
      <c r="B1264">
        <v>20118200</v>
      </c>
      <c r="C1264" s="6" t="s">
        <v>19</v>
      </c>
      <c r="D1264">
        <v>167877</v>
      </c>
      <c r="E1264" t="s">
        <v>43</v>
      </c>
      <c r="F1264">
        <v>36552042</v>
      </c>
      <c r="G1264" t="s">
        <v>2438</v>
      </c>
      <c r="H1264">
        <v>100243259</v>
      </c>
      <c r="I1264">
        <v>202651</v>
      </c>
      <c r="J1264">
        <v>1120742018</v>
      </c>
      <c r="K1264" t="s">
        <v>23</v>
      </c>
      <c r="L1264" t="s">
        <v>252</v>
      </c>
      <c r="M1264" t="s">
        <v>253</v>
      </c>
      <c r="N1264" t="s">
        <v>35</v>
      </c>
      <c r="O1264" t="s">
        <v>26</v>
      </c>
      <c r="P1264" t="s">
        <v>27</v>
      </c>
      <c r="Q1264" t="s">
        <v>28</v>
      </c>
      <c r="R1264" t="s">
        <v>29</v>
      </c>
      <c r="S1264" t="s">
        <v>30</v>
      </c>
      <c r="T1264">
        <v>1020754225</v>
      </c>
      <c r="U1264" t="s">
        <v>3948</v>
      </c>
      <c r="V1264" t="s">
        <v>3937</v>
      </c>
      <c r="W1264" s="9">
        <f>IF(V1264="pregrado",31,
IF(V1264="posgrados",31,
IF(V1264="rEINTEGROS",7,
IF(V1264="BIT",90,
IF(V1264="OP GRADO - INGLÉS",17,"")))))</f>
        <v>31</v>
      </c>
      <c r="X1264" t="s">
        <v>3981</v>
      </c>
    </row>
    <row r="1265" spans="1:24" ht="15" x14ac:dyDescent="0.35">
      <c r="A1265" s="4">
        <v>46077.486273148148</v>
      </c>
      <c r="B1265">
        <v>20125963</v>
      </c>
      <c r="C1265" s="6" t="s">
        <v>19</v>
      </c>
      <c r="D1265">
        <v>167891</v>
      </c>
      <c r="E1265" t="s">
        <v>43</v>
      </c>
      <c r="F1265">
        <v>1088217021</v>
      </c>
      <c r="G1265" t="s">
        <v>3596</v>
      </c>
      <c r="H1265">
        <v>100238608</v>
      </c>
      <c r="I1265">
        <v>202651</v>
      </c>
      <c r="J1265">
        <v>1088217021</v>
      </c>
      <c r="K1265" t="s">
        <v>23</v>
      </c>
      <c r="L1265" t="s">
        <v>1250</v>
      </c>
      <c r="M1265" t="s">
        <v>253</v>
      </c>
      <c r="N1265" t="s">
        <v>35</v>
      </c>
      <c r="O1265" t="s">
        <v>26</v>
      </c>
      <c r="P1265" t="s">
        <v>27</v>
      </c>
      <c r="Q1265" t="s">
        <v>28</v>
      </c>
      <c r="R1265" t="s">
        <v>29</v>
      </c>
      <c r="S1265" t="s">
        <v>30</v>
      </c>
      <c r="T1265">
        <v>1070973852</v>
      </c>
      <c r="U1265" t="s">
        <v>3936</v>
      </c>
      <c r="V1265" t="s">
        <v>3937</v>
      </c>
      <c r="W1265" s="9">
        <f>IF(V1265="pregrado",31,
IF(V1265="posgrados",31,
IF(V1265="rEINTEGROS",7,
IF(V1265="BIT",90,
IF(V1265="OP GRADO - INGLÉS",17,"")))))</f>
        <v>31</v>
      </c>
      <c r="X1265" t="s">
        <v>3957</v>
      </c>
    </row>
    <row r="1266" spans="1:24" ht="15" x14ac:dyDescent="0.35">
      <c r="A1266" s="4">
        <v>46048.374513888892</v>
      </c>
      <c r="B1266">
        <v>20116965</v>
      </c>
      <c r="C1266" s="6" t="s">
        <v>19</v>
      </c>
      <c r="D1266">
        <v>167898</v>
      </c>
      <c r="E1266" t="s">
        <v>43</v>
      </c>
      <c r="F1266">
        <v>1013593163</v>
      </c>
      <c r="G1266" t="s">
        <v>2271</v>
      </c>
      <c r="H1266">
        <v>100243298</v>
      </c>
      <c r="I1266">
        <v>202651</v>
      </c>
      <c r="J1266">
        <v>1013593163</v>
      </c>
      <c r="K1266" t="s">
        <v>23</v>
      </c>
      <c r="L1266" t="s">
        <v>252</v>
      </c>
      <c r="M1266" t="s">
        <v>253</v>
      </c>
      <c r="N1266" t="s">
        <v>35</v>
      </c>
      <c r="O1266" t="s">
        <v>26</v>
      </c>
      <c r="P1266" t="s">
        <v>27</v>
      </c>
      <c r="Q1266" t="s">
        <v>28</v>
      </c>
      <c r="R1266" t="s">
        <v>29</v>
      </c>
      <c r="S1266" t="s">
        <v>30</v>
      </c>
      <c r="T1266">
        <v>1015401969</v>
      </c>
      <c r="U1266" t="s">
        <v>3936</v>
      </c>
      <c r="V1266" t="s">
        <v>3937</v>
      </c>
      <c r="W1266" s="9">
        <f>IF(V1266="pregrado",31,
IF(V1266="posgrados",31,
IF(V1266="rEINTEGROS",7,
IF(V1266="BIT",90,
IF(V1266="OP GRADO - INGLÉS",17,"")))))</f>
        <v>31</v>
      </c>
      <c r="X1266" t="s">
        <v>3945</v>
      </c>
    </row>
    <row r="1267" spans="1:24" ht="15" x14ac:dyDescent="0.35">
      <c r="A1267" s="4">
        <v>46048.462291666663</v>
      </c>
      <c r="B1267">
        <v>20117037</v>
      </c>
      <c r="C1267" s="6" t="s">
        <v>19</v>
      </c>
      <c r="D1267">
        <v>167901</v>
      </c>
      <c r="E1267" t="s">
        <v>43</v>
      </c>
      <c r="F1267">
        <v>1081784895</v>
      </c>
      <c r="G1267" t="s">
        <v>2281</v>
      </c>
      <c r="H1267">
        <v>100243301</v>
      </c>
      <c r="I1267">
        <v>202641</v>
      </c>
      <c r="J1267">
        <v>1004486440</v>
      </c>
      <c r="K1267" t="s">
        <v>23</v>
      </c>
      <c r="L1267" t="s">
        <v>342</v>
      </c>
      <c r="M1267" t="s">
        <v>47</v>
      </c>
      <c r="N1267" t="s">
        <v>35</v>
      </c>
      <c r="O1267" t="s">
        <v>26</v>
      </c>
      <c r="P1267" t="s">
        <v>27</v>
      </c>
      <c r="Q1267" t="s">
        <v>28</v>
      </c>
      <c r="R1267" t="s">
        <v>29</v>
      </c>
      <c r="S1267" t="s">
        <v>30</v>
      </c>
      <c r="T1267">
        <v>1031147887</v>
      </c>
      <c r="U1267" t="s">
        <v>3948</v>
      </c>
      <c r="V1267" t="s">
        <v>3937</v>
      </c>
      <c r="W1267" s="9">
        <f>IF(V1267="pregrado",31,
IF(V1267="posgrados",31,
IF(V1267="rEINTEGROS",7,
IF(V1267="BIT",90,
IF(V1267="OP GRADO - INGLÉS",17,"")))))</f>
        <v>31</v>
      </c>
      <c r="X1267" t="s">
        <v>3947</v>
      </c>
    </row>
    <row r="1268" spans="1:24" ht="15" x14ac:dyDescent="0.35">
      <c r="A1268" s="4">
        <v>46045.772164351853</v>
      </c>
      <c r="B1268">
        <v>20116754</v>
      </c>
      <c r="C1268" s="6" t="s">
        <v>19</v>
      </c>
      <c r="D1268">
        <v>167910</v>
      </c>
      <c r="E1268" t="s">
        <v>43</v>
      </c>
      <c r="F1268">
        <v>31569877</v>
      </c>
      <c r="G1268" t="s">
        <v>2254</v>
      </c>
      <c r="H1268">
        <v>100243332</v>
      </c>
      <c r="I1268">
        <v>202641</v>
      </c>
      <c r="J1268">
        <v>1089930370</v>
      </c>
      <c r="K1268" t="s">
        <v>23</v>
      </c>
      <c r="L1268" t="s">
        <v>294</v>
      </c>
      <c r="M1268" t="s">
        <v>47</v>
      </c>
      <c r="N1268" t="s">
        <v>35</v>
      </c>
      <c r="O1268" t="s">
        <v>26</v>
      </c>
      <c r="P1268" t="s">
        <v>27</v>
      </c>
      <c r="Q1268" t="s">
        <v>28</v>
      </c>
      <c r="R1268" t="s">
        <v>29</v>
      </c>
      <c r="S1268" t="s">
        <v>30</v>
      </c>
      <c r="T1268">
        <v>1019068131</v>
      </c>
      <c r="U1268" t="s">
        <v>3948</v>
      </c>
      <c r="V1268" t="s">
        <v>3937</v>
      </c>
      <c r="W1268" s="9">
        <f>IF(V1268="pregrado",31,
IF(V1268="posgrados",31,
IF(V1268="rEINTEGROS",7,
IF(V1268="BIT",90,
IF(V1268="OP GRADO - INGLÉS",17,"")))))</f>
        <v>31</v>
      </c>
      <c r="X1268" t="s">
        <v>4066</v>
      </c>
    </row>
    <row r="1269" spans="1:24" ht="15" x14ac:dyDescent="0.35">
      <c r="A1269" s="4">
        <v>46077.777314814812</v>
      </c>
      <c r="B1269">
        <v>20126118</v>
      </c>
      <c r="C1269" s="6" t="s">
        <v>19</v>
      </c>
      <c r="D1269">
        <v>167912</v>
      </c>
      <c r="E1269" t="s">
        <v>43</v>
      </c>
      <c r="F1269">
        <v>1007268437</v>
      </c>
      <c r="G1269" t="s">
        <v>3621</v>
      </c>
      <c r="H1269">
        <v>100238589</v>
      </c>
      <c r="I1269">
        <v>202651</v>
      </c>
      <c r="J1269">
        <v>1007268437</v>
      </c>
      <c r="K1269" t="s">
        <v>23</v>
      </c>
      <c r="L1269" t="s">
        <v>1250</v>
      </c>
      <c r="M1269" t="s">
        <v>253</v>
      </c>
      <c r="N1269" t="s">
        <v>35</v>
      </c>
      <c r="O1269" t="s">
        <v>26</v>
      </c>
      <c r="P1269" t="s">
        <v>27</v>
      </c>
      <c r="Q1269" t="s">
        <v>28</v>
      </c>
      <c r="R1269" t="s">
        <v>29</v>
      </c>
      <c r="S1269" t="s">
        <v>30</v>
      </c>
      <c r="T1269">
        <v>1070973852</v>
      </c>
      <c r="U1269" t="s">
        <v>3936</v>
      </c>
      <c r="V1269" t="s">
        <v>3937</v>
      </c>
      <c r="W1269" s="9">
        <f>IF(V1269="pregrado",31,
IF(V1269="posgrados",31,
IF(V1269="rEINTEGROS",7,
IF(V1269="BIT",90,
IF(V1269="OP GRADO - INGLÉS",17,"")))))</f>
        <v>31</v>
      </c>
      <c r="X1269" t="s">
        <v>3957</v>
      </c>
    </row>
    <row r="1270" spans="1:24" ht="15" x14ac:dyDescent="0.35">
      <c r="A1270" s="4">
        <v>46052.421446759261</v>
      </c>
      <c r="B1270">
        <v>20118809</v>
      </c>
      <c r="C1270" s="6" t="s">
        <v>19</v>
      </c>
      <c r="D1270">
        <v>167917</v>
      </c>
      <c r="E1270" t="s">
        <v>43</v>
      </c>
      <c r="F1270">
        <v>7369321</v>
      </c>
      <c r="G1270" t="s">
        <v>2540</v>
      </c>
      <c r="H1270">
        <v>100243348</v>
      </c>
      <c r="I1270">
        <v>202651</v>
      </c>
      <c r="J1270">
        <v>10820141</v>
      </c>
      <c r="K1270" t="s">
        <v>23</v>
      </c>
      <c r="L1270" t="s">
        <v>252</v>
      </c>
      <c r="M1270" t="s">
        <v>253</v>
      </c>
      <c r="N1270" t="s">
        <v>35</v>
      </c>
      <c r="O1270" t="s">
        <v>26</v>
      </c>
      <c r="P1270" t="s">
        <v>27</v>
      </c>
      <c r="Q1270" t="s">
        <v>28</v>
      </c>
      <c r="R1270" t="s">
        <v>29</v>
      </c>
      <c r="S1270" t="s">
        <v>30</v>
      </c>
      <c r="T1270">
        <v>51951991</v>
      </c>
      <c r="U1270" t="s">
        <v>3936</v>
      </c>
      <c r="V1270" t="s">
        <v>3937</v>
      </c>
      <c r="W1270" s="9">
        <f>IF(V1270="pregrado",31,
IF(V1270="posgrados",31,
IF(V1270="rEINTEGROS",7,
IF(V1270="BIT",90,
IF(V1270="OP GRADO - INGLÉS",17,"")))))</f>
        <v>31</v>
      </c>
      <c r="X1270" t="s">
        <v>4049</v>
      </c>
    </row>
    <row r="1271" spans="1:24" ht="15" x14ac:dyDescent="0.35">
      <c r="A1271" s="4">
        <v>46046.482499999998</v>
      </c>
      <c r="B1271">
        <v>20116854</v>
      </c>
      <c r="C1271" s="6" t="s">
        <v>19</v>
      </c>
      <c r="D1271">
        <v>167926</v>
      </c>
      <c r="E1271" t="s">
        <v>43</v>
      </c>
      <c r="F1271">
        <v>1111768560</v>
      </c>
      <c r="G1271" t="s">
        <v>2263</v>
      </c>
      <c r="H1271">
        <v>100243359</v>
      </c>
      <c r="I1271">
        <v>202641</v>
      </c>
      <c r="J1271">
        <v>1151444258</v>
      </c>
      <c r="K1271" t="s">
        <v>23</v>
      </c>
      <c r="L1271" t="s">
        <v>160</v>
      </c>
      <c r="M1271" t="s">
        <v>47</v>
      </c>
      <c r="N1271" t="s">
        <v>35</v>
      </c>
      <c r="O1271" t="s">
        <v>26</v>
      </c>
      <c r="P1271" t="s">
        <v>27</v>
      </c>
      <c r="Q1271" t="s">
        <v>28</v>
      </c>
      <c r="R1271" t="s">
        <v>29</v>
      </c>
      <c r="S1271" t="s">
        <v>30</v>
      </c>
      <c r="T1271">
        <v>52916205</v>
      </c>
      <c r="U1271" t="s">
        <v>3936</v>
      </c>
      <c r="V1271" t="s">
        <v>3937</v>
      </c>
      <c r="W1271" s="9">
        <f>IF(V1271="pregrado",31,
IF(V1271="posgrados",31,
IF(V1271="rEINTEGROS",7,
IF(V1271="BIT",90,
IF(V1271="OP GRADO - INGLÉS",17,"")))))</f>
        <v>31</v>
      </c>
      <c r="X1271" t="s">
        <v>4032</v>
      </c>
    </row>
    <row r="1272" spans="1:24" ht="15" x14ac:dyDescent="0.35">
      <c r="A1272" s="4">
        <v>46045.657500000001</v>
      </c>
      <c r="B1272">
        <v>20116684</v>
      </c>
      <c r="C1272" s="6" t="s">
        <v>19</v>
      </c>
      <c r="D1272">
        <v>167933</v>
      </c>
      <c r="E1272" t="s">
        <v>43</v>
      </c>
      <c r="F1272">
        <v>26290725</v>
      </c>
      <c r="G1272" t="s">
        <v>2246</v>
      </c>
      <c r="H1272">
        <v>100243369</v>
      </c>
      <c r="I1272">
        <v>202651</v>
      </c>
      <c r="J1272">
        <v>26290725</v>
      </c>
      <c r="K1272" t="s">
        <v>23</v>
      </c>
      <c r="L1272" t="s">
        <v>252</v>
      </c>
      <c r="M1272" t="s">
        <v>253</v>
      </c>
      <c r="N1272" t="s">
        <v>35</v>
      </c>
      <c r="O1272" t="s">
        <v>26</v>
      </c>
      <c r="P1272" t="s">
        <v>27</v>
      </c>
      <c r="Q1272" t="s">
        <v>28</v>
      </c>
      <c r="R1272" t="s">
        <v>29</v>
      </c>
      <c r="S1272" t="s">
        <v>30</v>
      </c>
      <c r="T1272">
        <v>1033781417</v>
      </c>
      <c r="U1272" t="s">
        <v>3948</v>
      </c>
      <c r="V1272" t="s">
        <v>3937</v>
      </c>
      <c r="W1272" s="9">
        <f>IF(V1272="pregrado",31,
IF(V1272="posgrados",31,
IF(V1272="rEINTEGROS",7,
IF(V1272="BIT",90,
IF(V1272="OP GRADO - INGLÉS",17,"")))))</f>
        <v>31</v>
      </c>
      <c r="X1272" t="s">
        <v>4031</v>
      </c>
    </row>
    <row r="1273" spans="1:24" ht="15" x14ac:dyDescent="0.35">
      <c r="A1273" s="4">
        <v>46058.399247685185</v>
      </c>
      <c r="B1273">
        <v>20120733</v>
      </c>
      <c r="C1273" s="6" t="s">
        <v>19</v>
      </c>
      <c r="D1273">
        <v>167940</v>
      </c>
      <c r="E1273" t="s">
        <v>43</v>
      </c>
      <c r="F1273">
        <v>33308350</v>
      </c>
      <c r="G1273" t="s">
        <v>2784</v>
      </c>
      <c r="H1273">
        <v>100243382</v>
      </c>
      <c r="I1273">
        <v>202651</v>
      </c>
      <c r="J1273">
        <v>33308350</v>
      </c>
      <c r="K1273" t="s">
        <v>23</v>
      </c>
      <c r="L1273" t="s">
        <v>252</v>
      </c>
      <c r="M1273" t="s">
        <v>253</v>
      </c>
      <c r="N1273" t="s">
        <v>35</v>
      </c>
      <c r="O1273" t="s">
        <v>26</v>
      </c>
      <c r="P1273" t="s">
        <v>27</v>
      </c>
      <c r="Q1273" t="s">
        <v>28</v>
      </c>
      <c r="R1273" t="s">
        <v>29</v>
      </c>
      <c r="S1273" t="s">
        <v>30</v>
      </c>
      <c r="T1273">
        <v>1000120140</v>
      </c>
      <c r="U1273" t="s">
        <v>3936</v>
      </c>
      <c r="V1273" t="s">
        <v>3937</v>
      </c>
      <c r="W1273" s="9">
        <f>IF(V1273="pregrado",31,
IF(V1273="posgrados",31,
IF(V1273="rEINTEGROS",7,
IF(V1273="BIT",90,
IF(V1273="OP GRADO - INGLÉS",17,"")))))</f>
        <v>31</v>
      </c>
      <c r="X1273" t="s">
        <v>3935</v>
      </c>
    </row>
    <row r="1274" spans="1:24" ht="15" x14ac:dyDescent="0.35">
      <c r="A1274" s="4">
        <v>46052.437581018516</v>
      </c>
      <c r="B1274">
        <v>20118825</v>
      </c>
      <c r="C1274" s="6" t="s">
        <v>19</v>
      </c>
      <c r="D1274">
        <v>167949</v>
      </c>
      <c r="E1274" t="s">
        <v>43</v>
      </c>
      <c r="F1274">
        <v>1121897365</v>
      </c>
      <c r="G1274" t="s">
        <v>2544</v>
      </c>
      <c r="H1274">
        <v>100243399</v>
      </c>
      <c r="I1274">
        <v>202651</v>
      </c>
      <c r="J1274">
        <v>1121897365</v>
      </c>
      <c r="K1274" t="s">
        <v>23</v>
      </c>
      <c r="L1274" t="s">
        <v>1250</v>
      </c>
      <c r="M1274" t="s">
        <v>253</v>
      </c>
      <c r="N1274" t="s">
        <v>35</v>
      </c>
      <c r="O1274" t="s">
        <v>26</v>
      </c>
      <c r="P1274" t="s">
        <v>27</v>
      </c>
      <c r="Q1274" t="s">
        <v>28</v>
      </c>
      <c r="R1274" t="s">
        <v>29</v>
      </c>
      <c r="S1274" t="s">
        <v>30</v>
      </c>
      <c r="T1274">
        <v>1012389748</v>
      </c>
      <c r="U1274" t="s">
        <v>3948</v>
      </c>
      <c r="V1274" t="s">
        <v>3937</v>
      </c>
      <c r="W1274" s="9">
        <f>IF(V1274="pregrado",31,
IF(V1274="posgrados",31,
IF(V1274="rEINTEGROS",7,
IF(V1274="BIT",90,
IF(V1274="OP GRADO - INGLÉS",17,"")))))</f>
        <v>31</v>
      </c>
      <c r="X1274" t="s">
        <v>4065</v>
      </c>
    </row>
    <row r="1275" spans="1:24" ht="15" x14ac:dyDescent="0.35">
      <c r="A1275" s="4">
        <v>46050.88422453704</v>
      </c>
      <c r="B1275">
        <v>20118272</v>
      </c>
      <c r="C1275" s="6" t="s">
        <v>19</v>
      </c>
      <c r="D1275">
        <v>167950</v>
      </c>
      <c r="E1275" t="s">
        <v>43</v>
      </c>
      <c r="F1275">
        <v>1152707292</v>
      </c>
      <c r="G1275" t="s">
        <v>2448</v>
      </c>
      <c r="H1275">
        <v>100243400</v>
      </c>
      <c r="I1275">
        <v>202651</v>
      </c>
      <c r="J1275">
        <v>1152707292</v>
      </c>
      <c r="K1275" t="s">
        <v>23</v>
      </c>
      <c r="L1275" t="s">
        <v>252</v>
      </c>
      <c r="M1275" t="s">
        <v>253</v>
      </c>
      <c r="N1275" t="s">
        <v>35</v>
      </c>
      <c r="O1275" t="s">
        <v>26</v>
      </c>
      <c r="P1275" t="s">
        <v>27</v>
      </c>
      <c r="Q1275" t="s">
        <v>28</v>
      </c>
      <c r="R1275" t="s">
        <v>29</v>
      </c>
      <c r="S1275" t="s">
        <v>30</v>
      </c>
      <c r="T1275">
        <v>1019068131</v>
      </c>
      <c r="U1275" t="s">
        <v>3948</v>
      </c>
      <c r="V1275" t="s">
        <v>3937</v>
      </c>
      <c r="W1275" s="9">
        <f>IF(V1275="pregrado",31,
IF(V1275="posgrados",31,
IF(V1275="rEINTEGROS",7,
IF(V1275="BIT",90,
IF(V1275="OP GRADO - INGLÉS",17,"")))))</f>
        <v>31</v>
      </c>
      <c r="X1275" t="s">
        <v>4066</v>
      </c>
    </row>
    <row r="1276" spans="1:24" ht="15" x14ac:dyDescent="0.35">
      <c r="A1276" s="4">
        <v>46048.717210648145</v>
      </c>
      <c r="B1276">
        <v>20117309</v>
      </c>
      <c r="C1276" s="6" t="s">
        <v>19</v>
      </c>
      <c r="D1276">
        <v>167951</v>
      </c>
      <c r="E1276" t="s">
        <v>43</v>
      </c>
      <c r="F1276">
        <v>41058237</v>
      </c>
      <c r="G1276" t="s">
        <v>2305</v>
      </c>
      <c r="H1276">
        <v>100237275</v>
      </c>
      <c r="I1276">
        <v>202641</v>
      </c>
      <c r="J1276">
        <v>41058237</v>
      </c>
      <c r="K1276" t="s">
        <v>23</v>
      </c>
      <c r="L1276" t="s">
        <v>279</v>
      </c>
      <c r="M1276" t="s">
        <v>47</v>
      </c>
      <c r="N1276" t="s">
        <v>35</v>
      </c>
      <c r="O1276" t="s">
        <v>26</v>
      </c>
      <c r="P1276" t="s">
        <v>27</v>
      </c>
      <c r="Q1276" t="s">
        <v>28</v>
      </c>
      <c r="R1276" t="s">
        <v>29</v>
      </c>
      <c r="S1276" t="s">
        <v>30</v>
      </c>
      <c r="T1276">
        <v>1193146767</v>
      </c>
      <c r="U1276" t="s">
        <v>3936</v>
      </c>
      <c r="V1276" t="s">
        <v>3937</v>
      </c>
      <c r="W1276" s="9">
        <f>IF(V1276="pregrado",31,
IF(V1276="posgrados",31,
IF(V1276="rEINTEGROS",7,
IF(V1276="BIT",90,
IF(V1276="OP GRADO - INGLÉS",17,"")))))</f>
        <v>31</v>
      </c>
      <c r="X1276" t="s">
        <v>4072</v>
      </c>
    </row>
    <row r="1277" spans="1:24" ht="15" x14ac:dyDescent="0.35">
      <c r="A1277" s="4">
        <v>46051.370023148149</v>
      </c>
      <c r="B1277">
        <v>20118321</v>
      </c>
      <c r="C1277" s="6" t="s">
        <v>19</v>
      </c>
      <c r="D1277">
        <v>167986</v>
      </c>
      <c r="E1277" t="s">
        <v>43</v>
      </c>
      <c r="F1277">
        <v>56088957</v>
      </c>
      <c r="G1277" t="s">
        <v>2453</v>
      </c>
      <c r="H1277">
        <v>100189465</v>
      </c>
      <c r="I1277">
        <v>202651</v>
      </c>
      <c r="J1277">
        <v>56088957</v>
      </c>
      <c r="K1277" t="s">
        <v>23</v>
      </c>
      <c r="L1277" t="s">
        <v>542</v>
      </c>
      <c r="M1277" t="s">
        <v>253</v>
      </c>
      <c r="N1277" t="s">
        <v>35</v>
      </c>
      <c r="O1277" t="s">
        <v>26</v>
      </c>
      <c r="P1277" t="s">
        <v>27</v>
      </c>
      <c r="Q1277" t="s">
        <v>28</v>
      </c>
      <c r="R1277" t="s">
        <v>29</v>
      </c>
      <c r="S1277" t="s">
        <v>30</v>
      </c>
      <c r="T1277">
        <v>1070973852</v>
      </c>
      <c r="U1277" t="s">
        <v>3936</v>
      </c>
      <c r="V1277" t="s">
        <v>3937</v>
      </c>
      <c r="W1277" s="9">
        <f>IF(V1277="pregrado",31,
IF(V1277="posgrados",31,
IF(V1277="rEINTEGROS",7,
IF(V1277="BIT",90,
IF(V1277="OP GRADO - INGLÉS",17,"")))))</f>
        <v>31</v>
      </c>
      <c r="X1277" t="s">
        <v>3957</v>
      </c>
    </row>
    <row r="1278" spans="1:24" ht="15" x14ac:dyDescent="0.35">
      <c r="A1278" s="4">
        <v>46048.534247685187</v>
      </c>
      <c r="B1278">
        <v>20117097</v>
      </c>
      <c r="C1278" s="6" t="s">
        <v>19</v>
      </c>
      <c r="D1278">
        <v>167998</v>
      </c>
      <c r="E1278" t="s">
        <v>43</v>
      </c>
      <c r="F1278">
        <v>39669724</v>
      </c>
      <c r="G1278" t="s">
        <v>2288</v>
      </c>
      <c r="H1278">
        <v>100034197</v>
      </c>
      <c r="I1278">
        <v>202641</v>
      </c>
      <c r="J1278">
        <v>39669724</v>
      </c>
      <c r="K1278" t="s">
        <v>23</v>
      </c>
      <c r="L1278" t="s">
        <v>294</v>
      </c>
      <c r="M1278" t="s">
        <v>47</v>
      </c>
      <c r="N1278" t="s">
        <v>35</v>
      </c>
      <c r="O1278" t="s">
        <v>26</v>
      </c>
      <c r="P1278" t="s">
        <v>27</v>
      </c>
      <c r="Q1278" t="s">
        <v>28</v>
      </c>
      <c r="R1278" t="s">
        <v>29</v>
      </c>
      <c r="S1278" t="s">
        <v>30</v>
      </c>
      <c r="T1278">
        <v>1015401969</v>
      </c>
      <c r="U1278" t="s">
        <v>3936</v>
      </c>
      <c r="V1278" t="s">
        <v>3937</v>
      </c>
      <c r="W1278" s="9">
        <f>IF(V1278="pregrado",31,
IF(V1278="posgrados",31,
IF(V1278="rEINTEGROS",7,
IF(V1278="BIT",90,
IF(V1278="OP GRADO - INGLÉS",17,"")))))</f>
        <v>31</v>
      </c>
      <c r="X1278" t="s">
        <v>3945</v>
      </c>
    </row>
    <row r="1279" spans="1:24" ht="15" x14ac:dyDescent="0.35">
      <c r="A1279" s="4">
        <v>46069.784108796295</v>
      </c>
      <c r="B1279">
        <v>20123912</v>
      </c>
      <c r="C1279" s="6" t="s">
        <v>19</v>
      </c>
      <c r="D1279">
        <v>168016</v>
      </c>
      <c r="E1279" t="s">
        <v>43</v>
      </c>
      <c r="F1279">
        <v>1129568548</v>
      </c>
      <c r="G1279" t="s">
        <v>3270</v>
      </c>
      <c r="H1279">
        <v>100243538</v>
      </c>
      <c r="I1279">
        <v>202651</v>
      </c>
      <c r="J1279">
        <v>1129568548</v>
      </c>
      <c r="K1279" t="s">
        <v>23</v>
      </c>
      <c r="L1279" t="s">
        <v>252</v>
      </c>
      <c r="M1279" t="s">
        <v>253</v>
      </c>
      <c r="N1279" t="s">
        <v>35</v>
      </c>
      <c r="O1279" t="s">
        <v>26</v>
      </c>
      <c r="P1279" t="s">
        <v>27</v>
      </c>
      <c r="Q1279" t="s">
        <v>28</v>
      </c>
      <c r="R1279" t="s">
        <v>29</v>
      </c>
      <c r="S1279" t="s">
        <v>30</v>
      </c>
      <c r="T1279">
        <v>1233513889</v>
      </c>
      <c r="U1279" t="s">
        <v>3948</v>
      </c>
      <c r="V1279" t="s">
        <v>3937</v>
      </c>
      <c r="W1279" s="9">
        <f>IF(V1279="pregrado",31,
IF(V1279="posgrados",31,
IF(V1279="rEINTEGROS",7,
IF(V1279="BIT",90,
IF(V1279="OP GRADO - INGLÉS",17,"")))))</f>
        <v>31</v>
      </c>
      <c r="X1279" t="s">
        <v>4035</v>
      </c>
    </row>
    <row r="1280" spans="1:24" ht="15" x14ac:dyDescent="0.35">
      <c r="A1280" s="4">
        <v>46063.515393518515</v>
      </c>
      <c r="B1280">
        <v>20122039</v>
      </c>
      <c r="C1280" s="6" t="s">
        <v>19</v>
      </c>
      <c r="D1280">
        <v>168017</v>
      </c>
      <c r="E1280" t="s">
        <v>43</v>
      </c>
      <c r="F1280">
        <v>5893299</v>
      </c>
      <c r="G1280" t="s">
        <v>2982</v>
      </c>
      <c r="H1280">
        <v>100175288</v>
      </c>
      <c r="I1280">
        <v>202651</v>
      </c>
      <c r="J1280">
        <v>1110513326</v>
      </c>
      <c r="K1280" t="s">
        <v>23</v>
      </c>
      <c r="L1280" t="s">
        <v>252</v>
      </c>
      <c r="M1280" t="s">
        <v>253</v>
      </c>
      <c r="N1280" t="s">
        <v>35</v>
      </c>
      <c r="O1280" t="s">
        <v>26</v>
      </c>
      <c r="P1280" t="s">
        <v>27</v>
      </c>
      <c r="Q1280" t="s">
        <v>28</v>
      </c>
      <c r="R1280" t="s">
        <v>29</v>
      </c>
      <c r="S1280" t="s">
        <v>30</v>
      </c>
      <c r="T1280">
        <v>1140420282</v>
      </c>
      <c r="U1280" t="s">
        <v>3948</v>
      </c>
      <c r="V1280" t="s">
        <v>3937</v>
      </c>
      <c r="W1280" s="9">
        <f>IF(V1280="pregrado",31,
IF(V1280="posgrados",31,
IF(V1280="rEINTEGROS",7,
IF(V1280="BIT",90,
IF(V1280="OP GRADO - INGLÉS",17,"")))))</f>
        <v>31</v>
      </c>
      <c r="X1280" t="s">
        <v>3972</v>
      </c>
    </row>
    <row r="1281" spans="1:24" ht="15" x14ac:dyDescent="0.35">
      <c r="A1281" s="4">
        <v>46049.520972222221</v>
      </c>
      <c r="B1281">
        <v>20117518</v>
      </c>
      <c r="C1281" s="6" t="s">
        <v>19</v>
      </c>
      <c r="D1281">
        <v>168026</v>
      </c>
      <c r="E1281" t="s">
        <v>43</v>
      </c>
      <c r="F1281">
        <v>1065014610</v>
      </c>
      <c r="G1281" t="s">
        <v>2340</v>
      </c>
      <c r="H1281">
        <v>100243548</v>
      </c>
      <c r="I1281">
        <v>202651</v>
      </c>
      <c r="J1281">
        <v>1065014610</v>
      </c>
      <c r="K1281" t="s">
        <v>23</v>
      </c>
      <c r="L1281" t="s">
        <v>252</v>
      </c>
      <c r="M1281" t="s">
        <v>253</v>
      </c>
      <c r="N1281" t="s">
        <v>35</v>
      </c>
      <c r="O1281" t="s">
        <v>26</v>
      </c>
      <c r="P1281" t="s">
        <v>27</v>
      </c>
      <c r="Q1281" t="s">
        <v>28</v>
      </c>
      <c r="R1281" t="s">
        <v>29</v>
      </c>
      <c r="S1281" t="s">
        <v>30</v>
      </c>
      <c r="T1281">
        <v>1033793185</v>
      </c>
      <c r="U1281" t="s">
        <v>3948</v>
      </c>
      <c r="V1281" t="s">
        <v>3937</v>
      </c>
      <c r="W1281" s="9">
        <f>IF(V1281="pregrado",31,
IF(V1281="posgrados",31,
IF(V1281="rEINTEGROS",7,
IF(V1281="BIT",90,
IF(V1281="OP GRADO - INGLÉS",17,"")))))</f>
        <v>31</v>
      </c>
      <c r="X1281" t="s">
        <v>4082</v>
      </c>
    </row>
    <row r="1282" spans="1:24" ht="15" x14ac:dyDescent="0.35">
      <c r="A1282" s="4">
        <v>46083.38140046296</v>
      </c>
      <c r="B1282">
        <v>20127146</v>
      </c>
      <c r="C1282" s="6" t="s">
        <v>19</v>
      </c>
      <c r="D1282">
        <v>168032</v>
      </c>
      <c r="E1282" t="s">
        <v>43</v>
      </c>
      <c r="F1282">
        <v>1112301312</v>
      </c>
      <c r="G1282" t="s">
        <v>3772</v>
      </c>
      <c r="H1282">
        <v>100243556</v>
      </c>
      <c r="I1282">
        <v>202651</v>
      </c>
      <c r="J1282">
        <v>1112301312</v>
      </c>
      <c r="K1282" t="s">
        <v>23</v>
      </c>
      <c r="L1282" t="s">
        <v>252</v>
      </c>
      <c r="M1282" t="s">
        <v>253</v>
      </c>
      <c r="N1282" t="s">
        <v>35</v>
      </c>
      <c r="O1282" t="s">
        <v>26</v>
      </c>
      <c r="P1282" t="s">
        <v>27</v>
      </c>
      <c r="Q1282" t="s">
        <v>28</v>
      </c>
      <c r="R1282" t="s">
        <v>29</v>
      </c>
      <c r="S1282" t="s">
        <v>30</v>
      </c>
      <c r="T1282">
        <v>1033793185</v>
      </c>
      <c r="U1282" t="s">
        <v>3948</v>
      </c>
      <c r="V1282" t="s">
        <v>3937</v>
      </c>
      <c r="W1282" s="9">
        <f>IF(V1282="pregrado",31,
IF(V1282="posgrados",31,
IF(V1282="rEINTEGROS",7,
IF(V1282="BIT",90,
IF(V1282="OP GRADO - INGLÉS",17,"")))))</f>
        <v>31</v>
      </c>
      <c r="X1282" t="s">
        <v>4082</v>
      </c>
    </row>
    <row r="1283" spans="1:24" ht="15" x14ac:dyDescent="0.35">
      <c r="A1283" s="4">
        <v>46048.415520833332</v>
      </c>
      <c r="B1283">
        <v>20117002</v>
      </c>
      <c r="C1283" s="6" t="s">
        <v>19</v>
      </c>
      <c r="D1283">
        <v>168035</v>
      </c>
      <c r="E1283" t="s">
        <v>43</v>
      </c>
      <c r="F1283">
        <v>1046398444</v>
      </c>
      <c r="G1283" t="s">
        <v>2278</v>
      </c>
      <c r="H1283">
        <v>100041824</v>
      </c>
      <c r="I1283">
        <v>202641</v>
      </c>
      <c r="J1283">
        <v>1046398444</v>
      </c>
      <c r="K1283" t="s">
        <v>23</v>
      </c>
      <c r="L1283" t="s">
        <v>342</v>
      </c>
      <c r="M1283" t="s">
        <v>47</v>
      </c>
      <c r="N1283" t="s">
        <v>35</v>
      </c>
      <c r="O1283" t="s">
        <v>26</v>
      </c>
      <c r="P1283" t="s">
        <v>27</v>
      </c>
      <c r="Q1283" t="s">
        <v>28</v>
      </c>
      <c r="R1283" t="s">
        <v>29</v>
      </c>
      <c r="S1283" t="s">
        <v>30</v>
      </c>
      <c r="T1283">
        <v>1033784244</v>
      </c>
      <c r="U1283" t="s">
        <v>3948</v>
      </c>
      <c r="V1283" t="s">
        <v>3937</v>
      </c>
      <c r="W1283" s="9">
        <f>IF(V1283="pregrado",31,
IF(V1283="posgrados",31,
IF(V1283="rEINTEGROS",7,
IF(V1283="BIT",90,
IF(V1283="OP GRADO - INGLÉS",17,"")))))</f>
        <v>31</v>
      </c>
      <c r="X1283" t="s">
        <v>4067</v>
      </c>
    </row>
    <row r="1284" spans="1:24" ht="15" x14ac:dyDescent="0.35">
      <c r="A1284" s="4">
        <v>46048.599062499998</v>
      </c>
      <c r="B1284">
        <v>20117144</v>
      </c>
      <c r="C1284" s="6" t="s">
        <v>19</v>
      </c>
      <c r="D1284">
        <v>168036</v>
      </c>
      <c r="E1284" t="s">
        <v>43</v>
      </c>
      <c r="F1284">
        <v>74282654</v>
      </c>
      <c r="G1284" t="s">
        <v>2293</v>
      </c>
      <c r="H1284">
        <v>100054496</v>
      </c>
      <c r="I1284">
        <v>202651</v>
      </c>
      <c r="J1284">
        <v>74282654</v>
      </c>
      <c r="K1284" t="s">
        <v>46</v>
      </c>
      <c r="L1284" t="s">
        <v>252</v>
      </c>
      <c r="M1284" t="s">
        <v>253</v>
      </c>
      <c r="N1284" t="s">
        <v>35</v>
      </c>
      <c r="O1284" t="s">
        <v>26</v>
      </c>
      <c r="P1284" t="s">
        <v>27</v>
      </c>
      <c r="Q1284" t="s">
        <v>28</v>
      </c>
      <c r="R1284" t="s">
        <v>29</v>
      </c>
      <c r="S1284" t="s">
        <v>30</v>
      </c>
      <c r="T1284">
        <v>1033784244</v>
      </c>
      <c r="U1284" t="s">
        <v>3948</v>
      </c>
      <c r="V1284" t="s">
        <v>3937</v>
      </c>
      <c r="W1284" s="9">
        <f>IF(V1284="pregrado",31,
IF(V1284="posgrados",31,
IF(V1284="rEINTEGROS",7,
IF(V1284="BIT",90,
IF(V1284="OP GRADO - INGLÉS",17,"")))))</f>
        <v>31</v>
      </c>
      <c r="X1284" t="s">
        <v>4067</v>
      </c>
    </row>
    <row r="1285" spans="1:24" ht="15" x14ac:dyDescent="0.35">
      <c r="A1285" s="4">
        <v>46048.907476851855</v>
      </c>
      <c r="B1285">
        <v>20117377</v>
      </c>
      <c r="C1285" s="6" t="s">
        <v>19</v>
      </c>
      <c r="D1285">
        <v>168045</v>
      </c>
      <c r="E1285" t="s">
        <v>43</v>
      </c>
      <c r="F1285">
        <v>1102889386</v>
      </c>
      <c r="G1285" t="s">
        <v>2322</v>
      </c>
      <c r="H1285">
        <v>100243572</v>
      </c>
      <c r="I1285">
        <v>202651</v>
      </c>
      <c r="J1285">
        <v>1102889386</v>
      </c>
      <c r="K1285" t="s">
        <v>23</v>
      </c>
      <c r="L1285" t="s">
        <v>252</v>
      </c>
      <c r="M1285" t="s">
        <v>253</v>
      </c>
      <c r="N1285" t="s">
        <v>35</v>
      </c>
      <c r="O1285" t="s">
        <v>26</v>
      </c>
      <c r="P1285" t="s">
        <v>27</v>
      </c>
      <c r="Q1285" t="s">
        <v>28</v>
      </c>
      <c r="R1285" t="s">
        <v>29</v>
      </c>
      <c r="S1285" t="s">
        <v>30</v>
      </c>
      <c r="T1285">
        <v>1019068131</v>
      </c>
      <c r="U1285" t="s">
        <v>3948</v>
      </c>
      <c r="V1285" t="s">
        <v>3937</v>
      </c>
      <c r="W1285" s="9">
        <f>IF(V1285="pregrado",31,
IF(V1285="posgrados",31,
IF(V1285="rEINTEGROS",7,
IF(V1285="BIT",90,
IF(V1285="OP GRADO - INGLÉS",17,"")))))</f>
        <v>31</v>
      </c>
      <c r="X1285" t="s">
        <v>4066</v>
      </c>
    </row>
    <row r="1286" spans="1:24" ht="15" x14ac:dyDescent="0.35">
      <c r="A1286" s="4">
        <v>46049.876134259262</v>
      </c>
      <c r="B1286">
        <v>20117794</v>
      </c>
      <c r="C1286" s="6" t="s">
        <v>19</v>
      </c>
      <c r="D1286">
        <v>168046</v>
      </c>
      <c r="E1286" t="s">
        <v>43</v>
      </c>
      <c r="F1286">
        <v>1085938798</v>
      </c>
      <c r="G1286" t="s">
        <v>2381</v>
      </c>
      <c r="H1286">
        <v>100243573</v>
      </c>
      <c r="I1286">
        <v>202651</v>
      </c>
      <c r="J1286">
        <v>1085938798</v>
      </c>
      <c r="K1286" t="s">
        <v>23</v>
      </c>
      <c r="L1286" t="s">
        <v>252</v>
      </c>
      <c r="M1286" t="s">
        <v>253</v>
      </c>
      <c r="N1286" t="s">
        <v>35</v>
      </c>
      <c r="O1286" t="s">
        <v>26</v>
      </c>
      <c r="P1286" t="s">
        <v>27</v>
      </c>
      <c r="Q1286" t="s">
        <v>28</v>
      </c>
      <c r="R1286" t="s">
        <v>29</v>
      </c>
      <c r="S1286" t="s">
        <v>30</v>
      </c>
      <c r="T1286">
        <v>1033793185</v>
      </c>
      <c r="U1286" t="s">
        <v>3948</v>
      </c>
      <c r="V1286" t="s">
        <v>3937</v>
      </c>
      <c r="W1286" s="9">
        <f>IF(V1286="pregrado",31,
IF(V1286="posgrados",31,
IF(V1286="rEINTEGROS",7,
IF(V1286="BIT",90,
IF(V1286="OP GRADO - INGLÉS",17,"")))))</f>
        <v>31</v>
      </c>
      <c r="X1286" t="s">
        <v>4082</v>
      </c>
    </row>
    <row r="1287" spans="1:24" ht="15" x14ac:dyDescent="0.35">
      <c r="A1287" s="4">
        <v>46069.661886574075</v>
      </c>
      <c r="B1287">
        <v>20123775</v>
      </c>
      <c r="C1287" s="6" t="s">
        <v>19</v>
      </c>
      <c r="D1287">
        <v>168053</v>
      </c>
      <c r="E1287" t="s">
        <v>43</v>
      </c>
      <c r="F1287">
        <v>1235255874</v>
      </c>
      <c r="G1287" t="s">
        <v>3250</v>
      </c>
      <c r="H1287">
        <v>100098037</v>
      </c>
      <c r="I1287">
        <v>202641</v>
      </c>
      <c r="J1287">
        <v>1235255874</v>
      </c>
      <c r="K1287" t="s">
        <v>46</v>
      </c>
      <c r="L1287" t="s">
        <v>45</v>
      </c>
      <c r="M1287" t="s">
        <v>47</v>
      </c>
      <c r="N1287" t="s">
        <v>35</v>
      </c>
      <c r="O1287" t="s">
        <v>26</v>
      </c>
      <c r="P1287" t="s">
        <v>27</v>
      </c>
      <c r="Q1287" t="s">
        <v>28</v>
      </c>
      <c r="R1287" t="s">
        <v>29</v>
      </c>
      <c r="S1287" t="s">
        <v>30</v>
      </c>
      <c r="T1287">
        <v>1233888787</v>
      </c>
      <c r="U1287" t="s">
        <v>3936</v>
      </c>
      <c r="V1287" t="s">
        <v>3937</v>
      </c>
      <c r="W1287" s="9">
        <f>IF(V1287="pregrado",31,
IF(V1287="posgrados",31,
IF(V1287="rEINTEGROS",7,
IF(V1287="BIT",90,
IF(V1287="OP GRADO - INGLÉS",17,"")))))</f>
        <v>31</v>
      </c>
      <c r="X1287" t="s">
        <v>3998</v>
      </c>
    </row>
    <row r="1288" spans="1:24" ht="15" x14ac:dyDescent="0.35">
      <c r="A1288" s="4">
        <v>46048.580590277779</v>
      </c>
      <c r="B1288">
        <v>20117127</v>
      </c>
      <c r="C1288" s="6" t="s">
        <v>19</v>
      </c>
      <c r="D1288">
        <v>168056</v>
      </c>
      <c r="E1288" t="s">
        <v>43</v>
      </c>
      <c r="F1288">
        <v>1144044645</v>
      </c>
      <c r="G1288" t="s">
        <v>2291</v>
      </c>
      <c r="H1288">
        <v>100243595</v>
      </c>
      <c r="I1288">
        <v>202641</v>
      </c>
      <c r="J1288">
        <v>1144044645</v>
      </c>
      <c r="K1288" t="s">
        <v>23</v>
      </c>
      <c r="L1288" t="s">
        <v>279</v>
      </c>
      <c r="M1288" t="s">
        <v>47</v>
      </c>
      <c r="N1288" t="s">
        <v>35</v>
      </c>
      <c r="O1288" t="s">
        <v>26</v>
      </c>
      <c r="P1288" t="s">
        <v>27</v>
      </c>
      <c r="Q1288" t="s">
        <v>28</v>
      </c>
      <c r="R1288" t="s">
        <v>29</v>
      </c>
      <c r="S1288" t="s">
        <v>30</v>
      </c>
      <c r="T1288">
        <v>1032406382</v>
      </c>
      <c r="U1288" t="s">
        <v>3936</v>
      </c>
      <c r="V1288" t="s">
        <v>3937</v>
      </c>
      <c r="W1288" s="9">
        <f>IF(V1288="pregrado",31,
IF(V1288="posgrados",31,
IF(V1288="rEINTEGROS",7,
IF(V1288="BIT",90,
IF(V1288="OP GRADO - INGLÉS",17,"")))))</f>
        <v>31</v>
      </c>
      <c r="X1288" t="s">
        <v>3991</v>
      </c>
    </row>
    <row r="1289" spans="1:24" ht="15" x14ac:dyDescent="0.35">
      <c r="A1289" s="4">
        <v>46048.605300925927</v>
      </c>
      <c r="B1289">
        <v>20117149</v>
      </c>
      <c r="C1289" s="6" t="s">
        <v>19</v>
      </c>
      <c r="D1289">
        <v>168058</v>
      </c>
      <c r="E1289" t="s">
        <v>43</v>
      </c>
      <c r="F1289">
        <v>9738306</v>
      </c>
      <c r="G1289" t="s">
        <v>2294</v>
      </c>
      <c r="H1289">
        <v>100243599</v>
      </c>
      <c r="I1289">
        <v>202641</v>
      </c>
      <c r="J1289">
        <v>9738306</v>
      </c>
      <c r="K1289" t="s">
        <v>23</v>
      </c>
      <c r="L1289" t="s">
        <v>160</v>
      </c>
      <c r="M1289" t="s">
        <v>47</v>
      </c>
      <c r="N1289" t="s">
        <v>35</v>
      </c>
      <c r="O1289" t="s">
        <v>26</v>
      </c>
      <c r="P1289" t="s">
        <v>27</v>
      </c>
      <c r="Q1289" t="s">
        <v>28</v>
      </c>
      <c r="R1289" t="s">
        <v>29</v>
      </c>
      <c r="S1289" t="s">
        <v>30</v>
      </c>
      <c r="T1289">
        <v>1012355141</v>
      </c>
      <c r="U1289" t="s">
        <v>3936</v>
      </c>
      <c r="V1289" t="s">
        <v>3937</v>
      </c>
      <c r="W1289" s="9">
        <f>IF(V1289="pregrado",31,
IF(V1289="posgrados",31,
IF(V1289="rEINTEGROS",7,
IF(V1289="BIT",90,
IF(V1289="OP GRADO - INGLÉS",17,"")))))</f>
        <v>31</v>
      </c>
      <c r="X1289" t="s">
        <v>4045</v>
      </c>
    </row>
    <row r="1290" spans="1:24" ht="15" x14ac:dyDescent="0.35">
      <c r="A1290" s="4">
        <v>46049.696504629632</v>
      </c>
      <c r="B1290">
        <v>20117706</v>
      </c>
      <c r="C1290" s="6" t="s">
        <v>19</v>
      </c>
      <c r="D1290">
        <v>168066</v>
      </c>
      <c r="E1290" t="s">
        <v>43</v>
      </c>
      <c r="F1290">
        <v>1045504277</v>
      </c>
      <c r="G1290" t="s">
        <v>2369</v>
      </c>
      <c r="H1290">
        <v>100212533</v>
      </c>
      <c r="I1290">
        <v>202651</v>
      </c>
      <c r="J1290">
        <v>1045504277</v>
      </c>
      <c r="K1290" t="s">
        <v>46</v>
      </c>
      <c r="L1290" t="s">
        <v>252</v>
      </c>
      <c r="M1290" t="s">
        <v>253</v>
      </c>
      <c r="N1290">
        <v>0</v>
      </c>
      <c r="O1290" t="s">
        <v>26</v>
      </c>
      <c r="P1290" t="s">
        <v>27</v>
      </c>
      <c r="Q1290" t="s">
        <v>28</v>
      </c>
      <c r="R1290" t="s">
        <v>29</v>
      </c>
      <c r="S1290" t="s">
        <v>30</v>
      </c>
      <c r="T1290">
        <v>1019102787</v>
      </c>
      <c r="U1290" t="s">
        <v>3977</v>
      </c>
      <c r="V1290" t="s">
        <v>3970</v>
      </c>
      <c r="W1290" s="9">
        <f>IF(V1290="pregrado",31,
IF(V1290="posgrados",31,
IF(V1290="rEINTEGROS",7,
IF(V1290="BIT",90,
IF(V1290="OP GRADO - INGLÉS",17,"")))))</f>
        <v>7</v>
      </c>
      <c r="X1290" t="s">
        <v>3976</v>
      </c>
    </row>
    <row r="1291" spans="1:24" ht="15" x14ac:dyDescent="0.35">
      <c r="A1291" s="4">
        <v>46049.660416666666</v>
      </c>
      <c r="B1291">
        <v>20117653</v>
      </c>
      <c r="C1291" s="6" t="s">
        <v>19</v>
      </c>
      <c r="D1291">
        <v>168067</v>
      </c>
      <c r="E1291" t="s">
        <v>43</v>
      </c>
      <c r="F1291">
        <v>33223547</v>
      </c>
      <c r="G1291" t="s">
        <v>2356</v>
      </c>
      <c r="H1291">
        <v>100243625</v>
      </c>
      <c r="I1291">
        <v>202641</v>
      </c>
      <c r="J1291">
        <v>1002421075</v>
      </c>
      <c r="K1291" t="s">
        <v>23</v>
      </c>
      <c r="L1291" t="s">
        <v>160</v>
      </c>
      <c r="M1291" t="s">
        <v>47</v>
      </c>
      <c r="N1291" t="s">
        <v>35</v>
      </c>
      <c r="O1291" t="s">
        <v>26</v>
      </c>
      <c r="P1291" t="s">
        <v>27</v>
      </c>
      <c r="Q1291" t="s">
        <v>28</v>
      </c>
      <c r="R1291" t="s">
        <v>29</v>
      </c>
      <c r="S1291" t="s">
        <v>30</v>
      </c>
      <c r="T1291">
        <v>1070973852</v>
      </c>
      <c r="U1291" t="s">
        <v>3936</v>
      </c>
      <c r="V1291" t="s">
        <v>3937</v>
      </c>
      <c r="W1291" s="9">
        <f>IF(V1291="pregrado",31,
IF(V1291="posgrados",31,
IF(V1291="rEINTEGROS",7,
IF(V1291="BIT",90,
IF(V1291="OP GRADO - INGLÉS",17,"")))))</f>
        <v>31</v>
      </c>
      <c r="X1291" t="s">
        <v>3957</v>
      </c>
    </row>
    <row r="1292" spans="1:24" ht="15" x14ac:dyDescent="0.35">
      <c r="A1292" s="4">
        <v>46048.494467592594</v>
      </c>
      <c r="B1292">
        <v>20117063</v>
      </c>
      <c r="C1292" s="6" t="s">
        <v>19</v>
      </c>
      <c r="D1292">
        <v>168069</v>
      </c>
      <c r="E1292" t="s">
        <v>43</v>
      </c>
      <c r="F1292">
        <v>1037637939</v>
      </c>
      <c r="G1292" t="s">
        <v>2285</v>
      </c>
      <c r="H1292">
        <v>100242401</v>
      </c>
      <c r="I1292">
        <v>202651</v>
      </c>
      <c r="J1292">
        <v>1037637939</v>
      </c>
      <c r="K1292" t="s">
        <v>23</v>
      </c>
      <c r="L1292" t="s">
        <v>1250</v>
      </c>
      <c r="M1292" t="s">
        <v>253</v>
      </c>
      <c r="N1292" t="s">
        <v>35</v>
      </c>
      <c r="O1292" t="s">
        <v>26</v>
      </c>
      <c r="P1292" t="s">
        <v>27</v>
      </c>
      <c r="Q1292" t="s">
        <v>28</v>
      </c>
      <c r="R1292" t="s">
        <v>29</v>
      </c>
      <c r="S1292" t="s">
        <v>30</v>
      </c>
      <c r="T1292">
        <v>1033781417</v>
      </c>
      <c r="U1292" t="s">
        <v>3948</v>
      </c>
      <c r="V1292" t="s">
        <v>3937</v>
      </c>
      <c r="W1292" s="9">
        <f>IF(V1292="pregrado",31,
IF(V1292="posgrados",31,
IF(V1292="rEINTEGROS",7,
IF(V1292="BIT",90,
IF(V1292="OP GRADO - INGLÉS",17,"")))))</f>
        <v>31</v>
      </c>
      <c r="X1292" t="s">
        <v>4031</v>
      </c>
    </row>
    <row r="1293" spans="1:24" ht="15" x14ac:dyDescent="0.35">
      <c r="A1293" s="4">
        <v>46058.686539351853</v>
      </c>
      <c r="B1293">
        <v>20120953</v>
      </c>
      <c r="C1293" s="6" t="s">
        <v>19</v>
      </c>
      <c r="D1293">
        <v>168073</v>
      </c>
      <c r="E1293" t="s">
        <v>43</v>
      </c>
      <c r="F1293">
        <v>1112773496</v>
      </c>
      <c r="G1293" t="s">
        <v>2831</v>
      </c>
      <c r="H1293">
        <v>100206783</v>
      </c>
      <c r="I1293">
        <v>202641</v>
      </c>
      <c r="J1293">
        <v>1112773496</v>
      </c>
      <c r="K1293" t="s">
        <v>46</v>
      </c>
      <c r="L1293" t="s">
        <v>160</v>
      </c>
      <c r="M1293" t="s">
        <v>47</v>
      </c>
      <c r="N1293" t="s">
        <v>35</v>
      </c>
      <c r="O1293" t="s">
        <v>26</v>
      </c>
      <c r="P1293" t="s">
        <v>27</v>
      </c>
      <c r="Q1293" t="s">
        <v>28</v>
      </c>
      <c r="R1293" t="s">
        <v>29</v>
      </c>
      <c r="S1293" t="s">
        <v>30</v>
      </c>
      <c r="T1293">
        <v>1193146767</v>
      </c>
      <c r="U1293" t="s">
        <v>3936</v>
      </c>
      <c r="V1293" t="s">
        <v>3937</v>
      </c>
      <c r="W1293" s="9">
        <f>IF(V1293="pregrado",31,
IF(V1293="posgrados",31,
IF(V1293="rEINTEGROS",7,
IF(V1293="BIT",90,
IF(V1293="OP GRADO - INGLÉS",17,"")))))</f>
        <v>31</v>
      </c>
      <c r="X1293" t="s">
        <v>4072</v>
      </c>
    </row>
    <row r="1294" spans="1:24" ht="15" x14ac:dyDescent="0.35">
      <c r="A1294" s="4">
        <v>46048.67386574074</v>
      </c>
      <c r="B1294">
        <v>20117271</v>
      </c>
      <c r="C1294" s="6" t="s">
        <v>19</v>
      </c>
      <c r="D1294">
        <v>168078</v>
      </c>
      <c r="E1294" t="s">
        <v>43</v>
      </c>
      <c r="F1294">
        <v>1045250217</v>
      </c>
      <c r="G1294" t="s">
        <v>2300</v>
      </c>
      <c r="H1294">
        <v>100243642</v>
      </c>
      <c r="I1294">
        <v>202641</v>
      </c>
      <c r="J1294">
        <v>1045250217</v>
      </c>
      <c r="K1294" t="s">
        <v>23</v>
      </c>
      <c r="L1294" t="s">
        <v>45</v>
      </c>
      <c r="M1294" t="s">
        <v>47</v>
      </c>
      <c r="N1294" t="s">
        <v>35</v>
      </c>
      <c r="O1294" t="s">
        <v>26</v>
      </c>
      <c r="P1294" t="s">
        <v>27</v>
      </c>
      <c r="Q1294" t="s">
        <v>28</v>
      </c>
      <c r="R1294" t="s">
        <v>29</v>
      </c>
      <c r="S1294" t="s">
        <v>30</v>
      </c>
      <c r="T1294">
        <v>1022407392</v>
      </c>
      <c r="U1294" t="s">
        <v>3936</v>
      </c>
      <c r="V1294" t="s">
        <v>3937</v>
      </c>
      <c r="W1294" s="9">
        <f>IF(V1294="pregrado",31,
IF(V1294="posgrados",31,
IF(V1294="rEINTEGROS",7,
IF(V1294="BIT",90,
IF(V1294="OP GRADO - INGLÉS",17,"")))))</f>
        <v>31</v>
      </c>
      <c r="X1294" t="s">
        <v>3975</v>
      </c>
    </row>
    <row r="1295" spans="1:24" ht="15" x14ac:dyDescent="0.35">
      <c r="A1295" s="4">
        <v>46055.77275462963</v>
      </c>
      <c r="B1295">
        <v>20119860</v>
      </c>
      <c r="C1295" s="6" t="s">
        <v>19</v>
      </c>
      <c r="D1295">
        <v>168084</v>
      </c>
      <c r="E1295" t="s">
        <v>43</v>
      </c>
      <c r="F1295">
        <v>57440327</v>
      </c>
      <c r="G1295" t="s">
        <v>2670</v>
      </c>
      <c r="H1295">
        <v>100243652</v>
      </c>
      <c r="I1295">
        <v>202651</v>
      </c>
      <c r="J1295">
        <v>57463682</v>
      </c>
      <c r="K1295" t="s">
        <v>23</v>
      </c>
      <c r="L1295" t="s">
        <v>252</v>
      </c>
      <c r="M1295" t="s">
        <v>253</v>
      </c>
      <c r="N1295" t="s">
        <v>35</v>
      </c>
      <c r="O1295" t="s">
        <v>26</v>
      </c>
      <c r="P1295" t="s">
        <v>27</v>
      </c>
      <c r="Q1295" t="s">
        <v>28</v>
      </c>
      <c r="R1295" t="s">
        <v>29</v>
      </c>
      <c r="S1295" t="s">
        <v>30</v>
      </c>
      <c r="T1295">
        <v>1020754225</v>
      </c>
      <c r="U1295" t="s">
        <v>3948</v>
      </c>
      <c r="V1295" t="s">
        <v>3937</v>
      </c>
      <c r="W1295" s="9">
        <f>IF(V1295="pregrado",31,
IF(V1295="posgrados",31,
IF(V1295="rEINTEGROS",7,
IF(V1295="BIT",90,
IF(V1295="OP GRADO - INGLÉS",17,"")))))</f>
        <v>31</v>
      </c>
      <c r="X1295" t="s">
        <v>3981</v>
      </c>
    </row>
    <row r="1296" spans="1:24" ht="15" x14ac:dyDescent="0.35">
      <c r="A1296" s="4">
        <v>46056.340648148151</v>
      </c>
      <c r="B1296">
        <v>20119953</v>
      </c>
      <c r="C1296" s="6" t="s">
        <v>19</v>
      </c>
      <c r="D1296">
        <v>168086</v>
      </c>
      <c r="E1296" t="s">
        <v>43</v>
      </c>
      <c r="F1296">
        <v>21933845</v>
      </c>
      <c r="G1296" t="s">
        <v>2679</v>
      </c>
      <c r="H1296">
        <v>100036232</v>
      </c>
      <c r="I1296">
        <v>202651</v>
      </c>
      <c r="J1296">
        <v>1039697446</v>
      </c>
      <c r="K1296" t="s">
        <v>33</v>
      </c>
      <c r="L1296" t="s">
        <v>252</v>
      </c>
      <c r="M1296" t="s">
        <v>253</v>
      </c>
      <c r="N1296" t="s">
        <v>35</v>
      </c>
      <c r="O1296" t="s">
        <v>26</v>
      </c>
      <c r="P1296" t="s">
        <v>27</v>
      </c>
      <c r="Q1296" t="s">
        <v>28</v>
      </c>
      <c r="R1296" t="s">
        <v>29</v>
      </c>
      <c r="S1296" t="s">
        <v>30</v>
      </c>
      <c r="T1296">
        <v>1032451737</v>
      </c>
      <c r="U1296" t="s">
        <v>3948</v>
      </c>
      <c r="V1296" t="s">
        <v>3937</v>
      </c>
      <c r="W1296" s="9">
        <f>IF(V1296="pregrado",31,
IF(V1296="posgrados",31,
IF(V1296="rEINTEGROS",7,
IF(V1296="BIT",90,
IF(V1296="OP GRADO - INGLÉS",17,"")))))</f>
        <v>31</v>
      </c>
      <c r="X1296" t="s">
        <v>4033</v>
      </c>
    </row>
    <row r="1297" spans="1:24" ht="15" x14ac:dyDescent="0.35">
      <c r="A1297" s="4">
        <v>46053.498900462961</v>
      </c>
      <c r="B1297">
        <v>20119284</v>
      </c>
      <c r="C1297" s="6" t="s">
        <v>19</v>
      </c>
      <c r="D1297">
        <v>168092</v>
      </c>
      <c r="E1297" t="s">
        <v>43</v>
      </c>
      <c r="F1297">
        <v>1108332044</v>
      </c>
      <c r="G1297" t="s">
        <v>2624</v>
      </c>
      <c r="H1297">
        <v>200087182</v>
      </c>
      <c r="I1297">
        <v>202641</v>
      </c>
      <c r="J1297">
        <v>66662150</v>
      </c>
      <c r="K1297" t="s">
        <v>23</v>
      </c>
      <c r="L1297" t="s">
        <v>736</v>
      </c>
      <c r="M1297" t="s">
        <v>47</v>
      </c>
      <c r="N1297" t="s">
        <v>35</v>
      </c>
      <c r="O1297" t="s">
        <v>26</v>
      </c>
      <c r="P1297" t="s">
        <v>27</v>
      </c>
      <c r="Q1297" t="s">
        <v>28</v>
      </c>
      <c r="R1297" t="s">
        <v>29</v>
      </c>
      <c r="S1297" t="s">
        <v>30</v>
      </c>
      <c r="T1297">
        <v>1193146767</v>
      </c>
      <c r="U1297" t="s">
        <v>3936</v>
      </c>
      <c r="V1297" t="s">
        <v>3937</v>
      </c>
      <c r="W1297" s="9">
        <f>IF(V1297="pregrado",31,
IF(V1297="posgrados",31,
IF(V1297="rEINTEGROS",7,
IF(V1297="BIT",90,
IF(V1297="OP GRADO - INGLÉS",17,"")))))</f>
        <v>31</v>
      </c>
      <c r="X1297" t="s">
        <v>4072</v>
      </c>
    </row>
    <row r="1298" spans="1:24" ht="15" x14ac:dyDescent="0.35">
      <c r="A1298" s="4">
        <v>46048.69736111111</v>
      </c>
      <c r="B1298">
        <v>20117292</v>
      </c>
      <c r="C1298" s="6" t="s">
        <v>19</v>
      </c>
      <c r="D1298">
        <v>168099</v>
      </c>
      <c r="E1298" t="s">
        <v>43</v>
      </c>
      <c r="F1298">
        <v>1112622585</v>
      </c>
      <c r="G1298" t="s">
        <v>2303</v>
      </c>
      <c r="H1298">
        <v>100243676</v>
      </c>
      <c r="I1298">
        <v>202651</v>
      </c>
      <c r="J1298">
        <v>1112622585</v>
      </c>
      <c r="K1298" t="s">
        <v>23</v>
      </c>
      <c r="L1298" t="s">
        <v>252</v>
      </c>
      <c r="M1298" t="s">
        <v>253</v>
      </c>
      <c r="N1298" t="s">
        <v>35</v>
      </c>
      <c r="O1298" t="s">
        <v>26</v>
      </c>
      <c r="P1298" t="s">
        <v>27</v>
      </c>
      <c r="Q1298" t="s">
        <v>28</v>
      </c>
      <c r="R1298" t="s">
        <v>29</v>
      </c>
      <c r="S1298" t="s">
        <v>30</v>
      </c>
      <c r="T1298">
        <v>1033781417</v>
      </c>
      <c r="U1298" t="s">
        <v>3948</v>
      </c>
      <c r="V1298" t="s">
        <v>3937</v>
      </c>
      <c r="W1298" s="9">
        <f>IF(V1298="pregrado",31,
IF(V1298="posgrados",31,
IF(V1298="rEINTEGROS",7,
IF(V1298="BIT",90,
IF(V1298="OP GRADO - INGLÉS",17,"")))))</f>
        <v>31</v>
      </c>
      <c r="X1298" t="s">
        <v>4031</v>
      </c>
    </row>
    <row r="1299" spans="1:24" ht="15" x14ac:dyDescent="0.35">
      <c r="A1299" s="4">
        <v>46064.713356481479</v>
      </c>
      <c r="B1299">
        <v>20122550</v>
      </c>
      <c r="C1299" s="6" t="s">
        <v>19</v>
      </c>
      <c r="D1299">
        <v>168129</v>
      </c>
      <c r="E1299" t="s">
        <v>43</v>
      </c>
      <c r="F1299">
        <v>73353667</v>
      </c>
      <c r="G1299" t="s">
        <v>3049</v>
      </c>
      <c r="H1299">
        <v>100228432</v>
      </c>
      <c r="I1299">
        <v>202651</v>
      </c>
      <c r="J1299">
        <v>1002320031</v>
      </c>
      <c r="K1299" t="s">
        <v>23</v>
      </c>
      <c r="L1299" t="s">
        <v>252</v>
      </c>
      <c r="M1299" t="s">
        <v>253</v>
      </c>
      <c r="N1299" t="s">
        <v>35</v>
      </c>
      <c r="O1299" t="s">
        <v>26</v>
      </c>
      <c r="P1299" t="s">
        <v>27</v>
      </c>
      <c r="Q1299" t="s">
        <v>28</v>
      </c>
      <c r="R1299" t="s">
        <v>29</v>
      </c>
      <c r="S1299" t="s">
        <v>30</v>
      </c>
      <c r="T1299">
        <v>1033784244</v>
      </c>
      <c r="U1299" t="s">
        <v>3948</v>
      </c>
      <c r="V1299" t="s">
        <v>3937</v>
      </c>
      <c r="W1299" s="9">
        <f>IF(V1299="pregrado",31,
IF(V1299="posgrados",31,
IF(V1299="rEINTEGROS",7,
IF(V1299="BIT",90,
IF(V1299="OP GRADO - INGLÉS",17,"")))))</f>
        <v>31</v>
      </c>
      <c r="X1299" t="s">
        <v>4067</v>
      </c>
    </row>
    <row r="1300" spans="1:24" ht="15" x14ac:dyDescent="0.35">
      <c r="A1300" s="4">
        <v>46049.368125000001</v>
      </c>
      <c r="B1300">
        <v>20117402</v>
      </c>
      <c r="C1300" s="6" t="s">
        <v>19</v>
      </c>
      <c r="D1300">
        <v>168131</v>
      </c>
      <c r="E1300" t="s">
        <v>43</v>
      </c>
      <c r="F1300">
        <v>1032450041</v>
      </c>
      <c r="G1300" t="s">
        <v>2325</v>
      </c>
      <c r="H1300">
        <v>100144380</v>
      </c>
      <c r="I1300">
        <v>202651</v>
      </c>
      <c r="J1300">
        <v>1032450041</v>
      </c>
      <c r="K1300" t="s">
        <v>23</v>
      </c>
      <c r="L1300" t="s">
        <v>252</v>
      </c>
      <c r="M1300" t="s">
        <v>253</v>
      </c>
      <c r="N1300" t="s">
        <v>35</v>
      </c>
      <c r="O1300" t="s">
        <v>26</v>
      </c>
      <c r="P1300" t="s">
        <v>27</v>
      </c>
      <c r="Q1300" t="s">
        <v>28</v>
      </c>
      <c r="R1300" t="s">
        <v>29</v>
      </c>
      <c r="S1300" t="s">
        <v>30</v>
      </c>
      <c r="T1300">
        <v>1012355141</v>
      </c>
      <c r="U1300" t="s">
        <v>3936</v>
      </c>
      <c r="V1300" t="s">
        <v>3937</v>
      </c>
      <c r="W1300" s="9">
        <f>IF(V1300="pregrado",31,
IF(V1300="posgrados",31,
IF(V1300="rEINTEGROS",7,
IF(V1300="BIT",90,
IF(V1300="OP GRADO - INGLÉS",17,"")))))</f>
        <v>31</v>
      </c>
      <c r="X1300" t="s">
        <v>4045</v>
      </c>
    </row>
    <row r="1301" spans="1:24" ht="15" x14ac:dyDescent="0.35">
      <c r="A1301" s="4">
        <v>46050.425891203704</v>
      </c>
      <c r="B1301">
        <v>20117873</v>
      </c>
      <c r="C1301" s="6" t="s">
        <v>19</v>
      </c>
      <c r="D1301">
        <v>168133</v>
      </c>
      <c r="E1301" t="s">
        <v>43</v>
      </c>
      <c r="F1301">
        <v>1077438460</v>
      </c>
      <c r="G1301" t="s">
        <v>2392</v>
      </c>
      <c r="H1301">
        <v>100243723</v>
      </c>
      <c r="I1301">
        <v>202651</v>
      </c>
      <c r="J1301">
        <v>26345632</v>
      </c>
      <c r="K1301" t="s">
        <v>23</v>
      </c>
      <c r="L1301" t="s">
        <v>1250</v>
      </c>
      <c r="M1301" t="s">
        <v>253</v>
      </c>
      <c r="N1301" t="s">
        <v>35</v>
      </c>
      <c r="O1301" t="s">
        <v>26</v>
      </c>
      <c r="P1301" t="s">
        <v>27</v>
      </c>
      <c r="Q1301" t="s">
        <v>28</v>
      </c>
      <c r="R1301" t="s">
        <v>29</v>
      </c>
      <c r="S1301" t="s">
        <v>30</v>
      </c>
      <c r="T1301">
        <v>53116792</v>
      </c>
      <c r="U1301" t="s">
        <v>3936</v>
      </c>
      <c r="V1301" t="s">
        <v>3937</v>
      </c>
      <c r="W1301" s="9">
        <f>IF(V1301="pregrado",31,
IF(V1301="posgrados",31,
IF(V1301="rEINTEGROS",7,
IF(V1301="BIT",90,
IF(V1301="OP GRADO - INGLÉS",17,"")))))</f>
        <v>31</v>
      </c>
      <c r="X1301" t="s">
        <v>4008</v>
      </c>
    </row>
    <row r="1302" spans="1:24" ht="15" x14ac:dyDescent="0.35">
      <c r="A1302" s="4">
        <v>46050.750648148147</v>
      </c>
      <c r="B1302">
        <v>20118217</v>
      </c>
      <c r="C1302" s="6" t="s">
        <v>19</v>
      </c>
      <c r="D1302">
        <v>168140</v>
      </c>
      <c r="E1302" t="s">
        <v>43</v>
      </c>
      <c r="F1302">
        <v>1004109476</v>
      </c>
      <c r="G1302" t="s">
        <v>2440</v>
      </c>
      <c r="H1302">
        <v>100243731</v>
      </c>
      <c r="I1302">
        <v>202651</v>
      </c>
      <c r="J1302">
        <v>1004109476</v>
      </c>
      <c r="K1302" t="s">
        <v>23</v>
      </c>
      <c r="L1302" t="s">
        <v>252</v>
      </c>
      <c r="M1302" t="s">
        <v>253</v>
      </c>
      <c r="N1302">
        <v>0</v>
      </c>
      <c r="O1302" t="s">
        <v>26</v>
      </c>
      <c r="P1302" t="s">
        <v>27</v>
      </c>
      <c r="Q1302" t="s">
        <v>28</v>
      </c>
      <c r="R1302" t="s">
        <v>29</v>
      </c>
      <c r="S1302" t="s">
        <v>30</v>
      </c>
      <c r="T1302">
        <v>1014285873</v>
      </c>
      <c r="U1302" t="s">
        <v>3948</v>
      </c>
      <c r="V1302" t="s">
        <v>3937</v>
      </c>
      <c r="W1302" s="9">
        <f>IF(V1302="pregrado",31,
IF(V1302="posgrados",31,
IF(V1302="rEINTEGROS",7,
IF(V1302="BIT",90,
IF(V1302="OP GRADO - INGLÉS",17,"")))))</f>
        <v>31</v>
      </c>
      <c r="X1302" t="s">
        <v>3953</v>
      </c>
    </row>
    <row r="1303" spans="1:24" ht="15" x14ac:dyDescent="0.35">
      <c r="A1303" s="4">
        <v>46049.471608796295</v>
      </c>
      <c r="B1303">
        <v>20117485</v>
      </c>
      <c r="C1303" s="6" t="s">
        <v>19</v>
      </c>
      <c r="D1303">
        <v>168143</v>
      </c>
      <c r="E1303" t="s">
        <v>43</v>
      </c>
      <c r="F1303">
        <v>1004879527</v>
      </c>
      <c r="G1303" t="s">
        <v>2336</v>
      </c>
      <c r="H1303">
        <v>100243735</v>
      </c>
      <c r="I1303">
        <v>202641</v>
      </c>
      <c r="J1303">
        <v>1004879527</v>
      </c>
      <c r="K1303" t="s">
        <v>23</v>
      </c>
      <c r="L1303" t="s">
        <v>279</v>
      </c>
      <c r="M1303" t="s">
        <v>47</v>
      </c>
      <c r="N1303" t="s">
        <v>35</v>
      </c>
      <c r="O1303" t="s">
        <v>26</v>
      </c>
      <c r="P1303" t="s">
        <v>27</v>
      </c>
      <c r="Q1303" t="s">
        <v>28</v>
      </c>
      <c r="R1303" t="s">
        <v>29</v>
      </c>
      <c r="S1303" t="s">
        <v>30</v>
      </c>
      <c r="T1303">
        <v>1033793185</v>
      </c>
      <c r="U1303" t="s">
        <v>3948</v>
      </c>
      <c r="V1303" t="s">
        <v>3937</v>
      </c>
      <c r="W1303" s="9">
        <f>IF(V1303="pregrado",31,
IF(V1303="posgrados",31,
IF(V1303="rEINTEGROS",7,
IF(V1303="BIT",90,
IF(V1303="OP GRADO - INGLÉS",17,"")))))</f>
        <v>31</v>
      </c>
      <c r="X1303" t="s">
        <v>4082</v>
      </c>
    </row>
    <row r="1304" spans="1:24" ht="15" x14ac:dyDescent="0.35">
      <c r="A1304" s="4">
        <v>46049.418425925927</v>
      </c>
      <c r="B1304">
        <v>20117451</v>
      </c>
      <c r="C1304" s="6" t="s">
        <v>19</v>
      </c>
      <c r="D1304">
        <v>168149</v>
      </c>
      <c r="E1304" t="s">
        <v>43</v>
      </c>
      <c r="F1304">
        <v>1121873953</v>
      </c>
      <c r="G1304" t="s">
        <v>2331</v>
      </c>
      <c r="H1304">
        <v>100243746</v>
      </c>
      <c r="I1304">
        <v>202641</v>
      </c>
      <c r="J1304">
        <v>1069728890</v>
      </c>
      <c r="K1304" t="s">
        <v>23</v>
      </c>
      <c r="L1304" t="s">
        <v>294</v>
      </c>
      <c r="M1304" t="s">
        <v>47</v>
      </c>
      <c r="N1304" t="s">
        <v>35</v>
      </c>
      <c r="O1304" t="s">
        <v>26</v>
      </c>
      <c r="P1304" t="s">
        <v>27</v>
      </c>
      <c r="Q1304" t="s">
        <v>28</v>
      </c>
      <c r="R1304" t="s">
        <v>29</v>
      </c>
      <c r="S1304" t="s">
        <v>30</v>
      </c>
      <c r="T1304">
        <v>1033781417</v>
      </c>
      <c r="U1304" t="s">
        <v>3948</v>
      </c>
      <c r="V1304" t="s">
        <v>3937</v>
      </c>
      <c r="W1304" s="9">
        <f>IF(V1304="pregrado",31,
IF(V1304="posgrados",31,
IF(V1304="rEINTEGROS",7,
IF(V1304="BIT",90,
IF(V1304="OP GRADO - INGLÉS",17,"")))))</f>
        <v>31</v>
      </c>
      <c r="X1304" t="s">
        <v>4031</v>
      </c>
    </row>
    <row r="1305" spans="1:24" ht="15" x14ac:dyDescent="0.35">
      <c r="A1305" s="4">
        <v>46053.506157407406</v>
      </c>
      <c r="B1305">
        <v>20119286</v>
      </c>
      <c r="C1305" s="6" t="s">
        <v>19</v>
      </c>
      <c r="D1305">
        <v>168152</v>
      </c>
      <c r="E1305" t="s">
        <v>43</v>
      </c>
      <c r="F1305">
        <v>1050039845</v>
      </c>
      <c r="G1305" t="s">
        <v>2627</v>
      </c>
      <c r="H1305">
        <v>100243750</v>
      </c>
      <c r="I1305">
        <v>202641</v>
      </c>
      <c r="J1305">
        <v>1050039845</v>
      </c>
      <c r="K1305" t="s">
        <v>23</v>
      </c>
      <c r="L1305" t="s">
        <v>59</v>
      </c>
      <c r="M1305" t="s">
        <v>47</v>
      </c>
      <c r="N1305" t="s">
        <v>35</v>
      </c>
      <c r="O1305" t="s">
        <v>26</v>
      </c>
      <c r="P1305" t="s">
        <v>27</v>
      </c>
      <c r="Q1305" t="s">
        <v>28</v>
      </c>
      <c r="R1305" t="s">
        <v>29</v>
      </c>
      <c r="S1305" t="s">
        <v>30</v>
      </c>
      <c r="T1305">
        <v>1193146767</v>
      </c>
      <c r="U1305" t="s">
        <v>3936</v>
      </c>
      <c r="V1305" t="s">
        <v>3937</v>
      </c>
      <c r="W1305" s="9">
        <f>IF(V1305="pregrado",31,
IF(V1305="posgrados",31,
IF(V1305="rEINTEGROS",7,
IF(V1305="BIT",90,
IF(V1305="OP GRADO - INGLÉS",17,"")))))</f>
        <v>31</v>
      </c>
      <c r="X1305" t="s">
        <v>4072</v>
      </c>
    </row>
    <row r="1306" spans="1:24" ht="15" x14ac:dyDescent="0.35">
      <c r="A1306" s="4">
        <v>46049.688275462962</v>
      </c>
      <c r="B1306">
        <v>20117694</v>
      </c>
      <c r="C1306" s="6" t="s">
        <v>19</v>
      </c>
      <c r="D1306">
        <v>168171</v>
      </c>
      <c r="E1306" t="s">
        <v>43</v>
      </c>
      <c r="F1306">
        <v>34554482</v>
      </c>
      <c r="G1306" t="s">
        <v>2366</v>
      </c>
      <c r="H1306">
        <v>100243781</v>
      </c>
      <c r="I1306">
        <v>202651</v>
      </c>
      <c r="J1306">
        <v>1061783385</v>
      </c>
      <c r="K1306" t="s">
        <v>23</v>
      </c>
      <c r="L1306" t="s">
        <v>252</v>
      </c>
      <c r="M1306" t="s">
        <v>253</v>
      </c>
      <c r="N1306" t="s">
        <v>35</v>
      </c>
      <c r="O1306" t="s">
        <v>26</v>
      </c>
      <c r="P1306" t="s">
        <v>27</v>
      </c>
      <c r="Q1306" t="s">
        <v>28</v>
      </c>
      <c r="R1306" t="s">
        <v>29</v>
      </c>
      <c r="S1306" t="s">
        <v>30</v>
      </c>
      <c r="T1306">
        <v>52032666</v>
      </c>
      <c r="U1306" t="s">
        <v>3948</v>
      </c>
      <c r="V1306" t="s">
        <v>3937</v>
      </c>
      <c r="W1306" s="9">
        <f>IF(V1306="pregrado",31,
IF(V1306="posgrados",31,
IF(V1306="rEINTEGROS",7,
IF(V1306="BIT",90,
IF(V1306="OP GRADO - INGLÉS",17,"")))))</f>
        <v>31</v>
      </c>
      <c r="X1306" t="s">
        <v>3983</v>
      </c>
    </row>
    <row r="1307" spans="1:24" ht="15" x14ac:dyDescent="0.35">
      <c r="A1307" s="4">
        <v>46049.737534722219</v>
      </c>
      <c r="B1307">
        <v>20117746</v>
      </c>
      <c r="C1307" s="6" t="s">
        <v>19</v>
      </c>
      <c r="D1307">
        <v>168180</v>
      </c>
      <c r="E1307" t="s">
        <v>43</v>
      </c>
      <c r="F1307">
        <v>52755221</v>
      </c>
      <c r="G1307" t="s">
        <v>2374</v>
      </c>
      <c r="H1307">
        <v>100243733</v>
      </c>
      <c r="I1307">
        <v>202641</v>
      </c>
      <c r="J1307">
        <v>52755221</v>
      </c>
      <c r="K1307" t="s">
        <v>23</v>
      </c>
      <c r="L1307" t="s">
        <v>342</v>
      </c>
      <c r="M1307" t="s">
        <v>47</v>
      </c>
      <c r="N1307" t="s">
        <v>35</v>
      </c>
      <c r="O1307" t="s">
        <v>26</v>
      </c>
      <c r="P1307" t="s">
        <v>27</v>
      </c>
      <c r="Q1307" t="s">
        <v>28</v>
      </c>
      <c r="R1307" t="s">
        <v>29</v>
      </c>
      <c r="S1307" t="s">
        <v>30</v>
      </c>
      <c r="T1307">
        <v>1033784244</v>
      </c>
      <c r="U1307" t="s">
        <v>3948</v>
      </c>
      <c r="V1307" t="s">
        <v>3937</v>
      </c>
      <c r="W1307" s="9">
        <f>IF(V1307="pregrado",31,
IF(V1307="posgrados",31,
IF(V1307="rEINTEGROS",7,
IF(V1307="BIT",90,
IF(V1307="OP GRADO - INGLÉS",17,"")))))</f>
        <v>31</v>
      </c>
      <c r="X1307" t="s">
        <v>4067</v>
      </c>
    </row>
    <row r="1308" spans="1:24" ht="15" x14ac:dyDescent="0.35">
      <c r="A1308" s="4">
        <v>46049.584456018521</v>
      </c>
      <c r="B1308">
        <v>20117570</v>
      </c>
      <c r="C1308" s="6" t="s">
        <v>19</v>
      </c>
      <c r="D1308">
        <v>168183</v>
      </c>
      <c r="E1308" t="s">
        <v>43</v>
      </c>
      <c r="F1308">
        <v>1098821984</v>
      </c>
      <c r="G1308" t="s">
        <v>2346</v>
      </c>
      <c r="H1308">
        <v>100243802</v>
      </c>
      <c r="I1308">
        <v>202641</v>
      </c>
      <c r="J1308">
        <v>1098821984</v>
      </c>
      <c r="K1308" t="s">
        <v>23</v>
      </c>
      <c r="L1308" t="s">
        <v>59</v>
      </c>
      <c r="M1308" t="s">
        <v>47</v>
      </c>
      <c r="N1308" t="s">
        <v>35</v>
      </c>
      <c r="O1308" t="s">
        <v>26</v>
      </c>
      <c r="P1308" t="s">
        <v>27</v>
      </c>
      <c r="Q1308" t="s">
        <v>28</v>
      </c>
      <c r="R1308" t="s">
        <v>29</v>
      </c>
      <c r="S1308" t="s">
        <v>30</v>
      </c>
      <c r="T1308">
        <v>1022407392</v>
      </c>
      <c r="U1308" t="s">
        <v>3936</v>
      </c>
      <c r="V1308" t="s">
        <v>3937</v>
      </c>
      <c r="W1308" s="9">
        <f>IF(V1308="pregrado",31,
IF(V1308="posgrados",31,
IF(V1308="rEINTEGROS",7,
IF(V1308="BIT",90,
IF(V1308="OP GRADO - INGLÉS",17,"")))))</f>
        <v>31</v>
      </c>
      <c r="X1308" t="s">
        <v>3975</v>
      </c>
    </row>
    <row r="1309" spans="1:24" ht="15" x14ac:dyDescent="0.35">
      <c r="A1309" s="4">
        <v>46064.84479166667</v>
      </c>
      <c r="B1309">
        <v>20122615</v>
      </c>
      <c r="C1309" s="6" t="s">
        <v>19</v>
      </c>
      <c r="D1309">
        <v>168184</v>
      </c>
      <c r="E1309" t="s">
        <v>43</v>
      </c>
      <c r="F1309">
        <v>52839455</v>
      </c>
      <c r="G1309" t="s">
        <v>3062</v>
      </c>
      <c r="H1309">
        <v>100101134</v>
      </c>
      <c r="I1309">
        <v>202651</v>
      </c>
      <c r="J1309">
        <v>52839455</v>
      </c>
      <c r="K1309" t="s">
        <v>46</v>
      </c>
      <c r="L1309" t="s">
        <v>252</v>
      </c>
      <c r="M1309" t="s">
        <v>253</v>
      </c>
      <c r="N1309" t="s">
        <v>35</v>
      </c>
      <c r="O1309" t="s">
        <v>26</v>
      </c>
      <c r="P1309" t="s">
        <v>27</v>
      </c>
      <c r="Q1309" t="s">
        <v>28</v>
      </c>
      <c r="R1309" t="s">
        <v>29</v>
      </c>
      <c r="S1309" t="s">
        <v>30</v>
      </c>
      <c r="T1309">
        <v>52032666</v>
      </c>
      <c r="U1309" t="s">
        <v>3948</v>
      </c>
      <c r="V1309" t="s">
        <v>3937</v>
      </c>
      <c r="W1309" s="9">
        <f>IF(V1309="pregrado",31,
IF(V1309="posgrados",31,
IF(V1309="rEINTEGROS",7,
IF(V1309="BIT",90,
IF(V1309="OP GRADO - INGLÉS",17,"")))))</f>
        <v>31</v>
      </c>
      <c r="X1309" t="s">
        <v>3983</v>
      </c>
    </row>
    <row r="1310" spans="1:24" ht="15" x14ac:dyDescent="0.35">
      <c r="A1310" s="4">
        <v>46081.465752314813</v>
      </c>
      <c r="B1310">
        <v>20127041</v>
      </c>
      <c r="C1310" s="6" t="s">
        <v>19</v>
      </c>
      <c r="D1310">
        <v>168189</v>
      </c>
      <c r="E1310" t="s">
        <v>43</v>
      </c>
      <c r="F1310">
        <v>1075280163</v>
      </c>
      <c r="G1310" t="s">
        <v>3757</v>
      </c>
      <c r="H1310">
        <v>100206896</v>
      </c>
      <c r="I1310">
        <v>202651</v>
      </c>
      <c r="J1310">
        <v>1075280163</v>
      </c>
      <c r="K1310" t="s">
        <v>46</v>
      </c>
      <c r="L1310" t="s">
        <v>252</v>
      </c>
      <c r="M1310" t="s">
        <v>253</v>
      </c>
      <c r="N1310" t="s">
        <v>35</v>
      </c>
      <c r="O1310" t="s">
        <v>26</v>
      </c>
      <c r="P1310" t="s">
        <v>27</v>
      </c>
      <c r="Q1310" t="s">
        <v>28</v>
      </c>
      <c r="R1310" t="s">
        <v>29</v>
      </c>
      <c r="S1310" t="s">
        <v>30</v>
      </c>
      <c r="T1310">
        <v>1140420282</v>
      </c>
      <c r="U1310" t="s">
        <v>3948</v>
      </c>
      <c r="V1310" t="s">
        <v>3937</v>
      </c>
      <c r="W1310" s="9">
        <f>IF(V1310="pregrado",31,
IF(V1310="posgrados",31,
IF(V1310="rEINTEGROS",7,
IF(V1310="BIT",90,
IF(V1310="OP GRADO - INGLÉS",17,"")))))</f>
        <v>31</v>
      </c>
      <c r="X1310" t="s">
        <v>3972</v>
      </c>
    </row>
    <row r="1311" spans="1:24" ht="15" x14ac:dyDescent="0.35">
      <c r="A1311" s="4">
        <v>46051.500949074078</v>
      </c>
      <c r="B1311">
        <v>20118458</v>
      </c>
      <c r="C1311" s="6" t="s">
        <v>19</v>
      </c>
      <c r="D1311">
        <v>168193</v>
      </c>
      <c r="E1311" t="s">
        <v>43</v>
      </c>
      <c r="F1311">
        <v>1069506861</v>
      </c>
      <c r="G1311" t="s">
        <v>2480</v>
      </c>
      <c r="H1311">
        <v>100243793</v>
      </c>
      <c r="I1311">
        <v>202641</v>
      </c>
      <c r="J1311">
        <v>1069489502</v>
      </c>
      <c r="K1311" t="s">
        <v>23</v>
      </c>
      <c r="L1311" t="s">
        <v>59</v>
      </c>
      <c r="M1311" t="s">
        <v>47</v>
      </c>
      <c r="N1311" t="s">
        <v>35</v>
      </c>
      <c r="O1311" t="s">
        <v>26</v>
      </c>
      <c r="P1311" t="s">
        <v>27</v>
      </c>
      <c r="Q1311" t="s">
        <v>28</v>
      </c>
      <c r="R1311" t="s">
        <v>29</v>
      </c>
      <c r="S1311" t="s">
        <v>30</v>
      </c>
      <c r="T1311">
        <v>53116792</v>
      </c>
      <c r="U1311" t="s">
        <v>3936</v>
      </c>
      <c r="V1311" t="s">
        <v>3937</v>
      </c>
      <c r="W1311" s="9">
        <f>IF(V1311="pregrado",31,
IF(V1311="posgrados",31,
IF(V1311="rEINTEGROS",7,
IF(V1311="BIT",90,
IF(V1311="OP GRADO - INGLÉS",17,"")))))</f>
        <v>31</v>
      </c>
      <c r="X1311" t="s">
        <v>4008</v>
      </c>
    </row>
    <row r="1312" spans="1:24" ht="15" x14ac:dyDescent="0.35">
      <c r="A1312" s="4">
        <v>46076.303969907407</v>
      </c>
      <c r="B1312">
        <v>20125552</v>
      </c>
      <c r="C1312" s="6" t="s">
        <v>19</v>
      </c>
      <c r="D1312">
        <v>168198</v>
      </c>
      <c r="E1312" t="s">
        <v>43</v>
      </c>
      <c r="F1312">
        <v>1001326030</v>
      </c>
      <c r="G1312" t="s">
        <v>3525</v>
      </c>
      <c r="H1312">
        <v>100145289</v>
      </c>
      <c r="I1312">
        <v>202641</v>
      </c>
      <c r="J1312">
        <v>1001326030</v>
      </c>
      <c r="K1312" t="s">
        <v>46</v>
      </c>
      <c r="L1312" t="s">
        <v>59</v>
      </c>
      <c r="M1312" t="s">
        <v>47</v>
      </c>
      <c r="N1312" t="s">
        <v>35</v>
      </c>
      <c r="O1312" t="s">
        <v>26</v>
      </c>
      <c r="P1312" t="s">
        <v>27</v>
      </c>
      <c r="Q1312" t="s">
        <v>28</v>
      </c>
      <c r="R1312" t="s">
        <v>29</v>
      </c>
      <c r="S1312" t="s">
        <v>30</v>
      </c>
      <c r="T1312">
        <v>1032451737</v>
      </c>
      <c r="U1312" t="s">
        <v>3948</v>
      </c>
      <c r="V1312" t="s">
        <v>3937</v>
      </c>
      <c r="W1312" s="9">
        <f>IF(V1312="pregrado",31,
IF(V1312="posgrados",31,
IF(V1312="rEINTEGROS",7,
IF(V1312="BIT",90,
IF(V1312="OP GRADO - INGLÉS",17,"")))))</f>
        <v>31</v>
      </c>
      <c r="X1312" t="s">
        <v>4033</v>
      </c>
    </row>
    <row r="1313" spans="1:24" ht="15" x14ac:dyDescent="0.35">
      <c r="A1313" s="4">
        <v>46051.726597222223</v>
      </c>
      <c r="B1313">
        <v>20118681</v>
      </c>
      <c r="C1313" s="6" t="s">
        <v>19</v>
      </c>
      <c r="D1313">
        <v>168206</v>
      </c>
      <c r="E1313" t="s">
        <v>43</v>
      </c>
      <c r="F1313">
        <v>1076384874</v>
      </c>
      <c r="G1313" t="s">
        <v>2519</v>
      </c>
      <c r="H1313">
        <v>100043917</v>
      </c>
      <c r="I1313">
        <v>202651</v>
      </c>
      <c r="J1313">
        <v>1076384874</v>
      </c>
      <c r="K1313" t="s">
        <v>23</v>
      </c>
      <c r="L1313" t="s">
        <v>252</v>
      </c>
      <c r="M1313" t="s">
        <v>253</v>
      </c>
      <c r="N1313" t="s">
        <v>35</v>
      </c>
      <c r="O1313" t="s">
        <v>26</v>
      </c>
      <c r="P1313" t="s">
        <v>27</v>
      </c>
      <c r="Q1313" t="s">
        <v>28</v>
      </c>
      <c r="R1313" t="s">
        <v>29</v>
      </c>
      <c r="S1313" t="s">
        <v>30</v>
      </c>
      <c r="T1313">
        <v>1032451737</v>
      </c>
      <c r="U1313" t="s">
        <v>3948</v>
      </c>
      <c r="V1313" t="s">
        <v>3937</v>
      </c>
      <c r="W1313" s="9">
        <f>IF(V1313="pregrado",31,
IF(V1313="posgrados",31,
IF(V1313="rEINTEGROS",7,
IF(V1313="BIT",90,
IF(V1313="OP GRADO - INGLÉS",17,"")))))</f>
        <v>31</v>
      </c>
      <c r="X1313" t="s">
        <v>4033</v>
      </c>
    </row>
    <row r="1314" spans="1:24" ht="15" x14ac:dyDescent="0.35">
      <c r="A1314" s="4">
        <v>46052.687418981484</v>
      </c>
      <c r="B1314">
        <v>20119071</v>
      </c>
      <c r="C1314" s="6" t="s">
        <v>19</v>
      </c>
      <c r="D1314">
        <v>168209</v>
      </c>
      <c r="E1314" t="s">
        <v>43</v>
      </c>
      <c r="F1314">
        <v>40612197</v>
      </c>
      <c r="G1314" t="s">
        <v>2581</v>
      </c>
      <c r="H1314">
        <v>100243846</v>
      </c>
      <c r="I1314">
        <v>202641</v>
      </c>
      <c r="J1314">
        <v>40612197</v>
      </c>
      <c r="K1314" t="s">
        <v>23</v>
      </c>
      <c r="L1314" t="s">
        <v>160</v>
      </c>
      <c r="M1314" t="s">
        <v>47</v>
      </c>
      <c r="N1314" t="s">
        <v>35</v>
      </c>
      <c r="O1314" t="s">
        <v>26</v>
      </c>
      <c r="P1314" t="s">
        <v>27</v>
      </c>
      <c r="Q1314" t="s">
        <v>28</v>
      </c>
      <c r="R1314" t="s">
        <v>29</v>
      </c>
      <c r="S1314" t="s">
        <v>30</v>
      </c>
      <c r="T1314">
        <v>1016030683</v>
      </c>
      <c r="U1314" t="s">
        <v>3936</v>
      </c>
      <c r="V1314" t="s">
        <v>3937</v>
      </c>
      <c r="W1314" s="9">
        <f>IF(V1314="pregrado",31,
IF(V1314="posgrados",31,
IF(V1314="rEINTEGROS",7,
IF(V1314="BIT",90,
IF(V1314="OP GRADO - INGLÉS",17,"")))))</f>
        <v>31</v>
      </c>
      <c r="X1314" t="s">
        <v>3992</v>
      </c>
    </row>
    <row r="1315" spans="1:24" ht="15" x14ac:dyDescent="0.35">
      <c r="A1315" s="4">
        <v>46050.739861111113</v>
      </c>
      <c r="B1315">
        <v>20118211</v>
      </c>
      <c r="C1315" s="6" t="s">
        <v>19</v>
      </c>
      <c r="D1315">
        <v>168216</v>
      </c>
      <c r="E1315" t="s">
        <v>43</v>
      </c>
      <c r="F1315">
        <v>3727117</v>
      </c>
      <c r="G1315" t="s">
        <v>2439</v>
      </c>
      <c r="H1315">
        <v>100243855</v>
      </c>
      <c r="I1315">
        <v>202641</v>
      </c>
      <c r="J1315">
        <v>1047221735</v>
      </c>
      <c r="K1315" t="s">
        <v>23</v>
      </c>
      <c r="L1315" t="s">
        <v>279</v>
      </c>
      <c r="M1315" t="s">
        <v>47</v>
      </c>
      <c r="N1315" t="s">
        <v>35</v>
      </c>
      <c r="O1315" t="s">
        <v>26</v>
      </c>
      <c r="P1315" t="s">
        <v>27</v>
      </c>
      <c r="Q1315" t="s">
        <v>28</v>
      </c>
      <c r="R1315" t="s">
        <v>29</v>
      </c>
      <c r="S1315" t="s">
        <v>30</v>
      </c>
      <c r="T1315">
        <v>1022407392</v>
      </c>
      <c r="U1315" t="s">
        <v>3936</v>
      </c>
      <c r="V1315" t="s">
        <v>3937</v>
      </c>
      <c r="W1315" s="9">
        <f>IF(V1315="pregrado",31,
IF(V1315="posgrados",31,
IF(V1315="rEINTEGROS",7,
IF(V1315="BIT",90,
IF(V1315="OP GRADO - INGLÉS",17,"")))))</f>
        <v>31</v>
      </c>
      <c r="X1315" t="s">
        <v>3975</v>
      </c>
    </row>
    <row r="1316" spans="1:24" ht="15" x14ac:dyDescent="0.35">
      <c r="A1316" s="4">
        <v>46066.506493055553</v>
      </c>
      <c r="B1316">
        <v>20123173</v>
      </c>
      <c r="C1316" s="6" t="s">
        <v>19</v>
      </c>
      <c r="D1316">
        <v>168219</v>
      </c>
      <c r="E1316" t="s">
        <v>43</v>
      </c>
      <c r="F1316">
        <v>31530388</v>
      </c>
      <c r="G1316" t="s">
        <v>3161</v>
      </c>
      <c r="H1316">
        <v>100243858</v>
      </c>
      <c r="I1316">
        <v>202651</v>
      </c>
      <c r="J1316">
        <v>1112489759</v>
      </c>
      <c r="K1316" t="s">
        <v>23</v>
      </c>
      <c r="L1316" t="s">
        <v>252</v>
      </c>
      <c r="M1316" t="s">
        <v>253</v>
      </c>
      <c r="N1316" t="s">
        <v>35</v>
      </c>
      <c r="O1316" t="s">
        <v>26</v>
      </c>
      <c r="P1316" t="s">
        <v>27</v>
      </c>
      <c r="Q1316" t="s">
        <v>28</v>
      </c>
      <c r="R1316" t="s">
        <v>29</v>
      </c>
      <c r="S1316" t="s">
        <v>30</v>
      </c>
      <c r="T1316">
        <v>1019068131</v>
      </c>
      <c r="U1316" t="s">
        <v>3948</v>
      </c>
      <c r="V1316" t="s">
        <v>3937</v>
      </c>
      <c r="W1316" s="9">
        <f>IF(V1316="pregrado",31,
IF(V1316="posgrados",31,
IF(V1316="rEINTEGROS",7,
IF(V1316="BIT",90,
IF(V1316="OP GRADO - INGLÉS",17,"")))))</f>
        <v>31</v>
      </c>
      <c r="X1316" t="s">
        <v>4066</v>
      </c>
    </row>
    <row r="1317" spans="1:24" ht="15" x14ac:dyDescent="0.35">
      <c r="A1317" s="4">
        <v>46049.677719907406</v>
      </c>
      <c r="B1317">
        <v>20117683</v>
      </c>
      <c r="C1317" s="6" t="s">
        <v>19</v>
      </c>
      <c r="D1317">
        <v>168228</v>
      </c>
      <c r="E1317" t="s">
        <v>43</v>
      </c>
      <c r="F1317">
        <v>1073669433</v>
      </c>
      <c r="G1317" t="s">
        <v>2362</v>
      </c>
      <c r="H1317">
        <v>100118575</v>
      </c>
      <c r="I1317">
        <v>202651</v>
      </c>
      <c r="J1317">
        <v>1073669433</v>
      </c>
      <c r="K1317" t="s">
        <v>74</v>
      </c>
      <c r="L1317" t="s">
        <v>252</v>
      </c>
      <c r="M1317" t="s">
        <v>253</v>
      </c>
      <c r="N1317" t="s">
        <v>35</v>
      </c>
      <c r="O1317" t="s">
        <v>26</v>
      </c>
      <c r="P1317" t="s">
        <v>27</v>
      </c>
      <c r="Q1317" t="s">
        <v>28</v>
      </c>
      <c r="R1317" t="s">
        <v>29</v>
      </c>
      <c r="S1317" t="s">
        <v>30</v>
      </c>
      <c r="T1317">
        <v>52916205</v>
      </c>
      <c r="U1317" t="s">
        <v>3936</v>
      </c>
      <c r="V1317" t="s">
        <v>3937</v>
      </c>
      <c r="W1317" s="9">
        <f>IF(V1317="pregrado",31,
IF(V1317="posgrados",31,
IF(V1317="rEINTEGROS",7,
IF(V1317="BIT",90,
IF(V1317="OP GRADO - INGLÉS",17,"")))))</f>
        <v>31</v>
      </c>
      <c r="X1317" t="s">
        <v>4032</v>
      </c>
    </row>
    <row r="1318" spans="1:24" ht="15" x14ac:dyDescent="0.35">
      <c r="A1318" s="4">
        <v>46050.499305555553</v>
      </c>
      <c r="B1318">
        <v>20117945</v>
      </c>
      <c r="C1318" s="6" t="s">
        <v>19</v>
      </c>
      <c r="D1318">
        <v>168260</v>
      </c>
      <c r="E1318" t="s">
        <v>43</v>
      </c>
      <c r="F1318">
        <v>1073824184</v>
      </c>
      <c r="G1318" t="s">
        <v>2404</v>
      </c>
      <c r="H1318">
        <v>100243925</v>
      </c>
      <c r="I1318">
        <v>202651</v>
      </c>
      <c r="J1318">
        <v>1073824184</v>
      </c>
      <c r="K1318" t="s">
        <v>23</v>
      </c>
      <c r="L1318" t="s">
        <v>252</v>
      </c>
      <c r="M1318" t="s">
        <v>253</v>
      </c>
      <c r="N1318" t="s">
        <v>35</v>
      </c>
      <c r="O1318" t="s">
        <v>26</v>
      </c>
      <c r="P1318" t="s">
        <v>27</v>
      </c>
      <c r="Q1318" t="s">
        <v>28</v>
      </c>
      <c r="R1318" t="s">
        <v>29</v>
      </c>
      <c r="S1318" t="s">
        <v>30</v>
      </c>
      <c r="T1318">
        <v>1033781417</v>
      </c>
      <c r="U1318" t="s">
        <v>3948</v>
      </c>
      <c r="V1318" t="s">
        <v>3937</v>
      </c>
      <c r="W1318" s="9">
        <f>IF(V1318="pregrado",31,
IF(V1318="posgrados",31,
IF(V1318="rEINTEGROS",7,
IF(V1318="BIT",90,
IF(V1318="OP GRADO - INGLÉS",17,"")))))</f>
        <v>31</v>
      </c>
      <c r="X1318" t="s">
        <v>4031</v>
      </c>
    </row>
    <row r="1319" spans="1:24" ht="15" x14ac:dyDescent="0.35">
      <c r="A1319" s="4">
        <v>46050.517164351855</v>
      </c>
      <c r="B1319">
        <v>20117965</v>
      </c>
      <c r="C1319" s="6" t="s">
        <v>19</v>
      </c>
      <c r="D1319">
        <v>168269</v>
      </c>
      <c r="E1319" t="s">
        <v>43</v>
      </c>
      <c r="F1319">
        <v>14138526</v>
      </c>
      <c r="G1319" t="s">
        <v>2409</v>
      </c>
      <c r="H1319">
        <v>100243937</v>
      </c>
      <c r="I1319">
        <v>202641</v>
      </c>
      <c r="J1319">
        <v>14138526</v>
      </c>
      <c r="K1319" t="s">
        <v>23</v>
      </c>
      <c r="L1319" t="s">
        <v>2410</v>
      </c>
      <c r="M1319" t="s">
        <v>47</v>
      </c>
      <c r="N1319" t="s">
        <v>35</v>
      </c>
      <c r="O1319" t="s">
        <v>26</v>
      </c>
      <c r="P1319" t="s">
        <v>27</v>
      </c>
      <c r="Q1319" t="s">
        <v>28</v>
      </c>
      <c r="R1319" t="s">
        <v>29</v>
      </c>
      <c r="S1319" t="s">
        <v>30</v>
      </c>
      <c r="T1319">
        <v>52032666</v>
      </c>
      <c r="U1319" t="s">
        <v>3948</v>
      </c>
      <c r="V1319" t="s">
        <v>3937</v>
      </c>
      <c r="W1319" s="9">
        <f>IF(V1319="pregrado",31,
IF(V1319="posgrados",31,
IF(V1319="rEINTEGROS",7,
IF(V1319="BIT",90,
IF(V1319="OP GRADO - INGLÉS",17,"")))))</f>
        <v>31</v>
      </c>
      <c r="X1319" t="s">
        <v>3983</v>
      </c>
    </row>
    <row r="1320" spans="1:24" ht="15" x14ac:dyDescent="0.35">
      <c r="A1320" s="4">
        <v>46058.578564814816</v>
      </c>
      <c r="B1320">
        <v>20120858</v>
      </c>
      <c r="C1320" s="6" t="s">
        <v>19</v>
      </c>
      <c r="D1320">
        <v>168270</v>
      </c>
      <c r="E1320" t="s">
        <v>43</v>
      </c>
      <c r="F1320">
        <v>1111338433</v>
      </c>
      <c r="G1320" t="s">
        <v>2812</v>
      </c>
      <c r="H1320">
        <v>100243940</v>
      </c>
      <c r="I1320">
        <v>202651</v>
      </c>
      <c r="J1320">
        <v>1111338433</v>
      </c>
      <c r="K1320" t="s">
        <v>23</v>
      </c>
      <c r="L1320" t="s">
        <v>252</v>
      </c>
      <c r="M1320" t="s">
        <v>253</v>
      </c>
      <c r="N1320" t="s">
        <v>35</v>
      </c>
      <c r="O1320" t="s">
        <v>26</v>
      </c>
      <c r="P1320" t="s">
        <v>27</v>
      </c>
      <c r="Q1320" t="s">
        <v>28</v>
      </c>
      <c r="R1320" t="s">
        <v>29</v>
      </c>
      <c r="S1320" t="s">
        <v>30</v>
      </c>
      <c r="T1320">
        <v>1020754225</v>
      </c>
      <c r="U1320" t="s">
        <v>3948</v>
      </c>
      <c r="V1320" t="s">
        <v>3937</v>
      </c>
      <c r="W1320" s="9">
        <f>IF(V1320="pregrado",31,
IF(V1320="posgrados",31,
IF(V1320="rEINTEGROS",7,
IF(V1320="BIT",90,
IF(V1320="OP GRADO - INGLÉS",17,"")))))</f>
        <v>31</v>
      </c>
      <c r="X1320" t="s">
        <v>3981</v>
      </c>
    </row>
    <row r="1321" spans="1:24" ht="15" x14ac:dyDescent="0.35">
      <c r="A1321" s="4">
        <v>46065.829293981478</v>
      </c>
      <c r="B1321">
        <v>20123019</v>
      </c>
      <c r="C1321" s="6" t="s">
        <v>19</v>
      </c>
      <c r="D1321">
        <v>168282</v>
      </c>
      <c r="E1321" t="s">
        <v>43</v>
      </c>
      <c r="F1321">
        <v>1075247349</v>
      </c>
      <c r="G1321" t="s">
        <v>3131</v>
      </c>
      <c r="H1321">
        <v>100243955</v>
      </c>
      <c r="I1321">
        <v>202651</v>
      </c>
      <c r="J1321">
        <v>1017277039</v>
      </c>
      <c r="K1321" t="s">
        <v>23</v>
      </c>
      <c r="L1321" t="s">
        <v>542</v>
      </c>
      <c r="M1321" t="s">
        <v>253</v>
      </c>
      <c r="N1321" t="s">
        <v>35</v>
      </c>
      <c r="O1321" t="s">
        <v>26</v>
      </c>
      <c r="P1321" t="s">
        <v>27</v>
      </c>
      <c r="Q1321" t="s">
        <v>28</v>
      </c>
      <c r="R1321" t="s">
        <v>29</v>
      </c>
      <c r="S1321" t="s">
        <v>30</v>
      </c>
      <c r="T1321">
        <v>1070973852</v>
      </c>
      <c r="U1321" t="s">
        <v>3936</v>
      </c>
      <c r="V1321" t="s">
        <v>3937</v>
      </c>
      <c r="W1321" s="9">
        <f>IF(V1321="pregrado",31,
IF(V1321="posgrados",31,
IF(V1321="rEINTEGROS",7,
IF(V1321="BIT",90,
IF(V1321="OP GRADO - INGLÉS",17,"")))))</f>
        <v>31</v>
      </c>
      <c r="X1321" t="s">
        <v>3957</v>
      </c>
    </row>
    <row r="1322" spans="1:24" ht="15" x14ac:dyDescent="0.35">
      <c r="A1322" s="4">
        <v>46051.68378472222</v>
      </c>
      <c r="B1322">
        <v>20118638</v>
      </c>
      <c r="C1322" s="6" t="s">
        <v>19</v>
      </c>
      <c r="D1322">
        <v>168286</v>
      </c>
      <c r="E1322" t="s">
        <v>43</v>
      </c>
      <c r="F1322">
        <v>1125183915</v>
      </c>
      <c r="G1322" t="s">
        <v>2512</v>
      </c>
      <c r="H1322">
        <v>100043973</v>
      </c>
      <c r="I1322">
        <v>202651</v>
      </c>
      <c r="J1322">
        <v>1125183915</v>
      </c>
      <c r="K1322" t="s">
        <v>23</v>
      </c>
      <c r="L1322" t="s">
        <v>252</v>
      </c>
      <c r="M1322" t="s">
        <v>253</v>
      </c>
      <c r="N1322" t="s">
        <v>35</v>
      </c>
      <c r="O1322" t="s">
        <v>26</v>
      </c>
      <c r="P1322" t="s">
        <v>27</v>
      </c>
      <c r="Q1322" t="s">
        <v>28</v>
      </c>
      <c r="R1322" t="s">
        <v>29</v>
      </c>
      <c r="S1322" t="s">
        <v>30</v>
      </c>
      <c r="T1322">
        <v>1140420282</v>
      </c>
      <c r="U1322" t="s">
        <v>3948</v>
      </c>
      <c r="V1322" t="s">
        <v>3937</v>
      </c>
      <c r="W1322" s="9">
        <f>IF(V1322="pregrado",31,
IF(V1322="posgrados",31,
IF(V1322="rEINTEGROS",7,
IF(V1322="BIT",90,
IF(V1322="OP GRADO - INGLÉS",17,"")))))</f>
        <v>31</v>
      </c>
      <c r="X1322" t="s">
        <v>3972</v>
      </c>
    </row>
    <row r="1323" spans="1:24" ht="15" x14ac:dyDescent="0.35">
      <c r="A1323" s="4">
        <v>46050.345937500002</v>
      </c>
      <c r="B1323">
        <v>20117812</v>
      </c>
      <c r="C1323" s="6" t="s">
        <v>19</v>
      </c>
      <c r="D1323">
        <v>168292</v>
      </c>
      <c r="E1323" t="s">
        <v>43</v>
      </c>
      <c r="F1323">
        <v>1122138215</v>
      </c>
      <c r="G1323" t="s">
        <v>2384</v>
      </c>
      <c r="H1323">
        <v>100142777</v>
      </c>
      <c r="I1323">
        <v>202651</v>
      </c>
      <c r="J1323">
        <v>1122138215</v>
      </c>
      <c r="K1323" t="s">
        <v>23</v>
      </c>
      <c r="L1323" t="s">
        <v>252</v>
      </c>
      <c r="M1323" t="s">
        <v>253</v>
      </c>
      <c r="N1323" t="s">
        <v>35</v>
      </c>
      <c r="O1323" t="s">
        <v>26</v>
      </c>
      <c r="P1323" t="s">
        <v>27</v>
      </c>
      <c r="Q1323" t="s">
        <v>28</v>
      </c>
      <c r="R1323" t="s">
        <v>29</v>
      </c>
      <c r="S1323" t="s">
        <v>30</v>
      </c>
      <c r="T1323">
        <v>1233513889</v>
      </c>
      <c r="U1323" t="s">
        <v>3948</v>
      </c>
      <c r="V1323" t="s">
        <v>3937</v>
      </c>
      <c r="W1323" s="9">
        <f>IF(V1323="pregrado",31,
IF(V1323="posgrados",31,
IF(V1323="rEINTEGROS",7,
IF(V1323="BIT",90,
IF(V1323="OP GRADO - INGLÉS",17,"")))))</f>
        <v>31</v>
      </c>
      <c r="X1323" t="s">
        <v>4035</v>
      </c>
    </row>
    <row r="1324" spans="1:24" ht="15" x14ac:dyDescent="0.35">
      <c r="A1324" s="4">
        <v>46050.448587962965</v>
      </c>
      <c r="B1324">
        <v>20117892</v>
      </c>
      <c r="C1324" s="6" t="s">
        <v>19</v>
      </c>
      <c r="D1324">
        <v>168296</v>
      </c>
      <c r="E1324" t="s">
        <v>43</v>
      </c>
      <c r="F1324">
        <v>52300348</v>
      </c>
      <c r="G1324" t="s">
        <v>2396</v>
      </c>
      <c r="H1324">
        <v>100243966</v>
      </c>
      <c r="I1324">
        <v>202651</v>
      </c>
      <c r="J1324">
        <v>1077438460</v>
      </c>
      <c r="K1324" t="s">
        <v>23</v>
      </c>
      <c r="L1324" t="s">
        <v>1250</v>
      </c>
      <c r="M1324" t="s">
        <v>253</v>
      </c>
      <c r="N1324" t="s">
        <v>35</v>
      </c>
      <c r="O1324" t="s">
        <v>26</v>
      </c>
      <c r="P1324" t="s">
        <v>27</v>
      </c>
      <c r="Q1324" t="s">
        <v>28</v>
      </c>
      <c r="R1324" t="s">
        <v>29</v>
      </c>
      <c r="S1324" t="s">
        <v>30</v>
      </c>
      <c r="T1324">
        <v>53116792</v>
      </c>
      <c r="U1324" t="s">
        <v>3936</v>
      </c>
      <c r="V1324" t="s">
        <v>3937</v>
      </c>
      <c r="W1324" s="9">
        <f>IF(V1324="pregrado",31,
IF(V1324="posgrados",31,
IF(V1324="rEINTEGROS",7,
IF(V1324="BIT",90,
IF(V1324="OP GRADO - INGLÉS",17,"")))))</f>
        <v>31</v>
      </c>
      <c r="X1324" t="s">
        <v>4008</v>
      </c>
    </row>
    <row r="1325" spans="1:24" ht="15" x14ac:dyDescent="0.35">
      <c r="A1325" s="4">
        <v>46051.502152777779</v>
      </c>
      <c r="B1325">
        <v>20118459</v>
      </c>
      <c r="C1325" s="6" t="s">
        <v>19</v>
      </c>
      <c r="D1325">
        <v>168305</v>
      </c>
      <c r="E1325" t="s">
        <v>43</v>
      </c>
      <c r="F1325">
        <v>12023838</v>
      </c>
      <c r="G1325" t="s">
        <v>2481</v>
      </c>
      <c r="H1325">
        <v>100243985</v>
      </c>
      <c r="I1325">
        <v>202651</v>
      </c>
      <c r="J1325">
        <v>35546004</v>
      </c>
      <c r="K1325" t="s">
        <v>23</v>
      </c>
      <c r="L1325" t="s">
        <v>252</v>
      </c>
      <c r="M1325" t="s">
        <v>253</v>
      </c>
      <c r="N1325" t="s">
        <v>35</v>
      </c>
      <c r="O1325" t="s">
        <v>26</v>
      </c>
      <c r="P1325" t="s">
        <v>27</v>
      </c>
      <c r="Q1325" t="s">
        <v>28</v>
      </c>
      <c r="R1325" t="s">
        <v>29</v>
      </c>
      <c r="S1325" t="s">
        <v>30</v>
      </c>
      <c r="T1325">
        <v>1014285873</v>
      </c>
      <c r="U1325" t="s">
        <v>3948</v>
      </c>
      <c r="V1325" t="s">
        <v>3937</v>
      </c>
      <c r="W1325" s="9">
        <f>IF(V1325="pregrado",31,
IF(V1325="posgrados",31,
IF(V1325="rEINTEGROS",7,
IF(V1325="BIT",90,
IF(V1325="OP GRADO - INGLÉS",17,"")))))</f>
        <v>31</v>
      </c>
      <c r="X1325" t="s">
        <v>3953</v>
      </c>
    </row>
    <row r="1326" spans="1:24" ht="15" x14ac:dyDescent="0.35">
      <c r="A1326" s="4">
        <v>46050.627465277779</v>
      </c>
      <c r="B1326">
        <v>20118059</v>
      </c>
      <c r="C1326" s="6" t="s">
        <v>19</v>
      </c>
      <c r="D1326">
        <v>168314</v>
      </c>
      <c r="E1326" t="s">
        <v>43</v>
      </c>
      <c r="F1326">
        <v>79884431</v>
      </c>
      <c r="G1326" t="s">
        <v>2423</v>
      </c>
      <c r="H1326">
        <v>100243999</v>
      </c>
      <c r="I1326">
        <v>202651</v>
      </c>
      <c r="J1326">
        <v>79884431</v>
      </c>
      <c r="K1326" t="s">
        <v>23</v>
      </c>
      <c r="L1326" t="s">
        <v>252</v>
      </c>
      <c r="M1326" t="s">
        <v>253</v>
      </c>
      <c r="N1326" t="s">
        <v>35</v>
      </c>
      <c r="O1326" t="s">
        <v>26</v>
      </c>
      <c r="P1326" t="s">
        <v>27</v>
      </c>
      <c r="Q1326" t="s">
        <v>28</v>
      </c>
      <c r="R1326" t="s">
        <v>29</v>
      </c>
      <c r="S1326" t="s">
        <v>30</v>
      </c>
      <c r="T1326">
        <v>1012355141</v>
      </c>
      <c r="U1326" t="s">
        <v>3936</v>
      </c>
      <c r="V1326" t="s">
        <v>3937</v>
      </c>
      <c r="W1326" s="9">
        <f>IF(V1326="pregrado",31,
IF(V1326="posgrados",31,
IF(V1326="rEINTEGROS",7,
IF(V1326="BIT",90,
IF(V1326="OP GRADO - INGLÉS",17,"")))))</f>
        <v>31</v>
      </c>
      <c r="X1326" t="s">
        <v>4045</v>
      </c>
    </row>
    <row r="1327" spans="1:24" ht="15" x14ac:dyDescent="0.35">
      <c r="A1327" s="4">
        <v>46052.626956018517</v>
      </c>
      <c r="B1327">
        <v>20119003</v>
      </c>
      <c r="C1327" s="6" t="s">
        <v>19</v>
      </c>
      <c r="D1327">
        <v>168333</v>
      </c>
      <c r="E1327" t="s">
        <v>43</v>
      </c>
      <c r="F1327">
        <v>1005719961</v>
      </c>
      <c r="G1327" t="s">
        <v>2568</v>
      </c>
      <c r="H1327">
        <v>100244030</v>
      </c>
      <c r="I1327">
        <v>202641</v>
      </c>
      <c r="J1327">
        <v>1005719961</v>
      </c>
      <c r="K1327" t="s">
        <v>23</v>
      </c>
      <c r="L1327" t="s">
        <v>59</v>
      </c>
      <c r="M1327" t="s">
        <v>47</v>
      </c>
      <c r="N1327" t="s">
        <v>35</v>
      </c>
      <c r="O1327" t="s">
        <v>26</v>
      </c>
      <c r="P1327" t="s">
        <v>27</v>
      </c>
      <c r="Q1327" t="s">
        <v>28</v>
      </c>
      <c r="R1327" t="s">
        <v>29</v>
      </c>
      <c r="S1327" t="s">
        <v>30</v>
      </c>
      <c r="T1327">
        <v>1032406382</v>
      </c>
      <c r="U1327" t="s">
        <v>3936</v>
      </c>
      <c r="V1327" t="s">
        <v>3937</v>
      </c>
      <c r="W1327" s="9">
        <f>IF(V1327="pregrado",31,
IF(V1327="posgrados",31,
IF(V1327="rEINTEGROS",7,
IF(V1327="BIT",90,
IF(V1327="OP GRADO - INGLÉS",17,"")))))</f>
        <v>31</v>
      </c>
      <c r="X1327" t="s">
        <v>3991</v>
      </c>
    </row>
    <row r="1328" spans="1:24" ht="15" x14ac:dyDescent="0.35">
      <c r="A1328" s="4">
        <v>46050.645462962966</v>
      </c>
      <c r="B1328">
        <v>20118086</v>
      </c>
      <c r="C1328" s="6" t="s">
        <v>19</v>
      </c>
      <c r="D1328">
        <v>168335</v>
      </c>
      <c r="E1328" t="s">
        <v>43</v>
      </c>
      <c r="F1328">
        <v>1117551900</v>
      </c>
      <c r="G1328" t="s">
        <v>2424</v>
      </c>
      <c r="H1328">
        <v>100244035</v>
      </c>
      <c r="I1328">
        <v>202651</v>
      </c>
      <c r="J1328">
        <v>1117551900</v>
      </c>
      <c r="K1328" t="s">
        <v>23</v>
      </c>
      <c r="L1328" t="s">
        <v>252</v>
      </c>
      <c r="M1328" t="s">
        <v>253</v>
      </c>
      <c r="N1328" t="s">
        <v>35</v>
      </c>
      <c r="O1328" t="s">
        <v>26</v>
      </c>
      <c r="P1328" t="s">
        <v>27</v>
      </c>
      <c r="Q1328" t="s">
        <v>28</v>
      </c>
      <c r="R1328" t="s">
        <v>29</v>
      </c>
      <c r="S1328" t="s">
        <v>30</v>
      </c>
      <c r="T1328">
        <v>1082250716</v>
      </c>
      <c r="U1328" t="s">
        <v>3936</v>
      </c>
      <c r="V1328" t="s">
        <v>3937</v>
      </c>
      <c r="W1328" s="9">
        <f>IF(V1328="pregrado",31,
IF(V1328="posgrados",31,
IF(V1328="rEINTEGROS",7,
IF(V1328="BIT",90,
IF(V1328="OP GRADO - INGLÉS",17,"")))))</f>
        <v>31</v>
      </c>
      <c r="X1328" t="s">
        <v>3997</v>
      </c>
    </row>
    <row r="1329" spans="1:24" ht="15" x14ac:dyDescent="0.35">
      <c r="A1329" s="4">
        <v>46050.672893518517</v>
      </c>
      <c r="B1329">
        <v>20118113</v>
      </c>
      <c r="C1329" s="6" t="s">
        <v>19</v>
      </c>
      <c r="D1329">
        <v>168342</v>
      </c>
      <c r="E1329" t="s">
        <v>43</v>
      </c>
      <c r="F1329">
        <v>1047472338</v>
      </c>
      <c r="G1329" t="s">
        <v>2427</v>
      </c>
      <c r="H1329">
        <v>100244053</v>
      </c>
      <c r="I1329">
        <v>202641</v>
      </c>
      <c r="J1329">
        <v>1047472338</v>
      </c>
      <c r="K1329" t="s">
        <v>23</v>
      </c>
      <c r="L1329" t="s">
        <v>160</v>
      </c>
      <c r="M1329" t="s">
        <v>47</v>
      </c>
      <c r="N1329" t="s">
        <v>35</v>
      </c>
      <c r="O1329" t="s">
        <v>26</v>
      </c>
      <c r="P1329" t="s">
        <v>27</v>
      </c>
      <c r="Q1329" t="s">
        <v>28</v>
      </c>
      <c r="R1329" t="s">
        <v>29</v>
      </c>
      <c r="S1329" t="s">
        <v>30</v>
      </c>
      <c r="T1329">
        <v>1015401969</v>
      </c>
      <c r="U1329" t="s">
        <v>3936</v>
      </c>
      <c r="V1329" t="s">
        <v>3937</v>
      </c>
      <c r="W1329" s="9">
        <f>IF(V1329="pregrado",31,
IF(V1329="posgrados",31,
IF(V1329="rEINTEGROS",7,
IF(V1329="BIT",90,
IF(V1329="OP GRADO - INGLÉS",17,"")))))</f>
        <v>31</v>
      </c>
      <c r="X1329" t="s">
        <v>3945</v>
      </c>
    </row>
    <row r="1330" spans="1:24" ht="15" x14ac:dyDescent="0.35">
      <c r="A1330" s="4">
        <v>46051.668877314813</v>
      </c>
      <c r="B1330">
        <v>20118608</v>
      </c>
      <c r="C1330" s="6" t="s">
        <v>19</v>
      </c>
      <c r="D1330">
        <v>168350</v>
      </c>
      <c r="E1330" t="s">
        <v>43</v>
      </c>
      <c r="F1330">
        <v>1002132515</v>
      </c>
      <c r="G1330" t="s">
        <v>2504</v>
      </c>
      <c r="H1330">
        <v>100244074</v>
      </c>
      <c r="I1330">
        <v>202651</v>
      </c>
      <c r="J1330">
        <v>1002132515</v>
      </c>
      <c r="K1330" t="s">
        <v>23</v>
      </c>
      <c r="L1330" t="s">
        <v>252</v>
      </c>
      <c r="M1330" t="s">
        <v>253</v>
      </c>
      <c r="N1330" t="s">
        <v>35</v>
      </c>
      <c r="O1330" t="s">
        <v>26</v>
      </c>
      <c r="P1330" t="s">
        <v>27</v>
      </c>
      <c r="Q1330" t="s">
        <v>28</v>
      </c>
      <c r="R1330" t="s">
        <v>29</v>
      </c>
      <c r="S1330" t="s">
        <v>30</v>
      </c>
      <c r="T1330">
        <v>1033793185</v>
      </c>
      <c r="U1330" t="s">
        <v>3948</v>
      </c>
      <c r="V1330" t="s">
        <v>3937</v>
      </c>
      <c r="W1330" s="9">
        <f>IF(V1330="pregrado",31,
IF(V1330="posgrados",31,
IF(V1330="rEINTEGROS",7,
IF(V1330="BIT",90,
IF(V1330="OP GRADO - INGLÉS",17,"")))))</f>
        <v>31</v>
      </c>
      <c r="X1330" t="s">
        <v>4082</v>
      </c>
    </row>
    <row r="1331" spans="1:24" ht="15" x14ac:dyDescent="0.35">
      <c r="A1331" s="4">
        <v>46050.692175925928</v>
      </c>
      <c r="B1331">
        <v>20118147</v>
      </c>
      <c r="C1331" s="6" t="s">
        <v>19</v>
      </c>
      <c r="D1331">
        <v>168355</v>
      </c>
      <c r="E1331" t="s">
        <v>43</v>
      </c>
      <c r="F1331">
        <v>1133684524</v>
      </c>
      <c r="G1331" t="s">
        <v>2433</v>
      </c>
      <c r="H1331">
        <v>100244080</v>
      </c>
      <c r="I1331">
        <v>202651</v>
      </c>
      <c r="J1331">
        <v>1148191988</v>
      </c>
      <c r="K1331" t="s">
        <v>23</v>
      </c>
      <c r="L1331" t="s">
        <v>252</v>
      </c>
      <c r="M1331" t="s">
        <v>253</v>
      </c>
      <c r="N1331" t="s">
        <v>35</v>
      </c>
      <c r="O1331" t="s">
        <v>26</v>
      </c>
      <c r="P1331" t="s">
        <v>27</v>
      </c>
      <c r="Q1331" t="s">
        <v>28</v>
      </c>
      <c r="R1331" t="s">
        <v>29</v>
      </c>
      <c r="S1331" t="s">
        <v>30</v>
      </c>
      <c r="T1331">
        <v>1000120140</v>
      </c>
      <c r="U1331" t="s">
        <v>3936</v>
      </c>
      <c r="V1331" t="s">
        <v>3937</v>
      </c>
      <c r="W1331" s="9">
        <f>IF(V1331="pregrado",31,
IF(V1331="posgrados",31,
IF(V1331="rEINTEGROS",7,
IF(V1331="BIT",90,
IF(V1331="OP GRADO - INGLÉS",17,"")))))</f>
        <v>31</v>
      </c>
      <c r="X1331" t="s">
        <v>3935</v>
      </c>
    </row>
    <row r="1332" spans="1:24" ht="15" x14ac:dyDescent="0.35">
      <c r="A1332" s="4">
        <v>46051.828611111108</v>
      </c>
      <c r="B1332">
        <v>20118726</v>
      </c>
      <c r="C1332" s="6" t="s">
        <v>19</v>
      </c>
      <c r="D1332">
        <v>168380</v>
      </c>
      <c r="E1332" t="s">
        <v>43</v>
      </c>
      <c r="F1332">
        <v>42652119</v>
      </c>
      <c r="G1332" t="s">
        <v>2524</v>
      </c>
      <c r="H1332">
        <v>100244109</v>
      </c>
      <c r="I1332">
        <v>202651</v>
      </c>
      <c r="J1332">
        <v>1037485493</v>
      </c>
      <c r="K1332" t="s">
        <v>23</v>
      </c>
      <c r="L1332" t="s">
        <v>252</v>
      </c>
      <c r="M1332" t="s">
        <v>253</v>
      </c>
      <c r="N1332" t="s">
        <v>35</v>
      </c>
      <c r="O1332" t="s">
        <v>26</v>
      </c>
      <c r="P1332" t="s">
        <v>27</v>
      </c>
      <c r="Q1332" t="s">
        <v>28</v>
      </c>
      <c r="R1332" t="s">
        <v>29</v>
      </c>
      <c r="S1332" t="s">
        <v>30</v>
      </c>
      <c r="T1332">
        <v>1033793185</v>
      </c>
      <c r="U1332" t="s">
        <v>3948</v>
      </c>
      <c r="V1332" t="s">
        <v>3937</v>
      </c>
      <c r="W1332" s="9">
        <f>IF(V1332="pregrado",31,
IF(V1332="posgrados",31,
IF(V1332="rEINTEGROS",7,
IF(V1332="BIT",90,
IF(V1332="OP GRADO - INGLÉS",17,"")))))</f>
        <v>31</v>
      </c>
      <c r="X1332" t="s">
        <v>4082</v>
      </c>
    </row>
    <row r="1333" spans="1:24" ht="15" x14ac:dyDescent="0.35">
      <c r="A1333" s="4">
        <v>46052.695625</v>
      </c>
      <c r="B1333">
        <v>20119085</v>
      </c>
      <c r="C1333" s="6" t="s">
        <v>19</v>
      </c>
      <c r="D1333">
        <v>168385</v>
      </c>
      <c r="E1333" t="s">
        <v>43</v>
      </c>
      <c r="F1333">
        <v>43823067</v>
      </c>
      <c r="G1333" t="s">
        <v>2585</v>
      </c>
      <c r="H1333">
        <v>100244117</v>
      </c>
      <c r="I1333">
        <v>202651</v>
      </c>
      <c r="J1333">
        <v>1007674477</v>
      </c>
      <c r="K1333" t="s">
        <v>23</v>
      </c>
      <c r="L1333" t="s">
        <v>252</v>
      </c>
      <c r="M1333" t="s">
        <v>253</v>
      </c>
      <c r="N1333" t="s">
        <v>35</v>
      </c>
      <c r="O1333" t="s">
        <v>26</v>
      </c>
      <c r="P1333" t="s">
        <v>27</v>
      </c>
      <c r="Q1333" t="s">
        <v>28</v>
      </c>
      <c r="R1333" t="s">
        <v>29</v>
      </c>
      <c r="S1333" t="s">
        <v>30</v>
      </c>
      <c r="T1333">
        <v>1033793185</v>
      </c>
      <c r="U1333" t="s">
        <v>3948</v>
      </c>
      <c r="V1333" t="s">
        <v>3937</v>
      </c>
      <c r="W1333" s="9">
        <f>IF(V1333="pregrado",31,
IF(V1333="posgrados",31,
IF(V1333="rEINTEGROS",7,
IF(V1333="BIT",90,
IF(V1333="OP GRADO - INGLÉS",17,"")))))</f>
        <v>31</v>
      </c>
      <c r="X1333" t="s">
        <v>4082</v>
      </c>
    </row>
    <row r="1334" spans="1:24" ht="15" x14ac:dyDescent="0.35">
      <c r="A1334" s="4">
        <v>46050.93954861111</v>
      </c>
      <c r="B1334">
        <v>20118286</v>
      </c>
      <c r="C1334" s="6" t="s">
        <v>19</v>
      </c>
      <c r="D1334">
        <v>168386</v>
      </c>
      <c r="E1334" t="s">
        <v>43</v>
      </c>
      <c r="F1334">
        <v>1045505954</v>
      </c>
      <c r="G1334" t="s">
        <v>2451</v>
      </c>
      <c r="H1334">
        <v>100200973</v>
      </c>
      <c r="I1334">
        <v>202651</v>
      </c>
      <c r="J1334">
        <v>1045505954</v>
      </c>
      <c r="K1334" t="s">
        <v>46</v>
      </c>
      <c r="L1334" t="s">
        <v>252</v>
      </c>
      <c r="M1334" t="s">
        <v>253</v>
      </c>
      <c r="N1334" t="s">
        <v>35</v>
      </c>
      <c r="O1334" t="s">
        <v>26</v>
      </c>
      <c r="P1334" t="s">
        <v>27</v>
      </c>
      <c r="Q1334" t="s">
        <v>28</v>
      </c>
      <c r="R1334" t="s">
        <v>29</v>
      </c>
      <c r="S1334" t="s">
        <v>30</v>
      </c>
      <c r="T1334">
        <v>52168054</v>
      </c>
      <c r="U1334" t="s">
        <v>3977</v>
      </c>
      <c r="V1334" t="s">
        <v>3970</v>
      </c>
      <c r="W1334" s="9">
        <f>IF(V1334="pregrado",31,
IF(V1334="posgrados",31,
IF(V1334="rEINTEGROS",7,
IF(V1334="BIT",90,
IF(V1334="OP GRADO - INGLÉS",17,"")))))</f>
        <v>7</v>
      </c>
      <c r="X1334" t="s">
        <v>4057</v>
      </c>
    </row>
    <row r="1335" spans="1:24" ht="15" x14ac:dyDescent="0.35">
      <c r="A1335" s="4">
        <v>46080.731365740743</v>
      </c>
      <c r="B1335">
        <v>20126969</v>
      </c>
      <c r="C1335" s="6" t="s">
        <v>19</v>
      </c>
      <c r="D1335">
        <v>168405</v>
      </c>
      <c r="E1335" t="s">
        <v>43</v>
      </c>
      <c r="F1335">
        <v>52994306</v>
      </c>
      <c r="G1335" t="s">
        <v>3749</v>
      </c>
      <c r="H1335">
        <v>100142522</v>
      </c>
      <c r="I1335">
        <v>202641</v>
      </c>
      <c r="J1335">
        <v>52994306</v>
      </c>
      <c r="K1335" t="s">
        <v>46</v>
      </c>
      <c r="L1335" t="s">
        <v>72</v>
      </c>
      <c r="M1335" t="s">
        <v>47</v>
      </c>
      <c r="N1335" t="s">
        <v>35</v>
      </c>
      <c r="O1335" t="s">
        <v>26</v>
      </c>
      <c r="P1335" t="s">
        <v>27</v>
      </c>
      <c r="Q1335" t="s">
        <v>28</v>
      </c>
      <c r="R1335" t="s">
        <v>29</v>
      </c>
      <c r="S1335" t="s">
        <v>30</v>
      </c>
      <c r="T1335">
        <v>1022407392</v>
      </c>
      <c r="U1335" t="s">
        <v>3936</v>
      </c>
      <c r="V1335" t="s">
        <v>3937</v>
      </c>
      <c r="W1335" s="9">
        <f>IF(V1335="pregrado",31,
IF(V1335="posgrados",31,
IF(V1335="rEINTEGROS",7,
IF(V1335="BIT",90,
IF(V1335="OP GRADO - INGLÉS",17,"")))))</f>
        <v>31</v>
      </c>
      <c r="X1335" t="s">
        <v>3975</v>
      </c>
    </row>
    <row r="1336" spans="1:24" ht="15" x14ac:dyDescent="0.35">
      <c r="A1336" s="4">
        <v>46051.772118055553</v>
      </c>
      <c r="B1336">
        <v>20118711</v>
      </c>
      <c r="C1336" s="6" t="s">
        <v>19</v>
      </c>
      <c r="D1336">
        <v>168409</v>
      </c>
      <c r="E1336" t="s">
        <v>43</v>
      </c>
      <c r="F1336">
        <v>25807880</v>
      </c>
      <c r="G1336" t="s">
        <v>2523</v>
      </c>
      <c r="H1336">
        <v>100244160</v>
      </c>
      <c r="I1336">
        <v>202651</v>
      </c>
      <c r="J1336">
        <v>25807880</v>
      </c>
      <c r="K1336" t="s">
        <v>23</v>
      </c>
      <c r="L1336" t="s">
        <v>252</v>
      </c>
      <c r="M1336" t="s">
        <v>253</v>
      </c>
      <c r="N1336" t="s">
        <v>35</v>
      </c>
      <c r="O1336" t="s">
        <v>26</v>
      </c>
      <c r="P1336" t="s">
        <v>27</v>
      </c>
      <c r="Q1336" t="s">
        <v>28</v>
      </c>
      <c r="R1336" t="s">
        <v>29</v>
      </c>
      <c r="S1336" t="s">
        <v>30</v>
      </c>
      <c r="T1336">
        <v>1075542872</v>
      </c>
      <c r="U1336" t="s">
        <v>3948</v>
      </c>
      <c r="V1336" t="s">
        <v>3937</v>
      </c>
      <c r="W1336" s="9">
        <f>IF(V1336="pregrado",31,
IF(V1336="posgrados",31,
IF(V1336="rEINTEGROS",7,
IF(V1336="BIT",90,
IF(V1336="OP GRADO - INGLÉS",17,"")))))</f>
        <v>31</v>
      </c>
      <c r="X1336" t="s">
        <v>3974</v>
      </c>
    </row>
    <row r="1337" spans="1:24" ht="15" x14ac:dyDescent="0.35">
      <c r="A1337" s="4">
        <v>46051.663483796299</v>
      </c>
      <c r="B1337">
        <v>20118602</v>
      </c>
      <c r="C1337" s="6" t="s">
        <v>19</v>
      </c>
      <c r="D1337">
        <v>168417</v>
      </c>
      <c r="E1337" t="s">
        <v>43</v>
      </c>
      <c r="F1337">
        <v>3715333</v>
      </c>
      <c r="G1337" t="s">
        <v>2501</v>
      </c>
      <c r="H1337">
        <v>100244172</v>
      </c>
      <c r="I1337">
        <v>202641</v>
      </c>
      <c r="J1337">
        <v>1098702109</v>
      </c>
      <c r="K1337" t="s">
        <v>23</v>
      </c>
      <c r="L1337" t="s">
        <v>342</v>
      </c>
      <c r="M1337" t="s">
        <v>47</v>
      </c>
      <c r="N1337" t="s">
        <v>35</v>
      </c>
      <c r="O1337" t="s">
        <v>26</v>
      </c>
      <c r="P1337" t="s">
        <v>27</v>
      </c>
      <c r="Q1337" t="s">
        <v>28</v>
      </c>
      <c r="R1337" t="s">
        <v>29</v>
      </c>
      <c r="S1337" t="s">
        <v>30</v>
      </c>
      <c r="T1337">
        <v>1020754225</v>
      </c>
      <c r="U1337" t="s">
        <v>3948</v>
      </c>
      <c r="V1337" t="s">
        <v>3937</v>
      </c>
      <c r="W1337" s="9">
        <f>IF(V1337="pregrado",31,
IF(V1337="posgrados",31,
IF(V1337="rEINTEGROS",7,
IF(V1337="BIT",90,
IF(V1337="OP GRADO - INGLÉS",17,"")))))</f>
        <v>31</v>
      </c>
      <c r="X1337" t="s">
        <v>3981</v>
      </c>
    </row>
    <row r="1338" spans="1:24" ht="15" x14ac:dyDescent="0.35">
      <c r="A1338" s="4">
        <v>46051.922222222223</v>
      </c>
      <c r="B1338">
        <v>20118735</v>
      </c>
      <c r="C1338" s="6" t="s">
        <v>19</v>
      </c>
      <c r="D1338">
        <v>168426</v>
      </c>
      <c r="E1338" t="s">
        <v>43</v>
      </c>
      <c r="F1338">
        <v>1004608442</v>
      </c>
      <c r="G1338" t="s">
        <v>2525</v>
      </c>
      <c r="H1338">
        <v>100244183</v>
      </c>
      <c r="I1338">
        <v>202641</v>
      </c>
      <c r="J1338">
        <v>1004608442</v>
      </c>
      <c r="K1338" t="s">
        <v>23</v>
      </c>
      <c r="L1338" t="s">
        <v>279</v>
      </c>
      <c r="M1338" t="s">
        <v>47</v>
      </c>
      <c r="N1338" t="s">
        <v>35</v>
      </c>
      <c r="O1338" t="s">
        <v>26</v>
      </c>
      <c r="P1338" t="s">
        <v>27</v>
      </c>
      <c r="Q1338" t="s">
        <v>28</v>
      </c>
      <c r="R1338" t="s">
        <v>29</v>
      </c>
      <c r="S1338" t="s">
        <v>30</v>
      </c>
      <c r="T1338">
        <v>52965969</v>
      </c>
      <c r="U1338" t="s">
        <v>3936</v>
      </c>
      <c r="V1338" t="s">
        <v>3937</v>
      </c>
      <c r="W1338" s="9">
        <f>IF(V1338="pregrado",31,
IF(V1338="posgrados",31,
IF(V1338="rEINTEGROS",7,
IF(V1338="BIT",90,
IF(V1338="OP GRADO - INGLÉS",17,"")))))</f>
        <v>31</v>
      </c>
      <c r="X1338" t="s">
        <v>3960</v>
      </c>
    </row>
    <row r="1339" spans="1:24" ht="15" x14ac:dyDescent="0.35">
      <c r="A1339" s="4">
        <v>46051.640439814815</v>
      </c>
      <c r="B1339">
        <v>20118562</v>
      </c>
      <c r="C1339" s="6" t="s">
        <v>19</v>
      </c>
      <c r="D1339">
        <v>168430</v>
      </c>
      <c r="E1339" t="s">
        <v>43</v>
      </c>
      <c r="F1339">
        <v>1096948779</v>
      </c>
      <c r="G1339" t="s">
        <v>2493</v>
      </c>
      <c r="H1339">
        <v>100116643</v>
      </c>
      <c r="I1339">
        <v>202651</v>
      </c>
      <c r="J1339">
        <v>1096948779</v>
      </c>
      <c r="K1339" t="s">
        <v>46</v>
      </c>
      <c r="L1339" t="s">
        <v>252</v>
      </c>
      <c r="M1339" t="s">
        <v>253</v>
      </c>
      <c r="N1339" t="s">
        <v>35</v>
      </c>
      <c r="O1339" t="s">
        <v>26</v>
      </c>
      <c r="P1339" t="s">
        <v>27</v>
      </c>
      <c r="Q1339" t="s">
        <v>28</v>
      </c>
      <c r="R1339" t="s">
        <v>29</v>
      </c>
      <c r="S1339" t="s">
        <v>30</v>
      </c>
      <c r="T1339">
        <v>1140420282</v>
      </c>
      <c r="U1339" t="s">
        <v>3948</v>
      </c>
      <c r="V1339" t="s">
        <v>3937</v>
      </c>
      <c r="W1339" s="9">
        <f>IF(V1339="pregrado",31,
IF(V1339="posgrados",31,
IF(V1339="rEINTEGROS",7,
IF(V1339="BIT",90,
IF(V1339="OP GRADO - INGLÉS",17,"")))))</f>
        <v>31</v>
      </c>
      <c r="X1339" t="s">
        <v>3972</v>
      </c>
    </row>
    <row r="1340" spans="1:24" ht="15" x14ac:dyDescent="0.35">
      <c r="A1340" s="4">
        <v>46051.453182870369</v>
      </c>
      <c r="B1340">
        <v>20118396</v>
      </c>
      <c r="C1340" s="6" t="s">
        <v>19</v>
      </c>
      <c r="D1340">
        <v>168442</v>
      </c>
      <c r="E1340" t="s">
        <v>43</v>
      </c>
      <c r="F1340">
        <v>1005189926</v>
      </c>
      <c r="G1340" t="s">
        <v>2469</v>
      </c>
      <c r="H1340">
        <v>100244197</v>
      </c>
      <c r="I1340">
        <v>202651</v>
      </c>
      <c r="J1340">
        <v>1005189926</v>
      </c>
      <c r="K1340" t="s">
        <v>23</v>
      </c>
      <c r="L1340" t="s">
        <v>252</v>
      </c>
      <c r="M1340" t="s">
        <v>253</v>
      </c>
      <c r="N1340" t="s">
        <v>35</v>
      </c>
      <c r="O1340" t="s">
        <v>26</v>
      </c>
      <c r="P1340" t="s">
        <v>27</v>
      </c>
      <c r="Q1340" t="s">
        <v>28</v>
      </c>
      <c r="R1340" t="s">
        <v>29</v>
      </c>
      <c r="S1340" t="s">
        <v>30</v>
      </c>
      <c r="T1340">
        <v>1014285873</v>
      </c>
      <c r="U1340" t="s">
        <v>3948</v>
      </c>
      <c r="V1340" t="s">
        <v>3937</v>
      </c>
      <c r="W1340" s="9">
        <f>IF(V1340="pregrado",31,
IF(V1340="posgrados",31,
IF(V1340="rEINTEGROS",7,
IF(V1340="BIT",90,
IF(V1340="OP GRADO - INGLÉS",17,"")))))</f>
        <v>31</v>
      </c>
      <c r="X1340" t="s">
        <v>3953</v>
      </c>
    </row>
    <row r="1341" spans="1:24" ht="15" x14ac:dyDescent="0.35">
      <c r="A1341" s="4">
        <v>46051.659398148149</v>
      </c>
      <c r="B1341">
        <v>20118594</v>
      </c>
      <c r="C1341" s="6" t="s">
        <v>19</v>
      </c>
      <c r="D1341">
        <v>168449</v>
      </c>
      <c r="E1341" t="s">
        <v>43</v>
      </c>
      <c r="F1341">
        <v>1110582488</v>
      </c>
      <c r="G1341" t="s">
        <v>2500</v>
      </c>
      <c r="H1341">
        <v>100244209</v>
      </c>
      <c r="I1341">
        <v>202651</v>
      </c>
      <c r="J1341">
        <v>1110582488</v>
      </c>
      <c r="K1341" t="s">
        <v>23</v>
      </c>
      <c r="L1341" t="s">
        <v>252</v>
      </c>
      <c r="M1341" t="s">
        <v>253</v>
      </c>
      <c r="N1341" t="s">
        <v>35</v>
      </c>
      <c r="O1341" t="s">
        <v>26</v>
      </c>
      <c r="P1341" t="s">
        <v>27</v>
      </c>
      <c r="Q1341" t="s">
        <v>28</v>
      </c>
      <c r="R1341" t="s">
        <v>29</v>
      </c>
      <c r="S1341" t="s">
        <v>30</v>
      </c>
      <c r="T1341">
        <v>1031147887</v>
      </c>
      <c r="U1341" t="s">
        <v>3948</v>
      </c>
      <c r="V1341" t="s">
        <v>3937</v>
      </c>
      <c r="W1341" s="9">
        <f>IF(V1341="pregrado",31,
IF(V1341="posgrados",31,
IF(V1341="rEINTEGROS",7,
IF(V1341="BIT",90,
IF(V1341="OP GRADO - INGLÉS",17,"")))))</f>
        <v>31</v>
      </c>
      <c r="X1341" t="s">
        <v>3947</v>
      </c>
    </row>
    <row r="1342" spans="1:24" ht="15" x14ac:dyDescent="0.35">
      <c r="A1342" s="4">
        <v>46051.43167824074</v>
      </c>
      <c r="B1342">
        <v>20118369</v>
      </c>
      <c r="C1342" s="6" t="s">
        <v>19</v>
      </c>
      <c r="D1342">
        <v>168458</v>
      </c>
      <c r="E1342" t="s">
        <v>43</v>
      </c>
      <c r="F1342">
        <v>43699283</v>
      </c>
      <c r="G1342" t="s">
        <v>2459</v>
      </c>
      <c r="H1342">
        <v>100069712</v>
      </c>
      <c r="I1342">
        <v>202651</v>
      </c>
      <c r="J1342">
        <v>43699283</v>
      </c>
      <c r="K1342" t="s">
        <v>46</v>
      </c>
      <c r="L1342" t="s">
        <v>252</v>
      </c>
      <c r="M1342" t="s">
        <v>253</v>
      </c>
      <c r="N1342" t="s">
        <v>2460</v>
      </c>
      <c r="O1342" t="s">
        <v>26</v>
      </c>
      <c r="P1342" t="s">
        <v>27</v>
      </c>
      <c r="Q1342" t="s">
        <v>28</v>
      </c>
      <c r="R1342" t="s">
        <v>29</v>
      </c>
      <c r="S1342" t="s">
        <v>30</v>
      </c>
      <c r="T1342">
        <v>52168054</v>
      </c>
      <c r="U1342" t="s">
        <v>3977</v>
      </c>
      <c r="V1342" t="s">
        <v>3970</v>
      </c>
      <c r="W1342" s="9">
        <f>IF(V1342="pregrado",31,
IF(V1342="posgrados",31,
IF(V1342="rEINTEGROS",7,
IF(V1342="BIT",90,
IF(V1342="OP GRADO - INGLÉS",17,"")))))</f>
        <v>7</v>
      </c>
      <c r="X1342" t="s">
        <v>4057</v>
      </c>
    </row>
    <row r="1343" spans="1:24" ht="15" x14ac:dyDescent="0.35">
      <c r="A1343" s="4">
        <v>46052.498194444444</v>
      </c>
      <c r="B1343">
        <v>20118893</v>
      </c>
      <c r="C1343" s="6" t="s">
        <v>19</v>
      </c>
      <c r="D1343">
        <v>168472</v>
      </c>
      <c r="E1343" t="s">
        <v>43</v>
      </c>
      <c r="F1343">
        <v>1057609470</v>
      </c>
      <c r="G1343" t="s">
        <v>2553</v>
      </c>
      <c r="H1343">
        <v>100244238</v>
      </c>
      <c r="I1343">
        <v>202641</v>
      </c>
      <c r="J1343">
        <v>1057609470</v>
      </c>
      <c r="K1343" t="s">
        <v>23</v>
      </c>
      <c r="L1343" t="s">
        <v>45</v>
      </c>
      <c r="M1343" t="s">
        <v>47</v>
      </c>
      <c r="N1343" t="s">
        <v>35</v>
      </c>
      <c r="O1343" t="s">
        <v>26</v>
      </c>
      <c r="P1343" t="s">
        <v>27</v>
      </c>
      <c r="Q1343" t="s">
        <v>28</v>
      </c>
      <c r="R1343" t="s">
        <v>29</v>
      </c>
      <c r="S1343" t="s">
        <v>30</v>
      </c>
      <c r="T1343">
        <v>53116792</v>
      </c>
      <c r="U1343" t="s">
        <v>3936</v>
      </c>
      <c r="V1343" t="s">
        <v>3937</v>
      </c>
      <c r="W1343" s="9">
        <f>IF(V1343="pregrado",31,
IF(V1343="posgrados",31,
IF(V1343="rEINTEGROS",7,
IF(V1343="BIT",90,
IF(V1343="OP GRADO - INGLÉS",17,"")))))</f>
        <v>31</v>
      </c>
      <c r="X1343" t="s">
        <v>4008</v>
      </c>
    </row>
    <row r="1344" spans="1:24" ht="15" x14ac:dyDescent="0.35">
      <c r="A1344" s="4">
        <v>46059.663229166668</v>
      </c>
      <c r="B1344">
        <v>20121259</v>
      </c>
      <c r="C1344" s="6" t="s">
        <v>19</v>
      </c>
      <c r="D1344">
        <v>168473</v>
      </c>
      <c r="E1344" t="s">
        <v>43</v>
      </c>
      <c r="F1344">
        <v>25482406</v>
      </c>
      <c r="G1344" t="s">
        <v>2874</v>
      </c>
      <c r="H1344">
        <v>100199693</v>
      </c>
      <c r="I1344">
        <v>202651</v>
      </c>
      <c r="J1344">
        <v>25482406</v>
      </c>
      <c r="K1344" t="s">
        <v>23</v>
      </c>
      <c r="L1344" t="s">
        <v>252</v>
      </c>
      <c r="M1344" t="s">
        <v>253</v>
      </c>
      <c r="N1344" t="s">
        <v>35</v>
      </c>
      <c r="O1344" t="s">
        <v>26</v>
      </c>
      <c r="P1344" t="s">
        <v>27</v>
      </c>
      <c r="Q1344" t="s">
        <v>28</v>
      </c>
      <c r="R1344" t="s">
        <v>29</v>
      </c>
      <c r="S1344" t="s">
        <v>30</v>
      </c>
      <c r="T1344">
        <v>1073673268</v>
      </c>
      <c r="U1344" t="s">
        <v>3948</v>
      </c>
      <c r="V1344" t="s">
        <v>3937</v>
      </c>
      <c r="W1344" s="9">
        <f>IF(V1344="pregrado",31,
IF(V1344="posgrados",31,
IF(V1344="rEINTEGROS",7,
IF(V1344="BIT",90,
IF(V1344="OP GRADO - INGLÉS",17,"")))))</f>
        <v>31</v>
      </c>
      <c r="X1344" t="s">
        <v>4080</v>
      </c>
    </row>
    <row r="1345" spans="1:24" ht="15" x14ac:dyDescent="0.35">
      <c r="A1345" s="4">
        <v>46059.660300925927</v>
      </c>
      <c r="B1345">
        <v>20121256</v>
      </c>
      <c r="C1345" s="6" t="s">
        <v>19</v>
      </c>
      <c r="D1345">
        <v>168476</v>
      </c>
      <c r="E1345" t="s">
        <v>43</v>
      </c>
      <c r="F1345">
        <v>25287578</v>
      </c>
      <c r="G1345" t="s">
        <v>2873</v>
      </c>
      <c r="H1345">
        <v>100199895</v>
      </c>
      <c r="I1345">
        <v>202651</v>
      </c>
      <c r="J1345">
        <v>25287578</v>
      </c>
      <c r="K1345" t="s">
        <v>23</v>
      </c>
      <c r="L1345" t="s">
        <v>252</v>
      </c>
      <c r="M1345" t="s">
        <v>253</v>
      </c>
      <c r="N1345" t="s">
        <v>35</v>
      </c>
      <c r="O1345" t="s">
        <v>26</v>
      </c>
      <c r="P1345" t="s">
        <v>27</v>
      </c>
      <c r="Q1345" t="s">
        <v>28</v>
      </c>
      <c r="R1345" t="s">
        <v>29</v>
      </c>
      <c r="S1345" t="s">
        <v>30</v>
      </c>
      <c r="T1345">
        <v>1073673268</v>
      </c>
      <c r="U1345" t="s">
        <v>3948</v>
      </c>
      <c r="V1345" t="s">
        <v>3937</v>
      </c>
      <c r="W1345" s="9">
        <f>IF(V1345="pregrado",31,
IF(V1345="posgrados",31,
IF(V1345="rEINTEGROS",7,
IF(V1345="BIT",90,
IF(V1345="OP GRADO - INGLÉS",17,"")))))</f>
        <v>31</v>
      </c>
      <c r="X1345" t="s">
        <v>4080</v>
      </c>
    </row>
    <row r="1346" spans="1:24" ht="15" x14ac:dyDescent="0.35">
      <c r="A1346" s="4">
        <v>46053.427951388891</v>
      </c>
      <c r="B1346">
        <v>20119242</v>
      </c>
      <c r="C1346" s="6" t="s">
        <v>19</v>
      </c>
      <c r="D1346">
        <v>168486</v>
      </c>
      <c r="E1346" t="s">
        <v>43</v>
      </c>
      <c r="F1346">
        <v>1102850512</v>
      </c>
      <c r="G1346" t="s">
        <v>2616</v>
      </c>
      <c r="H1346">
        <v>100244251</v>
      </c>
      <c r="I1346">
        <v>202651</v>
      </c>
      <c r="J1346">
        <v>1102865448</v>
      </c>
      <c r="K1346" t="s">
        <v>23</v>
      </c>
      <c r="L1346" t="s">
        <v>252</v>
      </c>
      <c r="M1346" t="s">
        <v>253</v>
      </c>
      <c r="N1346" t="s">
        <v>35</v>
      </c>
      <c r="O1346" t="s">
        <v>26</v>
      </c>
      <c r="P1346" t="s">
        <v>27</v>
      </c>
      <c r="Q1346" t="s">
        <v>28</v>
      </c>
      <c r="R1346" t="s">
        <v>29</v>
      </c>
      <c r="S1346" t="s">
        <v>30</v>
      </c>
      <c r="T1346">
        <v>1012389748</v>
      </c>
      <c r="U1346" t="s">
        <v>3948</v>
      </c>
      <c r="V1346" t="s">
        <v>3937</v>
      </c>
      <c r="W1346" s="9">
        <f>IF(V1346="pregrado",31,
IF(V1346="posgrados",31,
IF(V1346="rEINTEGROS",7,
IF(V1346="BIT",90,
IF(V1346="OP GRADO - INGLÉS",17,"")))))</f>
        <v>31</v>
      </c>
      <c r="X1346" t="s">
        <v>4065</v>
      </c>
    </row>
    <row r="1347" spans="1:24" ht="15" x14ac:dyDescent="0.35">
      <c r="A1347" s="4">
        <v>46051.656608796293</v>
      </c>
      <c r="B1347">
        <v>20118593</v>
      </c>
      <c r="C1347" s="6" t="s">
        <v>19</v>
      </c>
      <c r="D1347">
        <v>168490</v>
      </c>
      <c r="E1347" t="s">
        <v>43</v>
      </c>
      <c r="F1347">
        <v>1038128738</v>
      </c>
      <c r="G1347" t="s">
        <v>2499</v>
      </c>
      <c r="H1347">
        <v>100244258</v>
      </c>
      <c r="I1347">
        <v>202651</v>
      </c>
      <c r="J1347">
        <v>1038128738</v>
      </c>
      <c r="K1347" t="s">
        <v>23</v>
      </c>
      <c r="L1347" t="s">
        <v>252</v>
      </c>
      <c r="M1347" t="s">
        <v>253</v>
      </c>
      <c r="N1347" t="s">
        <v>35</v>
      </c>
      <c r="O1347" t="s">
        <v>26</v>
      </c>
      <c r="P1347" t="s">
        <v>27</v>
      </c>
      <c r="Q1347" t="s">
        <v>28</v>
      </c>
      <c r="R1347" t="s">
        <v>29</v>
      </c>
      <c r="S1347" t="s">
        <v>30</v>
      </c>
      <c r="T1347">
        <v>1014285873</v>
      </c>
      <c r="U1347" t="s">
        <v>3948</v>
      </c>
      <c r="V1347" t="s">
        <v>3937</v>
      </c>
      <c r="W1347" s="9">
        <f>IF(V1347="pregrado",31,
IF(V1347="posgrados",31,
IF(V1347="rEINTEGROS",7,
IF(V1347="BIT",90,
IF(V1347="OP GRADO - INGLÉS",17,"")))))</f>
        <v>31</v>
      </c>
      <c r="X1347" t="s">
        <v>3953</v>
      </c>
    </row>
    <row r="1348" spans="1:24" ht="15" x14ac:dyDescent="0.35">
      <c r="A1348" s="4">
        <v>46052.498182870368</v>
      </c>
      <c r="B1348">
        <v>20118892</v>
      </c>
      <c r="C1348" s="6" t="s">
        <v>19</v>
      </c>
      <c r="D1348">
        <v>168496</v>
      </c>
      <c r="E1348" t="s">
        <v>43</v>
      </c>
      <c r="F1348">
        <v>1073165178</v>
      </c>
      <c r="G1348" t="s">
        <v>2552</v>
      </c>
      <c r="H1348">
        <v>100244265</v>
      </c>
      <c r="I1348">
        <v>202651</v>
      </c>
      <c r="J1348">
        <v>1073165178</v>
      </c>
      <c r="K1348" t="s">
        <v>23</v>
      </c>
      <c r="L1348" t="s">
        <v>252</v>
      </c>
      <c r="M1348" t="s">
        <v>253</v>
      </c>
      <c r="N1348" t="s">
        <v>35</v>
      </c>
      <c r="O1348" t="s">
        <v>26</v>
      </c>
      <c r="P1348" t="s">
        <v>27</v>
      </c>
      <c r="Q1348" t="s">
        <v>28</v>
      </c>
      <c r="R1348" t="s">
        <v>29</v>
      </c>
      <c r="S1348" t="s">
        <v>30</v>
      </c>
      <c r="T1348">
        <v>1033793185</v>
      </c>
      <c r="U1348" t="s">
        <v>3948</v>
      </c>
      <c r="V1348" t="s">
        <v>3937</v>
      </c>
      <c r="W1348" s="9">
        <f>IF(V1348="pregrado",31,
IF(V1348="posgrados",31,
IF(V1348="rEINTEGROS",7,
IF(V1348="BIT",90,
IF(V1348="OP GRADO - INGLÉS",17,"")))))</f>
        <v>31</v>
      </c>
      <c r="X1348" t="s">
        <v>4082</v>
      </c>
    </row>
    <row r="1349" spans="1:24" ht="15" x14ac:dyDescent="0.35">
      <c r="A1349" s="4">
        <v>46055.776956018519</v>
      </c>
      <c r="B1349">
        <v>20119865</v>
      </c>
      <c r="C1349" s="6" t="s">
        <v>19</v>
      </c>
      <c r="D1349">
        <v>168502</v>
      </c>
      <c r="E1349" t="s">
        <v>43</v>
      </c>
      <c r="F1349">
        <v>4803623</v>
      </c>
      <c r="G1349" t="s">
        <v>2671</v>
      </c>
      <c r="H1349">
        <v>100244282</v>
      </c>
      <c r="I1349">
        <v>202651</v>
      </c>
      <c r="J1349">
        <v>1077465787</v>
      </c>
      <c r="K1349" t="s">
        <v>23</v>
      </c>
      <c r="L1349" t="s">
        <v>252</v>
      </c>
      <c r="M1349" t="s">
        <v>253</v>
      </c>
      <c r="N1349" t="s">
        <v>35</v>
      </c>
      <c r="O1349" t="s">
        <v>26</v>
      </c>
      <c r="P1349" t="s">
        <v>27</v>
      </c>
      <c r="Q1349" t="s">
        <v>28</v>
      </c>
      <c r="R1349" t="s">
        <v>29</v>
      </c>
      <c r="S1349" t="s">
        <v>30</v>
      </c>
      <c r="T1349">
        <v>1140420282</v>
      </c>
      <c r="U1349" t="s">
        <v>3948</v>
      </c>
      <c r="V1349" t="s">
        <v>3937</v>
      </c>
      <c r="W1349" s="9">
        <f>IF(V1349="pregrado",31,
IF(V1349="posgrados",31,
IF(V1349="rEINTEGROS",7,
IF(V1349="BIT",90,
IF(V1349="OP GRADO - INGLÉS",17,"")))))</f>
        <v>31</v>
      </c>
      <c r="X1349" t="s">
        <v>3972</v>
      </c>
    </row>
    <row r="1350" spans="1:24" ht="15" x14ac:dyDescent="0.35">
      <c r="A1350" s="4">
        <v>46056.586226851854</v>
      </c>
      <c r="B1350">
        <v>20120111</v>
      </c>
      <c r="C1350" s="6" t="s">
        <v>19</v>
      </c>
      <c r="D1350">
        <v>168507</v>
      </c>
      <c r="E1350" t="s">
        <v>43</v>
      </c>
      <c r="F1350">
        <v>1019129008</v>
      </c>
      <c r="G1350" t="s">
        <v>2695</v>
      </c>
      <c r="H1350">
        <v>100044898</v>
      </c>
      <c r="I1350">
        <v>202641</v>
      </c>
      <c r="J1350">
        <v>1019129008</v>
      </c>
      <c r="K1350" t="s">
        <v>23</v>
      </c>
      <c r="L1350" t="s">
        <v>59</v>
      </c>
      <c r="M1350" t="s">
        <v>47</v>
      </c>
      <c r="N1350" t="s">
        <v>35</v>
      </c>
      <c r="O1350" t="s">
        <v>26</v>
      </c>
      <c r="P1350" t="s">
        <v>27</v>
      </c>
      <c r="Q1350" t="s">
        <v>28</v>
      </c>
      <c r="R1350" t="s">
        <v>29</v>
      </c>
      <c r="S1350" t="s">
        <v>30</v>
      </c>
      <c r="T1350">
        <v>51951991</v>
      </c>
      <c r="U1350" t="s">
        <v>3936</v>
      </c>
      <c r="V1350" t="s">
        <v>3937</v>
      </c>
      <c r="W1350" s="9">
        <f>IF(V1350="pregrado",31,
IF(V1350="posgrados",31,
IF(V1350="rEINTEGROS",7,
IF(V1350="BIT",90,
IF(V1350="OP GRADO - INGLÉS",17,"")))))</f>
        <v>31</v>
      </c>
      <c r="X1350" t="s">
        <v>4049</v>
      </c>
    </row>
    <row r="1351" spans="1:24" ht="15" x14ac:dyDescent="0.35">
      <c r="A1351" s="4">
        <v>46051.676354166666</v>
      </c>
      <c r="B1351">
        <v>20118623</v>
      </c>
      <c r="C1351" s="6" t="s">
        <v>19</v>
      </c>
      <c r="D1351">
        <v>168514</v>
      </c>
      <c r="E1351" t="s">
        <v>43</v>
      </c>
      <c r="F1351">
        <v>1014737325</v>
      </c>
      <c r="G1351" t="s">
        <v>2509</v>
      </c>
      <c r="H1351">
        <v>100244292</v>
      </c>
      <c r="I1351">
        <v>202651</v>
      </c>
      <c r="J1351">
        <v>52744624</v>
      </c>
      <c r="K1351" t="s">
        <v>23</v>
      </c>
      <c r="L1351" t="s">
        <v>252</v>
      </c>
      <c r="M1351" t="s">
        <v>253</v>
      </c>
      <c r="N1351" t="s">
        <v>35</v>
      </c>
      <c r="O1351" t="s">
        <v>26</v>
      </c>
      <c r="P1351" t="s">
        <v>27</v>
      </c>
      <c r="Q1351" t="s">
        <v>28</v>
      </c>
      <c r="R1351" t="s">
        <v>29</v>
      </c>
      <c r="S1351" t="s">
        <v>30</v>
      </c>
      <c r="T1351">
        <v>1015401969</v>
      </c>
      <c r="U1351" t="s">
        <v>3936</v>
      </c>
      <c r="V1351" t="s">
        <v>3937</v>
      </c>
      <c r="W1351" s="9">
        <f>IF(V1351="pregrado",31,
IF(V1351="posgrados",31,
IF(V1351="rEINTEGROS",7,
IF(V1351="BIT",90,
IF(V1351="OP GRADO - INGLÉS",17,"")))))</f>
        <v>31</v>
      </c>
      <c r="X1351" t="s">
        <v>3945</v>
      </c>
    </row>
    <row r="1352" spans="1:24" ht="15" x14ac:dyDescent="0.35">
      <c r="A1352" s="4">
        <v>46052.576782407406</v>
      </c>
      <c r="B1352">
        <v>20118953</v>
      </c>
      <c r="C1352" s="6" t="s">
        <v>19</v>
      </c>
      <c r="D1352">
        <v>168515</v>
      </c>
      <c r="E1352" t="s">
        <v>43</v>
      </c>
      <c r="F1352">
        <v>1143868793</v>
      </c>
      <c r="G1352" t="s">
        <v>2562</v>
      </c>
      <c r="H1352">
        <v>100244293</v>
      </c>
      <c r="I1352">
        <v>202651</v>
      </c>
      <c r="J1352">
        <v>1143868793</v>
      </c>
      <c r="K1352" t="s">
        <v>23</v>
      </c>
      <c r="L1352" t="s">
        <v>252</v>
      </c>
      <c r="M1352" t="s">
        <v>253</v>
      </c>
      <c r="N1352" t="s">
        <v>35</v>
      </c>
      <c r="O1352" t="s">
        <v>26</v>
      </c>
      <c r="P1352" t="s">
        <v>27</v>
      </c>
      <c r="Q1352" t="s">
        <v>28</v>
      </c>
      <c r="R1352" t="s">
        <v>29</v>
      </c>
      <c r="S1352" t="s">
        <v>30</v>
      </c>
      <c r="T1352">
        <v>1020754225</v>
      </c>
      <c r="U1352" t="s">
        <v>3948</v>
      </c>
      <c r="V1352" t="s">
        <v>3937</v>
      </c>
      <c r="W1352" s="9">
        <f>IF(V1352="pregrado",31,
IF(V1352="posgrados",31,
IF(V1352="rEINTEGROS",7,
IF(V1352="BIT",90,
IF(V1352="OP GRADO - INGLÉS",17,"")))))</f>
        <v>31</v>
      </c>
      <c r="X1352" t="s">
        <v>3981</v>
      </c>
    </row>
    <row r="1353" spans="1:24" ht="15" x14ac:dyDescent="0.35">
      <c r="A1353" s="4">
        <v>46057.403692129628</v>
      </c>
      <c r="B1353">
        <v>20120336</v>
      </c>
      <c r="C1353" s="6" t="s">
        <v>19</v>
      </c>
      <c r="D1353">
        <v>168517</v>
      </c>
      <c r="E1353" t="s">
        <v>43</v>
      </c>
      <c r="F1353">
        <v>1192919984</v>
      </c>
      <c r="G1353" t="s">
        <v>2725</v>
      </c>
      <c r="H1353">
        <v>100244297</v>
      </c>
      <c r="I1353">
        <v>202651</v>
      </c>
      <c r="J1353">
        <v>1192919984</v>
      </c>
      <c r="K1353" t="s">
        <v>23</v>
      </c>
      <c r="L1353" t="s">
        <v>252</v>
      </c>
      <c r="M1353" t="s">
        <v>253</v>
      </c>
      <c r="N1353" t="s">
        <v>35</v>
      </c>
      <c r="O1353" t="s">
        <v>26</v>
      </c>
      <c r="P1353" t="s">
        <v>27</v>
      </c>
      <c r="Q1353" t="s">
        <v>28</v>
      </c>
      <c r="R1353" t="s">
        <v>29</v>
      </c>
      <c r="S1353" t="s">
        <v>30</v>
      </c>
      <c r="T1353">
        <v>1032451737</v>
      </c>
      <c r="U1353" t="s">
        <v>3948</v>
      </c>
      <c r="V1353" t="s">
        <v>3937</v>
      </c>
      <c r="W1353" s="9">
        <f>IF(V1353="pregrado",31,
IF(V1353="posgrados",31,
IF(V1353="rEINTEGROS",7,
IF(V1353="BIT",90,
IF(V1353="OP GRADO - INGLÉS",17,"")))))</f>
        <v>31</v>
      </c>
      <c r="X1353" t="s">
        <v>4033</v>
      </c>
    </row>
    <row r="1354" spans="1:24" ht="15" x14ac:dyDescent="0.35">
      <c r="A1354" s="4">
        <v>46051.765324074076</v>
      </c>
      <c r="B1354">
        <v>20118706</v>
      </c>
      <c r="C1354" s="6" t="s">
        <v>19</v>
      </c>
      <c r="D1354">
        <v>168530</v>
      </c>
      <c r="E1354" t="s">
        <v>43</v>
      </c>
      <c r="F1354">
        <v>1057919155</v>
      </c>
      <c r="G1354" t="s">
        <v>2521</v>
      </c>
      <c r="H1354">
        <v>100244316</v>
      </c>
      <c r="I1354">
        <v>202651</v>
      </c>
      <c r="J1354">
        <v>1057919155</v>
      </c>
      <c r="K1354" t="s">
        <v>23</v>
      </c>
      <c r="L1354" t="s">
        <v>252</v>
      </c>
      <c r="M1354" t="s">
        <v>253</v>
      </c>
      <c r="N1354" t="s">
        <v>35</v>
      </c>
      <c r="O1354" t="s">
        <v>26</v>
      </c>
      <c r="P1354" t="s">
        <v>27</v>
      </c>
      <c r="Q1354" t="s">
        <v>28</v>
      </c>
      <c r="R1354" t="s">
        <v>29</v>
      </c>
      <c r="S1354" t="s">
        <v>30</v>
      </c>
      <c r="T1354">
        <v>1033784244</v>
      </c>
      <c r="U1354" t="s">
        <v>3948</v>
      </c>
      <c r="V1354" t="s">
        <v>3937</v>
      </c>
      <c r="W1354" s="9">
        <f>IF(V1354="pregrado",31,
IF(V1354="posgrados",31,
IF(V1354="rEINTEGROS",7,
IF(V1354="BIT",90,
IF(V1354="OP GRADO - INGLÉS",17,"")))))</f>
        <v>31</v>
      </c>
      <c r="X1354" t="s">
        <v>4067</v>
      </c>
    </row>
    <row r="1355" spans="1:24" ht="15" x14ac:dyDescent="0.35">
      <c r="A1355" s="4">
        <v>46052.840925925928</v>
      </c>
      <c r="B1355">
        <v>20119172</v>
      </c>
      <c r="C1355" s="6" t="s">
        <v>19</v>
      </c>
      <c r="D1355">
        <v>168535</v>
      </c>
      <c r="E1355" t="s">
        <v>43</v>
      </c>
      <c r="F1355">
        <v>1133775577</v>
      </c>
      <c r="G1355" t="s">
        <v>2603</v>
      </c>
      <c r="H1355">
        <v>100244320</v>
      </c>
      <c r="I1355">
        <v>202651</v>
      </c>
      <c r="J1355">
        <v>1067851969</v>
      </c>
      <c r="K1355" t="s">
        <v>23</v>
      </c>
      <c r="L1355" t="s">
        <v>252</v>
      </c>
      <c r="M1355" t="s">
        <v>253</v>
      </c>
      <c r="N1355" t="s">
        <v>35</v>
      </c>
      <c r="O1355" t="s">
        <v>26</v>
      </c>
      <c r="P1355" t="s">
        <v>27</v>
      </c>
      <c r="Q1355" t="s">
        <v>28</v>
      </c>
      <c r="R1355" t="s">
        <v>29</v>
      </c>
      <c r="S1355" t="s">
        <v>30</v>
      </c>
      <c r="T1355">
        <v>1233513889</v>
      </c>
      <c r="U1355" t="s">
        <v>3948</v>
      </c>
      <c r="V1355" t="s">
        <v>3937</v>
      </c>
      <c r="W1355" s="9">
        <f>IF(V1355="pregrado",31,
IF(V1355="posgrados",31,
IF(V1355="rEINTEGROS",7,
IF(V1355="BIT",90,
IF(V1355="OP GRADO - INGLÉS",17,"")))))</f>
        <v>31</v>
      </c>
      <c r="X1355" t="s">
        <v>4035</v>
      </c>
    </row>
    <row r="1356" spans="1:24" ht="15" x14ac:dyDescent="0.35">
      <c r="A1356" s="4">
        <v>46055.734085648146</v>
      </c>
      <c r="B1356">
        <v>20119837</v>
      </c>
      <c r="C1356" s="6" t="s">
        <v>19</v>
      </c>
      <c r="D1356">
        <v>168537</v>
      </c>
      <c r="E1356" t="s">
        <v>43</v>
      </c>
      <c r="F1356">
        <v>1075091136</v>
      </c>
      <c r="G1356" t="s">
        <v>2666</v>
      </c>
      <c r="H1356">
        <v>100244321</v>
      </c>
      <c r="I1356">
        <v>202651</v>
      </c>
      <c r="J1356">
        <v>1075091136</v>
      </c>
      <c r="K1356" t="s">
        <v>23</v>
      </c>
      <c r="L1356" t="s">
        <v>252</v>
      </c>
      <c r="M1356" t="s">
        <v>253</v>
      </c>
      <c r="N1356" t="s">
        <v>35</v>
      </c>
      <c r="O1356" t="s">
        <v>26</v>
      </c>
      <c r="P1356" t="s">
        <v>27</v>
      </c>
      <c r="Q1356" t="s">
        <v>28</v>
      </c>
      <c r="R1356" t="s">
        <v>29</v>
      </c>
      <c r="S1356" t="s">
        <v>30</v>
      </c>
      <c r="T1356">
        <v>1012355141</v>
      </c>
      <c r="U1356" t="s">
        <v>3936</v>
      </c>
      <c r="V1356" t="s">
        <v>3937</v>
      </c>
      <c r="W1356" s="9">
        <f>IF(V1356="pregrado",31,
IF(V1356="posgrados",31,
IF(V1356="rEINTEGROS",7,
IF(V1356="BIT",90,
IF(V1356="OP GRADO - INGLÉS",17,"")))))</f>
        <v>31</v>
      </c>
      <c r="X1356" t="s">
        <v>4045</v>
      </c>
    </row>
    <row r="1357" spans="1:24" ht="15" x14ac:dyDescent="0.35">
      <c r="A1357" s="4">
        <v>46056.452997685185</v>
      </c>
      <c r="B1357">
        <v>20120024</v>
      </c>
      <c r="C1357" s="6" t="s">
        <v>19</v>
      </c>
      <c r="D1357">
        <v>168543</v>
      </c>
      <c r="E1357" t="s">
        <v>43</v>
      </c>
      <c r="F1357">
        <v>34329922</v>
      </c>
      <c r="G1357" t="s">
        <v>2685</v>
      </c>
      <c r="H1357">
        <v>100244334</v>
      </c>
      <c r="I1357">
        <v>202651</v>
      </c>
      <c r="J1357">
        <v>34329922</v>
      </c>
      <c r="K1357" t="s">
        <v>23</v>
      </c>
      <c r="L1357" t="s">
        <v>252</v>
      </c>
      <c r="M1357" t="s">
        <v>253</v>
      </c>
      <c r="N1357" t="s">
        <v>35</v>
      </c>
      <c r="O1357" t="s">
        <v>26</v>
      </c>
      <c r="P1357" t="s">
        <v>27</v>
      </c>
      <c r="Q1357" t="s">
        <v>28</v>
      </c>
      <c r="R1357" t="s">
        <v>29</v>
      </c>
      <c r="S1357" t="s">
        <v>30</v>
      </c>
      <c r="T1357">
        <v>1033781417</v>
      </c>
      <c r="U1357" t="s">
        <v>3948</v>
      </c>
      <c r="V1357" t="s">
        <v>3937</v>
      </c>
      <c r="W1357" s="9">
        <f>IF(V1357="pregrado",31,
IF(V1357="posgrados",31,
IF(V1357="rEINTEGROS",7,
IF(V1357="BIT",90,
IF(V1357="OP GRADO - INGLÉS",17,"")))))</f>
        <v>31</v>
      </c>
      <c r="X1357" t="s">
        <v>4031</v>
      </c>
    </row>
    <row r="1358" spans="1:24" ht="15" x14ac:dyDescent="0.35">
      <c r="A1358" s="4">
        <v>46073.410081018519</v>
      </c>
      <c r="B1358">
        <v>20125131</v>
      </c>
      <c r="C1358" s="6" t="s">
        <v>19</v>
      </c>
      <c r="D1358">
        <v>168546</v>
      </c>
      <c r="E1358" t="s">
        <v>43</v>
      </c>
      <c r="F1358">
        <v>1098731608</v>
      </c>
      <c r="G1358" t="s">
        <v>3457</v>
      </c>
      <c r="H1358">
        <v>100244339</v>
      </c>
      <c r="I1358">
        <v>202651</v>
      </c>
      <c r="J1358">
        <v>1098731608</v>
      </c>
      <c r="K1358" t="s">
        <v>23</v>
      </c>
      <c r="L1358" t="s">
        <v>252</v>
      </c>
      <c r="M1358" t="s">
        <v>253</v>
      </c>
      <c r="N1358" t="s">
        <v>35</v>
      </c>
      <c r="O1358" t="s">
        <v>26</v>
      </c>
      <c r="P1358" t="s">
        <v>27</v>
      </c>
      <c r="Q1358" t="s">
        <v>28</v>
      </c>
      <c r="R1358" t="s">
        <v>29</v>
      </c>
      <c r="S1358" t="s">
        <v>30</v>
      </c>
      <c r="T1358">
        <v>52759865</v>
      </c>
      <c r="U1358" t="s">
        <v>3936</v>
      </c>
      <c r="V1358" t="s">
        <v>3937</v>
      </c>
      <c r="W1358" s="9">
        <f>IF(V1358="pregrado",31,
IF(V1358="posgrados",31,
IF(V1358="rEINTEGROS",7,
IF(V1358="BIT",90,
IF(V1358="OP GRADO - INGLÉS",17,"")))))</f>
        <v>31</v>
      </c>
      <c r="X1358" t="s">
        <v>4105</v>
      </c>
    </row>
    <row r="1359" spans="1:24" ht="15" x14ac:dyDescent="0.35">
      <c r="A1359" s="4">
        <v>46052.404062499998</v>
      </c>
      <c r="B1359">
        <v>20118795</v>
      </c>
      <c r="C1359" s="6" t="s">
        <v>19</v>
      </c>
      <c r="D1359">
        <v>168547</v>
      </c>
      <c r="E1359" t="s">
        <v>43</v>
      </c>
      <c r="F1359">
        <v>1087618670</v>
      </c>
      <c r="G1359" t="s">
        <v>2537</v>
      </c>
      <c r="H1359">
        <v>100244340</v>
      </c>
      <c r="I1359">
        <v>202641</v>
      </c>
      <c r="J1359">
        <v>1087618670</v>
      </c>
      <c r="K1359" t="s">
        <v>23</v>
      </c>
      <c r="L1359" t="s">
        <v>2410</v>
      </c>
      <c r="M1359" t="s">
        <v>47</v>
      </c>
      <c r="N1359" t="s">
        <v>35</v>
      </c>
      <c r="O1359" t="s">
        <v>26</v>
      </c>
      <c r="P1359" t="s">
        <v>27</v>
      </c>
      <c r="Q1359" t="s">
        <v>28</v>
      </c>
      <c r="R1359" t="s">
        <v>29</v>
      </c>
      <c r="S1359" t="s">
        <v>30</v>
      </c>
      <c r="T1359">
        <v>1033784244</v>
      </c>
      <c r="U1359" t="s">
        <v>3948</v>
      </c>
      <c r="V1359" t="s">
        <v>3937</v>
      </c>
      <c r="W1359" s="9">
        <f>IF(V1359="pregrado",31,
IF(V1359="posgrados",31,
IF(V1359="rEINTEGROS",7,
IF(V1359="BIT",90,
IF(V1359="OP GRADO - INGLÉS",17,"")))))</f>
        <v>31</v>
      </c>
      <c r="X1359" t="s">
        <v>4067</v>
      </c>
    </row>
    <row r="1360" spans="1:24" ht="15" x14ac:dyDescent="0.35">
      <c r="A1360" s="4">
        <v>46062.722500000003</v>
      </c>
      <c r="B1360">
        <v>20121829</v>
      </c>
      <c r="C1360" s="6" t="s">
        <v>19</v>
      </c>
      <c r="D1360">
        <v>168554</v>
      </c>
      <c r="E1360" t="s">
        <v>43</v>
      </c>
      <c r="F1360">
        <v>49666837</v>
      </c>
      <c r="G1360" t="s">
        <v>2948</v>
      </c>
      <c r="H1360">
        <v>100244356</v>
      </c>
      <c r="I1360">
        <v>202641</v>
      </c>
      <c r="J1360">
        <v>77178355</v>
      </c>
      <c r="K1360" t="s">
        <v>23</v>
      </c>
      <c r="L1360" t="s">
        <v>160</v>
      </c>
      <c r="M1360" t="s">
        <v>47</v>
      </c>
      <c r="N1360" t="s">
        <v>35</v>
      </c>
      <c r="O1360" t="s">
        <v>26</v>
      </c>
      <c r="P1360" t="s">
        <v>27</v>
      </c>
      <c r="Q1360" t="s">
        <v>28</v>
      </c>
      <c r="R1360" t="s">
        <v>29</v>
      </c>
      <c r="S1360" t="s">
        <v>30</v>
      </c>
      <c r="T1360">
        <v>1070973852</v>
      </c>
      <c r="U1360" t="s">
        <v>3936</v>
      </c>
      <c r="V1360" t="s">
        <v>3937</v>
      </c>
      <c r="W1360" s="9">
        <f>IF(V1360="pregrado",31,
IF(V1360="posgrados",31,
IF(V1360="rEINTEGROS",7,
IF(V1360="BIT",90,
IF(V1360="OP GRADO - INGLÉS",17,"")))))</f>
        <v>31</v>
      </c>
      <c r="X1360" t="s">
        <v>3957</v>
      </c>
    </row>
    <row r="1361" spans="1:24" ht="15" x14ac:dyDescent="0.35">
      <c r="A1361" s="4">
        <v>46052.636064814818</v>
      </c>
      <c r="B1361">
        <v>20119012</v>
      </c>
      <c r="C1361" s="6" t="s">
        <v>19</v>
      </c>
      <c r="D1361">
        <v>168560</v>
      </c>
      <c r="E1361" t="s">
        <v>43</v>
      </c>
      <c r="F1361">
        <v>1061807042</v>
      </c>
      <c r="G1361" t="s">
        <v>2569</v>
      </c>
      <c r="H1361">
        <v>100244363</v>
      </c>
      <c r="I1361">
        <v>202651</v>
      </c>
      <c r="J1361">
        <v>1061807042</v>
      </c>
      <c r="K1361" t="s">
        <v>23</v>
      </c>
      <c r="L1361" t="s">
        <v>252</v>
      </c>
      <c r="M1361" t="s">
        <v>253</v>
      </c>
      <c r="N1361" t="s">
        <v>35</v>
      </c>
      <c r="O1361" t="s">
        <v>26</v>
      </c>
      <c r="P1361" t="s">
        <v>27</v>
      </c>
      <c r="Q1361" t="s">
        <v>28</v>
      </c>
      <c r="R1361" t="s">
        <v>29</v>
      </c>
      <c r="S1361" t="s">
        <v>30</v>
      </c>
      <c r="T1361">
        <v>1073673268</v>
      </c>
      <c r="U1361" t="s">
        <v>3948</v>
      </c>
      <c r="V1361" t="s">
        <v>3937</v>
      </c>
      <c r="W1361" s="9">
        <f>IF(V1361="pregrado",31,
IF(V1361="posgrados",31,
IF(V1361="rEINTEGROS",7,
IF(V1361="BIT",90,
IF(V1361="OP GRADO - INGLÉS",17,"")))))</f>
        <v>31</v>
      </c>
      <c r="X1361" t="s">
        <v>4080</v>
      </c>
    </row>
    <row r="1362" spans="1:24" ht="15" x14ac:dyDescent="0.35">
      <c r="A1362" s="4">
        <v>46052.507418981484</v>
      </c>
      <c r="B1362">
        <v>20118903</v>
      </c>
      <c r="C1362" s="6" t="s">
        <v>19</v>
      </c>
      <c r="D1362">
        <v>168587</v>
      </c>
      <c r="E1362" t="s">
        <v>43</v>
      </c>
      <c r="F1362">
        <v>70582155</v>
      </c>
      <c r="G1362" t="s">
        <v>2555</v>
      </c>
      <c r="H1362">
        <v>100244395</v>
      </c>
      <c r="I1362">
        <v>202651</v>
      </c>
      <c r="J1362">
        <v>70582155</v>
      </c>
      <c r="K1362" t="s">
        <v>23</v>
      </c>
      <c r="L1362" t="s">
        <v>252</v>
      </c>
      <c r="M1362" t="s">
        <v>253</v>
      </c>
      <c r="N1362" t="s">
        <v>35</v>
      </c>
      <c r="O1362" t="s">
        <v>26</v>
      </c>
      <c r="P1362" t="s">
        <v>27</v>
      </c>
      <c r="Q1362" t="s">
        <v>28</v>
      </c>
      <c r="R1362" t="s">
        <v>29</v>
      </c>
      <c r="S1362" t="s">
        <v>30</v>
      </c>
      <c r="T1362">
        <v>1033781417</v>
      </c>
      <c r="U1362" t="s">
        <v>3948</v>
      </c>
      <c r="V1362" t="s">
        <v>3937</v>
      </c>
      <c r="W1362" s="9">
        <f>IF(V1362="pregrado",31,
IF(V1362="posgrados",31,
IF(V1362="rEINTEGROS",7,
IF(V1362="BIT",90,
IF(V1362="OP GRADO - INGLÉS",17,"")))))</f>
        <v>31</v>
      </c>
      <c r="X1362" t="s">
        <v>4031</v>
      </c>
    </row>
    <row r="1363" spans="1:24" ht="15" x14ac:dyDescent="0.35">
      <c r="A1363" s="4">
        <v>46052.738865740743</v>
      </c>
      <c r="B1363">
        <v>20119140</v>
      </c>
      <c r="C1363" s="6" t="s">
        <v>19</v>
      </c>
      <c r="D1363">
        <v>168594</v>
      </c>
      <c r="E1363" t="s">
        <v>43</v>
      </c>
      <c r="F1363">
        <v>1116665738</v>
      </c>
      <c r="G1363" t="s">
        <v>2595</v>
      </c>
      <c r="H1363">
        <v>100244401</v>
      </c>
      <c r="I1363">
        <v>202651</v>
      </c>
      <c r="J1363">
        <v>1116667301</v>
      </c>
      <c r="K1363" t="s">
        <v>23</v>
      </c>
      <c r="L1363" t="s">
        <v>252</v>
      </c>
      <c r="M1363" t="s">
        <v>253</v>
      </c>
      <c r="N1363" t="s">
        <v>35</v>
      </c>
      <c r="O1363" t="s">
        <v>26</v>
      </c>
      <c r="P1363" t="s">
        <v>27</v>
      </c>
      <c r="Q1363" t="s">
        <v>28</v>
      </c>
      <c r="R1363" t="s">
        <v>29</v>
      </c>
      <c r="S1363" t="s">
        <v>30</v>
      </c>
      <c r="T1363">
        <v>1033793185</v>
      </c>
      <c r="U1363" t="s">
        <v>3948</v>
      </c>
      <c r="V1363" t="s">
        <v>3937</v>
      </c>
      <c r="W1363" s="9">
        <f>IF(V1363="pregrado",31,
IF(V1363="posgrados",31,
IF(V1363="rEINTEGROS",7,
IF(V1363="BIT",90,
IF(V1363="OP GRADO - INGLÉS",17,"")))))</f>
        <v>31</v>
      </c>
      <c r="X1363" t="s">
        <v>4082</v>
      </c>
    </row>
    <row r="1364" spans="1:24" ht="15" x14ac:dyDescent="0.35">
      <c r="A1364" s="4">
        <v>46053.784618055557</v>
      </c>
      <c r="B1364">
        <v>20119346</v>
      </c>
      <c r="C1364" s="6" t="s">
        <v>19</v>
      </c>
      <c r="D1364">
        <v>168599</v>
      </c>
      <c r="E1364" t="s">
        <v>43</v>
      </c>
      <c r="F1364">
        <v>52441098</v>
      </c>
      <c r="G1364" t="s">
        <v>2635</v>
      </c>
      <c r="H1364">
        <v>100244404</v>
      </c>
      <c r="I1364">
        <v>202651</v>
      </c>
      <c r="J1364">
        <v>52872823</v>
      </c>
      <c r="K1364" t="s">
        <v>23</v>
      </c>
      <c r="L1364" t="s">
        <v>252</v>
      </c>
      <c r="M1364" t="s">
        <v>253</v>
      </c>
      <c r="N1364" t="s">
        <v>35</v>
      </c>
      <c r="O1364" t="s">
        <v>26</v>
      </c>
      <c r="P1364" t="s">
        <v>27</v>
      </c>
      <c r="Q1364" t="s">
        <v>28</v>
      </c>
      <c r="R1364" t="s">
        <v>29</v>
      </c>
      <c r="S1364" t="s">
        <v>30</v>
      </c>
      <c r="T1364">
        <v>1014285873</v>
      </c>
      <c r="U1364" t="s">
        <v>3948</v>
      </c>
      <c r="V1364" t="s">
        <v>3937</v>
      </c>
      <c r="W1364" s="9">
        <f>IF(V1364="pregrado",31,
IF(V1364="posgrados",31,
IF(V1364="rEINTEGROS",7,
IF(V1364="BIT",90,
IF(V1364="OP GRADO - INGLÉS",17,"")))))</f>
        <v>31</v>
      </c>
      <c r="X1364" t="s">
        <v>3953</v>
      </c>
    </row>
    <row r="1365" spans="1:24" ht="15" x14ac:dyDescent="0.35">
      <c r="A1365" s="4">
        <v>46057.598333333335</v>
      </c>
      <c r="B1365">
        <v>20120488</v>
      </c>
      <c r="C1365" s="6" t="s">
        <v>19</v>
      </c>
      <c r="D1365">
        <v>168602</v>
      </c>
      <c r="E1365" t="s">
        <v>43</v>
      </c>
      <c r="F1365">
        <v>1063728433</v>
      </c>
      <c r="G1365" t="s">
        <v>2754</v>
      </c>
      <c r="H1365">
        <v>100244407</v>
      </c>
      <c r="I1365">
        <v>202641</v>
      </c>
      <c r="J1365">
        <v>1063728433</v>
      </c>
      <c r="K1365" t="s">
        <v>23</v>
      </c>
      <c r="L1365" t="s">
        <v>59</v>
      </c>
      <c r="M1365" t="s">
        <v>47</v>
      </c>
      <c r="N1365" t="s">
        <v>35</v>
      </c>
      <c r="O1365" t="s">
        <v>26</v>
      </c>
      <c r="P1365" t="s">
        <v>27</v>
      </c>
      <c r="Q1365" t="s">
        <v>28</v>
      </c>
      <c r="R1365" t="s">
        <v>29</v>
      </c>
      <c r="S1365" t="s">
        <v>30</v>
      </c>
      <c r="T1365">
        <v>1193146767</v>
      </c>
      <c r="U1365" t="s">
        <v>3936</v>
      </c>
      <c r="V1365" t="s">
        <v>3937</v>
      </c>
      <c r="W1365" s="9">
        <f>IF(V1365="pregrado",31,
IF(V1365="posgrados",31,
IF(V1365="rEINTEGROS",7,
IF(V1365="BIT",90,
IF(V1365="OP GRADO - INGLÉS",17,"")))))</f>
        <v>31</v>
      </c>
      <c r="X1365" t="s">
        <v>4072</v>
      </c>
    </row>
    <row r="1366" spans="1:24" ht="15" x14ac:dyDescent="0.35">
      <c r="A1366" s="4">
        <v>46052.566053240742</v>
      </c>
      <c r="B1366">
        <v>20118942</v>
      </c>
      <c r="C1366" s="6" t="s">
        <v>19</v>
      </c>
      <c r="D1366">
        <v>168603</v>
      </c>
      <c r="E1366" t="s">
        <v>43</v>
      </c>
      <c r="F1366">
        <v>1077476137</v>
      </c>
      <c r="G1366" t="s">
        <v>2561</v>
      </c>
      <c r="H1366">
        <v>100244408</v>
      </c>
      <c r="I1366">
        <v>202651</v>
      </c>
      <c r="J1366">
        <v>1077476137</v>
      </c>
      <c r="K1366" t="s">
        <v>23</v>
      </c>
      <c r="L1366" t="s">
        <v>252</v>
      </c>
      <c r="M1366" t="s">
        <v>253</v>
      </c>
      <c r="N1366" t="s">
        <v>35</v>
      </c>
      <c r="O1366" t="s">
        <v>26</v>
      </c>
      <c r="P1366" t="s">
        <v>27</v>
      </c>
      <c r="Q1366" t="s">
        <v>28</v>
      </c>
      <c r="R1366" t="s">
        <v>29</v>
      </c>
      <c r="S1366" t="s">
        <v>30</v>
      </c>
      <c r="T1366">
        <v>1015401969</v>
      </c>
      <c r="U1366" t="s">
        <v>3936</v>
      </c>
      <c r="V1366" t="s">
        <v>3937</v>
      </c>
      <c r="W1366" s="9">
        <f>IF(V1366="pregrado",31,
IF(V1366="posgrados",31,
IF(V1366="rEINTEGROS",7,
IF(V1366="BIT",90,
IF(V1366="OP GRADO - INGLÉS",17,"")))))</f>
        <v>31</v>
      </c>
      <c r="X1366" t="s">
        <v>3945</v>
      </c>
    </row>
    <row r="1367" spans="1:24" ht="15" x14ac:dyDescent="0.35">
      <c r="A1367" s="4">
        <v>46052.673750000002</v>
      </c>
      <c r="B1367">
        <v>20119055</v>
      </c>
      <c r="C1367" s="6" t="s">
        <v>19</v>
      </c>
      <c r="D1367">
        <v>168607</v>
      </c>
      <c r="E1367" t="s">
        <v>43</v>
      </c>
      <c r="F1367">
        <v>37580218</v>
      </c>
      <c r="G1367" t="s">
        <v>2574</v>
      </c>
      <c r="H1367">
        <v>100022733</v>
      </c>
      <c r="I1367">
        <v>202651</v>
      </c>
      <c r="J1367">
        <v>37580218</v>
      </c>
      <c r="K1367" t="s">
        <v>46</v>
      </c>
      <c r="L1367" t="s">
        <v>252</v>
      </c>
      <c r="M1367" t="s">
        <v>253</v>
      </c>
      <c r="N1367" t="s">
        <v>35</v>
      </c>
      <c r="O1367" t="s">
        <v>26</v>
      </c>
      <c r="P1367" t="s">
        <v>27</v>
      </c>
      <c r="Q1367" t="s">
        <v>28</v>
      </c>
      <c r="R1367" t="s">
        <v>29</v>
      </c>
      <c r="S1367" t="s">
        <v>30</v>
      </c>
      <c r="T1367">
        <v>1014285873</v>
      </c>
      <c r="U1367" t="s">
        <v>3948</v>
      </c>
      <c r="V1367" t="s">
        <v>3937</v>
      </c>
      <c r="W1367" s="9">
        <f>IF(V1367="pregrado",31,
IF(V1367="posgrados",31,
IF(V1367="rEINTEGROS",7,
IF(V1367="BIT",90,
IF(V1367="OP GRADO - INGLÉS",17,"")))))</f>
        <v>31</v>
      </c>
      <c r="X1367" t="s">
        <v>3953</v>
      </c>
    </row>
    <row r="1368" spans="1:24" ht="15" x14ac:dyDescent="0.35">
      <c r="A1368" s="4">
        <v>46058.388622685183</v>
      </c>
      <c r="B1368">
        <v>20120724</v>
      </c>
      <c r="C1368" s="6" t="s">
        <v>19</v>
      </c>
      <c r="D1368">
        <v>168618</v>
      </c>
      <c r="E1368" t="s">
        <v>43</v>
      </c>
      <c r="F1368">
        <v>1030655254</v>
      </c>
      <c r="G1368" t="s">
        <v>2781</v>
      </c>
      <c r="H1368">
        <v>100244439</v>
      </c>
      <c r="I1368">
        <v>202641</v>
      </c>
      <c r="J1368">
        <v>1030655254</v>
      </c>
      <c r="K1368" t="s">
        <v>23</v>
      </c>
      <c r="L1368" t="s">
        <v>342</v>
      </c>
      <c r="M1368" t="s">
        <v>47</v>
      </c>
      <c r="N1368" t="s">
        <v>35</v>
      </c>
      <c r="O1368" t="s">
        <v>26</v>
      </c>
      <c r="P1368" t="s">
        <v>27</v>
      </c>
      <c r="Q1368" t="s">
        <v>28</v>
      </c>
      <c r="R1368" t="s">
        <v>29</v>
      </c>
      <c r="S1368" t="s">
        <v>30</v>
      </c>
      <c r="T1368">
        <v>1031147887</v>
      </c>
      <c r="U1368" t="s">
        <v>3948</v>
      </c>
      <c r="V1368" t="s">
        <v>3937</v>
      </c>
      <c r="W1368" s="9">
        <f>IF(V1368="pregrado",31,
IF(V1368="posgrados",31,
IF(V1368="rEINTEGROS",7,
IF(V1368="BIT",90,
IF(V1368="OP GRADO - INGLÉS",17,"")))))</f>
        <v>31</v>
      </c>
      <c r="X1368" t="s">
        <v>3947</v>
      </c>
    </row>
    <row r="1369" spans="1:24" ht="15" x14ac:dyDescent="0.35">
      <c r="A1369" s="4">
        <v>46055.625092592592</v>
      </c>
      <c r="B1369">
        <v>20119702</v>
      </c>
      <c r="C1369" s="6" t="s">
        <v>19</v>
      </c>
      <c r="D1369">
        <v>168630</v>
      </c>
      <c r="E1369" t="s">
        <v>43</v>
      </c>
      <c r="F1369">
        <v>39812920</v>
      </c>
      <c r="G1369" t="s">
        <v>2656</v>
      </c>
      <c r="H1369">
        <v>100099040</v>
      </c>
      <c r="I1369">
        <v>202651</v>
      </c>
      <c r="J1369">
        <v>39812920</v>
      </c>
      <c r="K1369" t="s">
        <v>23</v>
      </c>
      <c r="L1369" t="s">
        <v>252</v>
      </c>
      <c r="M1369" t="s">
        <v>253</v>
      </c>
      <c r="N1369" t="s">
        <v>35</v>
      </c>
      <c r="O1369" t="s">
        <v>26</v>
      </c>
      <c r="P1369" t="s">
        <v>27</v>
      </c>
      <c r="Q1369" t="s">
        <v>28</v>
      </c>
      <c r="R1369" t="s">
        <v>29</v>
      </c>
      <c r="S1369" t="s">
        <v>30</v>
      </c>
      <c r="T1369">
        <v>1012355141</v>
      </c>
      <c r="U1369" t="s">
        <v>3936</v>
      </c>
      <c r="V1369" t="s">
        <v>3937</v>
      </c>
      <c r="W1369" s="9">
        <f>IF(V1369="pregrado",31,
IF(V1369="posgrados",31,
IF(V1369="rEINTEGROS",7,
IF(V1369="BIT",90,
IF(V1369="OP GRADO - INGLÉS",17,"")))))</f>
        <v>31</v>
      </c>
      <c r="X1369" t="s">
        <v>4045</v>
      </c>
    </row>
    <row r="1370" spans="1:24" ht="15" x14ac:dyDescent="0.35">
      <c r="A1370" s="4">
        <v>46053.431689814817</v>
      </c>
      <c r="B1370">
        <v>20119243</v>
      </c>
      <c r="C1370" s="6" t="s">
        <v>19</v>
      </c>
      <c r="D1370">
        <v>168632</v>
      </c>
      <c r="E1370" t="s">
        <v>43</v>
      </c>
      <c r="F1370">
        <v>1073166729</v>
      </c>
      <c r="G1370" t="s">
        <v>2617</v>
      </c>
      <c r="H1370">
        <v>100033883</v>
      </c>
      <c r="I1370">
        <v>202641</v>
      </c>
      <c r="J1370">
        <v>1073166729</v>
      </c>
      <c r="K1370" t="s">
        <v>23</v>
      </c>
      <c r="L1370" t="s">
        <v>59</v>
      </c>
      <c r="M1370" t="s">
        <v>47</v>
      </c>
      <c r="N1370" t="s">
        <v>35</v>
      </c>
      <c r="O1370" t="s">
        <v>26</v>
      </c>
      <c r="P1370" t="s">
        <v>27</v>
      </c>
      <c r="Q1370" t="s">
        <v>28</v>
      </c>
      <c r="R1370" t="s">
        <v>29</v>
      </c>
      <c r="S1370" t="s">
        <v>30</v>
      </c>
      <c r="T1370">
        <v>1026262709</v>
      </c>
      <c r="U1370" t="s">
        <v>3936</v>
      </c>
      <c r="V1370" t="s">
        <v>3937</v>
      </c>
      <c r="W1370" s="9">
        <f>IF(V1370="pregrado",31,
IF(V1370="posgrados",31,
IF(V1370="rEINTEGROS",7,
IF(V1370="BIT",90,
IF(V1370="OP GRADO - INGLÉS",17,"")))))</f>
        <v>31</v>
      </c>
      <c r="X1370" t="s">
        <v>4037</v>
      </c>
    </row>
    <row r="1371" spans="1:24" ht="15" x14ac:dyDescent="0.35">
      <c r="A1371" s="4">
        <v>46052.707731481481</v>
      </c>
      <c r="B1371">
        <v>20119108</v>
      </c>
      <c r="C1371" s="6" t="s">
        <v>19</v>
      </c>
      <c r="D1371">
        <v>168645</v>
      </c>
      <c r="E1371" t="s">
        <v>43</v>
      </c>
      <c r="F1371">
        <v>1018454508</v>
      </c>
      <c r="G1371" t="s">
        <v>2592</v>
      </c>
      <c r="H1371">
        <v>100244478</v>
      </c>
      <c r="I1371">
        <v>202651</v>
      </c>
      <c r="J1371">
        <v>1110232978</v>
      </c>
      <c r="K1371" t="s">
        <v>23</v>
      </c>
      <c r="L1371" t="s">
        <v>252</v>
      </c>
      <c r="M1371" t="s">
        <v>253</v>
      </c>
      <c r="N1371" t="s">
        <v>35</v>
      </c>
      <c r="O1371" t="s">
        <v>26</v>
      </c>
      <c r="P1371" t="s">
        <v>27</v>
      </c>
      <c r="Q1371" t="s">
        <v>28</v>
      </c>
      <c r="R1371" t="s">
        <v>29</v>
      </c>
      <c r="S1371" t="s">
        <v>30</v>
      </c>
      <c r="T1371">
        <v>1015401969</v>
      </c>
      <c r="U1371" t="s">
        <v>3936</v>
      </c>
      <c r="V1371" t="s">
        <v>3937</v>
      </c>
      <c r="W1371" s="9">
        <f>IF(V1371="pregrado",31,
IF(V1371="posgrados",31,
IF(V1371="rEINTEGROS",7,
IF(V1371="BIT",90,
IF(V1371="OP GRADO - INGLÉS",17,"")))))</f>
        <v>31</v>
      </c>
      <c r="X1371" t="s">
        <v>3945</v>
      </c>
    </row>
    <row r="1372" spans="1:24" ht="15" x14ac:dyDescent="0.35">
      <c r="A1372" s="4">
        <v>46053.49181712963</v>
      </c>
      <c r="B1372">
        <v>20119278</v>
      </c>
      <c r="C1372" s="6" t="s">
        <v>19</v>
      </c>
      <c r="D1372">
        <v>168662</v>
      </c>
      <c r="E1372" t="s">
        <v>43</v>
      </c>
      <c r="F1372">
        <v>74170360</v>
      </c>
      <c r="G1372" t="s">
        <v>2613</v>
      </c>
      <c r="H1372">
        <v>100244504</v>
      </c>
      <c r="I1372">
        <v>202651</v>
      </c>
      <c r="J1372">
        <v>74170360</v>
      </c>
      <c r="K1372" t="s">
        <v>23</v>
      </c>
      <c r="L1372" t="s">
        <v>252</v>
      </c>
      <c r="M1372" t="s">
        <v>253</v>
      </c>
      <c r="N1372" t="s">
        <v>35</v>
      </c>
      <c r="O1372" t="s">
        <v>26</v>
      </c>
      <c r="P1372" t="s">
        <v>27</v>
      </c>
      <c r="Q1372" t="s">
        <v>28</v>
      </c>
      <c r="R1372" t="s">
        <v>29</v>
      </c>
      <c r="S1372" t="s">
        <v>30</v>
      </c>
      <c r="T1372">
        <v>1014285873</v>
      </c>
      <c r="U1372" t="s">
        <v>3948</v>
      </c>
      <c r="V1372" t="s">
        <v>3937</v>
      </c>
      <c r="W1372" s="9">
        <f>IF(V1372="pregrado",31,
IF(V1372="posgrados",31,
IF(V1372="rEINTEGROS",7,
IF(V1372="BIT",90,
IF(V1372="OP GRADO - INGLÉS",17,"")))))</f>
        <v>31</v>
      </c>
      <c r="X1372" t="s">
        <v>3953</v>
      </c>
    </row>
    <row r="1373" spans="1:24" ht="15" x14ac:dyDescent="0.35">
      <c r="A1373" s="4">
        <v>46056.468553240738</v>
      </c>
      <c r="B1373">
        <v>20120044</v>
      </c>
      <c r="C1373" s="6" t="s">
        <v>19</v>
      </c>
      <c r="D1373">
        <v>168665</v>
      </c>
      <c r="E1373" t="s">
        <v>43</v>
      </c>
      <c r="F1373">
        <v>40093195</v>
      </c>
      <c r="G1373" t="s">
        <v>2690</v>
      </c>
      <c r="H1373">
        <v>100244507</v>
      </c>
      <c r="I1373">
        <v>202651</v>
      </c>
      <c r="J1373">
        <v>40093195</v>
      </c>
      <c r="K1373" t="s">
        <v>23</v>
      </c>
      <c r="L1373" t="s">
        <v>252</v>
      </c>
      <c r="M1373" t="s">
        <v>253</v>
      </c>
      <c r="N1373" t="s">
        <v>35</v>
      </c>
      <c r="O1373" t="s">
        <v>26</v>
      </c>
      <c r="P1373" t="s">
        <v>27</v>
      </c>
      <c r="Q1373" t="s">
        <v>28</v>
      </c>
      <c r="R1373" t="s">
        <v>29</v>
      </c>
      <c r="S1373" t="s">
        <v>30</v>
      </c>
      <c r="T1373">
        <v>1020754225</v>
      </c>
      <c r="U1373" t="s">
        <v>3948</v>
      </c>
      <c r="V1373" t="s">
        <v>3937</v>
      </c>
      <c r="W1373" s="9">
        <f>IF(V1373="pregrado",31,
IF(V1373="posgrados",31,
IF(V1373="rEINTEGROS",7,
IF(V1373="BIT",90,
IF(V1373="OP GRADO - INGLÉS",17,"")))))</f>
        <v>31</v>
      </c>
      <c r="X1373" t="s">
        <v>3981</v>
      </c>
    </row>
    <row r="1374" spans="1:24" ht="15" x14ac:dyDescent="0.35">
      <c r="A1374" s="4">
        <v>46055.508692129632</v>
      </c>
      <c r="B1374">
        <v>20119583</v>
      </c>
      <c r="C1374" s="6" t="s">
        <v>19</v>
      </c>
      <c r="D1374">
        <v>168666</v>
      </c>
      <c r="E1374" t="s">
        <v>43</v>
      </c>
      <c r="F1374">
        <v>1193498267</v>
      </c>
      <c r="G1374" t="s">
        <v>2649</v>
      </c>
      <c r="H1374">
        <v>100244508</v>
      </c>
      <c r="I1374">
        <v>202651</v>
      </c>
      <c r="J1374">
        <v>1193498267</v>
      </c>
      <c r="K1374" t="s">
        <v>23</v>
      </c>
      <c r="L1374" t="s">
        <v>252</v>
      </c>
      <c r="M1374" t="s">
        <v>253</v>
      </c>
      <c r="N1374" t="s">
        <v>35</v>
      </c>
      <c r="O1374" t="s">
        <v>26</v>
      </c>
      <c r="P1374" t="s">
        <v>27</v>
      </c>
      <c r="Q1374" t="s">
        <v>28</v>
      </c>
      <c r="R1374" t="s">
        <v>29</v>
      </c>
      <c r="S1374" t="s">
        <v>30</v>
      </c>
      <c r="T1374">
        <v>1031147887</v>
      </c>
      <c r="U1374" t="s">
        <v>3948</v>
      </c>
      <c r="V1374" t="s">
        <v>3937</v>
      </c>
      <c r="W1374" s="9">
        <f>IF(V1374="pregrado",31,
IF(V1374="posgrados",31,
IF(V1374="rEINTEGROS",7,
IF(V1374="BIT",90,
IF(V1374="OP GRADO - INGLÉS",17,"")))))</f>
        <v>31</v>
      </c>
      <c r="X1374" t="s">
        <v>3947</v>
      </c>
    </row>
    <row r="1375" spans="1:24" ht="15" x14ac:dyDescent="0.35">
      <c r="A1375" s="4">
        <v>46052.680601851855</v>
      </c>
      <c r="B1375">
        <v>20119062</v>
      </c>
      <c r="C1375" s="6" t="s">
        <v>19</v>
      </c>
      <c r="D1375">
        <v>168670</v>
      </c>
      <c r="E1375" t="s">
        <v>43</v>
      </c>
      <c r="F1375">
        <v>1006799215</v>
      </c>
      <c r="G1375" t="s">
        <v>2578</v>
      </c>
      <c r="H1375">
        <v>100244512</v>
      </c>
      <c r="I1375">
        <v>202641</v>
      </c>
      <c r="J1375">
        <v>1006799215</v>
      </c>
      <c r="K1375" t="s">
        <v>23</v>
      </c>
      <c r="L1375" t="s">
        <v>294</v>
      </c>
      <c r="M1375" t="s">
        <v>47</v>
      </c>
      <c r="N1375" t="s">
        <v>35</v>
      </c>
      <c r="O1375" t="s">
        <v>26</v>
      </c>
      <c r="P1375" t="s">
        <v>27</v>
      </c>
      <c r="Q1375" t="s">
        <v>28</v>
      </c>
      <c r="R1375" t="s">
        <v>29</v>
      </c>
      <c r="S1375" t="s">
        <v>30</v>
      </c>
      <c r="T1375">
        <v>1033781417</v>
      </c>
      <c r="U1375" t="s">
        <v>3948</v>
      </c>
      <c r="V1375" t="s">
        <v>3937</v>
      </c>
      <c r="W1375" s="9">
        <f>IF(V1375="pregrado",31,
IF(V1375="posgrados",31,
IF(V1375="rEINTEGROS",7,
IF(V1375="BIT",90,
IF(V1375="OP GRADO - INGLÉS",17,"")))))</f>
        <v>31</v>
      </c>
      <c r="X1375" t="s">
        <v>4031</v>
      </c>
    </row>
    <row r="1376" spans="1:24" ht="15" x14ac:dyDescent="0.35">
      <c r="A1376" s="4">
        <v>46053.434652777774</v>
      </c>
      <c r="B1376">
        <v>20119244</v>
      </c>
      <c r="C1376" s="6" t="s">
        <v>19</v>
      </c>
      <c r="D1376">
        <v>168674</v>
      </c>
      <c r="E1376" t="s">
        <v>43</v>
      </c>
      <c r="F1376">
        <v>1097396806</v>
      </c>
      <c r="G1376" t="s">
        <v>2618</v>
      </c>
      <c r="H1376">
        <v>100244516</v>
      </c>
      <c r="I1376">
        <v>202641</v>
      </c>
      <c r="J1376">
        <v>24587084</v>
      </c>
      <c r="K1376" t="s">
        <v>23</v>
      </c>
      <c r="L1376" t="s">
        <v>59</v>
      </c>
      <c r="M1376" t="s">
        <v>47</v>
      </c>
      <c r="N1376" t="s">
        <v>35</v>
      </c>
      <c r="O1376" t="s">
        <v>26</v>
      </c>
      <c r="P1376" t="s">
        <v>27</v>
      </c>
      <c r="Q1376" t="s">
        <v>28</v>
      </c>
      <c r="R1376" t="s">
        <v>29</v>
      </c>
      <c r="S1376" t="s">
        <v>30</v>
      </c>
      <c r="T1376">
        <v>52916205</v>
      </c>
      <c r="U1376" t="s">
        <v>3936</v>
      </c>
      <c r="V1376" t="s">
        <v>3937</v>
      </c>
      <c r="W1376" s="9">
        <f>IF(V1376="pregrado",31,
IF(V1376="posgrados",31,
IF(V1376="rEINTEGROS",7,
IF(V1376="BIT",90,
IF(V1376="OP GRADO - INGLÉS",17,"")))))</f>
        <v>31</v>
      </c>
      <c r="X1376" t="s">
        <v>4032</v>
      </c>
    </row>
    <row r="1377" spans="1:24" ht="15" x14ac:dyDescent="0.35">
      <c r="A1377" s="4">
        <v>46076.771701388891</v>
      </c>
      <c r="B1377">
        <v>20125837</v>
      </c>
      <c r="C1377" s="6" t="s">
        <v>19</v>
      </c>
      <c r="D1377">
        <v>168687</v>
      </c>
      <c r="E1377" t="s">
        <v>43</v>
      </c>
      <c r="F1377">
        <v>35262796</v>
      </c>
      <c r="G1377" t="s">
        <v>3571</v>
      </c>
      <c r="H1377">
        <v>100244543</v>
      </c>
      <c r="I1377">
        <v>202641</v>
      </c>
      <c r="J1377">
        <v>35262796</v>
      </c>
      <c r="K1377" t="s">
        <v>23</v>
      </c>
      <c r="L1377" t="s">
        <v>160</v>
      </c>
      <c r="M1377" t="s">
        <v>47</v>
      </c>
      <c r="N1377" t="s">
        <v>35</v>
      </c>
      <c r="O1377" t="s">
        <v>26</v>
      </c>
      <c r="P1377" t="s">
        <v>27</v>
      </c>
      <c r="Q1377" t="s">
        <v>28</v>
      </c>
      <c r="R1377" t="s">
        <v>29</v>
      </c>
      <c r="S1377" t="s">
        <v>30</v>
      </c>
      <c r="T1377">
        <v>52965969</v>
      </c>
      <c r="U1377" t="s">
        <v>3936</v>
      </c>
      <c r="V1377" t="s">
        <v>3937</v>
      </c>
      <c r="W1377" s="9">
        <f>IF(V1377="pregrado",31,
IF(V1377="posgrados",31,
IF(V1377="rEINTEGROS",7,
IF(V1377="BIT",90,
IF(V1377="OP GRADO - INGLÉS",17,"")))))</f>
        <v>31</v>
      </c>
      <c r="X1377" t="s">
        <v>3960</v>
      </c>
    </row>
    <row r="1378" spans="1:24" ht="15" x14ac:dyDescent="0.35">
      <c r="A1378" s="4">
        <v>46055.412812499999</v>
      </c>
      <c r="B1378">
        <v>20119491</v>
      </c>
      <c r="C1378" s="6" t="s">
        <v>19</v>
      </c>
      <c r="D1378">
        <v>168692</v>
      </c>
      <c r="E1378" t="s">
        <v>43</v>
      </c>
      <c r="F1378">
        <v>1082923621</v>
      </c>
      <c r="G1378" t="s">
        <v>2643</v>
      </c>
      <c r="H1378">
        <v>100244549</v>
      </c>
      <c r="I1378">
        <v>202651</v>
      </c>
      <c r="J1378">
        <v>1082923621</v>
      </c>
      <c r="K1378" t="s">
        <v>23</v>
      </c>
      <c r="L1378" t="s">
        <v>252</v>
      </c>
      <c r="M1378" t="s">
        <v>253</v>
      </c>
      <c r="N1378" t="s">
        <v>35</v>
      </c>
      <c r="O1378" t="s">
        <v>26</v>
      </c>
      <c r="P1378" t="s">
        <v>27</v>
      </c>
      <c r="Q1378" t="s">
        <v>28</v>
      </c>
      <c r="R1378" t="s">
        <v>29</v>
      </c>
      <c r="S1378" t="s">
        <v>30</v>
      </c>
      <c r="T1378">
        <v>52965969</v>
      </c>
      <c r="U1378" t="s">
        <v>3936</v>
      </c>
      <c r="V1378" t="s">
        <v>3937</v>
      </c>
      <c r="W1378" s="9">
        <f>IF(V1378="pregrado",31,
IF(V1378="posgrados",31,
IF(V1378="rEINTEGROS",7,
IF(V1378="BIT",90,
IF(V1378="OP GRADO - INGLÉS",17,"")))))</f>
        <v>31</v>
      </c>
      <c r="X1378" t="s">
        <v>3960</v>
      </c>
    </row>
    <row r="1379" spans="1:24" ht="15" x14ac:dyDescent="0.35">
      <c r="A1379" s="4">
        <v>46052.90289351852</v>
      </c>
      <c r="B1379">
        <v>20119184</v>
      </c>
      <c r="C1379" s="6" t="s">
        <v>19</v>
      </c>
      <c r="D1379">
        <v>168694</v>
      </c>
      <c r="E1379" t="s">
        <v>43</v>
      </c>
      <c r="F1379">
        <v>1122145913</v>
      </c>
      <c r="G1379" t="s">
        <v>2605</v>
      </c>
      <c r="H1379">
        <v>100058640</v>
      </c>
      <c r="I1379">
        <v>202641</v>
      </c>
      <c r="J1379">
        <v>1122145913</v>
      </c>
      <c r="K1379" t="s">
        <v>23</v>
      </c>
      <c r="L1379" t="s">
        <v>59</v>
      </c>
      <c r="M1379" t="s">
        <v>47</v>
      </c>
      <c r="N1379" t="s">
        <v>35</v>
      </c>
      <c r="O1379" t="s">
        <v>26</v>
      </c>
      <c r="P1379" t="s">
        <v>27</v>
      </c>
      <c r="Q1379" t="s">
        <v>28</v>
      </c>
      <c r="R1379" t="s">
        <v>29</v>
      </c>
      <c r="S1379" t="s">
        <v>30</v>
      </c>
      <c r="T1379">
        <v>1014285873</v>
      </c>
      <c r="U1379" t="s">
        <v>3948</v>
      </c>
      <c r="V1379" t="s">
        <v>3937</v>
      </c>
      <c r="W1379" s="9">
        <f>IF(V1379="pregrado",31,
IF(V1379="posgrados",31,
IF(V1379="rEINTEGROS",7,
IF(V1379="BIT",90,
IF(V1379="OP GRADO - INGLÉS",17,"")))))</f>
        <v>31</v>
      </c>
      <c r="X1379" t="s">
        <v>3953</v>
      </c>
    </row>
    <row r="1380" spans="1:24" ht="15" x14ac:dyDescent="0.35">
      <c r="A1380" s="4">
        <v>46062.416226851848</v>
      </c>
      <c r="B1380">
        <v>20121551</v>
      </c>
      <c r="C1380" s="6" t="s">
        <v>19</v>
      </c>
      <c r="D1380">
        <v>168706</v>
      </c>
      <c r="E1380" t="s">
        <v>43</v>
      </c>
      <c r="F1380">
        <v>1118557989</v>
      </c>
      <c r="G1380" t="s">
        <v>2910</v>
      </c>
      <c r="H1380">
        <v>100243834</v>
      </c>
      <c r="I1380">
        <v>202651</v>
      </c>
      <c r="J1380">
        <v>1118557989</v>
      </c>
      <c r="K1380" t="s">
        <v>23</v>
      </c>
      <c r="L1380" t="s">
        <v>252</v>
      </c>
      <c r="M1380" t="s">
        <v>253</v>
      </c>
      <c r="N1380" t="s">
        <v>35</v>
      </c>
      <c r="O1380" t="s">
        <v>26</v>
      </c>
      <c r="P1380" t="s">
        <v>27</v>
      </c>
      <c r="Q1380" t="s">
        <v>28</v>
      </c>
      <c r="R1380" t="s">
        <v>29</v>
      </c>
      <c r="S1380" t="s">
        <v>30</v>
      </c>
      <c r="T1380">
        <v>52032666</v>
      </c>
      <c r="U1380" t="s">
        <v>3948</v>
      </c>
      <c r="V1380" t="s">
        <v>3937</v>
      </c>
      <c r="W1380" s="9">
        <f>IF(V1380="pregrado",31,
IF(V1380="posgrados",31,
IF(V1380="rEINTEGROS",7,
IF(V1380="BIT",90,
IF(V1380="OP GRADO - INGLÉS",17,"")))))</f>
        <v>31</v>
      </c>
      <c r="X1380" t="s">
        <v>3983</v>
      </c>
    </row>
    <row r="1381" spans="1:24" ht="15" x14ac:dyDescent="0.35">
      <c r="A1381" s="4">
        <v>46056.634421296294</v>
      </c>
      <c r="B1381">
        <v>20120154</v>
      </c>
      <c r="C1381" s="6" t="s">
        <v>19</v>
      </c>
      <c r="D1381">
        <v>168708</v>
      </c>
      <c r="E1381" t="s">
        <v>43</v>
      </c>
      <c r="F1381">
        <v>24081323</v>
      </c>
      <c r="G1381" t="s">
        <v>2702</v>
      </c>
      <c r="H1381">
        <v>100244530</v>
      </c>
      <c r="I1381">
        <v>202651</v>
      </c>
      <c r="J1381">
        <v>24081323</v>
      </c>
      <c r="K1381" t="s">
        <v>23</v>
      </c>
      <c r="L1381" t="s">
        <v>252</v>
      </c>
      <c r="M1381" t="s">
        <v>253</v>
      </c>
      <c r="N1381" t="s">
        <v>35</v>
      </c>
      <c r="O1381" t="s">
        <v>26</v>
      </c>
      <c r="P1381" t="s">
        <v>27</v>
      </c>
      <c r="Q1381" t="s">
        <v>28</v>
      </c>
      <c r="R1381" t="s">
        <v>29</v>
      </c>
      <c r="S1381" t="s">
        <v>30</v>
      </c>
      <c r="T1381">
        <v>1033781417</v>
      </c>
      <c r="U1381" t="s">
        <v>3948</v>
      </c>
      <c r="V1381" t="s">
        <v>3937</v>
      </c>
      <c r="W1381" s="9">
        <f>IF(V1381="pregrado",31,
IF(V1381="posgrados",31,
IF(V1381="rEINTEGROS",7,
IF(V1381="BIT",90,
IF(V1381="OP GRADO - INGLÉS",17,"")))))</f>
        <v>31</v>
      </c>
      <c r="X1381" t="s">
        <v>4031</v>
      </c>
    </row>
    <row r="1382" spans="1:24" ht="15" x14ac:dyDescent="0.35">
      <c r="A1382" s="4">
        <v>46058.38040509259</v>
      </c>
      <c r="B1382">
        <v>20120716</v>
      </c>
      <c r="C1382" s="6" t="s">
        <v>19</v>
      </c>
      <c r="D1382">
        <v>168718</v>
      </c>
      <c r="E1382" t="s">
        <v>43</v>
      </c>
      <c r="F1382">
        <v>39731642</v>
      </c>
      <c r="G1382" t="s">
        <v>2780</v>
      </c>
      <c r="H1382">
        <v>100244581</v>
      </c>
      <c r="I1382">
        <v>202651</v>
      </c>
      <c r="J1382">
        <v>39731642</v>
      </c>
      <c r="K1382" t="s">
        <v>23</v>
      </c>
      <c r="L1382" t="s">
        <v>252</v>
      </c>
      <c r="M1382" t="s">
        <v>253</v>
      </c>
      <c r="N1382" t="s">
        <v>35</v>
      </c>
      <c r="O1382" t="s">
        <v>26</v>
      </c>
      <c r="P1382" t="s">
        <v>27</v>
      </c>
      <c r="Q1382" t="s">
        <v>28</v>
      </c>
      <c r="R1382" t="s">
        <v>29</v>
      </c>
      <c r="S1382" t="s">
        <v>30</v>
      </c>
      <c r="T1382">
        <v>1012355141</v>
      </c>
      <c r="U1382" t="s">
        <v>3936</v>
      </c>
      <c r="V1382" t="s">
        <v>3937</v>
      </c>
      <c r="W1382" s="9">
        <f>IF(V1382="pregrado",31,
IF(V1382="posgrados",31,
IF(V1382="rEINTEGROS",7,
IF(V1382="BIT",90,
IF(V1382="OP GRADO - INGLÉS",17,"")))))</f>
        <v>31</v>
      </c>
      <c r="X1382" t="s">
        <v>4045</v>
      </c>
    </row>
    <row r="1383" spans="1:24" ht="15" x14ac:dyDescent="0.35">
      <c r="A1383" s="4">
        <v>46060.561099537037</v>
      </c>
      <c r="B1383">
        <v>20121424</v>
      </c>
      <c r="C1383" s="6" t="s">
        <v>19</v>
      </c>
      <c r="D1383">
        <v>168719</v>
      </c>
      <c r="E1383" t="s">
        <v>43</v>
      </c>
      <c r="F1383">
        <v>23182335</v>
      </c>
      <c r="G1383" t="s">
        <v>2896</v>
      </c>
      <c r="H1383">
        <v>100244583</v>
      </c>
      <c r="I1383">
        <v>202641</v>
      </c>
      <c r="J1383">
        <v>23182335</v>
      </c>
      <c r="K1383" t="s">
        <v>23</v>
      </c>
      <c r="L1383" t="s">
        <v>279</v>
      </c>
      <c r="M1383" t="s">
        <v>47</v>
      </c>
      <c r="N1383" t="s">
        <v>35</v>
      </c>
      <c r="O1383" t="s">
        <v>26</v>
      </c>
      <c r="P1383" t="s">
        <v>27</v>
      </c>
      <c r="Q1383" t="s">
        <v>28</v>
      </c>
      <c r="R1383" t="s">
        <v>29</v>
      </c>
      <c r="S1383" t="s">
        <v>30</v>
      </c>
      <c r="T1383">
        <v>1082250716</v>
      </c>
      <c r="U1383" t="s">
        <v>3936</v>
      </c>
      <c r="V1383" t="s">
        <v>3937</v>
      </c>
      <c r="W1383" s="9">
        <f>IF(V1383="pregrado",31,
IF(V1383="posgrados",31,
IF(V1383="rEINTEGROS",7,
IF(V1383="BIT",90,
IF(V1383="OP GRADO - INGLÉS",17,"")))))</f>
        <v>31</v>
      </c>
      <c r="X1383" t="s">
        <v>3997</v>
      </c>
    </row>
    <row r="1384" spans="1:24" ht="15" x14ac:dyDescent="0.35">
      <c r="A1384" s="4">
        <v>46066.748391203706</v>
      </c>
      <c r="B1384">
        <v>20123343</v>
      </c>
      <c r="C1384" s="6" t="s">
        <v>19</v>
      </c>
      <c r="D1384">
        <v>168729</v>
      </c>
      <c r="E1384" t="s">
        <v>43</v>
      </c>
      <c r="F1384">
        <v>37273633</v>
      </c>
      <c r="G1384" t="s">
        <v>3191</v>
      </c>
      <c r="H1384">
        <v>100107448</v>
      </c>
      <c r="I1384">
        <v>202651</v>
      </c>
      <c r="J1384">
        <v>37273633</v>
      </c>
      <c r="K1384" t="s">
        <v>23</v>
      </c>
      <c r="L1384" t="s">
        <v>252</v>
      </c>
      <c r="M1384" t="s">
        <v>253</v>
      </c>
      <c r="N1384" t="s">
        <v>35</v>
      </c>
      <c r="O1384" t="s">
        <v>26</v>
      </c>
      <c r="P1384" t="s">
        <v>27</v>
      </c>
      <c r="Q1384" t="s">
        <v>28</v>
      </c>
      <c r="R1384" t="s">
        <v>29</v>
      </c>
      <c r="S1384" t="s">
        <v>30</v>
      </c>
      <c r="T1384">
        <v>1033781417</v>
      </c>
      <c r="U1384" t="s">
        <v>3948</v>
      </c>
      <c r="V1384" t="s">
        <v>3937</v>
      </c>
      <c r="W1384" s="9">
        <f>IF(V1384="pregrado",31,
IF(V1384="posgrados",31,
IF(V1384="rEINTEGROS",7,
IF(V1384="BIT",90,
IF(V1384="OP GRADO - INGLÉS",17,"")))))</f>
        <v>31</v>
      </c>
      <c r="X1384" t="s">
        <v>4031</v>
      </c>
    </row>
    <row r="1385" spans="1:24" ht="15" x14ac:dyDescent="0.35">
      <c r="A1385" s="4">
        <v>46070.420034722221</v>
      </c>
      <c r="B1385">
        <v>20124020</v>
      </c>
      <c r="C1385" s="6" t="s">
        <v>19</v>
      </c>
      <c r="D1385">
        <v>168730</v>
      </c>
      <c r="E1385" t="s">
        <v>43</v>
      </c>
      <c r="F1385">
        <v>1120750044</v>
      </c>
      <c r="G1385" t="s">
        <v>3281</v>
      </c>
      <c r="H1385">
        <v>100244595</v>
      </c>
      <c r="I1385">
        <v>202641</v>
      </c>
      <c r="J1385">
        <v>1192762863</v>
      </c>
      <c r="K1385" t="s">
        <v>23</v>
      </c>
      <c r="L1385" t="s">
        <v>160</v>
      </c>
      <c r="M1385" t="s">
        <v>47</v>
      </c>
      <c r="N1385" t="s">
        <v>35</v>
      </c>
      <c r="O1385" t="s">
        <v>26</v>
      </c>
      <c r="P1385" t="s">
        <v>27</v>
      </c>
      <c r="Q1385" t="s">
        <v>28</v>
      </c>
      <c r="R1385" t="s">
        <v>29</v>
      </c>
      <c r="S1385" t="s">
        <v>30</v>
      </c>
      <c r="T1385">
        <v>52965969</v>
      </c>
      <c r="U1385" t="s">
        <v>3936</v>
      </c>
      <c r="V1385" t="s">
        <v>3937</v>
      </c>
      <c r="W1385" s="9">
        <f>IF(V1385="pregrado",31,
IF(V1385="posgrados",31,
IF(V1385="rEINTEGROS",7,
IF(V1385="BIT",90,
IF(V1385="OP GRADO - INGLÉS",17,"")))))</f>
        <v>31</v>
      </c>
      <c r="X1385" t="s">
        <v>3960</v>
      </c>
    </row>
    <row r="1386" spans="1:24" ht="15" x14ac:dyDescent="0.35">
      <c r="A1386" s="4">
        <v>46064.668020833335</v>
      </c>
      <c r="B1386">
        <v>20122500</v>
      </c>
      <c r="C1386" s="6" t="s">
        <v>19</v>
      </c>
      <c r="D1386">
        <v>168733</v>
      </c>
      <c r="E1386" t="s">
        <v>43</v>
      </c>
      <c r="F1386">
        <v>1233345692</v>
      </c>
      <c r="G1386" t="s">
        <v>3041</v>
      </c>
      <c r="H1386">
        <v>100244603</v>
      </c>
      <c r="I1386">
        <v>202651</v>
      </c>
      <c r="J1386">
        <v>1233345692</v>
      </c>
      <c r="K1386" t="s">
        <v>23</v>
      </c>
      <c r="L1386" t="s">
        <v>252</v>
      </c>
      <c r="M1386" t="s">
        <v>253</v>
      </c>
      <c r="N1386" t="s">
        <v>35</v>
      </c>
      <c r="O1386" t="s">
        <v>26</v>
      </c>
      <c r="P1386" t="s">
        <v>27</v>
      </c>
      <c r="Q1386" t="s">
        <v>28</v>
      </c>
      <c r="R1386" t="s">
        <v>29</v>
      </c>
      <c r="S1386" t="s">
        <v>30</v>
      </c>
      <c r="T1386">
        <v>1075542872</v>
      </c>
      <c r="U1386" t="s">
        <v>3948</v>
      </c>
      <c r="V1386" t="s">
        <v>3937</v>
      </c>
      <c r="W1386" s="9">
        <f>IF(V1386="pregrado",31,
IF(V1386="posgrados",31,
IF(V1386="rEINTEGROS",7,
IF(V1386="BIT",90,
IF(V1386="OP GRADO - INGLÉS",17,"")))))</f>
        <v>31</v>
      </c>
      <c r="X1386" t="s">
        <v>3974</v>
      </c>
    </row>
    <row r="1387" spans="1:24" ht="15" x14ac:dyDescent="0.35">
      <c r="A1387" s="4">
        <v>46055.565671296295</v>
      </c>
      <c r="B1387">
        <v>20119637</v>
      </c>
      <c r="C1387" s="6" t="s">
        <v>19</v>
      </c>
      <c r="D1387">
        <v>168738</v>
      </c>
      <c r="E1387" t="s">
        <v>43</v>
      </c>
      <c r="F1387">
        <v>1039449961</v>
      </c>
      <c r="G1387" t="s">
        <v>2653</v>
      </c>
      <c r="H1387">
        <v>100244619</v>
      </c>
      <c r="I1387">
        <v>202651</v>
      </c>
      <c r="J1387">
        <v>1039449961</v>
      </c>
      <c r="K1387" t="s">
        <v>23</v>
      </c>
      <c r="L1387" t="s">
        <v>252</v>
      </c>
      <c r="M1387" t="s">
        <v>253</v>
      </c>
      <c r="N1387" t="s">
        <v>35</v>
      </c>
      <c r="O1387" t="s">
        <v>26</v>
      </c>
      <c r="P1387" t="s">
        <v>27</v>
      </c>
      <c r="Q1387" t="s">
        <v>28</v>
      </c>
      <c r="R1387" t="s">
        <v>29</v>
      </c>
      <c r="S1387" t="s">
        <v>30</v>
      </c>
      <c r="T1387">
        <v>1033793185</v>
      </c>
      <c r="U1387" t="s">
        <v>3948</v>
      </c>
      <c r="V1387" t="s">
        <v>3937</v>
      </c>
      <c r="W1387" s="9">
        <f>IF(V1387="pregrado",31,
IF(V1387="posgrados",31,
IF(V1387="rEINTEGROS",7,
IF(V1387="BIT",90,
IF(V1387="OP GRADO - INGLÉS",17,"")))))</f>
        <v>31</v>
      </c>
      <c r="X1387" t="s">
        <v>4082</v>
      </c>
    </row>
    <row r="1388" spans="1:24" ht="15" x14ac:dyDescent="0.35">
      <c r="A1388" s="4">
        <v>46065.638356481482</v>
      </c>
      <c r="B1388">
        <v>20122878</v>
      </c>
      <c r="C1388" s="6" t="s">
        <v>19</v>
      </c>
      <c r="D1388">
        <v>168739</v>
      </c>
      <c r="E1388" t="s">
        <v>43</v>
      </c>
      <c r="F1388">
        <v>23810695</v>
      </c>
      <c r="G1388" t="s">
        <v>3107</v>
      </c>
      <c r="H1388">
        <v>100244622</v>
      </c>
      <c r="I1388">
        <v>202651</v>
      </c>
      <c r="J1388">
        <v>46385505</v>
      </c>
      <c r="K1388" t="s">
        <v>23</v>
      </c>
      <c r="L1388" t="s">
        <v>252</v>
      </c>
      <c r="M1388" t="s">
        <v>253</v>
      </c>
      <c r="N1388" t="s">
        <v>35</v>
      </c>
      <c r="O1388" t="s">
        <v>26</v>
      </c>
      <c r="P1388" t="s">
        <v>27</v>
      </c>
      <c r="Q1388" t="s">
        <v>28</v>
      </c>
      <c r="R1388" t="s">
        <v>29</v>
      </c>
      <c r="S1388" t="s">
        <v>30</v>
      </c>
      <c r="T1388">
        <v>1012389748</v>
      </c>
      <c r="U1388" t="s">
        <v>3948</v>
      </c>
      <c r="V1388" t="s">
        <v>3937</v>
      </c>
      <c r="W1388" s="9">
        <f>IF(V1388="pregrado",31,
IF(V1388="posgrados",31,
IF(V1388="rEINTEGROS",7,
IF(V1388="BIT",90,
IF(V1388="OP GRADO - INGLÉS",17,"")))))</f>
        <v>31</v>
      </c>
      <c r="X1388" t="s">
        <v>4065</v>
      </c>
    </row>
    <row r="1389" spans="1:24" ht="15" x14ac:dyDescent="0.35">
      <c r="A1389" s="4">
        <v>46057.420347222222</v>
      </c>
      <c r="B1389">
        <v>20120349</v>
      </c>
      <c r="C1389" s="6" t="s">
        <v>19</v>
      </c>
      <c r="D1389">
        <v>168747</v>
      </c>
      <c r="E1389" t="s">
        <v>43</v>
      </c>
      <c r="F1389">
        <v>1085258893</v>
      </c>
      <c r="G1389" t="s">
        <v>2730</v>
      </c>
      <c r="H1389">
        <v>100244636</v>
      </c>
      <c r="I1389">
        <v>202641</v>
      </c>
      <c r="J1389">
        <v>1085258893</v>
      </c>
      <c r="K1389" t="s">
        <v>23</v>
      </c>
      <c r="L1389" t="s">
        <v>99</v>
      </c>
      <c r="M1389" t="s">
        <v>47</v>
      </c>
      <c r="N1389" t="s">
        <v>35</v>
      </c>
      <c r="O1389" t="s">
        <v>26</v>
      </c>
      <c r="P1389" t="s">
        <v>27</v>
      </c>
      <c r="Q1389" t="s">
        <v>28</v>
      </c>
      <c r="R1389" t="s">
        <v>29</v>
      </c>
      <c r="S1389" t="s">
        <v>30</v>
      </c>
      <c r="T1389">
        <v>1140420282</v>
      </c>
      <c r="U1389" t="s">
        <v>3948</v>
      </c>
      <c r="V1389" t="s">
        <v>3937</v>
      </c>
      <c r="W1389" s="9">
        <f>IF(V1389="pregrado",31,
IF(V1389="posgrados",31,
IF(V1389="rEINTEGROS",7,
IF(V1389="BIT",90,
IF(V1389="OP GRADO - INGLÉS",17,"")))))</f>
        <v>31</v>
      </c>
      <c r="X1389" t="s">
        <v>3972</v>
      </c>
    </row>
    <row r="1390" spans="1:24" ht="15" x14ac:dyDescent="0.35">
      <c r="A1390" s="4">
        <v>46059.679768518516</v>
      </c>
      <c r="B1390">
        <v>20121277</v>
      </c>
      <c r="C1390" s="6" t="s">
        <v>19</v>
      </c>
      <c r="D1390">
        <v>168757</v>
      </c>
      <c r="E1390" t="s">
        <v>43</v>
      </c>
      <c r="F1390">
        <v>1007191560</v>
      </c>
      <c r="G1390" t="s">
        <v>2879</v>
      </c>
      <c r="H1390">
        <v>100244643</v>
      </c>
      <c r="I1390">
        <v>202651</v>
      </c>
      <c r="J1390">
        <v>1007191560</v>
      </c>
      <c r="K1390" t="s">
        <v>23</v>
      </c>
      <c r="L1390" t="s">
        <v>252</v>
      </c>
      <c r="M1390" t="s">
        <v>253</v>
      </c>
      <c r="N1390" t="s">
        <v>35</v>
      </c>
      <c r="O1390" t="s">
        <v>26</v>
      </c>
      <c r="P1390" t="s">
        <v>27</v>
      </c>
      <c r="Q1390" t="s">
        <v>28</v>
      </c>
      <c r="R1390" t="s">
        <v>29</v>
      </c>
      <c r="S1390" t="s">
        <v>30</v>
      </c>
      <c r="T1390">
        <v>1233888787</v>
      </c>
      <c r="U1390" t="s">
        <v>3936</v>
      </c>
      <c r="V1390" t="s">
        <v>3937</v>
      </c>
      <c r="W1390" s="9">
        <f>IF(V1390="pregrado",31,
IF(V1390="posgrados",31,
IF(V1390="rEINTEGROS",7,
IF(V1390="BIT",90,
IF(V1390="OP GRADO - INGLÉS",17,"")))))</f>
        <v>31</v>
      </c>
      <c r="X1390" t="s">
        <v>3998</v>
      </c>
    </row>
    <row r="1391" spans="1:24" ht="15" x14ac:dyDescent="0.35">
      <c r="A1391" s="4">
        <v>46057.72084490741</v>
      </c>
      <c r="B1391">
        <v>20120608</v>
      </c>
      <c r="C1391" s="6" t="s">
        <v>19</v>
      </c>
      <c r="D1391">
        <v>168777</v>
      </c>
      <c r="E1391" t="s">
        <v>43</v>
      </c>
      <c r="F1391">
        <v>52757177</v>
      </c>
      <c r="G1391" t="s">
        <v>2766</v>
      </c>
      <c r="H1391">
        <v>100244679</v>
      </c>
      <c r="I1391">
        <v>202651</v>
      </c>
      <c r="J1391">
        <v>52757177</v>
      </c>
      <c r="K1391" t="s">
        <v>23</v>
      </c>
      <c r="L1391" t="s">
        <v>252</v>
      </c>
      <c r="M1391" t="s">
        <v>253</v>
      </c>
      <c r="N1391" t="s">
        <v>35</v>
      </c>
      <c r="O1391" t="s">
        <v>26</v>
      </c>
      <c r="P1391" t="s">
        <v>27</v>
      </c>
      <c r="Q1391" t="s">
        <v>28</v>
      </c>
      <c r="R1391" t="s">
        <v>29</v>
      </c>
      <c r="S1391" t="s">
        <v>30</v>
      </c>
      <c r="T1391">
        <v>1032451737</v>
      </c>
      <c r="U1391" t="s">
        <v>3948</v>
      </c>
      <c r="V1391" t="s">
        <v>3937</v>
      </c>
      <c r="W1391" s="9">
        <f>IF(V1391="pregrado",31,
IF(V1391="posgrados",31,
IF(V1391="rEINTEGROS",7,
IF(V1391="BIT",90,
IF(V1391="OP GRADO - INGLÉS",17,"")))))</f>
        <v>31</v>
      </c>
      <c r="X1391" t="s">
        <v>4033</v>
      </c>
    </row>
    <row r="1392" spans="1:24" ht="15" x14ac:dyDescent="0.35">
      <c r="A1392" s="4">
        <v>46056.371990740743</v>
      </c>
      <c r="B1392">
        <v>20119970</v>
      </c>
      <c r="C1392" s="6" t="s">
        <v>19</v>
      </c>
      <c r="D1392">
        <v>168785</v>
      </c>
      <c r="E1392" t="s">
        <v>43</v>
      </c>
      <c r="F1392">
        <v>1007885176</v>
      </c>
      <c r="G1392" t="s">
        <v>2680</v>
      </c>
      <c r="H1392">
        <v>100244716</v>
      </c>
      <c r="I1392">
        <v>202651</v>
      </c>
      <c r="J1392">
        <v>1978029</v>
      </c>
      <c r="K1392" t="s">
        <v>23</v>
      </c>
      <c r="L1392" t="s">
        <v>252</v>
      </c>
      <c r="M1392" t="s">
        <v>253</v>
      </c>
      <c r="N1392" t="s">
        <v>35</v>
      </c>
      <c r="O1392" t="s">
        <v>26</v>
      </c>
      <c r="P1392" t="s">
        <v>27</v>
      </c>
      <c r="Q1392" t="s">
        <v>28</v>
      </c>
      <c r="R1392" t="s">
        <v>29</v>
      </c>
      <c r="S1392" t="s">
        <v>30</v>
      </c>
      <c r="T1392">
        <v>1033784244</v>
      </c>
      <c r="U1392" t="s">
        <v>3948</v>
      </c>
      <c r="V1392" t="s">
        <v>3937</v>
      </c>
      <c r="W1392" s="9">
        <f>IF(V1392="pregrado",31,
IF(V1392="posgrados",31,
IF(V1392="rEINTEGROS",7,
IF(V1392="BIT",90,
IF(V1392="OP GRADO - INGLÉS",17,"")))))</f>
        <v>31</v>
      </c>
      <c r="X1392" t="s">
        <v>4067</v>
      </c>
    </row>
    <row r="1393" spans="1:24" ht="15" x14ac:dyDescent="0.35">
      <c r="A1393" s="4">
        <v>46055.880416666667</v>
      </c>
      <c r="B1393">
        <v>20119910</v>
      </c>
      <c r="C1393" s="6" t="s">
        <v>19</v>
      </c>
      <c r="D1393">
        <v>168786</v>
      </c>
      <c r="E1393" t="s">
        <v>43</v>
      </c>
      <c r="F1393">
        <v>88278037</v>
      </c>
      <c r="G1393" t="s">
        <v>2678</v>
      </c>
      <c r="H1393">
        <v>100244719</v>
      </c>
      <c r="I1393">
        <v>202651</v>
      </c>
      <c r="J1393">
        <v>88278037</v>
      </c>
      <c r="K1393" t="s">
        <v>23</v>
      </c>
      <c r="L1393" t="s">
        <v>252</v>
      </c>
      <c r="M1393" t="s">
        <v>253</v>
      </c>
      <c r="N1393" t="s">
        <v>35</v>
      </c>
      <c r="O1393" t="s">
        <v>26</v>
      </c>
      <c r="P1393" t="s">
        <v>27</v>
      </c>
      <c r="Q1393" t="s">
        <v>28</v>
      </c>
      <c r="R1393" t="s">
        <v>29</v>
      </c>
      <c r="S1393" t="s">
        <v>30</v>
      </c>
      <c r="T1393">
        <v>1033784244</v>
      </c>
      <c r="U1393" t="s">
        <v>3948</v>
      </c>
      <c r="V1393" t="s">
        <v>3937</v>
      </c>
      <c r="W1393" s="9">
        <f>IF(V1393="pregrado",31,
IF(V1393="posgrados",31,
IF(V1393="rEINTEGROS",7,
IF(V1393="BIT",90,
IF(V1393="OP GRADO - INGLÉS",17,"")))))</f>
        <v>31</v>
      </c>
      <c r="X1393" t="s">
        <v>4067</v>
      </c>
    </row>
    <row r="1394" spans="1:24" ht="15" x14ac:dyDescent="0.35">
      <c r="A1394" s="4">
        <v>46056.476736111108</v>
      </c>
      <c r="B1394">
        <v>20120049</v>
      </c>
      <c r="C1394" s="6" t="s">
        <v>19</v>
      </c>
      <c r="D1394">
        <v>168789</v>
      </c>
      <c r="E1394" t="s">
        <v>43</v>
      </c>
      <c r="F1394">
        <v>12240180</v>
      </c>
      <c r="G1394" t="s">
        <v>2691</v>
      </c>
      <c r="H1394">
        <v>100244700</v>
      </c>
      <c r="I1394">
        <v>202651</v>
      </c>
      <c r="J1394">
        <v>1006505847</v>
      </c>
      <c r="K1394" t="s">
        <v>23</v>
      </c>
      <c r="L1394" t="s">
        <v>252</v>
      </c>
      <c r="M1394" t="s">
        <v>253</v>
      </c>
      <c r="N1394" t="s">
        <v>35</v>
      </c>
      <c r="O1394" t="s">
        <v>26</v>
      </c>
      <c r="P1394" t="s">
        <v>27</v>
      </c>
      <c r="Q1394" t="s">
        <v>28</v>
      </c>
      <c r="R1394" t="s">
        <v>29</v>
      </c>
      <c r="S1394" t="s">
        <v>30</v>
      </c>
      <c r="T1394">
        <v>1075542872</v>
      </c>
      <c r="U1394" t="s">
        <v>3948</v>
      </c>
      <c r="V1394" t="s">
        <v>3937</v>
      </c>
      <c r="W1394" s="9">
        <f>IF(V1394="pregrado",31,
IF(V1394="posgrados",31,
IF(V1394="rEINTEGROS",7,
IF(V1394="BIT",90,
IF(V1394="OP GRADO - INGLÉS",17,"")))))</f>
        <v>31</v>
      </c>
      <c r="X1394" t="s">
        <v>3974</v>
      </c>
    </row>
    <row r="1395" spans="1:24" ht="15" x14ac:dyDescent="0.35">
      <c r="A1395" s="4">
        <v>46059.404849537037</v>
      </c>
      <c r="B1395">
        <v>20121099</v>
      </c>
      <c r="C1395" s="6" t="s">
        <v>19</v>
      </c>
      <c r="D1395">
        <v>168835</v>
      </c>
      <c r="E1395" t="s">
        <v>43</v>
      </c>
      <c r="F1395">
        <v>1087616857</v>
      </c>
      <c r="G1395" t="s">
        <v>2850</v>
      </c>
      <c r="H1395">
        <v>100244782</v>
      </c>
      <c r="I1395">
        <v>202651</v>
      </c>
      <c r="J1395">
        <v>1087616858</v>
      </c>
      <c r="K1395" t="s">
        <v>23</v>
      </c>
      <c r="L1395" t="s">
        <v>252</v>
      </c>
      <c r="M1395" t="s">
        <v>253</v>
      </c>
      <c r="N1395" t="s">
        <v>35</v>
      </c>
      <c r="O1395" t="s">
        <v>26</v>
      </c>
      <c r="P1395" t="s">
        <v>27</v>
      </c>
      <c r="Q1395" t="s">
        <v>28</v>
      </c>
      <c r="R1395" t="s">
        <v>29</v>
      </c>
      <c r="S1395" t="s">
        <v>30</v>
      </c>
      <c r="T1395">
        <v>1075542872</v>
      </c>
      <c r="U1395" t="s">
        <v>3948</v>
      </c>
      <c r="V1395" t="s">
        <v>3937</v>
      </c>
      <c r="W1395" s="9">
        <f>IF(V1395="pregrado",31,
IF(V1395="posgrados",31,
IF(V1395="rEINTEGROS",7,
IF(V1395="BIT",90,
IF(V1395="OP GRADO - INGLÉS",17,"")))))</f>
        <v>31</v>
      </c>
      <c r="X1395" t="s">
        <v>3974</v>
      </c>
    </row>
    <row r="1396" spans="1:24" ht="15" x14ac:dyDescent="0.35">
      <c r="A1396" s="4">
        <v>46058.698206018518</v>
      </c>
      <c r="B1396">
        <v>20120972</v>
      </c>
      <c r="C1396" s="6" t="s">
        <v>19</v>
      </c>
      <c r="D1396">
        <v>168845</v>
      </c>
      <c r="E1396" t="s">
        <v>43</v>
      </c>
      <c r="F1396">
        <v>74281509</v>
      </c>
      <c r="G1396" t="s">
        <v>2833</v>
      </c>
      <c r="H1396">
        <v>100244796</v>
      </c>
      <c r="I1396">
        <v>202651</v>
      </c>
      <c r="J1396">
        <v>74281509</v>
      </c>
      <c r="K1396" t="s">
        <v>23</v>
      </c>
      <c r="L1396" t="s">
        <v>252</v>
      </c>
      <c r="M1396" t="s">
        <v>253</v>
      </c>
      <c r="N1396" t="s">
        <v>35</v>
      </c>
      <c r="O1396" t="s">
        <v>26</v>
      </c>
      <c r="P1396" t="s">
        <v>27</v>
      </c>
      <c r="Q1396" t="s">
        <v>28</v>
      </c>
      <c r="R1396" t="s">
        <v>29</v>
      </c>
      <c r="S1396" t="s">
        <v>30</v>
      </c>
      <c r="T1396">
        <v>1031147887</v>
      </c>
      <c r="U1396" t="s">
        <v>3948</v>
      </c>
      <c r="V1396" t="s">
        <v>3937</v>
      </c>
      <c r="W1396" s="9">
        <f>IF(V1396="pregrado",31,
IF(V1396="posgrados",31,
IF(V1396="rEINTEGROS",7,
IF(V1396="BIT",90,
IF(V1396="OP GRADO - INGLÉS",17,"")))))</f>
        <v>31</v>
      </c>
      <c r="X1396" t="s">
        <v>3947</v>
      </c>
    </row>
    <row r="1397" spans="1:24" ht="15" x14ac:dyDescent="0.35">
      <c r="A1397" s="4">
        <v>46063.398692129631</v>
      </c>
      <c r="B1397">
        <v>20121944</v>
      </c>
      <c r="C1397" s="6" t="s">
        <v>19</v>
      </c>
      <c r="D1397">
        <v>168846</v>
      </c>
      <c r="E1397" t="s">
        <v>43</v>
      </c>
      <c r="F1397">
        <v>1045682177</v>
      </c>
      <c r="G1397" t="s">
        <v>2963</v>
      </c>
      <c r="H1397">
        <v>100244799</v>
      </c>
      <c r="I1397">
        <v>202651</v>
      </c>
      <c r="J1397">
        <v>1045682177</v>
      </c>
      <c r="K1397" t="s">
        <v>23</v>
      </c>
      <c r="L1397" t="s">
        <v>252</v>
      </c>
      <c r="M1397" t="s">
        <v>253</v>
      </c>
      <c r="N1397" t="s">
        <v>35</v>
      </c>
      <c r="O1397" t="s">
        <v>26</v>
      </c>
      <c r="P1397" t="s">
        <v>27</v>
      </c>
      <c r="Q1397" t="s">
        <v>28</v>
      </c>
      <c r="R1397" t="s">
        <v>29</v>
      </c>
      <c r="S1397" t="s">
        <v>30</v>
      </c>
      <c r="T1397">
        <v>1033784244</v>
      </c>
      <c r="U1397" t="s">
        <v>3948</v>
      </c>
      <c r="V1397" t="s">
        <v>3937</v>
      </c>
      <c r="W1397" s="9">
        <f>IF(V1397="pregrado",31,
IF(V1397="posgrados",31,
IF(V1397="rEINTEGROS",7,
IF(V1397="BIT",90,
IF(V1397="OP GRADO - INGLÉS",17,"")))))</f>
        <v>31</v>
      </c>
      <c r="X1397" t="s">
        <v>4067</v>
      </c>
    </row>
    <row r="1398" spans="1:24" ht="15" x14ac:dyDescent="0.35">
      <c r="A1398" s="4">
        <v>46058.663506944446</v>
      </c>
      <c r="B1398">
        <v>20120930</v>
      </c>
      <c r="C1398" s="6" t="s">
        <v>19</v>
      </c>
      <c r="D1398">
        <v>168848</v>
      </c>
      <c r="E1398" t="s">
        <v>43</v>
      </c>
      <c r="F1398">
        <v>60261015</v>
      </c>
      <c r="G1398" t="s">
        <v>2824</v>
      </c>
      <c r="H1398">
        <v>100244801</v>
      </c>
      <c r="I1398">
        <v>202651</v>
      </c>
      <c r="J1398">
        <v>60261015</v>
      </c>
      <c r="K1398" t="s">
        <v>23</v>
      </c>
      <c r="L1398" t="s">
        <v>252</v>
      </c>
      <c r="M1398" t="s">
        <v>253</v>
      </c>
      <c r="N1398" t="s">
        <v>35</v>
      </c>
      <c r="O1398" t="s">
        <v>26</v>
      </c>
      <c r="P1398" t="s">
        <v>27</v>
      </c>
      <c r="Q1398" t="s">
        <v>28</v>
      </c>
      <c r="R1398" t="s">
        <v>29</v>
      </c>
      <c r="S1398" t="s">
        <v>30</v>
      </c>
      <c r="T1398">
        <v>1031147887</v>
      </c>
      <c r="U1398" t="s">
        <v>3948</v>
      </c>
      <c r="V1398" t="s">
        <v>3937</v>
      </c>
      <c r="W1398" s="9">
        <f>IF(V1398="pregrado",31,
IF(V1398="posgrados",31,
IF(V1398="rEINTEGROS",7,
IF(V1398="BIT",90,
IF(V1398="OP GRADO - INGLÉS",17,"")))))</f>
        <v>31</v>
      </c>
      <c r="X1398" t="s">
        <v>3947</v>
      </c>
    </row>
    <row r="1399" spans="1:24" ht="15" x14ac:dyDescent="0.35">
      <c r="A1399" s="4">
        <v>46078.765046296299</v>
      </c>
      <c r="B1399">
        <v>20126366</v>
      </c>
      <c r="C1399" s="6" t="s">
        <v>19</v>
      </c>
      <c r="D1399">
        <v>168850</v>
      </c>
      <c r="E1399" t="s">
        <v>43</v>
      </c>
      <c r="F1399">
        <v>1051675518</v>
      </c>
      <c r="G1399" t="s">
        <v>3646</v>
      </c>
      <c r="H1399">
        <v>100244802</v>
      </c>
      <c r="I1399">
        <v>202651</v>
      </c>
      <c r="J1399">
        <v>1051675518</v>
      </c>
      <c r="K1399" t="s">
        <v>23</v>
      </c>
      <c r="L1399" t="s">
        <v>252</v>
      </c>
      <c r="M1399" t="s">
        <v>253</v>
      </c>
      <c r="N1399" t="s">
        <v>35</v>
      </c>
      <c r="O1399" t="s">
        <v>26</v>
      </c>
      <c r="P1399" t="s">
        <v>27</v>
      </c>
      <c r="Q1399" t="s">
        <v>28</v>
      </c>
      <c r="R1399" t="s">
        <v>29</v>
      </c>
      <c r="S1399" t="s">
        <v>30</v>
      </c>
      <c r="T1399">
        <v>1033793185</v>
      </c>
      <c r="U1399" t="s">
        <v>3948</v>
      </c>
      <c r="V1399" t="s">
        <v>3937</v>
      </c>
      <c r="W1399" s="9">
        <f>IF(V1399="pregrado",31,
IF(V1399="posgrados",31,
IF(V1399="rEINTEGROS",7,
IF(V1399="BIT",90,
IF(V1399="OP GRADO - INGLÉS",17,"")))))</f>
        <v>31</v>
      </c>
      <c r="X1399" t="s">
        <v>4082</v>
      </c>
    </row>
    <row r="1400" spans="1:24" ht="15" x14ac:dyDescent="0.35">
      <c r="A1400" s="4">
        <v>46062.765601851854</v>
      </c>
      <c r="B1400">
        <v>20121862</v>
      </c>
      <c r="C1400" s="6" t="s">
        <v>19</v>
      </c>
      <c r="D1400">
        <v>168853</v>
      </c>
      <c r="E1400" t="s">
        <v>43</v>
      </c>
      <c r="F1400">
        <v>1110594931</v>
      </c>
      <c r="G1400" t="s">
        <v>2957</v>
      </c>
      <c r="H1400">
        <v>100244807</v>
      </c>
      <c r="I1400">
        <v>202651</v>
      </c>
      <c r="J1400">
        <v>1110594931</v>
      </c>
      <c r="K1400" t="s">
        <v>23</v>
      </c>
      <c r="L1400" t="s">
        <v>252</v>
      </c>
      <c r="M1400" t="s">
        <v>253</v>
      </c>
      <c r="N1400" t="s">
        <v>35</v>
      </c>
      <c r="O1400" t="s">
        <v>26</v>
      </c>
      <c r="P1400" t="s">
        <v>27</v>
      </c>
      <c r="Q1400" t="s">
        <v>28</v>
      </c>
      <c r="R1400" t="s">
        <v>29</v>
      </c>
      <c r="S1400" t="s">
        <v>30</v>
      </c>
      <c r="T1400">
        <v>1033793185</v>
      </c>
      <c r="U1400" t="s">
        <v>3948</v>
      </c>
      <c r="V1400" t="s">
        <v>3937</v>
      </c>
      <c r="W1400" s="9">
        <f>IF(V1400="pregrado",31,
IF(V1400="posgrados",31,
IF(V1400="rEINTEGROS",7,
IF(V1400="BIT",90,
IF(V1400="OP GRADO - INGLÉS",17,"")))))</f>
        <v>31</v>
      </c>
      <c r="X1400" t="s">
        <v>4082</v>
      </c>
    </row>
    <row r="1401" spans="1:24" ht="15" x14ac:dyDescent="0.35">
      <c r="A1401" s="4">
        <v>46061.423819444448</v>
      </c>
      <c r="B1401">
        <v>20121470</v>
      </c>
      <c r="C1401" s="6" t="s">
        <v>19</v>
      </c>
      <c r="D1401">
        <v>168855</v>
      </c>
      <c r="E1401" t="s">
        <v>43</v>
      </c>
      <c r="F1401">
        <v>26427820</v>
      </c>
      <c r="G1401" t="s">
        <v>2903</v>
      </c>
      <c r="H1401">
        <v>100085233</v>
      </c>
      <c r="I1401">
        <v>202641</v>
      </c>
      <c r="J1401">
        <v>26427820</v>
      </c>
      <c r="K1401" t="s">
        <v>23</v>
      </c>
      <c r="L1401" t="s">
        <v>99</v>
      </c>
      <c r="M1401" t="s">
        <v>47</v>
      </c>
      <c r="N1401" t="s">
        <v>35</v>
      </c>
      <c r="O1401" t="s">
        <v>26</v>
      </c>
      <c r="P1401" t="s">
        <v>27</v>
      </c>
      <c r="Q1401" t="s">
        <v>28</v>
      </c>
      <c r="R1401" t="s">
        <v>29</v>
      </c>
      <c r="S1401" t="s">
        <v>30</v>
      </c>
      <c r="T1401">
        <v>51951991</v>
      </c>
      <c r="U1401" t="s">
        <v>3936</v>
      </c>
      <c r="V1401" t="s">
        <v>3937</v>
      </c>
      <c r="W1401" s="9">
        <f>IF(V1401="pregrado",31,
IF(V1401="posgrados",31,
IF(V1401="rEINTEGROS",7,
IF(V1401="BIT",90,
IF(V1401="OP GRADO - INGLÉS",17,"")))))</f>
        <v>31</v>
      </c>
      <c r="X1401" t="s">
        <v>4049</v>
      </c>
    </row>
    <row r="1402" spans="1:24" ht="15" x14ac:dyDescent="0.35">
      <c r="A1402" s="4">
        <v>46059.384560185186</v>
      </c>
      <c r="B1402">
        <v>20121084</v>
      </c>
      <c r="C1402" s="6" t="s">
        <v>19</v>
      </c>
      <c r="D1402">
        <v>168859</v>
      </c>
      <c r="E1402" t="s">
        <v>43</v>
      </c>
      <c r="F1402">
        <v>73552655</v>
      </c>
      <c r="G1402" t="s">
        <v>2848</v>
      </c>
      <c r="H1402">
        <v>100244814</v>
      </c>
      <c r="I1402">
        <v>202651</v>
      </c>
      <c r="J1402">
        <v>73552655</v>
      </c>
      <c r="K1402" t="s">
        <v>23</v>
      </c>
      <c r="L1402" t="s">
        <v>252</v>
      </c>
      <c r="M1402" t="s">
        <v>253</v>
      </c>
      <c r="N1402" t="s">
        <v>35</v>
      </c>
      <c r="O1402" t="s">
        <v>26</v>
      </c>
      <c r="P1402" t="s">
        <v>27</v>
      </c>
      <c r="Q1402" t="s">
        <v>28</v>
      </c>
      <c r="R1402" t="s">
        <v>29</v>
      </c>
      <c r="S1402" t="s">
        <v>30</v>
      </c>
      <c r="T1402">
        <v>1033793185</v>
      </c>
      <c r="U1402" t="s">
        <v>3948</v>
      </c>
      <c r="V1402" t="s">
        <v>3937</v>
      </c>
      <c r="W1402" s="9">
        <f>IF(V1402="pregrado",31,
IF(V1402="posgrados",31,
IF(V1402="rEINTEGROS",7,
IF(V1402="BIT",90,
IF(V1402="OP GRADO - INGLÉS",17,"")))))</f>
        <v>31</v>
      </c>
      <c r="X1402" t="s">
        <v>4082</v>
      </c>
    </row>
    <row r="1403" spans="1:24" ht="15" x14ac:dyDescent="0.35">
      <c r="A1403" s="4">
        <v>46057.48196759259</v>
      </c>
      <c r="B1403">
        <v>20120403</v>
      </c>
      <c r="C1403" s="6" t="s">
        <v>19</v>
      </c>
      <c r="D1403">
        <v>168864</v>
      </c>
      <c r="E1403" t="s">
        <v>43</v>
      </c>
      <c r="F1403">
        <v>1023900088</v>
      </c>
      <c r="G1403" t="s">
        <v>2739</v>
      </c>
      <c r="H1403">
        <v>100071048</v>
      </c>
      <c r="I1403">
        <v>202651</v>
      </c>
      <c r="J1403">
        <v>1023900088</v>
      </c>
      <c r="K1403" t="s">
        <v>23</v>
      </c>
      <c r="L1403" t="s">
        <v>252</v>
      </c>
      <c r="M1403" t="s">
        <v>253</v>
      </c>
      <c r="N1403" t="s">
        <v>35</v>
      </c>
      <c r="O1403" t="s">
        <v>26</v>
      </c>
      <c r="P1403" t="s">
        <v>27</v>
      </c>
      <c r="Q1403" t="s">
        <v>28</v>
      </c>
      <c r="R1403" t="s">
        <v>29</v>
      </c>
      <c r="S1403" t="s">
        <v>30</v>
      </c>
      <c r="T1403">
        <v>1015407851</v>
      </c>
      <c r="U1403" t="s">
        <v>3944</v>
      </c>
      <c r="V1403" t="s">
        <v>3934</v>
      </c>
      <c r="W1403" s="9">
        <f>IF(V1403="pregrado",31,
IF(V1403="posgrados",31,
IF(V1403="rEINTEGROS",7,
IF(V1403="BIT",90,
IF(V1403="OP GRADO - INGLÉS",17,"")))))</f>
        <v>31</v>
      </c>
      <c r="X1403" t="s">
        <v>4102</v>
      </c>
    </row>
    <row r="1404" spans="1:24" ht="15" x14ac:dyDescent="0.35">
      <c r="A1404" s="4">
        <v>46066.572500000002</v>
      </c>
      <c r="B1404">
        <v>20123204</v>
      </c>
      <c r="C1404" s="6" t="s">
        <v>19</v>
      </c>
      <c r="D1404">
        <v>168866</v>
      </c>
      <c r="E1404" t="s">
        <v>43</v>
      </c>
      <c r="F1404">
        <v>1022352801</v>
      </c>
      <c r="G1404" t="s">
        <v>3168</v>
      </c>
      <c r="H1404">
        <v>100035069</v>
      </c>
      <c r="I1404">
        <v>202651</v>
      </c>
      <c r="J1404">
        <v>1033748417</v>
      </c>
      <c r="K1404" t="s">
        <v>46</v>
      </c>
      <c r="L1404" t="s">
        <v>252</v>
      </c>
      <c r="M1404" t="s">
        <v>253</v>
      </c>
      <c r="N1404" t="s">
        <v>35</v>
      </c>
      <c r="O1404" t="s">
        <v>26</v>
      </c>
      <c r="P1404" t="s">
        <v>27</v>
      </c>
      <c r="Q1404" t="s">
        <v>28</v>
      </c>
      <c r="R1404" t="s">
        <v>29</v>
      </c>
      <c r="S1404" t="s">
        <v>30</v>
      </c>
      <c r="T1404">
        <v>1140420282</v>
      </c>
      <c r="U1404" t="s">
        <v>3948</v>
      </c>
      <c r="V1404" t="s">
        <v>3937</v>
      </c>
      <c r="W1404" s="9">
        <f>IF(V1404="pregrado",31,
IF(V1404="posgrados",31,
IF(V1404="rEINTEGROS",7,
IF(V1404="BIT",90,
IF(V1404="OP GRADO - INGLÉS",17,"")))))</f>
        <v>31</v>
      </c>
      <c r="X1404" t="s">
        <v>3972</v>
      </c>
    </row>
    <row r="1405" spans="1:24" ht="15" x14ac:dyDescent="0.35">
      <c r="A1405" s="4">
        <v>46056.45579861111</v>
      </c>
      <c r="B1405">
        <v>20120027</v>
      </c>
      <c r="C1405" s="6" t="s">
        <v>19</v>
      </c>
      <c r="D1405">
        <v>168868</v>
      </c>
      <c r="E1405" t="s">
        <v>43</v>
      </c>
      <c r="F1405">
        <v>1014185340</v>
      </c>
      <c r="G1405" t="s">
        <v>2686</v>
      </c>
      <c r="H1405">
        <v>100244822</v>
      </c>
      <c r="I1405">
        <v>202651</v>
      </c>
      <c r="J1405">
        <v>1014185340</v>
      </c>
      <c r="K1405" t="s">
        <v>23</v>
      </c>
      <c r="L1405" t="s">
        <v>1250</v>
      </c>
      <c r="M1405" t="s">
        <v>253</v>
      </c>
      <c r="N1405" t="s">
        <v>35</v>
      </c>
      <c r="O1405" t="s">
        <v>26</v>
      </c>
      <c r="P1405" t="s">
        <v>27</v>
      </c>
      <c r="Q1405" t="s">
        <v>28</v>
      </c>
      <c r="R1405" t="s">
        <v>29</v>
      </c>
      <c r="S1405" t="s">
        <v>30</v>
      </c>
      <c r="T1405">
        <v>53116792</v>
      </c>
      <c r="U1405" t="s">
        <v>3936</v>
      </c>
      <c r="V1405" t="s">
        <v>3937</v>
      </c>
      <c r="W1405" s="9">
        <f>IF(V1405="pregrado",31,
IF(V1405="posgrados",31,
IF(V1405="rEINTEGROS",7,
IF(V1405="BIT",90,
IF(V1405="OP GRADO - INGLÉS",17,"")))))</f>
        <v>31</v>
      </c>
      <c r="X1405" t="s">
        <v>4008</v>
      </c>
    </row>
    <row r="1406" spans="1:24" ht="15" x14ac:dyDescent="0.35">
      <c r="A1406" s="4">
        <v>46059.727361111109</v>
      </c>
      <c r="B1406">
        <v>20121313</v>
      </c>
      <c r="C1406" s="6" t="s">
        <v>19</v>
      </c>
      <c r="D1406">
        <v>168876</v>
      </c>
      <c r="E1406" t="s">
        <v>43</v>
      </c>
      <c r="F1406">
        <v>1057546344</v>
      </c>
      <c r="G1406" t="s">
        <v>2883</v>
      </c>
      <c r="H1406">
        <v>900002360</v>
      </c>
      <c r="I1406">
        <v>202641</v>
      </c>
      <c r="J1406">
        <v>1057546344</v>
      </c>
      <c r="K1406" t="s">
        <v>23</v>
      </c>
      <c r="L1406" t="s">
        <v>59</v>
      </c>
      <c r="M1406" t="s">
        <v>47</v>
      </c>
      <c r="N1406" t="s">
        <v>35</v>
      </c>
      <c r="O1406" t="s">
        <v>26</v>
      </c>
      <c r="P1406" t="s">
        <v>27</v>
      </c>
      <c r="Q1406" t="s">
        <v>28</v>
      </c>
      <c r="R1406" t="s">
        <v>29</v>
      </c>
      <c r="S1406" t="s">
        <v>30</v>
      </c>
      <c r="T1406">
        <v>52965969</v>
      </c>
      <c r="U1406" t="s">
        <v>3936</v>
      </c>
      <c r="V1406" t="s">
        <v>3937</v>
      </c>
      <c r="W1406" s="9">
        <f>IF(V1406="pregrado",31,
IF(V1406="posgrados",31,
IF(V1406="rEINTEGROS",7,
IF(V1406="BIT",90,
IF(V1406="OP GRADO - INGLÉS",17,"")))))</f>
        <v>31</v>
      </c>
      <c r="X1406" t="s">
        <v>3960</v>
      </c>
    </row>
    <row r="1407" spans="1:24" ht="15" x14ac:dyDescent="0.35">
      <c r="A1407" s="4">
        <v>46056.559907407405</v>
      </c>
      <c r="B1407">
        <v>20120100</v>
      </c>
      <c r="C1407" s="6" t="s">
        <v>19</v>
      </c>
      <c r="D1407">
        <v>168878</v>
      </c>
      <c r="E1407" t="s">
        <v>43</v>
      </c>
      <c r="F1407">
        <v>27984778</v>
      </c>
      <c r="G1407" t="s">
        <v>2694</v>
      </c>
      <c r="H1407">
        <v>100244837</v>
      </c>
      <c r="I1407">
        <v>202651</v>
      </c>
      <c r="J1407">
        <v>27984778</v>
      </c>
      <c r="K1407" t="s">
        <v>23</v>
      </c>
      <c r="L1407" t="s">
        <v>252</v>
      </c>
      <c r="M1407" t="s">
        <v>253</v>
      </c>
      <c r="N1407" t="s">
        <v>35</v>
      </c>
      <c r="O1407" t="s">
        <v>26</v>
      </c>
      <c r="P1407" t="s">
        <v>27</v>
      </c>
      <c r="Q1407" t="s">
        <v>28</v>
      </c>
      <c r="R1407" t="s">
        <v>29</v>
      </c>
      <c r="S1407" t="s">
        <v>30</v>
      </c>
      <c r="T1407">
        <v>1020754225</v>
      </c>
      <c r="U1407" t="s">
        <v>3948</v>
      </c>
      <c r="V1407" t="s">
        <v>3937</v>
      </c>
      <c r="W1407" s="9">
        <f>IF(V1407="pregrado",31,
IF(V1407="posgrados",31,
IF(V1407="rEINTEGROS",7,
IF(V1407="BIT",90,
IF(V1407="OP GRADO - INGLÉS",17,"")))))</f>
        <v>31</v>
      </c>
      <c r="X1407" t="s">
        <v>3981</v>
      </c>
    </row>
    <row r="1408" spans="1:24" ht="15" x14ac:dyDescent="0.35">
      <c r="A1408" s="4">
        <v>46056.890682870369</v>
      </c>
      <c r="B1408">
        <v>20120245</v>
      </c>
      <c r="C1408" s="6" t="s">
        <v>19</v>
      </c>
      <c r="D1408">
        <v>168885</v>
      </c>
      <c r="E1408" t="s">
        <v>43</v>
      </c>
      <c r="F1408">
        <v>1020814944</v>
      </c>
      <c r="G1408" t="s">
        <v>2714</v>
      </c>
      <c r="H1408">
        <v>100244668</v>
      </c>
      <c r="I1408">
        <v>202641</v>
      </c>
      <c r="J1408">
        <v>1020814944</v>
      </c>
      <c r="K1408" t="s">
        <v>23</v>
      </c>
      <c r="L1408" t="s">
        <v>45</v>
      </c>
      <c r="M1408" t="s">
        <v>47</v>
      </c>
      <c r="N1408" t="s">
        <v>35</v>
      </c>
      <c r="O1408" t="s">
        <v>26</v>
      </c>
      <c r="P1408" t="s">
        <v>27</v>
      </c>
      <c r="Q1408" t="s">
        <v>28</v>
      </c>
      <c r="R1408" t="s">
        <v>29</v>
      </c>
      <c r="S1408" t="s">
        <v>30</v>
      </c>
      <c r="T1408">
        <v>1032406382</v>
      </c>
      <c r="U1408" t="s">
        <v>3936</v>
      </c>
      <c r="V1408" t="s">
        <v>3937</v>
      </c>
      <c r="W1408" s="9">
        <f>IF(V1408="pregrado",31,
IF(V1408="posgrados",31,
IF(V1408="rEINTEGROS",7,
IF(V1408="BIT",90,
IF(V1408="OP GRADO - INGLÉS",17,"")))))</f>
        <v>31</v>
      </c>
      <c r="X1408" t="s">
        <v>3991</v>
      </c>
    </row>
    <row r="1409" spans="1:24" ht="15" x14ac:dyDescent="0.35">
      <c r="A1409" s="4">
        <v>46057.732523148145</v>
      </c>
      <c r="B1409">
        <v>20120620</v>
      </c>
      <c r="C1409" s="6" t="s">
        <v>19</v>
      </c>
      <c r="D1409">
        <v>168903</v>
      </c>
      <c r="E1409" t="s">
        <v>43</v>
      </c>
      <c r="F1409">
        <v>41170120</v>
      </c>
      <c r="G1409" t="s">
        <v>2768</v>
      </c>
      <c r="H1409">
        <v>100244874</v>
      </c>
      <c r="I1409">
        <v>202651</v>
      </c>
      <c r="J1409">
        <v>41170120</v>
      </c>
      <c r="K1409" t="s">
        <v>23</v>
      </c>
      <c r="L1409" t="s">
        <v>252</v>
      </c>
      <c r="M1409" t="s">
        <v>253</v>
      </c>
      <c r="N1409" t="s">
        <v>35</v>
      </c>
      <c r="O1409" t="s">
        <v>26</v>
      </c>
      <c r="P1409" t="s">
        <v>27</v>
      </c>
      <c r="Q1409" t="s">
        <v>28</v>
      </c>
      <c r="R1409" t="s">
        <v>29</v>
      </c>
      <c r="S1409" t="s">
        <v>30</v>
      </c>
      <c r="T1409">
        <v>51951991</v>
      </c>
      <c r="U1409" t="s">
        <v>3936</v>
      </c>
      <c r="V1409" t="s">
        <v>3937</v>
      </c>
      <c r="W1409" s="9">
        <f>IF(V1409="pregrado",31,
IF(V1409="posgrados",31,
IF(V1409="rEINTEGROS",7,
IF(V1409="BIT",90,
IF(V1409="OP GRADO - INGLÉS",17,"")))))</f>
        <v>31</v>
      </c>
      <c r="X1409" t="s">
        <v>4049</v>
      </c>
    </row>
    <row r="1410" spans="1:24" ht="15" x14ac:dyDescent="0.35">
      <c r="A1410" s="4">
        <v>46056.598414351851</v>
      </c>
      <c r="B1410">
        <v>20120123</v>
      </c>
      <c r="C1410" s="6" t="s">
        <v>19</v>
      </c>
      <c r="D1410">
        <v>168907</v>
      </c>
      <c r="E1410" t="s">
        <v>43</v>
      </c>
      <c r="F1410">
        <v>1077473228</v>
      </c>
      <c r="G1410" t="s">
        <v>2696</v>
      </c>
      <c r="H1410">
        <v>100244878</v>
      </c>
      <c r="I1410">
        <v>202641</v>
      </c>
      <c r="J1410">
        <v>1077473228</v>
      </c>
      <c r="K1410" t="s">
        <v>23</v>
      </c>
      <c r="L1410" t="s">
        <v>160</v>
      </c>
      <c r="M1410" t="s">
        <v>47</v>
      </c>
      <c r="N1410" t="s">
        <v>35</v>
      </c>
      <c r="O1410" t="s">
        <v>26</v>
      </c>
      <c r="P1410" t="s">
        <v>27</v>
      </c>
      <c r="Q1410" t="s">
        <v>28</v>
      </c>
      <c r="R1410" t="s">
        <v>29</v>
      </c>
      <c r="S1410" t="s">
        <v>30</v>
      </c>
      <c r="T1410">
        <v>1033781417</v>
      </c>
      <c r="U1410" t="s">
        <v>3948</v>
      </c>
      <c r="V1410" t="s">
        <v>3937</v>
      </c>
      <c r="W1410" s="9">
        <f>IF(V1410="pregrado",31,
IF(V1410="posgrados",31,
IF(V1410="rEINTEGROS",7,
IF(V1410="BIT",90,
IF(V1410="OP GRADO - INGLÉS",17,"")))))</f>
        <v>31</v>
      </c>
      <c r="X1410" t="s">
        <v>4031</v>
      </c>
    </row>
    <row r="1411" spans="1:24" ht="15" x14ac:dyDescent="0.35">
      <c r="A1411" s="4">
        <v>46056.839062500003</v>
      </c>
      <c r="B1411">
        <v>20120230</v>
      </c>
      <c r="C1411" s="6" t="s">
        <v>19</v>
      </c>
      <c r="D1411">
        <v>168911</v>
      </c>
      <c r="E1411" t="s">
        <v>43</v>
      </c>
      <c r="F1411">
        <v>60267660</v>
      </c>
      <c r="G1411" t="s">
        <v>2711</v>
      </c>
      <c r="H1411">
        <v>100244882</v>
      </c>
      <c r="I1411">
        <v>202641</v>
      </c>
      <c r="J1411">
        <v>60267660</v>
      </c>
      <c r="K1411" t="s">
        <v>23</v>
      </c>
      <c r="L1411" t="s">
        <v>59</v>
      </c>
      <c r="M1411" t="s">
        <v>47</v>
      </c>
      <c r="N1411" t="s">
        <v>25</v>
      </c>
      <c r="O1411" t="s">
        <v>26</v>
      </c>
      <c r="P1411" t="s">
        <v>27</v>
      </c>
      <c r="Q1411" t="s">
        <v>28</v>
      </c>
      <c r="R1411" t="s">
        <v>29</v>
      </c>
      <c r="S1411" t="s">
        <v>30</v>
      </c>
      <c r="T1411">
        <v>1070973852</v>
      </c>
      <c r="U1411" t="s">
        <v>3936</v>
      </c>
      <c r="V1411" t="s">
        <v>3937</v>
      </c>
      <c r="W1411" s="9">
        <f>IF(V1411="pregrado",31,
IF(V1411="posgrados",31,
IF(V1411="rEINTEGROS",7,
IF(V1411="BIT",90,
IF(V1411="OP GRADO - INGLÉS",17,"")))))</f>
        <v>31</v>
      </c>
      <c r="X1411" t="s">
        <v>3957</v>
      </c>
    </row>
    <row r="1412" spans="1:24" ht="15" x14ac:dyDescent="0.35">
      <c r="A1412" s="4">
        <v>46056.643969907411</v>
      </c>
      <c r="B1412">
        <v>20120165</v>
      </c>
      <c r="C1412" s="6" t="s">
        <v>19</v>
      </c>
      <c r="D1412">
        <v>168914</v>
      </c>
      <c r="E1412" t="s">
        <v>43</v>
      </c>
      <c r="F1412">
        <v>1123733993</v>
      </c>
      <c r="G1412" t="s">
        <v>2703</v>
      </c>
      <c r="H1412">
        <v>100244888</v>
      </c>
      <c r="I1412">
        <v>202641</v>
      </c>
      <c r="J1412">
        <v>1123733993</v>
      </c>
      <c r="K1412" t="s">
        <v>23</v>
      </c>
      <c r="L1412" t="s">
        <v>294</v>
      </c>
      <c r="M1412" t="s">
        <v>47</v>
      </c>
      <c r="N1412" t="s">
        <v>35</v>
      </c>
      <c r="O1412" t="s">
        <v>26</v>
      </c>
      <c r="P1412" t="s">
        <v>27</v>
      </c>
      <c r="Q1412" t="s">
        <v>28</v>
      </c>
      <c r="R1412" t="s">
        <v>29</v>
      </c>
      <c r="S1412" t="s">
        <v>30</v>
      </c>
      <c r="T1412">
        <v>1031147887</v>
      </c>
      <c r="U1412" t="s">
        <v>3948</v>
      </c>
      <c r="V1412" t="s">
        <v>3937</v>
      </c>
      <c r="W1412" s="9">
        <f>IF(V1412="pregrado",31,
IF(V1412="posgrados",31,
IF(V1412="rEINTEGROS",7,
IF(V1412="BIT",90,
IF(V1412="OP GRADO - INGLÉS",17,"")))))</f>
        <v>31</v>
      </c>
      <c r="X1412" t="s">
        <v>3947</v>
      </c>
    </row>
    <row r="1413" spans="1:24" ht="15" x14ac:dyDescent="0.35">
      <c r="A1413" s="4">
        <v>46058.52103009259</v>
      </c>
      <c r="B1413">
        <v>20120826</v>
      </c>
      <c r="C1413" s="6" t="s">
        <v>19</v>
      </c>
      <c r="D1413">
        <v>168919</v>
      </c>
      <c r="E1413" t="s">
        <v>43</v>
      </c>
      <c r="F1413">
        <v>1014282879</v>
      </c>
      <c r="G1413" t="s">
        <v>2802</v>
      </c>
      <c r="H1413">
        <v>100244898</v>
      </c>
      <c r="I1413">
        <v>202641</v>
      </c>
      <c r="J1413">
        <v>1014282879</v>
      </c>
      <c r="K1413" t="s">
        <v>23</v>
      </c>
      <c r="L1413" t="s">
        <v>342</v>
      </c>
      <c r="M1413" t="s">
        <v>47</v>
      </c>
      <c r="N1413" t="s">
        <v>35</v>
      </c>
      <c r="O1413" t="s">
        <v>26</v>
      </c>
      <c r="P1413" t="s">
        <v>27</v>
      </c>
      <c r="Q1413" t="s">
        <v>28</v>
      </c>
      <c r="R1413" t="s">
        <v>29</v>
      </c>
      <c r="S1413" t="s">
        <v>30</v>
      </c>
      <c r="T1413">
        <v>1031147887</v>
      </c>
      <c r="U1413" t="s">
        <v>3948</v>
      </c>
      <c r="V1413" t="s">
        <v>3937</v>
      </c>
      <c r="W1413" s="9">
        <f>IF(V1413="pregrado",31,
IF(V1413="posgrados",31,
IF(V1413="rEINTEGROS",7,
IF(V1413="BIT",90,
IF(V1413="OP GRADO - INGLÉS",17,"")))))</f>
        <v>31</v>
      </c>
      <c r="X1413" t="s">
        <v>3947</v>
      </c>
    </row>
    <row r="1414" spans="1:24" ht="15" x14ac:dyDescent="0.35">
      <c r="A1414" s="4">
        <v>46057.609965277778</v>
      </c>
      <c r="B1414">
        <v>20120496</v>
      </c>
      <c r="C1414" s="6" t="s">
        <v>19</v>
      </c>
      <c r="D1414">
        <v>168927</v>
      </c>
      <c r="E1414" t="s">
        <v>43</v>
      </c>
      <c r="F1414">
        <v>52494283</v>
      </c>
      <c r="G1414" t="s">
        <v>2757</v>
      </c>
      <c r="H1414">
        <v>100244917</v>
      </c>
      <c r="I1414">
        <v>202651</v>
      </c>
      <c r="J1414">
        <v>1080426047</v>
      </c>
      <c r="K1414" t="s">
        <v>23</v>
      </c>
      <c r="L1414" t="s">
        <v>252</v>
      </c>
      <c r="M1414" t="s">
        <v>253</v>
      </c>
      <c r="N1414" t="s">
        <v>35</v>
      </c>
      <c r="O1414" t="s">
        <v>26</v>
      </c>
      <c r="P1414" t="s">
        <v>27</v>
      </c>
      <c r="Q1414" t="s">
        <v>28</v>
      </c>
      <c r="R1414" t="s">
        <v>29</v>
      </c>
      <c r="S1414" t="s">
        <v>30</v>
      </c>
      <c r="T1414">
        <v>1233513889</v>
      </c>
      <c r="U1414" t="s">
        <v>3948</v>
      </c>
      <c r="V1414" t="s">
        <v>3937</v>
      </c>
      <c r="W1414" s="9">
        <f>IF(V1414="pregrado",31,
IF(V1414="posgrados",31,
IF(V1414="rEINTEGROS",7,
IF(V1414="BIT",90,
IF(V1414="OP GRADO - INGLÉS",17,"")))))</f>
        <v>31</v>
      </c>
      <c r="X1414" t="s">
        <v>4035</v>
      </c>
    </row>
    <row r="1415" spans="1:24" ht="15" x14ac:dyDescent="0.35">
      <c r="A1415" s="4">
        <v>46064.692685185182</v>
      </c>
      <c r="B1415">
        <v>20122526</v>
      </c>
      <c r="C1415" s="6" t="s">
        <v>19</v>
      </c>
      <c r="D1415">
        <v>168940</v>
      </c>
      <c r="E1415" t="s">
        <v>43</v>
      </c>
      <c r="F1415">
        <v>1005176043</v>
      </c>
      <c r="G1415" t="s">
        <v>3047</v>
      </c>
      <c r="H1415">
        <v>100244940</v>
      </c>
      <c r="I1415">
        <v>202641</v>
      </c>
      <c r="J1415">
        <v>1005176043</v>
      </c>
      <c r="K1415" t="s">
        <v>23</v>
      </c>
      <c r="L1415" t="s">
        <v>160</v>
      </c>
      <c r="M1415" t="s">
        <v>47</v>
      </c>
      <c r="N1415" t="s">
        <v>25</v>
      </c>
      <c r="O1415" t="s">
        <v>26</v>
      </c>
      <c r="P1415" t="s">
        <v>27</v>
      </c>
      <c r="Q1415" t="s">
        <v>28</v>
      </c>
      <c r="R1415" t="s">
        <v>29</v>
      </c>
      <c r="S1415" t="s">
        <v>30</v>
      </c>
      <c r="T1415">
        <v>1193146767</v>
      </c>
      <c r="U1415" t="s">
        <v>3936</v>
      </c>
      <c r="V1415" t="s">
        <v>3937</v>
      </c>
      <c r="W1415" s="9">
        <f>IF(V1415="pregrado",31,
IF(V1415="posgrados",31,
IF(V1415="rEINTEGROS",7,
IF(V1415="BIT",90,
IF(V1415="OP GRADO - INGLÉS",17,"")))))</f>
        <v>31</v>
      </c>
      <c r="X1415" t="s">
        <v>4072</v>
      </c>
    </row>
    <row r="1416" spans="1:24" ht="15" x14ac:dyDescent="0.35">
      <c r="A1416" s="4">
        <v>46073.610960648148</v>
      </c>
      <c r="B1416">
        <v>20125288</v>
      </c>
      <c r="C1416" s="6" t="s">
        <v>19</v>
      </c>
      <c r="D1416">
        <v>168946</v>
      </c>
      <c r="E1416" t="s">
        <v>43</v>
      </c>
      <c r="F1416">
        <v>1097611196</v>
      </c>
      <c r="G1416" t="s">
        <v>3477</v>
      </c>
      <c r="H1416">
        <v>100244951</v>
      </c>
      <c r="I1416">
        <v>202651</v>
      </c>
      <c r="J1416">
        <v>1097611196</v>
      </c>
      <c r="K1416" t="s">
        <v>23</v>
      </c>
      <c r="L1416" t="s">
        <v>252</v>
      </c>
      <c r="M1416" t="s">
        <v>253</v>
      </c>
      <c r="N1416" t="s">
        <v>35</v>
      </c>
      <c r="O1416" t="s">
        <v>26</v>
      </c>
      <c r="P1416" t="s">
        <v>27</v>
      </c>
      <c r="Q1416" t="s">
        <v>28</v>
      </c>
      <c r="R1416" t="s">
        <v>29</v>
      </c>
      <c r="S1416" t="s">
        <v>30</v>
      </c>
      <c r="T1416">
        <v>53116792</v>
      </c>
      <c r="U1416" t="s">
        <v>3936</v>
      </c>
      <c r="V1416" t="s">
        <v>3937</v>
      </c>
      <c r="W1416" s="9">
        <f>IF(V1416="pregrado",31,
IF(V1416="posgrados",31,
IF(V1416="rEINTEGROS",7,
IF(V1416="BIT",90,
IF(V1416="OP GRADO - INGLÉS",17,"")))))</f>
        <v>31</v>
      </c>
      <c r="X1416" t="s">
        <v>4008</v>
      </c>
    </row>
    <row r="1417" spans="1:24" ht="15" x14ac:dyDescent="0.35">
      <c r="A1417" s="4">
        <v>46057.511504629627</v>
      </c>
      <c r="B1417">
        <v>20120423</v>
      </c>
      <c r="C1417" s="6" t="s">
        <v>19</v>
      </c>
      <c r="D1417">
        <v>168965</v>
      </c>
      <c r="E1417" t="s">
        <v>43</v>
      </c>
      <c r="F1417">
        <v>1032372805</v>
      </c>
      <c r="G1417" t="s">
        <v>2742</v>
      </c>
      <c r="H1417">
        <v>100244997</v>
      </c>
      <c r="I1417">
        <v>202641</v>
      </c>
      <c r="J1417">
        <v>1032372805</v>
      </c>
      <c r="K1417" t="s">
        <v>23</v>
      </c>
      <c r="L1417" t="s">
        <v>279</v>
      </c>
      <c r="M1417" t="s">
        <v>47</v>
      </c>
      <c r="N1417" t="s">
        <v>35</v>
      </c>
      <c r="O1417" t="s">
        <v>26</v>
      </c>
      <c r="P1417" t="s">
        <v>27</v>
      </c>
      <c r="Q1417" t="s">
        <v>28</v>
      </c>
      <c r="R1417" t="s">
        <v>29</v>
      </c>
      <c r="S1417" t="s">
        <v>30</v>
      </c>
      <c r="T1417">
        <v>1070973852</v>
      </c>
      <c r="U1417" t="s">
        <v>3936</v>
      </c>
      <c r="V1417" t="s">
        <v>3937</v>
      </c>
      <c r="W1417" s="9">
        <f>IF(V1417="pregrado",31,
IF(V1417="posgrados",31,
IF(V1417="rEINTEGROS",7,
IF(V1417="BIT",90,
IF(V1417="OP GRADO - INGLÉS",17,"")))))</f>
        <v>31</v>
      </c>
      <c r="X1417" t="s">
        <v>3957</v>
      </c>
    </row>
    <row r="1418" spans="1:24" ht="15" x14ac:dyDescent="0.35">
      <c r="A1418" s="4">
        <v>46058.747870370367</v>
      </c>
      <c r="B1418">
        <v>20121000</v>
      </c>
      <c r="C1418" s="6" t="s">
        <v>19</v>
      </c>
      <c r="D1418">
        <v>168977</v>
      </c>
      <c r="E1418" t="s">
        <v>43</v>
      </c>
      <c r="F1418">
        <v>4061393</v>
      </c>
      <c r="G1418" t="s">
        <v>2838</v>
      </c>
      <c r="H1418">
        <v>100245014</v>
      </c>
      <c r="I1418">
        <v>202651</v>
      </c>
      <c r="J1418">
        <v>23351837</v>
      </c>
      <c r="K1418" t="s">
        <v>23</v>
      </c>
      <c r="L1418" t="s">
        <v>252</v>
      </c>
      <c r="M1418" t="s">
        <v>253</v>
      </c>
      <c r="N1418" t="s">
        <v>35</v>
      </c>
      <c r="O1418" t="s">
        <v>26</v>
      </c>
      <c r="P1418" t="s">
        <v>27</v>
      </c>
      <c r="Q1418" t="s">
        <v>28</v>
      </c>
      <c r="R1418" t="s">
        <v>29</v>
      </c>
      <c r="S1418" t="s">
        <v>30</v>
      </c>
      <c r="T1418">
        <v>1014285873</v>
      </c>
      <c r="U1418" t="s">
        <v>3948</v>
      </c>
      <c r="V1418" t="s">
        <v>3937</v>
      </c>
      <c r="W1418" s="9">
        <f>IF(V1418="pregrado",31,
IF(V1418="posgrados",31,
IF(V1418="rEINTEGROS",7,
IF(V1418="BIT",90,
IF(V1418="OP GRADO - INGLÉS",17,"")))))</f>
        <v>31</v>
      </c>
      <c r="X1418" t="s">
        <v>3953</v>
      </c>
    </row>
    <row r="1419" spans="1:24" ht="15" x14ac:dyDescent="0.35">
      <c r="A1419" s="4">
        <v>46073.688449074078</v>
      </c>
      <c r="B1419">
        <v>20125357</v>
      </c>
      <c r="C1419" s="6" t="s">
        <v>19</v>
      </c>
      <c r="D1419">
        <v>168980</v>
      </c>
      <c r="E1419" t="s">
        <v>43</v>
      </c>
      <c r="F1419">
        <v>1124409937</v>
      </c>
      <c r="G1419" t="s">
        <v>3489</v>
      </c>
      <c r="H1419">
        <v>100140237</v>
      </c>
      <c r="I1419">
        <v>202651</v>
      </c>
      <c r="J1419">
        <v>1124409937</v>
      </c>
      <c r="K1419" t="s">
        <v>46</v>
      </c>
      <c r="L1419" t="s">
        <v>252</v>
      </c>
      <c r="M1419" t="s">
        <v>253</v>
      </c>
      <c r="N1419">
        <v>0</v>
      </c>
      <c r="O1419" t="s">
        <v>26</v>
      </c>
      <c r="P1419" t="s">
        <v>27</v>
      </c>
      <c r="Q1419" t="s">
        <v>28</v>
      </c>
      <c r="R1419" t="s">
        <v>29</v>
      </c>
      <c r="S1419" t="s">
        <v>30</v>
      </c>
      <c r="T1419">
        <v>1019102787</v>
      </c>
      <c r="U1419" t="s">
        <v>3977</v>
      </c>
      <c r="V1419" t="s">
        <v>3970</v>
      </c>
      <c r="W1419" s="9">
        <f>IF(V1419="pregrado",31,
IF(V1419="posgrados",31,
IF(V1419="rEINTEGROS",7,
IF(V1419="BIT",90,
IF(V1419="OP GRADO - INGLÉS",17,"")))))</f>
        <v>7</v>
      </c>
      <c r="X1419" t="s">
        <v>3976</v>
      </c>
    </row>
    <row r="1420" spans="1:24" ht="15" x14ac:dyDescent="0.35">
      <c r="A1420" s="4">
        <v>46058.374803240738</v>
      </c>
      <c r="B1420">
        <v>20120708</v>
      </c>
      <c r="C1420" s="6" t="s">
        <v>19</v>
      </c>
      <c r="D1420">
        <v>168986</v>
      </c>
      <c r="E1420" t="s">
        <v>43</v>
      </c>
      <c r="F1420">
        <v>1020781435</v>
      </c>
      <c r="G1420" t="s">
        <v>2779</v>
      </c>
      <c r="H1420">
        <v>100092784</v>
      </c>
      <c r="I1420">
        <v>202641</v>
      </c>
      <c r="J1420">
        <v>1020781435</v>
      </c>
      <c r="K1420" t="s">
        <v>46</v>
      </c>
      <c r="L1420" t="s">
        <v>59</v>
      </c>
      <c r="M1420" t="s">
        <v>47</v>
      </c>
      <c r="N1420" t="s">
        <v>35</v>
      </c>
      <c r="O1420" t="s">
        <v>26</v>
      </c>
      <c r="P1420" t="s">
        <v>27</v>
      </c>
      <c r="Q1420" t="s">
        <v>28</v>
      </c>
      <c r="R1420" t="s">
        <v>29</v>
      </c>
      <c r="S1420" t="s">
        <v>30</v>
      </c>
      <c r="T1420">
        <v>1022407392</v>
      </c>
      <c r="U1420" t="s">
        <v>3936</v>
      </c>
      <c r="V1420" t="s">
        <v>3937</v>
      </c>
      <c r="W1420" s="9">
        <f>IF(V1420="pregrado",31,
IF(V1420="posgrados",31,
IF(V1420="rEINTEGROS",7,
IF(V1420="BIT",90,
IF(V1420="OP GRADO - INGLÉS",17,"")))))</f>
        <v>31</v>
      </c>
      <c r="X1420" t="s">
        <v>3975</v>
      </c>
    </row>
    <row r="1421" spans="1:24" ht="15" x14ac:dyDescent="0.35">
      <c r="A1421" s="4">
        <v>46057.495185185187</v>
      </c>
      <c r="B1421">
        <v>20120408</v>
      </c>
      <c r="C1421" s="6" t="s">
        <v>19</v>
      </c>
      <c r="D1421">
        <v>168988</v>
      </c>
      <c r="E1421" t="s">
        <v>43</v>
      </c>
      <c r="F1421">
        <v>36306113</v>
      </c>
      <c r="G1421" t="s">
        <v>2740</v>
      </c>
      <c r="H1421">
        <v>100062018</v>
      </c>
      <c r="I1421">
        <v>202641</v>
      </c>
      <c r="J1421">
        <v>36306113</v>
      </c>
      <c r="K1421" t="s">
        <v>23</v>
      </c>
      <c r="L1421" t="s">
        <v>294</v>
      </c>
      <c r="M1421" t="s">
        <v>47</v>
      </c>
      <c r="N1421" t="s">
        <v>35</v>
      </c>
      <c r="O1421" t="s">
        <v>26</v>
      </c>
      <c r="P1421" t="s">
        <v>27</v>
      </c>
      <c r="Q1421" t="s">
        <v>28</v>
      </c>
      <c r="R1421" t="s">
        <v>29</v>
      </c>
      <c r="S1421" t="s">
        <v>30</v>
      </c>
      <c r="T1421">
        <v>1033781417</v>
      </c>
      <c r="U1421" t="s">
        <v>3948</v>
      </c>
      <c r="V1421" t="s">
        <v>3937</v>
      </c>
      <c r="W1421" s="9">
        <f>IF(V1421="pregrado",31,
IF(V1421="posgrados",31,
IF(V1421="rEINTEGROS",7,
IF(V1421="BIT",90,
IF(V1421="OP GRADO - INGLÉS",17,"")))))</f>
        <v>31</v>
      </c>
      <c r="X1421" t="s">
        <v>4031</v>
      </c>
    </row>
    <row r="1422" spans="1:24" ht="15" x14ac:dyDescent="0.35">
      <c r="A1422" s="4">
        <v>46065.706354166665</v>
      </c>
      <c r="B1422">
        <v>20122956</v>
      </c>
      <c r="C1422" s="6" t="s">
        <v>19</v>
      </c>
      <c r="D1422">
        <v>168994</v>
      </c>
      <c r="E1422" t="s">
        <v>43</v>
      </c>
      <c r="F1422">
        <v>1047381286</v>
      </c>
      <c r="G1422" t="s">
        <v>3118</v>
      </c>
      <c r="H1422">
        <v>100245033</v>
      </c>
      <c r="I1422">
        <v>202651</v>
      </c>
      <c r="J1422">
        <v>1047381286</v>
      </c>
      <c r="K1422" t="s">
        <v>23</v>
      </c>
      <c r="L1422" t="s">
        <v>252</v>
      </c>
      <c r="M1422" t="s">
        <v>253</v>
      </c>
      <c r="N1422" t="s">
        <v>35</v>
      </c>
      <c r="O1422" t="s">
        <v>26</v>
      </c>
      <c r="P1422" t="s">
        <v>27</v>
      </c>
      <c r="Q1422" t="s">
        <v>28</v>
      </c>
      <c r="R1422" t="s">
        <v>29</v>
      </c>
      <c r="S1422" t="s">
        <v>30</v>
      </c>
      <c r="T1422">
        <v>1016030683</v>
      </c>
      <c r="U1422" t="s">
        <v>3936</v>
      </c>
      <c r="V1422" t="s">
        <v>3937</v>
      </c>
      <c r="W1422" s="9">
        <f>IF(V1422="pregrado",31,
IF(V1422="posgrados",31,
IF(V1422="rEINTEGROS",7,
IF(V1422="BIT",90,
IF(V1422="OP GRADO - INGLÉS",17,"")))))</f>
        <v>31</v>
      </c>
      <c r="X1422" t="s">
        <v>3992</v>
      </c>
    </row>
    <row r="1423" spans="1:24" ht="15" x14ac:dyDescent="0.35">
      <c r="A1423" s="4">
        <v>46058.61</v>
      </c>
      <c r="B1423">
        <v>20120880</v>
      </c>
      <c r="C1423" s="6" t="s">
        <v>19</v>
      </c>
      <c r="D1423">
        <v>169001</v>
      </c>
      <c r="E1423" t="s">
        <v>43</v>
      </c>
      <c r="F1423">
        <v>1124313555</v>
      </c>
      <c r="G1423" t="s">
        <v>2817</v>
      </c>
      <c r="H1423">
        <v>100245037</v>
      </c>
      <c r="I1423">
        <v>202651</v>
      </c>
      <c r="J1423">
        <v>1124313555</v>
      </c>
      <c r="K1423" t="s">
        <v>23</v>
      </c>
      <c r="L1423" t="s">
        <v>252</v>
      </c>
      <c r="M1423" t="s">
        <v>253</v>
      </c>
      <c r="N1423" t="s">
        <v>35</v>
      </c>
      <c r="O1423" t="s">
        <v>26</v>
      </c>
      <c r="P1423" t="s">
        <v>27</v>
      </c>
      <c r="Q1423" t="s">
        <v>28</v>
      </c>
      <c r="R1423" t="s">
        <v>29</v>
      </c>
      <c r="S1423" t="s">
        <v>30</v>
      </c>
      <c r="T1423">
        <v>1032451737</v>
      </c>
      <c r="U1423" t="s">
        <v>3948</v>
      </c>
      <c r="V1423" t="s">
        <v>3937</v>
      </c>
      <c r="W1423" s="9">
        <f>IF(V1423="pregrado",31,
IF(V1423="posgrados",31,
IF(V1423="rEINTEGROS",7,
IF(V1423="BIT",90,
IF(V1423="OP GRADO - INGLÉS",17,"")))))</f>
        <v>31</v>
      </c>
      <c r="X1423" t="s">
        <v>4033</v>
      </c>
    </row>
    <row r="1424" spans="1:24" ht="15" x14ac:dyDescent="0.35">
      <c r="A1424" s="4">
        <v>46058.451331018521</v>
      </c>
      <c r="B1424">
        <v>20120783</v>
      </c>
      <c r="C1424" s="6" t="s">
        <v>19</v>
      </c>
      <c r="D1424">
        <v>169016</v>
      </c>
      <c r="E1424" t="s">
        <v>43</v>
      </c>
      <c r="F1424">
        <v>1117527690</v>
      </c>
      <c r="G1424" t="s">
        <v>2792</v>
      </c>
      <c r="H1424">
        <v>100245070</v>
      </c>
      <c r="I1424">
        <v>202641</v>
      </c>
      <c r="J1424">
        <v>1117527690</v>
      </c>
      <c r="K1424" t="s">
        <v>23</v>
      </c>
      <c r="L1424" t="s">
        <v>72</v>
      </c>
      <c r="M1424" t="s">
        <v>47</v>
      </c>
      <c r="N1424" t="s">
        <v>35</v>
      </c>
      <c r="O1424" t="s">
        <v>26</v>
      </c>
      <c r="P1424" t="s">
        <v>27</v>
      </c>
      <c r="Q1424" t="s">
        <v>28</v>
      </c>
      <c r="R1424" t="s">
        <v>29</v>
      </c>
      <c r="S1424" t="s">
        <v>30</v>
      </c>
      <c r="T1424">
        <v>1075542872</v>
      </c>
      <c r="U1424" t="s">
        <v>3948</v>
      </c>
      <c r="V1424" t="s">
        <v>3937</v>
      </c>
      <c r="W1424" s="9">
        <f>IF(V1424="pregrado",31,
IF(V1424="posgrados",31,
IF(V1424="rEINTEGROS",7,
IF(V1424="BIT",90,
IF(V1424="OP GRADO - INGLÉS",17,"")))))</f>
        <v>31</v>
      </c>
      <c r="X1424" t="s">
        <v>3974</v>
      </c>
    </row>
    <row r="1425" spans="1:24" ht="15" x14ac:dyDescent="0.35">
      <c r="A1425" s="4">
        <v>46065.418009259258</v>
      </c>
      <c r="B1425">
        <v>20122700</v>
      </c>
      <c r="C1425" s="6" t="s">
        <v>19</v>
      </c>
      <c r="D1425">
        <v>169024</v>
      </c>
      <c r="E1425" t="s">
        <v>43</v>
      </c>
      <c r="F1425">
        <v>9519687</v>
      </c>
      <c r="G1425" t="s">
        <v>3073</v>
      </c>
      <c r="H1425">
        <v>100245079</v>
      </c>
      <c r="I1425">
        <v>202651</v>
      </c>
      <c r="J1425">
        <v>46359818</v>
      </c>
      <c r="K1425" t="s">
        <v>23</v>
      </c>
      <c r="L1425" t="s">
        <v>252</v>
      </c>
      <c r="M1425" t="s">
        <v>253</v>
      </c>
      <c r="N1425" t="s">
        <v>35</v>
      </c>
      <c r="O1425" t="s">
        <v>26</v>
      </c>
      <c r="P1425" t="s">
        <v>27</v>
      </c>
      <c r="Q1425" t="s">
        <v>28</v>
      </c>
      <c r="R1425" t="s">
        <v>29</v>
      </c>
      <c r="S1425" t="s">
        <v>30</v>
      </c>
      <c r="T1425">
        <v>1031147887</v>
      </c>
      <c r="U1425" t="s">
        <v>3948</v>
      </c>
      <c r="V1425" t="s">
        <v>3937</v>
      </c>
      <c r="W1425" s="9">
        <f>IF(V1425="pregrado",31,
IF(V1425="posgrados",31,
IF(V1425="rEINTEGROS",7,
IF(V1425="BIT",90,
IF(V1425="OP GRADO - INGLÉS",17,"")))))</f>
        <v>31</v>
      </c>
      <c r="X1425" t="s">
        <v>3947</v>
      </c>
    </row>
    <row r="1426" spans="1:24" ht="15" x14ac:dyDescent="0.35">
      <c r="A1426" s="4">
        <v>46059.648472222223</v>
      </c>
      <c r="B1426">
        <v>20121245</v>
      </c>
      <c r="C1426" s="6" t="s">
        <v>19</v>
      </c>
      <c r="D1426">
        <v>169034</v>
      </c>
      <c r="E1426" t="s">
        <v>43</v>
      </c>
      <c r="F1426">
        <v>30744446</v>
      </c>
      <c r="G1426" t="s">
        <v>2869</v>
      </c>
      <c r="H1426">
        <v>100245092</v>
      </c>
      <c r="I1426">
        <v>202641</v>
      </c>
      <c r="J1426">
        <v>1004217564</v>
      </c>
      <c r="K1426" t="s">
        <v>23</v>
      </c>
      <c r="L1426" t="s">
        <v>59</v>
      </c>
      <c r="M1426" t="s">
        <v>47</v>
      </c>
      <c r="N1426" t="s">
        <v>35</v>
      </c>
      <c r="O1426" t="s">
        <v>26</v>
      </c>
      <c r="P1426" t="s">
        <v>27</v>
      </c>
      <c r="Q1426" t="s">
        <v>28</v>
      </c>
      <c r="R1426" t="s">
        <v>29</v>
      </c>
      <c r="S1426" t="s">
        <v>30</v>
      </c>
      <c r="T1426">
        <v>1000120140</v>
      </c>
      <c r="U1426" t="s">
        <v>3936</v>
      </c>
      <c r="V1426" t="s">
        <v>3937</v>
      </c>
      <c r="W1426" s="9">
        <f>IF(V1426="pregrado",31,
IF(V1426="posgrados",31,
IF(V1426="rEINTEGROS",7,
IF(V1426="BIT",90,
IF(V1426="OP GRADO - INGLÉS",17,"")))))</f>
        <v>31</v>
      </c>
      <c r="X1426" t="s">
        <v>3935</v>
      </c>
    </row>
    <row r="1427" spans="1:24" ht="15" x14ac:dyDescent="0.35">
      <c r="A1427" s="4">
        <v>46064.537326388891</v>
      </c>
      <c r="B1427">
        <v>20122387</v>
      </c>
      <c r="C1427" s="6" t="s">
        <v>19</v>
      </c>
      <c r="D1427">
        <v>169043</v>
      </c>
      <c r="E1427" t="s">
        <v>43</v>
      </c>
      <c r="F1427">
        <v>1085324938</v>
      </c>
      <c r="G1427" t="s">
        <v>3026</v>
      </c>
      <c r="H1427">
        <v>100245104</v>
      </c>
      <c r="I1427">
        <v>202641</v>
      </c>
      <c r="J1427">
        <v>1085324938</v>
      </c>
      <c r="K1427" t="s">
        <v>23</v>
      </c>
      <c r="L1427" t="s">
        <v>99</v>
      </c>
      <c r="M1427" t="s">
        <v>47</v>
      </c>
      <c r="N1427" t="s">
        <v>35</v>
      </c>
      <c r="O1427" t="s">
        <v>26</v>
      </c>
      <c r="P1427" t="s">
        <v>27</v>
      </c>
      <c r="Q1427" t="s">
        <v>28</v>
      </c>
      <c r="R1427" t="s">
        <v>29</v>
      </c>
      <c r="S1427" t="s">
        <v>30</v>
      </c>
      <c r="T1427">
        <v>51951991</v>
      </c>
      <c r="U1427" t="s">
        <v>3936</v>
      </c>
      <c r="V1427" t="s">
        <v>3937</v>
      </c>
      <c r="W1427" s="9">
        <f>IF(V1427="pregrado",31,
IF(V1427="posgrados",31,
IF(V1427="rEINTEGROS",7,
IF(V1427="BIT",90,
IF(V1427="OP GRADO - INGLÉS",17,"")))))</f>
        <v>31</v>
      </c>
      <c r="X1427" t="s">
        <v>4049</v>
      </c>
    </row>
    <row r="1428" spans="1:24" ht="15" x14ac:dyDescent="0.35">
      <c r="A1428" s="4">
        <v>46063.737037037034</v>
      </c>
      <c r="B1428">
        <v>20122202</v>
      </c>
      <c r="C1428" s="6" t="s">
        <v>19</v>
      </c>
      <c r="D1428">
        <v>169047</v>
      </c>
      <c r="E1428" t="s">
        <v>43</v>
      </c>
      <c r="F1428">
        <v>1102817945</v>
      </c>
      <c r="G1428" t="s">
        <v>3005</v>
      </c>
      <c r="H1428">
        <v>100245117</v>
      </c>
      <c r="I1428">
        <v>202641</v>
      </c>
      <c r="J1428">
        <v>1102817945</v>
      </c>
      <c r="K1428" t="s">
        <v>23</v>
      </c>
      <c r="L1428" t="s">
        <v>160</v>
      </c>
      <c r="M1428" t="s">
        <v>47</v>
      </c>
      <c r="N1428" t="s">
        <v>35</v>
      </c>
      <c r="O1428" t="s">
        <v>26</v>
      </c>
      <c r="P1428" t="s">
        <v>27</v>
      </c>
      <c r="Q1428" t="s">
        <v>28</v>
      </c>
      <c r="R1428" t="s">
        <v>29</v>
      </c>
      <c r="S1428" t="s">
        <v>30</v>
      </c>
      <c r="T1428">
        <v>1070973852</v>
      </c>
      <c r="U1428" t="s">
        <v>3936</v>
      </c>
      <c r="V1428" t="s">
        <v>3937</v>
      </c>
      <c r="W1428" s="9">
        <f>IF(V1428="pregrado",31,
IF(V1428="posgrados",31,
IF(V1428="rEINTEGROS",7,
IF(V1428="BIT",90,
IF(V1428="OP GRADO - INGLÉS",17,"")))))</f>
        <v>31</v>
      </c>
      <c r="X1428" t="s">
        <v>3957</v>
      </c>
    </row>
    <row r="1429" spans="1:24" ht="15" x14ac:dyDescent="0.35">
      <c r="A1429" s="4">
        <v>46063.404722222222</v>
      </c>
      <c r="B1429">
        <v>20121949</v>
      </c>
      <c r="C1429" s="6" t="s">
        <v>19</v>
      </c>
      <c r="D1429">
        <v>169060</v>
      </c>
      <c r="E1429" t="s">
        <v>43</v>
      </c>
      <c r="F1429">
        <v>63340871</v>
      </c>
      <c r="G1429" t="s">
        <v>2965</v>
      </c>
      <c r="H1429">
        <v>100245138</v>
      </c>
      <c r="I1429">
        <v>202641</v>
      </c>
      <c r="J1429">
        <v>1233491552</v>
      </c>
      <c r="K1429" t="s">
        <v>23</v>
      </c>
      <c r="L1429" t="s">
        <v>279</v>
      </c>
      <c r="M1429" t="s">
        <v>47</v>
      </c>
      <c r="N1429" t="s">
        <v>35</v>
      </c>
      <c r="O1429" t="s">
        <v>26</v>
      </c>
      <c r="P1429" t="s">
        <v>27</v>
      </c>
      <c r="Q1429" t="s">
        <v>28</v>
      </c>
      <c r="R1429" t="s">
        <v>29</v>
      </c>
      <c r="S1429" t="s">
        <v>30</v>
      </c>
      <c r="T1429">
        <v>1075542872</v>
      </c>
      <c r="U1429" t="s">
        <v>3948</v>
      </c>
      <c r="V1429" t="s">
        <v>3937</v>
      </c>
      <c r="W1429" s="9">
        <f>IF(V1429="pregrado",31,
IF(V1429="posgrados",31,
IF(V1429="rEINTEGROS",7,
IF(V1429="BIT",90,
IF(V1429="OP GRADO - INGLÉS",17,"")))))</f>
        <v>31</v>
      </c>
      <c r="X1429" t="s">
        <v>3974</v>
      </c>
    </row>
    <row r="1430" spans="1:24" ht="15" x14ac:dyDescent="0.35">
      <c r="A1430" s="4">
        <v>46058.65525462963</v>
      </c>
      <c r="B1430">
        <v>20120920</v>
      </c>
      <c r="C1430" s="6" t="s">
        <v>19</v>
      </c>
      <c r="D1430">
        <v>169070</v>
      </c>
      <c r="E1430" t="s">
        <v>43</v>
      </c>
      <c r="F1430">
        <v>1000692962</v>
      </c>
      <c r="G1430" t="s">
        <v>2822</v>
      </c>
      <c r="H1430">
        <v>100245148</v>
      </c>
      <c r="I1430">
        <v>202651</v>
      </c>
      <c r="J1430">
        <v>1000692962</v>
      </c>
      <c r="K1430" t="s">
        <v>23</v>
      </c>
      <c r="L1430" t="s">
        <v>252</v>
      </c>
      <c r="M1430" t="s">
        <v>253</v>
      </c>
      <c r="N1430" t="s">
        <v>35</v>
      </c>
      <c r="O1430" t="s">
        <v>26</v>
      </c>
      <c r="P1430" t="s">
        <v>27</v>
      </c>
      <c r="Q1430" t="s">
        <v>28</v>
      </c>
      <c r="R1430" t="s">
        <v>29</v>
      </c>
      <c r="S1430" t="s">
        <v>30</v>
      </c>
      <c r="T1430">
        <v>52032666</v>
      </c>
      <c r="U1430" t="s">
        <v>3948</v>
      </c>
      <c r="V1430" t="s">
        <v>3937</v>
      </c>
      <c r="W1430" s="9">
        <f>IF(V1430="pregrado",31,
IF(V1430="posgrados",31,
IF(V1430="rEINTEGROS",7,
IF(V1430="BIT",90,
IF(V1430="OP GRADO - INGLÉS",17,"")))))</f>
        <v>31</v>
      </c>
      <c r="X1430" t="s">
        <v>3983</v>
      </c>
    </row>
    <row r="1431" spans="1:24" ht="15" x14ac:dyDescent="0.35">
      <c r="A1431" s="4">
        <v>46080.609953703701</v>
      </c>
      <c r="B1431">
        <v>20126878</v>
      </c>
      <c r="C1431" s="6" t="s">
        <v>19</v>
      </c>
      <c r="D1431">
        <v>169071</v>
      </c>
      <c r="E1431" t="s">
        <v>43</v>
      </c>
      <c r="F1431">
        <v>1116797700</v>
      </c>
      <c r="G1431" t="s">
        <v>3734</v>
      </c>
      <c r="H1431">
        <v>100201719</v>
      </c>
      <c r="I1431">
        <v>202651</v>
      </c>
      <c r="J1431">
        <v>1116797700</v>
      </c>
      <c r="K1431" t="s">
        <v>46</v>
      </c>
      <c r="L1431" t="s">
        <v>252</v>
      </c>
      <c r="M1431" t="s">
        <v>253</v>
      </c>
      <c r="N1431" t="s">
        <v>35</v>
      </c>
      <c r="O1431" t="s">
        <v>26</v>
      </c>
      <c r="P1431" t="s">
        <v>27</v>
      </c>
      <c r="Q1431" t="s">
        <v>28</v>
      </c>
      <c r="R1431" t="s">
        <v>29</v>
      </c>
      <c r="S1431" t="s">
        <v>30</v>
      </c>
      <c r="T1431">
        <v>1033781417</v>
      </c>
      <c r="U1431" t="s">
        <v>3948</v>
      </c>
      <c r="V1431" t="s">
        <v>3937</v>
      </c>
      <c r="W1431" s="9">
        <f>IF(V1431="pregrado",31,
IF(V1431="posgrados",31,
IF(V1431="rEINTEGROS",7,
IF(V1431="BIT",90,
IF(V1431="OP GRADO - INGLÉS",17,"")))))</f>
        <v>31</v>
      </c>
      <c r="X1431" t="s">
        <v>4031</v>
      </c>
    </row>
    <row r="1432" spans="1:24" ht="15" x14ac:dyDescent="0.35">
      <c r="A1432" s="4">
        <v>46058.680520833332</v>
      </c>
      <c r="B1432">
        <v>20120947</v>
      </c>
      <c r="C1432" s="6" t="s">
        <v>19</v>
      </c>
      <c r="D1432">
        <v>169074</v>
      </c>
      <c r="E1432" t="s">
        <v>43</v>
      </c>
      <c r="F1432">
        <v>1024602618</v>
      </c>
      <c r="G1432" t="s">
        <v>2830</v>
      </c>
      <c r="H1432">
        <v>100245153</v>
      </c>
      <c r="I1432">
        <v>202651</v>
      </c>
      <c r="J1432">
        <v>1024602618</v>
      </c>
      <c r="K1432" t="s">
        <v>23</v>
      </c>
      <c r="L1432" t="s">
        <v>252</v>
      </c>
      <c r="M1432" t="s">
        <v>253</v>
      </c>
      <c r="N1432" t="s">
        <v>35</v>
      </c>
      <c r="O1432" t="s">
        <v>26</v>
      </c>
      <c r="P1432" t="s">
        <v>27</v>
      </c>
      <c r="Q1432" t="s">
        <v>28</v>
      </c>
      <c r="R1432" t="s">
        <v>29</v>
      </c>
      <c r="S1432" t="s">
        <v>30</v>
      </c>
      <c r="T1432">
        <v>52032666</v>
      </c>
      <c r="U1432" t="s">
        <v>3948</v>
      </c>
      <c r="V1432" t="s">
        <v>3937</v>
      </c>
      <c r="W1432" s="9">
        <f>IF(V1432="pregrado",31,
IF(V1432="posgrados",31,
IF(V1432="rEINTEGROS",7,
IF(V1432="BIT",90,
IF(V1432="OP GRADO - INGLÉS",17,"")))))</f>
        <v>31</v>
      </c>
      <c r="X1432" t="s">
        <v>3983</v>
      </c>
    </row>
    <row r="1433" spans="1:24" ht="15" x14ac:dyDescent="0.35">
      <c r="A1433" s="4">
        <v>46059.672233796293</v>
      </c>
      <c r="B1433">
        <v>20121270</v>
      </c>
      <c r="C1433" s="6" t="s">
        <v>19</v>
      </c>
      <c r="D1433">
        <v>169084</v>
      </c>
      <c r="E1433" t="s">
        <v>43</v>
      </c>
      <c r="F1433">
        <v>49694352</v>
      </c>
      <c r="G1433" t="s">
        <v>2878</v>
      </c>
      <c r="H1433">
        <v>100245170</v>
      </c>
      <c r="I1433">
        <v>202651</v>
      </c>
      <c r="J1433">
        <v>49694352</v>
      </c>
      <c r="K1433" t="s">
        <v>23</v>
      </c>
      <c r="L1433" t="s">
        <v>252</v>
      </c>
      <c r="M1433" t="s">
        <v>253</v>
      </c>
      <c r="N1433" t="s">
        <v>35</v>
      </c>
      <c r="O1433" t="s">
        <v>26</v>
      </c>
      <c r="P1433" t="s">
        <v>27</v>
      </c>
      <c r="Q1433" t="s">
        <v>28</v>
      </c>
      <c r="R1433" t="s">
        <v>29</v>
      </c>
      <c r="S1433" t="s">
        <v>30</v>
      </c>
      <c r="T1433">
        <v>1033781417</v>
      </c>
      <c r="U1433" t="s">
        <v>3948</v>
      </c>
      <c r="V1433" t="s">
        <v>3937</v>
      </c>
      <c r="W1433" s="9">
        <f>IF(V1433="pregrado",31,
IF(V1433="posgrados",31,
IF(V1433="rEINTEGROS",7,
IF(V1433="BIT",90,
IF(V1433="OP GRADO - INGLÉS",17,"")))))</f>
        <v>31</v>
      </c>
      <c r="X1433" t="s">
        <v>4031</v>
      </c>
    </row>
    <row r="1434" spans="1:24" ht="15" x14ac:dyDescent="0.35">
      <c r="A1434" s="4">
        <v>46079.716527777775</v>
      </c>
      <c r="B1434">
        <v>20126657</v>
      </c>
      <c r="C1434" s="6" t="s">
        <v>19</v>
      </c>
      <c r="D1434">
        <v>169087</v>
      </c>
      <c r="E1434" t="s">
        <v>43</v>
      </c>
      <c r="F1434">
        <v>1126452014</v>
      </c>
      <c r="G1434" t="s">
        <v>3689</v>
      </c>
      <c r="H1434">
        <v>100245176</v>
      </c>
      <c r="I1434">
        <v>202651</v>
      </c>
      <c r="J1434">
        <v>1126452014</v>
      </c>
      <c r="K1434" t="s">
        <v>23</v>
      </c>
      <c r="L1434" t="s">
        <v>252</v>
      </c>
      <c r="M1434" t="s">
        <v>253</v>
      </c>
      <c r="N1434" t="s">
        <v>35</v>
      </c>
      <c r="O1434" t="s">
        <v>26</v>
      </c>
      <c r="P1434" t="s">
        <v>27</v>
      </c>
      <c r="Q1434" t="s">
        <v>28</v>
      </c>
      <c r="R1434" t="s">
        <v>29</v>
      </c>
      <c r="S1434" t="s">
        <v>30</v>
      </c>
      <c r="T1434">
        <v>52916205</v>
      </c>
      <c r="U1434" t="s">
        <v>3936</v>
      </c>
      <c r="V1434" t="s">
        <v>3937</v>
      </c>
      <c r="W1434" s="9">
        <f>IF(V1434="pregrado",31,
IF(V1434="posgrados",31,
IF(V1434="rEINTEGROS",7,
IF(V1434="BIT",90,
IF(V1434="OP GRADO - INGLÉS",17,"")))))</f>
        <v>31</v>
      </c>
      <c r="X1434" t="s">
        <v>4032</v>
      </c>
    </row>
    <row r="1435" spans="1:24" ht="15" x14ac:dyDescent="0.35">
      <c r="A1435" s="4">
        <v>46058.743206018517</v>
      </c>
      <c r="B1435">
        <v>20120997</v>
      </c>
      <c r="C1435" s="6" t="s">
        <v>19</v>
      </c>
      <c r="D1435">
        <v>169095</v>
      </c>
      <c r="E1435" t="s">
        <v>43</v>
      </c>
      <c r="F1435">
        <v>926516</v>
      </c>
      <c r="G1435" t="s">
        <v>2836</v>
      </c>
      <c r="H1435">
        <v>100245189</v>
      </c>
      <c r="I1435">
        <v>202641</v>
      </c>
      <c r="J1435">
        <v>926516</v>
      </c>
      <c r="K1435" t="s">
        <v>23</v>
      </c>
      <c r="L1435" t="s">
        <v>160</v>
      </c>
      <c r="M1435" t="s">
        <v>47</v>
      </c>
      <c r="N1435" t="s">
        <v>35</v>
      </c>
      <c r="O1435" t="s">
        <v>26</v>
      </c>
      <c r="P1435" t="s">
        <v>27</v>
      </c>
      <c r="Q1435" t="s">
        <v>28</v>
      </c>
      <c r="R1435" t="s">
        <v>29</v>
      </c>
      <c r="S1435" t="s">
        <v>30</v>
      </c>
      <c r="T1435">
        <v>1193146767</v>
      </c>
      <c r="U1435" t="s">
        <v>3936</v>
      </c>
      <c r="V1435" t="s">
        <v>3937</v>
      </c>
      <c r="W1435" s="9">
        <f>IF(V1435="pregrado",31,
IF(V1435="posgrados",31,
IF(V1435="rEINTEGROS",7,
IF(V1435="BIT",90,
IF(V1435="OP GRADO - INGLÉS",17,"")))))</f>
        <v>31</v>
      </c>
      <c r="X1435" t="s">
        <v>4072</v>
      </c>
    </row>
    <row r="1436" spans="1:24" ht="15" x14ac:dyDescent="0.35">
      <c r="A1436" s="4">
        <v>46059.654374999998</v>
      </c>
      <c r="B1436">
        <v>20121251</v>
      </c>
      <c r="C1436" s="6" t="s">
        <v>19</v>
      </c>
      <c r="D1436">
        <v>169105</v>
      </c>
      <c r="E1436" t="s">
        <v>43</v>
      </c>
      <c r="F1436">
        <v>1148947118</v>
      </c>
      <c r="G1436" t="s">
        <v>2871</v>
      </c>
      <c r="H1436">
        <v>100245206</v>
      </c>
      <c r="I1436">
        <v>202651</v>
      </c>
      <c r="J1436">
        <v>1148947118</v>
      </c>
      <c r="K1436" t="s">
        <v>23</v>
      </c>
      <c r="L1436" t="s">
        <v>252</v>
      </c>
      <c r="M1436" t="s">
        <v>253</v>
      </c>
      <c r="N1436" t="s">
        <v>35</v>
      </c>
      <c r="O1436" t="s">
        <v>26</v>
      </c>
      <c r="P1436" t="s">
        <v>27</v>
      </c>
      <c r="Q1436" t="s">
        <v>28</v>
      </c>
      <c r="R1436" t="s">
        <v>29</v>
      </c>
      <c r="S1436" t="s">
        <v>30</v>
      </c>
      <c r="T1436">
        <v>1019068131</v>
      </c>
      <c r="U1436" t="s">
        <v>3948</v>
      </c>
      <c r="V1436" t="s">
        <v>3937</v>
      </c>
      <c r="W1436" s="9">
        <f>IF(V1436="pregrado",31,
IF(V1436="posgrados",31,
IF(V1436="rEINTEGROS",7,
IF(V1436="BIT",90,
IF(V1436="OP GRADO - INGLÉS",17,"")))))</f>
        <v>31</v>
      </c>
      <c r="X1436" t="s">
        <v>4066</v>
      </c>
    </row>
    <row r="1437" spans="1:24" ht="15" x14ac:dyDescent="0.35">
      <c r="A1437" s="4">
        <v>46060.434618055559</v>
      </c>
      <c r="B1437">
        <v>20121390</v>
      </c>
      <c r="C1437" s="6" t="s">
        <v>19</v>
      </c>
      <c r="D1437">
        <v>169106</v>
      </c>
      <c r="E1437" t="s">
        <v>43</v>
      </c>
      <c r="F1437">
        <v>1121951058</v>
      </c>
      <c r="G1437" t="s">
        <v>2892</v>
      </c>
      <c r="H1437">
        <v>100245207</v>
      </c>
      <c r="I1437">
        <v>202651</v>
      </c>
      <c r="J1437">
        <v>1121951058</v>
      </c>
      <c r="K1437" t="s">
        <v>23</v>
      </c>
      <c r="L1437" t="s">
        <v>252</v>
      </c>
      <c r="M1437" t="s">
        <v>253</v>
      </c>
      <c r="N1437" t="s">
        <v>35</v>
      </c>
      <c r="O1437" t="s">
        <v>26</v>
      </c>
      <c r="P1437" t="s">
        <v>27</v>
      </c>
      <c r="Q1437" t="s">
        <v>28</v>
      </c>
      <c r="R1437" t="s">
        <v>29</v>
      </c>
      <c r="S1437" t="s">
        <v>30</v>
      </c>
      <c r="T1437">
        <v>1022407392</v>
      </c>
      <c r="U1437" t="s">
        <v>3936</v>
      </c>
      <c r="V1437" t="s">
        <v>3937</v>
      </c>
      <c r="W1437" s="9">
        <f>IF(V1437="pregrado",31,
IF(V1437="posgrados",31,
IF(V1437="rEINTEGROS",7,
IF(V1437="BIT",90,
IF(V1437="OP GRADO - INGLÉS",17,"")))))</f>
        <v>31</v>
      </c>
      <c r="X1437" t="s">
        <v>3975</v>
      </c>
    </row>
    <row r="1438" spans="1:24" ht="15" x14ac:dyDescent="0.35">
      <c r="A1438" s="4">
        <v>46063.527118055557</v>
      </c>
      <c r="B1438">
        <v>20122044</v>
      </c>
      <c r="C1438" s="6" t="s">
        <v>19</v>
      </c>
      <c r="D1438">
        <v>169107</v>
      </c>
      <c r="E1438" t="s">
        <v>43</v>
      </c>
      <c r="F1438">
        <v>16275083</v>
      </c>
      <c r="G1438" t="s">
        <v>2983</v>
      </c>
      <c r="H1438">
        <v>100245211</v>
      </c>
      <c r="I1438">
        <v>202651</v>
      </c>
      <c r="J1438">
        <v>16275083</v>
      </c>
      <c r="K1438" t="s">
        <v>23</v>
      </c>
      <c r="L1438" t="s">
        <v>252</v>
      </c>
      <c r="M1438" t="s">
        <v>253</v>
      </c>
      <c r="N1438" t="s">
        <v>35</v>
      </c>
      <c r="O1438" t="s">
        <v>26</v>
      </c>
      <c r="P1438" t="s">
        <v>27</v>
      </c>
      <c r="Q1438" t="s">
        <v>28</v>
      </c>
      <c r="R1438" t="s">
        <v>29</v>
      </c>
      <c r="S1438" t="s">
        <v>30</v>
      </c>
      <c r="T1438">
        <v>1019068131</v>
      </c>
      <c r="U1438" t="s">
        <v>3948</v>
      </c>
      <c r="V1438" t="s">
        <v>3937</v>
      </c>
      <c r="W1438" s="9">
        <f>IF(V1438="pregrado",31,
IF(V1438="posgrados",31,
IF(V1438="rEINTEGROS",7,
IF(V1438="BIT",90,
IF(V1438="OP GRADO - INGLÉS",17,"")))))</f>
        <v>31</v>
      </c>
      <c r="X1438" t="s">
        <v>4066</v>
      </c>
    </row>
    <row r="1439" spans="1:24" ht="15" x14ac:dyDescent="0.35">
      <c r="A1439" s="4">
        <v>46058.748599537037</v>
      </c>
      <c r="B1439">
        <v>20121003</v>
      </c>
      <c r="C1439" s="6" t="s">
        <v>19</v>
      </c>
      <c r="D1439">
        <v>169114</v>
      </c>
      <c r="E1439" t="s">
        <v>43</v>
      </c>
      <c r="F1439">
        <v>1000722675</v>
      </c>
      <c r="G1439" t="s">
        <v>2839</v>
      </c>
      <c r="H1439">
        <v>100245218</v>
      </c>
      <c r="I1439">
        <v>202641</v>
      </c>
      <c r="J1439">
        <v>1000722675</v>
      </c>
      <c r="K1439" t="s">
        <v>23</v>
      </c>
      <c r="L1439" t="s">
        <v>342</v>
      </c>
      <c r="M1439" t="s">
        <v>47</v>
      </c>
      <c r="N1439" t="s">
        <v>35</v>
      </c>
      <c r="O1439" t="s">
        <v>26</v>
      </c>
      <c r="P1439" t="s">
        <v>27</v>
      </c>
      <c r="Q1439" t="s">
        <v>28</v>
      </c>
      <c r="R1439" t="s">
        <v>29</v>
      </c>
      <c r="S1439" t="s">
        <v>30</v>
      </c>
      <c r="T1439">
        <v>1033793185</v>
      </c>
      <c r="U1439" t="s">
        <v>3948</v>
      </c>
      <c r="V1439" t="s">
        <v>3937</v>
      </c>
      <c r="W1439" s="9">
        <f>IF(V1439="pregrado",31,
IF(V1439="posgrados",31,
IF(V1439="rEINTEGROS",7,
IF(V1439="BIT",90,
IF(V1439="OP GRADO - INGLÉS",17,"")))))</f>
        <v>31</v>
      </c>
      <c r="X1439" t="s">
        <v>4082</v>
      </c>
    </row>
    <row r="1440" spans="1:24" ht="15" x14ac:dyDescent="0.35">
      <c r="A1440" s="4">
        <v>46059.617650462962</v>
      </c>
      <c r="B1440">
        <v>20121204</v>
      </c>
      <c r="C1440" s="6" t="s">
        <v>19</v>
      </c>
      <c r="D1440">
        <v>169117</v>
      </c>
      <c r="E1440" t="s">
        <v>43</v>
      </c>
      <c r="F1440">
        <v>1088735287</v>
      </c>
      <c r="G1440" t="s">
        <v>2862</v>
      </c>
      <c r="H1440">
        <v>100245221</v>
      </c>
      <c r="I1440">
        <v>202651</v>
      </c>
      <c r="J1440">
        <v>1088735287</v>
      </c>
      <c r="K1440" t="s">
        <v>23</v>
      </c>
      <c r="L1440" t="s">
        <v>252</v>
      </c>
      <c r="M1440" t="s">
        <v>253</v>
      </c>
      <c r="N1440" t="s">
        <v>35</v>
      </c>
      <c r="O1440" t="s">
        <v>26</v>
      </c>
      <c r="P1440" t="s">
        <v>27</v>
      </c>
      <c r="Q1440" t="s">
        <v>28</v>
      </c>
      <c r="R1440" t="s">
        <v>29</v>
      </c>
      <c r="S1440" t="s">
        <v>30</v>
      </c>
      <c r="T1440">
        <v>1032406382</v>
      </c>
      <c r="U1440" t="s">
        <v>3936</v>
      </c>
      <c r="V1440" t="s">
        <v>3937</v>
      </c>
      <c r="W1440" s="9">
        <f>IF(V1440="pregrado",31,
IF(V1440="posgrados",31,
IF(V1440="rEINTEGROS",7,
IF(V1440="BIT",90,
IF(V1440="OP GRADO - INGLÉS",17,"")))))</f>
        <v>31</v>
      </c>
      <c r="X1440" t="s">
        <v>3991</v>
      </c>
    </row>
    <row r="1441" spans="1:24" ht="15" x14ac:dyDescent="0.35">
      <c r="A1441" s="4">
        <v>46059.903935185182</v>
      </c>
      <c r="B1441">
        <v>20121347</v>
      </c>
      <c r="C1441" s="6" t="s">
        <v>19</v>
      </c>
      <c r="D1441">
        <v>169120</v>
      </c>
      <c r="E1441" t="s">
        <v>43</v>
      </c>
      <c r="F1441">
        <v>1023831473</v>
      </c>
      <c r="G1441" t="s">
        <v>2886</v>
      </c>
      <c r="H1441">
        <v>100245226</v>
      </c>
      <c r="I1441">
        <v>202651</v>
      </c>
      <c r="J1441">
        <v>1023831473</v>
      </c>
      <c r="K1441" t="s">
        <v>23</v>
      </c>
      <c r="L1441" t="s">
        <v>252</v>
      </c>
      <c r="M1441" t="s">
        <v>253</v>
      </c>
      <c r="N1441" t="s">
        <v>35</v>
      </c>
      <c r="O1441" t="s">
        <v>26</v>
      </c>
      <c r="P1441" t="s">
        <v>27</v>
      </c>
      <c r="Q1441" t="s">
        <v>28</v>
      </c>
      <c r="R1441" t="s">
        <v>29</v>
      </c>
      <c r="S1441" t="s">
        <v>30</v>
      </c>
      <c r="T1441">
        <v>52965969</v>
      </c>
      <c r="U1441" t="s">
        <v>3936</v>
      </c>
      <c r="V1441" t="s">
        <v>3937</v>
      </c>
      <c r="W1441" s="9">
        <f>IF(V1441="pregrado",31,
IF(V1441="posgrados",31,
IF(V1441="rEINTEGROS",7,
IF(V1441="BIT",90,
IF(V1441="OP GRADO - INGLÉS",17,"")))))</f>
        <v>31</v>
      </c>
      <c r="X1441" t="s">
        <v>3960</v>
      </c>
    </row>
    <row r="1442" spans="1:24" ht="15" x14ac:dyDescent="0.35">
      <c r="A1442" s="4">
        <v>46072.388981481483</v>
      </c>
      <c r="B1442">
        <v>20124726</v>
      </c>
      <c r="C1442" s="6" t="s">
        <v>19</v>
      </c>
      <c r="D1442">
        <v>169130</v>
      </c>
      <c r="E1442" t="s">
        <v>43</v>
      </c>
      <c r="F1442">
        <v>3017237</v>
      </c>
      <c r="G1442" t="s">
        <v>3386</v>
      </c>
      <c r="H1442">
        <v>100165672</v>
      </c>
      <c r="I1442">
        <v>202651</v>
      </c>
      <c r="J1442">
        <v>20532786</v>
      </c>
      <c r="K1442" t="s">
        <v>23</v>
      </c>
      <c r="L1442" t="s">
        <v>252</v>
      </c>
      <c r="M1442" t="s">
        <v>253</v>
      </c>
      <c r="N1442" t="s">
        <v>35</v>
      </c>
      <c r="O1442" t="s">
        <v>26</v>
      </c>
      <c r="P1442" t="s">
        <v>27</v>
      </c>
      <c r="Q1442" t="s">
        <v>28</v>
      </c>
      <c r="R1442" t="s">
        <v>29</v>
      </c>
      <c r="S1442" t="s">
        <v>30</v>
      </c>
      <c r="T1442">
        <v>1032451737</v>
      </c>
      <c r="U1442" t="s">
        <v>3948</v>
      </c>
      <c r="V1442" t="s">
        <v>3937</v>
      </c>
      <c r="W1442" s="9">
        <f>IF(V1442="pregrado",31,
IF(V1442="posgrados",31,
IF(V1442="rEINTEGROS",7,
IF(V1442="BIT",90,
IF(V1442="OP GRADO - INGLÉS",17,"")))))</f>
        <v>31</v>
      </c>
      <c r="X1442" t="s">
        <v>4033</v>
      </c>
    </row>
    <row r="1443" spans="1:24" ht="15" x14ac:dyDescent="0.35">
      <c r="A1443" s="4">
        <v>46067.491053240738</v>
      </c>
      <c r="B1443">
        <v>20123454</v>
      </c>
      <c r="C1443" s="6" t="s">
        <v>19</v>
      </c>
      <c r="D1443">
        <v>169132</v>
      </c>
      <c r="E1443" t="s">
        <v>43</v>
      </c>
      <c r="F1443">
        <v>1121507186</v>
      </c>
      <c r="G1443" t="s">
        <v>3210</v>
      </c>
      <c r="H1443">
        <v>100245238</v>
      </c>
      <c r="I1443">
        <v>202641</v>
      </c>
      <c r="J1443">
        <v>1121507186</v>
      </c>
      <c r="K1443" t="s">
        <v>23</v>
      </c>
      <c r="L1443" t="s">
        <v>59</v>
      </c>
      <c r="M1443" t="s">
        <v>47</v>
      </c>
      <c r="N1443" t="s">
        <v>35</v>
      </c>
      <c r="O1443" t="s">
        <v>26</v>
      </c>
      <c r="P1443" t="s">
        <v>27</v>
      </c>
      <c r="Q1443" t="s">
        <v>28</v>
      </c>
      <c r="R1443" t="s">
        <v>29</v>
      </c>
      <c r="S1443" t="s">
        <v>30</v>
      </c>
      <c r="T1443">
        <v>1026262709</v>
      </c>
      <c r="U1443" t="s">
        <v>3936</v>
      </c>
      <c r="V1443" t="s">
        <v>3937</v>
      </c>
      <c r="W1443" s="9">
        <f>IF(V1443="pregrado",31,
IF(V1443="posgrados",31,
IF(V1443="rEINTEGROS",7,
IF(V1443="BIT",90,
IF(V1443="OP GRADO - INGLÉS",17,"")))))</f>
        <v>31</v>
      </c>
      <c r="X1443" t="s">
        <v>4037</v>
      </c>
    </row>
    <row r="1444" spans="1:24" ht="15" x14ac:dyDescent="0.35">
      <c r="A1444" s="4">
        <v>46063.409988425927</v>
      </c>
      <c r="B1444">
        <v>20121956</v>
      </c>
      <c r="C1444" s="6" t="s">
        <v>19</v>
      </c>
      <c r="D1444">
        <v>169137</v>
      </c>
      <c r="E1444" t="s">
        <v>43</v>
      </c>
      <c r="F1444">
        <v>1100549235</v>
      </c>
      <c r="G1444" t="s">
        <v>2967</v>
      </c>
      <c r="H1444">
        <v>100196312</v>
      </c>
      <c r="I1444">
        <v>202641</v>
      </c>
      <c r="J1444">
        <v>1100549235</v>
      </c>
      <c r="K1444" t="s">
        <v>23</v>
      </c>
      <c r="L1444" t="s">
        <v>279</v>
      </c>
      <c r="M1444" t="s">
        <v>47</v>
      </c>
      <c r="N1444" t="s">
        <v>35</v>
      </c>
      <c r="O1444" t="s">
        <v>26</v>
      </c>
      <c r="P1444" t="s">
        <v>27</v>
      </c>
      <c r="Q1444" t="s">
        <v>28</v>
      </c>
      <c r="R1444" t="s">
        <v>29</v>
      </c>
      <c r="S1444" t="s">
        <v>30</v>
      </c>
      <c r="T1444">
        <v>1000120140</v>
      </c>
      <c r="U1444" t="s">
        <v>3936</v>
      </c>
      <c r="V1444" t="s">
        <v>3937</v>
      </c>
      <c r="W1444" s="9">
        <f>IF(V1444="pregrado",31,
IF(V1444="posgrados",31,
IF(V1444="rEINTEGROS",7,
IF(V1444="BIT",90,
IF(V1444="OP GRADO - INGLÉS",17,"")))))</f>
        <v>31</v>
      </c>
      <c r="X1444" t="s">
        <v>3935</v>
      </c>
    </row>
    <row r="1445" spans="1:24" ht="15" x14ac:dyDescent="0.35">
      <c r="A1445" s="4">
        <v>46059.409618055557</v>
      </c>
      <c r="B1445">
        <v>20121103</v>
      </c>
      <c r="C1445" s="6" t="s">
        <v>19</v>
      </c>
      <c r="D1445">
        <v>169138</v>
      </c>
      <c r="E1445" t="s">
        <v>43</v>
      </c>
      <c r="F1445">
        <v>27606288</v>
      </c>
      <c r="G1445" t="s">
        <v>2851</v>
      </c>
      <c r="H1445">
        <v>100245245</v>
      </c>
      <c r="I1445">
        <v>202641</v>
      </c>
      <c r="J1445">
        <v>27606288</v>
      </c>
      <c r="K1445" t="s">
        <v>23</v>
      </c>
      <c r="L1445" t="s">
        <v>45</v>
      </c>
      <c r="M1445" t="s">
        <v>47</v>
      </c>
      <c r="N1445" t="s">
        <v>35</v>
      </c>
      <c r="O1445" t="s">
        <v>26</v>
      </c>
      <c r="P1445" t="s">
        <v>27</v>
      </c>
      <c r="Q1445" t="s">
        <v>28</v>
      </c>
      <c r="R1445" t="s">
        <v>29</v>
      </c>
      <c r="S1445" t="s">
        <v>30</v>
      </c>
      <c r="T1445">
        <v>1012355141</v>
      </c>
      <c r="U1445" t="s">
        <v>3936</v>
      </c>
      <c r="V1445" t="s">
        <v>3937</v>
      </c>
      <c r="W1445" s="9">
        <f>IF(V1445="pregrado",31,
IF(V1445="posgrados",31,
IF(V1445="rEINTEGROS",7,
IF(V1445="BIT",90,
IF(V1445="OP GRADO - INGLÉS",17,"")))))</f>
        <v>31</v>
      </c>
      <c r="X1445" t="s">
        <v>4045</v>
      </c>
    </row>
    <row r="1446" spans="1:24" ht="15" x14ac:dyDescent="0.35">
      <c r="A1446" s="4">
        <v>46064.599212962959</v>
      </c>
      <c r="B1446">
        <v>20122425</v>
      </c>
      <c r="C1446" s="6" t="s">
        <v>19</v>
      </c>
      <c r="D1446">
        <v>169146</v>
      </c>
      <c r="E1446" t="s">
        <v>43</v>
      </c>
      <c r="F1446">
        <v>1103117726</v>
      </c>
      <c r="G1446" t="s">
        <v>3032</v>
      </c>
      <c r="H1446">
        <v>100245254</v>
      </c>
      <c r="I1446">
        <v>202651</v>
      </c>
      <c r="J1446">
        <v>1103117726</v>
      </c>
      <c r="K1446" t="s">
        <v>23</v>
      </c>
      <c r="L1446" t="s">
        <v>252</v>
      </c>
      <c r="M1446" t="s">
        <v>253</v>
      </c>
      <c r="N1446" t="s">
        <v>35</v>
      </c>
      <c r="O1446" t="s">
        <v>26</v>
      </c>
      <c r="P1446" t="s">
        <v>27</v>
      </c>
      <c r="Q1446" t="s">
        <v>28</v>
      </c>
      <c r="R1446" t="s">
        <v>29</v>
      </c>
      <c r="S1446" t="s">
        <v>30</v>
      </c>
      <c r="T1446">
        <v>1000120140</v>
      </c>
      <c r="U1446" t="s">
        <v>3936</v>
      </c>
      <c r="V1446" t="s">
        <v>3937</v>
      </c>
      <c r="W1446" s="9">
        <f>IF(V1446="pregrado",31,
IF(V1446="posgrados",31,
IF(V1446="rEINTEGROS",7,
IF(V1446="BIT",90,
IF(V1446="OP GRADO - INGLÉS",17,"")))))</f>
        <v>31</v>
      </c>
      <c r="X1446" t="s">
        <v>3935</v>
      </c>
    </row>
    <row r="1447" spans="1:24" ht="15" x14ac:dyDescent="0.35">
      <c r="A1447" s="4">
        <v>46078.384837962964</v>
      </c>
      <c r="B1447">
        <v>20126177</v>
      </c>
      <c r="C1447" s="6" t="s">
        <v>19</v>
      </c>
      <c r="D1447">
        <v>169149</v>
      </c>
      <c r="E1447" t="s">
        <v>43</v>
      </c>
      <c r="F1447">
        <v>1123634059</v>
      </c>
      <c r="G1447" t="s">
        <v>3626</v>
      </c>
      <c r="H1447">
        <v>100245106</v>
      </c>
      <c r="I1447">
        <v>202641</v>
      </c>
      <c r="J1447">
        <v>1123634059</v>
      </c>
      <c r="K1447" t="s">
        <v>23</v>
      </c>
      <c r="L1447" t="s">
        <v>59</v>
      </c>
      <c r="M1447" t="s">
        <v>47</v>
      </c>
      <c r="N1447" t="s">
        <v>35</v>
      </c>
      <c r="O1447" t="s">
        <v>26</v>
      </c>
      <c r="P1447" t="s">
        <v>27</v>
      </c>
      <c r="Q1447" t="s">
        <v>28</v>
      </c>
      <c r="R1447" t="s">
        <v>29</v>
      </c>
      <c r="S1447" t="s">
        <v>30</v>
      </c>
      <c r="T1447">
        <v>52032666</v>
      </c>
      <c r="U1447" t="s">
        <v>3948</v>
      </c>
      <c r="V1447" t="s">
        <v>3937</v>
      </c>
      <c r="W1447" s="9">
        <f>IF(V1447="pregrado",31,
IF(V1447="posgrados",31,
IF(V1447="rEINTEGROS",7,
IF(V1447="BIT",90,
IF(V1447="OP GRADO - INGLÉS",17,"")))))</f>
        <v>31</v>
      </c>
      <c r="X1447" t="s">
        <v>3983</v>
      </c>
    </row>
    <row r="1448" spans="1:24" ht="15" x14ac:dyDescent="0.35">
      <c r="A1448" s="4">
        <v>46058.612453703703</v>
      </c>
      <c r="B1448">
        <v>20120885</v>
      </c>
      <c r="C1448" s="6" t="s">
        <v>19</v>
      </c>
      <c r="D1448">
        <v>169150</v>
      </c>
      <c r="E1448" t="s">
        <v>43</v>
      </c>
      <c r="F1448">
        <v>1131185293</v>
      </c>
      <c r="G1448" t="s">
        <v>2819</v>
      </c>
      <c r="H1448">
        <v>100245258</v>
      </c>
      <c r="I1448">
        <v>202651</v>
      </c>
      <c r="J1448">
        <v>1131185293</v>
      </c>
      <c r="K1448" t="s">
        <v>23</v>
      </c>
      <c r="L1448" t="s">
        <v>252</v>
      </c>
      <c r="M1448" t="s">
        <v>253</v>
      </c>
      <c r="N1448" t="s">
        <v>35</v>
      </c>
      <c r="O1448" t="s">
        <v>26</v>
      </c>
      <c r="P1448" t="s">
        <v>27</v>
      </c>
      <c r="Q1448" t="s">
        <v>28</v>
      </c>
      <c r="R1448" t="s">
        <v>29</v>
      </c>
      <c r="S1448" t="s">
        <v>30</v>
      </c>
      <c r="T1448">
        <v>1033781417</v>
      </c>
      <c r="U1448" t="s">
        <v>3948</v>
      </c>
      <c r="V1448" t="s">
        <v>3937</v>
      </c>
      <c r="W1448" s="9">
        <f>IF(V1448="pregrado",31,
IF(V1448="posgrados",31,
IF(V1448="rEINTEGROS",7,
IF(V1448="BIT",90,
IF(V1448="OP GRADO - INGLÉS",17,"")))))</f>
        <v>31</v>
      </c>
      <c r="X1448" t="s">
        <v>4031</v>
      </c>
    </row>
    <row r="1449" spans="1:24" ht="15" x14ac:dyDescent="0.35">
      <c r="A1449" s="4">
        <v>46062.657210648147</v>
      </c>
      <c r="B1449">
        <v>20121752</v>
      </c>
      <c r="C1449" s="6" t="s">
        <v>19</v>
      </c>
      <c r="D1449">
        <v>169151</v>
      </c>
      <c r="E1449" t="s">
        <v>43</v>
      </c>
      <c r="F1449">
        <v>1003004660</v>
      </c>
      <c r="G1449" t="s">
        <v>2938</v>
      </c>
      <c r="H1449">
        <v>100245260</v>
      </c>
      <c r="I1449">
        <v>202651</v>
      </c>
      <c r="J1449">
        <v>1003004660</v>
      </c>
      <c r="K1449" t="s">
        <v>23</v>
      </c>
      <c r="L1449" t="s">
        <v>252</v>
      </c>
      <c r="M1449" t="s">
        <v>253</v>
      </c>
      <c r="N1449" t="s">
        <v>35</v>
      </c>
      <c r="O1449" t="s">
        <v>26</v>
      </c>
      <c r="P1449" t="s">
        <v>27</v>
      </c>
      <c r="Q1449" t="s">
        <v>28</v>
      </c>
      <c r="R1449" t="s">
        <v>29</v>
      </c>
      <c r="S1449" t="s">
        <v>30</v>
      </c>
      <c r="T1449">
        <v>1016030683</v>
      </c>
      <c r="U1449" t="s">
        <v>3936</v>
      </c>
      <c r="V1449" t="s">
        <v>3937</v>
      </c>
      <c r="W1449" s="9">
        <f>IF(V1449="pregrado",31,
IF(V1449="posgrados",31,
IF(V1449="rEINTEGROS",7,
IF(V1449="BIT",90,
IF(V1449="OP GRADO - INGLÉS",17,"")))))</f>
        <v>31</v>
      </c>
      <c r="X1449" t="s">
        <v>3992</v>
      </c>
    </row>
    <row r="1450" spans="1:24" ht="15" x14ac:dyDescent="0.35">
      <c r="A1450" s="4">
        <v>46058.595462962963</v>
      </c>
      <c r="B1450">
        <v>20120865</v>
      </c>
      <c r="C1450" s="6" t="s">
        <v>19</v>
      </c>
      <c r="D1450">
        <v>169152</v>
      </c>
      <c r="E1450" t="s">
        <v>43</v>
      </c>
      <c r="F1450">
        <v>16942317</v>
      </c>
      <c r="G1450" t="s">
        <v>2815</v>
      </c>
      <c r="H1450">
        <v>100245261</v>
      </c>
      <c r="I1450">
        <v>202651</v>
      </c>
      <c r="J1450">
        <v>16942317</v>
      </c>
      <c r="K1450" t="s">
        <v>23</v>
      </c>
      <c r="L1450" t="s">
        <v>1250</v>
      </c>
      <c r="M1450" t="s">
        <v>253</v>
      </c>
      <c r="N1450" t="s">
        <v>35</v>
      </c>
      <c r="O1450" t="s">
        <v>26</v>
      </c>
      <c r="P1450" t="s">
        <v>27</v>
      </c>
      <c r="Q1450" t="s">
        <v>28</v>
      </c>
      <c r="R1450" t="s">
        <v>29</v>
      </c>
      <c r="S1450" t="s">
        <v>30</v>
      </c>
      <c r="T1450">
        <v>1033781417</v>
      </c>
      <c r="U1450" t="s">
        <v>3948</v>
      </c>
      <c r="V1450" t="s">
        <v>3937</v>
      </c>
      <c r="W1450" s="9">
        <f>IF(V1450="pregrado",31,
IF(V1450="posgrados",31,
IF(V1450="rEINTEGROS",7,
IF(V1450="BIT",90,
IF(V1450="OP GRADO - INGLÉS",17,"")))))</f>
        <v>31</v>
      </c>
      <c r="X1450" t="s">
        <v>4031</v>
      </c>
    </row>
    <row r="1451" spans="1:24" ht="15" x14ac:dyDescent="0.35">
      <c r="A1451" s="4">
        <v>46059.48578703704</v>
      </c>
      <c r="B1451">
        <v>20121165</v>
      </c>
      <c r="C1451" s="6" t="s">
        <v>19</v>
      </c>
      <c r="D1451">
        <v>169154</v>
      </c>
      <c r="E1451" t="s">
        <v>43</v>
      </c>
      <c r="F1451">
        <v>1084789581</v>
      </c>
      <c r="G1451" t="s">
        <v>2858</v>
      </c>
      <c r="H1451">
        <v>100245266</v>
      </c>
      <c r="I1451">
        <v>202651</v>
      </c>
      <c r="J1451">
        <v>1084789581</v>
      </c>
      <c r="K1451" t="s">
        <v>23</v>
      </c>
      <c r="L1451" t="s">
        <v>542</v>
      </c>
      <c r="M1451" t="s">
        <v>253</v>
      </c>
      <c r="N1451" t="s">
        <v>35</v>
      </c>
      <c r="O1451" t="s">
        <v>26</v>
      </c>
      <c r="P1451" t="s">
        <v>27</v>
      </c>
      <c r="Q1451" t="s">
        <v>28</v>
      </c>
      <c r="R1451" t="s">
        <v>29</v>
      </c>
      <c r="S1451" t="s">
        <v>30</v>
      </c>
      <c r="T1451">
        <v>52916205</v>
      </c>
      <c r="U1451" t="s">
        <v>3936</v>
      </c>
      <c r="V1451" t="s">
        <v>3937</v>
      </c>
      <c r="W1451" s="9">
        <f>IF(V1451="pregrado",31,
IF(V1451="posgrados",31,
IF(V1451="rEINTEGROS",7,
IF(V1451="BIT",90,
IF(V1451="OP GRADO - INGLÉS",17,"")))))</f>
        <v>31</v>
      </c>
      <c r="X1451" t="s">
        <v>4032</v>
      </c>
    </row>
    <row r="1452" spans="1:24" ht="15" x14ac:dyDescent="0.35">
      <c r="A1452" s="4">
        <v>46058.588020833333</v>
      </c>
      <c r="B1452">
        <v>20120862</v>
      </c>
      <c r="C1452" s="6" t="s">
        <v>19</v>
      </c>
      <c r="D1452">
        <v>169155</v>
      </c>
      <c r="E1452" t="s">
        <v>43</v>
      </c>
      <c r="F1452">
        <v>1078180209</v>
      </c>
      <c r="G1452" t="s">
        <v>2814</v>
      </c>
      <c r="H1452">
        <v>100245267</v>
      </c>
      <c r="I1452">
        <v>202651</v>
      </c>
      <c r="J1452">
        <v>1078180209</v>
      </c>
      <c r="K1452" t="s">
        <v>23</v>
      </c>
      <c r="L1452" t="s">
        <v>252</v>
      </c>
      <c r="M1452" t="s">
        <v>253</v>
      </c>
      <c r="N1452" t="s">
        <v>35</v>
      </c>
      <c r="O1452" t="s">
        <v>26</v>
      </c>
      <c r="P1452" t="s">
        <v>27</v>
      </c>
      <c r="Q1452" t="s">
        <v>28</v>
      </c>
      <c r="R1452" t="s">
        <v>29</v>
      </c>
      <c r="S1452" t="s">
        <v>30</v>
      </c>
      <c r="T1452">
        <v>1033781417</v>
      </c>
      <c r="U1452" t="s">
        <v>3948</v>
      </c>
      <c r="V1452" t="s">
        <v>3937</v>
      </c>
      <c r="W1452" s="9">
        <f>IF(V1452="pregrado",31,
IF(V1452="posgrados",31,
IF(V1452="rEINTEGROS",7,
IF(V1452="BIT",90,
IF(V1452="OP GRADO - INGLÉS",17,"")))))</f>
        <v>31</v>
      </c>
      <c r="X1452" t="s">
        <v>4031</v>
      </c>
    </row>
    <row r="1453" spans="1:24" ht="15" x14ac:dyDescent="0.35">
      <c r="A1453" s="4">
        <v>46058.670983796299</v>
      </c>
      <c r="B1453">
        <v>20120938</v>
      </c>
      <c r="C1453" s="6" t="s">
        <v>19</v>
      </c>
      <c r="D1453">
        <v>169172</v>
      </c>
      <c r="E1453" t="s">
        <v>43</v>
      </c>
      <c r="F1453">
        <v>1077479854</v>
      </c>
      <c r="G1453" t="s">
        <v>2827</v>
      </c>
      <c r="H1453">
        <v>100245298</v>
      </c>
      <c r="I1453">
        <v>202651</v>
      </c>
      <c r="J1453">
        <v>1077479854</v>
      </c>
      <c r="K1453" t="s">
        <v>23</v>
      </c>
      <c r="L1453" t="s">
        <v>252</v>
      </c>
      <c r="M1453" t="s">
        <v>253</v>
      </c>
      <c r="N1453" t="s">
        <v>35</v>
      </c>
      <c r="O1453" t="s">
        <v>26</v>
      </c>
      <c r="P1453" t="s">
        <v>27</v>
      </c>
      <c r="Q1453" t="s">
        <v>28</v>
      </c>
      <c r="R1453" t="s">
        <v>29</v>
      </c>
      <c r="S1453" t="s">
        <v>30</v>
      </c>
      <c r="T1453">
        <v>1033781417</v>
      </c>
      <c r="U1453" t="s">
        <v>3948</v>
      </c>
      <c r="V1453" t="s">
        <v>3937</v>
      </c>
      <c r="W1453" s="9">
        <f>IF(V1453="pregrado",31,
IF(V1453="posgrados",31,
IF(V1453="rEINTEGROS",7,
IF(V1453="BIT",90,
IF(V1453="OP GRADO - INGLÉS",17,"")))))</f>
        <v>31</v>
      </c>
      <c r="X1453" t="s">
        <v>4031</v>
      </c>
    </row>
    <row r="1454" spans="1:24" ht="15" x14ac:dyDescent="0.35">
      <c r="A1454" s="4">
        <v>46060.453067129631</v>
      </c>
      <c r="B1454">
        <v>20121397</v>
      </c>
      <c r="C1454" s="6" t="s">
        <v>19</v>
      </c>
      <c r="D1454">
        <v>169179</v>
      </c>
      <c r="E1454" t="s">
        <v>43</v>
      </c>
      <c r="F1454">
        <v>1088975439</v>
      </c>
      <c r="G1454" t="s">
        <v>2893</v>
      </c>
      <c r="H1454">
        <v>100245305</v>
      </c>
      <c r="I1454">
        <v>202641</v>
      </c>
      <c r="J1454">
        <v>1088975439</v>
      </c>
      <c r="K1454" t="s">
        <v>23</v>
      </c>
      <c r="L1454" t="s">
        <v>160</v>
      </c>
      <c r="M1454" t="s">
        <v>47</v>
      </c>
      <c r="N1454" t="s">
        <v>35</v>
      </c>
      <c r="O1454" t="s">
        <v>26</v>
      </c>
      <c r="P1454" t="s">
        <v>27</v>
      </c>
      <c r="Q1454" t="s">
        <v>28</v>
      </c>
      <c r="R1454" t="s">
        <v>29</v>
      </c>
      <c r="S1454" t="s">
        <v>30</v>
      </c>
      <c r="T1454">
        <v>1070973852</v>
      </c>
      <c r="U1454" t="s">
        <v>3936</v>
      </c>
      <c r="V1454" t="s">
        <v>3937</v>
      </c>
      <c r="W1454" s="9">
        <f>IF(V1454="pregrado",31,
IF(V1454="posgrados",31,
IF(V1454="rEINTEGROS",7,
IF(V1454="BIT",90,
IF(V1454="OP GRADO - INGLÉS",17,"")))))</f>
        <v>31</v>
      </c>
      <c r="X1454" t="s">
        <v>3957</v>
      </c>
    </row>
    <row r="1455" spans="1:24" ht="15" x14ac:dyDescent="0.35">
      <c r="A1455" s="4">
        <v>46065.553449074076</v>
      </c>
      <c r="B1455">
        <v>20122825</v>
      </c>
      <c r="C1455" s="6" t="s">
        <v>19</v>
      </c>
      <c r="D1455">
        <v>169188</v>
      </c>
      <c r="E1455" t="s">
        <v>43</v>
      </c>
      <c r="F1455">
        <v>79764038</v>
      </c>
      <c r="G1455" t="s">
        <v>3099</v>
      </c>
      <c r="H1455">
        <v>100112549</v>
      </c>
      <c r="I1455">
        <v>202651</v>
      </c>
      <c r="J1455">
        <v>52546237</v>
      </c>
      <c r="K1455" t="s">
        <v>46</v>
      </c>
      <c r="L1455" t="s">
        <v>252</v>
      </c>
      <c r="M1455" t="s">
        <v>253</v>
      </c>
      <c r="N1455">
        <v>0</v>
      </c>
      <c r="O1455" t="s">
        <v>26</v>
      </c>
      <c r="P1455" t="s">
        <v>27</v>
      </c>
      <c r="Q1455" t="s">
        <v>28</v>
      </c>
      <c r="R1455" t="s">
        <v>29</v>
      </c>
      <c r="S1455" t="s">
        <v>30</v>
      </c>
      <c r="T1455">
        <v>52168054</v>
      </c>
      <c r="U1455" t="s">
        <v>3977</v>
      </c>
      <c r="V1455" t="s">
        <v>3970</v>
      </c>
      <c r="W1455" s="9">
        <f>IF(V1455="pregrado",31,
IF(V1455="posgrados",31,
IF(V1455="rEINTEGROS",7,
IF(V1455="BIT",90,
IF(V1455="OP GRADO - INGLÉS",17,"")))))</f>
        <v>7</v>
      </c>
      <c r="X1455" t="s">
        <v>4057</v>
      </c>
    </row>
    <row r="1456" spans="1:24" ht="15" x14ac:dyDescent="0.35">
      <c r="A1456" s="4">
        <v>46069.598391203705</v>
      </c>
      <c r="B1456">
        <v>20123712</v>
      </c>
      <c r="C1456" s="6" t="s">
        <v>19</v>
      </c>
      <c r="D1456">
        <v>169190</v>
      </c>
      <c r="E1456" t="s">
        <v>43</v>
      </c>
      <c r="F1456">
        <v>26258798</v>
      </c>
      <c r="G1456" t="s">
        <v>3244</v>
      </c>
      <c r="H1456">
        <v>100245316</v>
      </c>
      <c r="I1456">
        <v>202651</v>
      </c>
      <c r="J1456">
        <v>1077172993</v>
      </c>
      <c r="K1456" t="s">
        <v>23</v>
      </c>
      <c r="L1456" t="s">
        <v>252</v>
      </c>
      <c r="M1456" t="s">
        <v>253</v>
      </c>
      <c r="N1456" t="s">
        <v>35</v>
      </c>
      <c r="O1456" t="s">
        <v>26</v>
      </c>
      <c r="P1456" t="s">
        <v>27</v>
      </c>
      <c r="Q1456" t="s">
        <v>28</v>
      </c>
      <c r="R1456" t="s">
        <v>29</v>
      </c>
      <c r="S1456" t="s">
        <v>30</v>
      </c>
      <c r="T1456">
        <v>1033781417</v>
      </c>
      <c r="U1456" t="s">
        <v>3948</v>
      </c>
      <c r="V1456" t="s">
        <v>3937</v>
      </c>
      <c r="W1456" s="9">
        <f>IF(V1456="pregrado",31,
IF(V1456="posgrados",31,
IF(V1456="rEINTEGROS",7,
IF(V1456="BIT",90,
IF(V1456="OP GRADO - INGLÉS",17,"")))))</f>
        <v>31</v>
      </c>
      <c r="X1456" t="s">
        <v>4031</v>
      </c>
    </row>
    <row r="1457" spans="1:24" ht="15" x14ac:dyDescent="0.35">
      <c r="A1457" s="4">
        <v>46059.665868055556</v>
      </c>
      <c r="B1457">
        <v>20121262</v>
      </c>
      <c r="C1457" s="6" t="s">
        <v>19</v>
      </c>
      <c r="D1457">
        <v>169208</v>
      </c>
      <c r="E1457" t="s">
        <v>43</v>
      </c>
      <c r="F1457">
        <v>1061792744</v>
      </c>
      <c r="G1457" t="s">
        <v>2876</v>
      </c>
      <c r="H1457">
        <v>100245335</v>
      </c>
      <c r="I1457">
        <v>202651</v>
      </c>
      <c r="J1457">
        <v>1061792744</v>
      </c>
      <c r="K1457" t="s">
        <v>23</v>
      </c>
      <c r="L1457" t="s">
        <v>252</v>
      </c>
      <c r="M1457" t="s">
        <v>253</v>
      </c>
      <c r="N1457" t="s">
        <v>35</v>
      </c>
      <c r="O1457" t="s">
        <v>26</v>
      </c>
      <c r="P1457" t="s">
        <v>27</v>
      </c>
      <c r="Q1457" t="s">
        <v>28</v>
      </c>
      <c r="R1457" t="s">
        <v>29</v>
      </c>
      <c r="S1457" t="s">
        <v>30</v>
      </c>
      <c r="T1457">
        <v>1014285873</v>
      </c>
      <c r="U1457" t="s">
        <v>3948</v>
      </c>
      <c r="V1457" t="s">
        <v>3937</v>
      </c>
      <c r="W1457" s="9">
        <f>IF(V1457="pregrado",31,
IF(V1457="posgrados",31,
IF(V1457="rEINTEGROS",7,
IF(V1457="BIT",90,
IF(V1457="OP GRADO - INGLÉS",17,"")))))</f>
        <v>31</v>
      </c>
      <c r="X1457" t="s">
        <v>3953</v>
      </c>
    </row>
    <row r="1458" spans="1:24" ht="15" x14ac:dyDescent="0.35">
      <c r="A1458" s="4">
        <v>46072.448553240742</v>
      </c>
      <c r="B1458">
        <v>20124784</v>
      </c>
      <c r="C1458" s="6" t="s">
        <v>19</v>
      </c>
      <c r="D1458">
        <v>169213</v>
      </c>
      <c r="E1458" t="s">
        <v>43</v>
      </c>
      <c r="F1458">
        <v>53029709</v>
      </c>
      <c r="G1458" t="s">
        <v>3397</v>
      </c>
      <c r="H1458">
        <v>100125854</v>
      </c>
      <c r="I1458">
        <v>202641</v>
      </c>
      <c r="J1458">
        <v>1016004712</v>
      </c>
      <c r="K1458" t="s">
        <v>46</v>
      </c>
      <c r="L1458" t="s">
        <v>59</v>
      </c>
      <c r="M1458" t="s">
        <v>47</v>
      </c>
      <c r="N1458" t="s">
        <v>35</v>
      </c>
      <c r="O1458" t="s">
        <v>26</v>
      </c>
      <c r="P1458" t="s">
        <v>27</v>
      </c>
      <c r="Q1458" t="s">
        <v>28</v>
      </c>
      <c r="R1458" t="s">
        <v>29</v>
      </c>
      <c r="S1458" t="s">
        <v>30</v>
      </c>
      <c r="T1458">
        <v>51951991</v>
      </c>
      <c r="U1458" t="s">
        <v>3936</v>
      </c>
      <c r="V1458" t="s">
        <v>3937</v>
      </c>
      <c r="W1458" s="9">
        <f>IF(V1458="pregrado",31,
IF(V1458="posgrados",31,
IF(V1458="rEINTEGROS",7,
IF(V1458="BIT",90,
IF(V1458="OP GRADO - INGLÉS",17,"")))))</f>
        <v>31</v>
      </c>
      <c r="X1458" t="s">
        <v>4049</v>
      </c>
    </row>
    <row r="1459" spans="1:24" ht="15" x14ac:dyDescent="0.35">
      <c r="A1459" s="4">
        <v>46069.66920138889</v>
      </c>
      <c r="B1459">
        <v>20123789</v>
      </c>
      <c r="C1459" s="6" t="s">
        <v>19</v>
      </c>
      <c r="D1459">
        <v>169214</v>
      </c>
      <c r="E1459" t="s">
        <v>43</v>
      </c>
      <c r="F1459">
        <v>1073163027</v>
      </c>
      <c r="G1459" t="s">
        <v>3251</v>
      </c>
      <c r="H1459">
        <v>100245344</v>
      </c>
      <c r="I1459">
        <v>202651</v>
      </c>
      <c r="J1459">
        <v>1073163027</v>
      </c>
      <c r="K1459" t="s">
        <v>23</v>
      </c>
      <c r="L1459" t="s">
        <v>252</v>
      </c>
      <c r="M1459" t="s">
        <v>253</v>
      </c>
      <c r="N1459" t="s">
        <v>35</v>
      </c>
      <c r="O1459" t="s">
        <v>26</v>
      </c>
      <c r="P1459" t="s">
        <v>27</v>
      </c>
      <c r="Q1459" t="s">
        <v>28</v>
      </c>
      <c r="R1459" t="s">
        <v>29</v>
      </c>
      <c r="S1459" t="s">
        <v>30</v>
      </c>
      <c r="T1459">
        <v>1031147887</v>
      </c>
      <c r="U1459" t="s">
        <v>3948</v>
      </c>
      <c r="V1459" t="s">
        <v>3937</v>
      </c>
      <c r="W1459" s="9">
        <f>IF(V1459="pregrado",31,
IF(V1459="posgrados",31,
IF(V1459="rEINTEGROS",7,
IF(V1459="BIT",90,
IF(V1459="OP GRADO - INGLÉS",17,"")))))</f>
        <v>31</v>
      </c>
      <c r="X1459" t="s">
        <v>3947</v>
      </c>
    </row>
    <row r="1460" spans="1:24" ht="15" x14ac:dyDescent="0.35">
      <c r="A1460" s="4">
        <v>46059.697743055556</v>
      </c>
      <c r="B1460">
        <v>20121291</v>
      </c>
      <c r="C1460" s="6" t="s">
        <v>19</v>
      </c>
      <c r="D1460">
        <v>169221</v>
      </c>
      <c r="E1460" t="s">
        <v>43</v>
      </c>
      <c r="F1460">
        <v>1010157633</v>
      </c>
      <c r="G1460" t="s">
        <v>2880</v>
      </c>
      <c r="H1460">
        <v>100245355</v>
      </c>
      <c r="I1460">
        <v>202651</v>
      </c>
      <c r="J1460">
        <v>1010157633</v>
      </c>
      <c r="K1460" t="s">
        <v>23</v>
      </c>
      <c r="L1460" t="s">
        <v>252</v>
      </c>
      <c r="M1460" t="s">
        <v>253</v>
      </c>
      <c r="N1460" t="s">
        <v>35</v>
      </c>
      <c r="O1460" t="s">
        <v>26</v>
      </c>
      <c r="P1460" t="s">
        <v>27</v>
      </c>
      <c r="Q1460" t="s">
        <v>28</v>
      </c>
      <c r="R1460" t="s">
        <v>29</v>
      </c>
      <c r="S1460" t="s">
        <v>30</v>
      </c>
      <c r="T1460">
        <v>1073673268</v>
      </c>
      <c r="U1460" t="s">
        <v>3948</v>
      </c>
      <c r="V1460" t="s">
        <v>3937</v>
      </c>
      <c r="W1460" s="9">
        <f>IF(V1460="pregrado",31,
IF(V1460="posgrados",31,
IF(V1460="rEINTEGROS",7,
IF(V1460="BIT",90,
IF(V1460="OP GRADO - INGLÉS",17,"")))))</f>
        <v>31</v>
      </c>
      <c r="X1460" t="s">
        <v>4080</v>
      </c>
    </row>
    <row r="1461" spans="1:24" ht="15" x14ac:dyDescent="0.35">
      <c r="A1461" s="4">
        <v>46062.731516203705</v>
      </c>
      <c r="B1461">
        <v>20121838</v>
      </c>
      <c r="C1461" s="6" t="s">
        <v>19</v>
      </c>
      <c r="D1461">
        <v>169226</v>
      </c>
      <c r="E1461" t="s">
        <v>43</v>
      </c>
      <c r="F1461">
        <v>1085308648</v>
      </c>
      <c r="G1461" t="s">
        <v>2952</v>
      </c>
      <c r="H1461">
        <v>100245374</v>
      </c>
      <c r="I1461">
        <v>202651</v>
      </c>
      <c r="J1461">
        <v>1085308648</v>
      </c>
      <c r="K1461" t="s">
        <v>23</v>
      </c>
      <c r="L1461" t="s">
        <v>252</v>
      </c>
      <c r="M1461" t="s">
        <v>253</v>
      </c>
      <c r="N1461" t="s">
        <v>35</v>
      </c>
      <c r="O1461" t="s">
        <v>26</v>
      </c>
      <c r="P1461" t="s">
        <v>27</v>
      </c>
      <c r="Q1461" t="s">
        <v>28</v>
      </c>
      <c r="R1461" t="s">
        <v>29</v>
      </c>
      <c r="S1461" t="s">
        <v>30</v>
      </c>
      <c r="T1461">
        <v>1140420282</v>
      </c>
      <c r="U1461" t="s">
        <v>3948</v>
      </c>
      <c r="V1461" t="s">
        <v>3937</v>
      </c>
      <c r="W1461" s="9">
        <f>IF(V1461="pregrado",31,
IF(V1461="posgrados",31,
IF(V1461="rEINTEGROS",7,
IF(V1461="BIT",90,
IF(V1461="OP GRADO - INGLÉS",17,"")))))</f>
        <v>31</v>
      </c>
      <c r="X1461" t="s">
        <v>3972</v>
      </c>
    </row>
    <row r="1462" spans="1:24" ht="15" x14ac:dyDescent="0.35">
      <c r="A1462" s="4">
        <v>46062.689976851849</v>
      </c>
      <c r="B1462">
        <v>20121795</v>
      </c>
      <c r="C1462" s="6" t="s">
        <v>19</v>
      </c>
      <c r="D1462">
        <v>169231</v>
      </c>
      <c r="E1462" t="s">
        <v>43</v>
      </c>
      <c r="F1462">
        <v>1062079812</v>
      </c>
      <c r="G1462" t="s">
        <v>2945</v>
      </c>
      <c r="H1462">
        <v>100052820</v>
      </c>
      <c r="I1462">
        <v>202641</v>
      </c>
      <c r="J1462">
        <v>1062079812</v>
      </c>
      <c r="K1462" t="s">
        <v>23</v>
      </c>
      <c r="L1462" t="s">
        <v>294</v>
      </c>
      <c r="M1462" t="s">
        <v>47</v>
      </c>
      <c r="N1462" t="s">
        <v>35</v>
      </c>
      <c r="O1462" t="s">
        <v>26</v>
      </c>
      <c r="P1462" t="s">
        <v>27</v>
      </c>
      <c r="Q1462" t="s">
        <v>28</v>
      </c>
      <c r="R1462" t="s">
        <v>29</v>
      </c>
      <c r="S1462" t="s">
        <v>30</v>
      </c>
      <c r="T1462">
        <v>1016030683</v>
      </c>
      <c r="U1462" t="s">
        <v>3936</v>
      </c>
      <c r="V1462" t="s">
        <v>3937</v>
      </c>
      <c r="W1462" s="9">
        <f>IF(V1462="pregrado",31,
IF(V1462="posgrados",31,
IF(V1462="rEINTEGROS",7,
IF(V1462="BIT",90,
IF(V1462="OP GRADO - INGLÉS",17,"")))))</f>
        <v>31</v>
      </c>
      <c r="X1462" t="s">
        <v>3992</v>
      </c>
    </row>
    <row r="1463" spans="1:24" ht="15" x14ac:dyDescent="0.35">
      <c r="A1463" s="4">
        <v>46059.642002314817</v>
      </c>
      <c r="B1463">
        <v>20121233</v>
      </c>
      <c r="C1463" s="6" t="s">
        <v>19</v>
      </c>
      <c r="D1463">
        <v>169246</v>
      </c>
      <c r="E1463" t="s">
        <v>43</v>
      </c>
      <c r="F1463">
        <v>1117547436</v>
      </c>
      <c r="G1463" t="s">
        <v>2867</v>
      </c>
      <c r="H1463">
        <v>100245403</v>
      </c>
      <c r="I1463">
        <v>202641</v>
      </c>
      <c r="J1463">
        <v>1117547436</v>
      </c>
      <c r="K1463" t="s">
        <v>23</v>
      </c>
      <c r="L1463" t="s">
        <v>72</v>
      </c>
      <c r="M1463" t="s">
        <v>47</v>
      </c>
      <c r="N1463" t="s">
        <v>25</v>
      </c>
      <c r="O1463" t="s">
        <v>26</v>
      </c>
      <c r="P1463" t="s">
        <v>27</v>
      </c>
      <c r="Q1463" t="s">
        <v>28</v>
      </c>
      <c r="R1463" t="s">
        <v>29</v>
      </c>
      <c r="S1463" t="s">
        <v>30</v>
      </c>
      <c r="T1463">
        <v>1022407392</v>
      </c>
      <c r="U1463" t="s">
        <v>3936</v>
      </c>
      <c r="V1463" t="s">
        <v>3937</v>
      </c>
      <c r="W1463" s="9">
        <f>IF(V1463="pregrado",31,
IF(V1463="posgrados",31,
IF(V1463="rEINTEGROS",7,
IF(V1463="BIT",90,
IF(V1463="OP GRADO - INGLÉS",17,"")))))</f>
        <v>31</v>
      </c>
      <c r="X1463" t="s">
        <v>3975</v>
      </c>
    </row>
    <row r="1464" spans="1:24" ht="15" x14ac:dyDescent="0.35">
      <c r="A1464" s="4">
        <v>46080.428333333337</v>
      </c>
      <c r="B1464">
        <v>20126790</v>
      </c>
      <c r="C1464" s="6" t="s">
        <v>19</v>
      </c>
      <c r="D1464">
        <v>169247</v>
      </c>
      <c r="E1464" t="s">
        <v>43</v>
      </c>
      <c r="F1464">
        <v>1070944194</v>
      </c>
      <c r="G1464" t="s">
        <v>3720</v>
      </c>
      <c r="H1464">
        <v>900000092</v>
      </c>
      <c r="I1464">
        <v>202641</v>
      </c>
      <c r="J1464">
        <v>1070944194</v>
      </c>
      <c r="K1464" t="s">
        <v>46</v>
      </c>
      <c r="L1464" t="s">
        <v>160</v>
      </c>
      <c r="M1464" t="s">
        <v>47</v>
      </c>
      <c r="N1464" t="s">
        <v>35</v>
      </c>
      <c r="O1464" t="s">
        <v>26</v>
      </c>
      <c r="P1464" t="s">
        <v>27</v>
      </c>
      <c r="Q1464" t="s">
        <v>28</v>
      </c>
      <c r="R1464" t="s">
        <v>29</v>
      </c>
      <c r="S1464" t="s">
        <v>30</v>
      </c>
      <c r="T1464">
        <v>1075542872</v>
      </c>
      <c r="U1464" t="s">
        <v>3948</v>
      </c>
      <c r="V1464" t="s">
        <v>3937</v>
      </c>
      <c r="W1464" s="9">
        <f>IF(V1464="pregrado",31,
IF(V1464="posgrados",31,
IF(V1464="rEINTEGROS",7,
IF(V1464="BIT",90,
IF(V1464="OP GRADO - INGLÉS",17,"")))))</f>
        <v>31</v>
      </c>
      <c r="X1464" t="s">
        <v>3974</v>
      </c>
    </row>
    <row r="1465" spans="1:24" ht="15" x14ac:dyDescent="0.35">
      <c r="A1465" s="4">
        <v>46060.742731481485</v>
      </c>
      <c r="B1465">
        <v>20121453</v>
      </c>
      <c r="C1465" s="6" t="s">
        <v>19</v>
      </c>
      <c r="D1465">
        <v>169252</v>
      </c>
      <c r="E1465" t="s">
        <v>43</v>
      </c>
      <c r="F1465">
        <v>28565733</v>
      </c>
      <c r="G1465" t="s">
        <v>2900</v>
      </c>
      <c r="H1465">
        <v>100245433</v>
      </c>
      <c r="I1465">
        <v>202651</v>
      </c>
      <c r="J1465">
        <v>1007687749</v>
      </c>
      <c r="K1465" t="s">
        <v>23</v>
      </c>
      <c r="L1465" t="s">
        <v>252</v>
      </c>
      <c r="M1465" t="s">
        <v>253</v>
      </c>
      <c r="N1465" t="s">
        <v>35</v>
      </c>
      <c r="O1465" t="s">
        <v>26</v>
      </c>
      <c r="P1465" t="s">
        <v>27</v>
      </c>
      <c r="Q1465" t="s">
        <v>28</v>
      </c>
      <c r="R1465" t="s">
        <v>29</v>
      </c>
      <c r="S1465" t="s">
        <v>30</v>
      </c>
      <c r="T1465">
        <v>1031147887</v>
      </c>
      <c r="U1465" t="s">
        <v>3948</v>
      </c>
      <c r="V1465" t="s">
        <v>3937</v>
      </c>
      <c r="W1465" s="9">
        <f>IF(V1465="pregrado",31,
IF(V1465="posgrados",31,
IF(V1465="rEINTEGROS",7,
IF(V1465="BIT",90,
IF(V1465="OP GRADO - INGLÉS",17,"")))))</f>
        <v>31</v>
      </c>
      <c r="X1465" t="s">
        <v>3947</v>
      </c>
    </row>
    <row r="1466" spans="1:24" ht="15" x14ac:dyDescent="0.35">
      <c r="A1466" s="4">
        <v>46060.884710648148</v>
      </c>
      <c r="B1466">
        <v>20121463</v>
      </c>
      <c r="C1466" s="6" t="s">
        <v>19</v>
      </c>
      <c r="D1466">
        <v>169256</v>
      </c>
      <c r="E1466" t="s">
        <v>43</v>
      </c>
      <c r="F1466">
        <v>1087126527</v>
      </c>
      <c r="G1466" t="s">
        <v>2902</v>
      </c>
      <c r="H1466">
        <v>200120426</v>
      </c>
      <c r="I1466">
        <v>202641</v>
      </c>
      <c r="J1466">
        <v>1087126527</v>
      </c>
      <c r="K1466" t="s">
        <v>23</v>
      </c>
      <c r="L1466" t="s">
        <v>736</v>
      </c>
      <c r="M1466" t="s">
        <v>47</v>
      </c>
      <c r="N1466" t="s">
        <v>35</v>
      </c>
      <c r="O1466" t="s">
        <v>26</v>
      </c>
      <c r="P1466" t="s">
        <v>27</v>
      </c>
      <c r="Q1466" t="s">
        <v>28</v>
      </c>
      <c r="R1466" t="s">
        <v>29</v>
      </c>
      <c r="S1466" t="s">
        <v>30</v>
      </c>
      <c r="T1466">
        <v>52965969</v>
      </c>
      <c r="U1466" t="s">
        <v>3936</v>
      </c>
      <c r="V1466" t="s">
        <v>3937</v>
      </c>
      <c r="W1466" s="9">
        <f>IF(V1466="pregrado",31,
IF(V1466="posgrados",31,
IF(V1466="rEINTEGROS",7,
IF(V1466="BIT",90,
IF(V1466="OP GRADO - INGLÉS",17,"")))))</f>
        <v>31</v>
      </c>
      <c r="X1466" t="s">
        <v>3960</v>
      </c>
    </row>
    <row r="1467" spans="1:24" ht="15" x14ac:dyDescent="0.35">
      <c r="A1467" s="4">
        <v>46062.558182870373</v>
      </c>
      <c r="B1467">
        <v>20121662</v>
      </c>
      <c r="C1467" s="6" t="s">
        <v>19</v>
      </c>
      <c r="D1467">
        <v>169258</v>
      </c>
      <c r="E1467" t="s">
        <v>43</v>
      </c>
      <c r="F1467">
        <v>1013645042</v>
      </c>
      <c r="G1467" t="s">
        <v>2926</v>
      </c>
      <c r="H1467">
        <v>100044736</v>
      </c>
      <c r="I1467">
        <v>202641</v>
      </c>
      <c r="J1467">
        <v>1013645042</v>
      </c>
      <c r="K1467" t="s">
        <v>23</v>
      </c>
      <c r="L1467" t="s">
        <v>59</v>
      </c>
      <c r="M1467" t="s">
        <v>47</v>
      </c>
      <c r="N1467" t="s">
        <v>35</v>
      </c>
      <c r="O1467" t="s">
        <v>26</v>
      </c>
      <c r="P1467" t="s">
        <v>27</v>
      </c>
      <c r="Q1467" t="s">
        <v>28</v>
      </c>
      <c r="R1467" t="s">
        <v>29</v>
      </c>
      <c r="S1467" t="s">
        <v>30</v>
      </c>
      <c r="T1467">
        <v>1026262709</v>
      </c>
      <c r="U1467" t="s">
        <v>3936</v>
      </c>
      <c r="V1467" t="s">
        <v>3937</v>
      </c>
      <c r="W1467" s="9">
        <f>IF(V1467="pregrado",31,
IF(V1467="posgrados",31,
IF(V1467="rEINTEGROS",7,
IF(V1467="BIT",90,
IF(V1467="OP GRADO - INGLÉS",17,"")))))</f>
        <v>31</v>
      </c>
      <c r="X1467" t="s">
        <v>4037</v>
      </c>
    </row>
    <row r="1468" spans="1:24" ht="15" x14ac:dyDescent="0.35">
      <c r="A1468" s="4">
        <v>46066.796967592592</v>
      </c>
      <c r="B1468">
        <v>20123363</v>
      </c>
      <c r="C1468" s="6" t="s">
        <v>19</v>
      </c>
      <c r="D1468">
        <v>169267</v>
      </c>
      <c r="E1468" t="s">
        <v>43</v>
      </c>
      <c r="F1468">
        <v>1082982416</v>
      </c>
      <c r="G1468" t="s">
        <v>3196</v>
      </c>
      <c r="H1468">
        <v>100245461</v>
      </c>
      <c r="I1468">
        <v>202651</v>
      </c>
      <c r="J1468">
        <v>1010048417</v>
      </c>
      <c r="K1468" t="s">
        <v>23</v>
      </c>
      <c r="L1468" t="s">
        <v>252</v>
      </c>
      <c r="M1468" t="s">
        <v>253</v>
      </c>
      <c r="N1468" t="s">
        <v>35</v>
      </c>
      <c r="O1468" t="s">
        <v>26</v>
      </c>
      <c r="P1468" t="s">
        <v>27</v>
      </c>
      <c r="Q1468" t="s">
        <v>28</v>
      </c>
      <c r="R1468" t="s">
        <v>29</v>
      </c>
      <c r="S1468" t="s">
        <v>30</v>
      </c>
      <c r="T1468">
        <v>52032666</v>
      </c>
      <c r="U1468" t="s">
        <v>3948</v>
      </c>
      <c r="V1468" t="s">
        <v>3937</v>
      </c>
      <c r="W1468" s="9">
        <f>IF(V1468="pregrado",31,
IF(V1468="posgrados",31,
IF(V1468="rEINTEGROS",7,
IF(V1468="BIT",90,
IF(V1468="OP GRADO - INGLÉS",17,"")))))</f>
        <v>31</v>
      </c>
      <c r="X1468" t="s">
        <v>3983</v>
      </c>
    </row>
    <row r="1469" spans="1:24" ht="15" x14ac:dyDescent="0.35">
      <c r="A1469" s="4">
        <v>46076.358159722222</v>
      </c>
      <c r="B1469">
        <v>20125559</v>
      </c>
      <c r="C1469" s="6" t="s">
        <v>19</v>
      </c>
      <c r="D1469">
        <v>169273</v>
      </c>
      <c r="E1469" t="s">
        <v>43</v>
      </c>
      <c r="F1469">
        <v>1022327299</v>
      </c>
      <c r="G1469" t="s">
        <v>3529</v>
      </c>
      <c r="H1469">
        <v>100139032</v>
      </c>
      <c r="I1469">
        <v>202641</v>
      </c>
      <c r="J1469">
        <v>1022327299</v>
      </c>
      <c r="K1469" t="s">
        <v>46</v>
      </c>
      <c r="L1469" t="s">
        <v>59</v>
      </c>
      <c r="M1469" t="s">
        <v>47</v>
      </c>
      <c r="N1469" t="s">
        <v>35</v>
      </c>
      <c r="O1469" t="s">
        <v>26</v>
      </c>
      <c r="P1469" t="s">
        <v>27</v>
      </c>
      <c r="Q1469" t="s">
        <v>28</v>
      </c>
      <c r="R1469" t="s">
        <v>29</v>
      </c>
      <c r="S1469" t="s">
        <v>30</v>
      </c>
      <c r="T1469">
        <v>52965969</v>
      </c>
      <c r="U1469" t="s">
        <v>3936</v>
      </c>
      <c r="V1469" t="s">
        <v>3937</v>
      </c>
      <c r="W1469" s="9">
        <f>IF(V1469="pregrado",31,
IF(V1469="posgrados",31,
IF(V1469="rEINTEGROS",7,
IF(V1469="BIT",90,
IF(V1469="OP GRADO - INGLÉS",17,"")))))</f>
        <v>31</v>
      </c>
      <c r="X1469" t="s">
        <v>3960</v>
      </c>
    </row>
    <row r="1470" spans="1:24" ht="15" x14ac:dyDescent="0.35">
      <c r="A1470" s="4">
        <v>46062.405601851853</v>
      </c>
      <c r="B1470">
        <v>20121538</v>
      </c>
      <c r="C1470" s="6" t="s">
        <v>19</v>
      </c>
      <c r="D1470">
        <v>169286</v>
      </c>
      <c r="E1470" t="s">
        <v>43</v>
      </c>
      <c r="F1470">
        <v>1077436224</v>
      </c>
      <c r="G1470" t="s">
        <v>2909</v>
      </c>
      <c r="H1470">
        <v>100245488</v>
      </c>
      <c r="I1470">
        <v>202651</v>
      </c>
      <c r="J1470">
        <v>1077436224</v>
      </c>
      <c r="K1470" t="s">
        <v>23</v>
      </c>
      <c r="L1470" t="s">
        <v>252</v>
      </c>
      <c r="M1470" t="s">
        <v>253</v>
      </c>
      <c r="N1470" t="s">
        <v>35</v>
      </c>
      <c r="O1470" t="s">
        <v>26</v>
      </c>
      <c r="P1470" t="s">
        <v>27</v>
      </c>
      <c r="Q1470" t="s">
        <v>28</v>
      </c>
      <c r="R1470" t="s">
        <v>29</v>
      </c>
      <c r="S1470" t="s">
        <v>30</v>
      </c>
      <c r="T1470">
        <v>1033784244</v>
      </c>
      <c r="U1470" t="s">
        <v>3948</v>
      </c>
      <c r="V1470" t="s">
        <v>3937</v>
      </c>
      <c r="W1470" s="9">
        <f>IF(V1470="pregrado",31,
IF(V1470="posgrados",31,
IF(V1470="rEINTEGROS",7,
IF(V1470="BIT",90,
IF(V1470="OP GRADO - INGLÉS",17,"")))))</f>
        <v>31</v>
      </c>
      <c r="X1470" t="s">
        <v>4067</v>
      </c>
    </row>
    <row r="1471" spans="1:24" ht="15" x14ac:dyDescent="0.35">
      <c r="A1471" s="4">
        <v>46061.582557870373</v>
      </c>
      <c r="B1471">
        <v>20121476</v>
      </c>
      <c r="C1471" s="6" t="s">
        <v>19</v>
      </c>
      <c r="D1471">
        <v>169293</v>
      </c>
      <c r="E1471" t="s">
        <v>43</v>
      </c>
      <c r="F1471">
        <v>1004377928</v>
      </c>
      <c r="G1471" t="s">
        <v>2904</v>
      </c>
      <c r="H1471">
        <v>100245496</v>
      </c>
      <c r="I1471">
        <v>202651</v>
      </c>
      <c r="J1471">
        <v>1004377928</v>
      </c>
      <c r="K1471" t="s">
        <v>23</v>
      </c>
      <c r="L1471" t="s">
        <v>252</v>
      </c>
      <c r="M1471" t="s">
        <v>253</v>
      </c>
      <c r="N1471" t="s">
        <v>35</v>
      </c>
      <c r="O1471" t="s">
        <v>26</v>
      </c>
      <c r="P1471" t="s">
        <v>27</v>
      </c>
      <c r="Q1471" t="s">
        <v>28</v>
      </c>
      <c r="R1471" t="s">
        <v>29</v>
      </c>
      <c r="S1471" t="s">
        <v>30</v>
      </c>
      <c r="T1471">
        <v>1033784244</v>
      </c>
      <c r="U1471" t="s">
        <v>3948</v>
      </c>
      <c r="V1471" t="s">
        <v>3937</v>
      </c>
      <c r="W1471" s="9">
        <f>IF(V1471="pregrado",31,
IF(V1471="posgrados",31,
IF(V1471="rEINTEGROS",7,
IF(V1471="BIT",90,
IF(V1471="OP GRADO - INGLÉS",17,"")))))</f>
        <v>31</v>
      </c>
      <c r="X1471" t="s">
        <v>4067</v>
      </c>
    </row>
    <row r="1472" spans="1:24" ht="15" x14ac:dyDescent="0.35">
      <c r="A1472" s="4">
        <v>46060.537708333337</v>
      </c>
      <c r="B1472">
        <v>20121423</v>
      </c>
      <c r="C1472" s="6" t="s">
        <v>19</v>
      </c>
      <c r="D1472">
        <v>169295</v>
      </c>
      <c r="E1472" t="s">
        <v>43</v>
      </c>
      <c r="F1472">
        <v>1013576482</v>
      </c>
      <c r="G1472" t="s">
        <v>2895</v>
      </c>
      <c r="H1472">
        <v>100245497</v>
      </c>
      <c r="I1472">
        <v>202641</v>
      </c>
      <c r="J1472">
        <v>80065531</v>
      </c>
      <c r="K1472" t="s">
        <v>23</v>
      </c>
      <c r="L1472" t="s">
        <v>160</v>
      </c>
      <c r="M1472" t="s">
        <v>47</v>
      </c>
      <c r="N1472" t="s">
        <v>35</v>
      </c>
      <c r="O1472" t="s">
        <v>26</v>
      </c>
      <c r="P1472" t="s">
        <v>27</v>
      </c>
      <c r="Q1472" t="s">
        <v>28</v>
      </c>
      <c r="R1472" t="s">
        <v>29</v>
      </c>
      <c r="S1472" t="s">
        <v>30</v>
      </c>
      <c r="T1472">
        <v>52965969</v>
      </c>
      <c r="U1472" t="s">
        <v>3936</v>
      </c>
      <c r="V1472" t="s">
        <v>3937</v>
      </c>
      <c r="W1472" s="9">
        <f>IF(V1472="pregrado",31,
IF(V1472="posgrados",31,
IF(V1472="rEINTEGROS",7,
IF(V1472="BIT",90,
IF(V1472="OP GRADO - INGLÉS",17,"")))))</f>
        <v>31</v>
      </c>
      <c r="X1472" t="s">
        <v>3960</v>
      </c>
    </row>
    <row r="1473" spans="1:24" ht="15" x14ac:dyDescent="0.35">
      <c r="A1473" s="4">
        <v>46062.366909722223</v>
      </c>
      <c r="B1473">
        <v>20121511</v>
      </c>
      <c r="C1473" s="6" t="s">
        <v>19</v>
      </c>
      <c r="D1473">
        <v>169308</v>
      </c>
      <c r="E1473" t="s">
        <v>43</v>
      </c>
      <c r="F1473">
        <v>84110273</v>
      </c>
      <c r="G1473" t="s">
        <v>2908</v>
      </c>
      <c r="H1473">
        <v>100245527</v>
      </c>
      <c r="I1473">
        <v>202651</v>
      </c>
      <c r="J1473">
        <v>1124009071</v>
      </c>
      <c r="K1473" t="s">
        <v>23</v>
      </c>
      <c r="L1473" t="s">
        <v>252</v>
      </c>
      <c r="M1473" t="s">
        <v>253</v>
      </c>
      <c r="N1473" t="s">
        <v>35</v>
      </c>
      <c r="O1473" t="s">
        <v>26</v>
      </c>
      <c r="P1473" t="s">
        <v>27</v>
      </c>
      <c r="Q1473" t="s">
        <v>28</v>
      </c>
      <c r="R1473" t="s">
        <v>29</v>
      </c>
      <c r="S1473" t="s">
        <v>30</v>
      </c>
      <c r="T1473">
        <v>1014285873</v>
      </c>
      <c r="U1473" t="s">
        <v>3948</v>
      </c>
      <c r="V1473" t="s">
        <v>3937</v>
      </c>
      <c r="W1473" s="9">
        <f>IF(V1473="pregrado",31,
IF(V1473="posgrados",31,
IF(V1473="rEINTEGROS",7,
IF(V1473="BIT",90,
IF(V1473="OP GRADO - INGLÉS",17,"")))))</f>
        <v>31</v>
      </c>
      <c r="X1473" t="s">
        <v>3953</v>
      </c>
    </row>
    <row r="1474" spans="1:24" ht="15" x14ac:dyDescent="0.35">
      <c r="A1474" s="4">
        <v>46062.445567129631</v>
      </c>
      <c r="B1474">
        <v>20121573</v>
      </c>
      <c r="C1474" s="6" t="s">
        <v>19</v>
      </c>
      <c r="D1474">
        <v>169310</v>
      </c>
      <c r="E1474" t="s">
        <v>43</v>
      </c>
      <c r="F1474">
        <v>1122143170</v>
      </c>
      <c r="G1474" t="s">
        <v>2913</v>
      </c>
      <c r="H1474">
        <v>100245532</v>
      </c>
      <c r="I1474">
        <v>202641</v>
      </c>
      <c r="J1474">
        <v>1122143170</v>
      </c>
      <c r="K1474" t="s">
        <v>23</v>
      </c>
      <c r="L1474" t="s">
        <v>342</v>
      </c>
      <c r="M1474" t="s">
        <v>47</v>
      </c>
      <c r="N1474" t="s">
        <v>35</v>
      </c>
      <c r="O1474" t="s">
        <v>26</v>
      </c>
      <c r="P1474" t="s">
        <v>27</v>
      </c>
      <c r="Q1474" t="s">
        <v>28</v>
      </c>
      <c r="R1474" t="s">
        <v>29</v>
      </c>
      <c r="S1474" t="s">
        <v>30</v>
      </c>
      <c r="T1474">
        <v>1015401969</v>
      </c>
      <c r="U1474" t="s">
        <v>3936</v>
      </c>
      <c r="V1474" t="s">
        <v>3937</v>
      </c>
      <c r="W1474" s="9">
        <f>IF(V1474="pregrado",31,
IF(V1474="posgrados",31,
IF(V1474="rEINTEGROS",7,
IF(V1474="BIT",90,
IF(V1474="OP GRADO - INGLÉS",17,"")))))</f>
        <v>31</v>
      </c>
      <c r="X1474" t="s">
        <v>3945</v>
      </c>
    </row>
    <row r="1475" spans="1:24" ht="15" x14ac:dyDescent="0.35">
      <c r="A1475" s="4">
        <v>46064.730034722219</v>
      </c>
      <c r="B1475">
        <v>20122570</v>
      </c>
      <c r="C1475" s="6" t="s">
        <v>19</v>
      </c>
      <c r="D1475">
        <v>169312</v>
      </c>
      <c r="E1475" t="s">
        <v>43</v>
      </c>
      <c r="F1475">
        <v>27172801</v>
      </c>
      <c r="G1475" t="s">
        <v>3053</v>
      </c>
      <c r="H1475">
        <v>100245537</v>
      </c>
      <c r="I1475">
        <v>202651</v>
      </c>
      <c r="J1475">
        <v>10305355</v>
      </c>
      <c r="K1475" t="s">
        <v>23</v>
      </c>
      <c r="L1475" t="s">
        <v>252</v>
      </c>
      <c r="M1475" t="s">
        <v>253</v>
      </c>
      <c r="N1475" t="s">
        <v>35</v>
      </c>
      <c r="O1475" t="s">
        <v>26</v>
      </c>
      <c r="P1475" t="s">
        <v>27</v>
      </c>
      <c r="Q1475" t="s">
        <v>28</v>
      </c>
      <c r="R1475" t="s">
        <v>29</v>
      </c>
      <c r="S1475" t="s">
        <v>30</v>
      </c>
      <c r="T1475">
        <v>52032666</v>
      </c>
      <c r="U1475" t="s">
        <v>3948</v>
      </c>
      <c r="V1475" t="s">
        <v>3937</v>
      </c>
      <c r="W1475" s="9">
        <f>IF(V1475="pregrado",31,
IF(V1475="posgrados",31,
IF(V1475="rEINTEGROS",7,
IF(V1475="BIT",90,
IF(V1475="OP GRADO - INGLÉS",17,"")))))</f>
        <v>31</v>
      </c>
      <c r="X1475" t="s">
        <v>3983</v>
      </c>
    </row>
    <row r="1476" spans="1:24" ht="15" x14ac:dyDescent="0.35">
      <c r="A1476" s="4">
        <v>46062.459097222221</v>
      </c>
      <c r="B1476">
        <v>20121582</v>
      </c>
      <c r="C1476" s="6" t="s">
        <v>19</v>
      </c>
      <c r="D1476">
        <v>169328</v>
      </c>
      <c r="E1476" t="s">
        <v>43</v>
      </c>
      <c r="F1476">
        <v>1024557224</v>
      </c>
      <c r="G1476" t="s">
        <v>2914</v>
      </c>
      <c r="H1476">
        <v>100245564</v>
      </c>
      <c r="I1476">
        <v>202651</v>
      </c>
      <c r="J1476">
        <v>1024557224</v>
      </c>
      <c r="K1476" t="s">
        <v>23</v>
      </c>
      <c r="L1476" t="s">
        <v>252</v>
      </c>
      <c r="M1476" t="s">
        <v>253</v>
      </c>
      <c r="N1476" t="s">
        <v>35</v>
      </c>
      <c r="O1476" t="s">
        <v>26</v>
      </c>
      <c r="P1476" t="s">
        <v>27</v>
      </c>
      <c r="Q1476" t="s">
        <v>28</v>
      </c>
      <c r="R1476" t="s">
        <v>29</v>
      </c>
      <c r="S1476" t="s">
        <v>30</v>
      </c>
      <c r="T1476">
        <v>52916205</v>
      </c>
      <c r="U1476" t="s">
        <v>3936</v>
      </c>
      <c r="V1476" t="s">
        <v>3937</v>
      </c>
      <c r="W1476" s="9">
        <f>IF(V1476="pregrado",31,
IF(V1476="posgrados",31,
IF(V1476="rEINTEGROS",7,
IF(V1476="BIT",90,
IF(V1476="OP GRADO - INGLÉS",17,"")))))</f>
        <v>31</v>
      </c>
      <c r="X1476" t="s">
        <v>4032</v>
      </c>
    </row>
    <row r="1477" spans="1:24" ht="15" x14ac:dyDescent="0.35">
      <c r="A1477" s="4">
        <v>46063.564756944441</v>
      </c>
      <c r="B1477">
        <v>20122060</v>
      </c>
      <c r="C1477" s="6" t="s">
        <v>19</v>
      </c>
      <c r="D1477">
        <v>169333</v>
      </c>
      <c r="E1477" t="s">
        <v>43</v>
      </c>
      <c r="F1477">
        <v>1090986839</v>
      </c>
      <c r="G1477" t="s">
        <v>2988</v>
      </c>
      <c r="H1477">
        <v>100245426</v>
      </c>
      <c r="I1477">
        <v>202651</v>
      </c>
      <c r="J1477">
        <v>1090986839</v>
      </c>
      <c r="K1477" t="s">
        <v>23</v>
      </c>
      <c r="L1477" t="s">
        <v>252</v>
      </c>
      <c r="M1477" t="s">
        <v>253</v>
      </c>
      <c r="N1477" t="s">
        <v>35</v>
      </c>
      <c r="O1477" t="s">
        <v>26</v>
      </c>
      <c r="P1477" t="s">
        <v>27</v>
      </c>
      <c r="Q1477" t="s">
        <v>28</v>
      </c>
      <c r="R1477" t="s">
        <v>29</v>
      </c>
      <c r="S1477" t="s">
        <v>30</v>
      </c>
      <c r="T1477">
        <v>1070973852</v>
      </c>
      <c r="U1477" t="s">
        <v>3936</v>
      </c>
      <c r="V1477" t="s">
        <v>3937</v>
      </c>
      <c r="W1477" s="9">
        <f>IF(V1477="pregrado",31,
IF(V1477="posgrados",31,
IF(V1477="rEINTEGROS",7,
IF(V1477="BIT",90,
IF(V1477="OP GRADO - INGLÉS",17,"")))))</f>
        <v>31</v>
      </c>
      <c r="X1477" t="s">
        <v>3957</v>
      </c>
    </row>
    <row r="1478" spans="1:24" ht="15" x14ac:dyDescent="0.35">
      <c r="A1478" s="4">
        <v>46066.354467592595</v>
      </c>
      <c r="B1478">
        <v>20123047</v>
      </c>
      <c r="C1478" s="6" t="s">
        <v>19</v>
      </c>
      <c r="D1478">
        <v>169349</v>
      </c>
      <c r="E1478" t="s">
        <v>43</v>
      </c>
      <c r="F1478">
        <v>1085317859</v>
      </c>
      <c r="G1478" t="s">
        <v>3136</v>
      </c>
      <c r="H1478">
        <v>100049355</v>
      </c>
      <c r="I1478">
        <v>202651</v>
      </c>
      <c r="J1478">
        <v>1085317859</v>
      </c>
      <c r="K1478" t="s">
        <v>23</v>
      </c>
      <c r="L1478" t="s">
        <v>252</v>
      </c>
      <c r="M1478" t="s">
        <v>253</v>
      </c>
      <c r="N1478" t="s">
        <v>35</v>
      </c>
      <c r="O1478" t="s">
        <v>26</v>
      </c>
      <c r="P1478" t="s">
        <v>27</v>
      </c>
      <c r="Q1478" t="s">
        <v>28</v>
      </c>
      <c r="R1478" t="s">
        <v>29</v>
      </c>
      <c r="S1478" t="s">
        <v>30</v>
      </c>
      <c r="T1478">
        <v>1140420282</v>
      </c>
      <c r="U1478" t="s">
        <v>3948</v>
      </c>
      <c r="V1478" t="s">
        <v>3937</v>
      </c>
      <c r="W1478" s="9">
        <f>IF(V1478="pregrado",31,
IF(V1478="posgrados",31,
IF(V1478="rEINTEGROS",7,
IF(V1478="BIT",90,
IF(V1478="OP GRADO - INGLÉS",17,"")))))</f>
        <v>31</v>
      </c>
      <c r="X1478" t="s">
        <v>3972</v>
      </c>
    </row>
    <row r="1479" spans="1:24" ht="15" x14ac:dyDescent="0.35">
      <c r="A1479" s="4">
        <v>46062.724745370368</v>
      </c>
      <c r="B1479">
        <v>20121832</v>
      </c>
      <c r="C1479" s="6" t="s">
        <v>19</v>
      </c>
      <c r="D1479">
        <v>169361</v>
      </c>
      <c r="E1479" t="s">
        <v>43</v>
      </c>
      <c r="F1479">
        <v>41708543</v>
      </c>
      <c r="G1479" t="s">
        <v>2949</v>
      </c>
      <c r="H1479">
        <v>100245637</v>
      </c>
      <c r="I1479">
        <v>202641</v>
      </c>
      <c r="J1479">
        <v>52850494</v>
      </c>
      <c r="K1479" t="s">
        <v>23</v>
      </c>
      <c r="L1479" t="s">
        <v>160</v>
      </c>
      <c r="M1479" t="s">
        <v>47</v>
      </c>
      <c r="N1479" t="s">
        <v>35</v>
      </c>
      <c r="O1479" t="s">
        <v>26</v>
      </c>
      <c r="P1479" t="s">
        <v>27</v>
      </c>
      <c r="Q1479" t="s">
        <v>28</v>
      </c>
      <c r="R1479" t="s">
        <v>29</v>
      </c>
      <c r="S1479" t="s">
        <v>30</v>
      </c>
      <c r="T1479">
        <v>1070973852</v>
      </c>
      <c r="U1479" t="s">
        <v>3936</v>
      </c>
      <c r="V1479" t="s">
        <v>3937</v>
      </c>
      <c r="W1479" s="9">
        <f>IF(V1479="pregrado",31,
IF(V1479="posgrados",31,
IF(V1479="rEINTEGROS",7,
IF(V1479="BIT",90,
IF(V1479="OP GRADO - INGLÉS",17,"")))))</f>
        <v>31</v>
      </c>
      <c r="X1479" t="s">
        <v>3957</v>
      </c>
    </row>
    <row r="1480" spans="1:24" ht="15" x14ac:dyDescent="0.35">
      <c r="A1480" s="4">
        <v>46063.416273148148</v>
      </c>
      <c r="B1480">
        <v>20121960</v>
      </c>
      <c r="C1480" s="6" t="s">
        <v>19</v>
      </c>
      <c r="D1480">
        <v>169362</v>
      </c>
      <c r="E1480" t="s">
        <v>43</v>
      </c>
      <c r="F1480">
        <v>1126458957</v>
      </c>
      <c r="G1480" t="s">
        <v>2968</v>
      </c>
      <c r="H1480">
        <v>100245649</v>
      </c>
      <c r="I1480">
        <v>202641</v>
      </c>
      <c r="J1480">
        <v>1126458957</v>
      </c>
      <c r="K1480" t="s">
        <v>23</v>
      </c>
      <c r="L1480" t="s">
        <v>279</v>
      </c>
      <c r="M1480" t="s">
        <v>47</v>
      </c>
      <c r="N1480" t="s">
        <v>35</v>
      </c>
      <c r="O1480" t="s">
        <v>26</v>
      </c>
      <c r="P1480" t="s">
        <v>27</v>
      </c>
      <c r="Q1480" t="s">
        <v>28</v>
      </c>
      <c r="R1480" t="s">
        <v>29</v>
      </c>
      <c r="S1480" t="s">
        <v>30</v>
      </c>
      <c r="T1480">
        <v>1032406382</v>
      </c>
      <c r="U1480" t="s">
        <v>3936</v>
      </c>
      <c r="V1480" t="s">
        <v>3937</v>
      </c>
      <c r="W1480" s="9">
        <f>IF(V1480="pregrado",31,
IF(V1480="posgrados",31,
IF(V1480="rEINTEGROS",7,
IF(V1480="BIT",90,
IF(V1480="OP GRADO - INGLÉS",17,"")))))</f>
        <v>31</v>
      </c>
      <c r="X1480" t="s">
        <v>3991</v>
      </c>
    </row>
    <row r="1481" spans="1:24" ht="15" x14ac:dyDescent="0.35">
      <c r="A1481" s="4">
        <v>46069.421712962961</v>
      </c>
      <c r="B1481">
        <v>20123603</v>
      </c>
      <c r="C1481" s="6" t="s">
        <v>19</v>
      </c>
      <c r="D1481">
        <v>169367</v>
      </c>
      <c r="E1481" t="s">
        <v>43</v>
      </c>
      <c r="F1481">
        <v>1118564429</v>
      </c>
      <c r="G1481" t="s">
        <v>3227</v>
      </c>
      <c r="H1481">
        <v>100245658</v>
      </c>
      <c r="I1481">
        <v>202641</v>
      </c>
      <c r="J1481">
        <v>1118564429</v>
      </c>
      <c r="K1481" t="s">
        <v>23</v>
      </c>
      <c r="L1481" t="s">
        <v>294</v>
      </c>
      <c r="M1481" t="s">
        <v>47</v>
      </c>
      <c r="N1481" t="s">
        <v>35</v>
      </c>
      <c r="O1481" t="s">
        <v>26</v>
      </c>
      <c r="P1481" t="s">
        <v>27</v>
      </c>
      <c r="Q1481" t="s">
        <v>28</v>
      </c>
      <c r="R1481" t="s">
        <v>29</v>
      </c>
      <c r="S1481" t="s">
        <v>30</v>
      </c>
      <c r="T1481">
        <v>1033793185</v>
      </c>
      <c r="U1481" t="s">
        <v>3948</v>
      </c>
      <c r="V1481" t="s">
        <v>3937</v>
      </c>
      <c r="W1481" s="9">
        <f>IF(V1481="pregrado",31,
IF(V1481="posgrados",31,
IF(V1481="rEINTEGROS",7,
IF(V1481="BIT",90,
IF(V1481="OP GRADO - INGLÉS",17,"")))))</f>
        <v>31</v>
      </c>
      <c r="X1481" t="s">
        <v>4082</v>
      </c>
    </row>
    <row r="1482" spans="1:24" ht="15" x14ac:dyDescent="0.35">
      <c r="A1482" s="4">
        <v>46063.420590277776</v>
      </c>
      <c r="B1482">
        <v>20121967</v>
      </c>
      <c r="C1482" s="6" t="s">
        <v>19</v>
      </c>
      <c r="D1482">
        <v>169368</v>
      </c>
      <c r="E1482" t="s">
        <v>43</v>
      </c>
      <c r="F1482">
        <v>1070974355</v>
      </c>
      <c r="G1482" t="s">
        <v>2971</v>
      </c>
      <c r="H1482">
        <v>100149291</v>
      </c>
      <c r="I1482">
        <v>202641</v>
      </c>
      <c r="J1482">
        <v>1070974355</v>
      </c>
      <c r="K1482" t="s">
        <v>46</v>
      </c>
      <c r="L1482" t="s">
        <v>45</v>
      </c>
      <c r="M1482" t="s">
        <v>47</v>
      </c>
      <c r="N1482" t="s">
        <v>38</v>
      </c>
      <c r="O1482" t="s">
        <v>26</v>
      </c>
      <c r="P1482" t="s">
        <v>27</v>
      </c>
      <c r="Q1482" t="s">
        <v>28</v>
      </c>
      <c r="R1482" t="s">
        <v>29</v>
      </c>
      <c r="S1482" t="s">
        <v>30</v>
      </c>
      <c r="T1482">
        <v>1019102787</v>
      </c>
      <c r="U1482" t="s">
        <v>3977</v>
      </c>
      <c r="V1482" t="s">
        <v>3970</v>
      </c>
      <c r="W1482" s="9">
        <f>IF(V1482="pregrado",31,
IF(V1482="posgrados",31,
IF(V1482="rEINTEGROS",7,
IF(V1482="BIT",90,
IF(V1482="OP GRADO - INGLÉS",17,"")))))</f>
        <v>7</v>
      </c>
      <c r="X1482" t="s">
        <v>3976</v>
      </c>
    </row>
    <row r="1483" spans="1:24" ht="15" x14ac:dyDescent="0.35">
      <c r="A1483" s="4">
        <v>46065.316793981481</v>
      </c>
      <c r="B1483">
        <v>20122638</v>
      </c>
      <c r="C1483" s="6" t="s">
        <v>19</v>
      </c>
      <c r="D1483">
        <v>169371</v>
      </c>
      <c r="E1483" t="s">
        <v>43</v>
      </c>
      <c r="F1483">
        <v>1075262521</v>
      </c>
      <c r="G1483" t="s">
        <v>3064</v>
      </c>
      <c r="H1483">
        <v>100245664</v>
      </c>
      <c r="I1483">
        <v>202641</v>
      </c>
      <c r="J1483">
        <v>1075262521</v>
      </c>
      <c r="K1483" t="s">
        <v>23</v>
      </c>
      <c r="L1483" t="s">
        <v>294</v>
      </c>
      <c r="M1483" t="s">
        <v>47</v>
      </c>
      <c r="N1483" t="s">
        <v>35</v>
      </c>
      <c r="O1483" t="s">
        <v>26</v>
      </c>
      <c r="P1483" t="s">
        <v>27</v>
      </c>
      <c r="Q1483" t="s">
        <v>28</v>
      </c>
      <c r="R1483" t="s">
        <v>29</v>
      </c>
      <c r="S1483" t="s">
        <v>30</v>
      </c>
      <c r="T1483">
        <v>1033793185</v>
      </c>
      <c r="U1483" t="s">
        <v>3948</v>
      </c>
      <c r="V1483" t="s">
        <v>3937</v>
      </c>
      <c r="W1483" s="9">
        <f>IF(V1483="pregrado",31,
IF(V1483="posgrados",31,
IF(V1483="rEINTEGROS",7,
IF(V1483="BIT",90,
IF(V1483="OP GRADO - INGLÉS",17,"")))))</f>
        <v>31</v>
      </c>
      <c r="X1483" t="s">
        <v>4082</v>
      </c>
    </row>
    <row r="1484" spans="1:24" ht="15" x14ac:dyDescent="0.35">
      <c r="A1484" s="4">
        <v>46064.663032407407</v>
      </c>
      <c r="B1484">
        <v>20122494</v>
      </c>
      <c r="C1484" s="6" t="s">
        <v>19</v>
      </c>
      <c r="D1484">
        <v>169373</v>
      </c>
      <c r="E1484" t="s">
        <v>43</v>
      </c>
      <c r="F1484">
        <v>1013690462</v>
      </c>
      <c r="G1484" t="s">
        <v>3039</v>
      </c>
      <c r="H1484">
        <v>100245668</v>
      </c>
      <c r="I1484">
        <v>202641</v>
      </c>
      <c r="J1484">
        <v>1013690462</v>
      </c>
      <c r="K1484" t="s">
        <v>23</v>
      </c>
      <c r="L1484" t="s">
        <v>160</v>
      </c>
      <c r="M1484" t="s">
        <v>47</v>
      </c>
      <c r="N1484" t="s">
        <v>35</v>
      </c>
      <c r="O1484" t="s">
        <v>26</v>
      </c>
      <c r="P1484" t="s">
        <v>27</v>
      </c>
      <c r="Q1484" t="s">
        <v>28</v>
      </c>
      <c r="R1484" t="s">
        <v>29</v>
      </c>
      <c r="S1484" t="s">
        <v>30</v>
      </c>
      <c r="T1484">
        <v>1193146767</v>
      </c>
      <c r="U1484" t="s">
        <v>3936</v>
      </c>
      <c r="V1484" t="s">
        <v>3937</v>
      </c>
      <c r="W1484" s="9">
        <f>IF(V1484="pregrado",31,
IF(V1484="posgrados",31,
IF(V1484="rEINTEGROS",7,
IF(V1484="BIT",90,
IF(V1484="OP GRADO - INGLÉS",17,"")))))</f>
        <v>31</v>
      </c>
      <c r="X1484" t="s">
        <v>4072</v>
      </c>
    </row>
    <row r="1485" spans="1:24" ht="15" x14ac:dyDescent="0.35">
      <c r="A1485" s="4">
        <v>46065.684641203705</v>
      </c>
      <c r="B1485">
        <v>20122931</v>
      </c>
      <c r="C1485" s="6" t="s">
        <v>19</v>
      </c>
      <c r="D1485">
        <v>169379</v>
      </c>
      <c r="E1485" t="s">
        <v>43</v>
      </c>
      <c r="F1485">
        <v>59395251</v>
      </c>
      <c r="G1485" t="s">
        <v>3112</v>
      </c>
      <c r="H1485">
        <v>100245674</v>
      </c>
      <c r="I1485">
        <v>202651</v>
      </c>
      <c r="J1485">
        <v>59395251</v>
      </c>
      <c r="K1485" t="s">
        <v>23</v>
      </c>
      <c r="L1485" t="s">
        <v>252</v>
      </c>
      <c r="M1485" t="s">
        <v>253</v>
      </c>
      <c r="N1485" t="s">
        <v>35</v>
      </c>
      <c r="O1485" t="s">
        <v>26</v>
      </c>
      <c r="P1485" t="s">
        <v>27</v>
      </c>
      <c r="Q1485" t="s">
        <v>28</v>
      </c>
      <c r="R1485" t="s">
        <v>29</v>
      </c>
      <c r="S1485" t="s">
        <v>30</v>
      </c>
      <c r="T1485">
        <v>1193146767</v>
      </c>
      <c r="U1485" t="s">
        <v>3936</v>
      </c>
      <c r="V1485" t="s">
        <v>3937</v>
      </c>
      <c r="W1485" s="9">
        <f>IF(V1485="pregrado",31,
IF(V1485="posgrados",31,
IF(V1485="rEINTEGROS",7,
IF(V1485="BIT",90,
IF(V1485="OP GRADO - INGLÉS",17,"")))))</f>
        <v>31</v>
      </c>
      <c r="X1485" t="s">
        <v>4072</v>
      </c>
    </row>
    <row r="1486" spans="1:24" ht="15" x14ac:dyDescent="0.35">
      <c r="A1486" s="4">
        <v>46063.448634259257</v>
      </c>
      <c r="B1486">
        <v>20121988</v>
      </c>
      <c r="C1486" s="6" t="s">
        <v>19</v>
      </c>
      <c r="D1486">
        <v>169381</v>
      </c>
      <c r="E1486" t="s">
        <v>43</v>
      </c>
      <c r="F1486">
        <v>1090410637</v>
      </c>
      <c r="G1486" t="s">
        <v>2976</v>
      </c>
      <c r="H1486">
        <v>100245677</v>
      </c>
      <c r="I1486">
        <v>202651</v>
      </c>
      <c r="J1486">
        <v>1090410637</v>
      </c>
      <c r="K1486" t="s">
        <v>23</v>
      </c>
      <c r="L1486" t="s">
        <v>542</v>
      </c>
      <c r="M1486" t="s">
        <v>253</v>
      </c>
      <c r="N1486" t="s">
        <v>35</v>
      </c>
      <c r="O1486" t="s">
        <v>26</v>
      </c>
      <c r="P1486" t="s">
        <v>27</v>
      </c>
      <c r="Q1486" t="s">
        <v>28</v>
      </c>
      <c r="R1486" t="s">
        <v>29</v>
      </c>
      <c r="S1486" t="s">
        <v>30</v>
      </c>
      <c r="T1486">
        <v>51951991</v>
      </c>
      <c r="U1486" t="s">
        <v>3936</v>
      </c>
      <c r="V1486" t="s">
        <v>3937</v>
      </c>
      <c r="W1486" s="9">
        <f>IF(V1486="pregrado",31,
IF(V1486="posgrados",31,
IF(V1486="rEINTEGROS",7,
IF(V1486="BIT",90,
IF(V1486="OP GRADO - INGLÉS",17,"")))))</f>
        <v>31</v>
      </c>
      <c r="X1486" t="s">
        <v>4049</v>
      </c>
    </row>
    <row r="1487" spans="1:24" ht="15" x14ac:dyDescent="0.35">
      <c r="A1487" s="4">
        <v>46066.4846875</v>
      </c>
      <c r="B1487">
        <v>20123149</v>
      </c>
      <c r="C1487" s="6" t="s">
        <v>19</v>
      </c>
      <c r="D1487">
        <v>169390</v>
      </c>
      <c r="E1487" t="s">
        <v>43</v>
      </c>
      <c r="F1487">
        <v>1233188050</v>
      </c>
      <c r="G1487" t="s">
        <v>3153</v>
      </c>
      <c r="H1487">
        <v>100245689</v>
      </c>
      <c r="I1487">
        <v>202651</v>
      </c>
      <c r="J1487">
        <v>1233188050</v>
      </c>
      <c r="K1487" t="s">
        <v>23</v>
      </c>
      <c r="L1487" t="s">
        <v>252</v>
      </c>
      <c r="M1487" t="s">
        <v>253</v>
      </c>
      <c r="N1487" t="s">
        <v>35</v>
      </c>
      <c r="O1487" t="s">
        <v>26</v>
      </c>
      <c r="P1487" t="s">
        <v>27</v>
      </c>
      <c r="Q1487" t="s">
        <v>28</v>
      </c>
      <c r="R1487" t="s">
        <v>29</v>
      </c>
      <c r="S1487" t="s">
        <v>30</v>
      </c>
      <c r="T1487">
        <v>1075542872</v>
      </c>
      <c r="U1487" t="s">
        <v>3948</v>
      </c>
      <c r="V1487" t="s">
        <v>3937</v>
      </c>
      <c r="W1487" s="9">
        <f>IF(V1487="pregrado",31,
IF(V1487="posgrados",31,
IF(V1487="rEINTEGROS",7,
IF(V1487="BIT",90,
IF(V1487="OP GRADO - INGLÉS",17,"")))))</f>
        <v>31</v>
      </c>
      <c r="X1487" t="s">
        <v>3974</v>
      </c>
    </row>
    <row r="1488" spans="1:24" ht="15" x14ac:dyDescent="0.35">
      <c r="A1488" s="4">
        <v>46063.505902777775</v>
      </c>
      <c r="B1488">
        <v>20122033</v>
      </c>
      <c r="C1488" s="6" t="s">
        <v>19</v>
      </c>
      <c r="D1488">
        <v>169402</v>
      </c>
      <c r="E1488" t="s">
        <v>43</v>
      </c>
      <c r="F1488">
        <v>1075314167</v>
      </c>
      <c r="G1488" t="s">
        <v>2981</v>
      </c>
      <c r="H1488">
        <v>100245707</v>
      </c>
      <c r="I1488">
        <v>202651</v>
      </c>
      <c r="J1488">
        <v>1075314167</v>
      </c>
      <c r="K1488" t="s">
        <v>23</v>
      </c>
      <c r="L1488" t="s">
        <v>252</v>
      </c>
      <c r="M1488" t="s">
        <v>253</v>
      </c>
      <c r="N1488" t="s">
        <v>35</v>
      </c>
      <c r="O1488" t="s">
        <v>26</v>
      </c>
      <c r="P1488" t="s">
        <v>27</v>
      </c>
      <c r="Q1488" t="s">
        <v>28</v>
      </c>
      <c r="R1488" t="s">
        <v>29</v>
      </c>
      <c r="S1488" t="s">
        <v>30</v>
      </c>
      <c r="T1488">
        <v>1014285873</v>
      </c>
      <c r="U1488" t="s">
        <v>3948</v>
      </c>
      <c r="V1488" t="s">
        <v>3937</v>
      </c>
      <c r="W1488" s="9">
        <f>IF(V1488="pregrado",31,
IF(V1488="posgrados",31,
IF(V1488="rEINTEGROS",7,
IF(V1488="BIT",90,
IF(V1488="OP GRADO - INGLÉS",17,"")))))</f>
        <v>31</v>
      </c>
      <c r="X1488" t="s">
        <v>3953</v>
      </c>
    </row>
    <row r="1489" spans="1:24" ht="15" x14ac:dyDescent="0.35">
      <c r="A1489" s="4">
        <v>46064.85255787037</v>
      </c>
      <c r="B1489">
        <v>20122619</v>
      </c>
      <c r="C1489" s="6" t="s">
        <v>19</v>
      </c>
      <c r="D1489">
        <v>169406</v>
      </c>
      <c r="E1489" t="s">
        <v>43</v>
      </c>
      <c r="F1489">
        <v>1022337675</v>
      </c>
      <c r="G1489" t="s">
        <v>3063</v>
      </c>
      <c r="H1489">
        <v>100245714</v>
      </c>
      <c r="I1489">
        <v>202641</v>
      </c>
      <c r="J1489">
        <v>1022337675</v>
      </c>
      <c r="K1489" t="s">
        <v>74</v>
      </c>
      <c r="L1489" t="s">
        <v>279</v>
      </c>
      <c r="M1489" t="s">
        <v>47</v>
      </c>
      <c r="N1489" t="s">
        <v>35</v>
      </c>
      <c r="O1489" t="s">
        <v>26</v>
      </c>
      <c r="P1489" t="s">
        <v>27</v>
      </c>
      <c r="Q1489" t="s">
        <v>28</v>
      </c>
      <c r="R1489" t="s">
        <v>29</v>
      </c>
      <c r="S1489" t="s">
        <v>30</v>
      </c>
      <c r="T1489">
        <v>1070973852</v>
      </c>
      <c r="U1489" t="s">
        <v>3936</v>
      </c>
      <c r="V1489" t="s">
        <v>3937</v>
      </c>
      <c r="W1489" s="9">
        <f>IF(V1489="pregrado",31,
IF(V1489="posgrados",31,
IF(V1489="rEINTEGROS",7,
IF(V1489="BIT",90,
IF(V1489="OP GRADO - INGLÉS",17,"")))))</f>
        <v>31</v>
      </c>
      <c r="X1489" t="s">
        <v>3957</v>
      </c>
    </row>
    <row r="1490" spans="1:24" ht="15" x14ac:dyDescent="0.35">
      <c r="A1490" s="4">
        <v>46062.675879629627</v>
      </c>
      <c r="B1490">
        <v>20121776</v>
      </c>
      <c r="C1490" s="6" t="s">
        <v>19</v>
      </c>
      <c r="D1490">
        <v>169416</v>
      </c>
      <c r="E1490" t="s">
        <v>43</v>
      </c>
      <c r="F1490">
        <v>1116554175</v>
      </c>
      <c r="G1490" t="s">
        <v>2942</v>
      </c>
      <c r="H1490">
        <v>100245702</v>
      </c>
      <c r="I1490">
        <v>202641</v>
      </c>
      <c r="J1490">
        <v>1116554175</v>
      </c>
      <c r="K1490" t="s">
        <v>23</v>
      </c>
      <c r="L1490" t="s">
        <v>294</v>
      </c>
      <c r="M1490" t="s">
        <v>47</v>
      </c>
      <c r="N1490" t="s">
        <v>35</v>
      </c>
      <c r="O1490" t="s">
        <v>26</v>
      </c>
      <c r="P1490" t="s">
        <v>27</v>
      </c>
      <c r="Q1490" t="s">
        <v>28</v>
      </c>
      <c r="R1490" t="s">
        <v>29</v>
      </c>
      <c r="S1490" t="s">
        <v>30</v>
      </c>
      <c r="T1490">
        <v>1070973852</v>
      </c>
      <c r="U1490" t="s">
        <v>3936</v>
      </c>
      <c r="V1490" t="s">
        <v>3937</v>
      </c>
      <c r="W1490" s="9">
        <f>IF(V1490="pregrado",31,
IF(V1490="posgrados",31,
IF(V1490="rEINTEGROS",7,
IF(V1490="BIT",90,
IF(V1490="OP GRADO - INGLÉS",17,"")))))</f>
        <v>31</v>
      </c>
      <c r="X1490" t="s">
        <v>3957</v>
      </c>
    </row>
    <row r="1491" spans="1:24" ht="15" x14ac:dyDescent="0.35">
      <c r="A1491" s="4">
        <v>46066.759004629632</v>
      </c>
      <c r="B1491">
        <v>20123348</v>
      </c>
      <c r="C1491" s="6" t="s">
        <v>19</v>
      </c>
      <c r="D1491">
        <v>169435</v>
      </c>
      <c r="E1491" t="s">
        <v>43</v>
      </c>
      <c r="F1491">
        <v>1092340246</v>
      </c>
      <c r="G1491" t="s">
        <v>3193</v>
      </c>
      <c r="H1491">
        <v>100245748</v>
      </c>
      <c r="I1491">
        <v>202651</v>
      </c>
      <c r="J1491">
        <v>1092344585</v>
      </c>
      <c r="K1491" t="s">
        <v>23</v>
      </c>
      <c r="L1491" t="s">
        <v>252</v>
      </c>
      <c r="M1491" t="s">
        <v>253</v>
      </c>
      <c r="N1491" t="s">
        <v>35</v>
      </c>
      <c r="O1491" t="s">
        <v>26</v>
      </c>
      <c r="P1491" t="s">
        <v>27</v>
      </c>
      <c r="Q1491" t="s">
        <v>28</v>
      </c>
      <c r="R1491" t="s">
        <v>29</v>
      </c>
      <c r="S1491" t="s">
        <v>30</v>
      </c>
      <c r="T1491">
        <v>1012389748</v>
      </c>
      <c r="U1491" t="s">
        <v>3948</v>
      </c>
      <c r="V1491" t="s">
        <v>3937</v>
      </c>
      <c r="W1491" s="9">
        <f>IF(V1491="pregrado",31,
IF(V1491="posgrados",31,
IF(V1491="rEINTEGROS",7,
IF(V1491="BIT",90,
IF(V1491="OP GRADO - INGLÉS",17,"")))))</f>
        <v>31</v>
      </c>
      <c r="X1491" t="s">
        <v>4065</v>
      </c>
    </row>
    <row r="1492" spans="1:24" ht="15" x14ac:dyDescent="0.35">
      <c r="A1492" s="4">
        <v>46062.861238425925</v>
      </c>
      <c r="B1492">
        <v>20121893</v>
      </c>
      <c r="C1492" s="6" t="s">
        <v>19</v>
      </c>
      <c r="D1492">
        <v>169439</v>
      </c>
      <c r="E1492" t="s">
        <v>43</v>
      </c>
      <c r="F1492">
        <v>1061774111</v>
      </c>
      <c r="G1492" t="s">
        <v>2961</v>
      </c>
      <c r="H1492">
        <v>100245752</v>
      </c>
      <c r="I1492">
        <v>202641</v>
      </c>
      <c r="J1492">
        <v>1061774111</v>
      </c>
      <c r="K1492" t="s">
        <v>23</v>
      </c>
      <c r="L1492" t="s">
        <v>279</v>
      </c>
      <c r="M1492" t="s">
        <v>47</v>
      </c>
      <c r="N1492" t="s">
        <v>35</v>
      </c>
      <c r="O1492" t="s">
        <v>26</v>
      </c>
      <c r="P1492" t="s">
        <v>27</v>
      </c>
      <c r="Q1492" t="s">
        <v>28</v>
      </c>
      <c r="R1492" t="s">
        <v>29</v>
      </c>
      <c r="S1492" t="s">
        <v>30</v>
      </c>
      <c r="T1492">
        <v>1022407392</v>
      </c>
      <c r="U1492" t="s">
        <v>3936</v>
      </c>
      <c r="V1492" t="s">
        <v>3937</v>
      </c>
      <c r="W1492" s="9">
        <f>IF(V1492="pregrado",31,
IF(V1492="posgrados",31,
IF(V1492="rEINTEGROS",7,
IF(V1492="BIT",90,
IF(V1492="OP GRADO - INGLÉS",17,"")))))</f>
        <v>31</v>
      </c>
      <c r="X1492" t="s">
        <v>3975</v>
      </c>
    </row>
    <row r="1493" spans="1:24" ht="15" x14ac:dyDescent="0.35">
      <c r="A1493" s="4">
        <v>46063.58153935185</v>
      </c>
      <c r="B1493">
        <v>20122071</v>
      </c>
      <c r="C1493" s="6" t="s">
        <v>19</v>
      </c>
      <c r="D1493">
        <v>169445</v>
      </c>
      <c r="E1493" t="s">
        <v>43</v>
      </c>
      <c r="F1493">
        <v>1078117926</v>
      </c>
      <c r="G1493" t="s">
        <v>2990</v>
      </c>
      <c r="H1493">
        <v>100245761</v>
      </c>
      <c r="I1493">
        <v>202651</v>
      </c>
      <c r="J1493">
        <v>1078117926</v>
      </c>
      <c r="K1493" t="s">
        <v>23</v>
      </c>
      <c r="L1493" t="s">
        <v>252</v>
      </c>
      <c r="M1493" t="s">
        <v>253</v>
      </c>
      <c r="N1493" t="s">
        <v>35</v>
      </c>
      <c r="O1493" t="s">
        <v>26</v>
      </c>
      <c r="P1493" t="s">
        <v>27</v>
      </c>
      <c r="Q1493" t="s">
        <v>28</v>
      </c>
      <c r="R1493" t="s">
        <v>29</v>
      </c>
      <c r="S1493" t="s">
        <v>30</v>
      </c>
      <c r="T1493">
        <v>52032666</v>
      </c>
      <c r="U1493" t="s">
        <v>3948</v>
      </c>
      <c r="V1493" t="s">
        <v>3937</v>
      </c>
      <c r="W1493" s="9">
        <f>IF(V1493="pregrado",31,
IF(V1493="posgrados",31,
IF(V1493="rEINTEGROS",7,
IF(V1493="BIT",90,
IF(V1493="OP GRADO - INGLÉS",17,"")))))</f>
        <v>31</v>
      </c>
      <c r="X1493" t="s">
        <v>3983</v>
      </c>
    </row>
    <row r="1494" spans="1:24" ht="15" x14ac:dyDescent="0.35">
      <c r="A1494" s="4">
        <v>46064.351226851853</v>
      </c>
      <c r="B1494">
        <v>20122282</v>
      </c>
      <c r="C1494" s="6" t="s">
        <v>19</v>
      </c>
      <c r="D1494">
        <v>169453</v>
      </c>
      <c r="E1494" t="s">
        <v>43</v>
      </c>
      <c r="F1494">
        <v>1003313219</v>
      </c>
      <c r="G1494" t="s">
        <v>3011</v>
      </c>
      <c r="H1494">
        <v>100245769</v>
      </c>
      <c r="I1494">
        <v>202641</v>
      </c>
      <c r="J1494">
        <v>1003313219</v>
      </c>
      <c r="K1494" t="s">
        <v>23</v>
      </c>
      <c r="L1494" t="s">
        <v>160</v>
      </c>
      <c r="M1494" t="s">
        <v>47</v>
      </c>
      <c r="N1494" t="s">
        <v>35</v>
      </c>
      <c r="O1494" t="s">
        <v>26</v>
      </c>
      <c r="P1494" t="s">
        <v>27</v>
      </c>
      <c r="Q1494" t="s">
        <v>28</v>
      </c>
      <c r="R1494" t="s">
        <v>29</v>
      </c>
      <c r="S1494" t="s">
        <v>30</v>
      </c>
      <c r="T1494">
        <v>1032406382</v>
      </c>
      <c r="U1494" t="s">
        <v>3936</v>
      </c>
      <c r="V1494" t="s">
        <v>3937</v>
      </c>
      <c r="W1494" s="9">
        <f>IF(V1494="pregrado",31,
IF(V1494="posgrados",31,
IF(V1494="rEINTEGROS",7,
IF(V1494="BIT",90,
IF(V1494="OP GRADO - INGLÉS",17,"")))))</f>
        <v>31</v>
      </c>
      <c r="X1494" t="s">
        <v>3991</v>
      </c>
    </row>
    <row r="1495" spans="1:24" ht="15" x14ac:dyDescent="0.35">
      <c r="A1495" s="4">
        <v>46073.381435185183</v>
      </c>
      <c r="B1495">
        <v>20125108</v>
      </c>
      <c r="C1495" s="6" t="s">
        <v>19</v>
      </c>
      <c r="D1495">
        <v>169471</v>
      </c>
      <c r="E1495" t="s">
        <v>43</v>
      </c>
      <c r="F1495">
        <v>1003531217</v>
      </c>
      <c r="G1495" t="s">
        <v>3454</v>
      </c>
      <c r="H1495">
        <v>100159695</v>
      </c>
      <c r="I1495">
        <v>202641</v>
      </c>
      <c r="J1495">
        <v>1003531217</v>
      </c>
      <c r="K1495" t="s">
        <v>46</v>
      </c>
      <c r="L1495" t="s">
        <v>59</v>
      </c>
      <c r="M1495" t="s">
        <v>47</v>
      </c>
      <c r="N1495" t="s">
        <v>35</v>
      </c>
      <c r="O1495" t="s">
        <v>26</v>
      </c>
      <c r="P1495" t="s">
        <v>27</v>
      </c>
      <c r="Q1495" t="s">
        <v>28</v>
      </c>
      <c r="R1495" t="s">
        <v>29</v>
      </c>
      <c r="S1495" t="s">
        <v>30</v>
      </c>
      <c r="T1495">
        <v>1140420282</v>
      </c>
      <c r="U1495" t="s">
        <v>3948</v>
      </c>
      <c r="V1495" t="s">
        <v>3937</v>
      </c>
      <c r="W1495" s="9">
        <f>IF(V1495="pregrado",31,
IF(V1495="posgrados",31,
IF(V1495="rEINTEGROS",7,
IF(V1495="BIT",90,
IF(V1495="OP GRADO - INGLÉS",17,"")))))</f>
        <v>31</v>
      </c>
      <c r="X1495" t="s">
        <v>3972</v>
      </c>
    </row>
    <row r="1496" spans="1:24" ht="15" x14ac:dyDescent="0.35">
      <c r="A1496" s="4">
        <v>46071.69295138889</v>
      </c>
      <c r="B1496">
        <v>20124592</v>
      </c>
      <c r="C1496" s="6" t="s">
        <v>19</v>
      </c>
      <c r="D1496">
        <v>169473</v>
      </c>
      <c r="E1496" t="s">
        <v>43</v>
      </c>
      <c r="F1496">
        <v>1118530947</v>
      </c>
      <c r="G1496" t="s">
        <v>3372</v>
      </c>
      <c r="H1496">
        <v>100245791</v>
      </c>
      <c r="I1496">
        <v>202651</v>
      </c>
      <c r="J1496">
        <v>1118530947</v>
      </c>
      <c r="K1496" t="s">
        <v>23</v>
      </c>
      <c r="L1496" t="s">
        <v>252</v>
      </c>
      <c r="M1496" t="s">
        <v>253</v>
      </c>
      <c r="N1496" t="s">
        <v>35</v>
      </c>
      <c r="O1496" t="s">
        <v>26</v>
      </c>
      <c r="P1496" t="s">
        <v>27</v>
      </c>
      <c r="Q1496" t="s">
        <v>28</v>
      </c>
      <c r="R1496" t="s">
        <v>29</v>
      </c>
      <c r="S1496" t="s">
        <v>30</v>
      </c>
      <c r="T1496">
        <v>52032666</v>
      </c>
      <c r="U1496" t="s">
        <v>3948</v>
      </c>
      <c r="V1496" t="s">
        <v>3937</v>
      </c>
      <c r="W1496" s="9">
        <f>IF(V1496="pregrado",31,
IF(V1496="posgrados",31,
IF(V1496="rEINTEGROS",7,
IF(V1496="BIT",90,
IF(V1496="OP GRADO - INGLÉS",17,"")))))</f>
        <v>31</v>
      </c>
      <c r="X1496" t="s">
        <v>3983</v>
      </c>
    </row>
    <row r="1497" spans="1:24" ht="15" x14ac:dyDescent="0.35">
      <c r="A1497" s="4">
        <v>46069.412129629629</v>
      </c>
      <c r="B1497">
        <v>20123599</v>
      </c>
      <c r="C1497" s="6" t="s">
        <v>19</v>
      </c>
      <c r="D1497">
        <v>169477</v>
      </c>
      <c r="E1497" t="s">
        <v>43</v>
      </c>
      <c r="F1497">
        <v>1083020730</v>
      </c>
      <c r="G1497" t="s">
        <v>3225</v>
      </c>
      <c r="H1497">
        <v>100245797</v>
      </c>
      <c r="I1497">
        <v>202651</v>
      </c>
      <c r="J1497">
        <v>1083020730</v>
      </c>
      <c r="K1497" t="s">
        <v>23</v>
      </c>
      <c r="L1497" t="s">
        <v>252</v>
      </c>
      <c r="M1497" t="s">
        <v>253</v>
      </c>
      <c r="N1497" t="s">
        <v>35</v>
      </c>
      <c r="O1497" t="s">
        <v>26</v>
      </c>
      <c r="P1497" t="s">
        <v>27</v>
      </c>
      <c r="Q1497" t="s">
        <v>28</v>
      </c>
      <c r="R1497" t="s">
        <v>29</v>
      </c>
      <c r="S1497" t="s">
        <v>30</v>
      </c>
      <c r="T1497">
        <v>1033793185</v>
      </c>
      <c r="U1497" t="s">
        <v>3948</v>
      </c>
      <c r="V1497" t="s">
        <v>3937</v>
      </c>
      <c r="W1497" s="9">
        <f>IF(V1497="pregrado",31,
IF(V1497="posgrados",31,
IF(V1497="rEINTEGROS",7,
IF(V1497="BIT",90,
IF(V1497="OP GRADO - INGLÉS",17,"")))))</f>
        <v>31</v>
      </c>
      <c r="X1497" t="s">
        <v>4082</v>
      </c>
    </row>
    <row r="1498" spans="1:24" ht="15" x14ac:dyDescent="0.35">
      <c r="A1498" s="4">
        <v>46073.473437499997</v>
      </c>
      <c r="B1498">
        <v>20125203</v>
      </c>
      <c r="C1498" s="6" t="s">
        <v>19</v>
      </c>
      <c r="D1498">
        <v>169479</v>
      </c>
      <c r="E1498" t="s">
        <v>43</v>
      </c>
      <c r="F1498">
        <v>1012350534</v>
      </c>
      <c r="G1498" t="s">
        <v>3467</v>
      </c>
      <c r="H1498">
        <v>100245798</v>
      </c>
      <c r="I1498">
        <v>202651</v>
      </c>
      <c r="J1498">
        <v>1012350534</v>
      </c>
      <c r="K1498" t="s">
        <v>23</v>
      </c>
      <c r="L1498" t="s">
        <v>252</v>
      </c>
      <c r="M1498" t="s">
        <v>253</v>
      </c>
      <c r="N1498" t="s">
        <v>35</v>
      </c>
      <c r="O1498" t="s">
        <v>26</v>
      </c>
      <c r="P1498" t="s">
        <v>27</v>
      </c>
      <c r="Q1498" t="s">
        <v>28</v>
      </c>
      <c r="R1498" t="s">
        <v>29</v>
      </c>
      <c r="S1498" t="s">
        <v>30</v>
      </c>
      <c r="T1498">
        <v>1015407851</v>
      </c>
      <c r="U1498" t="s">
        <v>3944</v>
      </c>
      <c r="V1498" t="s">
        <v>3934</v>
      </c>
      <c r="W1498" s="9">
        <f>IF(V1498="pregrado",31,
IF(V1498="posgrados",31,
IF(V1498="rEINTEGROS",7,
IF(V1498="BIT",90,
IF(V1498="OP GRADO - INGLÉS",17,"")))))</f>
        <v>31</v>
      </c>
      <c r="X1498" t="s">
        <v>4102</v>
      </c>
    </row>
    <row r="1499" spans="1:24" ht="15" x14ac:dyDescent="0.35">
      <c r="A1499" s="4">
        <v>46069.827476851853</v>
      </c>
      <c r="B1499">
        <v>20123929</v>
      </c>
      <c r="C1499" s="6" t="s">
        <v>19</v>
      </c>
      <c r="D1499">
        <v>169481</v>
      </c>
      <c r="E1499" t="s">
        <v>43</v>
      </c>
      <c r="F1499">
        <v>19233466</v>
      </c>
      <c r="G1499" t="s">
        <v>3272</v>
      </c>
      <c r="H1499">
        <v>100076295</v>
      </c>
      <c r="I1499">
        <v>202651</v>
      </c>
      <c r="J1499">
        <v>52743205</v>
      </c>
      <c r="K1499" t="s">
        <v>46</v>
      </c>
      <c r="L1499" t="s">
        <v>252</v>
      </c>
      <c r="M1499" t="s">
        <v>253</v>
      </c>
      <c r="N1499" t="s">
        <v>35</v>
      </c>
      <c r="O1499" t="s">
        <v>26</v>
      </c>
      <c r="P1499" t="s">
        <v>27</v>
      </c>
      <c r="Q1499" t="s">
        <v>28</v>
      </c>
      <c r="R1499" t="s">
        <v>29</v>
      </c>
      <c r="S1499" t="s">
        <v>30</v>
      </c>
      <c r="T1499">
        <v>1031147887</v>
      </c>
      <c r="U1499" t="s">
        <v>3948</v>
      </c>
      <c r="V1499" t="s">
        <v>3937</v>
      </c>
      <c r="W1499" s="9">
        <f>IF(V1499="pregrado",31,
IF(V1499="posgrados",31,
IF(V1499="rEINTEGROS",7,
IF(V1499="BIT",90,
IF(V1499="OP GRADO - INGLÉS",17,"")))))</f>
        <v>31</v>
      </c>
      <c r="X1499" t="s">
        <v>3947</v>
      </c>
    </row>
    <row r="1500" spans="1:24" ht="15" x14ac:dyDescent="0.35">
      <c r="A1500" s="4">
        <v>46064.675949074073</v>
      </c>
      <c r="B1500">
        <v>20122505</v>
      </c>
      <c r="C1500" s="6" t="s">
        <v>19</v>
      </c>
      <c r="D1500">
        <v>169487</v>
      </c>
      <c r="E1500" t="s">
        <v>43</v>
      </c>
      <c r="F1500">
        <v>1128441952</v>
      </c>
      <c r="G1500" t="s">
        <v>3043</v>
      </c>
      <c r="H1500">
        <v>100245808</v>
      </c>
      <c r="I1500">
        <v>202651</v>
      </c>
      <c r="J1500">
        <v>1128441952</v>
      </c>
      <c r="K1500" t="s">
        <v>23</v>
      </c>
      <c r="L1500" t="s">
        <v>252</v>
      </c>
      <c r="M1500" t="s">
        <v>253</v>
      </c>
      <c r="N1500" t="s">
        <v>35</v>
      </c>
      <c r="O1500" t="s">
        <v>26</v>
      </c>
      <c r="P1500" t="s">
        <v>27</v>
      </c>
      <c r="Q1500" t="s">
        <v>28</v>
      </c>
      <c r="R1500" t="s">
        <v>29</v>
      </c>
      <c r="S1500" t="s">
        <v>30</v>
      </c>
      <c r="T1500">
        <v>1014285873</v>
      </c>
      <c r="U1500" t="s">
        <v>3948</v>
      </c>
      <c r="V1500" t="s">
        <v>3937</v>
      </c>
      <c r="W1500" s="9">
        <f>IF(V1500="pregrado",31,
IF(V1500="posgrados",31,
IF(V1500="rEINTEGROS",7,
IF(V1500="BIT",90,
IF(V1500="OP GRADO - INGLÉS",17,"")))))</f>
        <v>31</v>
      </c>
      <c r="X1500" t="s">
        <v>3953</v>
      </c>
    </row>
    <row r="1501" spans="1:24" ht="15" x14ac:dyDescent="0.35">
      <c r="A1501" s="4">
        <v>46063.496099537035</v>
      </c>
      <c r="B1501">
        <v>20122023</v>
      </c>
      <c r="C1501" s="6" t="s">
        <v>19</v>
      </c>
      <c r="D1501">
        <v>169492</v>
      </c>
      <c r="E1501" t="s">
        <v>43</v>
      </c>
      <c r="F1501">
        <v>1117540798</v>
      </c>
      <c r="G1501" t="s">
        <v>2978</v>
      </c>
      <c r="H1501">
        <v>100245816</v>
      </c>
      <c r="I1501">
        <v>202651</v>
      </c>
      <c r="J1501">
        <v>1117540798</v>
      </c>
      <c r="K1501" t="s">
        <v>23</v>
      </c>
      <c r="L1501" t="s">
        <v>252</v>
      </c>
      <c r="M1501" t="s">
        <v>253</v>
      </c>
      <c r="N1501" t="s">
        <v>35</v>
      </c>
      <c r="O1501" t="s">
        <v>26</v>
      </c>
      <c r="P1501" t="s">
        <v>27</v>
      </c>
      <c r="Q1501" t="s">
        <v>28</v>
      </c>
      <c r="R1501" t="s">
        <v>29</v>
      </c>
      <c r="S1501" t="s">
        <v>30</v>
      </c>
      <c r="T1501">
        <v>1070973852</v>
      </c>
      <c r="U1501" t="s">
        <v>3936</v>
      </c>
      <c r="V1501" t="s">
        <v>3937</v>
      </c>
      <c r="W1501" s="9">
        <f>IF(V1501="pregrado",31,
IF(V1501="posgrados",31,
IF(V1501="rEINTEGROS",7,
IF(V1501="BIT",90,
IF(V1501="OP GRADO - INGLÉS",17,"")))))</f>
        <v>31</v>
      </c>
      <c r="X1501" t="s">
        <v>3957</v>
      </c>
    </row>
    <row r="1502" spans="1:24" ht="15" x14ac:dyDescent="0.35">
      <c r="A1502" s="4">
        <v>46064.405335648145</v>
      </c>
      <c r="B1502">
        <v>20122325</v>
      </c>
      <c r="C1502" s="6" t="s">
        <v>19</v>
      </c>
      <c r="D1502">
        <v>169504</v>
      </c>
      <c r="E1502" t="s">
        <v>43</v>
      </c>
      <c r="F1502">
        <v>40769527</v>
      </c>
      <c r="G1502" t="s">
        <v>3017</v>
      </c>
      <c r="H1502">
        <v>100245841</v>
      </c>
      <c r="I1502">
        <v>202641</v>
      </c>
      <c r="J1502">
        <v>1006514644</v>
      </c>
      <c r="K1502" t="s">
        <v>23</v>
      </c>
      <c r="L1502" t="s">
        <v>72</v>
      </c>
      <c r="M1502" t="s">
        <v>47</v>
      </c>
      <c r="N1502" t="s">
        <v>35</v>
      </c>
      <c r="O1502" t="s">
        <v>26</v>
      </c>
      <c r="P1502" t="s">
        <v>27</v>
      </c>
      <c r="Q1502" t="s">
        <v>28</v>
      </c>
      <c r="R1502" t="s">
        <v>29</v>
      </c>
      <c r="S1502" t="s">
        <v>30</v>
      </c>
      <c r="T1502">
        <v>1022407392</v>
      </c>
      <c r="U1502" t="s">
        <v>3936</v>
      </c>
      <c r="V1502" t="s">
        <v>3937</v>
      </c>
      <c r="W1502" s="9">
        <f>IF(V1502="pregrado",31,
IF(V1502="posgrados",31,
IF(V1502="rEINTEGROS",7,
IF(V1502="BIT",90,
IF(V1502="OP GRADO - INGLÉS",17,"")))))</f>
        <v>31</v>
      </c>
      <c r="X1502" t="s">
        <v>3975</v>
      </c>
    </row>
    <row r="1503" spans="1:24" ht="15" x14ac:dyDescent="0.35">
      <c r="A1503" s="4">
        <v>46063.585798611108</v>
      </c>
      <c r="B1503">
        <v>20122075</v>
      </c>
      <c r="C1503" s="6" t="s">
        <v>19</v>
      </c>
      <c r="D1503">
        <v>169506</v>
      </c>
      <c r="E1503" t="s">
        <v>43</v>
      </c>
      <c r="F1503">
        <v>1069472237</v>
      </c>
      <c r="G1503" t="s">
        <v>2991</v>
      </c>
      <c r="H1503">
        <v>100245844</v>
      </c>
      <c r="I1503">
        <v>202651</v>
      </c>
      <c r="J1503">
        <v>1069472237</v>
      </c>
      <c r="K1503" t="s">
        <v>23</v>
      </c>
      <c r="L1503" t="s">
        <v>252</v>
      </c>
      <c r="M1503" t="s">
        <v>253</v>
      </c>
      <c r="N1503" t="s">
        <v>35</v>
      </c>
      <c r="O1503" t="s">
        <v>26</v>
      </c>
      <c r="P1503" t="s">
        <v>27</v>
      </c>
      <c r="Q1503" t="s">
        <v>28</v>
      </c>
      <c r="R1503" t="s">
        <v>29</v>
      </c>
      <c r="S1503" t="s">
        <v>30</v>
      </c>
      <c r="T1503">
        <v>1033781417</v>
      </c>
      <c r="U1503" t="s">
        <v>3948</v>
      </c>
      <c r="V1503" t="s">
        <v>3937</v>
      </c>
      <c r="W1503" s="9">
        <f>IF(V1503="pregrado",31,
IF(V1503="posgrados",31,
IF(V1503="rEINTEGROS",7,
IF(V1503="BIT",90,
IF(V1503="OP GRADO - INGLÉS",17,"")))))</f>
        <v>31</v>
      </c>
      <c r="X1503" t="s">
        <v>4031</v>
      </c>
    </row>
    <row r="1504" spans="1:24" ht="15" x14ac:dyDescent="0.35">
      <c r="A1504" s="4">
        <v>46064.474594907406</v>
      </c>
      <c r="B1504">
        <v>20122377</v>
      </c>
      <c r="C1504" s="6" t="s">
        <v>19</v>
      </c>
      <c r="D1504">
        <v>169511</v>
      </c>
      <c r="E1504" t="s">
        <v>43</v>
      </c>
      <c r="F1504">
        <v>1052083629</v>
      </c>
      <c r="G1504" t="s">
        <v>3024</v>
      </c>
      <c r="H1504">
        <v>100245847</v>
      </c>
      <c r="I1504">
        <v>202641</v>
      </c>
      <c r="J1504">
        <v>1052083629</v>
      </c>
      <c r="K1504" t="s">
        <v>23</v>
      </c>
      <c r="L1504" t="s">
        <v>279</v>
      </c>
      <c r="M1504" t="s">
        <v>47</v>
      </c>
      <c r="N1504" t="s">
        <v>35</v>
      </c>
      <c r="O1504" t="s">
        <v>26</v>
      </c>
      <c r="P1504" t="s">
        <v>27</v>
      </c>
      <c r="Q1504" t="s">
        <v>28</v>
      </c>
      <c r="R1504" t="s">
        <v>29</v>
      </c>
      <c r="S1504" t="s">
        <v>30</v>
      </c>
      <c r="T1504">
        <v>1012355141</v>
      </c>
      <c r="U1504" t="s">
        <v>3936</v>
      </c>
      <c r="V1504" t="s">
        <v>3937</v>
      </c>
      <c r="W1504" s="9">
        <f>IF(V1504="pregrado",31,
IF(V1504="posgrados",31,
IF(V1504="rEINTEGROS",7,
IF(V1504="BIT",90,
IF(V1504="OP GRADO - INGLÉS",17,"")))))</f>
        <v>31</v>
      </c>
      <c r="X1504" t="s">
        <v>4045</v>
      </c>
    </row>
    <row r="1505" spans="1:24" ht="15" x14ac:dyDescent="0.35">
      <c r="A1505" s="4">
        <v>46069.493564814817</v>
      </c>
      <c r="B1505">
        <v>20123651</v>
      </c>
      <c r="C1505" s="6" t="s">
        <v>19</v>
      </c>
      <c r="D1505">
        <v>169518</v>
      </c>
      <c r="E1505" t="s">
        <v>43</v>
      </c>
      <c r="F1505">
        <v>1143840304</v>
      </c>
      <c r="G1505" t="s">
        <v>3234</v>
      </c>
      <c r="H1505">
        <v>100172383</v>
      </c>
      <c r="I1505">
        <v>202651</v>
      </c>
      <c r="J1505">
        <v>1143840304</v>
      </c>
      <c r="K1505" t="s">
        <v>46</v>
      </c>
      <c r="L1505" t="s">
        <v>542</v>
      </c>
      <c r="M1505" t="s">
        <v>253</v>
      </c>
      <c r="N1505" t="s">
        <v>35</v>
      </c>
      <c r="O1505" t="s">
        <v>26</v>
      </c>
      <c r="P1505" t="s">
        <v>27</v>
      </c>
      <c r="Q1505" t="s">
        <v>28</v>
      </c>
      <c r="R1505" t="s">
        <v>29</v>
      </c>
      <c r="S1505" t="s">
        <v>30</v>
      </c>
      <c r="T1505">
        <v>1015401969</v>
      </c>
      <c r="U1505" t="s">
        <v>3936</v>
      </c>
      <c r="V1505" t="s">
        <v>3937</v>
      </c>
      <c r="W1505" s="9">
        <f>IF(V1505="pregrado",31,
IF(V1505="posgrados",31,
IF(V1505="rEINTEGROS",7,
IF(V1505="BIT",90,
IF(V1505="OP GRADO - INGLÉS",17,"")))))</f>
        <v>31</v>
      </c>
      <c r="X1505" t="s">
        <v>3945</v>
      </c>
    </row>
    <row r="1506" spans="1:24" ht="15" x14ac:dyDescent="0.35">
      <c r="A1506" s="4">
        <v>46063.650659722225</v>
      </c>
      <c r="B1506">
        <v>20122120</v>
      </c>
      <c r="C1506" s="6" t="s">
        <v>19</v>
      </c>
      <c r="D1506">
        <v>169531</v>
      </c>
      <c r="E1506" t="s">
        <v>43</v>
      </c>
      <c r="F1506">
        <v>52715043</v>
      </c>
      <c r="G1506" t="s">
        <v>2998</v>
      </c>
      <c r="H1506">
        <v>100106764</v>
      </c>
      <c r="I1506">
        <v>202641</v>
      </c>
      <c r="J1506">
        <v>52715043</v>
      </c>
      <c r="K1506" t="s">
        <v>89</v>
      </c>
      <c r="L1506" t="s">
        <v>342</v>
      </c>
      <c r="M1506" t="s">
        <v>47</v>
      </c>
      <c r="N1506" t="s">
        <v>35</v>
      </c>
      <c r="O1506" t="s">
        <v>26</v>
      </c>
      <c r="P1506" t="s">
        <v>27</v>
      </c>
      <c r="Q1506" t="s">
        <v>28</v>
      </c>
      <c r="R1506" t="s">
        <v>29</v>
      </c>
      <c r="S1506" t="s">
        <v>30</v>
      </c>
      <c r="T1506">
        <v>1019102787</v>
      </c>
      <c r="U1506" t="s">
        <v>3977</v>
      </c>
      <c r="V1506" t="s">
        <v>3970</v>
      </c>
      <c r="W1506" s="9">
        <f>IF(V1506="pregrado",31,
IF(V1506="posgrados",31,
IF(V1506="rEINTEGROS",7,
IF(V1506="BIT",90,
IF(V1506="OP GRADO - INGLÉS",17,"")))))</f>
        <v>7</v>
      </c>
      <c r="X1506" t="s">
        <v>3976</v>
      </c>
    </row>
    <row r="1507" spans="1:24" ht="15" x14ac:dyDescent="0.35">
      <c r="A1507" s="4">
        <v>46064.342129629629</v>
      </c>
      <c r="B1507">
        <v>20122275</v>
      </c>
      <c r="C1507" s="6" t="s">
        <v>19</v>
      </c>
      <c r="D1507">
        <v>169544</v>
      </c>
      <c r="E1507" t="s">
        <v>43</v>
      </c>
      <c r="F1507">
        <v>17957350</v>
      </c>
      <c r="G1507" t="s">
        <v>3010</v>
      </c>
      <c r="H1507">
        <v>100088674</v>
      </c>
      <c r="I1507">
        <v>202641</v>
      </c>
      <c r="J1507">
        <v>1121299573</v>
      </c>
      <c r="K1507" t="s">
        <v>46</v>
      </c>
      <c r="L1507" t="s">
        <v>45</v>
      </c>
      <c r="M1507" t="s">
        <v>47</v>
      </c>
      <c r="N1507" t="s">
        <v>35</v>
      </c>
      <c r="O1507" t="s">
        <v>26</v>
      </c>
      <c r="P1507" t="s">
        <v>27</v>
      </c>
      <c r="Q1507" t="s">
        <v>28</v>
      </c>
      <c r="R1507" t="s">
        <v>29</v>
      </c>
      <c r="S1507" t="s">
        <v>30</v>
      </c>
      <c r="T1507">
        <v>1033781417</v>
      </c>
      <c r="U1507" t="s">
        <v>3948</v>
      </c>
      <c r="V1507" t="s">
        <v>3937</v>
      </c>
      <c r="W1507" s="9">
        <f>IF(V1507="pregrado",31,
IF(V1507="posgrados",31,
IF(V1507="rEINTEGROS",7,
IF(V1507="BIT",90,
IF(V1507="OP GRADO - INGLÉS",17,"")))))</f>
        <v>31</v>
      </c>
      <c r="X1507" t="s">
        <v>4031</v>
      </c>
    </row>
    <row r="1508" spans="1:24" ht="15" x14ac:dyDescent="0.35">
      <c r="A1508" s="4">
        <v>46065.511701388888</v>
      </c>
      <c r="B1508">
        <v>20122779</v>
      </c>
      <c r="C1508" s="6" t="s">
        <v>19</v>
      </c>
      <c r="D1508">
        <v>169560</v>
      </c>
      <c r="E1508" t="s">
        <v>43</v>
      </c>
      <c r="F1508">
        <v>1094282631</v>
      </c>
      <c r="G1508" t="s">
        <v>3089</v>
      </c>
      <c r="H1508">
        <v>100145719</v>
      </c>
      <c r="I1508">
        <v>202641</v>
      </c>
      <c r="J1508">
        <v>1094282631</v>
      </c>
      <c r="K1508" t="s">
        <v>23</v>
      </c>
      <c r="L1508" t="s">
        <v>45</v>
      </c>
      <c r="M1508" t="s">
        <v>47</v>
      </c>
      <c r="N1508" t="s">
        <v>35</v>
      </c>
      <c r="O1508" t="s">
        <v>26</v>
      </c>
      <c r="P1508" t="s">
        <v>27</v>
      </c>
      <c r="Q1508" t="s">
        <v>28</v>
      </c>
      <c r="R1508" t="s">
        <v>29</v>
      </c>
      <c r="S1508" t="s">
        <v>30</v>
      </c>
      <c r="T1508">
        <v>1015407851</v>
      </c>
      <c r="U1508" t="s">
        <v>3944</v>
      </c>
      <c r="V1508" t="s">
        <v>3934</v>
      </c>
      <c r="W1508" s="9">
        <f>IF(V1508="pregrado",31,
IF(V1508="posgrados",31,
IF(V1508="rEINTEGROS",7,
IF(V1508="BIT",90,
IF(V1508="OP GRADO - INGLÉS",17,"")))))</f>
        <v>31</v>
      </c>
      <c r="X1508" t="s">
        <v>4102</v>
      </c>
    </row>
    <row r="1509" spans="1:24" ht="15" x14ac:dyDescent="0.35">
      <c r="A1509" s="4">
        <v>46065.704641203702</v>
      </c>
      <c r="B1509">
        <v>20122954</v>
      </c>
      <c r="C1509" s="6" t="s">
        <v>19</v>
      </c>
      <c r="D1509">
        <v>169579</v>
      </c>
      <c r="E1509" t="s">
        <v>43</v>
      </c>
      <c r="F1509">
        <v>1061753185</v>
      </c>
      <c r="G1509" t="s">
        <v>3117</v>
      </c>
      <c r="H1509">
        <v>100245937</v>
      </c>
      <c r="I1509">
        <v>202641</v>
      </c>
      <c r="J1509">
        <v>1061753185</v>
      </c>
      <c r="K1509" t="s">
        <v>23</v>
      </c>
      <c r="L1509" t="s">
        <v>279</v>
      </c>
      <c r="M1509" t="s">
        <v>47</v>
      </c>
      <c r="N1509" t="s">
        <v>35</v>
      </c>
      <c r="O1509" t="s">
        <v>26</v>
      </c>
      <c r="P1509" t="s">
        <v>27</v>
      </c>
      <c r="Q1509" t="s">
        <v>28</v>
      </c>
      <c r="R1509" t="s">
        <v>29</v>
      </c>
      <c r="S1509" t="s">
        <v>30</v>
      </c>
      <c r="T1509">
        <v>52965969</v>
      </c>
      <c r="U1509" t="s">
        <v>3936</v>
      </c>
      <c r="V1509" t="s">
        <v>3937</v>
      </c>
      <c r="W1509" s="9">
        <f>IF(V1509="pregrado",31,
IF(V1509="posgrados",31,
IF(V1509="rEINTEGROS",7,
IF(V1509="BIT",90,
IF(V1509="OP GRADO - INGLÉS",17,"")))))</f>
        <v>31</v>
      </c>
      <c r="X1509" t="s">
        <v>3960</v>
      </c>
    </row>
    <row r="1510" spans="1:24" ht="15" x14ac:dyDescent="0.35">
      <c r="A1510" s="4">
        <v>46066.374351851853</v>
      </c>
      <c r="B1510">
        <v>20123054</v>
      </c>
      <c r="C1510" s="6" t="s">
        <v>19</v>
      </c>
      <c r="D1510">
        <v>169581</v>
      </c>
      <c r="E1510" t="s">
        <v>43</v>
      </c>
      <c r="F1510">
        <v>1085246040</v>
      </c>
      <c r="G1510" t="s">
        <v>3138</v>
      </c>
      <c r="H1510">
        <v>200120944</v>
      </c>
      <c r="I1510">
        <v>202641</v>
      </c>
      <c r="J1510">
        <v>1085246040</v>
      </c>
      <c r="K1510" t="s">
        <v>23</v>
      </c>
      <c r="L1510" t="s">
        <v>736</v>
      </c>
      <c r="M1510" t="s">
        <v>47</v>
      </c>
      <c r="N1510" t="s">
        <v>25</v>
      </c>
      <c r="O1510" t="s">
        <v>26</v>
      </c>
      <c r="P1510" t="s">
        <v>27</v>
      </c>
      <c r="Q1510" t="s">
        <v>28</v>
      </c>
      <c r="R1510" t="s">
        <v>29</v>
      </c>
      <c r="S1510" t="s">
        <v>30</v>
      </c>
      <c r="T1510">
        <v>1193146767</v>
      </c>
      <c r="U1510" t="s">
        <v>3936</v>
      </c>
      <c r="V1510" t="s">
        <v>3937</v>
      </c>
      <c r="W1510" s="9">
        <f>IF(V1510="pregrado",31,
IF(V1510="posgrados",31,
IF(V1510="rEINTEGROS",7,
IF(V1510="BIT",90,
IF(V1510="OP GRADO - INGLÉS",17,"")))))</f>
        <v>31</v>
      </c>
      <c r="X1510" t="s">
        <v>4072</v>
      </c>
    </row>
    <row r="1511" spans="1:24" ht="15" x14ac:dyDescent="0.35">
      <c r="A1511" s="4">
        <v>46065.458726851852</v>
      </c>
      <c r="B1511">
        <v>20122725</v>
      </c>
      <c r="C1511" s="6" t="s">
        <v>19</v>
      </c>
      <c r="D1511">
        <v>169584</v>
      </c>
      <c r="E1511" t="s">
        <v>43</v>
      </c>
      <c r="F1511">
        <v>1144141412</v>
      </c>
      <c r="G1511" t="s">
        <v>3077</v>
      </c>
      <c r="H1511">
        <v>100245942</v>
      </c>
      <c r="I1511">
        <v>202641</v>
      </c>
      <c r="J1511">
        <v>1144141412</v>
      </c>
      <c r="K1511" t="s">
        <v>23</v>
      </c>
      <c r="L1511" t="s">
        <v>279</v>
      </c>
      <c r="M1511" t="s">
        <v>47</v>
      </c>
      <c r="N1511" t="s">
        <v>35</v>
      </c>
      <c r="O1511" t="s">
        <v>26</v>
      </c>
      <c r="P1511" t="s">
        <v>27</v>
      </c>
      <c r="Q1511" t="s">
        <v>28</v>
      </c>
      <c r="R1511" t="s">
        <v>29</v>
      </c>
      <c r="S1511" t="s">
        <v>30</v>
      </c>
      <c r="T1511">
        <v>1082250716</v>
      </c>
      <c r="U1511" t="s">
        <v>3936</v>
      </c>
      <c r="V1511" t="s">
        <v>3937</v>
      </c>
      <c r="W1511" s="9">
        <f>IF(V1511="pregrado",31,
IF(V1511="posgrados",31,
IF(V1511="rEINTEGROS",7,
IF(V1511="BIT",90,
IF(V1511="OP GRADO - INGLÉS",17,"")))))</f>
        <v>31</v>
      </c>
      <c r="X1511" t="s">
        <v>3997</v>
      </c>
    </row>
    <row r="1512" spans="1:24" ht="15" x14ac:dyDescent="0.35">
      <c r="A1512" s="4">
        <v>46076.654641203706</v>
      </c>
      <c r="B1512">
        <v>20125736</v>
      </c>
      <c r="C1512" s="6" t="s">
        <v>19</v>
      </c>
      <c r="D1512">
        <v>169585</v>
      </c>
      <c r="E1512" t="s">
        <v>43</v>
      </c>
      <c r="F1512">
        <v>1077437578</v>
      </c>
      <c r="G1512" t="s">
        <v>3553</v>
      </c>
      <c r="H1512">
        <v>100200859</v>
      </c>
      <c r="I1512">
        <v>202651</v>
      </c>
      <c r="J1512">
        <v>1077437578</v>
      </c>
      <c r="K1512" t="s">
        <v>46</v>
      </c>
      <c r="L1512" t="s">
        <v>252</v>
      </c>
      <c r="M1512" t="s">
        <v>253</v>
      </c>
      <c r="N1512" t="s">
        <v>35</v>
      </c>
      <c r="O1512" t="s">
        <v>26</v>
      </c>
      <c r="P1512" t="s">
        <v>27</v>
      </c>
      <c r="Q1512" t="s">
        <v>28</v>
      </c>
      <c r="R1512" t="s">
        <v>29</v>
      </c>
      <c r="S1512" t="s">
        <v>30</v>
      </c>
      <c r="T1512">
        <v>1033784244</v>
      </c>
      <c r="U1512" t="s">
        <v>3948</v>
      </c>
      <c r="V1512" t="s">
        <v>3937</v>
      </c>
      <c r="W1512" s="9">
        <f>IF(V1512="pregrado",31,
IF(V1512="posgrados",31,
IF(V1512="rEINTEGROS",7,
IF(V1512="BIT",90,
IF(V1512="OP GRADO - INGLÉS",17,"")))))</f>
        <v>31</v>
      </c>
      <c r="X1512" t="s">
        <v>4067</v>
      </c>
    </row>
    <row r="1513" spans="1:24" ht="15" x14ac:dyDescent="0.35">
      <c r="A1513" s="4">
        <v>46065.795243055552</v>
      </c>
      <c r="B1513">
        <v>20123011</v>
      </c>
      <c r="C1513" s="6" t="s">
        <v>19</v>
      </c>
      <c r="D1513">
        <v>169589</v>
      </c>
      <c r="E1513" t="s">
        <v>43</v>
      </c>
      <c r="F1513">
        <v>1077445918</v>
      </c>
      <c r="G1513" t="s">
        <v>3128</v>
      </c>
      <c r="H1513">
        <v>100245949</v>
      </c>
      <c r="I1513">
        <v>202651</v>
      </c>
      <c r="J1513">
        <v>1077445918</v>
      </c>
      <c r="K1513" t="s">
        <v>23</v>
      </c>
      <c r="L1513" t="s">
        <v>252</v>
      </c>
      <c r="M1513" t="s">
        <v>253</v>
      </c>
      <c r="N1513" t="s">
        <v>35</v>
      </c>
      <c r="O1513" t="s">
        <v>26</v>
      </c>
      <c r="P1513" t="s">
        <v>27</v>
      </c>
      <c r="Q1513" t="s">
        <v>28</v>
      </c>
      <c r="R1513" t="s">
        <v>29</v>
      </c>
      <c r="S1513" t="s">
        <v>30</v>
      </c>
      <c r="T1513">
        <v>1012389748</v>
      </c>
      <c r="U1513" t="s">
        <v>3948</v>
      </c>
      <c r="V1513" t="s">
        <v>3937</v>
      </c>
      <c r="W1513" s="9">
        <f>IF(V1513="pregrado",31,
IF(V1513="posgrados",31,
IF(V1513="rEINTEGROS",7,
IF(V1513="BIT",90,
IF(V1513="OP GRADO - INGLÉS",17,"")))))</f>
        <v>31</v>
      </c>
      <c r="X1513" t="s">
        <v>4065</v>
      </c>
    </row>
    <row r="1514" spans="1:24" ht="15" x14ac:dyDescent="0.35">
      <c r="A1514" s="4">
        <v>46065.824537037035</v>
      </c>
      <c r="B1514">
        <v>20123018</v>
      </c>
      <c r="C1514" s="6" t="s">
        <v>19</v>
      </c>
      <c r="D1514">
        <v>169592</v>
      </c>
      <c r="E1514" t="s">
        <v>43</v>
      </c>
      <c r="F1514">
        <v>1053794695</v>
      </c>
      <c r="G1514" t="s">
        <v>3130</v>
      </c>
      <c r="H1514">
        <v>100245951</v>
      </c>
      <c r="I1514">
        <v>202651</v>
      </c>
      <c r="J1514">
        <v>1053794695</v>
      </c>
      <c r="K1514" t="s">
        <v>23</v>
      </c>
      <c r="L1514" t="s">
        <v>252</v>
      </c>
      <c r="M1514" t="s">
        <v>253</v>
      </c>
      <c r="N1514" t="s">
        <v>35</v>
      </c>
      <c r="O1514" t="s">
        <v>26</v>
      </c>
      <c r="P1514" t="s">
        <v>27</v>
      </c>
      <c r="Q1514" t="s">
        <v>28</v>
      </c>
      <c r="R1514" t="s">
        <v>29</v>
      </c>
      <c r="S1514" t="s">
        <v>30</v>
      </c>
      <c r="T1514">
        <v>1140420282</v>
      </c>
      <c r="U1514" t="s">
        <v>3948</v>
      </c>
      <c r="V1514" t="s">
        <v>3937</v>
      </c>
      <c r="W1514" s="9">
        <f>IF(V1514="pregrado",31,
IF(V1514="posgrados",31,
IF(V1514="rEINTEGROS",7,
IF(V1514="BIT",90,
IF(V1514="OP GRADO - INGLÉS",17,"")))))</f>
        <v>31</v>
      </c>
      <c r="X1514" t="s">
        <v>3972</v>
      </c>
    </row>
    <row r="1515" spans="1:24" ht="15" x14ac:dyDescent="0.35">
      <c r="A1515" s="4">
        <v>46066.632615740738</v>
      </c>
      <c r="B1515">
        <v>20123242</v>
      </c>
      <c r="C1515" s="6" t="s">
        <v>19</v>
      </c>
      <c r="D1515">
        <v>169605</v>
      </c>
      <c r="E1515" t="s">
        <v>43</v>
      </c>
      <c r="F1515">
        <v>1120583166</v>
      </c>
      <c r="G1515" t="s">
        <v>3172</v>
      </c>
      <c r="H1515">
        <v>100245966</v>
      </c>
      <c r="I1515">
        <v>202651</v>
      </c>
      <c r="J1515">
        <v>31037301</v>
      </c>
      <c r="K1515" t="s">
        <v>23</v>
      </c>
      <c r="L1515" t="s">
        <v>252</v>
      </c>
      <c r="M1515" t="s">
        <v>253</v>
      </c>
      <c r="N1515" t="s">
        <v>35</v>
      </c>
      <c r="O1515" t="s">
        <v>26</v>
      </c>
      <c r="P1515" t="s">
        <v>27</v>
      </c>
      <c r="Q1515" t="s">
        <v>28</v>
      </c>
      <c r="R1515" t="s">
        <v>29</v>
      </c>
      <c r="S1515" t="s">
        <v>30</v>
      </c>
      <c r="T1515">
        <v>52032666</v>
      </c>
      <c r="U1515" t="s">
        <v>3948</v>
      </c>
      <c r="V1515" t="s">
        <v>3937</v>
      </c>
      <c r="W1515" s="9">
        <f>IF(V1515="pregrado",31,
IF(V1515="posgrados",31,
IF(V1515="rEINTEGROS",7,
IF(V1515="BIT",90,
IF(V1515="OP GRADO - INGLÉS",17,"")))))</f>
        <v>31</v>
      </c>
      <c r="X1515" t="s">
        <v>3983</v>
      </c>
    </row>
    <row r="1516" spans="1:24" ht="15" x14ac:dyDescent="0.35">
      <c r="A1516" s="4">
        <v>46064.681689814817</v>
      </c>
      <c r="B1516">
        <v>20122512</v>
      </c>
      <c r="C1516" s="6" t="s">
        <v>19</v>
      </c>
      <c r="D1516">
        <v>169606</v>
      </c>
      <c r="E1516" t="s">
        <v>43</v>
      </c>
      <c r="F1516">
        <v>1050067803</v>
      </c>
      <c r="G1516" t="s">
        <v>3045</v>
      </c>
      <c r="H1516">
        <v>100245543</v>
      </c>
      <c r="I1516">
        <v>202641</v>
      </c>
      <c r="J1516">
        <v>1050064521</v>
      </c>
      <c r="K1516" t="s">
        <v>23</v>
      </c>
      <c r="L1516" t="s">
        <v>279</v>
      </c>
      <c r="M1516" t="s">
        <v>47</v>
      </c>
      <c r="N1516" t="s">
        <v>35</v>
      </c>
      <c r="O1516" t="s">
        <v>26</v>
      </c>
      <c r="P1516" t="s">
        <v>27</v>
      </c>
      <c r="Q1516" t="s">
        <v>28</v>
      </c>
      <c r="R1516" t="s">
        <v>29</v>
      </c>
      <c r="S1516" t="s">
        <v>30</v>
      </c>
      <c r="T1516">
        <v>1022407392</v>
      </c>
      <c r="U1516" t="s">
        <v>3936</v>
      </c>
      <c r="V1516" t="s">
        <v>3937</v>
      </c>
      <c r="W1516" s="9">
        <f>IF(V1516="pregrado",31,
IF(V1516="posgrados",31,
IF(V1516="rEINTEGROS",7,
IF(V1516="BIT",90,
IF(V1516="OP GRADO - INGLÉS",17,"")))))</f>
        <v>31</v>
      </c>
      <c r="X1516" t="s">
        <v>3975</v>
      </c>
    </row>
    <row r="1517" spans="1:24" ht="15" x14ac:dyDescent="0.35">
      <c r="A1517" s="4">
        <v>46064.675671296296</v>
      </c>
      <c r="B1517">
        <v>20122504</v>
      </c>
      <c r="C1517" s="6" t="s">
        <v>19</v>
      </c>
      <c r="D1517">
        <v>169607</v>
      </c>
      <c r="E1517" t="s">
        <v>43</v>
      </c>
      <c r="F1517">
        <v>1003373576</v>
      </c>
      <c r="G1517" t="s">
        <v>3042</v>
      </c>
      <c r="H1517">
        <v>100245970</v>
      </c>
      <c r="I1517">
        <v>202651</v>
      </c>
      <c r="J1517">
        <v>25733701</v>
      </c>
      <c r="K1517" t="s">
        <v>23</v>
      </c>
      <c r="L1517" t="s">
        <v>252</v>
      </c>
      <c r="M1517" t="s">
        <v>253</v>
      </c>
      <c r="N1517" t="s">
        <v>35</v>
      </c>
      <c r="O1517" t="s">
        <v>26</v>
      </c>
      <c r="P1517" t="s">
        <v>27</v>
      </c>
      <c r="Q1517" t="s">
        <v>28</v>
      </c>
      <c r="R1517" t="s">
        <v>29</v>
      </c>
      <c r="S1517" t="s">
        <v>30</v>
      </c>
      <c r="T1517">
        <v>1014285873</v>
      </c>
      <c r="U1517" t="s">
        <v>3948</v>
      </c>
      <c r="V1517" t="s">
        <v>3937</v>
      </c>
      <c r="W1517" s="9">
        <f>IF(V1517="pregrado",31,
IF(V1517="posgrados",31,
IF(V1517="rEINTEGROS",7,
IF(V1517="BIT",90,
IF(V1517="OP GRADO - INGLÉS",17,"")))))</f>
        <v>31</v>
      </c>
      <c r="X1517" t="s">
        <v>3953</v>
      </c>
    </row>
    <row r="1518" spans="1:24" ht="15" x14ac:dyDescent="0.35">
      <c r="A1518" s="4">
        <v>46066.604803240742</v>
      </c>
      <c r="B1518">
        <v>20123221</v>
      </c>
      <c r="C1518" s="6" t="s">
        <v>19</v>
      </c>
      <c r="D1518">
        <v>169614</v>
      </c>
      <c r="E1518" t="s">
        <v>43</v>
      </c>
      <c r="F1518">
        <v>1058787828</v>
      </c>
      <c r="G1518" t="s">
        <v>3171</v>
      </c>
      <c r="H1518">
        <v>100038367</v>
      </c>
      <c r="I1518">
        <v>202651</v>
      </c>
      <c r="J1518">
        <v>1058787828</v>
      </c>
      <c r="K1518" t="s">
        <v>23</v>
      </c>
      <c r="L1518" t="s">
        <v>252</v>
      </c>
      <c r="M1518" t="s">
        <v>253</v>
      </c>
      <c r="N1518" t="s">
        <v>35</v>
      </c>
      <c r="O1518" t="s">
        <v>26</v>
      </c>
      <c r="P1518" t="s">
        <v>27</v>
      </c>
      <c r="Q1518" t="s">
        <v>28</v>
      </c>
      <c r="R1518" t="s">
        <v>29</v>
      </c>
      <c r="S1518" t="s">
        <v>30</v>
      </c>
      <c r="T1518">
        <v>52916205</v>
      </c>
      <c r="U1518" t="s">
        <v>3936</v>
      </c>
      <c r="V1518" t="s">
        <v>3937</v>
      </c>
      <c r="W1518" s="9">
        <f>IF(V1518="pregrado",31,
IF(V1518="posgrados",31,
IF(V1518="rEINTEGROS",7,
IF(V1518="BIT",90,
IF(V1518="OP GRADO - INGLÉS",17,"")))))</f>
        <v>31</v>
      </c>
      <c r="X1518" t="s">
        <v>4032</v>
      </c>
    </row>
    <row r="1519" spans="1:24" ht="15" x14ac:dyDescent="0.35">
      <c r="A1519" s="4">
        <v>46069.454074074078</v>
      </c>
      <c r="B1519">
        <v>20123622</v>
      </c>
      <c r="C1519" s="6" t="s">
        <v>19</v>
      </c>
      <c r="D1519">
        <v>169615</v>
      </c>
      <c r="E1519" t="s">
        <v>43</v>
      </c>
      <c r="F1519">
        <v>1093886848</v>
      </c>
      <c r="G1519" t="s">
        <v>3229</v>
      </c>
      <c r="H1519">
        <v>100245979</v>
      </c>
      <c r="I1519">
        <v>202641</v>
      </c>
      <c r="J1519">
        <v>1093886848</v>
      </c>
      <c r="K1519" t="s">
        <v>23</v>
      </c>
      <c r="L1519" t="s">
        <v>160</v>
      </c>
      <c r="M1519" t="s">
        <v>47</v>
      </c>
      <c r="N1519" t="s">
        <v>35</v>
      </c>
      <c r="O1519" t="s">
        <v>26</v>
      </c>
      <c r="P1519" t="s">
        <v>27</v>
      </c>
      <c r="Q1519" t="s">
        <v>28</v>
      </c>
      <c r="R1519" t="s">
        <v>29</v>
      </c>
      <c r="S1519" t="s">
        <v>30</v>
      </c>
      <c r="T1519">
        <v>1026262709</v>
      </c>
      <c r="U1519" t="s">
        <v>3936</v>
      </c>
      <c r="V1519" t="s">
        <v>3937</v>
      </c>
      <c r="W1519" s="9">
        <f>IF(V1519="pregrado",31,
IF(V1519="posgrados",31,
IF(V1519="rEINTEGROS",7,
IF(V1519="BIT",90,
IF(V1519="OP GRADO - INGLÉS",17,"")))))</f>
        <v>31</v>
      </c>
      <c r="X1519" t="s">
        <v>4037</v>
      </c>
    </row>
    <row r="1520" spans="1:24" ht="15" x14ac:dyDescent="0.35">
      <c r="A1520" s="4">
        <v>46064.473819444444</v>
      </c>
      <c r="B1520">
        <v>20122376</v>
      </c>
      <c r="C1520" s="6" t="s">
        <v>19</v>
      </c>
      <c r="D1520">
        <v>169616</v>
      </c>
      <c r="E1520" t="s">
        <v>43</v>
      </c>
      <c r="F1520">
        <v>1007403739</v>
      </c>
      <c r="G1520" t="s">
        <v>3023</v>
      </c>
      <c r="H1520">
        <v>100204705</v>
      </c>
      <c r="I1520">
        <v>202641</v>
      </c>
      <c r="J1520">
        <v>1007403739</v>
      </c>
      <c r="K1520" t="s">
        <v>89</v>
      </c>
      <c r="L1520" t="s">
        <v>342</v>
      </c>
      <c r="M1520" t="s">
        <v>47</v>
      </c>
      <c r="N1520" t="s">
        <v>35</v>
      </c>
      <c r="O1520" t="s">
        <v>26</v>
      </c>
      <c r="P1520" t="s">
        <v>27</v>
      </c>
      <c r="Q1520" t="s">
        <v>28</v>
      </c>
      <c r="R1520" t="s">
        <v>29</v>
      </c>
      <c r="S1520" t="s">
        <v>30</v>
      </c>
      <c r="T1520">
        <v>1019102787</v>
      </c>
      <c r="U1520" t="s">
        <v>3977</v>
      </c>
      <c r="V1520" t="s">
        <v>3970</v>
      </c>
      <c r="W1520" s="9">
        <f>IF(V1520="pregrado",31,
IF(V1520="posgrados",31,
IF(V1520="rEINTEGROS",7,
IF(V1520="BIT",90,
IF(V1520="OP GRADO - INGLÉS",17,"")))))</f>
        <v>7</v>
      </c>
      <c r="X1520" t="s">
        <v>3976</v>
      </c>
    </row>
    <row r="1521" spans="1:24" ht="15" x14ac:dyDescent="0.35">
      <c r="A1521" s="4">
        <v>46079.495925925927</v>
      </c>
      <c r="B1521">
        <v>20126506</v>
      </c>
      <c r="C1521" s="6" t="s">
        <v>19</v>
      </c>
      <c r="D1521">
        <v>169619</v>
      </c>
      <c r="E1521" t="s">
        <v>43</v>
      </c>
      <c r="F1521">
        <v>25787876</v>
      </c>
      <c r="G1521" t="s">
        <v>3661</v>
      </c>
      <c r="H1521">
        <v>100163638</v>
      </c>
      <c r="I1521">
        <v>202641</v>
      </c>
      <c r="J1521">
        <v>25787876</v>
      </c>
      <c r="K1521" t="s">
        <v>46</v>
      </c>
      <c r="L1521" t="s">
        <v>45</v>
      </c>
      <c r="M1521" t="s">
        <v>47</v>
      </c>
      <c r="N1521" t="s">
        <v>35</v>
      </c>
      <c r="O1521" t="s">
        <v>26</v>
      </c>
      <c r="P1521" t="s">
        <v>27</v>
      </c>
      <c r="Q1521" t="s">
        <v>28</v>
      </c>
      <c r="R1521" t="s">
        <v>29</v>
      </c>
      <c r="S1521" t="s">
        <v>30</v>
      </c>
      <c r="T1521">
        <v>1140420282</v>
      </c>
      <c r="U1521" t="s">
        <v>3948</v>
      </c>
      <c r="V1521" t="s">
        <v>3937</v>
      </c>
      <c r="W1521" s="9">
        <f>IF(V1521="pregrado",31,
IF(V1521="posgrados",31,
IF(V1521="rEINTEGROS",7,
IF(V1521="BIT",90,
IF(V1521="OP GRADO - INGLÉS",17,"")))))</f>
        <v>31</v>
      </c>
      <c r="X1521" t="s">
        <v>3972</v>
      </c>
    </row>
    <row r="1522" spans="1:24" ht="15" x14ac:dyDescent="0.35">
      <c r="A1522" s="4">
        <v>46065.803310185183</v>
      </c>
      <c r="B1522">
        <v>20123014</v>
      </c>
      <c r="C1522" s="6" t="s">
        <v>19</v>
      </c>
      <c r="D1522">
        <v>169632</v>
      </c>
      <c r="E1522" t="s">
        <v>43</v>
      </c>
      <c r="F1522">
        <v>22537364</v>
      </c>
      <c r="G1522" t="s">
        <v>3129</v>
      </c>
      <c r="H1522">
        <v>100246002</v>
      </c>
      <c r="I1522">
        <v>202651</v>
      </c>
      <c r="J1522">
        <v>1129501034</v>
      </c>
      <c r="K1522" t="s">
        <v>23</v>
      </c>
      <c r="L1522" t="s">
        <v>252</v>
      </c>
      <c r="M1522" t="s">
        <v>253</v>
      </c>
      <c r="N1522" t="s">
        <v>35</v>
      </c>
      <c r="O1522" t="s">
        <v>26</v>
      </c>
      <c r="P1522" t="s">
        <v>27</v>
      </c>
      <c r="Q1522" t="s">
        <v>28</v>
      </c>
      <c r="R1522" t="s">
        <v>29</v>
      </c>
      <c r="S1522" t="s">
        <v>30</v>
      </c>
      <c r="T1522">
        <v>1233513889</v>
      </c>
      <c r="U1522" t="s">
        <v>3948</v>
      </c>
      <c r="V1522" t="s">
        <v>3937</v>
      </c>
      <c r="W1522" s="9">
        <f>IF(V1522="pregrado",31,
IF(V1522="posgrados",31,
IF(V1522="rEINTEGROS",7,
IF(V1522="BIT",90,
IF(V1522="OP GRADO - INGLÉS",17,"")))))</f>
        <v>31</v>
      </c>
      <c r="X1522" t="s">
        <v>4035</v>
      </c>
    </row>
    <row r="1523" spans="1:24" ht="15" x14ac:dyDescent="0.35">
      <c r="A1523" s="4">
        <v>46065.685173611113</v>
      </c>
      <c r="B1523">
        <v>20122933</v>
      </c>
      <c r="C1523" s="6" t="s">
        <v>19</v>
      </c>
      <c r="D1523">
        <v>169642</v>
      </c>
      <c r="E1523" t="s">
        <v>43</v>
      </c>
      <c r="F1523">
        <v>1001330220</v>
      </c>
      <c r="G1523" t="s">
        <v>3113</v>
      </c>
      <c r="H1523">
        <v>100080251</v>
      </c>
      <c r="I1523">
        <v>202641</v>
      </c>
      <c r="J1523">
        <v>1001330220</v>
      </c>
      <c r="K1523" t="s">
        <v>74</v>
      </c>
      <c r="L1523" t="s">
        <v>59</v>
      </c>
      <c r="M1523" t="s">
        <v>47</v>
      </c>
      <c r="N1523" t="s">
        <v>35</v>
      </c>
      <c r="O1523" t="s">
        <v>26</v>
      </c>
      <c r="P1523" t="s">
        <v>27</v>
      </c>
      <c r="Q1523" t="s">
        <v>28</v>
      </c>
      <c r="R1523" t="s">
        <v>29</v>
      </c>
      <c r="S1523" t="s">
        <v>30</v>
      </c>
      <c r="T1523">
        <v>1015401969</v>
      </c>
      <c r="U1523" t="s">
        <v>3936</v>
      </c>
      <c r="V1523" t="s">
        <v>3937</v>
      </c>
      <c r="W1523" s="9">
        <f>IF(V1523="pregrado",31,
IF(V1523="posgrados",31,
IF(V1523="rEINTEGROS",7,
IF(V1523="BIT",90,
IF(V1523="OP GRADO - INGLÉS",17,"")))))</f>
        <v>31</v>
      </c>
      <c r="X1523" t="s">
        <v>3945</v>
      </c>
    </row>
    <row r="1524" spans="1:24" ht="15" x14ac:dyDescent="0.35">
      <c r="A1524" s="4">
        <v>46071.727685185186</v>
      </c>
      <c r="B1524">
        <v>20124621</v>
      </c>
      <c r="C1524" s="6" t="s">
        <v>19</v>
      </c>
      <c r="D1524">
        <v>169649</v>
      </c>
      <c r="E1524" t="s">
        <v>43</v>
      </c>
      <c r="F1524">
        <v>1122396309</v>
      </c>
      <c r="G1524" t="s">
        <v>3377</v>
      </c>
      <c r="H1524">
        <v>100246034</v>
      </c>
      <c r="I1524">
        <v>202651</v>
      </c>
      <c r="J1524">
        <v>1122398737</v>
      </c>
      <c r="K1524" t="s">
        <v>23</v>
      </c>
      <c r="L1524" t="s">
        <v>252</v>
      </c>
      <c r="M1524" t="s">
        <v>253</v>
      </c>
      <c r="N1524" t="s">
        <v>35</v>
      </c>
      <c r="O1524" t="s">
        <v>26</v>
      </c>
      <c r="P1524" t="s">
        <v>27</v>
      </c>
      <c r="Q1524" t="s">
        <v>28</v>
      </c>
      <c r="R1524" t="s">
        <v>29</v>
      </c>
      <c r="S1524" t="s">
        <v>30</v>
      </c>
      <c r="T1524">
        <v>1014285873</v>
      </c>
      <c r="U1524" t="s">
        <v>3948</v>
      </c>
      <c r="V1524" t="s">
        <v>3937</v>
      </c>
      <c r="W1524" s="9">
        <f>IF(V1524="pregrado",31,
IF(V1524="posgrados",31,
IF(V1524="rEINTEGROS",7,
IF(V1524="BIT",90,
IF(V1524="OP GRADO - INGLÉS",17,"")))))</f>
        <v>31</v>
      </c>
      <c r="X1524" t="s">
        <v>3953</v>
      </c>
    </row>
    <row r="1525" spans="1:24" ht="15" x14ac:dyDescent="0.35">
      <c r="A1525" s="4">
        <v>46065.399895833332</v>
      </c>
      <c r="B1525">
        <v>20122689</v>
      </c>
      <c r="C1525" s="6" t="s">
        <v>19</v>
      </c>
      <c r="D1525">
        <v>169658</v>
      </c>
      <c r="E1525" t="s">
        <v>43</v>
      </c>
      <c r="F1525">
        <v>1233191010</v>
      </c>
      <c r="G1525" t="s">
        <v>3072</v>
      </c>
      <c r="H1525">
        <v>100246047</v>
      </c>
      <c r="I1525">
        <v>202641</v>
      </c>
      <c r="J1525">
        <v>1233191010</v>
      </c>
      <c r="K1525" t="s">
        <v>23</v>
      </c>
      <c r="L1525" t="s">
        <v>294</v>
      </c>
      <c r="M1525" t="s">
        <v>47</v>
      </c>
      <c r="N1525" t="s">
        <v>35</v>
      </c>
      <c r="O1525" t="s">
        <v>26</v>
      </c>
      <c r="P1525" t="s">
        <v>27</v>
      </c>
      <c r="Q1525" t="s">
        <v>28</v>
      </c>
      <c r="R1525" t="s">
        <v>29</v>
      </c>
      <c r="S1525" t="s">
        <v>30</v>
      </c>
      <c r="T1525">
        <v>1022407392</v>
      </c>
      <c r="U1525" t="s">
        <v>3936</v>
      </c>
      <c r="V1525" t="s">
        <v>3937</v>
      </c>
      <c r="W1525" s="9">
        <f>IF(V1525="pregrado",31,
IF(V1525="posgrados",31,
IF(V1525="rEINTEGROS",7,
IF(V1525="BIT",90,
IF(V1525="OP GRADO - INGLÉS",17,"")))))</f>
        <v>31</v>
      </c>
      <c r="X1525" t="s">
        <v>3975</v>
      </c>
    </row>
    <row r="1526" spans="1:24" ht="15" x14ac:dyDescent="0.35">
      <c r="A1526" s="4">
        <v>46066.369606481479</v>
      </c>
      <c r="B1526">
        <v>20123053</v>
      </c>
      <c r="C1526" s="6" t="s">
        <v>19</v>
      </c>
      <c r="D1526">
        <v>169663</v>
      </c>
      <c r="E1526" t="s">
        <v>43</v>
      </c>
      <c r="F1526">
        <v>1069494905</v>
      </c>
      <c r="G1526" t="s">
        <v>3137</v>
      </c>
      <c r="H1526">
        <v>100246054</v>
      </c>
      <c r="I1526">
        <v>202641</v>
      </c>
      <c r="J1526">
        <v>1069494905</v>
      </c>
      <c r="K1526" t="s">
        <v>23</v>
      </c>
      <c r="L1526" t="s">
        <v>99</v>
      </c>
      <c r="M1526" t="s">
        <v>47</v>
      </c>
      <c r="N1526" t="s">
        <v>35</v>
      </c>
      <c r="O1526" t="s">
        <v>26</v>
      </c>
      <c r="P1526" t="s">
        <v>27</v>
      </c>
      <c r="Q1526" t="s">
        <v>28</v>
      </c>
      <c r="R1526" t="s">
        <v>29</v>
      </c>
      <c r="S1526" t="s">
        <v>30</v>
      </c>
      <c r="T1526">
        <v>1000120140</v>
      </c>
      <c r="U1526" t="s">
        <v>3936</v>
      </c>
      <c r="V1526" t="s">
        <v>3937</v>
      </c>
      <c r="W1526" s="9">
        <f>IF(V1526="pregrado",31,
IF(V1526="posgrados",31,
IF(V1526="rEINTEGROS",7,
IF(V1526="BIT",90,
IF(V1526="OP GRADO - INGLÉS",17,"")))))</f>
        <v>31</v>
      </c>
      <c r="X1526" t="s">
        <v>3935</v>
      </c>
    </row>
    <row r="1527" spans="1:24" ht="15" x14ac:dyDescent="0.35">
      <c r="A1527" s="4">
        <v>46066.348020833335</v>
      </c>
      <c r="B1527">
        <v>20123044</v>
      </c>
      <c r="C1527" s="6" t="s">
        <v>19</v>
      </c>
      <c r="D1527">
        <v>169665</v>
      </c>
      <c r="E1527" t="s">
        <v>43</v>
      </c>
      <c r="F1527">
        <v>1129534849</v>
      </c>
      <c r="G1527" t="s">
        <v>3135</v>
      </c>
      <c r="H1527">
        <v>100245776</v>
      </c>
      <c r="I1527">
        <v>202641</v>
      </c>
      <c r="J1527">
        <v>1129534849</v>
      </c>
      <c r="K1527" t="s">
        <v>23</v>
      </c>
      <c r="L1527" t="s">
        <v>160</v>
      </c>
      <c r="M1527" t="s">
        <v>47</v>
      </c>
      <c r="N1527" t="s">
        <v>35</v>
      </c>
      <c r="O1527" t="s">
        <v>26</v>
      </c>
      <c r="P1527" t="s">
        <v>27</v>
      </c>
      <c r="Q1527" t="s">
        <v>28</v>
      </c>
      <c r="R1527" t="s">
        <v>29</v>
      </c>
      <c r="S1527" t="s">
        <v>30</v>
      </c>
      <c r="T1527">
        <v>1233888787</v>
      </c>
      <c r="U1527" t="s">
        <v>3936</v>
      </c>
      <c r="V1527" t="s">
        <v>3937</v>
      </c>
      <c r="W1527" s="9">
        <f>IF(V1527="pregrado",31,
IF(V1527="posgrados",31,
IF(V1527="rEINTEGROS",7,
IF(V1527="BIT",90,
IF(V1527="OP GRADO - INGLÉS",17,"")))))</f>
        <v>31</v>
      </c>
      <c r="X1527" t="s">
        <v>3998</v>
      </c>
    </row>
    <row r="1528" spans="1:24" ht="15" x14ac:dyDescent="0.35">
      <c r="A1528" s="4">
        <v>46065.577233796299</v>
      </c>
      <c r="B1528">
        <v>20122836</v>
      </c>
      <c r="C1528" s="6" t="s">
        <v>19</v>
      </c>
      <c r="D1528">
        <v>169668</v>
      </c>
      <c r="E1528" t="s">
        <v>43</v>
      </c>
      <c r="F1528">
        <v>1049613135</v>
      </c>
      <c r="G1528" t="s">
        <v>3102</v>
      </c>
      <c r="H1528">
        <v>100093913</v>
      </c>
      <c r="I1528">
        <v>202641</v>
      </c>
      <c r="J1528">
        <v>1049613135</v>
      </c>
      <c r="K1528" t="s">
        <v>23</v>
      </c>
      <c r="L1528" t="s">
        <v>59</v>
      </c>
      <c r="M1528" t="s">
        <v>47</v>
      </c>
      <c r="N1528" t="s">
        <v>35</v>
      </c>
      <c r="O1528" t="s">
        <v>26</v>
      </c>
      <c r="P1528" t="s">
        <v>27</v>
      </c>
      <c r="Q1528" t="s">
        <v>28</v>
      </c>
      <c r="R1528" t="s">
        <v>29</v>
      </c>
      <c r="S1528" t="s">
        <v>30</v>
      </c>
      <c r="T1528">
        <v>1032406382</v>
      </c>
      <c r="U1528" t="s">
        <v>3936</v>
      </c>
      <c r="V1528" t="s">
        <v>3937</v>
      </c>
      <c r="W1528" s="9">
        <f>IF(V1528="pregrado",31,
IF(V1528="posgrados",31,
IF(V1528="rEINTEGROS",7,
IF(V1528="BIT",90,
IF(V1528="OP GRADO - INGLÉS",17,"")))))</f>
        <v>31</v>
      </c>
      <c r="X1528" t="s">
        <v>3991</v>
      </c>
    </row>
    <row r="1529" spans="1:24" ht="15" x14ac:dyDescent="0.35">
      <c r="A1529" s="4">
        <v>46065.386111111111</v>
      </c>
      <c r="B1529">
        <v>20122672</v>
      </c>
      <c r="C1529" s="6" t="s">
        <v>19</v>
      </c>
      <c r="D1529">
        <v>169669</v>
      </c>
      <c r="E1529" t="s">
        <v>43</v>
      </c>
      <c r="F1529">
        <v>1000157982</v>
      </c>
      <c r="G1529" t="s">
        <v>3071</v>
      </c>
      <c r="H1529">
        <v>100099726</v>
      </c>
      <c r="I1529">
        <v>202641</v>
      </c>
      <c r="J1529">
        <v>1000157982</v>
      </c>
      <c r="K1529" t="s">
        <v>74</v>
      </c>
      <c r="L1529" t="s">
        <v>59</v>
      </c>
      <c r="M1529" t="s">
        <v>47</v>
      </c>
      <c r="N1529" t="s">
        <v>35</v>
      </c>
      <c r="O1529" t="s">
        <v>26</v>
      </c>
      <c r="P1529" t="s">
        <v>27</v>
      </c>
      <c r="Q1529" t="s">
        <v>28</v>
      </c>
      <c r="R1529" t="s">
        <v>29</v>
      </c>
      <c r="S1529" t="s">
        <v>30</v>
      </c>
      <c r="T1529">
        <v>1082250716</v>
      </c>
      <c r="U1529" t="s">
        <v>3936</v>
      </c>
      <c r="V1529" t="s">
        <v>3937</v>
      </c>
      <c r="W1529" s="9">
        <f>IF(V1529="pregrado",31,
IF(V1529="posgrados",31,
IF(V1529="rEINTEGROS",7,
IF(V1529="BIT",90,
IF(V1529="OP GRADO - INGLÉS",17,"")))))</f>
        <v>31</v>
      </c>
      <c r="X1529" t="s">
        <v>3997</v>
      </c>
    </row>
    <row r="1530" spans="1:24" ht="15" x14ac:dyDescent="0.35">
      <c r="A1530" s="4">
        <v>46065.385312500002</v>
      </c>
      <c r="B1530">
        <v>20122671</v>
      </c>
      <c r="C1530" s="6" t="s">
        <v>19</v>
      </c>
      <c r="D1530">
        <v>169670</v>
      </c>
      <c r="E1530" t="s">
        <v>43</v>
      </c>
      <c r="F1530">
        <v>1032358740</v>
      </c>
      <c r="G1530" t="s">
        <v>3070</v>
      </c>
      <c r="H1530">
        <v>100246065</v>
      </c>
      <c r="I1530">
        <v>202641</v>
      </c>
      <c r="J1530">
        <v>1032358740</v>
      </c>
      <c r="K1530" t="s">
        <v>23</v>
      </c>
      <c r="L1530" t="s">
        <v>342</v>
      </c>
      <c r="M1530" t="s">
        <v>47</v>
      </c>
      <c r="N1530" t="s">
        <v>35</v>
      </c>
      <c r="O1530" t="s">
        <v>26</v>
      </c>
      <c r="P1530" t="s">
        <v>27</v>
      </c>
      <c r="Q1530" t="s">
        <v>28</v>
      </c>
      <c r="R1530" t="s">
        <v>29</v>
      </c>
      <c r="S1530" t="s">
        <v>30</v>
      </c>
      <c r="T1530">
        <v>1033784244</v>
      </c>
      <c r="U1530" t="s">
        <v>3948</v>
      </c>
      <c r="V1530" t="s">
        <v>3937</v>
      </c>
      <c r="W1530" s="9">
        <f>IF(V1530="pregrado",31,
IF(V1530="posgrados",31,
IF(V1530="rEINTEGROS",7,
IF(V1530="BIT",90,
IF(V1530="OP GRADO - INGLÉS",17,"")))))</f>
        <v>31</v>
      </c>
      <c r="X1530" t="s">
        <v>4067</v>
      </c>
    </row>
    <row r="1531" spans="1:24" ht="15" x14ac:dyDescent="0.35">
      <c r="A1531" s="4">
        <v>46065.475243055553</v>
      </c>
      <c r="B1531">
        <v>20122741</v>
      </c>
      <c r="C1531" s="6" t="s">
        <v>19</v>
      </c>
      <c r="D1531">
        <v>169680</v>
      </c>
      <c r="E1531" t="s">
        <v>43</v>
      </c>
      <c r="F1531">
        <v>1234639390</v>
      </c>
      <c r="G1531" t="s">
        <v>3079</v>
      </c>
      <c r="H1531">
        <v>100246082</v>
      </c>
      <c r="I1531">
        <v>202651</v>
      </c>
      <c r="J1531">
        <v>1234639390</v>
      </c>
      <c r="K1531" t="s">
        <v>23</v>
      </c>
      <c r="L1531" t="s">
        <v>252</v>
      </c>
      <c r="M1531" t="s">
        <v>253</v>
      </c>
      <c r="N1531" t="s">
        <v>35</v>
      </c>
      <c r="O1531" t="s">
        <v>26</v>
      </c>
      <c r="P1531" t="s">
        <v>27</v>
      </c>
      <c r="Q1531" t="s">
        <v>28</v>
      </c>
      <c r="R1531" t="s">
        <v>29</v>
      </c>
      <c r="S1531" t="s">
        <v>30</v>
      </c>
      <c r="T1531">
        <v>52032666</v>
      </c>
      <c r="U1531" t="s">
        <v>3948</v>
      </c>
      <c r="V1531" t="s">
        <v>3937</v>
      </c>
      <c r="W1531" s="9">
        <f>IF(V1531="pregrado",31,
IF(V1531="posgrados",31,
IF(V1531="rEINTEGROS",7,
IF(V1531="BIT",90,
IF(V1531="OP GRADO - INGLÉS",17,"")))))</f>
        <v>31</v>
      </c>
      <c r="X1531" t="s">
        <v>3983</v>
      </c>
    </row>
    <row r="1532" spans="1:24" ht="15" x14ac:dyDescent="0.35">
      <c r="A1532" s="4">
        <v>46065.748923611114</v>
      </c>
      <c r="B1532">
        <v>20122993</v>
      </c>
      <c r="C1532" s="6" t="s">
        <v>19</v>
      </c>
      <c r="D1532">
        <v>169691</v>
      </c>
      <c r="E1532" t="s">
        <v>43</v>
      </c>
      <c r="F1532">
        <v>5629159</v>
      </c>
      <c r="G1532" t="s">
        <v>3124</v>
      </c>
      <c r="H1532">
        <v>100179674</v>
      </c>
      <c r="I1532">
        <v>202651</v>
      </c>
      <c r="J1532">
        <v>1095918706</v>
      </c>
      <c r="K1532" t="s">
        <v>46</v>
      </c>
      <c r="L1532" t="s">
        <v>252</v>
      </c>
      <c r="M1532" t="s">
        <v>253</v>
      </c>
      <c r="N1532" t="s">
        <v>35</v>
      </c>
      <c r="O1532" t="s">
        <v>26</v>
      </c>
      <c r="P1532" t="s">
        <v>27</v>
      </c>
      <c r="Q1532" t="s">
        <v>28</v>
      </c>
      <c r="R1532" t="s">
        <v>29</v>
      </c>
      <c r="S1532" t="s">
        <v>30</v>
      </c>
      <c r="T1532">
        <v>51951991</v>
      </c>
      <c r="U1532" t="s">
        <v>3936</v>
      </c>
      <c r="V1532" t="s">
        <v>3937</v>
      </c>
      <c r="W1532" s="9">
        <f>IF(V1532="pregrado",31,
IF(V1532="posgrados",31,
IF(V1532="rEINTEGROS",7,
IF(V1532="BIT",90,
IF(V1532="OP GRADO - INGLÉS",17,"")))))</f>
        <v>31</v>
      </c>
      <c r="X1532" t="s">
        <v>4049</v>
      </c>
    </row>
    <row r="1533" spans="1:24" ht="15" x14ac:dyDescent="0.35">
      <c r="A1533" s="4">
        <v>46067.26425925926</v>
      </c>
      <c r="B1533">
        <v>20123380</v>
      </c>
      <c r="C1533" s="6" t="s">
        <v>19</v>
      </c>
      <c r="D1533">
        <v>169692</v>
      </c>
      <c r="E1533" t="s">
        <v>43</v>
      </c>
      <c r="F1533">
        <v>74847940</v>
      </c>
      <c r="G1533" t="s">
        <v>3198</v>
      </c>
      <c r="H1533">
        <v>100078112</v>
      </c>
      <c r="I1533">
        <v>202641</v>
      </c>
      <c r="J1533">
        <v>1006450143</v>
      </c>
      <c r="K1533" t="s">
        <v>23</v>
      </c>
      <c r="L1533" t="s">
        <v>59</v>
      </c>
      <c r="M1533" t="s">
        <v>47</v>
      </c>
      <c r="N1533" t="s">
        <v>35</v>
      </c>
      <c r="O1533" t="s">
        <v>26</v>
      </c>
      <c r="P1533" t="s">
        <v>27</v>
      </c>
      <c r="Q1533" t="s">
        <v>28</v>
      </c>
      <c r="R1533" t="s">
        <v>29</v>
      </c>
      <c r="S1533" t="s">
        <v>30</v>
      </c>
      <c r="T1533">
        <v>1233888787</v>
      </c>
      <c r="U1533" t="s">
        <v>3936</v>
      </c>
      <c r="V1533" t="s">
        <v>3937</v>
      </c>
      <c r="W1533" s="9">
        <f>IF(V1533="pregrado",31,
IF(V1533="posgrados",31,
IF(V1533="rEINTEGROS",7,
IF(V1533="BIT",90,
IF(V1533="OP GRADO - INGLÉS",17,"")))))</f>
        <v>31</v>
      </c>
      <c r="X1533" t="s">
        <v>3998</v>
      </c>
    </row>
    <row r="1534" spans="1:24" ht="15" x14ac:dyDescent="0.35">
      <c r="A1534" s="4">
        <v>46076.451574074075</v>
      </c>
      <c r="B1534">
        <v>20125613</v>
      </c>
      <c r="C1534" s="6" t="s">
        <v>19</v>
      </c>
      <c r="D1534">
        <v>169699</v>
      </c>
      <c r="E1534" t="s">
        <v>43</v>
      </c>
      <c r="F1534">
        <v>40613827</v>
      </c>
      <c r="G1534" t="s">
        <v>3535</v>
      </c>
      <c r="H1534">
        <v>100246107</v>
      </c>
      <c r="I1534">
        <v>202651</v>
      </c>
      <c r="J1534">
        <v>40613827</v>
      </c>
      <c r="K1534" t="s">
        <v>23</v>
      </c>
      <c r="L1534" t="s">
        <v>252</v>
      </c>
      <c r="M1534" t="s">
        <v>253</v>
      </c>
      <c r="N1534" t="s">
        <v>35</v>
      </c>
      <c r="O1534" t="s">
        <v>26</v>
      </c>
      <c r="P1534" t="s">
        <v>27</v>
      </c>
      <c r="Q1534" t="s">
        <v>28</v>
      </c>
      <c r="R1534" t="s">
        <v>29</v>
      </c>
      <c r="S1534" t="s">
        <v>30</v>
      </c>
      <c r="T1534">
        <v>1075542872</v>
      </c>
      <c r="U1534" t="s">
        <v>3948</v>
      </c>
      <c r="V1534" t="s">
        <v>3937</v>
      </c>
      <c r="W1534" s="9">
        <f>IF(V1534="pregrado",31,
IF(V1534="posgrados",31,
IF(V1534="rEINTEGROS",7,
IF(V1534="BIT",90,
IF(V1534="OP GRADO - INGLÉS",17,"")))))</f>
        <v>31</v>
      </c>
      <c r="X1534" t="s">
        <v>3974</v>
      </c>
    </row>
    <row r="1535" spans="1:24" ht="15" x14ac:dyDescent="0.35">
      <c r="A1535" s="4">
        <v>46065.849085648151</v>
      </c>
      <c r="B1535">
        <v>20123023</v>
      </c>
      <c r="C1535" s="6" t="s">
        <v>19</v>
      </c>
      <c r="D1535">
        <v>169702</v>
      </c>
      <c r="E1535" t="s">
        <v>43</v>
      </c>
      <c r="F1535">
        <v>1002277575</v>
      </c>
      <c r="G1535" t="s">
        <v>3132</v>
      </c>
      <c r="H1535">
        <v>100246109</v>
      </c>
      <c r="I1535">
        <v>202651</v>
      </c>
      <c r="J1535">
        <v>1048993427</v>
      </c>
      <c r="K1535" t="s">
        <v>23</v>
      </c>
      <c r="L1535" t="s">
        <v>252</v>
      </c>
      <c r="M1535" t="s">
        <v>253</v>
      </c>
      <c r="N1535" t="s">
        <v>35</v>
      </c>
      <c r="O1535" t="s">
        <v>26</v>
      </c>
      <c r="P1535" t="s">
        <v>27</v>
      </c>
      <c r="Q1535" t="s">
        <v>28</v>
      </c>
      <c r="R1535" t="s">
        <v>29</v>
      </c>
      <c r="S1535" t="s">
        <v>30</v>
      </c>
      <c r="T1535">
        <v>1033784244</v>
      </c>
      <c r="U1535" t="s">
        <v>3948</v>
      </c>
      <c r="V1535" t="s">
        <v>3937</v>
      </c>
      <c r="W1535" s="9">
        <f>IF(V1535="pregrado",31,
IF(V1535="posgrados",31,
IF(V1535="rEINTEGROS",7,
IF(V1535="BIT",90,
IF(V1535="OP GRADO - INGLÉS",17,"")))))</f>
        <v>31</v>
      </c>
      <c r="X1535" t="s">
        <v>4067</v>
      </c>
    </row>
    <row r="1536" spans="1:24" ht="15" x14ac:dyDescent="0.35">
      <c r="A1536" s="4">
        <v>46069.576157407406</v>
      </c>
      <c r="B1536">
        <v>20123697</v>
      </c>
      <c r="C1536" s="6" t="s">
        <v>19</v>
      </c>
      <c r="D1536">
        <v>169719</v>
      </c>
      <c r="E1536" t="s">
        <v>43</v>
      </c>
      <c r="F1536">
        <v>1082981893</v>
      </c>
      <c r="G1536" t="s">
        <v>3240</v>
      </c>
      <c r="H1536">
        <v>100246128</v>
      </c>
      <c r="I1536">
        <v>202651</v>
      </c>
      <c r="J1536">
        <v>1082981893</v>
      </c>
      <c r="K1536" t="s">
        <v>23</v>
      </c>
      <c r="L1536" t="s">
        <v>252</v>
      </c>
      <c r="M1536" t="s">
        <v>253</v>
      </c>
      <c r="N1536" t="s">
        <v>35</v>
      </c>
      <c r="O1536" t="s">
        <v>26</v>
      </c>
      <c r="P1536" t="s">
        <v>27</v>
      </c>
      <c r="Q1536" t="s">
        <v>28</v>
      </c>
      <c r="R1536" t="s">
        <v>29</v>
      </c>
      <c r="S1536" t="s">
        <v>30</v>
      </c>
      <c r="T1536">
        <v>52032666</v>
      </c>
      <c r="U1536" t="s">
        <v>3948</v>
      </c>
      <c r="V1536" t="s">
        <v>3937</v>
      </c>
      <c r="W1536" s="9">
        <f>IF(V1536="pregrado",31,
IF(V1536="posgrados",31,
IF(V1536="rEINTEGROS",7,
IF(V1536="BIT",90,
IF(V1536="OP GRADO - INGLÉS",17,"")))))</f>
        <v>31</v>
      </c>
      <c r="X1536" t="s">
        <v>3983</v>
      </c>
    </row>
    <row r="1537" spans="1:24" ht="15" x14ac:dyDescent="0.35">
      <c r="A1537" s="4">
        <v>46072.484027777777</v>
      </c>
      <c r="B1537">
        <v>20124808</v>
      </c>
      <c r="C1537" s="6" t="s">
        <v>19</v>
      </c>
      <c r="D1537">
        <v>169727</v>
      </c>
      <c r="E1537" t="s">
        <v>43</v>
      </c>
      <c r="F1537">
        <v>1040376711</v>
      </c>
      <c r="G1537" t="s">
        <v>3403</v>
      </c>
      <c r="H1537">
        <v>100246143</v>
      </c>
      <c r="I1537">
        <v>202641</v>
      </c>
      <c r="J1537">
        <v>1028041478</v>
      </c>
      <c r="K1537" t="s">
        <v>23</v>
      </c>
      <c r="L1537" t="s">
        <v>279</v>
      </c>
      <c r="M1537" t="s">
        <v>47</v>
      </c>
      <c r="N1537" t="s">
        <v>35</v>
      </c>
      <c r="O1537" t="s">
        <v>26</v>
      </c>
      <c r="P1537" t="s">
        <v>27</v>
      </c>
      <c r="Q1537" t="s">
        <v>28</v>
      </c>
      <c r="R1537" t="s">
        <v>29</v>
      </c>
      <c r="S1537" t="s">
        <v>30</v>
      </c>
      <c r="T1537">
        <v>1140420282</v>
      </c>
      <c r="U1537" t="s">
        <v>3948</v>
      </c>
      <c r="V1537" t="s">
        <v>3937</v>
      </c>
      <c r="W1537" s="9">
        <f>IF(V1537="pregrado",31,
IF(V1537="posgrados",31,
IF(V1537="rEINTEGROS",7,
IF(V1537="BIT",90,
IF(V1537="OP GRADO - INGLÉS",17,"")))))</f>
        <v>31</v>
      </c>
      <c r="X1537" t="s">
        <v>3972</v>
      </c>
    </row>
    <row r="1538" spans="1:24" ht="15" x14ac:dyDescent="0.35">
      <c r="A1538" s="4">
        <v>46067.392858796295</v>
      </c>
      <c r="B1538">
        <v>20123401</v>
      </c>
      <c r="C1538" s="6" t="s">
        <v>19</v>
      </c>
      <c r="D1538">
        <v>169744</v>
      </c>
      <c r="E1538" t="s">
        <v>43</v>
      </c>
      <c r="F1538">
        <v>69009783</v>
      </c>
      <c r="G1538" t="s">
        <v>3201</v>
      </c>
      <c r="H1538">
        <v>100246171</v>
      </c>
      <c r="I1538">
        <v>202651</v>
      </c>
      <c r="J1538">
        <v>69009783</v>
      </c>
      <c r="K1538" t="s">
        <v>23</v>
      </c>
      <c r="L1538" t="s">
        <v>252</v>
      </c>
      <c r="M1538" t="s">
        <v>253</v>
      </c>
      <c r="N1538" t="s">
        <v>35</v>
      </c>
      <c r="O1538" t="s">
        <v>26</v>
      </c>
      <c r="P1538" t="s">
        <v>27</v>
      </c>
      <c r="Q1538" t="s">
        <v>28</v>
      </c>
      <c r="R1538" t="s">
        <v>29</v>
      </c>
      <c r="S1538" t="s">
        <v>30</v>
      </c>
      <c r="T1538">
        <v>52759865</v>
      </c>
      <c r="U1538" t="s">
        <v>3936</v>
      </c>
      <c r="V1538" t="s">
        <v>3937</v>
      </c>
      <c r="W1538" s="9">
        <f>IF(V1538="pregrado",31,
IF(V1538="posgrados",31,
IF(V1538="rEINTEGROS",7,
IF(V1538="BIT",90,
IF(V1538="OP GRADO - INGLÉS",17,"")))))</f>
        <v>31</v>
      </c>
      <c r="X1538" t="s">
        <v>4105</v>
      </c>
    </row>
    <row r="1539" spans="1:24" ht="15" x14ac:dyDescent="0.35">
      <c r="A1539" s="4">
        <v>46077.74927083333</v>
      </c>
      <c r="B1539">
        <v>20126111</v>
      </c>
      <c r="C1539" s="6" t="s">
        <v>19</v>
      </c>
      <c r="D1539">
        <v>169751</v>
      </c>
      <c r="E1539" t="s">
        <v>43</v>
      </c>
      <c r="F1539">
        <v>1007396405</v>
      </c>
      <c r="G1539" t="s">
        <v>3617</v>
      </c>
      <c r="H1539">
        <v>100246190</v>
      </c>
      <c r="I1539">
        <v>202641</v>
      </c>
      <c r="J1539">
        <v>1007396405</v>
      </c>
      <c r="K1539" t="s">
        <v>23</v>
      </c>
      <c r="L1539" t="s">
        <v>294</v>
      </c>
      <c r="M1539" t="s">
        <v>47</v>
      </c>
      <c r="N1539" t="s">
        <v>35</v>
      </c>
      <c r="O1539" t="s">
        <v>26</v>
      </c>
      <c r="P1539" t="s">
        <v>27</v>
      </c>
      <c r="Q1539" t="s">
        <v>28</v>
      </c>
      <c r="R1539" t="s">
        <v>29</v>
      </c>
      <c r="S1539" t="s">
        <v>30</v>
      </c>
      <c r="T1539">
        <v>1033781417</v>
      </c>
      <c r="U1539" t="s">
        <v>3948</v>
      </c>
      <c r="V1539" t="s">
        <v>3937</v>
      </c>
      <c r="W1539" s="9">
        <f>IF(V1539="pregrado",31,
IF(V1539="posgrados",31,
IF(V1539="rEINTEGROS",7,
IF(V1539="BIT",90,
IF(V1539="OP GRADO - INGLÉS",17,"")))))</f>
        <v>31</v>
      </c>
      <c r="X1539" t="s">
        <v>4031</v>
      </c>
    </row>
    <row r="1540" spans="1:24" ht="15" x14ac:dyDescent="0.35">
      <c r="A1540" s="4">
        <v>46066.478761574072</v>
      </c>
      <c r="B1540">
        <v>20123133</v>
      </c>
      <c r="C1540" s="6" t="s">
        <v>19</v>
      </c>
      <c r="D1540">
        <v>169753</v>
      </c>
      <c r="E1540" t="s">
        <v>43</v>
      </c>
      <c r="F1540">
        <v>1086019946</v>
      </c>
      <c r="G1540" t="s">
        <v>3152</v>
      </c>
      <c r="H1540">
        <v>100246193</v>
      </c>
      <c r="I1540">
        <v>202641</v>
      </c>
      <c r="J1540">
        <v>1086019946</v>
      </c>
      <c r="K1540" t="s">
        <v>23</v>
      </c>
      <c r="L1540" t="s">
        <v>99</v>
      </c>
      <c r="M1540" t="s">
        <v>47</v>
      </c>
      <c r="N1540" t="s">
        <v>25</v>
      </c>
      <c r="O1540" t="s">
        <v>26</v>
      </c>
      <c r="P1540" t="s">
        <v>27</v>
      </c>
      <c r="Q1540" t="s">
        <v>28</v>
      </c>
      <c r="R1540" t="s">
        <v>29</v>
      </c>
      <c r="S1540" t="s">
        <v>30</v>
      </c>
      <c r="T1540">
        <v>53116792</v>
      </c>
      <c r="U1540" t="s">
        <v>3936</v>
      </c>
      <c r="V1540" t="s">
        <v>3937</v>
      </c>
      <c r="W1540" s="9">
        <f>IF(V1540="pregrado",31,
IF(V1540="posgrados",31,
IF(V1540="rEINTEGROS",7,
IF(V1540="BIT",90,
IF(V1540="OP GRADO - INGLÉS",17,"")))))</f>
        <v>31</v>
      </c>
      <c r="X1540" t="s">
        <v>4008</v>
      </c>
    </row>
    <row r="1541" spans="1:24" ht="15" x14ac:dyDescent="0.35">
      <c r="A1541" s="4">
        <v>46066.434490740743</v>
      </c>
      <c r="B1541">
        <v>20123098</v>
      </c>
      <c r="C1541" s="6" t="s">
        <v>19</v>
      </c>
      <c r="D1541">
        <v>169754</v>
      </c>
      <c r="E1541" t="s">
        <v>43</v>
      </c>
      <c r="F1541">
        <v>10768274</v>
      </c>
      <c r="G1541" t="s">
        <v>3147</v>
      </c>
      <c r="H1541">
        <v>100246196</v>
      </c>
      <c r="I1541">
        <v>202641</v>
      </c>
      <c r="J1541">
        <v>1062955763</v>
      </c>
      <c r="K1541" t="s">
        <v>23</v>
      </c>
      <c r="L1541" t="s">
        <v>59</v>
      </c>
      <c r="M1541" t="s">
        <v>47</v>
      </c>
      <c r="N1541" t="s">
        <v>35</v>
      </c>
      <c r="O1541" t="s">
        <v>26</v>
      </c>
      <c r="P1541" t="s">
        <v>27</v>
      </c>
      <c r="Q1541" t="s">
        <v>28</v>
      </c>
      <c r="R1541" t="s">
        <v>29</v>
      </c>
      <c r="S1541" t="s">
        <v>30</v>
      </c>
      <c r="T1541">
        <v>1015401969</v>
      </c>
      <c r="U1541" t="s">
        <v>3936</v>
      </c>
      <c r="V1541" t="s">
        <v>3937</v>
      </c>
      <c r="W1541" s="9">
        <f>IF(V1541="pregrado",31,
IF(V1541="posgrados",31,
IF(V1541="rEINTEGROS",7,
IF(V1541="BIT",90,
IF(V1541="OP GRADO - INGLÉS",17,"")))))</f>
        <v>31</v>
      </c>
      <c r="X1541" t="s">
        <v>3945</v>
      </c>
    </row>
    <row r="1542" spans="1:24" ht="15" x14ac:dyDescent="0.35">
      <c r="A1542" s="4">
        <v>46071.287951388891</v>
      </c>
      <c r="B1542">
        <v>20124321</v>
      </c>
      <c r="C1542" s="6" t="s">
        <v>19</v>
      </c>
      <c r="D1542">
        <v>169769</v>
      </c>
      <c r="E1542" t="s">
        <v>43</v>
      </c>
      <c r="F1542">
        <v>1082928065</v>
      </c>
      <c r="G1542" t="s">
        <v>3331</v>
      </c>
      <c r="H1542">
        <v>100246223</v>
      </c>
      <c r="I1542">
        <v>202651</v>
      </c>
      <c r="J1542">
        <v>1082928065</v>
      </c>
      <c r="K1542" t="s">
        <v>23</v>
      </c>
      <c r="L1542" t="s">
        <v>252</v>
      </c>
      <c r="M1542" t="s">
        <v>253</v>
      </c>
      <c r="N1542" t="s">
        <v>35</v>
      </c>
      <c r="O1542" t="s">
        <v>26</v>
      </c>
      <c r="P1542" t="s">
        <v>27</v>
      </c>
      <c r="Q1542" t="s">
        <v>28</v>
      </c>
      <c r="R1542" t="s">
        <v>29</v>
      </c>
      <c r="S1542" t="s">
        <v>30</v>
      </c>
      <c r="T1542">
        <v>1033784244</v>
      </c>
      <c r="U1542" t="s">
        <v>3948</v>
      </c>
      <c r="V1542" t="s">
        <v>3937</v>
      </c>
      <c r="W1542" s="9">
        <f>IF(V1542="pregrado",31,
IF(V1542="posgrados",31,
IF(V1542="rEINTEGROS",7,
IF(V1542="BIT",90,
IF(V1542="OP GRADO - INGLÉS",17,"")))))</f>
        <v>31</v>
      </c>
      <c r="X1542" t="s">
        <v>4067</v>
      </c>
    </row>
    <row r="1543" spans="1:24" ht="15" x14ac:dyDescent="0.35">
      <c r="A1543" s="4">
        <v>46066.421134259261</v>
      </c>
      <c r="B1543">
        <v>20123085</v>
      </c>
      <c r="C1543" s="6" t="s">
        <v>19</v>
      </c>
      <c r="D1543">
        <v>169773</v>
      </c>
      <c r="E1543" t="s">
        <v>43</v>
      </c>
      <c r="F1543">
        <v>1003645588</v>
      </c>
      <c r="G1543" t="s">
        <v>3144</v>
      </c>
      <c r="H1543">
        <v>100202115</v>
      </c>
      <c r="I1543">
        <v>202651</v>
      </c>
      <c r="J1543">
        <v>1003645588</v>
      </c>
      <c r="K1543" t="s">
        <v>46</v>
      </c>
      <c r="L1543" t="s">
        <v>252</v>
      </c>
      <c r="M1543" t="s">
        <v>253</v>
      </c>
      <c r="N1543">
        <v>0</v>
      </c>
      <c r="O1543" t="s">
        <v>26</v>
      </c>
      <c r="P1543" t="s">
        <v>27</v>
      </c>
      <c r="Q1543" t="s">
        <v>28</v>
      </c>
      <c r="R1543" t="s">
        <v>29</v>
      </c>
      <c r="S1543" t="s">
        <v>30</v>
      </c>
      <c r="T1543">
        <v>1019102787</v>
      </c>
      <c r="U1543" t="s">
        <v>3977</v>
      </c>
      <c r="V1543" t="s">
        <v>3970</v>
      </c>
      <c r="W1543" s="9">
        <f>IF(V1543="pregrado",31,
IF(V1543="posgrados",31,
IF(V1543="rEINTEGROS",7,
IF(V1543="BIT",90,
IF(V1543="OP GRADO - INGLÉS",17,"")))))</f>
        <v>7</v>
      </c>
      <c r="X1543" t="s">
        <v>3976</v>
      </c>
    </row>
    <row r="1544" spans="1:24" ht="15" x14ac:dyDescent="0.35">
      <c r="A1544" s="4">
        <v>46066.417939814812</v>
      </c>
      <c r="B1544">
        <v>20123082</v>
      </c>
      <c r="C1544" s="6" t="s">
        <v>19</v>
      </c>
      <c r="D1544">
        <v>169774</v>
      </c>
      <c r="E1544" t="s">
        <v>43</v>
      </c>
      <c r="F1544">
        <v>1233899215</v>
      </c>
      <c r="G1544" t="s">
        <v>3142</v>
      </c>
      <c r="H1544">
        <v>100130844</v>
      </c>
      <c r="I1544">
        <v>202651</v>
      </c>
      <c r="J1544">
        <v>1233899215</v>
      </c>
      <c r="K1544" t="s">
        <v>23</v>
      </c>
      <c r="L1544" t="s">
        <v>542</v>
      </c>
      <c r="M1544" t="s">
        <v>253</v>
      </c>
      <c r="N1544" t="s">
        <v>35</v>
      </c>
      <c r="O1544" t="s">
        <v>26</v>
      </c>
      <c r="P1544" t="s">
        <v>27</v>
      </c>
      <c r="Q1544" t="s">
        <v>28</v>
      </c>
      <c r="R1544" t="s">
        <v>29</v>
      </c>
      <c r="S1544" t="s">
        <v>30</v>
      </c>
      <c r="T1544">
        <v>1015401969</v>
      </c>
      <c r="U1544" t="s">
        <v>3936</v>
      </c>
      <c r="V1544" t="s">
        <v>3937</v>
      </c>
      <c r="W1544" s="9">
        <f>IF(V1544="pregrado",31,
IF(V1544="posgrados",31,
IF(V1544="rEINTEGROS",7,
IF(V1544="BIT",90,
IF(V1544="OP GRADO - INGLÉS",17,"")))))</f>
        <v>31</v>
      </c>
      <c r="X1544" t="s">
        <v>3945</v>
      </c>
    </row>
    <row r="1545" spans="1:24" ht="15" x14ac:dyDescent="0.35">
      <c r="A1545" s="4">
        <v>46066.503171296295</v>
      </c>
      <c r="B1545">
        <v>20123168</v>
      </c>
      <c r="C1545" s="6" t="s">
        <v>19</v>
      </c>
      <c r="D1545">
        <v>169778</v>
      </c>
      <c r="E1545" t="s">
        <v>43</v>
      </c>
      <c r="F1545">
        <v>1110528089</v>
      </c>
      <c r="G1545" t="s">
        <v>3158</v>
      </c>
      <c r="H1545">
        <v>100246237</v>
      </c>
      <c r="I1545">
        <v>202641</v>
      </c>
      <c r="J1545">
        <v>1110528089</v>
      </c>
      <c r="K1545" t="s">
        <v>23</v>
      </c>
      <c r="L1545" t="s">
        <v>279</v>
      </c>
      <c r="M1545" t="s">
        <v>47</v>
      </c>
      <c r="N1545" t="s">
        <v>35</v>
      </c>
      <c r="O1545" t="s">
        <v>26</v>
      </c>
      <c r="P1545" t="s">
        <v>27</v>
      </c>
      <c r="Q1545" t="s">
        <v>28</v>
      </c>
      <c r="R1545" t="s">
        <v>29</v>
      </c>
      <c r="S1545" t="s">
        <v>30</v>
      </c>
      <c r="T1545">
        <v>1016030683</v>
      </c>
      <c r="U1545" t="s">
        <v>3936</v>
      </c>
      <c r="V1545" t="s">
        <v>3937</v>
      </c>
      <c r="W1545" s="9">
        <f>IF(V1545="pregrado",31,
IF(V1545="posgrados",31,
IF(V1545="rEINTEGROS",7,
IF(V1545="BIT",90,
IF(V1545="OP GRADO - INGLÉS",17,"")))))</f>
        <v>31</v>
      </c>
      <c r="X1545" t="s">
        <v>3992</v>
      </c>
    </row>
    <row r="1546" spans="1:24" ht="15" x14ac:dyDescent="0.35">
      <c r="A1546" s="4">
        <v>46066.418842592589</v>
      </c>
      <c r="B1546">
        <v>20123083</v>
      </c>
      <c r="C1546" s="6" t="s">
        <v>19</v>
      </c>
      <c r="D1546">
        <v>169779</v>
      </c>
      <c r="E1546" t="s">
        <v>43</v>
      </c>
      <c r="F1546">
        <v>1073998360</v>
      </c>
      <c r="G1546" t="s">
        <v>3143</v>
      </c>
      <c r="H1546">
        <v>100051175</v>
      </c>
      <c r="I1546">
        <v>202641</v>
      </c>
      <c r="J1546">
        <v>1073998360</v>
      </c>
      <c r="K1546" t="s">
        <v>23</v>
      </c>
      <c r="L1546" t="s">
        <v>294</v>
      </c>
      <c r="M1546" t="s">
        <v>47</v>
      </c>
      <c r="N1546" t="s">
        <v>35</v>
      </c>
      <c r="O1546" t="s">
        <v>26</v>
      </c>
      <c r="P1546" t="s">
        <v>27</v>
      </c>
      <c r="Q1546" t="s">
        <v>28</v>
      </c>
      <c r="R1546" t="s">
        <v>29</v>
      </c>
      <c r="S1546" t="s">
        <v>30</v>
      </c>
      <c r="T1546">
        <v>1022407392</v>
      </c>
      <c r="U1546" t="s">
        <v>3936</v>
      </c>
      <c r="V1546" t="s">
        <v>3937</v>
      </c>
      <c r="W1546" s="9">
        <f>IF(V1546="pregrado",31,
IF(V1546="posgrados",31,
IF(V1546="rEINTEGROS",7,
IF(V1546="BIT",90,
IF(V1546="OP GRADO - INGLÉS",17,"")))))</f>
        <v>31</v>
      </c>
      <c r="X1546" t="s">
        <v>3975</v>
      </c>
    </row>
    <row r="1547" spans="1:24" ht="15" x14ac:dyDescent="0.35">
      <c r="A1547" s="4">
        <v>46072.419456018521</v>
      </c>
      <c r="B1547">
        <v>20124756</v>
      </c>
      <c r="C1547" s="6" t="s">
        <v>19</v>
      </c>
      <c r="D1547">
        <v>169780</v>
      </c>
      <c r="E1547" t="s">
        <v>43</v>
      </c>
      <c r="F1547">
        <v>1123622117</v>
      </c>
      <c r="G1547" t="s">
        <v>3391</v>
      </c>
      <c r="H1547">
        <v>100173341</v>
      </c>
      <c r="I1547">
        <v>202641</v>
      </c>
      <c r="J1547">
        <v>1123622117</v>
      </c>
      <c r="K1547" t="s">
        <v>46</v>
      </c>
      <c r="L1547" t="s">
        <v>736</v>
      </c>
      <c r="M1547" t="s">
        <v>47</v>
      </c>
      <c r="N1547" t="s">
        <v>35</v>
      </c>
      <c r="O1547" t="s">
        <v>26</v>
      </c>
      <c r="P1547" t="s">
        <v>27</v>
      </c>
      <c r="Q1547" t="s">
        <v>28</v>
      </c>
      <c r="R1547" t="s">
        <v>29</v>
      </c>
      <c r="S1547" t="s">
        <v>30</v>
      </c>
      <c r="T1547">
        <v>1022407392</v>
      </c>
      <c r="U1547" t="s">
        <v>3936</v>
      </c>
      <c r="V1547" t="s">
        <v>3937</v>
      </c>
      <c r="W1547" s="9">
        <f>IF(V1547="pregrado",31,
IF(V1547="posgrados",31,
IF(V1547="rEINTEGROS",7,
IF(V1547="BIT",90,
IF(V1547="OP GRADO - INGLÉS",17,"")))))</f>
        <v>31</v>
      </c>
      <c r="X1547" t="s">
        <v>3975</v>
      </c>
    </row>
    <row r="1548" spans="1:24" ht="15" x14ac:dyDescent="0.35">
      <c r="A1548" s="4">
        <v>46069.403310185182</v>
      </c>
      <c r="B1548">
        <v>20123592</v>
      </c>
      <c r="C1548" s="6" t="s">
        <v>19</v>
      </c>
      <c r="D1548">
        <v>169782</v>
      </c>
      <c r="E1548" t="s">
        <v>43</v>
      </c>
      <c r="F1548">
        <v>7604716</v>
      </c>
      <c r="G1548" t="s">
        <v>3222</v>
      </c>
      <c r="H1548">
        <v>100246249</v>
      </c>
      <c r="I1548">
        <v>202651</v>
      </c>
      <c r="J1548">
        <v>36726658</v>
      </c>
      <c r="K1548" t="s">
        <v>23</v>
      </c>
      <c r="L1548" t="s">
        <v>252</v>
      </c>
      <c r="M1548" t="s">
        <v>253</v>
      </c>
      <c r="N1548" t="s">
        <v>35</v>
      </c>
      <c r="O1548" t="s">
        <v>26</v>
      </c>
      <c r="P1548" t="s">
        <v>27</v>
      </c>
      <c r="Q1548" t="s">
        <v>28</v>
      </c>
      <c r="R1548" t="s">
        <v>29</v>
      </c>
      <c r="S1548" t="s">
        <v>30</v>
      </c>
      <c r="T1548">
        <v>1033793185</v>
      </c>
      <c r="U1548" t="s">
        <v>3948</v>
      </c>
      <c r="V1548" t="s">
        <v>3937</v>
      </c>
      <c r="W1548" s="9">
        <f>IF(V1548="pregrado",31,
IF(V1548="posgrados",31,
IF(V1548="rEINTEGROS",7,
IF(V1548="BIT",90,
IF(V1548="OP GRADO - INGLÉS",17,"")))))</f>
        <v>31</v>
      </c>
      <c r="X1548" t="s">
        <v>4082</v>
      </c>
    </row>
    <row r="1549" spans="1:24" ht="15" x14ac:dyDescent="0.35">
      <c r="A1549" s="4">
        <v>46067.409467592595</v>
      </c>
      <c r="B1549">
        <v>20123404</v>
      </c>
      <c r="C1549" s="6" t="s">
        <v>19</v>
      </c>
      <c r="D1549">
        <v>169783</v>
      </c>
      <c r="E1549" t="s">
        <v>43</v>
      </c>
      <c r="F1549">
        <v>1054986345</v>
      </c>
      <c r="G1549" t="s">
        <v>3203</v>
      </c>
      <c r="H1549">
        <v>100246250</v>
      </c>
      <c r="I1549">
        <v>202641</v>
      </c>
      <c r="J1549">
        <v>1054986345</v>
      </c>
      <c r="K1549" t="s">
        <v>23</v>
      </c>
      <c r="L1549" t="s">
        <v>342</v>
      </c>
      <c r="M1549" t="s">
        <v>47</v>
      </c>
      <c r="N1549" t="s">
        <v>35</v>
      </c>
      <c r="O1549" t="s">
        <v>26</v>
      </c>
      <c r="P1549" t="s">
        <v>27</v>
      </c>
      <c r="Q1549" t="s">
        <v>28</v>
      </c>
      <c r="R1549" t="s">
        <v>29</v>
      </c>
      <c r="S1549" t="s">
        <v>30</v>
      </c>
      <c r="T1549">
        <v>51951991</v>
      </c>
      <c r="U1549" t="s">
        <v>3936</v>
      </c>
      <c r="V1549" t="s">
        <v>3937</v>
      </c>
      <c r="W1549" s="9">
        <f>IF(V1549="pregrado",31,
IF(V1549="posgrados",31,
IF(V1549="rEINTEGROS",7,
IF(V1549="BIT",90,
IF(V1549="OP GRADO - INGLÉS",17,"")))))</f>
        <v>31</v>
      </c>
      <c r="X1549" t="s">
        <v>4049</v>
      </c>
    </row>
    <row r="1550" spans="1:24" ht="15" x14ac:dyDescent="0.35">
      <c r="A1550" s="4">
        <v>46079.762754629628</v>
      </c>
      <c r="B1550">
        <v>20126690</v>
      </c>
      <c r="C1550" s="6" t="s">
        <v>19</v>
      </c>
      <c r="D1550">
        <v>169784</v>
      </c>
      <c r="E1550" t="s">
        <v>43</v>
      </c>
      <c r="F1550">
        <v>1235340096</v>
      </c>
      <c r="G1550" t="s">
        <v>3700</v>
      </c>
      <c r="H1550">
        <v>100208628</v>
      </c>
      <c r="I1550">
        <v>202641</v>
      </c>
      <c r="J1550">
        <v>1235340096</v>
      </c>
      <c r="K1550" t="s">
        <v>46</v>
      </c>
      <c r="L1550" t="s">
        <v>45</v>
      </c>
      <c r="M1550" t="s">
        <v>47</v>
      </c>
      <c r="N1550" t="s">
        <v>35</v>
      </c>
      <c r="O1550" t="s">
        <v>26</v>
      </c>
      <c r="P1550" t="s">
        <v>27</v>
      </c>
      <c r="Q1550" t="s">
        <v>28</v>
      </c>
      <c r="R1550" t="s">
        <v>29</v>
      </c>
      <c r="S1550" t="s">
        <v>30</v>
      </c>
      <c r="T1550">
        <v>1012389748</v>
      </c>
      <c r="U1550" t="s">
        <v>3948</v>
      </c>
      <c r="V1550" t="s">
        <v>3937</v>
      </c>
      <c r="W1550" s="9">
        <f>IF(V1550="pregrado",31,
IF(V1550="posgrados",31,
IF(V1550="rEINTEGROS",7,
IF(V1550="BIT",90,
IF(V1550="OP GRADO - INGLÉS",17,"")))))</f>
        <v>31</v>
      </c>
      <c r="X1550" t="s">
        <v>4065</v>
      </c>
    </row>
    <row r="1551" spans="1:24" ht="15" x14ac:dyDescent="0.35">
      <c r="A1551" s="4">
        <v>46069.651377314818</v>
      </c>
      <c r="B1551">
        <v>20123762</v>
      </c>
      <c r="C1551" s="6" t="s">
        <v>19</v>
      </c>
      <c r="D1551">
        <v>169791</v>
      </c>
      <c r="E1551" t="s">
        <v>43</v>
      </c>
      <c r="F1551">
        <v>1000472412</v>
      </c>
      <c r="G1551" t="s">
        <v>3248</v>
      </c>
      <c r="H1551">
        <v>100072112</v>
      </c>
      <c r="I1551">
        <v>202641</v>
      </c>
      <c r="J1551">
        <v>1000472412</v>
      </c>
      <c r="K1551" t="s">
        <v>23</v>
      </c>
      <c r="L1551" t="s">
        <v>59</v>
      </c>
      <c r="M1551" t="s">
        <v>47</v>
      </c>
      <c r="N1551" t="s">
        <v>35</v>
      </c>
      <c r="O1551" t="s">
        <v>26</v>
      </c>
      <c r="P1551" t="s">
        <v>27</v>
      </c>
      <c r="Q1551" t="s">
        <v>28</v>
      </c>
      <c r="R1551" t="s">
        <v>29</v>
      </c>
      <c r="S1551" t="s">
        <v>30</v>
      </c>
      <c r="T1551">
        <v>53116792</v>
      </c>
      <c r="U1551" t="s">
        <v>3936</v>
      </c>
      <c r="V1551" t="s">
        <v>3937</v>
      </c>
      <c r="W1551" s="9">
        <f>IF(V1551="pregrado",31,
IF(V1551="posgrados",31,
IF(V1551="rEINTEGROS",7,
IF(V1551="BIT",90,
IF(V1551="OP GRADO - INGLÉS",17,"")))))</f>
        <v>31</v>
      </c>
      <c r="X1551" t="s">
        <v>4008</v>
      </c>
    </row>
    <row r="1552" spans="1:24" ht="15" x14ac:dyDescent="0.35">
      <c r="A1552" s="4">
        <v>46066.741122685184</v>
      </c>
      <c r="B1552">
        <v>20123338</v>
      </c>
      <c r="C1552" s="6" t="s">
        <v>19</v>
      </c>
      <c r="D1552">
        <v>169797</v>
      </c>
      <c r="E1552" t="s">
        <v>43</v>
      </c>
      <c r="F1552">
        <v>79768076</v>
      </c>
      <c r="G1552" t="s">
        <v>3189</v>
      </c>
      <c r="H1552">
        <v>100246275</v>
      </c>
      <c r="I1552">
        <v>202651</v>
      </c>
      <c r="J1552">
        <v>79768076</v>
      </c>
      <c r="K1552" t="s">
        <v>23</v>
      </c>
      <c r="L1552" t="s">
        <v>252</v>
      </c>
      <c r="M1552" t="s">
        <v>253</v>
      </c>
      <c r="N1552" t="s">
        <v>35</v>
      </c>
      <c r="O1552" t="s">
        <v>26</v>
      </c>
      <c r="P1552" t="s">
        <v>27</v>
      </c>
      <c r="Q1552" t="s">
        <v>28</v>
      </c>
      <c r="R1552" t="s">
        <v>29</v>
      </c>
      <c r="S1552" t="s">
        <v>30</v>
      </c>
      <c r="T1552">
        <v>1031147887</v>
      </c>
      <c r="U1552" t="s">
        <v>3948</v>
      </c>
      <c r="V1552" t="s">
        <v>3937</v>
      </c>
      <c r="W1552" s="9">
        <f>IF(V1552="pregrado",31,
IF(V1552="posgrados",31,
IF(V1552="rEINTEGROS",7,
IF(V1552="BIT",90,
IF(V1552="OP GRADO - INGLÉS",17,"")))))</f>
        <v>31</v>
      </c>
      <c r="X1552" t="s">
        <v>3947</v>
      </c>
    </row>
    <row r="1553" spans="1:24" ht="15" x14ac:dyDescent="0.35">
      <c r="A1553" s="4">
        <v>46079.448287037034</v>
      </c>
      <c r="B1553">
        <v>20126472</v>
      </c>
      <c r="C1553" s="6" t="s">
        <v>19</v>
      </c>
      <c r="D1553">
        <v>169802</v>
      </c>
      <c r="E1553" t="s">
        <v>43</v>
      </c>
      <c r="F1553">
        <v>1077452287</v>
      </c>
      <c r="G1553" t="s">
        <v>3656</v>
      </c>
      <c r="H1553">
        <v>100246279</v>
      </c>
      <c r="I1553">
        <v>202651</v>
      </c>
      <c r="J1553">
        <v>1077452287</v>
      </c>
      <c r="K1553" t="s">
        <v>23</v>
      </c>
      <c r="L1553" t="s">
        <v>252</v>
      </c>
      <c r="M1553" t="s">
        <v>253</v>
      </c>
      <c r="N1553" t="s">
        <v>35</v>
      </c>
      <c r="O1553" t="s">
        <v>26</v>
      </c>
      <c r="P1553" t="s">
        <v>27</v>
      </c>
      <c r="Q1553" t="s">
        <v>28</v>
      </c>
      <c r="R1553" t="s">
        <v>29</v>
      </c>
      <c r="S1553" t="s">
        <v>30</v>
      </c>
      <c r="T1553">
        <v>1014285873</v>
      </c>
      <c r="U1553" t="s">
        <v>3948</v>
      </c>
      <c r="V1553" t="s">
        <v>3937</v>
      </c>
      <c r="W1553" s="9">
        <f>IF(V1553="pregrado",31,
IF(V1553="posgrados",31,
IF(V1553="rEINTEGROS",7,
IF(V1553="BIT",90,
IF(V1553="OP GRADO - INGLÉS",17,"")))))</f>
        <v>31</v>
      </c>
      <c r="X1553" t="s">
        <v>3953</v>
      </c>
    </row>
    <row r="1554" spans="1:24" ht="15" x14ac:dyDescent="0.35">
      <c r="A1554" s="4">
        <v>46076.493055555555</v>
      </c>
      <c r="B1554">
        <v>20125632</v>
      </c>
      <c r="C1554" s="6" t="s">
        <v>19</v>
      </c>
      <c r="D1554">
        <v>169808</v>
      </c>
      <c r="E1554" t="s">
        <v>43</v>
      </c>
      <c r="F1554">
        <v>87248942</v>
      </c>
      <c r="G1554" t="s">
        <v>3537</v>
      </c>
      <c r="H1554">
        <v>100140289</v>
      </c>
      <c r="I1554">
        <v>202651</v>
      </c>
      <c r="J1554">
        <v>87248942</v>
      </c>
      <c r="K1554" t="s">
        <v>23</v>
      </c>
      <c r="L1554" t="s">
        <v>1250</v>
      </c>
      <c r="M1554" t="s">
        <v>253</v>
      </c>
      <c r="N1554" t="s">
        <v>35</v>
      </c>
      <c r="O1554" t="s">
        <v>26</v>
      </c>
      <c r="P1554" t="s">
        <v>27</v>
      </c>
      <c r="Q1554" t="s">
        <v>28</v>
      </c>
      <c r="R1554" t="s">
        <v>29</v>
      </c>
      <c r="S1554" t="s">
        <v>30</v>
      </c>
      <c r="T1554">
        <v>1031147887</v>
      </c>
      <c r="U1554" t="s">
        <v>3948</v>
      </c>
      <c r="V1554" t="s">
        <v>3937</v>
      </c>
      <c r="W1554" s="9">
        <f>IF(V1554="pregrado",31,
IF(V1554="posgrados",31,
IF(V1554="rEINTEGROS",7,
IF(V1554="BIT",90,
IF(V1554="OP GRADO - INGLÉS",17,"")))))</f>
        <v>31</v>
      </c>
      <c r="X1554" t="s">
        <v>3947</v>
      </c>
    </row>
    <row r="1555" spans="1:24" ht="15" x14ac:dyDescent="0.35">
      <c r="A1555" s="4">
        <v>46074.431481481479</v>
      </c>
      <c r="B1555">
        <v>20125492</v>
      </c>
      <c r="C1555" s="6" t="s">
        <v>19</v>
      </c>
      <c r="D1555">
        <v>169809</v>
      </c>
      <c r="E1555" t="s">
        <v>43</v>
      </c>
      <c r="F1555">
        <v>52230132</v>
      </c>
      <c r="G1555" t="s">
        <v>3511</v>
      </c>
      <c r="H1555">
        <v>100194807</v>
      </c>
      <c r="I1555">
        <v>202651</v>
      </c>
      <c r="J1555">
        <v>52230132</v>
      </c>
      <c r="K1555" t="s">
        <v>46</v>
      </c>
      <c r="L1555" t="s">
        <v>252</v>
      </c>
      <c r="M1555" t="s">
        <v>253</v>
      </c>
      <c r="N1555" t="s">
        <v>35</v>
      </c>
      <c r="O1555" t="s">
        <v>26</v>
      </c>
      <c r="P1555" t="s">
        <v>27</v>
      </c>
      <c r="Q1555" t="s">
        <v>28</v>
      </c>
      <c r="R1555" t="s">
        <v>29</v>
      </c>
      <c r="S1555" t="s">
        <v>30</v>
      </c>
      <c r="T1555">
        <v>1032451737</v>
      </c>
      <c r="U1555" t="s">
        <v>3948</v>
      </c>
      <c r="V1555" t="s">
        <v>3937</v>
      </c>
      <c r="W1555" s="9">
        <f>IF(V1555="pregrado",31,
IF(V1555="posgrados",31,
IF(V1555="rEINTEGROS",7,
IF(V1555="BIT",90,
IF(V1555="OP GRADO - INGLÉS",17,"")))))</f>
        <v>31</v>
      </c>
      <c r="X1555" t="s">
        <v>4033</v>
      </c>
    </row>
    <row r="1556" spans="1:24" ht="15" x14ac:dyDescent="0.35">
      <c r="A1556" s="4">
        <v>46070.413738425923</v>
      </c>
      <c r="B1556">
        <v>20124012</v>
      </c>
      <c r="C1556" s="6" t="s">
        <v>19</v>
      </c>
      <c r="D1556">
        <v>169813</v>
      </c>
      <c r="E1556" t="s">
        <v>43</v>
      </c>
      <c r="F1556">
        <v>1085301527</v>
      </c>
      <c r="G1556" t="s">
        <v>3280</v>
      </c>
      <c r="H1556">
        <v>100246297</v>
      </c>
      <c r="I1556">
        <v>202651</v>
      </c>
      <c r="J1556">
        <v>1085301527</v>
      </c>
      <c r="K1556" t="s">
        <v>23</v>
      </c>
      <c r="L1556" t="s">
        <v>252</v>
      </c>
      <c r="M1556" t="s">
        <v>253</v>
      </c>
      <c r="N1556" t="s">
        <v>35</v>
      </c>
      <c r="O1556" t="s">
        <v>26</v>
      </c>
      <c r="P1556" t="s">
        <v>27</v>
      </c>
      <c r="Q1556" t="s">
        <v>28</v>
      </c>
      <c r="R1556" t="s">
        <v>29</v>
      </c>
      <c r="S1556" t="s">
        <v>30</v>
      </c>
      <c r="T1556">
        <v>1032451737</v>
      </c>
      <c r="U1556" t="s">
        <v>3948</v>
      </c>
      <c r="V1556" t="s">
        <v>3937</v>
      </c>
      <c r="W1556" s="9">
        <f>IF(V1556="pregrado",31,
IF(V1556="posgrados",31,
IF(V1556="rEINTEGROS",7,
IF(V1556="BIT",90,
IF(V1556="OP GRADO - INGLÉS",17,"")))))</f>
        <v>31</v>
      </c>
      <c r="X1556" t="s">
        <v>4033</v>
      </c>
    </row>
    <row r="1557" spans="1:24" ht="15" x14ac:dyDescent="0.35">
      <c r="A1557" s="4">
        <v>46074.48</v>
      </c>
      <c r="B1557">
        <v>20125509</v>
      </c>
      <c r="C1557" s="6" t="s">
        <v>19</v>
      </c>
      <c r="D1557">
        <v>169825</v>
      </c>
      <c r="E1557" t="s">
        <v>43</v>
      </c>
      <c r="F1557">
        <v>1102576133</v>
      </c>
      <c r="G1557" t="s">
        <v>3514</v>
      </c>
      <c r="H1557">
        <v>100246313</v>
      </c>
      <c r="I1557">
        <v>202651</v>
      </c>
      <c r="J1557">
        <v>1100393302</v>
      </c>
      <c r="K1557" t="s">
        <v>23</v>
      </c>
      <c r="L1557" t="s">
        <v>252</v>
      </c>
      <c r="M1557" t="s">
        <v>253</v>
      </c>
      <c r="N1557" t="s">
        <v>35</v>
      </c>
      <c r="O1557" t="s">
        <v>26</v>
      </c>
      <c r="P1557" t="s">
        <v>27</v>
      </c>
      <c r="Q1557" t="s">
        <v>28</v>
      </c>
      <c r="R1557" t="s">
        <v>29</v>
      </c>
      <c r="S1557" t="s">
        <v>30</v>
      </c>
      <c r="T1557">
        <v>1016030683</v>
      </c>
      <c r="U1557" t="s">
        <v>3936</v>
      </c>
      <c r="V1557" t="s">
        <v>3937</v>
      </c>
      <c r="W1557" s="9">
        <f>IF(V1557="pregrado",31,
IF(V1557="posgrados",31,
IF(V1557="rEINTEGROS",7,
IF(V1557="BIT",90,
IF(V1557="OP GRADO - INGLÉS",17,"")))))</f>
        <v>31</v>
      </c>
      <c r="X1557" t="s">
        <v>3992</v>
      </c>
    </row>
    <row r="1558" spans="1:24" ht="15" x14ac:dyDescent="0.35">
      <c r="A1558" s="4">
        <v>46076.525648148148</v>
      </c>
      <c r="B1558">
        <v>20125655</v>
      </c>
      <c r="C1558" s="6" t="s">
        <v>19</v>
      </c>
      <c r="D1558">
        <v>169827</v>
      </c>
      <c r="E1558" t="s">
        <v>43</v>
      </c>
      <c r="F1558">
        <v>1121839789</v>
      </c>
      <c r="G1558" t="s">
        <v>3543</v>
      </c>
      <c r="H1558">
        <v>100157745</v>
      </c>
      <c r="I1558">
        <v>202641</v>
      </c>
      <c r="J1558">
        <v>1121839789</v>
      </c>
      <c r="K1558" t="s">
        <v>46</v>
      </c>
      <c r="L1558" t="s">
        <v>140</v>
      </c>
      <c r="M1558" t="s">
        <v>47</v>
      </c>
      <c r="N1558" t="s">
        <v>35</v>
      </c>
      <c r="O1558" t="s">
        <v>26</v>
      </c>
      <c r="P1558" t="s">
        <v>27</v>
      </c>
      <c r="Q1558" t="s">
        <v>28</v>
      </c>
      <c r="R1558" t="s">
        <v>29</v>
      </c>
      <c r="S1558" t="s">
        <v>30</v>
      </c>
      <c r="T1558">
        <v>52032666</v>
      </c>
      <c r="U1558" t="s">
        <v>3948</v>
      </c>
      <c r="V1558" t="s">
        <v>3937</v>
      </c>
      <c r="W1558" s="9">
        <f>IF(V1558="pregrado",31,
IF(V1558="posgrados",31,
IF(V1558="rEINTEGROS",7,
IF(V1558="BIT",90,
IF(V1558="OP GRADO - INGLÉS",17,"")))))</f>
        <v>31</v>
      </c>
      <c r="X1558" t="s">
        <v>3983</v>
      </c>
    </row>
    <row r="1559" spans="1:24" ht="15" x14ac:dyDescent="0.35">
      <c r="A1559" s="4">
        <v>46072.682453703703</v>
      </c>
      <c r="B1559">
        <v>20124962</v>
      </c>
      <c r="C1559" s="6" t="s">
        <v>19</v>
      </c>
      <c r="D1559">
        <v>169831</v>
      </c>
      <c r="E1559" t="s">
        <v>43</v>
      </c>
      <c r="F1559">
        <v>1115730426</v>
      </c>
      <c r="G1559" t="s">
        <v>3434</v>
      </c>
      <c r="H1559">
        <v>100246318</v>
      </c>
      <c r="I1559">
        <v>202651</v>
      </c>
      <c r="J1559">
        <v>1115730426</v>
      </c>
      <c r="K1559" t="s">
        <v>23</v>
      </c>
      <c r="L1559" t="s">
        <v>252</v>
      </c>
      <c r="M1559" t="s">
        <v>253</v>
      </c>
      <c r="N1559" t="s">
        <v>35</v>
      </c>
      <c r="O1559" t="s">
        <v>26</v>
      </c>
      <c r="P1559" t="s">
        <v>27</v>
      </c>
      <c r="Q1559" t="s">
        <v>28</v>
      </c>
      <c r="R1559" t="s">
        <v>29</v>
      </c>
      <c r="S1559" t="s">
        <v>30</v>
      </c>
      <c r="T1559">
        <v>1020754225</v>
      </c>
      <c r="U1559" t="s">
        <v>3948</v>
      </c>
      <c r="V1559" t="s">
        <v>3937</v>
      </c>
      <c r="W1559" s="9">
        <f>IF(V1559="pregrado",31,
IF(V1559="posgrados",31,
IF(V1559="rEINTEGROS",7,
IF(V1559="BIT",90,
IF(V1559="OP GRADO - INGLÉS",17,"")))))</f>
        <v>31</v>
      </c>
      <c r="X1559" t="s">
        <v>3981</v>
      </c>
    </row>
    <row r="1560" spans="1:24" ht="15" x14ac:dyDescent="0.35">
      <c r="A1560" s="4">
        <v>46066.645601851851</v>
      </c>
      <c r="B1560">
        <v>20123256</v>
      </c>
      <c r="C1560" s="6" t="s">
        <v>19</v>
      </c>
      <c r="D1560">
        <v>169840</v>
      </c>
      <c r="E1560" t="s">
        <v>43</v>
      </c>
      <c r="F1560">
        <v>20701188</v>
      </c>
      <c r="G1560" t="s">
        <v>3178</v>
      </c>
      <c r="H1560">
        <v>100245875</v>
      </c>
      <c r="I1560">
        <v>202651</v>
      </c>
      <c r="J1560">
        <v>20701188</v>
      </c>
      <c r="K1560" t="s">
        <v>23</v>
      </c>
      <c r="L1560" t="s">
        <v>252</v>
      </c>
      <c r="M1560" t="s">
        <v>253</v>
      </c>
      <c r="N1560" t="s">
        <v>35</v>
      </c>
      <c r="O1560" t="s">
        <v>26</v>
      </c>
      <c r="P1560" t="s">
        <v>27</v>
      </c>
      <c r="Q1560" t="s">
        <v>28</v>
      </c>
      <c r="R1560" t="s">
        <v>29</v>
      </c>
      <c r="S1560" t="s">
        <v>30</v>
      </c>
      <c r="T1560">
        <v>1000120140</v>
      </c>
      <c r="U1560" t="s">
        <v>3936</v>
      </c>
      <c r="V1560" t="s">
        <v>3937</v>
      </c>
      <c r="W1560" s="9">
        <f>IF(V1560="pregrado",31,
IF(V1560="posgrados",31,
IF(V1560="rEINTEGROS",7,
IF(V1560="BIT",90,
IF(V1560="OP GRADO - INGLÉS",17,"")))))</f>
        <v>31</v>
      </c>
      <c r="X1560" t="s">
        <v>3935</v>
      </c>
    </row>
    <row r="1561" spans="1:24" ht="15" x14ac:dyDescent="0.35">
      <c r="A1561" s="4">
        <v>46079.818460648145</v>
      </c>
      <c r="B1561">
        <v>20126711</v>
      </c>
      <c r="C1561" s="6" t="s">
        <v>19</v>
      </c>
      <c r="D1561">
        <v>169861</v>
      </c>
      <c r="E1561" t="s">
        <v>43</v>
      </c>
      <c r="F1561">
        <v>1015466260</v>
      </c>
      <c r="G1561" t="s">
        <v>3706</v>
      </c>
      <c r="H1561">
        <v>100246372</v>
      </c>
      <c r="I1561">
        <v>202641</v>
      </c>
      <c r="J1561">
        <v>1015466260</v>
      </c>
      <c r="K1561" t="s">
        <v>23</v>
      </c>
      <c r="L1561" t="s">
        <v>72</v>
      </c>
      <c r="M1561" t="s">
        <v>47</v>
      </c>
      <c r="N1561" t="s">
        <v>35</v>
      </c>
      <c r="O1561" t="s">
        <v>26</v>
      </c>
      <c r="P1561" t="s">
        <v>27</v>
      </c>
      <c r="Q1561" t="s">
        <v>28</v>
      </c>
      <c r="R1561" t="s">
        <v>29</v>
      </c>
      <c r="S1561" t="s">
        <v>30</v>
      </c>
      <c r="T1561">
        <v>52916205</v>
      </c>
      <c r="U1561" t="s">
        <v>3936</v>
      </c>
      <c r="V1561" t="s">
        <v>3937</v>
      </c>
      <c r="W1561" s="9">
        <f>IF(V1561="pregrado",31,
IF(V1561="posgrados",31,
IF(V1561="rEINTEGROS",7,
IF(V1561="BIT",90,
IF(V1561="OP GRADO - INGLÉS",17,"")))))</f>
        <v>31</v>
      </c>
      <c r="X1561" t="s">
        <v>4032</v>
      </c>
    </row>
    <row r="1562" spans="1:24" ht="15" x14ac:dyDescent="0.35">
      <c r="A1562" s="4">
        <v>46067.503009259257</v>
      </c>
      <c r="B1562">
        <v>20123461</v>
      </c>
      <c r="C1562" s="6" t="s">
        <v>19</v>
      </c>
      <c r="D1562">
        <v>169862</v>
      </c>
      <c r="E1562" t="s">
        <v>43</v>
      </c>
      <c r="F1562">
        <v>1118468532</v>
      </c>
      <c r="G1562" t="s">
        <v>3212</v>
      </c>
      <c r="H1562">
        <v>100246373</v>
      </c>
      <c r="I1562">
        <v>202641</v>
      </c>
      <c r="J1562">
        <v>1118468532</v>
      </c>
      <c r="K1562" t="s">
        <v>23</v>
      </c>
      <c r="L1562" t="s">
        <v>59</v>
      </c>
      <c r="M1562" t="s">
        <v>47</v>
      </c>
      <c r="N1562" t="s">
        <v>35</v>
      </c>
      <c r="O1562" t="s">
        <v>26</v>
      </c>
      <c r="P1562" t="s">
        <v>27</v>
      </c>
      <c r="Q1562" t="s">
        <v>28</v>
      </c>
      <c r="R1562" t="s">
        <v>29</v>
      </c>
      <c r="S1562" t="s">
        <v>30</v>
      </c>
      <c r="T1562">
        <v>1233888787</v>
      </c>
      <c r="U1562" t="s">
        <v>3936</v>
      </c>
      <c r="V1562" t="s">
        <v>3937</v>
      </c>
      <c r="W1562" s="9">
        <f>IF(V1562="pregrado",31,
IF(V1562="posgrados",31,
IF(V1562="rEINTEGROS",7,
IF(V1562="BIT",90,
IF(V1562="OP GRADO - INGLÉS",17,"")))))</f>
        <v>31</v>
      </c>
      <c r="X1562" t="s">
        <v>3998</v>
      </c>
    </row>
    <row r="1563" spans="1:24" ht="15" x14ac:dyDescent="0.35">
      <c r="A1563" s="4">
        <v>46067.469398148147</v>
      </c>
      <c r="B1563">
        <v>20123436</v>
      </c>
      <c r="C1563" s="6" t="s">
        <v>19</v>
      </c>
      <c r="D1563">
        <v>169878</v>
      </c>
      <c r="E1563" t="s">
        <v>43</v>
      </c>
      <c r="F1563">
        <v>1192730960</v>
      </c>
      <c r="G1563" t="s">
        <v>3207</v>
      </c>
      <c r="H1563">
        <v>100246394</v>
      </c>
      <c r="I1563">
        <v>202641</v>
      </c>
      <c r="J1563">
        <v>1192730960</v>
      </c>
      <c r="K1563" t="s">
        <v>23</v>
      </c>
      <c r="L1563" t="s">
        <v>294</v>
      </c>
      <c r="M1563" t="s">
        <v>47</v>
      </c>
      <c r="N1563" t="s">
        <v>35</v>
      </c>
      <c r="O1563" t="s">
        <v>26</v>
      </c>
      <c r="P1563" t="s">
        <v>27</v>
      </c>
      <c r="Q1563" t="s">
        <v>28</v>
      </c>
      <c r="R1563" t="s">
        <v>29</v>
      </c>
      <c r="S1563" t="s">
        <v>30</v>
      </c>
      <c r="T1563">
        <v>1073673268</v>
      </c>
      <c r="U1563" t="s">
        <v>3948</v>
      </c>
      <c r="V1563" t="s">
        <v>3937</v>
      </c>
      <c r="W1563" s="9">
        <f>IF(V1563="pregrado",31,
IF(V1563="posgrados",31,
IF(V1563="rEINTEGROS",7,
IF(V1563="BIT",90,
IF(V1563="OP GRADO - INGLÉS",17,"")))))</f>
        <v>31</v>
      </c>
      <c r="X1563" t="s">
        <v>4080</v>
      </c>
    </row>
    <row r="1564" spans="1:24" ht="15" x14ac:dyDescent="0.35">
      <c r="A1564" s="4">
        <v>46069.716192129628</v>
      </c>
      <c r="B1564">
        <v>20123835</v>
      </c>
      <c r="C1564" s="6" t="s">
        <v>19</v>
      </c>
      <c r="D1564">
        <v>169880</v>
      </c>
      <c r="E1564" t="s">
        <v>43</v>
      </c>
      <c r="F1564">
        <v>53073269</v>
      </c>
      <c r="G1564" t="s">
        <v>3258</v>
      </c>
      <c r="H1564">
        <v>100246395</v>
      </c>
      <c r="I1564">
        <v>202641</v>
      </c>
      <c r="J1564">
        <v>53073269</v>
      </c>
      <c r="K1564" t="s">
        <v>23</v>
      </c>
      <c r="L1564" t="s">
        <v>59</v>
      </c>
      <c r="M1564" t="s">
        <v>47</v>
      </c>
      <c r="N1564" t="s">
        <v>35</v>
      </c>
      <c r="O1564" t="s">
        <v>26</v>
      </c>
      <c r="P1564" t="s">
        <v>27</v>
      </c>
      <c r="Q1564" t="s">
        <v>28</v>
      </c>
      <c r="R1564" t="s">
        <v>29</v>
      </c>
      <c r="S1564" t="s">
        <v>30</v>
      </c>
      <c r="T1564">
        <v>1032406382</v>
      </c>
      <c r="U1564" t="s">
        <v>3936</v>
      </c>
      <c r="V1564" t="s">
        <v>3937</v>
      </c>
      <c r="W1564" s="9">
        <f>IF(V1564="pregrado",31,
IF(V1564="posgrados",31,
IF(V1564="rEINTEGROS",7,
IF(V1564="BIT",90,
IF(V1564="OP GRADO - INGLÉS",17,"")))))</f>
        <v>31</v>
      </c>
      <c r="X1564" t="s">
        <v>3991</v>
      </c>
    </row>
    <row r="1565" spans="1:24" ht="15" x14ac:dyDescent="0.35">
      <c r="A1565" s="4">
        <v>46069.838923611111</v>
      </c>
      <c r="B1565">
        <v>20123934</v>
      </c>
      <c r="C1565" s="6" t="s">
        <v>19</v>
      </c>
      <c r="D1565">
        <v>169889</v>
      </c>
      <c r="E1565" t="s">
        <v>43</v>
      </c>
      <c r="F1565">
        <v>59313989</v>
      </c>
      <c r="G1565" t="s">
        <v>3273</v>
      </c>
      <c r="H1565">
        <v>100246410</v>
      </c>
      <c r="I1565">
        <v>202641</v>
      </c>
      <c r="J1565">
        <v>59313989</v>
      </c>
      <c r="K1565" t="s">
        <v>23</v>
      </c>
      <c r="L1565" t="s">
        <v>59</v>
      </c>
      <c r="M1565" t="s">
        <v>47</v>
      </c>
      <c r="N1565" t="s">
        <v>35</v>
      </c>
      <c r="O1565" t="s">
        <v>26</v>
      </c>
      <c r="P1565" t="s">
        <v>27</v>
      </c>
      <c r="Q1565" t="s">
        <v>28</v>
      </c>
      <c r="R1565" t="s">
        <v>29</v>
      </c>
      <c r="S1565" t="s">
        <v>30</v>
      </c>
      <c r="T1565">
        <v>1033784244</v>
      </c>
      <c r="U1565" t="s">
        <v>3948</v>
      </c>
      <c r="V1565" t="s">
        <v>3937</v>
      </c>
      <c r="W1565" s="9">
        <f>IF(V1565="pregrado",31,
IF(V1565="posgrados",31,
IF(V1565="rEINTEGROS",7,
IF(V1565="BIT",90,
IF(V1565="OP GRADO - INGLÉS",17,"")))))</f>
        <v>31</v>
      </c>
      <c r="X1565" t="s">
        <v>4067</v>
      </c>
    </row>
    <row r="1566" spans="1:24" ht="15" x14ac:dyDescent="0.35">
      <c r="A1566" s="4">
        <v>46069.500104166669</v>
      </c>
      <c r="B1566">
        <v>20123654</v>
      </c>
      <c r="C1566" s="6" t="s">
        <v>19</v>
      </c>
      <c r="D1566">
        <v>169896</v>
      </c>
      <c r="E1566" t="s">
        <v>43</v>
      </c>
      <c r="F1566">
        <v>25390313</v>
      </c>
      <c r="G1566" t="s">
        <v>3235</v>
      </c>
      <c r="H1566">
        <v>100175531</v>
      </c>
      <c r="I1566">
        <v>202651</v>
      </c>
      <c r="J1566">
        <v>25390313</v>
      </c>
      <c r="K1566" t="s">
        <v>46</v>
      </c>
      <c r="L1566" t="s">
        <v>252</v>
      </c>
      <c r="M1566" t="s">
        <v>253</v>
      </c>
      <c r="N1566" t="s">
        <v>35</v>
      </c>
      <c r="O1566" t="s">
        <v>26</v>
      </c>
      <c r="P1566" t="s">
        <v>27</v>
      </c>
      <c r="Q1566" t="s">
        <v>28</v>
      </c>
      <c r="R1566" t="s">
        <v>29</v>
      </c>
      <c r="S1566" t="s">
        <v>30</v>
      </c>
      <c r="T1566">
        <v>1033784244</v>
      </c>
      <c r="U1566" t="s">
        <v>3948</v>
      </c>
      <c r="V1566" t="s">
        <v>3937</v>
      </c>
      <c r="W1566" s="9">
        <f>IF(V1566="pregrado",31,
IF(V1566="posgrados",31,
IF(V1566="rEINTEGROS",7,
IF(V1566="BIT",90,
IF(V1566="OP GRADO - INGLÉS",17,"")))))</f>
        <v>31</v>
      </c>
      <c r="X1566" t="s">
        <v>4067</v>
      </c>
    </row>
    <row r="1567" spans="1:24" ht="15" x14ac:dyDescent="0.35">
      <c r="A1567" s="4">
        <v>46067.451273148145</v>
      </c>
      <c r="B1567">
        <v>20123419</v>
      </c>
      <c r="C1567" s="6" t="s">
        <v>19</v>
      </c>
      <c r="D1567">
        <v>169902</v>
      </c>
      <c r="E1567" t="s">
        <v>43</v>
      </c>
      <c r="F1567">
        <v>49746330</v>
      </c>
      <c r="G1567" t="s">
        <v>3204</v>
      </c>
      <c r="H1567">
        <v>100049468</v>
      </c>
      <c r="I1567">
        <v>202651</v>
      </c>
      <c r="J1567">
        <v>49746330</v>
      </c>
      <c r="K1567" t="s">
        <v>23</v>
      </c>
      <c r="L1567" t="s">
        <v>252</v>
      </c>
      <c r="M1567" t="s">
        <v>253</v>
      </c>
      <c r="N1567" t="s">
        <v>35</v>
      </c>
      <c r="O1567" t="s">
        <v>26</v>
      </c>
      <c r="P1567" t="s">
        <v>27</v>
      </c>
      <c r="Q1567" t="s">
        <v>28</v>
      </c>
      <c r="R1567" t="s">
        <v>29</v>
      </c>
      <c r="S1567" t="s">
        <v>30</v>
      </c>
      <c r="T1567">
        <v>1073673268</v>
      </c>
      <c r="U1567" t="s">
        <v>3948</v>
      </c>
      <c r="V1567" t="s">
        <v>3937</v>
      </c>
      <c r="W1567" s="9">
        <f>IF(V1567="pregrado",31,
IF(V1567="posgrados",31,
IF(V1567="rEINTEGROS",7,
IF(V1567="BIT",90,
IF(V1567="OP GRADO - INGLÉS",17,"")))))</f>
        <v>31</v>
      </c>
      <c r="X1567" t="s">
        <v>4080</v>
      </c>
    </row>
    <row r="1568" spans="1:24" ht="15" x14ac:dyDescent="0.35">
      <c r="A1568" s="4">
        <v>46069.745578703703</v>
      </c>
      <c r="B1568">
        <v>20123874</v>
      </c>
      <c r="C1568" s="6" t="s">
        <v>19</v>
      </c>
      <c r="D1568">
        <v>169904</v>
      </c>
      <c r="E1568" t="s">
        <v>43</v>
      </c>
      <c r="F1568">
        <v>1005344551</v>
      </c>
      <c r="G1568" t="s">
        <v>3262</v>
      </c>
      <c r="H1568">
        <v>100246430</v>
      </c>
      <c r="I1568">
        <v>202641</v>
      </c>
      <c r="J1568">
        <v>1118575026</v>
      </c>
      <c r="K1568" t="s">
        <v>23</v>
      </c>
      <c r="L1568" t="s">
        <v>59</v>
      </c>
      <c r="M1568" t="s">
        <v>47</v>
      </c>
      <c r="N1568" t="s">
        <v>35</v>
      </c>
      <c r="O1568" t="s">
        <v>26</v>
      </c>
      <c r="P1568" t="s">
        <v>27</v>
      </c>
      <c r="Q1568" t="s">
        <v>28</v>
      </c>
      <c r="R1568" t="s">
        <v>29</v>
      </c>
      <c r="S1568" t="s">
        <v>30</v>
      </c>
      <c r="T1568">
        <v>1022407392</v>
      </c>
      <c r="U1568" t="s">
        <v>3936</v>
      </c>
      <c r="V1568" t="s">
        <v>3937</v>
      </c>
      <c r="W1568" s="9">
        <f>IF(V1568="pregrado",31,
IF(V1568="posgrados",31,
IF(V1568="rEINTEGROS",7,
IF(V1568="BIT",90,
IF(V1568="OP GRADO - INGLÉS",17,"")))))</f>
        <v>31</v>
      </c>
      <c r="X1568" t="s">
        <v>3975</v>
      </c>
    </row>
    <row r="1569" spans="1:24" ht="15" x14ac:dyDescent="0.35">
      <c r="A1569" s="4">
        <v>46071.389456018522</v>
      </c>
      <c r="B1569">
        <v>20124350</v>
      </c>
      <c r="C1569" s="6" t="s">
        <v>19</v>
      </c>
      <c r="D1569">
        <v>169909</v>
      </c>
      <c r="E1569" t="s">
        <v>43</v>
      </c>
      <c r="F1569">
        <v>40960096</v>
      </c>
      <c r="G1569" t="s">
        <v>3335</v>
      </c>
      <c r="H1569">
        <v>100246434</v>
      </c>
      <c r="I1569">
        <v>202641</v>
      </c>
      <c r="J1569">
        <v>40960096</v>
      </c>
      <c r="K1569" t="s">
        <v>23</v>
      </c>
      <c r="L1569" t="s">
        <v>294</v>
      </c>
      <c r="M1569" t="s">
        <v>47</v>
      </c>
      <c r="N1569" t="s">
        <v>35</v>
      </c>
      <c r="O1569" t="s">
        <v>26</v>
      </c>
      <c r="P1569" t="s">
        <v>27</v>
      </c>
      <c r="Q1569" t="s">
        <v>28</v>
      </c>
      <c r="R1569" t="s">
        <v>29</v>
      </c>
      <c r="S1569" t="s">
        <v>30</v>
      </c>
      <c r="T1569">
        <v>1032451737</v>
      </c>
      <c r="U1569" t="s">
        <v>3948</v>
      </c>
      <c r="V1569" t="s">
        <v>3937</v>
      </c>
      <c r="W1569" s="9">
        <f>IF(V1569="pregrado",31,
IF(V1569="posgrados",31,
IF(V1569="rEINTEGROS",7,
IF(V1569="BIT",90,
IF(V1569="OP GRADO - INGLÉS",17,"")))))</f>
        <v>31</v>
      </c>
      <c r="X1569" t="s">
        <v>4033</v>
      </c>
    </row>
    <row r="1570" spans="1:24" ht="15" x14ac:dyDescent="0.35">
      <c r="A1570" s="4">
        <v>46071.39534722222</v>
      </c>
      <c r="B1570">
        <v>20124354</v>
      </c>
      <c r="C1570" s="6" t="s">
        <v>19</v>
      </c>
      <c r="D1570">
        <v>169910</v>
      </c>
      <c r="E1570" t="s">
        <v>43</v>
      </c>
      <c r="F1570">
        <v>1065643848</v>
      </c>
      <c r="G1570" t="s">
        <v>3339</v>
      </c>
      <c r="H1570">
        <v>100114010</v>
      </c>
      <c r="I1570">
        <v>202651</v>
      </c>
      <c r="J1570">
        <v>1065643848</v>
      </c>
      <c r="K1570" t="s">
        <v>23</v>
      </c>
      <c r="L1570" t="s">
        <v>252</v>
      </c>
      <c r="M1570" t="s">
        <v>253</v>
      </c>
      <c r="N1570" t="s">
        <v>35</v>
      </c>
      <c r="O1570" t="s">
        <v>26</v>
      </c>
      <c r="P1570" t="s">
        <v>27</v>
      </c>
      <c r="Q1570" t="s">
        <v>28</v>
      </c>
      <c r="R1570" t="s">
        <v>29</v>
      </c>
      <c r="S1570" t="s">
        <v>30</v>
      </c>
      <c r="T1570">
        <v>1193146767</v>
      </c>
      <c r="U1570" t="s">
        <v>3936</v>
      </c>
      <c r="V1570" t="s">
        <v>3937</v>
      </c>
      <c r="W1570" s="9">
        <f>IF(V1570="pregrado",31,
IF(V1570="posgrados",31,
IF(V1570="rEINTEGROS",7,
IF(V1570="BIT",90,
IF(V1570="OP GRADO - INGLÉS",17,"")))))</f>
        <v>31</v>
      </c>
      <c r="X1570" t="s">
        <v>4072</v>
      </c>
    </row>
    <row r="1571" spans="1:24" ht="15" x14ac:dyDescent="0.35">
      <c r="A1571" s="4">
        <v>46080.694884259261</v>
      </c>
      <c r="B1571">
        <v>20126934</v>
      </c>
      <c r="C1571" s="6" t="s">
        <v>19</v>
      </c>
      <c r="D1571">
        <v>169912</v>
      </c>
      <c r="E1571" t="s">
        <v>43</v>
      </c>
      <c r="F1571">
        <v>9298509</v>
      </c>
      <c r="G1571" t="s">
        <v>3742</v>
      </c>
      <c r="H1571">
        <v>100192826</v>
      </c>
      <c r="I1571">
        <v>202651</v>
      </c>
      <c r="J1571">
        <v>9298509</v>
      </c>
      <c r="K1571" t="s">
        <v>46</v>
      </c>
      <c r="L1571" t="s">
        <v>252</v>
      </c>
      <c r="M1571" t="s">
        <v>253</v>
      </c>
      <c r="N1571">
        <v>0</v>
      </c>
      <c r="O1571" t="s">
        <v>26</v>
      </c>
      <c r="P1571" t="s">
        <v>27</v>
      </c>
      <c r="Q1571" t="s">
        <v>28</v>
      </c>
      <c r="R1571" t="s">
        <v>29</v>
      </c>
      <c r="S1571" t="s">
        <v>30</v>
      </c>
      <c r="T1571">
        <v>1019102787</v>
      </c>
      <c r="U1571" t="s">
        <v>3977</v>
      </c>
      <c r="V1571" t="s">
        <v>3970</v>
      </c>
      <c r="W1571" s="9">
        <f>IF(V1571="pregrado",31,
IF(V1571="posgrados",31,
IF(V1571="rEINTEGROS",7,
IF(V1571="BIT",90,
IF(V1571="OP GRADO - INGLÉS",17,"")))))</f>
        <v>7</v>
      </c>
      <c r="X1571" t="s">
        <v>3976</v>
      </c>
    </row>
    <row r="1572" spans="1:24" ht="15" x14ac:dyDescent="0.35">
      <c r="A1572" s="4">
        <v>46072.603125000001</v>
      </c>
      <c r="B1572">
        <v>20124880</v>
      </c>
      <c r="C1572" s="6" t="s">
        <v>19</v>
      </c>
      <c r="D1572">
        <v>169917</v>
      </c>
      <c r="E1572" t="s">
        <v>43</v>
      </c>
      <c r="F1572">
        <v>1061791465</v>
      </c>
      <c r="G1572" t="s">
        <v>3422</v>
      </c>
      <c r="H1572">
        <v>100246445</v>
      </c>
      <c r="I1572">
        <v>202651</v>
      </c>
      <c r="J1572">
        <v>10698491</v>
      </c>
      <c r="K1572" t="s">
        <v>23</v>
      </c>
      <c r="L1572" t="s">
        <v>252</v>
      </c>
      <c r="M1572" t="s">
        <v>253</v>
      </c>
      <c r="N1572" t="s">
        <v>35</v>
      </c>
      <c r="O1572" t="s">
        <v>26</v>
      </c>
      <c r="P1572" t="s">
        <v>27</v>
      </c>
      <c r="Q1572" t="s">
        <v>28</v>
      </c>
      <c r="R1572" t="s">
        <v>29</v>
      </c>
      <c r="S1572" t="s">
        <v>30</v>
      </c>
      <c r="T1572">
        <v>1073673268</v>
      </c>
      <c r="U1572" t="s">
        <v>3948</v>
      </c>
      <c r="V1572" t="s">
        <v>3937</v>
      </c>
      <c r="W1572" s="9">
        <f>IF(V1572="pregrado",31,
IF(V1572="posgrados",31,
IF(V1572="rEINTEGROS",7,
IF(V1572="BIT",90,
IF(V1572="OP GRADO - INGLÉS",17,"")))))</f>
        <v>31</v>
      </c>
      <c r="X1572" t="s">
        <v>4080</v>
      </c>
    </row>
    <row r="1573" spans="1:24" ht="15" x14ac:dyDescent="0.35">
      <c r="A1573" s="4">
        <v>46070.471412037034</v>
      </c>
      <c r="B1573">
        <v>20124062</v>
      </c>
      <c r="C1573" s="6" t="s">
        <v>19</v>
      </c>
      <c r="D1573">
        <v>169919</v>
      </c>
      <c r="E1573" t="s">
        <v>43</v>
      </c>
      <c r="F1573">
        <v>38642980</v>
      </c>
      <c r="G1573" t="s">
        <v>3288</v>
      </c>
      <c r="H1573">
        <v>100237456</v>
      </c>
      <c r="I1573">
        <v>202651</v>
      </c>
      <c r="J1573">
        <v>38642980</v>
      </c>
      <c r="K1573" t="s">
        <v>23</v>
      </c>
      <c r="L1573" t="s">
        <v>252</v>
      </c>
      <c r="M1573" t="s">
        <v>253</v>
      </c>
      <c r="N1573" t="s">
        <v>35</v>
      </c>
      <c r="O1573" t="s">
        <v>26</v>
      </c>
      <c r="P1573" t="s">
        <v>27</v>
      </c>
      <c r="Q1573" t="s">
        <v>28</v>
      </c>
      <c r="R1573" t="s">
        <v>29</v>
      </c>
      <c r="S1573" t="s">
        <v>30</v>
      </c>
      <c r="T1573">
        <v>1073673268</v>
      </c>
      <c r="U1573" t="s">
        <v>3948</v>
      </c>
      <c r="V1573" t="s">
        <v>3937</v>
      </c>
      <c r="W1573" s="9">
        <f>IF(V1573="pregrado",31,
IF(V1573="posgrados",31,
IF(V1573="rEINTEGROS",7,
IF(V1573="BIT",90,
IF(V1573="OP GRADO - INGLÉS",17,"")))))</f>
        <v>31</v>
      </c>
      <c r="X1573" t="s">
        <v>4080</v>
      </c>
    </row>
    <row r="1574" spans="1:24" ht="15" x14ac:dyDescent="0.35">
      <c r="A1574" s="4">
        <v>46070.65425925926</v>
      </c>
      <c r="B1574">
        <v>20124185</v>
      </c>
      <c r="C1574" s="6" t="s">
        <v>19</v>
      </c>
      <c r="D1574">
        <v>169937</v>
      </c>
      <c r="E1574" t="s">
        <v>43</v>
      </c>
      <c r="F1574">
        <v>1125408325</v>
      </c>
      <c r="G1574" t="s">
        <v>3311</v>
      </c>
      <c r="H1574">
        <v>100246480</v>
      </c>
      <c r="I1574">
        <v>202651</v>
      </c>
      <c r="J1574">
        <v>1125408325</v>
      </c>
      <c r="K1574" t="s">
        <v>23</v>
      </c>
      <c r="L1574" t="s">
        <v>252</v>
      </c>
      <c r="M1574" t="s">
        <v>253</v>
      </c>
      <c r="N1574" t="s">
        <v>35</v>
      </c>
      <c r="O1574" t="s">
        <v>26</v>
      </c>
      <c r="P1574" t="s">
        <v>27</v>
      </c>
      <c r="Q1574" t="s">
        <v>28</v>
      </c>
      <c r="R1574" t="s">
        <v>29</v>
      </c>
      <c r="S1574" t="s">
        <v>30</v>
      </c>
      <c r="T1574">
        <v>1020754225</v>
      </c>
      <c r="U1574" t="s">
        <v>3948</v>
      </c>
      <c r="V1574" t="s">
        <v>3937</v>
      </c>
      <c r="W1574" s="9">
        <f>IF(V1574="pregrado",31,
IF(V1574="posgrados",31,
IF(V1574="rEINTEGROS",7,
IF(V1574="BIT",90,
IF(V1574="OP GRADO - INGLÉS",17,"")))))</f>
        <v>31</v>
      </c>
      <c r="X1574" t="s">
        <v>3981</v>
      </c>
    </row>
    <row r="1575" spans="1:24" ht="15" x14ac:dyDescent="0.35">
      <c r="A1575" s="4">
        <v>46069.469884259262</v>
      </c>
      <c r="B1575">
        <v>20123633</v>
      </c>
      <c r="C1575" s="6" t="s">
        <v>19</v>
      </c>
      <c r="D1575">
        <v>169941</v>
      </c>
      <c r="E1575" t="s">
        <v>43</v>
      </c>
      <c r="F1575">
        <v>1075296744</v>
      </c>
      <c r="G1575" t="s">
        <v>3233</v>
      </c>
      <c r="H1575">
        <v>100246486</v>
      </c>
      <c r="I1575">
        <v>202651</v>
      </c>
      <c r="J1575">
        <v>1075296744</v>
      </c>
      <c r="K1575" t="s">
        <v>23</v>
      </c>
      <c r="L1575" t="s">
        <v>252</v>
      </c>
      <c r="M1575" t="s">
        <v>253</v>
      </c>
      <c r="N1575" t="s">
        <v>35</v>
      </c>
      <c r="O1575" t="s">
        <v>26</v>
      </c>
      <c r="P1575" t="s">
        <v>27</v>
      </c>
      <c r="Q1575" t="s">
        <v>28</v>
      </c>
      <c r="R1575" t="s">
        <v>29</v>
      </c>
      <c r="S1575" t="s">
        <v>30</v>
      </c>
      <c r="T1575">
        <v>1033781417</v>
      </c>
      <c r="U1575" t="s">
        <v>3948</v>
      </c>
      <c r="V1575" t="s">
        <v>3937</v>
      </c>
      <c r="W1575" s="9">
        <f>IF(V1575="pregrado",31,
IF(V1575="posgrados",31,
IF(V1575="rEINTEGROS",7,
IF(V1575="BIT",90,
IF(V1575="OP GRADO - INGLÉS",17,"")))))</f>
        <v>31</v>
      </c>
      <c r="X1575" t="s">
        <v>4031</v>
      </c>
    </row>
    <row r="1576" spans="1:24" ht="15" x14ac:dyDescent="0.35">
      <c r="A1576" s="4">
        <v>46079.656504629631</v>
      </c>
      <c r="B1576">
        <v>20126603</v>
      </c>
      <c r="C1576" s="6" t="s">
        <v>19</v>
      </c>
      <c r="D1576">
        <v>169943</v>
      </c>
      <c r="E1576" t="s">
        <v>43</v>
      </c>
      <c r="F1576">
        <v>8437219</v>
      </c>
      <c r="G1576" t="s">
        <v>3677</v>
      </c>
      <c r="H1576">
        <v>100200840</v>
      </c>
      <c r="I1576">
        <v>202651</v>
      </c>
      <c r="J1576">
        <v>8437219</v>
      </c>
      <c r="K1576" t="s">
        <v>46</v>
      </c>
      <c r="L1576" t="s">
        <v>252</v>
      </c>
      <c r="M1576" t="s">
        <v>253</v>
      </c>
      <c r="N1576" t="s">
        <v>35</v>
      </c>
      <c r="O1576" t="s">
        <v>26</v>
      </c>
      <c r="P1576" t="s">
        <v>27</v>
      </c>
      <c r="Q1576" t="s">
        <v>28</v>
      </c>
      <c r="R1576" t="s">
        <v>29</v>
      </c>
      <c r="S1576" t="s">
        <v>30</v>
      </c>
      <c r="T1576">
        <v>1140420282</v>
      </c>
      <c r="U1576" t="s">
        <v>3948</v>
      </c>
      <c r="V1576" t="s">
        <v>3937</v>
      </c>
      <c r="W1576" s="9">
        <f>IF(V1576="pregrado",31,
IF(V1576="posgrados",31,
IF(V1576="rEINTEGROS",7,
IF(V1576="BIT",90,
IF(V1576="OP GRADO - INGLÉS",17,"")))))</f>
        <v>31</v>
      </c>
      <c r="X1576" t="s">
        <v>3972</v>
      </c>
    </row>
    <row r="1577" spans="1:24" ht="15" x14ac:dyDescent="0.35">
      <c r="A1577" s="4">
        <v>46072.370150462964</v>
      </c>
      <c r="B1577">
        <v>20124713</v>
      </c>
      <c r="C1577" s="6" t="s">
        <v>19</v>
      </c>
      <c r="D1577">
        <v>169951</v>
      </c>
      <c r="E1577" t="s">
        <v>43</v>
      </c>
      <c r="F1577">
        <v>1083924044</v>
      </c>
      <c r="G1577" t="s">
        <v>3384</v>
      </c>
      <c r="H1577">
        <v>100246500</v>
      </c>
      <c r="I1577">
        <v>202651</v>
      </c>
      <c r="J1577">
        <v>1083924044</v>
      </c>
      <c r="K1577" t="s">
        <v>23</v>
      </c>
      <c r="L1577" t="s">
        <v>252</v>
      </c>
      <c r="M1577" t="s">
        <v>253</v>
      </c>
      <c r="N1577" t="s">
        <v>35</v>
      </c>
      <c r="O1577" t="s">
        <v>26</v>
      </c>
      <c r="P1577" t="s">
        <v>27</v>
      </c>
      <c r="Q1577" t="s">
        <v>28</v>
      </c>
      <c r="R1577" t="s">
        <v>29</v>
      </c>
      <c r="S1577" t="s">
        <v>30</v>
      </c>
      <c r="T1577">
        <v>1140420282</v>
      </c>
      <c r="U1577" t="s">
        <v>3948</v>
      </c>
      <c r="V1577" t="s">
        <v>3937</v>
      </c>
      <c r="W1577" s="9">
        <f>IF(V1577="pregrado",31,
IF(V1577="posgrados",31,
IF(V1577="rEINTEGROS",7,
IF(V1577="BIT",90,
IF(V1577="OP GRADO - INGLÉS",17,"")))))</f>
        <v>31</v>
      </c>
      <c r="X1577" t="s">
        <v>3972</v>
      </c>
    </row>
    <row r="1578" spans="1:24" ht="15" x14ac:dyDescent="0.35">
      <c r="A1578" s="4">
        <v>46069.65253472222</v>
      </c>
      <c r="B1578">
        <v>20123766</v>
      </c>
      <c r="C1578" s="6" t="s">
        <v>19</v>
      </c>
      <c r="D1578">
        <v>169953</v>
      </c>
      <c r="E1578" t="s">
        <v>43</v>
      </c>
      <c r="F1578">
        <v>4852477</v>
      </c>
      <c r="G1578" t="s">
        <v>3249</v>
      </c>
      <c r="H1578">
        <v>100180163</v>
      </c>
      <c r="I1578">
        <v>202651</v>
      </c>
      <c r="J1578">
        <v>1193563946</v>
      </c>
      <c r="K1578" t="s">
        <v>23</v>
      </c>
      <c r="L1578" t="s">
        <v>252</v>
      </c>
      <c r="M1578" t="s">
        <v>253</v>
      </c>
      <c r="N1578" t="s">
        <v>35</v>
      </c>
      <c r="O1578" t="s">
        <v>26</v>
      </c>
      <c r="P1578" t="s">
        <v>27</v>
      </c>
      <c r="Q1578" t="s">
        <v>28</v>
      </c>
      <c r="R1578" t="s">
        <v>29</v>
      </c>
      <c r="S1578" t="s">
        <v>30</v>
      </c>
      <c r="T1578">
        <v>1031147887</v>
      </c>
      <c r="U1578" t="s">
        <v>3948</v>
      </c>
      <c r="V1578" t="s">
        <v>3937</v>
      </c>
      <c r="W1578" s="9">
        <f>IF(V1578="pregrado",31,
IF(V1578="posgrados",31,
IF(V1578="rEINTEGROS",7,
IF(V1578="BIT",90,
IF(V1578="OP GRADO - INGLÉS",17,"")))))</f>
        <v>31</v>
      </c>
      <c r="X1578" t="s">
        <v>3947</v>
      </c>
    </row>
    <row r="1579" spans="1:24" ht="15" x14ac:dyDescent="0.35">
      <c r="A1579" s="4">
        <v>46071.70652777778</v>
      </c>
      <c r="B1579">
        <v>20124603</v>
      </c>
      <c r="C1579" s="6" t="s">
        <v>19</v>
      </c>
      <c r="D1579">
        <v>169963</v>
      </c>
      <c r="E1579" t="s">
        <v>43</v>
      </c>
      <c r="F1579">
        <v>39556780</v>
      </c>
      <c r="G1579" t="s">
        <v>3374</v>
      </c>
      <c r="H1579">
        <v>100246523</v>
      </c>
      <c r="I1579">
        <v>202641</v>
      </c>
      <c r="J1579">
        <v>1136889101</v>
      </c>
      <c r="K1579" t="s">
        <v>23</v>
      </c>
      <c r="L1579" t="s">
        <v>45</v>
      </c>
      <c r="M1579" t="s">
        <v>47</v>
      </c>
      <c r="N1579" t="s">
        <v>35</v>
      </c>
      <c r="O1579" t="s">
        <v>26</v>
      </c>
      <c r="P1579" t="s">
        <v>27</v>
      </c>
      <c r="Q1579" t="s">
        <v>28</v>
      </c>
      <c r="R1579" t="s">
        <v>29</v>
      </c>
      <c r="S1579" t="s">
        <v>30</v>
      </c>
      <c r="T1579">
        <v>1193146767</v>
      </c>
      <c r="U1579" t="s">
        <v>3936</v>
      </c>
      <c r="V1579" t="s">
        <v>3937</v>
      </c>
      <c r="W1579" s="9">
        <f>IF(V1579="pregrado",31,
IF(V1579="posgrados",31,
IF(V1579="rEINTEGROS",7,
IF(V1579="BIT",90,
IF(V1579="OP GRADO - INGLÉS",17,"")))))</f>
        <v>31</v>
      </c>
      <c r="X1579" t="s">
        <v>4072</v>
      </c>
    </row>
    <row r="1580" spans="1:24" ht="15" x14ac:dyDescent="0.35">
      <c r="A1580" s="4">
        <v>46070.451678240737</v>
      </c>
      <c r="B1580">
        <v>20124051</v>
      </c>
      <c r="C1580" s="6" t="s">
        <v>19</v>
      </c>
      <c r="D1580">
        <v>169967</v>
      </c>
      <c r="E1580" t="s">
        <v>43</v>
      </c>
      <c r="F1580">
        <v>1017153981</v>
      </c>
      <c r="G1580" t="s">
        <v>3286</v>
      </c>
      <c r="H1580">
        <v>100246527</v>
      </c>
      <c r="I1580">
        <v>202641</v>
      </c>
      <c r="J1580">
        <v>1017153981</v>
      </c>
      <c r="K1580" t="s">
        <v>23</v>
      </c>
      <c r="L1580" t="s">
        <v>160</v>
      </c>
      <c r="M1580" t="s">
        <v>47</v>
      </c>
      <c r="N1580" t="s">
        <v>35</v>
      </c>
      <c r="O1580" t="s">
        <v>26</v>
      </c>
      <c r="P1580" t="s">
        <v>27</v>
      </c>
      <c r="Q1580" t="s">
        <v>28</v>
      </c>
      <c r="R1580" t="s">
        <v>29</v>
      </c>
      <c r="S1580" t="s">
        <v>30</v>
      </c>
      <c r="T1580">
        <v>53116792</v>
      </c>
      <c r="U1580" t="s">
        <v>3936</v>
      </c>
      <c r="V1580" t="s">
        <v>3937</v>
      </c>
      <c r="W1580" s="9">
        <f>IF(V1580="pregrado",31,
IF(V1580="posgrados",31,
IF(V1580="rEINTEGROS",7,
IF(V1580="BIT",90,
IF(V1580="OP GRADO - INGLÉS",17,"")))))</f>
        <v>31</v>
      </c>
      <c r="X1580" t="s">
        <v>4008</v>
      </c>
    </row>
    <row r="1581" spans="1:24" ht="15" x14ac:dyDescent="0.35">
      <c r="A1581" s="4">
        <v>46076.77820601852</v>
      </c>
      <c r="B1581">
        <v>20125840</v>
      </c>
      <c r="C1581" s="6" t="s">
        <v>19</v>
      </c>
      <c r="D1581">
        <v>169973</v>
      </c>
      <c r="E1581" t="s">
        <v>43</v>
      </c>
      <c r="F1581">
        <v>1023942070</v>
      </c>
      <c r="G1581" t="s">
        <v>3573</v>
      </c>
      <c r="H1581">
        <v>100246539</v>
      </c>
      <c r="I1581">
        <v>202641</v>
      </c>
      <c r="J1581">
        <v>1023942070</v>
      </c>
      <c r="K1581" t="s">
        <v>23</v>
      </c>
      <c r="L1581" t="s">
        <v>294</v>
      </c>
      <c r="M1581" t="s">
        <v>47</v>
      </c>
      <c r="N1581" t="s">
        <v>35</v>
      </c>
      <c r="O1581" t="s">
        <v>26</v>
      </c>
      <c r="P1581" t="s">
        <v>27</v>
      </c>
      <c r="Q1581" t="s">
        <v>28</v>
      </c>
      <c r="R1581" t="s">
        <v>29</v>
      </c>
      <c r="S1581" t="s">
        <v>30</v>
      </c>
      <c r="T1581">
        <v>52032666</v>
      </c>
      <c r="U1581" t="s">
        <v>3948</v>
      </c>
      <c r="V1581" t="s">
        <v>3937</v>
      </c>
      <c r="W1581" s="9">
        <f>IF(V1581="pregrado",31,
IF(V1581="posgrados",31,
IF(V1581="rEINTEGROS",7,
IF(V1581="BIT",90,
IF(V1581="OP GRADO - INGLÉS",17,"")))))</f>
        <v>31</v>
      </c>
      <c r="X1581" t="s">
        <v>3983</v>
      </c>
    </row>
    <row r="1582" spans="1:24" ht="15" x14ac:dyDescent="0.35">
      <c r="A1582" s="4">
        <v>46070.519178240742</v>
      </c>
      <c r="B1582">
        <v>20124097</v>
      </c>
      <c r="C1582" s="6" t="s">
        <v>19</v>
      </c>
      <c r="D1582">
        <v>169975</v>
      </c>
      <c r="E1582" t="s">
        <v>43</v>
      </c>
      <c r="F1582">
        <v>1042763364</v>
      </c>
      <c r="G1582" t="s">
        <v>3294</v>
      </c>
      <c r="H1582">
        <v>100246541</v>
      </c>
      <c r="I1582">
        <v>202651</v>
      </c>
      <c r="J1582">
        <v>1042763364</v>
      </c>
      <c r="K1582" t="s">
        <v>23</v>
      </c>
      <c r="L1582" t="s">
        <v>252</v>
      </c>
      <c r="M1582" t="s">
        <v>253</v>
      </c>
      <c r="N1582" t="s">
        <v>35</v>
      </c>
      <c r="O1582" t="s">
        <v>26</v>
      </c>
      <c r="P1582" t="s">
        <v>27</v>
      </c>
      <c r="Q1582" t="s">
        <v>28</v>
      </c>
      <c r="R1582" t="s">
        <v>29</v>
      </c>
      <c r="S1582" t="s">
        <v>30</v>
      </c>
      <c r="T1582">
        <v>1073673268</v>
      </c>
      <c r="U1582" t="s">
        <v>3948</v>
      </c>
      <c r="V1582" t="s">
        <v>3937</v>
      </c>
      <c r="W1582" s="9">
        <f>IF(V1582="pregrado",31,
IF(V1582="posgrados",31,
IF(V1582="rEINTEGROS",7,
IF(V1582="BIT",90,
IF(V1582="OP GRADO - INGLÉS",17,"")))))</f>
        <v>31</v>
      </c>
      <c r="X1582" t="s">
        <v>4080</v>
      </c>
    </row>
    <row r="1583" spans="1:24" ht="15" x14ac:dyDescent="0.35">
      <c r="A1583" s="4">
        <v>46070.453055555554</v>
      </c>
      <c r="B1583">
        <v>20124052</v>
      </c>
      <c r="C1583" s="6" t="s">
        <v>19</v>
      </c>
      <c r="D1583">
        <v>169977</v>
      </c>
      <c r="E1583" t="s">
        <v>43</v>
      </c>
      <c r="F1583">
        <v>1053859529</v>
      </c>
      <c r="G1583" t="s">
        <v>3287</v>
      </c>
      <c r="H1583">
        <v>100246544</v>
      </c>
      <c r="I1583">
        <v>202651</v>
      </c>
      <c r="J1583">
        <v>1053859529</v>
      </c>
      <c r="K1583" t="s">
        <v>23</v>
      </c>
      <c r="L1583" t="s">
        <v>252</v>
      </c>
      <c r="M1583" t="s">
        <v>253</v>
      </c>
      <c r="N1583" t="s">
        <v>35</v>
      </c>
      <c r="O1583" t="s">
        <v>26</v>
      </c>
      <c r="P1583" t="s">
        <v>27</v>
      </c>
      <c r="Q1583" t="s">
        <v>28</v>
      </c>
      <c r="R1583" t="s">
        <v>29</v>
      </c>
      <c r="S1583" t="s">
        <v>30</v>
      </c>
      <c r="T1583">
        <v>1016030683</v>
      </c>
      <c r="U1583" t="s">
        <v>3936</v>
      </c>
      <c r="V1583" t="s">
        <v>3937</v>
      </c>
      <c r="W1583" s="9">
        <f>IF(V1583="pregrado",31,
IF(V1583="posgrados",31,
IF(V1583="rEINTEGROS",7,
IF(V1583="BIT",90,
IF(V1583="OP GRADO - INGLÉS",17,"")))))</f>
        <v>31</v>
      </c>
      <c r="X1583" t="s">
        <v>3992</v>
      </c>
    </row>
    <row r="1584" spans="1:24" ht="15" x14ac:dyDescent="0.35">
      <c r="A1584" s="4">
        <v>46072.398043981484</v>
      </c>
      <c r="B1584">
        <v>20124736</v>
      </c>
      <c r="C1584" s="6" t="s">
        <v>19</v>
      </c>
      <c r="D1584">
        <v>169980</v>
      </c>
      <c r="E1584" t="s">
        <v>43</v>
      </c>
      <c r="F1584">
        <v>1000697855</v>
      </c>
      <c r="G1584" t="s">
        <v>3388</v>
      </c>
      <c r="H1584">
        <v>100246548</v>
      </c>
      <c r="I1584">
        <v>202641</v>
      </c>
      <c r="J1584">
        <v>1000697855</v>
      </c>
      <c r="K1584" t="s">
        <v>23</v>
      </c>
      <c r="L1584" t="s">
        <v>59</v>
      </c>
      <c r="M1584" t="s">
        <v>47</v>
      </c>
      <c r="N1584" t="s">
        <v>35</v>
      </c>
      <c r="O1584" t="s">
        <v>26</v>
      </c>
      <c r="P1584" t="s">
        <v>27</v>
      </c>
      <c r="Q1584" t="s">
        <v>28</v>
      </c>
      <c r="R1584" t="s">
        <v>29</v>
      </c>
      <c r="S1584" t="s">
        <v>30</v>
      </c>
      <c r="T1584">
        <v>1233888787</v>
      </c>
      <c r="U1584" t="s">
        <v>3936</v>
      </c>
      <c r="V1584" t="s">
        <v>3937</v>
      </c>
      <c r="W1584" s="9">
        <f>IF(V1584="pregrado",31,
IF(V1584="posgrados",31,
IF(V1584="rEINTEGROS",7,
IF(V1584="BIT",90,
IF(V1584="OP GRADO - INGLÉS",17,"")))))</f>
        <v>31</v>
      </c>
      <c r="X1584" t="s">
        <v>3998</v>
      </c>
    </row>
    <row r="1585" spans="1:24" ht="15" x14ac:dyDescent="0.35">
      <c r="A1585" s="4">
        <v>46072.452002314814</v>
      </c>
      <c r="B1585">
        <v>20124785</v>
      </c>
      <c r="C1585" s="6" t="s">
        <v>19</v>
      </c>
      <c r="D1585">
        <v>169983</v>
      </c>
      <c r="E1585" t="s">
        <v>43</v>
      </c>
      <c r="F1585">
        <v>1069496482</v>
      </c>
      <c r="G1585" t="s">
        <v>3398</v>
      </c>
      <c r="H1585">
        <v>100246554</v>
      </c>
      <c r="I1585">
        <v>202651</v>
      </c>
      <c r="J1585">
        <v>1069496482</v>
      </c>
      <c r="K1585" t="s">
        <v>23</v>
      </c>
      <c r="L1585" t="s">
        <v>252</v>
      </c>
      <c r="M1585" t="s">
        <v>253</v>
      </c>
      <c r="N1585" t="s">
        <v>35</v>
      </c>
      <c r="O1585" t="s">
        <v>26</v>
      </c>
      <c r="P1585" t="s">
        <v>27</v>
      </c>
      <c r="Q1585" t="s">
        <v>28</v>
      </c>
      <c r="R1585" t="s">
        <v>29</v>
      </c>
      <c r="S1585" t="s">
        <v>30</v>
      </c>
      <c r="T1585">
        <v>1193146767</v>
      </c>
      <c r="U1585" t="s">
        <v>3936</v>
      </c>
      <c r="V1585" t="s">
        <v>3937</v>
      </c>
      <c r="W1585" s="9">
        <f>IF(V1585="pregrado",31,
IF(V1585="posgrados",31,
IF(V1585="rEINTEGROS",7,
IF(V1585="BIT",90,
IF(V1585="OP GRADO - INGLÉS",17,"")))))</f>
        <v>31</v>
      </c>
      <c r="X1585" t="s">
        <v>4072</v>
      </c>
    </row>
    <row r="1586" spans="1:24" ht="15" x14ac:dyDescent="0.35">
      <c r="A1586" s="4">
        <v>46070.504374999997</v>
      </c>
      <c r="B1586">
        <v>20124087</v>
      </c>
      <c r="C1586" s="6" t="s">
        <v>19</v>
      </c>
      <c r="D1586">
        <v>169995</v>
      </c>
      <c r="E1586" t="s">
        <v>43</v>
      </c>
      <c r="F1586">
        <v>4130777</v>
      </c>
      <c r="G1586" t="s">
        <v>3291</v>
      </c>
      <c r="H1586">
        <v>100246575</v>
      </c>
      <c r="I1586">
        <v>202651</v>
      </c>
      <c r="J1586">
        <v>1057574478</v>
      </c>
      <c r="K1586" t="s">
        <v>23</v>
      </c>
      <c r="L1586" t="s">
        <v>252</v>
      </c>
      <c r="M1586" t="s">
        <v>253</v>
      </c>
      <c r="N1586" t="s">
        <v>35</v>
      </c>
      <c r="O1586" t="s">
        <v>26</v>
      </c>
      <c r="P1586" t="s">
        <v>27</v>
      </c>
      <c r="Q1586" t="s">
        <v>28</v>
      </c>
      <c r="R1586" t="s">
        <v>29</v>
      </c>
      <c r="S1586" t="s">
        <v>30</v>
      </c>
      <c r="T1586">
        <v>52032666</v>
      </c>
      <c r="U1586" t="s">
        <v>3948</v>
      </c>
      <c r="V1586" t="s">
        <v>3937</v>
      </c>
      <c r="W1586" s="9">
        <f>IF(V1586="pregrado",31,
IF(V1586="posgrados",31,
IF(V1586="rEINTEGROS",7,
IF(V1586="BIT",90,
IF(V1586="OP GRADO - INGLÉS",17,"")))))</f>
        <v>31</v>
      </c>
      <c r="X1586" t="s">
        <v>3983</v>
      </c>
    </row>
    <row r="1587" spans="1:24" ht="15" x14ac:dyDescent="0.35">
      <c r="A1587" s="4">
        <v>46081.523854166669</v>
      </c>
      <c r="B1587">
        <v>20127069</v>
      </c>
      <c r="C1587" s="6" t="s">
        <v>19</v>
      </c>
      <c r="D1587">
        <v>170025</v>
      </c>
      <c r="E1587" t="s">
        <v>43</v>
      </c>
      <c r="F1587">
        <v>1048265232</v>
      </c>
      <c r="G1587" t="s">
        <v>3761</v>
      </c>
      <c r="H1587">
        <v>100177481</v>
      </c>
      <c r="I1587">
        <v>202651</v>
      </c>
      <c r="J1587">
        <v>1048265232</v>
      </c>
      <c r="K1587" t="s">
        <v>46</v>
      </c>
      <c r="L1587" t="s">
        <v>252</v>
      </c>
      <c r="M1587" t="s">
        <v>253</v>
      </c>
      <c r="N1587" t="s">
        <v>35</v>
      </c>
      <c r="O1587" t="s">
        <v>26</v>
      </c>
      <c r="P1587" t="s">
        <v>27</v>
      </c>
      <c r="Q1587" t="s">
        <v>28</v>
      </c>
      <c r="R1587" t="s">
        <v>29</v>
      </c>
      <c r="S1587" t="s">
        <v>30</v>
      </c>
      <c r="T1587">
        <v>1075542872</v>
      </c>
      <c r="U1587" t="s">
        <v>3948</v>
      </c>
      <c r="V1587" t="s">
        <v>3937</v>
      </c>
      <c r="W1587" s="9">
        <f>IF(V1587="pregrado",31,
IF(V1587="posgrados",31,
IF(V1587="rEINTEGROS",7,
IF(V1587="BIT",90,
IF(V1587="OP GRADO - INGLÉS",17,"")))))</f>
        <v>31</v>
      </c>
      <c r="X1587" t="s">
        <v>3974</v>
      </c>
    </row>
    <row r="1588" spans="1:24" ht="15" x14ac:dyDescent="0.35">
      <c r="A1588" s="4">
        <v>46070.868888888886</v>
      </c>
      <c r="B1588">
        <v>20124308</v>
      </c>
      <c r="C1588" s="6" t="s">
        <v>19</v>
      </c>
      <c r="D1588">
        <v>170041</v>
      </c>
      <c r="E1588" t="s">
        <v>43</v>
      </c>
      <c r="F1588">
        <v>1128443326</v>
      </c>
      <c r="G1588" t="s">
        <v>3328</v>
      </c>
      <c r="H1588">
        <v>100246659</v>
      </c>
      <c r="I1588">
        <v>202641</v>
      </c>
      <c r="J1588">
        <v>1128443326</v>
      </c>
      <c r="K1588" t="s">
        <v>23</v>
      </c>
      <c r="L1588" t="s">
        <v>160</v>
      </c>
      <c r="M1588" t="s">
        <v>47</v>
      </c>
      <c r="N1588" t="s">
        <v>35</v>
      </c>
      <c r="O1588" t="s">
        <v>26</v>
      </c>
      <c r="P1588" t="s">
        <v>27</v>
      </c>
      <c r="Q1588" t="s">
        <v>28</v>
      </c>
      <c r="R1588" t="s">
        <v>29</v>
      </c>
      <c r="S1588" t="s">
        <v>30</v>
      </c>
      <c r="T1588">
        <v>1070973852</v>
      </c>
      <c r="U1588" t="s">
        <v>3936</v>
      </c>
      <c r="V1588" t="s">
        <v>3937</v>
      </c>
      <c r="W1588" s="9">
        <f>IF(V1588="pregrado",31,
IF(V1588="posgrados",31,
IF(V1588="rEINTEGROS",7,
IF(V1588="BIT",90,
IF(V1588="OP GRADO - INGLÉS",17,"")))))</f>
        <v>31</v>
      </c>
      <c r="X1588" t="s">
        <v>3957</v>
      </c>
    </row>
    <row r="1589" spans="1:24" ht="15" x14ac:dyDescent="0.35">
      <c r="A1589" s="4">
        <v>46072.704629629632</v>
      </c>
      <c r="B1589">
        <v>20124984</v>
      </c>
      <c r="C1589" s="6" t="s">
        <v>19</v>
      </c>
      <c r="D1589">
        <v>170044</v>
      </c>
      <c r="E1589" t="s">
        <v>43</v>
      </c>
      <c r="F1589">
        <v>10101979</v>
      </c>
      <c r="G1589" t="s">
        <v>3436</v>
      </c>
      <c r="H1589">
        <v>100246662</v>
      </c>
      <c r="I1589">
        <v>202651</v>
      </c>
      <c r="J1589">
        <v>35890895</v>
      </c>
      <c r="K1589" t="s">
        <v>74</v>
      </c>
      <c r="L1589" t="s">
        <v>252</v>
      </c>
      <c r="M1589" t="s">
        <v>253</v>
      </c>
      <c r="N1589" t="s">
        <v>35</v>
      </c>
      <c r="O1589" t="s">
        <v>26</v>
      </c>
      <c r="P1589" t="s">
        <v>27</v>
      </c>
      <c r="Q1589" t="s">
        <v>28</v>
      </c>
      <c r="R1589" t="s">
        <v>29</v>
      </c>
      <c r="S1589" t="s">
        <v>30</v>
      </c>
      <c r="T1589">
        <v>1073673268</v>
      </c>
      <c r="U1589" t="s">
        <v>3948</v>
      </c>
      <c r="V1589" t="s">
        <v>3937</v>
      </c>
      <c r="W1589" s="9">
        <f>IF(V1589="pregrado",31,
IF(V1589="posgrados",31,
IF(V1589="rEINTEGROS",7,
IF(V1589="BIT",90,
IF(V1589="OP GRADO - INGLÉS",17,"")))))</f>
        <v>31</v>
      </c>
      <c r="X1589" t="s">
        <v>4080</v>
      </c>
    </row>
    <row r="1590" spans="1:24" ht="15" x14ac:dyDescent="0.35">
      <c r="A1590" s="4">
        <v>46076.508680555555</v>
      </c>
      <c r="B1590">
        <v>20125638</v>
      </c>
      <c r="C1590" s="6" t="s">
        <v>19</v>
      </c>
      <c r="D1590">
        <v>170051</v>
      </c>
      <c r="E1590" t="s">
        <v>43</v>
      </c>
      <c r="F1590">
        <v>1013630963</v>
      </c>
      <c r="G1590" t="s">
        <v>3538</v>
      </c>
      <c r="H1590">
        <v>100246680</v>
      </c>
      <c r="I1590">
        <v>202651</v>
      </c>
      <c r="J1590">
        <v>1013630963</v>
      </c>
      <c r="K1590" t="s">
        <v>23</v>
      </c>
      <c r="L1590" t="s">
        <v>252</v>
      </c>
      <c r="M1590" t="s">
        <v>253</v>
      </c>
      <c r="N1590" t="s">
        <v>35</v>
      </c>
      <c r="O1590" t="s">
        <v>26</v>
      </c>
      <c r="P1590" t="s">
        <v>27</v>
      </c>
      <c r="Q1590" t="s">
        <v>28</v>
      </c>
      <c r="R1590" t="s">
        <v>29</v>
      </c>
      <c r="S1590" t="s">
        <v>30</v>
      </c>
      <c r="T1590">
        <v>1015407851</v>
      </c>
      <c r="U1590" t="s">
        <v>3944</v>
      </c>
      <c r="V1590" t="s">
        <v>3934</v>
      </c>
      <c r="W1590" s="9">
        <f>IF(V1590="pregrado",31,
IF(V1590="posgrados",31,
IF(V1590="rEINTEGROS",7,
IF(V1590="BIT",90,
IF(V1590="OP GRADO - INGLÉS",17,"")))))</f>
        <v>31</v>
      </c>
      <c r="X1590" t="s">
        <v>4102</v>
      </c>
    </row>
    <row r="1591" spans="1:24" ht="15" x14ac:dyDescent="0.35">
      <c r="A1591" s="4">
        <v>46072.887025462966</v>
      </c>
      <c r="B1591">
        <v>20125068</v>
      </c>
      <c r="C1591" s="6" t="s">
        <v>19</v>
      </c>
      <c r="D1591">
        <v>170057</v>
      </c>
      <c r="E1591" t="s">
        <v>43</v>
      </c>
      <c r="F1591">
        <v>84104590</v>
      </c>
      <c r="G1591" t="s">
        <v>3449</v>
      </c>
      <c r="H1591">
        <v>100246690</v>
      </c>
      <c r="I1591">
        <v>202651</v>
      </c>
      <c r="J1591">
        <v>1118864814</v>
      </c>
      <c r="K1591" t="s">
        <v>23</v>
      </c>
      <c r="L1591" t="s">
        <v>252</v>
      </c>
      <c r="M1591" t="s">
        <v>253</v>
      </c>
      <c r="N1591" t="s">
        <v>35</v>
      </c>
      <c r="O1591" t="s">
        <v>26</v>
      </c>
      <c r="P1591" t="s">
        <v>27</v>
      </c>
      <c r="Q1591" t="s">
        <v>28</v>
      </c>
      <c r="R1591" t="s">
        <v>29</v>
      </c>
      <c r="S1591" t="s">
        <v>30</v>
      </c>
      <c r="T1591">
        <v>1014285873</v>
      </c>
      <c r="U1591" t="s">
        <v>3948</v>
      </c>
      <c r="V1591" t="s">
        <v>3937</v>
      </c>
      <c r="W1591" s="9">
        <f>IF(V1591="pregrado",31,
IF(V1591="posgrados",31,
IF(V1591="rEINTEGROS",7,
IF(V1591="BIT",90,
IF(V1591="OP GRADO - INGLÉS",17,"")))))</f>
        <v>31</v>
      </c>
      <c r="X1591" t="s">
        <v>3953</v>
      </c>
    </row>
    <row r="1592" spans="1:24" ht="15" x14ac:dyDescent="0.35">
      <c r="A1592" s="4">
        <v>46072.404722222222</v>
      </c>
      <c r="B1592">
        <v>20124742</v>
      </c>
      <c r="C1592" s="6" t="s">
        <v>19</v>
      </c>
      <c r="D1592">
        <v>170069</v>
      </c>
      <c r="E1592" t="s">
        <v>43</v>
      </c>
      <c r="F1592">
        <v>1069486721</v>
      </c>
      <c r="G1592" t="s">
        <v>3389</v>
      </c>
      <c r="H1592">
        <v>100246721</v>
      </c>
      <c r="I1592">
        <v>202651</v>
      </c>
      <c r="J1592">
        <v>1069486721</v>
      </c>
      <c r="K1592" t="s">
        <v>23</v>
      </c>
      <c r="L1592" t="s">
        <v>252</v>
      </c>
      <c r="M1592" t="s">
        <v>253</v>
      </c>
      <c r="N1592" t="s">
        <v>25</v>
      </c>
      <c r="O1592" t="s">
        <v>26</v>
      </c>
      <c r="P1592" t="s">
        <v>27</v>
      </c>
      <c r="Q1592" t="s">
        <v>28</v>
      </c>
      <c r="R1592" t="s">
        <v>29</v>
      </c>
      <c r="S1592" t="s">
        <v>30</v>
      </c>
      <c r="T1592">
        <v>1140420282</v>
      </c>
      <c r="U1592" t="s">
        <v>3948</v>
      </c>
      <c r="V1592" t="s">
        <v>3937</v>
      </c>
      <c r="W1592" s="9">
        <f>IF(V1592="pregrado",31,
IF(V1592="posgrados",31,
IF(V1592="rEINTEGROS",7,
IF(V1592="BIT",90,
IF(V1592="OP GRADO - INGLÉS",17,"")))))</f>
        <v>31</v>
      </c>
      <c r="X1592" t="s">
        <v>3972</v>
      </c>
    </row>
    <row r="1593" spans="1:24" ht="15" x14ac:dyDescent="0.35">
      <c r="A1593" s="4">
        <v>46071.639131944445</v>
      </c>
      <c r="B1593">
        <v>20124531</v>
      </c>
      <c r="C1593" s="6" t="s">
        <v>19</v>
      </c>
      <c r="D1593">
        <v>170070</v>
      </c>
      <c r="E1593" t="s">
        <v>43</v>
      </c>
      <c r="F1593">
        <v>1116800469</v>
      </c>
      <c r="G1593" t="s">
        <v>3358</v>
      </c>
      <c r="H1593">
        <v>100058914</v>
      </c>
      <c r="I1593">
        <v>202651</v>
      </c>
      <c r="J1593">
        <v>1116800469</v>
      </c>
      <c r="K1593" t="s">
        <v>46</v>
      </c>
      <c r="L1593" t="s">
        <v>252</v>
      </c>
      <c r="M1593" t="s">
        <v>253</v>
      </c>
      <c r="N1593" t="s">
        <v>35</v>
      </c>
      <c r="O1593" t="s">
        <v>26</v>
      </c>
      <c r="P1593" t="s">
        <v>27</v>
      </c>
      <c r="Q1593" t="s">
        <v>28</v>
      </c>
      <c r="R1593" t="s">
        <v>29</v>
      </c>
      <c r="S1593" t="s">
        <v>30</v>
      </c>
      <c r="T1593">
        <v>1032451737</v>
      </c>
      <c r="U1593" t="s">
        <v>3948</v>
      </c>
      <c r="V1593" t="s">
        <v>3937</v>
      </c>
      <c r="W1593" s="9">
        <f>IF(V1593="pregrado",31,
IF(V1593="posgrados",31,
IF(V1593="rEINTEGROS",7,
IF(V1593="BIT",90,
IF(V1593="OP GRADO - INGLÉS",17,"")))))</f>
        <v>31</v>
      </c>
      <c r="X1593" t="s">
        <v>4033</v>
      </c>
    </row>
    <row r="1594" spans="1:24" ht="15" x14ac:dyDescent="0.35">
      <c r="A1594" s="4">
        <v>46083.432326388887</v>
      </c>
      <c r="B1594">
        <v>20127174</v>
      </c>
      <c r="C1594" s="6" t="s">
        <v>19</v>
      </c>
      <c r="D1594">
        <v>170075</v>
      </c>
      <c r="E1594" t="s">
        <v>43</v>
      </c>
      <c r="F1594">
        <v>1105616384</v>
      </c>
      <c r="G1594" t="s">
        <v>3778</v>
      </c>
      <c r="H1594">
        <v>100129123</v>
      </c>
      <c r="I1594">
        <v>202651</v>
      </c>
      <c r="J1594">
        <v>1105616384</v>
      </c>
      <c r="K1594" t="s">
        <v>46</v>
      </c>
      <c r="L1594" t="s">
        <v>252</v>
      </c>
      <c r="M1594" t="s">
        <v>253</v>
      </c>
      <c r="N1594" t="s">
        <v>35</v>
      </c>
      <c r="O1594" t="s">
        <v>26</v>
      </c>
      <c r="P1594" t="s">
        <v>27</v>
      </c>
      <c r="Q1594" t="s">
        <v>28</v>
      </c>
      <c r="R1594" t="s">
        <v>29</v>
      </c>
      <c r="S1594" t="s">
        <v>30</v>
      </c>
      <c r="T1594">
        <v>1140420282</v>
      </c>
      <c r="U1594" t="s">
        <v>3948</v>
      </c>
      <c r="V1594" t="s">
        <v>3937</v>
      </c>
      <c r="W1594" s="9">
        <f>IF(V1594="pregrado",31,
IF(V1594="posgrados",31,
IF(V1594="rEINTEGROS",7,
IF(V1594="BIT",90,
IF(V1594="OP GRADO - INGLÉS",17,"")))))</f>
        <v>31</v>
      </c>
      <c r="X1594" t="s">
        <v>3972</v>
      </c>
    </row>
    <row r="1595" spans="1:24" ht="15" x14ac:dyDescent="0.35">
      <c r="A1595" s="4">
        <v>46070.534305555557</v>
      </c>
      <c r="B1595">
        <v>20124110</v>
      </c>
      <c r="C1595" s="6" t="s">
        <v>19</v>
      </c>
      <c r="D1595">
        <v>170078</v>
      </c>
      <c r="E1595" t="s">
        <v>43</v>
      </c>
      <c r="F1595">
        <v>1081414635</v>
      </c>
      <c r="G1595" t="s">
        <v>3297</v>
      </c>
      <c r="H1595">
        <v>100036414</v>
      </c>
      <c r="I1595">
        <v>202641</v>
      </c>
      <c r="J1595">
        <v>1081414635</v>
      </c>
      <c r="K1595" t="s">
        <v>46</v>
      </c>
      <c r="L1595" t="s">
        <v>294</v>
      </c>
      <c r="M1595" t="s">
        <v>47</v>
      </c>
      <c r="N1595" t="s">
        <v>35</v>
      </c>
      <c r="O1595" t="s">
        <v>26</v>
      </c>
      <c r="P1595" t="s">
        <v>27</v>
      </c>
      <c r="Q1595" t="s">
        <v>28</v>
      </c>
      <c r="R1595" t="s">
        <v>29</v>
      </c>
      <c r="S1595" t="s">
        <v>30</v>
      </c>
      <c r="T1595">
        <v>1019102787</v>
      </c>
      <c r="U1595" t="s">
        <v>3977</v>
      </c>
      <c r="V1595" t="s">
        <v>3970</v>
      </c>
      <c r="W1595" s="9">
        <f>IF(V1595="pregrado",31,
IF(V1595="posgrados",31,
IF(V1595="rEINTEGROS",7,
IF(V1595="BIT",90,
IF(V1595="OP GRADO - INGLÉS",17,"")))))</f>
        <v>7</v>
      </c>
      <c r="X1595" t="s">
        <v>3976</v>
      </c>
    </row>
    <row r="1596" spans="1:24" ht="15" x14ac:dyDescent="0.35">
      <c r="A1596" s="4">
        <v>46071.455000000002</v>
      </c>
      <c r="B1596">
        <v>20124406</v>
      </c>
      <c r="C1596" s="6" t="s">
        <v>19</v>
      </c>
      <c r="D1596">
        <v>170079</v>
      </c>
      <c r="E1596" t="s">
        <v>43</v>
      </c>
      <c r="F1596">
        <v>1096221922</v>
      </c>
      <c r="G1596" t="s">
        <v>3346</v>
      </c>
      <c r="H1596">
        <v>100174488</v>
      </c>
      <c r="I1596">
        <v>202641</v>
      </c>
      <c r="J1596">
        <v>1096221922</v>
      </c>
      <c r="K1596" t="s">
        <v>46</v>
      </c>
      <c r="L1596" t="s">
        <v>294</v>
      </c>
      <c r="M1596" t="s">
        <v>47</v>
      </c>
      <c r="N1596">
        <v>0</v>
      </c>
      <c r="O1596" t="s">
        <v>26</v>
      </c>
      <c r="P1596" t="s">
        <v>27</v>
      </c>
      <c r="Q1596" t="s">
        <v>28</v>
      </c>
      <c r="R1596" t="s">
        <v>29</v>
      </c>
      <c r="S1596" t="s">
        <v>30</v>
      </c>
      <c r="T1596">
        <v>1019102787</v>
      </c>
      <c r="U1596" t="s">
        <v>3977</v>
      </c>
      <c r="V1596" t="s">
        <v>3970</v>
      </c>
      <c r="W1596" s="9">
        <f>IF(V1596="pregrado",31,
IF(V1596="posgrados",31,
IF(V1596="rEINTEGROS",7,
IF(V1596="BIT",90,
IF(V1596="OP GRADO - INGLÉS",17,"")))))</f>
        <v>7</v>
      </c>
      <c r="X1596" t="s">
        <v>3976</v>
      </c>
    </row>
    <row r="1597" spans="1:24" ht="15" x14ac:dyDescent="0.35">
      <c r="A1597" s="4">
        <v>46070.683506944442</v>
      </c>
      <c r="B1597">
        <v>20124207</v>
      </c>
      <c r="C1597" s="6" t="s">
        <v>19</v>
      </c>
      <c r="D1597">
        <v>170084</v>
      </c>
      <c r="E1597" t="s">
        <v>43</v>
      </c>
      <c r="F1597">
        <v>32273439</v>
      </c>
      <c r="G1597" t="s">
        <v>3315</v>
      </c>
      <c r="H1597">
        <v>100246739</v>
      </c>
      <c r="I1597">
        <v>202651</v>
      </c>
      <c r="J1597">
        <v>32273439</v>
      </c>
      <c r="K1597" t="s">
        <v>23</v>
      </c>
      <c r="L1597" t="s">
        <v>252</v>
      </c>
      <c r="M1597" t="s">
        <v>253</v>
      </c>
      <c r="N1597" t="s">
        <v>35</v>
      </c>
      <c r="O1597" t="s">
        <v>26</v>
      </c>
      <c r="P1597" t="s">
        <v>27</v>
      </c>
      <c r="Q1597" t="s">
        <v>28</v>
      </c>
      <c r="R1597" t="s">
        <v>29</v>
      </c>
      <c r="S1597" t="s">
        <v>30</v>
      </c>
      <c r="T1597">
        <v>1014285873</v>
      </c>
      <c r="U1597" t="s">
        <v>3948</v>
      </c>
      <c r="V1597" t="s">
        <v>3937</v>
      </c>
      <c r="W1597" s="9">
        <f>IF(V1597="pregrado",31,
IF(V1597="posgrados",31,
IF(V1597="rEINTEGROS",7,
IF(V1597="BIT",90,
IF(V1597="OP GRADO - INGLÉS",17,"")))))</f>
        <v>31</v>
      </c>
      <c r="X1597" t="s">
        <v>3953</v>
      </c>
    </row>
    <row r="1598" spans="1:24" ht="15" x14ac:dyDescent="0.35">
      <c r="A1598" s="4">
        <v>46071.430590277778</v>
      </c>
      <c r="B1598">
        <v>20124381</v>
      </c>
      <c r="C1598" s="6" t="s">
        <v>19</v>
      </c>
      <c r="D1598">
        <v>170089</v>
      </c>
      <c r="E1598" t="s">
        <v>43</v>
      </c>
      <c r="F1598">
        <v>1192739772</v>
      </c>
      <c r="G1598" t="s">
        <v>3342</v>
      </c>
      <c r="H1598">
        <v>100246749</v>
      </c>
      <c r="I1598">
        <v>202641</v>
      </c>
      <c r="J1598">
        <v>1192739772</v>
      </c>
      <c r="K1598" t="s">
        <v>23</v>
      </c>
      <c r="L1598" t="s">
        <v>99</v>
      </c>
      <c r="M1598" t="s">
        <v>47</v>
      </c>
      <c r="N1598" t="s">
        <v>35</v>
      </c>
      <c r="O1598" t="s">
        <v>26</v>
      </c>
      <c r="P1598" t="s">
        <v>27</v>
      </c>
      <c r="Q1598" t="s">
        <v>28</v>
      </c>
      <c r="R1598" t="s">
        <v>29</v>
      </c>
      <c r="S1598" t="s">
        <v>30</v>
      </c>
      <c r="T1598">
        <v>1070973852</v>
      </c>
      <c r="U1598" t="s">
        <v>3936</v>
      </c>
      <c r="V1598" t="s">
        <v>3937</v>
      </c>
      <c r="W1598" s="9">
        <f>IF(V1598="pregrado",31,
IF(V1598="posgrados",31,
IF(V1598="rEINTEGROS",7,
IF(V1598="BIT",90,
IF(V1598="OP GRADO - INGLÉS",17,"")))))</f>
        <v>31</v>
      </c>
      <c r="X1598" t="s">
        <v>3957</v>
      </c>
    </row>
    <row r="1599" spans="1:24" ht="15" x14ac:dyDescent="0.35">
      <c r="A1599" s="4">
        <v>46077.859432870369</v>
      </c>
      <c r="B1599">
        <v>20126143</v>
      </c>
      <c r="C1599" s="6" t="s">
        <v>19</v>
      </c>
      <c r="D1599">
        <v>170094</v>
      </c>
      <c r="E1599" t="s">
        <v>43</v>
      </c>
      <c r="F1599">
        <v>1078857739</v>
      </c>
      <c r="G1599" t="s">
        <v>3623</v>
      </c>
      <c r="H1599">
        <v>100168686</v>
      </c>
      <c r="I1599">
        <v>202651</v>
      </c>
      <c r="J1599">
        <v>1129044671</v>
      </c>
      <c r="K1599" t="s">
        <v>23</v>
      </c>
      <c r="L1599" t="s">
        <v>252</v>
      </c>
      <c r="M1599" t="s">
        <v>253</v>
      </c>
      <c r="N1599" t="s">
        <v>35</v>
      </c>
      <c r="O1599" t="s">
        <v>26</v>
      </c>
      <c r="P1599" t="s">
        <v>27</v>
      </c>
      <c r="Q1599" t="s">
        <v>28</v>
      </c>
      <c r="R1599" t="s">
        <v>29</v>
      </c>
      <c r="S1599" t="s">
        <v>30</v>
      </c>
      <c r="T1599">
        <v>1012389748</v>
      </c>
      <c r="U1599" t="s">
        <v>3948</v>
      </c>
      <c r="V1599" t="s">
        <v>3937</v>
      </c>
      <c r="W1599" s="9">
        <f>IF(V1599="pregrado",31,
IF(V1599="posgrados",31,
IF(V1599="rEINTEGROS",7,
IF(V1599="BIT",90,
IF(V1599="OP GRADO - INGLÉS",17,"")))))</f>
        <v>31</v>
      </c>
      <c r="X1599" t="s">
        <v>4065</v>
      </c>
    </row>
    <row r="1600" spans="1:24" ht="15" x14ac:dyDescent="0.35">
      <c r="A1600" s="4">
        <v>46076.757627314815</v>
      </c>
      <c r="B1600">
        <v>20125832</v>
      </c>
      <c r="C1600" s="6" t="s">
        <v>19</v>
      </c>
      <c r="D1600">
        <v>170103</v>
      </c>
      <c r="E1600" t="s">
        <v>43</v>
      </c>
      <c r="F1600">
        <v>1077433288</v>
      </c>
      <c r="G1600" t="s">
        <v>3570</v>
      </c>
      <c r="H1600">
        <v>100246431</v>
      </c>
      <c r="I1600">
        <v>202651</v>
      </c>
      <c r="J1600">
        <v>1077433288</v>
      </c>
      <c r="K1600" t="s">
        <v>23</v>
      </c>
      <c r="L1600" t="s">
        <v>252</v>
      </c>
      <c r="M1600" t="s">
        <v>253</v>
      </c>
      <c r="N1600" t="s">
        <v>35</v>
      </c>
      <c r="O1600" t="s">
        <v>26</v>
      </c>
      <c r="P1600" t="s">
        <v>27</v>
      </c>
      <c r="Q1600" t="s">
        <v>28</v>
      </c>
      <c r="R1600" t="s">
        <v>29</v>
      </c>
      <c r="S1600" t="s">
        <v>30</v>
      </c>
      <c r="T1600">
        <v>1033793185</v>
      </c>
      <c r="U1600" t="s">
        <v>3948</v>
      </c>
      <c r="V1600" t="s">
        <v>3937</v>
      </c>
      <c r="W1600" s="9">
        <f>IF(V1600="pregrado",31,
IF(V1600="posgrados",31,
IF(V1600="rEINTEGROS",7,
IF(V1600="BIT",90,
IF(V1600="OP GRADO - INGLÉS",17,"")))))</f>
        <v>31</v>
      </c>
      <c r="X1600" t="s">
        <v>4082</v>
      </c>
    </row>
    <row r="1601" spans="1:24" ht="15" x14ac:dyDescent="0.35">
      <c r="A1601" s="4">
        <v>46073.569166666668</v>
      </c>
      <c r="B1601">
        <v>20125268</v>
      </c>
      <c r="C1601" s="6" t="s">
        <v>19</v>
      </c>
      <c r="D1601">
        <v>170109</v>
      </c>
      <c r="E1601" t="s">
        <v>43</v>
      </c>
      <c r="F1601">
        <v>1022350884</v>
      </c>
      <c r="G1601" t="s">
        <v>3474</v>
      </c>
      <c r="H1601">
        <v>100118668</v>
      </c>
      <c r="I1601">
        <v>202641</v>
      </c>
      <c r="J1601">
        <v>1024461919</v>
      </c>
      <c r="K1601" t="s">
        <v>46</v>
      </c>
      <c r="L1601" t="s">
        <v>45</v>
      </c>
      <c r="M1601" t="s">
        <v>47</v>
      </c>
      <c r="N1601" t="s">
        <v>35</v>
      </c>
      <c r="O1601" t="s">
        <v>26</v>
      </c>
      <c r="P1601" t="s">
        <v>27</v>
      </c>
      <c r="Q1601" t="s">
        <v>28</v>
      </c>
      <c r="R1601" t="s">
        <v>29</v>
      </c>
      <c r="S1601" t="s">
        <v>30</v>
      </c>
      <c r="T1601">
        <v>1193146767</v>
      </c>
      <c r="U1601" t="s">
        <v>3936</v>
      </c>
      <c r="V1601" t="s">
        <v>3937</v>
      </c>
      <c r="W1601" s="9">
        <f>IF(V1601="pregrado",31,
IF(V1601="posgrados",31,
IF(V1601="rEINTEGROS",7,
IF(V1601="BIT",90,
IF(V1601="OP GRADO - INGLÉS",17,"")))))</f>
        <v>31</v>
      </c>
      <c r="X1601" t="s">
        <v>4072</v>
      </c>
    </row>
    <row r="1602" spans="1:24" ht="15" x14ac:dyDescent="0.35">
      <c r="A1602" s="4">
        <v>46077.503888888888</v>
      </c>
      <c r="B1602">
        <v>20125974</v>
      </c>
      <c r="C1602" s="6" t="s">
        <v>19</v>
      </c>
      <c r="D1602">
        <v>170111</v>
      </c>
      <c r="E1602" t="s">
        <v>43</v>
      </c>
      <c r="F1602">
        <v>50939542</v>
      </c>
      <c r="G1602" t="s">
        <v>3600</v>
      </c>
      <c r="H1602">
        <v>100088495</v>
      </c>
      <c r="I1602">
        <v>202641</v>
      </c>
      <c r="J1602">
        <v>50939542</v>
      </c>
      <c r="K1602" t="s">
        <v>23</v>
      </c>
      <c r="L1602" t="s">
        <v>279</v>
      </c>
      <c r="M1602" t="s">
        <v>47</v>
      </c>
      <c r="N1602" t="s">
        <v>35</v>
      </c>
      <c r="O1602" t="s">
        <v>26</v>
      </c>
      <c r="P1602" t="s">
        <v>27</v>
      </c>
      <c r="Q1602" t="s">
        <v>28</v>
      </c>
      <c r="R1602" t="s">
        <v>29</v>
      </c>
      <c r="S1602" t="s">
        <v>30</v>
      </c>
      <c r="T1602">
        <v>1012355141</v>
      </c>
      <c r="U1602" t="s">
        <v>3936</v>
      </c>
      <c r="V1602" t="s">
        <v>3937</v>
      </c>
      <c r="W1602" s="9">
        <f>IF(V1602="pregrado",31,
IF(V1602="posgrados",31,
IF(V1602="rEINTEGROS",7,
IF(V1602="BIT",90,
IF(V1602="OP GRADO - INGLÉS",17,"")))))</f>
        <v>31</v>
      </c>
      <c r="X1602" t="s">
        <v>4045</v>
      </c>
    </row>
    <row r="1603" spans="1:24" ht="15" x14ac:dyDescent="0.35">
      <c r="A1603" s="4">
        <v>46071.650173611109</v>
      </c>
      <c r="B1603">
        <v>20124540</v>
      </c>
      <c r="C1603" s="6" t="s">
        <v>19</v>
      </c>
      <c r="D1603">
        <v>170116</v>
      </c>
      <c r="E1603" t="s">
        <v>43</v>
      </c>
      <c r="F1603">
        <v>1003237184</v>
      </c>
      <c r="G1603" t="s">
        <v>3359</v>
      </c>
      <c r="H1603">
        <v>100246812</v>
      </c>
      <c r="I1603">
        <v>202651</v>
      </c>
      <c r="J1603">
        <v>1003237184</v>
      </c>
      <c r="K1603" t="s">
        <v>23</v>
      </c>
      <c r="L1603" t="s">
        <v>252</v>
      </c>
      <c r="M1603" t="s">
        <v>253</v>
      </c>
      <c r="N1603">
        <v>0</v>
      </c>
      <c r="O1603" t="s">
        <v>26</v>
      </c>
      <c r="P1603" t="s">
        <v>27</v>
      </c>
      <c r="Q1603" t="s">
        <v>28</v>
      </c>
      <c r="R1603" t="s">
        <v>29</v>
      </c>
      <c r="S1603" t="s">
        <v>30</v>
      </c>
      <c r="T1603">
        <v>52032666</v>
      </c>
      <c r="U1603" t="s">
        <v>3948</v>
      </c>
      <c r="V1603" t="s">
        <v>3937</v>
      </c>
      <c r="W1603" s="9">
        <f>IF(V1603="pregrado",31,
IF(V1603="posgrados",31,
IF(V1603="rEINTEGROS",7,
IF(V1603="BIT",90,
IF(V1603="OP GRADO - INGLÉS",17,"")))))</f>
        <v>31</v>
      </c>
      <c r="X1603" t="s">
        <v>3983</v>
      </c>
    </row>
    <row r="1604" spans="1:24" ht="15" x14ac:dyDescent="0.35">
      <c r="A1604" s="4">
        <v>46072.65053240741</v>
      </c>
      <c r="B1604">
        <v>20124923</v>
      </c>
      <c r="C1604" s="6" t="s">
        <v>19</v>
      </c>
      <c r="D1604">
        <v>170120</v>
      </c>
      <c r="E1604" t="s">
        <v>43</v>
      </c>
      <c r="F1604">
        <v>24139080</v>
      </c>
      <c r="G1604" t="s">
        <v>3428</v>
      </c>
      <c r="H1604">
        <v>100246824</v>
      </c>
      <c r="I1604">
        <v>202651</v>
      </c>
      <c r="J1604">
        <v>24139080</v>
      </c>
      <c r="K1604" t="s">
        <v>23</v>
      </c>
      <c r="L1604" t="s">
        <v>252</v>
      </c>
      <c r="M1604" t="s">
        <v>253</v>
      </c>
      <c r="N1604" t="s">
        <v>35</v>
      </c>
      <c r="O1604" t="s">
        <v>26</v>
      </c>
      <c r="P1604" t="s">
        <v>27</v>
      </c>
      <c r="Q1604" t="s">
        <v>28</v>
      </c>
      <c r="R1604" t="s">
        <v>29</v>
      </c>
      <c r="S1604" t="s">
        <v>30</v>
      </c>
      <c r="T1604">
        <v>1016030683</v>
      </c>
      <c r="U1604" t="s">
        <v>3936</v>
      </c>
      <c r="V1604" t="s">
        <v>3937</v>
      </c>
      <c r="W1604" s="9">
        <f>IF(V1604="pregrado",31,
IF(V1604="posgrados",31,
IF(V1604="rEINTEGROS",7,
IF(V1604="BIT",90,
IF(V1604="OP GRADO - INGLÉS",17,"")))))</f>
        <v>31</v>
      </c>
      <c r="X1604" t="s">
        <v>3992</v>
      </c>
    </row>
    <row r="1605" spans="1:24" ht="15" x14ac:dyDescent="0.35">
      <c r="A1605" s="4">
        <v>46071.391481481478</v>
      </c>
      <c r="B1605">
        <v>20124351</v>
      </c>
      <c r="C1605" s="6" t="s">
        <v>19</v>
      </c>
      <c r="D1605">
        <v>170123</v>
      </c>
      <c r="E1605" t="s">
        <v>43</v>
      </c>
      <c r="F1605">
        <v>1007647605</v>
      </c>
      <c r="G1605" t="s">
        <v>3336</v>
      </c>
      <c r="H1605">
        <v>100246841</v>
      </c>
      <c r="I1605">
        <v>202651</v>
      </c>
      <c r="J1605">
        <v>1007647605</v>
      </c>
      <c r="K1605" t="s">
        <v>23</v>
      </c>
      <c r="L1605" t="s">
        <v>252</v>
      </c>
      <c r="M1605" t="s">
        <v>253</v>
      </c>
      <c r="N1605" t="s">
        <v>35</v>
      </c>
      <c r="O1605" t="s">
        <v>26</v>
      </c>
      <c r="P1605" t="s">
        <v>27</v>
      </c>
      <c r="Q1605" t="s">
        <v>28</v>
      </c>
      <c r="R1605" t="s">
        <v>29</v>
      </c>
      <c r="S1605" t="s">
        <v>30</v>
      </c>
      <c r="T1605">
        <v>1033793185</v>
      </c>
      <c r="U1605" t="s">
        <v>3948</v>
      </c>
      <c r="V1605" t="s">
        <v>3937</v>
      </c>
      <c r="W1605" s="9">
        <f>IF(V1605="pregrado",31,
IF(V1605="posgrados",31,
IF(V1605="rEINTEGROS",7,
IF(V1605="BIT",90,
IF(V1605="OP GRADO - INGLÉS",17,"")))))</f>
        <v>31</v>
      </c>
      <c r="X1605" t="s">
        <v>4082</v>
      </c>
    </row>
    <row r="1606" spans="1:24" ht="15" x14ac:dyDescent="0.35">
      <c r="A1606" s="4">
        <v>46072.667280092595</v>
      </c>
      <c r="B1606">
        <v>20124937</v>
      </c>
      <c r="C1606" s="6" t="s">
        <v>19</v>
      </c>
      <c r="D1606">
        <v>170124</v>
      </c>
      <c r="E1606" t="s">
        <v>43</v>
      </c>
      <c r="F1606">
        <v>1085314699</v>
      </c>
      <c r="G1606" t="s">
        <v>3429</v>
      </c>
      <c r="H1606">
        <v>100246844</v>
      </c>
      <c r="I1606">
        <v>202651</v>
      </c>
      <c r="J1606">
        <v>1085314699</v>
      </c>
      <c r="K1606" t="s">
        <v>23</v>
      </c>
      <c r="L1606" t="s">
        <v>252</v>
      </c>
      <c r="M1606" t="s">
        <v>253</v>
      </c>
      <c r="N1606" t="s">
        <v>35</v>
      </c>
      <c r="O1606" t="s">
        <v>26</v>
      </c>
      <c r="P1606" t="s">
        <v>27</v>
      </c>
      <c r="Q1606" t="s">
        <v>28</v>
      </c>
      <c r="R1606" t="s">
        <v>29</v>
      </c>
      <c r="S1606" t="s">
        <v>30</v>
      </c>
      <c r="T1606">
        <v>1020754225</v>
      </c>
      <c r="U1606" t="s">
        <v>3948</v>
      </c>
      <c r="V1606" t="s">
        <v>3937</v>
      </c>
      <c r="W1606" s="9">
        <f>IF(V1606="pregrado",31,
IF(V1606="posgrados",31,
IF(V1606="rEINTEGROS",7,
IF(V1606="BIT",90,
IF(V1606="OP GRADO - INGLÉS",17,"")))))</f>
        <v>31</v>
      </c>
      <c r="X1606" t="s">
        <v>3981</v>
      </c>
    </row>
    <row r="1607" spans="1:24" ht="15" x14ac:dyDescent="0.35">
      <c r="A1607" s="4">
        <v>46073.627546296295</v>
      </c>
      <c r="B1607">
        <v>20125303</v>
      </c>
      <c r="C1607" s="6" t="s">
        <v>19</v>
      </c>
      <c r="D1607">
        <v>170126</v>
      </c>
      <c r="E1607" t="s">
        <v>43</v>
      </c>
      <c r="F1607">
        <v>1030635297</v>
      </c>
      <c r="G1607" t="s">
        <v>3479</v>
      </c>
      <c r="H1607">
        <v>100221632</v>
      </c>
      <c r="I1607">
        <v>202651</v>
      </c>
      <c r="J1607">
        <v>1030635297</v>
      </c>
      <c r="K1607" t="s">
        <v>23</v>
      </c>
      <c r="L1607" t="s">
        <v>252</v>
      </c>
      <c r="M1607" t="s">
        <v>253</v>
      </c>
      <c r="N1607" t="s">
        <v>35</v>
      </c>
      <c r="O1607" t="s">
        <v>26</v>
      </c>
      <c r="P1607" t="s">
        <v>27</v>
      </c>
      <c r="Q1607" t="s">
        <v>28</v>
      </c>
      <c r="R1607" t="s">
        <v>29</v>
      </c>
      <c r="S1607" t="s">
        <v>30</v>
      </c>
      <c r="T1607">
        <v>1020754225</v>
      </c>
      <c r="U1607" t="s">
        <v>3948</v>
      </c>
      <c r="V1607" t="s">
        <v>3937</v>
      </c>
      <c r="W1607" s="9">
        <f>IF(V1607="pregrado",31,
IF(V1607="posgrados",31,
IF(V1607="rEINTEGROS",7,
IF(V1607="BIT",90,
IF(V1607="OP GRADO - INGLÉS",17,"")))))</f>
        <v>31</v>
      </c>
      <c r="X1607" t="s">
        <v>3981</v>
      </c>
    </row>
    <row r="1608" spans="1:24" ht="15" x14ac:dyDescent="0.35">
      <c r="A1608" s="4">
        <v>46074.450682870367</v>
      </c>
      <c r="B1608">
        <v>20125505</v>
      </c>
      <c r="C1608" s="6" t="s">
        <v>19</v>
      </c>
      <c r="D1608">
        <v>170135</v>
      </c>
      <c r="E1608" t="s">
        <v>43</v>
      </c>
      <c r="F1608">
        <v>1072255818</v>
      </c>
      <c r="G1608" t="s">
        <v>3513</v>
      </c>
      <c r="H1608">
        <v>100246860</v>
      </c>
      <c r="I1608">
        <v>202651</v>
      </c>
      <c r="J1608">
        <v>1072255818</v>
      </c>
      <c r="K1608" t="s">
        <v>23</v>
      </c>
      <c r="L1608" t="s">
        <v>252</v>
      </c>
      <c r="M1608" t="s">
        <v>253</v>
      </c>
      <c r="N1608" t="s">
        <v>35</v>
      </c>
      <c r="O1608" t="s">
        <v>26</v>
      </c>
      <c r="P1608" t="s">
        <v>27</v>
      </c>
      <c r="Q1608" t="s">
        <v>28</v>
      </c>
      <c r="R1608" t="s">
        <v>29</v>
      </c>
      <c r="S1608" t="s">
        <v>30</v>
      </c>
      <c r="T1608">
        <v>1140420282</v>
      </c>
      <c r="U1608" t="s">
        <v>3948</v>
      </c>
      <c r="V1608" t="s">
        <v>3937</v>
      </c>
      <c r="W1608" s="9">
        <f>IF(V1608="pregrado",31,
IF(V1608="posgrados",31,
IF(V1608="rEINTEGROS",7,
IF(V1608="BIT",90,
IF(V1608="OP GRADO - INGLÉS",17,"")))))</f>
        <v>31</v>
      </c>
      <c r="X1608" t="s">
        <v>3972</v>
      </c>
    </row>
    <row r="1609" spans="1:24" ht="15" x14ac:dyDescent="0.35">
      <c r="A1609" s="4">
        <v>46071.884930555556</v>
      </c>
      <c r="B1609">
        <v>20124668</v>
      </c>
      <c r="C1609" s="6" t="s">
        <v>19</v>
      </c>
      <c r="D1609">
        <v>170137</v>
      </c>
      <c r="E1609" t="s">
        <v>43</v>
      </c>
      <c r="F1609">
        <v>28169165</v>
      </c>
      <c r="G1609" t="s">
        <v>3381</v>
      </c>
      <c r="H1609">
        <v>100098643</v>
      </c>
      <c r="I1609">
        <v>202641</v>
      </c>
      <c r="J1609">
        <v>28169165</v>
      </c>
      <c r="K1609" t="s">
        <v>23</v>
      </c>
      <c r="L1609" t="s">
        <v>59</v>
      </c>
      <c r="M1609" t="s">
        <v>47</v>
      </c>
      <c r="N1609" t="s">
        <v>35</v>
      </c>
      <c r="O1609" t="s">
        <v>26</v>
      </c>
      <c r="P1609" t="s">
        <v>27</v>
      </c>
      <c r="Q1609" t="s">
        <v>28</v>
      </c>
      <c r="R1609" t="s">
        <v>29</v>
      </c>
      <c r="S1609" t="s">
        <v>30</v>
      </c>
      <c r="T1609">
        <v>1031147887</v>
      </c>
      <c r="U1609" t="s">
        <v>3948</v>
      </c>
      <c r="V1609" t="s">
        <v>3937</v>
      </c>
      <c r="W1609" s="9">
        <f>IF(V1609="pregrado",31,
IF(V1609="posgrados",31,
IF(V1609="rEINTEGROS",7,
IF(V1609="BIT",90,
IF(V1609="OP GRADO - INGLÉS",17,"")))))</f>
        <v>31</v>
      </c>
      <c r="X1609" t="s">
        <v>3947</v>
      </c>
    </row>
    <row r="1610" spans="1:24" ht="15" x14ac:dyDescent="0.35">
      <c r="A1610" s="4">
        <v>46076.68346064815</v>
      </c>
      <c r="B1610">
        <v>20125755</v>
      </c>
      <c r="C1610" s="6" t="s">
        <v>19</v>
      </c>
      <c r="D1610">
        <v>170138</v>
      </c>
      <c r="E1610" t="s">
        <v>43</v>
      </c>
      <c r="F1610">
        <v>26473617</v>
      </c>
      <c r="G1610" t="s">
        <v>3558</v>
      </c>
      <c r="H1610">
        <v>100052901</v>
      </c>
      <c r="I1610">
        <v>202651</v>
      </c>
      <c r="J1610">
        <v>1084577732</v>
      </c>
      <c r="K1610" t="s">
        <v>23</v>
      </c>
      <c r="L1610" t="s">
        <v>252</v>
      </c>
      <c r="M1610" t="s">
        <v>253</v>
      </c>
      <c r="N1610" t="s">
        <v>35</v>
      </c>
      <c r="O1610" t="s">
        <v>26</v>
      </c>
      <c r="P1610" t="s">
        <v>27</v>
      </c>
      <c r="Q1610" t="s">
        <v>28</v>
      </c>
      <c r="R1610" t="s">
        <v>29</v>
      </c>
      <c r="S1610" t="s">
        <v>30</v>
      </c>
      <c r="T1610">
        <v>1012389748</v>
      </c>
      <c r="U1610" t="s">
        <v>3948</v>
      </c>
      <c r="V1610" t="s">
        <v>3937</v>
      </c>
      <c r="W1610" s="9">
        <f>IF(V1610="pregrado",31,
IF(V1610="posgrados",31,
IF(V1610="rEINTEGROS",7,
IF(V1610="BIT",90,
IF(V1610="OP GRADO - INGLÉS",17,"")))))</f>
        <v>31</v>
      </c>
      <c r="X1610" t="s">
        <v>4065</v>
      </c>
    </row>
    <row r="1611" spans="1:24" ht="15" x14ac:dyDescent="0.35">
      <c r="A1611" s="4">
        <v>46076.443807870368</v>
      </c>
      <c r="B1611">
        <v>20125598</v>
      </c>
      <c r="C1611" s="6" t="s">
        <v>19</v>
      </c>
      <c r="D1611">
        <v>170144</v>
      </c>
      <c r="E1611" t="s">
        <v>43</v>
      </c>
      <c r="F1611">
        <v>1063363620</v>
      </c>
      <c r="G1611" t="s">
        <v>3533</v>
      </c>
      <c r="H1611">
        <v>100246871</v>
      </c>
      <c r="I1611">
        <v>202641</v>
      </c>
      <c r="J1611">
        <v>1063363620</v>
      </c>
      <c r="K1611" t="s">
        <v>23</v>
      </c>
      <c r="L1611" t="s">
        <v>45</v>
      </c>
      <c r="M1611" t="s">
        <v>47</v>
      </c>
      <c r="N1611" t="s">
        <v>35</v>
      </c>
      <c r="O1611" t="s">
        <v>26</v>
      </c>
      <c r="P1611" t="s">
        <v>27</v>
      </c>
      <c r="Q1611" t="s">
        <v>28</v>
      </c>
      <c r="R1611" t="s">
        <v>29</v>
      </c>
      <c r="S1611" t="s">
        <v>30</v>
      </c>
      <c r="T1611">
        <v>1193146767</v>
      </c>
      <c r="U1611" t="s">
        <v>3936</v>
      </c>
      <c r="V1611" t="s">
        <v>3937</v>
      </c>
      <c r="W1611" s="9">
        <f>IF(V1611="pregrado",31,
IF(V1611="posgrados",31,
IF(V1611="rEINTEGROS",7,
IF(V1611="BIT",90,
IF(V1611="OP GRADO - INGLÉS",17,"")))))</f>
        <v>31</v>
      </c>
      <c r="X1611" t="s">
        <v>4072</v>
      </c>
    </row>
    <row r="1612" spans="1:24" ht="15" x14ac:dyDescent="0.35">
      <c r="A1612" s="4">
        <v>46072.638113425928</v>
      </c>
      <c r="B1612">
        <v>20124911</v>
      </c>
      <c r="C1612" s="6" t="s">
        <v>19</v>
      </c>
      <c r="D1612">
        <v>170146</v>
      </c>
      <c r="E1612" t="s">
        <v>43</v>
      </c>
      <c r="F1612">
        <v>1003376026</v>
      </c>
      <c r="G1612" t="s">
        <v>3427</v>
      </c>
      <c r="H1612">
        <v>100246873</v>
      </c>
      <c r="I1612">
        <v>202651</v>
      </c>
      <c r="J1612">
        <v>1003376026</v>
      </c>
      <c r="K1612" t="s">
        <v>23</v>
      </c>
      <c r="L1612" t="s">
        <v>252</v>
      </c>
      <c r="M1612" t="s">
        <v>253</v>
      </c>
      <c r="N1612" t="s">
        <v>35</v>
      </c>
      <c r="O1612" t="s">
        <v>26</v>
      </c>
      <c r="P1612" t="s">
        <v>27</v>
      </c>
      <c r="Q1612" t="s">
        <v>28</v>
      </c>
      <c r="R1612" t="s">
        <v>29</v>
      </c>
      <c r="S1612" t="s">
        <v>30</v>
      </c>
      <c r="T1612">
        <v>52032666</v>
      </c>
      <c r="U1612" t="s">
        <v>3948</v>
      </c>
      <c r="V1612" t="s">
        <v>3937</v>
      </c>
      <c r="W1612" s="9">
        <f>IF(V1612="pregrado",31,
IF(V1612="posgrados",31,
IF(V1612="rEINTEGROS",7,
IF(V1612="BIT",90,
IF(V1612="OP GRADO - INGLÉS",17,"")))))</f>
        <v>31</v>
      </c>
      <c r="X1612" t="s">
        <v>3983</v>
      </c>
    </row>
    <row r="1613" spans="1:24" ht="15" x14ac:dyDescent="0.35">
      <c r="A1613" s="4">
        <v>46072.507569444446</v>
      </c>
      <c r="B1613">
        <v>20124834</v>
      </c>
      <c r="C1613" s="6" t="s">
        <v>19</v>
      </c>
      <c r="D1613">
        <v>170164</v>
      </c>
      <c r="E1613" t="s">
        <v>43</v>
      </c>
      <c r="F1613">
        <v>1061731031</v>
      </c>
      <c r="G1613" t="s">
        <v>3409</v>
      </c>
      <c r="H1613">
        <v>100037558</v>
      </c>
      <c r="I1613">
        <v>202651</v>
      </c>
      <c r="J1613">
        <v>1061731031</v>
      </c>
      <c r="K1613" t="s">
        <v>23</v>
      </c>
      <c r="L1613" t="s">
        <v>252</v>
      </c>
      <c r="M1613" t="s">
        <v>253</v>
      </c>
      <c r="N1613" t="s">
        <v>35</v>
      </c>
      <c r="O1613" t="s">
        <v>26</v>
      </c>
      <c r="P1613" t="s">
        <v>27</v>
      </c>
      <c r="Q1613" t="s">
        <v>28</v>
      </c>
      <c r="R1613" t="s">
        <v>29</v>
      </c>
      <c r="S1613" t="s">
        <v>30</v>
      </c>
      <c r="T1613">
        <v>1026262709</v>
      </c>
      <c r="U1613" t="s">
        <v>3936</v>
      </c>
      <c r="V1613" t="s">
        <v>3937</v>
      </c>
      <c r="W1613" s="9">
        <f>IF(V1613="pregrado",31,
IF(V1613="posgrados",31,
IF(V1613="rEINTEGROS",7,
IF(V1613="BIT",90,
IF(V1613="OP GRADO - INGLÉS",17,"")))))</f>
        <v>31</v>
      </c>
      <c r="X1613" t="s">
        <v>4037</v>
      </c>
    </row>
    <row r="1614" spans="1:24" ht="15" x14ac:dyDescent="0.35">
      <c r="A1614" s="4">
        <v>46071.732083333336</v>
      </c>
      <c r="B1614">
        <v>20124625</v>
      </c>
      <c r="C1614" s="6" t="s">
        <v>19</v>
      </c>
      <c r="D1614">
        <v>170168</v>
      </c>
      <c r="E1614" t="s">
        <v>43</v>
      </c>
      <c r="F1614">
        <v>1019072693</v>
      </c>
      <c r="G1614" t="s">
        <v>3379</v>
      </c>
      <c r="H1614">
        <v>100246917</v>
      </c>
      <c r="I1614">
        <v>202651</v>
      </c>
      <c r="J1614">
        <v>1019072693</v>
      </c>
      <c r="K1614" t="s">
        <v>23</v>
      </c>
      <c r="L1614" t="s">
        <v>252</v>
      </c>
      <c r="M1614" t="s">
        <v>253</v>
      </c>
      <c r="N1614" t="s">
        <v>35</v>
      </c>
      <c r="O1614" t="s">
        <v>26</v>
      </c>
      <c r="P1614" t="s">
        <v>27</v>
      </c>
      <c r="Q1614" t="s">
        <v>28</v>
      </c>
      <c r="R1614" t="s">
        <v>29</v>
      </c>
      <c r="S1614" t="s">
        <v>30</v>
      </c>
      <c r="T1614">
        <v>1033784244</v>
      </c>
      <c r="U1614" t="s">
        <v>3948</v>
      </c>
      <c r="V1614" t="s">
        <v>3937</v>
      </c>
      <c r="W1614" s="9">
        <f>IF(V1614="pregrado",31,
IF(V1614="posgrados",31,
IF(V1614="rEINTEGROS",7,
IF(V1614="BIT",90,
IF(V1614="OP GRADO - INGLÉS",17,"")))))</f>
        <v>31</v>
      </c>
      <c r="X1614" t="s">
        <v>4067</v>
      </c>
    </row>
    <row r="1615" spans="1:24" ht="15" x14ac:dyDescent="0.35">
      <c r="A1615" s="4">
        <v>46072.715821759259</v>
      </c>
      <c r="B1615">
        <v>20124996</v>
      </c>
      <c r="C1615" s="6" t="s">
        <v>19</v>
      </c>
      <c r="D1615">
        <v>170169</v>
      </c>
      <c r="E1615" t="s">
        <v>43</v>
      </c>
      <c r="F1615">
        <v>24081356</v>
      </c>
      <c r="G1615" t="s">
        <v>3438</v>
      </c>
      <c r="H1615">
        <v>100246920</v>
      </c>
      <c r="I1615">
        <v>202651</v>
      </c>
      <c r="J1615">
        <v>24081356</v>
      </c>
      <c r="K1615" t="s">
        <v>23</v>
      </c>
      <c r="L1615" t="s">
        <v>252</v>
      </c>
      <c r="M1615" t="s">
        <v>253</v>
      </c>
      <c r="N1615" t="s">
        <v>35</v>
      </c>
      <c r="O1615" t="s">
        <v>26</v>
      </c>
      <c r="P1615" t="s">
        <v>27</v>
      </c>
      <c r="Q1615" t="s">
        <v>28</v>
      </c>
      <c r="R1615" t="s">
        <v>29</v>
      </c>
      <c r="S1615" t="s">
        <v>30</v>
      </c>
      <c r="T1615">
        <v>1075542872</v>
      </c>
      <c r="U1615" t="s">
        <v>3948</v>
      </c>
      <c r="V1615" t="s">
        <v>3937</v>
      </c>
      <c r="W1615" s="9">
        <f>IF(V1615="pregrado",31,
IF(V1615="posgrados",31,
IF(V1615="rEINTEGROS",7,
IF(V1615="BIT",90,
IF(V1615="OP GRADO - INGLÉS",17,"")))))</f>
        <v>31</v>
      </c>
      <c r="X1615" t="s">
        <v>3974</v>
      </c>
    </row>
    <row r="1616" spans="1:24" ht="15" x14ac:dyDescent="0.35">
      <c r="A1616" s="4">
        <v>46072.66946759259</v>
      </c>
      <c r="B1616">
        <v>20124941</v>
      </c>
      <c r="C1616" s="6" t="s">
        <v>19</v>
      </c>
      <c r="D1616">
        <v>170178</v>
      </c>
      <c r="E1616" t="s">
        <v>43</v>
      </c>
      <c r="F1616">
        <v>1015447381</v>
      </c>
      <c r="G1616" t="s">
        <v>3430</v>
      </c>
      <c r="H1616">
        <v>100246941</v>
      </c>
      <c r="I1616">
        <v>202641</v>
      </c>
      <c r="J1616">
        <v>1015447381</v>
      </c>
      <c r="K1616" t="s">
        <v>23</v>
      </c>
      <c r="L1616" t="s">
        <v>294</v>
      </c>
      <c r="M1616" t="s">
        <v>47</v>
      </c>
      <c r="N1616" t="s">
        <v>35</v>
      </c>
      <c r="O1616" t="s">
        <v>26</v>
      </c>
      <c r="P1616" t="s">
        <v>27</v>
      </c>
      <c r="Q1616" t="s">
        <v>28</v>
      </c>
      <c r="R1616" t="s">
        <v>29</v>
      </c>
      <c r="S1616" t="s">
        <v>30</v>
      </c>
      <c r="T1616">
        <v>52916205</v>
      </c>
      <c r="U1616" t="s">
        <v>3936</v>
      </c>
      <c r="V1616" t="s">
        <v>3937</v>
      </c>
      <c r="W1616" s="9">
        <f>IF(V1616="pregrado",31,
IF(V1616="posgrados",31,
IF(V1616="rEINTEGROS",7,
IF(V1616="BIT",90,
IF(V1616="OP GRADO - INGLÉS",17,"")))))</f>
        <v>31</v>
      </c>
      <c r="X1616" t="s">
        <v>4032</v>
      </c>
    </row>
    <row r="1617" spans="1:24" ht="15" x14ac:dyDescent="0.35">
      <c r="A1617" s="4">
        <v>46077.538263888891</v>
      </c>
      <c r="B1617">
        <v>20125990</v>
      </c>
      <c r="C1617" s="6" t="s">
        <v>19</v>
      </c>
      <c r="D1617">
        <v>170181</v>
      </c>
      <c r="E1617" t="s">
        <v>43</v>
      </c>
      <c r="F1617">
        <v>1032447273</v>
      </c>
      <c r="G1617" t="s">
        <v>3603</v>
      </c>
      <c r="H1617">
        <v>100160704</v>
      </c>
      <c r="I1617">
        <v>202641</v>
      </c>
      <c r="J1617">
        <v>1032447273</v>
      </c>
      <c r="K1617" t="s">
        <v>46</v>
      </c>
      <c r="L1617" t="s">
        <v>45</v>
      </c>
      <c r="M1617" t="s">
        <v>47</v>
      </c>
      <c r="N1617" t="s">
        <v>35</v>
      </c>
      <c r="O1617" t="s">
        <v>26</v>
      </c>
      <c r="P1617" t="s">
        <v>27</v>
      </c>
      <c r="Q1617" t="s">
        <v>28</v>
      </c>
      <c r="R1617" t="s">
        <v>29</v>
      </c>
      <c r="S1617" t="s">
        <v>30</v>
      </c>
      <c r="T1617">
        <v>1082250716</v>
      </c>
      <c r="U1617" t="s">
        <v>3936</v>
      </c>
      <c r="V1617" t="s">
        <v>3937</v>
      </c>
      <c r="W1617" s="9">
        <f>IF(V1617="pregrado",31,
IF(V1617="posgrados",31,
IF(V1617="rEINTEGROS",7,
IF(V1617="BIT",90,
IF(V1617="OP GRADO - INGLÉS",17,"")))))</f>
        <v>31</v>
      </c>
      <c r="X1617" t="s">
        <v>3997</v>
      </c>
    </row>
    <row r="1618" spans="1:24" ht="15" x14ac:dyDescent="0.35">
      <c r="A1618" s="4">
        <v>46078.675358796296</v>
      </c>
      <c r="B1618">
        <v>20126310</v>
      </c>
      <c r="C1618" s="6" t="s">
        <v>19</v>
      </c>
      <c r="D1618">
        <v>170184</v>
      </c>
      <c r="E1618" t="s">
        <v>43</v>
      </c>
      <c r="F1618">
        <v>1140892492</v>
      </c>
      <c r="G1618" t="s">
        <v>3635</v>
      </c>
      <c r="H1618">
        <v>100246964</v>
      </c>
      <c r="I1618">
        <v>202651</v>
      </c>
      <c r="J1618">
        <v>1140892492</v>
      </c>
      <c r="K1618" t="s">
        <v>23</v>
      </c>
      <c r="L1618" t="s">
        <v>252</v>
      </c>
      <c r="M1618" t="s">
        <v>253</v>
      </c>
      <c r="N1618" t="s">
        <v>35</v>
      </c>
      <c r="O1618" t="s">
        <v>26</v>
      </c>
      <c r="P1618" t="s">
        <v>27</v>
      </c>
      <c r="Q1618" t="s">
        <v>28</v>
      </c>
      <c r="R1618" t="s">
        <v>29</v>
      </c>
      <c r="S1618" t="s">
        <v>30</v>
      </c>
      <c r="T1618">
        <v>1019068131</v>
      </c>
      <c r="U1618" t="s">
        <v>3948</v>
      </c>
      <c r="V1618" t="s">
        <v>3937</v>
      </c>
      <c r="W1618" s="9">
        <f>IF(V1618="pregrado",31,
IF(V1618="posgrados",31,
IF(V1618="rEINTEGROS",7,
IF(V1618="BIT",90,
IF(V1618="OP GRADO - INGLÉS",17,"")))))</f>
        <v>31</v>
      </c>
      <c r="X1618" t="s">
        <v>4066</v>
      </c>
    </row>
    <row r="1619" spans="1:24" ht="15" x14ac:dyDescent="0.35">
      <c r="A1619" s="4">
        <v>46076.405451388891</v>
      </c>
      <c r="B1619">
        <v>20125577</v>
      </c>
      <c r="C1619" s="6" t="s">
        <v>19</v>
      </c>
      <c r="D1619">
        <v>170186</v>
      </c>
      <c r="E1619" t="s">
        <v>43</v>
      </c>
      <c r="F1619">
        <v>43650260</v>
      </c>
      <c r="G1619" t="s">
        <v>3532</v>
      </c>
      <c r="H1619">
        <v>100244714</v>
      </c>
      <c r="I1619">
        <v>202651</v>
      </c>
      <c r="J1619">
        <v>43650260</v>
      </c>
      <c r="K1619" t="s">
        <v>23</v>
      </c>
      <c r="L1619" t="s">
        <v>252</v>
      </c>
      <c r="M1619" t="s">
        <v>253</v>
      </c>
      <c r="N1619" t="s">
        <v>25</v>
      </c>
      <c r="O1619" t="s">
        <v>26</v>
      </c>
      <c r="P1619" t="s">
        <v>27</v>
      </c>
      <c r="Q1619" t="s">
        <v>28</v>
      </c>
      <c r="R1619" t="s">
        <v>29</v>
      </c>
      <c r="S1619" t="s">
        <v>30</v>
      </c>
      <c r="T1619">
        <v>1140420282</v>
      </c>
      <c r="U1619" t="s">
        <v>3948</v>
      </c>
      <c r="V1619" t="s">
        <v>3937</v>
      </c>
      <c r="W1619" s="9">
        <f>IF(V1619="pregrado",31,
IF(V1619="posgrados",31,
IF(V1619="rEINTEGROS",7,
IF(V1619="BIT",90,
IF(V1619="OP GRADO - INGLÉS",17,"")))))</f>
        <v>31</v>
      </c>
      <c r="X1619" t="s">
        <v>3972</v>
      </c>
    </row>
    <row r="1620" spans="1:24" ht="15" x14ac:dyDescent="0.35">
      <c r="A1620" s="4">
        <v>46072.433425925927</v>
      </c>
      <c r="B1620">
        <v>20124772</v>
      </c>
      <c r="C1620" s="6" t="s">
        <v>19</v>
      </c>
      <c r="D1620">
        <v>170201</v>
      </c>
      <c r="E1620" t="s">
        <v>43</v>
      </c>
      <c r="F1620">
        <v>1193592752</v>
      </c>
      <c r="G1620" t="s">
        <v>3396</v>
      </c>
      <c r="H1620">
        <v>100101863</v>
      </c>
      <c r="I1620">
        <v>202641</v>
      </c>
      <c r="J1620">
        <v>1193592752</v>
      </c>
      <c r="K1620" t="s">
        <v>23</v>
      </c>
      <c r="L1620" t="s">
        <v>294</v>
      </c>
      <c r="M1620" t="s">
        <v>47</v>
      </c>
      <c r="N1620" t="s">
        <v>35</v>
      </c>
      <c r="O1620" t="s">
        <v>26</v>
      </c>
      <c r="P1620" t="s">
        <v>27</v>
      </c>
      <c r="Q1620" t="s">
        <v>28</v>
      </c>
      <c r="R1620" t="s">
        <v>29</v>
      </c>
      <c r="S1620" t="s">
        <v>30</v>
      </c>
      <c r="T1620">
        <v>1073673268</v>
      </c>
      <c r="U1620" t="s">
        <v>3948</v>
      </c>
      <c r="V1620" t="s">
        <v>3937</v>
      </c>
      <c r="W1620" s="9">
        <f>IF(V1620="pregrado",31,
IF(V1620="posgrados",31,
IF(V1620="rEINTEGROS",7,
IF(V1620="BIT",90,
IF(V1620="OP GRADO - INGLÉS",17,"")))))</f>
        <v>31</v>
      </c>
      <c r="X1620" t="s">
        <v>4080</v>
      </c>
    </row>
    <row r="1621" spans="1:24" ht="15" x14ac:dyDescent="0.35">
      <c r="A1621" s="4">
        <v>46072.420497685183</v>
      </c>
      <c r="B1621">
        <v>20124759</v>
      </c>
      <c r="C1621" s="6" t="s">
        <v>19</v>
      </c>
      <c r="D1621">
        <v>170202</v>
      </c>
      <c r="E1621" t="s">
        <v>43</v>
      </c>
      <c r="F1621">
        <v>1123201682</v>
      </c>
      <c r="G1621" t="s">
        <v>3393</v>
      </c>
      <c r="H1621">
        <v>100246991</v>
      </c>
      <c r="I1621">
        <v>202651</v>
      </c>
      <c r="J1621">
        <v>1123201682</v>
      </c>
      <c r="K1621" t="s">
        <v>23</v>
      </c>
      <c r="L1621" t="s">
        <v>252</v>
      </c>
      <c r="M1621" t="s">
        <v>253</v>
      </c>
      <c r="N1621" t="s">
        <v>35</v>
      </c>
      <c r="O1621" t="s">
        <v>26</v>
      </c>
      <c r="P1621" t="s">
        <v>27</v>
      </c>
      <c r="Q1621" t="s">
        <v>28</v>
      </c>
      <c r="R1621" t="s">
        <v>29</v>
      </c>
      <c r="S1621" t="s">
        <v>30</v>
      </c>
      <c r="T1621">
        <v>52032666</v>
      </c>
      <c r="U1621" t="s">
        <v>3948</v>
      </c>
      <c r="V1621" t="s">
        <v>3937</v>
      </c>
      <c r="W1621" s="9">
        <f>IF(V1621="pregrado",31,
IF(V1621="posgrados",31,
IF(V1621="rEINTEGROS",7,
IF(V1621="BIT",90,
IF(V1621="OP GRADO - INGLÉS",17,"")))))</f>
        <v>31</v>
      </c>
      <c r="X1621" t="s">
        <v>3983</v>
      </c>
    </row>
    <row r="1622" spans="1:24" ht="15" x14ac:dyDescent="0.35">
      <c r="A1622" s="4">
        <v>46072.420300925929</v>
      </c>
      <c r="B1622">
        <v>20124758</v>
      </c>
      <c r="C1622" s="6" t="s">
        <v>19</v>
      </c>
      <c r="D1622">
        <v>170207</v>
      </c>
      <c r="E1622" t="s">
        <v>43</v>
      </c>
      <c r="F1622">
        <v>37900800</v>
      </c>
      <c r="G1622" t="s">
        <v>3392</v>
      </c>
      <c r="H1622">
        <v>100246999</v>
      </c>
      <c r="I1622">
        <v>202651</v>
      </c>
      <c r="J1622">
        <v>37900800</v>
      </c>
      <c r="K1622" t="s">
        <v>23</v>
      </c>
      <c r="L1622" t="s">
        <v>252</v>
      </c>
      <c r="M1622" t="s">
        <v>253</v>
      </c>
      <c r="N1622" t="s">
        <v>35</v>
      </c>
      <c r="O1622" t="s">
        <v>26</v>
      </c>
      <c r="P1622" t="s">
        <v>27</v>
      </c>
      <c r="Q1622" t="s">
        <v>28</v>
      </c>
      <c r="R1622" t="s">
        <v>29</v>
      </c>
      <c r="S1622" t="s">
        <v>30</v>
      </c>
      <c r="T1622">
        <v>1031147887</v>
      </c>
      <c r="U1622" t="s">
        <v>3948</v>
      </c>
      <c r="V1622" t="s">
        <v>3937</v>
      </c>
      <c r="W1622" s="9">
        <f>IF(V1622="pregrado",31,
IF(V1622="posgrados",31,
IF(V1622="rEINTEGROS",7,
IF(V1622="BIT",90,
IF(V1622="OP GRADO - INGLÉS",17,"")))))</f>
        <v>31</v>
      </c>
      <c r="X1622" t="s">
        <v>3947</v>
      </c>
    </row>
    <row r="1623" spans="1:24" ht="15" x14ac:dyDescent="0.35">
      <c r="A1623" s="4">
        <v>46072.747337962966</v>
      </c>
      <c r="B1623">
        <v>20125030</v>
      </c>
      <c r="C1623" s="6" t="s">
        <v>19</v>
      </c>
      <c r="D1623">
        <v>170219</v>
      </c>
      <c r="E1623" t="s">
        <v>43</v>
      </c>
      <c r="F1623">
        <v>1060801164</v>
      </c>
      <c r="G1623" t="s">
        <v>3443</v>
      </c>
      <c r="H1623">
        <v>100247015</v>
      </c>
      <c r="I1623">
        <v>202651</v>
      </c>
      <c r="J1623">
        <v>1060801164</v>
      </c>
      <c r="K1623" t="s">
        <v>23</v>
      </c>
      <c r="L1623" t="s">
        <v>252</v>
      </c>
      <c r="M1623" t="s">
        <v>253</v>
      </c>
      <c r="N1623" t="s">
        <v>35</v>
      </c>
      <c r="O1623" t="s">
        <v>26</v>
      </c>
      <c r="P1623" t="s">
        <v>27</v>
      </c>
      <c r="Q1623" t="s">
        <v>28</v>
      </c>
      <c r="R1623" t="s">
        <v>29</v>
      </c>
      <c r="S1623" t="s">
        <v>30</v>
      </c>
      <c r="T1623">
        <v>1026262709</v>
      </c>
      <c r="U1623" t="s">
        <v>3936</v>
      </c>
      <c r="V1623" t="s">
        <v>3937</v>
      </c>
      <c r="W1623" s="9">
        <f>IF(V1623="pregrado",31,
IF(V1623="posgrados",31,
IF(V1623="rEINTEGROS",7,
IF(V1623="BIT",90,
IF(V1623="OP GRADO - INGLÉS",17,"")))))</f>
        <v>31</v>
      </c>
      <c r="X1623" t="s">
        <v>4037</v>
      </c>
    </row>
    <row r="1624" spans="1:24" ht="15" x14ac:dyDescent="0.35">
      <c r="A1624" s="4">
        <v>46074.558194444442</v>
      </c>
      <c r="B1624">
        <v>20125525</v>
      </c>
      <c r="C1624" s="6" t="s">
        <v>19</v>
      </c>
      <c r="D1624">
        <v>170220</v>
      </c>
      <c r="E1624" t="s">
        <v>43</v>
      </c>
      <c r="F1624">
        <v>1024487969</v>
      </c>
      <c r="G1624" t="s">
        <v>3518</v>
      </c>
      <c r="H1624">
        <v>100043046</v>
      </c>
      <c r="I1624">
        <v>202651</v>
      </c>
      <c r="J1624">
        <v>1024486044</v>
      </c>
      <c r="K1624" t="s">
        <v>46</v>
      </c>
      <c r="L1624" t="s">
        <v>252</v>
      </c>
      <c r="M1624" t="s">
        <v>253</v>
      </c>
      <c r="N1624" t="s">
        <v>35</v>
      </c>
      <c r="O1624" t="s">
        <v>26</v>
      </c>
      <c r="P1624" t="s">
        <v>27</v>
      </c>
      <c r="Q1624" t="s">
        <v>28</v>
      </c>
      <c r="R1624" t="s">
        <v>29</v>
      </c>
      <c r="S1624" t="s">
        <v>30</v>
      </c>
      <c r="T1624">
        <v>1075542872</v>
      </c>
      <c r="U1624" t="s">
        <v>3948</v>
      </c>
      <c r="V1624" t="s">
        <v>3937</v>
      </c>
      <c r="W1624" s="9">
        <f>IF(V1624="pregrado",31,
IF(V1624="posgrados",31,
IF(V1624="rEINTEGROS",7,
IF(V1624="BIT",90,
IF(V1624="OP GRADO - INGLÉS",17,"")))))</f>
        <v>31</v>
      </c>
      <c r="X1624" t="s">
        <v>3974</v>
      </c>
    </row>
    <row r="1625" spans="1:24" ht="15" x14ac:dyDescent="0.35">
      <c r="A1625" s="4">
        <v>46073.886180555557</v>
      </c>
      <c r="B1625">
        <v>20125455</v>
      </c>
      <c r="C1625" s="6" t="s">
        <v>19</v>
      </c>
      <c r="D1625">
        <v>170230</v>
      </c>
      <c r="E1625" t="s">
        <v>43</v>
      </c>
      <c r="F1625">
        <v>1010096768</v>
      </c>
      <c r="G1625" t="s">
        <v>3502</v>
      </c>
      <c r="H1625">
        <v>100247026</v>
      </c>
      <c r="I1625">
        <v>202651</v>
      </c>
      <c r="J1625">
        <v>1010096768</v>
      </c>
      <c r="K1625" t="s">
        <v>23</v>
      </c>
      <c r="L1625" t="s">
        <v>252</v>
      </c>
      <c r="M1625" t="s">
        <v>253</v>
      </c>
      <c r="N1625" t="s">
        <v>35</v>
      </c>
      <c r="O1625" t="s">
        <v>26</v>
      </c>
      <c r="P1625" t="s">
        <v>27</v>
      </c>
      <c r="Q1625" t="s">
        <v>28</v>
      </c>
      <c r="R1625" t="s">
        <v>29</v>
      </c>
      <c r="S1625" t="s">
        <v>30</v>
      </c>
      <c r="T1625">
        <v>52965969</v>
      </c>
      <c r="U1625" t="s">
        <v>3936</v>
      </c>
      <c r="V1625" t="s">
        <v>3937</v>
      </c>
      <c r="W1625" s="9">
        <f>IF(V1625="pregrado",31,
IF(V1625="posgrados",31,
IF(V1625="rEINTEGROS",7,
IF(V1625="BIT",90,
IF(V1625="OP GRADO - INGLÉS",17,"")))))</f>
        <v>31</v>
      </c>
      <c r="X1625" t="s">
        <v>3960</v>
      </c>
    </row>
    <row r="1626" spans="1:24" ht="15" x14ac:dyDescent="0.35">
      <c r="A1626" s="4">
        <v>46072.757002314815</v>
      </c>
      <c r="B1626">
        <v>20125037</v>
      </c>
      <c r="C1626" s="6" t="s">
        <v>19</v>
      </c>
      <c r="D1626">
        <v>170232</v>
      </c>
      <c r="E1626" t="s">
        <v>43</v>
      </c>
      <c r="F1626">
        <v>1086980349</v>
      </c>
      <c r="G1626" t="s">
        <v>3444</v>
      </c>
      <c r="H1626">
        <v>100247028</v>
      </c>
      <c r="I1626">
        <v>202651</v>
      </c>
      <c r="J1626">
        <v>1086980349</v>
      </c>
      <c r="K1626" t="s">
        <v>23</v>
      </c>
      <c r="L1626" t="s">
        <v>252</v>
      </c>
      <c r="M1626" t="s">
        <v>253</v>
      </c>
      <c r="N1626" t="s">
        <v>35</v>
      </c>
      <c r="O1626" t="s">
        <v>26</v>
      </c>
      <c r="P1626" t="s">
        <v>27</v>
      </c>
      <c r="Q1626" t="s">
        <v>28</v>
      </c>
      <c r="R1626" t="s">
        <v>29</v>
      </c>
      <c r="S1626" t="s">
        <v>30</v>
      </c>
      <c r="T1626">
        <v>52965969</v>
      </c>
      <c r="U1626" t="s">
        <v>3936</v>
      </c>
      <c r="V1626" t="s">
        <v>3937</v>
      </c>
      <c r="W1626" s="9">
        <f>IF(V1626="pregrado",31,
IF(V1626="posgrados",31,
IF(V1626="rEINTEGROS",7,
IF(V1626="BIT",90,
IF(V1626="OP GRADO - INGLÉS",17,"")))))</f>
        <v>31</v>
      </c>
      <c r="X1626" t="s">
        <v>3960</v>
      </c>
    </row>
    <row r="1627" spans="1:24" ht="15" x14ac:dyDescent="0.35">
      <c r="A1627" s="4">
        <v>46072.912418981483</v>
      </c>
      <c r="B1627">
        <v>20125073</v>
      </c>
      <c r="C1627" s="6" t="s">
        <v>19</v>
      </c>
      <c r="D1627">
        <v>170254</v>
      </c>
      <c r="E1627" t="s">
        <v>43</v>
      </c>
      <c r="F1627">
        <v>1032250880</v>
      </c>
      <c r="G1627" t="s">
        <v>3450</v>
      </c>
      <c r="H1627">
        <v>100247062</v>
      </c>
      <c r="I1627">
        <v>202651</v>
      </c>
      <c r="J1627">
        <v>1032250880</v>
      </c>
      <c r="K1627" t="s">
        <v>23</v>
      </c>
      <c r="L1627" t="s">
        <v>252</v>
      </c>
      <c r="M1627" t="s">
        <v>253</v>
      </c>
      <c r="N1627" t="s">
        <v>35</v>
      </c>
      <c r="O1627" t="s">
        <v>26</v>
      </c>
      <c r="P1627" t="s">
        <v>27</v>
      </c>
      <c r="Q1627" t="s">
        <v>28</v>
      </c>
      <c r="R1627" t="s">
        <v>29</v>
      </c>
      <c r="S1627" t="s">
        <v>30</v>
      </c>
      <c r="T1627">
        <v>1033793185</v>
      </c>
      <c r="U1627" t="s">
        <v>3948</v>
      </c>
      <c r="V1627" t="s">
        <v>3937</v>
      </c>
      <c r="W1627" s="9">
        <f>IF(V1627="pregrado",31,
IF(V1627="posgrados",31,
IF(V1627="rEINTEGROS",7,
IF(V1627="BIT",90,
IF(V1627="OP GRADO - INGLÉS",17,"")))))</f>
        <v>31</v>
      </c>
      <c r="X1627" t="s">
        <v>4082</v>
      </c>
    </row>
    <row r="1628" spans="1:24" ht="15" x14ac:dyDescent="0.35">
      <c r="A1628" s="4">
        <v>46072.489918981482</v>
      </c>
      <c r="B1628">
        <v>20124813</v>
      </c>
      <c r="C1628" s="6" t="s">
        <v>19</v>
      </c>
      <c r="D1628">
        <v>170256</v>
      </c>
      <c r="E1628" t="s">
        <v>43</v>
      </c>
      <c r="F1628">
        <v>36931533</v>
      </c>
      <c r="G1628" t="s">
        <v>3404</v>
      </c>
      <c r="H1628">
        <v>100247065</v>
      </c>
      <c r="I1628">
        <v>202641</v>
      </c>
      <c r="J1628">
        <v>1113669631</v>
      </c>
      <c r="K1628" t="s">
        <v>23</v>
      </c>
      <c r="L1628" t="s">
        <v>59</v>
      </c>
      <c r="M1628" t="s">
        <v>47</v>
      </c>
      <c r="N1628" t="s">
        <v>35</v>
      </c>
      <c r="O1628" t="s">
        <v>26</v>
      </c>
      <c r="P1628" t="s">
        <v>27</v>
      </c>
      <c r="Q1628" t="s">
        <v>28</v>
      </c>
      <c r="R1628" t="s">
        <v>29</v>
      </c>
      <c r="S1628" t="s">
        <v>30</v>
      </c>
      <c r="T1628">
        <v>1022407392</v>
      </c>
      <c r="U1628" t="s">
        <v>3936</v>
      </c>
      <c r="V1628" t="s">
        <v>3937</v>
      </c>
      <c r="W1628" s="9">
        <f>IF(V1628="pregrado",31,
IF(V1628="posgrados",31,
IF(V1628="rEINTEGROS",7,
IF(V1628="BIT",90,
IF(V1628="OP GRADO - INGLÉS",17,"")))))</f>
        <v>31</v>
      </c>
      <c r="X1628" t="s">
        <v>3975</v>
      </c>
    </row>
    <row r="1629" spans="1:24" ht="15" x14ac:dyDescent="0.35">
      <c r="A1629" s="4">
        <v>46080.391458333332</v>
      </c>
      <c r="B1629">
        <v>20126761</v>
      </c>
      <c r="C1629" s="6" t="s">
        <v>19</v>
      </c>
      <c r="D1629">
        <v>170260</v>
      </c>
      <c r="E1629" t="s">
        <v>43</v>
      </c>
      <c r="F1629">
        <v>1075254802</v>
      </c>
      <c r="G1629" t="s">
        <v>3712</v>
      </c>
      <c r="H1629">
        <v>100199378</v>
      </c>
      <c r="I1629">
        <v>202651</v>
      </c>
      <c r="J1629">
        <v>1075254802</v>
      </c>
      <c r="K1629" t="s">
        <v>46</v>
      </c>
      <c r="L1629" t="s">
        <v>252</v>
      </c>
      <c r="M1629" t="s">
        <v>253</v>
      </c>
      <c r="N1629" t="s">
        <v>35</v>
      </c>
      <c r="O1629" t="s">
        <v>26</v>
      </c>
      <c r="P1629" t="s">
        <v>27</v>
      </c>
      <c r="Q1629" t="s">
        <v>28</v>
      </c>
      <c r="R1629" t="s">
        <v>29</v>
      </c>
      <c r="S1629" t="s">
        <v>30</v>
      </c>
      <c r="T1629">
        <v>1075542872</v>
      </c>
      <c r="U1629" t="s">
        <v>3948</v>
      </c>
      <c r="V1629" t="s">
        <v>3937</v>
      </c>
      <c r="W1629" s="9">
        <f>IF(V1629="pregrado",31,
IF(V1629="posgrados",31,
IF(V1629="rEINTEGROS",7,
IF(V1629="BIT",90,
IF(V1629="OP GRADO - INGLÉS",17,"")))))</f>
        <v>31</v>
      </c>
      <c r="X1629" t="s">
        <v>3974</v>
      </c>
    </row>
    <row r="1630" spans="1:24" ht="15" x14ac:dyDescent="0.35">
      <c r="A1630" s="4">
        <v>46072.867129629631</v>
      </c>
      <c r="B1630">
        <v>20125063</v>
      </c>
      <c r="C1630" s="6" t="s">
        <v>19</v>
      </c>
      <c r="D1630">
        <v>170268</v>
      </c>
      <c r="E1630" t="s">
        <v>43</v>
      </c>
      <c r="F1630">
        <v>80261710</v>
      </c>
      <c r="G1630" t="s">
        <v>3448</v>
      </c>
      <c r="H1630">
        <v>100247084</v>
      </c>
      <c r="I1630">
        <v>202641</v>
      </c>
      <c r="J1630">
        <v>1014216426</v>
      </c>
      <c r="K1630" t="s">
        <v>23</v>
      </c>
      <c r="L1630" t="s">
        <v>94</v>
      </c>
      <c r="M1630" t="s">
        <v>47</v>
      </c>
      <c r="N1630" t="s">
        <v>35</v>
      </c>
      <c r="O1630" t="s">
        <v>26</v>
      </c>
      <c r="P1630" t="s">
        <v>27</v>
      </c>
      <c r="Q1630" t="s">
        <v>28</v>
      </c>
      <c r="R1630" t="s">
        <v>29</v>
      </c>
      <c r="S1630" t="s">
        <v>30</v>
      </c>
      <c r="T1630">
        <v>53116792</v>
      </c>
      <c r="U1630" t="s">
        <v>3936</v>
      </c>
      <c r="V1630" t="s">
        <v>3937</v>
      </c>
      <c r="W1630" s="9">
        <f>IF(V1630="pregrado",31,
IF(V1630="posgrados",31,
IF(V1630="rEINTEGROS",7,
IF(V1630="BIT",90,
IF(V1630="OP GRADO - INGLÉS",17,"")))))</f>
        <v>31</v>
      </c>
      <c r="X1630" t="s">
        <v>4008</v>
      </c>
    </row>
    <row r="1631" spans="1:24" ht="15" x14ac:dyDescent="0.35">
      <c r="A1631" s="4">
        <v>46073.643796296295</v>
      </c>
      <c r="B1631">
        <v>20125322</v>
      </c>
      <c r="C1631" s="6" t="s">
        <v>19</v>
      </c>
      <c r="D1631">
        <v>170275</v>
      </c>
      <c r="E1631" t="s">
        <v>43</v>
      </c>
      <c r="F1631">
        <v>1053841017</v>
      </c>
      <c r="G1631" t="s">
        <v>3483</v>
      </c>
      <c r="H1631">
        <v>100161144</v>
      </c>
      <c r="I1631">
        <v>202641</v>
      </c>
      <c r="J1631">
        <v>1053841017</v>
      </c>
      <c r="K1631" t="s">
        <v>46</v>
      </c>
      <c r="L1631" t="s">
        <v>294</v>
      </c>
      <c r="M1631" t="s">
        <v>47</v>
      </c>
      <c r="N1631" t="s">
        <v>35</v>
      </c>
      <c r="O1631" t="s">
        <v>26</v>
      </c>
      <c r="P1631" t="s">
        <v>27</v>
      </c>
      <c r="Q1631" t="s">
        <v>28</v>
      </c>
      <c r="R1631" t="s">
        <v>29</v>
      </c>
      <c r="S1631" t="s">
        <v>30</v>
      </c>
      <c r="T1631">
        <v>52168054</v>
      </c>
      <c r="U1631" t="s">
        <v>3977</v>
      </c>
      <c r="V1631" t="s">
        <v>3970</v>
      </c>
      <c r="W1631" s="9">
        <f>IF(V1631="pregrado",31,
IF(V1631="posgrados",31,
IF(V1631="rEINTEGROS",7,
IF(V1631="BIT",90,
IF(V1631="OP GRADO - INGLÉS",17,"")))))</f>
        <v>7</v>
      </c>
      <c r="X1631" t="s">
        <v>4057</v>
      </c>
    </row>
    <row r="1632" spans="1:24" ht="15" x14ac:dyDescent="0.35">
      <c r="A1632" s="4">
        <v>46076.672002314815</v>
      </c>
      <c r="B1632">
        <v>20125745</v>
      </c>
      <c r="C1632" s="6" t="s">
        <v>19</v>
      </c>
      <c r="D1632">
        <v>170281</v>
      </c>
      <c r="E1632" t="s">
        <v>43</v>
      </c>
      <c r="F1632">
        <v>1085931538</v>
      </c>
      <c r="G1632" t="s">
        <v>3556</v>
      </c>
      <c r="H1632">
        <v>100247111</v>
      </c>
      <c r="I1632">
        <v>202641</v>
      </c>
      <c r="J1632">
        <v>1085931538</v>
      </c>
      <c r="K1632" t="s">
        <v>23</v>
      </c>
      <c r="L1632" t="s">
        <v>59</v>
      </c>
      <c r="M1632" t="s">
        <v>47</v>
      </c>
      <c r="N1632" t="s">
        <v>35</v>
      </c>
      <c r="O1632" t="s">
        <v>26</v>
      </c>
      <c r="P1632" t="s">
        <v>27</v>
      </c>
      <c r="Q1632" t="s">
        <v>28</v>
      </c>
      <c r="R1632" t="s">
        <v>29</v>
      </c>
      <c r="S1632" t="s">
        <v>30</v>
      </c>
      <c r="T1632">
        <v>1000120140</v>
      </c>
      <c r="U1632" t="s">
        <v>3936</v>
      </c>
      <c r="V1632" t="s">
        <v>3937</v>
      </c>
      <c r="W1632" s="9">
        <f>IF(V1632="pregrado",31,
IF(V1632="posgrados",31,
IF(V1632="rEINTEGROS",7,
IF(V1632="BIT",90,
IF(V1632="OP GRADO - INGLÉS",17,"")))))</f>
        <v>31</v>
      </c>
      <c r="X1632" t="s">
        <v>3935</v>
      </c>
    </row>
    <row r="1633" spans="1:24" ht="15" x14ac:dyDescent="0.35">
      <c r="A1633" s="4">
        <v>46072.682812500003</v>
      </c>
      <c r="B1633">
        <v>20124964</v>
      </c>
      <c r="C1633" s="6" t="s">
        <v>19</v>
      </c>
      <c r="D1633">
        <v>170292</v>
      </c>
      <c r="E1633" t="s">
        <v>43</v>
      </c>
      <c r="F1633">
        <v>1085918750</v>
      </c>
      <c r="G1633" t="s">
        <v>3435</v>
      </c>
      <c r="H1633">
        <v>100091844</v>
      </c>
      <c r="I1633">
        <v>202641</v>
      </c>
      <c r="J1633">
        <v>1085950697</v>
      </c>
      <c r="K1633" t="s">
        <v>23</v>
      </c>
      <c r="L1633" t="s">
        <v>294</v>
      </c>
      <c r="M1633" t="s">
        <v>47</v>
      </c>
      <c r="N1633" t="s">
        <v>35</v>
      </c>
      <c r="O1633" t="s">
        <v>26</v>
      </c>
      <c r="P1633" t="s">
        <v>27</v>
      </c>
      <c r="Q1633" t="s">
        <v>28</v>
      </c>
      <c r="R1633" t="s">
        <v>29</v>
      </c>
      <c r="S1633" t="s">
        <v>30</v>
      </c>
      <c r="T1633">
        <v>1032406382</v>
      </c>
      <c r="U1633" t="s">
        <v>3936</v>
      </c>
      <c r="V1633" t="s">
        <v>3937</v>
      </c>
      <c r="W1633" s="9">
        <f>IF(V1633="pregrado",31,
IF(V1633="posgrados",31,
IF(V1633="rEINTEGROS",7,
IF(V1633="BIT",90,
IF(V1633="OP GRADO - INGLÉS",17,"")))))</f>
        <v>31</v>
      </c>
      <c r="X1633" t="s">
        <v>3991</v>
      </c>
    </row>
    <row r="1634" spans="1:24" ht="15" x14ac:dyDescent="0.35">
      <c r="A1634" s="4">
        <v>46079.807129629633</v>
      </c>
      <c r="B1634">
        <v>20126707</v>
      </c>
      <c r="C1634" s="6" t="s">
        <v>19</v>
      </c>
      <c r="D1634">
        <v>170302</v>
      </c>
      <c r="E1634" t="s">
        <v>43</v>
      </c>
      <c r="F1634">
        <v>1005325977</v>
      </c>
      <c r="G1634" t="s">
        <v>3703</v>
      </c>
      <c r="H1634">
        <v>100247142</v>
      </c>
      <c r="I1634">
        <v>202641</v>
      </c>
      <c r="J1634">
        <v>1098712452</v>
      </c>
      <c r="K1634" t="s">
        <v>23</v>
      </c>
      <c r="L1634" t="s">
        <v>160</v>
      </c>
      <c r="M1634" t="s">
        <v>47</v>
      </c>
      <c r="N1634" t="s">
        <v>35</v>
      </c>
      <c r="O1634" t="s">
        <v>26</v>
      </c>
      <c r="P1634" t="s">
        <v>27</v>
      </c>
      <c r="Q1634" t="s">
        <v>28</v>
      </c>
      <c r="R1634" t="s">
        <v>29</v>
      </c>
      <c r="S1634" t="s">
        <v>30</v>
      </c>
      <c r="T1634">
        <v>53116792</v>
      </c>
      <c r="U1634" t="s">
        <v>3936</v>
      </c>
      <c r="V1634" t="s">
        <v>3937</v>
      </c>
      <c r="W1634" s="9">
        <f>IF(V1634="pregrado",31,
IF(V1634="posgrados",31,
IF(V1634="rEINTEGROS",7,
IF(V1634="BIT",90,
IF(V1634="OP GRADO - INGLÉS",17,"")))))</f>
        <v>31</v>
      </c>
      <c r="X1634" t="s">
        <v>4008</v>
      </c>
    </row>
    <row r="1635" spans="1:24" ht="15" x14ac:dyDescent="0.35">
      <c r="A1635" s="4">
        <v>46073.435243055559</v>
      </c>
      <c r="B1635">
        <v>20125154</v>
      </c>
      <c r="C1635" s="6" t="s">
        <v>19</v>
      </c>
      <c r="D1635">
        <v>170304</v>
      </c>
      <c r="E1635" t="s">
        <v>43</v>
      </c>
      <c r="F1635">
        <v>80904717</v>
      </c>
      <c r="G1635" t="s">
        <v>3459</v>
      </c>
      <c r="H1635">
        <v>100247149</v>
      </c>
      <c r="I1635">
        <v>202651</v>
      </c>
      <c r="J1635">
        <v>80904717</v>
      </c>
      <c r="K1635" t="s">
        <v>23</v>
      </c>
      <c r="L1635" t="s">
        <v>252</v>
      </c>
      <c r="M1635" t="s">
        <v>253</v>
      </c>
      <c r="N1635" t="s">
        <v>35</v>
      </c>
      <c r="O1635" t="s">
        <v>26</v>
      </c>
      <c r="P1635" t="s">
        <v>27</v>
      </c>
      <c r="Q1635" t="s">
        <v>28</v>
      </c>
      <c r="R1635" t="s">
        <v>29</v>
      </c>
      <c r="S1635" t="s">
        <v>30</v>
      </c>
      <c r="T1635">
        <v>1022407392</v>
      </c>
      <c r="U1635" t="s">
        <v>3936</v>
      </c>
      <c r="V1635" t="s">
        <v>3937</v>
      </c>
      <c r="W1635" s="9">
        <f>IF(V1635="pregrado",31,
IF(V1635="posgrados",31,
IF(V1635="rEINTEGROS",7,
IF(V1635="BIT",90,
IF(V1635="OP GRADO - INGLÉS",17,"")))))</f>
        <v>31</v>
      </c>
      <c r="X1635" t="s">
        <v>3975</v>
      </c>
    </row>
    <row r="1636" spans="1:24" ht="15" x14ac:dyDescent="0.35">
      <c r="A1636" s="4">
        <v>46073.456759259258</v>
      </c>
      <c r="B1636">
        <v>20125180</v>
      </c>
      <c r="C1636" s="6" t="s">
        <v>19</v>
      </c>
      <c r="D1636">
        <v>170317</v>
      </c>
      <c r="E1636" t="s">
        <v>43</v>
      </c>
      <c r="F1636">
        <v>1073673457</v>
      </c>
      <c r="G1636" t="s">
        <v>3464</v>
      </c>
      <c r="H1636">
        <v>100247171</v>
      </c>
      <c r="I1636">
        <v>202651</v>
      </c>
      <c r="J1636">
        <v>1073673457</v>
      </c>
      <c r="K1636" t="s">
        <v>23</v>
      </c>
      <c r="L1636" t="s">
        <v>252</v>
      </c>
      <c r="M1636" t="s">
        <v>253</v>
      </c>
      <c r="N1636" t="s">
        <v>35</v>
      </c>
      <c r="O1636" t="s">
        <v>26</v>
      </c>
      <c r="P1636" t="s">
        <v>27</v>
      </c>
      <c r="Q1636" t="s">
        <v>28</v>
      </c>
      <c r="R1636" t="s">
        <v>29</v>
      </c>
      <c r="S1636" t="s">
        <v>30</v>
      </c>
      <c r="T1636">
        <v>1033781417</v>
      </c>
      <c r="U1636" t="s">
        <v>3948</v>
      </c>
      <c r="V1636" t="s">
        <v>3937</v>
      </c>
      <c r="W1636" s="9">
        <f>IF(V1636="pregrado",31,
IF(V1636="posgrados",31,
IF(V1636="rEINTEGROS",7,
IF(V1636="BIT",90,
IF(V1636="OP GRADO - INGLÉS",17,"")))))</f>
        <v>31</v>
      </c>
      <c r="X1636" t="s">
        <v>4031</v>
      </c>
    </row>
    <row r="1637" spans="1:24" ht="15" x14ac:dyDescent="0.35">
      <c r="A1637" s="4">
        <v>46077.424780092595</v>
      </c>
      <c r="B1637">
        <v>20125918</v>
      </c>
      <c r="C1637" s="6" t="s">
        <v>19</v>
      </c>
      <c r="D1637">
        <v>170318</v>
      </c>
      <c r="E1637" t="s">
        <v>43</v>
      </c>
      <c r="F1637">
        <v>1082959906</v>
      </c>
      <c r="G1637" t="s">
        <v>3587</v>
      </c>
      <c r="H1637">
        <v>100247172</v>
      </c>
      <c r="I1637">
        <v>202641</v>
      </c>
      <c r="J1637">
        <v>1082959906</v>
      </c>
      <c r="K1637" t="s">
        <v>23</v>
      </c>
      <c r="L1637" t="s">
        <v>59</v>
      </c>
      <c r="M1637" t="s">
        <v>47</v>
      </c>
      <c r="N1637" t="s">
        <v>35</v>
      </c>
      <c r="O1637" t="s">
        <v>26</v>
      </c>
      <c r="P1637" t="s">
        <v>27</v>
      </c>
      <c r="Q1637" t="s">
        <v>28</v>
      </c>
      <c r="R1637" t="s">
        <v>29</v>
      </c>
      <c r="S1637" t="s">
        <v>30</v>
      </c>
      <c r="T1637">
        <v>1032406382</v>
      </c>
      <c r="U1637" t="s">
        <v>3936</v>
      </c>
      <c r="V1637" t="s">
        <v>3937</v>
      </c>
      <c r="W1637" s="9">
        <f>IF(V1637="pregrado",31,
IF(V1637="posgrados",31,
IF(V1637="rEINTEGROS",7,
IF(V1637="BIT",90,
IF(V1637="OP GRADO - INGLÉS",17,"")))))</f>
        <v>31</v>
      </c>
      <c r="X1637" t="s">
        <v>3991</v>
      </c>
    </row>
    <row r="1638" spans="1:24" ht="15" x14ac:dyDescent="0.35">
      <c r="A1638" s="4">
        <v>46073.570335648146</v>
      </c>
      <c r="B1638">
        <v>20125270</v>
      </c>
      <c r="C1638" s="6" t="s">
        <v>19</v>
      </c>
      <c r="D1638">
        <v>170328</v>
      </c>
      <c r="E1638" t="s">
        <v>43</v>
      </c>
      <c r="F1638">
        <v>1054553945</v>
      </c>
      <c r="G1638" t="s">
        <v>3475</v>
      </c>
      <c r="H1638">
        <v>100082925</v>
      </c>
      <c r="I1638">
        <v>202651</v>
      </c>
      <c r="J1638">
        <v>1054553945</v>
      </c>
      <c r="K1638" t="s">
        <v>23</v>
      </c>
      <c r="L1638" t="s">
        <v>252</v>
      </c>
      <c r="M1638" t="s">
        <v>253</v>
      </c>
      <c r="N1638" t="s">
        <v>35</v>
      </c>
      <c r="O1638" t="s">
        <v>26</v>
      </c>
      <c r="P1638" t="s">
        <v>27</v>
      </c>
      <c r="Q1638" t="s">
        <v>28</v>
      </c>
      <c r="R1638" t="s">
        <v>29</v>
      </c>
      <c r="S1638" t="s">
        <v>30</v>
      </c>
      <c r="T1638">
        <v>1019068131</v>
      </c>
      <c r="U1638" t="s">
        <v>3948</v>
      </c>
      <c r="V1638" t="s">
        <v>3937</v>
      </c>
      <c r="W1638" s="9">
        <f>IF(V1638="pregrado",31,
IF(V1638="posgrados",31,
IF(V1638="rEINTEGROS",7,
IF(V1638="BIT",90,
IF(V1638="OP GRADO - INGLÉS",17,"")))))</f>
        <v>31</v>
      </c>
      <c r="X1638" t="s">
        <v>4066</v>
      </c>
    </row>
    <row r="1639" spans="1:24" ht="15" x14ac:dyDescent="0.35">
      <c r="A1639" s="4">
        <v>46073.472627314812</v>
      </c>
      <c r="B1639">
        <v>20125199</v>
      </c>
      <c r="C1639" s="6" t="s">
        <v>19</v>
      </c>
      <c r="D1639">
        <v>170340</v>
      </c>
      <c r="E1639" t="s">
        <v>43</v>
      </c>
      <c r="F1639">
        <v>39633510</v>
      </c>
      <c r="G1639" t="s">
        <v>3465</v>
      </c>
      <c r="H1639">
        <v>100045159</v>
      </c>
      <c r="I1639">
        <v>202641</v>
      </c>
      <c r="J1639">
        <v>52988482</v>
      </c>
      <c r="K1639" t="s">
        <v>23</v>
      </c>
      <c r="L1639" t="s">
        <v>59</v>
      </c>
      <c r="M1639" t="s">
        <v>47</v>
      </c>
      <c r="N1639" t="s">
        <v>35</v>
      </c>
      <c r="O1639" t="s">
        <v>26</v>
      </c>
      <c r="P1639" t="s">
        <v>27</v>
      </c>
      <c r="Q1639" t="s">
        <v>28</v>
      </c>
      <c r="R1639" t="s">
        <v>29</v>
      </c>
      <c r="S1639" t="s">
        <v>30</v>
      </c>
      <c r="T1639">
        <v>1016030683</v>
      </c>
      <c r="U1639" t="s">
        <v>3936</v>
      </c>
      <c r="V1639" t="s">
        <v>3937</v>
      </c>
      <c r="W1639" s="9">
        <f>IF(V1639="pregrado",31,
IF(V1639="posgrados",31,
IF(V1639="rEINTEGROS",7,
IF(V1639="BIT",90,
IF(V1639="OP GRADO - INGLÉS",17,"")))))</f>
        <v>31</v>
      </c>
      <c r="X1639" t="s">
        <v>3992</v>
      </c>
    </row>
    <row r="1640" spans="1:24" ht="15" x14ac:dyDescent="0.35">
      <c r="A1640" s="4">
        <v>46079.658506944441</v>
      </c>
      <c r="B1640">
        <v>20126607</v>
      </c>
      <c r="C1640" s="6" t="s">
        <v>19</v>
      </c>
      <c r="D1640">
        <v>170344</v>
      </c>
      <c r="E1640" t="s">
        <v>43</v>
      </c>
      <c r="F1640">
        <v>8685822</v>
      </c>
      <c r="G1640" t="s">
        <v>3679</v>
      </c>
      <c r="H1640">
        <v>100247210</v>
      </c>
      <c r="I1640">
        <v>202651</v>
      </c>
      <c r="J1640">
        <v>22523116</v>
      </c>
      <c r="K1640" t="s">
        <v>23</v>
      </c>
      <c r="L1640" t="s">
        <v>252</v>
      </c>
      <c r="M1640" t="s">
        <v>253</v>
      </c>
      <c r="N1640" t="s">
        <v>35</v>
      </c>
      <c r="O1640" t="s">
        <v>26</v>
      </c>
      <c r="P1640" t="s">
        <v>27</v>
      </c>
      <c r="Q1640" t="s">
        <v>28</v>
      </c>
      <c r="R1640" t="s">
        <v>29</v>
      </c>
      <c r="S1640" t="s">
        <v>30</v>
      </c>
      <c r="T1640">
        <v>1014285873</v>
      </c>
      <c r="U1640" t="s">
        <v>3948</v>
      </c>
      <c r="V1640" t="s">
        <v>3937</v>
      </c>
      <c r="W1640" s="9">
        <f>IF(V1640="pregrado",31,
IF(V1640="posgrados",31,
IF(V1640="rEINTEGROS",7,
IF(V1640="BIT",90,
IF(V1640="OP GRADO - INGLÉS",17,"")))))</f>
        <v>31</v>
      </c>
      <c r="X1640" t="s">
        <v>3953</v>
      </c>
    </row>
    <row r="1641" spans="1:24" ht="15" x14ac:dyDescent="0.35">
      <c r="A1641" s="4">
        <v>46076.579953703702</v>
      </c>
      <c r="B1641">
        <v>20125682</v>
      </c>
      <c r="C1641" s="6" t="s">
        <v>19</v>
      </c>
      <c r="D1641">
        <v>170345</v>
      </c>
      <c r="E1641" t="s">
        <v>43</v>
      </c>
      <c r="F1641">
        <v>1000857275</v>
      </c>
      <c r="G1641" t="s">
        <v>3548</v>
      </c>
      <c r="H1641">
        <v>100086233</v>
      </c>
      <c r="I1641">
        <v>202641</v>
      </c>
      <c r="J1641">
        <v>1000857275</v>
      </c>
      <c r="K1641" t="s">
        <v>74</v>
      </c>
      <c r="L1641" t="s">
        <v>59</v>
      </c>
      <c r="M1641" t="s">
        <v>47</v>
      </c>
      <c r="N1641" t="s">
        <v>35</v>
      </c>
      <c r="O1641" t="s">
        <v>26</v>
      </c>
      <c r="P1641" t="s">
        <v>27</v>
      </c>
      <c r="Q1641" t="s">
        <v>28</v>
      </c>
      <c r="R1641" t="s">
        <v>29</v>
      </c>
      <c r="S1641" t="s">
        <v>30</v>
      </c>
      <c r="T1641">
        <v>1022407392</v>
      </c>
      <c r="U1641" t="s">
        <v>3936</v>
      </c>
      <c r="V1641" t="s">
        <v>3937</v>
      </c>
      <c r="W1641" s="9">
        <f>IF(V1641="pregrado",31,
IF(V1641="posgrados",31,
IF(V1641="rEINTEGROS",7,
IF(V1641="BIT",90,
IF(V1641="OP GRADO - INGLÉS",17,"")))))</f>
        <v>31</v>
      </c>
      <c r="X1641" t="s">
        <v>3975</v>
      </c>
    </row>
    <row r="1642" spans="1:24" ht="15" x14ac:dyDescent="0.35">
      <c r="A1642" s="4">
        <v>46073.709363425929</v>
      </c>
      <c r="B1642">
        <v>20125378</v>
      </c>
      <c r="C1642" s="6" t="s">
        <v>19</v>
      </c>
      <c r="D1642">
        <v>170351</v>
      </c>
      <c r="E1642" t="s">
        <v>43</v>
      </c>
      <c r="F1642">
        <v>24850594</v>
      </c>
      <c r="G1642" t="s">
        <v>3494</v>
      </c>
      <c r="H1642">
        <v>100159706</v>
      </c>
      <c r="I1642">
        <v>202641</v>
      </c>
      <c r="J1642">
        <v>1053806218</v>
      </c>
      <c r="K1642" t="s">
        <v>89</v>
      </c>
      <c r="L1642" t="s">
        <v>294</v>
      </c>
      <c r="M1642" t="s">
        <v>47</v>
      </c>
      <c r="N1642" t="s">
        <v>35</v>
      </c>
      <c r="O1642" t="s">
        <v>26</v>
      </c>
      <c r="P1642" t="s">
        <v>27</v>
      </c>
      <c r="Q1642" t="s">
        <v>28</v>
      </c>
      <c r="R1642" t="s">
        <v>29</v>
      </c>
      <c r="S1642" t="s">
        <v>30</v>
      </c>
      <c r="T1642">
        <v>52168054</v>
      </c>
      <c r="U1642" t="s">
        <v>3977</v>
      </c>
      <c r="V1642" t="s">
        <v>3970</v>
      </c>
      <c r="W1642" s="9">
        <f>IF(V1642="pregrado",31,
IF(V1642="posgrados",31,
IF(V1642="rEINTEGROS",7,
IF(V1642="BIT",90,
IF(V1642="OP GRADO - INGLÉS",17,"")))))</f>
        <v>7</v>
      </c>
      <c r="X1642" t="s">
        <v>4057</v>
      </c>
    </row>
    <row r="1643" spans="1:24" ht="15" x14ac:dyDescent="0.35">
      <c r="A1643" s="4">
        <v>46076.357129629629</v>
      </c>
      <c r="B1643">
        <v>20125558</v>
      </c>
      <c r="C1643" s="6" t="s">
        <v>19</v>
      </c>
      <c r="D1643">
        <v>170360</v>
      </c>
      <c r="E1643" t="s">
        <v>43</v>
      </c>
      <c r="F1643">
        <v>1036641715</v>
      </c>
      <c r="G1643" t="s">
        <v>3528</v>
      </c>
      <c r="H1643">
        <v>100247233</v>
      </c>
      <c r="I1643">
        <v>202641</v>
      </c>
      <c r="J1643">
        <v>1036641715</v>
      </c>
      <c r="K1643" t="s">
        <v>23</v>
      </c>
      <c r="L1643" t="s">
        <v>59</v>
      </c>
      <c r="M1643" t="s">
        <v>47</v>
      </c>
      <c r="N1643" t="s">
        <v>35</v>
      </c>
      <c r="O1643" t="s">
        <v>26</v>
      </c>
      <c r="P1643" t="s">
        <v>27</v>
      </c>
      <c r="Q1643" t="s">
        <v>28</v>
      </c>
      <c r="R1643" t="s">
        <v>29</v>
      </c>
      <c r="S1643" t="s">
        <v>30</v>
      </c>
      <c r="T1643">
        <v>52759865</v>
      </c>
      <c r="U1643" t="s">
        <v>3936</v>
      </c>
      <c r="V1643" t="s">
        <v>3937</v>
      </c>
      <c r="W1643" s="9">
        <f>IF(V1643="pregrado",31,
IF(V1643="posgrados",31,
IF(V1643="rEINTEGROS",7,
IF(V1643="BIT",90,
IF(V1643="OP GRADO - INGLÉS",17,"")))))</f>
        <v>31</v>
      </c>
      <c r="X1643" t="s">
        <v>4105</v>
      </c>
    </row>
    <row r="1644" spans="1:24" ht="15" x14ac:dyDescent="0.35">
      <c r="A1644" s="4">
        <v>46073.652349537035</v>
      </c>
      <c r="B1644">
        <v>20125329</v>
      </c>
      <c r="C1644" s="6" t="s">
        <v>19</v>
      </c>
      <c r="D1644">
        <v>170371</v>
      </c>
      <c r="E1644" t="s">
        <v>43</v>
      </c>
      <c r="F1644">
        <v>1116274584</v>
      </c>
      <c r="G1644" t="s">
        <v>3486</v>
      </c>
      <c r="H1644">
        <v>100247254</v>
      </c>
      <c r="I1644">
        <v>202641</v>
      </c>
      <c r="J1644">
        <v>1116274584</v>
      </c>
      <c r="K1644" t="s">
        <v>23</v>
      </c>
      <c r="L1644" t="s">
        <v>279</v>
      </c>
      <c r="M1644" t="s">
        <v>47</v>
      </c>
      <c r="N1644" t="s">
        <v>35</v>
      </c>
      <c r="O1644" t="s">
        <v>26</v>
      </c>
      <c r="P1644" t="s">
        <v>27</v>
      </c>
      <c r="Q1644" t="s">
        <v>28</v>
      </c>
      <c r="R1644" t="s">
        <v>29</v>
      </c>
      <c r="S1644" t="s">
        <v>30</v>
      </c>
      <c r="T1644">
        <v>1016030683</v>
      </c>
      <c r="U1644" t="s">
        <v>3936</v>
      </c>
      <c r="V1644" t="s">
        <v>3937</v>
      </c>
      <c r="W1644" s="9">
        <f>IF(V1644="pregrado",31,
IF(V1644="posgrados",31,
IF(V1644="rEINTEGROS",7,
IF(V1644="BIT",90,
IF(V1644="OP GRADO - INGLÉS",17,"")))))</f>
        <v>31</v>
      </c>
      <c r="X1644" t="s">
        <v>3992</v>
      </c>
    </row>
    <row r="1645" spans="1:24" ht="15" x14ac:dyDescent="0.35">
      <c r="A1645" s="4">
        <v>46074.434583333335</v>
      </c>
      <c r="B1645">
        <v>20125494</v>
      </c>
      <c r="C1645" s="6" t="s">
        <v>19</v>
      </c>
      <c r="D1645">
        <v>170373</v>
      </c>
      <c r="E1645" t="s">
        <v>43</v>
      </c>
      <c r="F1645">
        <v>1101697141</v>
      </c>
      <c r="G1645" t="s">
        <v>3512</v>
      </c>
      <c r="H1645">
        <v>100247260</v>
      </c>
      <c r="I1645">
        <v>202651</v>
      </c>
      <c r="J1645">
        <v>1101697141</v>
      </c>
      <c r="K1645" t="s">
        <v>23</v>
      </c>
      <c r="L1645" t="s">
        <v>252</v>
      </c>
      <c r="M1645" t="s">
        <v>253</v>
      </c>
      <c r="N1645" t="s">
        <v>35</v>
      </c>
      <c r="O1645" t="s">
        <v>26</v>
      </c>
      <c r="P1645" t="s">
        <v>27</v>
      </c>
      <c r="Q1645" t="s">
        <v>28</v>
      </c>
      <c r="R1645" t="s">
        <v>29</v>
      </c>
      <c r="S1645" t="s">
        <v>30</v>
      </c>
      <c r="T1645">
        <v>1031147887</v>
      </c>
      <c r="U1645" t="s">
        <v>3948</v>
      </c>
      <c r="V1645" t="s">
        <v>3937</v>
      </c>
      <c r="W1645" s="9">
        <f>IF(V1645="pregrado",31,
IF(V1645="posgrados",31,
IF(V1645="rEINTEGROS",7,
IF(V1645="BIT",90,
IF(V1645="OP GRADO - INGLÉS",17,"")))))</f>
        <v>31</v>
      </c>
      <c r="X1645" t="s">
        <v>3947</v>
      </c>
    </row>
    <row r="1646" spans="1:24" ht="15" x14ac:dyDescent="0.35">
      <c r="A1646" s="4">
        <v>46079.581226851849</v>
      </c>
      <c r="B1646">
        <v>20126551</v>
      </c>
      <c r="C1646" s="6" t="s">
        <v>19</v>
      </c>
      <c r="D1646">
        <v>170379</v>
      </c>
      <c r="E1646" t="s">
        <v>43</v>
      </c>
      <c r="F1646">
        <v>1077460263</v>
      </c>
      <c r="G1646" t="s">
        <v>3666</v>
      </c>
      <c r="H1646">
        <v>100195824</v>
      </c>
      <c r="I1646">
        <v>202651</v>
      </c>
      <c r="J1646">
        <v>1077460263</v>
      </c>
      <c r="K1646" t="s">
        <v>46</v>
      </c>
      <c r="L1646" t="s">
        <v>252</v>
      </c>
      <c r="M1646" t="s">
        <v>253</v>
      </c>
      <c r="N1646" t="s">
        <v>35</v>
      </c>
      <c r="O1646" t="s">
        <v>26</v>
      </c>
      <c r="P1646" t="s">
        <v>27</v>
      </c>
      <c r="Q1646" t="s">
        <v>28</v>
      </c>
      <c r="R1646" t="s">
        <v>29</v>
      </c>
      <c r="S1646" t="s">
        <v>30</v>
      </c>
      <c r="T1646">
        <v>1140420282</v>
      </c>
      <c r="U1646" t="s">
        <v>3948</v>
      </c>
      <c r="V1646" t="s">
        <v>3937</v>
      </c>
      <c r="W1646" s="9">
        <f>IF(V1646="pregrado",31,
IF(V1646="posgrados",31,
IF(V1646="rEINTEGROS",7,
IF(V1646="BIT",90,
IF(V1646="OP GRADO - INGLÉS",17,"")))))</f>
        <v>31</v>
      </c>
      <c r="X1646" t="s">
        <v>3972</v>
      </c>
    </row>
    <row r="1647" spans="1:24" ht="15" x14ac:dyDescent="0.35">
      <c r="A1647" s="4">
        <v>46073.710532407407</v>
      </c>
      <c r="B1647">
        <v>20125383</v>
      </c>
      <c r="C1647" s="6" t="s">
        <v>19</v>
      </c>
      <c r="D1647">
        <v>170382</v>
      </c>
      <c r="E1647" t="s">
        <v>43</v>
      </c>
      <c r="F1647">
        <v>52481801</v>
      </c>
      <c r="G1647" t="s">
        <v>3496</v>
      </c>
      <c r="H1647">
        <v>100247279</v>
      </c>
      <c r="I1647">
        <v>202651</v>
      </c>
      <c r="J1647">
        <v>52481801</v>
      </c>
      <c r="K1647" t="s">
        <v>23</v>
      </c>
      <c r="L1647" t="s">
        <v>252</v>
      </c>
      <c r="M1647" t="s">
        <v>253</v>
      </c>
      <c r="N1647" t="s">
        <v>35</v>
      </c>
      <c r="O1647" t="s">
        <v>26</v>
      </c>
      <c r="P1647" t="s">
        <v>27</v>
      </c>
      <c r="Q1647" t="s">
        <v>28</v>
      </c>
      <c r="R1647" t="s">
        <v>29</v>
      </c>
      <c r="S1647" t="s">
        <v>30</v>
      </c>
      <c r="T1647">
        <v>1031147887</v>
      </c>
      <c r="U1647" t="s">
        <v>3948</v>
      </c>
      <c r="V1647" t="s">
        <v>3937</v>
      </c>
      <c r="W1647" s="9">
        <f>IF(V1647="pregrado",31,
IF(V1647="posgrados",31,
IF(V1647="rEINTEGROS",7,
IF(V1647="BIT",90,
IF(V1647="OP GRADO - INGLÉS",17,"")))))</f>
        <v>31</v>
      </c>
      <c r="X1647" t="s">
        <v>3947</v>
      </c>
    </row>
    <row r="1648" spans="1:24" ht="15" x14ac:dyDescent="0.35">
      <c r="A1648" s="4">
        <v>46074.396435185183</v>
      </c>
      <c r="B1648">
        <v>20125477</v>
      </c>
      <c r="C1648" s="6" t="s">
        <v>19</v>
      </c>
      <c r="D1648">
        <v>170394</v>
      </c>
      <c r="E1648" t="s">
        <v>43</v>
      </c>
      <c r="F1648">
        <v>1110557574</v>
      </c>
      <c r="G1648" t="s">
        <v>3507</v>
      </c>
      <c r="H1648">
        <v>100247299</v>
      </c>
      <c r="I1648">
        <v>202651</v>
      </c>
      <c r="J1648">
        <v>1110557574</v>
      </c>
      <c r="K1648" t="s">
        <v>23</v>
      </c>
      <c r="L1648" t="s">
        <v>252</v>
      </c>
      <c r="M1648" t="s">
        <v>253</v>
      </c>
      <c r="N1648" t="s">
        <v>35</v>
      </c>
      <c r="O1648" t="s">
        <v>26</v>
      </c>
      <c r="P1648" t="s">
        <v>27</v>
      </c>
      <c r="Q1648" t="s">
        <v>28</v>
      </c>
      <c r="R1648" t="s">
        <v>29</v>
      </c>
      <c r="S1648" t="s">
        <v>30</v>
      </c>
      <c r="T1648">
        <v>1233513889</v>
      </c>
      <c r="U1648" t="s">
        <v>3948</v>
      </c>
      <c r="V1648" t="s">
        <v>3937</v>
      </c>
      <c r="W1648" s="9">
        <f>IF(V1648="pregrado",31,
IF(V1648="posgrados",31,
IF(V1648="rEINTEGROS",7,
IF(V1648="BIT",90,
IF(V1648="OP GRADO - INGLÉS",17,"")))))</f>
        <v>31</v>
      </c>
      <c r="X1648" t="s">
        <v>4035</v>
      </c>
    </row>
    <row r="1649" spans="1:24" ht="15" x14ac:dyDescent="0.35">
      <c r="A1649" s="4">
        <v>46076.579062500001</v>
      </c>
      <c r="B1649">
        <v>20125681</v>
      </c>
      <c r="C1649" s="6" t="s">
        <v>19</v>
      </c>
      <c r="D1649">
        <v>170399</v>
      </c>
      <c r="E1649" t="s">
        <v>43</v>
      </c>
      <c r="F1649">
        <v>1075299673</v>
      </c>
      <c r="G1649" t="s">
        <v>3547</v>
      </c>
      <c r="H1649">
        <v>100247310</v>
      </c>
      <c r="I1649">
        <v>202651</v>
      </c>
      <c r="J1649">
        <v>1075299673</v>
      </c>
      <c r="K1649" t="s">
        <v>23</v>
      </c>
      <c r="L1649" t="s">
        <v>252</v>
      </c>
      <c r="M1649" t="s">
        <v>253</v>
      </c>
      <c r="N1649" t="s">
        <v>35</v>
      </c>
      <c r="O1649" t="s">
        <v>26</v>
      </c>
      <c r="P1649" t="s">
        <v>27</v>
      </c>
      <c r="Q1649" t="s">
        <v>28</v>
      </c>
      <c r="R1649" t="s">
        <v>29</v>
      </c>
      <c r="S1649" t="s">
        <v>30</v>
      </c>
      <c r="T1649">
        <v>52965969</v>
      </c>
      <c r="U1649" t="s">
        <v>3936</v>
      </c>
      <c r="V1649" t="s">
        <v>3937</v>
      </c>
      <c r="W1649" s="9">
        <f>IF(V1649="pregrado",31,
IF(V1649="posgrados",31,
IF(V1649="rEINTEGROS",7,
IF(V1649="BIT",90,
IF(V1649="OP GRADO - INGLÉS",17,"")))))</f>
        <v>31</v>
      </c>
      <c r="X1649" t="s">
        <v>3960</v>
      </c>
    </row>
    <row r="1650" spans="1:24" ht="15" x14ac:dyDescent="0.35">
      <c r="A1650" s="4">
        <v>46077.496192129627</v>
      </c>
      <c r="B1650">
        <v>20125971</v>
      </c>
      <c r="C1650" s="6" t="s">
        <v>19</v>
      </c>
      <c r="D1650">
        <v>170410</v>
      </c>
      <c r="E1650" t="s">
        <v>43</v>
      </c>
      <c r="F1650">
        <v>1121938123</v>
      </c>
      <c r="G1650" t="s">
        <v>3598</v>
      </c>
      <c r="H1650">
        <v>100247332</v>
      </c>
      <c r="I1650">
        <v>202641</v>
      </c>
      <c r="J1650">
        <v>1121938123</v>
      </c>
      <c r="K1650" t="s">
        <v>23</v>
      </c>
      <c r="L1650" t="s">
        <v>342</v>
      </c>
      <c r="M1650" t="s">
        <v>47</v>
      </c>
      <c r="N1650" t="s">
        <v>35</v>
      </c>
      <c r="O1650" t="s">
        <v>26</v>
      </c>
      <c r="P1650" t="s">
        <v>27</v>
      </c>
      <c r="Q1650" t="s">
        <v>28</v>
      </c>
      <c r="R1650" t="s">
        <v>29</v>
      </c>
      <c r="S1650" t="s">
        <v>30</v>
      </c>
      <c r="T1650">
        <v>1082250716</v>
      </c>
      <c r="U1650" t="s">
        <v>3936</v>
      </c>
      <c r="V1650" t="s">
        <v>3937</v>
      </c>
      <c r="W1650" s="9">
        <f>IF(V1650="pregrado",31,
IF(V1650="posgrados",31,
IF(V1650="rEINTEGROS",7,
IF(V1650="BIT",90,
IF(V1650="OP GRADO - INGLÉS",17,"")))))</f>
        <v>31</v>
      </c>
      <c r="X1650" t="s">
        <v>3997</v>
      </c>
    </row>
    <row r="1651" spans="1:24" ht="15" x14ac:dyDescent="0.35">
      <c r="A1651" s="4">
        <v>46076.668252314812</v>
      </c>
      <c r="B1651">
        <v>20125743</v>
      </c>
      <c r="C1651" s="6" t="s">
        <v>19</v>
      </c>
      <c r="D1651">
        <v>170414</v>
      </c>
      <c r="E1651" t="s">
        <v>43</v>
      </c>
      <c r="F1651">
        <v>1112930801</v>
      </c>
      <c r="G1651" t="s">
        <v>3555</v>
      </c>
      <c r="H1651">
        <v>100241158</v>
      </c>
      <c r="I1651">
        <v>202641</v>
      </c>
      <c r="J1651">
        <v>1112930801</v>
      </c>
      <c r="K1651" t="s">
        <v>23</v>
      </c>
      <c r="L1651" t="s">
        <v>279</v>
      </c>
      <c r="M1651" t="s">
        <v>47</v>
      </c>
      <c r="N1651" t="s">
        <v>35</v>
      </c>
      <c r="O1651" t="s">
        <v>26</v>
      </c>
      <c r="P1651" t="s">
        <v>27</v>
      </c>
      <c r="Q1651" t="s">
        <v>28</v>
      </c>
      <c r="R1651" t="s">
        <v>29</v>
      </c>
      <c r="S1651" t="s">
        <v>30</v>
      </c>
      <c r="T1651">
        <v>1022407392</v>
      </c>
      <c r="U1651" t="s">
        <v>3936</v>
      </c>
      <c r="V1651" t="s">
        <v>3937</v>
      </c>
      <c r="W1651" s="9">
        <f>IF(V1651="pregrado",31,
IF(V1651="posgrados",31,
IF(V1651="rEINTEGROS",7,
IF(V1651="BIT",90,
IF(V1651="OP GRADO - INGLÉS",17,"")))))</f>
        <v>31</v>
      </c>
      <c r="X1651" t="s">
        <v>3975</v>
      </c>
    </row>
    <row r="1652" spans="1:24" ht="15" x14ac:dyDescent="0.35">
      <c r="A1652" s="4">
        <v>46074.49962962963</v>
      </c>
      <c r="B1652">
        <v>20125518</v>
      </c>
      <c r="C1652" s="6" t="s">
        <v>19</v>
      </c>
      <c r="D1652">
        <v>170425</v>
      </c>
      <c r="E1652" t="s">
        <v>43</v>
      </c>
      <c r="F1652">
        <v>1061221921</v>
      </c>
      <c r="G1652" t="s">
        <v>3516</v>
      </c>
      <c r="H1652">
        <v>100247351</v>
      </c>
      <c r="I1652">
        <v>202651</v>
      </c>
      <c r="J1652">
        <v>1061221921</v>
      </c>
      <c r="K1652" t="s">
        <v>23</v>
      </c>
      <c r="L1652" t="s">
        <v>252</v>
      </c>
      <c r="M1652" t="s">
        <v>253</v>
      </c>
      <c r="N1652" t="s">
        <v>35</v>
      </c>
      <c r="O1652" t="s">
        <v>26</v>
      </c>
      <c r="P1652" t="s">
        <v>27</v>
      </c>
      <c r="Q1652" t="s">
        <v>28</v>
      </c>
      <c r="R1652" t="s">
        <v>29</v>
      </c>
      <c r="S1652" t="s">
        <v>30</v>
      </c>
      <c r="T1652">
        <v>1033793185</v>
      </c>
      <c r="U1652" t="s">
        <v>3948</v>
      </c>
      <c r="V1652" t="s">
        <v>3937</v>
      </c>
      <c r="W1652" s="9">
        <f>IF(V1652="pregrado",31,
IF(V1652="posgrados",31,
IF(V1652="rEINTEGROS",7,
IF(V1652="BIT",90,
IF(V1652="OP GRADO - INGLÉS",17,"")))))</f>
        <v>31</v>
      </c>
      <c r="X1652" t="s">
        <v>4082</v>
      </c>
    </row>
    <row r="1653" spans="1:24" ht="15" x14ac:dyDescent="0.35">
      <c r="A1653" s="4">
        <v>46076.394409722219</v>
      </c>
      <c r="B1653">
        <v>20125570</v>
      </c>
      <c r="C1653" s="6" t="s">
        <v>19</v>
      </c>
      <c r="D1653">
        <v>170438</v>
      </c>
      <c r="E1653" t="s">
        <v>43</v>
      </c>
      <c r="F1653">
        <v>52371198</v>
      </c>
      <c r="G1653" t="s">
        <v>3530</v>
      </c>
      <c r="H1653">
        <v>100247363</v>
      </c>
      <c r="I1653">
        <v>202651</v>
      </c>
      <c r="J1653">
        <v>52371198</v>
      </c>
      <c r="K1653" t="s">
        <v>23</v>
      </c>
      <c r="L1653" t="s">
        <v>252</v>
      </c>
      <c r="M1653" t="s">
        <v>253</v>
      </c>
      <c r="N1653" t="s">
        <v>35</v>
      </c>
      <c r="O1653" t="s">
        <v>26</v>
      </c>
      <c r="P1653" t="s">
        <v>27</v>
      </c>
      <c r="Q1653" t="s">
        <v>28</v>
      </c>
      <c r="R1653" t="s">
        <v>29</v>
      </c>
      <c r="S1653" t="s">
        <v>30</v>
      </c>
      <c r="T1653">
        <v>1033781417</v>
      </c>
      <c r="U1653" t="s">
        <v>3948</v>
      </c>
      <c r="V1653" t="s">
        <v>3937</v>
      </c>
      <c r="W1653" s="9">
        <f>IF(V1653="pregrado",31,
IF(V1653="posgrados",31,
IF(V1653="rEINTEGROS",7,
IF(V1653="BIT",90,
IF(V1653="OP GRADO - INGLÉS",17,"")))))</f>
        <v>31</v>
      </c>
      <c r="X1653" t="s">
        <v>4031</v>
      </c>
    </row>
    <row r="1654" spans="1:24" ht="15" x14ac:dyDescent="0.35">
      <c r="A1654" s="4">
        <v>46076.615474537037</v>
      </c>
      <c r="B1654">
        <v>20125705</v>
      </c>
      <c r="C1654" s="6" t="s">
        <v>19</v>
      </c>
      <c r="D1654">
        <v>170440</v>
      </c>
      <c r="E1654" t="s">
        <v>43</v>
      </c>
      <c r="F1654">
        <v>1144202010</v>
      </c>
      <c r="G1654" t="s">
        <v>3550</v>
      </c>
      <c r="H1654">
        <v>100247365</v>
      </c>
      <c r="I1654">
        <v>202651</v>
      </c>
      <c r="J1654">
        <v>1144202010</v>
      </c>
      <c r="K1654" t="s">
        <v>23</v>
      </c>
      <c r="L1654" t="s">
        <v>252</v>
      </c>
      <c r="M1654" t="s">
        <v>253</v>
      </c>
      <c r="N1654" t="s">
        <v>35</v>
      </c>
      <c r="O1654" t="s">
        <v>26</v>
      </c>
      <c r="P1654" t="s">
        <v>27</v>
      </c>
      <c r="Q1654" t="s">
        <v>28</v>
      </c>
      <c r="R1654" t="s">
        <v>29</v>
      </c>
      <c r="S1654" t="s">
        <v>30</v>
      </c>
      <c r="T1654">
        <v>1033793185</v>
      </c>
      <c r="U1654" t="s">
        <v>3948</v>
      </c>
      <c r="V1654" t="s">
        <v>3937</v>
      </c>
      <c r="W1654" s="9">
        <f>IF(V1654="pregrado",31,
IF(V1654="posgrados",31,
IF(V1654="rEINTEGROS",7,
IF(V1654="BIT",90,
IF(V1654="OP GRADO - INGLÉS",17,"")))))</f>
        <v>31</v>
      </c>
      <c r="X1654" t="s">
        <v>4082</v>
      </c>
    </row>
    <row r="1655" spans="1:24" ht="15" x14ac:dyDescent="0.35">
      <c r="A1655" s="4">
        <v>46076.492523148147</v>
      </c>
      <c r="B1655">
        <v>20125631</v>
      </c>
      <c r="C1655" s="6" t="s">
        <v>19</v>
      </c>
      <c r="D1655">
        <v>170447</v>
      </c>
      <c r="E1655" t="s">
        <v>43</v>
      </c>
      <c r="F1655">
        <v>1027946783</v>
      </c>
      <c r="G1655" t="s">
        <v>3536</v>
      </c>
      <c r="H1655">
        <v>100247376</v>
      </c>
      <c r="I1655">
        <v>202651</v>
      </c>
      <c r="J1655">
        <v>1027946783</v>
      </c>
      <c r="K1655" t="s">
        <v>23</v>
      </c>
      <c r="L1655" t="s">
        <v>1250</v>
      </c>
      <c r="M1655" t="s">
        <v>253</v>
      </c>
      <c r="N1655" t="s">
        <v>35</v>
      </c>
      <c r="O1655" t="s">
        <v>26</v>
      </c>
      <c r="P1655" t="s">
        <v>27</v>
      </c>
      <c r="Q1655" t="s">
        <v>28</v>
      </c>
      <c r="R1655" t="s">
        <v>29</v>
      </c>
      <c r="S1655" t="s">
        <v>30</v>
      </c>
      <c r="T1655">
        <v>1033781417</v>
      </c>
      <c r="U1655" t="s">
        <v>3948</v>
      </c>
      <c r="V1655" t="s">
        <v>3937</v>
      </c>
      <c r="W1655" s="9">
        <f>IF(V1655="pregrado",31,
IF(V1655="posgrados",31,
IF(V1655="rEINTEGROS",7,
IF(V1655="BIT",90,
IF(V1655="OP GRADO - INGLÉS",17,"")))))</f>
        <v>31</v>
      </c>
      <c r="X1655" t="s">
        <v>4031</v>
      </c>
    </row>
    <row r="1656" spans="1:24" ht="15" x14ac:dyDescent="0.35">
      <c r="A1656" s="4">
        <v>46076.70208333333</v>
      </c>
      <c r="B1656">
        <v>20125778</v>
      </c>
      <c r="C1656" s="6" t="s">
        <v>19</v>
      </c>
      <c r="D1656">
        <v>170477</v>
      </c>
      <c r="E1656" t="s">
        <v>43</v>
      </c>
      <c r="F1656">
        <v>1018460009</v>
      </c>
      <c r="G1656" t="s">
        <v>3562</v>
      </c>
      <c r="H1656">
        <v>100247407</v>
      </c>
      <c r="I1656">
        <v>202641</v>
      </c>
      <c r="J1656">
        <v>1018460009</v>
      </c>
      <c r="K1656" t="s">
        <v>23</v>
      </c>
      <c r="L1656" t="s">
        <v>160</v>
      </c>
      <c r="M1656" t="s">
        <v>47</v>
      </c>
      <c r="N1656" t="s">
        <v>35</v>
      </c>
      <c r="O1656" t="s">
        <v>26</v>
      </c>
      <c r="P1656" t="s">
        <v>27</v>
      </c>
      <c r="Q1656" t="s">
        <v>28</v>
      </c>
      <c r="R1656" t="s">
        <v>29</v>
      </c>
      <c r="S1656" t="s">
        <v>30</v>
      </c>
      <c r="T1656">
        <v>1070973852</v>
      </c>
      <c r="U1656" t="s">
        <v>3936</v>
      </c>
      <c r="V1656" t="s">
        <v>3937</v>
      </c>
      <c r="W1656" s="9">
        <f>IF(V1656="pregrado",31,
IF(V1656="posgrados",31,
IF(V1656="rEINTEGROS",7,
IF(V1656="BIT",90,
IF(V1656="OP GRADO - INGLÉS",17,"")))))</f>
        <v>31</v>
      </c>
      <c r="X1656" t="s">
        <v>3957</v>
      </c>
    </row>
    <row r="1657" spans="1:24" ht="15" x14ac:dyDescent="0.35">
      <c r="A1657" s="4">
        <v>46093.696261574078</v>
      </c>
      <c r="B1657">
        <v>20128453</v>
      </c>
      <c r="C1657" s="6" t="s">
        <v>19</v>
      </c>
      <c r="D1657">
        <v>170487</v>
      </c>
      <c r="E1657" t="s">
        <v>43</v>
      </c>
      <c r="F1657">
        <v>94324036</v>
      </c>
      <c r="G1657" t="s">
        <v>3914</v>
      </c>
      <c r="H1657">
        <v>100247362</v>
      </c>
      <c r="I1657">
        <v>202651</v>
      </c>
      <c r="J1657">
        <v>94324036</v>
      </c>
      <c r="K1657" t="s">
        <v>23</v>
      </c>
      <c r="L1657" t="s">
        <v>1250</v>
      </c>
      <c r="M1657" t="s">
        <v>253</v>
      </c>
      <c r="N1657" t="s">
        <v>35</v>
      </c>
      <c r="O1657" t="s">
        <v>26</v>
      </c>
      <c r="P1657" t="s">
        <v>27</v>
      </c>
      <c r="Q1657" t="s">
        <v>28</v>
      </c>
      <c r="R1657" t="s">
        <v>29</v>
      </c>
      <c r="S1657" t="s">
        <v>30</v>
      </c>
      <c r="T1657">
        <v>1033793185</v>
      </c>
      <c r="U1657" t="s">
        <v>3948</v>
      </c>
      <c r="V1657" t="s">
        <v>3937</v>
      </c>
      <c r="W1657" s="9">
        <f>IF(V1657="pregrado",31,
IF(V1657="posgrados",31,
IF(V1657="rEINTEGROS",7,
IF(V1657="BIT",90,
IF(V1657="OP GRADO - INGLÉS",17,"")))))</f>
        <v>31</v>
      </c>
      <c r="X1657" t="s">
        <v>4082</v>
      </c>
    </row>
    <row r="1658" spans="1:24" ht="15" x14ac:dyDescent="0.35">
      <c r="A1658" s="4">
        <v>46076.510925925926</v>
      </c>
      <c r="B1658">
        <v>20125643</v>
      </c>
      <c r="C1658" s="6" t="s">
        <v>19</v>
      </c>
      <c r="D1658">
        <v>170493</v>
      </c>
      <c r="E1658" t="s">
        <v>43</v>
      </c>
      <c r="F1658">
        <v>1067281086</v>
      </c>
      <c r="G1658" t="s">
        <v>3540</v>
      </c>
      <c r="H1658">
        <v>100231277</v>
      </c>
      <c r="I1658">
        <v>202641</v>
      </c>
      <c r="J1658">
        <v>1067289133</v>
      </c>
      <c r="K1658" t="s">
        <v>23</v>
      </c>
      <c r="L1658" t="s">
        <v>59</v>
      </c>
      <c r="M1658" t="s">
        <v>47</v>
      </c>
      <c r="N1658" t="s">
        <v>35</v>
      </c>
      <c r="O1658" t="s">
        <v>26</v>
      </c>
      <c r="P1658" t="s">
        <v>27</v>
      </c>
      <c r="Q1658" t="s">
        <v>28</v>
      </c>
      <c r="R1658" t="s">
        <v>29</v>
      </c>
      <c r="S1658" t="s">
        <v>30</v>
      </c>
      <c r="T1658">
        <v>1070973852</v>
      </c>
      <c r="U1658" t="s">
        <v>3936</v>
      </c>
      <c r="V1658" t="s">
        <v>3937</v>
      </c>
      <c r="W1658" s="9">
        <f>IF(V1658="pregrado",31,
IF(V1658="posgrados",31,
IF(V1658="rEINTEGROS",7,
IF(V1658="BIT",90,
IF(V1658="OP GRADO - INGLÉS",17,"")))))</f>
        <v>31</v>
      </c>
      <c r="X1658" t="s">
        <v>3957</v>
      </c>
    </row>
    <row r="1659" spans="1:24" ht="15" x14ac:dyDescent="0.35">
      <c r="A1659" s="4">
        <v>46077.399097222224</v>
      </c>
      <c r="B1659">
        <v>20125901</v>
      </c>
      <c r="C1659" s="6" t="s">
        <v>19</v>
      </c>
      <c r="D1659">
        <v>170502</v>
      </c>
      <c r="E1659" t="s">
        <v>43</v>
      </c>
      <c r="F1659">
        <v>1077477878</v>
      </c>
      <c r="G1659" t="s">
        <v>3581</v>
      </c>
      <c r="H1659">
        <v>100247451</v>
      </c>
      <c r="I1659">
        <v>202641</v>
      </c>
      <c r="J1659">
        <v>1077478942</v>
      </c>
      <c r="K1659" t="s">
        <v>23</v>
      </c>
      <c r="L1659" t="s">
        <v>279</v>
      </c>
      <c r="M1659" t="s">
        <v>47</v>
      </c>
      <c r="N1659" t="s">
        <v>35</v>
      </c>
      <c r="O1659" t="s">
        <v>26</v>
      </c>
      <c r="P1659" t="s">
        <v>27</v>
      </c>
      <c r="Q1659" t="s">
        <v>28</v>
      </c>
      <c r="R1659" t="s">
        <v>29</v>
      </c>
      <c r="S1659" t="s">
        <v>30</v>
      </c>
      <c r="T1659">
        <v>52032666</v>
      </c>
      <c r="U1659" t="s">
        <v>3948</v>
      </c>
      <c r="V1659" t="s">
        <v>3937</v>
      </c>
      <c r="W1659" s="9">
        <f>IF(V1659="pregrado",31,
IF(V1659="posgrados",31,
IF(V1659="rEINTEGROS",7,
IF(V1659="BIT",90,
IF(V1659="OP GRADO - INGLÉS",17,"")))))</f>
        <v>31</v>
      </c>
      <c r="X1659" t="s">
        <v>3983</v>
      </c>
    </row>
    <row r="1660" spans="1:24" ht="15" x14ac:dyDescent="0.35">
      <c r="A1660" s="4">
        <v>46078.54515046296</v>
      </c>
      <c r="B1660">
        <v>20126250</v>
      </c>
      <c r="C1660" s="6" t="s">
        <v>19</v>
      </c>
      <c r="D1660">
        <v>170509</v>
      </c>
      <c r="E1660" t="s">
        <v>43</v>
      </c>
      <c r="F1660">
        <v>46376278</v>
      </c>
      <c r="G1660" t="s">
        <v>3631</v>
      </c>
      <c r="H1660">
        <v>100247464</v>
      </c>
      <c r="I1660">
        <v>202651</v>
      </c>
      <c r="J1660">
        <v>46376278</v>
      </c>
      <c r="K1660" t="s">
        <v>23</v>
      </c>
      <c r="L1660" t="s">
        <v>252</v>
      </c>
      <c r="M1660" t="s">
        <v>253</v>
      </c>
      <c r="N1660" t="s">
        <v>35</v>
      </c>
      <c r="O1660" t="s">
        <v>26</v>
      </c>
      <c r="P1660" t="s">
        <v>27</v>
      </c>
      <c r="Q1660" t="s">
        <v>28</v>
      </c>
      <c r="R1660" t="s">
        <v>29</v>
      </c>
      <c r="S1660" t="s">
        <v>30</v>
      </c>
      <c r="T1660">
        <v>52032666</v>
      </c>
      <c r="U1660" t="s">
        <v>3948</v>
      </c>
      <c r="V1660" t="s">
        <v>3937</v>
      </c>
      <c r="W1660" s="9">
        <f>IF(V1660="pregrado",31,
IF(V1660="posgrados",31,
IF(V1660="rEINTEGROS",7,
IF(V1660="BIT",90,
IF(V1660="OP GRADO - INGLÉS",17,"")))))</f>
        <v>31</v>
      </c>
      <c r="X1660" t="s">
        <v>3983</v>
      </c>
    </row>
    <row r="1661" spans="1:24" ht="15" x14ac:dyDescent="0.35">
      <c r="A1661" s="4">
        <v>46077.410902777781</v>
      </c>
      <c r="B1661">
        <v>20125905</v>
      </c>
      <c r="C1661" s="6" t="s">
        <v>19</v>
      </c>
      <c r="D1661">
        <v>170514</v>
      </c>
      <c r="E1661" t="s">
        <v>43</v>
      </c>
      <c r="F1661">
        <v>39159706</v>
      </c>
      <c r="G1661" t="s">
        <v>3582</v>
      </c>
      <c r="H1661">
        <v>100247475</v>
      </c>
      <c r="I1661">
        <v>202641</v>
      </c>
      <c r="J1661">
        <v>39159706</v>
      </c>
      <c r="K1661" t="s">
        <v>23</v>
      </c>
      <c r="L1661" t="s">
        <v>279</v>
      </c>
      <c r="M1661" t="s">
        <v>47</v>
      </c>
      <c r="N1661" t="s">
        <v>25</v>
      </c>
      <c r="O1661" t="s">
        <v>26</v>
      </c>
      <c r="P1661" t="s">
        <v>27</v>
      </c>
      <c r="Q1661" t="s">
        <v>28</v>
      </c>
      <c r="R1661" t="s">
        <v>29</v>
      </c>
      <c r="S1661" t="s">
        <v>30</v>
      </c>
      <c r="T1661">
        <v>1070973852</v>
      </c>
      <c r="U1661" t="s">
        <v>3936</v>
      </c>
      <c r="V1661" t="s">
        <v>3937</v>
      </c>
      <c r="W1661" s="9">
        <f>IF(V1661="pregrado",31,
IF(V1661="posgrados",31,
IF(V1661="rEINTEGROS",7,
IF(V1661="BIT",90,
IF(V1661="OP GRADO - INGLÉS",17,"")))))</f>
        <v>31</v>
      </c>
      <c r="X1661" t="s">
        <v>3957</v>
      </c>
    </row>
    <row r="1662" spans="1:24" ht="15" x14ac:dyDescent="0.35">
      <c r="A1662" s="4">
        <v>46076.732511574075</v>
      </c>
      <c r="B1662">
        <v>20125812</v>
      </c>
      <c r="C1662" s="6" t="s">
        <v>19</v>
      </c>
      <c r="D1662">
        <v>170515</v>
      </c>
      <c r="E1662" t="s">
        <v>43</v>
      </c>
      <c r="F1662">
        <v>91042919</v>
      </c>
      <c r="G1662" t="s">
        <v>3566</v>
      </c>
      <c r="H1662">
        <v>100247477</v>
      </c>
      <c r="I1662">
        <v>202651</v>
      </c>
      <c r="J1662">
        <v>1102723227</v>
      </c>
      <c r="K1662" t="s">
        <v>23</v>
      </c>
      <c r="L1662" t="s">
        <v>252</v>
      </c>
      <c r="M1662" t="s">
        <v>253</v>
      </c>
      <c r="N1662" t="s">
        <v>35</v>
      </c>
      <c r="O1662" t="s">
        <v>26</v>
      </c>
      <c r="P1662" t="s">
        <v>27</v>
      </c>
      <c r="Q1662" t="s">
        <v>28</v>
      </c>
      <c r="R1662" t="s">
        <v>29</v>
      </c>
      <c r="S1662" t="s">
        <v>30</v>
      </c>
      <c r="T1662">
        <v>53116792</v>
      </c>
      <c r="U1662" t="s">
        <v>3936</v>
      </c>
      <c r="V1662" t="s">
        <v>3937</v>
      </c>
      <c r="W1662" s="9">
        <f>IF(V1662="pregrado",31,
IF(V1662="posgrados",31,
IF(V1662="rEINTEGROS",7,
IF(V1662="BIT",90,
IF(V1662="OP GRADO - INGLÉS",17,"")))))</f>
        <v>31</v>
      </c>
      <c r="X1662" t="s">
        <v>4008</v>
      </c>
    </row>
    <row r="1663" spans="1:24" ht="15" x14ac:dyDescent="0.35">
      <c r="A1663" s="4">
        <v>46076.750127314815</v>
      </c>
      <c r="B1663">
        <v>20125826</v>
      </c>
      <c r="C1663" s="6" t="s">
        <v>19</v>
      </c>
      <c r="D1663">
        <v>170516</v>
      </c>
      <c r="E1663" t="s">
        <v>43</v>
      </c>
      <c r="F1663">
        <v>1005859172</v>
      </c>
      <c r="G1663" t="s">
        <v>3569</v>
      </c>
      <c r="H1663">
        <v>100247481</v>
      </c>
      <c r="I1663">
        <v>202651</v>
      </c>
      <c r="J1663">
        <v>1005859172</v>
      </c>
      <c r="K1663" t="s">
        <v>23</v>
      </c>
      <c r="L1663" t="s">
        <v>252</v>
      </c>
      <c r="M1663" t="s">
        <v>253</v>
      </c>
      <c r="N1663" t="s">
        <v>35</v>
      </c>
      <c r="O1663" t="s">
        <v>26</v>
      </c>
      <c r="P1663" t="s">
        <v>27</v>
      </c>
      <c r="Q1663" t="s">
        <v>28</v>
      </c>
      <c r="R1663" t="s">
        <v>29</v>
      </c>
      <c r="S1663" t="s">
        <v>30</v>
      </c>
      <c r="T1663">
        <v>1075542872</v>
      </c>
      <c r="U1663" t="s">
        <v>3948</v>
      </c>
      <c r="V1663" t="s">
        <v>3937</v>
      </c>
      <c r="W1663" s="9">
        <f>IF(V1663="pregrado",31,
IF(V1663="posgrados",31,
IF(V1663="rEINTEGROS",7,
IF(V1663="BIT",90,
IF(V1663="OP GRADO - INGLÉS",17,"")))))</f>
        <v>31</v>
      </c>
      <c r="X1663" t="s">
        <v>3974</v>
      </c>
    </row>
    <row r="1664" spans="1:24" ht="15" x14ac:dyDescent="0.35">
      <c r="A1664" s="4">
        <v>46079.440196759257</v>
      </c>
      <c r="B1664">
        <v>20126466</v>
      </c>
      <c r="C1664" s="6" t="s">
        <v>19</v>
      </c>
      <c r="D1664">
        <v>170520</v>
      </c>
      <c r="E1664" t="s">
        <v>43</v>
      </c>
      <c r="F1664">
        <v>1007478388</v>
      </c>
      <c r="G1664" t="s">
        <v>3654</v>
      </c>
      <c r="H1664">
        <v>100247487</v>
      </c>
      <c r="I1664">
        <v>202651</v>
      </c>
      <c r="J1664">
        <v>1007478388</v>
      </c>
      <c r="K1664" t="s">
        <v>23</v>
      </c>
      <c r="L1664" t="s">
        <v>252</v>
      </c>
      <c r="M1664" t="s">
        <v>253</v>
      </c>
      <c r="N1664" t="s">
        <v>35</v>
      </c>
      <c r="O1664" t="s">
        <v>26</v>
      </c>
      <c r="P1664" t="s">
        <v>27</v>
      </c>
      <c r="Q1664" t="s">
        <v>28</v>
      </c>
      <c r="R1664" t="s">
        <v>29</v>
      </c>
      <c r="S1664" t="s">
        <v>30</v>
      </c>
      <c r="T1664">
        <v>1033793185</v>
      </c>
      <c r="U1664" t="s">
        <v>3948</v>
      </c>
      <c r="V1664" t="s">
        <v>3937</v>
      </c>
      <c r="W1664" s="9">
        <f>IF(V1664="pregrado",31,
IF(V1664="posgrados",31,
IF(V1664="rEINTEGROS",7,
IF(V1664="BIT",90,
IF(V1664="OP GRADO - INGLÉS",17,"")))))</f>
        <v>31</v>
      </c>
      <c r="X1664" t="s">
        <v>4082</v>
      </c>
    </row>
    <row r="1665" spans="1:24" ht="15" x14ac:dyDescent="0.35">
      <c r="A1665" s="4">
        <v>46081.411678240744</v>
      </c>
      <c r="B1665">
        <v>20127019</v>
      </c>
      <c r="C1665" s="6" t="s">
        <v>19</v>
      </c>
      <c r="D1665">
        <v>170523</v>
      </c>
      <c r="E1665" t="s">
        <v>43</v>
      </c>
      <c r="F1665">
        <v>63557032</v>
      </c>
      <c r="G1665" t="s">
        <v>3753</v>
      </c>
      <c r="H1665">
        <v>100142709</v>
      </c>
      <c r="I1665">
        <v>202651</v>
      </c>
      <c r="J1665">
        <v>63557032</v>
      </c>
      <c r="K1665" t="s">
        <v>23</v>
      </c>
      <c r="L1665" t="s">
        <v>1250</v>
      </c>
      <c r="M1665" t="s">
        <v>253</v>
      </c>
      <c r="N1665" t="s">
        <v>35</v>
      </c>
      <c r="O1665" t="s">
        <v>26</v>
      </c>
      <c r="P1665" t="s">
        <v>27</v>
      </c>
      <c r="Q1665" t="s">
        <v>28</v>
      </c>
      <c r="R1665" t="s">
        <v>29</v>
      </c>
      <c r="S1665" t="s">
        <v>30</v>
      </c>
      <c r="T1665">
        <v>1033793185</v>
      </c>
      <c r="U1665" t="s">
        <v>3948</v>
      </c>
      <c r="V1665" t="s">
        <v>3937</v>
      </c>
      <c r="W1665" s="9">
        <f>IF(V1665="pregrado",31,
IF(V1665="posgrados",31,
IF(V1665="rEINTEGROS",7,
IF(V1665="BIT",90,
IF(V1665="OP GRADO - INGLÉS",17,"")))))</f>
        <v>31</v>
      </c>
      <c r="X1665" t="s">
        <v>4082</v>
      </c>
    </row>
    <row r="1666" spans="1:24" ht="15" x14ac:dyDescent="0.35">
      <c r="A1666" s="4">
        <v>46083.715173611112</v>
      </c>
      <c r="B1666">
        <v>20127316</v>
      </c>
      <c r="C1666" s="6" t="s">
        <v>19</v>
      </c>
      <c r="D1666">
        <v>170527</v>
      </c>
      <c r="E1666" t="s">
        <v>43</v>
      </c>
      <c r="F1666">
        <v>28014246</v>
      </c>
      <c r="G1666" t="s">
        <v>3791</v>
      </c>
      <c r="H1666">
        <v>100247500</v>
      </c>
      <c r="I1666">
        <v>202651</v>
      </c>
      <c r="J1666">
        <v>1098604701</v>
      </c>
      <c r="K1666" t="s">
        <v>23</v>
      </c>
      <c r="L1666" t="s">
        <v>1250</v>
      </c>
      <c r="M1666" t="s">
        <v>253</v>
      </c>
      <c r="N1666" t="s">
        <v>35</v>
      </c>
      <c r="O1666" t="s">
        <v>26</v>
      </c>
      <c r="P1666" t="s">
        <v>27</v>
      </c>
      <c r="Q1666" t="s">
        <v>28</v>
      </c>
      <c r="R1666" t="s">
        <v>29</v>
      </c>
      <c r="S1666" t="s">
        <v>30</v>
      </c>
      <c r="T1666">
        <v>1033793185</v>
      </c>
      <c r="U1666" t="s">
        <v>3948</v>
      </c>
      <c r="V1666" t="s">
        <v>3937</v>
      </c>
      <c r="W1666" s="9">
        <f>IF(V1666="pregrado",31,
IF(V1666="posgrados",31,
IF(V1666="rEINTEGROS",7,
IF(V1666="BIT",90,
IF(V1666="OP GRADO - INGLÉS",17,"")))))</f>
        <v>31</v>
      </c>
      <c r="X1666" t="s">
        <v>4082</v>
      </c>
    </row>
    <row r="1667" spans="1:24" ht="15" x14ac:dyDescent="0.35">
      <c r="A1667" s="4">
        <v>46083.545439814814</v>
      </c>
      <c r="B1667">
        <v>20127216</v>
      </c>
      <c r="C1667" s="6" t="s">
        <v>19</v>
      </c>
      <c r="D1667">
        <v>170530</v>
      </c>
      <c r="E1667" t="s">
        <v>43</v>
      </c>
      <c r="F1667">
        <v>1098670712</v>
      </c>
      <c r="G1667" t="s">
        <v>3782</v>
      </c>
      <c r="H1667">
        <v>100247504</v>
      </c>
      <c r="I1667">
        <v>202651</v>
      </c>
      <c r="J1667">
        <v>1098670712</v>
      </c>
      <c r="K1667" t="s">
        <v>23</v>
      </c>
      <c r="L1667" t="s">
        <v>1250</v>
      </c>
      <c r="M1667" t="s">
        <v>253</v>
      </c>
      <c r="N1667" t="s">
        <v>35</v>
      </c>
      <c r="O1667" t="s">
        <v>26</v>
      </c>
      <c r="P1667" t="s">
        <v>27</v>
      </c>
      <c r="Q1667" t="s">
        <v>28</v>
      </c>
      <c r="R1667" t="s">
        <v>29</v>
      </c>
      <c r="S1667" t="s">
        <v>30</v>
      </c>
      <c r="T1667">
        <v>1033793185</v>
      </c>
      <c r="U1667" t="s">
        <v>3948</v>
      </c>
      <c r="V1667" t="s">
        <v>3937</v>
      </c>
      <c r="W1667" s="9">
        <f>IF(V1667="pregrado",31,
IF(V1667="posgrados",31,
IF(V1667="rEINTEGROS",7,
IF(V1667="BIT",90,
IF(V1667="OP GRADO - INGLÉS",17,"")))))</f>
        <v>31</v>
      </c>
      <c r="X1667" t="s">
        <v>4082</v>
      </c>
    </row>
    <row r="1668" spans="1:24" ht="15" x14ac:dyDescent="0.35">
      <c r="A1668" s="4">
        <v>46077.465486111112</v>
      </c>
      <c r="B1668">
        <v>20125944</v>
      </c>
      <c r="C1668" s="6" t="s">
        <v>19</v>
      </c>
      <c r="D1668">
        <v>170543</v>
      </c>
      <c r="E1668" t="s">
        <v>43</v>
      </c>
      <c r="F1668">
        <v>1065630509</v>
      </c>
      <c r="G1668" t="s">
        <v>3594</v>
      </c>
      <c r="H1668">
        <v>100246668</v>
      </c>
      <c r="I1668">
        <v>202651</v>
      </c>
      <c r="J1668">
        <v>1065630509</v>
      </c>
      <c r="K1668" t="s">
        <v>23</v>
      </c>
      <c r="L1668" t="s">
        <v>252</v>
      </c>
      <c r="M1668" t="s">
        <v>253</v>
      </c>
      <c r="N1668" t="s">
        <v>35</v>
      </c>
      <c r="O1668" t="s">
        <v>26</v>
      </c>
      <c r="P1668" t="s">
        <v>27</v>
      </c>
      <c r="Q1668" t="s">
        <v>28</v>
      </c>
      <c r="R1668" t="s">
        <v>29</v>
      </c>
      <c r="S1668" t="s">
        <v>30</v>
      </c>
      <c r="T1668">
        <v>1033793185</v>
      </c>
      <c r="U1668" t="s">
        <v>3948</v>
      </c>
      <c r="V1668" t="s">
        <v>3937</v>
      </c>
      <c r="W1668" s="9">
        <f>IF(V1668="pregrado",31,
IF(V1668="posgrados",31,
IF(V1668="rEINTEGROS",7,
IF(V1668="BIT",90,
IF(V1668="OP GRADO - INGLÉS",17,"")))))</f>
        <v>31</v>
      </c>
      <c r="X1668" t="s">
        <v>4082</v>
      </c>
    </row>
    <row r="1669" spans="1:24" ht="15" x14ac:dyDescent="0.35">
      <c r="A1669" s="4">
        <v>46077.642465277779</v>
      </c>
      <c r="B1669">
        <v>20126036</v>
      </c>
      <c r="C1669" s="6" t="s">
        <v>19</v>
      </c>
      <c r="D1669">
        <v>170549</v>
      </c>
      <c r="E1669" t="s">
        <v>43</v>
      </c>
      <c r="F1669">
        <v>11813474</v>
      </c>
      <c r="G1669" t="s">
        <v>3607</v>
      </c>
      <c r="H1669">
        <v>100247528</v>
      </c>
      <c r="I1669">
        <v>202651</v>
      </c>
      <c r="J1669">
        <v>11813474</v>
      </c>
      <c r="K1669" t="s">
        <v>23</v>
      </c>
      <c r="L1669" t="s">
        <v>252</v>
      </c>
      <c r="M1669" t="s">
        <v>253</v>
      </c>
      <c r="N1669" t="s">
        <v>35</v>
      </c>
      <c r="O1669" t="s">
        <v>26</v>
      </c>
      <c r="P1669" t="s">
        <v>27</v>
      </c>
      <c r="Q1669" t="s">
        <v>28</v>
      </c>
      <c r="R1669" t="s">
        <v>29</v>
      </c>
      <c r="S1669" t="s">
        <v>30</v>
      </c>
      <c r="T1669">
        <v>52965969</v>
      </c>
      <c r="U1669" t="s">
        <v>3936</v>
      </c>
      <c r="V1669" t="s">
        <v>3937</v>
      </c>
      <c r="W1669" s="9">
        <f>IF(V1669="pregrado",31,
IF(V1669="posgrados",31,
IF(V1669="rEINTEGROS",7,
IF(V1669="BIT",90,
IF(V1669="OP GRADO - INGLÉS",17,"")))))</f>
        <v>31</v>
      </c>
      <c r="X1669" t="s">
        <v>3960</v>
      </c>
    </row>
    <row r="1670" spans="1:24" ht="15" x14ac:dyDescent="0.35">
      <c r="A1670" s="4">
        <v>46077.575937499998</v>
      </c>
      <c r="B1670">
        <v>20126003</v>
      </c>
      <c r="C1670" s="6" t="s">
        <v>19</v>
      </c>
      <c r="D1670">
        <v>170551</v>
      </c>
      <c r="E1670" t="s">
        <v>43</v>
      </c>
      <c r="F1670">
        <v>55117203</v>
      </c>
      <c r="G1670" t="s">
        <v>3605</v>
      </c>
      <c r="H1670">
        <v>100247529</v>
      </c>
      <c r="I1670">
        <v>202651</v>
      </c>
      <c r="J1670">
        <v>55117203</v>
      </c>
      <c r="K1670" t="s">
        <v>23</v>
      </c>
      <c r="L1670" t="s">
        <v>542</v>
      </c>
      <c r="M1670" t="s">
        <v>253</v>
      </c>
      <c r="N1670" t="s">
        <v>35</v>
      </c>
      <c r="O1670" t="s">
        <v>26</v>
      </c>
      <c r="P1670" t="s">
        <v>27</v>
      </c>
      <c r="Q1670" t="s">
        <v>28</v>
      </c>
      <c r="R1670" t="s">
        <v>29</v>
      </c>
      <c r="S1670" t="s">
        <v>30</v>
      </c>
      <c r="T1670">
        <v>52916205</v>
      </c>
      <c r="U1670" t="s">
        <v>3936</v>
      </c>
      <c r="V1670" t="s">
        <v>3937</v>
      </c>
      <c r="W1670" s="9">
        <f>IF(V1670="pregrado",31,
IF(V1670="posgrados",31,
IF(V1670="rEINTEGROS",7,
IF(V1670="BIT",90,
IF(V1670="OP GRADO - INGLÉS",17,"")))))</f>
        <v>31</v>
      </c>
      <c r="X1670" t="s">
        <v>4032</v>
      </c>
    </row>
    <row r="1671" spans="1:24" ht="15" x14ac:dyDescent="0.35">
      <c r="A1671" s="4">
        <v>46077.594918981478</v>
      </c>
      <c r="B1671">
        <v>20126009</v>
      </c>
      <c r="C1671" s="6" t="s">
        <v>19</v>
      </c>
      <c r="D1671">
        <v>170553</v>
      </c>
      <c r="E1671" t="s">
        <v>43</v>
      </c>
      <c r="F1671">
        <v>1081815357</v>
      </c>
      <c r="G1671" t="s">
        <v>3606</v>
      </c>
      <c r="H1671">
        <v>100247532</v>
      </c>
      <c r="I1671">
        <v>202651</v>
      </c>
      <c r="J1671">
        <v>1081815357</v>
      </c>
      <c r="K1671" t="s">
        <v>23</v>
      </c>
      <c r="L1671" t="s">
        <v>252</v>
      </c>
      <c r="M1671" t="s">
        <v>253</v>
      </c>
      <c r="N1671" t="s">
        <v>25</v>
      </c>
      <c r="O1671" t="s">
        <v>26</v>
      </c>
      <c r="P1671" t="s">
        <v>27</v>
      </c>
      <c r="Q1671" t="s">
        <v>28</v>
      </c>
      <c r="R1671" t="s">
        <v>29</v>
      </c>
      <c r="S1671" t="s">
        <v>30</v>
      </c>
      <c r="T1671">
        <v>52916205</v>
      </c>
      <c r="U1671" t="s">
        <v>3936</v>
      </c>
      <c r="V1671" t="s">
        <v>3937</v>
      </c>
      <c r="W1671" s="9">
        <f>IF(V1671="pregrado",31,
IF(V1671="posgrados",31,
IF(V1671="rEINTEGROS",7,
IF(V1671="BIT",90,
IF(V1671="OP GRADO - INGLÉS",17,"")))))</f>
        <v>31</v>
      </c>
      <c r="X1671" t="s">
        <v>4032</v>
      </c>
    </row>
    <row r="1672" spans="1:24" ht="15" x14ac:dyDescent="0.35">
      <c r="A1672" s="4">
        <v>46081.481226851851</v>
      </c>
      <c r="B1672">
        <v>20127051</v>
      </c>
      <c r="C1672" s="6" t="s">
        <v>19</v>
      </c>
      <c r="D1672">
        <v>170559</v>
      </c>
      <c r="E1672" t="s">
        <v>43</v>
      </c>
      <c r="F1672">
        <v>37686899</v>
      </c>
      <c r="G1672" t="s">
        <v>3759</v>
      </c>
      <c r="H1672">
        <v>100247537</v>
      </c>
      <c r="I1672">
        <v>202651</v>
      </c>
      <c r="J1672">
        <v>37686899</v>
      </c>
      <c r="K1672" t="s">
        <v>23</v>
      </c>
      <c r="L1672" t="s">
        <v>1250</v>
      </c>
      <c r="M1672" t="s">
        <v>253</v>
      </c>
      <c r="N1672" t="s">
        <v>35</v>
      </c>
      <c r="O1672" t="s">
        <v>26</v>
      </c>
      <c r="P1672" t="s">
        <v>27</v>
      </c>
      <c r="Q1672" t="s">
        <v>28</v>
      </c>
      <c r="R1672" t="s">
        <v>29</v>
      </c>
      <c r="S1672" t="s">
        <v>30</v>
      </c>
      <c r="T1672">
        <v>1033793185</v>
      </c>
      <c r="U1672" t="s">
        <v>3948</v>
      </c>
      <c r="V1672" t="s">
        <v>3937</v>
      </c>
      <c r="W1672" s="9">
        <f>IF(V1672="pregrado",31,
IF(V1672="posgrados",31,
IF(V1672="rEINTEGROS",7,
IF(V1672="BIT",90,
IF(V1672="OP GRADO - INGLÉS",17,"")))))</f>
        <v>31</v>
      </c>
      <c r="X1672" t="s">
        <v>4082</v>
      </c>
    </row>
    <row r="1673" spans="1:24" ht="15" x14ac:dyDescent="0.35">
      <c r="A1673" s="4">
        <v>46084.691064814811</v>
      </c>
      <c r="B1673">
        <v>20127493</v>
      </c>
      <c r="C1673" s="6" t="s">
        <v>19</v>
      </c>
      <c r="D1673">
        <v>170560</v>
      </c>
      <c r="E1673" t="s">
        <v>43</v>
      </c>
      <c r="F1673">
        <v>1118563089</v>
      </c>
      <c r="G1673" t="s">
        <v>3805</v>
      </c>
      <c r="H1673">
        <v>100122415</v>
      </c>
      <c r="I1673">
        <v>202641</v>
      </c>
      <c r="J1673">
        <v>1118563089</v>
      </c>
      <c r="K1673" t="s">
        <v>46</v>
      </c>
      <c r="L1673" t="s">
        <v>59</v>
      </c>
      <c r="M1673" t="s">
        <v>47</v>
      </c>
      <c r="N1673" t="s">
        <v>35</v>
      </c>
      <c r="O1673" t="s">
        <v>26</v>
      </c>
      <c r="P1673" t="s">
        <v>27</v>
      </c>
      <c r="Q1673" t="s">
        <v>28</v>
      </c>
      <c r="R1673" t="s">
        <v>29</v>
      </c>
      <c r="S1673" t="s">
        <v>30</v>
      </c>
      <c r="T1673">
        <v>1012389748</v>
      </c>
      <c r="U1673" t="s">
        <v>3948</v>
      </c>
      <c r="V1673" t="s">
        <v>3937</v>
      </c>
      <c r="W1673" s="9">
        <f>IF(V1673="pregrado",31,
IF(V1673="posgrados",31,
IF(V1673="rEINTEGROS",7,
IF(V1673="BIT",90,
IF(V1673="OP GRADO - INGLÉS",17,"")))))</f>
        <v>31</v>
      </c>
      <c r="X1673" t="s">
        <v>4065</v>
      </c>
    </row>
    <row r="1674" spans="1:24" ht="15" x14ac:dyDescent="0.35">
      <c r="A1674" s="4">
        <v>46077.483055555553</v>
      </c>
      <c r="B1674">
        <v>20125960</v>
      </c>
      <c r="C1674" s="6" t="s">
        <v>19</v>
      </c>
      <c r="D1674">
        <v>170562</v>
      </c>
      <c r="E1674" t="s">
        <v>43</v>
      </c>
      <c r="F1674">
        <v>1049646850</v>
      </c>
      <c r="G1674" t="s">
        <v>3595</v>
      </c>
      <c r="H1674">
        <v>100247540</v>
      </c>
      <c r="I1674">
        <v>202641</v>
      </c>
      <c r="J1674">
        <v>1049646850</v>
      </c>
      <c r="K1674" t="s">
        <v>23</v>
      </c>
      <c r="L1674" t="s">
        <v>294</v>
      </c>
      <c r="M1674" t="s">
        <v>47</v>
      </c>
      <c r="N1674" t="s">
        <v>35</v>
      </c>
      <c r="O1674" t="s">
        <v>26</v>
      </c>
      <c r="P1674" t="s">
        <v>27</v>
      </c>
      <c r="Q1674" t="s">
        <v>28</v>
      </c>
      <c r="R1674" t="s">
        <v>29</v>
      </c>
      <c r="S1674" t="s">
        <v>30</v>
      </c>
      <c r="T1674">
        <v>52032666</v>
      </c>
      <c r="U1674" t="s">
        <v>3948</v>
      </c>
      <c r="V1674" t="s">
        <v>3937</v>
      </c>
      <c r="W1674" s="9">
        <f>IF(V1674="pregrado",31,
IF(V1674="posgrados",31,
IF(V1674="rEINTEGROS",7,
IF(V1674="BIT",90,
IF(V1674="OP GRADO - INGLÉS",17,"")))))</f>
        <v>31</v>
      </c>
      <c r="X1674" t="s">
        <v>3983</v>
      </c>
    </row>
    <row r="1675" spans="1:24" ht="15" x14ac:dyDescent="0.35">
      <c r="A1675" s="4">
        <v>46081.463136574072</v>
      </c>
      <c r="B1675">
        <v>20127039</v>
      </c>
      <c r="C1675" s="6" t="s">
        <v>19</v>
      </c>
      <c r="D1675">
        <v>170564</v>
      </c>
      <c r="E1675" t="s">
        <v>43</v>
      </c>
      <c r="F1675">
        <v>1099209091</v>
      </c>
      <c r="G1675" t="s">
        <v>3756</v>
      </c>
      <c r="H1675">
        <v>100247546</v>
      </c>
      <c r="I1675">
        <v>202651</v>
      </c>
      <c r="J1675">
        <v>1099209091</v>
      </c>
      <c r="K1675" t="s">
        <v>23</v>
      </c>
      <c r="L1675" t="s">
        <v>1250</v>
      </c>
      <c r="M1675" t="s">
        <v>253</v>
      </c>
      <c r="N1675" t="s">
        <v>35</v>
      </c>
      <c r="O1675" t="s">
        <v>26</v>
      </c>
      <c r="P1675" t="s">
        <v>27</v>
      </c>
      <c r="Q1675" t="s">
        <v>28</v>
      </c>
      <c r="R1675" t="s">
        <v>29</v>
      </c>
      <c r="S1675" t="s">
        <v>30</v>
      </c>
      <c r="T1675">
        <v>1033793185</v>
      </c>
      <c r="U1675" t="s">
        <v>3948</v>
      </c>
      <c r="V1675" t="s">
        <v>3937</v>
      </c>
      <c r="W1675" s="9">
        <f>IF(V1675="pregrado",31,
IF(V1675="posgrados",31,
IF(V1675="rEINTEGROS",7,
IF(V1675="BIT",90,
IF(V1675="OP GRADO - INGLÉS",17,"")))))</f>
        <v>31</v>
      </c>
      <c r="X1675" t="s">
        <v>4082</v>
      </c>
    </row>
    <row r="1676" spans="1:24" ht="15" x14ac:dyDescent="0.35">
      <c r="A1676" s="4">
        <v>46077.561481481483</v>
      </c>
      <c r="B1676">
        <v>20125996</v>
      </c>
      <c r="C1676" s="6" t="s">
        <v>19</v>
      </c>
      <c r="D1676">
        <v>170565</v>
      </c>
      <c r="E1676" t="s">
        <v>43</v>
      </c>
      <c r="F1676">
        <v>1001033139</v>
      </c>
      <c r="G1676" t="s">
        <v>3604</v>
      </c>
      <c r="H1676">
        <v>100247549</v>
      </c>
      <c r="I1676">
        <v>202651</v>
      </c>
      <c r="J1676">
        <v>1001033139</v>
      </c>
      <c r="K1676" t="s">
        <v>23</v>
      </c>
      <c r="L1676" t="s">
        <v>252</v>
      </c>
      <c r="M1676" t="s">
        <v>253</v>
      </c>
      <c r="N1676" t="s">
        <v>35</v>
      </c>
      <c r="O1676" t="s">
        <v>26</v>
      </c>
      <c r="P1676" t="s">
        <v>27</v>
      </c>
      <c r="Q1676" t="s">
        <v>28</v>
      </c>
      <c r="R1676" t="s">
        <v>29</v>
      </c>
      <c r="S1676" t="s">
        <v>30</v>
      </c>
      <c r="T1676">
        <v>1014285873</v>
      </c>
      <c r="U1676" t="s">
        <v>3948</v>
      </c>
      <c r="V1676" t="s">
        <v>3937</v>
      </c>
      <c r="W1676" s="9">
        <f>IF(V1676="pregrado",31,
IF(V1676="posgrados",31,
IF(V1676="rEINTEGROS",7,
IF(V1676="BIT",90,
IF(V1676="OP GRADO - INGLÉS",17,"")))))</f>
        <v>31</v>
      </c>
      <c r="X1676" t="s">
        <v>3953</v>
      </c>
    </row>
    <row r="1677" spans="1:24" ht="15" x14ac:dyDescent="0.35">
      <c r="A1677" s="4">
        <v>46080.704293981478</v>
      </c>
      <c r="B1677">
        <v>20126940</v>
      </c>
      <c r="C1677" s="6" t="s">
        <v>19</v>
      </c>
      <c r="D1677">
        <v>170569</v>
      </c>
      <c r="E1677" t="s">
        <v>43</v>
      </c>
      <c r="F1677">
        <v>39422239</v>
      </c>
      <c r="G1677" t="s">
        <v>3743</v>
      </c>
      <c r="H1677">
        <v>100200990</v>
      </c>
      <c r="I1677">
        <v>202651</v>
      </c>
      <c r="J1677">
        <v>39422239</v>
      </c>
      <c r="K1677" t="s">
        <v>46</v>
      </c>
      <c r="L1677" t="s">
        <v>252</v>
      </c>
      <c r="M1677" t="s">
        <v>253</v>
      </c>
      <c r="N1677" t="s">
        <v>35</v>
      </c>
      <c r="O1677" t="s">
        <v>26</v>
      </c>
      <c r="P1677" t="s">
        <v>27</v>
      </c>
      <c r="Q1677" t="s">
        <v>28</v>
      </c>
      <c r="R1677" t="s">
        <v>29</v>
      </c>
      <c r="S1677" t="s">
        <v>30</v>
      </c>
      <c r="T1677">
        <v>1012355141</v>
      </c>
      <c r="U1677" t="s">
        <v>3936</v>
      </c>
      <c r="V1677" t="s">
        <v>3937</v>
      </c>
      <c r="W1677" s="9">
        <f>IF(V1677="pregrado",31,
IF(V1677="posgrados",31,
IF(V1677="rEINTEGROS",7,
IF(V1677="BIT",90,
IF(V1677="OP GRADO - INGLÉS",17,"")))))</f>
        <v>31</v>
      </c>
      <c r="X1677" t="s">
        <v>4045</v>
      </c>
    </row>
    <row r="1678" spans="1:24" ht="15" x14ac:dyDescent="0.35">
      <c r="A1678" s="4">
        <v>46077.523287037038</v>
      </c>
      <c r="B1678">
        <v>20125982</v>
      </c>
      <c r="C1678" s="6" t="s">
        <v>19</v>
      </c>
      <c r="D1678">
        <v>170571</v>
      </c>
      <c r="E1678" t="s">
        <v>43</v>
      </c>
      <c r="F1678">
        <v>1123207816</v>
      </c>
      <c r="G1678" t="s">
        <v>3601</v>
      </c>
      <c r="H1678">
        <v>100074079</v>
      </c>
      <c r="I1678">
        <v>202651</v>
      </c>
      <c r="J1678">
        <v>1123207816</v>
      </c>
      <c r="K1678" t="s">
        <v>46</v>
      </c>
      <c r="L1678" t="s">
        <v>252</v>
      </c>
      <c r="M1678" t="s">
        <v>253</v>
      </c>
      <c r="N1678" t="s">
        <v>35</v>
      </c>
      <c r="O1678" t="s">
        <v>26</v>
      </c>
      <c r="P1678" t="s">
        <v>27</v>
      </c>
      <c r="Q1678" t="s">
        <v>28</v>
      </c>
      <c r="R1678" t="s">
        <v>29</v>
      </c>
      <c r="S1678" t="s">
        <v>30</v>
      </c>
      <c r="T1678">
        <v>1033781417</v>
      </c>
      <c r="U1678" t="s">
        <v>3948</v>
      </c>
      <c r="V1678" t="s">
        <v>3937</v>
      </c>
      <c r="W1678" s="9">
        <f>IF(V1678="pregrado",31,
IF(V1678="posgrados",31,
IF(V1678="rEINTEGROS",7,
IF(V1678="BIT",90,
IF(V1678="OP GRADO - INGLÉS",17,"")))))</f>
        <v>31</v>
      </c>
      <c r="X1678" t="s">
        <v>4031</v>
      </c>
    </row>
    <row r="1679" spans="1:24" ht="15" x14ac:dyDescent="0.35">
      <c r="A1679" s="4">
        <v>46079.657465277778</v>
      </c>
      <c r="B1679">
        <v>20126604</v>
      </c>
      <c r="C1679" s="6" t="s">
        <v>19</v>
      </c>
      <c r="D1679">
        <v>170572</v>
      </c>
      <c r="E1679" t="s">
        <v>43</v>
      </c>
      <c r="F1679">
        <v>1116777045</v>
      </c>
      <c r="G1679" t="s">
        <v>3678</v>
      </c>
      <c r="H1679">
        <v>100037173</v>
      </c>
      <c r="I1679">
        <v>202651</v>
      </c>
      <c r="J1679">
        <v>1116787718</v>
      </c>
      <c r="K1679" t="s">
        <v>23</v>
      </c>
      <c r="L1679" t="s">
        <v>252</v>
      </c>
      <c r="M1679" t="s">
        <v>253</v>
      </c>
      <c r="N1679" t="s">
        <v>35</v>
      </c>
      <c r="O1679" t="s">
        <v>26</v>
      </c>
      <c r="P1679" t="s">
        <v>27</v>
      </c>
      <c r="Q1679" t="s">
        <v>28</v>
      </c>
      <c r="R1679" t="s">
        <v>29</v>
      </c>
      <c r="S1679" t="s">
        <v>30</v>
      </c>
      <c r="T1679">
        <v>1032451737</v>
      </c>
      <c r="U1679" t="s">
        <v>3948</v>
      </c>
      <c r="V1679" t="s">
        <v>3937</v>
      </c>
      <c r="W1679" s="9">
        <f>IF(V1679="pregrado",31,
IF(V1679="posgrados",31,
IF(V1679="rEINTEGROS",7,
IF(V1679="BIT",90,
IF(V1679="OP GRADO - INGLÉS",17,"")))))</f>
        <v>31</v>
      </c>
      <c r="X1679" t="s">
        <v>4033</v>
      </c>
    </row>
    <row r="1680" spans="1:24" ht="15" x14ac:dyDescent="0.35">
      <c r="A1680" s="4">
        <v>46080.706516203703</v>
      </c>
      <c r="B1680">
        <v>20126945</v>
      </c>
      <c r="C1680" s="6" t="s">
        <v>19</v>
      </c>
      <c r="D1680">
        <v>170575</v>
      </c>
      <c r="E1680" t="s">
        <v>43</v>
      </c>
      <c r="F1680">
        <v>36383112</v>
      </c>
      <c r="G1680" t="s">
        <v>3745</v>
      </c>
      <c r="H1680">
        <v>100052899</v>
      </c>
      <c r="I1680">
        <v>202651</v>
      </c>
      <c r="J1680">
        <v>36383112</v>
      </c>
      <c r="K1680" t="s">
        <v>23</v>
      </c>
      <c r="L1680" t="s">
        <v>252</v>
      </c>
      <c r="M1680" t="s">
        <v>253</v>
      </c>
      <c r="N1680" t="s">
        <v>35</v>
      </c>
      <c r="O1680" t="s">
        <v>26</v>
      </c>
      <c r="P1680" t="s">
        <v>27</v>
      </c>
      <c r="Q1680" t="s">
        <v>28</v>
      </c>
      <c r="R1680" t="s">
        <v>29</v>
      </c>
      <c r="S1680" t="s">
        <v>30</v>
      </c>
      <c r="T1680">
        <v>1012389748</v>
      </c>
      <c r="U1680" t="s">
        <v>3948</v>
      </c>
      <c r="V1680" t="s">
        <v>3937</v>
      </c>
      <c r="W1680" s="9">
        <f>IF(V1680="pregrado",31,
IF(V1680="posgrados",31,
IF(V1680="rEINTEGROS",7,
IF(V1680="BIT",90,
IF(V1680="OP GRADO - INGLÉS",17,"")))))</f>
        <v>31</v>
      </c>
      <c r="X1680" t="s">
        <v>4065</v>
      </c>
    </row>
    <row r="1681" spans="1:24" ht="15" x14ac:dyDescent="0.35">
      <c r="A1681" s="4">
        <v>46079.802928240744</v>
      </c>
      <c r="B1681">
        <v>20126706</v>
      </c>
      <c r="C1681" s="6" t="s">
        <v>19</v>
      </c>
      <c r="D1681">
        <v>170576</v>
      </c>
      <c r="E1681" t="s">
        <v>43</v>
      </c>
      <c r="F1681">
        <v>1081409208</v>
      </c>
      <c r="G1681" t="s">
        <v>3702</v>
      </c>
      <c r="H1681">
        <v>100076556</v>
      </c>
      <c r="I1681">
        <v>202651</v>
      </c>
      <c r="J1681">
        <v>1081409208</v>
      </c>
      <c r="K1681" t="s">
        <v>23</v>
      </c>
      <c r="L1681" t="s">
        <v>252</v>
      </c>
      <c r="M1681" t="s">
        <v>253</v>
      </c>
      <c r="N1681" t="s">
        <v>35</v>
      </c>
      <c r="O1681" t="s">
        <v>26</v>
      </c>
      <c r="P1681" t="s">
        <v>27</v>
      </c>
      <c r="Q1681" t="s">
        <v>28</v>
      </c>
      <c r="R1681" t="s">
        <v>29</v>
      </c>
      <c r="S1681" t="s">
        <v>30</v>
      </c>
      <c r="T1681">
        <v>1012389748</v>
      </c>
      <c r="U1681" t="s">
        <v>3948</v>
      </c>
      <c r="V1681" t="s">
        <v>3937</v>
      </c>
      <c r="W1681" s="9">
        <f>IF(V1681="pregrado",31,
IF(V1681="posgrados",31,
IF(V1681="rEINTEGROS",7,
IF(V1681="BIT",90,
IF(V1681="OP GRADO - INGLÉS",17,"")))))</f>
        <v>31</v>
      </c>
      <c r="X1681" t="s">
        <v>4065</v>
      </c>
    </row>
    <row r="1682" spans="1:24" ht="15" x14ac:dyDescent="0.35">
      <c r="A1682" s="4">
        <v>46079.404849537037</v>
      </c>
      <c r="B1682">
        <v>20126435</v>
      </c>
      <c r="C1682" s="6" t="s">
        <v>19</v>
      </c>
      <c r="D1682">
        <v>170580</v>
      </c>
      <c r="E1682" t="s">
        <v>43</v>
      </c>
      <c r="F1682">
        <v>45488432</v>
      </c>
      <c r="G1682" t="s">
        <v>3649</v>
      </c>
      <c r="H1682">
        <v>100215618</v>
      </c>
      <c r="I1682">
        <v>202651</v>
      </c>
      <c r="J1682">
        <v>45488432</v>
      </c>
      <c r="K1682" t="s">
        <v>89</v>
      </c>
      <c r="L1682" t="s">
        <v>252</v>
      </c>
      <c r="M1682" t="s">
        <v>253</v>
      </c>
      <c r="N1682" t="s">
        <v>35</v>
      </c>
      <c r="O1682" t="s">
        <v>26</v>
      </c>
      <c r="P1682" t="s">
        <v>27</v>
      </c>
      <c r="Q1682" t="s">
        <v>28</v>
      </c>
      <c r="R1682" t="s">
        <v>29</v>
      </c>
      <c r="S1682" t="s">
        <v>30</v>
      </c>
      <c r="T1682">
        <v>1023899450</v>
      </c>
      <c r="U1682" t="s">
        <v>3977</v>
      </c>
      <c r="V1682" t="s">
        <v>3970</v>
      </c>
      <c r="W1682" s="9">
        <f>IF(V1682="pregrado",31,
IF(V1682="posgrados",31,
IF(V1682="rEINTEGROS",7,
IF(V1682="BIT",90,
IF(V1682="OP GRADO - INGLÉS",17,"")))))</f>
        <v>7</v>
      </c>
      <c r="X1682" t="s">
        <v>3969</v>
      </c>
    </row>
    <row r="1683" spans="1:24" ht="15" x14ac:dyDescent="0.35">
      <c r="A1683" s="4">
        <v>46079.655821759261</v>
      </c>
      <c r="B1683">
        <v>20126601</v>
      </c>
      <c r="C1683" s="6" t="s">
        <v>19</v>
      </c>
      <c r="D1683">
        <v>170584</v>
      </c>
      <c r="E1683" t="s">
        <v>43</v>
      </c>
      <c r="F1683">
        <v>1121938530</v>
      </c>
      <c r="G1683" t="s">
        <v>3676</v>
      </c>
      <c r="H1683">
        <v>100206855</v>
      </c>
      <c r="I1683">
        <v>202641</v>
      </c>
      <c r="J1683">
        <v>1121938530</v>
      </c>
      <c r="K1683" t="s">
        <v>89</v>
      </c>
      <c r="L1683" t="s">
        <v>294</v>
      </c>
      <c r="M1683" t="s">
        <v>47</v>
      </c>
      <c r="N1683" t="s">
        <v>35</v>
      </c>
      <c r="O1683" t="s">
        <v>26</v>
      </c>
      <c r="P1683" t="s">
        <v>27</v>
      </c>
      <c r="Q1683" t="s">
        <v>28</v>
      </c>
      <c r="R1683" t="s">
        <v>29</v>
      </c>
      <c r="S1683" t="s">
        <v>30</v>
      </c>
      <c r="T1683">
        <v>1023899450</v>
      </c>
      <c r="U1683" t="s">
        <v>3977</v>
      </c>
      <c r="V1683" t="s">
        <v>3970</v>
      </c>
      <c r="W1683" s="9">
        <f>IF(V1683="pregrado",31,
IF(V1683="posgrados",31,
IF(V1683="rEINTEGROS",7,
IF(V1683="BIT",90,
IF(V1683="OP GRADO - INGLÉS",17,"")))))</f>
        <v>7</v>
      </c>
      <c r="X1683" t="s">
        <v>3969</v>
      </c>
    </row>
    <row r="1684" spans="1:24" ht="15" x14ac:dyDescent="0.35">
      <c r="A1684" s="4">
        <v>46077.74900462963</v>
      </c>
      <c r="B1684">
        <v>20126110</v>
      </c>
      <c r="C1684" s="6" t="s">
        <v>19</v>
      </c>
      <c r="D1684">
        <v>170595</v>
      </c>
      <c r="E1684" t="s">
        <v>43</v>
      </c>
      <c r="F1684">
        <v>1007693532</v>
      </c>
      <c r="G1684" t="s">
        <v>3616</v>
      </c>
      <c r="H1684">
        <v>100247600</v>
      </c>
      <c r="I1684">
        <v>202651</v>
      </c>
      <c r="J1684">
        <v>1059449602</v>
      </c>
      <c r="K1684" t="s">
        <v>23</v>
      </c>
      <c r="L1684" t="s">
        <v>252</v>
      </c>
      <c r="M1684" t="s">
        <v>253</v>
      </c>
      <c r="N1684" t="s">
        <v>35</v>
      </c>
      <c r="O1684" t="s">
        <v>26</v>
      </c>
      <c r="P1684" t="s">
        <v>27</v>
      </c>
      <c r="Q1684" t="s">
        <v>28</v>
      </c>
      <c r="R1684" t="s">
        <v>29</v>
      </c>
      <c r="S1684" t="s">
        <v>30</v>
      </c>
      <c r="T1684">
        <v>1033793185</v>
      </c>
      <c r="U1684" t="s">
        <v>3948</v>
      </c>
      <c r="V1684" t="s">
        <v>3937</v>
      </c>
      <c r="W1684" s="9">
        <f>IF(V1684="pregrado",31,
IF(V1684="posgrados",31,
IF(V1684="rEINTEGROS",7,
IF(V1684="BIT",90,
IF(V1684="OP GRADO - INGLÉS",17,"")))))</f>
        <v>31</v>
      </c>
      <c r="X1684" t="s">
        <v>4082</v>
      </c>
    </row>
    <row r="1685" spans="1:24" ht="15" x14ac:dyDescent="0.35">
      <c r="A1685" s="4">
        <v>46078.730740740742</v>
      </c>
      <c r="B1685">
        <v>20126342</v>
      </c>
      <c r="C1685" s="6" t="s">
        <v>19</v>
      </c>
      <c r="D1685">
        <v>170609</v>
      </c>
      <c r="E1685" t="s">
        <v>43</v>
      </c>
      <c r="F1685">
        <v>37711047</v>
      </c>
      <c r="G1685" t="s">
        <v>3640</v>
      </c>
      <c r="H1685">
        <v>100182661</v>
      </c>
      <c r="I1685">
        <v>202651</v>
      </c>
      <c r="J1685">
        <v>37711047</v>
      </c>
      <c r="K1685" t="s">
        <v>46</v>
      </c>
      <c r="L1685" t="s">
        <v>252</v>
      </c>
      <c r="M1685" t="s">
        <v>253</v>
      </c>
      <c r="N1685" t="s">
        <v>35</v>
      </c>
      <c r="O1685" t="s">
        <v>26</v>
      </c>
      <c r="P1685" t="s">
        <v>27</v>
      </c>
      <c r="Q1685" t="s">
        <v>28</v>
      </c>
      <c r="R1685" t="s">
        <v>29</v>
      </c>
      <c r="S1685" t="s">
        <v>30</v>
      </c>
      <c r="T1685">
        <v>1033793185</v>
      </c>
      <c r="U1685" t="s">
        <v>3948</v>
      </c>
      <c r="V1685" t="s">
        <v>3937</v>
      </c>
      <c r="W1685" s="9">
        <f>IF(V1685="pregrado",31,
IF(V1685="posgrados",31,
IF(V1685="rEINTEGROS",7,
IF(V1685="BIT",90,
IF(V1685="OP GRADO - INGLÉS",17,"")))))</f>
        <v>31</v>
      </c>
      <c r="X1685" t="s">
        <v>4082</v>
      </c>
    </row>
    <row r="1686" spans="1:24" ht="15" x14ac:dyDescent="0.35">
      <c r="A1686" s="4">
        <v>46080.402268518519</v>
      </c>
      <c r="B1686">
        <v>20126768</v>
      </c>
      <c r="C1686" s="6" t="s">
        <v>19</v>
      </c>
      <c r="D1686">
        <v>170612</v>
      </c>
      <c r="E1686" t="s">
        <v>43</v>
      </c>
      <c r="F1686">
        <v>19787051</v>
      </c>
      <c r="G1686" t="s">
        <v>3714</v>
      </c>
      <c r="H1686">
        <v>100247625</v>
      </c>
      <c r="I1686">
        <v>202641</v>
      </c>
      <c r="J1686">
        <v>1065835954</v>
      </c>
      <c r="K1686" t="s">
        <v>23</v>
      </c>
      <c r="L1686" t="s">
        <v>294</v>
      </c>
      <c r="M1686" t="s">
        <v>47</v>
      </c>
      <c r="N1686" t="s">
        <v>35</v>
      </c>
      <c r="O1686" t="s">
        <v>26</v>
      </c>
      <c r="P1686" t="s">
        <v>27</v>
      </c>
      <c r="Q1686" t="s">
        <v>28</v>
      </c>
      <c r="R1686" t="s">
        <v>29</v>
      </c>
      <c r="S1686" t="s">
        <v>30</v>
      </c>
      <c r="T1686">
        <v>1012389748</v>
      </c>
      <c r="U1686" t="s">
        <v>3948</v>
      </c>
      <c r="V1686" t="s">
        <v>3937</v>
      </c>
      <c r="W1686" s="9">
        <f>IF(V1686="pregrado",31,
IF(V1686="posgrados",31,
IF(V1686="rEINTEGROS",7,
IF(V1686="BIT",90,
IF(V1686="OP GRADO - INGLÉS",17,"")))))</f>
        <v>31</v>
      </c>
      <c r="X1686" t="s">
        <v>4065</v>
      </c>
    </row>
    <row r="1687" spans="1:24" ht="15" x14ac:dyDescent="0.35">
      <c r="A1687" s="4">
        <v>46078.427141203705</v>
      </c>
      <c r="B1687">
        <v>20126208</v>
      </c>
      <c r="C1687" s="6" t="s">
        <v>19</v>
      </c>
      <c r="D1687">
        <v>170621</v>
      </c>
      <c r="E1687" t="s">
        <v>43</v>
      </c>
      <c r="F1687">
        <v>1063963812</v>
      </c>
      <c r="G1687" t="s">
        <v>3627</v>
      </c>
      <c r="H1687">
        <v>100247610</v>
      </c>
      <c r="I1687">
        <v>202641</v>
      </c>
      <c r="J1687">
        <v>1063963812</v>
      </c>
      <c r="K1687" t="s">
        <v>23</v>
      </c>
      <c r="L1687" t="s">
        <v>59</v>
      </c>
      <c r="M1687" t="s">
        <v>47</v>
      </c>
      <c r="N1687" t="s">
        <v>35</v>
      </c>
      <c r="O1687" t="s">
        <v>26</v>
      </c>
      <c r="P1687" t="s">
        <v>27</v>
      </c>
      <c r="Q1687" t="s">
        <v>28</v>
      </c>
      <c r="R1687" t="s">
        <v>29</v>
      </c>
      <c r="S1687" t="s">
        <v>30</v>
      </c>
      <c r="T1687">
        <v>1082250716</v>
      </c>
      <c r="U1687" t="s">
        <v>3936</v>
      </c>
      <c r="V1687" t="s">
        <v>3937</v>
      </c>
      <c r="W1687" s="9">
        <f>IF(V1687="pregrado",31,
IF(V1687="posgrados",31,
IF(V1687="rEINTEGROS",7,
IF(V1687="BIT",90,
IF(V1687="OP GRADO - INGLÉS",17,"")))))</f>
        <v>31</v>
      </c>
      <c r="X1687" t="s">
        <v>3997</v>
      </c>
    </row>
    <row r="1688" spans="1:24" ht="15" x14ac:dyDescent="0.35">
      <c r="A1688" s="4">
        <v>46079.841331018521</v>
      </c>
      <c r="B1688">
        <v>20126717</v>
      </c>
      <c r="C1688" s="6" t="s">
        <v>19</v>
      </c>
      <c r="D1688">
        <v>170636</v>
      </c>
      <c r="E1688" t="s">
        <v>43</v>
      </c>
      <c r="F1688">
        <v>1098811769</v>
      </c>
      <c r="G1688" t="s">
        <v>3707</v>
      </c>
      <c r="H1688">
        <v>100247659</v>
      </c>
      <c r="I1688">
        <v>202641</v>
      </c>
      <c r="J1688">
        <v>1098809494</v>
      </c>
      <c r="K1688" t="s">
        <v>23</v>
      </c>
      <c r="L1688" t="s">
        <v>160</v>
      </c>
      <c r="M1688" t="s">
        <v>47</v>
      </c>
      <c r="N1688" t="s">
        <v>35</v>
      </c>
      <c r="O1688" t="s">
        <v>26</v>
      </c>
      <c r="P1688" t="s">
        <v>27</v>
      </c>
      <c r="Q1688" t="s">
        <v>28</v>
      </c>
      <c r="R1688" t="s">
        <v>29</v>
      </c>
      <c r="S1688" t="s">
        <v>30</v>
      </c>
      <c r="T1688">
        <v>53116792</v>
      </c>
      <c r="U1688" t="s">
        <v>3936</v>
      </c>
      <c r="V1688" t="s">
        <v>3937</v>
      </c>
      <c r="W1688" s="9">
        <f>IF(V1688="pregrado",31,
IF(V1688="posgrados",31,
IF(V1688="rEINTEGROS",7,
IF(V1688="BIT",90,
IF(V1688="OP GRADO - INGLÉS",17,"")))))</f>
        <v>31</v>
      </c>
      <c r="X1688" t="s">
        <v>4008</v>
      </c>
    </row>
    <row r="1689" spans="1:24" ht="15" x14ac:dyDescent="0.35">
      <c r="A1689" s="4">
        <v>46078.741967592592</v>
      </c>
      <c r="B1689">
        <v>20126348</v>
      </c>
      <c r="C1689" s="6" t="s">
        <v>19</v>
      </c>
      <c r="D1689">
        <v>170645</v>
      </c>
      <c r="E1689" t="s">
        <v>43</v>
      </c>
      <c r="F1689">
        <v>1061816466</v>
      </c>
      <c r="G1689" t="s">
        <v>3642</v>
      </c>
      <c r="H1689">
        <v>100247671</v>
      </c>
      <c r="I1689">
        <v>202651</v>
      </c>
      <c r="J1689">
        <v>1061816466</v>
      </c>
      <c r="K1689" t="s">
        <v>23</v>
      </c>
      <c r="L1689" t="s">
        <v>252</v>
      </c>
      <c r="M1689" t="s">
        <v>253</v>
      </c>
      <c r="N1689" t="s">
        <v>35</v>
      </c>
      <c r="O1689" t="s">
        <v>26</v>
      </c>
      <c r="P1689" t="s">
        <v>27</v>
      </c>
      <c r="Q1689" t="s">
        <v>28</v>
      </c>
      <c r="R1689" t="s">
        <v>29</v>
      </c>
      <c r="S1689" t="s">
        <v>30</v>
      </c>
      <c r="T1689">
        <v>1140420282</v>
      </c>
      <c r="U1689" t="s">
        <v>3948</v>
      </c>
      <c r="V1689" t="s">
        <v>3937</v>
      </c>
      <c r="W1689" s="9">
        <f>IF(V1689="pregrado",31,
IF(V1689="posgrados",31,
IF(V1689="rEINTEGROS",7,
IF(V1689="BIT",90,
IF(V1689="OP GRADO - INGLÉS",17,"")))))</f>
        <v>31</v>
      </c>
      <c r="X1689" t="s">
        <v>3972</v>
      </c>
    </row>
    <row r="1690" spans="1:24" ht="15" x14ac:dyDescent="0.35">
      <c r="A1690" s="4">
        <v>46079.74659722222</v>
      </c>
      <c r="B1690">
        <v>20126679</v>
      </c>
      <c r="C1690" s="6" t="s">
        <v>19</v>
      </c>
      <c r="D1690">
        <v>170668</v>
      </c>
      <c r="E1690" t="s">
        <v>43</v>
      </c>
      <c r="F1690">
        <v>1023948598</v>
      </c>
      <c r="G1690" t="s">
        <v>3695</v>
      </c>
      <c r="H1690">
        <v>100034963</v>
      </c>
      <c r="I1690">
        <v>202641</v>
      </c>
      <c r="J1690">
        <v>1023948598</v>
      </c>
      <c r="K1690" t="s">
        <v>23</v>
      </c>
      <c r="L1690" t="s">
        <v>294</v>
      </c>
      <c r="M1690" t="s">
        <v>47</v>
      </c>
      <c r="N1690" t="s">
        <v>35</v>
      </c>
      <c r="O1690" t="s">
        <v>26</v>
      </c>
      <c r="P1690" t="s">
        <v>27</v>
      </c>
      <c r="Q1690" t="s">
        <v>28</v>
      </c>
      <c r="R1690" t="s">
        <v>29</v>
      </c>
      <c r="S1690" t="s">
        <v>30</v>
      </c>
      <c r="T1690">
        <v>1014285873</v>
      </c>
      <c r="U1690" t="s">
        <v>3948</v>
      </c>
      <c r="V1690" t="s">
        <v>3937</v>
      </c>
      <c r="W1690" s="9">
        <f>IF(V1690="pregrado",31,
IF(V1690="posgrados",31,
IF(V1690="rEINTEGROS",7,
IF(V1690="BIT",90,
IF(V1690="OP GRADO - INGLÉS",17,"")))))</f>
        <v>31</v>
      </c>
      <c r="X1690" t="s">
        <v>3953</v>
      </c>
    </row>
    <row r="1691" spans="1:24" ht="15" x14ac:dyDescent="0.35">
      <c r="A1691" s="4">
        <v>46079.67759259259</v>
      </c>
      <c r="B1691">
        <v>20126620</v>
      </c>
      <c r="C1691" s="6" t="s">
        <v>19</v>
      </c>
      <c r="D1691">
        <v>170700</v>
      </c>
      <c r="E1691" t="s">
        <v>43</v>
      </c>
      <c r="F1691">
        <v>1081829898</v>
      </c>
      <c r="G1691" t="s">
        <v>3683</v>
      </c>
      <c r="H1691">
        <v>100247758</v>
      </c>
      <c r="I1691">
        <v>202651</v>
      </c>
      <c r="J1691">
        <v>1081829898</v>
      </c>
      <c r="K1691" t="s">
        <v>23</v>
      </c>
      <c r="L1691" t="s">
        <v>252</v>
      </c>
      <c r="M1691" t="s">
        <v>253</v>
      </c>
      <c r="N1691" t="s">
        <v>35</v>
      </c>
      <c r="O1691" t="s">
        <v>26</v>
      </c>
      <c r="P1691" t="s">
        <v>27</v>
      </c>
      <c r="Q1691" t="s">
        <v>28</v>
      </c>
      <c r="R1691" t="s">
        <v>29</v>
      </c>
      <c r="S1691" t="s">
        <v>30</v>
      </c>
      <c r="T1691">
        <v>1014285873</v>
      </c>
      <c r="U1691" t="s">
        <v>3948</v>
      </c>
      <c r="V1691" t="s">
        <v>3937</v>
      </c>
      <c r="W1691" s="9">
        <f>IF(V1691="pregrado",31,
IF(V1691="posgrados",31,
IF(V1691="rEINTEGROS",7,
IF(V1691="BIT",90,
IF(V1691="OP GRADO - INGLÉS",17,"")))))</f>
        <v>31</v>
      </c>
      <c r="X1691" t="s">
        <v>3953</v>
      </c>
    </row>
    <row r="1692" spans="1:24" ht="15" x14ac:dyDescent="0.35">
      <c r="A1692" s="4">
        <v>46079.677523148152</v>
      </c>
      <c r="B1692">
        <v>20126619</v>
      </c>
      <c r="C1692" s="6" t="s">
        <v>19</v>
      </c>
      <c r="D1692">
        <v>170701</v>
      </c>
      <c r="E1692" t="s">
        <v>43</v>
      </c>
      <c r="F1692">
        <v>1102885471</v>
      </c>
      <c r="G1692" t="s">
        <v>3682</v>
      </c>
      <c r="H1692">
        <v>100247766</v>
      </c>
      <c r="I1692">
        <v>202651</v>
      </c>
      <c r="J1692">
        <v>1102885471</v>
      </c>
      <c r="K1692" t="s">
        <v>23</v>
      </c>
      <c r="L1692" t="s">
        <v>252</v>
      </c>
      <c r="M1692" t="s">
        <v>253</v>
      </c>
      <c r="N1692" t="s">
        <v>35</v>
      </c>
      <c r="O1692" t="s">
        <v>26</v>
      </c>
      <c r="P1692" t="s">
        <v>27</v>
      </c>
      <c r="Q1692" t="s">
        <v>28</v>
      </c>
      <c r="R1692" t="s">
        <v>29</v>
      </c>
      <c r="S1692" t="s">
        <v>30</v>
      </c>
      <c r="T1692">
        <v>1014285873</v>
      </c>
      <c r="U1692" t="s">
        <v>3948</v>
      </c>
      <c r="V1692" t="s">
        <v>3937</v>
      </c>
      <c r="W1692" s="9">
        <f>IF(V1692="pregrado",31,
IF(V1692="posgrados",31,
IF(V1692="rEINTEGROS",7,
IF(V1692="BIT",90,
IF(V1692="OP GRADO - INGLÉS",17,"")))))</f>
        <v>31</v>
      </c>
      <c r="X1692" t="s">
        <v>3953</v>
      </c>
    </row>
    <row r="1693" spans="1:24" ht="15" x14ac:dyDescent="0.35">
      <c r="A1693" s="4">
        <v>46079.681666666664</v>
      </c>
      <c r="B1693">
        <v>20126626</v>
      </c>
      <c r="C1693" s="6" t="s">
        <v>19</v>
      </c>
      <c r="D1693">
        <v>170702</v>
      </c>
      <c r="E1693" t="s">
        <v>43</v>
      </c>
      <c r="F1693">
        <v>25958203</v>
      </c>
      <c r="G1693" t="s">
        <v>3685</v>
      </c>
      <c r="H1693">
        <v>100247775</v>
      </c>
      <c r="I1693">
        <v>202651</v>
      </c>
      <c r="J1693">
        <v>1123624375</v>
      </c>
      <c r="K1693" t="s">
        <v>23</v>
      </c>
      <c r="L1693" t="s">
        <v>252</v>
      </c>
      <c r="M1693" t="s">
        <v>253</v>
      </c>
      <c r="N1693" t="s">
        <v>35</v>
      </c>
      <c r="O1693" t="s">
        <v>26</v>
      </c>
      <c r="P1693" t="s">
        <v>27</v>
      </c>
      <c r="Q1693" t="s">
        <v>28</v>
      </c>
      <c r="R1693" t="s">
        <v>29</v>
      </c>
      <c r="S1693" t="s">
        <v>30</v>
      </c>
      <c r="T1693">
        <v>1033793185</v>
      </c>
      <c r="U1693" t="s">
        <v>3948</v>
      </c>
      <c r="V1693" t="s">
        <v>3937</v>
      </c>
      <c r="W1693" s="9">
        <f>IF(V1693="pregrado",31,
IF(V1693="posgrados",31,
IF(V1693="rEINTEGROS",7,
IF(V1693="BIT",90,
IF(V1693="OP GRADO - INGLÉS",17,"")))))</f>
        <v>31</v>
      </c>
      <c r="X1693" t="s">
        <v>4082</v>
      </c>
    </row>
    <row r="1694" spans="1:24" ht="15" x14ac:dyDescent="0.35">
      <c r="A1694" s="4">
        <v>46079.48877314815</v>
      </c>
      <c r="B1694">
        <v>20126502</v>
      </c>
      <c r="C1694" s="6" t="s">
        <v>19</v>
      </c>
      <c r="D1694">
        <v>170703</v>
      </c>
      <c r="E1694" t="s">
        <v>43</v>
      </c>
      <c r="F1694">
        <v>43279449</v>
      </c>
      <c r="G1694" t="s">
        <v>3659</v>
      </c>
      <c r="H1694">
        <v>100201053</v>
      </c>
      <c r="I1694">
        <v>202651</v>
      </c>
      <c r="J1694">
        <v>43279449</v>
      </c>
      <c r="K1694" t="s">
        <v>46</v>
      </c>
      <c r="L1694" t="s">
        <v>252</v>
      </c>
      <c r="M1694" t="s">
        <v>253</v>
      </c>
      <c r="N1694" t="s">
        <v>35</v>
      </c>
      <c r="O1694" t="s">
        <v>26</v>
      </c>
      <c r="P1694" t="s">
        <v>27</v>
      </c>
      <c r="Q1694" t="s">
        <v>28</v>
      </c>
      <c r="R1694" t="s">
        <v>29</v>
      </c>
      <c r="S1694" t="s">
        <v>30</v>
      </c>
      <c r="T1694">
        <v>1012355141</v>
      </c>
      <c r="U1694" t="s">
        <v>3936</v>
      </c>
      <c r="V1694" t="s">
        <v>3937</v>
      </c>
      <c r="W1694" s="9">
        <f>IF(V1694="pregrado",31,
IF(V1694="posgrados",31,
IF(V1694="rEINTEGROS",7,
IF(V1694="BIT",90,
IF(V1694="OP GRADO - INGLÉS",17,"")))))</f>
        <v>31</v>
      </c>
      <c r="X1694" t="s">
        <v>4045</v>
      </c>
    </row>
    <row r="1695" spans="1:24" ht="15" x14ac:dyDescent="0.35">
      <c r="A1695" s="4">
        <v>46079.586539351854</v>
      </c>
      <c r="B1695">
        <v>20126556</v>
      </c>
      <c r="C1695" s="6" t="s">
        <v>19</v>
      </c>
      <c r="D1695">
        <v>170708</v>
      </c>
      <c r="E1695" t="s">
        <v>43</v>
      </c>
      <c r="F1695">
        <v>39622711</v>
      </c>
      <c r="G1695" t="s">
        <v>3668</v>
      </c>
      <c r="H1695">
        <v>100202645</v>
      </c>
      <c r="I1695">
        <v>202651</v>
      </c>
      <c r="J1695">
        <v>1069736479</v>
      </c>
      <c r="K1695" t="s">
        <v>23</v>
      </c>
      <c r="L1695" t="s">
        <v>252</v>
      </c>
      <c r="M1695" t="s">
        <v>253</v>
      </c>
      <c r="N1695" t="s">
        <v>35</v>
      </c>
      <c r="O1695" t="s">
        <v>26</v>
      </c>
      <c r="P1695" t="s">
        <v>27</v>
      </c>
      <c r="Q1695" t="s">
        <v>28</v>
      </c>
      <c r="R1695" t="s">
        <v>29</v>
      </c>
      <c r="S1695" t="s">
        <v>30</v>
      </c>
      <c r="T1695">
        <v>1233513889</v>
      </c>
      <c r="U1695" t="s">
        <v>3948</v>
      </c>
      <c r="V1695" t="s">
        <v>3937</v>
      </c>
      <c r="W1695" s="9">
        <f>IF(V1695="pregrado",31,
IF(V1695="posgrados",31,
IF(V1695="rEINTEGROS",7,
IF(V1695="BIT",90,
IF(V1695="OP GRADO - INGLÉS",17,"")))))</f>
        <v>31</v>
      </c>
      <c r="X1695" t="s">
        <v>4035</v>
      </c>
    </row>
    <row r="1696" spans="1:24" ht="15" x14ac:dyDescent="0.35">
      <c r="A1696" s="4">
        <v>46085.336863425924</v>
      </c>
      <c r="B1696">
        <v>20127541</v>
      </c>
      <c r="C1696" s="6" t="s">
        <v>19</v>
      </c>
      <c r="D1696">
        <v>170712</v>
      </c>
      <c r="E1696" t="s">
        <v>43</v>
      </c>
      <c r="F1696">
        <v>1116549906</v>
      </c>
      <c r="G1696" t="s">
        <v>3812</v>
      </c>
      <c r="H1696">
        <v>100247793</v>
      </c>
      <c r="I1696">
        <v>202641</v>
      </c>
      <c r="J1696">
        <v>1116549906</v>
      </c>
      <c r="K1696" t="s">
        <v>23</v>
      </c>
      <c r="L1696" t="s">
        <v>294</v>
      </c>
      <c r="M1696" t="s">
        <v>47</v>
      </c>
      <c r="N1696" t="s">
        <v>35</v>
      </c>
      <c r="O1696" t="s">
        <v>26</v>
      </c>
      <c r="P1696" t="s">
        <v>27</v>
      </c>
      <c r="Q1696" t="s">
        <v>28</v>
      </c>
      <c r="R1696" t="s">
        <v>29</v>
      </c>
      <c r="S1696" t="s">
        <v>30</v>
      </c>
      <c r="T1696">
        <v>1070973852</v>
      </c>
      <c r="U1696" t="s">
        <v>3936</v>
      </c>
      <c r="V1696" t="s">
        <v>3937</v>
      </c>
      <c r="W1696" s="9">
        <f>IF(V1696="pregrado",31,
IF(V1696="posgrados",31,
IF(V1696="rEINTEGROS",7,
IF(V1696="BIT",90,
IF(V1696="OP GRADO - INGLÉS",17,"")))))</f>
        <v>31</v>
      </c>
      <c r="X1696" t="s">
        <v>3957</v>
      </c>
    </row>
    <row r="1697" spans="1:24" ht="15" x14ac:dyDescent="0.35">
      <c r="A1697" s="4">
        <v>46079.511666666665</v>
      </c>
      <c r="B1697">
        <v>20126514</v>
      </c>
      <c r="C1697" s="6" t="s">
        <v>19</v>
      </c>
      <c r="D1697">
        <v>170724</v>
      </c>
      <c r="E1697" t="s">
        <v>43</v>
      </c>
      <c r="F1697">
        <v>1079605250</v>
      </c>
      <c r="G1697" t="s">
        <v>3663</v>
      </c>
      <c r="H1697">
        <v>100247809</v>
      </c>
      <c r="I1697">
        <v>202641</v>
      </c>
      <c r="J1697">
        <v>1079605250</v>
      </c>
      <c r="K1697" t="s">
        <v>23</v>
      </c>
      <c r="L1697" t="s">
        <v>342</v>
      </c>
      <c r="M1697" t="s">
        <v>47</v>
      </c>
      <c r="N1697" t="s">
        <v>35</v>
      </c>
      <c r="O1697" t="s">
        <v>26</v>
      </c>
      <c r="P1697" t="s">
        <v>27</v>
      </c>
      <c r="Q1697" t="s">
        <v>28</v>
      </c>
      <c r="R1697" t="s">
        <v>29</v>
      </c>
      <c r="S1697" t="s">
        <v>30</v>
      </c>
      <c r="T1697">
        <v>1019068131</v>
      </c>
      <c r="U1697" t="s">
        <v>3948</v>
      </c>
      <c r="V1697" t="s">
        <v>3937</v>
      </c>
      <c r="W1697" s="9">
        <f>IF(V1697="pregrado",31,
IF(V1697="posgrados",31,
IF(V1697="rEINTEGROS",7,
IF(V1697="BIT",90,
IF(V1697="OP GRADO - INGLÉS",17,"")))))</f>
        <v>31</v>
      </c>
      <c r="X1697" t="s">
        <v>4066</v>
      </c>
    </row>
    <row r="1698" spans="1:24" ht="15" x14ac:dyDescent="0.35">
      <c r="A1698" s="4">
        <v>46080.314456018517</v>
      </c>
      <c r="B1698">
        <v>20126730</v>
      </c>
      <c r="C1698" s="6" t="s">
        <v>19</v>
      </c>
      <c r="D1698">
        <v>170736</v>
      </c>
      <c r="E1698" t="s">
        <v>43</v>
      </c>
      <c r="F1698">
        <v>1082984824</v>
      </c>
      <c r="G1698" t="s">
        <v>3709</v>
      </c>
      <c r="H1698">
        <v>100247827</v>
      </c>
      <c r="I1698">
        <v>202651</v>
      </c>
      <c r="J1698">
        <v>1082984824</v>
      </c>
      <c r="K1698" t="s">
        <v>23</v>
      </c>
      <c r="L1698" t="s">
        <v>252</v>
      </c>
      <c r="M1698" t="s">
        <v>253</v>
      </c>
      <c r="N1698" t="s">
        <v>35</v>
      </c>
      <c r="O1698" t="s">
        <v>26</v>
      </c>
      <c r="P1698" t="s">
        <v>27</v>
      </c>
      <c r="Q1698" t="s">
        <v>28</v>
      </c>
      <c r="R1698" t="s">
        <v>29</v>
      </c>
      <c r="S1698" t="s">
        <v>30</v>
      </c>
      <c r="T1698">
        <v>1022407392</v>
      </c>
      <c r="U1698" t="s">
        <v>3936</v>
      </c>
      <c r="V1698" t="s">
        <v>3937</v>
      </c>
      <c r="W1698" s="9">
        <f>IF(V1698="pregrado",31,
IF(V1698="posgrados",31,
IF(V1698="rEINTEGROS",7,
IF(V1698="BIT",90,
IF(V1698="OP GRADO - INGLÉS",17,"")))))</f>
        <v>31</v>
      </c>
      <c r="X1698" t="s">
        <v>3975</v>
      </c>
    </row>
    <row r="1699" spans="1:24" ht="15" x14ac:dyDescent="0.35">
      <c r="A1699" s="4">
        <v>46080.813761574071</v>
      </c>
      <c r="B1699">
        <v>20126996</v>
      </c>
      <c r="C1699" s="6" t="s">
        <v>19</v>
      </c>
      <c r="D1699">
        <v>170752</v>
      </c>
      <c r="E1699" t="s">
        <v>43</v>
      </c>
      <c r="F1699">
        <v>1102365399</v>
      </c>
      <c r="G1699" t="s">
        <v>3752</v>
      </c>
      <c r="H1699">
        <v>100247854</v>
      </c>
      <c r="I1699">
        <v>202651</v>
      </c>
      <c r="J1699">
        <v>1102365399</v>
      </c>
      <c r="K1699" t="s">
        <v>23</v>
      </c>
      <c r="L1699" t="s">
        <v>252</v>
      </c>
      <c r="M1699" t="s">
        <v>253</v>
      </c>
      <c r="N1699" t="s">
        <v>35</v>
      </c>
      <c r="O1699" t="s">
        <v>26</v>
      </c>
      <c r="P1699" t="s">
        <v>27</v>
      </c>
      <c r="Q1699" t="s">
        <v>28</v>
      </c>
      <c r="R1699" t="s">
        <v>29</v>
      </c>
      <c r="S1699" t="s">
        <v>30</v>
      </c>
      <c r="T1699">
        <v>1012389748</v>
      </c>
      <c r="U1699" t="s">
        <v>3948</v>
      </c>
      <c r="V1699" t="s">
        <v>3937</v>
      </c>
      <c r="W1699" s="9">
        <f>IF(V1699="pregrado",31,
IF(V1699="posgrados",31,
IF(V1699="rEINTEGROS",7,
IF(V1699="BIT",90,
IF(V1699="OP GRADO - INGLÉS",17,"")))))</f>
        <v>31</v>
      </c>
      <c r="X1699" t="s">
        <v>4065</v>
      </c>
    </row>
    <row r="1700" spans="1:24" ht="15" x14ac:dyDescent="0.35">
      <c r="A1700" s="4">
        <v>46080.425324074073</v>
      </c>
      <c r="B1700">
        <v>20126785</v>
      </c>
      <c r="C1700" s="6" t="s">
        <v>19</v>
      </c>
      <c r="D1700">
        <v>170753</v>
      </c>
      <c r="E1700" t="s">
        <v>43</v>
      </c>
      <c r="F1700">
        <v>1007694033</v>
      </c>
      <c r="G1700" t="s">
        <v>3719</v>
      </c>
      <c r="H1700">
        <v>100247855</v>
      </c>
      <c r="I1700">
        <v>202651</v>
      </c>
      <c r="J1700">
        <v>1007694033</v>
      </c>
      <c r="K1700" t="s">
        <v>23</v>
      </c>
      <c r="L1700" t="s">
        <v>252</v>
      </c>
      <c r="M1700" t="s">
        <v>253</v>
      </c>
      <c r="N1700" t="s">
        <v>35</v>
      </c>
      <c r="O1700" t="s">
        <v>26</v>
      </c>
      <c r="P1700" t="s">
        <v>27</v>
      </c>
      <c r="Q1700" t="s">
        <v>28</v>
      </c>
      <c r="R1700" t="s">
        <v>29</v>
      </c>
      <c r="S1700" t="s">
        <v>30</v>
      </c>
      <c r="T1700">
        <v>1033793185</v>
      </c>
      <c r="U1700" t="s">
        <v>3948</v>
      </c>
      <c r="V1700" t="s">
        <v>3937</v>
      </c>
      <c r="W1700" s="9">
        <f>IF(V1700="pregrado",31,
IF(V1700="posgrados",31,
IF(V1700="rEINTEGROS",7,
IF(V1700="BIT",90,
IF(V1700="OP GRADO - INGLÉS",17,"")))))</f>
        <v>31</v>
      </c>
      <c r="X1700" t="s">
        <v>4082</v>
      </c>
    </row>
    <row r="1701" spans="1:24" ht="15" x14ac:dyDescent="0.35">
      <c r="A1701" s="4">
        <v>46080.516215277778</v>
      </c>
      <c r="B1701">
        <v>20126840</v>
      </c>
      <c r="C1701" s="6" t="s">
        <v>19</v>
      </c>
      <c r="D1701">
        <v>170754</v>
      </c>
      <c r="E1701" t="s">
        <v>43</v>
      </c>
      <c r="F1701">
        <v>41255261</v>
      </c>
      <c r="G1701" t="s">
        <v>3725</v>
      </c>
      <c r="H1701">
        <v>100247856</v>
      </c>
      <c r="I1701">
        <v>202651</v>
      </c>
      <c r="J1701">
        <v>41255261</v>
      </c>
      <c r="K1701" t="s">
        <v>23</v>
      </c>
      <c r="L1701" t="s">
        <v>252</v>
      </c>
      <c r="M1701" t="s">
        <v>253</v>
      </c>
      <c r="N1701" t="s">
        <v>35</v>
      </c>
      <c r="O1701" t="s">
        <v>26</v>
      </c>
      <c r="P1701" t="s">
        <v>27</v>
      </c>
      <c r="Q1701" t="s">
        <v>28</v>
      </c>
      <c r="R1701" t="s">
        <v>29</v>
      </c>
      <c r="S1701" t="s">
        <v>30</v>
      </c>
      <c r="T1701">
        <v>1031147887</v>
      </c>
      <c r="U1701" t="s">
        <v>3948</v>
      </c>
      <c r="V1701" t="s">
        <v>3937</v>
      </c>
      <c r="W1701" s="9">
        <f>IF(V1701="pregrado",31,
IF(V1701="posgrados",31,
IF(V1701="rEINTEGROS",7,
IF(V1701="BIT",90,
IF(V1701="OP GRADO - INGLÉS",17,"")))))</f>
        <v>31</v>
      </c>
      <c r="X1701" t="s">
        <v>3947</v>
      </c>
    </row>
    <row r="1702" spans="1:24" ht="15" x14ac:dyDescent="0.35">
      <c r="A1702" s="4">
        <v>46080.414537037039</v>
      </c>
      <c r="B1702">
        <v>20126774</v>
      </c>
      <c r="C1702" s="6" t="s">
        <v>19</v>
      </c>
      <c r="D1702">
        <v>170761</v>
      </c>
      <c r="E1702" t="s">
        <v>43</v>
      </c>
      <c r="F1702">
        <v>1089486685</v>
      </c>
      <c r="G1702" t="s">
        <v>3717</v>
      </c>
      <c r="H1702">
        <v>100247872</v>
      </c>
      <c r="I1702">
        <v>202641</v>
      </c>
      <c r="J1702">
        <v>1089486685</v>
      </c>
      <c r="K1702" t="s">
        <v>23</v>
      </c>
      <c r="L1702" t="s">
        <v>59</v>
      </c>
      <c r="M1702" t="s">
        <v>47</v>
      </c>
      <c r="N1702" t="s">
        <v>35</v>
      </c>
      <c r="O1702" t="s">
        <v>26</v>
      </c>
      <c r="P1702" t="s">
        <v>27</v>
      </c>
      <c r="Q1702" t="s">
        <v>28</v>
      </c>
      <c r="R1702" t="s">
        <v>29</v>
      </c>
      <c r="S1702" t="s">
        <v>30</v>
      </c>
      <c r="T1702">
        <v>1070973852</v>
      </c>
      <c r="U1702" t="s">
        <v>3936</v>
      </c>
      <c r="V1702" t="s">
        <v>3937</v>
      </c>
      <c r="W1702" s="9">
        <f>IF(V1702="pregrado",31,
IF(V1702="posgrados",31,
IF(V1702="rEINTEGROS",7,
IF(V1702="BIT",90,
IF(V1702="OP GRADO - INGLÉS",17,"")))))</f>
        <v>31</v>
      </c>
      <c r="X1702" t="s">
        <v>3957</v>
      </c>
    </row>
    <row r="1703" spans="1:24" ht="15" x14ac:dyDescent="0.35">
      <c r="A1703" s="4">
        <v>46081.413761574076</v>
      </c>
      <c r="B1703">
        <v>20127021</v>
      </c>
      <c r="C1703" s="6" t="s">
        <v>19</v>
      </c>
      <c r="D1703">
        <v>170770</v>
      </c>
      <c r="E1703" t="s">
        <v>43</v>
      </c>
      <c r="F1703">
        <v>1098130624</v>
      </c>
      <c r="G1703" t="s">
        <v>3755</v>
      </c>
      <c r="H1703">
        <v>100247886</v>
      </c>
      <c r="I1703">
        <v>202651</v>
      </c>
      <c r="J1703">
        <v>1098130624</v>
      </c>
      <c r="K1703" t="s">
        <v>23</v>
      </c>
      <c r="L1703" t="s">
        <v>252</v>
      </c>
      <c r="M1703" t="s">
        <v>253</v>
      </c>
      <c r="N1703" t="s">
        <v>35</v>
      </c>
      <c r="O1703" t="s">
        <v>26</v>
      </c>
      <c r="P1703" t="s">
        <v>27</v>
      </c>
      <c r="Q1703" t="s">
        <v>28</v>
      </c>
      <c r="R1703" t="s">
        <v>29</v>
      </c>
      <c r="S1703" t="s">
        <v>30</v>
      </c>
      <c r="T1703">
        <v>52032666</v>
      </c>
      <c r="U1703" t="s">
        <v>3948</v>
      </c>
      <c r="V1703" t="s">
        <v>3937</v>
      </c>
      <c r="W1703" s="9">
        <f>IF(V1703="pregrado",31,
IF(V1703="posgrados",31,
IF(V1703="rEINTEGROS",7,
IF(V1703="BIT",90,
IF(V1703="OP GRADO - INGLÉS",17,"")))))</f>
        <v>31</v>
      </c>
      <c r="X1703" t="s">
        <v>3983</v>
      </c>
    </row>
    <row r="1704" spans="1:24" ht="15" x14ac:dyDescent="0.35">
      <c r="A1704" s="4">
        <v>46079.680659722224</v>
      </c>
      <c r="B1704">
        <v>20126625</v>
      </c>
      <c r="C1704" s="6" t="s">
        <v>19</v>
      </c>
      <c r="D1704">
        <v>170775</v>
      </c>
      <c r="E1704" t="s">
        <v>43</v>
      </c>
      <c r="F1704">
        <v>1090436484</v>
      </c>
      <c r="G1704" t="s">
        <v>3684</v>
      </c>
      <c r="H1704">
        <v>100247889</v>
      </c>
      <c r="I1704">
        <v>202651</v>
      </c>
      <c r="J1704">
        <v>1090436484</v>
      </c>
      <c r="K1704" t="s">
        <v>23</v>
      </c>
      <c r="L1704" t="s">
        <v>252</v>
      </c>
      <c r="M1704" t="s">
        <v>253</v>
      </c>
      <c r="N1704" t="s">
        <v>35</v>
      </c>
      <c r="O1704" t="s">
        <v>26</v>
      </c>
      <c r="P1704" t="s">
        <v>27</v>
      </c>
      <c r="Q1704" t="s">
        <v>28</v>
      </c>
      <c r="R1704" t="s">
        <v>29</v>
      </c>
      <c r="S1704" t="s">
        <v>30</v>
      </c>
      <c r="T1704">
        <v>1015401969</v>
      </c>
      <c r="U1704" t="s">
        <v>3936</v>
      </c>
      <c r="V1704" t="s">
        <v>3937</v>
      </c>
      <c r="W1704" s="9">
        <f>IF(V1704="pregrado",31,
IF(V1704="posgrados",31,
IF(V1704="rEINTEGROS",7,
IF(V1704="BIT",90,
IF(V1704="OP GRADO - INGLÉS",17,"")))))</f>
        <v>31</v>
      </c>
      <c r="X1704" t="s">
        <v>3945</v>
      </c>
    </row>
    <row r="1705" spans="1:24" ht="15" x14ac:dyDescent="0.35">
      <c r="A1705" s="4">
        <v>46079.701018518521</v>
      </c>
      <c r="B1705">
        <v>20126646</v>
      </c>
      <c r="C1705" s="6" t="s">
        <v>19</v>
      </c>
      <c r="D1705">
        <v>170780</v>
      </c>
      <c r="E1705" t="s">
        <v>43</v>
      </c>
      <c r="F1705">
        <v>1032361452</v>
      </c>
      <c r="G1705" t="s">
        <v>3687</v>
      </c>
      <c r="H1705">
        <v>100061011</v>
      </c>
      <c r="I1705">
        <v>202641</v>
      </c>
      <c r="J1705">
        <v>1032361452</v>
      </c>
      <c r="K1705" t="s">
        <v>46</v>
      </c>
      <c r="L1705" t="s">
        <v>59</v>
      </c>
      <c r="M1705" t="s">
        <v>47</v>
      </c>
      <c r="N1705" t="s">
        <v>35</v>
      </c>
      <c r="O1705" t="s">
        <v>26</v>
      </c>
      <c r="P1705" t="s">
        <v>27</v>
      </c>
      <c r="Q1705" t="s">
        <v>28</v>
      </c>
      <c r="R1705" t="s">
        <v>29</v>
      </c>
      <c r="S1705" t="s">
        <v>30</v>
      </c>
      <c r="T1705">
        <v>1026262709</v>
      </c>
      <c r="U1705" t="s">
        <v>3936</v>
      </c>
      <c r="V1705" t="s">
        <v>3937</v>
      </c>
      <c r="W1705" s="9">
        <f>IF(V1705="pregrado",31,
IF(V1705="posgrados",31,
IF(V1705="rEINTEGROS",7,
IF(V1705="BIT",90,
IF(V1705="OP GRADO - INGLÉS",17,"")))))</f>
        <v>31</v>
      </c>
      <c r="X1705" t="s">
        <v>4037</v>
      </c>
    </row>
    <row r="1706" spans="1:24" ht="15" x14ac:dyDescent="0.35">
      <c r="A1706" s="4">
        <v>46080.536770833336</v>
      </c>
      <c r="B1706">
        <v>20126852</v>
      </c>
      <c r="C1706" s="6" t="s">
        <v>19</v>
      </c>
      <c r="D1706">
        <v>170793</v>
      </c>
      <c r="E1706" t="s">
        <v>43</v>
      </c>
      <c r="F1706">
        <v>1077442481</v>
      </c>
      <c r="G1706" t="s">
        <v>3730</v>
      </c>
      <c r="H1706">
        <v>100247906</v>
      </c>
      <c r="I1706">
        <v>202651</v>
      </c>
      <c r="J1706">
        <v>1077442481</v>
      </c>
      <c r="K1706" t="s">
        <v>23</v>
      </c>
      <c r="L1706" t="s">
        <v>252</v>
      </c>
      <c r="M1706" t="s">
        <v>253</v>
      </c>
      <c r="N1706" t="s">
        <v>35</v>
      </c>
      <c r="O1706" t="s">
        <v>26</v>
      </c>
      <c r="P1706" t="s">
        <v>27</v>
      </c>
      <c r="Q1706" t="s">
        <v>28</v>
      </c>
      <c r="R1706" t="s">
        <v>29</v>
      </c>
      <c r="S1706" t="s">
        <v>30</v>
      </c>
      <c r="T1706">
        <v>1016030683</v>
      </c>
      <c r="U1706" t="s">
        <v>3936</v>
      </c>
      <c r="V1706" t="s">
        <v>3937</v>
      </c>
      <c r="W1706" s="9">
        <f>IF(V1706="pregrado",31,
IF(V1706="posgrados",31,
IF(V1706="rEINTEGROS",7,
IF(V1706="BIT",90,
IF(V1706="OP GRADO - INGLÉS",17,"")))))</f>
        <v>31</v>
      </c>
      <c r="X1706" t="s">
        <v>3992</v>
      </c>
    </row>
    <row r="1707" spans="1:24" ht="15" x14ac:dyDescent="0.35">
      <c r="A1707" s="4">
        <v>46084.659189814818</v>
      </c>
      <c r="B1707">
        <v>20127474</v>
      </c>
      <c r="C1707" s="6" t="s">
        <v>19</v>
      </c>
      <c r="D1707">
        <v>170795</v>
      </c>
      <c r="E1707" t="s">
        <v>43</v>
      </c>
      <c r="F1707">
        <v>1010240973</v>
      </c>
      <c r="G1707" t="s">
        <v>3800</v>
      </c>
      <c r="H1707">
        <v>100167978</v>
      </c>
      <c r="I1707">
        <v>202651</v>
      </c>
      <c r="J1707">
        <v>52281628</v>
      </c>
      <c r="K1707" t="s">
        <v>46</v>
      </c>
      <c r="L1707" t="s">
        <v>252</v>
      </c>
      <c r="M1707" t="s">
        <v>253</v>
      </c>
      <c r="N1707" t="s">
        <v>35</v>
      </c>
      <c r="O1707" t="s">
        <v>26</v>
      </c>
      <c r="P1707" t="s">
        <v>27</v>
      </c>
      <c r="Q1707" t="s">
        <v>28</v>
      </c>
      <c r="R1707" t="s">
        <v>29</v>
      </c>
      <c r="S1707" t="s">
        <v>30</v>
      </c>
      <c r="T1707">
        <v>1015401969</v>
      </c>
      <c r="U1707" t="s">
        <v>3936</v>
      </c>
      <c r="V1707" t="s">
        <v>3937</v>
      </c>
      <c r="W1707" s="9">
        <f>IF(V1707="pregrado",31,
IF(V1707="posgrados",31,
IF(V1707="rEINTEGROS",7,
IF(V1707="BIT",90,
IF(V1707="OP GRADO - INGLÉS",17,"")))))</f>
        <v>31</v>
      </c>
      <c r="X1707" t="s">
        <v>3945</v>
      </c>
    </row>
    <row r="1708" spans="1:24" ht="15" x14ac:dyDescent="0.35">
      <c r="A1708" s="4">
        <v>46086.717418981483</v>
      </c>
      <c r="B1708">
        <v>20127822</v>
      </c>
      <c r="C1708" s="6" t="s">
        <v>19</v>
      </c>
      <c r="D1708">
        <v>170799</v>
      </c>
      <c r="E1708" t="s">
        <v>43</v>
      </c>
      <c r="F1708">
        <v>1085935879</v>
      </c>
      <c r="G1708" t="s">
        <v>3839</v>
      </c>
      <c r="H1708">
        <v>100193553</v>
      </c>
      <c r="I1708">
        <v>202651</v>
      </c>
      <c r="J1708">
        <v>1085935879</v>
      </c>
      <c r="K1708" t="s">
        <v>46</v>
      </c>
      <c r="L1708" t="s">
        <v>542</v>
      </c>
      <c r="M1708" t="s">
        <v>253</v>
      </c>
      <c r="N1708" t="s">
        <v>25</v>
      </c>
      <c r="O1708" t="s">
        <v>26</v>
      </c>
      <c r="P1708" t="s">
        <v>27</v>
      </c>
      <c r="Q1708" t="s">
        <v>28</v>
      </c>
      <c r="R1708" t="s">
        <v>29</v>
      </c>
      <c r="S1708" t="s">
        <v>30</v>
      </c>
      <c r="T1708">
        <v>1020754225</v>
      </c>
      <c r="U1708" t="s">
        <v>3948</v>
      </c>
      <c r="V1708" t="s">
        <v>3937</v>
      </c>
      <c r="W1708" s="9">
        <f>IF(V1708="pregrado",31,
IF(V1708="posgrados",31,
IF(V1708="rEINTEGROS",7,
IF(V1708="BIT",90,
IF(V1708="OP GRADO - INGLÉS",17,"")))))</f>
        <v>31</v>
      </c>
      <c r="X1708" t="s">
        <v>3981</v>
      </c>
    </row>
    <row r="1709" spans="1:24" ht="15" x14ac:dyDescent="0.35">
      <c r="A1709" s="4">
        <v>46080.388831018521</v>
      </c>
      <c r="B1709">
        <v>20126758</v>
      </c>
      <c r="C1709" s="6" t="s">
        <v>19</v>
      </c>
      <c r="D1709">
        <v>170804</v>
      </c>
      <c r="E1709" t="s">
        <v>43</v>
      </c>
      <c r="F1709">
        <v>1090419379</v>
      </c>
      <c r="G1709" t="s">
        <v>3711</v>
      </c>
      <c r="H1709">
        <v>100232626</v>
      </c>
      <c r="I1709">
        <v>202641</v>
      </c>
      <c r="J1709">
        <v>1090419379</v>
      </c>
      <c r="K1709" t="s">
        <v>23</v>
      </c>
      <c r="L1709" t="s">
        <v>294</v>
      </c>
      <c r="M1709" t="s">
        <v>47</v>
      </c>
      <c r="N1709" t="s">
        <v>35</v>
      </c>
      <c r="O1709" t="s">
        <v>26</v>
      </c>
      <c r="P1709" t="s">
        <v>27</v>
      </c>
      <c r="Q1709" t="s">
        <v>28</v>
      </c>
      <c r="R1709" t="s">
        <v>29</v>
      </c>
      <c r="S1709" t="s">
        <v>30</v>
      </c>
      <c r="T1709">
        <v>1233513889</v>
      </c>
      <c r="U1709" t="s">
        <v>3948</v>
      </c>
      <c r="V1709" t="s">
        <v>3937</v>
      </c>
      <c r="W1709" s="9">
        <f>IF(V1709="pregrado",31,
IF(V1709="posgrados",31,
IF(V1709="rEINTEGROS",7,
IF(V1709="BIT",90,
IF(V1709="OP GRADO - INGLÉS",17,"")))))</f>
        <v>31</v>
      </c>
      <c r="X1709" t="s">
        <v>4035</v>
      </c>
    </row>
    <row r="1710" spans="1:24" ht="15" x14ac:dyDescent="0.35">
      <c r="A1710" s="4">
        <v>46080.524004629631</v>
      </c>
      <c r="B1710">
        <v>20126844</v>
      </c>
      <c r="C1710" s="6" t="s">
        <v>19</v>
      </c>
      <c r="D1710">
        <v>170807</v>
      </c>
      <c r="E1710" t="s">
        <v>43</v>
      </c>
      <c r="F1710">
        <v>1098130769</v>
      </c>
      <c r="G1710" t="s">
        <v>3729</v>
      </c>
      <c r="H1710">
        <v>100247818</v>
      </c>
      <c r="I1710">
        <v>202651</v>
      </c>
      <c r="J1710">
        <v>1098130769</v>
      </c>
      <c r="K1710" t="s">
        <v>23</v>
      </c>
      <c r="L1710" t="s">
        <v>252</v>
      </c>
      <c r="M1710" t="s">
        <v>253</v>
      </c>
      <c r="N1710" t="s">
        <v>35</v>
      </c>
      <c r="O1710" t="s">
        <v>26</v>
      </c>
      <c r="P1710" t="s">
        <v>27</v>
      </c>
      <c r="Q1710" t="s">
        <v>28</v>
      </c>
      <c r="R1710" t="s">
        <v>29</v>
      </c>
      <c r="S1710" t="s">
        <v>30</v>
      </c>
      <c r="T1710">
        <v>52032666</v>
      </c>
      <c r="U1710" t="s">
        <v>3948</v>
      </c>
      <c r="V1710" t="s">
        <v>3937</v>
      </c>
      <c r="W1710" s="9">
        <f>IF(V1710="pregrado",31,
IF(V1710="posgrados",31,
IF(V1710="rEINTEGROS",7,
IF(V1710="BIT",90,
IF(V1710="OP GRADO - INGLÉS",17,"")))))</f>
        <v>31</v>
      </c>
      <c r="X1710" t="s">
        <v>3983</v>
      </c>
    </row>
    <row r="1711" spans="1:24" ht="15" x14ac:dyDescent="0.35">
      <c r="A1711" s="4">
        <v>46080.726388888892</v>
      </c>
      <c r="B1711">
        <v>20126962</v>
      </c>
      <c r="C1711" s="6" t="s">
        <v>19</v>
      </c>
      <c r="D1711">
        <v>170818</v>
      </c>
      <c r="E1711" t="s">
        <v>43</v>
      </c>
      <c r="F1711">
        <v>1067965868</v>
      </c>
      <c r="G1711" t="s">
        <v>3747</v>
      </c>
      <c r="H1711">
        <v>100247922</v>
      </c>
      <c r="I1711">
        <v>202651</v>
      </c>
      <c r="J1711">
        <v>1067965868</v>
      </c>
      <c r="K1711" t="s">
        <v>23</v>
      </c>
      <c r="L1711" t="s">
        <v>252</v>
      </c>
      <c r="M1711" t="s">
        <v>253</v>
      </c>
      <c r="N1711" t="s">
        <v>35</v>
      </c>
      <c r="O1711" t="s">
        <v>26</v>
      </c>
      <c r="P1711" t="s">
        <v>27</v>
      </c>
      <c r="Q1711" t="s">
        <v>28</v>
      </c>
      <c r="R1711" t="s">
        <v>29</v>
      </c>
      <c r="S1711" t="s">
        <v>30</v>
      </c>
      <c r="T1711">
        <v>1014285873</v>
      </c>
      <c r="U1711" t="s">
        <v>3948</v>
      </c>
      <c r="V1711" t="s">
        <v>3937</v>
      </c>
      <c r="W1711" s="9">
        <f>IF(V1711="pregrado",31,
IF(V1711="posgrados",31,
IF(V1711="rEINTEGROS",7,
IF(V1711="BIT",90,
IF(V1711="OP GRADO - INGLÉS",17,"")))))</f>
        <v>31</v>
      </c>
      <c r="X1711" t="s">
        <v>3953</v>
      </c>
    </row>
    <row r="1712" spans="1:24" ht="15" x14ac:dyDescent="0.35">
      <c r="A1712" s="4">
        <v>46080.600960648146</v>
      </c>
      <c r="B1712">
        <v>20126875</v>
      </c>
      <c r="C1712" s="6" t="s">
        <v>19</v>
      </c>
      <c r="D1712">
        <v>170823</v>
      </c>
      <c r="E1712" t="s">
        <v>43</v>
      </c>
      <c r="F1712">
        <v>1001941915</v>
      </c>
      <c r="G1712" t="s">
        <v>3732</v>
      </c>
      <c r="H1712">
        <v>100190021</v>
      </c>
      <c r="I1712">
        <v>202641</v>
      </c>
      <c r="J1712">
        <v>1001941915</v>
      </c>
      <c r="K1712" t="s">
        <v>46</v>
      </c>
      <c r="L1712" t="s">
        <v>294</v>
      </c>
      <c r="M1712" t="s">
        <v>47</v>
      </c>
      <c r="N1712">
        <v>0</v>
      </c>
      <c r="O1712" t="s">
        <v>26</v>
      </c>
      <c r="P1712" t="s">
        <v>27</v>
      </c>
      <c r="Q1712" t="s">
        <v>28</v>
      </c>
      <c r="R1712" t="s">
        <v>29</v>
      </c>
      <c r="S1712" t="s">
        <v>30</v>
      </c>
      <c r="T1712">
        <v>52168054</v>
      </c>
      <c r="U1712" t="s">
        <v>3977</v>
      </c>
      <c r="V1712" t="s">
        <v>3970</v>
      </c>
      <c r="W1712" s="9">
        <f>IF(V1712="pregrado",31,
IF(V1712="posgrados",31,
IF(V1712="rEINTEGROS",7,
IF(V1712="BIT",90,
IF(V1712="OP GRADO - INGLÉS",17,"")))))</f>
        <v>7</v>
      </c>
      <c r="X1712" t="s">
        <v>4057</v>
      </c>
    </row>
    <row r="1713" spans="1:24" ht="15" x14ac:dyDescent="0.35">
      <c r="A1713" s="4">
        <v>46081.696666666663</v>
      </c>
      <c r="B1713">
        <v>20127088</v>
      </c>
      <c r="C1713" s="6" t="s">
        <v>19</v>
      </c>
      <c r="D1713">
        <v>170843</v>
      </c>
      <c r="E1713" t="s">
        <v>43</v>
      </c>
      <c r="F1713">
        <v>65829253</v>
      </c>
      <c r="G1713" t="s">
        <v>3765</v>
      </c>
      <c r="H1713">
        <v>100247954</v>
      </c>
      <c r="I1713">
        <v>202651</v>
      </c>
      <c r="J1713">
        <v>65829253</v>
      </c>
      <c r="K1713" t="s">
        <v>23</v>
      </c>
      <c r="L1713" t="s">
        <v>252</v>
      </c>
      <c r="M1713" t="s">
        <v>253</v>
      </c>
      <c r="N1713" t="s">
        <v>35</v>
      </c>
      <c r="O1713" t="s">
        <v>26</v>
      </c>
      <c r="P1713" t="s">
        <v>27</v>
      </c>
      <c r="Q1713" t="s">
        <v>28</v>
      </c>
      <c r="R1713" t="s">
        <v>29</v>
      </c>
      <c r="S1713" t="s">
        <v>30</v>
      </c>
      <c r="T1713">
        <v>1014285873</v>
      </c>
      <c r="U1713" t="s">
        <v>3948</v>
      </c>
      <c r="V1713" t="s">
        <v>3937</v>
      </c>
      <c r="W1713" s="9">
        <f>IF(V1713="pregrado",31,
IF(V1713="posgrados",31,
IF(V1713="rEINTEGROS",7,
IF(V1713="BIT",90,
IF(V1713="OP GRADO - INGLÉS",17,"")))))</f>
        <v>31</v>
      </c>
      <c r="X1713" t="s">
        <v>3953</v>
      </c>
    </row>
    <row r="1714" spans="1:24" ht="15" x14ac:dyDescent="0.35">
      <c r="A1714" s="4">
        <v>46081.698611111111</v>
      </c>
      <c r="B1714">
        <v>20127089</v>
      </c>
      <c r="C1714" s="6" t="s">
        <v>19</v>
      </c>
      <c r="D1714">
        <v>170844</v>
      </c>
      <c r="E1714" t="s">
        <v>43</v>
      </c>
      <c r="F1714">
        <v>65810515</v>
      </c>
      <c r="G1714" t="s">
        <v>3766</v>
      </c>
      <c r="H1714">
        <v>100247956</v>
      </c>
      <c r="I1714">
        <v>202651</v>
      </c>
      <c r="J1714">
        <v>65810515</v>
      </c>
      <c r="K1714" t="s">
        <v>23</v>
      </c>
      <c r="L1714" t="s">
        <v>252</v>
      </c>
      <c r="M1714" t="s">
        <v>253</v>
      </c>
      <c r="N1714" t="s">
        <v>35</v>
      </c>
      <c r="O1714" t="s">
        <v>26</v>
      </c>
      <c r="P1714" t="s">
        <v>27</v>
      </c>
      <c r="Q1714" t="s">
        <v>28</v>
      </c>
      <c r="R1714" t="s">
        <v>29</v>
      </c>
      <c r="S1714" t="s">
        <v>30</v>
      </c>
      <c r="T1714">
        <v>1014285873</v>
      </c>
      <c r="U1714" t="s">
        <v>3948</v>
      </c>
      <c r="V1714" t="s">
        <v>3937</v>
      </c>
      <c r="W1714" s="9">
        <f>IF(V1714="pregrado",31,
IF(V1714="posgrados",31,
IF(V1714="rEINTEGROS",7,
IF(V1714="BIT",90,
IF(V1714="OP GRADO - INGLÉS",17,"")))))</f>
        <v>31</v>
      </c>
      <c r="X1714" t="s">
        <v>3953</v>
      </c>
    </row>
    <row r="1715" spans="1:24" ht="15" x14ac:dyDescent="0.35">
      <c r="A1715" s="4">
        <v>46081.713449074072</v>
      </c>
      <c r="B1715">
        <v>20127090</v>
      </c>
      <c r="C1715" s="6" t="s">
        <v>19</v>
      </c>
      <c r="D1715">
        <v>170849</v>
      </c>
      <c r="E1715" t="s">
        <v>43</v>
      </c>
      <c r="F1715">
        <v>65809388</v>
      </c>
      <c r="G1715" t="s">
        <v>3767</v>
      </c>
      <c r="H1715">
        <v>100247964</v>
      </c>
      <c r="I1715">
        <v>202651</v>
      </c>
      <c r="J1715">
        <v>65809388</v>
      </c>
      <c r="K1715" t="s">
        <v>23</v>
      </c>
      <c r="L1715" t="s">
        <v>252</v>
      </c>
      <c r="M1715" t="s">
        <v>253</v>
      </c>
      <c r="N1715" t="s">
        <v>35</v>
      </c>
      <c r="O1715" t="s">
        <v>26</v>
      </c>
      <c r="P1715" t="s">
        <v>27</v>
      </c>
      <c r="Q1715" t="s">
        <v>28</v>
      </c>
      <c r="R1715" t="s">
        <v>29</v>
      </c>
      <c r="S1715" t="s">
        <v>30</v>
      </c>
      <c r="T1715">
        <v>1014285873</v>
      </c>
      <c r="U1715" t="s">
        <v>3948</v>
      </c>
      <c r="V1715" t="s">
        <v>3937</v>
      </c>
      <c r="W1715" s="9">
        <f>IF(V1715="pregrado",31,
IF(V1715="posgrados",31,
IF(V1715="rEINTEGROS",7,
IF(V1715="BIT",90,
IF(V1715="OP GRADO - INGLÉS",17,"")))))</f>
        <v>31</v>
      </c>
      <c r="X1715" t="s">
        <v>3953</v>
      </c>
    </row>
    <row r="1716" spans="1:24" ht="15" x14ac:dyDescent="0.35">
      <c r="A1716" s="4">
        <v>46081.674687500003</v>
      </c>
      <c r="B1716">
        <v>20127085</v>
      </c>
      <c r="C1716" s="6" t="s">
        <v>19</v>
      </c>
      <c r="D1716">
        <v>170850</v>
      </c>
      <c r="E1716" t="s">
        <v>43</v>
      </c>
      <c r="F1716">
        <v>1095804570</v>
      </c>
      <c r="G1716" t="s">
        <v>3764</v>
      </c>
      <c r="H1716">
        <v>100247966</v>
      </c>
      <c r="I1716">
        <v>202651</v>
      </c>
      <c r="J1716">
        <v>1095804570</v>
      </c>
      <c r="K1716" t="s">
        <v>23</v>
      </c>
      <c r="L1716" t="s">
        <v>252</v>
      </c>
      <c r="M1716" t="s">
        <v>253</v>
      </c>
      <c r="N1716" t="s">
        <v>35</v>
      </c>
      <c r="O1716" t="s">
        <v>26</v>
      </c>
      <c r="P1716" t="s">
        <v>27</v>
      </c>
      <c r="Q1716" t="s">
        <v>28</v>
      </c>
      <c r="R1716" t="s">
        <v>29</v>
      </c>
      <c r="S1716" t="s">
        <v>30</v>
      </c>
      <c r="T1716">
        <v>1014285873</v>
      </c>
      <c r="U1716" t="s">
        <v>3948</v>
      </c>
      <c r="V1716" t="s">
        <v>3937</v>
      </c>
      <c r="W1716" s="9">
        <f>IF(V1716="pregrado",31,
IF(V1716="posgrados",31,
IF(V1716="rEINTEGROS",7,
IF(V1716="BIT",90,
IF(V1716="OP GRADO - INGLÉS",17,"")))))</f>
        <v>31</v>
      </c>
      <c r="X1716" t="s">
        <v>3953</v>
      </c>
    </row>
    <row r="1717" spans="1:24" ht="15" x14ac:dyDescent="0.35">
      <c r="A1717" s="4">
        <v>46083.897268518522</v>
      </c>
      <c r="B1717">
        <v>20127367</v>
      </c>
      <c r="C1717" s="6" t="s">
        <v>19</v>
      </c>
      <c r="D1717">
        <v>170904</v>
      </c>
      <c r="E1717" t="s">
        <v>43</v>
      </c>
      <c r="F1717">
        <v>27115207</v>
      </c>
      <c r="G1717" t="s">
        <v>3793</v>
      </c>
      <c r="H1717">
        <v>100248031</v>
      </c>
      <c r="I1717">
        <v>202641</v>
      </c>
      <c r="J1717">
        <v>1233188873</v>
      </c>
      <c r="K1717" t="s">
        <v>23</v>
      </c>
      <c r="L1717" t="s">
        <v>294</v>
      </c>
      <c r="M1717" t="s">
        <v>47</v>
      </c>
      <c r="N1717" t="s">
        <v>35</v>
      </c>
      <c r="O1717" t="s">
        <v>26</v>
      </c>
      <c r="P1717" t="s">
        <v>27</v>
      </c>
      <c r="Q1717" t="s">
        <v>28</v>
      </c>
      <c r="R1717" t="s">
        <v>29</v>
      </c>
      <c r="S1717" t="s">
        <v>30</v>
      </c>
      <c r="T1717">
        <v>1022407392</v>
      </c>
      <c r="U1717" t="s">
        <v>3936</v>
      </c>
      <c r="V1717" t="s">
        <v>3937</v>
      </c>
      <c r="W1717" s="9">
        <f>IF(V1717="pregrado",31,
IF(V1717="posgrados",31,
IF(V1717="rEINTEGROS",7,
IF(V1717="BIT",90,
IF(V1717="OP GRADO - INGLÉS",17,"")))))</f>
        <v>31</v>
      </c>
      <c r="X1717" t="s">
        <v>3975</v>
      </c>
    </row>
    <row r="1718" spans="1:24" ht="15" x14ac:dyDescent="0.35">
      <c r="A1718" s="4">
        <v>46083.388136574074</v>
      </c>
      <c r="B1718">
        <v>20127151</v>
      </c>
      <c r="C1718" s="6" t="s">
        <v>19</v>
      </c>
      <c r="D1718">
        <v>170913</v>
      </c>
      <c r="E1718" t="s">
        <v>43</v>
      </c>
      <c r="F1718">
        <v>1006846586</v>
      </c>
      <c r="G1718" t="s">
        <v>3774</v>
      </c>
      <c r="H1718">
        <v>100248046</v>
      </c>
      <c r="I1718">
        <v>202641</v>
      </c>
      <c r="J1718">
        <v>1006846586</v>
      </c>
      <c r="K1718" t="s">
        <v>23</v>
      </c>
      <c r="L1718" t="s">
        <v>59</v>
      </c>
      <c r="M1718" t="s">
        <v>47</v>
      </c>
      <c r="N1718" t="s">
        <v>35</v>
      </c>
      <c r="O1718" t="s">
        <v>26</v>
      </c>
      <c r="P1718" t="s">
        <v>27</v>
      </c>
      <c r="Q1718" t="s">
        <v>28</v>
      </c>
      <c r="R1718" t="s">
        <v>29</v>
      </c>
      <c r="S1718" t="s">
        <v>30</v>
      </c>
      <c r="T1718">
        <v>1015401969</v>
      </c>
      <c r="U1718" t="s">
        <v>3936</v>
      </c>
      <c r="V1718" t="s">
        <v>3937</v>
      </c>
      <c r="W1718" s="9">
        <f>IF(V1718="pregrado",31,
IF(V1718="posgrados",31,
IF(V1718="rEINTEGROS",7,
IF(V1718="BIT",90,
IF(V1718="OP GRADO - INGLÉS",17,"")))))</f>
        <v>31</v>
      </c>
      <c r="X1718" t="s">
        <v>3945</v>
      </c>
    </row>
    <row r="1719" spans="1:24" ht="15" x14ac:dyDescent="0.35">
      <c r="A1719" s="4">
        <v>46083.354895833334</v>
      </c>
      <c r="B1719">
        <v>20127127</v>
      </c>
      <c r="C1719" s="6" t="s">
        <v>19</v>
      </c>
      <c r="D1719">
        <v>170917</v>
      </c>
      <c r="E1719" t="s">
        <v>43</v>
      </c>
      <c r="F1719">
        <v>63541350</v>
      </c>
      <c r="G1719" t="s">
        <v>3770</v>
      </c>
      <c r="H1719">
        <v>100248049</v>
      </c>
      <c r="I1719">
        <v>202651</v>
      </c>
      <c r="J1719">
        <v>63541350</v>
      </c>
      <c r="K1719" t="s">
        <v>23</v>
      </c>
      <c r="L1719" t="s">
        <v>252</v>
      </c>
      <c r="M1719" t="s">
        <v>253</v>
      </c>
      <c r="N1719" t="s">
        <v>35</v>
      </c>
      <c r="O1719" t="s">
        <v>26</v>
      </c>
      <c r="P1719" t="s">
        <v>27</v>
      </c>
      <c r="Q1719" t="s">
        <v>28</v>
      </c>
      <c r="R1719" t="s">
        <v>29</v>
      </c>
      <c r="S1719" t="s">
        <v>30</v>
      </c>
      <c r="T1719">
        <v>52032666</v>
      </c>
      <c r="U1719" t="s">
        <v>3948</v>
      </c>
      <c r="V1719" t="s">
        <v>3937</v>
      </c>
      <c r="W1719" s="9">
        <f>IF(V1719="pregrado",31,
IF(V1719="posgrados",31,
IF(V1719="rEINTEGROS",7,
IF(V1719="BIT",90,
IF(V1719="OP GRADO - INGLÉS",17,"")))))</f>
        <v>31</v>
      </c>
      <c r="X1719" t="s">
        <v>3983</v>
      </c>
    </row>
    <row r="1720" spans="1:24" ht="15" x14ac:dyDescent="0.35">
      <c r="A1720" s="4">
        <v>46083.408541666664</v>
      </c>
      <c r="B1720">
        <v>20127161</v>
      </c>
      <c r="C1720" s="6" t="s">
        <v>19</v>
      </c>
      <c r="D1720">
        <v>170918</v>
      </c>
      <c r="E1720" t="s">
        <v>43</v>
      </c>
      <c r="F1720">
        <v>1123303065</v>
      </c>
      <c r="G1720" t="s">
        <v>3775</v>
      </c>
      <c r="H1720">
        <v>100248050</v>
      </c>
      <c r="I1720">
        <v>202641</v>
      </c>
      <c r="J1720">
        <v>1123303065</v>
      </c>
      <c r="K1720" t="s">
        <v>23</v>
      </c>
      <c r="L1720" t="s">
        <v>59</v>
      </c>
      <c r="M1720" t="s">
        <v>47</v>
      </c>
      <c r="N1720" t="s">
        <v>35</v>
      </c>
      <c r="O1720" t="s">
        <v>26</v>
      </c>
      <c r="P1720" t="s">
        <v>27</v>
      </c>
      <c r="Q1720" t="s">
        <v>28</v>
      </c>
      <c r="R1720" t="s">
        <v>29</v>
      </c>
      <c r="S1720" t="s">
        <v>30</v>
      </c>
      <c r="T1720">
        <v>1015401969</v>
      </c>
      <c r="U1720" t="s">
        <v>3936</v>
      </c>
      <c r="V1720" t="s">
        <v>3937</v>
      </c>
      <c r="W1720" s="9">
        <f>IF(V1720="pregrado",31,
IF(V1720="posgrados",31,
IF(V1720="rEINTEGROS",7,
IF(V1720="BIT",90,
IF(V1720="OP GRADO - INGLÉS",17,"")))))</f>
        <v>31</v>
      </c>
      <c r="X1720" t="s">
        <v>3945</v>
      </c>
    </row>
    <row r="1721" spans="1:24" ht="15" x14ac:dyDescent="0.35">
      <c r="A1721" s="4">
        <v>46083.563935185186</v>
      </c>
      <c r="B1721">
        <v>20127225</v>
      </c>
      <c r="C1721" s="6" t="s">
        <v>19</v>
      </c>
      <c r="D1721">
        <v>170938</v>
      </c>
      <c r="E1721" t="s">
        <v>43</v>
      </c>
      <c r="F1721">
        <v>1004594002</v>
      </c>
      <c r="G1721" t="s">
        <v>3784</v>
      </c>
      <c r="H1721">
        <v>100208423</v>
      </c>
      <c r="I1721">
        <v>202641</v>
      </c>
      <c r="J1721">
        <v>1004594002</v>
      </c>
      <c r="K1721" t="s">
        <v>89</v>
      </c>
      <c r="L1721" t="s">
        <v>736</v>
      </c>
      <c r="M1721" t="s">
        <v>47</v>
      </c>
      <c r="N1721" t="s">
        <v>35</v>
      </c>
      <c r="O1721" t="s">
        <v>26</v>
      </c>
      <c r="P1721" t="s">
        <v>27</v>
      </c>
      <c r="Q1721" t="s">
        <v>28</v>
      </c>
      <c r="R1721" t="s">
        <v>29</v>
      </c>
      <c r="S1721" t="s">
        <v>30</v>
      </c>
      <c r="T1721">
        <v>52168054</v>
      </c>
      <c r="U1721" t="s">
        <v>3977</v>
      </c>
      <c r="V1721" t="s">
        <v>3970</v>
      </c>
      <c r="W1721" s="9">
        <f>IF(V1721="pregrado",31,
IF(V1721="posgrados",31,
IF(V1721="rEINTEGROS",7,
IF(V1721="BIT",90,
IF(V1721="OP GRADO - INGLÉS",17,"")))))</f>
        <v>7</v>
      </c>
      <c r="X1721" t="s">
        <v>4057</v>
      </c>
    </row>
    <row r="1722" spans="1:24" ht="15" x14ac:dyDescent="0.35">
      <c r="A1722" s="4">
        <v>46085.688969907409</v>
      </c>
      <c r="B1722">
        <v>20127671</v>
      </c>
      <c r="C1722" s="6" t="s">
        <v>19</v>
      </c>
      <c r="D1722">
        <v>170961</v>
      </c>
      <c r="E1722" t="s">
        <v>43</v>
      </c>
      <c r="F1722">
        <v>19620159</v>
      </c>
      <c r="G1722" t="s">
        <v>3822</v>
      </c>
      <c r="H1722">
        <v>100244123</v>
      </c>
      <c r="I1722">
        <v>202652</v>
      </c>
      <c r="J1722">
        <v>1084735551</v>
      </c>
      <c r="K1722" t="s">
        <v>23</v>
      </c>
      <c r="L1722" t="s">
        <v>252</v>
      </c>
      <c r="M1722" t="s">
        <v>253</v>
      </c>
      <c r="N1722" t="s">
        <v>35</v>
      </c>
      <c r="O1722" t="s">
        <v>26</v>
      </c>
      <c r="P1722" t="s">
        <v>27</v>
      </c>
      <c r="Q1722" t="s">
        <v>28</v>
      </c>
      <c r="R1722" t="s">
        <v>29</v>
      </c>
      <c r="S1722" t="s">
        <v>793</v>
      </c>
      <c r="T1722">
        <v>1014285873</v>
      </c>
      <c r="U1722" t="s">
        <v>3948</v>
      </c>
      <c r="V1722" t="s">
        <v>3937</v>
      </c>
      <c r="W1722" s="9">
        <f>IF(V1722="pregrado",31,
IF(V1722="posgrados",31,
IF(V1722="rEINTEGROS",7,
IF(V1722="BIT",90,
IF(V1722="OP GRADO - INGLÉS",17,"")))))</f>
        <v>31</v>
      </c>
      <c r="X1722" t="s">
        <v>3953</v>
      </c>
    </row>
    <row r="1723" spans="1:24" ht="15" x14ac:dyDescent="0.35">
      <c r="A1723" s="4">
        <v>46084.687118055554</v>
      </c>
      <c r="B1723">
        <v>20127488</v>
      </c>
      <c r="C1723" s="6" t="s">
        <v>19</v>
      </c>
      <c r="D1723">
        <v>170963</v>
      </c>
      <c r="E1723" t="s">
        <v>43</v>
      </c>
      <c r="F1723">
        <v>1103096456</v>
      </c>
      <c r="G1723" t="s">
        <v>3804</v>
      </c>
      <c r="H1723">
        <v>100248146</v>
      </c>
      <c r="I1723">
        <v>202642</v>
      </c>
      <c r="J1723">
        <v>1103123091</v>
      </c>
      <c r="K1723" t="s">
        <v>23</v>
      </c>
      <c r="L1723" t="s">
        <v>294</v>
      </c>
      <c r="M1723" t="s">
        <v>47</v>
      </c>
      <c r="N1723" t="s">
        <v>35</v>
      </c>
      <c r="O1723" t="s">
        <v>26</v>
      </c>
      <c r="P1723" t="s">
        <v>27</v>
      </c>
      <c r="Q1723" t="s">
        <v>28</v>
      </c>
      <c r="R1723" t="s">
        <v>29</v>
      </c>
      <c r="S1723" t="s">
        <v>793</v>
      </c>
      <c r="T1723">
        <v>1022407392</v>
      </c>
      <c r="U1723" t="s">
        <v>3936</v>
      </c>
      <c r="V1723" t="s">
        <v>3937</v>
      </c>
      <c r="W1723" s="9">
        <f>IF(V1723="pregrado",31,
IF(V1723="posgrados",31,
IF(V1723="rEINTEGROS",7,
IF(V1723="BIT",90,
IF(V1723="OP GRADO - INGLÉS",17,"")))))</f>
        <v>31</v>
      </c>
      <c r="X1723" t="s">
        <v>3975</v>
      </c>
    </row>
    <row r="1724" spans="1:24" ht="15" x14ac:dyDescent="0.35">
      <c r="A1724" s="4">
        <v>46086.444490740738</v>
      </c>
      <c r="B1724">
        <v>20127744</v>
      </c>
      <c r="C1724" s="6" t="s">
        <v>19</v>
      </c>
      <c r="D1724">
        <v>170966</v>
      </c>
      <c r="E1724" t="s">
        <v>43</v>
      </c>
      <c r="F1724">
        <v>1144198481</v>
      </c>
      <c r="G1724" t="s">
        <v>3827</v>
      </c>
      <c r="H1724">
        <v>100248151</v>
      </c>
      <c r="I1724">
        <v>202642</v>
      </c>
      <c r="J1724">
        <v>1144198481</v>
      </c>
      <c r="K1724" t="s">
        <v>23</v>
      </c>
      <c r="L1724" t="s">
        <v>279</v>
      </c>
      <c r="M1724" t="s">
        <v>47</v>
      </c>
      <c r="N1724" t="s">
        <v>35</v>
      </c>
      <c r="O1724" t="s">
        <v>26</v>
      </c>
      <c r="P1724" t="s">
        <v>27</v>
      </c>
      <c r="Q1724" t="s">
        <v>28</v>
      </c>
      <c r="R1724" t="s">
        <v>29</v>
      </c>
      <c r="S1724" t="s">
        <v>793</v>
      </c>
      <c r="T1724">
        <v>1014285873</v>
      </c>
      <c r="U1724" t="s">
        <v>3948</v>
      </c>
      <c r="V1724" t="s">
        <v>3937</v>
      </c>
      <c r="W1724" s="9">
        <f>IF(V1724="pregrado",31,
IF(V1724="posgrados",31,
IF(V1724="rEINTEGROS",7,
IF(V1724="BIT",90,
IF(V1724="OP GRADO - INGLÉS",17,"")))))</f>
        <v>31</v>
      </c>
      <c r="X1724" t="s">
        <v>3953</v>
      </c>
    </row>
    <row r="1725" spans="1:24" ht="15" x14ac:dyDescent="0.35">
      <c r="A1725" s="4">
        <v>46085.437210648146</v>
      </c>
      <c r="B1725">
        <v>20127566</v>
      </c>
      <c r="C1725" s="6" t="s">
        <v>19</v>
      </c>
      <c r="D1725">
        <v>170978</v>
      </c>
      <c r="E1725" t="s">
        <v>43</v>
      </c>
      <c r="F1725">
        <v>1067289210</v>
      </c>
      <c r="G1725" t="s">
        <v>3814</v>
      </c>
      <c r="H1725">
        <v>100248157</v>
      </c>
      <c r="I1725">
        <v>202642</v>
      </c>
      <c r="J1725">
        <v>1067289210</v>
      </c>
      <c r="K1725" t="s">
        <v>23</v>
      </c>
      <c r="L1725" t="s">
        <v>59</v>
      </c>
      <c r="M1725" t="s">
        <v>47</v>
      </c>
      <c r="N1725" t="s">
        <v>35</v>
      </c>
      <c r="O1725" t="s">
        <v>26</v>
      </c>
      <c r="P1725" t="s">
        <v>27</v>
      </c>
      <c r="Q1725" t="s">
        <v>28</v>
      </c>
      <c r="R1725" t="s">
        <v>29</v>
      </c>
      <c r="S1725" t="s">
        <v>793</v>
      </c>
      <c r="T1725">
        <v>1012355141</v>
      </c>
      <c r="U1725" t="s">
        <v>3936</v>
      </c>
      <c r="V1725" t="s">
        <v>3937</v>
      </c>
      <c r="W1725" s="9">
        <f>IF(V1725="pregrado",31,
IF(V1725="posgrados",31,
IF(V1725="rEINTEGROS",7,
IF(V1725="BIT",90,
IF(V1725="OP GRADO - INGLÉS",17,"")))))</f>
        <v>31</v>
      </c>
      <c r="X1725" t="s">
        <v>4045</v>
      </c>
    </row>
    <row r="1726" spans="1:24" ht="15" x14ac:dyDescent="0.35">
      <c r="A1726" s="4">
        <v>46085.483287037037</v>
      </c>
      <c r="B1726">
        <v>20127583</v>
      </c>
      <c r="C1726" s="6" t="s">
        <v>19</v>
      </c>
      <c r="D1726">
        <v>170980</v>
      </c>
      <c r="E1726" t="s">
        <v>43</v>
      </c>
      <c r="F1726">
        <v>12636289</v>
      </c>
      <c r="G1726" t="s">
        <v>3816</v>
      </c>
      <c r="H1726">
        <v>100248038</v>
      </c>
      <c r="I1726">
        <v>202652</v>
      </c>
      <c r="J1726">
        <v>12636289</v>
      </c>
      <c r="K1726" t="s">
        <v>23</v>
      </c>
      <c r="L1726" t="s">
        <v>252</v>
      </c>
      <c r="M1726" t="s">
        <v>253</v>
      </c>
      <c r="N1726" t="s">
        <v>35</v>
      </c>
      <c r="O1726" t="s">
        <v>26</v>
      </c>
      <c r="P1726" t="s">
        <v>27</v>
      </c>
      <c r="Q1726" t="s">
        <v>28</v>
      </c>
      <c r="R1726" t="s">
        <v>29</v>
      </c>
      <c r="S1726" t="s">
        <v>793</v>
      </c>
      <c r="T1726">
        <v>1012355141</v>
      </c>
      <c r="U1726" t="s">
        <v>3936</v>
      </c>
      <c r="V1726" t="s">
        <v>3937</v>
      </c>
      <c r="W1726" s="9">
        <f>IF(V1726="pregrado",31,
IF(V1726="posgrados",31,
IF(V1726="rEINTEGROS",7,
IF(V1726="BIT",90,
IF(V1726="OP GRADO - INGLÉS",17,"")))))</f>
        <v>31</v>
      </c>
      <c r="X1726" t="s">
        <v>4045</v>
      </c>
    </row>
    <row r="1727" spans="1:24" ht="15" x14ac:dyDescent="0.35">
      <c r="A1727" s="4">
        <v>46086.463171296295</v>
      </c>
      <c r="B1727">
        <v>20127750</v>
      </c>
      <c r="C1727" s="6" t="s">
        <v>19</v>
      </c>
      <c r="D1727">
        <v>171003</v>
      </c>
      <c r="E1727" t="s">
        <v>43</v>
      </c>
      <c r="F1727">
        <v>13039851</v>
      </c>
      <c r="G1727" t="s">
        <v>3829</v>
      </c>
      <c r="H1727">
        <v>100248176</v>
      </c>
      <c r="I1727">
        <v>202652</v>
      </c>
      <c r="J1727">
        <v>1088598887</v>
      </c>
      <c r="K1727" t="s">
        <v>23</v>
      </c>
      <c r="L1727" t="s">
        <v>252</v>
      </c>
      <c r="M1727" t="s">
        <v>253</v>
      </c>
      <c r="N1727" t="s">
        <v>35</v>
      </c>
      <c r="O1727" t="s">
        <v>26</v>
      </c>
      <c r="P1727" t="s">
        <v>27</v>
      </c>
      <c r="Q1727" t="s">
        <v>28</v>
      </c>
      <c r="R1727" t="s">
        <v>29</v>
      </c>
      <c r="S1727" t="s">
        <v>793</v>
      </c>
      <c r="T1727">
        <v>1233513889</v>
      </c>
      <c r="U1727" t="s">
        <v>3948</v>
      </c>
      <c r="V1727" t="s">
        <v>3937</v>
      </c>
      <c r="W1727" s="9">
        <f>IF(V1727="pregrado",31,
IF(V1727="posgrados",31,
IF(V1727="rEINTEGROS",7,
IF(V1727="BIT",90,
IF(V1727="OP GRADO - INGLÉS",17,"")))))</f>
        <v>31</v>
      </c>
      <c r="X1727" t="s">
        <v>4035</v>
      </c>
    </row>
    <row r="1728" spans="1:24" ht="15" x14ac:dyDescent="0.35">
      <c r="A1728" s="4">
        <v>46085.466979166667</v>
      </c>
      <c r="B1728">
        <v>20127578</v>
      </c>
      <c r="C1728" s="6" t="s">
        <v>19</v>
      </c>
      <c r="D1728">
        <v>171022</v>
      </c>
      <c r="E1728" t="s">
        <v>43</v>
      </c>
      <c r="F1728">
        <v>1118197957</v>
      </c>
      <c r="G1728" t="s">
        <v>3815</v>
      </c>
      <c r="H1728">
        <v>100020623</v>
      </c>
      <c r="I1728">
        <v>202652</v>
      </c>
      <c r="J1728">
        <v>1118197957</v>
      </c>
      <c r="K1728" t="s">
        <v>23</v>
      </c>
      <c r="L1728" t="s">
        <v>252</v>
      </c>
      <c r="M1728" t="s">
        <v>253</v>
      </c>
      <c r="N1728" t="s">
        <v>35</v>
      </c>
      <c r="O1728" t="s">
        <v>26</v>
      </c>
      <c r="P1728" t="s">
        <v>27</v>
      </c>
      <c r="Q1728" t="s">
        <v>28</v>
      </c>
      <c r="R1728" t="s">
        <v>29</v>
      </c>
      <c r="S1728" t="s">
        <v>793</v>
      </c>
      <c r="T1728">
        <v>1015401969</v>
      </c>
      <c r="U1728" t="s">
        <v>3936</v>
      </c>
      <c r="V1728" t="s">
        <v>3937</v>
      </c>
      <c r="W1728" s="9">
        <f>IF(V1728="pregrado",31,
IF(V1728="posgrados",31,
IF(V1728="rEINTEGROS",7,
IF(V1728="BIT",90,
IF(V1728="OP GRADO - INGLÉS",17,"")))))</f>
        <v>31</v>
      </c>
      <c r="X1728" t="s">
        <v>3945</v>
      </c>
    </row>
    <row r="1729" spans="1:24" ht="15" x14ac:dyDescent="0.35">
      <c r="A1729" s="4">
        <v>46091.663206018522</v>
      </c>
      <c r="B1729">
        <v>20128198</v>
      </c>
      <c r="C1729" s="6" t="s">
        <v>19</v>
      </c>
      <c r="D1729">
        <v>171036</v>
      </c>
      <c r="E1729" t="s">
        <v>43</v>
      </c>
      <c r="F1729">
        <v>1061987819</v>
      </c>
      <c r="G1729" t="s">
        <v>3884</v>
      </c>
      <c r="H1729">
        <v>100036612</v>
      </c>
      <c r="I1729">
        <v>202652</v>
      </c>
      <c r="J1729">
        <v>1061987819</v>
      </c>
      <c r="K1729" t="s">
        <v>46</v>
      </c>
      <c r="L1729" t="s">
        <v>252</v>
      </c>
      <c r="M1729" t="s">
        <v>253</v>
      </c>
      <c r="N1729" t="s">
        <v>35</v>
      </c>
      <c r="O1729" t="s">
        <v>26</v>
      </c>
      <c r="P1729" t="s">
        <v>27</v>
      </c>
      <c r="Q1729" t="s">
        <v>28</v>
      </c>
      <c r="R1729" t="s">
        <v>29</v>
      </c>
      <c r="S1729" t="s">
        <v>793</v>
      </c>
      <c r="T1729">
        <v>52916205</v>
      </c>
      <c r="U1729" t="s">
        <v>3936</v>
      </c>
      <c r="V1729" t="s">
        <v>3937</v>
      </c>
      <c r="W1729" s="9">
        <f>IF(V1729="pregrado",31,
IF(V1729="posgrados",31,
IF(V1729="rEINTEGROS",7,
IF(V1729="BIT",90,
IF(V1729="OP GRADO - INGLÉS",17,"")))))</f>
        <v>31</v>
      </c>
      <c r="X1729" t="s">
        <v>4032</v>
      </c>
    </row>
    <row r="1730" spans="1:24" ht="15" x14ac:dyDescent="0.35">
      <c r="A1730" s="4">
        <v>46085.661689814813</v>
      </c>
      <c r="B1730">
        <v>20127649</v>
      </c>
      <c r="C1730" s="6" t="s">
        <v>19</v>
      </c>
      <c r="D1730">
        <v>171042</v>
      </c>
      <c r="E1730" t="s">
        <v>43</v>
      </c>
      <c r="F1730">
        <v>1110482089</v>
      </c>
      <c r="G1730" t="s">
        <v>3820</v>
      </c>
      <c r="H1730">
        <v>100248128</v>
      </c>
      <c r="I1730">
        <v>202652</v>
      </c>
      <c r="J1730">
        <v>1110482089</v>
      </c>
      <c r="K1730" t="s">
        <v>23</v>
      </c>
      <c r="L1730" t="s">
        <v>252</v>
      </c>
      <c r="M1730" t="s">
        <v>253</v>
      </c>
      <c r="N1730" t="s">
        <v>35</v>
      </c>
      <c r="O1730" t="s">
        <v>26</v>
      </c>
      <c r="P1730" t="s">
        <v>27</v>
      </c>
      <c r="Q1730" t="s">
        <v>28</v>
      </c>
      <c r="R1730" t="s">
        <v>29</v>
      </c>
      <c r="S1730" t="s">
        <v>793</v>
      </c>
      <c r="T1730">
        <v>1033784244</v>
      </c>
      <c r="U1730" t="s">
        <v>3948</v>
      </c>
      <c r="V1730" t="s">
        <v>3937</v>
      </c>
      <c r="W1730" s="9">
        <f>IF(V1730="pregrado",31,
IF(V1730="posgrados",31,
IF(V1730="rEINTEGROS",7,
IF(V1730="BIT",90,
IF(V1730="OP GRADO - INGLÉS",17,"")))))</f>
        <v>31</v>
      </c>
      <c r="X1730" t="s">
        <v>4067</v>
      </c>
    </row>
    <row r="1731" spans="1:24" ht="15" x14ac:dyDescent="0.35">
      <c r="A1731" s="4">
        <v>46085.747719907406</v>
      </c>
      <c r="B1731">
        <v>20127698</v>
      </c>
      <c r="C1731" s="6" t="s">
        <v>19</v>
      </c>
      <c r="D1731">
        <v>171053</v>
      </c>
      <c r="E1731" t="s">
        <v>43</v>
      </c>
      <c r="F1731">
        <v>1006697226</v>
      </c>
      <c r="G1731" t="s">
        <v>3823</v>
      </c>
      <c r="H1731">
        <v>100248234</v>
      </c>
      <c r="I1731">
        <v>202652</v>
      </c>
      <c r="J1731">
        <v>1006697226</v>
      </c>
      <c r="K1731" t="s">
        <v>23</v>
      </c>
      <c r="L1731" t="s">
        <v>252</v>
      </c>
      <c r="M1731" t="s">
        <v>253</v>
      </c>
      <c r="N1731" t="s">
        <v>35</v>
      </c>
      <c r="O1731" t="s">
        <v>26</v>
      </c>
      <c r="P1731" t="s">
        <v>27</v>
      </c>
      <c r="Q1731" t="s">
        <v>28</v>
      </c>
      <c r="R1731" t="s">
        <v>29</v>
      </c>
      <c r="S1731" t="s">
        <v>793</v>
      </c>
      <c r="T1731">
        <v>1026262709</v>
      </c>
      <c r="U1731" t="s">
        <v>3936</v>
      </c>
      <c r="V1731" t="s">
        <v>3937</v>
      </c>
      <c r="W1731" s="9">
        <f>IF(V1731="pregrado",31,
IF(V1731="posgrados",31,
IF(V1731="rEINTEGROS",7,
IF(V1731="BIT",90,
IF(V1731="OP GRADO - INGLÉS",17,"")))))</f>
        <v>31</v>
      </c>
      <c r="X1731" t="s">
        <v>4037</v>
      </c>
    </row>
    <row r="1732" spans="1:24" ht="15" x14ac:dyDescent="0.35">
      <c r="A1732" s="4">
        <v>46086.591585648152</v>
      </c>
      <c r="B1732">
        <v>20127778</v>
      </c>
      <c r="C1732" s="6" t="s">
        <v>19</v>
      </c>
      <c r="D1732">
        <v>171063</v>
      </c>
      <c r="E1732" t="s">
        <v>43</v>
      </c>
      <c r="F1732">
        <v>12625590</v>
      </c>
      <c r="G1732" t="s">
        <v>3835</v>
      </c>
      <c r="H1732">
        <v>100226626</v>
      </c>
      <c r="I1732">
        <v>202652</v>
      </c>
      <c r="J1732">
        <v>57418871</v>
      </c>
      <c r="K1732" t="s">
        <v>33</v>
      </c>
      <c r="L1732" t="s">
        <v>252</v>
      </c>
      <c r="M1732" t="s">
        <v>253</v>
      </c>
      <c r="N1732" t="s">
        <v>35</v>
      </c>
      <c r="O1732" t="s">
        <v>26</v>
      </c>
      <c r="P1732" t="s">
        <v>27</v>
      </c>
      <c r="Q1732" t="s">
        <v>28</v>
      </c>
      <c r="R1732" t="s">
        <v>29</v>
      </c>
      <c r="S1732" t="s">
        <v>793</v>
      </c>
      <c r="T1732">
        <v>1033781417</v>
      </c>
      <c r="U1732" t="s">
        <v>3948</v>
      </c>
      <c r="V1732" t="s">
        <v>3937</v>
      </c>
      <c r="W1732" s="9">
        <f>IF(V1732="pregrado",31,
IF(V1732="posgrados",31,
IF(V1732="rEINTEGROS",7,
IF(V1732="BIT",90,
IF(V1732="OP GRADO - INGLÉS",17,"")))))</f>
        <v>31</v>
      </c>
      <c r="X1732" t="s">
        <v>4031</v>
      </c>
    </row>
    <row r="1733" spans="1:24" ht="15" x14ac:dyDescent="0.35">
      <c r="A1733" s="4">
        <v>46090.850046296298</v>
      </c>
      <c r="B1733">
        <v>20128132</v>
      </c>
      <c r="C1733" s="6" t="s">
        <v>19</v>
      </c>
      <c r="D1733">
        <v>171070</v>
      </c>
      <c r="E1733" t="s">
        <v>43</v>
      </c>
      <c r="F1733">
        <v>30388771</v>
      </c>
      <c r="G1733" t="s">
        <v>3875</v>
      </c>
      <c r="H1733">
        <v>100248215</v>
      </c>
      <c r="I1733">
        <v>202652</v>
      </c>
      <c r="J1733">
        <v>30388771</v>
      </c>
      <c r="K1733" t="s">
        <v>23</v>
      </c>
      <c r="L1733" t="s">
        <v>252</v>
      </c>
      <c r="M1733" t="s">
        <v>253</v>
      </c>
      <c r="N1733" t="s">
        <v>35</v>
      </c>
      <c r="O1733" t="s">
        <v>26</v>
      </c>
      <c r="P1733" t="s">
        <v>27</v>
      </c>
      <c r="Q1733" t="s">
        <v>28</v>
      </c>
      <c r="R1733" t="s">
        <v>29</v>
      </c>
      <c r="S1733" t="s">
        <v>793</v>
      </c>
      <c r="T1733">
        <v>1014285873</v>
      </c>
      <c r="U1733" t="s">
        <v>3948</v>
      </c>
      <c r="V1733" t="s">
        <v>3937</v>
      </c>
      <c r="W1733" s="9">
        <f>IF(V1733="pregrado",31,
IF(V1733="posgrados",31,
IF(V1733="rEINTEGROS",7,
IF(V1733="BIT",90,
IF(V1733="OP GRADO - INGLÉS",17,"")))))</f>
        <v>31</v>
      </c>
      <c r="X1733" t="s">
        <v>3953</v>
      </c>
    </row>
    <row r="1734" spans="1:24" ht="15" x14ac:dyDescent="0.35">
      <c r="A1734" s="4">
        <v>46090.791296296295</v>
      </c>
      <c r="B1734">
        <v>20128130</v>
      </c>
      <c r="C1734" s="6" t="s">
        <v>19</v>
      </c>
      <c r="D1734">
        <v>171072</v>
      </c>
      <c r="E1734" t="s">
        <v>43</v>
      </c>
      <c r="F1734">
        <v>54259501</v>
      </c>
      <c r="G1734" t="s">
        <v>3874</v>
      </c>
      <c r="H1734">
        <v>100248213</v>
      </c>
      <c r="I1734">
        <v>202652</v>
      </c>
      <c r="J1734">
        <v>54259501</v>
      </c>
      <c r="K1734" t="s">
        <v>23</v>
      </c>
      <c r="L1734" t="s">
        <v>252</v>
      </c>
      <c r="M1734" t="s">
        <v>253</v>
      </c>
      <c r="N1734" t="s">
        <v>35</v>
      </c>
      <c r="O1734" t="s">
        <v>26</v>
      </c>
      <c r="P1734" t="s">
        <v>27</v>
      </c>
      <c r="Q1734" t="s">
        <v>28</v>
      </c>
      <c r="R1734" t="s">
        <v>29</v>
      </c>
      <c r="S1734" t="s">
        <v>793</v>
      </c>
      <c r="T1734">
        <v>1014285873</v>
      </c>
      <c r="U1734" t="s">
        <v>3948</v>
      </c>
      <c r="V1734" t="s">
        <v>3937</v>
      </c>
      <c r="W1734" s="9">
        <f>IF(V1734="pregrado",31,
IF(V1734="posgrados",31,
IF(V1734="rEINTEGROS",7,
IF(V1734="BIT",90,
IF(V1734="OP GRADO - INGLÉS",17,"")))))</f>
        <v>31</v>
      </c>
      <c r="X1734" t="s">
        <v>3953</v>
      </c>
    </row>
    <row r="1735" spans="1:24" ht="15" x14ac:dyDescent="0.35">
      <c r="A1735" s="4">
        <v>46092.611967592595</v>
      </c>
      <c r="B1735">
        <v>20128296</v>
      </c>
      <c r="C1735" s="6" t="s">
        <v>19</v>
      </c>
      <c r="D1735">
        <v>171075</v>
      </c>
      <c r="E1735" t="s">
        <v>43</v>
      </c>
      <c r="F1735">
        <v>69029969</v>
      </c>
      <c r="G1735" t="s">
        <v>3893</v>
      </c>
      <c r="H1735">
        <v>100026080</v>
      </c>
      <c r="I1735">
        <v>202652</v>
      </c>
      <c r="J1735">
        <v>1122785092</v>
      </c>
      <c r="K1735" t="s">
        <v>23</v>
      </c>
      <c r="L1735" t="s">
        <v>252</v>
      </c>
      <c r="M1735" t="s">
        <v>253</v>
      </c>
      <c r="N1735" t="s">
        <v>35</v>
      </c>
      <c r="O1735" t="s">
        <v>26</v>
      </c>
      <c r="P1735" t="s">
        <v>27</v>
      </c>
      <c r="Q1735" t="s">
        <v>28</v>
      </c>
      <c r="R1735" t="s">
        <v>29</v>
      </c>
      <c r="S1735" t="s">
        <v>793</v>
      </c>
      <c r="T1735">
        <v>1033781417</v>
      </c>
      <c r="U1735" t="s">
        <v>3948</v>
      </c>
      <c r="V1735" t="s">
        <v>3937</v>
      </c>
      <c r="W1735" s="9">
        <f>IF(V1735="pregrado",31,
IF(V1735="posgrados",31,
IF(V1735="rEINTEGROS",7,
IF(V1735="BIT",90,
IF(V1735="OP GRADO - INGLÉS",17,"")))))</f>
        <v>31</v>
      </c>
      <c r="X1735" t="s">
        <v>4031</v>
      </c>
    </row>
    <row r="1736" spans="1:24" ht="15" x14ac:dyDescent="0.35">
      <c r="A1736" s="4">
        <v>46086.498252314814</v>
      </c>
      <c r="B1736">
        <v>20127762</v>
      </c>
      <c r="C1736" s="6" t="s">
        <v>19</v>
      </c>
      <c r="D1736">
        <v>171082</v>
      </c>
      <c r="E1736" t="s">
        <v>43</v>
      </c>
      <c r="F1736">
        <v>1003430372</v>
      </c>
      <c r="G1736" t="s">
        <v>3831</v>
      </c>
      <c r="H1736">
        <v>100248273</v>
      </c>
      <c r="I1736">
        <v>202642</v>
      </c>
      <c r="J1736">
        <v>1067854444</v>
      </c>
      <c r="K1736" t="s">
        <v>23</v>
      </c>
      <c r="L1736" t="s">
        <v>279</v>
      </c>
      <c r="M1736" t="s">
        <v>47</v>
      </c>
      <c r="N1736" t="s">
        <v>35</v>
      </c>
      <c r="O1736" t="s">
        <v>26</v>
      </c>
      <c r="P1736" t="s">
        <v>27</v>
      </c>
      <c r="Q1736" t="s">
        <v>28</v>
      </c>
      <c r="R1736" t="s">
        <v>29</v>
      </c>
      <c r="S1736" t="s">
        <v>793</v>
      </c>
      <c r="T1736">
        <v>1012355141</v>
      </c>
      <c r="U1736" t="s">
        <v>3936</v>
      </c>
      <c r="V1736" t="s">
        <v>3937</v>
      </c>
      <c r="W1736" s="9">
        <f>IF(V1736="pregrado",31,
IF(V1736="posgrados",31,
IF(V1736="rEINTEGROS",7,
IF(V1736="BIT",90,
IF(V1736="OP GRADO - INGLÉS",17,"")))))</f>
        <v>31</v>
      </c>
      <c r="X1736" t="s">
        <v>4045</v>
      </c>
    </row>
    <row r="1737" spans="1:24" ht="15" x14ac:dyDescent="0.35">
      <c r="A1737" s="4">
        <v>46086.537094907406</v>
      </c>
      <c r="B1737">
        <v>20127768</v>
      </c>
      <c r="C1737" s="6" t="s">
        <v>19</v>
      </c>
      <c r="D1737">
        <v>171087</v>
      </c>
      <c r="E1737" t="s">
        <v>43</v>
      </c>
      <c r="F1737">
        <v>1070624866</v>
      </c>
      <c r="G1737" t="s">
        <v>3832</v>
      </c>
      <c r="H1737">
        <v>100248279</v>
      </c>
      <c r="I1737">
        <v>202642</v>
      </c>
      <c r="J1737">
        <v>1070624866</v>
      </c>
      <c r="K1737" t="s">
        <v>23</v>
      </c>
      <c r="L1737" t="s">
        <v>294</v>
      </c>
      <c r="M1737" t="s">
        <v>47</v>
      </c>
      <c r="N1737" t="s">
        <v>35</v>
      </c>
      <c r="O1737" t="s">
        <v>26</v>
      </c>
      <c r="P1737" t="s">
        <v>27</v>
      </c>
      <c r="Q1737" t="s">
        <v>28</v>
      </c>
      <c r="R1737" t="s">
        <v>29</v>
      </c>
      <c r="S1737" t="s">
        <v>793</v>
      </c>
      <c r="T1737">
        <v>1233513889</v>
      </c>
      <c r="U1737" t="s">
        <v>3948</v>
      </c>
      <c r="V1737" t="s">
        <v>3937</v>
      </c>
      <c r="W1737" s="9">
        <f>IF(V1737="pregrado",31,
IF(V1737="posgrados",31,
IF(V1737="rEINTEGROS",7,
IF(V1737="BIT",90,
IF(V1737="OP GRADO - INGLÉS",17,"")))))</f>
        <v>31</v>
      </c>
      <c r="X1737" t="s">
        <v>4035</v>
      </c>
    </row>
    <row r="1738" spans="1:24" ht="15" x14ac:dyDescent="0.35">
      <c r="A1738" s="4">
        <v>46086.457071759258</v>
      </c>
      <c r="B1738">
        <v>20127748</v>
      </c>
      <c r="C1738" s="6" t="s">
        <v>19</v>
      </c>
      <c r="D1738">
        <v>171090</v>
      </c>
      <c r="E1738" t="s">
        <v>43</v>
      </c>
      <c r="F1738">
        <v>1069468234</v>
      </c>
      <c r="G1738" t="s">
        <v>3828</v>
      </c>
      <c r="H1738">
        <v>100205346</v>
      </c>
      <c r="I1738">
        <v>202652</v>
      </c>
      <c r="J1738">
        <v>1069468234</v>
      </c>
      <c r="K1738" t="s">
        <v>46</v>
      </c>
      <c r="L1738" t="s">
        <v>252</v>
      </c>
      <c r="M1738" t="s">
        <v>253</v>
      </c>
      <c r="N1738" t="s">
        <v>35</v>
      </c>
      <c r="O1738" t="s">
        <v>26</v>
      </c>
      <c r="P1738" t="s">
        <v>27</v>
      </c>
      <c r="Q1738" t="s">
        <v>28</v>
      </c>
      <c r="R1738" t="s">
        <v>29</v>
      </c>
      <c r="S1738" t="s">
        <v>793</v>
      </c>
      <c r="T1738">
        <v>1033793185</v>
      </c>
      <c r="U1738" t="s">
        <v>3948</v>
      </c>
      <c r="V1738" t="s">
        <v>3937</v>
      </c>
      <c r="W1738" s="9">
        <f>IF(V1738="pregrado",31,
IF(V1738="posgrados",31,
IF(V1738="rEINTEGROS",7,
IF(V1738="BIT",90,
IF(V1738="OP GRADO - INGLÉS",17,"")))))</f>
        <v>31</v>
      </c>
      <c r="X1738" t="s">
        <v>4082</v>
      </c>
    </row>
    <row r="1739" spans="1:24" ht="15" x14ac:dyDescent="0.35">
      <c r="A1739" s="4">
        <v>46091.581712962965</v>
      </c>
      <c r="B1739">
        <v>20128185</v>
      </c>
      <c r="C1739" s="6" t="s">
        <v>19</v>
      </c>
      <c r="D1739">
        <v>171095</v>
      </c>
      <c r="E1739" t="s">
        <v>43</v>
      </c>
      <c r="F1739">
        <v>53044659</v>
      </c>
      <c r="G1739" t="s">
        <v>3881</v>
      </c>
      <c r="H1739">
        <v>100248292</v>
      </c>
      <c r="I1739">
        <v>202652</v>
      </c>
      <c r="J1739">
        <v>53044659</v>
      </c>
      <c r="K1739" t="s">
        <v>23</v>
      </c>
      <c r="L1739" t="s">
        <v>252</v>
      </c>
      <c r="M1739" t="s">
        <v>253</v>
      </c>
      <c r="N1739" t="s">
        <v>35</v>
      </c>
      <c r="O1739" t="s">
        <v>26</v>
      </c>
      <c r="P1739" t="s">
        <v>27</v>
      </c>
      <c r="Q1739" t="s">
        <v>28</v>
      </c>
      <c r="R1739" t="s">
        <v>29</v>
      </c>
      <c r="S1739" t="s">
        <v>793</v>
      </c>
      <c r="T1739">
        <v>1020754225</v>
      </c>
      <c r="U1739" t="s">
        <v>3948</v>
      </c>
      <c r="V1739" t="s">
        <v>3937</v>
      </c>
      <c r="W1739" s="9">
        <f>IF(V1739="pregrado",31,
IF(V1739="posgrados",31,
IF(V1739="rEINTEGROS",7,
IF(V1739="BIT",90,
IF(V1739="OP GRADO - INGLÉS",17,"")))))</f>
        <v>31</v>
      </c>
      <c r="X1739" t="s">
        <v>3981</v>
      </c>
    </row>
    <row r="1740" spans="1:24" ht="15" x14ac:dyDescent="0.35">
      <c r="A1740" s="4">
        <v>46086.546157407407</v>
      </c>
      <c r="B1740">
        <v>20127773</v>
      </c>
      <c r="C1740" s="6" t="s">
        <v>19</v>
      </c>
      <c r="D1740">
        <v>171098</v>
      </c>
      <c r="E1740" t="s">
        <v>43</v>
      </c>
      <c r="F1740">
        <v>1081787335</v>
      </c>
      <c r="G1740" t="s">
        <v>3833</v>
      </c>
      <c r="H1740">
        <v>100067482</v>
      </c>
      <c r="I1740">
        <v>202652</v>
      </c>
      <c r="J1740">
        <v>57272560</v>
      </c>
      <c r="K1740" t="s">
        <v>23</v>
      </c>
      <c r="L1740" t="s">
        <v>252</v>
      </c>
      <c r="M1740" t="s">
        <v>253</v>
      </c>
      <c r="N1740" t="s">
        <v>35</v>
      </c>
      <c r="O1740" t="s">
        <v>26</v>
      </c>
      <c r="P1740" t="s">
        <v>27</v>
      </c>
      <c r="Q1740" t="s">
        <v>28</v>
      </c>
      <c r="R1740" t="s">
        <v>29</v>
      </c>
      <c r="S1740" t="s">
        <v>793</v>
      </c>
      <c r="T1740">
        <v>1014285873</v>
      </c>
      <c r="U1740" t="s">
        <v>3948</v>
      </c>
      <c r="V1740" t="s">
        <v>3937</v>
      </c>
      <c r="W1740" s="9">
        <f>IF(V1740="pregrado",31,
IF(V1740="posgrados",31,
IF(V1740="rEINTEGROS",7,
IF(V1740="BIT",90,
IF(V1740="OP GRADO - INGLÉS",17,"")))))</f>
        <v>31</v>
      </c>
      <c r="X1740" t="s">
        <v>3953</v>
      </c>
    </row>
    <row r="1741" spans="1:24" ht="15" x14ac:dyDescent="0.35">
      <c r="A1741" s="4">
        <v>46086.580775462964</v>
      </c>
      <c r="B1741">
        <v>20127775</v>
      </c>
      <c r="C1741" s="6" t="s">
        <v>19</v>
      </c>
      <c r="D1741">
        <v>171102</v>
      </c>
      <c r="E1741" t="s">
        <v>43</v>
      </c>
      <c r="F1741">
        <v>1131044752</v>
      </c>
      <c r="G1741" t="s">
        <v>3834</v>
      </c>
      <c r="H1741">
        <v>100248290</v>
      </c>
      <c r="I1741">
        <v>202652</v>
      </c>
      <c r="J1741">
        <v>1131044752</v>
      </c>
      <c r="K1741" t="s">
        <v>23</v>
      </c>
      <c r="L1741" t="s">
        <v>252</v>
      </c>
      <c r="M1741" t="s">
        <v>253</v>
      </c>
      <c r="N1741" t="s">
        <v>35</v>
      </c>
      <c r="O1741" t="s">
        <v>26</v>
      </c>
      <c r="P1741" t="s">
        <v>27</v>
      </c>
      <c r="Q1741" t="s">
        <v>28</v>
      </c>
      <c r="R1741" t="s">
        <v>29</v>
      </c>
      <c r="S1741" t="s">
        <v>793</v>
      </c>
      <c r="T1741">
        <v>1014285873</v>
      </c>
      <c r="U1741" t="s">
        <v>3948</v>
      </c>
      <c r="V1741" t="s">
        <v>3937</v>
      </c>
      <c r="W1741" s="9">
        <f>IF(V1741="pregrado",31,
IF(V1741="posgrados",31,
IF(V1741="rEINTEGROS",7,
IF(V1741="BIT",90,
IF(V1741="OP GRADO - INGLÉS",17,"")))))</f>
        <v>31</v>
      </c>
      <c r="X1741" t="s">
        <v>3953</v>
      </c>
    </row>
    <row r="1742" spans="1:24" ht="15" x14ac:dyDescent="0.35">
      <c r="A1742" s="4">
        <v>46087.938935185186</v>
      </c>
      <c r="B1742">
        <v>20127969</v>
      </c>
      <c r="C1742" s="6" t="s">
        <v>19</v>
      </c>
      <c r="D1742">
        <v>171103</v>
      </c>
      <c r="E1742" t="s">
        <v>43</v>
      </c>
      <c r="F1742">
        <v>1094956445</v>
      </c>
      <c r="G1742" t="s">
        <v>3858</v>
      </c>
      <c r="H1742">
        <v>100248305</v>
      </c>
      <c r="I1742">
        <v>202642</v>
      </c>
      <c r="J1742">
        <v>1094956445</v>
      </c>
      <c r="K1742" t="s">
        <v>23</v>
      </c>
      <c r="L1742" t="s">
        <v>160</v>
      </c>
      <c r="M1742" t="s">
        <v>47</v>
      </c>
      <c r="N1742" t="s">
        <v>35</v>
      </c>
      <c r="O1742" t="s">
        <v>26</v>
      </c>
      <c r="P1742" t="s">
        <v>27</v>
      </c>
      <c r="Q1742" t="s">
        <v>28</v>
      </c>
      <c r="R1742" t="s">
        <v>29</v>
      </c>
      <c r="S1742" t="s">
        <v>793</v>
      </c>
      <c r="T1742">
        <v>1032406382</v>
      </c>
      <c r="U1742" t="s">
        <v>3936</v>
      </c>
      <c r="V1742" t="s">
        <v>3937</v>
      </c>
      <c r="W1742" s="9">
        <f>IF(V1742="pregrado",31,
IF(V1742="posgrados",31,
IF(V1742="rEINTEGROS",7,
IF(V1742="BIT",90,
IF(V1742="OP GRADO - INGLÉS",17,"")))))</f>
        <v>31</v>
      </c>
      <c r="X1742" t="s">
        <v>3991</v>
      </c>
    </row>
    <row r="1743" spans="1:24" x14ac:dyDescent="0.3">
      <c r="A1743" s="4">
        <v>46107</v>
      </c>
      <c r="B1743">
        <v>20129556</v>
      </c>
      <c r="C1743" t="s">
        <v>19</v>
      </c>
      <c r="D1743">
        <v>171122</v>
      </c>
      <c r="E1743" t="s">
        <v>43</v>
      </c>
      <c r="F1743">
        <v>1099211170</v>
      </c>
      <c r="G1743" t="s">
        <v>4298</v>
      </c>
      <c r="H1743">
        <v>100132304</v>
      </c>
      <c r="I1743">
        <v>202642</v>
      </c>
      <c r="J1743">
        <v>1099211170</v>
      </c>
      <c r="K1743" t="s">
        <v>46</v>
      </c>
      <c r="L1743" t="s">
        <v>59</v>
      </c>
      <c r="M1743" t="s">
        <v>47</v>
      </c>
      <c r="N1743" t="s">
        <v>35</v>
      </c>
      <c r="O1743" t="s">
        <v>26</v>
      </c>
      <c r="P1743" t="s">
        <v>27</v>
      </c>
      <c r="Q1743" t="s">
        <v>28</v>
      </c>
      <c r="R1743" t="s">
        <v>29</v>
      </c>
      <c r="S1743" t="s">
        <v>793</v>
      </c>
      <c r="T1743">
        <f>_xlfn.XLOOKUP(X1743,Hoja2!D:D,Hoja2!A:A)</f>
        <v>1016030683</v>
      </c>
      <c r="U1743" t="str">
        <f>_xlfn.XLOOKUP(X1743,Hoja2!D:D,Hoja2!B:B)</f>
        <v>FABIAN CONCHA</v>
      </c>
      <c r="V1743" t="str">
        <f>_xlfn.XLOOKUP(X1743,Hoja2!D:D,Hoja2!C:C)</f>
        <v>POSGRADOS</v>
      </c>
      <c r="W1743" s="9">
        <f>IF(V1743="pregrado",31,
IF(V1743="posgrados",31,
IF(V1743="rEINTEGROS",7,
IF(V1743="BIT",90,
IF(V1743="OP GRADO - INGLÉS",17,"")))))</f>
        <v>31</v>
      </c>
      <c r="X1743" t="s">
        <v>3992</v>
      </c>
    </row>
    <row r="1744" spans="1:24" ht="15" x14ac:dyDescent="0.35">
      <c r="A1744" s="4">
        <v>46088.475995370369</v>
      </c>
      <c r="B1744">
        <v>20127987</v>
      </c>
      <c r="C1744" s="6" t="s">
        <v>19</v>
      </c>
      <c r="D1744">
        <v>171144</v>
      </c>
      <c r="E1744" t="s">
        <v>43</v>
      </c>
      <c r="F1744">
        <v>1047048091</v>
      </c>
      <c r="G1744" t="s">
        <v>3860</v>
      </c>
      <c r="H1744">
        <v>100247428</v>
      </c>
      <c r="I1744">
        <v>202642</v>
      </c>
      <c r="J1744">
        <v>1047048091</v>
      </c>
      <c r="K1744" t="s">
        <v>23</v>
      </c>
      <c r="L1744" t="s">
        <v>294</v>
      </c>
      <c r="M1744" t="s">
        <v>47</v>
      </c>
      <c r="N1744" t="s">
        <v>35</v>
      </c>
      <c r="O1744" t="s">
        <v>26</v>
      </c>
      <c r="P1744" t="s">
        <v>27</v>
      </c>
      <c r="Q1744" t="s">
        <v>28</v>
      </c>
      <c r="R1744" t="s">
        <v>29</v>
      </c>
      <c r="S1744" t="s">
        <v>793</v>
      </c>
      <c r="T1744">
        <v>1012389748</v>
      </c>
      <c r="U1744" t="s">
        <v>3948</v>
      </c>
      <c r="V1744" t="s">
        <v>3937</v>
      </c>
      <c r="W1744" s="9">
        <f>IF(V1744="pregrado",31,
IF(V1744="posgrados",31,
IF(V1744="rEINTEGROS",7,
IF(V1744="BIT",90,
IF(V1744="OP GRADO - INGLÉS",17,"")))))</f>
        <v>31</v>
      </c>
      <c r="X1744" t="s">
        <v>4065</v>
      </c>
    </row>
    <row r="1745" spans="1:24" x14ac:dyDescent="0.3">
      <c r="A1745" s="4">
        <v>46094</v>
      </c>
      <c r="B1745">
        <v>20128496</v>
      </c>
      <c r="C1745" t="s">
        <v>19</v>
      </c>
      <c r="D1745">
        <v>171152</v>
      </c>
      <c r="E1745" t="s">
        <v>43</v>
      </c>
      <c r="F1745">
        <v>1193541040</v>
      </c>
      <c r="G1745" t="s">
        <v>4129</v>
      </c>
      <c r="H1745">
        <v>100248364</v>
      </c>
      <c r="I1745">
        <v>202642</v>
      </c>
      <c r="J1745">
        <v>1193541040</v>
      </c>
      <c r="K1745" t="s">
        <v>23</v>
      </c>
      <c r="L1745" t="s">
        <v>294</v>
      </c>
      <c r="M1745" t="s">
        <v>47</v>
      </c>
      <c r="N1745" t="s">
        <v>35</v>
      </c>
      <c r="O1745" t="s">
        <v>26</v>
      </c>
      <c r="P1745" t="s">
        <v>27</v>
      </c>
      <c r="Q1745" t="s">
        <v>28</v>
      </c>
      <c r="R1745" t="s">
        <v>29</v>
      </c>
      <c r="S1745" t="s">
        <v>793</v>
      </c>
      <c r="T1745">
        <f>_xlfn.XLOOKUP(X1745,Hoja2!D:D,Hoja2!A:A)</f>
        <v>1140420282</v>
      </c>
      <c r="U1745" t="str">
        <f>_xlfn.XLOOKUP(X1745,Hoja2!D:D,Hoja2!B:B)</f>
        <v>IVONNE JINETH RODRIGUEZ ROJAS</v>
      </c>
      <c r="V1745" t="str">
        <f>_xlfn.XLOOKUP(X1745,Hoja2!D:D,Hoja2!C:C)</f>
        <v>POSGRADOS</v>
      </c>
      <c r="W1745" s="9">
        <f>IF(V1745="pregrado",31,
IF(V1745="posgrados",31,
IF(V1745="rEINTEGROS",7,
IF(V1745="BIT",90,
IF(V1745="OP GRADO - INGLÉS",17,"")))))</f>
        <v>31</v>
      </c>
      <c r="X1745" t="s">
        <v>3972</v>
      </c>
    </row>
    <row r="1746" spans="1:24" ht="15" x14ac:dyDescent="0.35">
      <c r="A1746" s="4">
        <v>46091.455081018517</v>
      </c>
      <c r="B1746">
        <v>20128158</v>
      </c>
      <c r="C1746" s="6" t="s">
        <v>19</v>
      </c>
      <c r="D1746">
        <v>171165</v>
      </c>
      <c r="E1746" t="s">
        <v>43</v>
      </c>
      <c r="F1746">
        <v>1062754139</v>
      </c>
      <c r="G1746" t="s">
        <v>3879</v>
      </c>
      <c r="H1746">
        <v>100248372</v>
      </c>
      <c r="I1746">
        <v>202652</v>
      </c>
      <c r="J1746">
        <v>1062754139</v>
      </c>
      <c r="K1746" t="s">
        <v>23</v>
      </c>
      <c r="L1746" t="s">
        <v>252</v>
      </c>
      <c r="M1746" t="s">
        <v>253</v>
      </c>
      <c r="N1746" t="s">
        <v>35</v>
      </c>
      <c r="O1746" t="s">
        <v>26</v>
      </c>
      <c r="P1746" t="s">
        <v>27</v>
      </c>
      <c r="Q1746" t="s">
        <v>28</v>
      </c>
      <c r="R1746" t="s">
        <v>29</v>
      </c>
      <c r="S1746" t="s">
        <v>793</v>
      </c>
      <c r="T1746">
        <v>1014285873</v>
      </c>
      <c r="U1746" t="s">
        <v>3948</v>
      </c>
      <c r="V1746" t="s">
        <v>3937</v>
      </c>
      <c r="W1746" s="9">
        <f>IF(V1746="pregrado",31,
IF(V1746="posgrados",31,
IF(V1746="rEINTEGROS",7,
IF(V1746="BIT",90,
IF(V1746="OP GRADO - INGLÉS",17,"")))))</f>
        <v>31</v>
      </c>
      <c r="X1746" t="s">
        <v>3953</v>
      </c>
    </row>
    <row r="1747" spans="1:24" ht="15" x14ac:dyDescent="0.35">
      <c r="A1747" s="4">
        <v>46091.413310185184</v>
      </c>
      <c r="B1747">
        <v>20128148</v>
      </c>
      <c r="C1747" s="6" t="s">
        <v>19</v>
      </c>
      <c r="D1747">
        <v>171166</v>
      </c>
      <c r="E1747" t="s">
        <v>43</v>
      </c>
      <c r="F1747">
        <v>1003934214</v>
      </c>
      <c r="G1747" t="s">
        <v>3877</v>
      </c>
      <c r="H1747">
        <v>100248373</v>
      </c>
      <c r="I1747">
        <v>202642</v>
      </c>
      <c r="J1747">
        <v>1003934214</v>
      </c>
      <c r="K1747" t="s">
        <v>23</v>
      </c>
      <c r="L1747" t="s">
        <v>294</v>
      </c>
      <c r="M1747" t="s">
        <v>47</v>
      </c>
      <c r="N1747" t="s">
        <v>35</v>
      </c>
      <c r="O1747" t="s">
        <v>26</v>
      </c>
      <c r="P1747" t="s">
        <v>27</v>
      </c>
      <c r="Q1747" t="s">
        <v>28</v>
      </c>
      <c r="R1747" t="s">
        <v>29</v>
      </c>
      <c r="S1747" t="s">
        <v>793</v>
      </c>
      <c r="T1747">
        <v>1019068131</v>
      </c>
      <c r="U1747" t="s">
        <v>3948</v>
      </c>
      <c r="V1747" t="s">
        <v>3937</v>
      </c>
      <c r="W1747" s="9">
        <f>IF(V1747="pregrado",31,
IF(V1747="posgrados",31,
IF(V1747="rEINTEGROS",7,
IF(V1747="BIT",90,
IF(V1747="OP GRADO - INGLÉS",17,"")))))</f>
        <v>31</v>
      </c>
      <c r="X1747" t="s">
        <v>4066</v>
      </c>
    </row>
    <row r="1748" spans="1:24" ht="15" x14ac:dyDescent="0.35">
      <c r="A1748" s="4">
        <v>46087.614305555559</v>
      </c>
      <c r="B1748">
        <v>20127918</v>
      </c>
      <c r="C1748" s="6" t="s">
        <v>19</v>
      </c>
      <c r="D1748">
        <v>171184</v>
      </c>
      <c r="E1748" t="s">
        <v>43</v>
      </c>
      <c r="F1748">
        <v>1043873675</v>
      </c>
      <c r="G1748" t="s">
        <v>3849</v>
      </c>
      <c r="H1748">
        <v>100247725</v>
      </c>
      <c r="I1748">
        <v>202652</v>
      </c>
      <c r="J1748">
        <v>1043873675</v>
      </c>
      <c r="K1748" t="s">
        <v>23</v>
      </c>
      <c r="L1748" t="s">
        <v>252</v>
      </c>
      <c r="M1748" t="s">
        <v>253</v>
      </c>
      <c r="N1748" t="s">
        <v>35</v>
      </c>
      <c r="O1748" t="s">
        <v>26</v>
      </c>
      <c r="P1748" t="s">
        <v>27</v>
      </c>
      <c r="Q1748" t="s">
        <v>28</v>
      </c>
      <c r="R1748" t="s">
        <v>29</v>
      </c>
      <c r="S1748" t="s">
        <v>793</v>
      </c>
      <c r="T1748">
        <v>1140420282</v>
      </c>
      <c r="U1748" t="s">
        <v>3948</v>
      </c>
      <c r="V1748" t="s">
        <v>3937</v>
      </c>
      <c r="W1748" s="9">
        <f>IF(V1748="pregrado",31,
IF(V1748="posgrados",31,
IF(V1748="rEINTEGROS",7,
IF(V1748="BIT",90,
IF(V1748="OP GRADO - INGLÉS",17,"")))))</f>
        <v>31</v>
      </c>
      <c r="X1748" t="s">
        <v>3972</v>
      </c>
    </row>
    <row r="1749" spans="1:24" x14ac:dyDescent="0.3">
      <c r="A1749" s="4">
        <v>46107</v>
      </c>
      <c r="B1749">
        <v>20129494</v>
      </c>
      <c r="C1749" t="s">
        <v>19</v>
      </c>
      <c r="D1749">
        <v>171197</v>
      </c>
      <c r="E1749" t="s">
        <v>43</v>
      </c>
      <c r="F1749">
        <v>52834311</v>
      </c>
      <c r="G1749" t="s">
        <v>4278</v>
      </c>
      <c r="H1749">
        <v>100248400</v>
      </c>
      <c r="I1749">
        <v>202652</v>
      </c>
      <c r="J1749">
        <v>52834311</v>
      </c>
      <c r="K1749" t="s">
        <v>23</v>
      </c>
      <c r="L1749" t="s">
        <v>252</v>
      </c>
      <c r="M1749" t="s">
        <v>253</v>
      </c>
      <c r="N1749" t="s">
        <v>605</v>
      </c>
      <c r="O1749" t="s">
        <v>26</v>
      </c>
      <c r="P1749" t="s">
        <v>27</v>
      </c>
      <c r="Q1749" t="s">
        <v>28</v>
      </c>
      <c r="R1749" t="s">
        <v>29</v>
      </c>
      <c r="S1749" t="s">
        <v>793</v>
      </c>
      <c r="T1749">
        <f>_xlfn.XLOOKUP(X1749,Hoja2!D:D,Hoja2!A:A)</f>
        <v>51951991</v>
      </c>
      <c r="U1749" t="str">
        <f>_xlfn.XLOOKUP(X1749,Hoja2!D:D,Hoja2!B:B)</f>
        <v>FABIAN CONCHA</v>
      </c>
      <c r="V1749" t="str">
        <f>_xlfn.XLOOKUP(X1749,Hoja2!D:D,Hoja2!C:C)</f>
        <v>POSGRADOS</v>
      </c>
      <c r="W1749" s="9">
        <f>IF(V1749="pregrado",31,
IF(V1749="posgrados",31,
IF(V1749="rEINTEGROS",7,
IF(V1749="BIT",90,
IF(V1749="OP GRADO - INGLÉS",17,"")))))</f>
        <v>31</v>
      </c>
      <c r="X1749" t="s">
        <v>4049</v>
      </c>
    </row>
    <row r="1750" spans="1:24" x14ac:dyDescent="0.3">
      <c r="A1750" s="4">
        <v>46123</v>
      </c>
      <c r="B1750">
        <v>20130746</v>
      </c>
      <c r="C1750" t="s">
        <v>19</v>
      </c>
      <c r="D1750">
        <v>171199</v>
      </c>
      <c r="E1750" t="s">
        <v>43</v>
      </c>
      <c r="F1750">
        <v>72006781</v>
      </c>
      <c r="G1750" t="s">
        <v>4513</v>
      </c>
      <c r="H1750">
        <v>100241045</v>
      </c>
      <c r="I1750">
        <v>202652</v>
      </c>
      <c r="J1750">
        <v>72006781</v>
      </c>
      <c r="K1750" t="s">
        <v>23</v>
      </c>
      <c r="L1750" t="s">
        <v>252</v>
      </c>
      <c r="M1750" t="s">
        <v>253</v>
      </c>
      <c r="N1750" t="s">
        <v>35</v>
      </c>
      <c r="O1750" t="s">
        <v>26</v>
      </c>
      <c r="P1750" t="s">
        <v>27</v>
      </c>
      <c r="Q1750" t="s">
        <v>28</v>
      </c>
      <c r="R1750" t="s">
        <v>29</v>
      </c>
      <c r="S1750" t="s">
        <v>793</v>
      </c>
      <c r="T1750">
        <f>_xlfn.XLOOKUP(X1750,Hoja2!D:D,Hoja2!A:A)</f>
        <v>1233513889</v>
      </c>
      <c r="U1750" t="str">
        <f>_xlfn.XLOOKUP(X1750,Hoja2!D:D,Hoja2!B:B)</f>
        <v>IVONNE JINETH RODRIGUEZ ROJAS</v>
      </c>
      <c r="V1750" t="str">
        <f>_xlfn.XLOOKUP(X1750,Hoja2!D:D,Hoja2!C:C)</f>
        <v>POSGRADOS</v>
      </c>
      <c r="W1750" s="9">
        <f>IF(V1750="pregrado",31,
IF(V1750="posgrados",31,
IF(V1750="rEINTEGROS",7,
IF(V1750="BIT",90,
IF(V1750="OP GRADO - INGLÉS",17,"")))))</f>
        <v>31</v>
      </c>
      <c r="X1750" t="s">
        <v>4035</v>
      </c>
    </row>
    <row r="1751" spans="1:24" x14ac:dyDescent="0.3">
      <c r="A1751" s="4">
        <v>46097</v>
      </c>
      <c r="B1751">
        <v>20128712</v>
      </c>
      <c r="C1751" t="s">
        <v>19</v>
      </c>
      <c r="D1751">
        <v>171201</v>
      </c>
      <c r="E1751" t="s">
        <v>43</v>
      </c>
      <c r="F1751">
        <v>34515975</v>
      </c>
      <c r="G1751" t="s">
        <v>4151</v>
      </c>
      <c r="H1751">
        <v>100248401</v>
      </c>
      <c r="I1751">
        <v>202642</v>
      </c>
      <c r="J1751">
        <v>1118203597</v>
      </c>
      <c r="K1751" t="s">
        <v>23</v>
      </c>
      <c r="L1751" t="s">
        <v>59</v>
      </c>
      <c r="M1751" t="s">
        <v>47</v>
      </c>
      <c r="N1751" t="s">
        <v>35</v>
      </c>
      <c r="O1751" t="s">
        <v>26</v>
      </c>
      <c r="P1751" t="s">
        <v>27</v>
      </c>
      <c r="Q1751" t="s">
        <v>28</v>
      </c>
      <c r="R1751" t="s">
        <v>29</v>
      </c>
      <c r="S1751" t="s">
        <v>793</v>
      </c>
      <c r="T1751">
        <f>_xlfn.XLOOKUP(X1751,Hoja2!D:D,Hoja2!A:A)</f>
        <v>1070973852</v>
      </c>
      <c r="U1751" t="str">
        <f>_xlfn.XLOOKUP(X1751,Hoja2!D:D,Hoja2!B:B)</f>
        <v>FABIAN CONCHA</v>
      </c>
      <c r="V1751" t="str">
        <f>_xlfn.XLOOKUP(X1751,Hoja2!D:D,Hoja2!C:C)</f>
        <v>POSGRADOS</v>
      </c>
      <c r="W1751" s="9">
        <f>IF(V1751="pregrado",31,
IF(V1751="posgrados",31,
IF(V1751="rEINTEGROS",7,
IF(V1751="BIT",90,
IF(V1751="OP GRADO - INGLÉS",17,"")))))</f>
        <v>31</v>
      </c>
      <c r="X1751" t="s">
        <v>3957</v>
      </c>
    </row>
    <row r="1752" spans="1:24" x14ac:dyDescent="0.3">
      <c r="A1752" s="4">
        <v>46094</v>
      </c>
      <c r="B1752">
        <v>20128480</v>
      </c>
      <c r="C1752" t="s">
        <v>19</v>
      </c>
      <c r="D1752">
        <v>171217</v>
      </c>
      <c r="E1752" t="s">
        <v>43</v>
      </c>
      <c r="F1752">
        <v>1077475316</v>
      </c>
      <c r="G1752" t="s">
        <v>4128</v>
      </c>
      <c r="H1752">
        <v>100213545</v>
      </c>
      <c r="I1752">
        <v>202642</v>
      </c>
      <c r="J1752">
        <v>1077476308</v>
      </c>
      <c r="K1752" t="s">
        <v>23</v>
      </c>
      <c r="L1752" t="s">
        <v>294</v>
      </c>
      <c r="M1752" t="s">
        <v>47</v>
      </c>
      <c r="N1752" t="s">
        <v>35</v>
      </c>
      <c r="O1752" t="s">
        <v>26</v>
      </c>
      <c r="P1752" t="s">
        <v>27</v>
      </c>
      <c r="Q1752" t="s">
        <v>28</v>
      </c>
      <c r="R1752" t="s">
        <v>29</v>
      </c>
      <c r="S1752" t="s">
        <v>793</v>
      </c>
      <c r="T1752">
        <f>_xlfn.XLOOKUP(X1752,Hoja2!D:D,Hoja2!A:A)</f>
        <v>1020754225</v>
      </c>
      <c r="U1752" t="str">
        <f>_xlfn.XLOOKUP(X1752,Hoja2!D:D,Hoja2!B:B)</f>
        <v>IVONNE JINETH RODRIGUEZ ROJAS</v>
      </c>
      <c r="V1752" t="str">
        <f>_xlfn.XLOOKUP(X1752,Hoja2!D:D,Hoja2!C:C)</f>
        <v>POSGRADOS</v>
      </c>
      <c r="W1752" s="9">
        <f>IF(V1752="pregrado",31,
IF(V1752="posgrados",31,
IF(V1752="rEINTEGROS",7,
IF(V1752="BIT",90,
IF(V1752="OP GRADO - INGLÉS",17,"")))))</f>
        <v>31</v>
      </c>
      <c r="X1752" t="s">
        <v>3981</v>
      </c>
    </row>
    <row r="1753" spans="1:24" ht="15" x14ac:dyDescent="0.35">
      <c r="A1753" s="4">
        <v>46090.653749999998</v>
      </c>
      <c r="B1753">
        <v>20128099</v>
      </c>
      <c r="C1753" s="6" t="s">
        <v>19</v>
      </c>
      <c r="D1753">
        <v>171219</v>
      </c>
      <c r="E1753" t="s">
        <v>43</v>
      </c>
      <c r="F1753">
        <v>1077468925</v>
      </c>
      <c r="G1753" t="s">
        <v>3871</v>
      </c>
      <c r="H1753">
        <v>100248414</v>
      </c>
      <c r="I1753">
        <v>202652</v>
      </c>
      <c r="J1753">
        <v>1077468925</v>
      </c>
      <c r="K1753" t="s">
        <v>23</v>
      </c>
      <c r="L1753" t="s">
        <v>252</v>
      </c>
      <c r="M1753" t="s">
        <v>253</v>
      </c>
      <c r="N1753" t="s">
        <v>35</v>
      </c>
      <c r="O1753" t="s">
        <v>26</v>
      </c>
      <c r="P1753" t="s">
        <v>27</v>
      </c>
      <c r="Q1753" t="s">
        <v>28</v>
      </c>
      <c r="R1753" t="s">
        <v>29</v>
      </c>
      <c r="S1753" t="s">
        <v>793</v>
      </c>
      <c r="T1753">
        <v>1033784244</v>
      </c>
      <c r="U1753" t="s">
        <v>3948</v>
      </c>
      <c r="V1753" t="s">
        <v>3937</v>
      </c>
      <c r="W1753" s="9">
        <f>IF(V1753="pregrado",31,
IF(V1753="posgrados",31,
IF(V1753="rEINTEGROS",7,
IF(V1753="BIT",90,
IF(V1753="OP GRADO - INGLÉS",17,"")))))</f>
        <v>31</v>
      </c>
      <c r="X1753" t="s">
        <v>4067</v>
      </c>
    </row>
    <row r="1754" spans="1:24" x14ac:dyDescent="0.3">
      <c r="A1754" s="4">
        <v>46101</v>
      </c>
      <c r="B1754">
        <v>20129121</v>
      </c>
      <c r="C1754" t="s">
        <v>19</v>
      </c>
      <c r="D1754">
        <v>171230</v>
      </c>
      <c r="E1754" t="s">
        <v>43</v>
      </c>
      <c r="F1754">
        <v>1065985827</v>
      </c>
      <c r="G1754" t="s">
        <v>4197</v>
      </c>
      <c r="H1754">
        <v>100031495</v>
      </c>
      <c r="I1754">
        <v>202652</v>
      </c>
      <c r="J1754">
        <v>1065985413</v>
      </c>
      <c r="K1754" t="s">
        <v>23</v>
      </c>
      <c r="L1754" t="s">
        <v>252</v>
      </c>
      <c r="M1754" t="s">
        <v>253</v>
      </c>
      <c r="N1754" t="s">
        <v>35</v>
      </c>
      <c r="O1754" t="s">
        <v>26</v>
      </c>
      <c r="P1754" t="s">
        <v>27</v>
      </c>
      <c r="Q1754" t="s">
        <v>28</v>
      </c>
      <c r="R1754" t="s">
        <v>29</v>
      </c>
      <c r="S1754" t="s">
        <v>793</v>
      </c>
      <c r="T1754">
        <f>_xlfn.XLOOKUP(X1754,Hoja2!D:D,Hoja2!A:A)</f>
        <v>1026262709</v>
      </c>
      <c r="U1754" t="str">
        <f>_xlfn.XLOOKUP(X1754,Hoja2!D:D,Hoja2!B:B)</f>
        <v>FABIAN CONCHA</v>
      </c>
      <c r="V1754" t="str">
        <f>_xlfn.XLOOKUP(X1754,Hoja2!D:D,Hoja2!C:C)</f>
        <v>POSGRADOS</v>
      </c>
      <c r="W1754" s="9">
        <f>IF(V1754="pregrado",31,
IF(V1754="posgrados",31,
IF(V1754="rEINTEGROS",7,
IF(V1754="BIT",90,
IF(V1754="OP GRADO - INGLÉS",17,"")))))</f>
        <v>31</v>
      </c>
      <c r="X1754" t="s">
        <v>4037</v>
      </c>
    </row>
    <row r="1755" spans="1:24" ht="15" x14ac:dyDescent="0.35">
      <c r="A1755" s="4">
        <v>46090.482314814813</v>
      </c>
      <c r="B1755">
        <v>20128055</v>
      </c>
      <c r="C1755" s="6" t="s">
        <v>19</v>
      </c>
      <c r="D1755">
        <v>171233</v>
      </c>
      <c r="E1755" t="s">
        <v>43</v>
      </c>
      <c r="F1755">
        <v>1038140482</v>
      </c>
      <c r="G1755" t="s">
        <v>3864</v>
      </c>
      <c r="H1755">
        <v>100248433</v>
      </c>
      <c r="I1755">
        <v>202652</v>
      </c>
      <c r="J1755">
        <v>1038140482</v>
      </c>
      <c r="K1755" t="s">
        <v>23</v>
      </c>
      <c r="L1755" t="s">
        <v>252</v>
      </c>
      <c r="M1755" t="s">
        <v>253</v>
      </c>
      <c r="N1755" t="s">
        <v>35</v>
      </c>
      <c r="O1755" t="s">
        <v>26</v>
      </c>
      <c r="P1755" t="s">
        <v>27</v>
      </c>
      <c r="Q1755" t="s">
        <v>28</v>
      </c>
      <c r="R1755" t="s">
        <v>29</v>
      </c>
      <c r="S1755" t="s">
        <v>793</v>
      </c>
      <c r="T1755">
        <v>1020754225</v>
      </c>
      <c r="U1755" t="s">
        <v>3948</v>
      </c>
      <c r="V1755" t="s">
        <v>3937</v>
      </c>
      <c r="W1755" s="9">
        <f>IF(V1755="pregrado",31,
IF(V1755="posgrados",31,
IF(V1755="rEINTEGROS",7,
IF(V1755="BIT",90,
IF(V1755="OP GRADO - INGLÉS",17,"")))))</f>
        <v>31</v>
      </c>
      <c r="X1755" t="s">
        <v>3981</v>
      </c>
    </row>
    <row r="1756" spans="1:24" x14ac:dyDescent="0.3">
      <c r="A1756" s="4">
        <v>46107</v>
      </c>
      <c r="B1756">
        <v>20129536</v>
      </c>
      <c r="C1756" t="s">
        <v>19</v>
      </c>
      <c r="D1756">
        <v>171236</v>
      </c>
      <c r="E1756" t="s">
        <v>43</v>
      </c>
      <c r="F1756">
        <v>1051672896</v>
      </c>
      <c r="G1756" t="s">
        <v>4290</v>
      </c>
      <c r="H1756">
        <v>100212961</v>
      </c>
      <c r="I1756">
        <v>202652</v>
      </c>
      <c r="J1756">
        <v>1051672896</v>
      </c>
      <c r="K1756" t="s">
        <v>46</v>
      </c>
      <c r="L1756" t="s">
        <v>252</v>
      </c>
      <c r="M1756" t="s">
        <v>253</v>
      </c>
      <c r="N1756" t="s">
        <v>35</v>
      </c>
      <c r="O1756" t="s">
        <v>26</v>
      </c>
      <c r="P1756" t="s">
        <v>27</v>
      </c>
      <c r="Q1756" t="s">
        <v>28</v>
      </c>
      <c r="R1756" t="s">
        <v>29</v>
      </c>
      <c r="S1756" t="s">
        <v>793</v>
      </c>
      <c r="T1756">
        <f>_xlfn.XLOOKUP(X1756,Hoja2!D:D,Hoja2!A:A)</f>
        <v>1012389748</v>
      </c>
      <c r="U1756" t="str">
        <f>_xlfn.XLOOKUP(X1756,Hoja2!D:D,Hoja2!B:B)</f>
        <v>IVONNE JINETH RODRIGUEZ ROJAS</v>
      </c>
      <c r="V1756" t="str">
        <f>_xlfn.XLOOKUP(X1756,Hoja2!D:D,Hoja2!C:C)</f>
        <v>POSGRADOS</v>
      </c>
      <c r="W1756" s="9">
        <f>IF(V1756="pregrado",31,
IF(V1756="posgrados",31,
IF(V1756="rEINTEGROS",7,
IF(V1756="BIT",90,
IF(V1756="OP GRADO - INGLÉS",17,"")))))</f>
        <v>31</v>
      </c>
      <c r="X1756" t="s">
        <v>4065</v>
      </c>
    </row>
    <row r="1757" spans="1:24" ht="15" x14ac:dyDescent="0.35">
      <c r="A1757" s="4">
        <v>46090.641365740739</v>
      </c>
      <c r="B1757">
        <v>20128094</v>
      </c>
      <c r="C1757" s="6" t="s">
        <v>19</v>
      </c>
      <c r="D1757">
        <v>171253</v>
      </c>
      <c r="E1757" t="s">
        <v>43</v>
      </c>
      <c r="F1757">
        <v>1103950343</v>
      </c>
      <c r="G1757" t="s">
        <v>3869</v>
      </c>
      <c r="H1757">
        <v>100048792</v>
      </c>
      <c r="I1757">
        <v>202652</v>
      </c>
      <c r="J1757">
        <v>1103950343</v>
      </c>
      <c r="K1757" t="s">
        <v>46</v>
      </c>
      <c r="L1757" t="s">
        <v>252</v>
      </c>
      <c r="M1757" t="s">
        <v>253</v>
      </c>
      <c r="N1757" t="s">
        <v>35</v>
      </c>
      <c r="O1757" t="s">
        <v>26</v>
      </c>
      <c r="P1757" t="s">
        <v>27</v>
      </c>
      <c r="Q1757" t="s">
        <v>28</v>
      </c>
      <c r="R1757" t="s">
        <v>29</v>
      </c>
      <c r="S1757" t="s">
        <v>793</v>
      </c>
      <c r="T1757">
        <v>1033781417</v>
      </c>
      <c r="U1757" t="s">
        <v>3948</v>
      </c>
      <c r="V1757" t="s">
        <v>3937</v>
      </c>
      <c r="W1757" s="9">
        <f>IF(V1757="pregrado",31,
IF(V1757="posgrados",31,
IF(V1757="rEINTEGROS",7,
IF(V1757="BIT",90,
IF(V1757="OP GRADO - INGLÉS",17,"")))))</f>
        <v>31</v>
      </c>
      <c r="X1757" t="s">
        <v>4031</v>
      </c>
    </row>
    <row r="1758" spans="1:24" x14ac:dyDescent="0.3">
      <c r="A1758" s="4">
        <v>46142</v>
      </c>
      <c r="B1758">
        <v>20132695</v>
      </c>
      <c r="C1758" t="s">
        <v>19</v>
      </c>
      <c r="D1758">
        <v>171268</v>
      </c>
      <c r="E1758" t="s">
        <v>43</v>
      </c>
      <c r="F1758">
        <v>34944101</v>
      </c>
      <c r="G1758" t="s">
        <v>4900</v>
      </c>
      <c r="H1758">
        <v>100248319</v>
      </c>
      <c r="I1758">
        <v>202652</v>
      </c>
      <c r="J1758">
        <v>34944101</v>
      </c>
      <c r="K1758" t="s">
        <v>23</v>
      </c>
      <c r="L1758" t="s">
        <v>252</v>
      </c>
      <c r="M1758" t="s">
        <v>253</v>
      </c>
      <c r="N1758" t="s">
        <v>35</v>
      </c>
      <c r="O1758" t="s">
        <v>26</v>
      </c>
      <c r="P1758" t="s">
        <v>27</v>
      </c>
      <c r="Q1758" t="s">
        <v>28</v>
      </c>
      <c r="R1758" t="s">
        <v>29</v>
      </c>
      <c r="S1758" t="s">
        <v>793</v>
      </c>
      <c r="T1758">
        <f>_xlfn.XLOOKUP(X1758,Hoja2!D:D,Hoja2!A:A)</f>
        <v>1014285873</v>
      </c>
      <c r="U1758" t="str">
        <f>_xlfn.XLOOKUP(X1758,Hoja2!D:D,Hoja2!B:B)</f>
        <v>IVONNE JINETH RODRIGUEZ ROJAS</v>
      </c>
      <c r="V1758" t="str">
        <f>_xlfn.XLOOKUP(X1758,Hoja2!D:D,Hoja2!C:C)</f>
        <v>POSGRADOS</v>
      </c>
      <c r="W1758" s="9">
        <f>IF(V1758="pregrado",31,
IF(V1758="posgrados",31,
IF(V1758="rEINTEGROS",7,
IF(V1758="BIT",90,
IF(V1758="OP GRADO - INGLÉS",17,"")))))</f>
        <v>31</v>
      </c>
      <c r="X1758" t="s">
        <v>3953</v>
      </c>
    </row>
    <row r="1759" spans="1:24" x14ac:dyDescent="0.3">
      <c r="A1759" s="4">
        <v>46107</v>
      </c>
      <c r="B1759">
        <v>20129549</v>
      </c>
      <c r="C1759" t="s">
        <v>19</v>
      </c>
      <c r="D1759">
        <v>171269</v>
      </c>
      <c r="E1759" t="s">
        <v>43</v>
      </c>
      <c r="F1759">
        <v>1007646510</v>
      </c>
      <c r="G1759" t="s">
        <v>4294</v>
      </c>
      <c r="H1759">
        <v>100248490</v>
      </c>
      <c r="I1759">
        <v>202652</v>
      </c>
      <c r="J1759">
        <v>1007646510</v>
      </c>
      <c r="K1759" t="s">
        <v>23</v>
      </c>
      <c r="L1759" t="s">
        <v>252</v>
      </c>
      <c r="M1759" t="s">
        <v>253</v>
      </c>
      <c r="N1759" t="s">
        <v>35</v>
      </c>
      <c r="O1759" t="s">
        <v>26</v>
      </c>
      <c r="P1759" t="s">
        <v>27</v>
      </c>
      <c r="Q1759" t="s">
        <v>28</v>
      </c>
      <c r="R1759" t="s">
        <v>29</v>
      </c>
      <c r="S1759" t="s">
        <v>793</v>
      </c>
      <c r="T1759">
        <f>_xlfn.XLOOKUP(X1759,Hoja2!D:D,Hoja2!A:A)</f>
        <v>1012389748</v>
      </c>
      <c r="U1759" t="str">
        <f>_xlfn.XLOOKUP(X1759,Hoja2!D:D,Hoja2!B:B)</f>
        <v>IVONNE JINETH RODRIGUEZ ROJAS</v>
      </c>
      <c r="V1759" t="str">
        <f>_xlfn.XLOOKUP(X1759,Hoja2!D:D,Hoja2!C:C)</f>
        <v>POSGRADOS</v>
      </c>
      <c r="W1759" s="9">
        <f>IF(V1759="pregrado",31,
IF(V1759="posgrados",31,
IF(V1759="rEINTEGROS",7,
IF(V1759="BIT",90,
IF(V1759="OP GRADO - INGLÉS",17,"")))))</f>
        <v>31</v>
      </c>
      <c r="X1759" t="s">
        <v>4065</v>
      </c>
    </row>
    <row r="1760" spans="1:24" x14ac:dyDescent="0.3">
      <c r="A1760" s="4">
        <v>46102</v>
      </c>
      <c r="B1760">
        <v>20129175</v>
      </c>
      <c r="C1760" t="s">
        <v>19</v>
      </c>
      <c r="D1760">
        <v>171272</v>
      </c>
      <c r="E1760" t="s">
        <v>43</v>
      </c>
      <c r="F1760">
        <v>39267082</v>
      </c>
      <c r="G1760" t="s">
        <v>4208</v>
      </c>
      <c r="H1760">
        <v>100248494</v>
      </c>
      <c r="I1760">
        <v>202652</v>
      </c>
      <c r="J1760">
        <v>1038116779</v>
      </c>
      <c r="K1760" t="s">
        <v>23</v>
      </c>
      <c r="L1760" t="s">
        <v>252</v>
      </c>
      <c r="M1760" t="s">
        <v>253</v>
      </c>
      <c r="N1760" t="s">
        <v>35</v>
      </c>
      <c r="O1760" t="s">
        <v>26</v>
      </c>
      <c r="P1760" t="s">
        <v>27</v>
      </c>
      <c r="Q1760" t="s">
        <v>28</v>
      </c>
      <c r="R1760" t="s">
        <v>29</v>
      </c>
      <c r="S1760" t="s">
        <v>793</v>
      </c>
      <c r="T1760">
        <f>_xlfn.XLOOKUP(X1760,Hoja2!D:D,Hoja2!A:A)</f>
        <v>1070973852</v>
      </c>
      <c r="U1760" t="str">
        <f>_xlfn.XLOOKUP(X1760,Hoja2!D:D,Hoja2!B:B)</f>
        <v>FABIAN CONCHA</v>
      </c>
      <c r="V1760" t="str">
        <f>_xlfn.XLOOKUP(X1760,Hoja2!D:D,Hoja2!C:C)</f>
        <v>POSGRADOS</v>
      </c>
      <c r="W1760" s="9">
        <f>IF(V1760="pregrado",31,
IF(V1760="posgrados",31,
IF(V1760="rEINTEGROS",7,
IF(V1760="BIT",90,
IF(V1760="OP GRADO - INGLÉS",17,"")))))</f>
        <v>31</v>
      </c>
      <c r="X1760" t="s">
        <v>3957</v>
      </c>
    </row>
    <row r="1761" spans="1:24" ht="15" x14ac:dyDescent="0.35">
      <c r="A1761" s="4">
        <v>46090.650972222225</v>
      </c>
      <c r="B1761">
        <v>20128096</v>
      </c>
      <c r="C1761" s="6" t="s">
        <v>19</v>
      </c>
      <c r="D1761">
        <v>171275</v>
      </c>
      <c r="E1761" t="s">
        <v>43</v>
      </c>
      <c r="F1761">
        <v>1006788624</v>
      </c>
      <c r="G1761" t="s">
        <v>3870</v>
      </c>
      <c r="H1761">
        <v>100159952</v>
      </c>
      <c r="I1761">
        <v>202652</v>
      </c>
      <c r="J1761">
        <v>1006788624</v>
      </c>
      <c r="K1761" t="s">
        <v>23</v>
      </c>
      <c r="L1761" t="s">
        <v>252</v>
      </c>
      <c r="M1761" t="s">
        <v>253</v>
      </c>
      <c r="N1761" t="s">
        <v>35</v>
      </c>
      <c r="O1761" t="s">
        <v>26</v>
      </c>
      <c r="P1761" t="s">
        <v>27</v>
      </c>
      <c r="Q1761" t="s">
        <v>28</v>
      </c>
      <c r="R1761" t="s">
        <v>29</v>
      </c>
      <c r="S1761" t="s">
        <v>793</v>
      </c>
      <c r="T1761">
        <v>1033781417</v>
      </c>
      <c r="U1761" t="s">
        <v>3948</v>
      </c>
      <c r="V1761" t="s">
        <v>3937</v>
      </c>
      <c r="W1761" s="9">
        <f>IF(V1761="pregrado",31,
IF(V1761="posgrados",31,
IF(V1761="rEINTEGROS",7,
IF(V1761="BIT",90,
IF(V1761="OP GRADO - INGLÉS",17,"")))))</f>
        <v>31</v>
      </c>
      <c r="X1761" t="s">
        <v>4031</v>
      </c>
    </row>
    <row r="1762" spans="1:24" ht="15" x14ac:dyDescent="0.35">
      <c r="A1762" s="4">
        <v>46091.444594907407</v>
      </c>
      <c r="B1762">
        <v>20128153</v>
      </c>
      <c r="C1762" s="6" t="s">
        <v>19</v>
      </c>
      <c r="D1762">
        <v>171316</v>
      </c>
      <c r="E1762" t="s">
        <v>43</v>
      </c>
      <c r="F1762">
        <v>10296182</v>
      </c>
      <c r="G1762" t="s">
        <v>3878</v>
      </c>
      <c r="H1762">
        <v>100159782</v>
      </c>
      <c r="I1762">
        <v>202652</v>
      </c>
      <c r="J1762">
        <v>10296182</v>
      </c>
      <c r="K1762" t="s">
        <v>23</v>
      </c>
      <c r="L1762" t="s">
        <v>252</v>
      </c>
      <c r="M1762" t="s">
        <v>253</v>
      </c>
      <c r="N1762" t="s">
        <v>35</v>
      </c>
      <c r="O1762" t="s">
        <v>26</v>
      </c>
      <c r="P1762" t="s">
        <v>27</v>
      </c>
      <c r="Q1762" t="s">
        <v>28</v>
      </c>
      <c r="R1762" t="s">
        <v>29</v>
      </c>
      <c r="S1762" t="s">
        <v>793</v>
      </c>
      <c r="T1762">
        <v>1033781417</v>
      </c>
      <c r="U1762" t="s">
        <v>3948</v>
      </c>
      <c r="V1762" t="s">
        <v>3937</v>
      </c>
      <c r="W1762" s="9">
        <f>IF(V1762="pregrado",31,
IF(V1762="posgrados",31,
IF(V1762="rEINTEGROS",7,
IF(V1762="BIT",90,
IF(V1762="OP GRADO - INGLÉS",17,"")))))</f>
        <v>31</v>
      </c>
      <c r="X1762" t="s">
        <v>4031</v>
      </c>
    </row>
    <row r="1763" spans="1:24" ht="15" x14ac:dyDescent="0.35">
      <c r="A1763" s="4">
        <v>46091.641643518517</v>
      </c>
      <c r="B1763">
        <v>20128194</v>
      </c>
      <c r="C1763" s="6" t="s">
        <v>19</v>
      </c>
      <c r="D1763">
        <v>171317</v>
      </c>
      <c r="E1763" t="s">
        <v>43</v>
      </c>
      <c r="F1763">
        <v>57433159</v>
      </c>
      <c r="G1763" t="s">
        <v>3882</v>
      </c>
      <c r="H1763">
        <v>100248523</v>
      </c>
      <c r="I1763">
        <v>202652</v>
      </c>
      <c r="J1763">
        <v>1083006026</v>
      </c>
      <c r="K1763" t="s">
        <v>23</v>
      </c>
      <c r="L1763" t="s">
        <v>252</v>
      </c>
      <c r="M1763" t="s">
        <v>253</v>
      </c>
      <c r="N1763" t="s">
        <v>35</v>
      </c>
      <c r="O1763" t="s">
        <v>26</v>
      </c>
      <c r="P1763" t="s">
        <v>27</v>
      </c>
      <c r="Q1763" t="s">
        <v>28</v>
      </c>
      <c r="R1763" t="s">
        <v>29</v>
      </c>
      <c r="S1763" t="s">
        <v>793</v>
      </c>
      <c r="T1763">
        <v>1033793185</v>
      </c>
      <c r="U1763" t="s">
        <v>3948</v>
      </c>
      <c r="V1763" t="s">
        <v>3937</v>
      </c>
      <c r="W1763" s="9">
        <f>IF(V1763="pregrado",31,
IF(V1763="posgrados",31,
IF(V1763="rEINTEGROS",7,
IF(V1763="BIT",90,
IF(V1763="OP GRADO - INGLÉS",17,"")))))</f>
        <v>31</v>
      </c>
      <c r="X1763" t="s">
        <v>4082</v>
      </c>
    </row>
    <row r="1764" spans="1:24" x14ac:dyDescent="0.3">
      <c r="A1764" s="4">
        <v>46092</v>
      </c>
      <c r="B1764">
        <v>20128344</v>
      </c>
      <c r="C1764" t="s">
        <v>19</v>
      </c>
      <c r="D1764">
        <v>171322</v>
      </c>
      <c r="E1764" t="s">
        <v>43</v>
      </c>
      <c r="F1764">
        <v>1125180040</v>
      </c>
      <c r="G1764" t="s">
        <v>4118</v>
      </c>
      <c r="H1764">
        <v>100247805</v>
      </c>
      <c r="I1764">
        <v>202652</v>
      </c>
      <c r="J1764">
        <v>1125180040</v>
      </c>
      <c r="K1764" t="s">
        <v>23</v>
      </c>
      <c r="L1764" t="s">
        <v>252</v>
      </c>
      <c r="M1764" t="s">
        <v>253</v>
      </c>
      <c r="N1764" t="s">
        <v>35</v>
      </c>
      <c r="O1764" t="s">
        <v>26</v>
      </c>
      <c r="P1764" t="s">
        <v>27</v>
      </c>
      <c r="Q1764" t="s">
        <v>28</v>
      </c>
      <c r="R1764" t="s">
        <v>29</v>
      </c>
      <c r="S1764" t="s">
        <v>793</v>
      </c>
      <c r="T1764">
        <f>_xlfn.XLOOKUP(X1764,Hoja2!D:D,Hoja2!A:A)</f>
        <v>1140420282</v>
      </c>
      <c r="U1764" t="str">
        <f>_xlfn.XLOOKUP(X1764,Hoja2!D:D,Hoja2!B:B)</f>
        <v>IVONNE JINETH RODRIGUEZ ROJAS</v>
      </c>
      <c r="V1764" t="str">
        <f>_xlfn.XLOOKUP(X1764,Hoja2!D:D,Hoja2!C:C)</f>
        <v>POSGRADOS</v>
      </c>
      <c r="W1764" s="9">
        <f>IF(V1764="pregrado",31,
IF(V1764="posgrados",31,
IF(V1764="rEINTEGROS",7,
IF(V1764="BIT",90,
IF(V1764="OP GRADO - INGLÉS",17,"")))))</f>
        <v>31</v>
      </c>
      <c r="X1764" t="s">
        <v>3972</v>
      </c>
    </row>
    <row r="1765" spans="1:24" x14ac:dyDescent="0.3">
      <c r="A1765" s="4">
        <v>46092</v>
      </c>
      <c r="B1765">
        <v>20128314</v>
      </c>
      <c r="C1765" t="s">
        <v>19</v>
      </c>
      <c r="D1765">
        <v>171325</v>
      </c>
      <c r="E1765" t="s">
        <v>43</v>
      </c>
      <c r="F1765">
        <v>1016089101</v>
      </c>
      <c r="G1765" t="s">
        <v>3896</v>
      </c>
      <c r="H1765">
        <v>100248549</v>
      </c>
      <c r="I1765">
        <v>202642</v>
      </c>
      <c r="J1765">
        <v>1016089101</v>
      </c>
      <c r="K1765" t="s">
        <v>23</v>
      </c>
      <c r="L1765" t="s">
        <v>294</v>
      </c>
      <c r="M1765" t="s">
        <v>47</v>
      </c>
      <c r="N1765" t="s">
        <v>35</v>
      </c>
      <c r="O1765" t="s">
        <v>26</v>
      </c>
      <c r="P1765" t="s">
        <v>27</v>
      </c>
      <c r="Q1765" t="s">
        <v>28</v>
      </c>
      <c r="R1765" t="s">
        <v>29</v>
      </c>
      <c r="S1765" t="s">
        <v>793</v>
      </c>
      <c r="T1765">
        <f>_xlfn.XLOOKUP(X1765,Hoja2!D:D,Hoja2!A:A)</f>
        <v>1233513889</v>
      </c>
      <c r="U1765" t="str">
        <f>_xlfn.XLOOKUP(X1765,Hoja2!D:D,Hoja2!B:B)</f>
        <v>IVONNE JINETH RODRIGUEZ ROJAS</v>
      </c>
      <c r="V1765" t="str">
        <f>_xlfn.XLOOKUP(X1765,Hoja2!D:D,Hoja2!C:C)</f>
        <v>POSGRADOS</v>
      </c>
      <c r="W1765" s="9">
        <f>IF(V1765="pregrado",31,
IF(V1765="posgrados",31,
IF(V1765="rEINTEGROS",7,
IF(V1765="BIT",90,
IF(V1765="OP GRADO - INGLÉS",17,"")))))</f>
        <v>31</v>
      </c>
      <c r="X1765" t="s">
        <v>4035</v>
      </c>
    </row>
    <row r="1766" spans="1:24" x14ac:dyDescent="0.3">
      <c r="A1766" s="4">
        <v>46097</v>
      </c>
      <c r="B1766">
        <v>20128661</v>
      </c>
      <c r="C1766" t="s">
        <v>19</v>
      </c>
      <c r="D1766">
        <v>171326</v>
      </c>
      <c r="E1766" t="s">
        <v>43</v>
      </c>
      <c r="F1766">
        <v>34942901</v>
      </c>
      <c r="G1766" t="s">
        <v>4145</v>
      </c>
      <c r="H1766">
        <v>100248552</v>
      </c>
      <c r="I1766">
        <v>202652</v>
      </c>
      <c r="J1766">
        <v>34942901</v>
      </c>
      <c r="K1766" t="s">
        <v>23</v>
      </c>
      <c r="L1766" t="s">
        <v>252</v>
      </c>
      <c r="M1766" t="s">
        <v>253</v>
      </c>
      <c r="N1766" t="s">
        <v>35</v>
      </c>
      <c r="O1766" t="s">
        <v>26</v>
      </c>
      <c r="P1766" t="s">
        <v>27</v>
      </c>
      <c r="Q1766" t="s">
        <v>28</v>
      </c>
      <c r="R1766" t="s">
        <v>29</v>
      </c>
      <c r="S1766" t="s">
        <v>793</v>
      </c>
      <c r="T1766">
        <f>_xlfn.XLOOKUP(X1766,Hoja2!D:D,Hoja2!A:A)</f>
        <v>1014285873</v>
      </c>
      <c r="U1766" t="str">
        <f>_xlfn.XLOOKUP(X1766,Hoja2!D:D,Hoja2!B:B)</f>
        <v>IVONNE JINETH RODRIGUEZ ROJAS</v>
      </c>
      <c r="V1766" t="str">
        <f>_xlfn.XLOOKUP(X1766,Hoja2!D:D,Hoja2!C:C)</f>
        <v>POSGRADOS</v>
      </c>
      <c r="W1766" s="9">
        <f>IF(V1766="pregrado",31,
IF(V1766="posgrados",31,
IF(V1766="rEINTEGROS",7,
IF(V1766="BIT",90,
IF(V1766="OP GRADO - INGLÉS",17,"")))))</f>
        <v>31</v>
      </c>
      <c r="X1766" t="s">
        <v>3953</v>
      </c>
    </row>
    <row r="1767" spans="1:24" x14ac:dyDescent="0.3">
      <c r="A1767" s="4">
        <v>46093</v>
      </c>
      <c r="B1767">
        <v>20128426</v>
      </c>
      <c r="C1767" t="s">
        <v>19</v>
      </c>
      <c r="D1767">
        <v>171331</v>
      </c>
      <c r="E1767" t="s">
        <v>43</v>
      </c>
      <c r="F1767">
        <v>45502039</v>
      </c>
      <c r="G1767" t="s">
        <v>4123</v>
      </c>
      <c r="H1767">
        <v>100248560</v>
      </c>
      <c r="I1767">
        <v>202652</v>
      </c>
      <c r="J1767">
        <v>45502039</v>
      </c>
      <c r="K1767" t="s">
        <v>23</v>
      </c>
      <c r="L1767" t="s">
        <v>252</v>
      </c>
      <c r="M1767" t="s">
        <v>253</v>
      </c>
      <c r="N1767" t="s">
        <v>25</v>
      </c>
      <c r="O1767" t="s">
        <v>26</v>
      </c>
      <c r="P1767" t="s">
        <v>27</v>
      </c>
      <c r="Q1767" t="s">
        <v>28</v>
      </c>
      <c r="R1767" t="s">
        <v>29</v>
      </c>
      <c r="S1767" t="s">
        <v>793</v>
      </c>
      <c r="T1767">
        <f>_xlfn.XLOOKUP(X1767,Hoja2!D:D,Hoja2!A:A)</f>
        <v>1014285873</v>
      </c>
      <c r="U1767" t="str">
        <f>_xlfn.XLOOKUP(X1767,Hoja2!D:D,Hoja2!B:B)</f>
        <v>IVONNE JINETH RODRIGUEZ ROJAS</v>
      </c>
      <c r="V1767" t="str">
        <f>_xlfn.XLOOKUP(X1767,Hoja2!D:D,Hoja2!C:C)</f>
        <v>POSGRADOS</v>
      </c>
      <c r="W1767" s="9">
        <f>IF(V1767="pregrado",31,
IF(V1767="posgrados",31,
IF(V1767="rEINTEGROS",7,
IF(V1767="BIT",90,
IF(V1767="OP GRADO - INGLÉS",17,"")))))</f>
        <v>31</v>
      </c>
      <c r="X1767" t="s">
        <v>3953</v>
      </c>
    </row>
    <row r="1768" spans="1:24" ht="15" x14ac:dyDescent="0.35">
      <c r="A1768" s="4">
        <v>46092.388321759259</v>
      </c>
      <c r="B1768">
        <v>20128249</v>
      </c>
      <c r="C1768" s="6" t="s">
        <v>19</v>
      </c>
      <c r="D1768">
        <v>171333</v>
      </c>
      <c r="E1768" t="s">
        <v>43</v>
      </c>
      <c r="F1768">
        <v>1007976650</v>
      </c>
      <c r="G1768" t="s">
        <v>3889</v>
      </c>
      <c r="H1768">
        <v>100248562</v>
      </c>
      <c r="I1768">
        <v>202642</v>
      </c>
      <c r="J1768">
        <v>1007976650</v>
      </c>
      <c r="K1768" t="s">
        <v>23</v>
      </c>
      <c r="L1768" t="s">
        <v>294</v>
      </c>
      <c r="M1768" t="s">
        <v>47</v>
      </c>
      <c r="N1768" t="s">
        <v>35</v>
      </c>
      <c r="O1768" t="s">
        <v>26</v>
      </c>
      <c r="P1768" t="s">
        <v>27</v>
      </c>
      <c r="Q1768" t="s">
        <v>28</v>
      </c>
      <c r="R1768" t="s">
        <v>29</v>
      </c>
      <c r="S1768" t="s">
        <v>793</v>
      </c>
      <c r="T1768">
        <v>1020754225</v>
      </c>
      <c r="U1768" t="s">
        <v>3948</v>
      </c>
      <c r="V1768" t="s">
        <v>3937</v>
      </c>
      <c r="W1768" s="9">
        <f>IF(V1768="pregrado",31,
IF(V1768="posgrados",31,
IF(V1768="rEINTEGROS",7,
IF(V1768="BIT",90,
IF(V1768="OP GRADO - INGLÉS",17,"")))))</f>
        <v>31</v>
      </c>
      <c r="X1768" t="s">
        <v>3981</v>
      </c>
    </row>
    <row r="1769" spans="1:24" ht="15" x14ac:dyDescent="0.35">
      <c r="A1769" s="4">
        <v>46091.525590277779</v>
      </c>
      <c r="B1769">
        <v>20128174</v>
      </c>
      <c r="C1769" s="6" t="s">
        <v>19</v>
      </c>
      <c r="D1769">
        <v>171342</v>
      </c>
      <c r="E1769" t="s">
        <v>43</v>
      </c>
      <c r="F1769">
        <v>1121206766</v>
      </c>
      <c r="G1769" t="s">
        <v>3880</v>
      </c>
      <c r="H1769">
        <v>100248568</v>
      </c>
      <c r="I1769">
        <v>202652</v>
      </c>
      <c r="J1769">
        <v>1121206766</v>
      </c>
      <c r="K1769" t="s">
        <v>23</v>
      </c>
      <c r="L1769" t="s">
        <v>252</v>
      </c>
      <c r="M1769" t="s">
        <v>253</v>
      </c>
      <c r="N1769" t="s">
        <v>35</v>
      </c>
      <c r="O1769" t="s">
        <v>26</v>
      </c>
      <c r="P1769" t="s">
        <v>27</v>
      </c>
      <c r="Q1769" t="s">
        <v>28</v>
      </c>
      <c r="R1769" t="s">
        <v>29</v>
      </c>
      <c r="S1769" t="s">
        <v>793</v>
      </c>
      <c r="T1769">
        <v>1033781417</v>
      </c>
      <c r="U1769" t="s">
        <v>3948</v>
      </c>
      <c r="V1769" t="s">
        <v>3937</v>
      </c>
      <c r="W1769" s="9">
        <f>IF(V1769="pregrado",31,
IF(V1769="posgrados",31,
IF(V1769="rEINTEGROS",7,
IF(V1769="BIT",90,
IF(V1769="OP GRADO - INGLÉS",17,"")))))</f>
        <v>31</v>
      </c>
      <c r="X1769" t="s">
        <v>4031</v>
      </c>
    </row>
    <row r="1770" spans="1:24" x14ac:dyDescent="0.3">
      <c r="A1770" s="4">
        <v>46122</v>
      </c>
      <c r="B1770">
        <v>20130633</v>
      </c>
      <c r="C1770" t="s">
        <v>19</v>
      </c>
      <c r="D1770">
        <v>171348</v>
      </c>
      <c r="E1770" t="s">
        <v>43</v>
      </c>
      <c r="F1770">
        <v>1044911118</v>
      </c>
      <c r="G1770" t="s">
        <v>4463</v>
      </c>
      <c r="H1770">
        <v>100246798</v>
      </c>
      <c r="I1770">
        <v>202652</v>
      </c>
      <c r="J1770">
        <v>1052088257</v>
      </c>
      <c r="K1770" t="s">
        <v>23</v>
      </c>
      <c r="L1770" t="s">
        <v>252</v>
      </c>
      <c r="M1770" t="s">
        <v>253</v>
      </c>
      <c r="N1770" t="s">
        <v>35</v>
      </c>
      <c r="O1770" t="s">
        <v>26</v>
      </c>
      <c r="P1770" t="s">
        <v>27</v>
      </c>
      <c r="Q1770" t="s">
        <v>28</v>
      </c>
      <c r="R1770" t="s">
        <v>29</v>
      </c>
      <c r="S1770" t="s">
        <v>793</v>
      </c>
      <c r="T1770">
        <f>_xlfn.XLOOKUP(X1770,Hoja2!D:D,Hoja2!A:A)</f>
        <v>1070973852</v>
      </c>
      <c r="U1770" t="str">
        <f>_xlfn.XLOOKUP(X1770,Hoja2!D:D,Hoja2!B:B)</f>
        <v>FABIAN CONCHA</v>
      </c>
      <c r="V1770" t="str">
        <f>_xlfn.XLOOKUP(X1770,Hoja2!D:D,Hoja2!C:C)</f>
        <v>POSGRADOS</v>
      </c>
      <c r="W1770" s="9">
        <f>IF(V1770="pregrado",31,
IF(V1770="posgrados",31,
IF(V1770="rEINTEGROS",7,
IF(V1770="BIT",90,
IF(V1770="OP GRADO - INGLÉS",17,"")))))</f>
        <v>31</v>
      </c>
      <c r="X1770" t="s">
        <v>3957</v>
      </c>
    </row>
    <row r="1771" spans="1:24" x14ac:dyDescent="0.3">
      <c r="A1771" s="4">
        <v>46100</v>
      </c>
      <c r="B1771">
        <v>20128964</v>
      </c>
      <c r="C1771" t="s">
        <v>19</v>
      </c>
      <c r="D1771">
        <v>171350</v>
      </c>
      <c r="E1771" t="s">
        <v>43</v>
      </c>
      <c r="F1771">
        <v>1019040078</v>
      </c>
      <c r="G1771" t="s">
        <v>4177</v>
      </c>
      <c r="H1771">
        <v>100248584</v>
      </c>
      <c r="I1771">
        <v>202652</v>
      </c>
      <c r="J1771">
        <v>1019040078</v>
      </c>
      <c r="K1771" t="s">
        <v>23</v>
      </c>
      <c r="L1771" t="s">
        <v>252</v>
      </c>
      <c r="M1771" t="s">
        <v>253</v>
      </c>
      <c r="N1771" t="s">
        <v>35</v>
      </c>
      <c r="O1771" t="s">
        <v>26</v>
      </c>
      <c r="P1771" t="s">
        <v>27</v>
      </c>
      <c r="Q1771" t="s">
        <v>28</v>
      </c>
      <c r="R1771" t="s">
        <v>29</v>
      </c>
      <c r="S1771" t="s">
        <v>793</v>
      </c>
      <c r="T1771">
        <f>_xlfn.XLOOKUP(X1771,Hoja2!D:D,Hoja2!A:A)</f>
        <v>1031147887</v>
      </c>
      <c r="U1771" t="str">
        <f>_xlfn.XLOOKUP(X1771,Hoja2!D:D,Hoja2!B:B)</f>
        <v>IVONNE JINETH RODRIGUEZ ROJAS</v>
      </c>
      <c r="V1771" t="str">
        <f>_xlfn.XLOOKUP(X1771,Hoja2!D:D,Hoja2!C:C)</f>
        <v>POSGRADOS</v>
      </c>
      <c r="W1771" s="9">
        <f>IF(V1771="pregrado",31,
IF(V1771="posgrados",31,
IF(V1771="rEINTEGROS",7,
IF(V1771="BIT",90,
IF(V1771="OP GRADO - INGLÉS",17,"")))))</f>
        <v>31</v>
      </c>
      <c r="X1771" t="s">
        <v>3947</v>
      </c>
    </row>
    <row r="1772" spans="1:24" ht="15" x14ac:dyDescent="0.35">
      <c r="A1772" s="4">
        <v>46092.638182870367</v>
      </c>
      <c r="B1772">
        <v>20128309</v>
      </c>
      <c r="C1772" s="6" t="s">
        <v>19</v>
      </c>
      <c r="D1772">
        <v>171355</v>
      </c>
      <c r="E1772" t="s">
        <v>43</v>
      </c>
      <c r="F1772">
        <v>1124314094</v>
      </c>
      <c r="G1772" t="s">
        <v>3894</v>
      </c>
      <c r="H1772">
        <v>100164257</v>
      </c>
      <c r="I1772">
        <v>202652</v>
      </c>
      <c r="J1772">
        <v>1124314094</v>
      </c>
      <c r="K1772" t="s">
        <v>46</v>
      </c>
      <c r="L1772" t="s">
        <v>252</v>
      </c>
      <c r="M1772" t="s">
        <v>253</v>
      </c>
      <c r="N1772" t="s">
        <v>35</v>
      </c>
      <c r="O1772" t="s">
        <v>26</v>
      </c>
      <c r="P1772" t="s">
        <v>27</v>
      </c>
      <c r="Q1772" t="s">
        <v>28</v>
      </c>
      <c r="R1772" t="s">
        <v>29</v>
      </c>
      <c r="S1772" t="s">
        <v>793</v>
      </c>
      <c r="T1772">
        <v>1033781417</v>
      </c>
      <c r="U1772" t="s">
        <v>3948</v>
      </c>
      <c r="V1772" t="s">
        <v>3937</v>
      </c>
      <c r="W1772" s="9">
        <f>IF(V1772="pregrado",31,
IF(V1772="posgrados",31,
IF(V1772="rEINTEGROS",7,
IF(V1772="BIT",90,
IF(V1772="OP GRADO - INGLÉS",17,"")))))</f>
        <v>31</v>
      </c>
      <c r="X1772" t="s">
        <v>4031</v>
      </c>
    </row>
    <row r="1773" spans="1:24" ht="15" x14ac:dyDescent="0.35">
      <c r="A1773" s="4">
        <v>46093.667511574073</v>
      </c>
      <c r="B1773">
        <v>20128444</v>
      </c>
      <c r="C1773" s="6" t="s">
        <v>19</v>
      </c>
      <c r="D1773">
        <v>172431</v>
      </c>
      <c r="E1773" t="s">
        <v>43</v>
      </c>
      <c r="F1773">
        <v>39421756</v>
      </c>
      <c r="G1773" t="s">
        <v>3913</v>
      </c>
      <c r="H1773">
        <v>100247987</v>
      </c>
      <c r="I1773">
        <v>202652</v>
      </c>
      <c r="J1773">
        <v>39421756</v>
      </c>
      <c r="K1773" t="s">
        <v>23</v>
      </c>
      <c r="L1773" t="s">
        <v>252</v>
      </c>
      <c r="M1773" t="s">
        <v>253</v>
      </c>
      <c r="N1773" t="s">
        <v>35</v>
      </c>
      <c r="O1773" t="s">
        <v>26</v>
      </c>
      <c r="P1773" t="s">
        <v>27</v>
      </c>
      <c r="Q1773" t="s">
        <v>28</v>
      </c>
      <c r="R1773" t="s">
        <v>29</v>
      </c>
      <c r="S1773" t="s">
        <v>793</v>
      </c>
      <c r="T1773">
        <v>1031147887</v>
      </c>
      <c r="U1773" t="s">
        <v>3948</v>
      </c>
      <c r="V1773" t="s">
        <v>3937</v>
      </c>
      <c r="W1773" s="9">
        <f>IF(V1773="pregrado",31,
IF(V1773="posgrados",31,
IF(V1773="rEINTEGROS",7,
IF(V1773="BIT",90,
IF(V1773="OP GRADO - INGLÉS",17,"")))))</f>
        <v>31</v>
      </c>
      <c r="X1773" t="s">
        <v>3947</v>
      </c>
    </row>
    <row r="1774" spans="1:24" ht="15" x14ac:dyDescent="0.35">
      <c r="A1774" s="4">
        <v>46092.672951388886</v>
      </c>
      <c r="B1774">
        <v>20128321</v>
      </c>
      <c r="C1774" s="6" t="s">
        <v>19</v>
      </c>
      <c r="D1774">
        <v>172449</v>
      </c>
      <c r="E1774" t="s">
        <v>43</v>
      </c>
      <c r="F1774">
        <v>1094370240</v>
      </c>
      <c r="G1774" t="s">
        <v>3897</v>
      </c>
      <c r="H1774">
        <v>100248618</v>
      </c>
      <c r="I1774">
        <v>202652</v>
      </c>
      <c r="J1774">
        <v>1094370240</v>
      </c>
      <c r="K1774" t="s">
        <v>23</v>
      </c>
      <c r="L1774" t="s">
        <v>252</v>
      </c>
      <c r="M1774" t="s">
        <v>253</v>
      </c>
      <c r="N1774">
        <v>0</v>
      </c>
      <c r="O1774" t="s">
        <v>26</v>
      </c>
      <c r="P1774" t="s">
        <v>27</v>
      </c>
      <c r="Q1774" t="s">
        <v>28</v>
      </c>
      <c r="R1774" t="s">
        <v>29</v>
      </c>
      <c r="S1774" t="s">
        <v>793</v>
      </c>
      <c r="T1774">
        <v>1073673268</v>
      </c>
      <c r="U1774" t="s">
        <v>3948</v>
      </c>
      <c r="V1774" t="s">
        <v>3937</v>
      </c>
      <c r="W1774" s="9">
        <f>IF(V1774="pregrado",31,
IF(V1774="posgrados",31,
IF(V1774="rEINTEGROS",7,
IF(V1774="BIT",90,
IF(V1774="OP GRADO - INGLÉS",17,"")))))</f>
        <v>31</v>
      </c>
      <c r="X1774" t="s">
        <v>4080</v>
      </c>
    </row>
    <row r="1775" spans="1:24" x14ac:dyDescent="0.3">
      <c r="A1775" s="4">
        <v>46093</v>
      </c>
      <c r="B1775">
        <v>20128448</v>
      </c>
      <c r="C1775" t="s">
        <v>19</v>
      </c>
      <c r="D1775">
        <v>172454</v>
      </c>
      <c r="E1775" t="s">
        <v>43</v>
      </c>
      <c r="F1775">
        <v>1077431894</v>
      </c>
      <c r="G1775" t="s">
        <v>4124</v>
      </c>
      <c r="H1775">
        <v>100248277</v>
      </c>
      <c r="I1775">
        <v>202652</v>
      </c>
      <c r="J1775">
        <v>1077431894</v>
      </c>
      <c r="K1775" t="s">
        <v>23</v>
      </c>
      <c r="L1775" t="s">
        <v>252</v>
      </c>
      <c r="M1775" t="s">
        <v>253</v>
      </c>
      <c r="N1775" t="s">
        <v>35</v>
      </c>
      <c r="O1775" t="s">
        <v>26</v>
      </c>
      <c r="P1775" t="s">
        <v>27</v>
      </c>
      <c r="Q1775" t="s">
        <v>28</v>
      </c>
      <c r="R1775" t="s">
        <v>29</v>
      </c>
      <c r="S1775" t="s">
        <v>793</v>
      </c>
      <c r="T1775">
        <f>_xlfn.XLOOKUP(X1775,Hoja2!D:D,Hoja2!A:A)</f>
        <v>1031147887</v>
      </c>
      <c r="U1775" t="str">
        <f>_xlfn.XLOOKUP(X1775,Hoja2!D:D,Hoja2!B:B)</f>
        <v>IVONNE JINETH RODRIGUEZ ROJAS</v>
      </c>
      <c r="V1775" t="str">
        <f>_xlfn.XLOOKUP(X1775,Hoja2!D:D,Hoja2!C:C)</f>
        <v>POSGRADOS</v>
      </c>
      <c r="W1775" s="9">
        <f>IF(V1775="pregrado",31,
IF(V1775="posgrados",31,
IF(V1775="rEINTEGROS",7,
IF(V1775="BIT",90,
IF(V1775="OP GRADO - INGLÉS",17,"")))))</f>
        <v>31</v>
      </c>
      <c r="X1775" t="s">
        <v>3947</v>
      </c>
    </row>
    <row r="1776" spans="1:24" ht="15" x14ac:dyDescent="0.35">
      <c r="A1776" s="4">
        <v>46092.715451388889</v>
      </c>
      <c r="B1776">
        <v>20128334</v>
      </c>
      <c r="C1776" s="6" t="s">
        <v>19</v>
      </c>
      <c r="D1776">
        <v>172457</v>
      </c>
      <c r="E1776" t="s">
        <v>43</v>
      </c>
      <c r="F1776">
        <v>40428411</v>
      </c>
      <c r="G1776" t="s">
        <v>3900</v>
      </c>
      <c r="H1776">
        <v>100043834</v>
      </c>
      <c r="I1776">
        <v>202652</v>
      </c>
      <c r="J1776">
        <v>1121828108</v>
      </c>
      <c r="K1776" t="s">
        <v>23</v>
      </c>
      <c r="L1776" t="s">
        <v>252</v>
      </c>
      <c r="M1776" t="s">
        <v>253</v>
      </c>
      <c r="N1776" t="s">
        <v>35</v>
      </c>
      <c r="O1776" t="s">
        <v>26</v>
      </c>
      <c r="P1776" t="s">
        <v>27</v>
      </c>
      <c r="Q1776" t="s">
        <v>28</v>
      </c>
      <c r="R1776" t="s">
        <v>29</v>
      </c>
      <c r="S1776" t="s">
        <v>793</v>
      </c>
      <c r="T1776">
        <v>1014285873</v>
      </c>
      <c r="U1776" t="s">
        <v>3948</v>
      </c>
      <c r="V1776" t="s">
        <v>3937</v>
      </c>
      <c r="W1776" s="9">
        <f>IF(V1776="pregrado",31,
IF(V1776="posgrados",31,
IF(V1776="rEINTEGROS",7,
IF(V1776="BIT",90,
IF(V1776="OP GRADO - INGLÉS",17,"")))))</f>
        <v>31</v>
      </c>
      <c r="X1776" t="s">
        <v>3953</v>
      </c>
    </row>
    <row r="1777" spans="1:24" x14ac:dyDescent="0.3">
      <c r="A1777" s="4">
        <v>46094</v>
      </c>
      <c r="B1777">
        <v>20128472</v>
      </c>
      <c r="C1777" t="s">
        <v>19</v>
      </c>
      <c r="D1777">
        <v>172459</v>
      </c>
      <c r="E1777" t="s">
        <v>43</v>
      </c>
      <c r="F1777">
        <v>49772917</v>
      </c>
      <c r="G1777" t="s">
        <v>4127</v>
      </c>
      <c r="H1777">
        <v>100084449</v>
      </c>
      <c r="I1777">
        <v>202652</v>
      </c>
      <c r="J1777">
        <v>49772917</v>
      </c>
      <c r="K1777" t="s">
        <v>46</v>
      </c>
      <c r="L1777" t="s">
        <v>252</v>
      </c>
      <c r="M1777" t="s">
        <v>253</v>
      </c>
      <c r="N1777" t="s">
        <v>35</v>
      </c>
      <c r="O1777" t="s">
        <v>26</v>
      </c>
      <c r="P1777" t="s">
        <v>27</v>
      </c>
      <c r="Q1777" t="s">
        <v>28</v>
      </c>
      <c r="R1777" t="s">
        <v>29</v>
      </c>
      <c r="S1777" t="s">
        <v>793</v>
      </c>
      <c r="T1777">
        <f>_xlfn.XLOOKUP(X1777,Hoja2!D:D,Hoja2!A:A)</f>
        <v>52032666</v>
      </c>
      <c r="U1777" t="str">
        <f>_xlfn.XLOOKUP(X1777,Hoja2!D:D,Hoja2!B:B)</f>
        <v>IVONNE JINETH RODRIGUEZ ROJAS</v>
      </c>
      <c r="V1777" t="str">
        <f>_xlfn.XLOOKUP(X1777,Hoja2!D:D,Hoja2!C:C)</f>
        <v>POSGRADOS</v>
      </c>
      <c r="W1777" s="9">
        <f>IF(V1777="pregrado",31,
IF(V1777="posgrados",31,
IF(V1777="rEINTEGROS",7,
IF(V1777="BIT",90,
IF(V1777="OP GRADO - INGLÉS",17,"")))))</f>
        <v>31</v>
      </c>
      <c r="X1777" t="s">
        <v>3983</v>
      </c>
    </row>
    <row r="1778" spans="1:24" x14ac:dyDescent="0.3">
      <c r="A1778" s="4">
        <v>46121</v>
      </c>
      <c r="B1778">
        <v>20130453</v>
      </c>
      <c r="C1778" t="s">
        <v>19</v>
      </c>
      <c r="D1778">
        <v>172465</v>
      </c>
      <c r="E1778" t="s">
        <v>43</v>
      </c>
      <c r="F1778">
        <v>1133797053</v>
      </c>
      <c r="G1778" t="s">
        <v>4459</v>
      </c>
      <c r="H1778">
        <v>100197007</v>
      </c>
      <c r="I1778">
        <v>202652</v>
      </c>
      <c r="J1778">
        <v>1133797053</v>
      </c>
      <c r="K1778" t="s">
        <v>46</v>
      </c>
      <c r="L1778" t="s">
        <v>252</v>
      </c>
      <c r="M1778" t="s">
        <v>253</v>
      </c>
      <c r="N1778" t="s">
        <v>35</v>
      </c>
      <c r="O1778" t="s">
        <v>26</v>
      </c>
      <c r="P1778" t="s">
        <v>27</v>
      </c>
      <c r="Q1778" t="s">
        <v>28</v>
      </c>
      <c r="R1778" t="s">
        <v>29</v>
      </c>
      <c r="S1778" t="s">
        <v>793</v>
      </c>
      <c r="T1778">
        <f>_xlfn.XLOOKUP(X1778,Hoja2!D:D,Hoja2!A:A)</f>
        <v>1032451737</v>
      </c>
      <c r="U1778" t="str">
        <f>_xlfn.XLOOKUP(X1778,Hoja2!D:D,Hoja2!B:B)</f>
        <v>IVONNE JINETH RODRIGUEZ ROJAS</v>
      </c>
      <c r="V1778" t="str">
        <f>_xlfn.XLOOKUP(X1778,Hoja2!D:D,Hoja2!C:C)</f>
        <v>POSGRADOS</v>
      </c>
      <c r="W1778" s="9">
        <f>IF(V1778="pregrado",31,
IF(V1778="posgrados",31,
IF(V1778="rEINTEGROS",7,
IF(V1778="BIT",90,
IF(V1778="OP GRADO - INGLÉS",17,"")))))</f>
        <v>31</v>
      </c>
      <c r="X1778" t="s">
        <v>4033</v>
      </c>
    </row>
    <row r="1779" spans="1:24" x14ac:dyDescent="0.3">
      <c r="A1779" s="4">
        <v>46094</v>
      </c>
      <c r="B1779">
        <v>20128548</v>
      </c>
      <c r="C1779" t="s">
        <v>19</v>
      </c>
      <c r="D1779">
        <v>172482</v>
      </c>
      <c r="E1779" t="s">
        <v>43</v>
      </c>
      <c r="F1779">
        <v>1017267643</v>
      </c>
      <c r="G1779" t="s">
        <v>4136</v>
      </c>
      <c r="H1779">
        <v>100248651</v>
      </c>
      <c r="I1779">
        <v>202642</v>
      </c>
      <c r="J1779">
        <v>1017267643</v>
      </c>
      <c r="K1779" t="s">
        <v>23</v>
      </c>
      <c r="L1779" t="s">
        <v>160</v>
      </c>
      <c r="M1779" t="s">
        <v>47</v>
      </c>
      <c r="N1779" t="s">
        <v>35</v>
      </c>
      <c r="O1779" t="s">
        <v>26</v>
      </c>
      <c r="P1779" t="s">
        <v>27</v>
      </c>
      <c r="Q1779" t="s">
        <v>28</v>
      </c>
      <c r="R1779" t="s">
        <v>29</v>
      </c>
      <c r="S1779" t="s">
        <v>793</v>
      </c>
      <c r="T1779">
        <f>_xlfn.XLOOKUP(X1779,Hoja2!D:D,Hoja2!A:A)</f>
        <v>52759865</v>
      </c>
      <c r="U1779" t="str">
        <f>_xlfn.XLOOKUP(X1779,Hoja2!D:D,Hoja2!B:B)</f>
        <v>Heidy Lorena Prieto Ahumada</v>
      </c>
      <c r="V1779" t="str">
        <f>_xlfn.XLOOKUP(X1779,Hoja2!D:D,Hoja2!C:C)</f>
        <v>PREGRADO</v>
      </c>
      <c r="W1779" s="9">
        <f>IF(V1779="pregrado",31,
IF(V1779="posgrados",31,
IF(V1779="rEINTEGROS",7,
IF(V1779="BIT",90,
IF(V1779="OP GRADO - INGLÉS",17,"")))))</f>
        <v>31</v>
      </c>
      <c r="X1779" t="s">
        <v>4923</v>
      </c>
    </row>
    <row r="1780" spans="1:24" ht="15" x14ac:dyDescent="0.35">
      <c r="A1780" s="4">
        <v>46092.7421875</v>
      </c>
      <c r="B1780">
        <v>20128342</v>
      </c>
      <c r="C1780" s="6" t="s">
        <v>19</v>
      </c>
      <c r="D1780">
        <v>172844</v>
      </c>
      <c r="E1780" t="s">
        <v>43</v>
      </c>
      <c r="F1780">
        <v>1087107515</v>
      </c>
      <c r="G1780" t="s">
        <v>3901</v>
      </c>
      <c r="H1780">
        <v>100248675</v>
      </c>
      <c r="I1780">
        <v>202652</v>
      </c>
      <c r="J1780">
        <v>1087107515</v>
      </c>
      <c r="K1780" t="s">
        <v>23</v>
      </c>
      <c r="L1780" t="s">
        <v>252</v>
      </c>
      <c r="M1780" t="s">
        <v>253</v>
      </c>
      <c r="N1780" t="s">
        <v>35</v>
      </c>
      <c r="O1780" t="s">
        <v>26</v>
      </c>
      <c r="P1780" t="s">
        <v>27</v>
      </c>
      <c r="Q1780" t="s">
        <v>28</v>
      </c>
      <c r="R1780" t="s">
        <v>29</v>
      </c>
      <c r="S1780" t="s">
        <v>793</v>
      </c>
      <c r="T1780">
        <v>1033781417</v>
      </c>
      <c r="U1780" t="s">
        <v>3948</v>
      </c>
      <c r="V1780" t="s">
        <v>3937</v>
      </c>
      <c r="W1780" s="9">
        <f>IF(V1780="pregrado",31,
IF(V1780="posgrados",31,
IF(V1780="rEINTEGROS",7,
IF(V1780="BIT",90,
IF(V1780="OP GRADO - INGLÉS",17,"")))))</f>
        <v>31</v>
      </c>
      <c r="X1780" t="s">
        <v>4031</v>
      </c>
    </row>
    <row r="1781" spans="1:24" x14ac:dyDescent="0.3">
      <c r="A1781" s="4">
        <v>46100</v>
      </c>
      <c r="B1781">
        <v>20128975</v>
      </c>
      <c r="C1781" t="s">
        <v>19</v>
      </c>
      <c r="D1781">
        <v>172845</v>
      </c>
      <c r="E1781" t="s">
        <v>43</v>
      </c>
      <c r="F1781">
        <v>1117492958</v>
      </c>
      <c r="G1781" t="s">
        <v>4178</v>
      </c>
      <c r="H1781">
        <v>100248676</v>
      </c>
      <c r="I1781">
        <v>202652</v>
      </c>
      <c r="J1781">
        <v>1130655459</v>
      </c>
      <c r="K1781" t="s">
        <v>23</v>
      </c>
      <c r="L1781" t="s">
        <v>252</v>
      </c>
      <c r="M1781" t="s">
        <v>253</v>
      </c>
      <c r="N1781" t="s">
        <v>35</v>
      </c>
      <c r="O1781" t="s">
        <v>26</v>
      </c>
      <c r="P1781" t="s">
        <v>27</v>
      </c>
      <c r="Q1781" t="s">
        <v>28</v>
      </c>
      <c r="R1781" t="s">
        <v>29</v>
      </c>
      <c r="S1781" t="s">
        <v>793</v>
      </c>
      <c r="T1781">
        <f>_xlfn.XLOOKUP(X1781,Hoja2!D:D,Hoja2!A:A)</f>
        <v>1012355141</v>
      </c>
      <c r="U1781" t="str">
        <f>_xlfn.XLOOKUP(X1781,Hoja2!D:D,Hoja2!B:B)</f>
        <v>FABIAN CONCHA</v>
      </c>
      <c r="V1781" t="str">
        <f>_xlfn.XLOOKUP(X1781,Hoja2!D:D,Hoja2!C:C)</f>
        <v>POSGRADOS</v>
      </c>
      <c r="W1781" s="9">
        <f>IF(V1781="pregrado",31,
IF(V1781="posgrados",31,
IF(V1781="rEINTEGROS",7,
IF(V1781="BIT",90,
IF(V1781="OP GRADO - INGLÉS",17,"")))))</f>
        <v>31</v>
      </c>
      <c r="X1781" t="s">
        <v>4045</v>
      </c>
    </row>
    <row r="1782" spans="1:24" x14ac:dyDescent="0.3">
      <c r="A1782" s="4">
        <v>46106</v>
      </c>
      <c r="B1782">
        <v>20129345</v>
      </c>
      <c r="C1782" t="s">
        <v>19</v>
      </c>
      <c r="D1782">
        <v>172849</v>
      </c>
      <c r="E1782" t="s">
        <v>43</v>
      </c>
      <c r="F1782">
        <v>1085920303</v>
      </c>
      <c r="G1782" t="s">
        <v>4246</v>
      </c>
      <c r="H1782">
        <v>100234203</v>
      </c>
      <c r="I1782">
        <v>202652</v>
      </c>
      <c r="J1782">
        <v>1085920303</v>
      </c>
      <c r="K1782" t="s">
        <v>23</v>
      </c>
      <c r="L1782" t="s">
        <v>252</v>
      </c>
      <c r="M1782" t="s">
        <v>253</v>
      </c>
      <c r="N1782" t="s">
        <v>35</v>
      </c>
      <c r="O1782" t="s">
        <v>26</v>
      </c>
      <c r="P1782" t="s">
        <v>27</v>
      </c>
      <c r="Q1782" t="s">
        <v>28</v>
      </c>
      <c r="R1782" t="s">
        <v>29</v>
      </c>
      <c r="S1782" t="s">
        <v>793</v>
      </c>
      <c r="T1782">
        <f>_xlfn.XLOOKUP(X1782,Hoja2!D:D,Hoja2!A:A)</f>
        <v>1075542872</v>
      </c>
      <c r="U1782" t="str">
        <f>_xlfn.XLOOKUP(X1782,Hoja2!D:D,Hoja2!B:B)</f>
        <v>IVONNE JINETH RODRIGUEZ ROJAS</v>
      </c>
      <c r="V1782" t="str">
        <f>_xlfn.XLOOKUP(X1782,Hoja2!D:D,Hoja2!C:C)</f>
        <v>POSGRADOS</v>
      </c>
      <c r="W1782" s="9">
        <f>IF(V1782="pregrado",31,
IF(V1782="posgrados",31,
IF(V1782="rEINTEGROS",7,
IF(V1782="BIT",90,
IF(V1782="OP GRADO - INGLÉS",17,"")))))</f>
        <v>31</v>
      </c>
      <c r="X1782" t="s">
        <v>3974</v>
      </c>
    </row>
    <row r="1783" spans="1:24" ht="15" x14ac:dyDescent="0.35">
      <c r="A1783" s="4">
        <v>46093.650775462964</v>
      </c>
      <c r="B1783">
        <v>20128435</v>
      </c>
      <c r="C1783" s="6" t="s">
        <v>19</v>
      </c>
      <c r="D1783">
        <v>172855</v>
      </c>
      <c r="E1783" t="s">
        <v>43</v>
      </c>
      <c r="F1783">
        <v>1110544828</v>
      </c>
      <c r="G1783" t="s">
        <v>3911</v>
      </c>
      <c r="H1783">
        <v>100248525</v>
      </c>
      <c r="I1783">
        <v>202652</v>
      </c>
      <c r="J1783">
        <v>1110544828</v>
      </c>
      <c r="K1783" t="s">
        <v>23</v>
      </c>
      <c r="L1783" t="s">
        <v>252</v>
      </c>
      <c r="M1783" t="s">
        <v>253</v>
      </c>
      <c r="N1783" t="s">
        <v>35</v>
      </c>
      <c r="O1783" t="s">
        <v>26</v>
      </c>
      <c r="P1783" t="s">
        <v>27</v>
      </c>
      <c r="Q1783" t="s">
        <v>28</v>
      </c>
      <c r="R1783" t="s">
        <v>29</v>
      </c>
      <c r="S1783" t="s">
        <v>793</v>
      </c>
      <c r="T1783">
        <v>1031147887</v>
      </c>
      <c r="U1783" t="s">
        <v>3948</v>
      </c>
      <c r="V1783" t="s">
        <v>3937</v>
      </c>
      <c r="W1783" s="9">
        <f>IF(V1783="pregrado",31,
IF(V1783="posgrados",31,
IF(V1783="rEINTEGROS",7,
IF(V1783="BIT",90,
IF(V1783="OP GRADO - INGLÉS",17,"")))))</f>
        <v>31</v>
      </c>
      <c r="X1783" t="s">
        <v>3947</v>
      </c>
    </row>
    <row r="1784" spans="1:24" x14ac:dyDescent="0.3">
      <c r="A1784" s="4">
        <v>46110</v>
      </c>
      <c r="B1784">
        <v>20129696</v>
      </c>
      <c r="C1784" t="s">
        <v>19</v>
      </c>
      <c r="D1784">
        <v>172869</v>
      </c>
      <c r="E1784" t="s">
        <v>43</v>
      </c>
      <c r="F1784">
        <v>1003368644</v>
      </c>
      <c r="G1784" t="s">
        <v>4325</v>
      </c>
      <c r="H1784">
        <v>100203568</v>
      </c>
      <c r="I1784">
        <v>202652</v>
      </c>
      <c r="J1784">
        <v>1003368644</v>
      </c>
      <c r="K1784" t="s">
        <v>46</v>
      </c>
      <c r="L1784" t="s">
        <v>252</v>
      </c>
      <c r="M1784" t="s">
        <v>253</v>
      </c>
      <c r="N1784" t="s">
        <v>35</v>
      </c>
      <c r="O1784" t="s">
        <v>26</v>
      </c>
      <c r="P1784" t="s">
        <v>27</v>
      </c>
      <c r="Q1784" t="s">
        <v>28</v>
      </c>
      <c r="R1784" t="s">
        <v>29</v>
      </c>
      <c r="S1784" t="s">
        <v>793</v>
      </c>
      <c r="T1784">
        <f>_xlfn.XLOOKUP(X1784,Hoja2!D:D,Hoja2!A:A)</f>
        <v>1012389748</v>
      </c>
      <c r="U1784" t="str">
        <f>_xlfn.XLOOKUP(X1784,Hoja2!D:D,Hoja2!B:B)</f>
        <v>IVONNE JINETH RODRIGUEZ ROJAS</v>
      </c>
      <c r="V1784" t="str">
        <f>_xlfn.XLOOKUP(X1784,Hoja2!D:D,Hoja2!C:C)</f>
        <v>POSGRADOS</v>
      </c>
      <c r="W1784" s="9">
        <f>IF(V1784="pregrado",31,
IF(V1784="posgrados",31,
IF(V1784="rEINTEGROS",7,
IF(V1784="BIT",90,
IF(V1784="OP GRADO - INGLÉS",17,"")))))</f>
        <v>31</v>
      </c>
      <c r="X1784" t="s">
        <v>4065</v>
      </c>
    </row>
    <row r="1785" spans="1:24" x14ac:dyDescent="0.3">
      <c r="A1785" s="4">
        <v>46122</v>
      </c>
      <c r="B1785">
        <v>20130583</v>
      </c>
      <c r="C1785" t="s">
        <v>19</v>
      </c>
      <c r="D1785">
        <v>172874</v>
      </c>
      <c r="E1785" t="s">
        <v>43</v>
      </c>
      <c r="F1785">
        <v>1067406287</v>
      </c>
      <c r="G1785" t="s">
        <v>4484</v>
      </c>
      <c r="H1785">
        <v>100203607</v>
      </c>
      <c r="I1785">
        <v>202652</v>
      </c>
      <c r="J1785">
        <v>1067406287</v>
      </c>
      <c r="K1785" t="s">
        <v>46</v>
      </c>
      <c r="L1785" t="s">
        <v>252</v>
      </c>
      <c r="M1785" t="s">
        <v>253</v>
      </c>
      <c r="N1785" t="s">
        <v>35</v>
      </c>
      <c r="O1785" t="s">
        <v>26</v>
      </c>
      <c r="P1785" t="s">
        <v>27</v>
      </c>
      <c r="Q1785" t="s">
        <v>28</v>
      </c>
      <c r="R1785" t="s">
        <v>29</v>
      </c>
      <c r="S1785" t="s">
        <v>793</v>
      </c>
      <c r="T1785">
        <f>_xlfn.XLOOKUP(X1785,Hoja2!D:D,Hoja2!A:A)</f>
        <v>1012389748</v>
      </c>
      <c r="U1785" t="str">
        <f>_xlfn.XLOOKUP(X1785,Hoja2!D:D,Hoja2!B:B)</f>
        <v>IVONNE JINETH RODRIGUEZ ROJAS</v>
      </c>
      <c r="V1785" t="str">
        <f>_xlfn.XLOOKUP(X1785,Hoja2!D:D,Hoja2!C:C)</f>
        <v>POSGRADOS</v>
      </c>
      <c r="W1785" s="9">
        <f>IF(V1785="pregrado",31,
IF(V1785="posgrados",31,
IF(V1785="rEINTEGROS",7,
IF(V1785="BIT",90,
IF(V1785="OP GRADO - INGLÉS",17,"")))))</f>
        <v>31</v>
      </c>
      <c r="X1785" t="s">
        <v>4065</v>
      </c>
    </row>
    <row r="1786" spans="1:24" x14ac:dyDescent="0.3">
      <c r="A1786" s="4">
        <v>46112</v>
      </c>
      <c r="B1786">
        <v>20129871</v>
      </c>
      <c r="C1786" t="s">
        <v>19</v>
      </c>
      <c r="D1786">
        <v>172877</v>
      </c>
      <c r="E1786" t="s">
        <v>43</v>
      </c>
      <c r="F1786">
        <v>1043023682</v>
      </c>
      <c r="G1786" t="s">
        <v>4360</v>
      </c>
      <c r="H1786">
        <v>100125202</v>
      </c>
      <c r="I1786">
        <v>202652</v>
      </c>
      <c r="J1786">
        <v>1043023682</v>
      </c>
      <c r="K1786" t="s">
        <v>46</v>
      </c>
      <c r="L1786" t="s">
        <v>252</v>
      </c>
      <c r="M1786" t="s">
        <v>253</v>
      </c>
      <c r="N1786" t="s">
        <v>35</v>
      </c>
      <c r="O1786" t="s">
        <v>26</v>
      </c>
      <c r="P1786" t="s">
        <v>27</v>
      </c>
      <c r="Q1786" t="s">
        <v>28</v>
      </c>
      <c r="R1786" t="s">
        <v>29</v>
      </c>
      <c r="S1786" t="s">
        <v>793</v>
      </c>
      <c r="T1786">
        <f>_xlfn.XLOOKUP(X1786,Hoja2!D:D,Hoja2!A:A)</f>
        <v>1233513889</v>
      </c>
      <c r="U1786" t="str">
        <f>_xlfn.XLOOKUP(X1786,Hoja2!D:D,Hoja2!B:B)</f>
        <v>IVONNE JINETH RODRIGUEZ ROJAS</v>
      </c>
      <c r="V1786" t="str">
        <f>_xlfn.XLOOKUP(X1786,Hoja2!D:D,Hoja2!C:C)</f>
        <v>POSGRADOS</v>
      </c>
      <c r="W1786" s="9">
        <f>IF(V1786="pregrado",31,
IF(V1786="posgrados",31,
IF(V1786="rEINTEGROS",7,
IF(V1786="BIT",90,
IF(V1786="OP GRADO - INGLÉS",17,"")))))</f>
        <v>31</v>
      </c>
      <c r="X1786" t="s">
        <v>4035</v>
      </c>
    </row>
    <row r="1787" spans="1:24" x14ac:dyDescent="0.3">
      <c r="A1787" s="4">
        <v>46097</v>
      </c>
      <c r="B1787">
        <v>20128693</v>
      </c>
      <c r="C1787" t="s">
        <v>19</v>
      </c>
      <c r="D1787">
        <v>172888</v>
      </c>
      <c r="E1787" t="s">
        <v>43</v>
      </c>
      <c r="F1787">
        <v>1016037077</v>
      </c>
      <c r="G1787" t="s">
        <v>4150</v>
      </c>
      <c r="H1787">
        <v>100097522</v>
      </c>
      <c r="I1787">
        <v>202652</v>
      </c>
      <c r="J1787">
        <v>1016048122</v>
      </c>
      <c r="K1787" t="s">
        <v>46</v>
      </c>
      <c r="L1787" t="s">
        <v>252</v>
      </c>
      <c r="M1787" t="s">
        <v>253</v>
      </c>
      <c r="N1787" t="s">
        <v>35</v>
      </c>
      <c r="O1787" t="s">
        <v>26</v>
      </c>
      <c r="P1787" t="s">
        <v>27</v>
      </c>
      <c r="Q1787" t="s">
        <v>28</v>
      </c>
      <c r="R1787" t="s">
        <v>29</v>
      </c>
      <c r="S1787" t="s">
        <v>793</v>
      </c>
      <c r="T1787">
        <f>_xlfn.XLOOKUP(X1787,Hoja2!D:D,Hoja2!A:A)</f>
        <v>1033781417</v>
      </c>
      <c r="U1787" t="str">
        <f>_xlfn.XLOOKUP(X1787,Hoja2!D:D,Hoja2!B:B)</f>
        <v>IVONNE JINETH RODRIGUEZ ROJAS</v>
      </c>
      <c r="V1787" t="str">
        <f>_xlfn.XLOOKUP(X1787,Hoja2!D:D,Hoja2!C:C)</f>
        <v>POSGRADOS</v>
      </c>
      <c r="W1787" s="9">
        <f>IF(V1787="pregrado",31,
IF(V1787="posgrados",31,
IF(V1787="rEINTEGROS",7,
IF(V1787="BIT",90,
IF(V1787="OP GRADO - INGLÉS",17,"")))))</f>
        <v>31</v>
      </c>
      <c r="X1787" t="s">
        <v>4031</v>
      </c>
    </row>
    <row r="1788" spans="1:24" x14ac:dyDescent="0.3">
      <c r="A1788" s="4">
        <v>46100</v>
      </c>
      <c r="B1788">
        <v>20128989</v>
      </c>
      <c r="C1788" t="s">
        <v>19</v>
      </c>
      <c r="D1788">
        <v>172903</v>
      </c>
      <c r="E1788" t="s">
        <v>43</v>
      </c>
      <c r="F1788">
        <v>1116616727</v>
      </c>
      <c r="G1788" t="s">
        <v>4181</v>
      </c>
      <c r="H1788">
        <v>100248741</v>
      </c>
      <c r="I1788">
        <v>202652</v>
      </c>
      <c r="J1788">
        <v>1116616727</v>
      </c>
      <c r="K1788" t="s">
        <v>23</v>
      </c>
      <c r="L1788" t="s">
        <v>252</v>
      </c>
      <c r="M1788" t="s">
        <v>253</v>
      </c>
      <c r="N1788" t="s">
        <v>35</v>
      </c>
      <c r="O1788" t="s">
        <v>26</v>
      </c>
      <c r="P1788" t="s">
        <v>27</v>
      </c>
      <c r="Q1788" t="s">
        <v>28</v>
      </c>
      <c r="R1788" t="s">
        <v>29</v>
      </c>
      <c r="S1788" t="s">
        <v>793</v>
      </c>
      <c r="T1788">
        <f>_xlfn.XLOOKUP(X1788,Hoja2!D:D,Hoja2!A:A)</f>
        <v>1073673268</v>
      </c>
      <c r="U1788" t="str">
        <f>_xlfn.XLOOKUP(X1788,Hoja2!D:D,Hoja2!B:B)</f>
        <v>IVONNE JINETH RODRIGUEZ ROJAS</v>
      </c>
      <c r="V1788" t="str">
        <f>_xlfn.XLOOKUP(X1788,Hoja2!D:D,Hoja2!C:C)</f>
        <v>POSGRADOS</v>
      </c>
      <c r="W1788" s="9">
        <f>IF(V1788="pregrado",31,
IF(V1788="posgrados",31,
IF(V1788="rEINTEGROS",7,
IF(V1788="BIT",90,
IF(V1788="OP GRADO - INGLÉS",17,"")))))</f>
        <v>31</v>
      </c>
      <c r="X1788" t="s">
        <v>4080</v>
      </c>
    </row>
    <row r="1789" spans="1:24" x14ac:dyDescent="0.3">
      <c r="A1789" s="4">
        <v>46099</v>
      </c>
      <c r="B1789">
        <v>20128856</v>
      </c>
      <c r="C1789" t="s">
        <v>19</v>
      </c>
      <c r="D1789">
        <v>172910</v>
      </c>
      <c r="E1789" t="s">
        <v>43</v>
      </c>
      <c r="F1789">
        <v>1116504527</v>
      </c>
      <c r="G1789" t="s">
        <v>4164</v>
      </c>
      <c r="H1789">
        <v>100248753</v>
      </c>
      <c r="I1789">
        <v>202652</v>
      </c>
      <c r="J1789">
        <v>1116504527</v>
      </c>
      <c r="K1789" t="s">
        <v>23</v>
      </c>
      <c r="L1789" t="s">
        <v>252</v>
      </c>
      <c r="M1789" t="s">
        <v>253</v>
      </c>
      <c r="N1789" t="s">
        <v>35</v>
      </c>
      <c r="O1789" t="s">
        <v>26</v>
      </c>
      <c r="P1789" t="s">
        <v>27</v>
      </c>
      <c r="Q1789" t="s">
        <v>28</v>
      </c>
      <c r="R1789" t="s">
        <v>29</v>
      </c>
      <c r="S1789" t="s">
        <v>793</v>
      </c>
      <c r="T1789">
        <f>_xlfn.XLOOKUP(X1789,Hoja2!D:D,Hoja2!A:A)</f>
        <v>1000120140</v>
      </c>
      <c r="U1789" t="str">
        <f>_xlfn.XLOOKUP(X1789,Hoja2!D:D,Hoja2!B:B)</f>
        <v>FABIAN CONCHA</v>
      </c>
      <c r="V1789" t="str">
        <f>_xlfn.XLOOKUP(X1789,Hoja2!D:D,Hoja2!C:C)</f>
        <v>POSGRADOS</v>
      </c>
      <c r="W1789" s="9">
        <f>IF(V1789="pregrado",31,
IF(V1789="posgrados",31,
IF(V1789="rEINTEGROS",7,
IF(V1789="BIT",90,
IF(V1789="OP GRADO - INGLÉS",17,"")))))</f>
        <v>31</v>
      </c>
      <c r="X1789" t="s">
        <v>3935</v>
      </c>
    </row>
    <row r="1790" spans="1:24" ht="15" x14ac:dyDescent="0.35">
      <c r="A1790" s="4">
        <v>46094.511562500003</v>
      </c>
      <c r="B1790">
        <v>20128504</v>
      </c>
      <c r="C1790" s="6" t="s">
        <v>19</v>
      </c>
      <c r="D1790">
        <v>172955</v>
      </c>
      <c r="E1790" t="s">
        <v>43</v>
      </c>
      <c r="F1790">
        <v>1079092557</v>
      </c>
      <c r="G1790" t="s">
        <v>3916</v>
      </c>
      <c r="H1790">
        <v>100248774</v>
      </c>
      <c r="I1790">
        <v>202642</v>
      </c>
      <c r="J1790">
        <v>1079092557</v>
      </c>
      <c r="K1790" t="s">
        <v>23</v>
      </c>
      <c r="L1790" t="s">
        <v>279</v>
      </c>
      <c r="M1790" t="s">
        <v>47</v>
      </c>
      <c r="N1790" t="s">
        <v>35</v>
      </c>
      <c r="O1790" t="s">
        <v>26</v>
      </c>
      <c r="P1790" t="s">
        <v>27</v>
      </c>
      <c r="Q1790" t="s">
        <v>28</v>
      </c>
      <c r="R1790" t="s">
        <v>29</v>
      </c>
      <c r="S1790" t="s">
        <v>793</v>
      </c>
      <c r="T1790">
        <v>1070973852</v>
      </c>
      <c r="U1790" t="s">
        <v>3936</v>
      </c>
      <c r="V1790" t="s">
        <v>3937</v>
      </c>
      <c r="W1790" s="9">
        <f>IF(V1790="pregrado",31,
IF(V1790="posgrados",31,
IF(V1790="rEINTEGROS",7,
IF(V1790="BIT",90,
IF(V1790="OP GRADO - INGLÉS",17,"")))))</f>
        <v>31</v>
      </c>
      <c r="X1790" t="s">
        <v>3957</v>
      </c>
    </row>
    <row r="1791" spans="1:24" x14ac:dyDescent="0.3">
      <c r="A1791" s="4">
        <v>46095</v>
      </c>
      <c r="B1791">
        <v>20128587</v>
      </c>
      <c r="C1791" t="s">
        <v>19</v>
      </c>
      <c r="D1791">
        <v>172959</v>
      </c>
      <c r="E1791" t="s">
        <v>43</v>
      </c>
      <c r="F1791">
        <v>39753638</v>
      </c>
      <c r="G1791" t="s">
        <v>4140</v>
      </c>
      <c r="H1791">
        <v>100248781</v>
      </c>
      <c r="I1791">
        <v>202652</v>
      </c>
      <c r="J1791">
        <v>1031171903</v>
      </c>
      <c r="K1791" t="s">
        <v>23</v>
      </c>
      <c r="L1791" t="s">
        <v>252</v>
      </c>
      <c r="M1791" t="s">
        <v>253</v>
      </c>
      <c r="N1791" t="s">
        <v>35</v>
      </c>
      <c r="O1791" t="s">
        <v>26</v>
      </c>
      <c r="P1791" t="s">
        <v>27</v>
      </c>
      <c r="Q1791" t="s">
        <v>28</v>
      </c>
      <c r="R1791" t="s">
        <v>29</v>
      </c>
      <c r="S1791" t="s">
        <v>793</v>
      </c>
      <c r="T1791">
        <f>_xlfn.XLOOKUP(X1791,Hoja2!D:D,Hoja2!A:A)</f>
        <v>1073673268</v>
      </c>
      <c r="U1791" t="str">
        <f>_xlfn.XLOOKUP(X1791,Hoja2!D:D,Hoja2!B:B)</f>
        <v>IVONNE JINETH RODRIGUEZ ROJAS</v>
      </c>
      <c r="V1791" t="str">
        <f>_xlfn.XLOOKUP(X1791,Hoja2!D:D,Hoja2!C:C)</f>
        <v>POSGRADOS</v>
      </c>
      <c r="W1791" s="9">
        <f>IF(V1791="pregrado",31,
IF(V1791="posgrados",31,
IF(V1791="rEINTEGROS",7,
IF(V1791="BIT",90,
IF(V1791="OP GRADO - INGLÉS",17,"")))))</f>
        <v>31</v>
      </c>
      <c r="X1791" t="s">
        <v>4080</v>
      </c>
    </row>
    <row r="1792" spans="1:24" x14ac:dyDescent="0.3">
      <c r="A1792" s="4">
        <v>46105</v>
      </c>
      <c r="B1792">
        <v>20129238</v>
      </c>
      <c r="C1792" t="s">
        <v>19</v>
      </c>
      <c r="D1792">
        <v>172961</v>
      </c>
      <c r="E1792" t="s">
        <v>43</v>
      </c>
      <c r="F1792">
        <v>26138700</v>
      </c>
      <c r="G1792" t="s">
        <v>4220</v>
      </c>
      <c r="H1792">
        <v>100248756</v>
      </c>
      <c r="I1792">
        <v>202642</v>
      </c>
      <c r="J1792">
        <v>1070823797</v>
      </c>
      <c r="K1792" t="s">
        <v>23</v>
      </c>
      <c r="L1792" t="s">
        <v>4163</v>
      </c>
      <c r="M1792" t="s">
        <v>47</v>
      </c>
      <c r="N1792" t="s">
        <v>35</v>
      </c>
      <c r="O1792" t="s">
        <v>26</v>
      </c>
      <c r="P1792" t="s">
        <v>27</v>
      </c>
      <c r="Q1792" t="s">
        <v>28</v>
      </c>
      <c r="R1792" t="s">
        <v>29</v>
      </c>
      <c r="S1792" t="s">
        <v>793</v>
      </c>
      <c r="T1792">
        <f>_xlfn.XLOOKUP(X1792,Hoja2!D:D,Hoja2!A:A)</f>
        <v>1033784244</v>
      </c>
      <c r="U1792" t="str">
        <f>_xlfn.XLOOKUP(X1792,Hoja2!D:D,Hoja2!B:B)</f>
        <v>IVONNE JINETH RODRIGUEZ ROJAS</v>
      </c>
      <c r="V1792" t="str">
        <f>_xlfn.XLOOKUP(X1792,Hoja2!D:D,Hoja2!C:C)</f>
        <v>POSGRADOS</v>
      </c>
      <c r="W1792" s="9">
        <f>IF(V1792="pregrado",31,
IF(V1792="posgrados",31,
IF(V1792="rEINTEGROS",7,
IF(V1792="BIT",90,
IF(V1792="OP GRADO - INGLÉS",17,"")))))</f>
        <v>31</v>
      </c>
      <c r="X1792" t="s">
        <v>4067</v>
      </c>
    </row>
    <row r="1793" spans="1:24" x14ac:dyDescent="0.3">
      <c r="A1793" s="4">
        <v>46112</v>
      </c>
      <c r="B1793">
        <v>20129867</v>
      </c>
      <c r="C1793" t="s">
        <v>19</v>
      </c>
      <c r="D1793">
        <v>172964</v>
      </c>
      <c r="E1793" t="s">
        <v>43</v>
      </c>
      <c r="F1793">
        <v>37580235</v>
      </c>
      <c r="G1793" t="s">
        <v>4359</v>
      </c>
      <c r="H1793">
        <v>100022734</v>
      </c>
      <c r="I1793">
        <v>202652</v>
      </c>
      <c r="J1793">
        <v>37580235</v>
      </c>
      <c r="K1793" t="s">
        <v>23</v>
      </c>
      <c r="L1793" t="s">
        <v>252</v>
      </c>
      <c r="M1793" t="s">
        <v>253</v>
      </c>
      <c r="N1793" t="s">
        <v>35</v>
      </c>
      <c r="O1793" t="s">
        <v>26</v>
      </c>
      <c r="P1793" t="s">
        <v>27</v>
      </c>
      <c r="Q1793" t="s">
        <v>28</v>
      </c>
      <c r="R1793" t="s">
        <v>29</v>
      </c>
      <c r="S1793" t="s">
        <v>793</v>
      </c>
      <c r="T1793">
        <f>_xlfn.XLOOKUP(X1793,Hoja2!D:D,Hoja2!A:A)</f>
        <v>1033793185</v>
      </c>
      <c r="U1793" t="str">
        <f>_xlfn.XLOOKUP(X1793,Hoja2!D:D,Hoja2!B:B)</f>
        <v>IVONNE JINETH RODRIGUEZ ROJAS</v>
      </c>
      <c r="V1793" t="str">
        <f>_xlfn.XLOOKUP(X1793,Hoja2!D:D,Hoja2!C:C)</f>
        <v>POSGRADOS</v>
      </c>
      <c r="W1793" s="9">
        <f>IF(V1793="pregrado",31,
IF(V1793="posgrados",31,
IF(V1793="rEINTEGROS",7,
IF(V1793="BIT",90,
IF(V1793="OP GRADO - INGLÉS",17,"")))))</f>
        <v>31</v>
      </c>
      <c r="X1793" t="s">
        <v>4082</v>
      </c>
    </row>
    <row r="1794" spans="1:24" x14ac:dyDescent="0.3">
      <c r="A1794" s="4">
        <v>46099</v>
      </c>
      <c r="B1794">
        <v>20128943</v>
      </c>
      <c r="C1794" t="s">
        <v>19</v>
      </c>
      <c r="D1794">
        <v>172965</v>
      </c>
      <c r="E1794" t="s">
        <v>43</v>
      </c>
      <c r="F1794">
        <v>1082958637</v>
      </c>
      <c r="G1794" t="s">
        <v>4173</v>
      </c>
      <c r="H1794">
        <v>100248790</v>
      </c>
      <c r="I1794">
        <v>202652</v>
      </c>
      <c r="J1794">
        <v>1082958637</v>
      </c>
      <c r="K1794" t="s">
        <v>23</v>
      </c>
      <c r="L1794" t="s">
        <v>252</v>
      </c>
      <c r="M1794" t="s">
        <v>253</v>
      </c>
      <c r="N1794" t="s">
        <v>35</v>
      </c>
      <c r="O1794" t="s">
        <v>26</v>
      </c>
      <c r="P1794" t="s">
        <v>27</v>
      </c>
      <c r="Q1794" t="s">
        <v>28</v>
      </c>
      <c r="R1794" t="s">
        <v>29</v>
      </c>
      <c r="S1794" t="s">
        <v>793</v>
      </c>
      <c r="T1794">
        <f>_xlfn.XLOOKUP(X1794,Hoja2!D:D,Hoja2!A:A)</f>
        <v>1015401969</v>
      </c>
      <c r="U1794" t="str">
        <f>_xlfn.XLOOKUP(X1794,Hoja2!D:D,Hoja2!B:B)</f>
        <v>FABIAN CONCHA</v>
      </c>
      <c r="V1794" t="str">
        <f>_xlfn.XLOOKUP(X1794,Hoja2!D:D,Hoja2!C:C)</f>
        <v>POSGRADOS</v>
      </c>
      <c r="W1794" s="9">
        <f>IF(V1794="pregrado",31,
IF(V1794="posgrados",31,
IF(V1794="rEINTEGROS",7,
IF(V1794="BIT",90,
IF(V1794="OP GRADO - INGLÉS",17,"")))))</f>
        <v>31</v>
      </c>
      <c r="X1794" t="s">
        <v>3945</v>
      </c>
    </row>
    <row r="1795" spans="1:24" x14ac:dyDescent="0.3">
      <c r="A1795" s="4">
        <v>46102</v>
      </c>
      <c r="B1795">
        <v>20129191</v>
      </c>
      <c r="C1795" t="s">
        <v>19</v>
      </c>
      <c r="D1795">
        <v>172967</v>
      </c>
      <c r="E1795" t="s">
        <v>43</v>
      </c>
      <c r="F1795">
        <v>1192924414</v>
      </c>
      <c r="G1795" t="s">
        <v>4210</v>
      </c>
      <c r="H1795">
        <v>100245870</v>
      </c>
      <c r="I1795">
        <v>202652</v>
      </c>
      <c r="J1795">
        <v>1192924414</v>
      </c>
      <c r="K1795" t="s">
        <v>23</v>
      </c>
      <c r="L1795" t="s">
        <v>252</v>
      </c>
      <c r="M1795" t="s">
        <v>253</v>
      </c>
      <c r="N1795" t="s">
        <v>35</v>
      </c>
      <c r="O1795" t="s">
        <v>26</v>
      </c>
      <c r="P1795" t="s">
        <v>27</v>
      </c>
      <c r="Q1795" t="s">
        <v>28</v>
      </c>
      <c r="R1795" t="s">
        <v>29</v>
      </c>
      <c r="S1795" t="s">
        <v>793</v>
      </c>
      <c r="T1795">
        <f>_xlfn.XLOOKUP(X1795,Hoja2!D:D,Hoja2!A:A)</f>
        <v>1000120140</v>
      </c>
      <c r="U1795" t="str">
        <f>_xlfn.XLOOKUP(X1795,Hoja2!D:D,Hoja2!B:B)</f>
        <v>FABIAN CONCHA</v>
      </c>
      <c r="V1795" t="str">
        <f>_xlfn.XLOOKUP(X1795,Hoja2!D:D,Hoja2!C:C)</f>
        <v>POSGRADOS</v>
      </c>
      <c r="W1795" s="9">
        <f>IF(V1795="pregrado",31,
IF(V1795="posgrados",31,
IF(V1795="rEINTEGROS",7,
IF(V1795="BIT",90,
IF(V1795="OP GRADO - INGLÉS",17,"")))))</f>
        <v>31</v>
      </c>
      <c r="X1795" t="s">
        <v>3935</v>
      </c>
    </row>
    <row r="1796" spans="1:24" x14ac:dyDescent="0.3">
      <c r="A1796" s="4">
        <v>46097</v>
      </c>
      <c r="B1796">
        <v>20128667</v>
      </c>
      <c r="C1796" t="s">
        <v>19</v>
      </c>
      <c r="D1796">
        <v>172986</v>
      </c>
      <c r="E1796" t="s">
        <v>43</v>
      </c>
      <c r="F1796">
        <v>1003177560</v>
      </c>
      <c r="G1796" t="s">
        <v>4147</v>
      </c>
      <c r="H1796">
        <v>100248824</v>
      </c>
      <c r="I1796">
        <v>202652</v>
      </c>
      <c r="J1796">
        <v>1003177560</v>
      </c>
      <c r="K1796" t="s">
        <v>23</v>
      </c>
      <c r="L1796" t="s">
        <v>252</v>
      </c>
      <c r="M1796" t="s">
        <v>253</v>
      </c>
      <c r="N1796" t="s">
        <v>25</v>
      </c>
      <c r="O1796" t="s">
        <v>26</v>
      </c>
      <c r="P1796" t="s">
        <v>27</v>
      </c>
      <c r="Q1796" t="s">
        <v>28</v>
      </c>
      <c r="R1796" t="s">
        <v>29</v>
      </c>
      <c r="S1796" t="s">
        <v>793</v>
      </c>
      <c r="T1796">
        <f>_xlfn.XLOOKUP(X1796,Hoja2!D:D,Hoja2!A:A)</f>
        <v>1000120140</v>
      </c>
      <c r="U1796" t="str">
        <f>_xlfn.XLOOKUP(X1796,Hoja2!D:D,Hoja2!B:B)</f>
        <v>FABIAN CONCHA</v>
      </c>
      <c r="V1796" t="str">
        <f>_xlfn.XLOOKUP(X1796,Hoja2!D:D,Hoja2!C:C)</f>
        <v>POSGRADOS</v>
      </c>
      <c r="W1796" s="9">
        <f>IF(V1796="pregrado",31,
IF(V1796="posgrados",31,
IF(V1796="rEINTEGROS",7,
IF(V1796="BIT",90,
IF(V1796="OP GRADO - INGLÉS",17,"")))))</f>
        <v>31</v>
      </c>
      <c r="X1796" t="s">
        <v>3935</v>
      </c>
    </row>
    <row r="1797" spans="1:24" x14ac:dyDescent="0.3">
      <c r="A1797" s="4">
        <v>46098</v>
      </c>
      <c r="B1797">
        <v>20128827</v>
      </c>
      <c r="C1797" t="s">
        <v>19</v>
      </c>
      <c r="D1797">
        <v>172993</v>
      </c>
      <c r="E1797" t="s">
        <v>43</v>
      </c>
      <c r="F1797">
        <v>1122128089</v>
      </c>
      <c r="G1797" t="s">
        <v>4161</v>
      </c>
      <c r="H1797">
        <v>100248833</v>
      </c>
      <c r="I1797">
        <v>202652</v>
      </c>
      <c r="J1797">
        <v>1122128089</v>
      </c>
      <c r="K1797" t="s">
        <v>23</v>
      </c>
      <c r="L1797" t="s">
        <v>252</v>
      </c>
      <c r="M1797" t="s">
        <v>253</v>
      </c>
      <c r="N1797" t="s">
        <v>35</v>
      </c>
      <c r="O1797" t="s">
        <v>26</v>
      </c>
      <c r="P1797" t="s">
        <v>27</v>
      </c>
      <c r="Q1797" t="s">
        <v>28</v>
      </c>
      <c r="R1797" t="s">
        <v>29</v>
      </c>
      <c r="S1797" t="s">
        <v>793</v>
      </c>
      <c r="T1797">
        <f>_xlfn.XLOOKUP(X1797,Hoja2!D:D,Hoja2!A:A)</f>
        <v>1075542872</v>
      </c>
      <c r="U1797" t="str">
        <f>_xlfn.XLOOKUP(X1797,Hoja2!D:D,Hoja2!B:B)</f>
        <v>IVONNE JINETH RODRIGUEZ ROJAS</v>
      </c>
      <c r="V1797" t="str">
        <f>_xlfn.XLOOKUP(X1797,Hoja2!D:D,Hoja2!C:C)</f>
        <v>POSGRADOS</v>
      </c>
      <c r="W1797" s="9">
        <f>IF(V1797="pregrado",31,
IF(V1797="posgrados",31,
IF(V1797="rEINTEGROS",7,
IF(V1797="BIT",90,
IF(V1797="OP GRADO - INGLÉS",17,"")))))</f>
        <v>31</v>
      </c>
      <c r="X1797" t="s">
        <v>3974</v>
      </c>
    </row>
    <row r="1798" spans="1:24" x14ac:dyDescent="0.3">
      <c r="A1798" s="4">
        <v>46111</v>
      </c>
      <c r="B1798">
        <v>20129785</v>
      </c>
      <c r="C1798" t="s">
        <v>19</v>
      </c>
      <c r="D1798">
        <v>173008</v>
      </c>
      <c r="E1798" t="s">
        <v>43</v>
      </c>
      <c r="F1798">
        <v>1047507971</v>
      </c>
      <c r="G1798" t="s">
        <v>4338</v>
      </c>
      <c r="H1798">
        <v>100248843</v>
      </c>
      <c r="I1798">
        <v>202652</v>
      </c>
      <c r="J1798">
        <v>1047507971</v>
      </c>
      <c r="K1798" t="s">
        <v>23</v>
      </c>
      <c r="L1798" t="s">
        <v>252</v>
      </c>
      <c r="M1798" t="s">
        <v>253</v>
      </c>
      <c r="N1798" t="s">
        <v>35</v>
      </c>
      <c r="O1798" t="s">
        <v>26</v>
      </c>
      <c r="P1798" t="s">
        <v>27</v>
      </c>
      <c r="Q1798" t="s">
        <v>28</v>
      </c>
      <c r="R1798" t="s">
        <v>29</v>
      </c>
      <c r="S1798" t="s">
        <v>793</v>
      </c>
      <c r="T1798">
        <f>_xlfn.XLOOKUP(X1798,Hoja2!D:D,Hoja2!A:A)</f>
        <v>1015401969</v>
      </c>
      <c r="U1798" t="str">
        <f>_xlfn.XLOOKUP(X1798,Hoja2!D:D,Hoja2!B:B)</f>
        <v>FABIAN CONCHA</v>
      </c>
      <c r="V1798" t="str">
        <f>_xlfn.XLOOKUP(X1798,Hoja2!D:D,Hoja2!C:C)</f>
        <v>POSGRADOS</v>
      </c>
      <c r="W1798" s="9">
        <f>IF(V1798="pregrado",31,
IF(V1798="posgrados",31,
IF(V1798="rEINTEGROS",7,
IF(V1798="BIT",90,
IF(V1798="OP GRADO - INGLÉS",17,"")))))</f>
        <v>31</v>
      </c>
      <c r="X1798" t="s">
        <v>3945</v>
      </c>
    </row>
    <row r="1799" spans="1:24" x14ac:dyDescent="0.3">
      <c r="A1799" s="4">
        <v>46098</v>
      </c>
      <c r="B1799">
        <v>20128758</v>
      </c>
      <c r="C1799" t="s">
        <v>19</v>
      </c>
      <c r="D1799">
        <v>173025</v>
      </c>
      <c r="E1799" t="s">
        <v>43</v>
      </c>
      <c r="F1799">
        <v>1002034862</v>
      </c>
      <c r="G1799" t="s">
        <v>4154</v>
      </c>
      <c r="H1799">
        <v>100248861</v>
      </c>
      <c r="I1799">
        <v>202652</v>
      </c>
      <c r="J1799">
        <v>1002034862</v>
      </c>
      <c r="K1799" t="s">
        <v>23</v>
      </c>
      <c r="L1799" t="s">
        <v>252</v>
      </c>
      <c r="M1799" t="s">
        <v>253</v>
      </c>
      <c r="N1799">
        <v>0</v>
      </c>
      <c r="O1799" t="s">
        <v>26</v>
      </c>
      <c r="P1799" t="s">
        <v>27</v>
      </c>
      <c r="Q1799" t="s">
        <v>28</v>
      </c>
      <c r="R1799" t="s">
        <v>29</v>
      </c>
      <c r="S1799" t="s">
        <v>793</v>
      </c>
      <c r="T1799">
        <f>_xlfn.XLOOKUP(X1799,Hoja2!D:D,Hoja2!A:A)</f>
        <v>1026262709</v>
      </c>
      <c r="U1799" t="str">
        <f>_xlfn.XLOOKUP(X1799,Hoja2!D:D,Hoja2!B:B)</f>
        <v>FABIAN CONCHA</v>
      </c>
      <c r="V1799" t="str">
        <f>_xlfn.XLOOKUP(X1799,Hoja2!D:D,Hoja2!C:C)</f>
        <v>POSGRADOS</v>
      </c>
      <c r="W1799" s="9">
        <f>IF(V1799="pregrado",31,
IF(V1799="posgrados",31,
IF(V1799="rEINTEGROS",7,
IF(V1799="BIT",90,
IF(V1799="OP GRADO - INGLÉS",17,"")))))</f>
        <v>31</v>
      </c>
      <c r="X1799" t="s">
        <v>4037</v>
      </c>
    </row>
    <row r="1800" spans="1:24" x14ac:dyDescent="0.3">
      <c r="A1800" s="4">
        <v>46097</v>
      </c>
      <c r="B1800">
        <v>20128653</v>
      </c>
      <c r="C1800" t="s">
        <v>19</v>
      </c>
      <c r="D1800">
        <v>173036</v>
      </c>
      <c r="E1800" t="s">
        <v>43</v>
      </c>
      <c r="F1800">
        <v>1007731808</v>
      </c>
      <c r="G1800" t="s">
        <v>4144</v>
      </c>
      <c r="H1800">
        <v>100248873</v>
      </c>
      <c r="I1800">
        <v>202642</v>
      </c>
      <c r="J1800">
        <v>1007731808</v>
      </c>
      <c r="K1800" t="s">
        <v>23</v>
      </c>
      <c r="L1800" t="s">
        <v>294</v>
      </c>
      <c r="M1800" t="s">
        <v>47</v>
      </c>
      <c r="N1800" t="s">
        <v>35</v>
      </c>
      <c r="O1800" t="s">
        <v>26</v>
      </c>
      <c r="P1800" t="s">
        <v>27</v>
      </c>
      <c r="Q1800" t="s">
        <v>28</v>
      </c>
      <c r="R1800" t="s">
        <v>29</v>
      </c>
      <c r="S1800" t="s">
        <v>793</v>
      </c>
      <c r="T1800">
        <f>_xlfn.XLOOKUP(X1800,Hoja2!D:D,Hoja2!A:A)</f>
        <v>52032666</v>
      </c>
      <c r="U1800" t="str">
        <f>_xlfn.XLOOKUP(X1800,Hoja2!D:D,Hoja2!B:B)</f>
        <v>IVONNE JINETH RODRIGUEZ ROJAS</v>
      </c>
      <c r="V1800" t="str">
        <f>_xlfn.XLOOKUP(X1800,Hoja2!D:D,Hoja2!C:C)</f>
        <v>POSGRADOS</v>
      </c>
      <c r="W1800" s="9">
        <f>IF(V1800="pregrado",31,
IF(V1800="posgrados",31,
IF(V1800="rEINTEGROS",7,
IF(V1800="BIT",90,
IF(V1800="OP GRADO - INGLÉS",17,"")))))</f>
        <v>31</v>
      </c>
      <c r="X1800" t="s">
        <v>3983</v>
      </c>
    </row>
    <row r="1801" spans="1:24" ht="15" x14ac:dyDescent="0.35">
      <c r="A1801" s="4">
        <v>46097.595717592594</v>
      </c>
      <c r="B1801">
        <v>20128650</v>
      </c>
      <c r="C1801" s="6" t="s">
        <v>19</v>
      </c>
      <c r="D1801">
        <v>173052</v>
      </c>
      <c r="E1801" t="s">
        <v>43</v>
      </c>
      <c r="F1801">
        <v>1093735799</v>
      </c>
      <c r="G1801" t="s">
        <v>3924</v>
      </c>
      <c r="H1801">
        <v>100248902</v>
      </c>
      <c r="I1801">
        <v>202652</v>
      </c>
      <c r="J1801">
        <v>1093735799</v>
      </c>
      <c r="K1801" t="s">
        <v>23</v>
      </c>
      <c r="L1801" t="s">
        <v>252</v>
      </c>
      <c r="M1801" t="s">
        <v>253</v>
      </c>
      <c r="N1801" t="s">
        <v>35</v>
      </c>
      <c r="O1801" t="s">
        <v>26</v>
      </c>
      <c r="P1801" t="s">
        <v>27</v>
      </c>
      <c r="Q1801" t="s">
        <v>28</v>
      </c>
      <c r="R1801" t="s">
        <v>29</v>
      </c>
      <c r="S1801" t="s">
        <v>793</v>
      </c>
      <c r="T1801">
        <v>1073673268</v>
      </c>
      <c r="U1801" t="s">
        <v>3948</v>
      </c>
      <c r="V1801" t="s">
        <v>3937</v>
      </c>
      <c r="W1801" s="9">
        <f>IF(V1801="pregrado",31,
IF(V1801="posgrados",31,
IF(V1801="rEINTEGROS",7,
IF(V1801="BIT",90,
IF(V1801="OP GRADO - INGLÉS",17,"")))))</f>
        <v>31</v>
      </c>
      <c r="X1801" t="s">
        <v>4080</v>
      </c>
    </row>
    <row r="1802" spans="1:24" x14ac:dyDescent="0.3">
      <c r="A1802" s="4">
        <v>46098</v>
      </c>
      <c r="B1802">
        <v>20128782</v>
      </c>
      <c r="C1802" t="s">
        <v>19</v>
      </c>
      <c r="D1802">
        <v>173053</v>
      </c>
      <c r="E1802" t="s">
        <v>43</v>
      </c>
      <c r="F1802">
        <v>17644298</v>
      </c>
      <c r="G1802" t="s">
        <v>4155</v>
      </c>
      <c r="H1802">
        <v>100248903</v>
      </c>
      <c r="I1802">
        <v>202652</v>
      </c>
      <c r="J1802">
        <v>1117529853</v>
      </c>
      <c r="K1802" t="s">
        <v>23</v>
      </c>
      <c r="L1802" t="s">
        <v>252</v>
      </c>
      <c r="M1802" t="s">
        <v>253</v>
      </c>
      <c r="N1802" t="s">
        <v>35</v>
      </c>
      <c r="O1802" t="s">
        <v>26</v>
      </c>
      <c r="P1802" t="s">
        <v>27</v>
      </c>
      <c r="Q1802" t="s">
        <v>28</v>
      </c>
      <c r="R1802" t="s">
        <v>29</v>
      </c>
      <c r="S1802" t="s">
        <v>793</v>
      </c>
      <c r="T1802">
        <f>_xlfn.XLOOKUP(X1802,Hoja2!D:D,Hoja2!A:A)</f>
        <v>1140420282</v>
      </c>
      <c r="U1802" t="str">
        <f>_xlfn.XLOOKUP(X1802,Hoja2!D:D,Hoja2!B:B)</f>
        <v>IVONNE JINETH RODRIGUEZ ROJAS</v>
      </c>
      <c r="V1802" t="str">
        <f>_xlfn.XLOOKUP(X1802,Hoja2!D:D,Hoja2!C:C)</f>
        <v>POSGRADOS</v>
      </c>
      <c r="W1802" s="9">
        <f>IF(V1802="pregrado",31,
IF(V1802="posgrados",31,
IF(V1802="rEINTEGROS",7,
IF(V1802="BIT",90,
IF(V1802="OP GRADO - INGLÉS",17,"")))))</f>
        <v>31</v>
      </c>
      <c r="X1802" t="s">
        <v>3972</v>
      </c>
    </row>
    <row r="1803" spans="1:24" x14ac:dyDescent="0.3">
      <c r="A1803" s="4">
        <v>46107</v>
      </c>
      <c r="B1803">
        <v>20129497</v>
      </c>
      <c r="C1803" t="s">
        <v>19</v>
      </c>
      <c r="D1803">
        <v>173062</v>
      </c>
      <c r="E1803" t="s">
        <v>43</v>
      </c>
      <c r="F1803">
        <v>1050718128</v>
      </c>
      <c r="G1803" t="s">
        <v>4279</v>
      </c>
      <c r="H1803">
        <v>100248922</v>
      </c>
      <c r="I1803">
        <v>202652</v>
      </c>
      <c r="J1803">
        <v>1050718128</v>
      </c>
      <c r="K1803" t="s">
        <v>23</v>
      </c>
      <c r="L1803" t="s">
        <v>252</v>
      </c>
      <c r="M1803" t="s">
        <v>253</v>
      </c>
      <c r="N1803" t="s">
        <v>35</v>
      </c>
      <c r="O1803" t="s">
        <v>26</v>
      </c>
      <c r="P1803" t="s">
        <v>27</v>
      </c>
      <c r="Q1803" t="s">
        <v>28</v>
      </c>
      <c r="R1803" t="s">
        <v>29</v>
      </c>
      <c r="S1803" t="s">
        <v>793</v>
      </c>
      <c r="T1803">
        <f>_xlfn.XLOOKUP(X1803,Hoja2!D:D,Hoja2!A:A)</f>
        <v>1075542872</v>
      </c>
      <c r="U1803" t="str">
        <f>_xlfn.XLOOKUP(X1803,Hoja2!D:D,Hoja2!B:B)</f>
        <v>IVONNE JINETH RODRIGUEZ ROJAS</v>
      </c>
      <c r="V1803" t="str">
        <f>_xlfn.XLOOKUP(X1803,Hoja2!D:D,Hoja2!C:C)</f>
        <v>POSGRADOS</v>
      </c>
      <c r="W1803" s="9">
        <f>IF(V1803="pregrado",31,
IF(V1803="posgrados",31,
IF(V1803="rEINTEGROS",7,
IF(V1803="BIT",90,
IF(V1803="OP GRADO - INGLÉS",17,"")))))</f>
        <v>31</v>
      </c>
      <c r="X1803" t="s">
        <v>3974</v>
      </c>
    </row>
    <row r="1804" spans="1:24" x14ac:dyDescent="0.3">
      <c r="A1804" s="4">
        <v>46118</v>
      </c>
      <c r="B1804">
        <v>20130137</v>
      </c>
      <c r="C1804" t="s">
        <v>19</v>
      </c>
      <c r="D1804">
        <v>173066</v>
      </c>
      <c r="E1804" t="s">
        <v>43</v>
      </c>
      <c r="F1804">
        <v>1115916418</v>
      </c>
      <c r="G1804" t="s">
        <v>4399</v>
      </c>
      <c r="H1804">
        <v>100134823</v>
      </c>
      <c r="I1804">
        <v>202642</v>
      </c>
      <c r="J1804">
        <v>1016089202</v>
      </c>
      <c r="K1804" t="s">
        <v>23</v>
      </c>
      <c r="L1804" t="s">
        <v>59</v>
      </c>
      <c r="M1804" t="s">
        <v>47</v>
      </c>
      <c r="N1804" t="s">
        <v>35</v>
      </c>
      <c r="O1804" t="s">
        <v>26</v>
      </c>
      <c r="P1804" t="s">
        <v>27</v>
      </c>
      <c r="Q1804" t="s">
        <v>28</v>
      </c>
      <c r="R1804" t="s">
        <v>29</v>
      </c>
      <c r="S1804" t="s">
        <v>793</v>
      </c>
      <c r="T1804">
        <f>_xlfn.XLOOKUP(X1804,Hoja2!D:D,Hoja2!A:A)</f>
        <v>1016030683</v>
      </c>
      <c r="U1804" t="str">
        <f>_xlfn.XLOOKUP(X1804,Hoja2!D:D,Hoja2!B:B)</f>
        <v>FABIAN CONCHA</v>
      </c>
      <c r="V1804" t="str">
        <f>_xlfn.XLOOKUP(X1804,Hoja2!D:D,Hoja2!C:C)</f>
        <v>POSGRADOS</v>
      </c>
      <c r="W1804" s="9">
        <f>IF(V1804="pregrado",31,
IF(V1804="posgrados",31,
IF(V1804="rEINTEGROS",7,
IF(V1804="BIT",90,
IF(V1804="OP GRADO - INGLÉS",17,"")))))</f>
        <v>31</v>
      </c>
      <c r="X1804" t="s">
        <v>3992</v>
      </c>
    </row>
    <row r="1805" spans="1:24" x14ac:dyDescent="0.3">
      <c r="A1805" s="4">
        <v>46098</v>
      </c>
      <c r="B1805">
        <v>20128824</v>
      </c>
      <c r="C1805" t="s">
        <v>19</v>
      </c>
      <c r="D1805">
        <v>173078</v>
      </c>
      <c r="E1805" t="s">
        <v>43</v>
      </c>
      <c r="F1805">
        <v>1102880409</v>
      </c>
      <c r="G1805" t="s">
        <v>4160</v>
      </c>
      <c r="H1805">
        <v>100209570</v>
      </c>
      <c r="I1805">
        <v>202642</v>
      </c>
      <c r="J1805">
        <v>1102880409</v>
      </c>
      <c r="K1805" t="s">
        <v>23</v>
      </c>
      <c r="L1805" t="s">
        <v>279</v>
      </c>
      <c r="M1805" t="s">
        <v>47</v>
      </c>
      <c r="N1805" t="s">
        <v>35</v>
      </c>
      <c r="O1805" t="s">
        <v>26</v>
      </c>
      <c r="P1805" t="s">
        <v>27</v>
      </c>
      <c r="Q1805" t="s">
        <v>28</v>
      </c>
      <c r="R1805" t="s">
        <v>29</v>
      </c>
      <c r="S1805" t="s">
        <v>793</v>
      </c>
      <c r="T1805">
        <f>_xlfn.XLOOKUP(X1805,Hoja2!D:D,Hoja2!A:A)</f>
        <v>52916205</v>
      </c>
      <c r="U1805" t="str">
        <f>_xlfn.XLOOKUP(X1805,Hoja2!D:D,Hoja2!B:B)</f>
        <v>FABIAN CONCHA</v>
      </c>
      <c r="V1805" t="str">
        <f>_xlfn.XLOOKUP(X1805,Hoja2!D:D,Hoja2!C:C)</f>
        <v>POSGRADOS</v>
      </c>
      <c r="W1805" s="9">
        <f>IF(V1805="pregrado",31,
IF(V1805="posgrados",31,
IF(V1805="rEINTEGROS",7,
IF(V1805="BIT",90,
IF(V1805="OP GRADO - INGLÉS",17,"")))))</f>
        <v>31</v>
      </c>
      <c r="X1805" t="s">
        <v>4032</v>
      </c>
    </row>
    <row r="1806" spans="1:24" x14ac:dyDescent="0.3">
      <c r="A1806" s="4">
        <v>46104</v>
      </c>
      <c r="B1806">
        <v>20129197</v>
      </c>
      <c r="C1806" t="s">
        <v>19</v>
      </c>
      <c r="D1806">
        <v>173097</v>
      </c>
      <c r="E1806" t="s">
        <v>43</v>
      </c>
      <c r="F1806">
        <v>1015451593</v>
      </c>
      <c r="G1806" t="s">
        <v>4212</v>
      </c>
      <c r="H1806">
        <v>100248943</v>
      </c>
      <c r="I1806">
        <v>202642</v>
      </c>
      <c r="J1806">
        <v>1015451593</v>
      </c>
      <c r="K1806" t="s">
        <v>23</v>
      </c>
      <c r="L1806" t="s">
        <v>160</v>
      </c>
      <c r="M1806" t="s">
        <v>47</v>
      </c>
      <c r="N1806" t="s">
        <v>35</v>
      </c>
      <c r="O1806" t="s">
        <v>26</v>
      </c>
      <c r="P1806" t="s">
        <v>27</v>
      </c>
      <c r="Q1806" t="s">
        <v>28</v>
      </c>
      <c r="R1806" t="s">
        <v>29</v>
      </c>
      <c r="S1806" t="s">
        <v>793</v>
      </c>
      <c r="T1806">
        <f>_xlfn.XLOOKUP(X1806,Hoja2!D:D,Hoja2!A:A)</f>
        <v>52965969</v>
      </c>
      <c r="U1806" t="str">
        <f>_xlfn.XLOOKUP(X1806,Hoja2!D:D,Hoja2!B:B)</f>
        <v>FABIAN CONCHA</v>
      </c>
      <c r="V1806" t="str">
        <f>_xlfn.XLOOKUP(X1806,Hoja2!D:D,Hoja2!C:C)</f>
        <v>POSGRADOS</v>
      </c>
      <c r="W1806" s="9">
        <f>IF(V1806="pregrado",31,
IF(V1806="posgrados",31,
IF(V1806="rEINTEGROS",7,
IF(V1806="BIT",90,
IF(V1806="OP GRADO - INGLÉS",17,"")))))</f>
        <v>31</v>
      </c>
      <c r="X1806" t="s">
        <v>3960</v>
      </c>
    </row>
    <row r="1807" spans="1:24" x14ac:dyDescent="0.3">
      <c r="A1807" s="4">
        <v>46100</v>
      </c>
      <c r="B1807">
        <v>20129015</v>
      </c>
      <c r="C1807" t="s">
        <v>19</v>
      </c>
      <c r="D1807">
        <v>173123</v>
      </c>
      <c r="E1807" t="s">
        <v>43</v>
      </c>
      <c r="F1807">
        <v>1006513994</v>
      </c>
      <c r="G1807" t="s">
        <v>4187</v>
      </c>
      <c r="H1807">
        <v>100244694</v>
      </c>
      <c r="I1807">
        <v>202652</v>
      </c>
      <c r="J1807">
        <v>1117552391</v>
      </c>
      <c r="K1807" t="s">
        <v>23</v>
      </c>
      <c r="L1807" t="s">
        <v>252</v>
      </c>
      <c r="M1807" t="s">
        <v>253</v>
      </c>
      <c r="N1807" t="s">
        <v>35</v>
      </c>
      <c r="O1807" t="s">
        <v>26</v>
      </c>
      <c r="P1807" t="s">
        <v>27</v>
      </c>
      <c r="Q1807" t="s">
        <v>28</v>
      </c>
      <c r="R1807" t="s">
        <v>29</v>
      </c>
      <c r="S1807" t="s">
        <v>793</v>
      </c>
      <c r="T1807">
        <f>_xlfn.XLOOKUP(X1807,Hoja2!D:D,Hoja2!A:A)</f>
        <v>1075542872</v>
      </c>
      <c r="U1807" t="str">
        <f>_xlfn.XLOOKUP(X1807,Hoja2!D:D,Hoja2!B:B)</f>
        <v>IVONNE JINETH RODRIGUEZ ROJAS</v>
      </c>
      <c r="V1807" t="str">
        <f>_xlfn.XLOOKUP(X1807,Hoja2!D:D,Hoja2!C:C)</f>
        <v>POSGRADOS</v>
      </c>
      <c r="W1807" s="9">
        <f>IF(V1807="pregrado",31,
IF(V1807="posgrados",31,
IF(V1807="rEINTEGROS",7,
IF(V1807="BIT",90,
IF(V1807="OP GRADO - INGLÉS",17,"")))))</f>
        <v>31</v>
      </c>
      <c r="X1807" t="s">
        <v>3974</v>
      </c>
    </row>
    <row r="1808" spans="1:24" x14ac:dyDescent="0.3">
      <c r="A1808" s="4">
        <v>46120</v>
      </c>
      <c r="B1808">
        <v>20130433</v>
      </c>
      <c r="C1808" t="s">
        <v>19</v>
      </c>
      <c r="D1808">
        <v>173129</v>
      </c>
      <c r="E1808" t="s">
        <v>43</v>
      </c>
      <c r="F1808">
        <v>52976137</v>
      </c>
      <c r="G1808" t="s">
        <v>4454</v>
      </c>
      <c r="H1808">
        <v>100099163</v>
      </c>
      <c r="I1808">
        <v>202652</v>
      </c>
      <c r="J1808">
        <v>52976137</v>
      </c>
      <c r="K1808" t="s">
        <v>23</v>
      </c>
      <c r="L1808" t="s">
        <v>252</v>
      </c>
      <c r="M1808" t="s">
        <v>253</v>
      </c>
      <c r="N1808" t="s">
        <v>35</v>
      </c>
      <c r="O1808" t="s">
        <v>26</v>
      </c>
      <c r="P1808" t="s">
        <v>27</v>
      </c>
      <c r="Q1808" t="s">
        <v>28</v>
      </c>
      <c r="R1808" t="s">
        <v>29</v>
      </c>
      <c r="S1808" t="s">
        <v>793</v>
      </c>
      <c r="T1808">
        <f>_xlfn.XLOOKUP(X1808,Hoja2!D:D,Hoja2!A:A)</f>
        <v>1032451737</v>
      </c>
      <c r="U1808" t="str">
        <f>_xlfn.XLOOKUP(X1808,Hoja2!D:D,Hoja2!B:B)</f>
        <v>IVONNE JINETH RODRIGUEZ ROJAS</v>
      </c>
      <c r="V1808" t="str">
        <f>_xlfn.XLOOKUP(X1808,Hoja2!D:D,Hoja2!C:C)</f>
        <v>POSGRADOS</v>
      </c>
      <c r="W1808" s="9">
        <f>IF(V1808="pregrado",31,
IF(V1808="posgrados",31,
IF(V1808="rEINTEGROS",7,
IF(V1808="BIT",90,
IF(V1808="OP GRADO - INGLÉS",17,"")))))</f>
        <v>31</v>
      </c>
      <c r="X1808" t="s">
        <v>4033</v>
      </c>
    </row>
    <row r="1809" spans="1:24" x14ac:dyDescent="0.3">
      <c r="A1809" s="4">
        <v>46100</v>
      </c>
      <c r="B1809">
        <v>20128980</v>
      </c>
      <c r="C1809" t="s">
        <v>19</v>
      </c>
      <c r="D1809">
        <v>173132</v>
      </c>
      <c r="E1809" t="s">
        <v>43</v>
      </c>
      <c r="F1809">
        <v>37317027</v>
      </c>
      <c r="G1809" t="s">
        <v>4179</v>
      </c>
      <c r="H1809">
        <v>100248986</v>
      </c>
      <c r="I1809">
        <v>202652</v>
      </c>
      <c r="J1809">
        <v>1091669601</v>
      </c>
      <c r="K1809" t="s">
        <v>23</v>
      </c>
      <c r="L1809" t="s">
        <v>252</v>
      </c>
      <c r="M1809" t="s">
        <v>253</v>
      </c>
      <c r="N1809" t="s">
        <v>35</v>
      </c>
      <c r="O1809" t="s">
        <v>26</v>
      </c>
      <c r="P1809" t="s">
        <v>27</v>
      </c>
      <c r="Q1809" t="s">
        <v>28</v>
      </c>
      <c r="R1809" t="s">
        <v>29</v>
      </c>
      <c r="S1809" t="s">
        <v>793</v>
      </c>
      <c r="T1809">
        <f>_xlfn.XLOOKUP(X1809,Hoja2!D:D,Hoja2!A:A)</f>
        <v>1022407392</v>
      </c>
      <c r="U1809" t="str">
        <f>_xlfn.XLOOKUP(X1809,Hoja2!D:D,Hoja2!B:B)</f>
        <v>FABIAN CONCHA</v>
      </c>
      <c r="V1809" t="str">
        <f>_xlfn.XLOOKUP(X1809,Hoja2!D:D,Hoja2!C:C)</f>
        <v>POSGRADOS</v>
      </c>
      <c r="W1809" s="9">
        <f>IF(V1809="pregrado",31,
IF(V1809="posgrados",31,
IF(V1809="rEINTEGROS",7,
IF(V1809="BIT",90,
IF(V1809="OP GRADO - INGLÉS",17,"")))))</f>
        <v>31</v>
      </c>
      <c r="X1809" t="s">
        <v>3975</v>
      </c>
    </row>
    <row r="1810" spans="1:24" x14ac:dyDescent="0.3">
      <c r="A1810" s="4">
        <v>46125</v>
      </c>
      <c r="B1810">
        <v>20130876</v>
      </c>
      <c r="C1810" t="s">
        <v>19</v>
      </c>
      <c r="D1810">
        <v>173136</v>
      </c>
      <c r="E1810" t="s">
        <v>43</v>
      </c>
      <c r="F1810">
        <v>1014656640</v>
      </c>
      <c r="G1810" t="s">
        <v>4544</v>
      </c>
      <c r="H1810">
        <v>100143546</v>
      </c>
      <c r="I1810">
        <v>202642</v>
      </c>
      <c r="J1810">
        <v>1014656640</v>
      </c>
      <c r="K1810" t="s">
        <v>23</v>
      </c>
      <c r="L1810" t="s">
        <v>4242</v>
      </c>
      <c r="M1810" t="s">
        <v>47</v>
      </c>
      <c r="N1810" t="s">
        <v>35</v>
      </c>
      <c r="O1810" t="s">
        <v>26</v>
      </c>
      <c r="P1810" t="s">
        <v>27</v>
      </c>
      <c r="Q1810" t="s">
        <v>28</v>
      </c>
      <c r="R1810" t="s">
        <v>29</v>
      </c>
      <c r="S1810" t="s">
        <v>793</v>
      </c>
      <c r="T1810">
        <f>_xlfn.XLOOKUP(X1810,Hoja2!D:D,Hoja2!A:A)</f>
        <v>1033781417</v>
      </c>
      <c r="U1810" t="str">
        <f>_xlfn.XLOOKUP(X1810,Hoja2!D:D,Hoja2!B:B)</f>
        <v>IVONNE JINETH RODRIGUEZ ROJAS</v>
      </c>
      <c r="V1810" t="str">
        <f>_xlfn.XLOOKUP(X1810,Hoja2!D:D,Hoja2!C:C)</f>
        <v>POSGRADOS</v>
      </c>
      <c r="W1810" s="9">
        <f>IF(V1810="pregrado",31,
IF(V1810="posgrados",31,
IF(V1810="rEINTEGROS",7,
IF(V1810="BIT",90,
IF(V1810="OP GRADO - INGLÉS",17,"")))))</f>
        <v>31</v>
      </c>
      <c r="X1810" t="s">
        <v>4031</v>
      </c>
    </row>
    <row r="1811" spans="1:24" x14ac:dyDescent="0.3">
      <c r="A1811" s="4">
        <v>46118</v>
      </c>
      <c r="B1811">
        <v>20130208</v>
      </c>
      <c r="C1811" t="s">
        <v>19</v>
      </c>
      <c r="D1811">
        <v>173137</v>
      </c>
      <c r="E1811" t="s">
        <v>43</v>
      </c>
      <c r="F1811">
        <v>1140841494</v>
      </c>
      <c r="G1811" t="s">
        <v>4413</v>
      </c>
      <c r="H1811">
        <v>100248997</v>
      </c>
      <c r="I1811">
        <v>202652</v>
      </c>
      <c r="J1811">
        <v>1140841494</v>
      </c>
      <c r="K1811" t="s">
        <v>23</v>
      </c>
      <c r="L1811" t="s">
        <v>252</v>
      </c>
      <c r="M1811" t="s">
        <v>253</v>
      </c>
      <c r="N1811" t="s">
        <v>35</v>
      </c>
      <c r="O1811" t="s">
        <v>26</v>
      </c>
      <c r="P1811" t="s">
        <v>27</v>
      </c>
      <c r="Q1811" t="s">
        <v>28</v>
      </c>
      <c r="R1811" t="s">
        <v>29</v>
      </c>
      <c r="S1811" t="s">
        <v>793</v>
      </c>
      <c r="T1811">
        <f>_xlfn.XLOOKUP(X1811,Hoja2!D:D,Hoja2!A:A)</f>
        <v>1075542872</v>
      </c>
      <c r="U1811" t="str">
        <f>_xlfn.XLOOKUP(X1811,Hoja2!D:D,Hoja2!B:B)</f>
        <v>IVONNE JINETH RODRIGUEZ ROJAS</v>
      </c>
      <c r="V1811" t="str">
        <f>_xlfn.XLOOKUP(X1811,Hoja2!D:D,Hoja2!C:C)</f>
        <v>POSGRADOS</v>
      </c>
      <c r="W1811" s="9">
        <f>IF(V1811="pregrado",31,
IF(V1811="posgrados",31,
IF(V1811="rEINTEGROS",7,
IF(V1811="BIT",90,
IF(V1811="OP GRADO - INGLÉS",17,"")))))</f>
        <v>31</v>
      </c>
      <c r="X1811" t="s">
        <v>3974</v>
      </c>
    </row>
    <row r="1812" spans="1:24" x14ac:dyDescent="0.3">
      <c r="A1812" s="4">
        <v>46098</v>
      </c>
      <c r="B1812">
        <v>20128846</v>
      </c>
      <c r="C1812" t="s">
        <v>19</v>
      </c>
      <c r="D1812">
        <v>173142</v>
      </c>
      <c r="E1812" t="s">
        <v>43</v>
      </c>
      <c r="F1812">
        <v>1047349983</v>
      </c>
      <c r="G1812" t="s">
        <v>4162</v>
      </c>
      <c r="H1812">
        <v>100249001</v>
      </c>
      <c r="I1812">
        <v>202642</v>
      </c>
      <c r="J1812">
        <v>1047349983</v>
      </c>
      <c r="K1812" t="s">
        <v>23</v>
      </c>
      <c r="L1812" t="s">
        <v>4163</v>
      </c>
      <c r="M1812" t="s">
        <v>47</v>
      </c>
      <c r="N1812" t="s">
        <v>35</v>
      </c>
      <c r="O1812" t="s">
        <v>26</v>
      </c>
      <c r="P1812" t="s">
        <v>27</v>
      </c>
      <c r="Q1812" t="s">
        <v>28</v>
      </c>
      <c r="R1812" t="s">
        <v>29</v>
      </c>
      <c r="S1812" t="s">
        <v>793</v>
      </c>
      <c r="T1812">
        <f>_xlfn.XLOOKUP(X1812,Hoja2!D:D,Hoja2!A:A)</f>
        <v>1070973852</v>
      </c>
      <c r="U1812" t="str">
        <f>_xlfn.XLOOKUP(X1812,Hoja2!D:D,Hoja2!B:B)</f>
        <v>FABIAN CONCHA</v>
      </c>
      <c r="V1812" t="str">
        <f>_xlfn.XLOOKUP(X1812,Hoja2!D:D,Hoja2!C:C)</f>
        <v>POSGRADOS</v>
      </c>
      <c r="W1812" s="9">
        <f>IF(V1812="pregrado",31,
IF(V1812="posgrados",31,
IF(V1812="rEINTEGROS",7,
IF(V1812="BIT",90,
IF(V1812="OP GRADO - INGLÉS",17,"")))))</f>
        <v>31</v>
      </c>
      <c r="X1812" t="s">
        <v>3957</v>
      </c>
    </row>
    <row r="1813" spans="1:24" x14ac:dyDescent="0.3">
      <c r="A1813" s="4">
        <v>46107</v>
      </c>
      <c r="B1813">
        <v>20129493</v>
      </c>
      <c r="C1813" t="s">
        <v>19</v>
      </c>
      <c r="D1813">
        <v>173158</v>
      </c>
      <c r="E1813" t="s">
        <v>43</v>
      </c>
      <c r="F1813">
        <v>35532098</v>
      </c>
      <c r="G1813" t="s">
        <v>4277</v>
      </c>
      <c r="H1813">
        <v>100249033</v>
      </c>
      <c r="I1813">
        <v>202652</v>
      </c>
      <c r="J1813">
        <v>35527746</v>
      </c>
      <c r="K1813" t="s">
        <v>23</v>
      </c>
      <c r="L1813" t="s">
        <v>252</v>
      </c>
      <c r="M1813" t="s">
        <v>253</v>
      </c>
      <c r="N1813" t="s">
        <v>35</v>
      </c>
      <c r="O1813" t="s">
        <v>26</v>
      </c>
      <c r="P1813" t="s">
        <v>27</v>
      </c>
      <c r="Q1813" t="s">
        <v>28</v>
      </c>
      <c r="R1813" t="s">
        <v>29</v>
      </c>
      <c r="S1813" t="s">
        <v>793</v>
      </c>
      <c r="T1813">
        <f>_xlfn.XLOOKUP(X1813,Hoja2!D:D,Hoja2!A:A)</f>
        <v>1033793185</v>
      </c>
      <c r="U1813" t="str">
        <f>_xlfn.XLOOKUP(X1813,Hoja2!D:D,Hoja2!B:B)</f>
        <v>IVONNE JINETH RODRIGUEZ ROJAS</v>
      </c>
      <c r="V1813" t="str">
        <f>_xlfn.XLOOKUP(X1813,Hoja2!D:D,Hoja2!C:C)</f>
        <v>POSGRADOS</v>
      </c>
      <c r="W1813" s="9">
        <f>IF(V1813="pregrado",31,
IF(V1813="posgrados",31,
IF(V1813="rEINTEGROS",7,
IF(V1813="BIT",90,
IF(V1813="OP GRADO - INGLÉS",17,"")))))</f>
        <v>31</v>
      </c>
      <c r="X1813" t="s">
        <v>4082</v>
      </c>
    </row>
    <row r="1814" spans="1:24" x14ac:dyDescent="0.3">
      <c r="A1814" s="4">
        <v>46102</v>
      </c>
      <c r="B1814">
        <v>20129194</v>
      </c>
      <c r="C1814" t="s">
        <v>19</v>
      </c>
      <c r="D1814">
        <v>173184</v>
      </c>
      <c r="E1814" t="s">
        <v>43</v>
      </c>
      <c r="F1814">
        <v>74373937</v>
      </c>
      <c r="G1814" t="s">
        <v>4211</v>
      </c>
      <c r="H1814">
        <v>100249068</v>
      </c>
      <c r="I1814">
        <v>202652</v>
      </c>
      <c r="J1814">
        <v>46450073</v>
      </c>
      <c r="K1814" t="s">
        <v>23</v>
      </c>
      <c r="L1814" t="s">
        <v>252</v>
      </c>
      <c r="M1814" t="s">
        <v>253</v>
      </c>
      <c r="N1814" t="s">
        <v>35</v>
      </c>
      <c r="O1814" t="s">
        <v>26</v>
      </c>
      <c r="P1814" t="s">
        <v>27</v>
      </c>
      <c r="Q1814" t="s">
        <v>28</v>
      </c>
      <c r="R1814" t="s">
        <v>29</v>
      </c>
      <c r="S1814" t="s">
        <v>793</v>
      </c>
      <c r="T1814">
        <f>_xlfn.XLOOKUP(X1814,Hoja2!D:D,Hoja2!A:A)</f>
        <v>1033793185</v>
      </c>
      <c r="U1814" t="str">
        <f>_xlfn.XLOOKUP(X1814,Hoja2!D:D,Hoja2!B:B)</f>
        <v>IVONNE JINETH RODRIGUEZ ROJAS</v>
      </c>
      <c r="V1814" t="str">
        <f>_xlfn.XLOOKUP(X1814,Hoja2!D:D,Hoja2!C:C)</f>
        <v>POSGRADOS</v>
      </c>
      <c r="W1814" s="9">
        <f>IF(V1814="pregrado",31,
IF(V1814="posgrados",31,
IF(V1814="rEINTEGROS",7,
IF(V1814="BIT",90,
IF(V1814="OP GRADO - INGLÉS",17,"")))))</f>
        <v>31</v>
      </c>
      <c r="X1814" t="s">
        <v>4082</v>
      </c>
    </row>
    <row r="1815" spans="1:24" x14ac:dyDescent="0.3">
      <c r="A1815" s="4">
        <v>46101</v>
      </c>
      <c r="B1815">
        <v>20129141</v>
      </c>
      <c r="C1815" t="s">
        <v>19</v>
      </c>
      <c r="D1815">
        <v>173187</v>
      </c>
      <c r="E1815" t="s">
        <v>43</v>
      </c>
      <c r="F1815">
        <v>1083559980</v>
      </c>
      <c r="G1815" t="s">
        <v>4201</v>
      </c>
      <c r="H1815">
        <v>100145932</v>
      </c>
      <c r="I1815">
        <v>202652</v>
      </c>
      <c r="J1815">
        <v>1221971599</v>
      </c>
      <c r="K1815" t="s">
        <v>23</v>
      </c>
      <c r="L1815" t="s">
        <v>252</v>
      </c>
      <c r="M1815" t="s">
        <v>253</v>
      </c>
      <c r="N1815" t="s">
        <v>35</v>
      </c>
      <c r="O1815" t="s">
        <v>26</v>
      </c>
      <c r="P1815" t="s">
        <v>27</v>
      </c>
      <c r="Q1815" t="s">
        <v>28</v>
      </c>
      <c r="R1815" t="s">
        <v>29</v>
      </c>
      <c r="S1815" t="s">
        <v>793</v>
      </c>
      <c r="T1815">
        <f>_xlfn.XLOOKUP(X1815,Hoja2!D:D,Hoja2!A:A)</f>
        <v>1012389748</v>
      </c>
      <c r="U1815" t="str">
        <f>_xlfn.XLOOKUP(X1815,Hoja2!D:D,Hoja2!B:B)</f>
        <v>IVONNE JINETH RODRIGUEZ ROJAS</v>
      </c>
      <c r="V1815" t="str">
        <f>_xlfn.XLOOKUP(X1815,Hoja2!D:D,Hoja2!C:C)</f>
        <v>POSGRADOS</v>
      </c>
      <c r="W1815" s="9">
        <f>IF(V1815="pregrado",31,
IF(V1815="posgrados",31,
IF(V1815="rEINTEGROS",7,
IF(V1815="BIT",90,
IF(V1815="OP GRADO - INGLÉS",17,"")))))</f>
        <v>31</v>
      </c>
      <c r="X1815" t="s">
        <v>4065</v>
      </c>
    </row>
    <row r="1816" spans="1:24" x14ac:dyDescent="0.3">
      <c r="A1816" s="4">
        <v>46118</v>
      </c>
      <c r="B1816">
        <v>20130167</v>
      </c>
      <c r="C1816" t="s">
        <v>19</v>
      </c>
      <c r="D1816">
        <v>173198</v>
      </c>
      <c r="E1816" t="s">
        <v>43</v>
      </c>
      <c r="F1816">
        <v>1010184743</v>
      </c>
      <c r="G1816" t="s">
        <v>4404</v>
      </c>
      <c r="H1816">
        <v>100207518</v>
      </c>
      <c r="I1816">
        <v>202652</v>
      </c>
      <c r="J1816">
        <v>1052394378</v>
      </c>
      <c r="K1816" t="s">
        <v>23</v>
      </c>
      <c r="L1816" t="s">
        <v>252</v>
      </c>
      <c r="M1816" t="s">
        <v>253</v>
      </c>
      <c r="N1816" t="s">
        <v>35</v>
      </c>
      <c r="O1816" t="s">
        <v>26</v>
      </c>
      <c r="P1816" t="s">
        <v>27</v>
      </c>
      <c r="Q1816" t="s">
        <v>28</v>
      </c>
      <c r="R1816" t="s">
        <v>29</v>
      </c>
      <c r="S1816" t="s">
        <v>793</v>
      </c>
      <c r="T1816">
        <f>_xlfn.XLOOKUP(X1816,Hoja2!D:D,Hoja2!A:A)</f>
        <v>52032666</v>
      </c>
      <c r="U1816" t="str">
        <f>_xlfn.XLOOKUP(X1816,Hoja2!D:D,Hoja2!B:B)</f>
        <v>IVONNE JINETH RODRIGUEZ ROJAS</v>
      </c>
      <c r="V1816" t="str">
        <f>_xlfn.XLOOKUP(X1816,Hoja2!D:D,Hoja2!C:C)</f>
        <v>POSGRADOS</v>
      </c>
      <c r="W1816" s="9">
        <f>IF(V1816="pregrado",31,
IF(V1816="posgrados",31,
IF(V1816="rEINTEGROS",7,
IF(V1816="BIT",90,
IF(V1816="OP GRADO - INGLÉS",17,"")))))</f>
        <v>31</v>
      </c>
      <c r="X1816" t="s">
        <v>3983</v>
      </c>
    </row>
    <row r="1817" spans="1:24" x14ac:dyDescent="0.3">
      <c r="A1817" s="4">
        <v>46101</v>
      </c>
      <c r="B1817">
        <v>20129147</v>
      </c>
      <c r="C1817" t="s">
        <v>19</v>
      </c>
      <c r="D1817">
        <v>173234</v>
      </c>
      <c r="E1817" t="s">
        <v>43</v>
      </c>
      <c r="F1817">
        <v>35535108</v>
      </c>
      <c r="G1817" t="s">
        <v>4203</v>
      </c>
      <c r="H1817">
        <v>100037525</v>
      </c>
      <c r="I1817">
        <v>202652</v>
      </c>
      <c r="J1817">
        <v>35535108</v>
      </c>
      <c r="K1817" t="s">
        <v>23</v>
      </c>
      <c r="L1817" t="s">
        <v>252</v>
      </c>
      <c r="M1817" t="s">
        <v>253</v>
      </c>
      <c r="N1817" t="s">
        <v>35</v>
      </c>
      <c r="O1817" t="s">
        <v>26</v>
      </c>
      <c r="P1817" t="s">
        <v>27</v>
      </c>
      <c r="Q1817" t="s">
        <v>28</v>
      </c>
      <c r="R1817" t="s">
        <v>29</v>
      </c>
      <c r="S1817" t="s">
        <v>793</v>
      </c>
      <c r="T1817">
        <f>_xlfn.XLOOKUP(X1817,Hoja2!D:D,Hoja2!A:A)</f>
        <v>1012389748</v>
      </c>
      <c r="U1817" t="str">
        <f>_xlfn.XLOOKUP(X1817,Hoja2!D:D,Hoja2!B:B)</f>
        <v>IVONNE JINETH RODRIGUEZ ROJAS</v>
      </c>
      <c r="V1817" t="str">
        <f>_xlfn.XLOOKUP(X1817,Hoja2!D:D,Hoja2!C:C)</f>
        <v>POSGRADOS</v>
      </c>
      <c r="W1817" s="9">
        <f>IF(V1817="pregrado",31,
IF(V1817="posgrados",31,
IF(V1817="rEINTEGROS",7,
IF(V1817="BIT",90,
IF(V1817="OP GRADO - INGLÉS",17,"")))))</f>
        <v>31</v>
      </c>
      <c r="X1817" t="s">
        <v>4065</v>
      </c>
    </row>
    <row r="1818" spans="1:24" x14ac:dyDescent="0.3">
      <c r="A1818" s="4">
        <v>46105</v>
      </c>
      <c r="B1818">
        <v>20129274</v>
      </c>
      <c r="C1818" t="s">
        <v>19</v>
      </c>
      <c r="D1818">
        <v>173238</v>
      </c>
      <c r="E1818" t="s">
        <v>43</v>
      </c>
      <c r="F1818">
        <v>1007750784</v>
      </c>
      <c r="G1818" t="s">
        <v>4233</v>
      </c>
      <c r="H1818">
        <v>100249131</v>
      </c>
      <c r="I1818">
        <v>202642</v>
      </c>
      <c r="J1818">
        <v>1083890312</v>
      </c>
      <c r="K1818" t="s">
        <v>23</v>
      </c>
      <c r="L1818" t="s">
        <v>294</v>
      </c>
      <c r="M1818" t="s">
        <v>47</v>
      </c>
      <c r="N1818" t="s">
        <v>35</v>
      </c>
      <c r="O1818" t="s">
        <v>26</v>
      </c>
      <c r="P1818" t="s">
        <v>27</v>
      </c>
      <c r="Q1818" t="s">
        <v>28</v>
      </c>
      <c r="R1818" t="s">
        <v>29</v>
      </c>
      <c r="S1818" t="s">
        <v>793</v>
      </c>
      <c r="T1818">
        <f>_xlfn.XLOOKUP(X1818,Hoja2!D:D,Hoja2!A:A)</f>
        <v>1033793185</v>
      </c>
      <c r="U1818" t="str">
        <f>_xlfn.XLOOKUP(X1818,Hoja2!D:D,Hoja2!B:B)</f>
        <v>IVONNE JINETH RODRIGUEZ ROJAS</v>
      </c>
      <c r="V1818" t="str">
        <f>_xlfn.XLOOKUP(X1818,Hoja2!D:D,Hoja2!C:C)</f>
        <v>POSGRADOS</v>
      </c>
      <c r="W1818" s="9">
        <f>IF(V1818="pregrado",31,
IF(V1818="posgrados",31,
IF(V1818="rEINTEGROS",7,
IF(V1818="BIT",90,
IF(V1818="OP GRADO - INGLÉS",17,"")))))</f>
        <v>31</v>
      </c>
      <c r="X1818" t="s">
        <v>4082</v>
      </c>
    </row>
    <row r="1819" spans="1:24" x14ac:dyDescent="0.3">
      <c r="A1819" s="4">
        <v>46100</v>
      </c>
      <c r="B1819">
        <v>20129023</v>
      </c>
      <c r="C1819" t="s">
        <v>19</v>
      </c>
      <c r="D1819">
        <v>173239</v>
      </c>
      <c r="E1819" t="s">
        <v>43</v>
      </c>
      <c r="F1819">
        <v>91111801</v>
      </c>
      <c r="G1819" t="s">
        <v>4189</v>
      </c>
      <c r="H1819">
        <v>100249132</v>
      </c>
      <c r="I1819">
        <v>202652</v>
      </c>
      <c r="J1819">
        <v>37670817</v>
      </c>
      <c r="K1819" t="s">
        <v>23</v>
      </c>
      <c r="L1819" t="s">
        <v>252</v>
      </c>
      <c r="M1819" t="s">
        <v>253</v>
      </c>
      <c r="N1819" t="s">
        <v>35</v>
      </c>
      <c r="O1819" t="s">
        <v>26</v>
      </c>
      <c r="P1819" t="s">
        <v>27</v>
      </c>
      <c r="Q1819" t="s">
        <v>28</v>
      </c>
      <c r="R1819" t="s">
        <v>29</v>
      </c>
      <c r="S1819" t="s">
        <v>793</v>
      </c>
      <c r="T1819">
        <f>_xlfn.XLOOKUP(X1819,Hoja2!D:D,Hoja2!A:A)</f>
        <v>1015401969</v>
      </c>
      <c r="U1819" t="str">
        <f>_xlfn.XLOOKUP(X1819,Hoja2!D:D,Hoja2!B:B)</f>
        <v>FABIAN CONCHA</v>
      </c>
      <c r="V1819" t="str">
        <f>_xlfn.XLOOKUP(X1819,Hoja2!D:D,Hoja2!C:C)</f>
        <v>POSGRADOS</v>
      </c>
      <c r="W1819" s="9">
        <f>IF(V1819="pregrado",31,
IF(V1819="posgrados",31,
IF(V1819="rEINTEGROS",7,
IF(V1819="BIT",90,
IF(V1819="OP GRADO - INGLÉS",17,"")))))</f>
        <v>31</v>
      </c>
      <c r="X1819" t="s">
        <v>3945</v>
      </c>
    </row>
    <row r="1820" spans="1:24" x14ac:dyDescent="0.3">
      <c r="A1820" s="4">
        <v>46100</v>
      </c>
      <c r="B1820">
        <v>20128993</v>
      </c>
      <c r="C1820" t="s">
        <v>19</v>
      </c>
      <c r="D1820">
        <v>173257</v>
      </c>
      <c r="E1820" t="s">
        <v>43</v>
      </c>
      <c r="F1820">
        <v>1094272857</v>
      </c>
      <c r="G1820" t="s">
        <v>4184</v>
      </c>
      <c r="H1820">
        <v>100249145</v>
      </c>
      <c r="I1820">
        <v>202642</v>
      </c>
      <c r="J1820">
        <v>1094272857</v>
      </c>
      <c r="K1820" t="s">
        <v>23</v>
      </c>
      <c r="L1820" t="s">
        <v>279</v>
      </c>
      <c r="M1820" t="s">
        <v>47</v>
      </c>
      <c r="N1820" t="s">
        <v>25</v>
      </c>
      <c r="O1820" t="s">
        <v>26</v>
      </c>
      <c r="P1820" t="s">
        <v>27</v>
      </c>
      <c r="Q1820" t="s">
        <v>28</v>
      </c>
      <c r="R1820" t="s">
        <v>29</v>
      </c>
      <c r="S1820" t="s">
        <v>793</v>
      </c>
      <c r="T1820">
        <f>_xlfn.XLOOKUP(X1820,Hoja2!D:D,Hoja2!A:A)</f>
        <v>1032406382</v>
      </c>
      <c r="U1820" t="str">
        <f>_xlfn.XLOOKUP(X1820,Hoja2!D:D,Hoja2!B:B)</f>
        <v>FABIAN CONCHA</v>
      </c>
      <c r="V1820" t="str">
        <f>_xlfn.XLOOKUP(X1820,Hoja2!D:D,Hoja2!C:C)</f>
        <v>POSGRADOS</v>
      </c>
      <c r="W1820" s="9">
        <f>IF(V1820="pregrado",31,
IF(V1820="posgrados",31,
IF(V1820="rEINTEGROS",7,
IF(V1820="BIT",90,
IF(V1820="OP GRADO - INGLÉS",17,"")))))</f>
        <v>31</v>
      </c>
      <c r="X1820" t="s">
        <v>3991</v>
      </c>
    </row>
    <row r="1821" spans="1:24" x14ac:dyDescent="0.3">
      <c r="A1821" s="4">
        <v>46101</v>
      </c>
      <c r="B1821">
        <v>20129133</v>
      </c>
      <c r="C1821" t="s">
        <v>19</v>
      </c>
      <c r="D1821">
        <v>173290</v>
      </c>
      <c r="E1821" t="s">
        <v>43</v>
      </c>
      <c r="F1821">
        <v>35530874</v>
      </c>
      <c r="G1821" t="s">
        <v>4199</v>
      </c>
      <c r="H1821">
        <v>100249156</v>
      </c>
      <c r="I1821">
        <v>202652</v>
      </c>
      <c r="J1821">
        <v>35530874</v>
      </c>
      <c r="K1821" t="s">
        <v>23</v>
      </c>
      <c r="L1821" t="s">
        <v>252</v>
      </c>
      <c r="M1821" t="s">
        <v>253</v>
      </c>
      <c r="N1821" t="s">
        <v>35</v>
      </c>
      <c r="O1821" t="s">
        <v>26</v>
      </c>
      <c r="P1821" t="s">
        <v>27</v>
      </c>
      <c r="Q1821" t="s">
        <v>28</v>
      </c>
      <c r="R1821" t="s">
        <v>29</v>
      </c>
      <c r="S1821" t="s">
        <v>793</v>
      </c>
      <c r="T1821">
        <f>_xlfn.XLOOKUP(X1821,Hoja2!D:D,Hoja2!A:A)</f>
        <v>1033793185</v>
      </c>
      <c r="U1821" t="str">
        <f>_xlfn.XLOOKUP(X1821,Hoja2!D:D,Hoja2!B:B)</f>
        <v>IVONNE JINETH RODRIGUEZ ROJAS</v>
      </c>
      <c r="V1821" t="str">
        <f>_xlfn.XLOOKUP(X1821,Hoja2!D:D,Hoja2!C:C)</f>
        <v>POSGRADOS</v>
      </c>
      <c r="W1821" s="9">
        <f>IF(V1821="pregrado",31,
IF(V1821="posgrados",31,
IF(V1821="rEINTEGROS",7,
IF(V1821="BIT",90,
IF(V1821="OP GRADO - INGLÉS",17,"")))))</f>
        <v>31</v>
      </c>
      <c r="X1821" t="s">
        <v>4082</v>
      </c>
    </row>
    <row r="1822" spans="1:24" x14ac:dyDescent="0.3">
      <c r="A1822" s="4">
        <v>46106</v>
      </c>
      <c r="B1822">
        <v>20129331</v>
      </c>
      <c r="C1822" t="s">
        <v>19</v>
      </c>
      <c r="D1822">
        <v>173293</v>
      </c>
      <c r="E1822" t="s">
        <v>43</v>
      </c>
      <c r="F1822">
        <v>1120217980</v>
      </c>
      <c r="G1822" t="s">
        <v>4244</v>
      </c>
      <c r="H1822">
        <v>100249163</v>
      </c>
      <c r="I1822">
        <v>202652</v>
      </c>
      <c r="J1822">
        <v>1120217980</v>
      </c>
      <c r="K1822" t="s">
        <v>23</v>
      </c>
      <c r="L1822" t="s">
        <v>252</v>
      </c>
      <c r="M1822" t="s">
        <v>253</v>
      </c>
      <c r="N1822" t="s">
        <v>35</v>
      </c>
      <c r="O1822" t="s">
        <v>26</v>
      </c>
      <c r="P1822" t="s">
        <v>27</v>
      </c>
      <c r="Q1822" t="s">
        <v>28</v>
      </c>
      <c r="R1822" t="s">
        <v>29</v>
      </c>
      <c r="S1822" t="s">
        <v>793</v>
      </c>
      <c r="T1822">
        <f>_xlfn.XLOOKUP(X1822,Hoja2!D:D,Hoja2!A:A)</f>
        <v>1015401969</v>
      </c>
      <c r="U1822" t="str">
        <f>_xlfn.XLOOKUP(X1822,Hoja2!D:D,Hoja2!B:B)</f>
        <v>FABIAN CONCHA</v>
      </c>
      <c r="V1822" t="str">
        <f>_xlfn.XLOOKUP(X1822,Hoja2!D:D,Hoja2!C:C)</f>
        <v>POSGRADOS</v>
      </c>
      <c r="W1822" s="9">
        <f>IF(V1822="pregrado",31,
IF(V1822="posgrados",31,
IF(V1822="rEINTEGROS",7,
IF(V1822="BIT",90,
IF(V1822="OP GRADO - INGLÉS",17,"")))))</f>
        <v>31</v>
      </c>
      <c r="X1822" t="s">
        <v>3945</v>
      </c>
    </row>
    <row r="1823" spans="1:24" x14ac:dyDescent="0.3">
      <c r="A1823" s="4">
        <v>46106</v>
      </c>
      <c r="B1823">
        <v>20129417</v>
      </c>
      <c r="C1823" t="s">
        <v>19</v>
      </c>
      <c r="D1823">
        <v>173295</v>
      </c>
      <c r="E1823" t="s">
        <v>43</v>
      </c>
      <c r="F1823">
        <v>1082895789</v>
      </c>
      <c r="G1823" t="s">
        <v>4262</v>
      </c>
      <c r="H1823">
        <v>100249166</v>
      </c>
      <c r="I1823">
        <v>202652</v>
      </c>
      <c r="J1823">
        <v>1082895789</v>
      </c>
      <c r="K1823" t="s">
        <v>23</v>
      </c>
      <c r="L1823" t="s">
        <v>252</v>
      </c>
      <c r="M1823" t="s">
        <v>253</v>
      </c>
      <c r="N1823" t="s">
        <v>35</v>
      </c>
      <c r="O1823" t="s">
        <v>26</v>
      </c>
      <c r="P1823" t="s">
        <v>27</v>
      </c>
      <c r="Q1823" t="s">
        <v>28</v>
      </c>
      <c r="R1823" t="s">
        <v>29</v>
      </c>
      <c r="S1823" t="s">
        <v>793</v>
      </c>
      <c r="T1823">
        <f>_xlfn.XLOOKUP(X1823,Hoja2!D:D,Hoja2!A:A)</f>
        <v>1015401969</v>
      </c>
      <c r="U1823" t="str">
        <f>_xlfn.XLOOKUP(X1823,Hoja2!D:D,Hoja2!B:B)</f>
        <v>FABIAN CONCHA</v>
      </c>
      <c r="V1823" t="str">
        <f>_xlfn.XLOOKUP(X1823,Hoja2!D:D,Hoja2!C:C)</f>
        <v>POSGRADOS</v>
      </c>
      <c r="W1823" s="9">
        <f>IF(V1823="pregrado",31,
IF(V1823="posgrados",31,
IF(V1823="rEINTEGROS",7,
IF(V1823="BIT",90,
IF(V1823="OP GRADO - INGLÉS",17,"")))))</f>
        <v>31</v>
      </c>
      <c r="X1823" t="s">
        <v>3945</v>
      </c>
    </row>
    <row r="1824" spans="1:24" x14ac:dyDescent="0.3">
      <c r="A1824" s="4">
        <v>46100</v>
      </c>
      <c r="B1824">
        <v>20129000</v>
      </c>
      <c r="C1824" t="s">
        <v>19</v>
      </c>
      <c r="D1824">
        <v>173302</v>
      </c>
      <c r="E1824" t="s">
        <v>43</v>
      </c>
      <c r="F1824">
        <v>1116247900</v>
      </c>
      <c r="G1824" t="s">
        <v>4186</v>
      </c>
      <c r="H1824">
        <v>100249123</v>
      </c>
      <c r="I1824">
        <v>202642</v>
      </c>
      <c r="J1824">
        <v>1116247900</v>
      </c>
      <c r="K1824" t="s">
        <v>23</v>
      </c>
      <c r="L1824" t="s">
        <v>4163</v>
      </c>
      <c r="M1824" t="s">
        <v>47</v>
      </c>
      <c r="N1824" t="s">
        <v>35</v>
      </c>
      <c r="O1824" t="s">
        <v>26</v>
      </c>
      <c r="P1824" t="s">
        <v>27</v>
      </c>
      <c r="Q1824" t="s">
        <v>28</v>
      </c>
      <c r="R1824" t="s">
        <v>29</v>
      </c>
      <c r="S1824" t="s">
        <v>793</v>
      </c>
      <c r="T1824">
        <f>_xlfn.XLOOKUP(X1824,Hoja2!D:D,Hoja2!A:A)</f>
        <v>1233888787</v>
      </c>
      <c r="U1824" t="str">
        <f>_xlfn.XLOOKUP(X1824,Hoja2!D:D,Hoja2!B:B)</f>
        <v>FABIAN CONCHA</v>
      </c>
      <c r="V1824" t="str">
        <f>_xlfn.XLOOKUP(X1824,Hoja2!D:D,Hoja2!C:C)</f>
        <v>POSGRADOS</v>
      </c>
      <c r="W1824" s="9">
        <f>IF(V1824="pregrado",31,
IF(V1824="posgrados",31,
IF(V1824="rEINTEGROS",7,
IF(V1824="BIT",90,
IF(V1824="OP GRADO - INGLÉS",17,"")))))</f>
        <v>31</v>
      </c>
      <c r="X1824" t="s">
        <v>3998</v>
      </c>
    </row>
    <row r="1825" spans="1:24" x14ac:dyDescent="0.3">
      <c r="A1825" s="4">
        <v>46101</v>
      </c>
      <c r="B1825">
        <v>20129064</v>
      </c>
      <c r="C1825" t="s">
        <v>19</v>
      </c>
      <c r="D1825">
        <v>173315</v>
      </c>
      <c r="E1825" t="s">
        <v>43</v>
      </c>
      <c r="F1825">
        <v>12579822</v>
      </c>
      <c r="G1825" t="s">
        <v>4195</v>
      </c>
      <c r="H1825">
        <v>100249197</v>
      </c>
      <c r="I1825">
        <v>202652</v>
      </c>
      <c r="J1825">
        <v>1143339827</v>
      </c>
      <c r="K1825" t="s">
        <v>23</v>
      </c>
      <c r="L1825" t="s">
        <v>252</v>
      </c>
      <c r="M1825" t="s">
        <v>253</v>
      </c>
      <c r="N1825" t="s">
        <v>35</v>
      </c>
      <c r="O1825" t="s">
        <v>26</v>
      </c>
      <c r="P1825" t="s">
        <v>27</v>
      </c>
      <c r="Q1825" t="s">
        <v>28</v>
      </c>
      <c r="R1825" t="s">
        <v>29</v>
      </c>
      <c r="S1825" t="s">
        <v>793</v>
      </c>
      <c r="T1825">
        <f>_xlfn.XLOOKUP(X1825,Hoja2!D:D,Hoja2!A:A)</f>
        <v>1033784244</v>
      </c>
      <c r="U1825" t="str">
        <f>_xlfn.XLOOKUP(X1825,Hoja2!D:D,Hoja2!B:B)</f>
        <v>IVONNE JINETH RODRIGUEZ ROJAS</v>
      </c>
      <c r="V1825" t="str">
        <f>_xlfn.XLOOKUP(X1825,Hoja2!D:D,Hoja2!C:C)</f>
        <v>POSGRADOS</v>
      </c>
      <c r="W1825" s="9">
        <f>IF(V1825="pregrado",31,
IF(V1825="posgrados",31,
IF(V1825="rEINTEGROS",7,
IF(V1825="BIT",90,
IF(V1825="OP GRADO - INGLÉS",17,"")))))</f>
        <v>31</v>
      </c>
      <c r="X1825" t="s">
        <v>4067</v>
      </c>
    </row>
    <row r="1826" spans="1:24" x14ac:dyDescent="0.3">
      <c r="A1826" s="4">
        <v>46106</v>
      </c>
      <c r="B1826">
        <v>20129387</v>
      </c>
      <c r="C1826" t="s">
        <v>19</v>
      </c>
      <c r="D1826">
        <v>173322</v>
      </c>
      <c r="E1826" t="s">
        <v>43</v>
      </c>
      <c r="F1826">
        <v>53114678</v>
      </c>
      <c r="G1826" t="s">
        <v>4254</v>
      </c>
      <c r="H1826">
        <v>100249202</v>
      </c>
      <c r="I1826">
        <v>202652</v>
      </c>
      <c r="J1826">
        <v>53114678</v>
      </c>
      <c r="K1826" t="s">
        <v>23</v>
      </c>
      <c r="L1826" t="s">
        <v>252</v>
      </c>
      <c r="M1826" t="s">
        <v>253</v>
      </c>
      <c r="N1826" t="s">
        <v>35</v>
      </c>
      <c r="O1826" t="s">
        <v>26</v>
      </c>
      <c r="P1826" t="s">
        <v>27</v>
      </c>
      <c r="Q1826" t="s">
        <v>28</v>
      </c>
      <c r="R1826" t="s">
        <v>29</v>
      </c>
      <c r="S1826" t="s">
        <v>793</v>
      </c>
      <c r="T1826">
        <f>_xlfn.XLOOKUP(X1826,Hoja2!D:D,Hoja2!A:A)</f>
        <v>1033793185</v>
      </c>
      <c r="U1826" t="str">
        <f>_xlfn.XLOOKUP(X1826,Hoja2!D:D,Hoja2!B:B)</f>
        <v>IVONNE JINETH RODRIGUEZ ROJAS</v>
      </c>
      <c r="V1826" t="str">
        <f>_xlfn.XLOOKUP(X1826,Hoja2!D:D,Hoja2!C:C)</f>
        <v>POSGRADOS</v>
      </c>
      <c r="W1826" s="9">
        <f>IF(V1826="pregrado",31,
IF(V1826="posgrados",31,
IF(V1826="rEINTEGROS",7,
IF(V1826="BIT",90,
IF(V1826="OP GRADO - INGLÉS",17,"")))))</f>
        <v>31</v>
      </c>
      <c r="X1826" t="s">
        <v>4082</v>
      </c>
    </row>
    <row r="1827" spans="1:24" x14ac:dyDescent="0.3">
      <c r="A1827" s="4">
        <v>46105</v>
      </c>
      <c r="B1827">
        <v>20129245</v>
      </c>
      <c r="C1827" t="s">
        <v>19</v>
      </c>
      <c r="D1827">
        <v>173323</v>
      </c>
      <c r="E1827" t="s">
        <v>43</v>
      </c>
      <c r="F1827">
        <v>1090424357</v>
      </c>
      <c r="G1827" t="s">
        <v>4222</v>
      </c>
      <c r="H1827">
        <v>100249203</v>
      </c>
      <c r="I1827">
        <v>202642</v>
      </c>
      <c r="J1827">
        <v>1090424357</v>
      </c>
      <c r="K1827" t="s">
        <v>23</v>
      </c>
      <c r="L1827" t="s">
        <v>59</v>
      </c>
      <c r="M1827" t="s">
        <v>47</v>
      </c>
      <c r="N1827" t="s">
        <v>35</v>
      </c>
      <c r="O1827" t="s">
        <v>26</v>
      </c>
      <c r="P1827" t="s">
        <v>27</v>
      </c>
      <c r="Q1827" t="s">
        <v>28</v>
      </c>
      <c r="R1827" t="s">
        <v>29</v>
      </c>
      <c r="S1827" t="s">
        <v>793</v>
      </c>
      <c r="T1827">
        <f>_xlfn.XLOOKUP(X1827,Hoja2!D:D,Hoja2!A:A)</f>
        <v>1019068131</v>
      </c>
      <c r="U1827" t="str">
        <f>_xlfn.XLOOKUP(X1827,Hoja2!D:D,Hoja2!B:B)</f>
        <v>IVONNE JINETH RODRIGUEZ ROJAS</v>
      </c>
      <c r="V1827" t="str">
        <f>_xlfn.XLOOKUP(X1827,Hoja2!D:D,Hoja2!C:C)</f>
        <v>POSGRADOS</v>
      </c>
      <c r="W1827" s="9">
        <f>IF(V1827="pregrado",31,
IF(V1827="posgrados",31,
IF(V1827="rEINTEGROS",7,
IF(V1827="BIT",90,
IF(V1827="OP GRADO - INGLÉS",17,"")))))</f>
        <v>31</v>
      </c>
      <c r="X1827" t="s">
        <v>4066</v>
      </c>
    </row>
    <row r="1828" spans="1:24" x14ac:dyDescent="0.3">
      <c r="A1828" s="4">
        <v>46107</v>
      </c>
      <c r="B1828">
        <v>20129522</v>
      </c>
      <c r="C1828" t="s">
        <v>19</v>
      </c>
      <c r="D1828">
        <v>173329</v>
      </c>
      <c r="E1828" t="s">
        <v>43</v>
      </c>
      <c r="F1828">
        <v>1101455369</v>
      </c>
      <c r="G1828" t="s">
        <v>4286</v>
      </c>
      <c r="H1828">
        <v>100249207</v>
      </c>
      <c r="I1828">
        <v>202652</v>
      </c>
      <c r="J1828">
        <v>1101455369</v>
      </c>
      <c r="K1828" t="s">
        <v>23</v>
      </c>
      <c r="L1828" t="s">
        <v>252</v>
      </c>
      <c r="M1828" t="s">
        <v>253</v>
      </c>
      <c r="N1828" t="s">
        <v>35</v>
      </c>
      <c r="O1828" t="s">
        <v>26</v>
      </c>
      <c r="P1828" t="s">
        <v>27</v>
      </c>
      <c r="Q1828" t="s">
        <v>28</v>
      </c>
      <c r="R1828" t="s">
        <v>29</v>
      </c>
      <c r="S1828" t="s">
        <v>793</v>
      </c>
      <c r="T1828">
        <f>_xlfn.XLOOKUP(X1828,Hoja2!D:D,Hoja2!A:A)</f>
        <v>1012389748</v>
      </c>
      <c r="U1828" t="str">
        <f>_xlfn.XLOOKUP(X1828,Hoja2!D:D,Hoja2!B:B)</f>
        <v>IVONNE JINETH RODRIGUEZ ROJAS</v>
      </c>
      <c r="V1828" t="str">
        <f>_xlfn.XLOOKUP(X1828,Hoja2!D:D,Hoja2!C:C)</f>
        <v>POSGRADOS</v>
      </c>
      <c r="W1828" s="9">
        <f>IF(V1828="pregrado",31,
IF(V1828="posgrados",31,
IF(V1828="rEINTEGROS",7,
IF(V1828="BIT",90,
IF(V1828="OP GRADO - INGLÉS",17,"")))))</f>
        <v>31</v>
      </c>
      <c r="X1828" t="s">
        <v>4065</v>
      </c>
    </row>
    <row r="1829" spans="1:24" x14ac:dyDescent="0.3">
      <c r="A1829" s="4">
        <v>46101</v>
      </c>
      <c r="B1829">
        <v>20129142</v>
      </c>
      <c r="C1829" t="s">
        <v>19</v>
      </c>
      <c r="D1829">
        <v>173339</v>
      </c>
      <c r="E1829" t="s">
        <v>43</v>
      </c>
      <c r="F1829">
        <v>1005068948</v>
      </c>
      <c r="G1829" t="s">
        <v>4202</v>
      </c>
      <c r="H1829">
        <v>100249213</v>
      </c>
      <c r="I1829">
        <v>202642</v>
      </c>
      <c r="J1829">
        <v>1005068948</v>
      </c>
      <c r="K1829" t="s">
        <v>23</v>
      </c>
      <c r="L1829" t="s">
        <v>160</v>
      </c>
      <c r="M1829" t="s">
        <v>47</v>
      </c>
      <c r="N1829" t="s">
        <v>25</v>
      </c>
      <c r="O1829" t="s">
        <v>26</v>
      </c>
      <c r="P1829" t="s">
        <v>27</v>
      </c>
      <c r="Q1829" t="s">
        <v>28</v>
      </c>
      <c r="R1829" t="s">
        <v>29</v>
      </c>
      <c r="S1829" t="s">
        <v>793</v>
      </c>
      <c r="T1829">
        <f>_xlfn.XLOOKUP(X1829,Hoja2!D:D,Hoja2!A:A)</f>
        <v>1014285873</v>
      </c>
      <c r="U1829" t="str">
        <f>_xlfn.XLOOKUP(X1829,Hoja2!D:D,Hoja2!B:B)</f>
        <v>IVONNE JINETH RODRIGUEZ ROJAS</v>
      </c>
      <c r="V1829" t="str">
        <f>_xlfn.XLOOKUP(X1829,Hoja2!D:D,Hoja2!C:C)</f>
        <v>POSGRADOS</v>
      </c>
      <c r="W1829" s="9">
        <f>IF(V1829="pregrado",31,
IF(V1829="posgrados",31,
IF(V1829="rEINTEGROS",7,
IF(V1829="BIT",90,
IF(V1829="OP GRADO - INGLÉS",17,"")))))</f>
        <v>31</v>
      </c>
      <c r="X1829" t="s">
        <v>3953</v>
      </c>
    </row>
    <row r="1830" spans="1:24" x14ac:dyDescent="0.3">
      <c r="A1830" s="4">
        <v>46101</v>
      </c>
      <c r="B1830">
        <v>20129138</v>
      </c>
      <c r="C1830" t="s">
        <v>19</v>
      </c>
      <c r="D1830">
        <v>173351</v>
      </c>
      <c r="E1830" t="s">
        <v>43</v>
      </c>
      <c r="F1830">
        <v>1006523533</v>
      </c>
      <c r="G1830" t="s">
        <v>4200</v>
      </c>
      <c r="H1830">
        <v>100249226</v>
      </c>
      <c r="I1830">
        <v>202652</v>
      </c>
      <c r="J1830">
        <v>1006523533</v>
      </c>
      <c r="K1830" t="s">
        <v>23</v>
      </c>
      <c r="L1830" t="s">
        <v>252</v>
      </c>
      <c r="M1830" t="s">
        <v>253</v>
      </c>
      <c r="N1830" t="s">
        <v>35</v>
      </c>
      <c r="O1830" t="s">
        <v>26</v>
      </c>
      <c r="P1830" t="s">
        <v>27</v>
      </c>
      <c r="Q1830" t="s">
        <v>28</v>
      </c>
      <c r="R1830" t="s">
        <v>29</v>
      </c>
      <c r="S1830" t="s">
        <v>793</v>
      </c>
      <c r="T1830">
        <f>_xlfn.XLOOKUP(X1830,Hoja2!D:D,Hoja2!A:A)</f>
        <v>1014285873</v>
      </c>
      <c r="U1830" t="str">
        <f>_xlfn.XLOOKUP(X1830,Hoja2!D:D,Hoja2!B:B)</f>
        <v>IVONNE JINETH RODRIGUEZ ROJAS</v>
      </c>
      <c r="V1830" t="str">
        <f>_xlfn.XLOOKUP(X1830,Hoja2!D:D,Hoja2!C:C)</f>
        <v>POSGRADOS</v>
      </c>
      <c r="W1830" s="9">
        <f>IF(V1830="pregrado",31,
IF(V1830="posgrados",31,
IF(V1830="rEINTEGROS",7,
IF(V1830="BIT",90,
IF(V1830="OP GRADO - INGLÉS",17,"")))))</f>
        <v>31</v>
      </c>
      <c r="X1830" t="s">
        <v>3953</v>
      </c>
    </row>
    <row r="1831" spans="1:24" x14ac:dyDescent="0.3">
      <c r="A1831" s="4">
        <v>46105</v>
      </c>
      <c r="B1831">
        <v>20129235</v>
      </c>
      <c r="C1831" t="s">
        <v>19</v>
      </c>
      <c r="D1831">
        <v>173382</v>
      </c>
      <c r="E1831" t="s">
        <v>43</v>
      </c>
      <c r="F1831">
        <v>39213191</v>
      </c>
      <c r="G1831" t="s">
        <v>4218</v>
      </c>
      <c r="H1831">
        <v>100249268</v>
      </c>
      <c r="I1831">
        <v>202652</v>
      </c>
      <c r="J1831">
        <v>1128469149</v>
      </c>
      <c r="K1831" t="s">
        <v>23</v>
      </c>
      <c r="L1831" t="s">
        <v>252</v>
      </c>
      <c r="M1831" t="s">
        <v>253</v>
      </c>
      <c r="N1831" t="s">
        <v>35</v>
      </c>
      <c r="O1831" t="s">
        <v>26</v>
      </c>
      <c r="P1831" t="s">
        <v>27</v>
      </c>
      <c r="Q1831" t="s">
        <v>28</v>
      </c>
      <c r="R1831" t="s">
        <v>29</v>
      </c>
      <c r="S1831" t="s">
        <v>793</v>
      </c>
      <c r="T1831">
        <f>_xlfn.XLOOKUP(X1831,Hoja2!D:D,Hoja2!A:A)</f>
        <v>1233513889</v>
      </c>
      <c r="U1831" t="str">
        <f>_xlfn.XLOOKUP(X1831,Hoja2!D:D,Hoja2!B:B)</f>
        <v>IVONNE JINETH RODRIGUEZ ROJAS</v>
      </c>
      <c r="V1831" t="str">
        <f>_xlfn.XLOOKUP(X1831,Hoja2!D:D,Hoja2!C:C)</f>
        <v>POSGRADOS</v>
      </c>
      <c r="W1831" s="9">
        <f>IF(V1831="pregrado",31,
IF(V1831="posgrados",31,
IF(V1831="rEINTEGROS",7,
IF(V1831="BIT",90,
IF(V1831="OP GRADO - INGLÉS",17,"")))))</f>
        <v>31</v>
      </c>
      <c r="X1831" t="s">
        <v>4035</v>
      </c>
    </row>
    <row r="1832" spans="1:24" x14ac:dyDescent="0.3">
      <c r="A1832" s="4">
        <v>46105</v>
      </c>
      <c r="B1832">
        <v>20129224</v>
      </c>
      <c r="C1832" t="s">
        <v>19</v>
      </c>
      <c r="D1832">
        <v>173387</v>
      </c>
      <c r="E1832" t="s">
        <v>43</v>
      </c>
      <c r="F1832">
        <v>26008535</v>
      </c>
      <c r="G1832" t="s">
        <v>4214</v>
      </c>
      <c r="H1832">
        <v>100215447</v>
      </c>
      <c r="I1832">
        <v>202652</v>
      </c>
      <c r="J1832">
        <v>26008535</v>
      </c>
      <c r="K1832" t="s">
        <v>23</v>
      </c>
      <c r="L1832" t="s">
        <v>252</v>
      </c>
      <c r="M1832" t="s">
        <v>253</v>
      </c>
      <c r="N1832" t="s">
        <v>35</v>
      </c>
      <c r="O1832" t="s">
        <v>26</v>
      </c>
      <c r="P1832" t="s">
        <v>27</v>
      </c>
      <c r="Q1832" t="s">
        <v>28</v>
      </c>
      <c r="R1832" t="s">
        <v>29</v>
      </c>
      <c r="S1832" t="s">
        <v>793</v>
      </c>
      <c r="T1832">
        <f>_xlfn.XLOOKUP(X1832,Hoja2!D:D,Hoja2!A:A)</f>
        <v>1075542872</v>
      </c>
      <c r="U1832" t="str">
        <f>_xlfn.XLOOKUP(X1832,Hoja2!D:D,Hoja2!B:B)</f>
        <v>IVONNE JINETH RODRIGUEZ ROJAS</v>
      </c>
      <c r="V1832" t="str">
        <f>_xlfn.XLOOKUP(X1832,Hoja2!D:D,Hoja2!C:C)</f>
        <v>POSGRADOS</v>
      </c>
      <c r="W1832" s="9">
        <f>IF(V1832="pregrado",31,
IF(V1832="posgrados",31,
IF(V1832="rEINTEGROS",7,
IF(V1832="BIT",90,
IF(V1832="OP GRADO - INGLÉS",17,"")))))</f>
        <v>31</v>
      </c>
      <c r="X1832" t="s">
        <v>3974</v>
      </c>
    </row>
    <row r="1833" spans="1:24" x14ac:dyDescent="0.3">
      <c r="A1833" s="4">
        <v>46102</v>
      </c>
      <c r="B1833">
        <v>20129180</v>
      </c>
      <c r="C1833" t="s">
        <v>19</v>
      </c>
      <c r="D1833">
        <v>173392</v>
      </c>
      <c r="E1833" t="s">
        <v>43</v>
      </c>
      <c r="F1833">
        <v>1143427244</v>
      </c>
      <c r="G1833" t="s">
        <v>4209</v>
      </c>
      <c r="H1833">
        <v>100249280</v>
      </c>
      <c r="I1833">
        <v>202642</v>
      </c>
      <c r="J1833">
        <v>1233904113</v>
      </c>
      <c r="K1833" t="s">
        <v>23</v>
      </c>
      <c r="L1833" t="s">
        <v>160</v>
      </c>
      <c r="M1833" t="s">
        <v>47</v>
      </c>
      <c r="N1833" t="s">
        <v>35</v>
      </c>
      <c r="O1833" t="s">
        <v>26</v>
      </c>
      <c r="P1833" t="s">
        <v>27</v>
      </c>
      <c r="Q1833" t="s">
        <v>28</v>
      </c>
      <c r="R1833" t="s">
        <v>29</v>
      </c>
      <c r="S1833" t="s">
        <v>793</v>
      </c>
      <c r="T1833">
        <f>_xlfn.XLOOKUP(X1833,Hoja2!D:D,Hoja2!A:A)</f>
        <v>1070973852</v>
      </c>
      <c r="U1833" t="str">
        <f>_xlfn.XLOOKUP(X1833,Hoja2!D:D,Hoja2!B:B)</f>
        <v>FABIAN CONCHA</v>
      </c>
      <c r="V1833" t="str">
        <f>_xlfn.XLOOKUP(X1833,Hoja2!D:D,Hoja2!C:C)</f>
        <v>POSGRADOS</v>
      </c>
      <c r="W1833" s="9">
        <f>IF(V1833="pregrado",31,
IF(V1833="posgrados",31,
IF(V1833="rEINTEGROS",7,
IF(V1833="BIT",90,
IF(V1833="OP GRADO - INGLÉS",17,"")))))</f>
        <v>31</v>
      </c>
      <c r="X1833" t="s">
        <v>3957</v>
      </c>
    </row>
    <row r="1834" spans="1:24" x14ac:dyDescent="0.3">
      <c r="A1834" s="4">
        <v>46106</v>
      </c>
      <c r="B1834">
        <v>20129354</v>
      </c>
      <c r="C1834" t="s">
        <v>19</v>
      </c>
      <c r="D1834">
        <v>173402</v>
      </c>
      <c r="E1834" t="s">
        <v>43</v>
      </c>
      <c r="F1834">
        <v>1233191045</v>
      </c>
      <c r="G1834" t="s">
        <v>4249</v>
      </c>
      <c r="H1834">
        <v>100249290</v>
      </c>
      <c r="I1834">
        <v>202652</v>
      </c>
      <c r="J1834">
        <v>1233191045</v>
      </c>
      <c r="K1834" t="s">
        <v>23</v>
      </c>
      <c r="L1834" t="s">
        <v>252</v>
      </c>
      <c r="M1834" t="s">
        <v>253</v>
      </c>
      <c r="N1834" t="s">
        <v>35</v>
      </c>
      <c r="O1834" t="s">
        <v>26</v>
      </c>
      <c r="P1834" t="s">
        <v>27</v>
      </c>
      <c r="Q1834" t="s">
        <v>28</v>
      </c>
      <c r="R1834" t="s">
        <v>29</v>
      </c>
      <c r="S1834" t="s">
        <v>793</v>
      </c>
      <c r="T1834">
        <f>_xlfn.XLOOKUP(X1834,Hoja2!D:D,Hoja2!A:A)</f>
        <v>52032666</v>
      </c>
      <c r="U1834" t="str">
        <f>_xlfn.XLOOKUP(X1834,Hoja2!D:D,Hoja2!B:B)</f>
        <v>IVONNE JINETH RODRIGUEZ ROJAS</v>
      </c>
      <c r="V1834" t="str">
        <f>_xlfn.XLOOKUP(X1834,Hoja2!D:D,Hoja2!C:C)</f>
        <v>POSGRADOS</v>
      </c>
      <c r="W1834" s="9">
        <f>IF(V1834="pregrado",31,
IF(V1834="posgrados",31,
IF(V1834="rEINTEGROS",7,
IF(V1834="BIT",90,
IF(V1834="OP GRADO - INGLÉS",17,"")))))</f>
        <v>31</v>
      </c>
      <c r="X1834" t="s">
        <v>3983</v>
      </c>
    </row>
    <row r="1835" spans="1:24" x14ac:dyDescent="0.3">
      <c r="A1835" s="4">
        <v>46108</v>
      </c>
      <c r="B1835">
        <v>20129596</v>
      </c>
      <c r="C1835" t="s">
        <v>19</v>
      </c>
      <c r="D1835">
        <v>173412</v>
      </c>
      <c r="E1835" t="s">
        <v>43</v>
      </c>
      <c r="F1835">
        <v>1075309384</v>
      </c>
      <c r="G1835" t="s">
        <v>4305</v>
      </c>
      <c r="H1835">
        <v>100249298</v>
      </c>
      <c r="I1835">
        <v>202642</v>
      </c>
      <c r="J1835">
        <v>52719058</v>
      </c>
      <c r="K1835" t="s">
        <v>23</v>
      </c>
      <c r="L1835" t="s">
        <v>160</v>
      </c>
      <c r="M1835" t="s">
        <v>47</v>
      </c>
      <c r="N1835" t="s">
        <v>35</v>
      </c>
      <c r="O1835" t="s">
        <v>26</v>
      </c>
      <c r="P1835" t="s">
        <v>27</v>
      </c>
      <c r="Q1835" t="s">
        <v>28</v>
      </c>
      <c r="R1835" t="s">
        <v>29</v>
      </c>
      <c r="S1835" t="s">
        <v>793</v>
      </c>
      <c r="T1835">
        <f>_xlfn.XLOOKUP(X1835,Hoja2!D:D,Hoja2!A:A)</f>
        <v>52916205</v>
      </c>
      <c r="U1835" t="str">
        <f>_xlfn.XLOOKUP(X1835,Hoja2!D:D,Hoja2!B:B)</f>
        <v>FABIAN CONCHA</v>
      </c>
      <c r="V1835" t="str">
        <f>_xlfn.XLOOKUP(X1835,Hoja2!D:D,Hoja2!C:C)</f>
        <v>POSGRADOS</v>
      </c>
      <c r="W1835" s="9">
        <f>IF(V1835="pregrado",31,
IF(V1835="posgrados",31,
IF(V1835="rEINTEGROS",7,
IF(V1835="BIT",90,
IF(V1835="OP GRADO - INGLÉS",17,"")))))</f>
        <v>31</v>
      </c>
      <c r="X1835" t="s">
        <v>4032</v>
      </c>
    </row>
    <row r="1836" spans="1:24" x14ac:dyDescent="0.3">
      <c r="A1836" s="4">
        <v>46105</v>
      </c>
      <c r="B1836">
        <v>20129295</v>
      </c>
      <c r="C1836" t="s">
        <v>19</v>
      </c>
      <c r="D1836">
        <v>173419</v>
      </c>
      <c r="E1836" t="s">
        <v>43</v>
      </c>
      <c r="F1836">
        <v>1010010719</v>
      </c>
      <c r="G1836" t="s">
        <v>4237</v>
      </c>
      <c r="H1836">
        <v>100249307</v>
      </c>
      <c r="I1836">
        <v>202652</v>
      </c>
      <c r="J1836">
        <v>1010010719</v>
      </c>
      <c r="K1836" t="s">
        <v>23</v>
      </c>
      <c r="L1836" t="s">
        <v>252</v>
      </c>
      <c r="M1836" t="s">
        <v>253</v>
      </c>
      <c r="N1836" t="s">
        <v>35</v>
      </c>
      <c r="O1836" t="s">
        <v>26</v>
      </c>
      <c r="P1836" t="s">
        <v>27</v>
      </c>
      <c r="Q1836" t="s">
        <v>28</v>
      </c>
      <c r="R1836" t="s">
        <v>29</v>
      </c>
      <c r="S1836" t="s">
        <v>793</v>
      </c>
      <c r="T1836">
        <f>_xlfn.XLOOKUP(X1836,Hoja2!D:D,Hoja2!A:A)</f>
        <v>1032451737</v>
      </c>
      <c r="U1836" t="str">
        <f>_xlfn.XLOOKUP(X1836,Hoja2!D:D,Hoja2!B:B)</f>
        <v>IVONNE JINETH RODRIGUEZ ROJAS</v>
      </c>
      <c r="V1836" t="str">
        <f>_xlfn.XLOOKUP(X1836,Hoja2!D:D,Hoja2!C:C)</f>
        <v>POSGRADOS</v>
      </c>
      <c r="W1836" s="9">
        <f>IF(V1836="pregrado",31,
IF(V1836="posgrados",31,
IF(V1836="rEINTEGROS",7,
IF(V1836="BIT",90,
IF(V1836="OP GRADO - INGLÉS",17,"")))))</f>
        <v>31</v>
      </c>
      <c r="X1836" t="s">
        <v>4033</v>
      </c>
    </row>
    <row r="1837" spans="1:24" x14ac:dyDescent="0.3">
      <c r="A1837" s="4">
        <v>46105</v>
      </c>
      <c r="B1837">
        <v>20129294</v>
      </c>
      <c r="C1837" t="s">
        <v>19</v>
      </c>
      <c r="D1837">
        <v>173420</v>
      </c>
      <c r="E1837" t="s">
        <v>43</v>
      </c>
      <c r="F1837">
        <v>19561666</v>
      </c>
      <c r="G1837" t="s">
        <v>4236</v>
      </c>
      <c r="H1837">
        <v>100249309</v>
      </c>
      <c r="I1837">
        <v>202652</v>
      </c>
      <c r="J1837">
        <v>36729042</v>
      </c>
      <c r="K1837" t="s">
        <v>23</v>
      </c>
      <c r="L1837" t="s">
        <v>252</v>
      </c>
      <c r="M1837" t="s">
        <v>253</v>
      </c>
      <c r="N1837" t="s">
        <v>35</v>
      </c>
      <c r="O1837" t="s">
        <v>26</v>
      </c>
      <c r="P1837" t="s">
        <v>27</v>
      </c>
      <c r="Q1837" t="s">
        <v>28</v>
      </c>
      <c r="R1837" t="s">
        <v>29</v>
      </c>
      <c r="S1837" t="s">
        <v>793</v>
      </c>
      <c r="T1837">
        <f>_xlfn.XLOOKUP(X1837,Hoja2!D:D,Hoja2!A:A)</f>
        <v>1014285873</v>
      </c>
      <c r="U1837" t="str">
        <f>_xlfn.XLOOKUP(X1837,Hoja2!D:D,Hoja2!B:B)</f>
        <v>IVONNE JINETH RODRIGUEZ ROJAS</v>
      </c>
      <c r="V1837" t="str">
        <f>_xlfn.XLOOKUP(X1837,Hoja2!D:D,Hoja2!C:C)</f>
        <v>POSGRADOS</v>
      </c>
      <c r="W1837" s="9">
        <f>IF(V1837="pregrado",31,
IF(V1837="posgrados",31,
IF(V1837="rEINTEGROS",7,
IF(V1837="BIT",90,
IF(V1837="OP GRADO - INGLÉS",17,"")))))</f>
        <v>31</v>
      </c>
      <c r="X1837" t="s">
        <v>3953</v>
      </c>
    </row>
    <row r="1838" spans="1:24" x14ac:dyDescent="0.3">
      <c r="A1838" s="4">
        <v>46106</v>
      </c>
      <c r="B1838">
        <v>20129398</v>
      </c>
      <c r="C1838" t="s">
        <v>19</v>
      </c>
      <c r="D1838">
        <v>173424</v>
      </c>
      <c r="E1838" t="s">
        <v>43</v>
      </c>
      <c r="F1838">
        <v>11810840</v>
      </c>
      <c r="G1838" t="s">
        <v>4258</v>
      </c>
      <c r="H1838">
        <v>100249315</v>
      </c>
      <c r="I1838">
        <v>202652</v>
      </c>
      <c r="J1838">
        <v>11810840</v>
      </c>
      <c r="K1838" t="s">
        <v>23</v>
      </c>
      <c r="L1838" t="s">
        <v>252</v>
      </c>
      <c r="M1838" t="s">
        <v>253</v>
      </c>
      <c r="N1838" t="s">
        <v>35</v>
      </c>
      <c r="O1838" t="s">
        <v>26</v>
      </c>
      <c r="P1838" t="s">
        <v>27</v>
      </c>
      <c r="Q1838" t="s">
        <v>28</v>
      </c>
      <c r="R1838" t="s">
        <v>29</v>
      </c>
      <c r="S1838" t="s">
        <v>793</v>
      </c>
      <c r="T1838">
        <f>_xlfn.XLOOKUP(X1838,Hoja2!D:D,Hoja2!A:A)</f>
        <v>1032451737</v>
      </c>
      <c r="U1838" t="str">
        <f>_xlfn.XLOOKUP(X1838,Hoja2!D:D,Hoja2!B:B)</f>
        <v>IVONNE JINETH RODRIGUEZ ROJAS</v>
      </c>
      <c r="V1838" t="str">
        <f>_xlfn.XLOOKUP(X1838,Hoja2!D:D,Hoja2!C:C)</f>
        <v>POSGRADOS</v>
      </c>
      <c r="W1838" s="9">
        <f>IF(V1838="pregrado",31,
IF(V1838="posgrados",31,
IF(V1838="rEINTEGROS",7,
IF(V1838="BIT",90,
IF(V1838="OP GRADO - INGLÉS",17,"")))))</f>
        <v>31</v>
      </c>
      <c r="X1838" t="s">
        <v>4033</v>
      </c>
    </row>
    <row r="1839" spans="1:24" x14ac:dyDescent="0.3">
      <c r="A1839" s="4">
        <v>46112</v>
      </c>
      <c r="B1839">
        <v>20129972</v>
      </c>
      <c r="C1839" t="s">
        <v>19</v>
      </c>
      <c r="D1839">
        <v>173427</v>
      </c>
      <c r="E1839" t="s">
        <v>43</v>
      </c>
      <c r="F1839">
        <v>1053842287</v>
      </c>
      <c r="G1839" t="s">
        <v>4378</v>
      </c>
      <c r="H1839">
        <v>100249319</v>
      </c>
      <c r="I1839">
        <v>202642</v>
      </c>
      <c r="J1839">
        <v>1053842287</v>
      </c>
      <c r="K1839" t="s">
        <v>23</v>
      </c>
      <c r="L1839" t="s">
        <v>59</v>
      </c>
      <c r="M1839" t="s">
        <v>47</v>
      </c>
      <c r="N1839" t="s">
        <v>35</v>
      </c>
      <c r="O1839" t="s">
        <v>26</v>
      </c>
      <c r="P1839" t="s">
        <v>27</v>
      </c>
      <c r="Q1839" t="s">
        <v>28</v>
      </c>
      <c r="R1839" t="s">
        <v>29</v>
      </c>
      <c r="S1839" t="s">
        <v>793</v>
      </c>
      <c r="T1839">
        <f>_xlfn.XLOOKUP(X1839,Hoja2!D:D,Hoja2!A:A)</f>
        <v>52965969</v>
      </c>
      <c r="U1839" t="str">
        <f>_xlfn.XLOOKUP(X1839,Hoja2!D:D,Hoja2!B:B)</f>
        <v>FABIAN CONCHA</v>
      </c>
      <c r="V1839" t="str">
        <f>_xlfn.XLOOKUP(X1839,Hoja2!D:D,Hoja2!C:C)</f>
        <v>POSGRADOS</v>
      </c>
      <c r="W1839" s="9">
        <f>IF(V1839="pregrado",31,
IF(V1839="posgrados",31,
IF(V1839="rEINTEGROS",7,
IF(V1839="BIT",90,
IF(V1839="OP GRADO - INGLÉS",17,"")))))</f>
        <v>31</v>
      </c>
      <c r="X1839" t="s">
        <v>3960</v>
      </c>
    </row>
    <row r="1840" spans="1:24" x14ac:dyDescent="0.3">
      <c r="A1840" s="4">
        <v>46109</v>
      </c>
      <c r="B1840">
        <v>20129684</v>
      </c>
      <c r="C1840" t="s">
        <v>19</v>
      </c>
      <c r="D1840">
        <v>173435</v>
      </c>
      <c r="E1840" t="s">
        <v>43</v>
      </c>
      <c r="F1840">
        <v>22868005</v>
      </c>
      <c r="G1840" t="s">
        <v>4323</v>
      </c>
      <c r="H1840">
        <v>100249329</v>
      </c>
      <c r="I1840">
        <v>202652</v>
      </c>
      <c r="J1840">
        <v>22868005</v>
      </c>
      <c r="K1840" t="s">
        <v>23</v>
      </c>
      <c r="L1840" t="s">
        <v>252</v>
      </c>
      <c r="M1840" t="s">
        <v>253</v>
      </c>
      <c r="N1840" t="s">
        <v>35</v>
      </c>
      <c r="O1840" t="s">
        <v>26</v>
      </c>
      <c r="P1840" t="s">
        <v>27</v>
      </c>
      <c r="Q1840" t="s">
        <v>28</v>
      </c>
      <c r="R1840" t="s">
        <v>29</v>
      </c>
      <c r="S1840" t="s">
        <v>793</v>
      </c>
      <c r="T1840">
        <f>_xlfn.XLOOKUP(X1840,Hoja2!D:D,Hoja2!A:A)</f>
        <v>1140420282</v>
      </c>
      <c r="U1840" t="str">
        <f>_xlfn.XLOOKUP(X1840,Hoja2!D:D,Hoja2!B:B)</f>
        <v>IVONNE JINETH RODRIGUEZ ROJAS</v>
      </c>
      <c r="V1840" t="str">
        <f>_xlfn.XLOOKUP(X1840,Hoja2!D:D,Hoja2!C:C)</f>
        <v>POSGRADOS</v>
      </c>
      <c r="W1840" s="9">
        <f>IF(V1840="pregrado",31,
IF(V1840="posgrados",31,
IF(V1840="rEINTEGROS",7,
IF(V1840="BIT",90,
IF(V1840="OP GRADO - INGLÉS",17,"")))))</f>
        <v>31</v>
      </c>
      <c r="X1840" t="s">
        <v>3972</v>
      </c>
    </row>
    <row r="1841" spans="1:24" x14ac:dyDescent="0.3">
      <c r="A1841" s="4">
        <v>46106</v>
      </c>
      <c r="B1841">
        <v>20129381</v>
      </c>
      <c r="C1841" t="s">
        <v>19</v>
      </c>
      <c r="D1841">
        <v>173436</v>
      </c>
      <c r="E1841" t="s">
        <v>43</v>
      </c>
      <c r="F1841">
        <v>1082912321</v>
      </c>
      <c r="G1841" t="s">
        <v>4252</v>
      </c>
      <c r="H1841">
        <v>100249330</v>
      </c>
      <c r="I1841">
        <v>202652</v>
      </c>
      <c r="J1841">
        <v>1082912321</v>
      </c>
      <c r="K1841" t="s">
        <v>23</v>
      </c>
      <c r="L1841" t="s">
        <v>252</v>
      </c>
      <c r="M1841" t="s">
        <v>253</v>
      </c>
      <c r="N1841" t="s">
        <v>35</v>
      </c>
      <c r="O1841" t="s">
        <v>26</v>
      </c>
      <c r="P1841" t="s">
        <v>27</v>
      </c>
      <c r="Q1841" t="s">
        <v>28</v>
      </c>
      <c r="R1841" t="s">
        <v>29</v>
      </c>
      <c r="S1841" t="s">
        <v>793</v>
      </c>
      <c r="T1841">
        <f>_xlfn.XLOOKUP(X1841,Hoja2!D:D,Hoja2!A:A)</f>
        <v>1031147887</v>
      </c>
      <c r="U1841" t="str">
        <f>_xlfn.XLOOKUP(X1841,Hoja2!D:D,Hoja2!B:B)</f>
        <v>IVONNE JINETH RODRIGUEZ ROJAS</v>
      </c>
      <c r="V1841" t="str">
        <f>_xlfn.XLOOKUP(X1841,Hoja2!D:D,Hoja2!C:C)</f>
        <v>POSGRADOS</v>
      </c>
      <c r="W1841" s="9">
        <f>IF(V1841="pregrado",31,
IF(V1841="posgrados",31,
IF(V1841="rEINTEGROS",7,
IF(V1841="BIT",90,
IF(V1841="OP GRADO - INGLÉS",17,"")))))</f>
        <v>31</v>
      </c>
      <c r="X1841" t="s">
        <v>3947</v>
      </c>
    </row>
    <row r="1842" spans="1:24" x14ac:dyDescent="0.3">
      <c r="A1842" s="4">
        <v>46108</v>
      </c>
      <c r="B1842">
        <v>20129579</v>
      </c>
      <c r="C1842" t="s">
        <v>19</v>
      </c>
      <c r="D1842">
        <v>173455</v>
      </c>
      <c r="E1842" t="s">
        <v>43</v>
      </c>
      <c r="F1842">
        <v>1128445251</v>
      </c>
      <c r="G1842" t="s">
        <v>4304</v>
      </c>
      <c r="H1842">
        <v>100249351</v>
      </c>
      <c r="I1842">
        <v>202652</v>
      </c>
      <c r="J1842">
        <v>1017222727</v>
      </c>
      <c r="K1842" t="s">
        <v>23</v>
      </c>
      <c r="L1842" t="s">
        <v>252</v>
      </c>
      <c r="M1842" t="s">
        <v>253</v>
      </c>
      <c r="N1842" t="s">
        <v>35</v>
      </c>
      <c r="O1842" t="s">
        <v>26</v>
      </c>
      <c r="P1842" t="s">
        <v>27</v>
      </c>
      <c r="Q1842" t="s">
        <v>28</v>
      </c>
      <c r="R1842" t="s">
        <v>29</v>
      </c>
      <c r="S1842" t="s">
        <v>793</v>
      </c>
      <c r="T1842">
        <f>_xlfn.XLOOKUP(X1842,Hoja2!D:D,Hoja2!A:A)</f>
        <v>1000120140</v>
      </c>
      <c r="U1842" t="str">
        <f>_xlfn.XLOOKUP(X1842,Hoja2!D:D,Hoja2!B:B)</f>
        <v>FABIAN CONCHA</v>
      </c>
      <c r="V1842" t="str">
        <f>_xlfn.XLOOKUP(X1842,Hoja2!D:D,Hoja2!C:C)</f>
        <v>POSGRADOS</v>
      </c>
      <c r="W1842" s="9">
        <f>IF(V1842="pregrado",31,
IF(V1842="posgrados",31,
IF(V1842="rEINTEGROS",7,
IF(V1842="BIT",90,
IF(V1842="OP GRADO - INGLÉS",17,"")))))</f>
        <v>31</v>
      </c>
      <c r="X1842" t="s">
        <v>3935</v>
      </c>
    </row>
    <row r="1843" spans="1:24" x14ac:dyDescent="0.3">
      <c r="A1843" s="4">
        <v>46105</v>
      </c>
      <c r="B1843">
        <v>20129299</v>
      </c>
      <c r="C1843" t="s">
        <v>19</v>
      </c>
      <c r="D1843">
        <v>173465</v>
      </c>
      <c r="E1843" t="s">
        <v>43</v>
      </c>
      <c r="F1843">
        <v>52500068</v>
      </c>
      <c r="G1843" t="s">
        <v>4239</v>
      </c>
      <c r="H1843">
        <v>100249362</v>
      </c>
      <c r="I1843">
        <v>202642</v>
      </c>
      <c r="J1843">
        <v>52500068</v>
      </c>
      <c r="K1843" t="s">
        <v>23</v>
      </c>
      <c r="L1843" t="s">
        <v>294</v>
      </c>
      <c r="M1843" t="s">
        <v>47</v>
      </c>
      <c r="N1843" t="s">
        <v>35</v>
      </c>
      <c r="O1843" t="s">
        <v>26</v>
      </c>
      <c r="P1843" t="s">
        <v>27</v>
      </c>
      <c r="Q1843" t="s">
        <v>28</v>
      </c>
      <c r="R1843" t="s">
        <v>29</v>
      </c>
      <c r="S1843" t="s">
        <v>793</v>
      </c>
      <c r="T1843">
        <f>_xlfn.XLOOKUP(X1843,Hoja2!D:D,Hoja2!A:A)</f>
        <v>1073673268</v>
      </c>
      <c r="U1843" t="str">
        <f>_xlfn.XLOOKUP(X1843,Hoja2!D:D,Hoja2!B:B)</f>
        <v>IVONNE JINETH RODRIGUEZ ROJAS</v>
      </c>
      <c r="V1843" t="str">
        <f>_xlfn.XLOOKUP(X1843,Hoja2!D:D,Hoja2!C:C)</f>
        <v>POSGRADOS</v>
      </c>
      <c r="W1843" s="9">
        <f>IF(V1843="pregrado",31,
IF(V1843="posgrados",31,
IF(V1843="rEINTEGROS",7,
IF(V1843="BIT",90,
IF(V1843="OP GRADO - INGLÉS",17,"")))))</f>
        <v>31</v>
      </c>
      <c r="X1843" t="s">
        <v>4080</v>
      </c>
    </row>
    <row r="1844" spans="1:24" x14ac:dyDescent="0.3">
      <c r="A1844" s="4">
        <v>46111</v>
      </c>
      <c r="B1844">
        <v>20129813</v>
      </c>
      <c r="C1844" t="s">
        <v>19</v>
      </c>
      <c r="D1844">
        <v>173466</v>
      </c>
      <c r="E1844" t="s">
        <v>43</v>
      </c>
      <c r="F1844">
        <v>1010104407</v>
      </c>
      <c r="G1844" t="s">
        <v>4346</v>
      </c>
      <c r="H1844">
        <v>100249363</v>
      </c>
      <c r="I1844">
        <v>202652</v>
      </c>
      <c r="J1844">
        <v>1010104407</v>
      </c>
      <c r="K1844" t="s">
        <v>23</v>
      </c>
      <c r="L1844" t="s">
        <v>252</v>
      </c>
      <c r="M1844" t="s">
        <v>253</v>
      </c>
      <c r="N1844" t="s">
        <v>35</v>
      </c>
      <c r="O1844" t="s">
        <v>26</v>
      </c>
      <c r="P1844" t="s">
        <v>27</v>
      </c>
      <c r="Q1844" t="s">
        <v>28</v>
      </c>
      <c r="R1844" t="s">
        <v>29</v>
      </c>
      <c r="S1844" t="s">
        <v>793</v>
      </c>
      <c r="T1844">
        <f>_xlfn.XLOOKUP(X1844,Hoja2!D:D,Hoja2!A:A)</f>
        <v>1019068131</v>
      </c>
      <c r="U1844" t="str">
        <f>_xlfn.XLOOKUP(X1844,Hoja2!D:D,Hoja2!B:B)</f>
        <v>IVONNE JINETH RODRIGUEZ ROJAS</v>
      </c>
      <c r="V1844" t="str">
        <f>_xlfn.XLOOKUP(X1844,Hoja2!D:D,Hoja2!C:C)</f>
        <v>POSGRADOS</v>
      </c>
      <c r="W1844" s="9">
        <f>IF(V1844="pregrado",31,
IF(V1844="posgrados",31,
IF(V1844="rEINTEGROS",7,
IF(V1844="BIT",90,
IF(V1844="OP GRADO - INGLÉS",17,"")))))</f>
        <v>31</v>
      </c>
      <c r="X1844" t="s">
        <v>4066</v>
      </c>
    </row>
    <row r="1845" spans="1:24" x14ac:dyDescent="0.3">
      <c r="A1845" s="4">
        <v>46105</v>
      </c>
      <c r="B1845">
        <v>20129298</v>
      </c>
      <c r="C1845" t="s">
        <v>19</v>
      </c>
      <c r="D1845">
        <v>173479</v>
      </c>
      <c r="E1845" t="s">
        <v>43</v>
      </c>
      <c r="F1845">
        <v>1120385979</v>
      </c>
      <c r="G1845" t="s">
        <v>4238</v>
      </c>
      <c r="H1845">
        <v>100249383</v>
      </c>
      <c r="I1845">
        <v>202652</v>
      </c>
      <c r="J1845">
        <v>1120380355</v>
      </c>
      <c r="K1845" t="s">
        <v>23</v>
      </c>
      <c r="L1845" t="s">
        <v>252</v>
      </c>
      <c r="M1845" t="s">
        <v>253</v>
      </c>
      <c r="N1845" t="s">
        <v>35</v>
      </c>
      <c r="O1845" t="s">
        <v>26</v>
      </c>
      <c r="P1845" t="s">
        <v>27</v>
      </c>
      <c r="Q1845" t="s">
        <v>28</v>
      </c>
      <c r="R1845" t="s">
        <v>29</v>
      </c>
      <c r="S1845" t="s">
        <v>793</v>
      </c>
      <c r="T1845">
        <f>_xlfn.XLOOKUP(X1845,Hoja2!D:D,Hoja2!A:A)</f>
        <v>1033781417</v>
      </c>
      <c r="U1845" t="str">
        <f>_xlfn.XLOOKUP(X1845,Hoja2!D:D,Hoja2!B:B)</f>
        <v>IVONNE JINETH RODRIGUEZ ROJAS</v>
      </c>
      <c r="V1845" t="str">
        <f>_xlfn.XLOOKUP(X1845,Hoja2!D:D,Hoja2!C:C)</f>
        <v>POSGRADOS</v>
      </c>
      <c r="W1845" s="9">
        <f>IF(V1845="pregrado",31,
IF(V1845="posgrados",31,
IF(V1845="rEINTEGROS",7,
IF(V1845="BIT",90,
IF(V1845="OP GRADO - INGLÉS",17,"")))))</f>
        <v>31</v>
      </c>
      <c r="X1845" t="s">
        <v>4031</v>
      </c>
    </row>
    <row r="1846" spans="1:24" x14ac:dyDescent="0.3">
      <c r="A1846" s="4">
        <v>46107</v>
      </c>
      <c r="B1846">
        <v>20129503</v>
      </c>
      <c r="C1846" t="s">
        <v>19</v>
      </c>
      <c r="D1846">
        <v>173502</v>
      </c>
      <c r="E1846" t="s">
        <v>43</v>
      </c>
      <c r="F1846">
        <v>39676646</v>
      </c>
      <c r="G1846" t="s">
        <v>4281</v>
      </c>
      <c r="H1846">
        <v>100200924</v>
      </c>
      <c r="I1846">
        <v>202652</v>
      </c>
      <c r="J1846">
        <v>39676646</v>
      </c>
      <c r="K1846" t="s">
        <v>46</v>
      </c>
      <c r="L1846" t="s">
        <v>252</v>
      </c>
      <c r="M1846" t="s">
        <v>253</v>
      </c>
      <c r="N1846" t="s">
        <v>35</v>
      </c>
      <c r="O1846" t="s">
        <v>26</v>
      </c>
      <c r="P1846" t="s">
        <v>27</v>
      </c>
      <c r="Q1846" t="s">
        <v>28</v>
      </c>
      <c r="R1846" t="s">
        <v>29</v>
      </c>
      <c r="S1846" t="s">
        <v>793</v>
      </c>
      <c r="T1846">
        <f>_xlfn.XLOOKUP(X1846,Hoja2!D:D,Hoja2!A:A)</f>
        <v>1075542872</v>
      </c>
      <c r="U1846" t="str">
        <f>_xlfn.XLOOKUP(X1846,Hoja2!D:D,Hoja2!B:B)</f>
        <v>IVONNE JINETH RODRIGUEZ ROJAS</v>
      </c>
      <c r="V1846" t="str">
        <f>_xlfn.XLOOKUP(X1846,Hoja2!D:D,Hoja2!C:C)</f>
        <v>POSGRADOS</v>
      </c>
      <c r="W1846" s="9">
        <f>IF(V1846="pregrado",31,
IF(V1846="posgrados",31,
IF(V1846="rEINTEGROS",7,
IF(V1846="BIT",90,
IF(V1846="OP GRADO - INGLÉS",17,"")))))</f>
        <v>31</v>
      </c>
      <c r="X1846" t="s">
        <v>3974</v>
      </c>
    </row>
    <row r="1847" spans="1:24" x14ac:dyDescent="0.3">
      <c r="A1847" s="4">
        <v>46108</v>
      </c>
      <c r="B1847">
        <v>20129655</v>
      </c>
      <c r="C1847" t="s">
        <v>19</v>
      </c>
      <c r="D1847">
        <v>173505</v>
      </c>
      <c r="E1847" t="s">
        <v>43</v>
      </c>
      <c r="F1847">
        <v>1124866383</v>
      </c>
      <c r="G1847" t="s">
        <v>4320</v>
      </c>
      <c r="H1847">
        <v>100249415</v>
      </c>
      <c r="I1847">
        <v>202642</v>
      </c>
      <c r="J1847">
        <v>1124866383</v>
      </c>
      <c r="K1847" t="s">
        <v>23</v>
      </c>
      <c r="L1847" t="s">
        <v>294</v>
      </c>
      <c r="M1847" t="s">
        <v>47</v>
      </c>
      <c r="N1847" t="s">
        <v>35</v>
      </c>
      <c r="O1847" t="s">
        <v>26</v>
      </c>
      <c r="P1847" t="s">
        <v>27</v>
      </c>
      <c r="Q1847" t="s">
        <v>28</v>
      </c>
      <c r="R1847" t="s">
        <v>29</v>
      </c>
      <c r="S1847" t="s">
        <v>793</v>
      </c>
      <c r="T1847">
        <f>_xlfn.XLOOKUP(X1847,Hoja2!D:D,Hoja2!A:A)</f>
        <v>1033793185</v>
      </c>
      <c r="U1847" t="str">
        <f>_xlfn.XLOOKUP(X1847,Hoja2!D:D,Hoja2!B:B)</f>
        <v>IVONNE JINETH RODRIGUEZ ROJAS</v>
      </c>
      <c r="V1847" t="str">
        <f>_xlfn.XLOOKUP(X1847,Hoja2!D:D,Hoja2!C:C)</f>
        <v>POSGRADOS</v>
      </c>
      <c r="W1847" s="9">
        <f>IF(V1847="pregrado",31,
IF(V1847="posgrados",31,
IF(V1847="rEINTEGROS",7,
IF(V1847="BIT",90,
IF(V1847="OP GRADO - INGLÉS",17,"")))))</f>
        <v>31</v>
      </c>
      <c r="X1847" t="s">
        <v>4082</v>
      </c>
    </row>
    <row r="1848" spans="1:24" x14ac:dyDescent="0.3">
      <c r="A1848" s="4">
        <v>46106</v>
      </c>
      <c r="B1848">
        <v>20129385</v>
      </c>
      <c r="C1848" t="s">
        <v>19</v>
      </c>
      <c r="D1848">
        <v>173507</v>
      </c>
      <c r="E1848" t="s">
        <v>43</v>
      </c>
      <c r="F1848">
        <v>35378037</v>
      </c>
      <c r="G1848" t="s">
        <v>4253</v>
      </c>
      <c r="H1848">
        <v>100249416</v>
      </c>
      <c r="I1848">
        <v>202652</v>
      </c>
      <c r="J1848">
        <v>35378037</v>
      </c>
      <c r="K1848" t="s">
        <v>23</v>
      </c>
      <c r="L1848" t="s">
        <v>252</v>
      </c>
      <c r="M1848" t="s">
        <v>253</v>
      </c>
      <c r="N1848" t="s">
        <v>35</v>
      </c>
      <c r="O1848" t="s">
        <v>26</v>
      </c>
      <c r="P1848" t="s">
        <v>27</v>
      </c>
      <c r="Q1848" t="s">
        <v>28</v>
      </c>
      <c r="R1848" t="s">
        <v>29</v>
      </c>
      <c r="S1848" t="s">
        <v>793</v>
      </c>
      <c r="T1848">
        <f>_xlfn.XLOOKUP(X1848,Hoja2!D:D,Hoja2!A:A)</f>
        <v>1015401969</v>
      </c>
      <c r="U1848" t="str">
        <f>_xlfn.XLOOKUP(X1848,Hoja2!D:D,Hoja2!B:B)</f>
        <v>FABIAN CONCHA</v>
      </c>
      <c r="V1848" t="str">
        <f>_xlfn.XLOOKUP(X1848,Hoja2!D:D,Hoja2!C:C)</f>
        <v>POSGRADOS</v>
      </c>
      <c r="W1848" s="9">
        <f>IF(V1848="pregrado",31,
IF(V1848="posgrados",31,
IF(V1848="rEINTEGROS",7,
IF(V1848="BIT",90,
IF(V1848="OP GRADO - INGLÉS",17,"")))))</f>
        <v>31</v>
      </c>
      <c r="X1848" t="s">
        <v>3945</v>
      </c>
    </row>
    <row r="1849" spans="1:24" x14ac:dyDescent="0.3">
      <c r="A1849" s="4">
        <v>46107</v>
      </c>
      <c r="B1849">
        <v>20129558</v>
      </c>
      <c r="C1849" t="s">
        <v>19</v>
      </c>
      <c r="D1849">
        <v>173515</v>
      </c>
      <c r="E1849" t="s">
        <v>43</v>
      </c>
      <c r="F1849">
        <v>1122416454</v>
      </c>
      <c r="G1849" t="s">
        <v>4299</v>
      </c>
      <c r="H1849">
        <v>100249434</v>
      </c>
      <c r="I1849">
        <v>202642</v>
      </c>
      <c r="J1849">
        <v>1122416454</v>
      </c>
      <c r="K1849" t="s">
        <v>23</v>
      </c>
      <c r="L1849" t="s">
        <v>279</v>
      </c>
      <c r="M1849" t="s">
        <v>47</v>
      </c>
      <c r="N1849" t="s">
        <v>35</v>
      </c>
      <c r="O1849" t="s">
        <v>26</v>
      </c>
      <c r="P1849" t="s">
        <v>27</v>
      </c>
      <c r="Q1849" t="s">
        <v>28</v>
      </c>
      <c r="R1849" t="s">
        <v>29</v>
      </c>
      <c r="S1849" t="s">
        <v>793</v>
      </c>
      <c r="T1849">
        <f>_xlfn.XLOOKUP(X1849,Hoja2!D:D,Hoja2!A:A)</f>
        <v>1015407851</v>
      </c>
      <c r="U1849" t="str">
        <f>_xlfn.XLOOKUP(X1849,Hoja2!D:D,Hoja2!B:B)</f>
        <v>Gina Paola Medina Flórez</v>
      </c>
      <c r="V1849" t="str">
        <f>_xlfn.XLOOKUP(X1849,Hoja2!D:D,Hoja2!C:C)</f>
        <v>PREGRADO</v>
      </c>
      <c r="W1849" s="9">
        <f>IF(V1849="pregrado",31,
IF(V1849="posgrados",31,
IF(V1849="rEINTEGROS",7,
IF(V1849="BIT",90,
IF(V1849="OP GRADO - INGLÉS",17,"")))))</f>
        <v>31</v>
      </c>
      <c r="X1849" t="s">
        <v>4924</v>
      </c>
    </row>
    <row r="1850" spans="1:24" x14ac:dyDescent="0.3">
      <c r="A1850" s="4">
        <v>46108</v>
      </c>
      <c r="B1850">
        <v>20129644</v>
      </c>
      <c r="C1850" t="s">
        <v>19</v>
      </c>
      <c r="D1850">
        <v>173519</v>
      </c>
      <c r="E1850" t="s">
        <v>43</v>
      </c>
      <c r="F1850">
        <v>55168072</v>
      </c>
      <c r="G1850" t="s">
        <v>4319</v>
      </c>
      <c r="H1850">
        <v>100249448</v>
      </c>
      <c r="I1850">
        <v>202652</v>
      </c>
      <c r="J1850">
        <v>1075217069</v>
      </c>
      <c r="K1850" t="s">
        <v>23</v>
      </c>
      <c r="L1850" t="s">
        <v>252</v>
      </c>
      <c r="M1850" t="s">
        <v>253</v>
      </c>
      <c r="N1850" t="s">
        <v>35</v>
      </c>
      <c r="O1850" t="s">
        <v>26</v>
      </c>
      <c r="P1850" t="s">
        <v>27</v>
      </c>
      <c r="Q1850" t="s">
        <v>28</v>
      </c>
      <c r="R1850" t="s">
        <v>29</v>
      </c>
      <c r="S1850" t="s">
        <v>793</v>
      </c>
      <c r="T1850">
        <f>_xlfn.XLOOKUP(X1850,Hoja2!D:D,Hoja2!A:A)</f>
        <v>1033793185</v>
      </c>
      <c r="U1850" t="str">
        <f>_xlfn.XLOOKUP(X1850,Hoja2!D:D,Hoja2!B:B)</f>
        <v>IVONNE JINETH RODRIGUEZ ROJAS</v>
      </c>
      <c r="V1850" t="str">
        <f>_xlfn.XLOOKUP(X1850,Hoja2!D:D,Hoja2!C:C)</f>
        <v>POSGRADOS</v>
      </c>
      <c r="W1850" s="9">
        <f>IF(V1850="pregrado",31,
IF(V1850="posgrados",31,
IF(V1850="rEINTEGROS",7,
IF(V1850="BIT",90,
IF(V1850="OP GRADO - INGLÉS",17,"")))))</f>
        <v>31</v>
      </c>
      <c r="X1850" t="s">
        <v>4082</v>
      </c>
    </row>
    <row r="1851" spans="1:24" x14ac:dyDescent="0.3">
      <c r="A1851" s="4">
        <v>46106</v>
      </c>
      <c r="B1851">
        <v>20129321</v>
      </c>
      <c r="C1851" t="s">
        <v>19</v>
      </c>
      <c r="D1851">
        <v>173533</v>
      </c>
      <c r="E1851" t="s">
        <v>43</v>
      </c>
      <c r="F1851">
        <v>1003474814</v>
      </c>
      <c r="G1851" t="s">
        <v>4241</v>
      </c>
      <c r="H1851">
        <v>100122076</v>
      </c>
      <c r="I1851">
        <v>202642</v>
      </c>
      <c r="J1851">
        <v>1003474814</v>
      </c>
      <c r="K1851" t="s">
        <v>23</v>
      </c>
      <c r="L1851" t="s">
        <v>4242</v>
      </c>
      <c r="M1851" t="s">
        <v>47</v>
      </c>
      <c r="N1851" t="s">
        <v>35</v>
      </c>
      <c r="O1851" t="s">
        <v>26</v>
      </c>
      <c r="P1851" t="s">
        <v>27</v>
      </c>
      <c r="Q1851" t="s">
        <v>28</v>
      </c>
      <c r="R1851" t="s">
        <v>29</v>
      </c>
      <c r="S1851" t="s">
        <v>793</v>
      </c>
      <c r="T1851">
        <f>_xlfn.XLOOKUP(X1851,Hoja2!D:D,Hoja2!A:A)</f>
        <v>1012355141</v>
      </c>
      <c r="U1851" t="str">
        <f>_xlfn.XLOOKUP(X1851,Hoja2!D:D,Hoja2!B:B)</f>
        <v>FABIAN CONCHA</v>
      </c>
      <c r="V1851" t="str">
        <f>_xlfn.XLOOKUP(X1851,Hoja2!D:D,Hoja2!C:C)</f>
        <v>POSGRADOS</v>
      </c>
      <c r="W1851" s="9">
        <f>IF(V1851="pregrado",31,
IF(V1851="posgrados",31,
IF(V1851="rEINTEGROS",7,
IF(V1851="BIT",90,
IF(V1851="OP GRADO - INGLÉS",17,"")))))</f>
        <v>31</v>
      </c>
      <c r="X1851" t="s">
        <v>4045</v>
      </c>
    </row>
    <row r="1852" spans="1:24" x14ac:dyDescent="0.3">
      <c r="A1852" s="4">
        <v>46107</v>
      </c>
      <c r="B1852">
        <v>20129541</v>
      </c>
      <c r="C1852" t="s">
        <v>19</v>
      </c>
      <c r="D1852">
        <v>173534</v>
      </c>
      <c r="E1852" t="s">
        <v>43</v>
      </c>
      <c r="F1852">
        <v>1038337139</v>
      </c>
      <c r="G1852" t="s">
        <v>4291</v>
      </c>
      <c r="H1852">
        <v>100249467</v>
      </c>
      <c r="I1852">
        <v>202652</v>
      </c>
      <c r="J1852">
        <v>1038337139</v>
      </c>
      <c r="K1852" t="s">
        <v>23</v>
      </c>
      <c r="L1852" t="s">
        <v>252</v>
      </c>
      <c r="M1852" t="s">
        <v>253</v>
      </c>
      <c r="N1852" t="s">
        <v>35</v>
      </c>
      <c r="O1852" t="s">
        <v>26</v>
      </c>
      <c r="P1852" t="s">
        <v>27</v>
      </c>
      <c r="Q1852" t="s">
        <v>28</v>
      </c>
      <c r="R1852" t="s">
        <v>29</v>
      </c>
      <c r="S1852" t="s">
        <v>793</v>
      </c>
      <c r="T1852">
        <f>_xlfn.XLOOKUP(X1852,Hoja2!D:D,Hoja2!A:A)</f>
        <v>1016030683</v>
      </c>
      <c r="U1852" t="str">
        <f>_xlfn.XLOOKUP(X1852,Hoja2!D:D,Hoja2!B:B)</f>
        <v>FABIAN CONCHA</v>
      </c>
      <c r="V1852" t="str">
        <f>_xlfn.XLOOKUP(X1852,Hoja2!D:D,Hoja2!C:C)</f>
        <v>POSGRADOS</v>
      </c>
      <c r="W1852" s="9">
        <f>IF(V1852="pregrado",31,
IF(V1852="posgrados",31,
IF(V1852="rEINTEGROS",7,
IF(V1852="BIT",90,
IF(V1852="OP GRADO - INGLÉS",17,"")))))</f>
        <v>31</v>
      </c>
      <c r="X1852" t="s">
        <v>3992</v>
      </c>
    </row>
    <row r="1853" spans="1:24" x14ac:dyDescent="0.3">
      <c r="A1853" s="4">
        <v>46106</v>
      </c>
      <c r="B1853">
        <v>20129401</v>
      </c>
      <c r="C1853" t="s">
        <v>19</v>
      </c>
      <c r="D1853">
        <v>173543</v>
      </c>
      <c r="E1853" t="s">
        <v>43</v>
      </c>
      <c r="F1853">
        <v>1047217749</v>
      </c>
      <c r="G1853" t="s">
        <v>4260</v>
      </c>
      <c r="H1853">
        <v>100249480</v>
      </c>
      <c r="I1853">
        <v>202642</v>
      </c>
      <c r="J1853">
        <v>1042452741</v>
      </c>
      <c r="K1853" t="s">
        <v>23</v>
      </c>
      <c r="L1853" t="s">
        <v>160</v>
      </c>
      <c r="M1853" t="s">
        <v>47</v>
      </c>
      <c r="N1853" t="s">
        <v>35</v>
      </c>
      <c r="O1853" t="s">
        <v>26</v>
      </c>
      <c r="P1853" t="s">
        <v>27</v>
      </c>
      <c r="Q1853" t="s">
        <v>28</v>
      </c>
      <c r="R1853" t="s">
        <v>29</v>
      </c>
      <c r="S1853" t="s">
        <v>793</v>
      </c>
      <c r="T1853">
        <f>_xlfn.XLOOKUP(X1853,Hoja2!D:D,Hoja2!A:A)</f>
        <v>52965969</v>
      </c>
      <c r="U1853" t="str">
        <f>_xlfn.XLOOKUP(X1853,Hoja2!D:D,Hoja2!B:B)</f>
        <v>FABIAN CONCHA</v>
      </c>
      <c r="V1853" t="str">
        <f>_xlfn.XLOOKUP(X1853,Hoja2!D:D,Hoja2!C:C)</f>
        <v>POSGRADOS</v>
      </c>
      <c r="W1853" s="9">
        <f>IF(V1853="pregrado",31,
IF(V1853="posgrados",31,
IF(V1853="rEINTEGROS",7,
IF(V1853="BIT",90,
IF(V1853="OP GRADO - INGLÉS",17,"")))))</f>
        <v>31</v>
      </c>
      <c r="X1853" t="s">
        <v>3960</v>
      </c>
    </row>
    <row r="1854" spans="1:24" x14ac:dyDescent="0.3">
      <c r="A1854" s="4">
        <v>46106</v>
      </c>
      <c r="B1854">
        <v>20129414</v>
      </c>
      <c r="C1854" t="s">
        <v>19</v>
      </c>
      <c r="D1854">
        <v>173554</v>
      </c>
      <c r="E1854" t="s">
        <v>43</v>
      </c>
      <c r="F1854">
        <v>40276396</v>
      </c>
      <c r="G1854" t="s">
        <v>4261</v>
      </c>
      <c r="H1854">
        <v>100249495</v>
      </c>
      <c r="I1854">
        <v>202652</v>
      </c>
      <c r="J1854">
        <v>40276396</v>
      </c>
      <c r="K1854" t="s">
        <v>23</v>
      </c>
      <c r="L1854" t="s">
        <v>252</v>
      </c>
      <c r="M1854" t="s">
        <v>253</v>
      </c>
      <c r="N1854" t="s">
        <v>35</v>
      </c>
      <c r="O1854" t="s">
        <v>26</v>
      </c>
      <c r="P1854" t="s">
        <v>27</v>
      </c>
      <c r="Q1854" t="s">
        <v>28</v>
      </c>
      <c r="R1854" t="s">
        <v>29</v>
      </c>
      <c r="S1854" t="s">
        <v>793</v>
      </c>
      <c r="T1854">
        <f>_xlfn.XLOOKUP(X1854,Hoja2!D:D,Hoja2!A:A)</f>
        <v>1033781417</v>
      </c>
      <c r="U1854" t="str">
        <f>_xlfn.XLOOKUP(X1854,Hoja2!D:D,Hoja2!B:B)</f>
        <v>IVONNE JINETH RODRIGUEZ ROJAS</v>
      </c>
      <c r="V1854" t="str">
        <f>_xlfn.XLOOKUP(X1854,Hoja2!D:D,Hoja2!C:C)</f>
        <v>POSGRADOS</v>
      </c>
      <c r="W1854" s="9">
        <f>IF(V1854="pregrado",31,
IF(V1854="posgrados",31,
IF(V1854="rEINTEGROS",7,
IF(V1854="BIT",90,
IF(V1854="OP GRADO - INGLÉS",17,"")))))</f>
        <v>31</v>
      </c>
      <c r="X1854" t="s">
        <v>4031</v>
      </c>
    </row>
    <row r="1855" spans="1:24" x14ac:dyDescent="0.3">
      <c r="A1855" s="4">
        <v>46106</v>
      </c>
      <c r="B1855">
        <v>20129353</v>
      </c>
      <c r="C1855" t="s">
        <v>19</v>
      </c>
      <c r="D1855">
        <v>173581</v>
      </c>
      <c r="E1855" t="s">
        <v>43</v>
      </c>
      <c r="F1855">
        <v>1007688822</v>
      </c>
      <c r="G1855" t="s">
        <v>4248</v>
      </c>
      <c r="H1855">
        <v>100249452</v>
      </c>
      <c r="I1855">
        <v>202642</v>
      </c>
      <c r="J1855">
        <v>1007688822</v>
      </c>
      <c r="K1855" t="s">
        <v>23</v>
      </c>
      <c r="L1855" t="s">
        <v>4163</v>
      </c>
      <c r="M1855" t="s">
        <v>47</v>
      </c>
      <c r="N1855" t="s">
        <v>35</v>
      </c>
      <c r="O1855" t="s">
        <v>26</v>
      </c>
      <c r="P1855" t="s">
        <v>27</v>
      </c>
      <c r="Q1855" t="s">
        <v>28</v>
      </c>
      <c r="R1855" t="s">
        <v>29</v>
      </c>
      <c r="S1855" t="s">
        <v>793</v>
      </c>
      <c r="T1855">
        <f>_xlfn.XLOOKUP(X1855,Hoja2!D:D,Hoja2!A:A)</f>
        <v>1070973852</v>
      </c>
      <c r="U1855" t="str">
        <f>_xlfn.XLOOKUP(X1855,Hoja2!D:D,Hoja2!B:B)</f>
        <v>FABIAN CONCHA</v>
      </c>
      <c r="V1855" t="str">
        <f>_xlfn.XLOOKUP(X1855,Hoja2!D:D,Hoja2!C:C)</f>
        <v>POSGRADOS</v>
      </c>
      <c r="W1855" s="9">
        <f>IF(V1855="pregrado",31,
IF(V1855="posgrados",31,
IF(V1855="rEINTEGROS",7,
IF(V1855="BIT",90,
IF(V1855="OP GRADO - INGLÉS",17,"")))))</f>
        <v>31</v>
      </c>
      <c r="X1855" t="s">
        <v>3957</v>
      </c>
    </row>
    <row r="1856" spans="1:24" x14ac:dyDescent="0.3">
      <c r="A1856" s="4">
        <v>46111</v>
      </c>
      <c r="B1856">
        <v>20129831</v>
      </c>
      <c r="C1856" t="s">
        <v>19</v>
      </c>
      <c r="D1856">
        <v>173589</v>
      </c>
      <c r="E1856" t="s">
        <v>43</v>
      </c>
      <c r="F1856">
        <v>1096186299</v>
      </c>
      <c r="G1856" t="s">
        <v>4349</v>
      </c>
      <c r="H1856">
        <v>100059746</v>
      </c>
      <c r="I1856">
        <v>202652</v>
      </c>
      <c r="J1856">
        <v>1096186299</v>
      </c>
      <c r="K1856" t="s">
        <v>46</v>
      </c>
      <c r="L1856" t="s">
        <v>252</v>
      </c>
      <c r="M1856" t="s">
        <v>253</v>
      </c>
      <c r="N1856" t="s">
        <v>35</v>
      </c>
      <c r="O1856" t="s">
        <v>26</v>
      </c>
      <c r="P1856" t="s">
        <v>27</v>
      </c>
      <c r="Q1856" t="s">
        <v>28</v>
      </c>
      <c r="R1856" t="s">
        <v>29</v>
      </c>
      <c r="S1856" t="s">
        <v>793</v>
      </c>
      <c r="T1856">
        <f>_xlfn.XLOOKUP(X1856,Hoja2!D:D,Hoja2!A:A)</f>
        <v>1012389748</v>
      </c>
      <c r="U1856" t="str">
        <f>_xlfn.XLOOKUP(X1856,Hoja2!D:D,Hoja2!B:B)</f>
        <v>IVONNE JINETH RODRIGUEZ ROJAS</v>
      </c>
      <c r="V1856" t="str">
        <f>_xlfn.XLOOKUP(X1856,Hoja2!D:D,Hoja2!C:C)</f>
        <v>POSGRADOS</v>
      </c>
      <c r="W1856" s="9">
        <f>IF(V1856="pregrado",31,
IF(V1856="posgrados",31,
IF(V1856="rEINTEGROS",7,
IF(V1856="BIT",90,
IF(V1856="OP GRADO - INGLÉS",17,"")))))</f>
        <v>31</v>
      </c>
      <c r="X1856" t="s">
        <v>4065</v>
      </c>
    </row>
    <row r="1857" spans="1:24" x14ac:dyDescent="0.3">
      <c r="A1857" s="4">
        <v>46112</v>
      </c>
      <c r="B1857">
        <v>20129904</v>
      </c>
      <c r="C1857" t="s">
        <v>19</v>
      </c>
      <c r="D1857">
        <v>173595</v>
      </c>
      <c r="E1857" t="s">
        <v>43</v>
      </c>
      <c r="F1857">
        <v>32801691</v>
      </c>
      <c r="G1857" t="s">
        <v>4366</v>
      </c>
      <c r="H1857">
        <v>100249535</v>
      </c>
      <c r="I1857">
        <v>202652</v>
      </c>
      <c r="J1857">
        <v>1048210926</v>
      </c>
      <c r="K1857" t="s">
        <v>23</v>
      </c>
      <c r="L1857" t="s">
        <v>252</v>
      </c>
      <c r="M1857" t="s">
        <v>253</v>
      </c>
      <c r="N1857" t="s">
        <v>35</v>
      </c>
      <c r="O1857" t="s">
        <v>26</v>
      </c>
      <c r="P1857" t="s">
        <v>27</v>
      </c>
      <c r="Q1857" t="s">
        <v>28</v>
      </c>
      <c r="R1857" t="s">
        <v>29</v>
      </c>
      <c r="S1857" t="s">
        <v>793</v>
      </c>
      <c r="T1857">
        <f>_xlfn.XLOOKUP(X1857,Hoja2!D:D,Hoja2!A:A)</f>
        <v>52032666</v>
      </c>
      <c r="U1857" t="str">
        <f>_xlfn.XLOOKUP(X1857,Hoja2!D:D,Hoja2!B:B)</f>
        <v>IVONNE JINETH RODRIGUEZ ROJAS</v>
      </c>
      <c r="V1857" t="str">
        <f>_xlfn.XLOOKUP(X1857,Hoja2!D:D,Hoja2!C:C)</f>
        <v>POSGRADOS</v>
      </c>
      <c r="W1857" s="9">
        <f>IF(V1857="pregrado",31,
IF(V1857="posgrados",31,
IF(V1857="rEINTEGROS",7,
IF(V1857="BIT",90,
IF(V1857="OP GRADO - INGLÉS",17,"")))))</f>
        <v>31</v>
      </c>
      <c r="X1857" t="s">
        <v>3983</v>
      </c>
    </row>
    <row r="1858" spans="1:24" x14ac:dyDescent="0.3">
      <c r="A1858" s="4">
        <v>46107</v>
      </c>
      <c r="B1858">
        <v>20129467</v>
      </c>
      <c r="C1858" t="s">
        <v>19</v>
      </c>
      <c r="D1858">
        <v>173598</v>
      </c>
      <c r="E1858" t="s">
        <v>43</v>
      </c>
      <c r="F1858">
        <v>79708796</v>
      </c>
      <c r="G1858" t="s">
        <v>4273</v>
      </c>
      <c r="H1858">
        <v>100249538</v>
      </c>
      <c r="I1858">
        <v>202652</v>
      </c>
      <c r="J1858">
        <v>52097721</v>
      </c>
      <c r="K1858" t="s">
        <v>23</v>
      </c>
      <c r="L1858" t="s">
        <v>252</v>
      </c>
      <c r="M1858" t="s">
        <v>253</v>
      </c>
      <c r="N1858" t="s">
        <v>35</v>
      </c>
      <c r="O1858" t="s">
        <v>26</v>
      </c>
      <c r="P1858" t="s">
        <v>27</v>
      </c>
      <c r="Q1858" t="s">
        <v>28</v>
      </c>
      <c r="R1858" t="s">
        <v>29</v>
      </c>
      <c r="S1858" t="s">
        <v>793</v>
      </c>
      <c r="T1858">
        <f>_xlfn.XLOOKUP(X1858,Hoja2!D:D,Hoja2!A:A)</f>
        <v>52916205</v>
      </c>
      <c r="U1858" t="str">
        <f>_xlfn.XLOOKUP(X1858,Hoja2!D:D,Hoja2!B:B)</f>
        <v>FABIAN CONCHA</v>
      </c>
      <c r="V1858" t="str">
        <f>_xlfn.XLOOKUP(X1858,Hoja2!D:D,Hoja2!C:C)</f>
        <v>POSGRADOS</v>
      </c>
      <c r="W1858" s="9">
        <f>IF(V1858="pregrado",31,
IF(V1858="posgrados",31,
IF(V1858="rEINTEGROS",7,
IF(V1858="BIT",90,
IF(V1858="OP GRADO - INGLÉS",17,"")))))</f>
        <v>31</v>
      </c>
      <c r="X1858" t="s">
        <v>4032</v>
      </c>
    </row>
    <row r="1859" spans="1:24" x14ac:dyDescent="0.3">
      <c r="A1859" s="4">
        <v>46120</v>
      </c>
      <c r="B1859">
        <v>20130352</v>
      </c>
      <c r="C1859" t="s">
        <v>19</v>
      </c>
      <c r="D1859">
        <v>173601</v>
      </c>
      <c r="E1859" t="s">
        <v>43</v>
      </c>
      <c r="F1859">
        <v>1000951686</v>
      </c>
      <c r="G1859" t="s">
        <v>4440</v>
      </c>
      <c r="H1859">
        <v>100103782</v>
      </c>
      <c r="I1859">
        <v>202642</v>
      </c>
      <c r="J1859">
        <v>1000951686</v>
      </c>
      <c r="K1859" t="s">
        <v>23</v>
      </c>
      <c r="L1859" t="s">
        <v>4242</v>
      </c>
      <c r="M1859" t="s">
        <v>47</v>
      </c>
      <c r="N1859" t="s">
        <v>35</v>
      </c>
      <c r="O1859" t="s">
        <v>26</v>
      </c>
      <c r="P1859" t="s">
        <v>27</v>
      </c>
      <c r="Q1859" t="s">
        <v>28</v>
      </c>
      <c r="R1859" t="s">
        <v>29</v>
      </c>
      <c r="S1859" t="s">
        <v>793</v>
      </c>
      <c r="T1859">
        <f>_xlfn.XLOOKUP(X1859,Hoja2!D:D,Hoja2!A:A)</f>
        <v>1020754225</v>
      </c>
      <c r="U1859" t="str">
        <f>_xlfn.XLOOKUP(X1859,Hoja2!D:D,Hoja2!B:B)</f>
        <v>IVONNE JINETH RODRIGUEZ ROJAS</v>
      </c>
      <c r="V1859" t="str">
        <f>_xlfn.XLOOKUP(X1859,Hoja2!D:D,Hoja2!C:C)</f>
        <v>POSGRADOS</v>
      </c>
      <c r="W1859" s="9">
        <f>IF(V1859="pregrado",31,
IF(V1859="posgrados",31,
IF(V1859="rEINTEGROS",7,
IF(V1859="BIT",90,
IF(V1859="OP GRADO - INGLÉS",17,"")))))</f>
        <v>31</v>
      </c>
      <c r="X1859" t="s">
        <v>3981</v>
      </c>
    </row>
    <row r="1860" spans="1:24" x14ac:dyDescent="0.3">
      <c r="A1860" s="4">
        <v>46111</v>
      </c>
      <c r="B1860">
        <v>20129752</v>
      </c>
      <c r="C1860" t="s">
        <v>19</v>
      </c>
      <c r="D1860">
        <v>173603</v>
      </c>
      <c r="E1860" t="s">
        <v>43</v>
      </c>
      <c r="F1860">
        <v>60360430</v>
      </c>
      <c r="G1860" t="s">
        <v>4331</v>
      </c>
      <c r="H1860">
        <v>100249541</v>
      </c>
      <c r="I1860">
        <v>202652</v>
      </c>
      <c r="J1860">
        <v>1090459106</v>
      </c>
      <c r="K1860" t="s">
        <v>23</v>
      </c>
      <c r="L1860" t="s">
        <v>252</v>
      </c>
      <c r="M1860" t="s">
        <v>253</v>
      </c>
      <c r="N1860" t="s">
        <v>35</v>
      </c>
      <c r="O1860" t="s">
        <v>26</v>
      </c>
      <c r="P1860" t="s">
        <v>27</v>
      </c>
      <c r="Q1860" t="s">
        <v>28</v>
      </c>
      <c r="R1860" t="s">
        <v>29</v>
      </c>
      <c r="S1860" t="s">
        <v>793</v>
      </c>
      <c r="T1860">
        <f>_xlfn.XLOOKUP(X1860,Hoja2!D:D,Hoja2!A:A)</f>
        <v>1073673268</v>
      </c>
      <c r="U1860" t="str">
        <f>_xlfn.XLOOKUP(X1860,Hoja2!D:D,Hoja2!B:B)</f>
        <v>IVONNE JINETH RODRIGUEZ ROJAS</v>
      </c>
      <c r="V1860" t="str">
        <f>_xlfn.XLOOKUP(X1860,Hoja2!D:D,Hoja2!C:C)</f>
        <v>POSGRADOS</v>
      </c>
      <c r="W1860" s="9">
        <f>IF(V1860="pregrado",31,
IF(V1860="posgrados",31,
IF(V1860="rEINTEGROS",7,
IF(V1860="BIT",90,
IF(V1860="OP GRADO - INGLÉS",17,"")))))</f>
        <v>31</v>
      </c>
      <c r="X1860" t="s">
        <v>4080</v>
      </c>
    </row>
    <row r="1861" spans="1:24" x14ac:dyDescent="0.3">
      <c r="A1861" s="4">
        <v>46107</v>
      </c>
      <c r="B1861">
        <v>20129525</v>
      </c>
      <c r="C1861" t="s">
        <v>19</v>
      </c>
      <c r="D1861">
        <v>173662</v>
      </c>
      <c r="E1861" t="s">
        <v>43</v>
      </c>
      <c r="F1861">
        <v>1116793189</v>
      </c>
      <c r="G1861" t="s">
        <v>4287</v>
      </c>
      <c r="H1861">
        <v>100249439</v>
      </c>
      <c r="I1861">
        <v>202642</v>
      </c>
      <c r="J1861">
        <v>1116793189</v>
      </c>
      <c r="K1861" t="s">
        <v>23</v>
      </c>
      <c r="L1861" t="s">
        <v>4163</v>
      </c>
      <c r="M1861" t="s">
        <v>47</v>
      </c>
      <c r="N1861" t="s">
        <v>35</v>
      </c>
      <c r="O1861" t="s">
        <v>26</v>
      </c>
      <c r="P1861" t="s">
        <v>27</v>
      </c>
      <c r="Q1861" t="s">
        <v>28</v>
      </c>
      <c r="R1861" t="s">
        <v>29</v>
      </c>
      <c r="S1861" t="s">
        <v>793</v>
      </c>
      <c r="T1861">
        <f>_xlfn.XLOOKUP(X1861,Hoja2!D:D,Hoja2!A:A)</f>
        <v>1019068131</v>
      </c>
      <c r="U1861" t="str">
        <f>_xlfn.XLOOKUP(X1861,Hoja2!D:D,Hoja2!B:B)</f>
        <v>IVONNE JINETH RODRIGUEZ ROJAS</v>
      </c>
      <c r="V1861" t="str">
        <f>_xlfn.XLOOKUP(X1861,Hoja2!D:D,Hoja2!C:C)</f>
        <v>POSGRADOS</v>
      </c>
      <c r="W1861" s="9">
        <f>IF(V1861="pregrado",31,
IF(V1861="posgrados",31,
IF(V1861="rEINTEGROS",7,
IF(V1861="BIT",90,
IF(V1861="OP GRADO - INGLÉS",17,"")))))</f>
        <v>31</v>
      </c>
      <c r="X1861" t="s">
        <v>4066</v>
      </c>
    </row>
    <row r="1862" spans="1:24" x14ac:dyDescent="0.3">
      <c r="A1862" s="4">
        <v>46107</v>
      </c>
      <c r="B1862">
        <v>20129458</v>
      </c>
      <c r="C1862" t="s">
        <v>19</v>
      </c>
      <c r="D1862">
        <v>173665</v>
      </c>
      <c r="E1862" t="s">
        <v>43</v>
      </c>
      <c r="F1862">
        <v>1043967481</v>
      </c>
      <c r="G1862" t="s">
        <v>4272</v>
      </c>
      <c r="H1862">
        <v>100170325</v>
      </c>
      <c r="I1862">
        <v>202652</v>
      </c>
      <c r="J1862">
        <v>1043967919</v>
      </c>
      <c r="K1862" t="s">
        <v>23</v>
      </c>
      <c r="L1862" t="s">
        <v>252</v>
      </c>
      <c r="M1862" t="s">
        <v>253</v>
      </c>
      <c r="N1862" t="s">
        <v>35</v>
      </c>
      <c r="O1862" t="s">
        <v>26</v>
      </c>
      <c r="P1862" t="s">
        <v>27</v>
      </c>
      <c r="Q1862" t="s">
        <v>28</v>
      </c>
      <c r="R1862" t="s">
        <v>29</v>
      </c>
      <c r="S1862" t="s">
        <v>793</v>
      </c>
      <c r="T1862">
        <f>_xlfn.XLOOKUP(X1862,Hoja2!D:D,Hoja2!A:A)</f>
        <v>1016030683</v>
      </c>
      <c r="U1862" t="str">
        <f>_xlfn.XLOOKUP(X1862,Hoja2!D:D,Hoja2!B:B)</f>
        <v>FABIAN CONCHA</v>
      </c>
      <c r="V1862" t="str">
        <f>_xlfn.XLOOKUP(X1862,Hoja2!D:D,Hoja2!C:C)</f>
        <v>POSGRADOS</v>
      </c>
      <c r="W1862" s="9">
        <f>IF(V1862="pregrado",31,
IF(V1862="posgrados",31,
IF(V1862="rEINTEGROS",7,
IF(V1862="BIT",90,
IF(V1862="OP GRADO - INGLÉS",17,"")))))</f>
        <v>31</v>
      </c>
      <c r="X1862" t="s">
        <v>3992</v>
      </c>
    </row>
    <row r="1863" spans="1:24" x14ac:dyDescent="0.3">
      <c r="A1863" s="4">
        <v>46111</v>
      </c>
      <c r="B1863">
        <v>20129797</v>
      </c>
      <c r="C1863" t="s">
        <v>19</v>
      </c>
      <c r="D1863">
        <v>173666</v>
      </c>
      <c r="E1863" t="s">
        <v>43</v>
      </c>
      <c r="F1863">
        <v>26213156</v>
      </c>
      <c r="G1863" t="s">
        <v>4342</v>
      </c>
      <c r="H1863">
        <v>100249562</v>
      </c>
      <c r="I1863">
        <v>202652</v>
      </c>
      <c r="J1863">
        <v>1071428015</v>
      </c>
      <c r="K1863" t="s">
        <v>23</v>
      </c>
      <c r="L1863" t="s">
        <v>252</v>
      </c>
      <c r="M1863" t="s">
        <v>253</v>
      </c>
      <c r="N1863" t="s">
        <v>35</v>
      </c>
      <c r="O1863" t="s">
        <v>26</v>
      </c>
      <c r="P1863" t="s">
        <v>27</v>
      </c>
      <c r="Q1863" t="s">
        <v>28</v>
      </c>
      <c r="R1863" t="s">
        <v>29</v>
      </c>
      <c r="S1863" t="s">
        <v>793</v>
      </c>
      <c r="T1863">
        <f>_xlfn.XLOOKUP(X1863,Hoja2!D:D,Hoja2!A:A)</f>
        <v>1033793185</v>
      </c>
      <c r="U1863" t="str">
        <f>_xlfn.XLOOKUP(X1863,Hoja2!D:D,Hoja2!B:B)</f>
        <v>IVONNE JINETH RODRIGUEZ ROJAS</v>
      </c>
      <c r="V1863" t="str">
        <f>_xlfn.XLOOKUP(X1863,Hoja2!D:D,Hoja2!C:C)</f>
        <v>POSGRADOS</v>
      </c>
      <c r="W1863" s="9">
        <f>IF(V1863="pregrado",31,
IF(V1863="posgrados",31,
IF(V1863="rEINTEGROS",7,
IF(V1863="BIT",90,
IF(V1863="OP GRADO - INGLÉS",17,"")))))</f>
        <v>31</v>
      </c>
      <c r="X1863" t="s">
        <v>4082</v>
      </c>
    </row>
    <row r="1864" spans="1:24" x14ac:dyDescent="0.3">
      <c r="A1864" s="4">
        <v>46107</v>
      </c>
      <c r="B1864">
        <v>20129511</v>
      </c>
      <c r="C1864" t="s">
        <v>19</v>
      </c>
      <c r="D1864">
        <v>173680</v>
      </c>
      <c r="E1864" t="s">
        <v>43</v>
      </c>
      <c r="F1864">
        <v>39770415</v>
      </c>
      <c r="G1864" t="s">
        <v>4283</v>
      </c>
      <c r="H1864">
        <v>100249574</v>
      </c>
      <c r="I1864">
        <v>202652</v>
      </c>
      <c r="J1864">
        <v>39770415</v>
      </c>
      <c r="K1864" t="s">
        <v>23</v>
      </c>
      <c r="L1864" t="s">
        <v>252</v>
      </c>
      <c r="M1864" t="s">
        <v>253</v>
      </c>
      <c r="N1864" t="s">
        <v>35</v>
      </c>
      <c r="O1864" t="s">
        <v>26</v>
      </c>
      <c r="P1864" t="s">
        <v>27</v>
      </c>
      <c r="Q1864" t="s">
        <v>28</v>
      </c>
      <c r="R1864" t="s">
        <v>29</v>
      </c>
      <c r="S1864" t="s">
        <v>793</v>
      </c>
      <c r="T1864">
        <f>_xlfn.XLOOKUP(X1864,Hoja2!D:D,Hoja2!A:A)</f>
        <v>1073673268</v>
      </c>
      <c r="U1864" t="str">
        <f>_xlfn.XLOOKUP(X1864,Hoja2!D:D,Hoja2!B:B)</f>
        <v>IVONNE JINETH RODRIGUEZ ROJAS</v>
      </c>
      <c r="V1864" t="str">
        <f>_xlfn.XLOOKUP(X1864,Hoja2!D:D,Hoja2!C:C)</f>
        <v>POSGRADOS</v>
      </c>
      <c r="W1864" s="9">
        <f>IF(V1864="pregrado",31,
IF(V1864="posgrados",31,
IF(V1864="rEINTEGROS",7,
IF(V1864="BIT",90,
IF(V1864="OP GRADO - INGLÉS",17,"")))))</f>
        <v>31</v>
      </c>
      <c r="X1864" t="s">
        <v>4080</v>
      </c>
    </row>
    <row r="1865" spans="1:24" x14ac:dyDescent="0.3">
      <c r="A1865" s="4">
        <v>46107</v>
      </c>
      <c r="B1865">
        <v>20129550</v>
      </c>
      <c r="C1865" t="s">
        <v>19</v>
      </c>
      <c r="D1865">
        <v>173711</v>
      </c>
      <c r="E1865" t="s">
        <v>43</v>
      </c>
      <c r="F1865">
        <v>1094275778</v>
      </c>
      <c r="G1865" t="s">
        <v>4295</v>
      </c>
      <c r="H1865">
        <v>100249617</v>
      </c>
      <c r="I1865">
        <v>202652</v>
      </c>
      <c r="J1865">
        <v>1094275778</v>
      </c>
      <c r="K1865" t="s">
        <v>23</v>
      </c>
      <c r="L1865" t="s">
        <v>252</v>
      </c>
      <c r="M1865" t="s">
        <v>253</v>
      </c>
      <c r="N1865" t="s">
        <v>25</v>
      </c>
      <c r="O1865" t="s">
        <v>26</v>
      </c>
      <c r="P1865" t="s">
        <v>27</v>
      </c>
      <c r="Q1865" t="s">
        <v>28</v>
      </c>
      <c r="R1865" t="s">
        <v>29</v>
      </c>
      <c r="S1865" t="s">
        <v>793</v>
      </c>
      <c r="T1865">
        <f>_xlfn.XLOOKUP(X1865,Hoja2!D:D,Hoja2!A:A)</f>
        <v>1014285873</v>
      </c>
      <c r="U1865" t="str">
        <f>_xlfn.XLOOKUP(X1865,Hoja2!D:D,Hoja2!B:B)</f>
        <v>IVONNE JINETH RODRIGUEZ ROJAS</v>
      </c>
      <c r="V1865" t="str">
        <f>_xlfn.XLOOKUP(X1865,Hoja2!D:D,Hoja2!C:C)</f>
        <v>POSGRADOS</v>
      </c>
      <c r="W1865" s="9">
        <f>IF(V1865="pregrado",31,
IF(V1865="posgrados",31,
IF(V1865="rEINTEGROS",7,
IF(V1865="BIT",90,
IF(V1865="OP GRADO - INGLÉS",17,"")))))</f>
        <v>31</v>
      </c>
      <c r="X1865" t="s">
        <v>3953</v>
      </c>
    </row>
    <row r="1866" spans="1:24" x14ac:dyDescent="0.3">
      <c r="A1866" s="4">
        <v>46108</v>
      </c>
      <c r="B1866">
        <v>20129616</v>
      </c>
      <c r="C1866" t="s">
        <v>19</v>
      </c>
      <c r="D1866">
        <v>173712</v>
      </c>
      <c r="E1866" t="s">
        <v>43</v>
      </c>
      <c r="F1866">
        <v>19416786</v>
      </c>
      <c r="G1866" t="s">
        <v>4309</v>
      </c>
      <c r="H1866">
        <v>100249618</v>
      </c>
      <c r="I1866">
        <v>202652</v>
      </c>
      <c r="J1866">
        <v>1111338279</v>
      </c>
      <c r="K1866" t="s">
        <v>23</v>
      </c>
      <c r="L1866" t="s">
        <v>252</v>
      </c>
      <c r="M1866" t="s">
        <v>253</v>
      </c>
      <c r="N1866" t="s">
        <v>35</v>
      </c>
      <c r="O1866" t="s">
        <v>26</v>
      </c>
      <c r="P1866" t="s">
        <v>27</v>
      </c>
      <c r="Q1866" t="s">
        <v>28</v>
      </c>
      <c r="R1866" t="s">
        <v>29</v>
      </c>
      <c r="S1866" t="s">
        <v>793</v>
      </c>
      <c r="T1866">
        <f>_xlfn.XLOOKUP(X1866,Hoja2!D:D,Hoja2!A:A)</f>
        <v>1031147887</v>
      </c>
      <c r="U1866" t="str">
        <f>_xlfn.XLOOKUP(X1866,Hoja2!D:D,Hoja2!B:B)</f>
        <v>IVONNE JINETH RODRIGUEZ ROJAS</v>
      </c>
      <c r="V1866" t="str">
        <f>_xlfn.XLOOKUP(X1866,Hoja2!D:D,Hoja2!C:C)</f>
        <v>POSGRADOS</v>
      </c>
      <c r="W1866" s="9">
        <f>IF(V1866="pregrado",31,
IF(V1866="posgrados",31,
IF(V1866="rEINTEGROS",7,
IF(V1866="BIT",90,
IF(V1866="OP GRADO - INGLÉS",17,"")))))</f>
        <v>31</v>
      </c>
      <c r="X1866" t="s">
        <v>3947</v>
      </c>
    </row>
    <row r="1867" spans="1:24" x14ac:dyDescent="0.3">
      <c r="A1867" s="4">
        <v>46107</v>
      </c>
      <c r="B1867">
        <v>20129528</v>
      </c>
      <c r="C1867" t="s">
        <v>19</v>
      </c>
      <c r="D1867">
        <v>173717</v>
      </c>
      <c r="E1867" t="s">
        <v>43</v>
      </c>
      <c r="F1867">
        <v>35531075</v>
      </c>
      <c r="G1867" t="s">
        <v>4288</v>
      </c>
      <c r="H1867">
        <v>100039050</v>
      </c>
      <c r="I1867">
        <v>202652</v>
      </c>
      <c r="J1867">
        <v>35531075</v>
      </c>
      <c r="K1867" t="s">
        <v>23</v>
      </c>
      <c r="L1867" t="s">
        <v>252</v>
      </c>
      <c r="M1867" t="s">
        <v>253</v>
      </c>
      <c r="N1867" t="s">
        <v>35</v>
      </c>
      <c r="O1867" t="s">
        <v>26</v>
      </c>
      <c r="P1867" t="s">
        <v>27</v>
      </c>
      <c r="Q1867" t="s">
        <v>28</v>
      </c>
      <c r="R1867" t="s">
        <v>29</v>
      </c>
      <c r="S1867" t="s">
        <v>793</v>
      </c>
      <c r="T1867">
        <f>_xlfn.XLOOKUP(X1867,Hoja2!D:D,Hoja2!A:A)</f>
        <v>1033793185</v>
      </c>
      <c r="U1867" t="str">
        <f>_xlfn.XLOOKUP(X1867,Hoja2!D:D,Hoja2!B:B)</f>
        <v>IVONNE JINETH RODRIGUEZ ROJAS</v>
      </c>
      <c r="V1867" t="str">
        <f>_xlfn.XLOOKUP(X1867,Hoja2!D:D,Hoja2!C:C)</f>
        <v>POSGRADOS</v>
      </c>
      <c r="W1867" s="9">
        <f>IF(V1867="pregrado",31,
IF(V1867="posgrados",31,
IF(V1867="rEINTEGROS",7,
IF(V1867="BIT",90,
IF(V1867="OP GRADO - INGLÉS",17,"")))))</f>
        <v>31</v>
      </c>
      <c r="X1867" t="s">
        <v>4082</v>
      </c>
    </row>
    <row r="1868" spans="1:24" x14ac:dyDescent="0.3">
      <c r="A1868" s="4">
        <v>46119</v>
      </c>
      <c r="B1868">
        <v>20130272</v>
      </c>
      <c r="C1868" t="s">
        <v>19</v>
      </c>
      <c r="D1868">
        <v>173719</v>
      </c>
      <c r="E1868" t="s">
        <v>43</v>
      </c>
      <c r="F1868">
        <v>52068393</v>
      </c>
      <c r="G1868" t="s">
        <v>4426</v>
      </c>
      <c r="H1868">
        <v>900006468</v>
      </c>
      <c r="I1868">
        <v>202642</v>
      </c>
      <c r="J1868">
        <v>52068393</v>
      </c>
      <c r="K1868" t="s">
        <v>23</v>
      </c>
      <c r="L1868" t="s">
        <v>4242</v>
      </c>
      <c r="M1868" t="s">
        <v>47</v>
      </c>
      <c r="N1868" t="s">
        <v>35</v>
      </c>
      <c r="O1868" t="s">
        <v>26</v>
      </c>
      <c r="P1868" t="s">
        <v>27</v>
      </c>
      <c r="Q1868" t="s">
        <v>28</v>
      </c>
      <c r="R1868" t="s">
        <v>29</v>
      </c>
      <c r="S1868" t="s">
        <v>793</v>
      </c>
      <c r="T1868">
        <f>_xlfn.XLOOKUP(X1868,Hoja2!D:D,Hoja2!A:A)</f>
        <v>1033781417</v>
      </c>
      <c r="U1868" t="str">
        <f>_xlfn.XLOOKUP(X1868,Hoja2!D:D,Hoja2!B:B)</f>
        <v>IVONNE JINETH RODRIGUEZ ROJAS</v>
      </c>
      <c r="V1868" t="str">
        <f>_xlfn.XLOOKUP(X1868,Hoja2!D:D,Hoja2!C:C)</f>
        <v>POSGRADOS</v>
      </c>
      <c r="W1868" s="9">
        <f>IF(V1868="pregrado",31,
IF(V1868="posgrados",31,
IF(V1868="rEINTEGROS",7,
IF(V1868="BIT",90,
IF(V1868="OP GRADO - INGLÉS",17,"")))))</f>
        <v>31</v>
      </c>
      <c r="X1868" t="s">
        <v>4031</v>
      </c>
    </row>
    <row r="1869" spans="1:24" x14ac:dyDescent="0.3">
      <c r="A1869" s="4">
        <v>46108</v>
      </c>
      <c r="B1869">
        <v>20129641</v>
      </c>
      <c r="C1869" t="s">
        <v>19</v>
      </c>
      <c r="D1869">
        <v>173720</v>
      </c>
      <c r="E1869" t="s">
        <v>43</v>
      </c>
      <c r="F1869">
        <v>24713628</v>
      </c>
      <c r="G1869" t="s">
        <v>4318</v>
      </c>
      <c r="H1869">
        <v>100249628</v>
      </c>
      <c r="I1869">
        <v>202652</v>
      </c>
      <c r="J1869">
        <v>24713628</v>
      </c>
      <c r="K1869" t="s">
        <v>23</v>
      </c>
      <c r="L1869" t="s">
        <v>252</v>
      </c>
      <c r="M1869" t="s">
        <v>253</v>
      </c>
      <c r="N1869" t="s">
        <v>35</v>
      </c>
      <c r="O1869" t="s">
        <v>26</v>
      </c>
      <c r="P1869" t="s">
        <v>27</v>
      </c>
      <c r="Q1869" t="s">
        <v>28</v>
      </c>
      <c r="R1869" t="s">
        <v>29</v>
      </c>
      <c r="S1869" t="s">
        <v>793</v>
      </c>
      <c r="T1869">
        <f>_xlfn.XLOOKUP(X1869,Hoja2!D:D,Hoja2!A:A)</f>
        <v>1075542872</v>
      </c>
      <c r="U1869" t="str">
        <f>_xlfn.XLOOKUP(X1869,Hoja2!D:D,Hoja2!B:B)</f>
        <v>IVONNE JINETH RODRIGUEZ ROJAS</v>
      </c>
      <c r="V1869" t="str">
        <f>_xlfn.XLOOKUP(X1869,Hoja2!D:D,Hoja2!C:C)</f>
        <v>POSGRADOS</v>
      </c>
      <c r="W1869" s="9">
        <f>IF(V1869="pregrado",31,
IF(V1869="posgrados",31,
IF(V1869="rEINTEGROS",7,
IF(V1869="BIT",90,
IF(V1869="OP GRADO - INGLÉS",17,"")))))</f>
        <v>31</v>
      </c>
      <c r="X1869" t="s">
        <v>3974</v>
      </c>
    </row>
    <row r="1870" spans="1:24" x14ac:dyDescent="0.3">
      <c r="A1870" s="4">
        <v>46108</v>
      </c>
      <c r="B1870">
        <v>20129575</v>
      </c>
      <c r="C1870" t="s">
        <v>19</v>
      </c>
      <c r="D1870">
        <v>173722</v>
      </c>
      <c r="E1870" t="s">
        <v>43</v>
      </c>
      <c r="F1870">
        <v>1053834503</v>
      </c>
      <c r="G1870" t="s">
        <v>4303</v>
      </c>
      <c r="H1870">
        <v>100249529</v>
      </c>
      <c r="I1870">
        <v>202642</v>
      </c>
      <c r="J1870">
        <v>1053834503</v>
      </c>
      <c r="K1870" t="s">
        <v>23</v>
      </c>
      <c r="L1870" t="s">
        <v>4163</v>
      </c>
      <c r="M1870" t="s">
        <v>47</v>
      </c>
      <c r="N1870" t="s">
        <v>35</v>
      </c>
      <c r="O1870" t="s">
        <v>26</v>
      </c>
      <c r="P1870" t="s">
        <v>27</v>
      </c>
      <c r="Q1870" t="s">
        <v>28</v>
      </c>
      <c r="R1870" t="s">
        <v>29</v>
      </c>
      <c r="S1870" t="s">
        <v>793</v>
      </c>
      <c r="T1870">
        <f>_xlfn.XLOOKUP(X1870,Hoja2!D:D,Hoja2!A:A)</f>
        <v>1015401969</v>
      </c>
      <c r="U1870" t="str">
        <f>_xlfn.XLOOKUP(X1870,Hoja2!D:D,Hoja2!B:B)</f>
        <v>FABIAN CONCHA</v>
      </c>
      <c r="V1870" t="str">
        <f>_xlfn.XLOOKUP(X1870,Hoja2!D:D,Hoja2!C:C)</f>
        <v>POSGRADOS</v>
      </c>
      <c r="W1870" s="9">
        <f>IF(V1870="pregrado",31,
IF(V1870="posgrados",31,
IF(V1870="rEINTEGROS",7,
IF(V1870="BIT",90,
IF(V1870="OP GRADO - INGLÉS",17,"")))))</f>
        <v>31</v>
      </c>
      <c r="X1870" t="s">
        <v>3945</v>
      </c>
    </row>
    <row r="1871" spans="1:24" x14ac:dyDescent="0.3">
      <c r="A1871" s="4">
        <v>46107</v>
      </c>
      <c r="B1871">
        <v>20129546</v>
      </c>
      <c r="C1871" t="s">
        <v>19</v>
      </c>
      <c r="D1871">
        <v>173726</v>
      </c>
      <c r="E1871" t="s">
        <v>43</v>
      </c>
      <c r="F1871">
        <v>30210156</v>
      </c>
      <c r="G1871" t="s">
        <v>4293</v>
      </c>
      <c r="H1871">
        <v>100249637</v>
      </c>
      <c r="I1871">
        <v>202652</v>
      </c>
      <c r="J1871">
        <v>79941525</v>
      </c>
      <c r="K1871" t="s">
        <v>23</v>
      </c>
      <c r="L1871" t="s">
        <v>252</v>
      </c>
      <c r="M1871" t="s">
        <v>253</v>
      </c>
      <c r="N1871" t="s">
        <v>35</v>
      </c>
      <c r="O1871" t="s">
        <v>26</v>
      </c>
      <c r="P1871" t="s">
        <v>27</v>
      </c>
      <c r="Q1871" t="s">
        <v>28</v>
      </c>
      <c r="R1871" t="s">
        <v>29</v>
      </c>
      <c r="S1871" t="s">
        <v>793</v>
      </c>
      <c r="T1871">
        <f>_xlfn.XLOOKUP(X1871,Hoja2!D:D,Hoja2!A:A)</f>
        <v>1014285873</v>
      </c>
      <c r="U1871" t="str">
        <f>_xlfn.XLOOKUP(X1871,Hoja2!D:D,Hoja2!B:B)</f>
        <v>IVONNE JINETH RODRIGUEZ ROJAS</v>
      </c>
      <c r="V1871" t="str">
        <f>_xlfn.XLOOKUP(X1871,Hoja2!D:D,Hoja2!C:C)</f>
        <v>POSGRADOS</v>
      </c>
      <c r="W1871" s="9">
        <f>IF(V1871="pregrado",31,
IF(V1871="posgrados",31,
IF(V1871="rEINTEGROS",7,
IF(V1871="BIT",90,
IF(V1871="OP GRADO - INGLÉS",17,"")))))</f>
        <v>31</v>
      </c>
      <c r="X1871" t="s">
        <v>3953</v>
      </c>
    </row>
    <row r="1872" spans="1:24" x14ac:dyDescent="0.3">
      <c r="A1872" s="4">
        <v>46109</v>
      </c>
      <c r="B1872">
        <v>20129679</v>
      </c>
      <c r="C1872" t="s">
        <v>19</v>
      </c>
      <c r="D1872">
        <v>173736</v>
      </c>
      <c r="E1872" t="s">
        <v>43</v>
      </c>
      <c r="F1872">
        <v>1064437064</v>
      </c>
      <c r="G1872" t="s">
        <v>4322</v>
      </c>
      <c r="H1872">
        <v>100249649</v>
      </c>
      <c r="I1872">
        <v>202652</v>
      </c>
      <c r="J1872">
        <v>1064437064</v>
      </c>
      <c r="K1872" t="s">
        <v>23</v>
      </c>
      <c r="L1872" t="s">
        <v>252</v>
      </c>
      <c r="M1872" t="s">
        <v>253</v>
      </c>
      <c r="N1872" t="s">
        <v>35</v>
      </c>
      <c r="O1872" t="s">
        <v>26</v>
      </c>
      <c r="P1872" t="s">
        <v>27</v>
      </c>
      <c r="Q1872" t="s">
        <v>28</v>
      </c>
      <c r="R1872" t="s">
        <v>29</v>
      </c>
      <c r="S1872" t="s">
        <v>793</v>
      </c>
      <c r="T1872">
        <f>_xlfn.XLOOKUP(X1872,Hoja2!D:D,Hoja2!A:A)</f>
        <v>1033793185</v>
      </c>
      <c r="U1872" t="str">
        <f>_xlfn.XLOOKUP(X1872,Hoja2!D:D,Hoja2!B:B)</f>
        <v>IVONNE JINETH RODRIGUEZ ROJAS</v>
      </c>
      <c r="V1872" t="str">
        <f>_xlfn.XLOOKUP(X1872,Hoja2!D:D,Hoja2!C:C)</f>
        <v>POSGRADOS</v>
      </c>
      <c r="W1872" s="9">
        <f>IF(V1872="pregrado",31,
IF(V1872="posgrados",31,
IF(V1872="rEINTEGROS",7,
IF(V1872="BIT",90,
IF(V1872="OP GRADO - INGLÉS",17,"")))))</f>
        <v>31</v>
      </c>
      <c r="X1872" t="s">
        <v>4082</v>
      </c>
    </row>
    <row r="1873" spans="1:24" x14ac:dyDescent="0.3">
      <c r="A1873" s="4">
        <v>46107</v>
      </c>
      <c r="B1873">
        <v>20129544</v>
      </c>
      <c r="C1873" t="s">
        <v>19</v>
      </c>
      <c r="D1873">
        <v>173741</v>
      </c>
      <c r="E1873" t="s">
        <v>43</v>
      </c>
      <c r="F1873">
        <v>1062318035</v>
      </c>
      <c r="G1873" t="s">
        <v>4292</v>
      </c>
      <c r="H1873">
        <v>100249656</v>
      </c>
      <c r="I1873">
        <v>202652</v>
      </c>
      <c r="J1873">
        <v>1062318035</v>
      </c>
      <c r="K1873" t="s">
        <v>23</v>
      </c>
      <c r="L1873" t="s">
        <v>252</v>
      </c>
      <c r="M1873" t="s">
        <v>253</v>
      </c>
      <c r="N1873" t="s">
        <v>35</v>
      </c>
      <c r="O1873" t="s">
        <v>26</v>
      </c>
      <c r="P1873" t="s">
        <v>27</v>
      </c>
      <c r="Q1873" t="s">
        <v>28</v>
      </c>
      <c r="R1873" t="s">
        <v>29</v>
      </c>
      <c r="S1873" t="s">
        <v>793</v>
      </c>
      <c r="T1873">
        <f>_xlfn.XLOOKUP(X1873,Hoja2!D:D,Hoja2!A:A)</f>
        <v>1016030683</v>
      </c>
      <c r="U1873" t="str">
        <f>_xlfn.XLOOKUP(X1873,Hoja2!D:D,Hoja2!B:B)</f>
        <v>FABIAN CONCHA</v>
      </c>
      <c r="V1873" t="str">
        <f>_xlfn.XLOOKUP(X1873,Hoja2!D:D,Hoja2!C:C)</f>
        <v>POSGRADOS</v>
      </c>
      <c r="W1873" s="9">
        <f>IF(V1873="pregrado",31,
IF(V1873="posgrados",31,
IF(V1873="rEINTEGROS",7,
IF(V1873="BIT",90,
IF(V1873="OP GRADO - INGLÉS",17,"")))))</f>
        <v>31</v>
      </c>
      <c r="X1873" t="s">
        <v>3992</v>
      </c>
    </row>
    <row r="1874" spans="1:24" x14ac:dyDescent="0.3">
      <c r="A1874" s="4">
        <v>46112</v>
      </c>
      <c r="B1874">
        <v>20129890</v>
      </c>
      <c r="C1874" t="s">
        <v>19</v>
      </c>
      <c r="D1874">
        <v>173744</v>
      </c>
      <c r="E1874" t="s">
        <v>43</v>
      </c>
      <c r="F1874">
        <v>1054226722</v>
      </c>
      <c r="G1874" t="s">
        <v>4364</v>
      </c>
      <c r="H1874">
        <v>100249662</v>
      </c>
      <c r="I1874">
        <v>202652</v>
      </c>
      <c r="J1874">
        <v>1054226722</v>
      </c>
      <c r="K1874" t="s">
        <v>23</v>
      </c>
      <c r="L1874" t="s">
        <v>252</v>
      </c>
      <c r="M1874" t="s">
        <v>253</v>
      </c>
      <c r="N1874" t="s">
        <v>35</v>
      </c>
      <c r="O1874" t="s">
        <v>26</v>
      </c>
      <c r="P1874" t="s">
        <v>27</v>
      </c>
      <c r="Q1874" t="s">
        <v>28</v>
      </c>
      <c r="R1874" t="s">
        <v>29</v>
      </c>
      <c r="S1874" t="s">
        <v>793</v>
      </c>
      <c r="T1874">
        <f>_xlfn.XLOOKUP(X1874,Hoja2!D:D,Hoja2!A:A)</f>
        <v>52759865</v>
      </c>
      <c r="U1874" t="str">
        <f>_xlfn.XLOOKUP(X1874,Hoja2!D:D,Hoja2!B:B)</f>
        <v>Heidy Lorena Prieto Ahumada</v>
      </c>
      <c r="V1874" t="str">
        <f>_xlfn.XLOOKUP(X1874,Hoja2!D:D,Hoja2!C:C)</f>
        <v>PREGRADO</v>
      </c>
      <c r="W1874" s="9">
        <f>IF(V1874="pregrado",31,
IF(V1874="posgrados",31,
IF(V1874="rEINTEGROS",7,
IF(V1874="BIT",90,
IF(V1874="OP GRADO - INGLÉS",17,"")))))</f>
        <v>31</v>
      </c>
      <c r="X1874" t="s">
        <v>4923</v>
      </c>
    </row>
    <row r="1875" spans="1:24" x14ac:dyDescent="0.3">
      <c r="A1875" s="4">
        <v>46118</v>
      </c>
      <c r="B1875">
        <v>20130117</v>
      </c>
      <c r="C1875" t="s">
        <v>19</v>
      </c>
      <c r="D1875">
        <v>173754</v>
      </c>
      <c r="E1875" t="s">
        <v>43</v>
      </c>
      <c r="F1875">
        <v>1124855895</v>
      </c>
      <c r="G1875" t="s">
        <v>4393</v>
      </c>
      <c r="H1875">
        <v>100249668</v>
      </c>
      <c r="I1875">
        <v>202642</v>
      </c>
      <c r="J1875">
        <v>1124855895</v>
      </c>
      <c r="K1875" t="s">
        <v>23</v>
      </c>
      <c r="L1875" t="s">
        <v>294</v>
      </c>
      <c r="M1875" t="s">
        <v>47</v>
      </c>
      <c r="N1875" t="s">
        <v>35</v>
      </c>
      <c r="O1875" t="s">
        <v>26</v>
      </c>
      <c r="P1875" t="s">
        <v>27</v>
      </c>
      <c r="Q1875" t="s">
        <v>28</v>
      </c>
      <c r="R1875" t="s">
        <v>29</v>
      </c>
      <c r="S1875" t="s">
        <v>793</v>
      </c>
      <c r="T1875">
        <f>_xlfn.XLOOKUP(X1875,Hoja2!D:D,Hoja2!A:A)</f>
        <v>1033793185</v>
      </c>
      <c r="U1875" t="str">
        <f>_xlfn.XLOOKUP(X1875,Hoja2!D:D,Hoja2!B:B)</f>
        <v>IVONNE JINETH RODRIGUEZ ROJAS</v>
      </c>
      <c r="V1875" t="str">
        <f>_xlfn.XLOOKUP(X1875,Hoja2!D:D,Hoja2!C:C)</f>
        <v>POSGRADOS</v>
      </c>
      <c r="W1875" s="9">
        <f>IF(V1875="pregrado",31,
IF(V1875="posgrados",31,
IF(V1875="rEINTEGROS",7,
IF(V1875="BIT",90,
IF(V1875="OP GRADO - INGLÉS",17,"")))))</f>
        <v>31</v>
      </c>
      <c r="X1875" t="s">
        <v>4082</v>
      </c>
    </row>
    <row r="1876" spans="1:24" x14ac:dyDescent="0.3">
      <c r="A1876" s="4">
        <v>46111</v>
      </c>
      <c r="B1876">
        <v>20129770</v>
      </c>
      <c r="C1876" t="s">
        <v>19</v>
      </c>
      <c r="D1876">
        <v>173757</v>
      </c>
      <c r="E1876" t="s">
        <v>43</v>
      </c>
      <c r="F1876">
        <v>1110450830</v>
      </c>
      <c r="G1876" t="s">
        <v>4336</v>
      </c>
      <c r="H1876">
        <v>100108985</v>
      </c>
      <c r="I1876">
        <v>202642</v>
      </c>
      <c r="J1876">
        <v>1110450830</v>
      </c>
      <c r="K1876" t="s">
        <v>23</v>
      </c>
      <c r="L1876" t="s">
        <v>4242</v>
      </c>
      <c r="M1876" t="s">
        <v>47</v>
      </c>
      <c r="N1876" t="s">
        <v>35</v>
      </c>
      <c r="O1876" t="s">
        <v>26</v>
      </c>
      <c r="P1876" t="s">
        <v>27</v>
      </c>
      <c r="Q1876" t="s">
        <v>28</v>
      </c>
      <c r="R1876" t="s">
        <v>29</v>
      </c>
      <c r="S1876" t="s">
        <v>793</v>
      </c>
      <c r="T1876">
        <f>_xlfn.XLOOKUP(X1876,Hoja2!D:D,Hoja2!A:A)</f>
        <v>52916205</v>
      </c>
      <c r="U1876" t="str">
        <f>_xlfn.XLOOKUP(X1876,Hoja2!D:D,Hoja2!B:B)</f>
        <v>FABIAN CONCHA</v>
      </c>
      <c r="V1876" t="str">
        <f>_xlfn.XLOOKUP(X1876,Hoja2!D:D,Hoja2!C:C)</f>
        <v>POSGRADOS</v>
      </c>
      <c r="W1876" s="9">
        <f>IF(V1876="pregrado",31,
IF(V1876="posgrados",31,
IF(V1876="rEINTEGROS",7,
IF(V1876="BIT",90,
IF(V1876="OP GRADO - INGLÉS",17,"")))))</f>
        <v>31</v>
      </c>
      <c r="X1876" t="s">
        <v>4032</v>
      </c>
    </row>
    <row r="1877" spans="1:24" x14ac:dyDescent="0.3">
      <c r="A1877" s="4">
        <v>46112</v>
      </c>
      <c r="B1877">
        <v>20129853</v>
      </c>
      <c r="C1877" t="s">
        <v>19</v>
      </c>
      <c r="D1877">
        <v>173764</v>
      </c>
      <c r="E1877" t="s">
        <v>43</v>
      </c>
      <c r="F1877">
        <v>39743664</v>
      </c>
      <c r="G1877" t="s">
        <v>4356</v>
      </c>
      <c r="H1877">
        <v>100249645</v>
      </c>
      <c r="I1877">
        <v>202642</v>
      </c>
      <c r="J1877">
        <v>1003880586</v>
      </c>
      <c r="K1877" t="s">
        <v>23</v>
      </c>
      <c r="L1877" t="s">
        <v>4163</v>
      </c>
      <c r="M1877" t="s">
        <v>47</v>
      </c>
      <c r="N1877" t="s">
        <v>35</v>
      </c>
      <c r="O1877" t="s">
        <v>26</v>
      </c>
      <c r="P1877" t="s">
        <v>27</v>
      </c>
      <c r="Q1877" t="s">
        <v>28</v>
      </c>
      <c r="R1877" t="s">
        <v>29</v>
      </c>
      <c r="S1877" t="s">
        <v>793</v>
      </c>
      <c r="T1877">
        <f>_xlfn.XLOOKUP(X1877,Hoja2!D:D,Hoja2!A:A)</f>
        <v>52032666</v>
      </c>
      <c r="U1877" t="str">
        <f>_xlfn.XLOOKUP(X1877,Hoja2!D:D,Hoja2!B:B)</f>
        <v>IVONNE JINETH RODRIGUEZ ROJAS</v>
      </c>
      <c r="V1877" t="str">
        <f>_xlfn.XLOOKUP(X1877,Hoja2!D:D,Hoja2!C:C)</f>
        <v>POSGRADOS</v>
      </c>
      <c r="W1877" s="9">
        <f>IF(V1877="pregrado",31,
IF(V1877="posgrados",31,
IF(V1877="rEINTEGROS",7,
IF(V1877="BIT",90,
IF(V1877="OP GRADO - INGLÉS",17,"")))))</f>
        <v>31</v>
      </c>
      <c r="X1877" t="s">
        <v>3983</v>
      </c>
    </row>
    <row r="1878" spans="1:24" x14ac:dyDescent="0.3">
      <c r="A1878" s="4">
        <v>46111</v>
      </c>
      <c r="B1878">
        <v>20129762</v>
      </c>
      <c r="C1878" t="s">
        <v>19</v>
      </c>
      <c r="D1878">
        <v>173768</v>
      </c>
      <c r="E1878" t="s">
        <v>43</v>
      </c>
      <c r="F1878">
        <v>1000019934</v>
      </c>
      <c r="G1878" t="s">
        <v>4334</v>
      </c>
      <c r="H1878">
        <v>100073617</v>
      </c>
      <c r="I1878">
        <v>202652</v>
      </c>
      <c r="J1878">
        <v>1007567616</v>
      </c>
      <c r="K1878" t="s">
        <v>23</v>
      </c>
      <c r="L1878" t="s">
        <v>252</v>
      </c>
      <c r="M1878" t="s">
        <v>253</v>
      </c>
      <c r="N1878" t="s">
        <v>35</v>
      </c>
      <c r="O1878" t="s">
        <v>26</v>
      </c>
      <c r="P1878" t="s">
        <v>27</v>
      </c>
      <c r="Q1878" t="s">
        <v>28</v>
      </c>
      <c r="R1878" t="s">
        <v>29</v>
      </c>
      <c r="S1878" t="s">
        <v>793</v>
      </c>
      <c r="T1878">
        <f>_xlfn.XLOOKUP(X1878,Hoja2!D:D,Hoja2!A:A)</f>
        <v>1073673268</v>
      </c>
      <c r="U1878" t="str">
        <f>_xlfn.XLOOKUP(X1878,Hoja2!D:D,Hoja2!B:B)</f>
        <v>IVONNE JINETH RODRIGUEZ ROJAS</v>
      </c>
      <c r="V1878" t="str">
        <f>_xlfn.XLOOKUP(X1878,Hoja2!D:D,Hoja2!C:C)</f>
        <v>POSGRADOS</v>
      </c>
      <c r="W1878" s="9">
        <f>IF(V1878="pregrado",31,
IF(V1878="posgrados",31,
IF(V1878="rEINTEGROS",7,
IF(V1878="BIT",90,
IF(V1878="OP GRADO - INGLÉS",17,"")))))</f>
        <v>31</v>
      </c>
      <c r="X1878" t="s">
        <v>4080</v>
      </c>
    </row>
    <row r="1879" spans="1:24" x14ac:dyDescent="0.3">
      <c r="A1879" s="4">
        <v>46108</v>
      </c>
      <c r="B1879">
        <v>20129574</v>
      </c>
      <c r="C1879" t="s">
        <v>19</v>
      </c>
      <c r="D1879">
        <v>173775</v>
      </c>
      <c r="E1879" t="s">
        <v>43</v>
      </c>
      <c r="F1879">
        <v>1135049021</v>
      </c>
      <c r="G1879" t="s">
        <v>4302</v>
      </c>
      <c r="H1879">
        <v>100160662</v>
      </c>
      <c r="I1879">
        <v>202652</v>
      </c>
      <c r="J1879">
        <v>1135049021</v>
      </c>
      <c r="K1879" t="s">
        <v>23</v>
      </c>
      <c r="L1879" t="s">
        <v>252</v>
      </c>
      <c r="M1879" t="s">
        <v>253</v>
      </c>
      <c r="N1879" t="s">
        <v>35</v>
      </c>
      <c r="O1879" t="s">
        <v>26</v>
      </c>
      <c r="P1879" t="s">
        <v>27</v>
      </c>
      <c r="Q1879" t="s">
        <v>28</v>
      </c>
      <c r="R1879" t="s">
        <v>29</v>
      </c>
      <c r="S1879" t="s">
        <v>793</v>
      </c>
      <c r="T1879">
        <f>_xlfn.XLOOKUP(X1879,Hoja2!D:D,Hoja2!A:A)</f>
        <v>1033781417</v>
      </c>
      <c r="U1879" t="str">
        <f>_xlfn.XLOOKUP(X1879,Hoja2!D:D,Hoja2!B:B)</f>
        <v>IVONNE JINETH RODRIGUEZ ROJAS</v>
      </c>
      <c r="V1879" t="str">
        <f>_xlfn.XLOOKUP(X1879,Hoja2!D:D,Hoja2!C:C)</f>
        <v>POSGRADOS</v>
      </c>
      <c r="W1879" s="9">
        <f>IF(V1879="pregrado",31,
IF(V1879="posgrados",31,
IF(V1879="rEINTEGROS",7,
IF(V1879="BIT",90,
IF(V1879="OP GRADO - INGLÉS",17,"")))))</f>
        <v>31</v>
      </c>
      <c r="X1879" t="s">
        <v>4031</v>
      </c>
    </row>
    <row r="1880" spans="1:24" x14ac:dyDescent="0.3">
      <c r="A1880" s="4">
        <v>46111</v>
      </c>
      <c r="B1880">
        <v>20129741</v>
      </c>
      <c r="C1880" t="s">
        <v>19</v>
      </c>
      <c r="D1880">
        <v>173778</v>
      </c>
      <c r="E1880" t="s">
        <v>43</v>
      </c>
      <c r="F1880">
        <v>1121508161</v>
      </c>
      <c r="G1880" t="s">
        <v>4329</v>
      </c>
      <c r="H1880">
        <v>100160561</v>
      </c>
      <c r="I1880">
        <v>202652</v>
      </c>
      <c r="J1880">
        <v>1121508161</v>
      </c>
      <c r="K1880" t="s">
        <v>74</v>
      </c>
      <c r="L1880" t="s">
        <v>252</v>
      </c>
      <c r="M1880" t="s">
        <v>253</v>
      </c>
      <c r="N1880" t="s">
        <v>35</v>
      </c>
      <c r="O1880" t="s">
        <v>26</v>
      </c>
      <c r="P1880" t="s">
        <v>27</v>
      </c>
      <c r="Q1880" t="s">
        <v>28</v>
      </c>
      <c r="R1880" t="s">
        <v>29</v>
      </c>
      <c r="S1880" t="s">
        <v>793</v>
      </c>
      <c r="T1880">
        <f>_xlfn.XLOOKUP(X1880,Hoja2!D:D,Hoja2!A:A)</f>
        <v>1033781417</v>
      </c>
      <c r="U1880" t="str">
        <f>_xlfn.XLOOKUP(X1880,Hoja2!D:D,Hoja2!B:B)</f>
        <v>IVONNE JINETH RODRIGUEZ ROJAS</v>
      </c>
      <c r="V1880" t="str">
        <f>_xlfn.XLOOKUP(X1880,Hoja2!D:D,Hoja2!C:C)</f>
        <v>POSGRADOS</v>
      </c>
      <c r="W1880" s="9">
        <f>IF(V1880="pregrado",31,
IF(V1880="posgrados",31,
IF(V1880="rEINTEGROS",7,
IF(V1880="BIT",90,
IF(V1880="OP GRADO - INGLÉS",17,"")))))</f>
        <v>31</v>
      </c>
      <c r="X1880" t="s">
        <v>4031</v>
      </c>
    </row>
    <row r="1881" spans="1:24" x14ac:dyDescent="0.3">
      <c r="A1881" s="4">
        <v>46119</v>
      </c>
      <c r="B1881">
        <v>20130236</v>
      </c>
      <c r="C1881" t="s">
        <v>19</v>
      </c>
      <c r="D1881">
        <v>173779</v>
      </c>
      <c r="E1881" t="s">
        <v>43</v>
      </c>
      <c r="F1881">
        <v>1033794064</v>
      </c>
      <c r="G1881" t="s">
        <v>4419</v>
      </c>
      <c r="H1881">
        <v>100249685</v>
      </c>
      <c r="I1881">
        <v>202652</v>
      </c>
      <c r="J1881">
        <v>1033794064</v>
      </c>
      <c r="K1881" t="s">
        <v>23</v>
      </c>
      <c r="L1881" t="s">
        <v>252</v>
      </c>
      <c r="M1881" t="s">
        <v>253</v>
      </c>
      <c r="N1881" t="s">
        <v>35</v>
      </c>
      <c r="O1881" t="s">
        <v>26</v>
      </c>
      <c r="P1881" t="s">
        <v>27</v>
      </c>
      <c r="Q1881" t="s">
        <v>28</v>
      </c>
      <c r="R1881" t="s">
        <v>29</v>
      </c>
      <c r="S1881" t="s">
        <v>793</v>
      </c>
      <c r="T1881">
        <f>_xlfn.XLOOKUP(X1881,Hoja2!D:D,Hoja2!A:A)</f>
        <v>1073673268</v>
      </c>
      <c r="U1881" t="str">
        <f>_xlfn.XLOOKUP(X1881,Hoja2!D:D,Hoja2!B:B)</f>
        <v>IVONNE JINETH RODRIGUEZ ROJAS</v>
      </c>
      <c r="V1881" t="str">
        <f>_xlfn.XLOOKUP(X1881,Hoja2!D:D,Hoja2!C:C)</f>
        <v>POSGRADOS</v>
      </c>
      <c r="W1881" s="9">
        <f>IF(V1881="pregrado",31,
IF(V1881="posgrados",31,
IF(V1881="rEINTEGROS",7,
IF(V1881="BIT",90,
IF(V1881="OP GRADO - INGLÉS",17,"")))))</f>
        <v>31</v>
      </c>
      <c r="X1881" t="s">
        <v>4080</v>
      </c>
    </row>
    <row r="1882" spans="1:24" x14ac:dyDescent="0.3">
      <c r="A1882" s="4">
        <v>46108</v>
      </c>
      <c r="B1882">
        <v>20129621</v>
      </c>
      <c r="C1882" t="s">
        <v>19</v>
      </c>
      <c r="D1882">
        <v>173788</v>
      </c>
      <c r="E1882" t="s">
        <v>43</v>
      </c>
      <c r="F1882">
        <v>1057584762</v>
      </c>
      <c r="G1882" t="s">
        <v>4311</v>
      </c>
      <c r="H1882">
        <v>100249698</v>
      </c>
      <c r="I1882">
        <v>202652</v>
      </c>
      <c r="J1882">
        <v>1057588565</v>
      </c>
      <c r="K1882" t="s">
        <v>23</v>
      </c>
      <c r="L1882" t="s">
        <v>252</v>
      </c>
      <c r="M1882" t="s">
        <v>253</v>
      </c>
      <c r="N1882" t="s">
        <v>35</v>
      </c>
      <c r="O1882" t="s">
        <v>26</v>
      </c>
      <c r="P1882" t="s">
        <v>27</v>
      </c>
      <c r="Q1882" t="s">
        <v>28</v>
      </c>
      <c r="R1882" t="s">
        <v>29</v>
      </c>
      <c r="S1882" t="s">
        <v>793</v>
      </c>
      <c r="T1882">
        <f>_xlfn.XLOOKUP(X1882,Hoja2!D:D,Hoja2!A:A)</f>
        <v>1014285873</v>
      </c>
      <c r="U1882" t="str">
        <f>_xlfn.XLOOKUP(X1882,Hoja2!D:D,Hoja2!B:B)</f>
        <v>IVONNE JINETH RODRIGUEZ ROJAS</v>
      </c>
      <c r="V1882" t="str">
        <f>_xlfn.XLOOKUP(X1882,Hoja2!D:D,Hoja2!C:C)</f>
        <v>POSGRADOS</v>
      </c>
      <c r="W1882" s="9">
        <f>IF(V1882="pregrado",31,
IF(V1882="posgrados",31,
IF(V1882="rEINTEGROS",7,
IF(V1882="BIT",90,
IF(V1882="OP GRADO - INGLÉS",17,"")))))</f>
        <v>31</v>
      </c>
      <c r="X1882" t="s">
        <v>3953</v>
      </c>
    </row>
    <row r="1883" spans="1:24" x14ac:dyDescent="0.3">
      <c r="A1883" s="4">
        <v>46108</v>
      </c>
      <c r="B1883">
        <v>20129639</v>
      </c>
      <c r="C1883" t="s">
        <v>19</v>
      </c>
      <c r="D1883">
        <v>173798</v>
      </c>
      <c r="E1883" t="s">
        <v>43</v>
      </c>
      <c r="F1883">
        <v>1018494810</v>
      </c>
      <c r="G1883" t="s">
        <v>4317</v>
      </c>
      <c r="H1883">
        <v>100046581</v>
      </c>
      <c r="I1883">
        <v>202652</v>
      </c>
      <c r="J1883">
        <v>1018494810</v>
      </c>
      <c r="K1883" t="s">
        <v>23</v>
      </c>
      <c r="L1883" t="s">
        <v>252</v>
      </c>
      <c r="M1883" t="s">
        <v>253</v>
      </c>
      <c r="N1883" t="s">
        <v>35</v>
      </c>
      <c r="O1883" t="s">
        <v>26</v>
      </c>
      <c r="P1883" t="s">
        <v>27</v>
      </c>
      <c r="Q1883" t="s">
        <v>28</v>
      </c>
      <c r="R1883" t="s">
        <v>29</v>
      </c>
      <c r="S1883" t="s">
        <v>793</v>
      </c>
      <c r="T1883">
        <f>_xlfn.XLOOKUP(X1883,Hoja2!D:D,Hoja2!A:A)</f>
        <v>1016030683</v>
      </c>
      <c r="U1883" t="str">
        <f>_xlfn.XLOOKUP(X1883,Hoja2!D:D,Hoja2!B:B)</f>
        <v>FABIAN CONCHA</v>
      </c>
      <c r="V1883" t="str">
        <f>_xlfn.XLOOKUP(X1883,Hoja2!D:D,Hoja2!C:C)</f>
        <v>POSGRADOS</v>
      </c>
      <c r="W1883" s="9">
        <f>IF(V1883="pregrado",31,
IF(V1883="posgrados",31,
IF(V1883="rEINTEGROS",7,
IF(V1883="BIT",90,
IF(V1883="OP GRADO - INGLÉS",17,"")))))</f>
        <v>31</v>
      </c>
      <c r="X1883" t="s">
        <v>3992</v>
      </c>
    </row>
    <row r="1884" spans="1:24" x14ac:dyDescent="0.3">
      <c r="A1884" s="4">
        <v>46111</v>
      </c>
      <c r="B1884">
        <v>20129810</v>
      </c>
      <c r="C1884" t="s">
        <v>19</v>
      </c>
      <c r="D1884">
        <v>173802</v>
      </c>
      <c r="E1884" t="s">
        <v>43</v>
      </c>
      <c r="F1884">
        <v>11808091</v>
      </c>
      <c r="G1884" t="s">
        <v>4345</v>
      </c>
      <c r="H1884">
        <v>100249712</v>
      </c>
      <c r="I1884">
        <v>202652</v>
      </c>
      <c r="J1884">
        <v>1077451357</v>
      </c>
      <c r="K1884" t="s">
        <v>23</v>
      </c>
      <c r="L1884" t="s">
        <v>252</v>
      </c>
      <c r="M1884" t="s">
        <v>253</v>
      </c>
      <c r="N1884" t="s">
        <v>35</v>
      </c>
      <c r="O1884" t="s">
        <v>26</v>
      </c>
      <c r="P1884" t="s">
        <v>27</v>
      </c>
      <c r="Q1884" t="s">
        <v>28</v>
      </c>
      <c r="R1884" t="s">
        <v>29</v>
      </c>
      <c r="S1884" t="s">
        <v>793</v>
      </c>
      <c r="T1884">
        <f>_xlfn.XLOOKUP(X1884,Hoja2!D:D,Hoja2!A:A)</f>
        <v>1012389748</v>
      </c>
      <c r="U1884" t="str">
        <f>_xlfn.XLOOKUP(X1884,Hoja2!D:D,Hoja2!B:B)</f>
        <v>IVONNE JINETH RODRIGUEZ ROJAS</v>
      </c>
      <c r="V1884" t="str">
        <f>_xlfn.XLOOKUP(X1884,Hoja2!D:D,Hoja2!C:C)</f>
        <v>POSGRADOS</v>
      </c>
      <c r="W1884" s="9">
        <f>IF(V1884="pregrado",31,
IF(V1884="posgrados",31,
IF(V1884="rEINTEGROS",7,
IF(V1884="BIT",90,
IF(V1884="OP GRADO - INGLÉS",17,"")))))</f>
        <v>31</v>
      </c>
      <c r="X1884" t="s">
        <v>4065</v>
      </c>
    </row>
    <row r="1885" spans="1:24" x14ac:dyDescent="0.3">
      <c r="A1885" s="4">
        <v>46135</v>
      </c>
      <c r="B1885">
        <v>20132047</v>
      </c>
      <c r="C1885" t="s">
        <v>19</v>
      </c>
      <c r="D1885">
        <v>173806</v>
      </c>
      <c r="E1885" t="s">
        <v>43</v>
      </c>
      <c r="F1885">
        <v>1118815742</v>
      </c>
      <c r="G1885" t="s">
        <v>4808</v>
      </c>
      <c r="H1885">
        <v>100144789</v>
      </c>
      <c r="I1885">
        <v>202652</v>
      </c>
      <c r="J1885">
        <v>1118815742</v>
      </c>
      <c r="K1885" t="s">
        <v>23</v>
      </c>
      <c r="L1885" t="s">
        <v>252</v>
      </c>
      <c r="M1885" t="s">
        <v>253</v>
      </c>
      <c r="N1885" t="s">
        <v>35</v>
      </c>
      <c r="O1885" t="s">
        <v>26</v>
      </c>
      <c r="P1885" t="s">
        <v>27</v>
      </c>
      <c r="Q1885" t="s">
        <v>28</v>
      </c>
      <c r="R1885" t="s">
        <v>29</v>
      </c>
      <c r="S1885" t="s">
        <v>793</v>
      </c>
      <c r="T1885">
        <f>_xlfn.XLOOKUP(X1885,Hoja2!D:D,Hoja2!A:A)</f>
        <v>1000120140</v>
      </c>
      <c r="U1885" t="str">
        <f>_xlfn.XLOOKUP(X1885,Hoja2!D:D,Hoja2!B:B)</f>
        <v>FABIAN CONCHA</v>
      </c>
      <c r="V1885" t="str">
        <f>_xlfn.XLOOKUP(X1885,Hoja2!D:D,Hoja2!C:C)</f>
        <v>POSGRADOS</v>
      </c>
      <c r="W1885" s="9">
        <f>IF(V1885="pregrado",31,
IF(V1885="posgrados",31,
IF(V1885="rEINTEGROS",7,
IF(V1885="BIT",90,
IF(V1885="OP GRADO - INGLÉS",17,"")))))</f>
        <v>31</v>
      </c>
      <c r="X1885" t="s">
        <v>3935</v>
      </c>
    </row>
    <row r="1886" spans="1:24" x14ac:dyDescent="0.3">
      <c r="A1886" s="4">
        <v>46135</v>
      </c>
      <c r="B1886">
        <v>20132090</v>
      </c>
      <c r="C1886" t="s">
        <v>19</v>
      </c>
      <c r="D1886">
        <v>173810</v>
      </c>
      <c r="E1886" t="s">
        <v>43</v>
      </c>
      <c r="F1886">
        <v>1094972668</v>
      </c>
      <c r="G1886" t="s">
        <v>4822</v>
      </c>
      <c r="H1886">
        <v>100249720</v>
      </c>
      <c r="I1886">
        <v>202652</v>
      </c>
      <c r="J1886">
        <v>1094972668</v>
      </c>
      <c r="K1886" t="s">
        <v>23</v>
      </c>
      <c r="L1886" t="s">
        <v>252</v>
      </c>
      <c r="M1886" t="s">
        <v>253</v>
      </c>
      <c r="N1886" t="s">
        <v>35</v>
      </c>
      <c r="O1886" t="s">
        <v>26</v>
      </c>
      <c r="P1886" t="s">
        <v>27</v>
      </c>
      <c r="Q1886" t="s">
        <v>28</v>
      </c>
      <c r="R1886" t="s">
        <v>29</v>
      </c>
      <c r="S1886" t="s">
        <v>793</v>
      </c>
      <c r="T1886">
        <f>_xlfn.XLOOKUP(X1886,Hoja2!D:D,Hoja2!A:A)</f>
        <v>1075542872</v>
      </c>
      <c r="U1886" t="str">
        <f>_xlfn.XLOOKUP(X1886,Hoja2!D:D,Hoja2!B:B)</f>
        <v>IVONNE JINETH RODRIGUEZ ROJAS</v>
      </c>
      <c r="V1886" t="str">
        <f>_xlfn.XLOOKUP(X1886,Hoja2!D:D,Hoja2!C:C)</f>
        <v>POSGRADOS</v>
      </c>
      <c r="W1886" s="9">
        <f>IF(V1886="pregrado",31,
IF(V1886="posgrados",31,
IF(V1886="rEINTEGROS",7,
IF(V1886="BIT",90,
IF(V1886="OP GRADO - INGLÉS",17,"")))))</f>
        <v>31</v>
      </c>
      <c r="X1886" t="s">
        <v>3974</v>
      </c>
    </row>
    <row r="1887" spans="1:24" x14ac:dyDescent="0.3">
      <c r="A1887" s="4">
        <v>46112</v>
      </c>
      <c r="B1887">
        <v>20129954</v>
      </c>
      <c r="C1887" t="s">
        <v>19</v>
      </c>
      <c r="D1887">
        <v>173814</v>
      </c>
      <c r="E1887" t="s">
        <v>43</v>
      </c>
      <c r="F1887">
        <v>10898453</v>
      </c>
      <c r="G1887" t="s">
        <v>4371</v>
      </c>
      <c r="H1887">
        <v>100249725</v>
      </c>
      <c r="I1887">
        <v>202652</v>
      </c>
      <c r="J1887">
        <v>1233346430</v>
      </c>
      <c r="K1887" t="s">
        <v>23</v>
      </c>
      <c r="L1887" t="s">
        <v>252</v>
      </c>
      <c r="M1887" t="s">
        <v>253</v>
      </c>
      <c r="N1887" t="s">
        <v>35</v>
      </c>
      <c r="O1887" t="s">
        <v>26</v>
      </c>
      <c r="P1887" t="s">
        <v>27</v>
      </c>
      <c r="Q1887" t="s">
        <v>28</v>
      </c>
      <c r="R1887" t="s">
        <v>29</v>
      </c>
      <c r="S1887" t="s">
        <v>793</v>
      </c>
      <c r="T1887">
        <f>_xlfn.XLOOKUP(X1887,Hoja2!D:D,Hoja2!A:A)</f>
        <v>1075542872</v>
      </c>
      <c r="U1887" t="str">
        <f>_xlfn.XLOOKUP(X1887,Hoja2!D:D,Hoja2!B:B)</f>
        <v>IVONNE JINETH RODRIGUEZ ROJAS</v>
      </c>
      <c r="V1887" t="str">
        <f>_xlfn.XLOOKUP(X1887,Hoja2!D:D,Hoja2!C:C)</f>
        <v>POSGRADOS</v>
      </c>
      <c r="W1887" s="9">
        <f>IF(V1887="pregrado",31,
IF(V1887="posgrados",31,
IF(V1887="rEINTEGROS",7,
IF(V1887="BIT",90,
IF(V1887="OP GRADO - INGLÉS",17,"")))))</f>
        <v>31</v>
      </c>
      <c r="X1887" t="s">
        <v>3974</v>
      </c>
    </row>
    <row r="1888" spans="1:24" x14ac:dyDescent="0.3">
      <c r="A1888" s="4">
        <v>46110</v>
      </c>
      <c r="B1888">
        <v>20129698</v>
      </c>
      <c r="C1888" t="s">
        <v>19</v>
      </c>
      <c r="D1888">
        <v>173816</v>
      </c>
      <c r="E1888" t="s">
        <v>43</v>
      </c>
      <c r="F1888">
        <v>80578847</v>
      </c>
      <c r="G1888" t="s">
        <v>4326</v>
      </c>
      <c r="H1888">
        <v>100089699</v>
      </c>
      <c r="I1888">
        <v>202642</v>
      </c>
      <c r="J1888">
        <v>1073156620</v>
      </c>
      <c r="K1888" t="s">
        <v>23</v>
      </c>
      <c r="L1888" t="s">
        <v>59</v>
      </c>
      <c r="M1888" t="s">
        <v>47</v>
      </c>
      <c r="N1888" t="s">
        <v>35</v>
      </c>
      <c r="O1888" t="s">
        <v>26</v>
      </c>
      <c r="P1888" t="s">
        <v>27</v>
      </c>
      <c r="Q1888" t="s">
        <v>28</v>
      </c>
      <c r="R1888" t="s">
        <v>29</v>
      </c>
      <c r="S1888" t="s">
        <v>793</v>
      </c>
      <c r="T1888">
        <f>_xlfn.XLOOKUP(X1888,Hoja2!D:D,Hoja2!A:A)</f>
        <v>52965969</v>
      </c>
      <c r="U1888" t="str">
        <f>_xlfn.XLOOKUP(X1888,Hoja2!D:D,Hoja2!B:B)</f>
        <v>FABIAN CONCHA</v>
      </c>
      <c r="V1888" t="str">
        <f>_xlfn.XLOOKUP(X1888,Hoja2!D:D,Hoja2!C:C)</f>
        <v>POSGRADOS</v>
      </c>
      <c r="W1888" s="9">
        <f>IF(V1888="pregrado",31,
IF(V1888="posgrados",31,
IF(V1888="rEINTEGROS",7,
IF(V1888="BIT",90,
IF(V1888="OP GRADO - INGLÉS",17,"")))))</f>
        <v>31</v>
      </c>
      <c r="X1888" t="s">
        <v>3960</v>
      </c>
    </row>
    <row r="1889" spans="1:24" x14ac:dyDescent="0.3">
      <c r="A1889" s="4">
        <v>46108</v>
      </c>
      <c r="B1889">
        <v>20129628</v>
      </c>
      <c r="C1889" t="s">
        <v>19</v>
      </c>
      <c r="D1889">
        <v>173826</v>
      </c>
      <c r="E1889" t="s">
        <v>43</v>
      </c>
      <c r="F1889">
        <v>40771458</v>
      </c>
      <c r="G1889" t="s">
        <v>4313</v>
      </c>
      <c r="H1889">
        <v>100249737</v>
      </c>
      <c r="I1889">
        <v>202652</v>
      </c>
      <c r="J1889">
        <v>40771458</v>
      </c>
      <c r="K1889" t="s">
        <v>23</v>
      </c>
      <c r="L1889" t="s">
        <v>252</v>
      </c>
      <c r="M1889" t="s">
        <v>253</v>
      </c>
      <c r="N1889" t="s">
        <v>35</v>
      </c>
      <c r="O1889" t="s">
        <v>26</v>
      </c>
      <c r="P1889" t="s">
        <v>27</v>
      </c>
      <c r="Q1889" t="s">
        <v>28</v>
      </c>
      <c r="R1889" t="s">
        <v>29</v>
      </c>
      <c r="S1889" t="s">
        <v>793</v>
      </c>
      <c r="T1889">
        <f>_xlfn.XLOOKUP(X1889,Hoja2!D:D,Hoja2!A:A)</f>
        <v>1015401969</v>
      </c>
      <c r="U1889" t="str">
        <f>_xlfn.XLOOKUP(X1889,Hoja2!D:D,Hoja2!B:B)</f>
        <v>FABIAN CONCHA</v>
      </c>
      <c r="V1889" t="str">
        <f>_xlfn.XLOOKUP(X1889,Hoja2!D:D,Hoja2!C:C)</f>
        <v>POSGRADOS</v>
      </c>
      <c r="W1889" s="9">
        <f>IF(V1889="pregrado",31,
IF(V1889="posgrados",31,
IF(V1889="rEINTEGROS",7,
IF(V1889="BIT",90,
IF(V1889="OP GRADO - INGLÉS",17,"")))))</f>
        <v>31</v>
      </c>
      <c r="X1889" t="s">
        <v>3945</v>
      </c>
    </row>
    <row r="1890" spans="1:24" x14ac:dyDescent="0.3">
      <c r="A1890" s="4">
        <v>46127</v>
      </c>
      <c r="B1890">
        <v>20131095</v>
      </c>
      <c r="C1890" t="s">
        <v>19</v>
      </c>
      <c r="D1890">
        <v>173854</v>
      </c>
      <c r="E1890" t="s">
        <v>43</v>
      </c>
      <c r="F1890">
        <v>1116243431</v>
      </c>
      <c r="G1890" t="s">
        <v>4598</v>
      </c>
      <c r="H1890">
        <v>100249761</v>
      </c>
      <c r="I1890">
        <v>202652</v>
      </c>
      <c r="J1890">
        <v>1116243431</v>
      </c>
      <c r="K1890" t="s">
        <v>23</v>
      </c>
      <c r="L1890" t="s">
        <v>252</v>
      </c>
      <c r="M1890" t="s">
        <v>253</v>
      </c>
      <c r="N1890" t="s">
        <v>35</v>
      </c>
      <c r="O1890" t="s">
        <v>26</v>
      </c>
      <c r="P1890" t="s">
        <v>27</v>
      </c>
      <c r="Q1890" t="s">
        <v>28</v>
      </c>
      <c r="R1890" t="s">
        <v>29</v>
      </c>
      <c r="S1890" t="s">
        <v>793</v>
      </c>
      <c r="T1890">
        <f>_xlfn.XLOOKUP(X1890,Hoja2!D:D,Hoja2!A:A)</f>
        <v>1031147887</v>
      </c>
      <c r="U1890" t="str">
        <f>_xlfn.XLOOKUP(X1890,Hoja2!D:D,Hoja2!B:B)</f>
        <v>IVONNE JINETH RODRIGUEZ ROJAS</v>
      </c>
      <c r="V1890" t="str">
        <f>_xlfn.XLOOKUP(X1890,Hoja2!D:D,Hoja2!C:C)</f>
        <v>POSGRADOS</v>
      </c>
      <c r="W1890" s="9">
        <f>IF(V1890="pregrado",31,
IF(V1890="posgrados",31,
IF(V1890="rEINTEGROS",7,
IF(V1890="BIT",90,
IF(V1890="OP GRADO - INGLÉS",17,"")))))</f>
        <v>31</v>
      </c>
      <c r="X1890" t="s">
        <v>3947</v>
      </c>
    </row>
    <row r="1891" spans="1:24" x14ac:dyDescent="0.3">
      <c r="A1891" s="4">
        <v>46111</v>
      </c>
      <c r="B1891">
        <v>20129704</v>
      </c>
      <c r="C1891" t="s">
        <v>19</v>
      </c>
      <c r="D1891">
        <v>173858</v>
      </c>
      <c r="E1891" t="s">
        <v>43</v>
      </c>
      <c r="F1891">
        <v>1079093309</v>
      </c>
      <c r="G1891" t="s">
        <v>4327</v>
      </c>
      <c r="H1891">
        <v>100249764</v>
      </c>
      <c r="I1891">
        <v>202652</v>
      </c>
      <c r="J1891">
        <v>1077431828</v>
      </c>
      <c r="K1891" t="s">
        <v>23</v>
      </c>
      <c r="L1891" t="s">
        <v>252</v>
      </c>
      <c r="M1891" t="s">
        <v>253</v>
      </c>
      <c r="N1891" t="s">
        <v>35</v>
      </c>
      <c r="O1891" t="s">
        <v>26</v>
      </c>
      <c r="P1891" t="s">
        <v>27</v>
      </c>
      <c r="Q1891" t="s">
        <v>28</v>
      </c>
      <c r="R1891" t="s">
        <v>29</v>
      </c>
      <c r="S1891" t="s">
        <v>793</v>
      </c>
      <c r="T1891">
        <f>_xlfn.XLOOKUP(X1891,Hoja2!D:D,Hoja2!A:A)</f>
        <v>1015401969</v>
      </c>
      <c r="U1891" t="str">
        <f>_xlfn.XLOOKUP(X1891,Hoja2!D:D,Hoja2!B:B)</f>
        <v>FABIAN CONCHA</v>
      </c>
      <c r="V1891" t="str">
        <f>_xlfn.XLOOKUP(X1891,Hoja2!D:D,Hoja2!C:C)</f>
        <v>POSGRADOS</v>
      </c>
      <c r="W1891" s="9">
        <f>IF(V1891="pregrado",31,
IF(V1891="posgrados",31,
IF(V1891="rEINTEGROS",7,
IF(V1891="BIT",90,
IF(V1891="OP GRADO - INGLÉS",17,"")))))</f>
        <v>31</v>
      </c>
      <c r="X1891" t="s">
        <v>3945</v>
      </c>
    </row>
    <row r="1892" spans="1:24" x14ac:dyDescent="0.3">
      <c r="A1892" s="4">
        <v>46126</v>
      </c>
      <c r="B1892">
        <v>20131052</v>
      </c>
      <c r="C1892" t="s">
        <v>19</v>
      </c>
      <c r="D1892">
        <v>173869</v>
      </c>
      <c r="E1892" t="s">
        <v>43</v>
      </c>
      <c r="F1892">
        <v>79830004</v>
      </c>
      <c r="G1892" t="s">
        <v>4587</v>
      </c>
      <c r="H1892">
        <v>100249783</v>
      </c>
      <c r="I1892">
        <v>202652</v>
      </c>
      <c r="J1892">
        <v>50927159</v>
      </c>
      <c r="K1892" t="s">
        <v>23</v>
      </c>
      <c r="L1892" t="s">
        <v>252</v>
      </c>
      <c r="M1892" t="s">
        <v>253</v>
      </c>
      <c r="N1892" t="s">
        <v>35</v>
      </c>
      <c r="O1892" t="s">
        <v>26</v>
      </c>
      <c r="P1892" t="s">
        <v>27</v>
      </c>
      <c r="Q1892" t="s">
        <v>28</v>
      </c>
      <c r="R1892" t="s">
        <v>29</v>
      </c>
      <c r="S1892" t="s">
        <v>793</v>
      </c>
      <c r="T1892">
        <f>_xlfn.XLOOKUP(X1892,Hoja2!D:D,Hoja2!A:A)</f>
        <v>1233513889</v>
      </c>
      <c r="U1892" t="str">
        <f>_xlfn.XLOOKUP(X1892,Hoja2!D:D,Hoja2!B:B)</f>
        <v>IVONNE JINETH RODRIGUEZ ROJAS</v>
      </c>
      <c r="V1892" t="str">
        <f>_xlfn.XLOOKUP(X1892,Hoja2!D:D,Hoja2!C:C)</f>
        <v>POSGRADOS</v>
      </c>
      <c r="W1892" s="9">
        <f>IF(V1892="pregrado",31,
IF(V1892="posgrados",31,
IF(V1892="rEINTEGROS",7,
IF(V1892="BIT",90,
IF(V1892="OP GRADO - INGLÉS",17,"")))))</f>
        <v>31</v>
      </c>
      <c r="X1892" t="s">
        <v>4035</v>
      </c>
    </row>
    <row r="1893" spans="1:24" x14ac:dyDescent="0.3">
      <c r="A1893" s="4">
        <v>46111</v>
      </c>
      <c r="B1893">
        <v>20129799</v>
      </c>
      <c r="C1893" t="s">
        <v>19</v>
      </c>
      <c r="D1893">
        <v>173875</v>
      </c>
      <c r="E1893" t="s">
        <v>43</v>
      </c>
      <c r="F1893">
        <v>1010248359</v>
      </c>
      <c r="G1893" t="s">
        <v>4344</v>
      </c>
      <c r="H1893">
        <v>100122867</v>
      </c>
      <c r="I1893">
        <v>202642</v>
      </c>
      <c r="J1893">
        <v>1010248359</v>
      </c>
      <c r="K1893" t="s">
        <v>23</v>
      </c>
      <c r="L1893" t="s">
        <v>4163</v>
      </c>
      <c r="M1893" t="s">
        <v>47</v>
      </c>
      <c r="N1893" t="s">
        <v>35</v>
      </c>
      <c r="O1893" t="s">
        <v>26</v>
      </c>
      <c r="P1893" t="s">
        <v>27</v>
      </c>
      <c r="Q1893" t="s">
        <v>28</v>
      </c>
      <c r="R1893" t="s">
        <v>29</v>
      </c>
      <c r="S1893" t="s">
        <v>793</v>
      </c>
      <c r="T1893">
        <f>_xlfn.XLOOKUP(X1893,Hoja2!D:D,Hoja2!A:A)</f>
        <v>1233513889</v>
      </c>
      <c r="U1893" t="str">
        <f>_xlfn.XLOOKUP(X1893,Hoja2!D:D,Hoja2!B:B)</f>
        <v>IVONNE JINETH RODRIGUEZ ROJAS</v>
      </c>
      <c r="V1893" t="str">
        <f>_xlfn.XLOOKUP(X1893,Hoja2!D:D,Hoja2!C:C)</f>
        <v>POSGRADOS</v>
      </c>
      <c r="W1893" s="9">
        <f>IF(V1893="pregrado",31,
IF(V1893="posgrados",31,
IF(V1893="rEINTEGROS",7,
IF(V1893="BIT",90,
IF(V1893="OP GRADO - INGLÉS",17,"")))))</f>
        <v>31</v>
      </c>
      <c r="X1893" t="s">
        <v>4035</v>
      </c>
    </row>
    <row r="1894" spans="1:24" x14ac:dyDescent="0.3">
      <c r="A1894" s="4">
        <v>46112</v>
      </c>
      <c r="B1894">
        <v>20129898</v>
      </c>
      <c r="C1894" t="s">
        <v>19</v>
      </c>
      <c r="D1894">
        <v>173881</v>
      </c>
      <c r="E1894" t="s">
        <v>43</v>
      </c>
      <c r="F1894">
        <v>1022369854</v>
      </c>
      <c r="G1894" t="s">
        <v>4365</v>
      </c>
      <c r="H1894">
        <v>100249794</v>
      </c>
      <c r="I1894">
        <v>202652</v>
      </c>
      <c r="J1894">
        <v>1022369854</v>
      </c>
      <c r="K1894" t="s">
        <v>23</v>
      </c>
      <c r="L1894" t="s">
        <v>252</v>
      </c>
      <c r="M1894" t="s">
        <v>253</v>
      </c>
      <c r="N1894" t="s">
        <v>35</v>
      </c>
      <c r="O1894" t="s">
        <v>26</v>
      </c>
      <c r="P1894" t="s">
        <v>27</v>
      </c>
      <c r="Q1894" t="s">
        <v>28</v>
      </c>
      <c r="R1894" t="s">
        <v>29</v>
      </c>
      <c r="S1894" t="s">
        <v>793</v>
      </c>
      <c r="T1894">
        <f>_xlfn.XLOOKUP(X1894,Hoja2!D:D,Hoja2!A:A)</f>
        <v>1233513889</v>
      </c>
      <c r="U1894" t="str">
        <f>_xlfn.XLOOKUP(X1894,Hoja2!D:D,Hoja2!B:B)</f>
        <v>IVONNE JINETH RODRIGUEZ ROJAS</v>
      </c>
      <c r="V1894" t="str">
        <f>_xlfn.XLOOKUP(X1894,Hoja2!D:D,Hoja2!C:C)</f>
        <v>POSGRADOS</v>
      </c>
      <c r="W1894" s="9">
        <f>IF(V1894="pregrado",31,
IF(V1894="posgrados",31,
IF(V1894="rEINTEGROS",7,
IF(V1894="BIT",90,
IF(V1894="OP GRADO - INGLÉS",17,"")))))</f>
        <v>31</v>
      </c>
      <c r="X1894" t="s">
        <v>4035</v>
      </c>
    </row>
    <row r="1895" spans="1:24" x14ac:dyDescent="0.3">
      <c r="A1895" s="4">
        <v>46111</v>
      </c>
      <c r="B1895">
        <v>20129722</v>
      </c>
      <c r="C1895" t="s">
        <v>19</v>
      </c>
      <c r="D1895">
        <v>173888</v>
      </c>
      <c r="E1895" t="s">
        <v>43</v>
      </c>
      <c r="F1895">
        <v>1077432134</v>
      </c>
      <c r="G1895" t="s">
        <v>4328</v>
      </c>
      <c r="H1895">
        <v>100249799</v>
      </c>
      <c r="I1895">
        <v>202652</v>
      </c>
      <c r="J1895">
        <v>1077432134</v>
      </c>
      <c r="K1895" t="s">
        <v>23</v>
      </c>
      <c r="L1895" t="s">
        <v>252</v>
      </c>
      <c r="M1895" t="s">
        <v>253</v>
      </c>
      <c r="N1895" t="s">
        <v>35</v>
      </c>
      <c r="O1895" t="s">
        <v>26</v>
      </c>
      <c r="P1895" t="s">
        <v>27</v>
      </c>
      <c r="Q1895" t="s">
        <v>28</v>
      </c>
      <c r="R1895" t="s">
        <v>29</v>
      </c>
      <c r="S1895" t="s">
        <v>793</v>
      </c>
      <c r="T1895">
        <f>_xlfn.XLOOKUP(X1895,Hoja2!D:D,Hoja2!A:A)</f>
        <v>52032666</v>
      </c>
      <c r="U1895" t="str">
        <f>_xlfn.XLOOKUP(X1895,Hoja2!D:D,Hoja2!B:B)</f>
        <v>IVONNE JINETH RODRIGUEZ ROJAS</v>
      </c>
      <c r="V1895" t="str">
        <f>_xlfn.XLOOKUP(X1895,Hoja2!D:D,Hoja2!C:C)</f>
        <v>POSGRADOS</v>
      </c>
      <c r="W1895" s="9">
        <f>IF(V1895="pregrado",31,
IF(V1895="posgrados",31,
IF(V1895="rEINTEGROS",7,
IF(V1895="BIT",90,
IF(V1895="OP GRADO - INGLÉS",17,"")))))</f>
        <v>31</v>
      </c>
      <c r="X1895" t="s">
        <v>3983</v>
      </c>
    </row>
    <row r="1896" spans="1:24" x14ac:dyDescent="0.3">
      <c r="A1896" s="4">
        <v>46121</v>
      </c>
      <c r="B1896">
        <v>20130521</v>
      </c>
      <c r="C1896" t="s">
        <v>19</v>
      </c>
      <c r="D1896">
        <v>173903</v>
      </c>
      <c r="E1896" t="s">
        <v>43</v>
      </c>
      <c r="F1896">
        <v>1066737863</v>
      </c>
      <c r="G1896" t="s">
        <v>4472</v>
      </c>
      <c r="H1896">
        <v>100229606</v>
      </c>
      <c r="I1896">
        <v>202642</v>
      </c>
      <c r="J1896">
        <v>1066741465</v>
      </c>
      <c r="K1896" t="s">
        <v>23</v>
      </c>
      <c r="L1896" t="s">
        <v>279</v>
      </c>
      <c r="M1896" t="s">
        <v>47</v>
      </c>
      <c r="N1896" t="s">
        <v>35</v>
      </c>
      <c r="O1896" t="s">
        <v>26</v>
      </c>
      <c r="P1896" t="s">
        <v>27</v>
      </c>
      <c r="Q1896" t="s">
        <v>28</v>
      </c>
      <c r="R1896" t="s">
        <v>29</v>
      </c>
      <c r="S1896" t="s">
        <v>793</v>
      </c>
      <c r="T1896">
        <f>_xlfn.XLOOKUP(X1896,Hoja2!D:D,Hoja2!A:A)</f>
        <v>1070973852</v>
      </c>
      <c r="U1896" t="str">
        <f>_xlfn.XLOOKUP(X1896,Hoja2!D:D,Hoja2!B:B)</f>
        <v>FABIAN CONCHA</v>
      </c>
      <c r="V1896" t="str">
        <f>_xlfn.XLOOKUP(X1896,Hoja2!D:D,Hoja2!C:C)</f>
        <v>POSGRADOS</v>
      </c>
      <c r="W1896" s="9">
        <f>IF(V1896="pregrado",31,
IF(V1896="posgrados",31,
IF(V1896="rEINTEGROS",7,
IF(V1896="BIT",90,
IF(V1896="OP GRADO - INGLÉS",17,"")))))</f>
        <v>31</v>
      </c>
      <c r="X1896" t="s">
        <v>3957</v>
      </c>
    </row>
    <row r="1897" spans="1:24" x14ac:dyDescent="0.3">
      <c r="A1897" s="4">
        <v>46111</v>
      </c>
      <c r="B1897">
        <v>20129798</v>
      </c>
      <c r="C1897" t="s">
        <v>19</v>
      </c>
      <c r="D1897">
        <v>173908</v>
      </c>
      <c r="E1897" t="s">
        <v>43</v>
      </c>
      <c r="F1897">
        <v>1124499024</v>
      </c>
      <c r="G1897" t="s">
        <v>4343</v>
      </c>
      <c r="H1897">
        <v>100249826</v>
      </c>
      <c r="I1897">
        <v>202652</v>
      </c>
      <c r="J1897">
        <v>1124499024</v>
      </c>
      <c r="K1897" t="s">
        <v>23</v>
      </c>
      <c r="L1897" t="s">
        <v>252</v>
      </c>
      <c r="M1897" t="s">
        <v>253</v>
      </c>
      <c r="N1897" t="s">
        <v>35</v>
      </c>
      <c r="O1897" t="s">
        <v>26</v>
      </c>
      <c r="P1897" t="s">
        <v>27</v>
      </c>
      <c r="Q1897" t="s">
        <v>28</v>
      </c>
      <c r="R1897" t="s">
        <v>29</v>
      </c>
      <c r="S1897" t="s">
        <v>793</v>
      </c>
      <c r="T1897">
        <f>_xlfn.XLOOKUP(X1897,Hoja2!D:D,Hoja2!A:A)</f>
        <v>1233513889</v>
      </c>
      <c r="U1897" t="str">
        <f>_xlfn.XLOOKUP(X1897,Hoja2!D:D,Hoja2!B:B)</f>
        <v>IVONNE JINETH RODRIGUEZ ROJAS</v>
      </c>
      <c r="V1897" t="str">
        <f>_xlfn.XLOOKUP(X1897,Hoja2!D:D,Hoja2!C:C)</f>
        <v>POSGRADOS</v>
      </c>
      <c r="W1897" s="9">
        <f>IF(V1897="pregrado",31,
IF(V1897="posgrados",31,
IF(V1897="rEINTEGROS",7,
IF(V1897="BIT",90,
IF(V1897="OP GRADO - INGLÉS",17,"")))))</f>
        <v>31</v>
      </c>
      <c r="X1897" t="s">
        <v>4035</v>
      </c>
    </row>
    <row r="1898" spans="1:24" x14ac:dyDescent="0.3">
      <c r="A1898" s="4">
        <v>46111</v>
      </c>
      <c r="B1898">
        <v>20129764</v>
      </c>
      <c r="C1898" t="s">
        <v>19</v>
      </c>
      <c r="D1898">
        <v>173911</v>
      </c>
      <c r="E1898" t="s">
        <v>43</v>
      </c>
      <c r="F1898">
        <v>1030694840</v>
      </c>
      <c r="G1898" t="s">
        <v>4335</v>
      </c>
      <c r="H1898">
        <v>100249760</v>
      </c>
      <c r="I1898">
        <v>202642</v>
      </c>
      <c r="J1898">
        <v>1030694840</v>
      </c>
      <c r="K1898" t="s">
        <v>23</v>
      </c>
      <c r="L1898" t="s">
        <v>59</v>
      </c>
      <c r="M1898" t="s">
        <v>47</v>
      </c>
      <c r="N1898" t="s">
        <v>35</v>
      </c>
      <c r="O1898" t="s">
        <v>26</v>
      </c>
      <c r="P1898" t="s">
        <v>27</v>
      </c>
      <c r="Q1898" t="s">
        <v>28</v>
      </c>
      <c r="R1898" t="s">
        <v>29</v>
      </c>
      <c r="S1898" t="s">
        <v>793</v>
      </c>
      <c r="T1898">
        <f>_xlfn.XLOOKUP(X1898,Hoja2!D:D,Hoja2!A:A)</f>
        <v>52965969</v>
      </c>
      <c r="U1898" t="str">
        <f>_xlfn.XLOOKUP(X1898,Hoja2!D:D,Hoja2!B:B)</f>
        <v>FABIAN CONCHA</v>
      </c>
      <c r="V1898" t="str">
        <f>_xlfn.XLOOKUP(X1898,Hoja2!D:D,Hoja2!C:C)</f>
        <v>POSGRADOS</v>
      </c>
      <c r="W1898" s="9">
        <f>IF(V1898="pregrado",31,
IF(V1898="posgrados",31,
IF(V1898="rEINTEGROS",7,
IF(V1898="BIT",90,
IF(V1898="OP GRADO - INGLÉS",17,"")))))</f>
        <v>31</v>
      </c>
      <c r="X1898" t="s">
        <v>3960</v>
      </c>
    </row>
    <row r="1899" spans="1:24" x14ac:dyDescent="0.3">
      <c r="A1899" s="4">
        <v>46111</v>
      </c>
      <c r="B1899">
        <v>20129786</v>
      </c>
      <c r="C1899" t="s">
        <v>19</v>
      </c>
      <c r="D1899">
        <v>173917</v>
      </c>
      <c r="E1899" t="s">
        <v>43</v>
      </c>
      <c r="F1899">
        <v>1090406200</v>
      </c>
      <c r="G1899" t="s">
        <v>4339</v>
      </c>
      <c r="H1899">
        <v>100249838</v>
      </c>
      <c r="I1899">
        <v>202642</v>
      </c>
      <c r="J1899">
        <v>1090406200</v>
      </c>
      <c r="K1899" t="s">
        <v>23</v>
      </c>
      <c r="L1899" t="s">
        <v>4242</v>
      </c>
      <c r="M1899" t="s">
        <v>47</v>
      </c>
      <c r="N1899" t="s">
        <v>35</v>
      </c>
      <c r="O1899" t="s">
        <v>26</v>
      </c>
      <c r="P1899" t="s">
        <v>27</v>
      </c>
      <c r="Q1899" t="s">
        <v>28</v>
      </c>
      <c r="R1899" t="s">
        <v>29</v>
      </c>
      <c r="S1899" t="s">
        <v>793</v>
      </c>
      <c r="T1899">
        <f>_xlfn.XLOOKUP(X1899,Hoja2!D:D,Hoja2!A:A)</f>
        <v>1012355141</v>
      </c>
      <c r="U1899" t="str">
        <f>_xlfn.XLOOKUP(X1899,Hoja2!D:D,Hoja2!B:B)</f>
        <v>FABIAN CONCHA</v>
      </c>
      <c r="V1899" t="str">
        <f>_xlfn.XLOOKUP(X1899,Hoja2!D:D,Hoja2!C:C)</f>
        <v>POSGRADOS</v>
      </c>
      <c r="W1899" s="9">
        <f>IF(V1899="pregrado",31,
IF(V1899="posgrados",31,
IF(V1899="rEINTEGROS",7,
IF(V1899="BIT",90,
IF(V1899="OP GRADO - INGLÉS",17,"")))))</f>
        <v>31</v>
      </c>
      <c r="X1899" t="s">
        <v>4045</v>
      </c>
    </row>
    <row r="1900" spans="1:24" x14ac:dyDescent="0.3">
      <c r="A1900" s="4">
        <v>46120</v>
      </c>
      <c r="B1900">
        <v>20130342</v>
      </c>
      <c r="C1900" t="s">
        <v>19</v>
      </c>
      <c r="D1900">
        <v>173919</v>
      </c>
      <c r="E1900" t="s">
        <v>43</v>
      </c>
      <c r="F1900">
        <v>79189725</v>
      </c>
      <c r="G1900" t="s">
        <v>4438</v>
      </c>
      <c r="H1900">
        <v>100097397</v>
      </c>
      <c r="I1900">
        <v>202652</v>
      </c>
      <c r="J1900">
        <v>79189725</v>
      </c>
      <c r="K1900" t="s">
        <v>46</v>
      </c>
      <c r="L1900" t="s">
        <v>252</v>
      </c>
      <c r="M1900" t="s">
        <v>253</v>
      </c>
      <c r="N1900" t="s">
        <v>35</v>
      </c>
      <c r="O1900" t="s">
        <v>26</v>
      </c>
      <c r="P1900" t="s">
        <v>27</v>
      </c>
      <c r="Q1900" t="s">
        <v>28</v>
      </c>
      <c r="R1900" t="s">
        <v>29</v>
      </c>
      <c r="S1900" t="s">
        <v>793</v>
      </c>
      <c r="T1900">
        <f>_xlfn.XLOOKUP(X1900,Hoja2!D:D,Hoja2!A:A)</f>
        <v>1073673268</v>
      </c>
      <c r="U1900" t="str">
        <f>_xlfn.XLOOKUP(X1900,Hoja2!D:D,Hoja2!B:B)</f>
        <v>IVONNE JINETH RODRIGUEZ ROJAS</v>
      </c>
      <c r="V1900" t="str">
        <f>_xlfn.XLOOKUP(X1900,Hoja2!D:D,Hoja2!C:C)</f>
        <v>POSGRADOS</v>
      </c>
      <c r="W1900" s="9">
        <f>IF(V1900="pregrado",31,
IF(V1900="posgrados",31,
IF(V1900="rEINTEGROS",7,
IF(V1900="BIT",90,
IF(V1900="OP GRADO - INGLÉS",17,"")))))</f>
        <v>31</v>
      </c>
      <c r="X1900" t="s">
        <v>4080</v>
      </c>
    </row>
    <row r="1901" spans="1:24" x14ac:dyDescent="0.3">
      <c r="A1901" s="4">
        <v>46111</v>
      </c>
      <c r="B1901">
        <v>20129777</v>
      </c>
      <c r="C1901" t="s">
        <v>19</v>
      </c>
      <c r="D1901">
        <v>173926</v>
      </c>
      <c r="E1901" t="s">
        <v>43</v>
      </c>
      <c r="F1901">
        <v>57432341</v>
      </c>
      <c r="G1901" t="s">
        <v>4337</v>
      </c>
      <c r="H1901">
        <v>100249797</v>
      </c>
      <c r="I1901">
        <v>202642</v>
      </c>
      <c r="J1901">
        <v>1083040456</v>
      </c>
      <c r="K1901" t="s">
        <v>23</v>
      </c>
      <c r="L1901" t="s">
        <v>4163</v>
      </c>
      <c r="M1901" t="s">
        <v>47</v>
      </c>
      <c r="N1901" t="s">
        <v>35</v>
      </c>
      <c r="O1901" t="s">
        <v>26</v>
      </c>
      <c r="P1901" t="s">
        <v>27</v>
      </c>
      <c r="Q1901" t="s">
        <v>28</v>
      </c>
      <c r="R1901" t="s">
        <v>29</v>
      </c>
      <c r="S1901" t="s">
        <v>793</v>
      </c>
      <c r="T1901">
        <f>_xlfn.XLOOKUP(X1901,Hoja2!D:D,Hoja2!A:A)</f>
        <v>1233513889</v>
      </c>
      <c r="U1901" t="str">
        <f>_xlfn.XLOOKUP(X1901,Hoja2!D:D,Hoja2!B:B)</f>
        <v>IVONNE JINETH RODRIGUEZ ROJAS</v>
      </c>
      <c r="V1901" t="str">
        <f>_xlfn.XLOOKUP(X1901,Hoja2!D:D,Hoja2!C:C)</f>
        <v>POSGRADOS</v>
      </c>
      <c r="W1901" s="9">
        <f>IF(V1901="pregrado",31,
IF(V1901="posgrados",31,
IF(V1901="rEINTEGROS",7,
IF(V1901="BIT",90,
IF(V1901="OP GRADO - INGLÉS",17,"")))))</f>
        <v>31</v>
      </c>
      <c r="X1901" t="s">
        <v>4035</v>
      </c>
    </row>
    <row r="1902" spans="1:24" x14ac:dyDescent="0.3">
      <c r="A1902" s="4">
        <v>46112</v>
      </c>
      <c r="B1902">
        <v>20129885</v>
      </c>
      <c r="C1902" t="s">
        <v>19</v>
      </c>
      <c r="D1902">
        <v>173927</v>
      </c>
      <c r="E1902" t="s">
        <v>43</v>
      </c>
      <c r="F1902">
        <v>1000257287</v>
      </c>
      <c r="G1902" t="s">
        <v>4363</v>
      </c>
      <c r="H1902">
        <v>100084761</v>
      </c>
      <c r="I1902">
        <v>202642</v>
      </c>
      <c r="J1902">
        <v>1000257287</v>
      </c>
      <c r="K1902" t="s">
        <v>23</v>
      </c>
      <c r="L1902" t="s">
        <v>4163</v>
      </c>
      <c r="M1902" t="s">
        <v>47</v>
      </c>
      <c r="N1902" t="s">
        <v>35</v>
      </c>
      <c r="O1902" t="s">
        <v>26</v>
      </c>
      <c r="P1902" t="s">
        <v>27</v>
      </c>
      <c r="Q1902" t="s">
        <v>28</v>
      </c>
      <c r="R1902" t="s">
        <v>29</v>
      </c>
      <c r="S1902" t="s">
        <v>793</v>
      </c>
      <c r="T1902">
        <f>_xlfn.XLOOKUP(X1902,Hoja2!D:D,Hoja2!A:A)</f>
        <v>1233513889</v>
      </c>
      <c r="U1902" t="str">
        <f>_xlfn.XLOOKUP(X1902,Hoja2!D:D,Hoja2!B:B)</f>
        <v>IVONNE JINETH RODRIGUEZ ROJAS</v>
      </c>
      <c r="V1902" t="str">
        <f>_xlfn.XLOOKUP(X1902,Hoja2!D:D,Hoja2!C:C)</f>
        <v>POSGRADOS</v>
      </c>
      <c r="W1902" s="9">
        <f>IF(V1902="pregrado",31,
IF(V1902="posgrados",31,
IF(V1902="rEINTEGROS",7,
IF(V1902="BIT",90,
IF(V1902="OP GRADO - INGLÉS",17,"")))))</f>
        <v>31</v>
      </c>
      <c r="X1902" t="s">
        <v>4035</v>
      </c>
    </row>
    <row r="1903" spans="1:24" x14ac:dyDescent="0.3">
      <c r="A1903" s="4">
        <v>46111</v>
      </c>
      <c r="B1903">
        <v>20129787</v>
      </c>
      <c r="C1903" t="s">
        <v>19</v>
      </c>
      <c r="D1903">
        <v>173938</v>
      </c>
      <c r="E1903" t="s">
        <v>43</v>
      </c>
      <c r="F1903">
        <v>1092348632</v>
      </c>
      <c r="G1903" t="s">
        <v>4340</v>
      </c>
      <c r="H1903">
        <v>100249834</v>
      </c>
      <c r="I1903">
        <v>202652</v>
      </c>
      <c r="J1903">
        <v>1092348632</v>
      </c>
      <c r="K1903" t="s">
        <v>23</v>
      </c>
      <c r="L1903" t="s">
        <v>252</v>
      </c>
      <c r="M1903" t="s">
        <v>253</v>
      </c>
      <c r="N1903" t="s">
        <v>35</v>
      </c>
      <c r="O1903" t="s">
        <v>26</v>
      </c>
      <c r="P1903" t="s">
        <v>27</v>
      </c>
      <c r="Q1903" t="s">
        <v>28</v>
      </c>
      <c r="R1903" t="s">
        <v>29</v>
      </c>
      <c r="S1903" t="s">
        <v>793</v>
      </c>
      <c r="T1903">
        <f>_xlfn.XLOOKUP(X1903,Hoja2!D:D,Hoja2!A:A)</f>
        <v>1022407392</v>
      </c>
      <c r="U1903" t="str">
        <f>_xlfn.XLOOKUP(X1903,Hoja2!D:D,Hoja2!B:B)</f>
        <v>FABIAN CONCHA</v>
      </c>
      <c r="V1903" t="str">
        <f>_xlfn.XLOOKUP(X1903,Hoja2!D:D,Hoja2!C:C)</f>
        <v>POSGRADOS</v>
      </c>
      <c r="W1903" s="9">
        <f>IF(V1903="pregrado",31,
IF(V1903="posgrados",31,
IF(V1903="rEINTEGROS",7,
IF(V1903="BIT",90,
IF(V1903="OP GRADO - INGLÉS",17,"")))))</f>
        <v>31</v>
      </c>
      <c r="X1903" t="s">
        <v>3975</v>
      </c>
    </row>
    <row r="1904" spans="1:24" x14ac:dyDescent="0.3">
      <c r="A1904" s="4">
        <v>46111</v>
      </c>
      <c r="B1904">
        <v>20129822</v>
      </c>
      <c r="C1904" t="s">
        <v>19</v>
      </c>
      <c r="D1904">
        <v>173942</v>
      </c>
      <c r="E1904" t="s">
        <v>43</v>
      </c>
      <c r="F1904">
        <v>43182252</v>
      </c>
      <c r="G1904" t="s">
        <v>4347</v>
      </c>
      <c r="H1904">
        <v>100249856</v>
      </c>
      <c r="I1904">
        <v>202642</v>
      </c>
      <c r="J1904">
        <v>43182252</v>
      </c>
      <c r="K1904" t="s">
        <v>23</v>
      </c>
      <c r="L1904" t="s">
        <v>59</v>
      </c>
      <c r="M1904" t="s">
        <v>47</v>
      </c>
      <c r="N1904" t="s">
        <v>35</v>
      </c>
      <c r="O1904" t="s">
        <v>26</v>
      </c>
      <c r="P1904" t="s">
        <v>27</v>
      </c>
      <c r="Q1904" t="s">
        <v>28</v>
      </c>
      <c r="R1904" t="s">
        <v>29</v>
      </c>
      <c r="S1904" t="s">
        <v>793</v>
      </c>
      <c r="T1904">
        <f>_xlfn.XLOOKUP(X1904,Hoja2!D:D,Hoja2!A:A)</f>
        <v>52965969</v>
      </c>
      <c r="U1904" t="str">
        <f>_xlfn.XLOOKUP(X1904,Hoja2!D:D,Hoja2!B:B)</f>
        <v>FABIAN CONCHA</v>
      </c>
      <c r="V1904" t="str">
        <f>_xlfn.XLOOKUP(X1904,Hoja2!D:D,Hoja2!C:C)</f>
        <v>POSGRADOS</v>
      </c>
      <c r="W1904" s="9">
        <f>IF(V1904="pregrado",31,
IF(V1904="posgrados",31,
IF(V1904="rEINTEGROS",7,
IF(V1904="BIT",90,
IF(V1904="OP GRADO - INGLÉS",17,"")))))</f>
        <v>31</v>
      </c>
      <c r="X1904" t="s">
        <v>3960</v>
      </c>
    </row>
    <row r="1905" spans="1:24" x14ac:dyDescent="0.3">
      <c r="A1905" s="4">
        <v>46111</v>
      </c>
      <c r="B1905">
        <v>20129836</v>
      </c>
      <c r="C1905" t="s">
        <v>19</v>
      </c>
      <c r="D1905">
        <v>173951</v>
      </c>
      <c r="E1905" t="s">
        <v>43</v>
      </c>
      <c r="F1905">
        <v>1098739740</v>
      </c>
      <c r="G1905" t="s">
        <v>4351</v>
      </c>
      <c r="H1905">
        <v>100249861</v>
      </c>
      <c r="I1905">
        <v>202652</v>
      </c>
      <c r="J1905">
        <v>1098739740</v>
      </c>
      <c r="K1905" t="s">
        <v>23</v>
      </c>
      <c r="L1905" t="s">
        <v>252</v>
      </c>
      <c r="M1905" t="s">
        <v>253</v>
      </c>
      <c r="N1905" t="s">
        <v>35</v>
      </c>
      <c r="O1905" t="s">
        <v>26</v>
      </c>
      <c r="P1905" t="s">
        <v>27</v>
      </c>
      <c r="Q1905" t="s">
        <v>28</v>
      </c>
      <c r="R1905" t="s">
        <v>29</v>
      </c>
      <c r="S1905" t="s">
        <v>793</v>
      </c>
      <c r="T1905">
        <f>_xlfn.XLOOKUP(X1905,Hoja2!D:D,Hoja2!A:A)</f>
        <v>1015407851</v>
      </c>
      <c r="U1905" t="str">
        <f>_xlfn.XLOOKUP(X1905,Hoja2!D:D,Hoja2!B:B)</f>
        <v>Gina Paola Medina Flórez</v>
      </c>
      <c r="V1905" t="str">
        <f>_xlfn.XLOOKUP(X1905,Hoja2!D:D,Hoja2!C:C)</f>
        <v>PREGRADO</v>
      </c>
      <c r="W1905" s="9">
        <f>IF(V1905="pregrado",31,
IF(V1905="posgrados",31,
IF(V1905="rEINTEGROS",7,
IF(V1905="BIT",90,
IF(V1905="OP GRADO - INGLÉS",17,"")))))</f>
        <v>31</v>
      </c>
      <c r="X1905" t="s">
        <v>4924</v>
      </c>
    </row>
    <row r="1906" spans="1:24" x14ac:dyDescent="0.3">
      <c r="A1906" s="4">
        <v>46111</v>
      </c>
      <c r="B1906">
        <v>20129826</v>
      </c>
      <c r="C1906" t="s">
        <v>19</v>
      </c>
      <c r="D1906">
        <v>173964</v>
      </c>
      <c r="E1906" t="s">
        <v>43</v>
      </c>
      <c r="F1906">
        <v>92529974</v>
      </c>
      <c r="G1906" t="s">
        <v>4348</v>
      </c>
      <c r="H1906">
        <v>100249862</v>
      </c>
      <c r="I1906">
        <v>202652</v>
      </c>
      <c r="J1906">
        <v>1100549668</v>
      </c>
      <c r="K1906" t="s">
        <v>23</v>
      </c>
      <c r="L1906" t="s">
        <v>252</v>
      </c>
      <c r="M1906" t="s">
        <v>253</v>
      </c>
      <c r="N1906" t="s">
        <v>35</v>
      </c>
      <c r="O1906" t="s">
        <v>26</v>
      </c>
      <c r="P1906" t="s">
        <v>27</v>
      </c>
      <c r="Q1906" t="s">
        <v>28</v>
      </c>
      <c r="R1906" t="s">
        <v>29</v>
      </c>
      <c r="S1906" t="s">
        <v>793</v>
      </c>
      <c r="T1906">
        <f>_xlfn.XLOOKUP(X1906,Hoja2!D:D,Hoja2!A:A)</f>
        <v>1012355141</v>
      </c>
      <c r="U1906" t="str">
        <f>_xlfn.XLOOKUP(X1906,Hoja2!D:D,Hoja2!B:B)</f>
        <v>FABIAN CONCHA</v>
      </c>
      <c r="V1906" t="str">
        <f>_xlfn.XLOOKUP(X1906,Hoja2!D:D,Hoja2!C:C)</f>
        <v>POSGRADOS</v>
      </c>
      <c r="W1906" s="9">
        <f>IF(V1906="pregrado",31,
IF(V1906="posgrados",31,
IF(V1906="rEINTEGROS",7,
IF(V1906="BIT",90,
IF(V1906="OP GRADO - INGLÉS",17,"")))))</f>
        <v>31</v>
      </c>
      <c r="X1906" t="s">
        <v>4045</v>
      </c>
    </row>
    <row r="1907" spans="1:24" x14ac:dyDescent="0.3">
      <c r="A1907" s="4">
        <v>46122</v>
      </c>
      <c r="B1907">
        <v>20130699</v>
      </c>
      <c r="C1907" t="s">
        <v>19</v>
      </c>
      <c r="D1907">
        <v>173968</v>
      </c>
      <c r="E1907" t="s">
        <v>43</v>
      </c>
      <c r="F1907">
        <v>1077967411</v>
      </c>
      <c r="G1907" t="s">
        <v>4502</v>
      </c>
      <c r="H1907">
        <v>100038920</v>
      </c>
      <c r="I1907">
        <v>202652</v>
      </c>
      <c r="J1907">
        <v>1077967411</v>
      </c>
      <c r="K1907" t="s">
        <v>23</v>
      </c>
      <c r="L1907" t="s">
        <v>252</v>
      </c>
      <c r="M1907" t="s">
        <v>253</v>
      </c>
      <c r="N1907" t="s">
        <v>35</v>
      </c>
      <c r="O1907" t="s">
        <v>26</v>
      </c>
      <c r="P1907" t="s">
        <v>27</v>
      </c>
      <c r="Q1907" t="s">
        <v>28</v>
      </c>
      <c r="R1907" t="s">
        <v>29</v>
      </c>
      <c r="S1907" t="s">
        <v>793</v>
      </c>
      <c r="T1907">
        <f>_xlfn.XLOOKUP(X1907,Hoja2!D:D,Hoja2!A:A)</f>
        <v>1033793185</v>
      </c>
      <c r="U1907" t="str">
        <f>_xlfn.XLOOKUP(X1907,Hoja2!D:D,Hoja2!B:B)</f>
        <v>IVONNE JINETH RODRIGUEZ ROJAS</v>
      </c>
      <c r="V1907" t="str">
        <f>_xlfn.XLOOKUP(X1907,Hoja2!D:D,Hoja2!C:C)</f>
        <v>POSGRADOS</v>
      </c>
      <c r="W1907" s="9">
        <f>IF(V1907="pregrado",31,
IF(V1907="posgrados",31,
IF(V1907="rEINTEGROS",7,
IF(V1907="BIT",90,
IF(V1907="OP GRADO - INGLÉS",17,"")))))</f>
        <v>31</v>
      </c>
      <c r="X1907" t="s">
        <v>4082</v>
      </c>
    </row>
    <row r="1908" spans="1:24" x14ac:dyDescent="0.3">
      <c r="A1908" s="4">
        <v>46112</v>
      </c>
      <c r="B1908">
        <v>20129945</v>
      </c>
      <c r="C1908" t="s">
        <v>19</v>
      </c>
      <c r="D1908">
        <v>173981</v>
      </c>
      <c r="E1908" t="s">
        <v>43</v>
      </c>
      <c r="F1908">
        <v>26349753</v>
      </c>
      <c r="G1908" t="s">
        <v>4369</v>
      </c>
      <c r="H1908">
        <v>100249892</v>
      </c>
      <c r="I1908">
        <v>202642</v>
      </c>
      <c r="J1908">
        <v>1143875174</v>
      </c>
      <c r="K1908" t="s">
        <v>23</v>
      </c>
      <c r="L1908" t="s">
        <v>279</v>
      </c>
      <c r="M1908" t="s">
        <v>47</v>
      </c>
      <c r="N1908" t="s">
        <v>35</v>
      </c>
      <c r="O1908" t="s">
        <v>26</v>
      </c>
      <c r="P1908" t="s">
        <v>27</v>
      </c>
      <c r="Q1908" t="s">
        <v>28</v>
      </c>
      <c r="R1908" t="s">
        <v>29</v>
      </c>
      <c r="S1908" t="s">
        <v>793</v>
      </c>
      <c r="T1908">
        <f>_xlfn.XLOOKUP(X1908,Hoja2!D:D,Hoja2!A:A)</f>
        <v>1233888787</v>
      </c>
      <c r="U1908" t="str">
        <f>_xlfn.XLOOKUP(X1908,Hoja2!D:D,Hoja2!B:B)</f>
        <v>FABIAN CONCHA</v>
      </c>
      <c r="V1908" t="str">
        <f>_xlfn.XLOOKUP(X1908,Hoja2!D:D,Hoja2!C:C)</f>
        <v>POSGRADOS</v>
      </c>
      <c r="W1908" s="9">
        <f>IF(V1908="pregrado",31,
IF(V1908="posgrados",31,
IF(V1908="rEINTEGROS",7,
IF(V1908="BIT",90,
IF(V1908="OP GRADO - INGLÉS",17,"")))))</f>
        <v>31</v>
      </c>
      <c r="X1908" t="s">
        <v>3998</v>
      </c>
    </row>
    <row r="1909" spans="1:24" x14ac:dyDescent="0.3">
      <c r="A1909" s="4">
        <v>46112</v>
      </c>
      <c r="B1909">
        <v>20129936</v>
      </c>
      <c r="C1909" t="s">
        <v>19</v>
      </c>
      <c r="D1909">
        <v>173985</v>
      </c>
      <c r="E1909" t="s">
        <v>43</v>
      </c>
      <c r="F1909">
        <v>1098791184</v>
      </c>
      <c r="G1909" t="s">
        <v>4368</v>
      </c>
      <c r="H1909">
        <v>100249905</v>
      </c>
      <c r="I1909">
        <v>202652</v>
      </c>
      <c r="J1909">
        <v>1098791184</v>
      </c>
      <c r="K1909" t="s">
        <v>23</v>
      </c>
      <c r="L1909" t="s">
        <v>252</v>
      </c>
      <c r="M1909" t="s">
        <v>253</v>
      </c>
      <c r="N1909" t="s">
        <v>35</v>
      </c>
      <c r="O1909" t="s">
        <v>26</v>
      </c>
      <c r="P1909" t="s">
        <v>27</v>
      </c>
      <c r="Q1909" t="s">
        <v>28</v>
      </c>
      <c r="R1909" t="s">
        <v>29</v>
      </c>
      <c r="S1909" t="s">
        <v>793</v>
      </c>
      <c r="T1909">
        <f>_xlfn.XLOOKUP(X1909,Hoja2!D:D,Hoja2!A:A)</f>
        <v>1140420282</v>
      </c>
      <c r="U1909" t="str">
        <f>_xlfn.XLOOKUP(X1909,Hoja2!D:D,Hoja2!B:B)</f>
        <v>IVONNE JINETH RODRIGUEZ ROJAS</v>
      </c>
      <c r="V1909" t="str">
        <f>_xlfn.XLOOKUP(X1909,Hoja2!D:D,Hoja2!C:C)</f>
        <v>POSGRADOS</v>
      </c>
      <c r="W1909" s="9">
        <f>IF(V1909="pregrado",31,
IF(V1909="posgrados",31,
IF(V1909="rEINTEGROS",7,
IF(V1909="BIT",90,
IF(V1909="OP GRADO - INGLÉS",17,"")))))</f>
        <v>31</v>
      </c>
      <c r="X1909" t="s">
        <v>3972</v>
      </c>
    </row>
    <row r="1910" spans="1:24" x14ac:dyDescent="0.3">
      <c r="A1910" s="4">
        <v>46118</v>
      </c>
      <c r="B1910">
        <v>20130135</v>
      </c>
      <c r="C1910" t="s">
        <v>19</v>
      </c>
      <c r="D1910">
        <v>174024</v>
      </c>
      <c r="E1910" t="s">
        <v>43</v>
      </c>
      <c r="F1910">
        <v>33676713</v>
      </c>
      <c r="G1910" t="s">
        <v>4397</v>
      </c>
      <c r="H1910">
        <v>100249957</v>
      </c>
      <c r="I1910">
        <v>202652</v>
      </c>
      <c r="J1910">
        <v>33676713</v>
      </c>
      <c r="K1910" t="s">
        <v>23</v>
      </c>
      <c r="L1910" t="s">
        <v>252</v>
      </c>
      <c r="M1910" t="s">
        <v>253</v>
      </c>
      <c r="N1910" t="s">
        <v>35</v>
      </c>
      <c r="O1910" t="s">
        <v>26</v>
      </c>
      <c r="P1910" t="s">
        <v>27</v>
      </c>
      <c r="Q1910" t="s">
        <v>28</v>
      </c>
      <c r="R1910" t="s">
        <v>29</v>
      </c>
      <c r="S1910" t="s">
        <v>793</v>
      </c>
      <c r="T1910">
        <f>_xlfn.XLOOKUP(X1910,Hoja2!D:D,Hoja2!A:A)</f>
        <v>52759865</v>
      </c>
      <c r="U1910" t="str">
        <f>_xlfn.XLOOKUP(X1910,Hoja2!D:D,Hoja2!B:B)</f>
        <v>Heidy Lorena Prieto Ahumada</v>
      </c>
      <c r="V1910" t="str">
        <f>_xlfn.XLOOKUP(X1910,Hoja2!D:D,Hoja2!C:C)</f>
        <v>PREGRADO</v>
      </c>
      <c r="W1910" s="9">
        <f>IF(V1910="pregrado",31,
IF(V1910="posgrados",31,
IF(V1910="rEINTEGROS",7,
IF(V1910="BIT",90,
IF(V1910="OP GRADO - INGLÉS",17,"")))))</f>
        <v>31</v>
      </c>
      <c r="X1910" t="s">
        <v>4923</v>
      </c>
    </row>
    <row r="1911" spans="1:24" x14ac:dyDescent="0.3">
      <c r="A1911" s="4">
        <v>46113</v>
      </c>
      <c r="B1911">
        <v>20130037</v>
      </c>
      <c r="C1911" t="s">
        <v>19</v>
      </c>
      <c r="D1911">
        <v>174068</v>
      </c>
      <c r="E1911" t="s">
        <v>43</v>
      </c>
      <c r="F1911">
        <v>3255403</v>
      </c>
      <c r="G1911" t="s">
        <v>4387</v>
      </c>
      <c r="H1911">
        <v>100061783</v>
      </c>
      <c r="I1911">
        <v>202642</v>
      </c>
      <c r="J1911">
        <v>1015465985</v>
      </c>
      <c r="K1911" t="s">
        <v>23</v>
      </c>
      <c r="L1911" t="s">
        <v>4163</v>
      </c>
      <c r="M1911" t="s">
        <v>47</v>
      </c>
      <c r="N1911" t="s">
        <v>35</v>
      </c>
      <c r="O1911" t="s">
        <v>26</v>
      </c>
      <c r="P1911" t="s">
        <v>27</v>
      </c>
      <c r="Q1911" t="s">
        <v>28</v>
      </c>
      <c r="R1911" t="s">
        <v>29</v>
      </c>
      <c r="S1911" t="s">
        <v>793</v>
      </c>
      <c r="T1911">
        <f>_xlfn.XLOOKUP(X1911,Hoja2!D:D,Hoja2!A:A)</f>
        <v>1033784244</v>
      </c>
      <c r="U1911" t="str">
        <f>_xlfn.XLOOKUP(X1911,Hoja2!D:D,Hoja2!B:B)</f>
        <v>IVONNE JINETH RODRIGUEZ ROJAS</v>
      </c>
      <c r="V1911" t="str">
        <f>_xlfn.XLOOKUP(X1911,Hoja2!D:D,Hoja2!C:C)</f>
        <v>POSGRADOS</v>
      </c>
      <c r="W1911" s="9">
        <f>IF(V1911="pregrado",31,
IF(V1911="posgrados",31,
IF(V1911="rEINTEGROS",7,
IF(V1911="BIT",90,
IF(V1911="OP GRADO - INGLÉS",17,"")))))</f>
        <v>31</v>
      </c>
      <c r="X1911" t="s">
        <v>4067</v>
      </c>
    </row>
    <row r="1912" spans="1:24" x14ac:dyDescent="0.3">
      <c r="A1912" s="4">
        <v>46113</v>
      </c>
      <c r="B1912">
        <v>20130058</v>
      </c>
      <c r="C1912" t="s">
        <v>19</v>
      </c>
      <c r="D1912">
        <v>174074</v>
      </c>
      <c r="E1912" t="s">
        <v>43</v>
      </c>
      <c r="F1912">
        <v>1102819903</v>
      </c>
      <c r="G1912" t="s">
        <v>4390</v>
      </c>
      <c r="H1912">
        <v>100250019</v>
      </c>
      <c r="I1912">
        <v>202652</v>
      </c>
      <c r="J1912">
        <v>1102869758</v>
      </c>
      <c r="K1912" t="s">
        <v>23</v>
      </c>
      <c r="L1912" t="s">
        <v>252</v>
      </c>
      <c r="M1912" t="s">
        <v>253</v>
      </c>
      <c r="N1912" t="s">
        <v>35</v>
      </c>
      <c r="O1912" t="s">
        <v>26</v>
      </c>
      <c r="P1912" t="s">
        <v>27</v>
      </c>
      <c r="Q1912" t="s">
        <v>28</v>
      </c>
      <c r="R1912" t="s">
        <v>29</v>
      </c>
      <c r="S1912" t="s">
        <v>793</v>
      </c>
      <c r="T1912">
        <f>_xlfn.XLOOKUP(X1912,Hoja2!D:D,Hoja2!A:A)</f>
        <v>1032406382</v>
      </c>
      <c r="U1912" t="str">
        <f>_xlfn.XLOOKUP(X1912,Hoja2!D:D,Hoja2!B:B)</f>
        <v>FABIAN CONCHA</v>
      </c>
      <c r="V1912" t="str">
        <f>_xlfn.XLOOKUP(X1912,Hoja2!D:D,Hoja2!C:C)</f>
        <v>POSGRADOS</v>
      </c>
      <c r="W1912" s="9">
        <f>IF(V1912="pregrado",31,
IF(V1912="posgrados",31,
IF(V1912="rEINTEGROS",7,
IF(V1912="BIT",90,
IF(V1912="OP GRADO - INGLÉS",17,"")))))</f>
        <v>31</v>
      </c>
      <c r="X1912" t="s">
        <v>3991</v>
      </c>
    </row>
    <row r="1913" spans="1:24" x14ac:dyDescent="0.3">
      <c r="A1913" s="4">
        <v>46135</v>
      </c>
      <c r="B1913">
        <v>20132016</v>
      </c>
      <c r="C1913" t="s">
        <v>19</v>
      </c>
      <c r="D1913">
        <v>174078</v>
      </c>
      <c r="E1913" t="s">
        <v>43</v>
      </c>
      <c r="F1913">
        <v>1117524618</v>
      </c>
      <c r="G1913" t="s">
        <v>4800</v>
      </c>
      <c r="H1913">
        <v>100048620</v>
      </c>
      <c r="I1913">
        <v>202652</v>
      </c>
      <c r="J1913">
        <v>1117524618</v>
      </c>
      <c r="K1913" t="s">
        <v>23</v>
      </c>
      <c r="L1913" t="s">
        <v>252</v>
      </c>
      <c r="M1913" t="s">
        <v>253</v>
      </c>
      <c r="N1913" t="s">
        <v>35</v>
      </c>
      <c r="O1913" t="s">
        <v>26</v>
      </c>
      <c r="P1913" t="s">
        <v>27</v>
      </c>
      <c r="Q1913" t="s">
        <v>28</v>
      </c>
      <c r="R1913" t="s">
        <v>29</v>
      </c>
      <c r="S1913" t="s">
        <v>793</v>
      </c>
      <c r="T1913">
        <f>_xlfn.XLOOKUP(X1913,Hoja2!D:D,Hoja2!A:A)</f>
        <v>1193146767</v>
      </c>
      <c r="U1913" t="str">
        <f>_xlfn.XLOOKUP(X1913,Hoja2!D:D,Hoja2!B:B)</f>
        <v>FABIAN CONCHA</v>
      </c>
      <c r="V1913" t="str">
        <f>_xlfn.XLOOKUP(X1913,Hoja2!D:D,Hoja2!C:C)</f>
        <v>POSGRADOS</v>
      </c>
      <c r="W1913" s="9">
        <f>IF(V1913="pregrado",31,
IF(V1913="posgrados",31,
IF(V1913="rEINTEGROS",7,
IF(V1913="BIT",90,
IF(V1913="OP GRADO - INGLÉS",17,"")))))</f>
        <v>31</v>
      </c>
      <c r="X1913" t="s">
        <v>4072</v>
      </c>
    </row>
    <row r="1914" spans="1:24" x14ac:dyDescent="0.3">
      <c r="A1914" s="4">
        <v>46121</v>
      </c>
      <c r="B1914">
        <v>20130455</v>
      </c>
      <c r="C1914" t="s">
        <v>19</v>
      </c>
      <c r="D1914">
        <v>174088</v>
      </c>
      <c r="E1914" t="s">
        <v>43</v>
      </c>
      <c r="F1914">
        <v>1059359723</v>
      </c>
      <c r="G1914" t="s">
        <v>4460</v>
      </c>
      <c r="H1914">
        <v>100250040</v>
      </c>
      <c r="I1914">
        <v>202652</v>
      </c>
      <c r="J1914">
        <v>1059359723</v>
      </c>
      <c r="K1914" t="s">
        <v>23</v>
      </c>
      <c r="L1914" t="s">
        <v>252</v>
      </c>
      <c r="M1914" t="s">
        <v>253</v>
      </c>
      <c r="N1914" t="s">
        <v>35</v>
      </c>
      <c r="O1914" t="s">
        <v>26</v>
      </c>
      <c r="P1914" t="s">
        <v>27</v>
      </c>
      <c r="Q1914" t="s">
        <v>28</v>
      </c>
      <c r="R1914" t="s">
        <v>29</v>
      </c>
      <c r="S1914" t="s">
        <v>793</v>
      </c>
      <c r="T1914">
        <f>_xlfn.XLOOKUP(X1914,Hoja2!D:D,Hoja2!A:A)</f>
        <v>1020754225</v>
      </c>
      <c r="U1914" t="str">
        <f>_xlfn.XLOOKUP(X1914,Hoja2!D:D,Hoja2!B:B)</f>
        <v>IVONNE JINETH RODRIGUEZ ROJAS</v>
      </c>
      <c r="V1914" t="str">
        <f>_xlfn.XLOOKUP(X1914,Hoja2!D:D,Hoja2!C:C)</f>
        <v>POSGRADOS</v>
      </c>
      <c r="W1914" s="9">
        <f>IF(V1914="pregrado",31,
IF(V1914="posgrados",31,
IF(V1914="rEINTEGROS",7,
IF(V1914="BIT",90,
IF(V1914="OP GRADO - INGLÉS",17,"")))))</f>
        <v>31</v>
      </c>
      <c r="X1914" t="s">
        <v>3981</v>
      </c>
    </row>
    <row r="1915" spans="1:24" x14ac:dyDescent="0.3">
      <c r="A1915" s="4">
        <v>46136</v>
      </c>
      <c r="B1915">
        <v>20132101</v>
      </c>
      <c r="C1915" t="s">
        <v>19</v>
      </c>
      <c r="D1915">
        <v>174091</v>
      </c>
      <c r="E1915" t="s">
        <v>43</v>
      </c>
      <c r="F1915">
        <v>1042435917</v>
      </c>
      <c r="G1915" t="s">
        <v>4823</v>
      </c>
      <c r="H1915">
        <v>100183383</v>
      </c>
      <c r="I1915">
        <v>202652</v>
      </c>
      <c r="J1915">
        <v>1042435917</v>
      </c>
      <c r="K1915" t="s">
        <v>46</v>
      </c>
      <c r="L1915" t="s">
        <v>252</v>
      </c>
      <c r="M1915" t="s">
        <v>253</v>
      </c>
      <c r="N1915" t="s">
        <v>35</v>
      </c>
      <c r="O1915" t="s">
        <v>26</v>
      </c>
      <c r="P1915" t="s">
        <v>27</v>
      </c>
      <c r="Q1915" t="s">
        <v>28</v>
      </c>
      <c r="R1915" t="s">
        <v>29</v>
      </c>
      <c r="S1915" t="s">
        <v>793</v>
      </c>
      <c r="T1915">
        <f>_xlfn.XLOOKUP(X1915,Hoja2!D:D,Hoja2!A:A)</f>
        <v>1193146767</v>
      </c>
      <c r="U1915" t="str">
        <f>_xlfn.XLOOKUP(X1915,Hoja2!D:D,Hoja2!B:B)</f>
        <v>FABIAN CONCHA</v>
      </c>
      <c r="V1915" t="str">
        <f>_xlfn.XLOOKUP(X1915,Hoja2!D:D,Hoja2!C:C)</f>
        <v>POSGRADOS</v>
      </c>
      <c r="W1915" s="9">
        <f>IF(V1915="pregrado",31,
IF(V1915="posgrados",31,
IF(V1915="rEINTEGROS",7,
IF(V1915="BIT",90,
IF(V1915="OP GRADO - INGLÉS",17,"")))))</f>
        <v>31</v>
      </c>
      <c r="X1915" t="s">
        <v>4072</v>
      </c>
    </row>
    <row r="1916" spans="1:24" x14ac:dyDescent="0.3">
      <c r="A1916" s="4">
        <v>46119</v>
      </c>
      <c r="B1916">
        <v>20130233</v>
      </c>
      <c r="C1916" t="s">
        <v>19</v>
      </c>
      <c r="D1916">
        <v>174110</v>
      </c>
      <c r="E1916" t="s">
        <v>43</v>
      </c>
      <c r="F1916">
        <v>98415988</v>
      </c>
      <c r="G1916" t="s">
        <v>4418</v>
      </c>
      <c r="H1916">
        <v>100250073</v>
      </c>
      <c r="I1916">
        <v>202652</v>
      </c>
      <c r="J1916">
        <v>98415988</v>
      </c>
      <c r="K1916" t="s">
        <v>23</v>
      </c>
      <c r="L1916" t="s">
        <v>252</v>
      </c>
      <c r="M1916" t="s">
        <v>253</v>
      </c>
      <c r="N1916" t="s">
        <v>35</v>
      </c>
      <c r="O1916" t="s">
        <v>26</v>
      </c>
      <c r="P1916" t="s">
        <v>27</v>
      </c>
      <c r="Q1916" t="s">
        <v>28</v>
      </c>
      <c r="R1916" t="s">
        <v>29</v>
      </c>
      <c r="S1916" t="s">
        <v>793</v>
      </c>
      <c r="T1916">
        <f>_xlfn.XLOOKUP(X1916,Hoja2!D:D,Hoja2!A:A)</f>
        <v>1075542872</v>
      </c>
      <c r="U1916" t="str">
        <f>_xlfn.XLOOKUP(X1916,Hoja2!D:D,Hoja2!B:B)</f>
        <v>IVONNE JINETH RODRIGUEZ ROJAS</v>
      </c>
      <c r="V1916" t="str">
        <f>_xlfn.XLOOKUP(X1916,Hoja2!D:D,Hoja2!C:C)</f>
        <v>POSGRADOS</v>
      </c>
      <c r="W1916" s="9">
        <f>IF(V1916="pregrado",31,
IF(V1916="posgrados",31,
IF(V1916="rEINTEGROS",7,
IF(V1916="BIT",90,
IF(V1916="OP GRADO - INGLÉS",17,"")))))</f>
        <v>31</v>
      </c>
      <c r="X1916" t="s">
        <v>3974</v>
      </c>
    </row>
    <row r="1917" spans="1:24" x14ac:dyDescent="0.3">
      <c r="A1917" s="4">
        <v>46118</v>
      </c>
      <c r="B1917">
        <v>20130129</v>
      </c>
      <c r="C1917" t="s">
        <v>19</v>
      </c>
      <c r="D1917">
        <v>174118</v>
      </c>
      <c r="E1917" t="s">
        <v>43</v>
      </c>
      <c r="F1917">
        <v>1114338253</v>
      </c>
      <c r="G1917" t="s">
        <v>4395</v>
      </c>
      <c r="H1917">
        <v>100250079</v>
      </c>
      <c r="I1917">
        <v>202652</v>
      </c>
      <c r="J1917">
        <v>94270030</v>
      </c>
      <c r="K1917" t="s">
        <v>23</v>
      </c>
      <c r="L1917" t="s">
        <v>252</v>
      </c>
      <c r="M1917" t="s">
        <v>253</v>
      </c>
      <c r="N1917" t="s">
        <v>35</v>
      </c>
      <c r="O1917" t="s">
        <v>26</v>
      </c>
      <c r="P1917" t="s">
        <v>27</v>
      </c>
      <c r="Q1917" t="s">
        <v>28</v>
      </c>
      <c r="R1917" t="s">
        <v>29</v>
      </c>
      <c r="S1917" t="s">
        <v>793</v>
      </c>
      <c r="T1917">
        <f>_xlfn.XLOOKUP(X1917,Hoja2!D:D,Hoja2!A:A)</f>
        <v>1140420282</v>
      </c>
      <c r="U1917" t="str">
        <f>_xlfn.XLOOKUP(X1917,Hoja2!D:D,Hoja2!B:B)</f>
        <v>IVONNE JINETH RODRIGUEZ ROJAS</v>
      </c>
      <c r="V1917" t="str">
        <f>_xlfn.XLOOKUP(X1917,Hoja2!D:D,Hoja2!C:C)</f>
        <v>POSGRADOS</v>
      </c>
      <c r="W1917" s="9">
        <f>IF(V1917="pregrado",31,
IF(V1917="posgrados",31,
IF(V1917="rEINTEGROS",7,
IF(V1917="BIT",90,
IF(V1917="OP GRADO - INGLÉS",17,"")))))</f>
        <v>31</v>
      </c>
      <c r="X1917" t="s">
        <v>3972</v>
      </c>
    </row>
    <row r="1918" spans="1:24" x14ac:dyDescent="0.3">
      <c r="A1918" s="4">
        <v>46118</v>
      </c>
      <c r="B1918">
        <v>20130145</v>
      </c>
      <c r="C1918" t="s">
        <v>19</v>
      </c>
      <c r="D1918">
        <v>174120</v>
      </c>
      <c r="E1918" t="s">
        <v>43</v>
      </c>
      <c r="F1918">
        <v>1117522012</v>
      </c>
      <c r="G1918" t="s">
        <v>4401</v>
      </c>
      <c r="H1918">
        <v>100250083</v>
      </c>
      <c r="I1918">
        <v>202652</v>
      </c>
      <c r="J1918">
        <v>1117522012</v>
      </c>
      <c r="K1918" t="s">
        <v>23</v>
      </c>
      <c r="L1918" t="s">
        <v>252</v>
      </c>
      <c r="M1918" t="s">
        <v>253</v>
      </c>
      <c r="N1918" t="s">
        <v>35</v>
      </c>
      <c r="O1918" t="s">
        <v>26</v>
      </c>
      <c r="P1918" t="s">
        <v>27</v>
      </c>
      <c r="Q1918" t="s">
        <v>28</v>
      </c>
      <c r="R1918" t="s">
        <v>29</v>
      </c>
      <c r="S1918" t="s">
        <v>793</v>
      </c>
      <c r="T1918">
        <f>_xlfn.XLOOKUP(X1918,Hoja2!D:D,Hoja2!A:A)</f>
        <v>1020754225</v>
      </c>
      <c r="U1918" t="str">
        <f>_xlfn.XLOOKUP(X1918,Hoja2!D:D,Hoja2!B:B)</f>
        <v>IVONNE JINETH RODRIGUEZ ROJAS</v>
      </c>
      <c r="V1918" t="str">
        <f>_xlfn.XLOOKUP(X1918,Hoja2!D:D,Hoja2!C:C)</f>
        <v>POSGRADOS</v>
      </c>
      <c r="W1918" s="9">
        <f>IF(V1918="pregrado",31,
IF(V1918="posgrados",31,
IF(V1918="rEINTEGROS",7,
IF(V1918="BIT",90,
IF(V1918="OP GRADO - INGLÉS",17,"")))))</f>
        <v>31</v>
      </c>
      <c r="X1918" t="s">
        <v>3981</v>
      </c>
    </row>
    <row r="1919" spans="1:24" x14ac:dyDescent="0.3">
      <c r="A1919" s="4">
        <v>46118</v>
      </c>
      <c r="B1919">
        <v>20130130</v>
      </c>
      <c r="C1919" t="s">
        <v>19</v>
      </c>
      <c r="D1919">
        <v>174137</v>
      </c>
      <c r="E1919" t="s">
        <v>43</v>
      </c>
      <c r="F1919">
        <v>27362279</v>
      </c>
      <c r="G1919" t="s">
        <v>4396</v>
      </c>
      <c r="H1919">
        <v>100250115</v>
      </c>
      <c r="I1919">
        <v>202652</v>
      </c>
      <c r="J1919">
        <v>27362279</v>
      </c>
      <c r="K1919" t="s">
        <v>23</v>
      </c>
      <c r="L1919" t="s">
        <v>252</v>
      </c>
      <c r="M1919" t="s">
        <v>253</v>
      </c>
      <c r="N1919" t="s">
        <v>35</v>
      </c>
      <c r="O1919" t="s">
        <v>26</v>
      </c>
      <c r="P1919" t="s">
        <v>27</v>
      </c>
      <c r="Q1919" t="s">
        <v>28</v>
      </c>
      <c r="R1919" t="s">
        <v>29</v>
      </c>
      <c r="S1919" t="s">
        <v>793</v>
      </c>
      <c r="T1919">
        <f>_xlfn.XLOOKUP(X1919,Hoja2!D:D,Hoja2!A:A)</f>
        <v>1033781417</v>
      </c>
      <c r="U1919" t="str">
        <f>_xlfn.XLOOKUP(X1919,Hoja2!D:D,Hoja2!B:B)</f>
        <v>IVONNE JINETH RODRIGUEZ ROJAS</v>
      </c>
      <c r="V1919" t="str">
        <f>_xlfn.XLOOKUP(X1919,Hoja2!D:D,Hoja2!C:C)</f>
        <v>POSGRADOS</v>
      </c>
      <c r="W1919" s="9">
        <f>IF(V1919="pregrado",31,
IF(V1919="posgrados",31,
IF(V1919="rEINTEGROS",7,
IF(V1919="BIT",90,
IF(V1919="OP GRADO - INGLÉS",17,"")))))</f>
        <v>31</v>
      </c>
      <c r="X1919" t="s">
        <v>4031</v>
      </c>
    </row>
    <row r="1920" spans="1:24" x14ac:dyDescent="0.3">
      <c r="A1920" s="4">
        <v>46121</v>
      </c>
      <c r="B1920">
        <v>20130545</v>
      </c>
      <c r="C1920" t="s">
        <v>19</v>
      </c>
      <c r="D1920">
        <v>174140</v>
      </c>
      <c r="E1920" t="s">
        <v>43</v>
      </c>
      <c r="F1920">
        <v>60350666</v>
      </c>
      <c r="G1920" t="s">
        <v>4477</v>
      </c>
      <c r="H1920">
        <v>100096324</v>
      </c>
      <c r="I1920">
        <v>202642</v>
      </c>
      <c r="J1920">
        <v>60350666</v>
      </c>
      <c r="K1920" t="s">
        <v>23</v>
      </c>
      <c r="L1920" t="s">
        <v>59</v>
      </c>
      <c r="M1920" t="s">
        <v>47</v>
      </c>
      <c r="N1920" t="s">
        <v>35</v>
      </c>
      <c r="O1920" t="s">
        <v>26</v>
      </c>
      <c r="P1920" t="s">
        <v>27</v>
      </c>
      <c r="Q1920" t="s">
        <v>28</v>
      </c>
      <c r="R1920" t="s">
        <v>29</v>
      </c>
      <c r="S1920" t="s">
        <v>793</v>
      </c>
      <c r="T1920">
        <f>_xlfn.XLOOKUP(X1920,Hoja2!D:D,Hoja2!A:A)</f>
        <v>51951991</v>
      </c>
      <c r="U1920" t="str">
        <f>_xlfn.XLOOKUP(X1920,Hoja2!D:D,Hoja2!B:B)</f>
        <v>FABIAN CONCHA</v>
      </c>
      <c r="V1920" t="str">
        <f>_xlfn.XLOOKUP(X1920,Hoja2!D:D,Hoja2!C:C)</f>
        <v>POSGRADOS</v>
      </c>
      <c r="W1920" s="9">
        <f>IF(V1920="pregrado",31,
IF(V1920="posgrados",31,
IF(V1920="rEINTEGROS",7,
IF(V1920="BIT",90,
IF(V1920="OP GRADO - INGLÉS",17,"")))))</f>
        <v>31</v>
      </c>
      <c r="X1920" t="s">
        <v>4049</v>
      </c>
    </row>
    <row r="1921" spans="1:24" x14ac:dyDescent="0.3">
      <c r="A1921" s="4">
        <v>46120</v>
      </c>
      <c r="B1921">
        <v>20130426</v>
      </c>
      <c r="C1921" t="s">
        <v>19</v>
      </c>
      <c r="D1921">
        <v>174143</v>
      </c>
      <c r="E1921" t="s">
        <v>43</v>
      </c>
      <c r="F1921">
        <v>1002807662</v>
      </c>
      <c r="G1921" t="s">
        <v>4452</v>
      </c>
      <c r="H1921">
        <v>100250124</v>
      </c>
      <c r="I1921">
        <v>202652</v>
      </c>
      <c r="J1921">
        <v>1002807662</v>
      </c>
      <c r="K1921" t="s">
        <v>23</v>
      </c>
      <c r="L1921" t="s">
        <v>252</v>
      </c>
      <c r="M1921" t="s">
        <v>253</v>
      </c>
      <c r="N1921" t="s">
        <v>35</v>
      </c>
      <c r="O1921" t="s">
        <v>26</v>
      </c>
      <c r="P1921" t="s">
        <v>27</v>
      </c>
      <c r="Q1921" t="s">
        <v>28</v>
      </c>
      <c r="R1921" t="s">
        <v>29</v>
      </c>
      <c r="S1921" t="s">
        <v>793</v>
      </c>
      <c r="T1921">
        <f>_xlfn.XLOOKUP(X1921,Hoja2!D:D,Hoja2!A:A)</f>
        <v>1193146767</v>
      </c>
      <c r="U1921" t="str">
        <f>_xlfn.XLOOKUP(X1921,Hoja2!D:D,Hoja2!B:B)</f>
        <v>FABIAN CONCHA</v>
      </c>
      <c r="V1921" t="str">
        <f>_xlfn.XLOOKUP(X1921,Hoja2!D:D,Hoja2!C:C)</f>
        <v>POSGRADOS</v>
      </c>
      <c r="W1921" s="9">
        <f>IF(V1921="pregrado",31,
IF(V1921="posgrados",31,
IF(V1921="rEINTEGROS",7,
IF(V1921="BIT",90,
IF(V1921="OP GRADO - INGLÉS",17,"")))))</f>
        <v>31</v>
      </c>
      <c r="X1921" t="s">
        <v>4072</v>
      </c>
    </row>
    <row r="1922" spans="1:24" x14ac:dyDescent="0.3">
      <c r="A1922" s="4">
        <v>46125</v>
      </c>
      <c r="B1922">
        <v>20130890</v>
      </c>
      <c r="C1922" t="s">
        <v>19</v>
      </c>
      <c r="D1922">
        <v>174146</v>
      </c>
      <c r="E1922" t="s">
        <v>43</v>
      </c>
      <c r="F1922">
        <v>32792323</v>
      </c>
      <c r="G1922" t="s">
        <v>4550</v>
      </c>
      <c r="H1922">
        <v>100250126</v>
      </c>
      <c r="I1922">
        <v>202642</v>
      </c>
      <c r="J1922">
        <v>8779798</v>
      </c>
      <c r="K1922" t="s">
        <v>23</v>
      </c>
      <c r="L1922" t="s">
        <v>4242</v>
      </c>
      <c r="M1922" t="s">
        <v>47</v>
      </c>
      <c r="N1922" t="s">
        <v>35</v>
      </c>
      <c r="O1922" t="s">
        <v>26</v>
      </c>
      <c r="P1922" t="s">
        <v>27</v>
      </c>
      <c r="Q1922" t="s">
        <v>28</v>
      </c>
      <c r="R1922" t="s">
        <v>29</v>
      </c>
      <c r="S1922" t="s">
        <v>793</v>
      </c>
      <c r="T1922">
        <f>_xlfn.XLOOKUP(X1922,Hoja2!D:D,Hoja2!A:A)</f>
        <v>1070973852</v>
      </c>
      <c r="U1922" t="str">
        <f>_xlfn.XLOOKUP(X1922,Hoja2!D:D,Hoja2!B:B)</f>
        <v>FABIAN CONCHA</v>
      </c>
      <c r="V1922" t="str">
        <f>_xlfn.XLOOKUP(X1922,Hoja2!D:D,Hoja2!C:C)</f>
        <v>POSGRADOS</v>
      </c>
      <c r="W1922" s="9">
        <f>IF(V1922="pregrado",31,
IF(V1922="posgrados",31,
IF(V1922="rEINTEGROS",7,
IF(V1922="BIT",90,
IF(V1922="OP GRADO - INGLÉS",17,"")))))</f>
        <v>31</v>
      </c>
      <c r="X1922" t="s">
        <v>3957</v>
      </c>
    </row>
    <row r="1923" spans="1:24" x14ac:dyDescent="0.3">
      <c r="A1923" s="4">
        <v>46118</v>
      </c>
      <c r="B1923">
        <v>20130188</v>
      </c>
      <c r="C1923" t="s">
        <v>19</v>
      </c>
      <c r="D1923">
        <v>174160</v>
      </c>
      <c r="E1923" t="s">
        <v>43</v>
      </c>
      <c r="F1923">
        <v>39144735</v>
      </c>
      <c r="G1923" t="s">
        <v>4409</v>
      </c>
      <c r="H1923">
        <v>100250151</v>
      </c>
      <c r="I1923">
        <v>202652</v>
      </c>
      <c r="J1923">
        <v>39144735</v>
      </c>
      <c r="K1923" t="s">
        <v>23</v>
      </c>
      <c r="L1923" t="s">
        <v>252</v>
      </c>
      <c r="M1923" t="s">
        <v>253</v>
      </c>
      <c r="N1923" t="s">
        <v>35</v>
      </c>
      <c r="O1923" t="s">
        <v>26</v>
      </c>
      <c r="P1923" t="s">
        <v>27</v>
      </c>
      <c r="Q1923" t="s">
        <v>28</v>
      </c>
      <c r="R1923" t="s">
        <v>29</v>
      </c>
      <c r="S1923" t="s">
        <v>793</v>
      </c>
      <c r="T1923">
        <f>_xlfn.XLOOKUP(X1923,Hoja2!D:D,Hoja2!A:A)</f>
        <v>52916205</v>
      </c>
      <c r="U1923" t="str">
        <f>_xlfn.XLOOKUP(X1923,Hoja2!D:D,Hoja2!B:B)</f>
        <v>FABIAN CONCHA</v>
      </c>
      <c r="V1923" t="str">
        <f>_xlfn.XLOOKUP(X1923,Hoja2!D:D,Hoja2!C:C)</f>
        <v>POSGRADOS</v>
      </c>
      <c r="W1923" s="9">
        <f>IF(V1923="pregrado",31,
IF(V1923="posgrados",31,
IF(V1923="rEINTEGROS",7,
IF(V1923="BIT",90,
IF(V1923="OP GRADO - INGLÉS",17,"")))))</f>
        <v>31</v>
      </c>
      <c r="X1923" t="s">
        <v>4032</v>
      </c>
    </row>
    <row r="1924" spans="1:24" x14ac:dyDescent="0.3">
      <c r="A1924" s="4">
        <v>46119</v>
      </c>
      <c r="B1924">
        <v>20130256</v>
      </c>
      <c r="C1924" t="s">
        <v>19</v>
      </c>
      <c r="D1924">
        <v>174163</v>
      </c>
      <c r="E1924" t="s">
        <v>43</v>
      </c>
      <c r="F1924">
        <v>1124057149</v>
      </c>
      <c r="G1924" t="s">
        <v>4424</v>
      </c>
      <c r="H1924">
        <v>100250154</v>
      </c>
      <c r="I1924">
        <v>202652</v>
      </c>
      <c r="J1924">
        <v>1124057149</v>
      </c>
      <c r="K1924" t="s">
        <v>23</v>
      </c>
      <c r="L1924" t="s">
        <v>252</v>
      </c>
      <c r="M1924" t="s">
        <v>253</v>
      </c>
      <c r="N1924" t="s">
        <v>35</v>
      </c>
      <c r="O1924" t="s">
        <v>26</v>
      </c>
      <c r="P1924" t="s">
        <v>27</v>
      </c>
      <c r="Q1924" t="s">
        <v>28</v>
      </c>
      <c r="R1924" t="s">
        <v>29</v>
      </c>
      <c r="S1924" t="s">
        <v>793</v>
      </c>
      <c r="T1924">
        <f>_xlfn.XLOOKUP(X1924,Hoja2!D:D,Hoja2!A:A)</f>
        <v>1033784244</v>
      </c>
      <c r="U1924" t="str">
        <f>_xlfn.XLOOKUP(X1924,Hoja2!D:D,Hoja2!B:B)</f>
        <v>IVONNE JINETH RODRIGUEZ ROJAS</v>
      </c>
      <c r="V1924" t="str">
        <f>_xlfn.XLOOKUP(X1924,Hoja2!D:D,Hoja2!C:C)</f>
        <v>POSGRADOS</v>
      </c>
      <c r="W1924" s="9">
        <f>IF(V1924="pregrado",31,
IF(V1924="posgrados",31,
IF(V1924="rEINTEGROS",7,
IF(V1924="BIT",90,
IF(V1924="OP GRADO - INGLÉS",17,"")))))</f>
        <v>31</v>
      </c>
      <c r="X1924" t="s">
        <v>4067</v>
      </c>
    </row>
    <row r="1925" spans="1:24" x14ac:dyDescent="0.3">
      <c r="A1925" s="4">
        <v>46119</v>
      </c>
      <c r="B1925">
        <v>20130224</v>
      </c>
      <c r="C1925" t="s">
        <v>19</v>
      </c>
      <c r="D1925">
        <v>174166</v>
      </c>
      <c r="E1925" t="s">
        <v>43</v>
      </c>
      <c r="F1925">
        <v>37390181</v>
      </c>
      <c r="G1925" t="s">
        <v>4415</v>
      </c>
      <c r="H1925">
        <v>100250159</v>
      </c>
      <c r="I1925">
        <v>202652</v>
      </c>
      <c r="J1925">
        <v>1005065935</v>
      </c>
      <c r="K1925" t="s">
        <v>23</v>
      </c>
      <c r="L1925" t="s">
        <v>252</v>
      </c>
      <c r="M1925" t="s">
        <v>253</v>
      </c>
      <c r="N1925" t="s">
        <v>35</v>
      </c>
      <c r="O1925" t="s">
        <v>26</v>
      </c>
      <c r="P1925" t="s">
        <v>27</v>
      </c>
      <c r="Q1925" t="s">
        <v>28</v>
      </c>
      <c r="R1925" t="s">
        <v>29</v>
      </c>
      <c r="S1925" t="s">
        <v>793</v>
      </c>
      <c r="T1925">
        <f>_xlfn.XLOOKUP(X1925,Hoja2!D:D,Hoja2!A:A)</f>
        <v>1032406382</v>
      </c>
      <c r="U1925" t="str">
        <f>_xlfn.XLOOKUP(X1925,Hoja2!D:D,Hoja2!B:B)</f>
        <v>FABIAN CONCHA</v>
      </c>
      <c r="V1925" t="str">
        <f>_xlfn.XLOOKUP(X1925,Hoja2!D:D,Hoja2!C:C)</f>
        <v>POSGRADOS</v>
      </c>
      <c r="W1925" s="9">
        <f>IF(V1925="pregrado",31,
IF(V1925="posgrados",31,
IF(V1925="rEINTEGROS",7,
IF(V1925="BIT",90,
IF(V1925="OP GRADO - INGLÉS",17,"")))))</f>
        <v>31</v>
      </c>
      <c r="X1925" t="s">
        <v>3991</v>
      </c>
    </row>
    <row r="1926" spans="1:24" x14ac:dyDescent="0.3">
      <c r="A1926" s="4">
        <v>46142</v>
      </c>
      <c r="B1926">
        <v>20132637</v>
      </c>
      <c r="C1926" t="s">
        <v>19</v>
      </c>
      <c r="D1926">
        <v>174168</v>
      </c>
      <c r="E1926" t="s">
        <v>43</v>
      </c>
      <c r="F1926">
        <v>52781696</v>
      </c>
      <c r="G1926" t="s">
        <v>4893</v>
      </c>
      <c r="H1926">
        <v>100250164</v>
      </c>
      <c r="I1926">
        <v>202652</v>
      </c>
      <c r="J1926">
        <v>52781696</v>
      </c>
      <c r="K1926" t="s">
        <v>33</v>
      </c>
      <c r="L1926" t="s">
        <v>252</v>
      </c>
      <c r="M1926" t="s">
        <v>253</v>
      </c>
      <c r="N1926" t="s">
        <v>35</v>
      </c>
      <c r="O1926" t="s">
        <v>26</v>
      </c>
      <c r="P1926" t="s">
        <v>27</v>
      </c>
      <c r="Q1926" t="s">
        <v>28</v>
      </c>
      <c r="R1926" t="s">
        <v>29</v>
      </c>
      <c r="S1926" t="s">
        <v>793</v>
      </c>
      <c r="T1926">
        <f>_xlfn.XLOOKUP(X1926,Hoja2!D:D,Hoja2!A:A)</f>
        <v>1019068131</v>
      </c>
      <c r="U1926" t="str">
        <f>_xlfn.XLOOKUP(X1926,Hoja2!D:D,Hoja2!B:B)</f>
        <v>IVONNE JINETH RODRIGUEZ ROJAS</v>
      </c>
      <c r="V1926" t="str">
        <f>_xlfn.XLOOKUP(X1926,Hoja2!D:D,Hoja2!C:C)</f>
        <v>POSGRADOS</v>
      </c>
      <c r="W1926" s="9">
        <f>IF(V1926="pregrado",31,
IF(V1926="posgrados",31,
IF(V1926="rEINTEGROS",7,
IF(V1926="BIT",90,
IF(V1926="OP GRADO - INGLÉS",17,"")))))</f>
        <v>31</v>
      </c>
      <c r="X1926" t="s">
        <v>4066</v>
      </c>
    </row>
    <row r="1927" spans="1:24" x14ac:dyDescent="0.3">
      <c r="A1927" s="4">
        <v>46127</v>
      </c>
      <c r="B1927">
        <v>20131146</v>
      </c>
      <c r="C1927" t="s">
        <v>19</v>
      </c>
      <c r="D1927">
        <v>174171</v>
      </c>
      <c r="E1927" t="s">
        <v>43</v>
      </c>
      <c r="F1927">
        <v>42207628</v>
      </c>
      <c r="G1927" t="s">
        <v>4611</v>
      </c>
      <c r="H1927">
        <v>100250172</v>
      </c>
      <c r="I1927">
        <v>202652</v>
      </c>
      <c r="J1927">
        <v>64588927</v>
      </c>
      <c r="K1927" t="s">
        <v>23</v>
      </c>
      <c r="L1927" t="s">
        <v>252</v>
      </c>
      <c r="M1927" t="s">
        <v>253</v>
      </c>
      <c r="N1927" t="s">
        <v>35</v>
      </c>
      <c r="O1927" t="s">
        <v>26</v>
      </c>
      <c r="P1927" t="s">
        <v>27</v>
      </c>
      <c r="Q1927" t="s">
        <v>28</v>
      </c>
      <c r="R1927" t="s">
        <v>29</v>
      </c>
      <c r="S1927" t="s">
        <v>793</v>
      </c>
      <c r="T1927">
        <f>_xlfn.XLOOKUP(X1927,Hoja2!D:D,Hoja2!A:A)</f>
        <v>51951991</v>
      </c>
      <c r="U1927" t="str">
        <f>_xlfn.XLOOKUP(X1927,Hoja2!D:D,Hoja2!B:B)</f>
        <v>FABIAN CONCHA</v>
      </c>
      <c r="V1927" t="str">
        <f>_xlfn.XLOOKUP(X1927,Hoja2!D:D,Hoja2!C:C)</f>
        <v>POSGRADOS</v>
      </c>
      <c r="W1927" s="9">
        <f>IF(V1927="pregrado",31,
IF(V1927="posgrados",31,
IF(V1927="rEINTEGROS",7,
IF(V1927="BIT",90,
IF(V1927="OP GRADO - INGLÉS",17,"")))))</f>
        <v>31</v>
      </c>
      <c r="X1927" t="s">
        <v>4049</v>
      </c>
    </row>
    <row r="1928" spans="1:24" x14ac:dyDescent="0.3">
      <c r="A1928" s="4">
        <v>46125</v>
      </c>
      <c r="B1928">
        <v>20130907</v>
      </c>
      <c r="C1928" t="s">
        <v>19</v>
      </c>
      <c r="D1928">
        <v>174177</v>
      </c>
      <c r="E1928" t="s">
        <v>43</v>
      </c>
      <c r="F1928">
        <v>1015416324</v>
      </c>
      <c r="G1928" t="s">
        <v>4555</v>
      </c>
      <c r="H1928">
        <v>100144817</v>
      </c>
      <c r="I1928">
        <v>202652</v>
      </c>
      <c r="J1928">
        <v>1015416324</v>
      </c>
      <c r="K1928" t="s">
        <v>46</v>
      </c>
      <c r="L1928" t="s">
        <v>252</v>
      </c>
      <c r="M1928" t="s">
        <v>253</v>
      </c>
      <c r="N1928" t="s">
        <v>35</v>
      </c>
      <c r="O1928" t="s">
        <v>26</v>
      </c>
      <c r="P1928" t="s">
        <v>27</v>
      </c>
      <c r="Q1928" t="s">
        <v>28</v>
      </c>
      <c r="R1928" t="s">
        <v>29</v>
      </c>
      <c r="S1928" t="s">
        <v>793</v>
      </c>
      <c r="T1928">
        <f>_xlfn.XLOOKUP(X1928,Hoja2!D:D,Hoja2!A:A)</f>
        <v>1000120140</v>
      </c>
      <c r="U1928" t="str">
        <f>_xlfn.XLOOKUP(X1928,Hoja2!D:D,Hoja2!B:B)</f>
        <v>FABIAN CONCHA</v>
      </c>
      <c r="V1928" t="str">
        <f>_xlfn.XLOOKUP(X1928,Hoja2!D:D,Hoja2!C:C)</f>
        <v>POSGRADOS</v>
      </c>
      <c r="W1928" s="9">
        <f>IF(V1928="pregrado",31,
IF(V1928="posgrados",31,
IF(V1928="rEINTEGROS",7,
IF(V1928="BIT",90,
IF(V1928="OP GRADO - INGLÉS",17,"")))))</f>
        <v>31</v>
      </c>
      <c r="X1928" t="s">
        <v>3935</v>
      </c>
    </row>
    <row r="1929" spans="1:24" x14ac:dyDescent="0.3">
      <c r="A1929" s="4">
        <v>46125</v>
      </c>
      <c r="B1929">
        <v>20130883</v>
      </c>
      <c r="C1929" t="s">
        <v>19</v>
      </c>
      <c r="D1929">
        <v>174184</v>
      </c>
      <c r="E1929" t="s">
        <v>43</v>
      </c>
      <c r="F1929">
        <v>52967072</v>
      </c>
      <c r="G1929" t="s">
        <v>4546</v>
      </c>
      <c r="H1929">
        <v>100143585</v>
      </c>
      <c r="I1929">
        <v>202652</v>
      </c>
      <c r="J1929">
        <v>52967072</v>
      </c>
      <c r="K1929" t="s">
        <v>46</v>
      </c>
      <c r="L1929" t="s">
        <v>252</v>
      </c>
      <c r="M1929" t="s">
        <v>253</v>
      </c>
      <c r="N1929" t="s">
        <v>35</v>
      </c>
      <c r="O1929" t="s">
        <v>26</v>
      </c>
      <c r="P1929" t="s">
        <v>27</v>
      </c>
      <c r="Q1929" t="s">
        <v>28</v>
      </c>
      <c r="R1929" t="s">
        <v>29</v>
      </c>
      <c r="S1929" t="s">
        <v>793</v>
      </c>
      <c r="T1929">
        <f>_xlfn.XLOOKUP(X1929,Hoja2!D:D,Hoja2!A:A)</f>
        <v>1000120140</v>
      </c>
      <c r="U1929" t="str">
        <f>_xlfn.XLOOKUP(X1929,Hoja2!D:D,Hoja2!B:B)</f>
        <v>FABIAN CONCHA</v>
      </c>
      <c r="V1929" t="str">
        <f>_xlfn.XLOOKUP(X1929,Hoja2!D:D,Hoja2!C:C)</f>
        <v>POSGRADOS</v>
      </c>
      <c r="W1929" s="9">
        <f>IF(V1929="pregrado",31,
IF(V1929="posgrados",31,
IF(V1929="rEINTEGROS",7,
IF(V1929="BIT",90,
IF(V1929="OP GRADO - INGLÉS",17,"")))))</f>
        <v>31</v>
      </c>
      <c r="X1929" t="s">
        <v>3935</v>
      </c>
    </row>
    <row r="1930" spans="1:24" x14ac:dyDescent="0.3">
      <c r="A1930" s="4">
        <v>46119</v>
      </c>
      <c r="B1930">
        <v>20130255</v>
      </c>
      <c r="C1930" t="s">
        <v>19</v>
      </c>
      <c r="D1930">
        <v>174190</v>
      </c>
      <c r="E1930" t="s">
        <v>43</v>
      </c>
      <c r="F1930">
        <v>1121963235</v>
      </c>
      <c r="G1930" t="s">
        <v>4423</v>
      </c>
      <c r="H1930">
        <v>100250202</v>
      </c>
      <c r="I1930">
        <v>202642</v>
      </c>
      <c r="J1930">
        <v>1121963235</v>
      </c>
      <c r="K1930" t="s">
        <v>23</v>
      </c>
      <c r="L1930" t="s">
        <v>279</v>
      </c>
      <c r="M1930" t="s">
        <v>47</v>
      </c>
      <c r="N1930" t="s">
        <v>25</v>
      </c>
      <c r="O1930" t="s">
        <v>26</v>
      </c>
      <c r="P1930" t="s">
        <v>27</v>
      </c>
      <c r="Q1930" t="s">
        <v>28</v>
      </c>
      <c r="R1930" t="s">
        <v>29</v>
      </c>
      <c r="S1930" t="s">
        <v>793</v>
      </c>
      <c r="T1930">
        <f>_xlfn.XLOOKUP(X1930,Hoja2!D:D,Hoja2!A:A)</f>
        <v>1233888787</v>
      </c>
      <c r="U1930" t="str">
        <f>_xlfn.XLOOKUP(X1930,Hoja2!D:D,Hoja2!B:B)</f>
        <v>FABIAN CONCHA</v>
      </c>
      <c r="V1930" t="str">
        <f>_xlfn.XLOOKUP(X1930,Hoja2!D:D,Hoja2!C:C)</f>
        <v>POSGRADOS</v>
      </c>
      <c r="W1930" s="9">
        <f>IF(V1930="pregrado",31,
IF(V1930="posgrados",31,
IF(V1930="rEINTEGROS",7,
IF(V1930="BIT",90,
IF(V1930="OP GRADO - INGLÉS",17,"")))))</f>
        <v>31</v>
      </c>
      <c r="X1930" t="s">
        <v>3998</v>
      </c>
    </row>
    <row r="1931" spans="1:24" x14ac:dyDescent="0.3">
      <c r="A1931" s="4">
        <v>46122</v>
      </c>
      <c r="B1931">
        <v>20130664</v>
      </c>
      <c r="C1931" t="s">
        <v>19</v>
      </c>
      <c r="D1931">
        <v>174205</v>
      </c>
      <c r="E1931" t="s">
        <v>43</v>
      </c>
      <c r="F1931">
        <v>32766053</v>
      </c>
      <c r="G1931" t="s">
        <v>4498</v>
      </c>
      <c r="H1931">
        <v>100250221</v>
      </c>
      <c r="I1931">
        <v>202652</v>
      </c>
      <c r="J1931">
        <v>32766053</v>
      </c>
      <c r="K1931" t="s">
        <v>23</v>
      </c>
      <c r="L1931" t="s">
        <v>252</v>
      </c>
      <c r="M1931" t="s">
        <v>253</v>
      </c>
      <c r="N1931" t="s">
        <v>35</v>
      </c>
      <c r="O1931" t="s">
        <v>26</v>
      </c>
      <c r="P1931" t="s">
        <v>27</v>
      </c>
      <c r="Q1931" t="s">
        <v>28</v>
      </c>
      <c r="R1931" t="s">
        <v>29</v>
      </c>
      <c r="S1931" t="s">
        <v>793</v>
      </c>
      <c r="T1931">
        <f>_xlfn.XLOOKUP(X1931,Hoja2!D:D,Hoja2!A:A)</f>
        <v>1014285873</v>
      </c>
      <c r="U1931" t="str">
        <f>_xlfn.XLOOKUP(X1931,Hoja2!D:D,Hoja2!B:B)</f>
        <v>IVONNE JINETH RODRIGUEZ ROJAS</v>
      </c>
      <c r="V1931" t="str">
        <f>_xlfn.XLOOKUP(X1931,Hoja2!D:D,Hoja2!C:C)</f>
        <v>POSGRADOS</v>
      </c>
      <c r="W1931" s="9">
        <f>IF(V1931="pregrado",31,
IF(V1931="posgrados",31,
IF(V1931="rEINTEGROS",7,
IF(V1931="BIT",90,
IF(V1931="OP GRADO - INGLÉS",17,"")))))</f>
        <v>31</v>
      </c>
      <c r="X1931" t="s">
        <v>3953</v>
      </c>
    </row>
    <row r="1932" spans="1:24" x14ac:dyDescent="0.3">
      <c r="A1932" s="4">
        <v>46119</v>
      </c>
      <c r="B1932">
        <v>20130240</v>
      </c>
      <c r="C1932" t="s">
        <v>19</v>
      </c>
      <c r="D1932">
        <v>174211</v>
      </c>
      <c r="E1932" t="s">
        <v>43</v>
      </c>
      <c r="F1932">
        <v>1068975492</v>
      </c>
      <c r="G1932" t="s">
        <v>4420</v>
      </c>
      <c r="H1932">
        <v>100250211</v>
      </c>
      <c r="I1932">
        <v>202642</v>
      </c>
      <c r="J1932">
        <v>1068975492</v>
      </c>
      <c r="K1932" t="s">
        <v>23</v>
      </c>
      <c r="L1932" t="s">
        <v>4163</v>
      </c>
      <c r="M1932" t="s">
        <v>47</v>
      </c>
      <c r="N1932" t="s">
        <v>35</v>
      </c>
      <c r="O1932" t="s">
        <v>26</v>
      </c>
      <c r="P1932" t="s">
        <v>27</v>
      </c>
      <c r="Q1932" t="s">
        <v>28</v>
      </c>
      <c r="R1932" t="s">
        <v>29</v>
      </c>
      <c r="S1932" t="s">
        <v>793</v>
      </c>
      <c r="T1932">
        <f>_xlfn.XLOOKUP(X1932,Hoja2!D:D,Hoja2!A:A)</f>
        <v>52759865</v>
      </c>
      <c r="U1932" t="str">
        <f>_xlfn.XLOOKUP(X1932,Hoja2!D:D,Hoja2!B:B)</f>
        <v>Heidy Lorena Prieto Ahumada</v>
      </c>
      <c r="V1932" t="str">
        <f>_xlfn.XLOOKUP(X1932,Hoja2!D:D,Hoja2!C:C)</f>
        <v>PREGRADO</v>
      </c>
      <c r="W1932" s="9">
        <f>IF(V1932="pregrado",31,
IF(V1932="posgrados",31,
IF(V1932="rEINTEGROS",7,
IF(V1932="BIT",90,
IF(V1932="OP GRADO - INGLÉS",17,"")))))</f>
        <v>31</v>
      </c>
      <c r="X1932" t="s">
        <v>4923</v>
      </c>
    </row>
    <row r="1933" spans="1:24" x14ac:dyDescent="0.3">
      <c r="A1933" s="4">
        <v>46120</v>
      </c>
      <c r="B1933">
        <v>20130315</v>
      </c>
      <c r="C1933" t="s">
        <v>19</v>
      </c>
      <c r="D1933">
        <v>174217</v>
      </c>
      <c r="E1933" t="s">
        <v>43</v>
      </c>
      <c r="F1933">
        <v>1065828539</v>
      </c>
      <c r="G1933" t="s">
        <v>4434</v>
      </c>
      <c r="H1933">
        <v>100250237</v>
      </c>
      <c r="I1933">
        <v>202642</v>
      </c>
      <c r="J1933">
        <v>1065828539</v>
      </c>
      <c r="K1933" t="s">
        <v>23</v>
      </c>
      <c r="L1933" t="s">
        <v>160</v>
      </c>
      <c r="M1933" t="s">
        <v>47</v>
      </c>
      <c r="N1933" t="s">
        <v>35</v>
      </c>
      <c r="O1933" t="s">
        <v>26</v>
      </c>
      <c r="P1933" t="s">
        <v>27</v>
      </c>
      <c r="Q1933" t="s">
        <v>28</v>
      </c>
      <c r="R1933" t="s">
        <v>29</v>
      </c>
      <c r="S1933" t="s">
        <v>793</v>
      </c>
      <c r="T1933">
        <f>_xlfn.XLOOKUP(X1933,Hoja2!D:D,Hoja2!A:A)</f>
        <v>52916205</v>
      </c>
      <c r="U1933" t="str">
        <f>_xlfn.XLOOKUP(X1933,Hoja2!D:D,Hoja2!B:B)</f>
        <v>FABIAN CONCHA</v>
      </c>
      <c r="V1933" t="str">
        <f>_xlfn.XLOOKUP(X1933,Hoja2!D:D,Hoja2!C:C)</f>
        <v>POSGRADOS</v>
      </c>
      <c r="W1933" s="9">
        <f>IF(V1933="pregrado",31,
IF(V1933="posgrados",31,
IF(V1933="rEINTEGROS",7,
IF(V1933="BIT",90,
IF(V1933="OP GRADO - INGLÉS",17,"")))))</f>
        <v>31</v>
      </c>
      <c r="X1933" t="s">
        <v>4032</v>
      </c>
    </row>
    <row r="1934" spans="1:24" x14ac:dyDescent="0.3">
      <c r="A1934" s="4">
        <v>46120</v>
      </c>
      <c r="B1934">
        <v>20130406</v>
      </c>
      <c r="C1934" t="s">
        <v>19</v>
      </c>
      <c r="D1934">
        <v>174219</v>
      </c>
      <c r="E1934" t="s">
        <v>43</v>
      </c>
      <c r="F1934">
        <v>1045493322</v>
      </c>
      <c r="G1934" t="s">
        <v>4448</v>
      </c>
      <c r="H1934">
        <v>100250241</v>
      </c>
      <c r="I1934">
        <v>202652</v>
      </c>
      <c r="J1934">
        <v>1045493322</v>
      </c>
      <c r="K1934" t="s">
        <v>23</v>
      </c>
      <c r="L1934" t="s">
        <v>252</v>
      </c>
      <c r="M1934" t="s">
        <v>253</v>
      </c>
      <c r="N1934" t="s">
        <v>35</v>
      </c>
      <c r="O1934" t="s">
        <v>26</v>
      </c>
      <c r="P1934" t="s">
        <v>27</v>
      </c>
      <c r="Q1934" t="s">
        <v>28</v>
      </c>
      <c r="R1934" t="s">
        <v>29</v>
      </c>
      <c r="S1934" t="s">
        <v>793</v>
      </c>
      <c r="T1934">
        <f>_xlfn.XLOOKUP(X1934,Hoja2!D:D,Hoja2!A:A)</f>
        <v>52032666</v>
      </c>
      <c r="U1934" t="str">
        <f>_xlfn.XLOOKUP(X1934,Hoja2!D:D,Hoja2!B:B)</f>
        <v>IVONNE JINETH RODRIGUEZ ROJAS</v>
      </c>
      <c r="V1934" t="str">
        <f>_xlfn.XLOOKUP(X1934,Hoja2!D:D,Hoja2!C:C)</f>
        <v>POSGRADOS</v>
      </c>
      <c r="W1934" s="9">
        <f>IF(V1934="pregrado",31,
IF(V1934="posgrados",31,
IF(V1934="rEINTEGROS",7,
IF(V1934="BIT",90,
IF(V1934="OP GRADO - INGLÉS",17,"")))))</f>
        <v>31</v>
      </c>
      <c r="X1934" t="s">
        <v>3983</v>
      </c>
    </row>
    <row r="1935" spans="1:24" x14ac:dyDescent="0.3">
      <c r="A1935" s="4">
        <v>46120</v>
      </c>
      <c r="B1935">
        <v>20130416</v>
      </c>
      <c r="C1935" t="s">
        <v>19</v>
      </c>
      <c r="D1935">
        <v>174225</v>
      </c>
      <c r="E1935" t="s">
        <v>43</v>
      </c>
      <c r="F1935">
        <v>1081824345</v>
      </c>
      <c r="G1935" t="s">
        <v>4450</v>
      </c>
      <c r="H1935">
        <v>100150912</v>
      </c>
      <c r="I1935">
        <v>202652</v>
      </c>
      <c r="J1935">
        <v>1081824345</v>
      </c>
      <c r="K1935" t="s">
        <v>23</v>
      </c>
      <c r="L1935" t="s">
        <v>252</v>
      </c>
      <c r="M1935" t="s">
        <v>253</v>
      </c>
      <c r="N1935" t="s">
        <v>35</v>
      </c>
      <c r="O1935" t="s">
        <v>26</v>
      </c>
      <c r="P1935" t="s">
        <v>27</v>
      </c>
      <c r="Q1935" t="s">
        <v>28</v>
      </c>
      <c r="R1935" t="s">
        <v>29</v>
      </c>
      <c r="S1935" t="s">
        <v>793</v>
      </c>
      <c r="T1935">
        <f>_xlfn.XLOOKUP(X1935,Hoja2!D:D,Hoja2!A:A)</f>
        <v>1032451737</v>
      </c>
      <c r="U1935" t="str">
        <f>_xlfn.XLOOKUP(X1935,Hoja2!D:D,Hoja2!B:B)</f>
        <v>IVONNE JINETH RODRIGUEZ ROJAS</v>
      </c>
      <c r="V1935" t="str">
        <f>_xlfn.XLOOKUP(X1935,Hoja2!D:D,Hoja2!C:C)</f>
        <v>POSGRADOS</v>
      </c>
      <c r="W1935" s="9">
        <f>IF(V1935="pregrado",31,
IF(V1935="posgrados",31,
IF(V1935="rEINTEGROS",7,
IF(V1935="BIT",90,
IF(V1935="OP GRADO - INGLÉS",17,"")))))</f>
        <v>31</v>
      </c>
      <c r="X1935" t="s">
        <v>4033</v>
      </c>
    </row>
    <row r="1936" spans="1:24" x14ac:dyDescent="0.3">
      <c r="A1936" s="4">
        <v>46119</v>
      </c>
      <c r="B1936">
        <v>20130282</v>
      </c>
      <c r="C1936" t="s">
        <v>19</v>
      </c>
      <c r="D1936">
        <v>174228</v>
      </c>
      <c r="E1936" t="s">
        <v>43</v>
      </c>
      <c r="F1936">
        <v>1010035278</v>
      </c>
      <c r="G1936" t="s">
        <v>4428</v>
      </c>
      <c r="H1936">
        <v>100250256</v>
      </c>
      <c r="I1936">
        <v>202642</v>
      </c>
      <c r="J1936">
        <v>1010035278</v>
      </c>
      <c r="K1936" t="s">
        <v>23</v>
      </c>
      <c r="L1936" t="s">
        <v>160</v>
      </c>
      <c r="M1936" t="s">
        <v>47</v>
      </c>
      <c r="N1936" t="s">
        <v>35</v>
      </c>
      <c r="O1936" t="s">
        <v>26</v>
      </c>
      <c r="P1936" t="s">
        <v>27</v>
      </c>
      <c r="Q1936" t="s">
        <v>28</v>
      </c>
      <c r="R1936" t="s">
        <v>29</v>
      </c>
      <c r="S1936" t="s">
        <v>793</v>
      </c>
      <c r="T1936">
        <f>_xlfn.XLOOKUP(X1936,Hoja2!D:D,Hoja2!A:A)</f>
        <v>1012355141</v>
      </c>
      <c r="U1936" t="str">
        <f>_xlfn.XLOOKUP(X1936,Hoja2!D:D,Hoja2!B:B)</f>
        <v>FABIAN CONCHA</v>
      </c>
      <c r="V1936" t="str">
        <f>_xlfn.XLOOKUP(X1936,Hoja2!D:D,Hoja2!C:C)</f>
        <v>POSGRADOS</v>
      </c>
      <c r="W1936" s="9">
        <f>IF(V1936="pregrado",31,
IF(V1936="posgrados",31,
IF(V1936="rEINTEGROS",7,
IF(V1936="BIT",90,
IF(V1936="OP GRADO - INGLÉS",17,"")))))</f>
        <v>31</v>
      </c>
      <c r="X1936" t="s">
        <v>4045</v>
      </c>
    </row>
    <row r="1937" spans="1:24" x14ac:dyDescent="0.3">
      <c r="A1937" s="4">
        <v>46120</v>
      </c>
      <c r="B1937">
        <v>20130421</v>
      </c>
      <c r="C1937" t="s">
        <v>19</v>
      </c>
      <c r="D1937">
        <v>174244</v>
      </c>
      <c r="E1937" t="s">
        <v>43</v>
      </c>
      <c r="F1937">
        <v>1006848564</v>
      </c>
      <c r="G1937" t="s">
        <v>4451</v>
      </c>
      <c r="H1937">
        <v>100250272</v>
      </c>
      <c r="I1937">
        <v>202642</v>
      </c>
      <c r="J1937">
        <v>1006848564</v>
      </c>
      <c r="K1937" t="s">
        <v>23</v>
      </c>
      <c r="L1937" t="s">
        <v>294</v>
      </c>
      <c r="M1937" t="s">
        <v>47</v>
      </c>
      <c r="N1937" t="s">
        <v>35</v>
      </c>
      <c r="O1937" t="s">
        <v>26</v>
      </c>
      <c r="P1937" t="s">
        <v>27</v>
      </c>
      <c r="Q1937" t="s">
        <v>28</v>
      </c>
      <c r="R1937" t="s">
        <v>29</v>
      </c>
      <c r="S1937" t="s">
        <v>793</v>
      </c>
      <c r="T1937">
        <f>_xlfn.XLOOKUP(X1937,Hoja2!D:D,Hoja2!A:A)</f>
        <v>1026262709</v>
      </c>
      <c r="U1937" t="str">
        <f>_xlfn.XLOOKUP(X1937,Hoja2!D:D,Hoja2!B:B)</f>
        <v>FABIAN CONCHA</v>
      </c>
      <c r="V1937" t="str">
        <f>_xlfn.XLOOKUP(X1937,Hoja2!D:D,Hoja2!C:C)</f>
        <v>POSGRADOS</v>
      </c>
      <c r="W1937" s="9">
        <f>IF(V1937="pregrado",31,
IF(V1937="posgrados",31,
IF(V1937="rEINTEGROS",7,
IF(V1937="BIT",90,
IF(V1937="OP GRADO - INGLÉS",17,"")))))</f>
        <v>31</v>
      </c>
      <c r="X1937" t="s">
        <v>4037</v>
      </c>
    </row>
    <row r="1938" spans="1:24" x14ac:dyDescent="0.3">
      <c r="A1938" s="4">
        <v>46119</v>
      </c>
      <c r="B1938">
        <v>20130305</v>
      </c>
      <c r="C1938" t="s">
        <v>19</v>
      </c>
      <c r="D1938">
        <v>174246</v>
      </c>
      <c r="E1938" t="s">
        <v>43</v>
      </c>
      <c r="F1938">
        <v>26471682</v>
      </c>
      <c r="G1938" t="s">
        <v>4433</v>
      </c>
      <c r="H1938">
        <v>100052979</v>
      </c>
      <c r="I1938">
        <v>202652</v>
      </c>
      <c r="J1938">
        <v>26471682</v>
      </c>
      <c r="K1938" t="s">
        <v>23</v>
      </c>
      <c r="L1938" t="s">
        <v>252</v>
      </c>
      <c r="M1938" t="s">
        <v>253</v>
      </c>
      <c r="N1938" t="s">
        <v>35</v>
      </c>
      <c r="O1938" t="s">
        <v>26</v>
      </c>
      <c r="P1938" t="s">
        <v>27</v>
      </c>
      <c r="Q1938" t="s">
        <v>28</v>
      </c>
      <c r="R1938" t="s">
        <v>29</v>
      </c>
      <c r="S1938" t="s">
        <v>793</v>
      </c>
      <c r="T1938">
        <f>_xlfn.XLOOKUP(X1938,Hoja2!D:D,Hoja2!A:A)</f>
        <v>1070973852</v>
      </c>
      <c r="U1938" t="str">
        <f>_xlfn.XLOOKUP(X1938,Hoja2!D:D,Hoja2!B:B)</f>
        <v>FABIAN CONCHA</v>
      </c>
      <c r="V1938" t="str">
        <f>_xlfn.XLOOKUP(X1938,Hoja2!D:D,Hoja2!C:C)</f>
        <v>POSGRADOS</v>
      </c>
      <c r="W1938" s="9">
        <f>IF(V1938="pregrado",31,
IF(V1938="posgrados",31,
IF(V1938="rEINTEGROS",7,
IF(V1938="BIT",90,
IF(V1938="OP GRADO - INGLÉS",17,"")))))</f>
        <v>31</v>
      </c>
      <c r="X1938" t="s">
        <v>3957</v>
      </c>
    </row>
    <row r="1939" spans="1:24" x14ac:dyDescent="0.3">
      <c r="A1939" s="4">
        <v>46121</v>
      </c>
      <c r="B1939">
        <v>20130532</v>
      </c>
      <c r="C1939" t="s">
        <v>19</v>
      </c>
      <c r="D1939">
        <v>174247</v>
      </c>
      <c r="E1939" t="s">
        <v>43</v>
      </c>
      <c r="F1939">
        <v>26848288</v>
      </c>
      <c r="G1939" t="s">
        <v>4474</v>
      </c>
      <c r="H1939">
        <v>100250274</v>
      </c>
      <c r="I1939">
        <v>202652</v>
      </c>
      <c r="J1939">
        <v>26848288</v>
      </c>
      <c r="K1939" t="s">
        <v>23</v>
      </c>
      <c r="L1939" t="s">
        <v>252</v>
      </c>
      <c r="M1939" t="s">
        <v>253</v>
      </c>
      <c r="N1939" t="s">
        <v>35</v>
      </c>
      <c r="O1939" t="s">
        <v>26</v>
      </c>
      <c r="P1939" t="s">
        <v>27</v>
      </c>
      <c r="Q1939" t="s">
        <v>28</v>
      </c>
      <c r="R1939" t="s">
        <v>29</v>
      </c>
      <c r="S1939" t="s">
        <v>793</v>
      </c>
      <c r="T1939">
        <f>_xlfn.XLOOKUP(X1939,Hoja2!D:D,Hoja2!A:A)</f>
        <v>1020754225</v>
      </c>
      <c r="U1939" t="str">
        <f>_xlfn.XLOOKUP(X1939,Hoja2!D:D,Hoja2!B:B)</f>
        <v>IVONNE JINETH RODRIGUEZ ROJAS</v>
      </c>
      <c r="V1939" t="str">
        <f>_xlfn.XLOOKUP(X1939,Hoja2!D:D,Hoja2!C:C)</f>
        <v>POSGRADOS</v>
      </c>
      <c r="W1939" s="9">
        <f>IF(V1939="pregrado",31,
IF(V1939="posgrados",31,
IF(V1939="rEINTEGROS",7,
IF(V1939="BIT",90,
IF(V1939="OP GRADO - INGLÉS",17,"")))))</f>
        <v>31</v>
      </c>
      <c r="X1939" t="s">
        <v>3981</v>
      </c>
    </row>
    <row r="1940" spans="1:24" x14ac:dyDescent="0.3">
      <c r="A1940" s="4">
        <v>46121</v>
      </c>
      <c r="B1940">
        <v>20130477</v>
      </c>
      <c r="C1940" t="s">
        <v>19</v>
      </c>
      <c r="D1940">
        <v>174250</v>
      </c>
      <c r="E1940" t="s">
        <v>43</v>
      </c>
      <c r="F1940">
        <v>1117534842</v>
      </c>
      <c r="G1940" t="s">
        <v>4465</v>
      </c>
      <c r="H1940">
        <v>100250277</v>
      </c>
      <c r="I1940">
        <v>202652</v>
      </c>
      <c r="J1940">
        <v>1117534842</v>
      </c>
      <c r="K1940" t="s">
        <v>23</v>
      </c>
      <c r="L1940" t="s">
        <v>252</v>
      </c>
      <c r="M1940" t="s">
        <v>253</v>
      </c>
      <c r="N1940" t="s">
        <v>35</v>
      </c>
      <c r="O1940" t="s">
        <v>26</v>
      </c>
      <c r="P1940" t="s">
        <v>27</v>
      </c>
      <c r="Q1940" t="s">
        <v>28</v>
      </c>
      <c r="R1940" t="s">
        <v>29</v>
      </c>
      <c r="S1940" t="s">
        <v>793</v>
      </c>
      <c r="T1940">
        <f>_xlfn.XLOOKUP(X1940,Hoja2!D:D,Hoja2!A:A)</f>
        <v>1016030683</v>
      </c>
      <c r="U1940" t="str">
        <f>_xlfn.XLOOKUP(X1940,Hoja2!D:D,Hoja2!B:B)</f>
        <v>FABIAN CONCHA</v>
      </c>
      <c r="V1940" t="str">
        <f>_xlfn.XLOOKUP(X1940,Hoja2!D:D,Hoja2!C:C)</f>
        <v>POSGRADOS</v>
      </c>
      <c r="W1940" s="9">
        <f>IF(V1940="pregrado",31,
IF(V1940="posgrados",31,
IF(V1940="rEINTEGROS",7,
IF(V1940="BIT",90,
IF(V1940="OP GRADO - INGLÉS",17,"")))))</f>
        <v>31</v>
      </c>
      <c r="X1940" t="s">
        <v>3992</v>
      </c>
    </row>
    <row r="1941" spans="1:24" x14ac:dyDescent="0.3">
      <c r="A1941" s="4">
        <v>46121</v>
      </c>
      <c r="B1941">
        <v>20130466</v>
      </c>
      <c r="C1941" t="s">
        <v>19</v>
      </c>
      <c r="D1941">
        <v>174255</v>
      </c>
      <c r="E1941" t="s">
        <v>43</v>
      </c>
      <c r="F1941">
        <v>1000240754</v>
      </c>
      <c r="G1941" t="s">
        <v>4461</v>
      </c>
      <c r="H1941">
        <v>100250285</v>
      </c>
      <c r="I1941">
        <v>202642</v>
      </c>
      <c r="J1941">
        <v>1000240754</v>
      </c>
      <c r="K1941" t="s">
        <v>23</v>
      </c>
      <c r="L1941" t="s">
        <v>160</v>
      </c>
      <c r="M1941" t="s">
        <v>47</v>
      </c>
      <c r="N1941">
        <v>0</v>
      </c>
      <c r="O1941" t="s">
        <v>26</v>
      </c>
      <c r="P1941" t="s">
        <v>27</v>
      </c>
      <c r="Q1941" t="s">
        <v>28</v>
      </c>
      <c r="R1941" t="s">
        <v>29</v>
      </c>
      <c r="S1941" t="s">
        <v>793</v>
      </c>
      <c r="T1941">
        <f>_xlfn.XLOOKUP(X1941,Hoja2!D:D,Hoja2!A:A)</f>
        <v>52965969</v>
      </c>
      <c r="U1941" t="str">
        <f>_xlfn.XLOOKUP(X1941,Hoja2!D:D,Hoja2!B:B)</f>
        <v>FABIAN CONCHA</v>
      </c>
      <c r="V1941" t="str">
        <f>_xlfn.XLOOKUP(X1941,Hoja2!D:D,Hoja2!C:C)</f>
        <v>POSGRADOS</v>
      </c>
      <c r="W1941" s="9">
        <f>IF(V1941="pregrado",31,
IF(V1941="posgrados",31,
IF(V1941="rEINTEGROS",7,
IF(V1941="BIT",90,
IF(V1941="OP GRADO - INGLÉS",17,"")))))</f>
        <v>31</v>
      </c>
      <c r="X1941" t="s">
        <v>3960</v>
      </c>
    </row>
    <row r="1942" spans="1:24" x14ac:dyDescent="0.3">
      <c r="A1942" s="4">
        <v>46120</v>
      </c>
      <c r="B1942">
        <v>20130400</v>
      </c>
      <c r="C1942" t="s">
        <v>19</v>
      </c>
      <c r="D1942">
        <v>174281</v>
      </c>
      <c r="E1942" t="s">
        <v>43</v>
      </c>
      <c r="F1942">
        <v>1049534282</v>
      </c>
      <c r="G1942" t="s">
        <v>4447</v>
      </c>
      <c r="H1942">
        <v>100250313</v>
      </c>
      <c r="I1942">
        <v>202642</v>
      </c>
      <c r="J1942">
        <v>1049534282</v>
      </c>
      <c r="K1942" t="s">
        <v>23</v>
      </c>
      <c r="L1942" t="s">
        <v>279</v>
      </c>
      <c r="M1942" t="s">
        <v>47</v>
      </c>
      <c r="N1942" t="s">
        <v>35</v>
      </c>
      <c r="O1942" t="s">
        <v>26</v>
      </c>
      <c r="P1942" t="s">
        <v>27</v>
      </c>
      <c r="Q1942" t="s">
        <v>28</v>
      </c>
      <c r="R1942" t="s">
        <v>29</v>
      </c>
      <c r="S1942" t="s">
        <v>793</v>
      </c>
      <c r="T1942">
        <f>_xlfn.XLOOKUP(X1942,Hoja2!D:D,Hoja2!A:A)</f>
        <v>1032406382</v>
      </c>
      <c r="U1942" t="str">
        <f>_xlfn.XLOOKUP(X1942,Hoja2!D:D,Hoja2!B:B)</f>
        <v>FABIAN CONCHA</v>
      </c>
      <c r="V1942" t="str">
        <f>_xlfn.XLOOKUP(X1942,Hoja2!D:D,Hoja2!C:C)</f>
        <v>POSGRADOS</v>
      </c>
      <c r="W1942" s="9">
        <f>IF(V1942="pregrado",31,
IF(V1942="posgrados",31,
IF(V1942="rEINTEGROS",7,
IF(V1942="BIT",90,
IF(V1942="OP GRADO - INGLÉS",17,"")))))</f>
        <v>31</v>
      </c>
      <c r="X1942" t="s">
        <v>3991</v>
      </c>
    </row>
    <row r="1943" spans="1:24" x14ac:dyDescent="0.3">
      <c r="A1943" s="4">
        <v>46122</v>
      </c>
      <c r="B1943">
        <v>20130648</v>
      </c>
      <c r="C1943" t="s">
        <v>19</v>
      </c>
      <c r="D1943">
        <v>174307</v>
      </c>
      <c r="E1943" t="s">
        <v>43</v>
      </c>
      <c r="F1943">
        <v>1084741823</v>
      </c>
      <c r="G1943" t="s">
        <v>4496</v>
      </c>
      <c r="H1943">
        <v>100250340</v>
      </c>
      <c r="I1943">
        <v>202652</v>
      </c>
      <c r="J1943">
        <v>1084741823</v>
      </c>
      <c r="K1943" t="s">
        <v>23</v>
      </c>
      <c r="L1943" t="s">
        <v>252</v>
      </c>
      <c r="M1943" t="s">
        <v>253</v>
      </c>
      <c r="N1943" t="s">
        <v>35</v>
      </c>
      <c r="O1943" t="s">
        <v>26</v>
      </c>
      <c r="P1943" t="s">
        <v>27</v>
      </c>
      <c r="Q1943" t="s">
        <v>28</v>
      </c>
      <c r="R1943" t="s">
        <v>29</v>
      </c>
      <c r="S1943" t="s">
        <v>793</v>
      </c>
      <c r="T1943">
        <f>_xlfn.XLOOKUP(X1943,Hoja2!D:D,Hoja2!A:A)</f>
        <v>1140420282</v>
      </c>
      <c r="U1943" t="str">
        <f>_xlfn.XLOOKUP(X1943,Hoja2!D:D,Hoja2!B:B)</f>
        <v>IVONNE JINETH RODRIGUEZ ROJAS</v>
      </c>
      <c r="V1943" t="str">
        <f>_xlfn.XLOOKUP(X1943,Hoja2!D:D,Hoja2!C:C)</f>
        <v>POSGRADOS</v>
      </c>
      <c r="W1943" s="9">
        <f>IF(V1943="pregrado",31,
IF(V1943="posgrados",31,
IF(V1943="rEINTEGROS",7,
IF(V1943="BIT",90,
IF(V1943="OP GRADO - INGLÉS",17,"")))))</f>
        <v>31</v>
      </c>
      <c r="X1943" t="s">
        <v>3972</v>
      </c>
    </row>
    <row r="1944" spans="1:24" x14ac:dyDescent="0.3">
      <c r="A1944" s="4">
        <v>46121</v>
      </c>
      <c r="B1944">
        <v>20130500</v>
      </c>
      <c r="C1944" t="s">
        <v>19</v>
      </c>
      <c r="D1944">
        <v>174319</v>
      </c>
      <c r="E1944" t="s">
        <v>43</v>
      </c>
      <c r="F1944">
        <v>1067874250</v>
      </c>
      <c r="G1944" t="s">
        <v>4470</v>
      </c>
      <c r="H1944">
        <v>100250351</v>
      </c>
      <c r="I1944">
        <v>202652</v>
      </c>
      <c r="J1944">
        <v>1067874250</v>
      </c>
      <c r="K1944" t="s">
        <v>23</v>
      </c>
      <c r="L1944" t="s">
        <v>252</v>
      </c>
      <c r="M1944" t="s">
        <v>253</v>
      </c>
      <c r="N1944" t="s">
        <v>35</v>
      </c>
      <c r="O1944" t="s">
        <v>26</v>
      </c>
      <c r="P1944" t="s">
        <v>27</v>
      </c>
      <c r="Q1944" t="s">
        <v>28</v>
      </c>
      <c r="R1944" t="s">
        <v>29</v>
      </c>
      <c r="S1944" t="s">
        <v>793</v>
      </c>
      <c r="T1944">
        <f>_xlfn.XLOOKUP(X1944,Hoja2!D:D,Hoja2!A:A)</f>
        <v>52759865</v>
      </c>
      <c r="U1944" t="str">
        <f>_xlfn.XLOOKUP(X1944,Hoja2!D:D,Hoja2!B:B)</f>
        <v>Heidy Lorena Prieto Ahumada</v>
      </c>
      <c r="V1944" t="str">
        <f>_xlfn.XLOOKUP(X1944,Hoja2!D:D,Hoja2!C:C)</f>
        <v>PREGRADO</v>
      </c>
      <c r="W1944" s="9">
        <f>IF(V1944="pregrado",31,
IF(V1944="posgrados",31,
IF(V1944="rEINTEGROS",7,
IF(V1944="BIT",90,
IF(V1944="OP GRADO - INGLÉS",17,"")))))</f>
        <v>31</v>
      </c>
      <c r="X1944" t="s">
        <v>4923</v>
      </c>
    </row>
    <row r="1945" spans="1:24" x14ac:dyDescent="0.3">
      <c r="A1945" s="4">
        <v>46120</v>
      </c>
      <c r="B1945">
        <v>20130390</v>
      </c>
      <c r="C1945" t="s">
        <v>19</v>
      </c>
      <c r="D1945">
        <v>174331</v>
      </c>
      <c r="E1945" t="s">
        <v>43</v>
      </c>
      <c r="F1945">
        <v>1001185274</v>
      </c>
      <c r="G1945" t="s">
        <v>4445</v>
      </c>
      <c r="H1945">
        <v>100077538</v>
      </c>
      <c r="I1945">
        <v>202642</v>
      </c>
      <c r="J1945">
        <v>1001185274</v>
      </c>
      <c r="K1945" t="s">
        <v>23</v>
      </c>
      <c r="L1945" t="s">
        <v>59</v>
      </c>
      <c r="M1945" t="s">
        <v>47</v>
      </c>
      <c r="N1945" t="s">
        <v>35</v>
      </c>
      <c r="O1945" t="s">
        <v>26</v>
      </c>
      <c r="P1945" t="s">
        <v>27</v>
      </c>
      <c r="Q1945" t="s">
        <v>28</v>
      </c>
      <c r="R1945" t="s">
        <v>29</v>
      </c>
      <c r="S1945" t="s">
        <v>793</v>
      </c>
      <c r="T1945">
        <f>_xlfn.XLOOKUP(X1945,Hoja2!D:D,Hoja2!A:A)</f>
        <v>1033793185</v>
      </c>
      <c r="U1945" t="str">
        <f>_xlfn.XLOOKUP(X1945,Hoja2!D:D,Hoja2!B:B)</f>
        <v>IVONNE JINETH RODRIGUEZ ROJAS</v>
      </c>
      <c r="V1945" t="str">
        <f>_xlfn.XLOOKUP(X1945,Hoja2!D:D,Hoja2!C:C)</f>
        <v>POSGRADOS</v>
      </c>
      <c r="W1945" s="9">
        <f>IF(V1945="pregrado",31,
IF(V1945="posgrados",31,
IF(V1945="rEINTEGROS",7,
IF(V1945="BIT",90,
IF(V1945="OP GRADO - INGLÉS",17,"")))))</f>
        <v>31</v>
      </c>
      <c r="X1945" t="s">
        <v>4082</v>
      </c>
    </row>
    <row r="1946" spans="1:24" x14ac:dyDescent="0.3">
      <c r="A1946" s="4">
        <v>46120</v>
      </c>
      <c r="B1946">
        <v>20130407</v>
      </c>
      <c r="C1946" t="s">
        <v>19</v>
      </c>
      <c r="D1946">
        <v>174334</v>
      </c>
      <c r="E1946" t="s">
        <v>43</v>
      </c>
      <c r="F1946">
        <v>1090496319</v>
      </c>
      <c r="G1946" t="s">
        <v>4449</v>
      </c>
      <c r="H1946">
        <v>100250369</v>
      </c>
      <c r="I1946">
        <v>202652</v>
      </c>
      <c r="J1946">
        <v>1090496319</v>
      </c>
      <c r="K1946" t="s">
        <v>23</v>
      </c>
      <c r="L1946" t="s">
        <v>252</v>
      </c>
      <c r="M1946" t="s">
        <v>253</v>
      </c>
      <c r="N1946" t="s">
        <v>35</v>
      </c>
      <c r="O1946" t="s">
        <v>26</v>
      </c>
      <c r="P1946" t="s">
        <v>27</v>
      </c>
      <c r="Q1946" t="s">
        <v>28</v>
      </c>
      <c r="R1946" t="s">
        <v>29</v>
      </c>
      <c r="S1946" t="s">
        <v>793</v>
      </c>
      <c r="T1946">
        <f>_xlfn.XLOOKUP(X1946,Hoja2!D:D,Hoja2!A:A)</f>
        <v>1000183349</v>
      </c>
      <c r="U1946" t="str">
        <f>_xlfn.XLOOKUP(X1946,Hoja2!D:D,Hoja2!B:B)</f>
        <v>JOVANNY ALEXANDER BENAVIDES APRAEZ</v>
      </c>
      <c r="V1946" t="str">
        <f>_xlfn.XLOOKUP(X1946,Hoja2!D:D,Hoja2!C:C)</f>
        <v>PREGRADO</v>
      </c>
      <c r="W1946" s="9">
        <f>IF(V1946="pregrado",31,
IF(V1946="posgrados",31,
IF(V1946="rEINTEGROS",7,
IF(V1946="BIT",90,
IF(V1946="OP GRADO - INGLÉS",17,"")))))</f>
        <v>31</v>
      </c>
      <c r="X1946" t="s">
        <v>4083</v>
      </c>
    </row>
    <row r="1947" spans="1:24" x14ac:dyDescent="0.3">
      <c r="A1947" s="4">
        <v>46125</v>
      </c>
      <c r="B1947">
        <v>20130884</v>
      </c>
      <c r="C1947" t="s">
        <v>19</v>
      </c>
      <c r="D1947">
        <v>174347</v>
      </c>
      <c r="E1947" t="s">
        <v>43</v>
      </c>
      <c r="F1947">
        <v>43567808</v>
      </c>
      <c r="G1947" t="s">
        <v>4547</v>
      </c>
      <c r="H1947">
        <v>100250379</v>
      </c>
      <c r="I1947">
        <v>202652</v>
      </c>
      <c r="J1947">
        <v>43567808</v>
      </c>
      <c r="K1947" t="s">
        <v>23</v>
      </c>
      <c r="L1947" t="s">
        <v>252</v>
      </c>
      <c r="M1947" t="s">
        <v>253</v>
      </c>
      <c r="N1947" t="s">
        <v>35</v>
      </c>
      <c r="O1947" t="s">
        <v>26</v>
      </c>
      <c r="P1947" t="s">
        <v>27</v>
      </c>
      <c r="Q1947" t="s">
        <v>28</v>
      </c>
      <c r="R1947" t="s">
        <v>29</v>
      </c>
      <c r="S1947" t="s">
        <v>793</v>
      </c>
      <c r="T1947">
        <f>_xlfn.XLOOKUP(X1947,Hoja2!D:D,Hoja2!A:A)</f>
        <v>1031147887</v>
      </c>
      <c r="U1947" t="str">
        <f>_xlfn.XLOOKUP(X1947,Hoja2!D:D,Hoja2!B:B)</f>
        <v>IVONNE JINETH RODRIGUEZ ROJAS</v>
      </c>
      <c r="V1947" t="str">
        <f>_xlfn.XLOOKUP(X1947,Hoja2!D:D,Hoja2!C:C)</f>
        <v>POSGRADOS</v>
      </c>
      <c r="W1947" s="9">
        <f>IF(V1947="pregrado",31,
IF(V1947="posgrados",31,
IF(V1947="rEINTEGROS",7,
IF(V1947="BIT",90,
IF(V1947="OP GRADO - INGLÉS",17,"")))))</f>
        <v>31</v>
      </c>
      <c r="X1947" t="s">
        <v>3947</v>
      </c>
    </row>
    <row r="1948" spans="1:24" x14ac:dyDescent="0.3">
      <c r="A1948" s="4">
        <v>46122</v>
      </c>
      <c r="B1948">
        <v>20130629</v>
      </c>
      <c r="C1948" t="s">
        <v>19</v>
      </c>
      <c r="D1948">
        <v>174350</v>
      </c>
      <c r="E1948" t="s">
        <v>43</v>
      </c>
      <c r="F1948">
        <v>1117484909</v>
      </c>
      <c r="G1948" t="s">
        <v>4493</v>
      </c>
      <c r="H1948">
        <v>100250383</v>
      </c>
      <c r="I1948">
        <v>202652</v>
      </c>
      <c r="J1948">
        <v>1117484909</v>
      </c>
      <c r="K1948" t="s">
        <v>23</v>
      </c>
      <c r="L1948" t="s">
        <v>252</v>
      </c>
      <c r="M1948" t="s">
        <v>253</v>
      </c>
      <c r="N1948" t="s">
        <v>35</v>
      </c>
      <c r="O1948" t="s">
        <v>26</v>
      </c>
      <c r="P1948" t="s">
        <v>27</v>
      </c>
      <c r="Q1948" t="s">
        <v>28</v>
      </c>
      <c r="R1948" t="s">
        <v>29</v>
      </c>
      <c r="S1948" t="s">
        <v>793</v>
      </c>
      <c r="T1948">
        <f>_xlfn.XLOOKUP(X1948,Hoja2!D:D,Hoja2!A:A)</f>
        <v>1075542872</v>
      </c>
      <c r="U1948" t="str">
        <f>_xlfn.XLOOKUP(X1948,Hoja2!D:D,Hoja2!B:B)</f>
        <v>IVONNE JINETH RODRIGUEZ ROJAS</v>
      </c>
      <c r="V1948" t="str">
        <f>_xlfn.XLOOKUP(X1948,Hoja2!D:D,Hoja2!C:C)</f>
        <v>POSGRADOS</v>
      </c>
      <c r="W1948" s="9">
        <f>IF(V1948="pregrado",31,
IF(V1948="posgrados",31,
IF(V1948="rEINTEGROS",7,
IF(V1948="BIT",90,
IF(V1948="OP GRADO - INGLÉS",17,"")))))</f>
        <v>31</v>
      </c>
      <c r="X1948" t="s">
        <v>3974</v>
      </c>
    </row>
    <row r="1949" spans="1:24" x14ac:dyDescent="0.3">
      <c r="A1949" s="4">
        <v>46120</v>
      </c>
      <c r="B1949">
        <v>20130431</v>
      </c>
      <c r="C1949" t="s">
        <v>19</v>
      </c>
      <c r="D1949">
        <v>174353</v>
      </c>
      <c r="E1949" t="s">
        <v>43</v>
      </c>
      <c r="F1949">
        <v>1022393633</v>
      </c>
      <c r="G1949" t="s">
        <v>4453</v>
      </c>
      <c r="H1949">
        <v>100069719</v>
      </c>
      <c r="I1949">
        <v>202652</v>
      </c>
      <c r="J1949">
        <v>1022393633</v>
      </c>
      <c r="K1949" t="s">
        <v>23</v>
      </c>
      <c r="L1949" t="s">
        <v>252</v>
      </c>
      <c r="M1949" t="s">
        <v>253</v>
      </c>
      <c r="N1949" t="s">
        <v>35</v>
      </c>
      <c r="O1949" t="s">
        <v>26</v>
      </c>
      <c r="P1949" t="s">
        <v>27</v>
      </c>
      <c r="Q1949" t="s">
        <v>28</v>
      </c>
      <c r="R1949" t="s">
        <v>29</v>
      </c>
      <c r="S1949" t="s">
        <v>793</v>
      </c>
      <c r="T1949">
        <f>_xlfn.XLOOKUP(X1949,Hoja2!D:D,Hoja2!A:A)</f>
        <v>1033781417</v>
      </c>
      <c r="U1949" t="str">
        <f>_xlfn.XLOOKUP(X1949,Hoja2!D:D,Hoja2!B:B)</f>
        <v>IVONNE JINETH RODRIGUEZ ROJAS</v>
      </c>
      <c r="V1949" t="str">
        <f>_xlfn.XLOOKUP(X1949,Hoja2!D:D,Hoja2!C:C)</f>
        <v>POSGRADOS</v>
      </c>
      <c r="W1949" s="9">
        <f>IF(V1949="pregrado",31,
IF(V1949="posgrados",31,
IF(V1949="rEINTEGROS",7,
IF(V1949="BIT",90,
IF(V1949="OP GRADO - INGLÉS",17,"")))))</f>
        <v>31</v>
      </c>
      <c r="X1949" t="s">
        <v>4031</v>
      </c>
    </row>
    <row r="1950" spans="1:24" x14ac:dyDescent="0.3">
      <c r="A1950" s="4">
        <v>46121</v>
      </c>
      <c r="B1950">
        <v>20130474</v>
      </c>
      <c r="C1950" t="s">
        <v>19</v>
      </c>
      <c r="D1950">
        <v>174354</v>
      </c>
      <c r="E1950" t="s">
        <v>43</v>
      </c>
      <c r="F1950">
        <v>1044911118</v>
      </c>
      <c r="G1950" t="s">
        <v>4463</v>
      </c>
      <c r="H1950">
        <v>100250389</v>
      </c>
      <c r="I1950">
        <v>202652</v>
      </c>
      <c r="J1950">
        <v>1044911118</v>
      </c>
      <c r="K1950" t="s">
        <v>23</v>
      </c>
      <c r="L1950" t="s">
        <v>252</v>
      </c>
      <c r="M1950" t="s">
        <v>253</v>
      </c>
      <c r="N1950" t="s">
        <v>35</v>
      </c>
      <c r="O1950" t="s">
        <v>26</v>
      </c>
      <c r="P1950" t="s">
        <v>27</v>
      </c>
      <c r="Q1950" t="s">
        <v>28</v>
      </c>
      <c r="R1950" t="s">
        <v>29</v>
      </c>
      <c r="S1950" t="s">
        <v>793</v>
      </c>
      <c r="T1950">
        <f>_xlfn.XLOOKUP(X1950,Hoja2!D:D,Hoja2!A:A)</f>
        <v>1070973852</v>
      </c>
      <c r="U1950" t="str">
        <f>_xlfn.XLOOKUP(X1950,Hoja2!D:D,Hoja2!B:B)</f>
        <v>FABIAN CONCHA</v>
      </c>
      <c r="V1950" t="str">
        <f>_xlfn.XLOOKUP(X1950,Hoja2!D:D,Hoja2!C:C)</f>
        <v>POSGRADOS</v>
      </c>
      <c r="W1950" s="9">
        <f>IF(V1950="pregrado",31,
IF(V1950="posgrados",31,
IF(V1950="rEINTEGROS",7,
IF(V1950="BIT",90,
IF(V1950="OP GRADO - INGLÉS",17,"")))))</f>
        <v>31</v>
      </c>
      <c r="X1950" t="s">
        <v>3957</v>
      </c>
    </row>
    <row r="1951" spans="1:24" x14ac:dyDescent="0.3">
      <c r="A1951" s="4">
        <v>46126</v>
      </c>
      <c r="B1951">
        <v>20130942</v>
      </c>
      <c r="C1951" t="s">
        <v>19</v>
      </c>
      <c r="D1951">
        <v>174358</v>
      </c>
      <c r="E1951" t="s">
        <v>43</v>
      </c>
      <c r="F1951">
        <v>1066187903</v>
      </c>
      <c r="G1951" t="s">
        <v>4561</v>
      </c>
      <c r="H1951">
        <v>100250394</v>
      </c>
      <c r="I1951">
        <v>202642</v>
      </c>
      <c r="J1951">
        <v>1066187903</v>
      </c>
      <c r="K1951" t="s">
        <v>23</v>
      </c>
      <c r="L1951" t="s">
        <v>279</v>
      </c>
      <c r="M1951" t="s">
        <v>47</v>
      </c>
      <c r="N1951" t="s">
        <v>4134</v>
      </c>
      <c r="O1951" t="s">
        <v>26</v>
      </c>
      <c r="P1951" t="s">
        <v>4135</v>
      </c>
      <c r="Q1951" t="s">
        <v>28</v>
      </c>
      <c r="R1951" t="s">
        <v>29</v>
      </c>
      <c r="S1951" t="s">
        <v>793</v>
      </c>
      <c r="T1951">
        <f>_xlfn.XLOOKUP(X1951,Hoja2!D:D,Hoja2!A:A)</f>
        <v>1010081108</v>
      </c>
      <c r="U1951" t="str">
        <f>_xlfn.XLOOKUP(X1951,Hoja2!D:D,Hoja2!B:B)</f>
        <v>HEIDY LORENA PRIETO AHUMADA</v>
      </c>
      <c r="V1951" t="str">
        <f>_xlfn.XLOOKUP(X1951,Hoja2!D:D,Hoja2!C:C)</f>
        <v>PREGRADO</v>
      </c>
      <c r="W1951" s="9">
        <f>IF(V1951="pregrado",31,
IF(V1951="posgrados",31,
IF(V1951="rEINTEGROS",7,
IF(V1951="BIT",90,
IF(V1951="OP GRADO - INGLÉS",17,"")))))</f>
        <v>31</v>
      </c>
      <c r="X1951" t="s">
        <v>4009</v>
      </c>
    </row>
    <row r="1952" spans="1:24" x14ac:dyDescent="0.3">
      <c r="A1952" s="4">
        <v>46132</v>
      </c>
      <c r="B1952">
        <v>20131679</v>
      </c>
      <c r="C1952" t="s">
        <v>19</v>
      </c>
      <c r="D1952">
        <v>174365</v>
      </c>
      <c r="E1952" t="s">
        <v>43</v>
      </c>
      <c r="F1952">
        <v>15666718</v>
      </c>
      <c r="G1952" t="s">
        <v>4723</v>
      </c>
      <c r="H1952">
        <v>100250403</v>
      </c>
      <c r="I1952">
        <v>202652</v>
      </c>
      <c r="J1952">
        <v>15666718</v>
      </c>
      <c r="K1952" t="s">
        <v>23</v>
      </c>
      <c r="L1952" t="s">
        <v>252</v>
      </c>
      <c r="M1952" t="s">
        <v>253</v>
      </c>
      <c r="N1952" t="s">
        <v>35</v>
      </c>
      <c r="O1952" t="s">
        <v>26</v>
      </c>
      <c r="P1952" t="s">
        <v>27</v>
      </c>
      <c r="Q1952" t="s">
        <v>28</v>
      </c>
      <c r="R1952" t="s">
        <v>29</v>
      </c>
      <c r="S1952" t="s">
        <v>793</v>
      </c>
      <c r="T1952">
        <f>_xlfn.XLOOKUP(X1952,Hoja2!D:D,Hoja2!A:A)</f>
        <v>1233513889</v>
      </c>
      <c r="U1952" t="str">
        <f>_xlfn.XLOOKUP(X1952,Hoja2!D:D,Hoja2!B:B)</f>
        <v>IVONNE JINETH RODRIGUEZ ROJAS</v>
      </c>
      <c r="V1952" t="str">
        <f>_xlfn.XLOOKUP(X1952,Hoja2!D:D,Hoja2!C:C)</f>
        <v>POSGRADOS</v>
      </c>
      <c r="W1952" s="9">
        <f>IF(V1952="pregrado",31,
IF(V1952="posgrados",31,
IF(V1952="rEINTEGROS",7,
IF(V1952="BIT",90,
IF(V1952="OP GRADO - INGLÉS",17,"")))))</f>
        <v>31</v>
      </c>
      <c r="X1952" t="s">
        <v>4035</v>
      </c>
    </row>
    <row r="1953" spans="1:24" x14ac:dyDescent="0.3">
      <c r="A1953" s="4">
        <v>46122</v>
      </c>
      <c r="B1953">
        <v>20130593</v>
      </c>
      <c r="C1953" t="s">
        <v>19</v>
      </c>
      <c r="D1953">
        <v>174383</v>
      </c>
      <c r="E1953" t="s">
        <v>43</v>
      </c>
      <c r="F1953">
        <v>1143970464</v>
      </c>
      <c r="G1953" t="s">
        <v>4487</v>
      </c>
      <c r="H1953">
        <v>100250425</v>
      </c>
      <c r="I1953">
        <v>202642</v>
      </c>
      <c r="J1953">
        <v>1143970464</v>
      </c>
      <c r="K1953" t="s">
        <v>23</v>
      </c>
      <c r="L1953" t="s">
        <v>4242</v>
      </c>
      <c r="M1953" t="s">
        <v>47</v>
      </c>
      <c r="N1953" t="s">
        <v>35</v>
      </c>
      <c r="O1953" t="s">
        <v>26</v>
      </c>
      <c r="P1953" t="s">
        <v>27</v>
      </c>
      <c r="Q1953" t="s">
        <v>28</v>
      </c>
      <c r="R1953" t="s">
        <v>29</v>
      </c>
      <c r="S1953" t="s">
        <v>793</v>
      </c>
      <c r="T1953">
        <f>_xlfn.XLOOKUP(X1953,Hoja2!D:D,Hoja2!A:A)</f>
        <v>52032666</v>
      </c>
      <c r="U1953" t="str">
        <f>_xlfn.XLOOKUP(X1953,Hoja2!D:D,Hoja2!B:B)</f>
        <v>IVONNE JINETH RODRIGUEZ ROJAS</v>
      </c>
      <c r="V1953" t="str">
        <f>_xlfn.XLOOKUP(X1953,Hoja2!D:D,Hoja2!C:C)</f>
        <v>POSGRADOS</v>
      </c>
      <c r="W1953" s="9">
        <f>IF(V1953="pregrado",31,
IF(V1953="posgrados",31,
IF(V1953="rEINTEGROS",7,
IF(V1953="BIT",90,
IF(V1953="OP GRADO - INGLÉS",17,"")))))</f>
        <v>31</v>
      </c>
      <c r="X1953" t="s">
        <v>3983</v>
      </c>
    </row>
    <row r="1954" spans="1:24" x14ac:dyDescent="0.3">
      <c r="A1954" s="4">
        <v>46124</v>
      </c>
      <c r="B1954">
        <v>20130777</v>
      </c>
      <c r="C1954" t="s">
        <v>19</v>
      </c>
      <c r="D1954">
        <v>174410</v>
      </c>
      <c r="E1954" t="s">
        <v>43</v>
      </c>
      <c r="F1954">
        <v>1121845163</v>
      </c>
      <c r="G1954" t="s">
        <v>4518</v>
      </c>
      <c r="H1954">
        <v>100048389</v>
      </c>
      <c r="I1954">
        <v>202652</v>
      </c>
      <c r="J1954">
        <v>1121845163</v>
      </c>
      <c r="K1954" t="s">
        <v>46</v>
      </c>
      <c r="L1954" t="s">
        <v>252</v>
      </c>
      <c r="M1954" t="s">
        <v>253</v>
      </c>
      <c r="N1954" t="s">
        <v>35</v>
      </c>
      <c r="O1954" t="s">
        <v>26</v>
      </c>
      <c r="P1954" t="s">
        <v>27</v>
      </c>
      <c r="Q1954" t="s">
        <v>28</v>
      </c>
      <c r="R1954" t="s">
        <v>29</v>
      </c>
      <c r="S1954" t="s">
        <v>793</v>
      </c>
      <c r="T1954">
        <f>_xlfn.XLOOKUP(X1954,Hoja2!D:D,Hoja2!A:A)</f>
        <v>1233513889</v>
      </c>
      <c r="U1954" t="str">
        <f>_xlfn.XLOOKUP(X1954,Hoja2!D:D,Hoja2!B:B)</f>
        <v>IVONNE JINETH RODRIGUEZ ROJAS</v>
      </c>
      <c r="V1954" t="str">
        <f>_xlfn.XLOOKUP(X1954,Hoja2!D:D,Hoja2!C:C)</f>
        <v>POSGRADOS</v>
      </c>
      <c r="W1954" s="9">
        <f>IF(V1954="pregrado",31,
IF(V1954="posgrados",31,
IF(V1954="rEINTEGROS",7,
IF(V1954="BIT",90,
IF(V1954="OP GRADO - INGLÉS",17,"")))))</f>
        <v>31</v>
      </c>
      <c r="X1954" t="s">
        <v>4035</v>
      </c>
    </row>
    <row r="1955" spans="1:24" x14ac:dyDescent="0.3">
      <c r="A1955" s="4">
        <v>46121</v>
      </c>
      <c r="B1955">
        <v>20130568</v>
      </c>
      <c r="C1955" t="s">
        <v>19</v>
      </c>
      <c r="D1955">
        <v>174412</v>
      </c>
      <c r="E1955" t="s">
        <v>43</v>
      </c>
      <c r="F1955">
        <v>52553358</v>
      </c>
      <c r="G1955" t="s">
        <v>4481</v>
      </c>
      <c r="H1955">
        <v>100250474</v>
      </c>
      <c r="I1955">
        <v>202652</v>
      </c>
      <c r="J1955">
        <v>52553358</v>
      </c>
      <c r="K1955" t="s">
        <v>23</v>
      </c>
      <c r="L1955" t="s">
        <v>252</v>
      </c>
      <c r="M1955" t="s">
        <v>253</v>
      </c>
      <c r="N1955" t="s">
        <v>35</v>
      </c>
      <c r="O1955" t="s">
        <v>26</v>
      </c>
      <c r="P1955" t="s">
        <v>27</v>
      </c>
      <c r="Q1955" t="s">
        <v>28</v>
      </c>
      <c r="R1955" t="s">
        <v>29</v>
      </c>
      <c r="S1955" t="s">
        <v>793</v>
      </c>
      <c r="T1955">
        <f>_xlfn.XLOOKUP(X1955,Hoja2!D:D,Hoja2!A:A)</f>
        <v>1020754225</v>
      </c>
      <c r="U1955" t="str">
        <f>_xlfn.XLOOKUP(X1955,Hoja2!D:D,Hoja2!B:B)</f>
        <v>IVONNE JINETH RODRIGUEZ ROJAS</v>
      </c>
      <c r="V1955" t="str">
        <f>_xlfn.XLOOKUP(X1955,Hoja2!D:D,Hoja2!C:C)</f>
        <v>POSGRADOS</v>
      </c>
      <c r="W1955" s="9">
        <f>IF(V1955="pregrado",31,
IF(V1955="posgrados",31,
IF(V1955="rEINTEGROS",7,
IF(V1955="BIT",90,
IF(V1955="OP GRADO - INGLÉS",17,"")))))</f>
        <v>31</v>
      </c>
      <c r="X1955" t="s">
        <v>3981</v>
      </c>
    </row>
    <row r="1956" spans="1:24" x14ac:dyDescent="0.3">
      <c r="A1956" s="4">
        <v>46121</v>
      </c>
      <c r="B1956">
        <v>20130517</v>
      </c>
      <c r="C1956" t="s">
        <v>19</v>
      </c>
      <c r="D1956">
        <v>174417</v>
      </c>
      <c r="E1956" t="s">
        <v>43</v>
      </c>
      <c r="F1956">
        <v>1131494216</v>
      </c>
      <c r="G1956" t="s">
        <v>4471</v>
      </c>
      <c r="H1956">
        <v>100250482</v>
      </c>
      <c r="I1956">
        <v>202652</v>
      </c>
      <c r="J1956">
        <v>1044914116</v>
      </c>
      <c r="K1956" t="s">
        <v>23</v>
      </c>
      <c r="L1956" t="s">
        <v>252</v>
      </c>
      <c r="M1956" t="s">
        <v>253</v>
      </c>
      <c r="N1956" t="s">
        <v>35</v>
      </c>
      <c r="O1956" t="s">
        <v>26</v>
      </c>
      <c r="P1956" t="s">
        <v>27</v>
      </c>
      <c r="Q1956" t="s">
        <v>28</v>
      </c>
      <c r="R1956" t="s">
        <v>29</v>
      </c>
      <c r="S1956" t="s">
        <v>793</v>
      </c>
      <c r="T1956">
        <f>_xlfn.XLOOKUP(X1956,Hoja2!D:D,Hoja2!A:A)</f>
        <v>1070973852</v>
      </c>
      <c r="U1956" t="str">
        <f>_xlfn.XLOOKUP(X1956,Hoja2!D:D,Hoja2!B:B)</f>
        <v>FABIAN CONCHA</v>
      </c>
      <c r="V1956" t="str">
        <f>_xlfn.XLOOKUP(X1956,Hoja2!D:D,Hoja2!C:C)</f>
        <v>POSGRADOS</v>
      </c>
      <c r="W1956" s="9">
        <f>IF(V1956="pregrado",31,
IF(V1956="posgrados",31,
IF(V1956="rEINTEGROS",7,
IF(V1956="BIT",90,
IF(V1956="OP GRADO - INGLÉS",17,"")))))</f>
        <v>31</v>
      </c>
      <c r="X1956" t="s">
        <v>3957</v>
      </c>
    </row>
    <row r="1957" spans="1:24" x14ac:dyDescent="0.3">
      <c r="A1957" s="4">
        <v>46122</v>
      </c>
      <c r="B1957">
        <v>20130689</v>
      </c>
      <c r="C1957" t="s">
        <v>19</v>
      </c>
      <c r="D1957">
        <v>174425</v>
      </c>
      <c r="E1957" t="s">
        <v>43</v>
      </c>
      <c r="F1957">
        <v>1007469401</v>
      </c>
      <c r="G1957" t="s">
        <v>4501</v>
      </c>
      <c r="H1957">
        <v>100185828</v>
      </c>
      <c r="I1957">
        <v>202642</v>
      </c>
      <c r="J1957">
        <v>1007469401</v>
      </c>
      <c r="K1957" t="s">
        <v>23</v>
      </c>
      <c r="L1957" t="s">
        <v>59</v>
      </c>
      <c r="M1957" t="s">
        <v>47</v>
      </c>
      <c r="N1957" t="s">
        <v>4225</v>
      </c>
      <c r="O1957" t="s">
        <v>26</v>
      </c>
      <c r="P1957" t="s">
        <v>4226</v>
      </c>
      <c r="Q1957" t="s">
        <v>28</v>
      </c>
      <c r="R1957" t="s">
        <v>29</v>
      </c>
      <c r="S1957" t="s">
        <v>793</v>
      </c>
      <c r="T1957">
        <f>_xlfn.XLOOKUP(X1957,Hoja2!D:D,Hoja2!A:A)</f>
        <v>1010081108</v>
      </c>
      <c r="U1957" t="str">
        <f>_xlfn.XLOOKUP(X1957,Hoja2!D:D,Hoja2!B:B)</f>
        <v>HEIDY LORENA PRIETO AHUMADA</v>
      </c>
      <c r="V1957" t="str">
        <f>_xlfn.XLOOKUP(X1957,Hoja2!D:D,Hoja2!C:C)</f>
        <v>PREGRADO</v>
      </c>
      <c r="W1957" s="9">
        <f>IF(V1957="pregrado",31,
IF(V1957="posgrados",31,
IF(V1957="rEINTEGROS",7,
IF(V1957="BIT",90,
IF(V1957="OP GRADO - INGLÉS",17,"")))))</f>
        <v>31</v>
      </c>
      <c r="X1957" t="s">
        <v>4009</v>
      </c>
    </row>
    <row r="1958" spans="1:24" x14ac:dyDescent="0.3">
      <c r="A1958" s="4">
        <v>46123</v>
      </c>
      <c r="B1958">
        <v>20130721</v>
      </c>
      <c r="C1958" t="s">
        <v>19</v>
      </c>
      <c r="D1958">
        <v>174428</v>
      </c>
      <c r="E1958" t="s">
        <v>43</v>
      </c>
      <c r="F1958">
        <v>1007708645</v>
      </c>
      <c r="G1958" t="s">
        <v>4507</v>
      </c>
      <c r="H1958">
        <v>100250492</v>
      </c>
      <c r="I1958">
        <v>202642</v>
      </c>
      <c r="J1958">
        <v>1007708645</v>
      </c>
      <c r="K1958" t="s">
        <v>23</v>
      </c>
      <c r="L1958" t="s">
        <v>294</v>
      </c>
      <c r="M1958" t="s">
        <v>47</v>
      </c>
      <c r="N1958" t="s">
        <v>35</v>
      </c>
      <c r="O1958" t="s">
        <v>26</v>
      </c>
      <c r="P1958" t="s">
        <v>27</v>
      </c>
      <c r="Q1958" t="s">
        <v>28</v>
      </c>
      <c r="R1958" t="s">
        <v>29</v>
      </c>
      <c r="S1958" t="s">
        <v>793</v>
      </c>
      <c r="T1958">
        <f>_xlfn.XLOOKUP(X1958,Hoja2!D:D,Hoja2!A:A)</f>
        <v>1140420282</v>
      </c>
      <c r="U1958" t="str">
        <f>_xlfn.XLOOKUP(X1958,Hoja2!D:D,Hoja2!B:B)</f>
        <v>IVONNE JINETH RODRIGUEZ ROJAS</v>
      </c>
      <c r="V1958" t="str">
        <f>_xlfn.XLOOKUP(X1958,Hoja2!D:D,Hoja2!C:C)</f>
        <v>POSGRADOS</v>
      </c>
      <c r="W1958" s="9">
        <f>IF(V1958="pregrado",31,
IF(V1958="posgrados",31,
IF(V1958="rEINTEGROS",7,
IF(V1958="BIT",90,
IF(V1958="OP GRADO - INGLÉS",17,"")))))</f>
        <v>31</v>
      </c>
      <c r="X1958" t="s">
        <v>3972</v>
      </c>
    </row>
    <row r="1959" spans="1:24" x14ac:dyDescent="0.3">
      <c r="A1959" s="4">
        <v>46127</v>
      </c>
      <c r="B1959">
        <v>20131142</v>
      </c>
      <c r="C1959" t="s">
        <v>19</v>
      </c>
      <c r="D1959">
        <v>174430</v>
      </c>
      <c r="E1959" t="s">
        <v>43</v>
      </c>
      <c r="F1959">
        <v>33158856</v>
      </c>
      <c r="G1959" t="s">
        <v>4609</v>
      </c>
      <c r="H1959">
        <v>100250499</v>
      </c>
      <c r="I1959">
        <v>202642</v>
      </c>
      <c r="J1959">
        <v>1122396974</v>
      </c>
      <c r="K1959" t="s">
        <v>23</v>
      </c>
      <c r="L1959" t="s">
        <v>59</v>
      </c>
      <c r="M1959" t="s">
        <v>47</v>
      </c>
      <c r="N1959" t="s">
        <v>35</v>
      </c>
      <c r="O1959" t="s">
        <v>26</v>
      </c>
      <c r="P1959" t="s">
        <v>27</v>
      </c>
      <c r="Q1959" t="s">
        <v>28</v>
      </c>
      <c r="R1959" t="s">
        <v>29</v>
      </c>
      <c r="S1959" t="s">
        <v>793</v>
      </c>
      <c r="T1959">
        <f>_xlfn.XLOOKUP(X1959,Hoja2!D:D,Hoja2!A:A)</f>
        <v>1000120140</v>
      </c>
      <c r="U1959" t="str">
        <f>_xlfn.XLOOKUP(X1959,Hoja2!D:D,Hoja2!B:B)</f>
        <v>FABIAN CONCHA</v>
      </c>
      <c r="V1959" t="str">
        <f>_xlfn.XLOOKUP(X1959,Hoja2!D:D,Hoja2!C:C)</f>
        <v>POSGRADOS</v>
      </c>
      <c r="W1959" s="9">
        <f>IF(V1959="pregrado",31,
IF(V1959="posgrados",31,
IF(V1959="rEINTEGROS",7,
IF(V1959="BIT",90,
IF(V1959="OP GRADO - INGLÉS",17,"")))))</f>
        <v>31</v>
      </c>
      <c r="X1959" t="s">
        <v>3935</v>
      </c>
    </row>
    <row r="1960" spans="1:24" x14ac:dyDescent="0.3">
      <c r="A1960" s="4">
        <v>46123</v>
      </c>
      <c r="B1960">
        <v>20130754</v>
      </c>
      <c r="C1960" t="s">
        <v>19</v>
      </c>
      <c r="D1960">
        <v>174440</v>
      </c>
      <c r="E1960" t="s">
        <v>43</v>
      </c>
      <c r="F1960">
        <v>1004791059</v>
      </c>
      <c r="G1960" t="s">
        <v>4515</v>
      </c>
      <c r="H1960">
        <v>100114358</v>
      </c>
      <c r="I1960">
        <v>202642</v>
      </c>
      <c r="J1960">
        <v>1004791059</v>
      </c>
      <c r="K1960" t="s">
        <v>23</v>
      </c>
      <c r="L1960" t="s">
        <v>4242</v>
      </c>
      <c r="M1960" t="s">
        <v>47</v>
      </c>
      <c r="N1960" t="s">
        <v>35</v>
      </c>
      <c r="O1960" t="s">
        <v>26</v>
      </c>
      <c r="P1960" t="s">
        <v>27</v>
      </c>
      <c r="Q1960" t="s">
        <v>28</v>
      </c>
      <c r="R1960" t="s">
        <v>29</v>
      </c>
      <c r="S1960" t="s">
        <v>793</v>
      </c>
      <c r="T1960">
        <f>_xlfn.XLOOKUP(X1960,Hoja2!D:D,Hoja2!A:A)</f>
        <v>1012389748</v>
      </c>
      <c r="U1960" t="str">
        <f>_xlfn.XLOOKUP(X1960,Hoja2!D:D,Hoja2!B:B)</f>
        <v>IVONNE JINETH RODRIGUEZ ROJAS</v>
      </c>
      <c r="V1960" t="str">
        <f>_xlfn.XLOOKUP(X1960,Hoja2!D:D,Hoja2!C:C)</f>
        <v>POSGRADOS</v>
      </c>
      <c r="W1960" s="9">
        <f>IF(V1960="pregrado",31,
IF(V1960="posgrados",31,
IF(V1960="rEINTEGROS",7,
IF(V1960="BIT",90,
IF(V1960="OP GRADO - INGLÉS",17,"")))))</f>
        <v>31</v>
      </c>
      <c r="X1960" t="s">
        <v>4065</v>
      </c>
    </row>
    <row r="1961" spans="1:24" x14ac:dyDescent="0.3">
      <c r="A1961" s="4">
        <v>46131</v>
      </c>
      <c r="B1961">
        <v>20131621</v>
      </c>
      <c r="C1961" t="s">
        <v>19</v>
      </c>
      <c r="D1961">
        <v>174445</v>
      </c>
      <c r="E1961" t="s">
        <v>43</v>
      </c>
      <c r="F1961">
        <v>3250686</v>
      </c>
      <c r="G1961" t="s">
        <v>4711</v>
      </c>
      <c r="H1961">
        <v>100093531</v>
      </c>
      <c r="I1961">
        <v>202652</v>
      </c>
      <c r="J1961">
        <v>80387472</v>
      </c>
      <c r="K1961" t="s">
        <v>46</v>
      </c>
      <c r="L1961" t="s">
        <v>252</v>
      </c>
      <c r="M1961" t="s">
        <v>253</v>
      </c>
      <c r="N1961" t="s">
        <v>35</v>
      </c>
      <c r="O1961" t="s">
        <v>26</v>
      </c>
      <c r="P1961" t="s">
        <v>27</v>
      </c>
      <c r="Q1961" t="s">
        <v>28</v>
      </c>
      <c r="R1961" t="s">
        <v>29</v>
      </c>
      <c r="S1961" t="s">
        <v>793</v>
      </c>
      <c r="T1961">
        <f>_xlfn.XLOOKUP(X1961,Hoja2!D:D,Hoja2!A:A)</f>
        <v>1014285873</v>
      </c>
      <c r="U1961" t="str">
        <f>_xlfn.XLOOKUP(X1961,Hoja2!D:D,Hoja2!B:B)</f>
        <v>IVONNE JINETH RODRIGUEZ ROJAS</v>
      </c>
      <c r="V1961" t="str">
        <f>_xlfn.XLOOKUP(X1961,Hoja2!D:D,Hoja2!C:C)</f>
        <v>POSGRADOS</v>
      </c>
      <c r="W1961" s="9">
        <f>IF(V1961="pregrado",31,
IF(V1961="posgrados",31,
IF(V1961="rEINTEGROS",7,
IF(V1961="BIT",90,
IF(V1961="OP GRADO - INGLÉS",17,"")))))</f>
        <v>31</v>
      </c>
      <c r="X1961" t="s">
        <v>3953</v>
      </c>
    </row>
    <row r="1962" spans="1:24" x14ac:dyDescent="0.3">
      <c r="A1962" s="4">
        <v>46123</v>
      </c>
      <c r="B1962">
        <v>20130773</v>
      </c>
      <c r="C1962" t="s">
        <v>19</v>
      </c>
      <c r="D1962">
        <v>174446</v>
      </c>
      <c r="E1962" t="s">
        <v>43</v>
      </c>
      <c r="F1962">
        <v>1037324443</v>
      </c>
      <c r="G1962" t="s">
        <v>4516</v>
      </c>
      <c r="H1962">
        <v>100063255</v>
      </c>
      <c r="I1962">
        <v>202642</v>
      </c>
      <c r="J1962">
        <v>1037324443</v>
      </c>
      <c r="K1962" t="s">
        <v>23</v>
      </c>
      <c r="L1962" t="s">
        <v>4242</v>
      </c>
      <c r="M1962" t="s">
        <v>47</v>
      </c>
      <c r="N1962" t="s">
        <v>35</v>
      </c>
      <c r="O1962" t="s">
        <v>26</v>
      </c>
      <c r="P1962" t="s">
        <v>27</v>
      </c>
      <c r="Q1962" t="s">
        <v>28</v>
      </c>
      <c r="R1962" t="s">
        <v>29</v>
      </c>
      <c r="S1962" t="s">
        <v>793</v>
      </c>
      <c r="T1962">
        <f>_xlfn.XLOOKUP(X1962,Hoja2!D:D,Hoja2!A:A)</f>
        <v>1012389748</v>
      </c>
      <c r="U1962" t="str">
        <f>_xlfn.XLOOKUP(X1962,Hoja2!D:D,Hoja2!B:B)</f>
        <v>IVONNE JINETH RODRIGUEZ ROJAS</v>
      </c>
      <c r="V1962" t="str">
        <f>_xlfn.XLOOKUP(X1962,Hoja2!D:D,Hoja2!C:C)</f>
        <v>POSGRADOS</v>
      </c>
      <c r="W1962" s="9">
        <f>IF(V1962="pregrado",31,
IF(V1962="posgrados",31,
IF(V1962="rEINTEGROS",7,
IF(V1962="BIT",90,
IF(V1962="OP GRADO - INGLÉS",17,"")))))</f>
        <v>31</v>
      </c>
      <c r="X1962" t="s">
        <v>4065</v>
      </c>
    </row>
    <row r="1963" spans="1:24" x14ac:dyDescent="0.3">
      <c r="A1963" s="4">
        <v>46129</v>
      </c>
      <c r="B1963">
        <v>20131423</v>
      </c>
      <c r="C1963" t="s">
        <v>19</v>
      </c>
      <c r="D1963">
        <v>174458</v>
      </c>
      <c r="E1963" t="s">
        <v>43</v>
      </c>
      <c r="F1963">
        <v>1061741905</v>
      </c>
      <c r="G1963" t="s">
        <v>2030</v>
      </c>
      <c r="H1963">
        <v>100042481</v>
      </c>
      <c r="I1963">
        <v>202652</v>
      </c>
      <c r="J1963">
        <v>1061741905</v>
      </c>
      <c r="K1963" t="s">
        <v>23</v>
      </c>
      <c r="L1963" t="s">
        <v>252</v>
      </c>
      <c r="M1963" t="s">
        <v>253</v>
      </c>
      <c r="N1963" t="s">
        <v>35</v>
      </c>
      <c r="O1963" t="s">
        <v>26</v>
      </c>
      <c r="P1963" t="s">
        <v>27</v>
      </c>
      <c r="Q1963" t="s">
        <v>28</v>
      </c>
      <c r="R1963" t="s">
        <v>29</v>
      </c>
      <c r="S1963" t="s">
        <v>793</v>
      </c>
      <c r="T1963">
        <f>_xlfn.XLOOKUP(X1963,Hoja2!D:D,Hoja2!A:A)</f>
        <v>1033784244</v>
      </c>
      <c r="U1963" t="str">
        <f>_xlfn.XLOOKUP(X1963,Hoja2!D:D,Hoja2!B:B)</f>
        <v>IVONNE JINETH RODRIGUEZ ROJAS</v>
      </c>
      <c r="V1963" t="str">
        <f>_xlfn.XLOOKUP(X1963,Hoja2!D:D,Hoja2!C:C)</f>
        <v>POSGRADOS</v>
      </c>
      <c r="W1963" s="9">
        <f>IF(V1963="pregrado",31,
IF(V1963="posgrados",31,
IF(V1963="rEINTEGROS",7,
IF(V1963="BIT",90,
IF(V1963="OP GRADO - INGLÉS",17,"")))))</f>
        <v>31</v>
      </c>
      <c r="X1963" t="s">
        <v>4067</v>
      </c>
    </row>
    <row r="1964" spans="1:24" x14ac:dyDescent="0.3">
      <c r="A1964" s="4">
        <v>46128</v>
      </c>
      <c r="B1964">
        <v>20131302</v>
      </c>
      <c r="C1964" t="s">
        <v>19</v>
      </c>
      <c r="D1964">
        <v>174464</v>
      </c>
      <c r="E1964" t="s">
        <v>43</v>
      </c>
      <c r="F1964">
        <v>55226506</v>
      </c>
      <c r="G1964" t="s">
        <v>4644</v>
      </c>
      <c r="H1964">
        <v>100250533</v>
      </c>
      <c r="I1964">
        <v>202652</v>
      </c>
      <c r="J1964">
        <v>55226506</v>
      </c>
      <c r="K1964" t="s">
        <v>23</v>
      </c>
      <c r="L1964" t="s">
        <v>252</v>
      </c>
      <c r="M1964" t="s">
        <v>253</v>
      </c>
      <c r="N1964" t="s">
        <v>35</v>
      </c>
      <c r="O1964" t="s">
        <v>26</v>
      </c>
      <c r="P1964" t="s">
        <v>27</v>
      </c>
      <c r="Q1964" t="s">
        <v>28</v>
      </c>
      <c r="R1964" t="s">
        <v>29</v>
      </c>
      <c r="S1964" t="s">
        <v>793</v>
      </c>
      <c r="T1964">
        <f>_xlfn.XLOOKUP(X1964,Hoja2!D:D,Hoja2!A:A)</f>
        <v>1033784244</v>
      </c>
      <c r="U1964" t="str">
        <f>_xlfn.XLOOKUP(X1964,Hoja2!D:D,Hoja2!B:B)</f>
        <v>IVONNE JINETH RODRIGUEZ ROJAS</v>
      </c>
      <c r="V1964" t="str">
        <f>_xlfn.XLOOKUP(X1964,Hoja2!D:D,Hoja2!C:C)</f>
        <v>POSGRADOS</v>
      </c>
      <c r="W1964" s="9">
        <f>IF(V1964="pregrado",31,
IF(V1964="posgrados",31,
IF(V1964="rEINTEGROS",7,
IF(V1964="BIT",90,
IF(V1964="OP GRADO - INGLÉS",17,"")))))</f>
        <v>31</v>
      </c>
      <c r="X1964" t="s">
        <v>4067</v>
      </c>
    </row>
    <row r="1965" spans="1:24" x14ac:dyDescent="0.3">
      <c r="A1965" s="4">
        <v>46126</v>
      </c>
      <c r="B1965">
        <v>20131082</v>
      </c>
      <c r="C1965" t="s">
        <v>19</v>
      </c>
      <c r="D1965">
        <v>174465</v>
      </c>
      <c r="E1965" t="s">
        <v>43</v>
      </c>
      <c r="F1965">
        <v>12915414</v>
      </c>
      <c r="G1965" t="s">
        <v>4595</v>
      </c>
      <c r="H1965">
        <v>100250534</v>
      </c>
      <c r="I1965">
        <v>202652</v>
      </c>
      <c r="J1965">
        <v>1087201331</v>
      </c>
      <c r="K1965" t="s">
        <v>23</v>
      </c>
      <c r="L1965" t="s">
        <v>252</v>
      </c>
      <c r="M1965" t="s">
        <v>253</v>
      </c>
      <c r="N1965" t="s">
        <v>35</v>
      </c>
      <c r="O1965" t="s">
        <v>26</v>
      </c>
      <c r="P1965" t="s">
        <v>27</v>
      </c>
      <c r="Q1965" t="s">
        <v>28</v>
      </c>
      <c r="R1965" t="s">
        <v>29</v>
      </c>
      <c r="S1965" t="s">
        <v>793</v>
      </c>
      <c r="T1965">
        <f>_xlfn.XLOOKUP(X1965,Hoja2!D:D,Hoja2!A:A)</f>
        <v>1073673268</v>
      </c>
      <c r="U1965" t="str">
        <f>_xlfn.XLOOKUP(X1965,Hoja2!D:D,Hoja2!B:B)</f>
        <v>IVONNE JINETH RODRIGUEZ ROJAS</v>
      </c>
      <c r="V1965" t="str">
        <f>_xlfn.XLOOKUP(X1965,Hoja2!D:D,Hoja2!C:C)</f>
        <v>POSGRADOS</v>
      </c>
      <c r="W1965" s="9">
        <f>IF(V1965="pregrado",31,
IF(V1965="posgrados",31,
IF(V1965="rEINTEGROS",7,
IF(V1965="BIT",90,
IF(V1965="OP GRADO - INGLÉS",17,"")))))</f>
        <v>31</v>
      </c>
      <c r="X1965" t="s">
        <v>4080</v>
      </c>
    </row>
    <row r="1966" spans="1:24" x14ac:dyDescent="0.3">
      <c r="A1966" s="4">
        <v>46128</v>
      </c>
      <c r="B1966">
        <v>20131315</v>
      </c>
      <c r="C1966" t="s">
        <v>19</v>
      </c>
      <c r="D1966">
        <v>174468</v>
      </c>
      <c r="E1966" t="s">
        <v>43</v>
      </c>
      <c r="F1966">
        <v>1002234575</v>
      </c>
      <c r="G1966" t="s">
        <v>4645</v>
      </c>
      <c r="H1966">
        <v>100250536</v>
      </c>
      <c r="I1966">
        <v>202652</v>
      </c>
      <c r="J1966">
        <v>1002234575</v>
      </c>
      <c r="K1966" t="s">
        <v>23</v>
      </c>
      <c r="L1966" t="s">
        <v>252</v>
      </c>
      <c r="M1966" t="s">
        <v>253</v>
      </c>
      <c r="N1966" t="s">
        <v>35</v>
      </c>
      <c r="O1966" t="s">
        <v>26</v>
      </c>
      <c r="P1966" t="s">
        <v>27</v>
      </c>
      <c r="Q1966" t="s">
        <v>28</v>
      </c>
      <c r="R1966" t="s">
        <v>29</v>
      </c>
      <c r="S1966" t="s">
        <v>793</v>
      </c>
      <c r="T1966">
        <f>_xlfn.XLOOKUP(X1966,Hoja2!D:D,Hoja2!A:A)</f>
        <v>1031147887</v>
      </c>
      <c r="U1966" t="str">
        <f>_xlfn.XLOOKUP(X1966,Hoja2!D:D,Hoja2!B:B)</f>
        <v>IVONNE JINETH RODRIGUEZ ROJAS</v>
      </c>
      <c r="V1966" t="str">
        <f>_xlfn.XLOOKUP(X1966,Hoja2!D:D,Hoja2!C:C)</f>
        <v>POSGRADOS</v>
      </c>
      <c r="W1966" s="9">
        <f>IF(V1966="pregrado",31,
IF(V1966="posgrados",31,
IF(V1966="rEINTEGROS",7,
IF(V1966="BIT",90,
IF(V1966="OP GRADO - INGLÉS",17,"")))))</f>
        <v>31</v>
      </c>
      <c r="X1966" t="s">
        <v>3947</v>
      </c>
    </row>
    <row r="1967" spans="1:24" x14ac:dyDescent="0.3">
      <c r="A1967" s="4">
        <v>46139</v>
      </c>
      <c r="B1967">
        <v>20132287</v>
      </c>
      <c r="C1967" t="s">
        <v>19</v>
      </c>
      <c r="D1967">
        <v>174479</v>
      </c>
      <c r="E1967" t="s">
        <v>43</v>
      </c>
      <c r="F1967">
        <v>1047381188</v>
      </c>
      <c r="G1967" t="s">
        <v>4853</v>
      </c>
      <c r="H1967">
        <v>100250501</v>
      </c>
      <c r="I1967">
        <v>202652</v>
      </c>
      <c r="J1967">
        <v>1047381188</v>
      </c>
      <c r="K1967" t="s">
        <v>23</v>
      </c>
      <c r="L1967" t="s">
        <v>252</v>
      </c>
      <c r="M1967" t="s">
        <v>253</v>
      </c>
      <c r="N1967" t="s">
        <v>4441</v>
      </c>
      <c r="O1967" t="s">
        <v>26</v>
      </c>
      <c r="P1967" t="s">
        <v>4135</v>
      </c>
      <c r="Q1967" t="s">
        <v>28</v>
      </c>
      <c r="R1967" t="s">
        <v>29</v>
      </c>
      <c r="S1967" t="s">
        <v>793</v>
      </c>
      <c r="T1967">
        <f>_xlfn.XLOOKUP(X1967,Hoja2!D:D,Hoja2!A:A)</f>
        <v>1010081108</v>
      </c>
      <c r="U1967" t="str">
        <f>_xlfn.XLOOKUP(X1967,Hoja2!D:D,Hoja2!B:B)</f>
        <v>HEIDY LORENA PRIETO AHUMADA</v>
      </c>
      <c r="V1967" t="str">
        <f>_xlfn.XLOOKUP(X1967,Hoja2!D:D,Hoja2!C:C)</f>
        <v>PREGRADO</v>
      </c>
      <c r="W1967" s="9">
        <f>IF(V1967="pregrado",31,
IF(V1967="posgrados",31,
IF(V1967="rEINTEGROS",7,
IF(V1967="BIT",90,
IF(V1967="OP GRADO - INGLÉS",17,"")))))</f>
        <v>31</v>
      </c>
      <c r="X1967" t="s">
        <v>4009</v>
      </c>
    </row>
    <row r="1968" spans="1:24" x14ac:dyDescent="0.3">
      <c r="A1968" s="4">
        <v>46125</v>
      </c>
      <c r="B1968">
        <v>20130836</v>
      </c>
      <c r="C1968" t="s">
        <v>19</v>
      </c>
      <c r="D1968">
        <v>174490</v>
      </c>
      <c r="E1968" t="s">
        <v>43</v>
      </c>
      <c r="F1968">
        <v>1128024612</v>
      </c>
      <c r="G1968" t="s">
        <v>4532</v>
      </c>
      <c r="H1968">
        <v>100164044</v>
      </c>
      <c r="I1968">
        <v>202652</v>
      </c>
      <c r="J1968">
        <v>1128024612</v>
      </c>
      <c r="K1968" t="s">
        <v>23</v>
      </c>
      <c r="L1968" t="s">
        <v>252</v>
      </c>
      <c r="M1968" t="s">
        <v>253</v>
      </c>
      <c r="N1968" t="s">
        <v>35</v>
      </c>
      <c r="O1968" t="s">
        <v>26</v>
      </c>
      <c r="P1968" t="s">
        <v>27</v>
      </c>
      <c r="Q1968" t="s">
        <v>28</v>
      </c>
      <c r="R1968" t="s">
        <v>29</v>
      </c>
      <c r="S1968" t="s">
        <v>793</v>
      </c>
      <c r="T1968">
        <f>_xlfn.XLOOKUP(X1968,Hoja2!D:D,Hoja2!A:A)</f>
        <v>1032406382</v>
      </c>
      <c r="U1968" t="str">
        <f>_xlfn.XLOOKUP(X1968,Hoja2!D:D,Hoja2!B:B)</f>
        <v>FABIAN CONCHA</v>
      </c>
      <c r="V1968" t="str">
        <f>_xlfn.XLOOKUP(X1968,Hoja2!D:D,Hoja2!C:C)</f>
        <v>POSGRADOS</v>
      </c>
      <c r="W1968" s="9">
        <f>IF(V1968="pregrado",31,
IF(V1968="posgrados",31,
IF(V1968="rEINTEGROS",7,
IF(V1968="BIT",90,
IF(V1968="OP GRADO - INGLÉS",17,"")))))</f>
        <v>31</v>
      </c>
      <c r="X1968" t="s">
        <v>3991</v>
      </c>
    </row>
    <row r="1969" spans="1:24" x14ac:dyDescent="0.3">
      <c r="A1969" s="4">
        <v>46129</v>
      </c>
      <c r="B1969">
        <v>20131445</v>
      </c>
      <c r="C1969" t="s">
        <v>19</v>
      </c>
      <c r="D1969">
        <v>174496</v>
      </c>
      <c r="E1969" t="s">
        <v>43</v>
      </c>
      <c r="F1969">
        <v>1117551250</v>
      </c>
      <c r="G1969" t="s">
        <v>4675</v>
      </c>
      <c r="H1969">
        <v>100250574</v>
      </c>
      <c r="I1969">
        <v>202652</v>
      </c>
      <c r="J1969">
        <v>1117551250</v>
      </c>
      <c r="K1969" t="s">
        <v>23</v>
      </c>
      <c r="L1969" t="s">
        <v>252</v>
      </c>
      <c r="M1969" t="s">
        <v>253</v>
      </c>
      <c r="N1969" t="s">
        <v>35</v>
      </c>
      <c r="O1969" t="s">
        <v>26</v>
      </c>
      <c r="P1969" t="s">
        <v>27</v>
      </c>
      <c r="Q1969" t="s">
        <v>28</v>
      </c>
      <c r="R1969" t="s">
        <v>29</v>
      </c>
      <c r="S1969" t="s">
        <v>793</v>
      </c>
      <c r="T1969">
        <f>_xlfn.XLOOKUP(X1969,Hoja2!D:D,Hoja2!A:A)</f>
        <v>1032406382</v>
      </c>
      <c r="U1969" t="str">
        <f>_xlfn.XLOOKUP(X1969,Hoja2!D:D,Hoja2!B:B)</f>
        <v>FABIAN CONCHA</v>
      </c>
      <c r="V1969" t="str">
        <f>_xlfn.XLOOKUP(X1969,Hoja2!D:D,Hoja2!C:C)</f>
        <v>POSGRADOS</v>
      </c>
      <c r="W1969" s="9">
        <f>IF(V1969="pregrado",31,
IF(V1969="posgrados",31,
IF(V1969="rEINTEGROS",7,
IF(V1969="BIT",90,
IF(V1969="OP GRADO - INGLÉS",17,"")))))</f>
        <v>31</v>
      </c>
      <c r="X1969" t="s">
        <v>3991</v>
      </c>
    </row>
    <row r="1970" spans="1:24" x14ac:dyDescent="0.3">
      <c r="A1970" s="4">
        <v>46125</v>
      </c>
      <c r="B1970">
        <v>20130832</v>
      </c>
      <c r="C1970" t="s">
        <v>19</v>
      </c>
      <c r="D1970">
        <v>174507</v>
      </c>
      <c r="E1970" t="s">
        <v>43</v>
      </c>
      <c r="F1970">
        <v>1007832682</v>
      </c>
      <c r="G1970" t="s">
        <v>4531</v>
      </c>
      <c r="H1970">
        <v>100250585</v>
      </c>
      <c r="I1970">
        <v>202652</v>
      </c>
      <c r="J1970">
        <v>1007832682</v>
      </c>
      <c r="K1970" t="s">
        <v>23</v>
      </c>
      <c r="L1970" t="s">
        <v>252</v>
      </c>
      <c r="M1970" t="s">
        <v>253</v>
      </c>
      <c r="N1970" t="s">
        <v>35</v>
      </c>
      <c r="O1970" t="s">
        <v>26</v>
      </c>
      <c r="P1970" t="s">
        <v>27</v>
      </c>
      <c r="Q1970" t="s">
        <v>28</v>
      </c>
      <c r="R1970" t="s">
        <v>29</v>
      </c>
      <c r="S1970" t="s">
        <v>793</v>
      </c>
      <c r="T1970">
        <f>_xlfn.XLOOKUP(X1970,Hoja2!D:D,Hoja2!A:A)</f>
        <v>52032666</v>
      </c>
      <c r="U1970" t="str">
        <f>_xlfn.XLOOKUP(X1970,Hoja2!D:D,Hoja2!B:B)</f>
        <v>IVONNE JINETH RODRIGUEZ ROJAS</v>
      </c>
      <c r="V1970" t="str">
        <f>_xlfn.XLOOKUP(X1970,Hoja2!D:D,Hoja2!C:C)</f>
        <v>POSGRADOS</v>
      </c>
      <c r="W1970" s="9">
        <f>IF(V1970="pregrado",31,
IF(V1970="posgrados",31,
IF(V1970="rEINTEGROS",7,
IF(V1970="BIT",90,
IF(V1970="OP GRADO - INGLÉS",17,"")))))</f>
        <v>31</v>
      </c>
      <c r="X1970" t="s">
        <v>3983</v>
      </c>
    </row>
    <row r="1971" spans="1:24" x14ac:dyDescent="0.3">
      <c r="A1971" s="4">
        <v>46127</v>
      </c>
      <c r="B1971">
        <v>20131100</v>
      </c>
      <c r="C1971" t="s">
        <v>19</v>
      </c>
      <c r="D1971">
        <v>174529</v>
      </c>
      <c r="E1971" t="s">
        <v>43</v>
      </c>
      <c r="F1971">
        <v>46642540</v>
      </c>
      <c r="G1971" t="s">
        <v>4600</v>
      </c>
      <c r="H1971">
        <v>100250617</v>
      </c>
      <c r="I1971">
        <v>202652</v>
      </c>
      <c r="J1971">
        <v>46642540</v>
      </c>
      <c r="K1971" t="s">
        <v>23</v>
      </c>
      <c r="L1971" t="s">
        <v>252</v>
      </c>
      <c r="M1971" t="s">
        <v>253</v>
      </c>
      <c r="N1971" t="s">
        <v>35</v>
      </c>
      <c r="O1971" t="s">
        <v>26</v>
      </c>
      <c r="P1971" t="s">
        <v>27</v>
      </c>
      <c r="Q1971" t="s">
        <v>28</v>
      </c>
      <c r="R1971" t="s">
        <v>29</v>
      </c>
      <c r="S1971" t="s">
        <v>793</v>
      </c>
      <c r="T1971">
        <f>_xlfn.XLOOKUP(X1971,Hoja2!D:D,Hoja2!A:A)</f>
        <v>1016030683</v>
      </c>
      <c r="U1971" t="str">
        <f>_xlfn.XLOOKUP(X1971,Hoja2!D:D,Hoja2!B:B)</f>
        <v>FABIAN CONCHA</v>
      </c>
      <c r="V1971" t="str">
        <f>_xlfn.XLOOKUP(X1971,Hoja2!D:D,Hoja2!C:C)</f>
        <v>POSGRADOS</v>
      </c>
      <c r="W1971" s="9">
        <f>IF(V1971="pregrado",31,
IF(V1971="posgrados",31,
IF(V1971="rEINTEGROS",7,
IF(V1971="BIT",90,
IF(V1971="OP GRADO - INGLÉS",17,"")))))</f>
        <v>31</v>
      </c>
      <c r="X1971" t="s">
        <v>3992</v>
      </c>
    </row>
    <row r="1972" spans="1:24" x14ac:dyDescent="0.3">
      <c r="A1972" s="4">
        <v>46125</v>
      </c>
      <c r="B1972">
        <v>20130786</v>
      </c>
      <c r="C1972" t="s">
        <v>19</v>
      </c>
      <c r="D1972">
        <v>174531</v>
      </c>
      <c r="E1972" t="s">
        <v>43</v>
      </c>
      <c r="F1972">
        <v>60339461</v>
      </c>
      <c r="G1972" t="s">
        <v>4521</v>
      </c>
      <c r="H1972">
        <v>100086465</v>
      </c>
      <c r="I1972">
        <v>202652</v>
      </c>
      <c r="J1972">
        <v>1090461135</v>
      </c>
      <c r="K1972" t="s">
        <v>46</v>
      </c>
      <c r="L1972" t="s">
        <v>252</v>
      </c>
      <c r="M1972" t="s">
        <v>253</v>
      </c>
      <c r="N1972" t="s">
        <v>35</v>
      </c>
      <c r="O1972" t="s">
        <v>26</v>
      </c>
      <c r="P1972" t="s">
        <v>27</v>
      </c>
      <c r="Q1972" t="s">
        <v>28</v>
      </c>
      <c r="R1972" t="s">
        <v>29</v>
      </c>
      <c r="S1972" t="s">
        <v>793</v>
      </c>
      <c r="T1972">
        <f>_xlfn.XLOOKUP(X1972,Hoja2!D:D,Hoja2!A:A)</f>
        <v>1031147887</v>
      </c>
      <c r="U1972" t="str">
        <f>_xlfn.XLOOKUP(X1972,Hoja2!D:D,Hoja2!B:B)</f>
        <v>IVONNE JINETH RODRIGUEZ ROJAS</v>
      </c>
      <c r="V1972" t="str">
        <f>_xlfn.XLOOKUP(X1972,Hoja2!D:D,Hoja2!C:C)</f>
        <v>POSGRADOS</v>
      </c>
      <c r="W1972" s="9">
        <f>IF(V1972="pregrado",31,
IF(V1972="posgrados",31,
IF(V1972="rEINTEGROS",7,
IF(V1972="BIT",90,
IF(V1972="OP GRADO - INGLÉS",17,"")))))</f>
        <v>31</v>
      </c>
      <c r="X1972" t="s">
        <v>3947</v>
      </c>
    </row>
    <row r="1973" spans="1:24" x14ac:dyDescent="0.3">
      <c r="A1973" s="4">
        <v>46132</v>
      </c>
      <c r="B1973">
        <v>20131737</v>
      </c>
      <c r="C1973" t="s">
        <v>19</v>
      </c>
      <c r="D1973">
        <v>174541</v>
      </c>
      <c r="E1973" t="s">
        <v>43</v>
      </c>
      <c r="F1973">
        <v>65773917</v>
      </c>
      <c r="G1973" t="s">
        <v>4733</v>
      </c>
      <c r="H1973">
        <v>100250641</v>
      </c>
      <c r="I1973">
        <v>202652</v>
      </c>
      <c r="J1973">
        <v>65773917</v>
      </c>
      <c r="K1973" t="s">
        <v>23</v>
      </c>
      <c r="L1973" t="s">
        <v>252</v>
      </c>
      <c r="M1973" t="s">
        <v>253</v>
      </c>
      <c r="N1973" t="s">
        <v>35</v>
      </c>
      <c r="O1973" t="s">
        <v>26</v>
      </c>
      <c r="P1973" t="s">
        <v>27</v>
      </c>
      <c r="Q1973" t="s">
        <v>28</v>
      </c>
      <c r="R1973" t="s">
        <v>29</v>
      </c>
      <c r="S1973" t="s">
        <v>793</v>
      </c>
      <c r="T1973">
        <f>_xlfn.XLOOKUP(X1973,Hoja2!D:D,Hoja2!A:A)</f>
        <v>1000120140</v>
      </c>
      <c r="U1973" t="str">
        <f>_xlfn.XLOOKUP(X1973,Hoja2!D:D,Hoja2!B:B)</f>
        <v>FABIAN CONCHA</v>
      </c>
      <c r="V1973" t="str">
        <f>_xlfn.XLOOKUP(X1973,Hoja2!D:D,Hoja2!C:C)</f>
        <v>POSGRADOS</v>
      </c>
      <c r="W1973" s="9">
        <f>IF(V1973="pregrado",31,
IF(V1973="posgrados",31,
IF(V1973="rEINTEGROS",7,
IF(V1973="BIT",90,
IF(V1973="OP GRADO - INGLÉS",17,"")))))</f>
        <v>31</v>
      </c>
      <c r="X1973" t="s">
        <v>3935</v>
      </c>
    </row>
    <row r="1974" spans="1:24" x14ac:dyDescent="0.3">
      <c r="A1974" s="4">
        <v>46126</v>
      </c>
      <c r="B1974">
        <v>20130995</v>
      </c>
      <c r="C1974" t="s">
        <v>19</v>
      </c>
      <c r="D1974">
        <v>174546</v>
      </c>
      <c r="E1974" t="s">
        <v>43</v>
      </c>
      <c r="F1974">
        <v>66818166</v>
      </c>
      <c r="G1974" t="s">
        <v>4572</v>
      </c>
      <c r="H1974">
        <v>100200086</v>
      </c>
      <c r="I1974">
        <v>202652</v>
      </c>
      <c r="J1974">
        <v>66818166</v>
      </c>
      <c r="K1974" t="s">
        <v>23</v>
      </c>
      <c r="L1974" t="s">
        <v>252</v>
      </c>
      <c r="M1974" t="s">
        <v>253</v>
      </c>
      <c r="N1974" t="s">
        <v>35</v>
      </c>
      <c r="O1974" t="s">
        <v>26</v>
      </c>
      <c r="P1974" t="s">
        <v>27</v>
      </c>
      <c r="Q1974" t="s">
        <v>28</v>
      </c>
      <c r="R1974" t="s">
        <v>29</v>
      </c>
      <c r="S1974" t="s">
        <v>793</v>
      </c>
      <c r="T1974">
        <f>_xlfn.XLOOKUP(X1974,Hoja2!D:D,Hoja2!A:A)</f>
        <v>1233513889</v>
      </c>
      <c r="U1974" t="str">
        <f>_xlfn.XLOOKUP(X1974,Hoja2!D:D,Hoja2!B:B)</f>
        <v>IVONNE JINETH RODRIGUEZ ROJAS</v>
      </c>
      <c r="V1974" t="str">
        <f>_xlfn.XLOOKUP(X1974,Hoja2!D:D,Hoja2!C:C)</f>
        <v>POSGRADOS</v>
      </c>
      <c r="W1974" s="9">
        <f>IF(V1974="pregrado",31,
IF(V1974="posgrados",31,
IF(V1974="rEINTEGROS",7,
IF(V1974="BIT",90,
IF(V1974="OP GRADO - INGLÉS",17,"")))))</f>
        <v>31</v>
      </c>
      <c r="X1974" t="s">
        <v>4035</v>
      </c>
    </row>
    <row r="1975" spans="1:24" x14ac:dyDescent="0.3">
      <c r="A1975" s="4">
        <v>46125</v>
      </c>
      <c r="B1975">
        <v>20130812</v>
      </c>
      <c r="C1975" t="s">
        <v>19</v>
      </c>
      <c r="D1975">
        <v>174550</v>
      </c>
      <c r="E1975" t="s">
        <v>43</v>
      </c>
      <c r="F1975">
        <v>1039092653</v>
      </c>
      <c r="G1975" t="s">
        <v>4528</v>
      </c>
      <c r="H1975">
        <v>100250656</v>
      </c>
      <c r="I1975">
        <v>202652</v>
      </c>
      <c r="J1975">
        <v>39158113</v>
      </c>
      <c r="K1975" t="s">
        <v>23</v>
      </c>
      <c r="L1975" t="s">
        <v>252</v>
      </c>
      <c r="M1975" t="s">
        <v>253</v>
      </c>
      <c r="N1975" t="s">
        <v>35</v>
      </c>
      <c r="O1975" t="s">
        <v>26</v>
      </c>
      <c r="P1975" t="s">
        <v>27</v>
      </c>
      <c r="Q1975" t="s">
        <v>28</v>
      </c>
      <c r="R1975" t="s">
        <v>29</v>
      </c>
      <c r="S1975" t="s">
        <v>793</v>
      </c>
      <c r="T1975">
        <f>_xlfn.XLOOKUP(X1975,Hoja2!D:D,Hoja2!A:A)</f>
        <v>1015401969</v>
      </c>
      <c r="U1975" t="str">
        <f>_xlfn.XLOOKUP(X1975,Hoja2!D:D,Hoja2!B:B)</f>
        <v>FABIAN CONCHA</v>
      </c>
      <c r="V1975" t="str">
        <f>_xlfn.XLOOKUP(X1975,Hoja2!D:D,Hoja2!C:C)</f>
        <v>POSGRADOS</v>
      </c>
      <c r="W1975" s="9">
        <f>IF(V1975="pregrado",31,
IF(V1975="posgrados",31,
IF(V1975="rEINTEGROS",7,
IF(V1975="BIT",90,
IF(V1975="OP GRADO - INGLÉS",17,"")))))</f>
        <v>31</v>
      </c>
      <c r="X1975" t="s">
        <v>3945</v>
      </c>
    </row>
    <row r="1976" spans="1:24" x14ac:dyDescent="0.3">
      <c r="A1976" s="4">
        <v>46126</v>
      </c>
      <c r="B1976">
        <v>20130989</v>
      </c>
      <c r="C1976" t="s">
        <v>19</v>
      </c>
      <c r="D1976">
        <v>174556</v>
      </c>
      <c r="E1976" t="s">
        <v>43</v>
      </c>
      <c r="F1976">
        <v>63474056</v>
      </c>
      <c r="G1976" t="s">
        <v>4570</v>
      </c>
      <c r="H1976">
        <v>100022263</v>
      </c>
      <c r="I1976">
        <v>202652</v>
      </c>
      <c r="J1976">
        <v>63474056</v>
      </c>
      <c r="K1976" t="s">
        <v>23</v>
      </c>
      <c r="L1976" t="s">
        <v>252</v>
      </c>
      <c r="M1976" t="s">
        <v>253</v>
      </c>
      <c r="N1976" t="s">
        <v>4198</v>
      </c>
      <c r="O1976" t="s">
        <v>26</v>
      </c>
      <c r="P1976" t="s">
        <v>4135</v>
      </c>
      <c r="Q1976" t="s">
        <v>28</v>
      </c>
      <c r="R1976" t="s">
        <v>29</v>
      </c>
      <c r="S1976" t="s">
        <v>793</v>
      </c>
      <c r="T1976">
        <f>_xlfn.XLOOKUP(X1976,Hoja2!D:D,Hoja2!A:A)</f>
        <v>1010081108</v>
      </c>
      <c r="U1976" t="str">
        <f>_xlfn.XLOOKUP(X1976,Hoja2!D:D,Hoja2!B:B)</f>
        <v>HEIDY LORENA PRIETO AHUMADA</v>
      </c>
      <c r="V1976" t="str">
        <f>_xlfn.XLOOKUP(X1976,Hoja2!D:D,Hoja2!C:C)</f>
        <v>PREGRADO</v>
      </c>
      <c r="W1976" s="9">
        <f>IF(V1976="pregrado",31,
IF(V1976="posgrados",31,
IF(V1976="rEINTEGROS",7,
IF(V1976="BIT",90,
IF(V1976="OP GRADO - INGLÉS",17,"")))))</f>
        <v>31</v>
      </c>
      <c r="X1976" t="s">
        <v>4009</v>
      </c>
    </row>
    <row r="1977" spans="1:24" x14ac:dyDescent="0.3">
      <c r="A1977" s="4">
        <v>46125</v>
      </c>
      <c r="B1977">
        <v>20130881</v>
      </c>
      <c r="C1977" t="s">
        <v>19</v>
      </c>
      <c r="D1977">
        <v>174558</v>
      </c>
      <c r="E1977" t="s">
        <v>43</v>
      </c>
      <c r="F1977">
        <v>40600637</v>
      </c>
      <c r="G1977" t="s">
        <v>4545</v>
      </c>
      <c r="H1977">
        <v>100250667</v>
      </c>
      <c r="I1977">
        <v>202652</v>
      </c>
      <c r="J1977">
        <v>40600637</v>
      </c>
      <c r="K1977" t="s">
        <v>23</v>
      </c>
      <c r="L1977" t="s">
        <v>252</v>
      </c>
      <c r="M1977" t="s">
        <v>253</v>
      </c>
      <c r="N1977" t="s">
        <v>35</v>
      </c>
      <c r="O1977" t="s">
        <v>26</v>
      </c>
      <c r="P1977" t="s">
        <v>27</v>
      </c>
      <c r="Q1977" t="s">
        <v>28</v>
      </c>
      <c r="R1977" t="s">
        <v>29</v>
      </c>
      <c r="S1977" t="s">
        <v>793</v>
      </c>
      <c r="T1977">
        <f>_xlfn.XLOOKUP(X1977,Hoja2!D:D,Hoja2!A:A)</f>
        <v>1233888787</v>
      </c>
      <c r="U1977" t="str">
        <f>_xlfn.XLOOKUP(X1977,Hoja2!D:D,Hoja2!B:B)</f>
        <v>FABIAN CONCHA</v>
      </c>
      <c r="V1977" t="str">
        <f>_xlfn.XLOOKUP(X1977,Hoja2!D:D,Hoja2!C:C)</f>
        <v>POSGRADOS</v>
      </c>
      <c r="W1977" s="9">
        <f>IF(V1977="pregrado",31,
IF(V1977="posgrados",31,
IF(V1977="rEINTEGROS",7,
IF(V1977="BIT",90,
IF(V1977="OP GRADO - INGLÉS",17,"")))))</f>
        <v>31</v>
      </c>
      <c r="X1977" t="s">
        <v>3998</v>
      </c>
    </row>
    <row r="1978" spans="1:24" x14ac:dyDescent="0.3">
      <c r="A1978" s="4">
        <v>46131</v>
      </c>
      <c r="B1978">
        <v>20131616</v>
      </c>
      <c r="C1978" t="s">
        <v>19</v>
      </c>
      <c r="D1978">
        <v>174569</v>
      </c>
      <c r="E1978" t="s">
        <v>43</v>
      </c>
      <c r="F1978">
        <v>1117554544</v>
      </c>
      <c r="G1978" t="s">
        <v>4710</v>
      </c>
      <c r="H1978">
        <v>100250680</v>
      </c>
      <c r="I1978">
        <v>202652</v>
      </c>
      <c r="J1978">
        <v>1117554544</v>
      </c>
      <c r="K1978" t="s">
        <v>23</v>
      </c>
      <c r="L1978" t="s">
        <v>252</v>
      </c>
      <c r="M1978" t="s">
        <v>253</v>
      </c>
      <c r="N1978" t="s">
        <v>35</v>
      </c>
      <c r="O1978" t="s">
        <v>26</v>
      </c>
      <c r="P1978" t="s">
        <v>27</v>
      </c>
      <c r="Q1978" t="s">
        <v>28</v>
      </c>
      <c r="R1978" t="s">
        <v>29</v>
      </c>
      <c r="S1978" t="s">
        <v>793</v>
      </c>
      <c r="T1978">
        <f>_xlfn.XLOOKUP(X1978,Hoja2!D:D,Hoja2!A:A)</f>
        <v>1031147887</v>
      </c>
      <c r="U1978" t="str">
        <f>_xlfn.XLOOKUP(X1978,Hoja2!D:D,Hoja2!B:B)</f>
        <v>IVONNE JINETH RODRIGUEZ ROJAS</v>
      </c>
      <c r="V1978" t="str">
        <f>_xlfn.XLOOKUP(X1978,Hoja2!D:D,Hoja2!C:C)</f>
        <v>POSGRADOS</v>
      </c>
      <c r="W1978" s="9">
        <f>IF(V1978="pregrado",31,
IF(V1978="posgrados",31,
IF(V1978="rEINTEGROS",7,
IF(V1978="BIT",90,
IF(V1978="OP GRADO - INGLÉS",17,"")))))</f>
        <v>31</v>
      </c>
      <c r="X1978" t="s">
        <v>3947</v>
      </c>
    </row>
    <row r="1979" spans="1:24" x14ac:dyDescent="0.3">
      <c r="A1979" s="4">
        <v>46128</v>
      </c>
      <c r="B1979">
        <v>20131395</v>
      </c>
      <c r="C1979" t="s">
        <v>19</v>
      </c>
      <c r="D1979">
        <v>174570</v>
      </c>
      <c r="E1979" t="s">
        <v>43</v>
      </c>
      <c r="F1979">
        <v>52995232</v>
      </c>
      <c r="G1979" t="s">
        <v>4664</v>
      </c>
      <c r="H1979">
        <v>100250681</v>
      </c>
      <c r="I1979">
        <v>202652</v>
      </c>
      <c r="J1979">
        <v>52995232</v>
      </c>
      <c r="K1979" t="s">
        <v>23</v>
      </c>
      <c r="L1979" t="s">
        <v>252</v>
      </c>
      <c r="M1979" t="s">
        <v>253</v>
      </c>
      <c r="N1979" t="s">
        <v>35</v>
      </c>
      <c r="O1979" t="s">
        <v>26</v>
      </c>
      <c r="P1979" t="s">
        <v>27</v>
      </c>
      <c r="Q1979" t="s">
        <v>28</v>
      </c>
      <c r="R1979" t="s">
        <v>29</v>
      </c>
      <c r="S1979" t="s">
        <v>793</v>
      </c>
      <c r="T1979">
        <f>_xlfn.XLOOKUP(X1979,Hoja2!D:D,Hoja2!A:A)</f>
        <v>1014285873</v>
      </c>
      <c r="U1979" t="str">
        <f>_xlfn.XLOOKUP(X1979,Hoja2!D:D,Hoja2!B:B)</f>
        <v>IVONNE JINETH RODRIGUEZ ROJAS</v>
      </c>
      <c r="V1979" t="str">
        <f>_xlfn.XLOOKUP(X1979,Hoja2!D:D,Hoja2!C:C)</f>
        <v>POSGRADOS</v>
      </c>
      <c r="W1979" s="9">
        <f>IF(V1979="pregrado",31,
IF(V1979="posgrados",31,
IF(V1979="rEINTEGROS",7,
IF(V1979="BIT",90,
IF(V1979="OP GRADO - INGLÉS",17,"")))))</f>
        <v>31</v>
      </c>
      <c r="X1979" t="s">
        <v>3953</v>
      </c>
    </row>
    <row r="1980" spans="1:24" x14ac:dyDescent="0.3">
      <c r="A1980" s="4">
        <v>46140</v>
      </c>
      <c r="B1980">
        <v>20132398</v>
      </c>
      <c r="C1980" t="s">
        <v>19</v>
      </c>
      <c r="D1980">
        <v>174572</v>
      </c>
      <c r="E1980" t="s">
        <v>43</v>
      </c>
      <c r="F1980">
        <v>1082850136</v>
      </c>
      <c r="G1980" t="s">
        <v>4878</v>
      </c>
      <c r="H1980">
        <v>100250683</v>
      </c>
      <c r="I1980">
        <v>202652</v>
      </c>
      <c r="J1980">
        <v>1082850136</v>
      </c>
      <c r="K1980" t="s">
        <v>23</v>
      </c>
      <c r="L1980" t="s">
        <v>252</v>
      </c>
      <c r="M1980" t="s">
        <v>253</v>
      </c>
      <c r="N1980" t="s">
        <v>35</v>
      </c>
      <c r="O1980" t="s">
        <v>26</v>
      </c>
      <c r="P1980" t="s">
        <v>27</v>
      </c>
      <c r="Q1980" t="s">
        <v>28</v>
      </c>
      <c r="R1980" t="s">
        <v>29</v>
      </c>
      <c r="S1980" t="s">
        <v>793</v>
      </c>
      <c r="T1980">
        <f>_xlfn.XLOOKUP(X1980,Hoja2!D:D,Hoja2!A:A)</f>
        <v>1019068131</v>
      </c>
      <c r="U1980" t="str">
        <f>_xlfn.XLOOKUP(X1980,Hoja2!D:D,Hoja2!B:B)</f>
        <v>IVONNE JINETH RODRIGUEZ ROJAS</v>
      </c>
      <c r="V1980" t="str">
        <f>_xlfn.XLOOKUP(X1980,Hoja2!D:D,Hoja2!C:C)</f>
        <v>POSGRADOS</v>
      </c>
      <c r="W1980" s="9">
        <f>IF(V1980="pregrado",31,
IF(V1980="posgrados",31,
IF(V1980="rEINTEGROS",7,
IF(V1980="BIT",90,
IF(V1980="OP GRADO - INGLÉS",17,"")))))</f>
        <v>31</v>
      </c>
      <c r="X1980" t="s">
        <v>4066</v>
      </c>
    </row>
    <row r="1981" spans="1:24" x14ac:dyDescent="0.3">
      <c r="A1981" s="4">
        <v>46128</v>
      </c>
      <c r="B1981">
        <v>20131280</v>
      </c>
      <c r="C1981" t="s">
        <v>19</v>
      </c>
      <c r="D1981">
        <v>174575</v>
      </c>
      <c r="E1981" t="s">
        <v>43</v>
      </c>
      <c r="F1981">
        <v>34947694</v>
      </c>
      <c r="G1981" t="s">
        <v>4639</v>
      </c>
      <c r="H1981">
        <v>100250686</v>
      </c>
      <c r="I1981">
        <v>202652</v>
      </c>
      <c r="J1981">
        <v>34947694</v>
      </c>
      <c r="K1981" t="s">
        <v>23</v>
      </c>
      <c r="L1981" t="s">
        <v>252</v>
      </c>
      <c r="M1981" t="s">
        <v>253</v>
      </c>
      <c r="N1981" t="s">
        <v>35</v>
      </c>
      <c r="O1981" t="s">
        <v>26</v>
      </c>
      <c r="P1981" t="s">
        <v>27</v>
      </c>
      <c r="Q1981" t="s">
        <v>28</v>
      </c>
      <c r="R1981" t="s">
        <v>29</v>
      </c>
      <c r="S1981" t="s">
        <v>793</v>
      </c>
      <c r="T1981">
        <f>_xlfn.XLOOKUP(X1981,Hoja2!D:D,Hoja2!A:A)</f>
        <v>1014285873</v>
      </c>
      <c r="U1981" t="str">
        <f>_xlfn.XLOOKUP(X1981,Hoja2!D:D,Hoja2!B:B)</f>
        <v>IVONNE JINETH RODRIGUEZ ROJAS</v>
      </c>
      <c r="V1981" t="str">
        <f>_xlfn.XLOOKUP(X1981,Hoja2!D:D,Hoja2!C:C)</f>
        <v>POSGRADOS</v>
      </c>
      <c r="W1981" s="9">
        <f>IF(V1981="pregrado",31,
IF(V1981="posgrados",31,
IF(V1981="rEINTEGROS",7,
IF(V1981="BIT",90,
IF(V1981="OP GRADO - INGLÉS",17,"")))))</f>
        <v>31</v>
      </c>
      <c r="X1981" t="s">
        <v>3953</v>
      </c>
    </row>
    <row r="1982" spans="1:24" x14ac:dyDescent="0.3">
      <c r="A1982" s="4">
        <v>46126</v>
      </c>
      <c r="B1982">
        <v>20131020</v>
      </c>
      <c r="C1982" t="s">
        <v>19</v>
      </c>
      <c r="D1982">
        <v>174582</v>
      </c>
      <c r="E1982" t="s">
        <v>43</v>
      </c>
      <c r="F1982">
        <v>39317200</v>
      </c>
      <c r="G1982" t="s">
        <v>4581</v>
      </c>
      <c r="H1982">
        <v>100250697</v>
      </c>
      <c r="I1982">
        <v>202642</v>
      </c>
      <c r="J1982">
        <v>1152691771</v>
      </c>
      <c r="K1982" t="s">
        <v>23</v>
      </c>
      <c r="L1982" t="s">
        <v>59</v>
      </c>
      <c r="M1982" t="s">
        <v>47</v>
      </c>
      <c r="N1982" t="s">
        <v>605</v>
      </c>
      <c r="O1982" t="s">
        <v>26</v>
      </c>
      <c r="P1982" t="s">
        <v>27</v>
      </c>
      <c r="Q1982" t="s">
        <v>28</v>
      </c>
      <c r="R1982" t="s">
        <v>29</v>
      </c>
      <c r="S1982" t="s">
        <v>793</v>
      </c>
      <c r="T1982">
        <f>_xlfn.XLOOKUP(X1982,Hoja2!D:D,Hoja2!A:A)</f>
        <v>51951991</v>
      </c>
      <c r="U1982" t="str">
        <f>_xlfn.XLOOKUP(X1982,Hoja2!D:D,Hoja2!B:B)</f>
        <v>FABIAN CONCHA</v>
      </c>
      <c r="V1982" t="str">
        <f>_xlfn.XLOOKUP(X1982,Hoja2!D:D,Hoja2!C:C)</f>
        <v>POSGRADOS</v>
      </c>
      <c r="W1982" s="9">
        <f>IF(V1982="pregrado",31,
IF(V1982="posgrados",31,
IF(V1982="rEINTEGROS",7,
IF(V1982="BIT",90,
IF(V1982="OP GRADO - INGLÉS",17,"")))))</f>
        <v>31</v>
      </c>
      <c r="X1982" t="s">
        <v>4049</v>
      </c>
    </row>
    <row r="1983" spans="1:24" x14ac:dyDescent="0.3">
      <c r="A1983" s="4">
        <v>46125</v>
      </c>
      <c r="B1983">
        <v>20130845</v>
      </c>
      <c r="C1983" t="s">
        <v>19</v>
      </c>
      <c r="D1983">
        <v>174583</v>
      </c>
      <c r="E1983" t="s">
        <v>43</v>
      </c>
      <c r="F1983">
        <v>45518104</v>
      </c>
      <c r="G1983" t="s">
        <v>4536</v>
      </c>
      <c r="H1983">
        <v>100250699</v>
      </c>
      <c r="I1983">
        <v>202652</v>
      </c>
      <c r="J1983">
        <v>45518104</v>
      </c>
      <c r="K1983" t="s">
        <v>23</v>
      </c>
      <c r="L1983" t="s">
        <v>252</v>
      </c>
      <c r="M1983" t="s">
        <v>253</v>
      </c>
      <c r="N1983" t="s">
        <v>35</v>
      </c>
      <c r="O1983" t="s">
        <v>26</v>
      </c>
      <c r="P1983" t="s">
        <v>27</v>
      </c>
      <c r="Q1983" t="s">
        <v>28</v>
      </c>
      <c r="R1983" t="s">
        <v>29</v>
      </c>
      <c r="S1983" t="s">
        <v>793</v>
      </c>
      <c r="T1983">
        <f>_xlfn.XLOOKUP(X1983,Hoja2!D:D,Hoja2!A:A)</f>
        <v>1140420282</v>
      </c>
      <c r="U1983" t="str">
        <f>_xlfn.XLOOKUP(X1983,Hoja2!D:D,Hoja2!B:B)</f>
        <v>IVONNE JINETH RODRIGUEZ ROJAS</v>
      </c>
      <c r="V1983" t="str">
        <f>_xlfn.XLOOKUP(X1983,Hoja2!D:D,Hoja2!C:C)</f>
        <v>POSGRADOS</v>
      </c>
      <c r="W1983" s="9">
        <f>IF(V1983="pregrado",31,
IF(V1983="posgrados",31,
IF(V1983="rEINTEGROS",7,
IF(V1983="BIT",90,
IF(V1983="OP GRADO - INGLÉS",17,"")))))</f>
        <v>31</v>
      </c>
      <c r="X1983" t="s">
        <v>3972</v>
      </c>
    </row>
    <row r="1984" spans="1:24" x14ac:dyDescent="0.3">
      <c r="A1984" s="4">
        <v>46128</v>
      </c>
      <c r="B1984">
        <v>20131374</v>
      </c>
      <c r="C1984" t="s">
        <v>19</v>
      </c>
      <c r="D1984">
        <v>174586</v>
      </c>
      <c r="E1984" t="s">
        <v>43</v>
      </c>
      <c r="F1984">
        <v>1116778482</v>
      </c>
      <c r="G1984" t="s">
        <v>4654</v>
      </c>
      <c r="H1984">
        <v>100250704</v>
      </c>
      <c r="I1984">
        <v>202652</v>
      </c>
      <c r="J1984">
        <v>1116778482</v>
      </c>
      <c r="K1984" t="s">
        <v>23</v>
      </c>
      <c r="L1984" t="s">
        <v>252</v>
      </c>
      <c r="M1984" t="s">
        <v>253</v>
      </c>
      <c r="N1984" t="s">
        <v>4225</v>
      </c>
      <c r="O1984" t="s">
        <v>26</v>
      </c>
      <c r="P1984" t="s">
        <v>4226</v>
      </c>
      <c r="Q1984" t="s">
        <v>28</v>
      </c>
      <c r="R1984" t="s">
        <v>29</v>
      </c>
      <c r="S1984" t="s">
        <v>793</v>
      </c>
      <c r="T1984">
        <f>_xlfn.XLOOKUP(X1984,Hoja2!D:D,Hoja2!A:A)</f>
        <v>1010081108</v>
      </c>
      <c r="U1984" t="str">
        <f>_xlfn.XLOOKUP(X1984,Hoja2!D:D,Hoja2!B:B)</f>
        <v>HEIDY LORENA PRIETO AHUMADA</v>
      </c>
      <c r="V1984" t="str">
        <f>_xlfn.XLOOKUP(X1984,Hoja2!D:D,Hoja2!C:C)</f>
        <v>PREGRADO</v>
      </c>
      <c r="W1984" s="9">
        <f>IF(V1984="pregrado",31,
IF(V1984="posgrados",31,
IF(V1984="rEINTEGROS",7,
IF(V1984="BIT",90,
IF(V1984="OP GRADO - INGLÉS",17,"")))))</f>
        <v>31</v>
      </c>
      <c r="X1984" t="s">
        <v>4009</v>
      </c>
    </row>
    <row r="1985" spans="1:24" x14ac:dyDescent="0.3">
      <c r="A1985" s="4">
        <v>46128</v>
      </c>
      <c r="B1985">
        <v>20131366</v>
      </c>
      <c r="C1985" t="s">
        <v>19</v>
      </c>
      <c r="D1985">
        <v>174587</v>
      </c>
      <c r="E1985" t="s">
        <v>43</v>
      </c>
      <c r="F1985">
        <v>1076331252</v>
      </c>
      <c r="G1985" t="s">
        <v>4653</v>
      </c>
      <c r="H1985">
        <v>100232056</v>
      </c>
      <c r="I1985">
        <v>202652</v>
      </c>
      <c r="J1985">
        <v>1076331252</v>
      </c>
      <c r="K1985" t="s">
        <v>23</v>
      </c>
      <c r="L1985" t="s">
        <v>252</v>
      </c>
      <c r="M1985" t="s">
        <v>253</v>
      </c>
      <c r="N1985" t="s">
        <v>4165</v>
      </c>
      <c r="O1985" t="s">
        <v>26</v>
      </c>
      <c r="P1985" t="s">
        <v>4166</v>
      </c>
      <c r="Q1985" t="s">
        <v>28</v>
      </c>
      <c r="R1985" t="s">
        <v>29</v>
      </c>
      <c r="S1985" t="s">
        <v>793</v>
      </c>
      <c r="T1985">
        <f>_xlfn.XLOOKUP(X1985,Hoja2!D:D,Hoja2!A:A)</f>
        <v>1032451737</v>
      </c>
      <c r="U1985" t="str">
        <f>_xlfn.XLOOKUP(X1985,Hoja2!D:D,Hoja2!B:B)</f>
        <v>IVONNE JINETH RODRIGUEZ ROJAS</v>
      </c>
      <c r="V1985" t="str">
        <f>_xlfn.XLOOKUP(X1985,Hoja2!D:D,Hoja2!C:C)</f>
        <v>POSGRADOS</v>
      </c>
      <c r="W1985" s="9">
        <f>IF(V1985="pregrado",31,
IF(V1985="posgrados",31,
IF(V1985="rEINTEGROS",7,
IF(V1985="BIT",90,
IF(V1985="OP GRADO - INGLÉS",17,"")))))</f>
        <v>31</v>
      </c>
      <c r="X1985" t="s">
        <v>4033</v>
      </c>
    </row>
    <row r="1986" spans="1:24" x14ac:dyDescent="0.3">
      <c r="A1986" s="4">
        <v>46125</v>
      </c>
      <c r="B1986">
        <v>20130846</v>
      </c>
      <c r="C1986" t="s">
        <v>19</v>
      </c>
      <c r="D1986">
        <v>174598</v>
      </c>
      <c r="E1986" t="s">
        <v>43</v>
      </c>
      <c r="F1986">
        <v>1083813860</v>
      </c>
      <c r="G1986" t="s">
        <v>4537</v>
      </c>
      <c r="H1986">
        <v>100250725</v>
      </c>
      <c r="I1986">
        <v>202652</v>
      </c>
      <c r="J1986">
        <v>1083813860</v>
      </c>
      <c r="K1986" t="s">
        <v>23</v>
      </c>
      <c r="L1986" t="s">
        <v>252</v>
      </c>
      <c r="M1986" t="s">
        <v>253</v>
      </c>
      <c r="N1986" t="s">
        <v>35</v>
      </c>
      <c r="O1986" t="s">
        <v>26</v>
      </c>
      <c r="P1986" t="s">
        <v>27</v>
      </c>
      <c r="Q1986" t="s">
        <v>28</v>
      </c>
      <c r="R1986" t="s">
        <v>29</v>
      </c>
      <c r="S1986" t="s">
        <v>793</v>
      </c>
      <c r="T1986">
        <f>_xlfn.XLOOKUP(X1986,Hoja2!D:D,Hoja2!A:A)</f>
        <v>1016030683</v>
      </c>
      <c r="U1986" t="str">
        <f>_xlfn.XLOOKUP(X1986,Hoja2!D:D,Hoja2!B:B)</f>
        <v>FABIAN CONCHA</v>
      </c>
      <c r="V1986" t="str">
        <f>_xlfn.XLOOKUP(X1986,Hoja2!D:D,Hoja2!C:C)</f>
        <v>POSGRADOS</v>
      </c>
      <c r="W1986" s="9">
        <f>IF(V1986="pregrado",31,
IF(V1986="posgrados",31,
IF(V1986="rEINTEGROS",7,
IF(V1986="BIT",90,
IF(V1986="OP GRADO - INGLÉS",17,"")))))</f>
        <v>31</v>
      </c>
      <c r="X1986" t="s">
        <v>3992</v>
      </c>
    </row>
    <row r="1987" spans="1:24" x14ac:dyDescent="0.3">
      <c r="A1987" s="4">
        <v>46126</v>
      </c>
      <c r="B1987">
        <v>20130956</v>
      </c>
      <c r="C1987" t="s">
        <v>19</v>
      </c>
      <c r="D1987">
        <v>174599</v>
      </c>
      <c r="E1987" t="s">
        <v>43</v>
      </c>
      <c r="F1987">
        <v>38211629</v>
      </c>
      <c r="G1987" t="s">
        <v>4562</v>
      </c>
      <c r="H1987">
        <v>100178122</v>
      </c>
      <c r="I1987">
        <v>202652</v>
      </c>
      <c r="J1987">
        <v>38211629</v>
      </c>
      <c r="K1987" t="s">
        <v>23</v>
      </c>
      <c r="L1987" t="s">
        <v>252</v>
      </c>
      <c r="M1987" t="s">
        <v>253</v>
      </c>
      <c r="N1987" t="s">
        <v>35</v>
      </c>
      <c r="O1987" t="s">
        <v>26</v>
      </c>
      <c r="P1987" t="s">
        <v>27</v>
      </c>
      <c r="Q1987" t="s">
        <v>28</v>
      </c>
      <c r="R1987" t="s">
        <v>29</v>
      </c>
      <c r="S1987" t="s">
        <v>793</v>
      </c>
      <c r="T1987">
        <f>_xlfn.XLOOKUP(X1987,Hoja2!D:D,Hoja2!A:A)</f>
        <v>1016030683</v>
      </c>
      <c r="U1987" t="str">
        <f>_xlfn.XLOOKUP(X1987,Hoja2!D:D,Hoja2!B:B)</f>
        <v>FABIAN CONCHA</v>
      </c>
      <c r="V1987" t="str">
        <f>_xlfn.XLOOKUP(X1987,Hoja2!D:D,Hoja2!C:C)</f>
        <v>POSGRADOS</v>
      </c>
      <c r="W1987" s="9">
        <f>IF(V1987="pregrado",31,
IF(V1987="posgrados",31,
IF(V1987="rEINTEGROS",7,
IF(V1987="BIT",90,
IF(V1987="OP GRADO - INGLÉS",17,"")))))</f>
        <v>31</v>
      </c>
      <c r="X1987" t="s">
        <v>3992</v>
      </c>
    </row>
    <row r="1988" spans="1:24" x14ac:dyDescent="0.3">
      <c r="A1988" s="4">
        <v>46126</v>
      </c>
      <c r="B1988">
        <v>20130972</v>
      </c>
      <c r="C1988" t="s">
        <v>19</v>
      </c>
      <c r="D1988">
        <v>174601</v>
      </c>
      <c r="E1988" t="s">
        <v>43</v>
      </c>
      <c r="F1988">
        <v>53931547</v>
      </c>
      <c r="G1988" t="s">
        <v>4567</v>
      </c>
      <c r="H1988">
        <v>100250727</v>
      </c>
      <c r="I1988">
        <v>202652</v>
      </c>
      <c r="J1988">
        <v>53931547</v>
      </c>
      <c r="K1988" t="s">
        <v>23</v>
      </c>
      <c r="L1988" t="s">
        <v>252</v>
      </c>
      <c r="M1988" t="s">
        <v>253</v>
      </c>
      <c r="N1988" t="s">
        <v>35</v>
      </c>
      <c r="O1988" t="s">
        <v>26</v>
      </c>
      <c r="P1988" t="s">
        <v>27</v>
      </c>
      <c r="Q1988" t="s">
        <v>28</v>
      </c>
      <c r="R1988" t="s">
        <v>29</v>
      </c>
      <c r="S1988" t="s">
        <v>793</v>
      </c>
      <c r="T1988">
        <f>_xlfn.XLOOKUP(X1988,Hoja2!D:D,Hoja2!A:A)</f>
        <v>1020754225</v>
      </c>
      <c r="U1988" t="str">
        <f>_xlfn.XLOOKUP(X1988,Hoja2!D:D,Hoja2!B:B)</f>
        <v>IVONNE JINETH RODRIGUEZ ROJAS</v>
      </c>
      <c r="V1988" t="str">
        <f>_xlfn.XLOOKUP(X1988,Hoja2!D:D,Hoja2!C:C)</f>
        <v>POSGRADOS</v>
      </c>
      <c r="W1988" s="9">
        <f>IF(V1988="pregrado",31,
IF(V1988="posgrados",31,
IF(V1988="rEINTEGROS",7,
IF(V1988="BIT",90,
IF(V1988="OP GRADO - INGLÉS",17,"")))))</f>
        <v>31</v>
      </c>
      <c r="X1988" t="s">
        <v>3981</v>
      </c>
    </row>
    <row r="1989" spans="1:24" x14ac:dyDescent="0.3">
      <c r="A1989" s="4">
        <v>46144</v>
      </c>
      <c r="B1989">
        <v>20132754</v>
      </c>
      <c r="C1989" t="s">
        <v>19</v>
      </c>
      <c r="D1989">
        <v>174602</v>
      </c>
      <c r="E1989" t="s">
        <v>43</v>
      </c>
      <c r="F1989">
        <v>3439892</v>
      </c>
      <c r="G1989" t="s">
        <v>4905</v>
      </c>
      <c r="H1989">
        <v>100250728</v>
      </c>
      <c r="I1989">
        <v>202652</v>
      </c>
      <c r="J1989">
        <v>57297507</v>
      </c>
      <c r="K1989" t="s">
        <v>23</v>
      </c>
      <c r="L1989" t="s">
        <v>252</v>
      </c>
      <c r="M1989" t="s">
        <v>253</v>
      </c>
      <c r="N1989" t="s">
        <v>4146</v>
      </c>
      <c r="O1989" t="s">
        <v>26</v>
      </c>
      <c r="P1989" t="s">
        <v>27</v>
      </c>
      <c r="Q1989" t="s">
        <v>28</v>
      </c>
      <c r="R1989" t="s">
        <v>29</v>
      </c>
      <c r="S1989" t="s">
        <v>793</v>
      </c>
      <c r="T1989">
        <f>_xlfn.XLOOKUP(X1989,Hoja2!D:D,Hoja2!A:A)</f>
        <v>1010081108</v>
      </c>
      <c r="U1989" t="str">
        <f>_xlfn.XLOOKUP(X1989,Hoja2!D:D,Hoja2!B:B)</f>
        <v>HEIDY LORENA PRIETO AHUMADA</v>
      </c>
      <c r="V1989" t="str">
        <f>_xlfn.XLOOKUP(X1989,Hoja2!D:D,Hoja2!C:C)</f>
        <v>PREGRADO</v>
      </c>
      <c r="W1989" s="9">
        <f>IF(V1989="pregrado",31,
IF(V1989="posgrados",31,
IF(V1989="rEINTEGROS",7,
IF(V1989="BIT",90,
IF(V1989="OP GRADO - INGLÉS",17,"")))))</f>
        <v>31</v>
      </c>
      <c r="X1989" t="s">
        <v>4009</v>
      </c>
    </row>
    <row r="1990" spans="1:24" x14ac:dyDescent="0.3">
      <c r="A1990" s="4">
        <v>46128</v>
      </c>
      <c r="B1990">
        <v>20131398</v>
      </c>
      <c r="C1990" t="s">
        <v>19</v>
      </c>
      <c r="D1990">
        <v>174615</v>
      </c>
      <c r="E1990" t="s">
        <v>43</v>
      </c>
      <c r="F1990">
        <v>34950482</v>
      </c>
      <c r="G1990" t="s">
        <v>4666</v>
      </c>
      <c r="H1990">
        <v>100250750</v>
      </c>
      <c r="I1990">
        <v>202652</v>
      </c>
      <c r="J1990">
        <v>34950482</v>
      </c>
      <c r="K1990" t="s">
        <v>23</v>
      </c>
      <c r="L1990" t="s">
        <v>252</v>
      </c>
      <c r="M1990" t="s">
        <v>253</v>
      </c>
      <c r="N1990" t="s">
        <v>35</v>
      </c>
      <c r="O1990" t="s">
        <v>26</v>
      </c>
      <c r="P1990" t="s">
        <v>27</v>
      </c>
      <c r="Q1990" t="s">
        <v>28</v>
      </c>
      <c r="R1990" t="s">
        <v>29</v>
      </c>
      <c r="S1990" t="s">
        <v>793</v>
      </c>
      <c r="T1990">
        <f>_xlfn.XLOOKUP(X1990,Hoja2!D:D,Hoja2!A:A)</f>
        <v>1014285873</v>
      </c>
      <c r="U1990" t="str">
        <f>_xlfn.XLOOKUP(X1990,Hoja2!D:D,Hoja2!B:B)</f>
        <v>IVONNE JINETH RODRIGUEZ ROJAS</v>
      </c>
      <c r="V1990" t="str">
        <f>_xlfn.XLOOKUP(X1990,Hoja2!D:D,Hoja2!C:C)</f>
        <v>POSGRADOS</v>
      </c>
      <c r="W1990" s="9">
        <f>IF(V1990="pregrado",31,
IF(V1990="posgrados",31,
IF(V1990="rEINTEGROS",7,
IF(V1990="BIT",90,
IF(V1990="OP GRADO - INGLÉS",17,"")))))</f>
        <v>31</v>
      </c>
      <c r="X1990" t="s">
        <v>3953</v>
      </c>
    </row>
    <row r="1991" spans="1:24" x14ac:dyDescent="0.3">
      <c r="A1991" s="4">
        <v>46126</v>
      </c>
      <c r="B1991">
        <v>20130985</v>
      </c>
      <c r="C1991" t="s">
        <v>19</v>
      </c>
      <c r="D1991">
        <v>174627</v>
      </c>
      <c r="E1991" t="s">
        <v>43</v>
      </c>
      <c r="F1991">
        <v>1042973421</v>
      </c>
      <c r="G1991" t="s">
        <v>4569</v>
      </c>
      <c r="H1991">
        <v>100250765</v>
      </c>
      <c r="I1991">
        <v>202652</v>
      </c>
      <c r="J1991">
        <v>1042973421</v>
      </c>
      <c r="K1991" t="s">
        <v>23</v>
      </c>
      <c r="L1991" t="s">
        <v>252</v>
      </c>
      <c r="M1991" t="s">
        <v>253</v>
      </c>
      <c r="N1991" t="s">
        <v>35</v>
      </c>
      <c r="O1991" t="s">
        <v>26</v>
      </c>
      <c r="P1991" t="s">
        <v>27</v>
      </c>
      <c r="Q1991" t="s">
        <v>28</v>
      </c>
      <c r="R1991" t="s">
        <v>29</v>
      </c>
      <c r="S1991" t="s">
        <v>793</v>
      </c>
      <c r="T1991">
        <f>_xlfn.XLOOKUP(X1991,Hoja2!D:D,Hoja2!A:A)</f>
        <v>1020754225</v>
      </c>
      <c r="U1991" t="str">
        <f>_xlfn.XLOOKUP(X1991,Hoja2!D:D,Hoja2!B:B)</f>
        <v>IVONNE JINETH RODRIGUEZ ROJAS</v>
      </c>
      <c r="V1991" t="str">
        <f>_xlfn.XLOOKUP(X1991,Hoja2!D:D,Hoja2!C:C)</f>
        <v>POSGRADOS</v>
      </c>
      <c r="W1991" s="9">
        <f>IF(V1991="pregrado",31,
IF(V1991="posgrados",31,
IF(V1991="rEINTEGROS",7,
IF(V1991="BIT",90,
IF(V1991="OP GRADO - INGLÉS",17,"")))))</f>
        <v>31</v>
      </c>
      <c r="X1991" t="s">
        <v>3981</v>
      </c>
    </row>
    <row r="1992" spans="1:24" x14ac:dyDescent="0.3">
      <c r="A1992" s="4">
        <v>46126</v>
      </c>
      <c r="B1992">
        <v>20131053</v>
      </c>
      <c r="C1992" t="s">
        <v>19</v>
      </c>
      <c r="D1992">
        <v>174637</v>
      </c>
      <c r="E1992" t="s">
        <v>43</v>
      </c>
      <c r="F1992">
        <v>1007002872</v>
      </c>
      <c r="G1992" t="s">
        <v>4588</v>
      </c>
      <c r="H1992">
        <v>100250778</v>
      </c>
      <c r="I1992">
        <v>202652</v>
      </c>
      <c r="J1992">
        <v>1007002872</v>
      </c>
      <c r="K1992" t="s">
        <v>23</v>
      </c>
      <c r="L1992" t="s">
        <v>252</v>
      </c>
      <c r="M1992" t="s">
        <v>253</v>
      </c>
      <c r="N1992" t="s">
        <v>35</v>
      </c>
      <c r="O1992" t="s">
        <v>26</v>
      </c>
      <c r="P1992" t="s">
        <v>27</v>
      </c>
      <c r="Q1992" t="s">
        <v>28</v>
      </c>
      <c r="R1992" t="s">
        <v>29</v>
      </c>
      <c r="S1992" t="s">
        <v>793</v>
      </c>
      <c r="T1992">
        <f>_xlfn.XLOOKUP(X1992,Hoja2!D:D,Hoja2!A:A)</f>
        <v>52965969</v>
      </c>
      <c r="U1992" t="str">
        <f>_xlfn.XLOOKUP(X1992,Hoja2!D:D,Hoja2!B:B)</f>
        <v>FABIAN CONCHA</v>
      </c>
      <c r="V1992" t="str">
        <f>_xlfn.XLOOKUP(X1992,Hoja2!D:D,Hoja2!C:C)</f>
        <v>POSGRADOS</v>
      </c>
      <c r="W1992" s="9">
        <f>IF(V1992="pregrado",31,
IF(V1992="posgrados",31,
IF(V1992="rEINTEGROS",7,
IF(V1992="BIT",90,
IF(V1992="OP GRADO - INGLÉS",17,"")))))</f>
        <v>31</v>
      </c>
      <c r="X1992" t="s">
        <v>3960</v>
      </c>
    </row>
    <row r="1993" spans="1:24" x14ac:dyDescent="0.3">
      <c r="A1993" s="4">
        <v>46132</v>
      </c>
      <c r="B1993">
        <v>20131667</v>
      </c>
      <c r="C1993" t="s">
        <v>19</v>
      </c>
      <c r="D1993">
        <v>174641</v>
      </c>
      <c r="E1993" t="s">
        <v>43</v>
      </c>
      <c r="F1993">
        <v>1098101343</v>
      </c>
      <c r="G1993" t="s">
        <v>4721</v>
      </c>
      <c r="H1993">
        <v>100250787</v>
      </c>
      <c r="I1993">
        <v>202642</v>
      </c>
      <c r="J1993">
        <v>1098101343</v>
      </c>
      <c r="K1993" t="s">
        <v>23</v>
      </c>
      <c r="L1993" t="s">
        <v>160</v>
      </c>
      <c r="M1993" t="s">
        <v>47</v>
      </c>
      <c r="N1993" t="s">
        <v>35</v>
      </c>
      <c r="O1993" t="s">
        <v>26</v>
      </c>
      <c r="P1993" t="s">
        <v>27</v>
      </c>
      <c r="Q1993" t="s">
        <v>28</v>
      </c>
      <c r="R1993" t="s">
        <v>29</v>
      </c>
      <c r="S1993" t="s">
        <v>793</v>
      </c>
      <c r="T1993">
        <f>_xlfn.XLOOKUP(X1993,Hoja2!D:D,Hoja2!A:A)</f>
        <v>52965969</v>
      </c>
      <c r="U1993" t="str">
        <f>_xlfn.XLOOKUP(X1993,Hoja2!D:D,Hoja2!B:B)</f>
        <v>FABIAN CONCHA</v>
      </c>
      <c r="V1993" t="str">
        <f>_xlfn.XLOOKUP(X1993,Hoja2!D:D,Hoja2!C:C)</f>
        <v>POSGRADOS</v>
      </c>
      <c r="W1993" s="9">
        <f>IF(V1993="pregrado",31,
IF(V1993="posgrados",31,
IF(V1993="rEINTEGROS",7,
IF(V1993="BIT",90,
IF(V1993="OP GRADO - INGLÉS",17,"")))))</f>
        <v>31</v>
      </c>
      <c r="X1993" t="s">
        <v>3960</v>
      </c>
    </row>
    <row r="1994" spans="1:24" x14ac:dyDescent="0.3">
      <c r="A1994" s="4">
        <v>46129</v>
      </c>
      <c r="B1994">
        <v>20131557</v>
      </c>
      <c r="C1994" t="s">
        <v>19</v>
      </c>
      <c r="D1994">
        <v>174643</v>
      </c>
      <c r="E1994" t="s">
        <v>43</v>
      </c>
      <c r="F1994">
        <v>1006876102</v>
      </c>
      <c r="G1994" t="s">
        <v>4695</v>
      </c>
      <c r="H1994">
        <v>100250788</v>
      </c>
      <c r="I1994">
        <v>202652</v>
      </c>
      <c r="J1994">
        <v>1006876102</v>
      </c>
      <c r="K1994" t="s">
        <v>23</v>
      </c>
      <c r="L1994" t="s">
        <v>252</v>
      </c>
      <c r="M1994" t="s">
        <v>253</v>
      </c>
      <c r="N1994" t="s">
        <v>25</v>
      </c>
      <c r="O1994" t="s">
        <v>26</v>
      </c>
      <c r="P1994" t="s">
        <v>27</v>
      </c>
      <c r="Q1994" t="s">
        <v>28</v>
      </c>
      <c r="R1994" t="s">
        <v>29</v>
      </c>
      <c r="S1994" t="s">
        <v>793</v>
      </c>
      <c r="T1994">
        <f>_xlfn.XLOOKUP(X1994,Hoja2!D:D,Hoja2!A:A)</f>
        <v>1031147887</v>
      </c>
      <c r="U1994" t="str">
        <f>_xlfn.XLOOKUP(X1994,Hoja2!D:D,Hoja2!B:B)</f>
        <v>IVONNE JINETH RODRIGUEZ ROJAS</v>
      </c>
      <c r="V1994" t="str">
        <f>_xlfn.XLOOKUP(X1994,Hoja2!D:D,Hoja2!C:C)</f>
        <v>POSGRADOS</v>
      </c>
      <c r="W1994" s="9">
        <f>IF(V1994="pregrado",31,
IF(V1994="posgrados",31,
IF(V1994="rEINTEGROS",7,
IF(V1994="BIT",90,
IF(V1994="OP GRADO - INGLÉS",17,"")))))</f>
        <v>31</v>
      </c>
      <c r="X1994" t="s">
        <v>3947</v>
      </c>
    </row>
    <row r="1995" spans="1:24" x14ac:dyDescent="0.3">
      <c r="A1995" s="4">
        <v>46126</v>
      </c>
      <c r="B1995">
        <v>20130998</v>
      </c>
      <c r="C1995" t="s">
        <v>19</v>
      </c>
      <c r="D1995">
        <v>174660</v>
      </c>
      <c r="E1995" t="s">
        <v>43</v>
      </c>
      <c r="F1995">
        <v>33200433</v>
      </c>
      <c r="G1995" t="s">
        <v>4574</v>
      </c>
      <c r="H1995">
        <v>100250808</v>
      </c>
      <c r="I1995">
        <v>202652</v>
      </c>
      <c r="J1995">
        <v>33200433</v>
      </c>
      <c r="K1995" t="s">
        <v>23</v>
      </c>
      <c r="L1995" t="s">
        <v>252</v>
      </c>
      <c r="M1995" t="s">
        <v>253</v>
      </c>
      <c r="N1995">
        <v>0</v>
      </c>
      <c r="O1995" t="s">
        <v>26</v>
      </c>
      <c r="P1995" t="s">
        <v>27</v>
      </c>
      <c r="Q1995" t="s">
        <v>28</v>
      </c>
      <c r="R1995" t="s">
        <v>29</v>
      </c>
      <c r="S1995" t="s">
        <v>793</v>
      </c>
      <c r="T1995">
        <f>_xlfn.XLOOKUP(X1995,Hoja2!D:D,Hoja2!A:A)</f>
        <v>1033781417</v>
      </c>
      <c r="U1995" t="str">
        <f>_xlfn.XLOOKUP(X1995,Hoja2!D:D,Hoja2!B:B)</f>
        <v>IVONNE JINETH RODRIGUEZ ROJAS</v>
      </c>
      <c r="V1995" t="str">
        <f>_xlfn.XLOOKUP(X1995,Hoja2!D:D,Hoja2!C:C)</f>
        <v>POSGRADOS</v>
      </c>
      <c r="W1995" s="9">
        <f>IF(V1995="pregrado",31,
IF(V1995="posgrados",31,
IF(V1995="rEINTEGROS",7,
IF(V1995="BIT",90,
IF(V1995="OP GRADO - INGLÉS",17,"")))))</f>
        <v>31</v>
      </c>
      <c r="X1995" t="s">
        <v>4031</v>
      </c>
    </row>
    <row r="1996" spans="1:24" x14ac:dyDescent="0.3">
      <c r="A1996" s="4">
        <v>46126</v>
      </c>
      <c r="B1996">
        <v>20130963</v>
      </c>
      <c r="C1996" t="s">
        <v>19</v>
      </c>
      <c r="D1996">
        <v>174663</v>
      </c>
      <c r="E1996" t="s">
        <v>43</v>
      </c>
      <c r="F1996">
        <v>1121949036</v>
      </c>
      <c r="G1996" t="s">
        <v>4565</v>
      </c>
      <c r="H1996">
        <v>100250811</v>
      </c>
      <c r="I1996">
        <v>202652</v>
      </c>
      <c r="J1996">
        <v>1121949036</v>
      </c>
      <c r="K1996" t="s">
        <v>23</v>
      </c>
      <c r="L1996" t="s">
        <v>252</v>
      </c>
      <c r="M1996" t="s">
        <v>253</v>
      </c>
      <c r="N1996" t="s">
        <v>35</v>
      </c>
      <c r="O1996" t="s">
        <v>26</v>
      </c>
      <c r="P1996" t="s">
        <v>27</v>
      </c>
      <c r="Q1996" t="s">
        <v>28</v>
      </c>
      <c r="R1996" t="s">
        <v>29</v>
      </c>
      <c r="S1996" t="s">
        <v>793</v>
      </c>
      <c r="T1996">
        <f>_xlfn.XLOOKUP(X1996,Hoja2!D:D,Hoja2!A:A)</f>
        <v>1031147887</v>
      </c>
      <c r="U1996" t="str">
        <f>_xlfn.XLOOKUP(X1996,Hoja2!D:D,Hoja2!B:B)</f>
        <v>IVONNE JINETH RODRIGUEZ ROJAS</v>
      </c>
      <c r="V1996" t="str">
        <f>_xlfn.XLOOKUP(X1996,Hoja2!D:D,Hoja2!C:C)</f>
        <v>POSGRADOS</v>
      </c>
      <c r="W1996" s="9">
        <f>IF(V1996="pregrado",31,
IF(V1996="posgrados",31,
IF(V1996="rEINTEGROS",7,
IF(V1996="BIT",90,
IF(V1996="OP GRADO - INGLÉS",17,"")))))</f>
        <v>31</v>
      </c>
      <c r="X1996" t="s">
        <v>3947</v>
      </c>
    </row>
    <row r="1997" spans="1:24" x14ac:dyDescent="0.3">
      <c r="A1997" s="4">
        <v>46126</v>
      </c>
      <c r="B1997">
        <v>20131046</v>
      </c>
      <c r="C1997" t="s">
        <v>19</v>
      </c>
      <c r="D1997">
        <v>174679</v>
      </c>
      <c r="E1997" t="s">
        <v>43</v>
      </c>
      <c r="F1997">
        <v>52815777</v>
      </c>
      <c r="G1997" t="s">
        <v>4585</v>
      </c>
      <c r="H1997">
        <v>100250834</v>
      </c>
      <c r="I1997">
        <v>202652</v>
      </c>
      <c r="J1997">
        <v>52815777</v>
      </c>
      <c r="K1997" t="s">
        <v>23</v>
      </c>
      <c r="L1997" t="s">
        <v>252</v>
      </c>
      <c r="M1997" t="s">
        <v>253</v>
      </c>
      <c r="N1997" t="s">
        <v>35</v>
      </c>
      <c r="O1997" t="s">
        <v>26</v>
      </c>
      <c r="P1997" t="s">
        <v>27</v>
      </c>
      <c r="Q1997" t="s">
        <v>28</v>
      </c>
      <c r="R1997" t="s">
        <v>29</v>
      </c>
      <c r="S1997" t="s">
        <v>793</v>
      </c>
      <c r="T1997">
        <f>_xlfn.XLOOKUP(X1997,Hoja2!D:D,Hoja2!A:A)</f>
        <v>1075542872</v>
      </c>
      <c r="U1997" t="str">
        <f>_xlfn.XLOOKUP(X1997,Hoja2!D:D,Hoja2!B:B)</f>
        <v>IVONNE JINETH RODRIGUEZ ROJAS</v>
      </c>
      <c r="V1997" t="str">
        <f>_xlfn.XLOOKUP(X1997,Hoja2!D:D,Hoja2!C:C)</f>
        <v>POSGRADOS</v>
      </c>
      <c r="W1997" s="9">
        <f>IF(V1997="pregrado",31,
IF(V1997="posgrados",31,
IF(V1997="rEINTEGROS",7,
IF(V1997="BIT",90,
IF(V1997="OP GRADO - INGLÉS",17,"")))))</f>
        <v>31</v>
      </c>
      <c r="X1997" t="s">
        <v>3974</v>
      </c>
    </row>
    <row r="1998" spans="1:24" x14ac:dyDescent="0.3">
      <c r="A1998" s="4">
        <v>46133</v>
      </c>
      <c r="B1998">
        <v>20131873</v>
      </c>
      <c r="C1998" t="s">
        <v>19</v>
      </c>
      <c r="D1998">
        <v>174680</v>
      </c>
      <c r="E1998" t="s">
        <v>43</v>
      </c>
      <c r="F1998">
        <v>72096942</v>
      </c>
      <c r="G1998" t="s">
        <v>4765</v>
      </c>
      <c r="H1998">
        <v>100250835</v>
      </c>
      <c r="I1998">
        <v>202652</v>
      </c>
      <c r="J1998">
        <v>72096942</v>
      </c>
      <c r="K1998" t="s">
        <v>23</v>
      </c>
      <c r="L1998" t="s">
        <v>252</v>
      </c>
      <c r="M1998" t="s">
        <v>253</v>
      </c>
      <c r="N1998" t="s">
        <v>4146</v>
      </c>
      <c r="O1998" t="s">
        <v>26</v>
      </c>
      <c r="P1998" t="s">
        <v>27</v>
      </c>
      <c r="Q1998" t="s">
        <v>28</v>
      </c>
      <c r="R1998" t="s">
        <v>29</v>
      </c>
      <c r="S1998" t="s">
        <v>793</v>
      </c>
      <c r="T1998">
        <f>_xlfn.XLOOKUP(X1998,Hoja2!D:D,Hoja2!A:A)</f>
        <v>1010081108</v>
      </c>
      <c r="U1998" t="str">
        <f>_xlfn.XLOOKUP(X1998,Hoja2!D:D,Hoja2!B:B)</f>
        <v>HEIDY LORENA PRIETO AHUMADA</v>
      </c>
      <c r="V1998" t="str">
        <f>_xlfn.XLOOKUP(X1998,Hoja2!D:D,Hoja2!C:C)</f>
        <v>PREGRADO</v>
      </c>
      <c r="W1998" s="9">
        <f>IF(V1998="pregrado",31,
IF(V1998="posgrados",31,
IF(V1998="rEINTEGROS",7,
IF(V1998="BIT",90,
IF(V1998="OP GRADO - INGLÉS",17,"")))))</f>
        <v>31</v>
      </c>
      <c r="X1998" t="s">
        <v>4009</v>
      </c>
    </row>
    <row r="1999" spans="1:24" x14ac:dyDescent="0.3">
      <c r="A1999" s="4">
        <v>46128</v>
      </c>
      <c r="B1999">
        <v>20131288</v>
      </c>
      <c r="C1999" t="s">
        <v>19</v>
      </c>
      <c r="D1999">
        <v>174686</v>
      </c>
      <c r="E1999" t="s">
        <v>43</v>
      </c>
      <c r="F1999">
        <v>1081418472</v>
      </c>
      <c r="G1999" t="s">
        <v>4642</v>
      </c>
      <c r="H1999">
        <v>100194431</v>
      </c>
      <c r="I1999">
        <v>202652</v>
      </c>
      <c r="J1999">
        <v>1081418472</v>
      </c>
      <c r="K1999" t="s">
        <v>23</v>
      </c>
      <c r="L1999" t="s">
        <v>252</v>
      </c>
      <c r="M1999" t="s">
        <v>253</v>
      </c>
      <c r="N1999" t="s">
        <v>35</v>
      </c>
      <c r="O1999" t="s">
        <v>26</v>
      </c>
      <c r="P1999" t="s">
        <v>27</v>
      </c>
      <c r="Q1999" t="s">
        <v>28</v>
      </c>
      <c r="R1999" t="s">
        <v>29</v>
      </c>
      <c r="S1999" t="s">
        <v>793</v>
      </c>
      <c r="T1999">
        <f>_xlfn.XLOOKUP(X1999,Hoja2!D:D,Hoja2!A:A)</f>
        <v>1033793185</v>
      </c>
      <c r="U1999" t="str">
        <f>_xlfn.XLOOKUP(X1999,Hoja2!D:D,Hoja2!B:B)</f>
        <v>IVONNE JINETH RODRIGUEZ ROJAS</v>
      </c>
      <c r="V1999" t="str">
        <f>_xlfn.XLOOKUP(X1999,Hoja2!D:D,Hoja2!C:C)</f>
        <v>POSGRADOS</v>
      </c>
      <c r="W1999" s="9">
        <f>IF(V1999="pregrado",31,
IF(V1999="posgrados",31,
IF(V1999="rEINTEGROS",7,
IF(V1999="BIT",90,
IF(V1999="OP GRADO - INGLÉS",17,"")))))</f>
        <v>31</v>
      </c>
      <c r="X1999" t="s">
        <v>4082</v>
      </c>
    </row>
    <row r="2000" spans="1:24" x14ac:dyDescent="0.3">
      <c r="A2000" s="4">
        <v>46126</v>
      </c>
      <c r="B2000">
        <v>20131011</v>
      </c>
      <c r="C2000" t="s">
        <v>19</v>
      </c>
      <c r="D2000">
        <v>174693</v>
      </c>
      <c r="E2000" t="s">
        <v>43</v>
      </c>
      <c r="F2000">
        <v>60367077</v>
      </c>
      <c r="G2000" t="s">
        <v>4577</v>
      </c>
      <c r="H2000">
        <v>100250848</v>
      </c>
      <c r="I2000">
        <v>202652</v>
      </c>
      <c r="J2000">
        <v>60367077</v>
      </c>
      <c r="K2000" t="s">
        <v>23</v>
      </c>
      <c r="L2000" t="s">
        <v>252</v>
      </c>
      <c r="M2000" t="s">
        <v>253</v>
      </c>
      <c r="N2000" t="s">
        <v>35</v>
      </c>
      <c r="O2000" t="s">
        <v>26</v>
      </c>
      <c r="P2000" t="s">
        <v>27</v>
      </c>
      <c r="Q2000" t="s">
        <v>28</v>
      </c>
      <c r="R2000" t="s">
        <v>29</v>
      </c>
      <c r="S2000" t="s">
        <v>793</v>
      </c>
      <c r="T2000">
        <f>_xlfn.XLOOKUP(X2000,Hoja2!D:D,Hoja2!A:A)</f>
        <v>1016030683</v>
      </c>
      <c r="U2000" t="str">
        <f>_xlfn.XLOOKUP(X2000,Hoja2!D:D,Hoja2!B:B)</f>
        <v>FABIAN CONCHA</v>
      </c>
      <c r="V2000" t="str">
        <f>_xlfn.XLOOKUP(X2000,Hoja2!D:D,Hoja2!C:C)</f>
        <v>POSGRADOS</v>
      </c>
      <c r="W2000" s="9">
        <f>IF(V2000="pregrado",31,
IF(V2000="posgrados",31,
IF(V2000="rEINTEGROS",7,
IF(V2000="BIT",90,
IF(V2000="OP GRADO - INGLÉS",17,"")))))</f>
        <v>31</v>
      </c>
      <c r="X2000" t="s">
        <v>3992</v>
      </c>
    </row>
    <row r="2001" spans="1:24" x14ac:dyDescent="0.3">
      <c r="A2001" s="4">
        <v>46126</v>
      </c>
      <c r="B2001">
        <v>20131015</v>
      </c>
      <c r="C2001" t="s">
        <v>19</v>
      </c>
      <c r="D2001">
        <v>174695</v>
      </c>
      <c r="E2001" t="s">
        <v>43</v>
      </c>
      <c r="F2001">
        <v>91018027</v>
      </c>
      <c r="G2001" t="s">
        <v>4579</v>
      </c>
      <c r="H2001">
        <v>100250813</v>
      </c>
      <c r="I2001">
        <v>202652</v>
      </c>
      <c r="J2001">
        <v>91018027</v>
      </c>
      <c r="K2001" t="s">
        <v>23</v>
      </c>
      <c r="L2001" t="s">
        <v>252</v>
      </c>
      <c r="M2001" t="s">
        <v>253</v>
      </c>
      <c r="N2001" t="s">
        <v>35</v>
      </c>
      <c r="O2001" t="s">
        <v>26</v>
      </c>
      <c r="P2001" t="s">
        <v>27</v>
      </c>
      <c r="Q2001" t="s">
        <v>28</v>
      </c>
      <c r="R2001" t="s">
        <v>29</v>
      </c>
      <c r="S2001" t="s">
        <v>793</v>
      </c>
      <c r="T2001">
        <f>_xlfn.XLOOKUP(X2001,Hoja2!D:D,Hoja2!A:A)</f>
        <v>1033793185</v>
      </c>
      <c r="U2001" t="str">
        <f>_xlfn.XLOOKUP(X2001,Hoja2!D:D,Hoja2!B:B)</f>
        <v>IVONNE JINETH RODRIGUEZ ROJAS</v>
      </c>
      <c r="V2001" t="str">
        <f>_xlfn.XLOOKUP(X2001,Hoja2!D:D,Hoja2!C:C)</f>
        <v>POSGRADOS</v>
      </c>
      <c r="W2001" s="9">
        <f>IF(V2001="pregrado",31,
IF(V2001="posgrados",31,
IF(V2001="rEINTEGROS",7,
IF(V2001="BIT",90,
IF(V2001="OP GRADO - INGLÉS",17,"")))))</f>
        <v>31</v>
      </c>
      <c r="X2001" t="s">
        <v>4082</v>
      </c>
    </row>
    <row r="2002" spans="1:24" x14ac:dyDescent="0.3">
      <c r="A2002" s="4">
        <v>46128</v>
      </c>
      <c r="B2002">
        <v>20131385</v>
      </c>
      <c r="C2002" t="s">
        <v>19</v>
      </c>
      <c r="D2002">
        <v>174696</v>
      </c>
      <c r="E2002" t="s">
        <v>43</v>
      </c>
      <c r="F2002">
        <v>17656762</v>
      </c>
      <c r="G2002" t="s">
        <v>4658</v>
      </c>
      <c r="H2002">
        <v>100250856</v>
      </c>
      <c r="I2002">
        <v>202642</v>
      </c>
      <c r="J2002">
        <v>17656762</v>
      </c>
      <c r="K2002" t="s">
        <v>23</v>
      </c>
      <c r="L2002" t="s">
        <v>4163</v>
      </c>
      <c r="M2002" t="s">
        <v>47</v>
      </c>
      <c r="N2002" t="s">
        <v>35</v>
      </c>
      <c r="O2002" t="s">
        <v>26</v>
      </c>
      <c r="P2002" t="s">
        <v>27</v>
      </c>
      <c r="Q2002" t="s">
        <v>28</v>
      </c>
      <c r="R2002" t="s">
        <v>29</v>
      </c>
      <c r="S2002" t="s">
        <v>793</v>
      </c>
      <c r="T2002">
        <f>_xlfn.XLOOKUP(X2002,Hoja2!D:D,Hoja2!A:A)</f>
        <v>1016030683</v>
      </c>
      <c r="U2002" t="str">
        <f>_xlfn.XLOOKUP(X2002,Hoja2!D:D,Hoja2!B:B)</f>
        <v>FABIAN CONCHA</v>
      </c>
      <c r="V2002" t="str">
        <f>_xlfn.XLOOKUP(X2002,Hoja2!D:D,Hoja2!C:C)</f>
        <v>POSGRADOS</v>
      </c>
      <c r="W2002" s="9">
        <f>IF(V2002="pregrado",31,
IF(V2002="posgrados",31,
IF(V2002="rEINTEGROS",7,
IF(V2002="BIT",90,
IF(V2002="OP GRADO - INGLÉS",17,"")))))</f>
        <v>31</v>
      </c>
      <c r="X2002" t="s">
        <v>3992</v>
      </c>
    </row>
    <row r="2003" spans="1:24" x14ac:dyDescent="0.3">
      <c r="A2003" s="4">
        <v>46126</v>
      </c>
      <c r="B2003">
        <v>20131059</v>
      </c>
      <c r="C2003" t="s">
        <v>19</v>
      </c>
      <c r="D2003">
        <v>174697</v>
      </c>
      <c r="E2003" t="s">
        <v>43</v>
      </c>
      <c r="F2003">
        <v>22698543</v>
      </c>
      <c r="G2003" t="s">
        <v>4589</v>
      </c>
      <c r="H2003">
        <v>100250857</v>
      </c>
      <c r="I2003">
        <v>202652</v>
      </c>
      <c r="J2003">
        <v>22698543</v>
      </c>
      <c r="K2003" t="s">
        <v>23</v>
      </c>
      <c r="L2003" t="s">
        <v>252</v>
      </c>
      <c r="M2003" t="s">
        <v>253</v>
      </c>
      <c r="N2003" t="s">
        <v>35</v>
      </c>
      <c r="O2003" t="s">
        <v>26</v>
      </c>
      <c r="P2003" t="s">
        <v>27</v>
      </c>
      <c r="Q2003" t="s">
        <v>28</v>
      </c>
      <c r="R2003" t="s">
        <v>29</v>
      </c>
      <c r="S2003" t="s">
        <v>793</v>
      </c>
      <c r="T2003">
        <f>_xlfn.XLOOKUP(X2003,Hoja2!D:D,Hoja2!A:A)</f>
        <v>1020754225</v>
      </c>
      <c r="U2003" t="str">
        <f>_xlfn.XLOOKUP(X2003,Hoja2!D:D,Hoja2!B:B)</f>
        <v>IVONNE JINETH RODRIGUEZ ROJAS</v>
      </c>
      <c r="V2003" t="str">
        <f>_xlfn.XLOOKUP(X2003,Hoja2!D:D,Hoja2!C:C)</f>
        <v>POSGRADOS</v>
      </c>
      <c r="W2003" s="9">
        <f>IF(V2003="pregrado",31,
IF(V2003="posgrados",31,
IF(V2003="rEINTEGROS",7,
IF(V2003="BIT",90,
IF(V2003="OP GRADO - INGLÉS",17,"")))))</f>
        <v>31</v>
      </c>
      <c r="X2003" t="s">
        <v>3981</v>
      </c>
    </row>
    <row r="2004" spans="1:24" x14ac:dyDescent="0.3">
      <c r="A2004" s="4">
        <v>46126</v>
      </c>
      <c r="B2004">
        <v>20131068</v>
      </c>
      <c r="C2004" t="s">
        <v>19</v>
      </c>
      <c r="D2004">
        <v>174710</v>
      </c>
      <c r="E2004" t="s">
        <v>43</v>
      </c>
      <c r="F2004">
        <v>1102870034</v>
      </c>
      <c r="G2004" t="s">
        <v>4591</v>
      </c>
      <c r="H2004">
        <v>100250882</v>
      </c>
      <c r="I2004">
        <v>202652</v>
      </c>
      <c r="J2004">
        <v>1102870034</v>
      </c>
      <c r="K2004" t="s">
        <v>23</v>
      </c>
      <c r="L2004" t="s">
        <v>252</v>
      </c>
      <c r="M2004" t="s">
        <v>253</v>
      </c>
      <c r="N2004" t="s">
        <v>35</v>
      </c>
      <c r="O2004" t="s">
        <v>26</v>
      </c>
      <c r="P2004" t="s">
        <v>27</v>
      </c>
      <c r="Q2004" t="s">
        <v>28</v>
      </c>
      <c r="R2004" t="s">
        <v>29</v>
      </c>
      <c r="S2004" t="s">
        <v>793</v>
      </c>
      <c r="T2004">
        <f>_xlfn.XLOOKUP(X2004,Hoja2!D:D,Hoja2!A:A)</f>
        <v>1073673268</v>
      </c>
      <c r="U2004" t="str">
        <f>_xlfn.XLOOKUP(X2004,Hoja2!D:D,Hoja2!B:B)</f>
        <v>IVONNE JINETH RODRIGUEZ ROJAS</v>
      </c>
      <c r="V2004" t="str">
        <f>_xlfn.XLOOKUP(X2004,Hoja2!D:D,Hoja2!C:C)</f>
        <v>POSGRADOS</v>
      </c>
      <c r="W2004" s="9">
        <f>IF(V2004="pregrado",31,
IF(V2004="posgrados",31,
IF(V2004="rEINTEGROS",7,
IF(V2004="BIT",90,
IF(V2004="OP GRADO - INGLÉS",17,"")))))</f>
        <v>31</v>
      </c>
      <c r="X2004" t="s">
        <v>4080</v>
      </c>
    </row>
    <row r="2005" spans="1:24" x14ac:dyDescent="0.3">
      <c r="A2005" s="4">
        <v>46136</v>
      </c>
      <c r="B2005">
        <v>20132116</v>
      </c>
      <c r="C2005" t="s">
        <v>19</v>
      </c>
      <c r="D2005">
        <v>174730</v>
      </c>
      <c r="E2005" t="s">
        <v>43</v>
      </c>
      <c r="F2005">
        <v>1082975556</v>
      </c>
      <c r="G2005" t="s">
        <v>4824</v>
      </c>
      <c r="H2005">
        <v>100250903</v>
      </c>
      <c r="I2005">
        <v>202652</v>
      </c>
      <c r="J2005">
        <v>1082975556</v>
      </c>
      <c r="K2005" t="s">
        <v>23</v>
      </c>
      <c r="L2005" t="s">
        <v>252</v>
      </c>
      <c r="M2005" t="s">
        <v>253</v>
      </c>
      <c r="N2005" t="s">
        <v>4146</v>
      </c>
      <c r="O2005" t="s">
        <v>26</v>
      </c>
      <c r="P2005" t="s">
        <v>27</v>
      </c>
      <c r="Q2005" t="s">
        <v>28</v>
      </c>
      <c r="R2005" t="s">
        <v>29</v>
      </c>
      <c r="S2005" t="s">
        <v>793</v>
      </c>
      <c r="T2005">
        <f>_xlfn.XLOOKUP(X2005,Hoja2!D:D,Hoja2!A:A)</f>
        <v>1010081108</v>
      </c>
      <c r="U2005" t="str">
        <f>_xlfn.XLOOKUP(X2005,Hoja2!D:D,Hoja2!B:B)</f>
        <v>HEIDY LORENA PRIETO AHUMADA</v>
      </c>
      <c r="V2005" t="str">
        <f>_xlfn.XLOOKUP(X2005,Hoja2!D:D,Hoja2!C:C)</f>
        <v>PREGRADO</v>
      </c>
      <c r="W2005" s="9">
        <f>IF(V2005="pregrado",31,
IF(V2005="posgrados",31,
IF(V2005="rEINTEGROS",7,
IF(V2005="BIT",90,
IF(V2005="OP GRADO - INGLÉS",17,"")))))</f>
        <v>31</v>
      </c>
      <c r="X2005" t="s">
        <v>4009</v>
      </c>
    </row>
    <row r="2006" spans="1:24" x14ac:dyDescent="0.3">
      <c r="A2006" s="4">
        <v>46127</v>
      </c>
      <c r="B2006">
        <v>20131203</v>
      </c>
      <c r="C2006" t="s">
        <v>19</v>
      </c>
      <c r="D2006">
        <v>174734</v>
      </c>
      <c r="E2006" t="s">
        <v>43</v>
      </c>
      <c r="F2006">
        <v>79830004</v>
      </c>
      <c r="G2006" t="s">
        <v>4587</v>
      </c>
      <c r="H2006">
        <v>100250914</v>
      </c>
      <c r="I2006">
        <v>202652</v>
      </c>
      <c r="J2006">
        <v>79830004</v>
      </c>
      <c r="K2006" t="s">
        <v>23</v>
      </c>
      <c r="L2006" t="s">
        <v>252</v>
      </c>
      <c r="M2006" t="s">
        <v>253</v>
      </c>
      <c r="N2006" t="s">
        <v>35</v>
      </c>
      <c r="O2006" t="s">
        <v>26</v>
      </c>
      <c r="P2006" t="s">
        <v>27</v>
      </c>
      <c r="Q2006" t="s">
        <v>28</v>
      </c>
      <c r="R2006" t="s">
        <v>29</v>
      </c>
      <c r="S2006" t="s">
        <v>793</v>
      </c>
      <c r="T2006">
        <f>_xlfn.XLOOKUP(X2006,Hoja2!D:D,Hoja2!A:A)</f>
        <v>1233513889</v>
      </c>
      <c r="U2006" t="str">
        <f>_xlfn.XLOOKUP(X2006,Hoja2!D:D,Hoja2!B:B)</f>
        <v>IVONNE JINETH RODRIGUEZ ROJAS</v>
      </c>
      <c r="V2006" t="str">
        <f>_xlfn.XLOOKUP(X2006,Hoja2!D:D,Hoja2!C:C)</f>
        <v>POSGRADOS</v>
      </c>
      <c r="W2006" s="9">
        <f>IF(V2006="pregrado",31,
IF(V2006="posgrados",31,
IF(V2006="rEINTEGROS",7,
IF(V2006="BIT",90,
IF(V2006="OP GRADO - INGLÉS",17,"")))))</f>
        <v>31</v>
      </c>
      <c r="X2006" t="s">
        <v>4035</v>
      </c>
    </row>
    <row r="2007" spans="1:24" x14ac:dyDescent="0.3">
      <c r="A2007" s="4">
        <v>46127</v>
      </c>
      <c r="B2007">
        <v>20131167</v>
      </c>
      <c r="C2007" t="s">
        <v>19</v>
      </c>
      <c r="D2007">
        <v>174737</v>
      </c>
      <c r="E2007" t="s">
        <v>43</v>
      </c>
      <c r="F2007">
        <v>1004774174</v>
      </c>
      <c r="G2007" t="s">
        <v>4614</v>
      </c>
      <c r="H2007">
        <v>100216973</v>
      </c>
      <c r="I2007">
        <v>202652</v>
      </c>
      <c r="J2007">
        <v>1004774174</v>
      </c>
      <c r="K2007" t="s">
        <v>23</v>
      </c>
      <c r="L2007" t="s">
        <v>252</v>
      </c>
      <c r="M2007" t="s">
        <v>253</v>
      </c>
      <c r="N2007" t="s">
        <v>35</v>
      </c>
      <c r="O2007" t="s">
        <v>26</v>
      </c>
      <c r="P2007" t="s">
        <v>27</v>
      </c>
      <c r="Q2007" t="s">
        <v>28</v>
      </c>
      <c r="R2007" t="s">
        <v>29</v>
      </c>
      <c r="S2007" t="s">
        <v>793</v>
      </c>
      <c r="T2007">
        <f>_xlfn.XLOOKUP(X2007,Hoja2!D:D,Hoja2!A:A)</f>
        <v>1073673268</v>
      </c>
      <c r="U2007" t="str">
        <f>_xlfn.XLOOKUP(X2007,Hoja2!D:D,Hoja2!B:B)</f>
        <v>IVONNE JINETH RODRIGUEZ ROJAS</v>
      </c>
      <c r="V2007" t="str">
        <f>_xlfn.XLOOKUP(X2007,Hoja2!D:D,Hoja2!C:C)</f>
        <v>POSGRADOS</v>
      </c>
      <c r="W2007" s="9">
        <f>IF(V2007="pregrado",31,
IF(V2007="posgrados",31,
IF(V2007="rEINTEGROS",7,
IF(V2007="BIT",90,
IF(V2007="OP GRADO - INGLÉS",17,"")))))</f>
        <v>31</v>
      </c>
      <c r="X2007" t="s">
        <v>4080</v>
      </c>
    </row>
    <row r="2008" spans="1:24" x14ac:dyDescent="0.3">
      <c r="A2008" s="4">
        <v>46129</v>
      </c>
      <c r="B2008">
        <v>20131566</v>
      </c>
      <c r="C2008" t="s">
        <v>19</v>
      </c>
      <c r="D2008">
        <v>174741</v>
      </c>
      <c r="E2008" t="s">
        <v>43</v>
      </c>
      <c r="F2008">
        <v>1016061887</v>
      </c>
      <c r="G2008" t="s">
        <v>4699</v>
      </c>
      <c r="H2008">
        <v>100039049</v>
      </c>
      <c r="I2008">
        <v>202652</v>
      </c>
      <c r="J2008">
        <v>1016061887</v>
      </c>
      <c r="K2008" t="s">
        <v>46</v>
      </c>
      <c r="L2008" t="s">
        <v>252</v>
      </c>
      <c r="M2008" t="s">
        <v>253</v>
      </c>
      <c r="N2008" t="s">
        <v>4700</v>
      </c>
      <c r="O2008" t="s">
        <v>26</v>
      </c>
      <c r="P2008" t="s">
        <v>27</v>
      </c>
      <c r="Q2008" t="s">
        <v>28</v>
      </c>
      <c r="R2008" t="s">
        <v>29</v>
      </c>
      <c r="S2008" t="s">
        <v>793</v>
      </c>
      <c r="T2008">
        <f>_xlfn.XLOOKUP(X2008,Hoja2!D:D,Hoja2!A:A)</f>
        <v>1012389748</v>
      </c>
      <c r="U2008" t="str">
        <f>_xlfn.XLOOKUP(X2008,Hoja2!D:D,Hoja2!B:B)</f>
        <v>IVONNE JINETH RODRIGUEZ ROJAS</v>
      </c>
      <c r="V2008" t="str">
        <f>_xlfn.XLOOKUP(X2008,Hoja2!D:D,Hoja2!C:C)</f>
        <v>POSGRADOS</v>
      </c>
      <c r="W2008" s="9">
        <f>IF(V2008="pregrado",31,
IF(V2008="posgrados",31,
IF(V2008="rEINTEGROS",7,
IF(V2008="BIT",90,
IF(V2008="OP GRADO - INGLÉS",17,"")))))</f>
        <v>31</v>
      </c>
      <c r="X2008" t="s">
        <v>4065</v>
      </c>
    </row>
    <row r="2009" spans="1:24" x14ac:dyDescent="0.3">
      <c r="A2009" s="4">
        <v>46132</v>
      </c>
      <c r="B2009">
        <v>20131685</v>
      </c>
      <c r="C2009" t="s">
        <v>19</v>
      </c>
      <c r="D2009">
        <v>174750</v>
      </c>
      <c r="E2009" t="s">
        <v>43</v>
      </c>
      <c r="F2009">
        <v>1062281664</v>
      </c>
      <c r="G2009" t="s">
        <v>4725</v>
      </c>
      <c r="H2009">
        <v>100250724</v>
      </c>
      <c r="I2009">
        <v>202652</v>
      </c>
      <c r="J2009">
        <v>1062281664</v>
      </c>
      <c r="K2009" t="s">
        <v>23</v>
      </c>
      <c r="L2009" t="s">
        <v>252</v>
      </c>
      <c r="M2009" t="s">
        <v>253</v>
      </c>
      <c r="N2009" t="s">
        <v>35</v>
      </c>
      <c r="O2009" t="s">
        <v>26</v>
      </c>
      <c r="P2009" t="s">
        <v>27</v>
      </c>
      <c r="Q2009" t="s">
        <v>28</v>
      </c>
      <c r="R2009" t="s">
        <v>29</v>
      </c>
      <c r="S2009" t="s">
        <v>793</v>
      </c>
      <c r="T2009">
        <f>_xlfn.XLOOKUP(X2009,Hoja2!D:D,Hoja2!A:A)</f>
        <v>1233513889</v>
      </c>
      <c r="U2009" t="str">
        <f>_xlfn.XLOOKUP(X2009,Hoja2!D:D,Hoja2!B:B)</f>
        <v>IVONNE JINETH RODRIGUEZ ROJAS</v>
      </c>
      <c r="V2009" t="str">
        <f>_xlfn.XLOOKUP(X2009,Hoja2!D:D,Hoja2!C:C)</f>
        <v>POSGRADOS</v>
      </c>
      <c r="W2009" s="9">
        <f>IF(V2009="pregrado",31,
IF(V2009="posgrados",31,
IF(V2009="rEINTEGROS",7,
IF(V2009="BIT",90,
IF(V2009="OP GRADO - INGLÉS",17,"")))))</f>
        <v>31</v>
      </c>
      <c r="X2009" t="s">
        <v>4035</v>
      </c>
    </row>
    <row r="2010" spans="1:24" x14ac:dyDescent="0.3">
      <c r="A2010" s="4">
        <v>46127</v>
      </c>
      <c r="B2010">
        <v>20131217</v>
      </c>
      <c r="C2010" t="s">
        <v>19</v>
      </c>
      <c r="D2010">
        <v>174765</v>
      </c>
      <c r="E2010" t="s">
        <v>43</v>
      </c>
      <c r="F2010">
        <v>1070595608</v>
      </c>
      <c r="G2010" t="s">
        <v>4627</v>
      </c>
      <c r="H2010">
        <v>100250956</v>
      </c>
      <c r="I2010">
        <v>202652</v>
      </c>
      <c r="J2010">
        <v>1070595608</v>
      </c>
      <c r="K2010" t="s">
        <v>23</v>
      </c>
      <c r="L2010" t="s">
        <v>252</v>
      </c>
      <c r="M2010" t="s">
        <v>253</v>
      </c>
      <c r="N2010" t="s">
        <v>35</v>
      </c>
      <c r="O2010" t="s">
        <v>26</v>
      </c>
      <c r="P2010" t="s">
        <v>27</v>
      </c>
      <c r="Q2010" t="s">
        <v>28</v>
      </c>
      <c r="R2010" t="s">
        <v>29</v>
      </c>
      <c r="S2010" t="s">
        <v>793</v>
      </c>
      <c r="T2010">
        <f>_xlfn.XLOOKUP(X2010,Hoja2!D:D,Hoja2!A:A)</f>
        <v>1012355141</v>
      </c>
      <c r="U2010" t="str">
        <f>_xlfn.XLOOKUP(X2010,Hoja2!D:D,Hoja2!B:B)</f>
        <v>FABIAN CONCHA</v>
      </c>
      <c r="V2010" t="str">
        <f>_xlfn.XLOOKUP(X2010,Hoja2!D:D,Hoja2!C:C)</f>
        <v>POSGRADOS</v>
      </c>
      <c r="W2010" s="9">
        <f>IF(V2010="pregrado",31,
IF(V2010="posgrados",31,
IF(V2010="rEINTEGROS",7,
IF(V2010="BIT",90,
IF(V2010="OP GRADO - INGLÉS",17,"")))))</f>
        <v>31</v>
      </c>
      <c r="X2010" t="s">
        <v>4045</v>
      </c>
    </row>
    <row r="2011" spans="1:24" x14ac:dyDescent="0.3">
      <c r="A2011" s="4">
        <v>46128</v>
      </c>
      <c r="B2011">
        <v>20131401</v>
      </c>
      <c r="C2011" t="s">
        <v>19</v>
      </c>
      <c r="D2011">
        <v>174794</v>
      </c>
      <c r="E2011" t="s">
        <v>43</v>
      </c>
      <c r="F2011">
        <v>1081928275</v>
      </c>
      <c r="G2011" t="s">
        <v>4668</v>
      </c>
      <c r="H2011">
        <v>100251003</v>
      </c>
      <c r="I2011">
        <v>202642</v>
      </c>
      <c r="J2011">
        <v>1081928275</v>
      </c>
      <c r="K2011" t="s">
        <v>23</v>
      </c>
      <c r="L2011" t="s">
        <v>4163</v>
      </c>
      <c r="M2011" t="s">
        <v>47</v>
      </c>
      <c r="N2011" t="s">
        <v>35</v>
      </c>
      <c r="O2011" t="s">
        <v>26</v>
      </c>
      <c r="P2011" t="s">
        <v>27</v>
      </c>
      <c r="Q2011" t="s">
        <v>28</v>
      </c>
      <c r="R2011" t="s">
        <v>29</v>
      </c>
      <c r="S2011" t="s">
        <v>793</v>
      </c>
      <c r="T2011">
        <f>_xlfn.XLOOKUP(X2011,Hoja2!D:D,Hoja2!A:A)</f>
        <v>1070973852</v>
      </c>
      <c r="U2011" t="str">
        <f>_xlfn.XLOOKUP(X2011,Hoja2!D:D,Hoja2!B:B)</f>
        <v>FABIAN CONCHA</v>
      </c>
      <c r="V2011" t="str">
        <f>_xlfn.XLOOKUP(X2011,Hoja2!D:D,Hoja2!C:C)</f>
        <v>POSGRADOS</v>
      </c>
      <c r="W2011" s="9">
        <f>IF(V2011="pregrado",31,
IF(V2011="posgrados",31,
IF(V2011="rEINTEGROS",7,
IF(V2011="BIT",90,
IF(V2011="OP GRADO - INGLÉS",17,"")))))</f>
        <v>31</v>
      </c>
      <c r="X2011" t="s">
        <v>3957</v>
      </c>
    </row>
    <row r="2012" spans="1:24" x14ac:dyDescent="0.3">
      <c r="A2012" s="4">
        <v>46127</v>
      </c>
      <c r="B2012">
        <v>20131179</v>
      </c>
      <c r="C2012" t="s">
        <v>19</v>
      </c>
      <c r="D2012">
        <v>174806</v>
      </c>
      <c r="E2012" t="s">
        <v>43</v>
      </c>
      <c r="F2012">
        <v>1047972687</v>
      </c>
      <c r="G2012" t="s">
        <v>4617</v>
      </c>
      <c r="H2012">
        <v>100251021</v>
      </c>
      <c r="I2012">
        <v>202652</v>
      </c>
      <c r="J2012">
        <v>1047972687</v>
      </c>
      <c r="K2012" t="s">
        <v>23</v>
      </c>
      <c r="L2012" t="s">
        <v>252</v>
      </c>
      <c r="M2012" t="s">
        <v>253</v>
      </c>
      <c r="N2012" t="s">
        <v>35</v>
      </c>
      <c r="O2012" t="s">
        <v>26</v>
      </c>
      <c r="P2012" t="s">
        <v>27</v>
      </c>
      <c r="Q2012" t="s">
        <v>28</v>
      </c>
      <c r="R2012" t="s">
        <v>29</v>
      </c>
      <c r="S2012" t="s">
        <v>793</v>
      </c>
      <c r="T2012">
        <f>_xlfn.XLOOKUP(X2012,Hoja2!D:D,Hoja2!A:A)</f>
        <v>1014285873</v>
      </c>
      <c r="U2012" t="str">
        <f>_xlfn.XLOOKUP(X2012,Hoja2!D:D,Hoja2!B:B)</f>
        <v>IVONNE JINETH RODRIGUEZ ROJAS</v>
      </c>
      <c r="V2012" t="str">
        <f>_xlfn.XLOOKUP(X2012,Hoja2!D:D,Hoja2!C:C)</f>
        <v>POSGRADOS</v>
      </c>
      <c r="W2012" s="9">
        <f>IF(V2012="pregrado",31,
IF(V2012="posgrados",31,
IF(V2012="rEINTEGROS",7,
IF(V2012="BIT",90,
IF(V2012="OP GRADO - INGLÉS",17,"")))))</f>
        <v>31</v>
      </c>
      <c r="X2012" t="s">
        <v>3953</v>
      </c>
    </row>
    <row r="2013" spans="1:24" x14ac:dyDescent="0.3">
      <c r="A2013" s="4">
        <v>46128</v>
      </c>
      <c r="B2013">
        <v>20131263</v>
      </c>
      <c r="C2013" t="s">
        <v>19</v>
      </c>
      <c r="D2013">
        <v>174811</v>
      </c>
      <c r="E2013" t="s">
        <v>43</v>
      </c>
      <c r="F2013">
        <v>1073975178</v>
      </c>
      <c r="G2013" t="s">
        <v>4633</v>
      </c>
      <c r="H2013">
        <v>100250975</v>
      </c>
      <c r="I2013">
        <v>202652</v>
      </c>
      <c r="J2013">
        <v>1073975178</v>
      </c>
      <c r="K2013" t="s">
        <v>23</v>
      </c>
      <c r="L2013" t="s">
        <v>252</v>
      </c>
      <c r="M2013" t="s">
        <v>253</v>
      </c>
      <c r="N2013" t="s">
        <v>35</v>
      </c>
      <c r="O2013" t="s">
        <v>26</v>
      </c>
      <c r="P2013" t="s">
        <v>27</v>
      </c>
      <c r="Q2013" t="s">
        <v>28</v>
      </c>
      <c r="R2013" t="s">
        <v>29</v>
      </c>
      <c r="S2013" t="s">
        <v>793</v>
      </c>
      <c r="T2013">
        <f>_xlfn.XLOOKUP(X2013,Hoja2!D:D,Hoja2!A:A)</f>
        <v>1033793185</v>
      </c>
      <c r="U2013" t="str">
        <f>_xlfn.XLOOKUP(X2013,Hoja2!D:D,Hoja2!B:B)</f>
        <v>IVONNE JINETH RODRIGUEZ ROJAS</v>
      </c>
      <c r="V2013" t="str">
        <f>_xlfn.XLOOKUP(X2013,Hoja2!D:D,Hoja2!C:C)</f>
        <v>POSGRADOS</v>
      </c>
      <c r="W2013" s="9">
        <f>IF(V2013="pregrado",31,
IF(V2013="posgrados",31,
IF(V2013="rEINTEGROS",7,
IF(V2013="BIT",90,
IF(V2013="OP GRADO - INGLÉS",17,"")))))</f>
        <v>31</v>
      </c>
      <c r="X2013" t="s">
        <v>4082</v>
      </c>
    </row>
    <row r="2014" spans="1:24" x14ac:dyDescent="0.3">
      <c r="A2014" s="4">
        <v>46136</v>
      </c>
      <c r="B2014">
        <v>20132158</v>
      </c>
      <c r="C2014" t="s">
        <v>19</v>
      </c>
      <c r="D2014">
        <v>174812</v>
      </c>
      <c r="E2014" t="s">
        <v>43</v>
      </c>
      <c r="F2014">
        <v>57448463</v>
      </c>
      <c r="G2014" t="s">
        <v>4834</v>
      </c>
      <c r="H2014">
        <v>100107575</v>
      </c>
      <c r="I2014">
        <v>202652</v>
      </c>
      <c r="J2014">
        <v>57448463</v>
      </c>
      <c r="K2014" t="s">
        <v>23</v>
      </c>
      <c r="L2014" t="s">
        <v>252</v>
      </c>
      <c r="M2014" t="s">
        <v>253</v>
      </c>
      <c r="N2014" t="s">
        <v>4146</v>
      </c>
      <c r="O2014" t="s">
        <v>26</v>
      </c>
      <c r="P2014" t="s">
        <v>27</v>
      </c>
      <c r="Q2014" t="s">
        <v>28</v>
      </c>
      <c r="R2014" t="s">
        <v>29</v>
      </c>
      <c r="S2014" t="s">
        <v>793</v>
      </c>
      <c r="T2014">
        <f>_xlfn.XLOOKUP(X2014,Hoja2!D:D,Hoja2!A:A)</f>
        <v>1010081108</v>
      </c>
      <c r="U2014" t="str">
        <f>_xlfn.XLOOKUP(X2014,Hoja2!D:D,Hoja2!B:B)</f>
        <v>HEIDY LORENA PRIETO AHUMADA</v>
      </c>
      <c r="V2014" t="str">
        <f>_xlfn.XLOOKUP(X2014,Hoja2!D:D,Hoja2!C:C)</f>
        <v>PREGRADO</v>
      </c>
      <c r="W2014" s="9">
        <f>IF(V2014="pregrado",31,
IF(V2014="posgrados",31,
IF(V2014="rEINTEGROS",7,
IF(V2014="BIT",90,
IF(V2014="OP GRADO - INGLÉS",17,"")))))</f>
        <v>31</v>
      </c>
      <c r="X2014" t="s">
        <v>4009</v>
      </c>
    </row>
    <row r="2015" spans="1:24" x14ac:dyDescent="0.3">
      <c r="A2015" s="4">
        <v>46129</v>
      </c>
      <c r="B2015">
        <v>20131565</v>
      </c>
      <c r="C2015" t="s">
        <v>19</v>
      </c>
      <c r="D2015">
        <v>174839</v>
      </c>
      <c r="E2015" t="s">
        <v>43</v>
      </c>
      <c r="F2015">
        <v>1014275141</v>
      </c>
      <c r="G2015" t="s">
        <v>4698</v>
      </c>
      <c r="H2015">
        <v>100107033</v>
      </c>
      <c r="I2015">
        <v>202642</v>
      </c>
      <c r="J2015">
        <v>1014275141</v>
      </c>
      <c r="K2015" t="s">
        <v>23</v>
      </c>
      <c r="L2015" t="s">
        <v>59</v>
      </c>
      <c r="M2015" t="s">
        <v>47</v>
      </c>
      <c r="N2015" t="s">
        <v>35</v>
      </c>
      <c r="O2015" t="s">
        <v>26</v>
      </c>
      <c r="P2015" t="s">
        <v>27</v>
      </c>
      <c r="Q2015" t="s">
        <v>28</v>
      </c>
      <c r="R2015" t="s">
        <v>29</v>
      </c>
      <c r="S2015" t="s">
        <v>793</v>
      </c>
      <c r="T2015">
        <f>_xlfn.XLOOKUP(X2015,Hoja2!D:D,Hoja2!A:A)</f>
        <v>1031147887</v>
      </c>
      <c r="U2015" t="str">
        <f>_xlfn.XLOOKUP(X2015,Hoja2!D:D,Hoja2!B:B)</f>
        <v>IVONNE JINETH RODRIGUEZ ROJAS</v>
      </c>
      <c r="V2015" t="str">
        <f>_xlfn.XLOOKUP(X2015,Hoja2!D:D,Hoja2!C:C)</f>
        <v>POSGRADOS</v>
      </c>
      <c r="W2015" s="9">
        <f>IF(V2015="pregrado",31,
IF(V2015="posgrados",31,
IF(V2015="rEINTEGROS",7,
IF(V2015="BIT",90,
IF(V2015="OP GRADO - INGLÉS",17,"")))))</f>
        <v>31</v>
      </c>
      <c r="X2015" t="s">
        <v>3947</v>
      </c>
    </row>
    <row r="2016" spans="1:24" x14ac:dyDescent="0.3">
      <c r="A2016" s="4">
        <v>46140</v>
      </c>
      <c r="B2016">
        <v>20132392</v>
      </c>
      <c r="C2016" t="s">
        <v>19</v>
      </c>
      <c r="D2016">
        <v>174848</v>
      </c>
      <c r="E2016" t="s">
        <v>43</v>
      </c>
      <c r="F2016">
        <v>53061956</v>
      </c>
      <c r="G2016" t="s">
        <v>4876</v>
      </c>
      <c r="H2016">
        <v>100183112</v>
      </c>
      <c r="I2016">
        <v>202652</v>
      </c>
      <c r="J2016">
        <v>53061956</v>
      </c>
      <c r="K2016" t="s">
        <v>23</v>
      </c>
      <c r="L2016" t="s">
        <v>252</v>
      </c>
      <c r="M2016" t="s">
        <v>253</v>
      </c>
      <c r="N2016" t="s">
        <v>4315</v>
      </c>
      <c r="O2016" t="s">
        <v>26</v>
      </c>
      <c r="P2016" t="s">
        <v>4115</v>
      </c>
      <c r="Q2016" t="s">
        <v>28</v>
      </c>
      <c r="R2016" t="s">
        <v>29</v>
      </c>
      <c r="S2016" t="s">
        <v>793</v>
      </c>
      <c r="T2016">
        <f>_xlfn.XLOOKUP(X2016,Hoja2!D:D,Hoja2!A:A)</f>
        <v>1010081108</v>
      </c>
      <c r="U2016" t="str">
        <f>_xlfn.XLOOKUP(X2016,Hoja2!D:D,Hoja2!B:B)</f>
        <v>HEIDY LORENA PRIETO AHUMADA</v>
      </c>
      <c r="V2016" t="str">
        <f>_xlfn.XLOOKUP(X2016,Hoja2!D:D,Hoja2!C:C)</f>
        <v>PREGRADO</v>
      </c>
      <c r="W2016" s="9">
        <f>IF(V2016="pregrado",31,
IF(V2016="posgrados",31,
IF(V2016="rEINTEGROS",7,
IF(V2016="BIT",90,
IF(V2016="OP GRADO - INGLÉS",17,"")))))</f>
        <v>31</v>
      </c>
      <c r="X2016" t="s">
        <v>4009</v>
      </c>
    </row>
    <row r="2017" spans="1:24" x14ac:dyDescent="0.3">
      <c r="A2017" s="4">
        <v>46135</v>
      </c>
      <c r="B2017">
        <v>20131999</v>
      </c>
      <c r="C2017" t="s">
        <v>19</v>
      </c>
      <c r="D2017">
        <v>174857</v>
      </c>
      <c r="E2017" t="s">
        <v>43</v>
      </c>
      <c r="F2017">
        <v>1083882274</v>
      </c>
      <c r="G2017" t="s">
        <v>4796</v>
      </c>
      <c r="H2017">
        <v>100244941</v>
      </c>
      <c r="I2017">
        <v>202652</v>
      </c>
      <c r="J2017">
        <v>1083882274</v>
      </c>
      <c r="K2017" t="s">
        <v>23</v>
      </c>
      <c r="L2017" t="s">
        <v>252</v>
      </c>
      <c r="M2017" t="s">
        <v>253</v>
      </c>
      <c r="N2017" t="s">
        <v>35</v>
      </c>
      <c r="O2017" t="s">
        <v>26</v>
      </c>
      <c r="P2017" t="s">
        <v>27</v>
      </c>
      <c r="Q2017" t="s">
        <v>28</v>
      </c>
      <c r="R2017" t="s">
        <v>29</v>
      </c>
      <c r="S2017" t="s">
        <v>793</v>
      </c>
      <c r="T2017">
        <f>_xlfn.XLOOKUP(X2017,Hoja2!D:D,Hoja2!A:A)</f>
        <v>1140420282</v>
      </c>
      <c r="U2017" t="str">
        <f>_xlfn.XLOOKUP(X2017,Hoja2!D:D,Hoja2!B:B)</f>
        <v>IVONNE JINETH RODRIGUEZ ROJAS</v>
      </c>
      <c r="V2017" t="str">
        <f>_xlfn.XLOOKUP(X2017,Hoja2!D:D,Hoja2!C:C)</f>
        <v>POSGRADOS</v>
      </c>
      <c r="W2017" s="9">
        <f>IF(V2017="pregrado",31,
IF(V2017="posgrados",31,
IF(V2017="rEINTEGROS",7,
IF(V2017="BIT",90,
IF(V2017="OP GRADO - INGLÉS",17,"")))))</f>
        <v>31</v>
      </c>
      <c r="X2017" t="s">
        <v>3972</v>
      </c>
    </row>
    <row r="2018" spans="1:24" x14ac:dyDescent="0.3">
      <c r="A2018" s="4">
        <v>46134</v>
      </c>
      <c r="B2018">
        <v>20131906</v>
      </c>
      <c r="C2018" t="s">
        <v>19</v>
      </c>
      <c r="D2018">
        <v>174858</v>
      </c>
      <c r="E2018" t="s">
        <v>43</v>
      </c>
      <c r="F2018">
        <v>27258548</v>
      </c>
      <c r="G2018" t="s">
        <v>4772</v>
      </c>
      <c r="H2018">
        <v>100251085</v>
      </c>
      <c r="I2018">
        <v>202642</v>
      </c>
      <c r="J2018">
        <v>1089802632</v>
      </c>
      <c r="K2018" t="s">
        <v>23</v>
      </c>
      <c r="L2018" t="s">
        <v>59</v>
      </c>
      <c r="M2018" t="s">
        <v>47</v>
      </c>
      <c r="N2018" t="s">
        <v>35</v>
      </c>
      <c r="O2018" t="s">
        <v>26</v>
      </c>
      <c r="P2018" t="s">
        <v>27</v>
      </c>
      <c r="Q2018" t="s">
        <v>28</v>
      </c>
      <c r="R2018" t="s">
        <v>29</v>
      </c>
      <c r="S2018" t="s">
        <v>793</v>
      </c>
      <c r="T2018">
        <f>_xlfn.XLOOKUP(X2018,Hoja2!D:D,Hoja2!A:A)</f>
        <v>1070973852</v>
      </c>
      <c r="U2018" t="str">
        <f>_xlfn.XLOOKUP(X2018,Hoja2!D:D,Hoja2!B:B)</f>
        <v>FABIAN CONCHA</v>
      </c>
      <c r="V2018" t="str">
        <f>_xlfn.XLOOKUP(X2018,Hoja2!D:D,Hoja2!C:C)</f>
        <v>POSGRADOS</v>
      </c>
      <c r="W2018" s="9">
        <f>IF(V2018="pregrado",31,
IF(V2018="posgrados",31,
IF(V2018="rEINTEGROS",7,
IF(V2018="BIT",90,
IF(V2018="OP GRADO - INGLÉS",17,"")))))</f>
        <v>31</v>
      </c>
      <c r="X2018" t="s">
        <v>3957</v>
      </c>
    </row>
    <row r="2019" spans="1:24" x14ac:dyDescent="0.3">
      <c r="A2019" s="4">
        <v>46128</v>
      </c>
      <c r="B2019">
        <v>20131358</v>
      </c>
      <c r="C2019" t="s">
        <v>19</v>
      </c>
      <c r="D2019">
        <v>174859</v>
      </c>
      <c r="E2019" t="s">
        <v>43</v>
      </c>
      <c r="F2019">
        <v>11808406</v>
      </c>
      <c r="G2019" t="s">
        <v>4649</v>
      </c>
      <c r="H2019">
        <v>100251086</v>
      </c>
      <c r="I2019">
        <v>202652</v>
      </c>
      <c r="J2019">
        <v>11808406</v>
      </c>
      <c r="K2019" t="s">
        <v>23</v>
      </c>
      <c r="L2019" t="s">
        <v>252</v>
      </c>
      <c r="M2019" t="s">
        <v>253</v>
      </c>
      <c r="N2019" t="s">
        <v>35</v>
      </c>
      <c r="O2019" t="s">
        <v>26</v>
      </c>
      <c r="P2019" t="s">
        <v>27</v>
      </c>
      <c r="Q2019" t="s">
        <v>28</v>
      </c>
      <c r="R2019" t="s">
        <v>29</v>
      </c>
      <c r="S2019" t="s">
        <v>793</v>
      </c>
      <c r="T2019">
        <f>_xlfn.XLOOKUP(X2019,Hoja2!D:D,Hoja2!A:A)</f>
        <v>1014285873</v>
      </c>
      <c r="U2019" t="str">
        <f>_xlfn.XLOOKUP(X2019,Hoja2!D:D,Hoja2!B:B)</f>
        <v>IVONNE JINETH RODRIGUEZ ROJAS</v>
      </c>
      <c r="V2019" t="str">
        <f>_xlfn.XLOOKUP(X2019,Hoja2!D:D,Hoja2!C:C)</f>
        <v>POSGRADOS</v>
      </c>
      <c r="W2019" s="9">
        <f>IF(V2019="pregrado",31,
IF(V2019="posgrados",31,
IF(V2019="rEINTEGROS",7,
IF(V2019="BIT",90,
IF(V2019="OP GRADO - INGLÉS",17,"")))))</f>
        <v>31</v>
      </c>
      <c r="X2019" t="s">
        <v>3953</v>
      </c>
    </row>
    <row r="2020" spans="1:24" x14ac:dyDescent="0.3">
      <c r="A2020" s="4">
        <v>46129</v>
      </c>
      <c r="B2020">
        <v>20131459</v>
      </c>
      <c r="C2020" t="s">
        <v>19</v>
      </c>
      <c r="D2020">
        <v>174861</v>
      </c>
      <c r="E2020" t="s">
        <v>43</v>
      </c>
      <c r="F2020">
        <v>1087131027</v>
      </c>
      <c r="G2020" t="s">
        <v>4677</v>
      </c>
      <c r="H2020">
        <v>100126136</v>
      </c>
      <c r="I2020">
        <v>202652</v>
      </c>
      <c r="J2020">
        <v>1087131027</v>
      </c>
      <c r="K2020" t="s">
        <v>46</v>
      </c>
      <c r="L2020" t="s">
        <v>252</v>
      </c>
      <c r="M2020" t="s">
        <v>253</v>
      </c>
      <c r="N2020" t="s">
        <v>35</v>
      </c>
      <c r="O2020" t="s">
        <v>26</v>
      </c>
      <c r="P2020" t="s">
        <v>27</v>
      </c>
      <c r="Q2020" t="s">
        <v>28</v>
      </c>
      <c r="R2020" t="s">
        <v>29</v>
      </c>
      <c r="S2020" t="s">
        <v>793</v>
      </c>
      <c r="T2020">
        <f>_xlfn.XLOOKUP(X2020,Hoja2!D:D,Hoja2!A:A)</f>
        <v>1193146767</v>
      </c>
      <c r="U2020" t="str">
        <f>_xlfn.XLOOKUP(X2020,Hoja2!D:D,Hoja2!B:B)</f>
        <v>FABIAN CONCHA</v>
      </c>
      <c r="V2020" t="str">
        <f>_xlfn.XLOOKUP(X2020,Hoja2!D:D,Hoja2!C:C)</f>
        <v>POSGRADOS</v>
      </c>
      <c r="W2020" s="9">
        <f>IF(V2020="pregrado",31,
IF(V2020="posgrados",31,
IF(V2020="rEINTEGROS",7,
IF(V2020="BIT",90,
IF(V2020="OP GRADO - INGLÉS",17,"")))))</f>
        <v>31</v>
      </c>
      <c r="X2020" t="s">
        <v>4072</v>
      </c>
    </row>
    <row r="2021" spans="1:24" x14ac:dyDescent="0.3">
      <c r="A2021" s="4">
        <v>46132</v>
      </c>
      <c r="B2021">
        <v>20131710</v>
      </c>
      <c r="C2021" t="s">
        <v>19</v>
      </c>
      <c r="D2021">
        <v>174863</v>
      </c>
      <c r="E2021" t="s">
        <v>43</v>
      </c>
      <c r="F2021">
        <v>1083031661</v>
      </c>
      <c r="G2021" t="s">
        <v>4729</v>
      </c>
      <c r="H2021">
        <v>100251097</v>
      </c>
      <c r="I2021">
        <v>202652</v>
      </c>
      <c r="J2021">
        <v>1082917957</v>
      </c>
      <c r="K2021" t="s">
        <v>23</v>
      </c>
      <c r="L2021" t="s">
        <v>252</v>
      </c>
      <c r="M2021" t="s">
        <v>253</v>
      </c>
      <c r="N2021" t="s">
        <v>4146</v>
      </c>
      <c r="O2021" t="s">
        <v>26</v>
      </c>
      <c r="P2021" t="s">
        <v>27</v>
      </c>
      <c r="Q2021" t="s">
        <v>28</v>
      </c>
      <c r="R2021" t="s">
        <v>29</v>
      </c>
      <c r="S2021" t="s">
        <v>793</v>
      </c>
      <c r="T2021">
        <f>_xlfn.XLOOKUP(X2021,Hoja2!D:D,Hoja2!A:A)</f>
        <v>1010081108</v>
      </c>
      <c r="U2021" t="str">
        <f>_xlfn.XLOOKUP(X2021,Hoja2!D:D,Hoja2!B:B)</f>
        <v>HEIDY LORENA PRIETO AHUMADA</v>
      </c>
      <c r="V2021" t="str">
        <f>_xlfn.XLOOKUP(X2021,Hoja2!D:D,Hoja2!C:C)</f>
        <v>PREGRADO</v>
      </c>
      <c r="W2021" s="9">
        <f>IF(V2021="pregrado",31,
IF(V2021="posgrados",31,
IF(V2021="rEINTEGROS",7,
IF(V2021="BIT",90,
IF(V2021="OP GRADO - INGLÉS",17,"")))))</f>
        <v>31</v>
      </c>
      <c r="X2021" t="s">
        <v>4009</v>
      </c>
    </row>
    <row r="2022" spans="1:24" x14ac:dyDescent="0.3">
      <c r="A2022" s="4">
        <v>46135</v>
      </c>
      <c r="B2022">
        <v>20132003</v>
      </c>
      <c r="C2022" t="s">
        <v>19</v>
      </c>
      <c r="D2022">
        <v>174874</v>
      </c>
      <c r="E2022" t="s">
        <v>43</v>
      </c>
      <c r="F2022">
        <v>18936771</v>
      </c>
      <c r="G2022" t="s">
        <v>4797</v>
      </c>
      <c r="H2022">
        <v>100233781</v>
      </c>
      <c r="I2022">
        <v>202642</v>
      </c>
      <c r="J2022">
        <v>18936771</v>
      </c>
      <c r="K2022" t="s">
        <v>23</v>
      </c>
      <c r="L2022" t="s">
        <v>279</v>
      </c>
      <c r="M2022" t="s">
        <v>47</v>
      </c>
      <c r="N2022" t="s">
        <v>35</v>
      </c>
      <c r="O2022" t="s">
        <v>26</v>
      </c>
      <c r="P2022" t="s">
        <v>27</v>
      </c>
      <c r="Q2022" t="s">
        <v>28</v>
      </c>
      <c r="R2022" t="s">
        <v>29</v>
      </c>
      <c r="S2022" t="s">
        <v>793</v>
      </c>
      <c r="T2022">
        <f>_xlfn.XLOOKUP(X2022,Hoja2!D:D,Hoja2!A:A)</f>
        <v>1015401969</v>
      </c>
      <c r="U2022" t="str">
        <f>_xlfn.XLOOKUP(X2022,Hoja2!D:D,Hoja2!B:B)</f>
        <v>FABIAN CONCHA</v>
      </c>
      <c r="V2022" t="str">
        <f>_xlfn.XLOOKUP(X2022,Hoja2!D:D,Hoja2!C:C)</f>
        <v>POSGRADOS</v>
      </c>
      <c r="W2022" s="9">
        <f>IF(V2022="pregrado",31,
IF(V2022="posgrados",31,
IF(V2022="rEINTEGROS",7,
IF(V2022="BIT",90,
IF(V2022="OP GRADO - INGLÉS",17,"")))))</f>
        <v>31</v>
      </c>
      <c r="X2022" t="s">
        <v>3945</v>
      </c>
    </row>
    <row r="2023" spans="1:24" x14ac:dyDescent="0.3">
      <c r="A2023" s="4">
        <v>46133</v>
      </c>
      <c r="B2023">
        <v>20131771</v>
      </c>
      <c r="C2023" t="s">
        <v>19</v>
      </c>
      <c r="D2023">
        <v>174888</v>
      </c>
      <c r="E2023" t="s">
        <v>43</v>
      </c>
      <c r="F2023">
        <v>1010102246</v>
      </c>
      <c r="G2023" t="s">
        <v>4740</v>
      </c>
      <c r="H2023">
        <v>100251118</v>
      </c>
      <c r="I2023">
        <v>202642</v>
      </c>
      <c r="J2023">
        <v>1010102246</v>
      </c>
      <c r="K2023" t="s">
        <v>23</v>
      </c>
      <c r="L2023" t="s">
        <v>294</v>
      </c>
      <c r="M2023" t="s">
        <v>47</v>
      </c>
      <c r="N2023" t="s">
        <v>35</v>
      </c>
      <c r="O2023" t="s">
        <v>26</v>
      </c>
      <c r="P2023" t="s">
        <v>27</v>
      </c>
      <c r="Q2023" t="s">
        <v>28</v>
      </c>
      <c r="R2023" t="s">
        <v>29</v>
      </c>
      <c r="S2023" t="s">
        <v>793</v>
      </c>
      <c r="T2023">
        <f>_xlfn.XLOOKUP(X2023,Hoja2!D:D,Hoja2!A:A)</f>
        <v>1014285873</v>
      </c>
      <c r="U2023" t="str">
        <f>_xlfn.XLOOKUP(X2023,Hoja2!D:D,Hoja2!B:B)</f>
        <v>IVONNE JINETH RODRIGUEZ ROJAS</v>
      </c>
      <c r="V2023" t="str">
        <f>_xlfn.XLOOKUP(X2023,Hoja2!D:D,Hoja2!C:C)</f>
        <v>POSGRADOS</v>
      </c>
      <c r="W2023" s="9">
        <f>IF(V2023="pregrado",31,
IF(V2023="posgrados",31,
IF(V2023="rEINTEGROS",7,
IF(V2023="BIT",90,
IF(V2023="OP GRADO - INGLÉS",17,"")))))</f>
        <v>31</v>
      </c>
      <c r="X2023" t="s">
        <v>3953</v>
      </c>
    </row>
    <row r="2024" spans="1:24" x14ac:dyDescent="0.3">
      <c r="A2024" s="4">
        <v>46128</v>
      </c>
      <c r="B2024">
        <v>20131393</v>
      </c>
      <c r="C2024" t="s">
        <v>19</v>
      </c>
      <c r="D2024">
        <v>174902</v>
      </c>
      <c r="E2024" t="s">
        <v>43</v>
      </c>
      <c r="F2024">
        <v>1065839901</v>
      </c>
      <c r="G2024" t="s">
        <v>4663</v>
      </c>
      <c r="H2024">
        <v>100251146</v>
      </c>
      <c r="I2024">
        <v>202652</v>
      </c>
      <c r="J2024">
        <v>1065839901</v>
      </c>
      <c r="K2024" t="s">
        <v>23</v>
      </c>
      <c r="L2024" t="s">
        <v>252</v>
      </c>
      <c r="M2024" t="s">
        <v>253</v>
      </c>
      <c r="N2024" t="s">
        <v>35</v>
      </c>
      <c r="O2024" t="s">
        <v>26</v>
      </c>
      <c r="P2024" t="s">
        <v>27</v>
      </c>
      <c r="Q2024" t="s">
        <v>28</v>
      </c>
      <c r="R2024" t="s">
        <v>29</v>
      </c>
      <c r="S2024" t="s">
        <v>793</v>
      </c>
      <c r="T2024">
        <f>_xlfn.XLOOKUP(X2024,Hoja2!D:D,Hoja2!A:A)</f>
        <v>52032666</v>
      </c>
      <c r="U2024" t="str">
        <f>_xlfn.XLOOKUP(X2024,Hoja2!D:D,Hoja2!B:B)</f>
        <v>IVONNE JINETH RODRIGUEZ ROJAS</v>
      </c>
      <c r="V2024" t="str">
        <f>_xlfn.XLOOKUP(X2024,Hoja2!D:D,Hoja2!C:C)</f>
        <v>POSGRADOS</v>
      </c>
      <c r="W2024" s="9">
        <f>IF(V2024="pregrado",31,
IF(V2024="posgrados",31,
IF(V2024="rEINTEGROS",7,
IF(V2024="BIT",90,
IF(V2024="OP GRADO - INGLÉS",17,"")))))</f>
        <v>31</v>
      </c>
      <c r="X2024" t="s">
        <v>3983</v>
      </c>
    </row>
    <row r="2025" spans="1:24" x14ac:dyDescent="0.3">
      <c r="A2025" s="4">
        <v>46133</v>
      </c>
      <c r="B2025">
        <v>20131804</v>
      </c>
      <c r="C2025" t="s">
        <v>19</v>
      </c>
      <c r="D2025">
        <v>174908</v>
      </c>
      <c r="E2025" t="s">
        <v>43</v>
      </c>
      <c r="F2025">
        <v>80736455</v>
      </c>
      <c r="G2025" t="s">
        <v>4750</v>
      </c>
      <c r="H2025">
        <v>100251148</v>
      </c>
      <c r="I2025">
        <v>202652</v>
      </c>
      <c r="J2025">
        <v>80736455</v>
      </c>
      <c r="K2025" t="s">
        <v>23</v>
      </c>
      <c r="L2025" t="s">
        <v>252</v>
      </c>
      <c r="M2025" t="s">
        <v>253</v>
      </c>
      <c r="N2025" t="s">
        <v>35</v>
      </c>
      <c r="O2025" t="s">
        <v>26</v>
      </c>
      <c r="P2025" t="s">
        <v>27</v>
      </c>
      <c r="Q2025" t="s">
        <v>28</v>
      </c>
      <c r="R2025" t="s">
        <v>29</v>
      </c>
      <c r="S2025" t="s">
        <v>793</v>
      </c>
      <c r="T2025">
        <f>_xlfn.XLOOKUP(X2025,Hoja2!D:D,Hoja2!A:A)</f>
        <v>52032666</v>
      </c>
      <c r="U2025" t="str">
        <f>_xlfn.XLOOKUP(X2025,Hoja2!D:D,Hoja2!B:B)</f>
        <v>IVONNE JINETH RODRIGUEZ ROJAS</v>
      </c>
      <c r="V2025" t="str">
        <f>_xlfn.XLOOKUP(X2025,Hoja2!D:D,Hoja2!C:C)</f>
        <v>POSGRADOS</v>
      </c>
      <c r="W2025" s="9">
        <f>IF(V2025="pregrado",31,
IF(V2025="posgrados",31,
IF(V2025="rEINTEGROS",7,
IF(V2025="BIT",90,
IF(V2025="OP GRADO - INGLÉS",17,"")))))</f>
        <v>31</v>
      </c>
      <c r="X2025" t="s">
        <v>3983</v>
      </c>
    </row>
    <row r="2026" spans="1:24" x14ac:dyDescent="0.3">
      <c r="A2026" s="4">
        <v>46132</v>
      </c>
      <c r="B2026">
        <v>20131632</v>
      </c>
      <c r="C2026" t="s">
        <v>19</v>
      </c>
      <c r="D2026">
        <v>174915</v>
      </c>
      <c r="E2026" t="s">
        <v>43</v>
      </c>
      <c r="F2026">
        <v>1085176521</v>
      </c>
      <c r="G2026" t="s">
        <v>4714</v>
      </c>
      <c r="H2026">
        <v>100251156</v>
      </c>
      <c r="I2026">
        <v>202652</v>
      </c>
      <c r="J2026">
        <v>1085176521</v>
      </c>
      <c r="K2026" t="s">
        <v>23</v>
      </c>
      <c r="L2026" t="s">
        <v>252</v>
      </c>
      <c r="M2026" t="s">
        <v>253</v>
      </c>
      <c r="N2026" t="s">
        <v>4146</v>
      </c>
      <c r="O2026" t="s">
        <v>26</v>
      </c>
      <c r="P2026" t="s">
        <v>27</v>
      </c>
      <c r="Q2026" t="s">
        <v>28</v>
      </c>
      <c r="R2026" t="s">
        <v>29</v>
      </c>
      <c r="S2026" t="s">
        <v>793</v>
      </c>
      <c r="T2026">
        <f>_xlfn.XLOOKUP(X2026,Hoja2!D:D,Hoja2!A:A)</f>
        <v>1010081108</v>
      </c>
      <c r="U2026" t="str">
        <f>_xlfn.XLOOKUP(X2026,Hoja2!D:D,Hoja2!B:B)</f>
        <v>HEIDY LORENA PRIETO AHUMADA</v>
      </c>
      <c r="V2026" t="str">
        <f>_xlfn.XLOOKUP(X2026,Hoja2!D:D,Hoja2!C:C)</f>
        <v>PREGRADO</v>
      </c>
      <c r="W2026" s="9">
        <f>IF(V2026="pregrado",31,
IF(V2026="posgrados",31,
IF(V2026="rEINTEGROS",7,
IF(V2026="BIT",90,
IF(V2026="OP GRADO - INGLÉS",17,"")))))</f>
        <v>31</v>
      </c>
      <c r="X2026" t="s">
        <v>4009</v>
      </c>
    </row>
    <row r="2027" spans="1:24" x14ac:dyDescent="0.3">
      <c r="A2027" s="4">
        <v>46128</v>
      </c>
      <c r="B2027">
        <v>20131399</v>
      </c>
      <c r="C2027" t="s">
        <v>19</v>
      </c>
      <c r="D2027">
        <v>174922</v>
      </c>
      <c r="E2027" t="s">
        <v>43</v>
      </c>
      <c r="F2027">
        <v>1216724170</v>
      </c>
      <c r="G2027" t="s">
        <v>4667</v>
      </c>
      <c r="H2027">
        <v>100251164</v>
      </c>
      <c r="I2027">
        <v>202642</v>
      </c>
      <c r="J2027">
        <v>1216724170</v>
      </c>
      <c r="K2027" t="s">
        <v>23</v>
      </c>
      <c r="L2027" t="s">
        <v>160</v>
      </c>
      <c r="M2027" t="s">
        <v>47</v>
      </c>
      <c r="N2027" t="s">
        <v>35</v>
      </c>
      <c r="O2027" t="s">
        <v>26</v>
      </c>
      <c r="P2027" t="s">
        <v>27</v>
      </c>
      <c r="Q2027" t="s">
        <v>28</v>
      </c>
      <c r="R2027" t="s">
        <v>29</v>
      </c>
      <c r="S2027" t="s">
        <v>793</v>
      </c>
      <c r="T2027">
        <f>_xlfn.XLOOKUP(X2027,Hoja2!D:D,Hoja2!A:A)</f>
        <v>52032666</v>
      </c>
      <c r="U2027" t="str">
        <f>_xlfn.XLOOKUP(X2027,Hoja2!D:D,Hoja2!B:B)</f>
        <v>IVONNE JINETH RODRIGUEZ ROJAS</v>
      </c>
      <c r="V2027" t="str">
        <f>_xlfn.XLOOKUP(X2027,Hoja2!D:D,Hoja2!C:C)</f>
        <v>POSGRADOS</v>
      </c>
      <c r="W2027" s="9">
        <f>IF(V2027="pregrado",31,
IF(V2027="posgrados",31,
IF(V2027="rEINTEGROS",7,
IF(V2027="BIT",90,
IF(V2027="OP GRADO - INGLÉS",17,"")))))</f>
        <v>31</v>
      </c>
      <c r="X2027" t="s">
        <v>3983</v>
      </c>
    </row>
    <row r="2028" spans="1:24" x14ac:dyDescent="0.3">
      <c r="A2028" s="4">
        <v>46129</v>
      </c>
      <c r="B2028">
        <v>20131562</v>
      </c>
      <c r="C2028" t="s">
        <v>19</v>
      </c>
      <c r="D2028">
        <v>174923</v>
      </c>
      <c r="E2028" t="s">
        <v>43</v>
      </c>
      <c r="F2028">
        <v>22537810</v>
      </c>
      <c r="G2028" t="s">
        <v>4696</v>
      </c>
      <c r="H2028">
        <v>100251165</v>
      </c>
      <c r="I2028">
        <v>202652</v>
      </c>
      <c r="J2028">
        <v>22537810</v>
      </c>
      <c r="K2028" t="s">
        <v>23</v>
      </c>
      <c r="L2028" t="s">
        <v>252</v>
      </c>
      <c r="M2028" t="s">
        <v>253</v>
      </c>
      <c r="N2028" t="s">
        <v>35</v>
      </c>
      <c r="O2028" t="s">
        <v>26</v>
      </c>
      <c r="P2028" t="s">
        <v>27</v>
      </c>
      <c r="Q2028" t="s">
        <v>28</v>
      </c>
      <c r="R2028" t="s">
        <v>29</v>
      </c>
      <c r="S2028" t="s">
        <v>793</v>
      </c>
      <c r="T2028">
        <f>_xlfn.XLOOKUP(X2028,Hoja2!D:D,Hoja2!A:A)</f>
        <v>1020754225</v>
      </c>
      <c r="U2028" t="str">
        <f>_xlfn.XLOOKUP(X2028,Hoja2!D:D,Hoja2!B:B)</f>
        <v>IVONNE JINETH RODRIGUEZ ROJAS</v>
      </c>
      <c r="V2028" t="str">
        <f>_xlfn.XLOOKUP(X2028,Hoja2!D:D,Hoja2!C:C)</f>
        <v>POSGRADOS</v>
      </c>
      <c r="W2028" s="9">
        <f>IF(V2028="pregrado",31,
IF(V2028="posgrados",31,
IF(V2028="rEINTEGROS",7,
IF(V2028="BIT",90,
IF(V2028="OP GRADO - INGLÉS",17,"")))))</f>
        <v>31</v>
      </c>
      <c r="X2028" t="s">
        <v>3981</v>
      </c>
    </row>
    <row r="2029" spans="1:24" x14ac:dyDescent="0.3">
      <c r="A2029" s="4">
        <v>46128</v>
      </c>
      <c r="B2029">
        <v>20131396</v>
      </c>
      <c r="C2029" t="s">
        <v>19</v>
      </c>
      <c r="D2029">
        <v>174925</v>
      </c>
      <c r="E2029" t="s">
        <v>43</v>
      </c>
      <c r="F2029">
        <v>74300344</v>
      </c>
      <c r="G2029" t="s">
        <v>4665</v>
      </c>
      <c r="H2029">
        <v>100250816</v>
      </c>
      <c r="I2029">
        <v>202652</v>
      </c>
      <c r="J2029">
        <v>74300344</v>
      </c>
      <c r="K2029" t="s">
        <v>23</v>
      </c>
      <c r="L2029" t="s">
        <v>252</v>
      </c>
      <c r="M2029" t="s">
        <v>253</v>
      </c>
      <c r="N2029" t="s">
        <v>35</v>
      </c>
      <c r="O2029" t="s">
        <v>26</v>
      </c>
      <c r="P2029" t="s">
        <v>27</v>
      </c>
      <c r="Q2029" t="s">
        <v>28</v>
      </c>
      <c r="R2029" t="s">
        <v>29</v>
      </c>
      <c r="S2029" t="s">
        <v>793</v>
      </c>
      <c r="T2029">
        <f>_xlfn.XLOOKUP(X2029,Hoja2!D:D,Hoja2!A:A)</f>
        <v>1016030683</v>
      </c>
      <c r="U2029" t="str">
        <f>_xlfn.XLOOKUP(X2029,Hoja2!D:D,Hoja2!B:B)</f>
        <v>FABIAN CONCHA</v>
      </c>
      <c r="V2029" t="str">
        <f>_xlfn.XLOOKUP(X2029,Hoja2!D:D,Hoja2!C:C)</f>
        <v>POSGRADOS</v>
      </c>
      <c r="W2029" s="9">
        <f>IF(V2029="pregrado",31,
IF(V2029="posgrados",31,
IF(V2029="rEINTEGROS",7,
IF(V2029="BIT",90,
IF(V2029="OP GRADO - INGLÉS",17,"")))))</f>
        <v>31</v>
      </c>
      <c r="X2029" t="s">
        <v>3992</v>
      </c>
    </row>
    <row r="2030" spans="1:24" x14ac:dyDescent="0.3">
      <c r="A2030" s="4">
        <v>46129</v>
      </c>
      <c r="B2030">
        <v>20131488</v>
      </c>
      <c r="C2030" t="s">
        <v>19</v>
      </c>
      <c r="D2030">
        <v>174943</v>
      </c>
      <c r="E2030" t="s">
        <v>43</v>
      </c>
      <c r="F2030">
        <v>1075310773</v>
      </c>
      <c r="G2030" t="s">
        <v>4683</v>
      </c>
      <c r="H2030">
        <v>100251183</v>
      </c>
      <c r="I2030">
        <v>202642</v>
      </c>
      <c r="J2030">
        <v>1075310773</v>
      </c>
      <c r="K2030" t="s">
        <v>23</v>
      </c>
      <c r="L2030" t="s">
        <v>4163</v>
      </c>
      <c r="M2030" t="s">
        <v>47</v>
      </c>
      <c r="N2030" t="s">
        <v>35</v>
      </c>
      <c r="O2030" t="s">
        <v>26</v>
      </c>
      <c r="P2030" t="s">
        <v>27</v>
      </c>
      <c r="Q2030" t="s">
        <v>28</v>
      </c>
      <c r="R2030" t="s">
        <v>29</v>
      </c>
      <c r="S2030" t="s">
        <v>793</v>
      </c>
      <c r="T2030">
        <f>_xlfn.XLOOKUP(X2030,Hoja2!D:D,Hoja2!A:A)</f>
        <v>1016030683</v>
      </c>
      <c r="U2030" t="str">
        <f>_xlfn.XLOOKUP(X2030,Hoja2!D:D,Hoja2!B:B)</f>
        <v>FABIAN CONCHA</v>
      </c>
      <c r="V2030" t="str">
        <f>_xlfn.XLOOKUP(X2030,Hoja2!D:D,Hoja2!C:C)</f>
        <v>POSGRADOS</v>
      </c>
      <c r="W2030" s="9">
        <f>IF(V2030="pregrado",31,
IF(V2030="posgrados",31,
IF(V2030="rEINTEGROS",7,
IF(V2030="BIT",90,
IF(V2030="OP GRADO - INGLÉS",17,"")))))</f>
        <v>31</v>
      </c>
      <c r="X2030" t="s">
        <v>3992</v>
      </c>
    </row>
    <row r="2031" spans="1:24" x14ac:dyDescent="0.3">
      <c r="A2031" s="4">
        <v>46129</v>
      </c>
      <c r="B2031">
        <v>20131497</v>
      </c>
      <c r="C2031" t="s">
        <v>19</v>
      </c>
      <c r="D2031">
        <v>174978</v>
      </c>
      <c r="E2031" t="s">
        <v>43</v>
      </c>
      <c r="F2031">
        <v>1114339090</v>
      </c>
      <c r="G2031" t="s">
        <v>4686</v>
      </c>
      <c r="H2031">
        <v>100251231</v>
      </c>
      <c r="I2031">
        <v>202652</v>
      </c>
      <c r="J2031">
        <v>1114339090</v>
      </c>
      <c r="K2031" t="s">
        <v>23</v>
      </c>
      <c r="L2031" t="s">
        <v>252</v>
      </c>
      <c r="M2031" t="s">
        <v>253</v>
      </c>
      <c r="N2031" t="s">
        <v>35</v>
      </c>
      <c r="O2031" t="s">
        <v>26</v>
      </c>
      <c r="P2031" t="s">
        <v>27</v>
      </c>
      <c r="Q2031" t="s">
        <v>28</v>
      </c>
      <c r="R2031" t="s">
        <v>29</v>
      </c>
      <c r="S2031" t="s">
        <v>793</v>
      </c>
      <c r="T2031">
        <f>_xlfn.XLOOKUP(X2031,Hoja2!D:D,Hoja2!A:A)</f>
        <v>1033781417</v>
      </c>
      <c r="U2031" t="str">
        <f>_xlfn.XLOOKUP(X2031,Hoja2!D:D,Hoja2!B:B)</f>
        <v>IVONNE JINETH RODRIGUEZ ROJAS</v>
      </c>
      <c r="V2031" t="str">
        <f>_xlfn.XLOOKUP(X2031,Hoja2!D:D,Hoja2!C:C)</f>
        <v>POSGRADOS</v>
      </c>
      <c r="W2031" s="9">
        <f>IF(V2031="pregrado",31,
IF(V2031="posgrados",31,
IF(V2031="rEINTEGROS",7,
IF(V2031="BIT",90,
IF(V2031="OP GRADO - INGLÉS",17,"")))))</f>
        <v>31</v>
      </c>
      <c r="X2031" t="s">
        <v>4031</v>
      </c>
    </row>
    <row r="2032" spans="1:24" x14ac:dyDescent="0.3">
      <c r="A2032" s="4">
        <v>46130</v>
      </c>
      <c r="B2032">
        <v>20131591</v>
      </c>
      <c r="C2032" t="s">
        <v>19</v>
      </c>
      <c r="D2032">
        <v>174985</v>
      </c>
      <c r="E2032" t="s">
        <v>43</v>
      </c>
      <c r="F2032">
        <v>34405074</v>
      </c>
      <c r="G2032" t="s">
        <v>4706</v>
      </c>
      <c r="H2032">
        <v>100105400</v>
      </c>
      <c r="I2032">
        <v>202652</v>
      </c>
      <c r="J2032">
        <v>1114879118</v>
      </c>
      <c r="K2032" t="s">
        <v>46</v>
      </c>
      <c r="L2032" t="s">
        <v>252</v>
      </c>
      <c r="M2032" t="s">
        <v>253</v>
      </c>
      <c r="N2032" t="s">
        <v>35</v>
      </c>
      <c r="O2032" t="s">
        <v>26</v>
      </c>
      <c r="P2032" t="s">
        <v>27</v>
      </c>
      <c r="Q2032" t="s">
        <v>28</v>
      </c>
      <c r="R2032" t="s">
        <v>29</v>
      </c>
      <c r="S2032" t="s">
        <v>793</v>
      </c>
      <c r="T2032">
        <f>_xlfn.XLOOKUP(X2032,Hoja2!D:D,Hoja2!A:A)</f>
        <v>1033781417</v>
      </c>
      <c r="U2032" t="str">
        <f>_xlfn.XLOOKUP(X2032,Hoja2!D:D,Hoja2!B:B)</f>
        <v>IVONNE JINETH RODRIGUEZ ROJAS</v>
      </c>
      <c r="V2032" t="str">
        <f>_xlfn.XLOOKUP(X2032,Hoja2!D:D,Hoja2!C:C)</f>
        <v>POSGRADOS</v>
      </c>
      <c r="W2032" s="9">
        <f>IF(V2032="pregrado",31,
IF(V2032="posgrados",31,
IF(V2032="rEINTEGROS",7,
IF(V2032="BIT",90,
IF(V2032="OP GRADO - INGLÉS",17,"")))))</f>
        <v>31</v>
      </c>
      <c r="X2032" t="s">
        <v>4031</v>
      </c>
    </row>
    <row r="2033" spans="1:24" x14ac:dyDescent="0.3">
      <c r="A2033" s="4">
        <v>46129</v>
      </c>
      <c r="B2033">
        <v>20131516</v>
      </c>
      <c r="C2033" t="s">
        <v>19</v>
      </c>
      <c r="D2033">
        <v>174989</v>
      </c>
      <c r="E2033" t="s">
        <v>43</v>
      </c>
      <c r="F2033">
        <v>1100250108</v>
      </c>
      <c r="G2033" t="s">
        <v>4688</v>
      </c>
      <c r="H2033">
        <v>100251246</v>
      </c>
      <c r="I2033">
        <v>202652</v>
      </c>
      <c r="J2033">
        <v>1100250108</v>
      </c>
      <c r="K2033" t="s">
        <v>23</v>
      </c>
      <c r="L2033" t="s">
        <v>252</v>
      </c>
      <c r="M2033" t="s">
        <v>253</v>
      </c>
      <c r="N2033" t="s">
        <v>35</v>
      </c>
      <c r="O2033" t="s">
        <v>26</v>
      </c>
      <c r="P2033" t="s">
        <v>27</v>
      </c>
      <c r="Q2033" t="s">
        <v>28</v>
      </c>
      <c r="R2033" t="s">
        <v>29</v>
      </c>
      <c r="S2033" t="s">
        <v>793</v>
      </c>
      <c r="T2033">
        <f>_xlfn.XLOOKUP(X2033,Hoja2!D:D,Hoja2!A:A)</f>
        <v>1073673268</v>
      </c>
      <c r="U2033" t="str">
        <f>_xlfn.XLOOKUP(X2033,Hoja2!D:D,Hoja2!B:B)</f>
        <v>IVONNE JINETH RODRIGUEZ ROJAS</v>
      </c>
      <c r="V2033" t="str">
        <f>_xlfn.XLOOKUP(X2033,Hoja2!D:D,Hoja2!C:C)</f>
        <v>POSGRADOS</v>
      </c>
      <c r="W2033" s="9">
        <f>IF(V2033="pregrado",31,
IF(V2033="posgrados",31,
IF(V2033="rEINTEGROS",7,
IF(V2033="BIT",90,
IF(V2033="OP GRADO - INGLÉS",17,"")))))</f>
        <v>31</v>
      </c>
      <c r="X2033" t="s">
        <v>4080</v>
      </c>
    </row>
    <row r="2034" spans="1:24" x14ac:dyDescent="0.3">
      <c r="A2034" s="4">
        <v>46134</v>
      </c>
      <c r="B2034">
        <v>20131924</v>
      </c>
      <c r="C2034" t="s">
        <v>19</v>
      </c>
      <c r="D2034">
        <v>174999</v>
      </c>
      <c r="E2034" t="s">
        <v>43</v>
      </c>
      <c r="F2034">
        <v>1061789208</v>
      </c>
      <c r="G2034" t="s">
        <v>4778</v>
      </c>
      <c r="H2034">
        <v>100251266</v>
      </c>
      <c r="I2034">
        <v>202652</v>
      </c>
      <c r="J2034">
        <v>1061789208</v>
      </c>
      <c r="K2034" t="s">
        <v>23</v>
      </c>
      <c r="L2034" t="s">
        <v>252</v>
      </c>
      <c r="M2034" t="s">
        <v>253</v>
      </c>
      <c r="N2034" t="s">
        <v>35</v>
      </c>
      <c r="O2034" t="s">
        <v>26</v>
      </c>
      <c r="P2034" t="s">
        <v>27</v>
      </c>
      <c r="Q2034" t="s">
        <v>28</v>
      </c>
      <c r="R2034" t="s">
        <v>29</v>
      </c>
      <c r="S2034" t="s">
        <v>793</v>
      </c>
      <c r="T2034">
        <f>_xlfn.XLOOKUP(X2034,Hoja2!D:D,Hoja2!A:A)</f>
        <v>1012389748</v>
      </c>
      <c r="U2034" t="str">
        <f>_xlfn.XLOOKUP(X2034,Hoja2!D:D,Hoja2!B:B)</f>
        <v>IVONNE JINETH RODRIGUEZ ROJAS</v>
      </c>
      <c r="V2034" t="str">
        <f>_xlfn.XLOOKUP(X2034,Hoja2!D:D,Hoja2!C:C)</f>
        <v>POSGRADOS</v>
      </c>
      <c r="W2034" s="9">
        <f>IF(V2034="pregrado",31,
IF(V2034="posgrados",31,
IF(V2034="rEINTEGROS",7,
IF(V2034="BIT",90,
IF(V2034="OP GRADO - INGLÉS",17,"")))))</f>
        <v>31</v>
      </c>
      <c r="X2034" t="s">
        <v>4065</v>
      </c>
    </row>
    <row r="2035" spans="1:24" x14ac:dyDescent="0.3">
      <c r="A2035" s="4">
        <v>46133</v>
      </c>
      <c r="B2035">
        <v>20131823</v>
      </c>
      <c r="C2035" t="s">
        <v>19</v>
      </c>
      <c r="D2035">
        <v>175001</v>
      </c>
      <c r="E2035" t="s">
        <v>43</v>
      </c>
      <c r="F2035">
        <v>1082937461</v>
      </c>
      <c r="G2035" t="s">
        <v>4755</v>
      </c>
      <c r="H2035">
        <v>100251271</v>
      </c>
      <c r="I2035">
        <v>202652</v>
      </c>
      <c r="J2035">
        <v>1082937461</v>
      </c>
      <c r="K2035" t="s">
        <v>23</v>
      </c>
      <c r="L2035" t="s">
        <v>252</v>
      </c>
      <c r="M2035" t="s">
        <v>253</v>
      </c>
      <c r="N2035" t="s">
        <v>4146</v>
      </c>
      <c r="O2035" t="s">
        <v>26</v>
      </c>
      <c r="P2035" t="s">
        <v>27</v>
      </c>
      <c r="Q2035" t="s">
        <v>28</v>
      </c>
      <c r="R2035" t="s">
        <v>29</v>
      </c>
      <c r="S2035" t="s">
        <v>793</v>
      </c>
      <c r="T2035">
        <f>_xlfn.XLOOKUP(X2035,Hoja2!D:D,Hoja2!A:A)</f>
        <v>1010081108</v>
      </c>
      <c r="U2035" t="str">
        <f>_xlfn.XLOOKUP(X2035,Hoja2!D:D,Hoja2!B:B)</f>
        <v>HEIDY LORENA PRIETO AHUMADA</v>
      </c>
      <c r="V2035" t="str">
        <f>_xlfn.XLOOKUP(X2035,Hoja2!D:D,Hoja2!C:C)</f>
        <v>PREGRADO</v>
      </c>
      <c r="W2035" s="9">
        <f>IF(V2035="pregrado",31,
IF(V2035="posgrados",31,
IF(V2035="rEINTEGROS",7,
IF(V2035="BIT",90,
IF(V2035="OP GRADO - INGLÉS",17,"")))))</f>
        <v>31</v>
      </c>
      <c r="X2035" t="s">
        <v>4009</v>
      </c>
    </row>
    <row r="2036" spans="1:24" x14ac:dyDescent="0.3">
      <c r="A2036" s="4">
        <v>46133</v>
      </c>
      <c r="B2036">
        <v>20131788</v>
      </c>
      <c r="C2036" t="s">
        <v>19</v>
      </c>
      <c r="D2036">
        <v>175002</v>
      </c>
      <c r="E2036" t="s">
        <v>43</v>
      </c>
      <c r="F2036">
        <v>9524811</v>
      </c>
      <c r="G2036" t="s">
        <v>4744</v>
      </c>
      <c r="H2036">
        <v>100251272</v>
      </c>
      <c r="I2036">
        <v>202642</v>
      </c>
      <c r="J2036">
        <v>1118562466</v>
      </c>
      <c r="K2036" t="s">
        <v>23</v>
      </c>
      <c r="L2036" t="s">
        <v>4163</v>
      </c>
      <c r="M2036" t="s">
        <v>47</v>
      </c>
      <c r="N2036" t="s">
        <v>35</v>
      </c>
      <c r="O2036" t="s">
        <v>26</v>
      </c>
      <c r="P2036" t="s">
        <v>27</v>
      </c>
      <c r="Q2036" t="s">
        <v>28</v>
      </c>
      <c r="R2036" t="s">
        <v>29</v>
      </c>
      <c r="S2036" t="s">
        <v>793</v>
      </c>
      <c r="T2036">
        <f>_xlfn.XLOOKUP(X2036,Hoja2!D:D,Hoja2!A:A)</f>
        <v>1070973852</v>
      </c>
      <c r="U2036" t="str">
        <f>_xlfn.XLOOKUP(X2036,Hoja2!D:D,Hoja2!B:B)</f>
        <v>FABIAN CONCHA</v>
      </c>
      <c r="V2036" t="str">
        <f>_xlfn.XLOOKUP(X2036,Hoja2!D:D,Hoja2!C:C)</f>
        <v>POSGRADOS</v>
      </c>
      <c r="W2036" s="9">
        <f>IF(V2036="pregrado",31,
IF(V2036="posgrados",31,
IF(V2036="rEINTEGROS",7,
IF(V2036="BIT",90,
IF(V2036="OP GRADO - INGLÉS",17,"")))))</f>
        <v>31</v>
      </c>
      <c r="X2036" t="s">
        <v>3957</v>
      </c>
    </row>
    <row r="2037" spans="1:24" x14ac:dyDescent="0.3">
      <c r="A2037" s="4">
        <v>46132</v>
      </c>
      <c r="B2037">
        <v>20131641</v>
      </c>
      <c r="C2037" t="s">
        <v>19</v>
      </c>
      <c r="D2037">
        <v>175003</v>
      </c>
      <c r="E2037" t="s">
        <v>43</v>
      </c>
      <c r="F2037">
        <v>26261351</v>
      </c>
      <c r="G2037" t="s">
        <v>4716</v>
      </c>
      <c r="H2037">
        <v>100251268</v>
      </c>
      <c r="I2037">
        <v>202652</v>
      </c>
      <c r="J2037">
        <v>26261351</v>
      </c>
      <c r="K2037" t="s">
        <v>23</v>
      </c>
      <c r="L2037" t="s">
        <v>252</v>
      </c>
      <c r="M2037" t="s">
        <v>253</v>
      </c>
      <c r="N2037" t="s">
        <v>35</v>
      </c>
      <c r="O2037" t="s">
        <v>26</v>
      </c>
      <c r="P2037" t="s">
        <v>27</v>
      </c>
      <c r="Q2037" t="s">
        <v>28</v>
      </c>
      <c r="R2037" t="s">
        <v>29</v>
      </c>
      <c r="S2037" t="s">
        <v>793</v>
      </c>
      <c r="T2037">
        <f>_xlfn.XLOOKUP(X2037,Hoja2!D:D,Hoja2!A:A)</f>
        <v>1032451737</v>
      </c>
      <c r="U2037" t="str">
        <f>_xlfn.XLOOKUP(X2037,Hoja2!D:D,Hoja2!B:B)</f>
        <v>IVONNE JINETH RODRIGUEZ ROJAS</v>
      </c>
      <c r="V2037" t="str">
        <f>_xlfn.XLOOKUP(X2037,Hoja2!D:D,Hoja2!C:C)</f>
        <v>POSGRADOS</v>
      </c>
      <c r="W2037" s="9">
        <f>IF(V2037="pregrado",31,
IF(V2037="posgrados",31,
IF(V2037="rEINTEGROS",7,
IF(V2037="BIT",90,
IF(V2037="OP GRADO - INGLÉS",17,"")))))</f>
        <v>31</v>
      </c>
      <c r="X2037" t="s">
        <v>4033</v>
      </c>
    </row>
    <row r="2038" spans="1:24" x14ac:dyDescent="0.3">
      <c r="A2038" s="4">
        <v>46134</v>
      </c>
      <c r="B2038">
        <v>20131971</v>
      </c>
      <c r="C2038" t="s">
        <v>19</v>
      </c>
      <c r="D2038">
        <v>175016</v>
      </c>
      <c r="E2038" t="s">
        <v>43</v>
      </c>
      <c r="F2038">
        <v>24245717</v>
      </c>
      <c r="G2038" t="s">
        <v>4790</v>
      </c>
      <c r="H2038">
        <v>100251281</v>
      </c>
      <c r="I2038">
        <v>202652</v>
      </c>
      <c r="J2038">
        <v>24245717</v>
      </c>
      <c r="K2038" t="s">
        <v>23</v>
      </c>
      <c r="L2038" t="s">
        <v>252</v>
      </c>
      <c r="M2038" t="s">
        <v>253</v>
      </c>
      <c r="N2038" t="s">
        <v>35</v>
      </c>
      <c r="O2038" t="s">
        <v>26</v>
      </c>
      <c r="P2038" t="s">
        <v>27</v>
      </c>
      <c r="Q2038" t="s">
        <v>28</v>
      </c>
      <c r="R2038" t="s">
        <v>29</v>
      </c>
      <c r="S2038" t="s">
        <v>793</v>
      </c>
      <c r="T2038">
        <f>_xlfn.XLOOKUP(X2038,Hoja2!D:D,Hoja2!A:A)</f>
        <v>1012389748</v>
      </c>
      <c r="U2038" t="str">
        <f>_xlfn.XLOOKUP(X2038,Hoja2!D:D,Hoja2!B:B)</f>
        <v>IVONNE JINETH RODRIGUEZ ROJAS</v>
      </c>
      <c r="V2038" t="str">
        <f>_xlfn.XLOOKUP(X2038,Hoja2!D:D,Hoja2!C:C)</f>
        <v>POSGRADOS</v>
      </c>
      <c r="W2038" s="9">
        <f>IF(V2038="pregrado",31,
IF(V2038="posgrados",31,
IF(V2038="rEINTEGROS",7,
IF(V2038="BIT",90,
IF(V2038="OP GRADO - INGLÉS",17,"")))))</f>
        <v>31</v>
      </c>
      <c r="X2038" t="s">
        <v>4065</v>
      </c>
    </row>
    <row r="2039" spans="1:24" x14ac:dyDescent="0.3">
      <c r="A2039" s="4">
        <v>46134</v>
      </c>
      <c r="B2039">
        <v>20131957</v>
      </c>
      <c r="C2039" t="s">
        <v>19</v>
      </c>
      <c r="D2039">
        <v>175020</v>
      </c>
      <c r="E2039" t="s">
        <v>43</v>
      </c>
      <c r="F2039">
        <v>1061433156</v>
      </c>
      <c r="G2039" t="s">
        <v>4786</v>
      </c>
      <c r="H2039">
        <v>100251285</v>
      </c>
      <c r="I2039">
        <v>202652</v>
      </c>
      <c r="J2039">
        <v>1061433156</v>
      </c>
      <c r="K2039" t="s">
        <v>23</v>
      </c>
      <c r="L2039" t="s">
        <v>252</v>
      </c>
      <c r="M2039" t="s">
        <v>253</v>
      </c>
      <c r="N2039" t="s">
        <v>35</v>
      </c>
      <c r="O2039" t="s">
        <v>26</v>
      </c>
      <c r="P2039" t="s">
        <v>27</v>
      </c>
      <c r="Q2039" t="s">
        <v>28</v>
      </c>
      <c r="R2039" t="s">
        <v>29</v>
      </c>
      <c r="S2039" t="s">
        <v>793</v>
      </c>
      <c r="T2039">
        <f>_xlfn.XLOOKUP(X2039,Hoja2!D:D,Hoja2!A:A)</f>
        <v>1012389748</v>
      </c>
      <c r="U2039" t="str">
        <f>_xlfn.XLOOKUP(X2039,Hoja2!D:D,Hoja2!B:B)</f>
        <v>IVONNE JINETH RODRIGUEZ ROJAS</v>
      </c>
      <c r="V2039" t="str">
        <f>_xlfn.XLOOKUP(X2039,Hoja2!D:D,Hoja2!C:C)</f>
        <v>POSGRADOS</v>
      </c>
      <c r="W2039" s="9">
        <f>IF(V2039="pregrado",31,
IF(V2039="posgrados",31,
IF(V2039="rEINTEGROS",7,
IF(V2039="BIT",90,
IF(V2039="OP GRADO - INGLÉS",17,"")))))</f>
        <v>31</v>
      </c>
      <c r="X2039" t="s">
        <v>4065</v>
      </c>
    </row>
    <row r="2040" spans="1:24" x14ac:dyDescent="0.3">
      <c r="A2040" s="4">
        <v>46130</v>
      </c>
      <c r="B2040">
        <v>20131602</v>
      </c>
      <c r="C2040" t="s">
        <v>19</v>
      </c>
      <c r="D2040">
        <v>175033</v>
      </c>
      <c r="E2040" t="s">
        <v>43</v>
      </c>
      <c r="F2040">
        <v>68249139</v>
      </c>
      <c r="G2040" t="s">
        <v>4707</v>
      </c>
      <c r="H2040">
        <v>100251295</v>
      </c>
      <c r="I2040">
        <v>202652</v>
      </c>
      <c r="J2040">
        <v>1007414361</v>
      </c>
      <c r="K2040" t="s">
        <v>23</v>
      </c>
      <c r="L2040" t="s">
        <v>252</v>
      </c>
      <c r="M2040" t="s">
        <v>253</v>
      </c>
      <c r="N2040" t="s">
        <v>35</v>
      </c>
      <c r="O2040" t="s">
        <v>26</v>
      </c>
      <c r="P2040" t="s">
        <v>27</v>
      </c>
      <c r="Q2040" t="s">
        <v>28</v>
      </c>
      <c r="R2040" t="s">
        <v>29</v>
      </c>
      <c r="S2040" t="s">
        <v>793</v>
      </c>
      <c r="T2040">
        <f>_xlfn.XLOOKUP(X2040,Hoja2!D:D,Hoja2!A:A)</f>
        <v>1075542872</v>
      </c>
      <c r="U2040" t="str">
        <f>_xlfn.XLOOKUP(X2040,Hoja2!D:D,Hoja2!B:B)</f>
        <v>IVONNE JINETH RODRIGUEZ ROJAS</v>
      </c>
      <c r="V2040" t="str">
        <f>_xlfn.XLOOKUP(X2040,Hoja2!D:D,Hoja2!C:C)</f>
        <v>POSGRADOS</v>
      </c>
      <c r="W2040" s="9">
        <f>IF(V2040="pregrado",31,
IF(V2040="posgrados",31,
IF(V2040="rEINTEGROS",7,
IF(V2040="BIT",90,
IF(V2040="OP GRADO - INGLÉS",17,"")))))</f>
        <v>31</v>
      </c>
      <c r="X2040" t="s">
        <v>3974</v>
      </c>
    </row>
    <row r="2041" spans="1:24" x14ac:dyDescent="0.3">
      <c r="A2041" s="4">
        <v>46135</v>
      </c>
      <c r="B2041">
        <v>20132056</v>
      </c>
      <c r="C2041" t="s">
        <v>19</v>
      </c>
      <c r="D2041">
        <v>175040</v>
      </c>
      <c r="E2041" t="s">
        <v>43</v>
      </c>
      <c r="F2041">
        <v>45370652</v>
      </c>
      <c r="G2041" t="s">
        <v>4810</v>
      </c>
      <c r="H2041">
        <v>100251309</v>
      </c>
      <c r="I2041">
        <v>202652</v>
      </c>
      <c r="J2041">
        <v>45370652</v>
      </c>
      <c r="K2041" t="s">
        <v>23</v>
      </c>
      <c r="L2041" t="s">
        <v>252</v>
      </c>
      <c r="M2041" t="s">
        <v>253</v>
      </c>
      <c r="N2041" t="s">
        <v>35</v>
      </c>
      <c r="O2041" t="s">
        <v>26</v>
      </c>
      <c r="P2041" t="s">
        <v>27</v>
      </c>
      <c r="Q2041" t="s">
        <v>28</v>
      </c>
      <c r="R2041" t="s">
        <v>29</v>
      </c>
      <c r="S2041" t="s">
        <v>793</v>
      </c>
      <c r="T2041">
        <f>_xlfn.XLOOKUP(X2041,Hoja2!D:D,Hoja2!A:A)</f>
        <v>1233513889</v>
      </c>
      <c r="U2041" t="str">
        <f>_xlfn.XLOOKUP(X2041,Hoja2!D:D,Hoja2!B:B)</f>
        <v>IVONNE JINETH RODRIGUEZ ROJAS</v>
      </c>
      <c r="V2041" t="str">
        <f>_xlfn.XLOOKUP(X2041,Hoja2!D:D,Hoja2!C:C)</f>
        <v>POSGRADOS</v>
      </c>
      <c r="W2041" s="9">
        <f>IF(V2041="pregrado",31,
IF(V2041="posgrados",31,
IF(V2041="rEINTEGROS",7,
IF(V2041="BIT",90,
IF(V2041="OP GRADO - INGLÉS",17,"")))))</f>
        <v>31</v>
      </c>
      <c r="X2041" t="s">
        <v>4035</v>
      </c>
    </row>
    <row r="2042" spans="1:24" x14ac:dyDescent="0.3">
      <c r="A2042" s="4">
        <v>46134</v>
      </c>
      <c r="B2042">
        <v>20131919</v>
      </c>
      <c r="C2042" t="s">
        <v>19</v>
      </c>
      <c r="D2042">
        <v>175044</v>
      </c>
      <c r="E2042" t="s">
        <v>43</v>
      </c>
      <c r="F2042">
        <v>1114816867</v>
      </c>
      <c r="G2042" t="s">
        <v>4776</v>
      </c>
      <c r="H2042">
        <v>100251314</v>
      </c>
      <c r="I2042">
        <v>202652</v>
      </c>
      <c r="J2042">
        <v>1114816867</v>
      </c>
      <c r="K2042" t="s">
        <v>23</v>
      </c>
      <c r="L2042" t="s">
        <v>252</v>
      </c>
      <c r="M2042" t="s">
        <v>253</v>
      </c>
      <c r="N2042" t="s">
        <v>35</v>
      </c>
      <c r="O2042" t="s">
        <v>26</v>
      </c>
      <c r="P2042" t="s">
        <v>27</v>
      </c>
      <c r="Q2042" t="s">
        <v>28</v>
      </c>
      <c r="R2042" t="s">
        <v>29</v>
      </c>
      <c r="S2042" t="s">
        <v>793</v>
      </c>
      <c r="T2042">
        <f>_xlfn.XLOOKUP(X2042,Hoja2!D:D,Hoja2!A:A)</f>
        <v>1012389748</v>
      </c>
      <c r="U2042" t="str">
        <f>_xlfn.XLOOKUP(X2042,Hoja2!D:D,Hoja2!B:B)</f>
        <v>IVONNE JINETH RODRIGUEZ ROJAS</v>
      </c>
      <c r="V2042" t="str">
        <f>_xlfn.XLOOKUP(X2042,Hoja2!D:D,Hoja2!C:C)</f>
        <v>POSGRADOS</v>
      </c>
      <c r="W2042" s="9">
        <f>IF(V2042="pregrado",31,
IF(V2042="posgrados",31,
IF(V2042="rEINTEGROS",7,
IF(V2042="BIT",90,
IF(V2042="OP GRADO - INGLÉS",17,"")))))</f>
        <v>31</v>
      </c>
      <c r="X2042" t="s">
        <v>4065</v>
      </c>
    </row>
    <row r="2043" spans="1:24" x14ac:dyDescent="0.3">
      <c r="A2043" s="4">
        <v>46133</v>
      </c>
      <c r="B2043">
        <v>20131870</v>
      </c>
      <c r="C2043" t="s">
        <v>19</v>
      </c>
      <c r="D2043">
        <v>175055</v>
      </c>
      <c r="E2043" t="s">
        <v>43</v>
      </c>
      <c r="F2043">
        <v>83042142</v>
      </c>
      <c r="G2043" t="s">
        <v>4763</v>
      </c>
      <c r="H2043">
        <v>100251327</v>
      </c>
      <c r="I2043">
        <v>202652</v>
      </c>
      <c r="J2043">
        <v>83042142</v>
      </c>
      <c r="K2043" t="s">
        <v>23</v>
      </c>
      <c r="L2043" t="s">
        <v>252</v>
      </c>
      <c r="M2043" t="s">
        <v>253</v>
      </c>
      <c r="N2043" t="s">
        <v>35</v>
      </c>
      <c r="O2043" t="s">
        <v>26</v>
      </c>
      <c r="P2043" t="s">
        <v>27</v>
      </c>
      <c r="Q2043" t="s">
        <v>28</v>
      </c>
      <c r="R2043" t="s">
        <v>29</v>
      </c>
      <c r="S2043" t="s">
        <v>793</v>
      </c>
      <c r="T2043">
        <f>_xlfn.XLOOKUP(X2043,Hoja2!D:D,Hoja2!A:A)</f>
        <v>1019068131</v>
      </c>
      <c r="U2043" t="str">
        <f>_xlfn.XLOOKUP(X2043,Hoja2!D:D,Hoja2!B:B)</f>
        <v>IVONNE JINETH RODRIGUEZ ROJAS</v>
      </c>
      <c r="V2043" t="str">
        <f>_xlfn.XLOOKUP(X2043,Hoja2!D:D,Hoja2!C:C)</f>
        <v>POSGRADOS</v>
      </c>
      <c r="W2043" s="9">
        <f>IF(V2043="pregrado",31,
IF(V2043="posgrados",31,
IF(V2043="rEINTEGROS",7,
IF(V2043="BIT",90,
IF(V2043="OP GRADO - INGLÉS",17,"")))))</f>
        <v>31</v>
      </c>
      <c r="X2043" t="s">
        <v>4066</v>
      </c>
    </row>
    <row r="2044" spans="1:24" x14ac:dyDescent="0.3">
      <c r="A2044" s="4">
        <v>46132</v>
      </c>
      <c r="B2044">
        <v>20131732</v>
      </c>
      <c r="C2044" t="s">
        <v>19</v>
      </c>
      <c r="D2044">
        <v>175057</v>
      </c>
      <c r="E2044" t="s">
        <v>43</v>
      </c>
      <c r="F2044">
        <v>1118123661</v>
      </c>
      <c r="G2044" t="s">
        <v>4731</v>
      </c>
      <c r="H2044">
        <v>100251331</v>
      </c>
      <c r="I2044">
        <v>202652</v>
      </c>
      <c r="J2044">
        <v>1118123661</v>
      </c>
      <c r="K2044" t="s">
        <v>23</v>
      </c>
      <c r="L2044" t="s">
        <v>252</v>
      </c>
      <c r="M2044" t="s">
        <v>253</v>
      </c>
      <c r="N2044" t="s">
        <v>35</v>
      </c>
      <c r="O2044" t="s">
        <v>26</v>
      </c>
      <c r="P2044" t="s">
        <v>27</v>
      </c>
      <c r="Q2044" t="s">
        <v>28</v>
      </c>
      <c r="R2044" t="s">
        <v>29</v>
      </c>
      <c r="S2044" t="s">
        <v>793</v>
      </c>
      <c r="T2044">
        <f>_xlfn.XLOOKUP(X2044,Hoja2!D:D,Hoja2!A:A)</f>
        <v>1140420282</v>
      </c>
      <c r="U2044" t="str">
        <f>_xlfn.XLOOKUP(X2044,Hoja2!D:D,Hoja2!B:B)</f>
        <v>IVONNE JINETH RODRIGUEZ ROJAS</v>
      </c>
      <c r="V2044" t="str">
        <f>_xlfn.XLOOKUP(X2044,Hoja2!D:D,Hoja2!C:C)</f>
        <v>POSGRADOS</v>
      </c>
      <c r="W2044" s="9">
        <f>IF(V2044="pregrado",31,
IF(V2044="posgrados",31,
IF(V2044="rEINTEGROS",7,
IF(V2044="BIT",90,
IF(V2044="OP GRADO - INGLÉS",17,"")))))</f>
        <v>31</v>
      </c>
      <c r="X2044" t="s">
        <v>3972</v>
      </c>
    </row>
    <row r="2045" spans="1:24" x14ac:dyDescent="0.3">
      <c r="A2045" s="4">
        <v>46139</v>
      </c>
      <c r="B2045">
        <v>20132348</v>
      </c>
      <c r="C2045" t="s">
        <v>19</v>
      </c>
      <c r="D2045">
        <v>175067</v>
      </c>
      <c r="E2045" t="s">
        <v>43</v>
      </c>
      <c r="F2045">
        <v>1006549479</v>
      </c>
      <c r="G2045" t="s">
        <v>4868</v>
      </c>
      <c r="H2045">
        <v>100251343</v>
      </c>
      <c r="I2045">
        <v>202652</v>
      </c>
      <c r="J2045">
        <v>1006549552</v>
      </c>
      <c r="K2045" t="s">
        <v>23</v>
      </c>
      <c r="L2045" t="s">
        <v>252</v>
      </c>
      <c r="M2045" t="s">
        <v>253</v>
      </c>
      <c r="N2045" t="s">
        <v>4376</v>
      </c>
      <c r="O2045" t="s">
        <v>26</v>
      </c>
      <c r="P2045" t="s">
        <v>4226</v>
      </c>
      <c r="Q2045" t="s">
        <v>28</v>
      </c>
      <c r="R2045" t="s">
        <v>29</v>
      </c>
      <c r="S2045" t="s">
        <v>793</v>
      </c>
      <c r="T2045">
        <f>_xlfn.XLOOKUP(X2045,Hoja2!D:D,Hoja2!A:A)</f>
        <v>1010081108</v>
      </c>
      <c r="U2045" t="str">
        <f>_xlfn.XLOOKUP(X2045,Hoja2!D:D,Hoja2!B:B)</f>
        <v>HEIDY LORENA PRIETO AHUMADA</v>
      </c>
      <c r="V2045" t="str">
        <f>_xlfn.XLOOKUP(X2045,Hoja2!D:D,Hoja2!C:C)</f>
        <v>PREGRADO</v>
      </c>
      <c r="W2045" s="9">
        <f>IF(V2045="pregrado",31,
IF(V2045="posgrados",31,
IF(V2045="rEINTEGROS",7,
IF(V2045="BIT",90,
IF(V2045="OP GRADO - INGLÉS",17,"")))))</f>
        <v>31</v>
      </c>
      <c r="X2045" t="s">
        <v>4009</v>
      </c>
    </row>
    <row r="2046" spans="1:24" x14ac:dyDescent="0.3">
      <c r="A2046" s="4">
        <v>46134</v>
      </c>
      <c r="B2046">
        <v>20131905</v>
      </c>
      <c r="C2046" t="s">
        <v>19</v>
      </c>
      <c r="D2046">
        <v>175076</v>
      </c>
      <c r="E2046" t="s">
        <v>43</v>
      </c>
      <c r="F2046">
        <v>1067950608</v>
      </c>
      <c r="G2046" t="s">
        <v>4771</v>
      </c>
      <c r="H2046">
        <v>100251352</v>
      </c>
      <c r="I2046">
        <v>202652</v>
      </c>
      <c r="J2046">
        <v>1067880484</v>
      </c>
      <c r="K2046" t="s">
        <v>23</v>
      </c>
      <c r="L2046" t="s">
        <v>252</v>
      </c>
      <c r="M2046" t="s">
        <v>253</v>
      </c>
      <c r="N2046" t="s">
        <v>35</v>
      </c>
      <c r="O2046" t="s">
        <v>26</v>
      </c>
      <c r="P2046" t="s">
        <v>27</v>
      </c>
      <c r="Q2046" t="s">
        <v>28</v>
      </c>
      <c r="R2046" t="s">
        <v>29</v>
      </c>
      <c r="S2046" t="s">
        <v>793</v>
      </c>
      <c r="T2046">
        <f>_xlfn.XLOOKUP(X2046,Hoja2!D:D,Hoja2!A:A)</f>
        <v>1033793185</v>
      </c>
      <c r="U2046" t="str">
        <f>_xlfn.XLOOKUP(X2046,Hoja2!D:D,Hoja2!B:B)</f>
        <v>IVONNE JINETH RODRIGUEZ ROJAS</v>
      </c>
      <c r="V2046" t="str">
        <f>_xlfn.XLOOKUP(X2046,Hoja2!D:D,Hoja2!C:C)</f>
        <v>POSGRADOS</v>
      </c>
      <c r="W2046" s="9">
        <f>IF(V2046="pregrado",31,
IF(V2046="posgrados",31,
IF(V2046="rEINTEGROS",7,
IF(V2046="BIT",90,
IF(V2046="OP GRADO - INGLÉS",17,"")))))</f>
        <v>31</v>
      </c>
      <c r="X2046" t="s">
        <v>4082</v>
      </c>
    </row>
    <row r="2047" spans="1:24" x14ac:dyDescent="0.3">
      <c r="A2047" s="4">
        <v>46134</v>
      </c>
      <c r="B2047">
        <v>20131890</v>
      </c>
      <c r="C2047" t="s">
        <v>19</v>
      </c>
      <c r="D2047">
        <v>175078</v>
      </c>
      <c r="E2047" t="s">
        <v>43</v>
      </c>
      <c r="F2047">
        <v>41962913</v>
      </c>
      <c r="G2047" t="s">
        <v>4767</v>
      </c>
      <c r="H2047">
        <v>100251355</v>
      </c>
      <c r="I2047">
        <v>202642</v>
      </c>
      <c r="J2047">
        <v>41962913</v>
      </c>
      <c r="K2047" t="s">
        <v>23</v>
      </c>
      <c r="L2047" t="s">
        <v>4163</v>
      </c>
      <c r="M2047" t="s">
        <v>47</v>
      </c>
      <c r="N2047" t="s">
        <v>35</v>
      </c>
      <c r="O2047" t="s">
        <v>26</v>
      </c>
      <c r="P2047" t="s">
        <v>27</v>
      </c>
      <c r="Q2047" t="s">
        <v>28</v>
      </c>
      <c r="R2047" t="s">
        <v>29</v>
      </c>
      <c r="S2047" t="s">
        <v>793</v>
      </c>
      <c r="T2047">
        <f>_xlfn.XLOOKUP(X2047,Hoja2!D:D,Hoja2!A:A)</f>
        <v>1015401969</v>
      </c>
      <c r="U2047" t="str">
        <f>_xlfn.XLOOKUP(X2047,Hoja2!D:D,Hoja2!B:B)</f>
        <v>FABIAN CONCHA</v>
      </c>
      <c r="V2047" t="str">
        <f>_xlfn.XLOOKUP(X2047,Hoja2!D:D,Hoja2!C:C)</f>
        <v>POSGRADOS</v>
      </c>
      <c r="W2047" s="9">
        <f>IF(V2047="pregrado",31,
IF(V2047="posgrados",31,
IF(V2047="rEINTEGROS",7,
IF(V2047="BIT",90,
IF(V2047="OP GRADO - INGLÉS",17,"")))))</f>
        <v>31</v>
      </c>
      <c r="X2047" t="s">
        <v>3945</v>
      </c>
    </row>
    <row r="2048" spans="1:24" x14ac:dyDescent="0.3">
      <c r="A2048" s="4">
        <v>46132</v>
      </c>
      <c r="B2048">
        <v>20131748</v>
      </c>
      <c r="C2048" t="s">
        <v>19</v>
      </c>
      <c r="D2048">
        <v>175090</v>
      </c>
      <c r="E2048" t="s">
        <v>43</v>
      </c>
      <c r="F2048">
        <v>1115745179</v>
      </c>
      <c r="G2048" t="s">
        <v>4735</v>
      </c>
      <c r="H2048">
        <v>100251376</v>
      </c>
      <c r="I2048">
        <v>202652</v>
      </c>
      <c r="J2048">
        <v>1115745179</v>
      </c>
      <c r="K2048" t="s">
        <v>23</v>
      </c>
      <c r="L2048" t="s">
        <v>252</v>
      </c>
      <c r="M2048" t="s">
        <v>253</v>
      </c>
      <c r="N2048" t="s">
        <v>35</v>
      </c>
      <c r="O2048" t="s">
        <v>26</v>
      </c>
      <c r="P2048" t="s">
        <v>27</v>
      </c>
      <c r="Q2048" t="s">
        <v>28</v>
      </c>
      <c r="R2048" t="s">
        <v>29</v>
      </c>
      <c r="S2048" t="s">
        <v>793</v>
      </c>
      <c r="T2048">
        <f>_xlfn.XLOOKUP(X2048,Hoja2!D:D,Hoja2!A:A)</f>
        <v>1140420282</v>
      </c>
      <c r="U2048" t="str">
        <f>_xlfn.XLOOKUP(X2048,Hoja2!D:D,Hoja2!B:B)</f>
        <v>IVONNE JINETH RODRIGUEZ ROJAS</v>
      </c>
      <c r="V2048" t="str">
        <f>_xlfn.XLOOKUP(X2048,Hoja2!D:D,Hoja2!C:C)</f>
        <v>POSGRADOS</v>
      </c>
      <c r="W2048" s="9">
        <f>IF(V2048="pregrado",31,
IF(V2048="posgrados",31,
IF(V2048="rEINTEGROS",7,
IF(V2048="BIT",90,
IF(V2048="OP GRADO - INGLÉS",17,"")))))</f>
        <v>31</v>
      </c>
      <c r="X2048" t="s">
        <v>3972</v>
      </c>
    </row>
    <row r="2049" spans="1:24" x14ac:dyDescent="0.3">
      <c r="A2049" s="4">
        <v>46150</v>
      </c>
      <c r="B2049">
        <v>20133383</v>
      </c>
      <c r="C2049" t="s">
        <v>19</v>
      </c>
      <c r="D2049">
        <v>175091</v>
      </c>
      <c r="E2049" t="s">
        <v>43</v>
      </c>
      <c r="F2049">
        <v>1144094054</v>
      </c>
      <c r="G2049" t="s">
        <v>4920</v>
      </c>
      <c r="H2049">
        <v>100251378</v>
      </c>
      <c r="I2049">
        <v>202642</v>
      </c>
      <c r="J2049">
        <v>1144094054</v>
      </c>
      <c r="K2049" t="s">
        <v>23</v>
      </c>
      <c r="L2049" t="s">
        <v>4242</v>
      </c>
      <c r="M2049" t="s">
        <v>47</v>
      </c>
      <c r="N2049" t="s">
        <v>35</v>
      </c>
      <c r="O2049" t="s">
        <v>26</v>
      </c>
      <c r="P2049" t="s">
        <v>27</v>
      </c>
      <c r="Q2049" t="s">
        <v>28</v>
      </c>
      <c r="R2049" t="s">
        <v>29</v>
      </c>
      <c r="S2049" t="s">
        <v>793</v>
      </c>
      <c r="T2049">
        <f>_xlfn.XLOOKUP(X2049,Hoja2!D:D,Hoja2!A:A)</f>
        <v>53116792</v>
      </c>
      <c r="U2049" t="str">
        <f>_xlfn.XLOOKUP(X2049,Hoja2!D:D,Hoja2!B:B)</f>
        <v>FABIAN CONCHA</v>
      </c>
      <c r="V2049" t="str">
        <f>_xlfn.XLOOKUP(X2049,Hoja2!D:D,Hoja2!C:C)</f>
        <v>POSGRADOS</v>
      </c>
      <c r="W2049" s="9">
        <f>IF(V2049="pregrado",31,
IF(V2049="posgrados",31,
IF(V2049="rEINTEGROS",7,
IF(V2049="BIT",90,
IF(V2049="OP GRADO - INGLÉS",17,"")))))</f>
        <v>31</v>
      </c>
      <c r="X2049" t="s">
        <v>4008</v>
      </c>
    </row>
    <row r="2050" spans="1:24" x14ac:dyDescent="0.3">
      <c r="A2050" s="4">
        <v>46134</v>
      </c>
      <c r="B2050">
        <v>20131929</v>
      </c>
      <c r="C2050" t="s">
        <v>19</v>
      </c>
      <c r="D2050">
        <v>175095</v>
      </c>
      <c r="E2050" t="s">
        <v>43</v>
      </c>
      <c r="F2050">
        <v>29506434</v>
      </c>
      <c r="G2050" t="s">
        <v>4780</v>
      </c>
      <c r="H2050">
        <v>100251392</v>
      </c>
      <c r="I2050">
        <v>202642</v>
      </c>
      <c r="J2050">
        <v>29506434</v>
      </c>
      <c r="K2050" t="s">
        <v>23</v>
      </c>
      <c r="L2050" t="s">
        <v>59</v>
      </c>
      <c r="M2050" t="s">
        <v>47</v>
      </c>
      <c r="N2050" t="s">
        <v>35</v>
      </c>
      <c r="O2050" t="s">
        <v>26</v>
      </c>
      <c r="P2050" t="s">
        <v>27</v>
      </c>
      <c r="Q2050" t="s">
        <v>28</v>
      </c>
      <c r="R2050" t="s">
        <v>29</v>
      </c>
      <c r="S2050" t="s">
        <v>793</v>
      </c>
      <c r="T2050">
        <f>_xlfn.XLOOKUP(X2050,Hoja2!D:D,Hoja2!A:A)</f>
        <v>1193146767</v>
      </c>
      <c r="U2050" t="str">
        <f>_xlfn.XLOOKUP(X2050,Hoja2!D:D,Hoja2!B:B)</f>
        <v>FABIAN CONCHA</v>
      </c>
      <c r="V2050" t="str">
        <f>_xlfn.XLOOKUP(X2050,Hoja2!D:D,Hoja2!C:C)</f>
        <v>POSGRADOS</v>
      </c>
      <c r="W2050" s="9">
        <f>IF(V2050="pregrado",31,
IF(V2050="posgrados",31,
IF(V2050="rEINTEGROS",7,
IF(V2050="BIT",90,
IF(V2050="OP GRADO - INGLÉS",17,"")))))</f>
        <v>31</v>
      </c>
      <c r="X2050" t="s">
        <v>4072</v>
      </c>
    </row>
    <row r="2051" spans="1:24" x14ac:dyDescent="0.3">
      <c r="A2051" s="4">
        <v>46133</v>
      </c>
      <c r="B2051">
        <v>20131769</v>
      </c>
      <c r="C2051" t="s">
        <v>19</v>
      </c>
      <c r="D2051">
        <v>175120</v>
      </c>
      <c r="E2051" t="s">
        <v>43</v>
      </c>
      <c r="F2051">
        <v>1077466881</v>
      </c>
      <c r="G2051" t="s">
        <v>4739</v>
      </c>
      <c r="H2051">
        <v>100251257</v>
      </c>
      <c r="I2051">
        <v>202642</v>
      </c>
      <c r="J2051">
        <v>1077466881</v>
      </c>
      <c r="K2051" t="s">
        <v>23</v>
      </c>
      <c r="L2051" t="s">
        <v>294</v>
      </c>
      <c r="M2051" t="s">
        <v>47</v>
      </c>
      <c r="N2051" t="s">
        <v>35</v>
      </c>
      <c r="O2051" t="s">
        <v>26</v>
      </c>
      <c r="P2051" t="s">
        <v>27</v>
      </c>
      <c r="Q2051" t="s">
        <v>28</v>
      </c>
      <c r="R2051" t="s">
        <v>29</v>
      </c>
      <c r="S2051" t="s">
        <v>793</v>
      </c>
      <c r="T2051">
        <f>_xlfn.XLOOKUP(X2051,Hoja2!D:D,Hoja2!A:A)</f>
        <v>1014285873</v>
      </c>
      <c r="U2051" t="str">
        <f>_xlfn.XLOOKUP(X2051,Hoja2!D:D,Hoja2!B:B)</f>
        <v>IVONNE JINETH RODRIGUEZ ROJAS</v>
      </c>
      <c r="V2051" t="str">
        <f>_xlfn.XLOOKUP(X2051,Hoja2!D:D,Hoja2!C:C)</f>
        <v>POSGRADOS</v>
      </c>
      <c r="W2051" s="9">
        <f>IF(V2051="pregrado",31,
IF(V2051="posgrados",31,
IF(V2051="rEINTEGROS",7,
IF(V2051="BIT",90,
IF(V2051="OP GRADO - INGLÉS",17,"")))))</f>
        <v>31</v>
      </c>
      <c r="X2051" t="s">
        <v>3953</v>
      </c>
    </row>
    <row r="2052" spans="1:24" x14ac:dyDescent="0.3">
      <c r="A2052" s="4">
        <v>46133</v>
      </c>
      <c r="B2052">
        <v>20131793</v>
      </c>
      <c r="C2052" t="s">
        <v>19</v>
      </c>
      <c r="D2052">
        <v>175133</v>
      </c>
      <c r="E2052" t="s">
        <v>43</v>
      </c>
      <c r="F2052">
        <v>64550883</v>
      </c>
      <c r="G2052" t="s">
        <v>4745</v>
      </c>
      <c r="H2052">
        <v>100251444</v>
      </c>
      <c r="I2052">
        <v>202652</v>
      </c>
      <c r="J2052">
        <v>64550883</v>
      </c>
      <c r="K2052" t="s">
        <v>23</v>
      </c>
      <c r="L2052" t="s">
        <v>252</v>
      </c>
      <c r="M2052" t="s">
        <v>253</v>
      </c>
      <c r="N2052" t="s">
        <v>35</v>
      </c>
      <c r="O2052" t="s">
        <v>26</v>
      </c>
      <c r="P2052" t="s">
        <v>27</v>
      </c>
      <c r="Q2052" t="s">
        <v>28</v>
      </c>
      <c r="R2052" t="s">
        <v>29</v>
      </c>
      <c r="S2052" t="s">
        <v>793</v>
      </c>
      <c r="T2052">
        <f>_xlfn.XLOOKUP(X2052,Hoja2!D:D,Hoja2!A:A)</f>
        <v>1032451737</v>
      </c>
      <c r="U2052" t="str">
        <f>_xlfn.XLOOKUP(X2052,Hoja2!D:D,Hoja2!B:B)</f>
        <v>IVONNE JINETH RODRIGUEZ ROJAS</v>
      </c>
      <c r="V2052" t="str">
        <f>_xlfn.XLOOKUP(X2052,Hoja2!D:D,Hoja2!C:C)</f>
        <v>POSGRADOS</v>
      </c>
      <c r="W2052" s="9">
        <f>IF(V2052="pregrado",31,
IF(V2052="posgrados",31,
IF(V2052="rEINTEGROS",7,
IF(V2052="BIT",90,
IF(V2052="OP GRADO - INGLÉS",17,"")))))</f>
        <v>31</v>
      </c>
      <c r="X2052" t="s">
        <v>4033</v>
      </c>
    </row>
    <row r="2053" spans="1:24" x14ac:dyDescent="0.3">
      <c r="A2053" s="4">
        <v>46137</v>
      </c>
      <c r="B2053">
        <v>20132226</v>
      </c>
      <c r="C2053" t="s">
        <v>19</v>
      </c>
      <c r="D2053">
        <v>175140</v>
      </c>
      <c r="E2053" t="s">
        <v>43</v>
      </c>
      <c r="F2053">
        <v>1124518338</v>
      </c>
      <c r="G2053" t="s">
        <v>4844</v>
      </c>
      <c r="H2053">
        <v>100251452</v>
      </c>
      <c r="I2053">
        <v>202652</v>
      </c>
      <c r="J2053">
        <v>1124513645</v>
      </c>
      <c r="K2053" t="s">
        <v>23</v>
      </c>
      <c r="L2053" t="s">
        <v>252</v>
      </c>
      <c r="M2053" t="s">
        <v>253</v>
      </c>
      <c r="N2053" t="s">
        <v>35</v>
      </c>
      <c r="O2053" t="s">
        <v>26</v>
      </c>
      <c r="P2053" t="s">
        <v>27</v>
      </c>
      <c r="Q2053" t="s">
        <v>28</v>
      </c>
      <c r="R2053" t="s">
        <v>29</v>
      </c>
      <c r="S2053" t="s">
        <v>793</v>
      </c>
      <c r="T2053">
        <f>_xlfn.XLOOKUP(X2053,Hoja2!D:D,Hoja2!A:A)</f>
        <v>1033793185</v>
      </c>
      <c r="U2053" t="str">
        <f>_xlfn.XLOOKUP(X2053,Hoja2!D:D,Hoja2!B:B)</f>
        <v>IVONNE JINETH RODRIGUEZ ROJAS</v>
      </c>
      <c r="V2053" t="str">
        <f>_xlfn.XLOOKUP(X2053,Hoja2!D:D,Hoja2!C:C)</f>
        <v>POSGRADOS</v>
      </c>
      <c r="W2053" s="9">
        <f>IF(V2053="pregrado",31,
IF(V2053="posgrados",31,
IF(V2053="rEINTEGROS",7,
IF(V2053="BIT",90,
IF(V2053="OP GRADO - INGLÉS",17,"")))))</f>
        <v>31</v>
      </c>
      <c r="X2053" t="s">
        <v>4082</v>
      </c>
    </row>
    <row r="2054" spans="1:24" x14ac:dyDescent="0.3">
      <c r="A2054" s="4">
        <v>46135</v>
      </c>
      <c r="B2054">
        <v>20132037</v>
      </c>
      <c r="C2054" t="s">
        <v>19</v>
      </c>
      <c r="D2054">
        <v>175151</v>
      </c>
      <c r="E2054" t="s">
        <v>43</v>
      </c>
      <c r="F2054">
        <v>92098296</v>
      </c>
      <c r="G2054" t="s">
        <v>4803</v>
      </c>
      <c r="H2054">
        <v>100251460</v>
      </c>
      <c r="I2054">
        <v>202652</v>
      </c>
      <c r="J2054">
        <v>92098296</v>
      </c>
      <c r="K2054" t="s">
        <v>23</v>
      </c>
      <c r="L2054" t="s">
        <v>252</v>
      </c>
      <c r="M2054" t="s">
        <v>253</v>
      </c>
      <c r="N2054" t="s">
        <v>35</v>
      </c>
      <c r="O2054" t="s">
        <v>26</v>
      </c>
      <c r="P2054" t="s">
        <v>27</v>
      </c>
      <c r="Q2054" t="s">
        <v>28</v>
      </c>
      <c r="R2054" t="s">
        <v>29</v>
      </c>
      <c r="S2054" t="s">
        <v>793</v>
      </c>
      <c r="T2054">
        <f>_xlfn.XLOOKUP(X2054,Hoja2!D:D,Hoja2!A:A)</f>
        <v>1026262709</v>
      </c>
      <c r="U2054" t="str">
        <f>_xlfn.XLOOKUP(X2054,Hoja2!D:D,Hoja2!B:B)</f>
        <v>FABIAN CONCHA</v>
      </c>
      <c r="V2054" t="str">
        <f>_xlfn.XLOOKUP(X2054,Hoja2!D:D,Hoja2!C:C)</f>
        <v>POSGRADOS</v>
      </c>
      <c r="W2054" s="9">
        <f>IF(V2054="pregrado",31,
IF(V2054="posgrados",31,
IF(V2054="rEINTEGROS",7,
IF(V2054="BIT",90,
IF(V2054="OP GRADO - INGLÉS",17,"")))))</f>
        <v>31</v>
      </c>
      <c r="X2054" t="s">
        <v>4037</v>
      </c>
    </row>
    <row r="2055" spans="1:24" x14ac:dyDescent="0.3">
      <c r="A2055" s="4">
        <v>46133</v>
      </c>
      <c r="B2055">
        <v>20131813</v>
      </c>
      <c r="C2055" t="s">
        <v>19</v>
      </c>
      <c r="D2055">
        <v>175156</v>
      </c>
      <c r="E2055" t="s">
        <v>43</v>
      </c>
      <c r="F2055">
        <v>1001818167</v>
      </c>
      <c r="G2055" t="s">
        <v>4753</v>
      </c>
      <c r="H2055">
        <v>100251467</v>
      </c>
      <c r="I2055">
        <v>202642</v>
      </c>
      <c r="J2055">
        <v>1001818167</v>
      </c>
      <c r="K2055" t="s">
        <v>23</v>
      </c>
      <c r="L2055" t="s">
        <v>160</v>
      </c>
      <c r="M2055" t="s">
        <v>47</v>
      </c>
      <c r="N2055" t="s">
        <v>35</v>
      </c>
      <c r="O2055" t="s">
        <v>26</v>
      </c>
      <c r="P2055" t="s">
        <v>27</v>
      </c>
      <c r="Q2055" t="s">
        <v>28</v>
      </c>
      <c r="R2055" t="s">
        <v>29</v>
      </c>
      <c r="S2055" t="s">
        <v>793</v>
      </c>
      <c r="T2055">
        <f>_xlfn.XLOOKUP(X2055,Hoja2!D:D,Hoja2!A:A)</f>
        <v>53116792</v>
      </c>
      <c r="U2055" t="str">
        <f>_xlfn.XLOOKUP(X2055,Hoja2!D:D,Hoja2!B:B)</f>
        <v>FABIAN CONCHA</v>
      </c>
      <c r="V2055" t="str">
        <f>_xlfn.XLOOKUP(X2055,Hoja2!D:D,Hoja2!C:C)</f>
        <v>POSGRADOS</v>
      </c>
      <c r="W2055" s="9">
        <f>IF(V2055="pregrado",31,
IF(V2055="posgrados",31,
IF(V2055="rEINTEGROS",7,
IF(V2055="BIT",90,
IF(V2055="OP GRADO - INGLÉS",17,"")))))</f>
        <v>31</v>
      </c>
      <c r="X2055" t="s">
        <v>4008</v>
      </c>
    </row>
    <row r="2056" spans="1:24" x14ac:dyDescent="0.3">
      <c r="A2056" s="4">
        <v>46133</v>
      </c>
      <c r="B2056">
        <v>20131814</v>
      </c>
      <c r="C2056" t="s">
        <v>19</v>
      </c>
      <c r="D2056">
        <v>175164</v>
      </c>
      <c r="E2056" t="s">
        <v>43</v>
      </c>
      <c r="F2056">
        <v>1104410394</v>
      </c>
      <c r="G2056" t="s">
        <v>4754</v>
      </c>
      <c r="H2056">
        <v>100251475</v>
      </c>
      <c r="I2056">
        <v>202652</v>
      </c>
      <c r="J2056">
        <v>1104410394</v>
      </c>
      <c r="K2056" t="s">
        <v>23</v>
      </c>
      <c r="L2056" t="s">
        <v>252</v>
      </c>
      <c r="M2056" t="s">
        <v>253</v>
      </c>
      <c r="N2056" t="s">
        <v>35</v>
      </c>
      <c r="O2056" t="s">
        <v>26</v>
      </c>
      <c r="P2056" t="s">
        <v>27</v>
      </c>
      <c r="Q2056" t="s">
        <v>28</v>
      </c>
      <c r="R2056" t="s">
        <v>29</v>
      </c>
      <c r="S2056" t="s">
        <v>793</v>
      </c>
      <c r="T2056">
        <f>_xlfn.XLOOKUP(X2056,Hoja2!D:D,Hoja2!A:A)</f>
        <v>1014285873</v>
      </c>
      <c r="U2056" t="str">
        <f>_xlfn.XLOOKUP(X2056,Hoja2!D:D,Hoja2!B:B)</f>
        <v>IVONNE JINETH RODRIGUEZ ROJAS</v>
      </c>
      <c r="V2056" t="str">
        <f>_xlfn.XLOOKUP(X2056,Hoja2!D:D,Hoja2!C:C)</f>
        <v>POSGRADOS</v>
      </c>
      <c r="W2056" s="9">
        <f>IF(V2056="pregrado",31,
IF(V2056="posgrados",31,
IF(V2056="rEINTEGROS",7,
IF(V2056="BIT",90,
IF(V2056="OP GRADO - INGLÉS",17,"")))))</f>
        <v>31</v>
      </c>
      <c r="X2056" t="s">
        <v>3953</v>
      </c>
    </row>
    <row r="2057" spans="1:24" x14ac:dyDescent="0.3">
      <c r="A2057" s="4">
        <v>46133</v>
      </c>
      <c r="B2057">
        <v>20131807</v>
      </c>
      <c r="C2057" t="s">
        <v>19</v>
      </c>
      <c r="D2057">
        <v>175167</v>
      </c>
      <c r="E2057" t="s">
        <v>43</v>
      </c>
      <c r="F2057">
        <v>1118020128</v>
      </c>
      <c r="G2057" t="s">
        <v>4751</v>
      </c>
      <c r="H2057">
        <v>100047896</v>
      </c>
      <c r="I2057">
        <v>202652</v>
      </c>
      <c r="J2057">
        <v>1118020128</v>
      </c>
      <c r="K2057" t="s">
        <v>46</v>
      </c>
      <c r="L2057" t="s">
        <v>252</v>
      </c>
      <c r="M2057" t="s">
        <v>253</v>
      </c>
      <c r="N2057" t="s">
        <v>35</v>
      </c>
      <c r="O2057" t="s">
        <v>26</v>
      </c>
      <c r="P2057" t="s">
        <v>27</v>
      </c>
      <c r="Q2057" t="s">
        <v>28</v>
      </c>
      <c r="R2057" t="s">
        <v>29</v>
      </c>
      <c r="S2057" t="s">
        <v>793</v>
      </c>
      <c r="T2057">
        <f>_xlfn.XLOOKUP(X2057,Hoja2!D:D,Hoja2!A:A)</f>
        <v>1033781417</v>
      </c>
      <c r="U2057" t="str">
        <f>_xlfn.XLOOKUP(X2057,Hoja2!D:D,Hoja2!B:B)</f>
        <v>IVONNE JINETH RODRIGUEZ ROJAS</v>
      </c>
      <c r="V2057" t="str">
        <f>_xlfn.XLOOKUP(X2057,Hoja2!D:D,Hoja2!C:C)</f>
        <v>POSGRADOS</v>
      </c>
      <c r="W2057" s="9">
        <f>IF(V2057="pregrado",31,
IF(V2057="posgrados",31,
IF(V2057="rEINTEGROS",7,
IF(V2057="BIT",90,
IF(V2057="OP GRADO - INGLÉS",17,"")))))</f>
        <v>31</v>
      </c>
      <c r="X2057" t="s">
        <v>4031</v>
      </c>
    </row>
    <row r="2058" spans="1:24" x14ac:dyDescent="0.3">
      <c r="A2058" s="4">
        <v>46133</v>
      </c>
      <c r="B2058">
        <v>20131845</v>
      </c>
      <c r="C2058" t="s">
        <v>19</v>
      </c>
      <c r="D2058">
        <v>175182</v>
      </c>
      <c r="E2058" t="s">
        <v>43</v>
      </c>
      <c r="F2058">
        <v>1110531571</v>
      </c>
      <c r="G2058" t="s">
        <v>4759</v>
      </c>
      <c r="H2058">
        <v>100251495</v>
      </c>
      <c r="I2058">
        <v>202652</v>
      </c>
      <c r="J2058">
        <v>1110531571</v>
      </c>
      <c r="K2058" t="s">
        <v>23</v>
      </c>
      <c r="L2058" t="s">
        <v>252</v>
      </c>
      <c r="M2058" t="s">
        <v>253</v>
      </c>
      <c r="N2058" t="s">
        <v>35</v>
      </c>
      <c r="O2058" t="s">
        <v>26</v>
      </c>
      <c r="P2058" t="s">
        <v>27</v>
      </c>
      <c r="Q2058" t="s">
        <v>28</v>
      </c>
      <c r="R2058" t="s">
        <v>29</v>
      </c>
      <c r="S2058" t="s">
        <v>793</v>
      </c>
      <c r="T2058">
        <f>_xlfn.XLOOKUP(X2058,Hoja2!D:D,Hoja2!A:A)</f>
        <v>1033784244</v>
      </c>
      <c r="U2058" t="str">
        <f>_xlfn.XLOOKUP(X2058,Hoja2!D:D,Hoja2!B:B)</f>
        <v>IVONNE JINETH RODRIGUEZ ROJAS</v>
      </c>
      <c r="V2058" t="str">
        <f>_xlfn.XLOOKUP(X2058,Hoja2!D:D,Hoja2!C:C)</f>
        <v>POSGRADOS</v>
      </c>
      <c r="W2058" s="9">
        <f>IF(V2058="pregrado",31,
IF(V2058="posgrados",31,
IF(V2058="rEINTEGROS",7,
IF(V2058="BIT",90,
IF(V2058="OP GRADO - INGLÉS",17,"")))))</f>
        <v>31</v>
      </c>
      <c r="X2058" t="s">
        <v>4067</v>
      </c>
    </row>
    <row r="2059" spans="1:24" x14ac:dyDescent="0.3">
      <c r="A2059" s="4">
        <v>46133</v>
      </c>
      <c r="B2059">
        <v>20131865</v>
      </c>
      <c r="C2059" t="s">
        <v>19</v>
      </c>
      <c r="D2059">
        <v>175189</v>
      </c>
      <c r="E2059" t="s">
        <v>43</v>
      </c>
      <c r="F2059">
        <v>51592281</v>
      </c>
      <c r="G2059" t="s">
        <v>4762</v>
      </c>
      <c r="H2059">
        <v>100054850</v>
      </c>
      <c r="I2059">
        <v>202652</v>
      </c>
      <c r="J2059">
        <v>1068954336</v>
      </c>
      <c r="K2059" t="s">
        <v>23</v>
      </c>
      <c r="L2059" t="s">
        <v>252</v>
      </c>
      <c r="M2059" t="s">
        <v>253</v>
      </c>
      <c r="N2059" t="s">
        <v>35</v>
      </c>
      <c r="O2059" t="s">
        <v>26</v>
      </c>
      <c r="P2059" t="s">
        <v>27</v>
      </c>
      <c r="Q2059" t="s">
        <v>28</v>
      </c>
      <c r="R2059" t="s">
        <v>29</v>
      </c>
      <c r="S2059" t="s">
        <v>793</v>
      </c>
      <c r="T2059">
        <f>_xlfn.XLOOKUP(X2059,Hoja2!D:D,Hoja2!A:A)</f>
        <v>1033784244</v>
      </c>
      <c r="U2059" t="str">
        <f>_xlfn.XLOOKUP(X2059,Hoja2!D:D,Hoja2!B:B)</f>
        <v>IVONNE JINETH RODRIGUEZ ROJAS</v>
      </c>
      <c r="V2059" t="str">
        <f>_xlfn.XLOOKUP(X2059,Hoja2!D:D,Hoja2!C:C)</f>
        <v>POSGRADOS</v>
      </c>
      <c r="W2059" s="9">
        <f>IF(V2059="pregrado",31,
IF(V2059="posgrados",31,
IF(V2059="rEINTEGROS",7,
IF(V2059="BIT",90,
IF(V2059="OP GRADO - INGLÉS",17,"")))))</f>
        <v>31</v>
      </c>
      <c r="X2059" t="s">
        <v>4067</v>
      </c>
    </row>
    <row r="2060" spans="1:24" x14ac:dyDescent="0.3">
      <c r="A2060" s="4">
        <v>46135</v>
      </c>
      <c r="B2060">
        <v>20132053</v>
      </c>
      <c r="C2060" t="s">
        <v>19</v>
      </c>
      <c r="D2060">
        <v>175200</v>
      </c>
      <c r="E2060" t="s">
        <v>43</v>
      </c>
      <c r="F2060">
        <v>1075320588</v>
      </c>
      <c r="G2060" t="s">
        <v>4809</v>
      </c>
      <c r="H2060">
        <v>100251507</v>
      </c>
      <c r="I2060">
        <v>202642</v>
      </c>
      <c r="J2060">
        <v>1075320588</v>
      </c>
      <c r="K2060" t="s">
        <v>23</v>
      </c>
      <c r="L2060" t="s">
        <v>4242</v>
      </c>
      <c r="M2060" t="s">
        <v>47</v>
      </c>
      <c r="N2060" t="s">
        <v>35</v>
      </c>
      <c r="O2060" t="s">
        <v>26</v>
      </c>
      <c r="P2060" t="s">
        <v>27</v>
      </c>
      <c r="Q2060" t="s">
        <v>28</v>
      </c>
      <c r="R2060" t="s">
        <v>29</v>
      </c>
      <c r="S2060" t="s">
        <v>793</v>
      </c>
      <c r="T2060">
        <f>_xlfn.XLOOKUP(X2060,Hoja2!D:D,Hoja2!A:A)</f>
        <v>1026262709</v>
      </c>
      <c r="U2060" t="str">
        <f>_xlfn.XLOOKUP(X2060,Hoja2!D:D,Hoja2!B:B)</f>
        <v>FABIAN CONCHA</v>
      </c>
      <c r="V2060" t="str">
        <f>_xlfn.XLOOKUP(X2060,Hoja2!D:D,Hoja2!C:C)</f>
        <v>POSGRADOS</v>
      </c>
      <c r="W2060" s="9">
        <f>IF(V2060="pregrado",31,
IF(V2060="posgrados",31,
IF(V2060="rEINTEGROS",7,
IF(V2060="BIT",90,
IF(V2060="OP GRADO - INGLÉS",17,"")))))</f>
        <v>31</v>
      </c>
      <c r="X2060" t="s">
        <v>4037</v>
      </c>
    </row>
    <row r="2061" spans="1:24" x14ac:dyDescent="0.3">
      <c r="A2061" s="4">
        <v>46137</v>
      </c>
      <c r="B2061">
        <v>20132243</v>
      </c>
      <c r="C2061" t="s">
        <v>19</v>
      </c>
      <c r="D2061">
        <v>175203</v>
      </c>
      <c r="E2061" t="s">
        <v>43</v>
      </c>
      <c r="F2061">
        <v>26211788</v>
      </c>
      <c r="G2061" t="s">
        <v>4846</v>
      </c>
      <c r="H2061">
        <v>100251513</v>
      </c>
      <c r="I2061">
        <v>202642</v>
      </c>
      <c r="J2061">
        <v>1073981643</v>
      </c>
      <c r="K2061" t="s">
        <v>23</v>
      </c>
      <c r="L2061" t="s">
        <v>294</v>
      </c>
      <c r="M2061" t="s">
        <v>47</v>
      </c>
      <c r="N2061" t="s">
        <v>35</v>
      </c>
      <c r="O2061" t="s">
        <v>26</v>
      </c>
      <c r="P2061" t="s">
        <v>27</v>
      </c>
      <c r="Q2061" t="s">
        <v>28</v>
      </c>
      <c r="R2061" t="s">
        <v>29</v>
      </c>
      <c r="S2061" t="s">
        <v>793</v>
      </c>
      <c r="T2061">
        <f>_xlfn.XLOOKUP(X2061,Hoja2!D:D,Hoja2!A:A)</f>
        <v>1193146767</v>
      </c>
      <c r="U2061" t="str">
        <f>_xlfn.XLOOKUP(X2061,Hoja2!D:D,Hoja2!B:B)</f>
        <v>FABIAN CONCHA</v>
      </c>
      <c r="V2061" t="str">
        <f>_xlfn.XLOOKUP(X2061,Hoja2!D:D,Hoja2!C:C)</f>
        <v>POSGRADOS</v>
      </c>
      <c r="W2061" s="9">
        <f>IF(V2061="pregrado",31,
IF(V2061="posgrados",31,
IF(V2061="rEINTEGROS",7,
IF(V2061="BIT",90,
IF(V2061="OP GRADO - INGLÉS",17,"")))))</f>
        <v>31</v>
      </c>
      <c r="X2061" t="s">
        <v>4072</v>
      </c>
    </row>
    <row r="2062" spans="1:24" x14ac:dyDescent="0.3">
      <c r="A2062" s="4">
        <v>46140</v>
      </c>
      <c r="B2062">
        <v>20132413</v>
      </c>
      <c r="C2062" t="s">
        <v>19</v>
      </c>
      <c r="D2062">
        <v>175206</v>
      </c>
      <c r="E2062" t="s">
        <v>43</v>
      </c>
      <c r="F2062">
        <v>17952706</v>
      </c>
      <c r="G2062" t="s">
        <v>4879</v>
      </c>
      <c r="H2062">
        <v>100251517</v>
      </c>
      <c r="I2062">
        <v>202642</v>
      </c>
      <c r="J2062">
        <v>1121526047</v>
      </c>
      <c r="K2062" t="s">
        <v>23</v>
      </c>
      <c r="L2062" t="s">
        <v>279</v>
      </c>
      <c r="M2062" t="s">
        <v>47</v>
      </c>
      <c r="N2062" t="s">
        <v>35</v>
      </c>
      <c r="O2062" t="s">
        <v>26</v>
      </c>
      <c r="P2062" t="s">
        <v>27</v>
      </c>
      <c r="Q2062" t="s">
        <v>28</v>
      </c>
      <c r="R2062" t="s">
        <v>29</v>
      </c>
      <c r="S2062" t="s">
        <v>793</v>
      </c>
      <c r="T2062">
        <f>_xlfn.XLOOKUP(X2062,Hoja2!D:D,Hoja2!A:A)</f>
        <v>1193146767</v>
      </c>
      <c r="U2062" t="str">
        <f>_xlfn.XLOOKUP(X2062,Hoja2!D:D,Hoja2!B:B)</f>
        <v>FABIAN CONCHA</v>
      </c>
      <c r="V2062" t="str">
        <f>_xlfn.XLOOKUP(X2062,Hoja2!D:D,Hoja2!C:C)</f>
        <v>POSGRADOS</v>
      </c>
      <c r="W2062" s="9">
        <f>IF(V2062="pregrado",31,
IF(V2062="posgrados",31,
IF(V2062="rEINTEGROS",7,
IF(V2062="BIT",90,
IF(V2062="OP GRADO - INGLÉS",17,"")))))</f>
        <v>31</v>
      </c>
      <c r="X2062" t="s">
        <v>4072</v>
      </c>
    </row>
    <row r="2063" spans="1:24" x14ac:dyDescent="0.3">
      <c r="A2063" s="4">
        <v>46133</v>
      </c>
      <c r="B2063">
        <v>20131871</v>
      </c>
      <c r="C2063" t="s">
        <v>19</v>
      </c>
      <c r="D2063">
        <v>175209</v>
      </c>
      <c r="E2063" t="s">
        <v>43</v>
      </c>
      <c r="F2063">
        <v>1069482079</v>
      </c>
      <c r="G2063" t="s">
        <v>4764</v>
      </c>
      <c r="H2063">
        <v>100251519</v>
      </c>
      <c r="I2063">
        <v>202652</v>
      </c>
      <c r="J2063">
        <v>1069482079</v>
      </c>
      <c r="K2063" t="s">
        <v>23</v>
      </c>
      <c r="L2063" t="s">
        <v>252</v>
      </c>
      <c r="M2063" t="s">
        <v>253</v>
      </c>
      <c r="N2063" t="s">
        <v>35</v>
      </c>
      <c r="O2063" t="s">
        <v>26</v>
      </c>
      <c r="P2063" t="s">
        <v>27</v>
      </c>
      <c r="Q2063" t="s">
        <v>28</v>
      </c>
      <c r="R2063" t="s">
        <v>29</v>
      </c>
      <c r="S2063" t="s">
        <v>793</v>
      </c>
      <c r="T2063">
        <f>_xlfn.XLOOKUP(X2063,Hoja2!D:D,Hoja2!A:A)</f>
        <v>1014285873</v>
      </c>
      <c r="U2063" t="str">
        <f>_xlfn.XLOOKUP(X2063,Hoja2!D:D,Hoja2!B:B)</f>
        <v>IVONNE JINETH RODRIGUEZ ROJAS</v>
      </c>
      <c r="V2063" t="str">
        <f>_xlfn.XLOOKUP(X2063,Hoja2!D:D,Hoja2!C:C)</f>
        <v>POSGRADOS</v>
      </c>
      <c r="W2063" s="9">
        <f>IF(V2063="pregrado",31,
IF(V2063="posgrados",31,
IF(V2063="rEINTEGROS",7,
IF(V2063="BIT",90,
IF(V2063="OP GRADO - INGLÉS",17,"")))))</f>
        <v>31</v>
      </c>
      <c r="X2063" t="s">
        <v>3953</v>
      </c>
    </row>
    <row r="2064" spans="1:24" x14ac:dyDescent="0.3">
      <c r="A2064" s="4">
        <v>46135</v>
      </c>
      <c r="B2064">
        <v>20132012</v>
      </c>
      <c r="C2064" t="s">
        <v>19</v>
      </c>
      <c r="D2064">
        <v>175212</v>
      </c>
      <c r="E2064" t="s">
        <v>43</v>
      </c>
      <c r="F2064">
        <v>20587791</v>
      </c>
      <c r="G2064" t="s">
        <v>4798</v>
      </c>
      <c r="H2064">
        <v>100251525</v>
      </c>
      <c r="I2064">
        <v>202652</v>
      </c>
      <c r="J2064">
        <v>1003746548</v>
      </c>
      <c r="K2064" t="s">
        <v>23</v>
      </c>
      <c r="L2064" t="s">
        <v>252</v>
      </c>
      <c r="M2064" t="s">
        <v>253</v>
      </c>
      <c r="N2064" t="s">
        <v>4376</v>
      </c>
      <c r="O2064" t="s">
        <v>26</v>
      </c>
      <c r="P2064" t="s">
        <v>4226</v>
      </c>
      <c r="Q2064" t="s">
        <v>28</v>
      </c>
      <c r="R2064" t="s">
        <v>29</v>
      </c>
      <c r="S2064" t="s">
        <v>793</v>
      </c>
      <c r="T2064">
        <f>_xlfn.XLOOKUP(X2064,Hoja2!D:D,Hoja2!A:A)</f>
        <v>1010081108</v>
      </c>
      <c r="U2064" t="str">
        <f>_xlfn.XLOOKUP(X2064,Hoja2!D:D,Hoja2!B:B)</f>
        <v>HEIDY LORENA PRIETO AHUMADA</v>
      </c>
      <c r="V2064" t="str">
        <f>_xlfn.XLOOKUP(X2064,Hoja2!D:D,Hoja2!C:C)</f>
        <v>PREGRADO</v>
      </c>
      <c r="W2064" s="9">
        <f>IF(V2064="pregrado",31,
IF(V2064="posgrados",31,
IF(V2064="rEINTEGROS",7,
IF(V2064="BIT",90,
IF(V2064="OP GRADO - INGLÉS",17,"")))))</f>
        <v>31</v>
      </c>
      <c r="X2064" t="s">
        <v>4009</v>
      </c>
    </row>
    <row r="2065" spans="1:24" x14ac:dyDescent="0.3">
      <c r="A2065" s="4">
        <v>46135</v>
      </c>
      <c r="B2065">
        <v>20132084</v>
      </c>
      <c r="C2065" t="s">
        <v>19</v>
      </c>
      <c r="D2065">
        <v>175235</v>
      </c>
      <c r="E2065" t="s">
        <v>43</v>
      </c>
      <c r="F2065">
        <v>1128046700</v>
      </c>
      <c r="G2065" t="s">
        <v>4820</v>
      </c>
      <c r="H2065">
        <v>100251566</v>
      </c>
      <c r="I2065">
        <v>202642</v>
      </c>
      <c r="J2065">
        <v>1128046700</v>
      </c>
      <c r="K2065" t="s">
        <v>23</v>
      </c>
      <c r="L2065" t="s">
        <v>59</v>
      </c>
      <c r="M2065" t="s">
        <v>47</v>
      </c>
      <c r="N2065" t="s">
        <v>35</v>
      </c>
      <c r="O2065" t="s">
        <v>26</v>
      </c>
      <c r="P2065" t="s">
        <v>27</v>
      </c>
      <c r="Q2065" t="s">
        <v>28</v>
      </c>
      <c r="R2065" t="s">
        <v>29</v>
      </c>
      <c r="S2065" t="s">
        <v>793</v>
      </c>
      <c r="T2065">
        <f>_xlfn.XLOOKUP(X2065,Hoja2!D:D,Hoja2!A:A)</f>
        <v>53116792</v>
      </c>
      <c r="U2065" t="str">
        <f>_xlfn.XLOOKUP(X2065,Hoja2!D:D,Hoja2!B:B)</f>
        <v>FABIAN CONCHA</v>
      </c>
      <c r="V2065" t="str">
        <f>_xlfn.XLOOKUP(X2065,Hoja2!D:D,Hoja2!C:C)</f>
        <v>POSGRADOS</v>
      </c>
      <c r="W2065" s="9">
        <f>IF(V2065="pregrado",31,
IF(V2065="posgrados",31,
IF(V2065="rEINTEGROS",7,
IF(V2065="BIT",90,
IF(V2065="OP GRADO - INGLÉS",17,"")))))</f>
        <v>31</v>
      </c>
      <c r="X2065" t="s">
        <v>4008</v>
      </c>
    </row>
    <row r="2066" spans="1:24" x14ac:dyDescent="0.3">
      <c r="A2066" s="4">
        <v>46134</v>
      </c>
      <c r="B2066">
        <v>20131942</v>
      </c>
      <c r="C2066" t="s">
        <v>19</v>
      </c>
      <c r="D2066">
        <v>175236</v>
      </c>
      <c r="E2066" t="s">
        <v>43</v>
      </c>
      <c r="F2066">
        <v>26984619</v>
      </c>
      <c r="G2066" t="s">
        <v>4783</v>
      </c>
      <c r="H2066">
        <v>100159504</v>
      </c>
      <c r="I2066">
        <v>202652</v>
      </c>
      <c r="J2066">
        <v>26984619</v>
      </c>
      <c r="K2066" t="s">
        <v>23</v>
      </c>
      <c r="L2066" t="s">
        <v>252</v>
      </c>
      <c r="M2066" t="s">
        <v>253</v>
      </c>
      <c r="N2066" t="s">
        <v>35</v>
      </c>
      <c r="O2066" t="s">
        <v>26</v>
      </c>
      <c r="P2066" t="s">
        <v>27</v>
      </c>
      <c r="Q2066" t="s">
        <v>28</v>
      </c>
      <c r="R2066" t="s">
        <v>29</v>
      </c>
      <c r="S2066" t="s">
        <v>793</v>
      </c>
      <c r="T2066">
        <f>_xlfn.XLOOKUP(X2066,Hoja2!D:D,Hoja2!A:A)</f>
        <v>1032451737</v>
      </c>
      <c r="U2066" t="str">
        <f>_xlfn.XLOOKUP(X2066,Hoja2!D:D,Hoja2!B:B)</f>
        <v>IVONNE JINETH RODRIGUEZ ROJAS</v>
      </c>
      <c r="V2066" t="str">
        <f>_xlfn.XLOOKUP(X2066,Hoja2!D:D,Hoja2!C:C)</f>
        <v>POSGRADOS</v>
      </c>
      <c r="W2066" s="9">
        <f>IF(V2066="pregrado",31,
IF(V2066="posgrados",31,
IF(V2066="rEINTEGROS",7,
IF(V2066="BIT",90,
IF(V2066="OP GRADO - INGLÉS",17,"")))))</f>
        <v>31</v>
      </c>
      <c r="X2066" t="s">
        <v>4033</v>
      </c>
    </row>
    <row r="2067" spans="1:24" x14ac:dyDescent="0.3">
      <c r="A2067" s="4">
        <v>46139</v>
      </c>
      <c r="B2067">
        <v>20132293</v>
      </c>
      <c r="C2067" t="s">
        <v>19</v>
      </c>
      <c r="D2067">
        <v>175251</v>
      </c>
      <c r="E2067" t="s">
        <v>43</v>
      </c>
      <c r="F2067">
        <v>82393619</v>
      </c>
      <c r="G2067" t="s">
        <v>4854</v>
      </c>
      <c r="H2067">
        <v>100244020</v>
      </c>
      <c r="I2067">
        <v>202652</v>
      </c>
      <c r="J2067">
        <v>82393619</v>
      </c>
      <c r="K2067" t="s">
        <v>23</v>
      </c>
      <c r="L2067" t="s">
        <v>252</v>
      </c>
      <c r="M2067" t="s">
        <v>253</v>
      </c>
      <c r="N2067" t="s">
        <v>35</v>
      </c>
      <c r="O2067" t="s">
        <v>26</v>
      </c>
      <c r="P2067" t="s">
        <v>27</v>
      </c>
      <c r="Q2067" t="s">
        <v>28</v>
      </c>
      <c r="R2067" t="s">
        <v>29</v>
      </c>
      <c r="S2067" t="s">
        <v>793</v>
      </c>
      <c r="T2067">
        <f>_xlfn.XLOOKUP(X2067,Hoja2!D:D,Hoja2!A:A)</f>
        <v>1016030683</v>
      </c>
      <c r="U2067" t="str">
        <f>_xlfn.XLOOKUP(X2067,Hoja2!D:D,Hoja2!B:B)</f>
        <v>FABIAN CONCHA</v>
      </c>
      <c r="V2067" t="str">
        <f>_xlfn.XLOOKUP(X2067,Hoja2!D:D,Hoja2!C:C)</f>
        <v>POSGRADOS</v>
      </c>
      <c r="W2067" s="9">
        <f>IF(V2067="pregrado",31,
IF(V2067="posgrados",31,
IF(V2067="rEINTEGROS",7,
IF(V2067="BIT",90,
IF(V2067="OP GRADO - INGLÉS",17,"")))))</f>
        <v>31</v>
      </c>
      <c r="X2067" t="s">
        <v>3992</v>
      </c>
    </row>
    <row r="2068" spans="1:24" x14ac:dyDescent="0.3">
      <c r="A2068" s="4">
        <v>46138</v>
      </c>
      <c r="B2068">
        <v>20132254</v>
      </c>
      <c r="C2068" t="s">
        <v>19</v>
      </c>
      <c r="D2068">
        <v>175262</v>
      </c>
      <c r="E2068" t="s">
        <v>43</v>
      </c>
      <c r="F2068">
        <v>73563838</v>
      </c>
      <c r="G2068" t="s">
        <v>4848</v>
      </c>
      <c r="H2068">
        <v>100216191</v>
      </c>
      <c r="I2068">
        <v>202652</v>
      </c>
      <c r="J2068">
        <v>73563838</v>
      </c>
      <c r="K2068" t="s">
        <v>23</v>
      </c>
      <c r="L2068" t="s">
        <v>252</v>
      </c>
      <c r="M2068" t="s">
        <v>253</v>
      </c>
      <c r="N2068" t="s">
        <v>4441</v>
      </c>
      <c r="O2068" t="s">
        <v>26</v>
      </c>
      <c r="P2068" t="s">
        <v>4135</v>
      </c>
      <c r="Q2068" t="s">
        <v>28</v>
      </c>
      <c r="R2068" t="s">
        <v>29</v>
      </c>
      <c r="S2068" t="s">
        <v>793</v>
      </c>
      <c r="T2068">
        <f>_xlfn.XLOOKUP(X2068,Hoja2!D:D,Hoja2!A:A)</f>
        <v>1010081108</v>
      </c>
      <c r="U2068" t="str">
        <f>_xlfn.XLOOKUP(X2068,Hoja2!D:D,Hoja2!B:B)</f>
        <v>HEIDY LORENA PRIETO AHUMADA</v>
      </c>
      <c r="V2068" t="str">
        <f>_xlfn.XLOOKUP(X2068,Hoja2!D:D,Hoja2!C:C)</f>
        <v>PREGRADO</v>
      </c>
      <c r="W2068" s="9">
        <f>IF(V2068="pregrado",31,
IF(V2068="posgrados",31,
IF(V2068="rEINTEGROS",7,
IF(V2068="BIT",90,
IF(V2068="OP GRADO - INGLÉS",17,"")))))</f>
        <v>31</v>
      </c>
      <c r="X2068" t="s">
        <v>4009</v>
      </c>
    </row>
    <row r="2069" spans="1:24" x14ac:dyDescent="0.3">
      <c r="A2069" s="4">
        <v>46141</v>
      </c>
      <c r="B2069">
        <v>20132451</v>
      </c>
      <c r="C2069" t="s">
        <v>19</v>
      </c>
      <c r="D2069">
        <v>175265</v>
      </c>
      <c r="E2069" t="s">
        <v>43</v>
      </c>
      <c r="F2069">
        <v>64522928</v>
      </c>
      <c r="G2069" t="s">
        <v>4885</v>
      </c>
      <c r="H2069">
        <v>100251603</v>
      </c>
      <c r="I2069">
        <v>202652</v>
      </c>
      <c r="J2069">
        <v>64522928</v>
      </c>
      <c r="K2069" t="s">
        <v>23</v>
      </c>
      <c r="L2069" t="s">
        <v>252</v>
      </c>
      <c r="M2069" t="s">
        <v>253</v>
      </c>
      <c r="N2069" t="s">
        <v>4441</v>
      </c>
      <c r="O2069" t="s">
        <v>26</v>
      </c>
      <c r="P2069" t="s">
        <v>4135</v>
      </c>
      <c r="Q2069" t="s">
        <v>28</v>
      </c>
      <c r="R2069" t="s">
        <v>29</v>
      </c>
      <c r="S2069" t="s">
        <v>793</v>
      </c>
      <c r="T2069">
        <f>_xlfn.XLOOKUP(X2069,Hoja2!D:D,Hoja2!A:A)</f>
        <v>1010081108</v>
      </c>
      <c r="U2069" t="str">
        <f>_xlfn.XLOOKUP(X2069,Hoja2!D:D,Hoja2!B:B)</f>
        <v>HEIDY LORENA PRIETO AHUMADA</v>
      </c>
      <c r="V2069" t="str">
        <f>_xlfn.XLOOKUP(X2069,Hoja2!D:D,Hoja2!C:C)</f>
        <v>PREGRADO</v>
      </c>
      <c r="W2069" s="9">
        <f>IF(V2069="pregrado",31,
IF(V2069="posgrados",31,
IF(V2069="rEINTEGROS",7,
IF(V2069="BIT",90,
IF(V2069="OP GRADO - INGLÉS",17,"")))))</f>
        <v>31</v>
      </c>
      <c r="X2069" t="s">
        <v>4009</v>
      </c>
    </row>
    <row r="2070" spans="1:24" x14ac:dyDescent="0.3">
      <c r="A2070" s="4">
        <v>46146</v>
      </c>
      <c r="B2070">
        <v>20132794</v>
      </c>
      <c r="C2070" t="s">
        <v>19</v>
      </c>
      <c r="D2070">
        <v>175273</v>
      </c>
      <c r="E2070" t="s">
        <v>43</v>
      </c>
      <c r="F2070">
        <v>30824763</v>
      </c>
      <c r="G2070" t="s">
        <v>4909</v>
      </c>
      <c r="H2070">
        <v>100251617</v>
      </c>
      <c r="I2070">
        <v>202652</v>
      </c>
      <c r="J2070">
        <v>30824763</v>
      </c>
      <c r="K2070" t="s">
        <v>23</v>
      </c>
      <c r="L2070" t="s">
        <v>252</v>
      </c>
      <c r="M2070" t="s">
        <v>253</v>
      </c>
      <c r="N2070" t="s">
        <v>4441</v>
      </c>
      <c r="O2070" t="s">
        <v>26</v>
      </c>
      <c r="P2070" t="s">
        <v>4135</v>
      </c>
      <c r="Q2070" t="s">
        <v>28</v>
      </c>
      <c r="R2070" t="s">
        <v>29</v>
      </c>
      <c r="S2070" t="s">
        <v>793</v>
      </c>
      <c r="T2070">
        <f>_xlfn.XLOOKUP(X2070,Hoja2!D:D,Hoja2!A:A)</f>
        <v>1010081108</v>
      </c>
      <c r="U2070" t="str">
        <f>_xlfn.XLOOKUP(X2070,Hoja2!D:D,Hoja2!B:B)</f>
        <v>HEIDY LORENA PRIETO AHUMADA</v>
      </c>
      <c r="V2070" t="str">
        <f>_xlfn.XLOOKUP(X2070,Hoja2!D:D,Hoja2!C:C)</f>
        <v>PREGRADO</v>
      </c>
      <c r="W2070" s="9">
        <f>IF(V2070="pregrado",31,
IF(V2070="posgrados",31,
IF(V2070="rEINTEGROS",7,
IF(V2070="BIT",90,
IF(V2070="OP GRADO - INGLÉS",17,"")))))</f>
        <v>31</v>
      </c>
      <c r="X2070" t="s">
        <v>4009</v>
      </c>
    </row>
    <row r="2071" spans="1:24" x14ac:dyDescent="0.3">
      <c r="A2071" s="4">
        <v>46139</v>
      </c>
      <c r="B2071">
        <v>20132276</v>
      </c>
      <c r="C2071" t="s">
        <v>19</v>
      </c>
      <c r="D2071">
        <v>175297</v>
      </c>
      <c r="E2071" t="s">
        <v>43</v>
      </c>
      <c r="F2071">
        <v>64727165</v>
      </c>
      <c r="G2071" t="s">
        <v>4851</v>
      </c>
      <c r="H2071">
        <v>100251590</v>
      </c>
      <c r="I2071">
        <v>202652</v>
      </c>
      <c r="J2071">
        <v>64727165</v>
      </c>
      <c r="K2071" t="s">
        <v>23</v>
      </c>
      <c r="L2071" t="s">
        <v>252</v>
      </c>
      <c r="M2071" t="s">
        <v>253</v>
      </c>
      <c r="N2071" t="s">
        <v>4441</v>
      </c>
      <c r="O2071" t="s">
        <v>26</v>
      </c>
      <c r="P2071" t="s">
        <v>4135</v>
      </c>
      <c r="Q2071" t="s">
        <v>28</v>
      </c>
      <c r="R2071" t="s">
        <v>29</v>
      </c>
      <c r="S2071" t="s">
        <v>793</v>
      </c>
      <c r="T2071">
        <f>_xlfn.XLOOKUP(X2071,Hoja2!D:D,Hoja2!A:A)</f>
        <v>1010081108</v>
      </c>
      <c r="U2071" t="str">
        <f>_xlfn.XLOOKUP(X2071,Hoja2!D:D,Hoja2!B:B)</f>
        <v>HEIDY LORENA PRIETO AHUMADA</v>
      </c>
      <c r="V2071" t="str">
        <f>_xlfn.XLOOKUP(X2071,Hoja2!D:D,Hoja2!C:C)</f>
        <v>PREGRADO</v>
      </c>
      <c r="W2071" s="9">
        <f>IF(V2071="pregrado",31,
IF(V2071="posgrados",31,
IF(V2071="rEINTEGROS",7,
IF(V2071="BIT",90,
IF(V2071="OP GRADO - INGLÉS",17,"")))))</f>
        <v>31</v>
      </c>
      <c r="X2071" t="s">
        <v>4009</v>
      </c>
    </row>
    <row r="2072" spans="1:24" x14ac:dyDescent="0.3">
      <c r="A2072" s="4">
        <v>46141</v>
      </c>
      <c r="B2072">
        <v>20132449</v>
      </c>
      <c r="C2072" t="s">
        <v>19</v>
      </c>
      <c r="D2072">
        <v>175301</v>
      </c>
      <c r="E2072" t="s">
        <v>43</v>
      </c>
      <c r="F2072">
        <v>12589875</v>
      </c>
      <c r="G2072" t="s">
        <v>4884</v>
      </c>
      <c r="H2072">
        <v>100251647</v>
      </c>
      <c r="I2072">
        <v>202652</v>
      </c>
      <c r="J2072">
        <v>1082861790</v>
      </c>
      <c r="K2072" t="s">
        <v>23</v>
      </c>
      <c r="L2072" t="s">
        <v>252</v>
      </c>
      <c r="M2072" t="s">
        <v>253</v>
      </c>
      <c r="N2072" t="s">
        <v>4146</v>
      </c>
      <c r="O2072" t="s">
        <v>26</v>
      </c>
      <c r="P2072" t="s">
        <v>27</v>
      </c>
      <c r="Q2072" t="s">
        <v>28</v>
      </c>
      <c r="R2072" t="s">
        <v>29</v>
      </c>
      <c r="S2072" t="s">
        <v>793</v>
      </c>
      <c r="T2072">
        <f>_xlfn.XLOOKUP(X2072,Hoja2!D:D,Hoja2!A:A)</f>
        <v>1010081108</v>
      </c>
      <c r="U2072" t="str">
        <f>_xlfn.XLOOKUP(X2072,Hoja2!D:D,Hoja2!B:B)</f>
        <v>HEIDY LORENA PRIETO AHUMADA</v>
      </c>
      <c r="V2072" t="str">
        <f>_xlfn.XLOOKUP(X2072,Hoja2!D:D,Hoja2!C:C)</f>
        <v>PREGRADO</v>
      </c>
      <c r="W2072" s="9">
        <f>IF(V2072="pregrado",31,
IF(V2072="posgrados",31,
IF(V2072="rEINTEGROS",7,
IF(V2072="BIT",90,
IF(V2072="OP GRADO - INGLÉS",17,"")))))</f>
        <v>31</v>
      </c>
      <c r="X2072" t="s">
        <v>4009</v>
      </c>
    </row>
    <row r="2073" spans="1:24" x14ac:dyDescent="0.3">
      <c r="A2073" s="4">
        <v>46142</v>
      </c>
      <c r="B2073">
        <v>20132646</v>
      </c>
      <c r="C2073" t="s">
        <v>19</v>
      </c>
      <c r="D2073">
        <v>175303</v>
      </c>
      <c r="E2073" t="s">
        <v>43</v>
      </c>
      <c r="F2073">
        <v>66943444</v>
      </c>
      <c r="G2073" t="s">
        <v>4896</v>
      </c>
      <c r="H2073">
        <v>100250971</v>
      </c>
      <c r="I2073">
        <v>202652</v>
      </c>
      <c r="J2073">
        <v>66943444</v>
      </c>
      <c r="K2073" t="s">
        <v>23</v>
      </c>
      <c r="L2073" t="s">
        <v>252</v>
      </c>
      <c r="M2073" t="s">
        <v>253</v>
      </c>
      <c r="N2073" t="s">
        <v>35</v>
      </c>
      <c r="O2073" t="s">
        <v>26</v>
      </c>
      <c r="P2073" t="s">
        <v>27</v>
      </c>
      <c r="Q2073" t="s">
        <v>28</v>
      </c>
      <c r="R2073" t="s">
        <v>29</v>
      </c>
      <c r="S2073" t="s">
        <v>793</v>
      </c>
      <c r="T2073">
        <f>_xlfn.XLOOKUP(X2073,Hoja2!D:D,Hoja2!A:A)</f>
        <v>1019068131</v>
      </c>
      <c r="U2073" t="str">
        <f>_xlfn.XLOOKUP(X2073,Hoja2!D:D,Hoja2!B:B)</f>
        <v>IVONNE JINETH RODRIGUEZ ROJAS</v>
      </c>
      <c r="V2073" t="str">
        <f>_xlfn.XLOOKUP(X2073,Hoja2!D:D,Hoja2!C:C)</f>
        <v>POSGRADOS</v>
      </c>
      <c r="W2073" s="9">
        <f>IF(V2073="pregrado",31,
IF(V2073="posgrados",31,
IF(V2073="rEINTEGROS",7,
IF(V2073="BIT",90,
IF(V2073="OP GRADO - INGLÉS",17,"")))))</f>
        <v>31</v>
      </c>
      <c r="X2073" t="s">
        <v>4066</v>
      </c>
    </row>
    <row r="2074" spans="1:24" x14ac:dyDescent="0.3">
      <c r="A2074" s="4">
        <v>46140</v>
      </c>
      <c r="B2074">
        <v>20132394</v>
      </c>
      <c r="C2074" t="s">
        <v>19</v>
      </c>
      <c r="D2074">
        <v>175312</v>
      </c>
      <c r="E2074" t="s">
        <v>43</v>
      </c>
      <c r="F2074">
        <v>26901610</v>
      </c>
      <c r="G2074" t="s">
        <v>4877</v>
      </c>
      <c r="H2074">
        <v>100251680</v>
      </c>
      <c r="I2074">
        <v>202652</v>
      </c>
      <c r="J2074">
        <v>36505353</v>
      </c>
      <c r="K2074" t="s">
        <v>23</v>
      </c>
      <c r="L2074" t="s">
        <v>252</v>
      </c>
      <c r="M2074" t="s">
        <v>253</v>
      </c>
      <c r="N2074" t="s">
        <v>4146</v>
      </c>
      <c r="O2074" t="s">
        <v>26</v>
      </c>
      <c r="P2074" t="s">
        <v>27</v>
      </c>
      <c r="Q2074" t="s">
        <v>28</v>
      </c>
      <c r="R2074" t="s">
        <v>29</v>
      </c>
      <c r="S2074" t="s">
        <v>793</v>
      </c>
      <c r="T2074">
        <f>_xlfn.XLOOKUP(X2074,Hoja2!D:D,Hoja2!A:A)</f>
        <v>1010081108</v>
      </c>
      <c r="U2074" t="str">
        <f>_xlfn.XLOOKUP(X2074,Hoja2!D:D,Hoja2!B:B)</f>
        <v>HEIDY LORENA PRIETO AHUMADA</v>
      </c>
      <c r="V2074" t="str">
        <f>_xlfn.XLOOKUP(X2074,Hoja2!D:D,Hoja2!C:C)</f>
        <v>PREGRADO</v>
      </c>
      <c r="W2074" s="9">
        <f>IF(V2074="pregrado",31,
IF(V2074="posgrados",31,
IF(V2074="rEINTEGROS",7,
IF(V2074="BIT",90,
IF(V2074="OP GRADO - INGLÉS",17,"")))))</f>
        <v>31</v>
      </c>
      <c r="X2074" t="s">
        <v>4009</v>
      </c>
    </row>
    <row r="2075" spans="1:24" x14ac:dyDescent="0.3">
      <c r="A2075" s="4">
        <v>46139</v>
      </c>
      <c r="B2075">
        <v>20132306</v>
      </c>
      <c r="C2075" t="s">
        <v>19</v>
      </c>
      <c r="D2075">
        <v>175324</v>
      </c>
      <c r="E2075" t="s">
        <v>43</v>
      </c>
      <c r="F2075">
        <v>1101443479</v>
      </c>
      <c r="G2075" t="s">
        <v>4857</v>
      </c>
      <c r="H2075">
        <v>100251693</v>
      </c>
      <c r="I2075">
        <v>202652</v>
      </c>
      <c r="J2075">
        <v>1101443479</v>
      </c>
      <c r="K2075" t="s">
        <v>23</v>
      </c>
      <c r="L2075" t="s">
        <v>252</v>
      </c>
      <c r="M2075" t="s">
        <v>253</v>
      </c>
      <c r="N2075" t="s">
        <v>4441</v>
      </c>
      <c r="O2075" t="s">
        <v>26</v>
      </c>
      <c r="P2075" t="s">
        <v>4135</v>
      </c>
      <c r="Q2075" t="s">
        <v>28</v>
      </c>
      <c r="R2075" t="s">
        <v>29</v>
      </c>
      <c r="S2075" t="s">
        <v>793</v>
      </c>
      <c r="T2075">
        <f>_xlfn.XLOOKUP(X2075,Hoja2!D:D,Hoja2!A:A)</f>
        <v>1010081108</v>
      </c>
      <c r="U2075" t="str">
        <f>_xlfn.XLOOKUP(X2075,Hoja2!D:D,Hoja2!B:B)</f>
        <v>HEIDY LORENA PRIETO AHUMADA</v>
      </c>
      <c r="V2075" t="str">
        <f>_xlfn.XLOOKUP(X2075,Hoja2!D:D,Hoja2!C:C)</f>
        <v>PREGRADO</v>
      </c>
      <c r="W2075" s="9">
        <f>IF(V2075="pregrado",31,
IF(V2075="posgrados",31,
IF(V2075="rEINTEGROS",7,
IF(V2075="BIT",90,
IF(V2075="OP GRADO - INGLÉS",17,"")))))</f>
        <v>31</v>
      </c>
      <c r="X2075" t="s">
        <v>4009</v>
      </c>
    </row>
    <row r="2076" spans="1:24" x14ac:dyDescent="0.3">
      <c r="A2076" s="4">
        <v>46135</v>
      </c>
      <c r="B2076">
        <v>20132038</v>
      </c>
      <c r="C2076" t="s">
        <v>19</v>
      </c>
      <c r="D2076">
        <v>175330</v>
      </c>
      <c r="E2076" t="s">
        <v>43</v>
      </c>
      <c r="F2076">
        <v>1003433600</v>
      </c>
      <c r="G2076" t="s">
        <v>4804</v>
      </c>
      <c r="H2076">
        <v>100251701</v>
      </c>
      <c r="I2076">
        <v>202652</v>
      </c>
      <c r="J2076">
        <v>1003433600</v>
      </c>
      <c r="K2076" t="s">
        <v>23</v>
      </c>
      <c r="L2076" t="s">
        <v>252</v>
      </c>
      <c r="M2076" t="s">
        <v>253</v>
      </c>
      <c r="N2076" t="s">
        <v>35</v>
      </c>
      <c r="O2076" t="s">
        <v>26</v>
      </c>
      <c r="P2076" t="s">
        <v>27</v>
      </c>
      <c r="Q2076" t="s">
        <v>28</v>
      </c>
      <c r="R2076" t="s">
        <v>29</v>
      </c>
      <c r="S2076" t="s">
        <v>793</v>
      </c>
      <c r="T2076">
        <f>_xlfn.XLOOKUP(X2076,Hoja2!D:D,Hoja2!A:A)</f>
        <v>53116792</v>
      </c>
      <c r="U2076" t="str">
        <f>_xlfn.XLOOKUP(X2076,Hoja2!D:D,Hoja2!B:B)</f>
        <v>FABIAN CONCHA</v>
      </c>
      <c r="V2076" t="str">
        <f>_xlfn.XLOOKUP(X2076,Hoja2!D:D,Hoja2!C:C)</f>
        <v>POSGRADOS</v>
      </c>
      <c r="W2076" s="9">
        <f>IF(V2076="pregrado",31,
IF(V2076="posgrados",31,
IF(V2076="rEINTEGROS",7,
IF(V2076="BIT",90,
IF(V2076="OP GRADO - INGLÉS",17,"")))))</f>
        <v>31</v>
      </c>
      <c r="X2076" t="s">
        <v>4008</v>
      </c>
    </row>
    <row r="2077" spans="1:24" x14ac:dyDescent="0.3">
      <c r="A2077" s="4">
        <v>46136</v>
      </c>
      <c r="B2077">
        <v>20132143</v>
      </c>
      <c r="C2077" t="s">
        <v>19</v>
      </c>
      <c r="D2077">
        <v>175337</v>
      </c>
      <c r="E2077" t="s">
        <v>43</v>
      </c>
      <c r="F2077">
        <v>86078998</v>
      </c>
      <c r="G2077" t="s">
        <v>4832</v>
      </c>
      <c r="H2077">
        <v>100109263</v>
      </c>
      <c r="I2077">
        <v>202652</v>
      </c>
      <c r="J2077">
        <v>86078998</v>
      </c>
      <c r="K2077" t="s">
        <v>23</v>
      </c>
      <c r="L2077" t="s">
        <v>252</v>
      </c>
      <c r="M2077" t="s">
        <v>253</v>
      </c>
      <c r="N2077" t="s">
        <v>35</v>
      </c>
      <c r="O2077" t="s">
        <v>26</v>
      </c>
      <c r="P2077" t="s">
        <v>27</v>
      </c>
      <c r="Q2077" t="s">
        <v>28</v>
      </c>
      <c r="R2077" t="s">
        <v>29</v>
      </c>
      <c r="S2077" t="s">
        <v>793</v>
      </c>
      <c r="T2077">
        <f>_xlfn.XLOOKUP(X2077,Hoja2!D:D,Hoja2!A:A)</f>
        <v>1012355141</v>
      </c>
      <c r="U2077" t="str">
        <f>_xlfn.XLOOKUP(X2077,Hoja2!D:D,Hoja2!B:B)</f>
        <v>FABIAN CONCHA</v>
      </c>
      <c r="V2077" t="str">
        <f>_xlfn.XLOOKUP(X2077,Hoja2!D:D,Hoja2!C:C)</f>
        <v>POSGRADOS</v>
      </c>
      <c r="W2077" s="9">
        <f>IF(V2077="pregrado",31,
IF(V2077="posgrados",31,
IF(V2077="rEINTEGROS",7,
IF(V2077="BIT",90,
IF(V2077="OP GRADO - INGLÉS",17,"")))))</f>
        <v>31</v>
      </c>
      <c r="X2077" t="s">
        <v>4045</v>
      </c>
    </row>
    <row r="2078" spans="1:24" x14ac:dyDescent="0.3">
      <c r="A2078" s="4">
        <v>46136</v>
      </c>
      <c r="B2078">
        <v>20132133</v>
      </c>
      <c r="C2078" t="s">
        <v>19</v>
      </c>
      <c r="D2078">
        <v>175339</v>
      </c>
      <c r="E2078" t="s">
        <v>43</v>
      </c>
      <c r="F2078">
        <v>1003943015</v>
      </c>
      <c r="G2078" t="s">
        <v>4829</v>
      </c>
      <c r="H2078">
        <v>100251719</v>
      </c>
      <c r="I2078">
        <v>202642</v>
      </c>
      <c r="J2078">
        <v>1003943015</v>
      </c>
      <c r="K2078" t="s">
        <v>23</v>
      </c>
      <c r="L2078" t="s">
        <v>294</v>
      </c>
      <c r="M2078" t="s">
        <v>47</v>
      </c>
      <c r="N2078" t="s">
        <v>35</v>
      </c>
      <c r="O2078" t="s">
        <v>26</v>
      </c>
      <c r="P2078" t="s">
        <v>27</v>
      </c>
      <c r="Q2078" t="s">
        <v>28</v>
      </c>
      <c r="R2078" t="s">
        <v>29</v>
      </c>
      <c r="S2078" t="s">
        <v>793</v>
      </c>
      <c r="T2078">
        <f>_xlfn.XLOOKUP(X2078,Hoja2!D:D,Hoja2!A:A)</f>
        <v>1000120140</v>
      </c>
      <c r="U2078" t="str">
        <f>_xlfn.XLOOKUP(X2078,Hoja2!D:D,Hoja2!B:B)</f>
        <v>FABIAN CONCHA</v>
      </c>
      <c r="V2078" t="str">
        <f>_xlfn.XLOOKUP(X2078,Hoja2!D:D,Hoja2!C:C)</f>
        <v>POSGRADOS</v>
      </c>
      <c r="W2078" s="9">
        <f>IF(V2078="pregrado",31,
IF(V2078="posgrados",31,
IF(V2078="rEINTEGROS",7,
IF(V2078="BIT",90,
IF(V2078="OP GRADO - INGLÉS",17,"")))))</f>
        <v>31</v>
      </c>
      <c r="X2078" t="s">
        <v>3935</v>
      </c>
    </row>
    <row r="2079" spans="1:24" x14ac:dyDescent="0.3">
      <c r="A2079" s="4">
        <v>46136</v>
      </c>
      <c r="B2079">
        <v>20132209</v>
      </c>
      <c r="C2079" t="s">
        <v>19</v>
      </c>
      <c r="D2079">
        <v>175340</v>
      </c>
      <c r="E2079" t="s">
        <v>43</v>
      </c>
      <c r="F2079">
        <v>78302618</v>
      </c>
      <c r="G2079" t="s">
        <v>4843</v>
      </c>
      <c r="H2079">
        <v>100146132</v>
      </c>
      <c r="I2079">
        <v>202652</v>
      </c>
      <c r="J2079">
        <v>78302618</v>
      </c>
      <c r="K2079" t="s">
        <v>23</v>
      </c>
      <c r="L2079" t="s">
        <v>252</v>
      </c>
      <c r="M2079" t="s">
        <v>253</v>
      </c>
      <c r="N2079" t="s">
        <v>35</v>
      </c>
      <c r="O2079" t="s">
        <v>26</v>
      </c>
      <c r="P2079" t="s">
        <v>27</v>
      </c>
      <c r="Q2079" t="s">
        <v>28</v>
      </c>
      <c r="R2079" t="s">
        <v>29</v>
      </c>
      <c r="S2079" t="s">
        <v>793</v>
      </c>
      <c r="T2079">
        <f>_xlfn.XLOOKUP(X2079,Hoja2!D:D,Hoja2!A:A)</f>
        <v>1233513889</v>
      </c>
      <c r="U2079" t="str">
        <f>_xlfn.XLOOKUP(X2079,Hoja2!D:D,Hoja2!B:B)</f>
        <v>IVONNE JINETH RODRIGUEZ ROJAS</v>
      </c>
      <c r="V2079" t="str">
        <f>_xlfn.XLOOKUP(X2079,Hoja2!D:D,Hoja2!C:C)</f>
        <v>POSGRADOS</v>
      </c>
      <c r="W2079" s="9">
        <f>IF(V2079="pregrado",31,
IF(V2079="posgrados",31,
IF(V2079="rEINTEGROS",7,
IF(V2079="BIT",90,
IF(V2079="OP GRADO - INGLÉS",17,"")))))</f>
        <v>31</v>
      </c>
      <c r="X2079" t="s">
        <v>4035</v>
      </c>
    </row>
    <row r="2080" spans="1:24" x14ac:dyDescent="0.3">
      <c r="A2080" s="4">
        <v>46140</v>
      </c>
      <c r="B2080">
        <v>20132358</v>
      </c>
      <c r="C2080" t="s">
        <v>19</v>
      </c>
      <c r="D2080">
        <v>175343</v>
      </c>
      <c r="E2080" t="s">
        <v>43</v>
      </c>
      <c r="F2080">
        <v>1073823711</v>
      </c>
      <c r="G2080" t="s">
        <v>4871</v>
      </c>
      <c r="H2080">
        <v>100251727</v>
      </c>
      <c r="I2080">
        <v>202652</v>
      </c>
      <c r="J2080">
        <v>1073823711</v>
      </c>
      <c r="K2080" t="s">
        <v>23</v>
      </c>
      <c r="L2080" t="s">
        <v>252</v>
      </c>
      <c r="M2080" t="s">
        <v>253</v>
      </c>
      <c r="N2080" t="s">
        <v>35</v>
      </c>
      <c r="O2080" t="s">
        <v>26</v>
      </c>
      <c r="P2080" t="s">
        <v>27</v>
      </c>
      <c r="Q2080" t="s">
        <v>28</v>
      </c>
      <c r="R2080" t="s">
        <v>29</v>
      </c>
      <c r="S2080" t="s">
        <v>793</v>
      </c>
      <c r="T2080">
        <f>_xlfn.XLOOKUP(X2080,Hoja2!D:D,Hoja2!A:A)</f>
        <v>1010081108</v>
      </c>
      <c r="U2080" t="str">
        <f>_xlfn.XLOOKUP(X2080,Hoja2!D:D,Hoja2!B:B)</f>
        <v>HEIDY LORENA PRIETO AHUMADA</v>
      </c>
      <c r="V2080" t="str">
        <f>_xlfn.XLOOKUP(X2080,Hoja2!D:D,Hoja2!C:C)</f>
        <v>PREGRADO</v>
      </c>
      <c r="W2080" s="9">
        <f>IF(V2080="pregrado",31,
IF(V2080="posgrados",31,
IF(V2080="rEINTEGROS",7,
IF(V2080="BIT",90,
IF(V2080="OP GRADO - INGLÉS",17,"")))))</f>
        <v>31</v>
      </c>
      <c r="X2080" t="s">
        <v>4009</v>
      </c>
    </row>
    <row r="2081" spans="1:24" x14ac:dyDescent="0.3">
      <c r="A2081" s="4">
        <v>46139</v>
      </c>
      <c r="B2081">
        <v>20132275</v>
      </c>
      <c r="C2081" t="s">
        <v>19</v>
      </c>
      <c r="D2081">
        <v>175344</v>
      </c>
      <c r="E2081" t="s">
        <v>43</v>
      </c>
      <c r="F2081">
        <v>1102794935</v>
      </c>
      <c r="G2081" t="s">
        <v>4850</v>
      </c>
      <c r="H2081">
        <v>100251731</v>
      </c>
      <c r="I2081">
        <v>202652</v>
      </c>
      <c r="J2081">
        <v>1102794935</v>
      </c>
      <c r="K2081" t="s">
        <v>23</v>
      </c>
      <c r="L2081" t="s">
        <v>252</v>
      </c>
      <c r="M2081" t="s">
        <v>253</v>
      </c>
      <c r="N2081" t="s">
        <v>4441</v>
      </c>
      <c r="O2081" t="s">
        <v>26</v>
      </c>
      <c r="P2081" t="s">
        <v>4135</v>
      </c>
      <c r="Q2081" t="s">
        <v>28</v>
      </c>
      <c r="R2081" t="s">
        <v>29</v>
      </c>
      <c r="S2081" t="s">
        <v>793</v>
      </c>
      <c r="T2081">
        <f>_xlfn.XLOOKUP(X2081,Hoja2!D:D,Hoja2!A:A)</f>
        <v>1010081108</v>
      </c>
      <c r="U2081" t="str">
        <f>_xlfn.XLOOKUP(X2081,Hoja2!D:D,Hoja2!B:B)</f>
        <v>HEIDY LORENA PRIETO AHUMADA</v>
      </c>
      <c r="V2081" t="str">
        <f>_xlfn.XLOOKUP(X2081,Hoja2!D:D,Hoja2!C:C)</f>
        <v>PREGRADO</v>
      </c>
      <c r="W2081" s="9">
        <f>IF(V2081="pregrado",31,
IF(V2081="posgrados",31,
IF(V2081="rEINTEGROS",7,
IF(V2081="BIT",90,
IF(V2081="OP GRADO - INGLÉS",17,"")))))</f>
        <v>31</v>
      </c>
      <c r="X2081" t="s">
        <v>4009</v>
      </c>
    </row>
    <row r="2082" spans="1:24" x14ac:dyDescent="0.3">
      <c r="A2082" s="4">
        <v>46135</v>
      </c>
      <c r="B2082">
        <v>20132070</v>
      </c>
      <c r="C2082" t="s">
        <v>19</v>
      </c>
      <c r="D2082">
        <v>175345</v>
      </c>
      <c r="E2082" t="s">
        <v>43</v>
      </c>
      <c r="F2082">
        <v>1006022415</v>
      </c>
      <c r="G2082" t="s">
        <v>4815</v>
      </c>
      <c r="H2082">
        <v>100251732</v>
      </c>
      <c r="I2082">
        <v>202652</v>
      </c>
      <c r="J2082">
        <v>1007302902</v>
      </c>
      <c r="K2082" t="s">
        <v>23</v>
      </c>
      <c r="L2082" t="s">
        <v>252</v>
      </c>
      <c r="M2082" t="s">
        <v>253</v>
      </c>
      <c r="N2082" t="s">
        <v>35</v>
      </c>
      <c r="O2082" t="s">
        <v>26</v>
      </c>
      <c r="P2082" t="s">
        <v>27</v>
      </c>
      <c r="Q2082" t="s">
        <v>28</v>
      </c>
      <c r="R2082" t="s">
        <v>29</v>
      </c>
      <c r="S2082" t="s">
        <v>793</v>
      </c>
      <c r="T2082">
        <f>_xlfn.XLOOKUP(X2082,Hoja2!D:D,Hoja2!A:A)</f>
        <v>1233888787</v>
      </c>
      <c r="U2082" t="str">
        <f>_xlfn.XLOOKUP(X2082,Hoja2!D:D,Hoja2!B:B)</f>
        <v>FABIAN CONCHA</v>
      </c>
      <c r="V2082" t="str">
        <f>_xlfn.XLOOKUP(X2082,Hoja2!D:D,Hoja2!C:C)</f>
        <v>POSGRADOS</v>
      </c>
      <c r="W2082" s="9">
        <f>IF(V2082="pregrado",31,
IF(V2082="posgrados",31,
IF(V2082="rEINTEGROS",7,
IF(V2082="BIT",90,
IF(V2082="OP GRADO - INGLÉS",17,"")))))</f>
        <v>31</v>
      </c>
      <c r="X2082" t="s">
        <v>3998</v>
      </c>
    </row>
    <row r="2083" spans="1:24" x14ac:dyDescent="0.3">
      <c r="A2083" s="4">
        <v>46136</v>
      </c>
      <c r="B2083">
        <v>20132199</v>
      </c>
      <c r="C2083" t="s">
        <v>19</v>
      </c>
      <c r="D2083">
        <v>175372</v>
      </c>
      <c r="E2083" t="s">
        <v>43</v>
      </c>
      <c r="F2083">
        <v>1090379246</v>
      </c>
      <c r="G2083" t="s">
        <v>4841</v>
      </c>
      <c r="H2083">
        <v>100251777</v>
      </c>
      <c r="I2083">
        <v>202642</v>
      </c>
      <c r="J2083">
        <v>1090379246</v>
      </c>
      <c r="K2083" t="s">
        <v>23</v>
      </c>
      <c r="L2083" t="s">
        <v>279</v>
      </c>
      <c r="M2083" t="s">
        <v>47</v>
      </c>
      <c r="N2083" t="s">
        <v>35</v>
      </c>
      <c r="O2083" t="s">
        <v>26</v>
      </c>
      <c r="P2083" t="s">
        <v>27</v>
      </c>
      <c r="Q2083" t="s">
        <v>28</v>
      </c>
      <c r="R2083" t="s">
        <v>29</v>
      </c>
      <c r="S2083" t="s">
        <v>793</v>
      </c>
      <c r="T2083">
        <f>_xlfn.XLOOKUP(X2083,Hoja2!D:D,Hoja2!A:A)</f>
        <v>1193146767</v>
      </c>
      <c r="U2083" t="str">
        <f>_xlfn.XLOOKUP(X2083,Hoja2!D:D,Hoja2!B:B)</f>
        <v>FABIAN CONCHA</v>
      </c>
      <c r="V2083" t="str">
        <f>_xlfn.XLOOKUP(X2083,Hoja2!D:D,Hoja2!C:C)</f>
        <v>POSGRADOS</v>
      </c>
      <c r="W2083" s="9">
        <f>IF(V2083="pregrado",31,
IF(V2083="posgrados",31,
IF(V2083="rEINTEGROS",7,
IF(V2083="BIT",90,
IF(V2083="OP GRADO - INGLÉS",17,"")))))</f>
        <v>31</v>
      </c>
      <c r="X2083" t="s">
        <v>4072</v>
      </c>
    </row>
    <row r="2084" spans="1:24" x14ac:dyDescent="0.3">
      <c r="A2084" s="4">
        <v>46136</v>
      </c>
      <c r="B2084">
        <v>20132193</v>
      </c>
      <c r="C2084" t="s">
        <v>19</v>
      </c>
      <c r="D2084">
        <v>175382</v>
      </c>
      <c r="E2084" t="s">
        <v>43</v>
      </c>
      <c r="F2084">
        <v>34679857</v>
      </c>
      <c r="G2084" t="s">
        <v>4839</v>
      </c>
      <c r="H2084">
        <v>100250817</v>
      </c>
      <c r="I2084">
        <v>202652</v>
      </c>
      <c r="J2084">
        <v>34679857</v>
      </c>
      <c r="K2084" t="s">
        <v>23</v>
      </c>
      <c r="L2084" t="s">
        <v>252</v>
      </c>
      <c r="M2084" t="s">
        <v>253</v>
      </c>
      <c r="N2084" t="s">
        <v>35</v>
      </c>
      <c r="O2084" t="s">
        <v>26</v>
      </c>
      <c r="P2084" t="s">
        <v>27</v>
      </c>
      <c r="Q2084" t="s">
        <v>28</v>
      </c>
      <c r="R2084" t="s">
        <v>29</v>
      </c>
      <c r="S2084" t="s">
        <v>793</v>
      </c>
      <c r="T2084">
        <f>_xlfn.XLOOKUP(X2084,Hoja2!D:D,Hoja2!A:A)</f>
        <v>1033793185</v>
      </c>
      <c r="U2084" t="str">
        <f>_xlfn.XLOOKUP(X2084,Hoja2!D:D,Hoja2!B:B)</f>
        <v>IVONNE JINETH RODRIGUEZ ROJAS</v>
      </c>
      <c r="V2084" t="str">
        <f>_xlfn.XLOOKUP(X2084,Hoja2!D:D,Hoja2!C:C)</f>
        <v>POSGRADOS</v>
      </c>
      <c r="W2084" s="9">
        <f>IF(V2084="pregrado",31,
IF(V2084="posgrados",31,
IF(V2084="rEINTEGROS",7,
IF(V2084="BIT",90,
IF(V2084="OP GRADO - INGLÉS",17,"")))))</f>
        <v>31</v>
      </c>
      <c r="X2084" t="s">
        <v>4082</v>
      </c>
    </row>
    <row r="2085" spans="1:24" x14ac:dyDescent="0.3">
      <c r="A2085" s="4">
        <v>46140</v>
      </c>
      <c r="B2085">
        <v>20132390</v>
      </c>
      <c r="C2085" t="s">
        <v>19</v>
      </c>
      <c r="D2085">
        <v>175425</v>
      </c>
      <c r="E2085" t="s">
        <v>43</v>
      </c>
      <c r="F2085">
        <v>1004690466</v>
      </c>
      <c r="G2085" t="s">
        <v>4875</v>
      </c>
      <c r="H2085">
        <v>100251858</v>
      </c>
      <c r="I2085">
        <v>202652</v>
      </c>
      <c r="J2085">
        <v>1088597820</v>
      </c>
      <c r="K2085" t="s">
        <v>23</v>
      </c>
      <c r="L2085" t="s">
        <v>252</v>
      </c>
      <c r="M2085" t="s">
        <v>253</v>
      </c>
      <c r="N2085" t="s">
        <v>35</v>
      </c>
      <c r="O2085" t="s">
        <v>26</v>
      </c>
      <c r="P2085" t="s">
        <v>27</v>
      </c>
      <c r="Q2085" t="s">
        <v>28</v>
      </c>
      <c r="R2085" t="s">
        <v>29</v>
      </c>
      <c r="S2085" t="s">
        <v>793</v>
      </c>
      <c r="T2085">
        <f>_xlfn.XLOOKUP(X2085,Hoja2!D:D,Hoja2!A:A)</f>
        <v>1233888787</v>
      </c>
      <c r="U2085" t="str">
        <f>_xlfn.XLOOKUP(X2085,Hoja2!D:D,Hoja2!B:B)</f>
        <v>FABIAN CONCHA</v>
      </c>
      <c r="V2085" t="str">
        <f>_xlfn.XLOOKUP(X2085,Hoja2!D:D,Hoja2!C:C)</f>
        <v>POSGRADOS</v>
      </c>
      <c r="W2085" s="9">
        <f>IF(V2085="pregrado",31,
IF(V2085="posgrados",31,
IF(V2085="rEINTEGROS",7,
IF(V2085="BIT",90,
IF(V2085="OP GRADO - INGLÉS",17,"")))))</f>
        <v>31</v>
      </c>
      <c r="X2085" t="s">
        <v>3998</v>
      </c>
    </row>
    <row r="2086" spans="1:24" x14ac:dyDescent="0.3">
      <c r="A2086" s="4">
        <v>46139</v>
      </c>
      <c r="B2086">
        <v>20132344</v>
      </c>
      <c r="C2086" t="s">
        <v>19</v>
      </c>
      <c r="D2086">
        <v>175434</v>
      </c>
      <c r="E2086" t="s">
        <v>43</v>
      </c>
      <c r="F2086">
        <v>66679683</v>
      </c>
      <c r="G2086" t="s">
        <v>4866</v>
      </c>
      <c r="H2086">
        <v>100251872</v>
      </c>
      <c r="I2086">
        <v>202642</v>
      </c>
      <c r="J2086">
        <v>66679683</v>
      </c>
      <c r="K2086" t="s">
        <v>23</v>
      </c>
      <c r="L2086" t="s">
        <v>59</v>
      </c>
      <c r="M2086" t="s">
        <v>47</v>
      </c>
      <c r="N2086" t="s">
        <v>35</v>
      </c>
      <c r="O2086" t="s">
        <v>26</v>
      </c>
      <c r="P2086" t="s">
        <v>27</v>
      </c>
      <c r="Q2086" t="s">
        <v>28</v>
      </c>
      <c r="R2086" t="s">
        <v>29</v>
      </c>
      <c r="S2086" t="s">
        <v>793</v>
      </c>
      <c r="T2086">
        <f>_xlfn.XLOOKUP(X2086,Hoja2!D:D,Hoja2!A:A)</f>
        <v>53116792</v>
      </c>
      <c r="U2086" t="str">
        <f>_xlfn.XLOOKUP(X2086,Hoja2!D:D,Hoja2!B:B)</f>
        <v>FABIAN CONCHA</v>
      </c>
      <c r="V2086" t="str">
        <f>_xlfn.XLOOKUP(X2086,Hoja2!D:D,Hoja2!C:C)</f>
        <v>POSGRADOS</v>
      </c>
      <c r="W2086" s="9">
        <f>IF(V2086="pregrado",31,
IF(V2086="posgrados",31,
IF(V2086="rEINTEGROS",7,
IF(V2086="BIT",90,
IF(V2086="OP GRADO - INGLÉS",17,"")))))</f>
        <v>31</v>
      </c>
      <c r="X2086" t="s">
        <v>4008</v>
      </c>
    </row>
    <row r="2087" spans="1:24" ht="15" x14ac:dyDescent="0.35">
      <c r="A2087" s="4">
        <v>45909.698506944442</v>
      </c>
      <c r="B2087">
        <v>20095746</v>
      </c>
      <c r="C2087" s="5" t="s">
        <v>19</v>
      </c>
      <c r="D2087">
        <v>564864</v>
      </c>
      <c r="E2087" t="s">
        <v>20</v>
      </c>
      <c r="F2087">
        <v>1004006664</v>
      </c>
      <c r="G2087" t="s">
        <v>31</v>
      </c>
      <c r="H2087">
        <v>100229944</v>
      </c>
      <c r="I2087">
        <v>202631</v>
      </c>
      <c r="J2087">
        <v>1004006664</v>
      </c>
      <c r="K2087" t="s">
        <v>33</v>
      </c>
      <c r="L2087" t="s">
        <v>32</v>
      </c>
      <c r="M2087" t="s">
        <v>24</v>
      </c>
      <c r="N2087" t="s">
        <v>25</v>
      </c>
      <c r="O2087" t="s">
        <v>26</v>
      </c>
      <c r="P2087" t="s">
        <v>27</v>
      </c>
      <c r="Q2087" t="s">
        <v>28</v>
      </c>
      <c r="R2087" t="s">
        <v>29</v>
      </c>
      <c r="S2087" t="s">
        <v>30</v>
      </c>
      <c r="T2087">
        <v>1000120140</v>
      </c>
      <c r="U2087" t="s">
        <v>3936</v>
      </c>
      <c r="V2087" t="s">
        <v>3937</v>
      </c>
      <c r="W2087" s="9">
        <f>IF(V2087="pregrado",31,
IF(V2087="posgrados",31,
IF(V2087="rEINTEGROS",7,
IF(V2087="BIT",90,
IF(V2087="OP GRADO - INGLÉS",17,"")))))</f>
        <v>31</v>
      </c>
      <c r="X2087" t="s">
        <v>3935</v>
      </c>
    </row>
    <row r="2088" spans="1:24" ht="15" x14ac:dyDescent="0.35">
      <c r="A2088" s="4">
        <v>45910.679918981485</v>
      </c>
      <c r="B2088">
        <v>20095848</v>
      </c>
      <c r="C2088" s="5" t="s">
        <v>19</v>
      </c>
      <c r="D2088">
        <v>564997</v>
      </c>
      <c r="E2088" t="s">
        <v>20</v>
      </c>
      <c r="F2088">
        <v>1014267731</v>
      </c>
      <c r="G2088" t="s">
        <v>39</v>
      </c>
      <c r="H2088">
        <v>100230061</v>
      </c>
      <c r="I2088">
        <v>202610</v>
      </c>
      <c r="J2088">
        <v>1034398098</v>
      </c>
      <c r="K2088" t="s">
        <v>33</v>
      </c>
      <c r="L2088" t="s">
        <v>40</v>
      </c>
      <c r="M2088" t="s">
        <v>24</v>
      </c>
      <c r="N2088" t="s">
        <v>38</v>
      </c>
      <c r="O2088" t="s">
        <v>26</v>
      </c>
      <c r="P2088" t="s">
        <v>27</v>
      </c>
      <c r="Q2088" t="s">
        <v>28</v>
      </c>
      <c r="R2088" t="s">
        <v>29</v>
      </c>
      <c r="S2088" t="s">
        <v>30</v>
      </c>
      <c r="T2088">
        <v>1000857610</v>
      </c>
      <c r="U2088" t="s">
        <v>3941</v>
      </c>
      <c r="V2088" t="s">
        <v>3934</v>
      </c>
      <c r="W2088" s="9">
        <f>IF(V2088="pregrado",31,
IF(V2088="posgrados",31,
IF(V2088="rEINTEGROS",7,
IF(V2088="BIT",90,
IF(V2088="OP GRADO - INGLÉS",17,"")))))</f>
        <v>31</v>
      </c>
      <c r="X2088" t="s">
        <v>3942</v>
      </c>
    </row>
    <row r="2089" spans="1:24" ht="15" x14ac:dyDescent="0.35">
      <c r="A2089" s="4">
        <v>45910.421701388892</v>
      </c>
      <c r="B2089">
        <v>20095791</v>
      </c>
      <c r="C2089" s="5" t="s">
        <v>19</v>
      </c>
      <c r="D2089">
        <v>565049</v>
      </c>
      <c r="E2089" t="s">
        <v>20</v>
      </c>
      <c r="F2089">
        <v>14190947</v>
      </c>
      <c r="G2089" t="s">
        <v>34</v>
      </c>
      <c r="H2089">
        <v>200042913</v>
      </c>
      <c r="I2089">
        <v>202631</v>
      </c>
      <c r="J2089">
        <v>1109422622</v>
      </c>
      <c r="K2089" t="s">
        <v>23</v>
      </c>
      <c r="L2089" t="s">
        <v>22</v>
      </c>
      <c r="M2089" t="s">
        <v>24</v>
      </c>
      <c r="N2089" t="s">
        <v>35</v>
      </c>
      <c r="O2089" t="s">
        <v>26</v>
      </c>
      <c r="P2089" t="s">
        <v>27</v>
      </c>
      <c r="Q2089" t="s">
        <v>28</v>
      </c>
      <c r="R2089" t="s">
        <v>29</v>
      </c>
      <c r="S2089" t="s">
        <v>30</v>
      </c>
      <c r="T2089">
        <v>1010240716</v>
      </c>
      <c r="U2089" t="s">
        <v>3939</v>
      </c>
      <c r="V2089" t="s">
        <v>3934</v>
      </c>
      <c r="W2089" s="9">
        <f>IF(V2089="pregrado",31,
IF(V2089="posgrados",31,
IF(V2089="rEINTEGROS",7,
IF(V2089="BIT",90,
IF(V2089="OP GRADO - INGLÉS",17,"")))))</f>
        <v>31</v>
      </c>
      <c r="X2089" t="s">
        <v>3938</v>
      </c>
    </row>
    <row r="2090" spans="1:24" ht="15" x14ac:dyDescent="0.35">
      <c r="A2090" s="4">
        <v>45908.47583333333</v>
      </c>
      <c r="B2090">
        <v>20095567</v>
      </c>
      <c r="C2090" s="5" t="s">
        <v>19</v>
      </c>
      <c r="D2090">
        <v>565052</v>
      </c>
      <c r="E2090" t="s">
        <v>20</v>
      </c>
      <c r="F2090">
        <v>1017248542</v>
      </c>
      <c r="G2090" t="s">
        <v>21</v>
      </c>
      <c r="H2090">
        <v>200041656</v>
      </c>
      <c r="I2090">
        <v>202631</v>
      </c>
      <c r="J2090">
        <v>1017248542</v>
      </c>
      <c r="K2090" t="s">
        <v>23</v>
      </c>
      <c r="L2090" t="s">
        <v>22</v>
      </c>
      <c r="M2090" t="s">
        <v>24</v>
      </c>
      <c r="N2090" t="s">
        <v>25</v>
      </c>
      <c r="O2090" t="s">
        <v>26</v>
      </c>
      <c r="P2090" t="s">
        <v>27</v>
      </c>
      <c r="Q2090" t="s">
        <v>28</v>
      </c>
      <c r="R2090" t="s">
        <v>29</v>
      </c>
      <c r="S2090" t="s">
        <v>30</v>
      </c>
      <c r="T2090">
        <v>1023929839</v>
      </c>
      <c r="U2090" t="s">
        <v>3933</v>
      </c>
      <c r="V2090" t="s">
        <v>3934</v>
      </c>
      <c r="W2090" s="9">
        <f>IF(V2090="pregrado",31,
IF(V2090="posgrados",31,
IF(V2090="rEINTEGROS",7,
IF(V2090="BIT",90,
IF(V2090="OP GRADO - INGLÉS",17,"")))))</f>
        <v>31</v>
      </c>
      <c r="X2090" t="s">
        <v>3932</v>
      </c>
    </row>
    <row r="2091" spans="1:24" ht="15" x14ac:dyDescent="0.35">
      <c r="A2091" s="4">
        <v>45910.502708333333</v>
      </c>
      <c r="B2091">
        <v>20095810</v>
      </c>
      <c r="C2091" s="5" t="s">
        <v>19</v>
      </c>
      <c r="D2091">
        <v>565101</v>
      </c>
      <c r="E2091" t="s">
        <v>20</v>
      </c>
      <c r="F2091">
        <v>1021673233</v>
      </c>
      <c r="G2091" t="s">
        <v>36</v>
      </c>
      <c r="H2091">
        <v>100230170</v>
      </c>
      <c r="I2091">
        <v>202610</v>
      </c>
      <c r="J2091">
        <v>1021673233</v>
      </c>
      <c r="K2091" t="s">
        <v>33</v>
      </c>
      <c r="L2091" t="s">
        <v>37</v>
      </c>
      <c r="M2091" t="s">
        <v>24</v>
      </c>
      <c r="N2091" t="s">
        <v>38</v>
      </c>
      <c r="O2091" t="s">
        <v>26</v>
      </c>
      <c r="P2091" t="s">
        <v>27</v>
      </c>
      <c r="Q2091" t="s">
        <v>28</v>
      </c>
      <c r="R2091" t="s">
        <v>29</v>
      </c>
      <c r="S2091" t="s">
        <v>30</v>
      </c>
      <c r="T2091">
        <v>1001192723</v>
      </c>
      <c r="U2091" t="s">
        <v>3941</v>
      </c>
      <c r="V2091" t="s">
        <v>3934</v>
      </c>
      <c r="W2091" s="9">
        <f>IF(V2091="pregrado",31,
IF(V2091="posgrados",31,
IF(V2091="rEINTEGROS",7,
IF(V2091="BIT",90,
IF(V2091="OP GRADO - INGLÉS",17,"")))))</f>
        <v>31</v>
      </c>
      <c r="X2091" t="s">
        <v>3940</v>
      </c>
    </row>
    <row r="2092" spans="1:24" ht="15" x14ac:dyDescent="0.35">
      <c r="A2092" s="4">
        <v>46029.49046296296</v>
      </c>
      <c r="B2092">
        <v>20111417</v>
      </c>
      <c r="C2092" s="6" t="s">
        <v>19</v>
      </c>
      <c r="D2092">
        <v>565129</v>
      </c>
      <c r="E2092" t="s">
        <v>20</v>
      </c>
      <c r="F2092">
        <v>79135537</v>
      </c>
      <c r="G2092" t="s">
        <v>1554</v>
      </c>
      <c r="H2092">
        <v>100229658</v>
      </c>
      <c r="I2092">
        <v>202631</v>
      </c>
      <c r="J2092">
        <v>1014229731</v>
      </c>
      <c r="K2092" t="s">
        <v>33</v>
      </c>
      <c r="L2092" t="s">
        <v>42</v>
      </c>
      <c r="M2092" t="s">
        <v>24</v>
      </c>
      <c r="N2092" t="s">
        <v>38</v>
      </c>
      <c r="O2092" t="s">
        <v>26</v>
      </c>
      <c r="P2092" t="s">
        <v>27</v>
      </c>
      <c r="Q2092" t="s">
        <v>28</v>
      </c>
      <c r="R2092" t="s">
        <v>29</v>
      </c>
      <c r="S2092" t="s">
        <v>30</v>
      </c>
      <c r="T2092">
        <v>1015482247</v>
      </c>
      <c r="U2092" t="s">
        <v>3944</v>
      </c>
      <c r="V2092" t="s">
        <v>3934</v>
      </c>
      <c r="W2092" s="9">
        <f>IF(V2092="pregrado",31,
IF(V2092="posgrados",31,
IF(V2092="rEINTEGROS",7,
IF(V2092="BIT",90,
IF(V2092="OP GRADO - INGLÉS",17,"")))))</f>
        <v>31</v>
      </c>
      <c r="X2092" t="s">
        <v>3984</v>
      </c>
    </row>
    <row r="2093" spans="1:24" ht="15" x14ac:dyDescent="0.35">
      <c r="A2093" s="4">
        <v>45912.565601851849</v>
      </c>
      <c r="B2093">
        <v>20096109</v>
      </c>
      <c r="C2093" s="5" t="s">
        <v>19</v>
      </c>
      <c r="D2093">
        <v>565176</v>
      </c>
      <c r="E2093" t="s">
        <v>20</v>
      </c>
      <c r="F2093">
        <v>1004737427</v>
      </c>
      <c r="G2093" t="s">
        <v>50</v>
      </c>
      <c r="H2093">
        <v>100230241</v>
      </c>
      <c r="I2093">
        <v>202631</v>
      </c>
      <c r="J2093">
        <v>1004737427</v>
      </c>
      <c r="K2093" t="s">
        <v>33</v>
      </c>
      <c r="L2093" t="s">
        <v>51</v>
      </c>
      <c r="M2093" t="s">
        <v>24</v>
      </c>
      <c r="N2093" t="s">
        <v>38</v>
      </c>
      <c r="O2093" t="s">
        <v>26</v>
      </c>
      <c r="P2093" t="s">
        <v>27</v>
      </c>
      <c r="Q2093" t="s">
        <v>28</v>
      </c>
      <c r="R2093" t="s">
        <v>29</v>
      </c>
      <c r="S2093" t="s">
        <v>30</v>
      </c>
      <c r="T2093">
        <v>52182207</v>
      </c>
      <c r="U2093" t="s">
        <v>3941</v>
      </c>
      <c r="V2093" t="s">
        <v>3934</v>
      </c>
      <c r="W2093" s="9">
        <f>IF(V2093="pregrado",31,
IF(V2093="posgrados",31,
IF(V2093="rEINTEGROS",7,
IF(V2093="BIT",90,
IF(V2093="OP GRADO - INGLÉS",17,"")))))</f>
        <v>31</v>
      </c>
      <c r="X2093" t="s">
        <v>3946</v>
      </c>
    </row>
    <row r="2094" spans="1:24" ht="15" x14ac:dyDescent="0.35">
      <c r="A2094" s="4">
        <v>45911.766527777778</v>
      </c>
      <c r="B2094">
        <v>20096009</v>
      </c>
      <c r="C2094" s="5" t="s">
        <v>19</v>
      </c>
      <c r="D2094">
        <v>565234</v>
      </c>
      <c r="E2094" t="s">
        <v>20</v>
      </c>
      <c r="F2094">
        <v>1038095703</v>
      </c>
      <c r="G2094" t="s">
        <v>41</v>
      </c>
      <c r="H2094">
        <v>100230310</v>
      </c>
      <c r="I2094">
        <v>202631</v>
      </c>
      <c r="J2094">
        <v>1038095703</v>
      </c>
      <c r="K2094" t="s">
        <v>33</v>
      </c>
      <c r="L2094" t="s">
        <v>42</v>
      </c>
      <c r="M2094" t="s">
        <v>24</v>
      </c>
      <c r="N2094" t="s">
        <v>25</v>
      </c>
      <c r="O2094" t="s">
        <v>26</v>
      </c>
      <c r="P2094" t="s">
        <v>27</v>
      </c>
      <c r="Q2094" t="s">
        <v>28</v>
      </c>
      <c r="R2094" t="s">
        <v>29</v>
      </c>
      <c r="S2094" t="s">
        <v>30</v>
      </c>
      <c r="T2094">
        <v>10123971531</v>
      </c>
      <c r="U2094" t="s">
        <v>3944</v>
      </c>
      <c r="V2094" t="s">
        <v>3934</v>
      </c>
      <c r="W2094" s="9">
        <f>IF(V2094="pregrado",31,
IF(V2094="posgrados",31,
IF(V2094="rEINTEGROS",7,
IF(V2094="BIT",90,
IF(V2094="OP GRADO - INGLÉS",17,"")))))</f>
        <v>31</v>
      </c>
      <c r="X2094" t="s">
        <v>3943</v>
      </c>
    </row>
    <row r="2095" spans="1:24" ht="15" x14ac:dyDescent="0.35">
      <c r="A2095" s="4">
        <v>45915.425937499997</v>
      </c>
      <c r="B2095">
        <v>20096264</v>
      </c>
      <c r="C2095" s="5" t="s">
        <v>19</v>
      </c>
      <c r="D2095">
        <v>565277</v>
      </c>
      <c r="E2095" t="s">
        <v>20</v>
      </c>
      <c r="F2095">
        <v>52359397</v>
      </c>
      <c r="G2095" t="s">
        <v>53</v>
      </c>
      <c r="H2095">
        <v>100230362</v>
      </c>
      <c r="I2095">
        <v>202610</v>
      </c>
      <c r="J2095">
        <v>1013691368</v>
      </c>
      <c r="K2095" t="s">
        <v>23</v>
      </c>
      <c r="L2095" t="s">
        <v>37</v>
      </c>
      <c r="M2095" t="s">
        <v>24</v>
      </c>
      <c r="N2095" t="s">
        <v>38</v>
      </c>
      <c r="O2095" t="s">
        <v>26</v>
      </c>
      <c r="P2095" t="s">
        <v>27</v>
      </c>
      <c r="Q2095" t="s">
        <v>28</v>
      </c>
      <c r="R2095" t="s">
        <v>29</v>
      </c>
      <c r="S2095" t="s">
        <v>30</v>
      </c>
      <c r="T2095">
        <v>53178431</v>
      </c>
      <c r="U2095" t="s">
        <v>3941</v>
      </c>
      <c r="V2095" t="s">
        <v>3934</v>
      </c>
      <c r="W2095" s="9">
        <f>IF(V2095="pregrado",31,
IF(V2095="posgrados",31,
IF(V2095="rEINTEGROS",7,
IF(V2095="BIT",90,
IF(V2095="OP GRADO - INGLÉS",17,"")))))</f>
        <v>31</v>
      </c>
      <c r="X2095" t="s">
        <v>3949</v>
      </c>
    </row>
    <row r="2096" spans="1:24" ht="15" x14ac:dyDescent="0.35">
      <c r="A2096" s="4">
        <v>45912.483136574076</v>
      </c>
      <c r="B2096">
        <v>20096077</v>
      </c>
      <c r="C2096" s="5" t="s">
        <v>19</v>
      </c>
      <c r="D2096">
        <v>565297</v>
      </c>
      <c r="E2096" t="s">
        <v>20</v>
      </c>
      <c r="F2096">
        <v>1024591881</v>
      </c>
      <c r="G2096" t="s">
        <v>48</v>
      </c>
      <c r="H2096">
        <v>100230040</v>
      </c>
      <c r="I2096">
        <v>202610</v>
      </c>
      <c r="J2096">
        <v>1024591881</v>
      </c>
      <c r="K2096" t="s">
        <v>23</v>
      </c>
      <c r="L2096" t="s">
        <v>49</v>
      </c>
      <c r="M2096" t="s">
        <v>24</v>
      </c>
      <c r="N2096" t="s">
        <v>35</v>
      </c>
      <c r="O2096" t="s">
        <v>26</v>
      </c>
      <c r="P2096" t="s">
        <v>27</v>
      </c>
      <c r="Q2096" t="s">
        <v>28</v>
      </c>
      <c r="R2096" t="s">
        <v>29</v>
      </c>
      <c r="S2096" t="s">
        <v>30</v>
      </c>
      <c r="T2096">
        <v>10123971531</v>
      </c>
      <c r="U2096" t="s">
        <v>3944</v>
      </c>
      <c r="V2096" t="s">
        <v>3934</v>
      </c>
      <c r="W2096" s="9">
        <f>IF(V2096="pregrado",31,
IF(V2096="posgrados",31,
IF(V2096="rEINTEGROS",7,
IF(V2096="BIT",90,
IF(V2096="OP GRADO - INGLÉS",17,"")))))</f>
        <v>31</v>
      </c>
      <c r="X2096" t="s">
        <v>3943</v>
      </c>
    </row>
    <row r="2097" spans="1:24" ht="15" x14ac:dyDescent="0.35">
      <c r="A2097" s="4">
        <v>45914.814293981479</v>
      </c>
      <c r="B2097">
        <v>20096226</v>
      </c>
      <c r="C2097" s="5" t="s">
        <v>19</v>
      </c>
      <c r="D2097">
        <v>565320</v>
      </c>
      <c r="E2097" t="s">
        <v>20</v>
      </c>
      <c r="F2097">
        <v>1021664979</v>
      </c>
      <c r="G2097" t="s">
        <v>52</v>
      </c>
      <c r="H2097">
        <v>100230320</v>
      </c>
      <c r="I2097">
        <v>202610</v>
      </c>
      <c r="J2097">
        <v>1021664979</v>
      </c>
      <c r="K2097" t="s">
        <v>23</v>
      </c>
      <c r="L2097" t="s">
        <v>40</v>
      </c>
      <c r="M2097" t="s">
        <v>24</v>
      </c>
      <c r="N2097" t="s">
        <v>35</v>
      </c>
      <c r="O2097" t="s">
        <v>26</v>
      </c>
      <c r="P2097" t="s">
        <v>27</v>
      </c>
      <c r="Q2097" t="s">
        <v>28</v>
      </c>
      <c r="R2097" t="s">
        <v>29</v>
      </c>
      <c r="S2097" t="s">
        <v>30</v>
      </c>
      <c r="T2097">
        <v>1031147887</v>
      </c>
      <c r="U2097" t="s">
        <v>3948</v>
      </c>
      <c r="V2097" t="s">
        <v>3937</v>
      </c>
      <c r="W2097" s="9">
        <f>IF(V2097="pregrado",31,
IF(V2097="posgrados",31,
IF(V2097="rEINTEGROS",7,
IF(V2097="BIT",90,
IF(V2097="OP GRADO - INGLÉS",17,"")))))</f>
        <v>31</v>
      </c>
      <c r="X2097" t="s">
        <v>3947</v>
      </c>
    </row>
    <row r="2098" spans="1:24" ht="15" x14ac:dyDescent="0.35">
      <c r="A2098" s="4">
        <v>45915.520092592589</v>
      </c>
      <c r="B2098">
        <v>20096290</v>
      </c>
      <c r="C2098" s="5" t="s">
        <v>19</v>
      </c>
      <c r="D2098">
        <v>565386</v>
      </c>
      <c r="E2098" t="s">
        <v>20</v>
      </c>
      <c r="F2098">
        <v>79835174</v>
      </c>
      <c r="G2098" t="s">
        <v>54</v>
      </c>
      <c r="H2098">
        <v>100230448</v>
      </c>
      <c r="I2098">
        <v>202610</v>
      </c>
      <c r="J2098">
        <v>1193570391</v>
      </c>
      <c r="K2098" t="s">
        <v>33</v>
      </c>
      <c r="L2098" t="s">
        <v>40</v>
      </c>
      <c r="M2098" t="s">
        <v>24</v>
      </c>
      <c r="N2098" t="s">
        <v>38</v>
      </c>
      <c r="O2098" t="s">
        <v>26</v>
      </c>
      <c r="P2098" t="s">
        <v>27</v>
      </c>
      <c r="Q2098" t="s">
        <v>28</v>
      </c>
      <c r="R2098" t="s">
        <v>29</v>
      </c>
      <c r="S2098" t="s">
        <v>30</v>
      </c>
      <c r="T2098">
        <v>53061994</v>
      </c>
      <c r="U2098" t="s">
        <v>3941</v>
      </c>
      <c r="V2098" t="s">
        <v>3934</v>
      </c>
      <c r="W2098" s="9">
        <f>IF(V2098="pregrado",31,
IF(V2098="posgrados",31,
IF(V2098="rEINTEGROS",7,
IF(V2098="BIT",90,
IF(V2098="OP GRADO - INGLÉS",17,"")))))</f>
        <v>31</v>
      </c>
      <c r="X2098" t="s">
        <v>3950</v>
      </c>
    </row>
    <row r="2099" spans="1:24" ht="15" x14ac:dyDescent="0.35">
      <c r="A2099" s="4">
        <v>45924.485266203701</v>
      </c>
      <c r="B2099">
        <v>20097364</v>
      </c>
      <c r="C2099" s="5" t="s">
        <v>19</v>
      </c>
      <c r="D2099">
        <v>565388</v>
      </c>
      <c r="E2099" t="s">
        <v>20</v>
      </c>
      <c r="F2099">
        <v>1025520753</v>
      </c>
      <c r="G2099" t="s">
        <v>68</v>
      </c>
      <c r="H2099">
        <v>100183617</v>
      </c>
      <c r="I2099">
        <v>202610</v>
      </c>
      <c r="J2099">
        <v>1001298639</v>
      </c>
      <c r="K2099" t="s">
        <v>23</v>
      </c>
      <c r="L2099" t="s">
        <v>69</v>
      </c>
      <c r="M2099" t="s">
        <v>24</v>
      </c>
      <c r="N2099" t="s">
        <v>35</v>
      </c>
      <c r="O2099" t="s">
        <v>26</v>
      </c>
      <c r="P2099" t="s">
        <v>27</v>
      </c>
      <c r="Q2099" t="s">
        <v>28</v>
      </c>
      <c r="R2099" t="s">
        <v>29</v>
      </c>
      <c r="S2099" t="s">
        <v>30</v>
      </c>
      <c r="T2099">
        <v>1070973852</v>
      </c>
      <c r="U2099" t="s">
        <v>3936</v>
      </c>
      <c r="V2099" t="s">
        <v>3937</v>
      </c>
      <c r="W2099" s="9">
        <f>IF(V2099="pregrado",31,
IF(V2099="posgrados",31,
IF(V2099="rEINTEGROS",7,
IF(V2099="BIT",90,
IF(V2099="OP GRADO - INGLÉS",17,"")))))</f>
        <v>31</v>
      </c>
      <c r="X2099" t="s">
        <v>3957</v>
      </c>
    </row>
    <row r="2100" spans="1:24" ht="15" x14ac:dyDescent="0.35">
      <c r="A2100" s="4">
        <v>45918.602523148147</v>
      </c>
      <c r="B2100">
        <v>20096811</v>
      </c>
      <c r="C2100" s="5" t="s">
        <v>19</v>
      </c>
      <c r="D2100">
        <v>565480</v>
      </c>
      <c r="E2100" t="s">
        <v>20</v>
      </c>
      <c r="F2100">
        <v>1000973758</v>
      </c>
      <c r="G2100" t="s">
        <v>61</v>
      </c>
      <c r="H2100">
        <v>100230539</v>
      </c>
      <c r="I2100">
        <v>202610</v>
      </c>
      <c r="J2100">
        <v>1000973758</v>
      </c>
      <c r="K2100" t="s">
        <v>33</v>
      </c>
      <c r="L2100" t="s">
        <v>62</v>
      </c>
      <c r="M2100" t="s">
        <v>24</v>
      </c>
      <c r="N2100" t="s">
        <v>38</v>
      </c>
      <c r="O2100" t="s">
        <v>26</v>
      </c>
      <c r="P2100" t="s">
        <v>27</v>
      </c>
      <c r="Q2100" t="s">
        <v>28</v>
      </c>
      <c r="R2100" t="s">
        <v>29</v>
      </c>
      <c r="S2100" t="s">
        <v>30</v>
      </c>
      <c r="T2100">
        <v>11001273124</v>
      </c>
      <c r="U2100" t="s">
        <v>3944</v>
      </c>
      <c r="V2100" t="s">
        <v>3934</v>
      </c>
      <c r="W2100" s="9">
        <f>IF(V2100="pregrado",31,
IF(V2100="posgrados",31,
IF(V2100="rEINTEGROS",7,
IF(V2100="BIT",90,
IF(V2100="OP GRADO - INGLÉS",17,"")))))</f>
        <v>31</v>
      </c>
      <c r="X2100" t="s">
        <v>3951</v>
      </c>
    </row>
    <row r="2101" spans="1:24" ht="15" x14ac:dyDescent="0.35">
      <c r="A2101" s="4">
        <v>45918.578055555554</v>
      </c>
      <c r="B2101">
        <v>20096808</v>
      </c>
      <c r="C2101" s="5" t="s">
        <v>19</v>
      </c>
      <c r="D2101">
        <v>565483</v>
      </c>
      <c r="E2101" t="s">
        <v>20</v>
      </c>
      <c r="F2101">
        <v>3226072</v>
      </c>
      <c r="G2101" t="s">
        <v>60</v>
      </c>
      <c r="H2101">
        <v>100230541</v>
      </c>
      <c r="I2101">
        <v>202631</v>
      </c>
      <c r="J2101">
        <v>1071302874</v>
      </c>
      <c r="K2101" t="s">
        <v>23</v>
      </c>
      <c r="L2101" t="s">
        <v>32</v>
      </c>
      <c r="M2101" t="s">
        <v>24</v>
      </c>
      <c r="N2101" t="s">
        <v>35</v>
      </c>
      <c r="O2101" t="s">
        <v>26</v>
      </c>
      <c r="P2101" t="s">
        <v>27</v>
      </c>
      <c r="Q2101" t="s">
        <v>28</v>
      </c>
      <c r="R2101" t="s">
        <v>29</v>
      </c>
      <c r="S2101" t="s">
        <v>30</v>
      </c>
      <c r="T2101">
        <v>1015407851</v>
      </c>
      <c r="U2101" t="s">
        <v>3944</v>
      </c>
      <c r="V2101" t="s">
        <v>3934</v>
      </c>
      <c r="W2101" s="9">
        <f>IF(V2101="pregrado",31,
IF(V2101="posgrados",31,
IF(V2101="rEINTEGROS",7,
IF(V2101="BIT",90,
IF(V2101="OP GRADO - INGLÉS",17,"")))))</f>
        <v>31</v>
      </c>
      <c r="X2101" t="s">
        <v>4102</v>
      </c>
    </row>
    <row r="2102" spans="1:24" ht="15" x14ac:dyDescent="0.35">
      <c r="A2102" s="4">
        <v>45919.370405092595</v>
      </c>
      <c r="B2102">
        <v>20096880</v>
      </c>
      <c r="C2102" s="5" t="s">
        <v>19</v>
      </c>
      <c r="D2102">
        <v>565526</v>
      </c>
      <c r="E2102" t="s">
        <v>20</v>
      </c>
      <c r="F2102">
        <v>1143125074</v>
      </c>
      <c r="G2102" t="s">
        <v>63</v>
      </c>
      <c r="H2102">
        <v>100230556</v>
      </c>
      <c r="I2102">
        <v>202631</v>
      </c>
      <c r="J2102">
        <v>1143125074</v>
      </c>
      <c r="K2102" t="s">
        <v>33</v>
      </c>
      <c r="L2102" t="s">
        <v>42</v>
      </c>
      <c r="M2102" t="s">
        <v>24</v>
      </c>
      <c r="N2102" t="s">
        <v>25</v>
      </c>
      <c r="O2102" t="s">
        <v>26</v>
      </c>
      <c r="P2102" t="s">
        <v>27</v>
      </c>
      <c r="Q2102" t="s">
        <v>28</v>
      </c>
      <c r="R2102" t="s">
        <v>29</v>
      </c>
      <c r="S2102" t="s">
        <v>30</v>
      </c>
      <c r="T2102">
        <v>1014178931</v>
      </c>
      <c r="U2102" t="s">
        <v>3944</v>
      </c>
      <c r="V2102" t="s">
        <v>3934</v>
      </c>
      <c r="W2102" s="9">
        <f>IF(V2102="pregrado",31,
IF(V2102="posgrados",31,
IF(V2102="rEINTEGROS",7,
IF(V2102="BIT",90,
IF(V2102="OP GRADO - INGLÉS",17,"")))))</f>
        <v>31</v>
      </c>
      <c r="X2102" t="s">
        <v>3954</v>
      </c>
    </row>
    <row r="2103" spans="1:24" ht="15" x14ac:dyDescent="0.35">
      <c r="A2103" s="4">
        <v>45916.380046296297</v>
      </c>
      <c r="B2103">
        <v>20096419</v>
      </c>
      <c r="C2103" s="5" t="s">
        <v>19</v>
      </c>
      <c r="D2103">
        <v>565555</v>
      </c>
      <c r="E2103" t="s">
        <v>20</v>
      </c>
      <c r="F2103">
        <v>1001046888</v>
      </c>
      <c r="G2103" t="s">
        <v>55</v>
      </c>
      <c r="H2103">
        <v>100230555</v>
      </c>
      <c r="I2103">
        <v>202631</v>
      </c>
      <c r="J2103">
        <v>1000131401</v>
      </c>
      <c r="K2103" t="s">
        <v>23</v>
      </c>
      <c r="L2103" t="s">
        <v>32</v>
      </c>
      <c r="M2103" t="s">
        <v>24</v>
      </c>
      <c r="N2103" t="s">
        <v>35</v>
      </c>
      <c r="O2103" t="s">
        <v>26</v>
      </c>
      <c r="P2103" t="s">
        <v>27</v>
      </c>
      <c r="Q2103" t="s">
        <v>28</v>
      </c>
      <c r="R2103" t="s">
        <v>29</v>
      </c>
      <c r="S2103" t="s">
        <v>30</v>
      </c>
      <c r="T2103">
        <v>11001273124</v>
      </c>
      <c r="U2103" t="s">
        <v>3944</v>
      </c>
      <c r="V2103" t="s">
        <v>3934</v>
      </c>
      <c r="W2103" s="9">
        <f>IF(V2103="pregrado",31,
IF(V2103="posgrados",31,
IF(V2103="rEINTEGROS",7,
IF(V2103="BIT",90,
IF(V2103="OP GRADO - INGLÉS",17,"")))))</f>
        <v>31</v>
      </c>
      <c r="X2103" t="s">
        <v>3951</v>
      </c>
    </row>
    <row r="2104" spans="1:24" ht="15" x14ac:dyDescent="0.35">
      <c r="A2104" s="4">
        <v>45917.65960648148</v>
      </c>
      <c r="B2104">
        <v>20096689</v>
      </c>
      <c r="C2104" s="5" t="s">
        <v>19</v>
      </c>
      <c r="D2104">
        <v>565688</v>
      </c>
      <c r="E2104" t="s">
        <v>20</v>
      </c>
      <c r="F2104">
        <v>1000942143</v>
      </c>
      <c r="G2104" t="s">
        <v>56</v>
      </c>
      <c r="H2104">
        <v>100230744</v>
      </c>
      <c r="I2104">
        <v>202631</v>
      </c>
      <c r="J2104">
        <v>1000942143</v>
      </c>
      <c r="K2104" t="s">
        <v>23</v>
      </c>
      <c r="L2104" t="s">
        <v>57</v>
      </c>
      <c r="M2104" t="s">
        <v>24</v>
      </c>
      <c r="N2104" t="s">
        <v>35</v>
      </c>
      <c r="O2104" t="s">
        <v>26</v>
      </c>
      <c r="P2104" t="s">
        <v>27</v>
      </c>
      <c r="Q2104" t="s">
        <v>28</v>
      </c>
      <c r="R2104" t="s">
        <v>29</v>
      </c>
      <c r="S2104" t="s">
        <v>30</v>
      </c>
      <c r="T2104">
        <v>1020730718</v>
      </c>
      <c r="U2104" t="s">
        <v>3941</v>
      </c>
      <c r="V2104" t="s">
        <v>3934</v>
      </c>
      <c r="W2104" s="9">
        <f>IF(V2104="pregrado",31,
IF(V2104="posgrados",31,
IF(V2104="rEINTEGROS",7,
IF(V2104="BIT",90,
IF(V2104="OP GRADO - INGLÉS",17,"")))))</f>
        <v>31</v>
      </c>
      <c r="X2104" t="s">
        <v>3952</v>
      </c>
    </row>
    <row r="2105" spans="1:24" ht="15" x14ac:dyDescent="0.35">
      <c r="A2105" s="4">
        <v>45926.465127314812</v>
      </c>
      <c r="B2105">
        <v>20097660</v>
      </c>
      <c r="C2105" s="5" t="s">
        <v>19</v>
      </c>
      <c r="D2105">
        <v>565698</v>
      </c>
      <c r="E2105" t="s">
        <v>20</v>
      </c>
      <c r="F2105">
        <v>2000001572</v>
      </c>
      <c r="G2105" t="s">
        <v>80</v>
      </c>
      <c r="H2105">
        <v>100229323</v>
      </c>
      <c r="I2105">
        <v>202610</v>
      </c>
      <c r="J2105">
        <v>2000001572</v>
      </c>
      <c r="K2105" t="s">
        <v>74</v>
      </c>
      <c r="L2105" t="s">
        <v>62</v>
      </c>
      <c r="M2105" t="s">
        <v>24</v>
      </c>
      <c r="N2105" t="s">
        <v>35</v>
      </c>
      <c r="O2105" t="s">
        <v>26</v>
      </c>
      <c r="P2105" t="s">
        <v>27</v>
      </c>
      <c r="Q2105" t="s">
        <v>28</v>
      </c>
      <c r="R2105" t="s">
        <v>29</v>
      </c>
      <c r="S2105" t="s">
        <v>30</v>
      </c>
      <c r="T2105">
        <v>1074184614</v>
      </c>
      <c r="U2105" t="s">
        <v>3967</v>
      </c>
      <c r="V2105" t="s">
        <v>3934</v>
      </c>
      <c r="W2105" s="9">
        <f>IF(V2105="pregrado",31,
IF(V2105="posgrados",31,
IF(V2105="rEINTEGROS",7,
IF(V2105="BIT",90,
IF(V2105="OP GRADO - INGLÉS",17,"")))))</f>
        <v>31</v>
      </c>
      <c r="X2105" t="s">
        <v>3966</v>
      </c>
    </row>
    <row r="2106" spans="1:24" ht="15" x14ac:dyDescent="0.35">
      <c r="A2106" s="4">
        <v>45926.472708333335</v>
      </c>
      <c r="B2106">
        <v>20097664</v>
      </c>
      <c r="C2106" s="5" t="s">
        <v>19</v>
      </c>
      <c r="D2106">
        <v>565756</v>
      </c>
      <c r="E2106" t="s">
        <v>20</v>
      </c>
      <c r="F2106">
        <v>51879426</v>
      </c>
      <c r="G2106" t="s">
        <v>81</v>
      </c>
      <c r="H2106">
        <v>100174429</v>
      </c>
      <c r="I2106">
        <v>202631</v>
      </c>
      <c r="J2106">
        <v>1030596310</v>
      </c>
      <c r="K2106" t="s">
        <v>23</v>
      </c>
      <c r="L2106" t="s">
        <v>32</v>
      </c>
      <c r="M2106" t="s">
        <v>24</v>
      </c>
      <c r="N2106" t="s">
        <v>35</v>
      </c>
      <c r="O2106" t="s">
        <v>26</v>
      </c>
      <c r="P2106" t="s">
        <v>27</v>
      </c>
      <c r="Q2106" t="s">
        <v>28</v>
      </c>
      <c r="R2106" t="s">
        <v>29</v>
      </c>
      <c r="S2106" t="s">
        <v>30</v>
      </c>
      <c r="T2106">
        <v>1000120140</v>
      </c>
      <c r="U2106" t="s">
        <v>3936</v>
      </c>
      <c r="V2106" t="s">
        <v>3937</v>
      </c>
      <c r="W2106" s="9">
        <f>IF(V2106="pregrado",31,
IF(V2106="posgrados",31,
IF(V2106="rEINTEGROS",7,
IF(V2106="BIT",90,
IF(V2106="OP GRADO - INGLÉS",17,"")))))</f>
        <v>31</v>
      </c>
      <c r="X2106" t="s">
        <v>3935</v>
      </c>
    </row>
    <row r="2107" spans="1:24" ht="15" x14ac:dyDescent="0.35">
      <c r="A2107" s="4">
        <v>45926.855590277781</v>
      </c>
      <c r="B2107">
        <v>20097786</v>
      </c>
      <c r="C2107" s="5" t="s">
        <v>19</v>
      </c>
      <c r="D2107">
        <v>565785</v>
      </c>
      <c r="E2107" t="s">
        <v>20</v>
      </c>
      <c r="F2107">
        <v>39022759</v>
      </c>
      <c r="G2107" t="s">
        <v>84</v>
      </c>
      <c r="H2107">
        <v>100230828</v>
      </c>
      <c r="I2107">
        <v>202610</v>
      </c>
      <c r="J2107">
        <v>1007664362</v>
      </c>
      <c r="K2107" t="s">
        <v>23</v>
      </c>
      <c r="L2107" t="s">
        <v>62</v>
      </c>
      <c r="M2107" t="s">
        <v>24</v>
      </c>
      <c r="N2107" t="s">
        <v>35</v>
      </c>
      <c r="O2107" t="s">
        <v>26</v>
      </c>
      <c r="P2107" t="s">
        <v>27</v>
      </c>
      <c r="Q2107" t="s">
        <v>28</v>
      </c>
      <c r="R2107" t="s">
        <v>29</v>
      </c>
      <c r="S2107" t="s">
        <v>30</v>
      </c>
      <c r="T2107">
        <v>1000001980</v>
      </c>
      <c r="U2107" t="s">
        <v>3944</v>
      </c>
      <c r="V2107" t="s">
        <v>3934</v>
      </c>
      <c r="W2107" s="9">
        <f>IF(V2107="pregrado",31,
IF(V2107="posgrados",31,
IF(V2107="rEINTEGROS",7,
IF(V2107="BIT",90,
IF(V2107="OP GRADO - INGLÉS",17,"")))))</f>
        <v>31</v>
      </c>
      <c r="X2107" t="s">
        <v>3968</v>
      </c>
    </row>
    <row r="2108" spans="1:24" ht="15" x14ac:dyDescent="0.35">
      <c r="A2108" s="4">
        <v>45925.412187499998</v>
      </c>
      <c r="B2108">
        <v>20097520</v>
      </c>
      <c r="C2108" s="5" t="s">
        <v>19</v>
      </c>
      <c r="D2108">
        <v>565793</v>
      </c>
      <c r="E2108" t="s">
        <v>20</v>
      </c>
      <c r="F2108">
        <v>1016018467</v>
      </c>
      <c r="G2108" t="s">
        <v>75</v>
      </c>
      <c r="H2108">
        <v>100230837</v>
      </c>
      <c r="I2108">
        <v>202631</v>
      </c>
      <c r="J2108">
        <v>1019110395</v>
      </c>
      <c r="K2108" t="s">
        <v>23</v>
      </c>
      <c r="L2108" t="s">
        <v>65</v>
      </c>
      <c r="M2108" t="s">
        <v>24</v>
      </c>
      <c r="N2108" t="s">
        <v>38</v>
      </c>
      <c r="O2108" t="s">
        <v>26</v>
      </c>
      <c r="P2108" t="s">
        <v>27</v>
      </c>
      <c r="Q2108" t="s">
        <v>28</v>
      </c>
      <c r="R2108" t="s">
        <v>29</v>
      </c>
      <c r="S2108" t="s">
        <v>30</v>
      </c>
      <c r="T2108">
        <v>1015441103</v>
      </c>
      <c r="U2108" t="s">
        <v>3933</v>
      </c>
      <c r="V2108" t="s">
        <v>3934</v>
      </c>
      <c r="W2108" s="9">
        <f>IF(V2108="pregrado",31,
IF(V2108="posgrados",31,
IF(V2108="rEINTEGROS",7,
IF(V2108="BIT",90,
IF(V2108="OP GRADO - INGLÉS",17,"")))))</f>
        <v>31</v>
      </c>
      <c r="X2108" t="s">
        <v>3961</v>
      </c>
    </row>
    <row r="2109" spans="1:24" ht="15" x14ac:dyDescent="0.35">
      <c r="A2109" s="4">
        <v>45919.666377314818</v>
      </c>
      <c r="B2109">
        <v>20096951</v>
      </c>
      <c r="C2109" s="5" t="s">
        <v>19</v>
      </c>
      <c r="D2109">
        <v>566975</v>
      </c>
      <c r="E2109" t="s">
        <v>20</v>
      </c>
      <c r="F2109">
        <v>1017212912</v>
      </c>
      <c r="G2109" t="s">
        <v>64</v>
      </c>
      <c r="H2109">
        <v>100230888</v>
      </c>
      <c r="I2109">
        <v>202631</v>
      </c>
      <c r="J2109">
        <v>1017212912</v>
      </c>
      <c r="K2109" t="s">
        <v>23</v>
      </c>
      <c r="L2109" t="s">
        <v>65</v>
      </c>
      <c r="M2109" t="s">
        <v>24</v>
      </c>
      <c r="N2109" t="s">
        <v>35</v>
      </c>
      <c r="O2109" t="s">
        <v>26</v>
      </c>
      <c r="P2109" t="s">
        <v>27</v>
      </c>
      <c r="Q2109" t="s">
        <v>28</v>
      </c>
      <c r="R2109" t="s">
        <v>29</v>
      </c>
      <c r="S2109" t="s">
        <v>30</v>
      </c>
      <c r="T2109">
        <v>1015407851</v>
      </c>
      <c r="U2109" t="s">
        <v>3944</v>
      </c>
      <c r="V2109" t="s">
        <v>3934</v>
      </c>
      <c r="W2109" s="9">
        <f>IF(V2109="pregrado",31,
IF(V2109="posgrados",31,
IF(V2109="rEINTEGROS",7,
IF(V2109="BIT",90,
IF(V2109="OP GRADO - INGLÉS",17,"")))))</f>
        <v>31</v>
      </c>
      <c r="X2109" t="s">
        <v>4102</v>
      </c>
    </row>
    <row r="2110" spans="1:24" ht="15" x14ac:dyDescent="0.35">
      <c r="A2110" s="4">
        <v>45937.532222222224</v>
      </c>
      <c r="B2110">
        <v>20099242</v>
      </c>
      <c r="C2110" s="5" t="s">
        <v>19</v>
      </c>
      <c r="D2110">
        <v>566979</v>
      </c>
      <c r="E2110" t="s">
        <v>20</v>
      </c>
      <c r="F2110">
        <v>1074809789</v>
      </c>
      <c r="G2110" t="s">
        <v>110</v>
      </c>
      <c r="H2110">
        <v>100227323</v>
      </c>
      <c r="I2110">
        <v>202610</v>
      </c>
      <c r="J2110">
        <v>1074809789</v>
      </c>
      <c r="K2110" t="s">
        <v>23</v>
      </c>
      <c r="L2110" t="s">
        <v>107</v>
      </c>
      <c r="M2110" t="s">
        <v>24</v>
      </c>
      <c r="N2110" t="s">
        <v>35</v>
      </c>
      <c r="O2110" t="s">
        <v>26</v>
      </c>
      <c r="P2110" t="s">
        <v>27</v>
      </c>
      <c r="Q2110" t="s">
        <v>28</v>
      </c>
      <c r="R2110" t="s">
        <v>29</v>
      </c>
      <c r="S2110" t="s">
        <v>30</v>
      </c>
      <c r="T2110">
        <v>1015478965</v>
      </c>
      <c r="U2110" t="s">
        <v>3944</v>
      </c>
      <c r="V2110" t="s">
        <v>3934</v>
      </c>
      <c r="W2110" s="9">
        <f>IF(V2110="pregrado",31,
IF(V2110="posgrados",31,
IF(V2110="rEINTEGROS",7,
IF(V2110="BIT",90,
IF(V2110="OP GRADO - INGLÉS",17,"")))))</f>
        <v>31</v>
      </c>
      <c r="X2110" t="s">
        <v>3979</v>
      </c>
    </row>
    <row r="2111" spans="1:24" ht="15" x14ac:dyDescent="0.35">
      <c r="A2111" s="4">
        <v>45923.484930555554</v>
      </c>
      <c r="B2111">
        <v>20097226</v>
      </c>
      <c r="C2111" s="5" t="s">
        <v>19</v>
      </c>
      <c r="D2111">
        <v>566981</v>
      </c>
      <c r="E2111" t="s">
        <v>20</v>
      </c>
      <c r="F2111">
        <v>41467097</v>
      </c>
      <c r="G2111" t="s">
        <v>66</v>
      </c>
      <c r="H2111">
        <v>100230894</v>
      </c>
      <c r="I2111">
        <v>202631</v>
      </c>
      <c r="J2111">
        <v>1035414201</v>
      </c>
      <c r="K2111" t="s">
        <v>33</v>
      </c>
      <c r="L2111" t="s">
        <v>32</v>
      </c>
      <c r="M2111" t="s">
        <v>24</v>
      </c>
      <c r="N2111" t="s">
        <v>25</v>
      </c>
      <c r="O2111" t="s">
        <v>26</v>
      </c>
      <c r="P2111" t="s">
        <v>27</v>
      </c>
      <c r="Q2111" t="s">
        <v>28</v>
      </c>
      <c r="R2111" t="s">
        <v>29</v>
      </c>
      <c r="S2111" t="s">
        <v>30</v>
      </c>
      <c r="T2111">
        <v>53139409</v>
      </c>
      <c r="U2111" t="s">
        <v>3944</v>
      </c>
      <c r="V2111" t="s">
        <v>3934</v>
      </c>
      <c r="W2111" s="9">
        <f>IF(V2111="pregrado",31,
IF(V2111="posgrados",31,
IF(V2111="rEINTEGROS",7,
IF(V2111="BIT",90,
IF(V2111="OP GRADO - INGLÉS",17,"")))))</f>
        <v>31</v>
      </c>
      <c r="X2111" t="s">
        <v>3955</v>
      </c>
    </row>
    <row r="2112" spans="1:24" ht="15" x14ac:dyDescent="0.35">
      <c r="A2112" s="4">
        <v>45923.677442129629</v>
      </c>
      <c r="B2112">
        <v>20097274</v>
      </c>
      <c r="C2112" s="5" t="s">
        <v>19</v>
      </c>
      <c r="D2112">
        <v>567134</v>
      </c>
      <c r="E2112" t="s">
        <v>20</v>
      </c>
      <c r="F2112">
        <v>1003123569</v>
      </c>
      <c r="G2112" t="s">
        <v>67</v>
      </c>
      <c r="H2112">
        <v>100231051</v>
      </c>
      <c r="I2112">
        <v>202610</v>
      </c>
      <c r="J2112">
        <v>1003123569</v>
      </c>
      <c r="K2112" t="s">
        <v>23</v>
      </c>
      <c r="L2112" t="s">
        <v>40</v>
      </c>
      <c r="M2112" t="s">
        <v>24</v>
      </c>
      <c r="N2112" t="s">
        <v>35</v>
      </c>
      <c r="O2112" t="s">
        <v>26</v>
      </c>
      <c r="P2112" t="s">
        <v>27</v>
      </c>
      <c r="Q2112" t="s">
        <v>28</v>
      </c>
      <c r="R2112" t="s">
        <v>29</v>
      </c>
      <c r="S2112" t="s">
        <v>30</v>
      </c>
      <c r="T2112">
        <v>1030525993</v>
      </c>
      <c r="U2112" t="s">
        <v>3933</v>
      </c>
      <c r="V2112" t="s">
        <v>3934</v>
      </c>
      <c r="W2112" s="9">
        <f>IF(V2112="pregrado",31,
IF(V2112="posgrados",31,
IF(V2112="rEINTEGROS",7,
IF(V2112="BIT",90,
IF(V2112="OP GRADO - INGLÉS",17,"")))))</f>
        <v>31</v>
      </c>
      <c r="X2112" t="s">
        <v>3956</v>
      </c>
    </row>
    <row r="2113" spans="1:24" ht="15" x14ac:dyDescent="0.35">
      <c r="A2113" s="4">
        <v>45926.419282407405</v>
      </c>
      <c r="B2113">
        <v>20097649</v>
      </c>
      <c r="C2113" s="5" t="s">
        <v>19</v>
      </c>
      <c r="D2113">
        <v>567150</v>
      </c>
      <c r="E2113" t="s">
        <v>20</v>
      </c>
      <c r="F2113">
        <v>1070589902</v>
      </c>
      <c r="G2113" t="s">
        <v>76</v>
      </c>
      <c r="H2113">
        <v>200046401</v>
      </c>
      <c r="I2113">
        <v>202631</v>
      </c>
      <c r="J2113">
        <v>1073157634</v>
      </c>
      <c r="K2113" t="s">
        <v>23</v>
      </c>
      <c r="L2113" t="s">
        <v>77</v>
      </c>
      <c r="M2113" t="s">
        <v>24</v>
      </c>
      <c r="N2113" t="s">
        <v>35</v>
      </c>
      <c r="O2113" t="s">
        <v>26</v>
      </c>
      <c r="P2113" t="s">
        <v>27</v>
      </c>
      <c r="Q2113" t="s">
        <v>28</v>
      </c>
      <c r="R2113" t="s">
        <v>29</v>
      </c>
      <c r="S2113" t="s">
        <v>30</v>
      </c>
      <c r="T2113">
        <v>1023975276</v>
      </c>
      <c r="U2113" t="s">
        <v>3963</v>
      </c>
      <c r="V2113" t="s">
        <v>3934</v>
      </c>
      <c r="W2113" s="9">
        <f>IF(V2113="pregrado",31,
IF(V2113="posgrados",31,
IF(V2113="rEINTEGROS",7,
IF(V2113="BIT",90,
IF(V2113="OP GRADO - INGLÉS",17,"")))))</f>
        <v>31</v>
      </c>
      <c r="X2113" t="s">
        <v>3962</v>
      </c>
    </row>
    <row r="2114" spans="1:24" ht="15" x14ac:dyDescent="0.35">
      <c r="A2114" s="4">
        <v>45988.655868055554</v>
      </c>
      <c r="B2114">
        <v>20105131</v>
      </c>
      <c r="C2114" s="6" t="s">
        <v>19</v>
      </c>
      <c r="D2114">
        <v>567172</v>
      </c>
      <c r="E2114" t="s">
        <v>20</v>
      </c>
      <c r="F2114">
        <v>53083534</v>
      </c>
      <c r="G2114" t="s">
        <v>621</v>
      </c>
      <c r="H2114">
        <v>100231086</v>
      </c>
      <c r="I2114">
        <v>202610</v>
      </c>
      <c r="J2114">
        <v>1033702614</v>
      </c>
      <c r="K2114" t="s">
        <v>33</v>
      </c>
      <c r="L2114" t="s">
        <v>37</v>
      </c>
      <c r="M2114" t="s">
        <v>24</v>
      </c>
      <c r="N2114" t="s">
        <v>25</v>
      </c>
      <c r="O2114" t="s">
        <v>26</v>
      </c>
      <c r="P2114" t="s">
        <v>27</v>
      </c>
      <c r="Q2114" t="s">
        <v>28</v>
      </c>
      <c r="R2114" t="s">
        <v>29</v>
      </c>
      <c r="S2114" t="s">
        <v>30</v>
      </c>
      <c r="T2114">
        <v>53178431</v>
      </c>
      <c r="U2114" t="s">
        <v>3941</v>
      </c>
      <c r="V2114" t="s">
        <v>3934</v>
      </c>
      <c r="W2114" s="9">
        <f>IF(V2114="pregrado",31,
IF(V2114="posgrados",31,
IF(V2114="rEINTEGROS",7,
IF(V2114="BIT",90,
IF(V2114="OP GRADO - INGLÉS",17,"")))))</f>
        <v>31</v>
      </c>
      <c r="X2114" t="s">
        <v>3949</v>
      </c>
    </row>
    <row r="2115" spans="1:24" ht="15" x14ac:dyDescent="0.35">
      <c r="A2115" s="4">
        <v>45968.520358796297</v>
      </c>
      <c r="B2115">
        <v>20103666</v>
      </c>
      <c r="C2115" s="5" t="s">
        <v>19</v>
      </c>
      <c r="D2115">
        <v>567236</v>
      </c>
      <c r="E2115" t="s">
        <v>20</v>
      </c>
      <c r="F2115">
        <v>1058821611</v>
      </c>
      <c r="G2115" t="s">
        <v>247</v>
      </c>
      <c r="H2115">
        <v>100231134</v>
      </c>
      <c r="I2115">
        <v>202631</v>
      </c>
      <c r="J2115">
        <v>1058821611</v>
      </c>
      <c r="K2115" t="s">
        <v>23</v>
      </c>
      <c r="L2115" t="s">
        <v>57</v>
      </c>
      <c r="M2115" t="s">
        <v>24</v>
      </c>
      <c r="N2115" t="s">
        <v>25</v>
      </c>
      <c r="O2115" t="s">
        <v>26</v>
      </c>
      <c r="P2115" t="s">
        <v>27</v>
      </c>
      <c r="Q2115" t="s">
        <v>28</v>
      </c>
      <c r="R2115" t="s">
        <v>29</v>
      </c>
      <c r="S2115" t="s">
        <v>30</v>
      </c>
      <c r="T2115">
        <v>53139409</v>
      </c>
      <c r="U2115" t="s">
        <v>3944</v>
      </c>
      <c r="V2115" t="s">
        <v>3934</v>
      </c>
      <c r="W2115" s="9">
        <f>IF(V2115="pregrado",31,
IF(V2115="posgrados",31,
IF(V2115="rEINTEGROS",7,
IF(V2115="BIT",90,
IF(V2115="OP GRADO - INGLÉS",17,"")))))</f>
        <v>31</v>
      </c>
      <c r="X2115" t="s">
        <v>3955</v>
      </c>
    </row>
    <row r="2116" spans="1:24" ht="15" x14ac:dyDescent="0.35">
      <c r="A2116" s="4">
        <v>45924.489560185182</v>
      </c>
      <c r="B2116">
        <v>20097368</v>
      </c>
      <c r="C2116" s="5" t="s">
        <v>19</v>
      </c>
      <c r="D2116">
        <v>567252</v>
      </c>
      <c r="E2116" t="s">
        <v>20</v>
      </c>
      <c r="F2116">
        <v>1076240521</v>
      </c>
      <c r="G2116" t="s">
        <v>70</v>
      </c>
      <c r="H2116">
        <v>100231149</v>
      </c>
      <c r="I2116">
        <v>202631</v>
      </c>
      <c r="J2116">
        <v>1076240521</v>
      </c>
      <c r="K2116" t="s">
        <v>33</v>
      </c>
      <c r="L2116" t="s">
        <v>65</v>
      </c>
      <c r="M2116" t="s">
        <v>24</v>
      </c>
      <c r="N2116" t="s">
        <v>38</v>
      </c>
      <c r="O2116" t="s">
        <v>26</v>
      </c>
      <c r="P2116" t="s">
        <v>27</v>
      </c>
      <c r="Q2116" t="s">
        <v>28</v>
      </c>
      <c r="R2116" t="s">
        <v>29</v>
      </c>
      <c r="S2116" t="s">
        <v>30</v>
      </c>
      <c r="T2116">
        <v>1001171202</v>
      </c>
      <c r="U2116" t="s">
        <v>3933</v>
      </c>
      <c r="V2116" t="s">
        <v>3934</v>
      </c>
      <c r="W2116" s="9">
        <f>IF(V2116="pregrado",31,
IF(V2116="posgrados",31,
IF(V2116="rEINTEGROS",7,
IF(V2116="BIT",90,
IF(V2116="OP GRADO - INGLÉS",17,"")))))</f>
        <v>31</v>
      </c>
      <c r="X2116" t="s">
        <v>3958</v>
      </c>
    </row>
    <row r="2117" spans="1:24" ht="15" x14ac:dyDescent="0.35">
      <c r="A2117" s="4">
        <v>46053.501747685186</v>
      </c>
      <c r="B2117">
        <v>20119285</v>
      </c>
      <c r="C2117" s="6" t="s">
        <v>19</v>
      </c>
      <c r="D2117">
        <v>567291</v>
      </c>
      <c r="E2117" t="s">
        <v>20</v>
      </c>
      <c r="F2117">
        <v>1014259939</v>
      </c>
      <c r="G2117" t="s">
        <v>2626</v>
      </c>
      <c r="H2117">
        <v>100131286</v>
      </c>
      <c r="I2117">
        <v>202631</v>
      </c>
      <c r="J2117">
        <v>1014259939</v>
      </c>
      <c r="K2117" t="s">
        <v>89</v>
      </c>
      <c r="L2117" t="s">
        <v>231</v>
      </c>
      <c r="M2117" t="s">
        <v>24</v>
      </c>
      <c r="N2117" t="s">
        <v>35</v>
      </c>
      <c r="O2117" t="s">
        <v>26</v>
      </c>
      <c r="P2117" t="s">
        <v>27</v>
      </c>
      <c r="Q2117" t="s">
        <v>28</v>
      </c>
      <c r="R2117" t="s">
        <v>29</v>
      </c>
      <c r="S2117" t="s">
        <v>30</v>
      </c>
      <c r="T2117">
        <v>1019102787</v>
      </c>
      <c r="U2117" t="s">
        <v>3977</v>
      </c>
      <c r="V2117" t="s">
        <v>3970</v>
      </c>
      <c r="W2117" s="9">
        <f>IF(V2117="pregrado",31,
IF(V2117="posgrados",31,
IF(V2117="rEINTEGROS",7,
IF(V2117="BIT",90,
IF(V2117="OP GRADO - INGLÉS",17,"")))))</f>
        <v>7</v>
      </c>
      <c r="X2117" t="s">
        <v>3976</v>
      </c>
    </row>
    <row r="2118" spans="1:24" ht="15" x14ac:dyDescent="0.35">
      <c r="A2118" s="4">
        <v>45926.422268518516</v>
      </c>
      <c r="B2118">
        <v>20097650</v>
      </c>
      <c r="C2118" s="5" t="s">
        <v>19</v>
      </c>
      <c r="D2118">
        <v>567328</v>
      </c>
      <c r="E2118" t="s">
        <v>20</v>
      </c>
      <c r="F2118">
        <v>35527901</v>
      </c>
      <c r="G2118" t="s">
        <v>78</v>
      </c>
      <c r="H2118">
        <v>100231229</v>
      </c>
      <c r="I2118">
        <v>202610</v>
      </c>
      <c r="J2118">
        <v>1034661064</v>
      </c>
      <c r="K2118" t="s">
        <v>23</v>
      </c>
      <c r="L2118" t="s">
        <v>79</v>
      </c>
      <c r="M2118" t="s">
        <v>24</v>
      </c>
      <c r="N2118" t="s">
        <v>35</v>
      </c>
      <c r="O2118" t="s">
        <v>26</v>
      </c>
      <c r="P2118" t="s">
        <v>27</v>
      </c>
      <c r="Q2118" t="s">
        <v>28</v>
      </c>
      <c r="R2118" t="s">
        <v>29</v>
      </c>
      <c r="S2118" t="s">
        <v>30</v>
      </c>
      <c r="T2118">
        <v>1007709034</v>
      </c>
      <c r="U2118" t="s">
        <v>3965</v>
      </c>
      <c r="V2118" t="s">
        <v>3934</v>
      </c>
      <c r="W2118" s="9">
        <f>IF(V2118="pregrado",31,
IF(V2118="posgrados",31,
IF(V2118="rEINTEGROS",7,
IF(V2118="BIT",90,
IF(V2118="OP GRADO - INGLÉS",17,"")))))</f>
        <v>31</v>
      </c>
      <c r="X2118" t="s">
        <v>3964</v>
      </c>
    </row>
    <row r="2119" spans="1:24" ht="15" x14ac:dyDescent="0.35">
      <c r="A2119" s="4">
        <v>45930.456712962965</v>
      </c>
      <c r="B2119">
        <v>20098087</v>
      </c>
      <c r="C2119" s="5" t="s">
        <v>19</v>
      </c>
      <c r="D2119">
        <v>567341</v>
      </c>
      <c r="E2119" t="s">
        <v>20</v>
      </c>
      <c r="F2119">
        <v>1020717279</v>
      </c>
      <c r="G2119" t="s">
        <v>92</v>
      </c>
      <c r="H2119">
        <v>100231246</v>
      </c>
      <c r="I2119">
        <v>202610</v>
      </c>
      <c r="J2119">
        <v>1020717279</v>
      </c>
      <c r="K2119" t="s">
        <v>23</v>
      </c>
      <c r="L2119" t="s">
        <v>40</v>
      </c>
      <c r="M2119" t="s">
        <v>24</v>
      </c>
      <c r="N2119" t="s">
        <v>35</v>
      </c>
      <c r="O2119" t="s">
        <v>26</v>
      </c>
      <c r="P2119" t="s">
        <v>27</v>
      </c>
      <c r="Q2119" t="s">
        <v>28</v>
      </c>
      <c r="R2119" t="s">
        <v>29</v>
      </c>
      <c r="S2119" t="s">
        <v>30</v>
      </c>
      <c r="T2119">
        <v>1000120140</v>
      </c>
      <c r="U2119" t="s">
        <v>3936</v>
      </c>
      <c r="V2119" t="s">
        <v>3937</v>
      </c>
      <c r="W2119" s="9">
        <f>IF(V2119="pregrado",31,
IF(V2119="posgrados",31,
IF(V2119="rEINTEGROS",7,
IF(V2119="BIT",90,
IF(V2119="OP GRADO - INGLÉS",17,"")))))</f>
        <v>31</v>
      </c>
      <c r="X2119" t="s">
        <v>3935</v>
      </c>
    </row>
    <row r="2120" spans="1:24" ht="15" x14ac:dyDescent="0.35">
      <c r="A2120" s="4">
        <v>45945.669062499997</v>
      </c>
      <c r="B2120">
        <v>20100470</v>
      </c>
      <c r="C2120" s="5" t="s">
        <v>19</v>
      </c>
      <c r="D2120">
        <v>567363</v>
      </c>
      <c r="E2120" t="s">
        <v>20</v>
      </c>
      <c r="F2120">
        <v>79139937</v>
      </c>
      <c r="G2120" t="s">
        <v>135</v>
      </c>
      <c r="H2120">
        <v>100231266</v>
      </c>
      <c r="I2120">
        <v>202610</v>
      </c>
      <c r="J2120">
        <v>1011099152</v>
      </c>
      <c r="K2120" t="s">
        <v>23</v>
      </c>
      <c r="L2120" t="s">
        <v>40</v>
      </c>
      <c r="M2120" t="s">
        <v>24</v>
      </c>
      <c r="N2120" t="s">
        <v>35</v>
      </c>
      <c r="O2120" t="s">
        <v>26</v>
      </c>
      <c r="P2120" t="s">
        <v>27</v>
      </c>
      <c r="Q2120" t="s">
        <v>28</v>
      </c>
      <c r="R2120" t="s">
        <v>29</v>
      </c>
      <c r="S2120" t="s">
        <v>30</v>
      </c>
      <c r="T2120">
        <v>1015478965</v>
      </c>
      <c r="U2120" t="s">
        <v>3944</v>
      </c>
      <c r="V2120" t="s">
        <v>3934</v>
      </c>
      <c r="W2120" s="9">
        <f>IF(V2120="pregrado",31,
IF(V2120="posgrados",31,
IF(V2120="rEINTEGROS",7,
IF(V2120="BIT",90,
IF(V2120="OP GRADO - INGLÉS",17,"")))))</f>
        <v>31</v>
      </c>
      <c r="X2120" t="s">
        <v>3979</v>
      </c>
    </row>
    <row r="2121" spans="1:24" ht="15" x14ac:dyDescent="0.35">
      <c r="A2121" s="4">
        <v>45927.498136574075</v>
      </c>
      <c r="B2121">
        <v>20097825</v>
      </c>
      <c r="C2121" s="5" t="s">
        <v>19</v>
      </c>
      <c r="D2121">
        <v>567399</v>
      </c>
      <c r="E2121" t="s">
        <v>20</v>
      </c>
      <c r="F2121">
        <v>1126098886</v>
      </c>
      <c r="G2121" t="s">
        <v>88</v>
      </c>
      <c r="H2121">
        <v>100105153</v>
      </c>
      <c r="I2121">
        <v>202631</v>
      </c>
      <c r="J2121">
        <v>1126098886</v>
      </c>
      <c r="K2121" t="s">
        <v>89</v>
      </c>
      <c r="L2121" t="s">
        <v>90</v>
      </c>
      <c r="M2121" t="s">
        <v>24</v>
      </c>
      <c r="N2121" t="s">
        <v>38</v>
      </c>
      <c r="O2121" t="s">
        <v>26</v>
      </c>
      <c r="P2121" t="s">
        <v>27</v>
      </c>
      <c r="Q2121" t="s">
        <v>28</v>
      </c>
      <c r="R2121" t="s">
        <v>29</v>
      </c>
      <c r="S2121" t="s">
        <v>30</v>
      </c>
      <c r="T2121">
        <v>1023899450</v>
      </c>
      <c r="U2121" t="s">
        <v>3969</v>
      </c>
      <c r="V2121" t="s">
        <v>3970</v>
      </c>
      <c r="W2121" s="9">
        <f>IF(V2121="pregrado",31,
IF(V2121="posgrados",31,
IF(V2121="rEINTEGROS",7,
IF(V2121="BIT",90,
IF(V2121="OP GRADO - INGLÉS",17,"")))))</f>
        <v>7</v>
      </c>
      <c r="X2121" t="s">
        <v>3969</v>
      </c>
    </row>
    <row r="2122" spans="1:24" ht="15" x14ac:dyDescent="0.35">
      <c r="A2122" s="4">
        <v>45932.568391203706</v>
      </c>
      <c r="B2122">
        <v>20098642</v>
      </c>
      <c r="C2122" s="5" t="s">
        <v>19</v>
      </c>
      <c r="D2122">
        <v>567413</v>
      </c>
      <c r="E2122" t="s">
        <v>20</v>
      </c>
      <c r="F2122">
        <v>39749189</v>
      </c>
      <c r="G2122" t="s">
        <v>102</v>
      </c>
      <c r="H2122">
        <v>100230694</v>
      </c>
      <c r="I2122">
        <v>202610</v>
      </c>
      <c r="J2122">
        <v>1016006537</v>
      </c>
      <c r="K2122" t="s">
        <v>23</v>
      </c>
      <c r="L2122" t="s">
        <v>49</v>
      </c>
      <c r="M2122" t="s">
        <v>24</v>
      </c>
      <c r="N2122" t="s">
        <v>35</v>
      </c>
      <c r="O2122" t="s">
        <v>26</v>
      </c>
      <c r="P2122" t="s">
        <v>27</v>
      </c>
      <c r="Q2122" t="s">
        <v>28</v>
      </c>
      <c r="R2122" t="s">
        <v>29</v>
      </c>
      <c r="S2122" t="s">
        <v>30</v>
      </c>
      <c r="T2122">
        <v>53139409</v>
      </c>
      <c r="U2122" t="s">
        <v>3944</v>
      </c>
      <c r="V2122" t="s">
        <v>3934</v>
      </c>
      <c r="W2122" s="9">
        <f>IF(V2122="pregrado",31,
IF(V2122="posgrados",31,
IF(V2122="rEINTEGROS",7,
IF(V2122="BIT",90,
IF(V2122="OP GRADO - INGLÉS",17,"")))))</f>
        <v>31</v>
      </c>
      <c r="X2122" t="s">
        <v>3955</v>
      </c>
    </row>
    <row r="2123" spans="1:24" ht="15" x14ac:dyDescent="0.35">
      <c r="A2123" s="4">
        <v>45926.657349537039</v>
      </c>
      <c r="B2123">
        <v>20097721</v>
      </c>
      <c r="C2123" s="5" t="s">
        <v>19</v>
      </c>
      <c r="D2123">
        <v>567449</v>
      </c>
      <c r="E2123" t="s">
        <v>20</v>
      </c>
      <c r="F2123">
        <v>1192782073</v>
      </c>
      <c r="G2123" t="s">
        <v>82</v>
      </c>
      <c r="H2123">
        <v>100204359</v>
      </c>
      <c r="I2123">
        <v>202631</v>
      </c>
      <c r="J2123">
        <v>1192782073</v>
      </c>
      <c r="K2123" t="s">
        <v>83</v>
      </c>
      <c r="L2123" t="s">
        <v>42</v>
      </c>
      <c r="M2123" t="s">
        <v>24</v>
      </c>
      <c r="N2123" t="s">
        <v>25</v>
      </c>
      <c r="O2123" t="s">
        <v>26</v>
      </c>
      <c r="P2123" t="s">
        <v>27</v>
      </c>
      <c r="Q2123" t="s">
        <v>28</v>
      </c>
      <c r="R2123" t="s">
        <v>29</v>
      </c>
      <c r="S2123" t="s">
        <v>30</v>
      </c>
      <c r="T2123">
        <v>53139409</v>
      </c>
      <c r="U2123" t="s">
        <v>3944</v>
      </c>
      <c r="V2123" t="s">
        <v>3934</v>
      </c>
      <c r="W2123" s="9">
        <f>IF(V2123="pregrado",31,
IF(V2123="posgrados",31,
IF(V2123="rEINTEGROS",7,
IF(V2123="BIT",90,
IF(V2123="OP GRADO - INGLÉS",17,"")))))</f>
        <v>31</v>
      </c>
      <c r="X2123" t="s">
        <v>3955</v>
      </c>
    </row>
    <row r="2124" spans="1:24" ht="15" x14ac:dyDescent="0.35">
      <c r="A2124" s="4">
        <v>45927.481446759259</v>
      </c>
      <c r="B2124">
        <v>20097819</v>
      </c>
      <c r="C2124" s="5" t="s">
        <v>19</v>
      </c>
      <c r="D2124">
        <v>567496</v>
      </c>
      <c r="E2124" t="s">
        <v>20</v>
      </c>
      <c r="F2124">
        <v>1000379983</v>
      </c>
      <c r="G2124" t="s">
        <v>85</v>
      </c>
      <c r="H2124">
        <v>100231409</v>
      </c>
      <c r="I2124">
        <v>202631</v>
      </c>
      <c r="J2124">
        <v>1000379983</v>
      </c>
      <c r="K2124" t="s">
        <v>23</v>
      </c>
      <c r="L2124" t="s">
        <v>86</v>
      </c>
      <c r="M2124" t="s">
        <v>87</v>
      </c>
      <c r="N2124" t="s">
        <v>35</v>
      </c>
      <c r="O2124" t="s">
        <v>26</v>
      </c>
      <c r="P2124" t="s">
        <v>27</v>
      </c>
      <c r="Q2124" t="s">
        <v>28</v>
      </c>
      <c r="R2124" t="s">
        <v>29</v>
      </c>
      <c r="S2124" t="s">
        <v>30</v>
      </c>
      <c r="T2124">
        <v>1030525993</v>
      </c>
      <c r="U2124" t="s">
        <v>3933</v>
      </c>
      <c r="V2124" t="s">
        <v>3934</v>
      </c>
      <c r="W2124" s="9">
        <f>IF(V2124="pregrado",31,
IF(V2124="posgrados",31,
IF(V2124="rEINTEGROS",7,
IF(V2124="BIT",90,
IF(V2124="OP GRADO - INGLÉS",17,"")))))</f>
        <v>31</v>
      </c>
      <c r="X2124" t="s">
        <v>3956</v>
      </c>
    </row>
    <row r="2125" spans="1:24" ht="15" x14ac:dyDescent="0.35">
      <c r="A2125" s="4">
        <v>45986.399768518517</v>
      </c>
      <c r="B2125">
        <v>20104765</v>
      </c>
      <c r="C2125" s="5" t="s">
        <v>19</v>
      </c>
      <c r="D2125">
        <v>567515</v>
      </c>
      <c r="E2125" t="s">
        <v>20</v>
      </c>
      <c r="F2125">
        <v>1002233405</v>
      </c>
      <c r="G2125" t="s">
        <v>516</v>
      </c>
      <c r="H2125">
        <v>100231429</v>
      </c>
      <c r="I2125">
        <v>202631</v>
      </c>
      <c r="J2125">
        <v>1002233405</v>
      </c>
      <c r="K2125" t="s">
        <v>23</v>
      </c>
      <c r="L2125" t="s">
        <v>32</v>
      </c>
      <c r="M2125" t="s">
        <v>24</v>
      </c>
      <c r="N2125" t="s">
        <v>35</v>
      </c>
      <c r="O2125" t="s">
        <v>26</v>
      </c>
      <c r="P2125" t="s">
        <v>27</v>
      </c>
      <c r="Q2125" t="s">
        <v>28</v>
      </c>
      <c r="R2125" t="s">
        <v>29</v>
      </c>
      <c r="S2125" t="s">
        <v>30</v>
      </c>
      <c r="T2125">
        <v>11001273124</v>
      </c>
      <c r="U2125" t="s">
        <v>3944</v>
      </c>
      <c r="V2125" t="s">
        <v>3934</v>
      </c>
      <c r="W2125" s="9">
        <f>IF(V2125="pregrado",31,
IF(V2125="posgrados",31,
IF(V2125="rEINTEGROS",7,
IF(V2125="BIT",90,
IF(V2125="OP GRADO - INGLÉS",17,"")))))</f>
        <v>31</v>
      </c>
      <c r="X2125" t="s">
        <v>3951</v>
      </c>
    </row>
    <row r="2126" spans="1:24" ht="15" x14ac:dyDescent="0.35">
      <c r="A2126" s="4">
        <v>45930.564212962963</v>
      </c>
      <c r="B2126">
        <v>20098145</v>
      </c>
      <c r="C2126" s="5" t="s">
        <v>19</v>
      </c>
      <c r="D2126">
        <v>567560</v>
      </c>
      <c r="E2126" t="s">
        <v>20</v>
      </c>
      <c r="F2126">
        <v>1000049322</v>
      </c>
      <c r="G2126" t="s">
        <v>97</v>
      </c>
      <c r="H2126">
        <v>100231481</v>
      </c>
      <c r="I2126">
        <v>202610</v>
      </c>
      <c r="J2126">
        <v>1000049322</v>
      </c>
      <c r="K2126" t="s">
        <v>23</v>
      </c>
      <c r="L2126" t="s">
        <v>40</v>
      </c>
      <c r="M2126" t="s">
        <v>24</v>
      </c>
      <c r="N2126" t="s">
        <v>35</v>
      </c>
      <c r="O2126" t="s">
        <v>26</v>
      </c>
      <c r="P2126" t="s">
        <v>27</v>
      </c>
      <c r="Q2126" t="s">
        <v>28</v>
      </c>
      <c r="R2126" t="s">
        <v>29</v>
      </c>
      <c r="S2126" t="s">
        <v>30</v>
      </c>
      <c r="T2126">
        <v>1030662450</v>
      </c>
      <c r="U2126" t="s">
        <v>3941</v>
      </c>
      <c r="V2126" t="s">
        <v>3934</v>
      </c>
      <c r="W2126" s="9">
        <f>IF(V2126="pregrado",31,
IF(V2126="posgrados",31,
IF(V2126="rEINTEGROS",7,
IF(V2126="BIT",90,
IF(V2126="OP GRADO - INGLÉS",17,"")))))</f>
        <v>31</v>
      </c>
      <c r="X2126" t="s">
        <v>3973</v>
      </c>
    </row>
    <row r="2127" spans="1:24" ht="15" x14ac:dyDescent="0.35">
      <c r="A2127" s="4">
        <v>45930.538113425922</v>
      </c>
      <c r="B2127">
        <v>20098135</v>
      </c>
      <c r="C2127" s="5" t="s">
        <v>19</v>
      </c>
      <c r="D2127">
        <v>567593</v>
      </c>
      <c r="E2127" t="s">
        <v>20</v>
      </c>
      <c r="F2127">
        <v>79132102</v>
      </c>
      <c r="G2127" t="s">
        <v>95</v>
      </c>
      <c r="H2127">
        <v>100231510</v>
      </c>
      <c r="I2127">
        <v>202610</v>
      </c>
      <c r="J2127">
        <v>1011097986</v>
      </c>
      <c r="K2127" t="s">
        <v>23</v>
      </c>
      <c r="L2127" t="s">
        <v>96</v>
      </c>
      <c r="M2127" t="s">
        <v>24</v>
      </c>
      <c r="N2127" t="s">
        <v>35</v>
      </c>
      <c r="O2127" t="s">
        <v>26</v>
      </c>
      <c r="P2127" t="s">
        <v>27</v>
      </c>
      <c r="Q2127" t="s">
        <v>28</v>
      </c>
      <c r="R2127" t="s">
        <v>29</v>
      </c>
      <c r="S2127" t="s">
        <v>30</v>
      </c>
      <c r="T2127">
        <v>1000120140</v>
      </c>
      <c r="U2127" t="s">
        <v>3936</v>
      </c>
      <c r="V2127" t="s">
        <v>3937</v>
      </c>
      <c r="W2127" s="9">
        <f>IF(V2127="pregrado",31,
IF(V2127="posgrados",31,
IF(V2127="rEINTEGROS",7,
IF(V2127="BIT",90,
IF(V2127="OP GRADO - INGLÉS",17,"")))))</f>
        <v>31</v>
      </c>
      <c r="X2127" t="s">
        <v>3935</v>
      </c>
    </row>
    <row r="2128" spans="1:24" ht="15" x14ac:dyDescent="0.35">
      <c r="A2128" s="4">
        <v>45929.756111111114</v>
      </c>
      <c r="B2128">
        <v>20098016</v>
      </c>
      <c r="C2128" s="5" t="s">
        <v>19</v>
      </c>
      <c r="D2128">
        <v>567622</v>
      </c>
      <c r="E2128" t="s">
        <v>20</v>
      </c>
      <c r="F2128">
        <v>51665311</v>
      </c>
      <c r="G2128" t="s">
        <v>91</v>
      </c>
      <c r="H2128">
        <v>100231539</v>
      </c>
      <c r="I2128">
        <v>202610</v>
      </c>
      <c r="J2128">
        <v>1019988913</v>
      </c>
      <c r="K2128" t="s">
        <v>23</v>
      </c>
      <c r="L2128" t="s">
        <v>37</v>
      </c>
      <c r="M2128" t="s">
        <v>24</v>
      </c>
      <c r="N2128" t="s">
        <v>25</v>
      </c>
      <c r="O2128" t="s">
        <v>26</v>
      </c>
      <c r="P2128" t="s">
        <v>27</v>
      </c>
      <c r="Q2128" t="s">
        <v>28</v>
      </c>
      <c r="R2128" t="s">
        <v>29</v>
      </c>
      <c r="S2128" t="s">
        <v>30</v>
      </c>
      <c r="T2128">
        <v>1070324945</v>
      </c>
      <c r="U2128" t="s">
        <v>3944</v>
      </c>
      <c r="V2128" t="s">
        <v>3934</v>
      </c>
      <c r="W2128" s="9">
        <f>IF(V2128="pregrado",31,
IF(V2128="posgrados",31,
IF(V2128="rEINTEGROS",7,
IF(V2128="BIT",90,
IF(V2128="OP GRADO - INGLÉS",17,"")))))</f>
        <v>31</v>
      </c>
      <c r="X2128" t="s">
        <v>3971</v>
      </c>
    </row>
    <row r="2129" spans="1:24" ht="15" x14ac:dyDescent="0.35">
      <c r="A2129" s="4">
        <v>45931.412905092591</v>
      </c>
      <c r="B2129">
        <v>20098301</v>
      </c>
      <c r="C2129" s="5" t="s">
        <v>19</v>
      </c>
      <c r="D2129">
        <v>567648</v>
      </c>
      <c r="E2129" t="s">
        <v>20</v>
      </c>
      <c r="F2129">
        <v>1029644059</v>
      </c>
      <c r="G2129" t="s">
        <v>100</v>
      </c>
      <c r="H2129">
        <v>100231563</v>
      </c>
      <c r="I2129">
        <v>202631</v>
      </c>
      <c r="J2129">
        <v>1029644059</v>
      </c>
      <c r="K2129" t="s">
        <v>23</v>
      </c>
      <c r="L2129" t="s">
        <v>101</v>
      </c>
      <c r="M2129" t="s">
        <v>24</v>
      </c>
      <c r="N2129" t="s">
        <v>25</v>
      </c>
      <c r="O2129" t="s">
        <v>26</v>
      </c>
      <c r="P2129" t="s">
        <v>27</v>
      </c>
      <c r="Q2129" t="s">
        <v>28</v>
      </c>
      <c r="R2129" t="s">
        <v>29</v>
      </c>
      <c r="S2129" t="s">
        <v>30</v>
      </c>
      <c r="T2129">
        <v>1000120140</v>
      </c>
      <c r="U2129" t="s">
        <v>3936</v>
      </c>
      <c r="V2129" t="s">
        <v>3937</v>
      </c>
      <c r="W2129" s="9">
        <f>IF(V2129="pregrado",31,
IF(V2129="posgrados",31,
IF(V2129="rEINTEGROS",7,
IF(V2129="BIT",90,
IF(V2129="OP GRADO - INGLÉS",17,"")))))</f>
        <v>31</v>
      </c>
      <c r="X2129" t="s">
        <v>3935</v>
      </c>
    </row>
    <row r="2130" spans="1:24" ht="15" x14ac:dyDescent="0.35">
      <c r="A2130" s="4">
        <v>45982.550555555557</v>
      </c>
      <c r="B2130">
        <v>20104588</v>
      </c>
      <c r="C2130" s="5" t="s">
        <v>19</v>
      </c>
      <c r="D2130">
        <v>567668</v>
      </c>
      <c r="E2130" t="s">
        <v>20</v>
      </c>
      <c r="F2130">
        <v>1017172143</v>
      </c>
      <c r="G2130" t="s">
        <v>468</v>
      </c>
      <c r="H2130">
        <v>100231578</v>
      </c>
      <c r="I2130">
        <v>202631</v>
      </c>
      <c r="J2130">
        <v>1017172143</v>
      </c>
      <c r="K2130" t="s">
        <v>23</v>
      </c>
      <c r="L2130" t="s">
        <v>51</v>
      </c>
      <c r="M2130" t="s">
        <v>24</v>
      </c>
      <c r="N2130" t="s">
        <v>35</v>
      </c>
      <c r="O2130" t="s">
        <v>26</v>
      </c>
      <c r="P2130" t="s">
        <v>27</v>
      </c>
      <c r="Q2130" t="s">
        <v>28</v>
      </c>
      <c r="R2130" t="s">
        <v>29</v>
      </c>
      <c r="S2130" t="s">
        <v>30</v>
      </c>
      <c r="T2130">
        <v>1031147887</v>
      </c>
      <c r="U2130" t="s">
        <v>3948</v>
      </c>
      <c r="V2130" t="s">
        <v>3937</v>
      </c>
      <c r="W2130" s="9">
        <f>IF(V2130="pregrado",31,
IF(V2130="posgrados",31,
IF(V2130="rEINTEGROS",7,
IF(V2130="BIT",90,
IF(V2130="OP GRADO - INGLÉS",17,"")))))</f>
        <v>31</v>
      </c>
      <c r="X2130" t="s">
        <v>3947</v>
      </c>
    </row>
    <row r="2131" spans="1:24" ht="15" x14ac:dyDescent="0.35">
      <c r="A2131" s="4">
        <v>45936.661412037036</v>
      </c>
      <c r="B2131">
        <v>20099093</v>
      </c>
      <c r="C2131" s="5" t="s">
        <v>19</v>
      </c>
      <c r="D2131">
        <v>567738</v>
      </c>
      <c r="E2131" t="s">
        <v>20</v>
      </c>
      <c r="F2131">
        <v>1003691104</v>
      </c>
      <c r="G2131" t="s">
        <v>104</v>
      </c>
      <c r="H2131">
        <v>100231652</v>
      </c>
      <c r="I2131">
        <v>202610</v>
      </c>
      <c r="J2131">
        <v>1003691104</v>
      </c>
      <c r="K2131" t="s">
        <v>23</v>
      </c>
      <c r="L2131" t="s">
        <v>79</v>
      </c>
      <c r="M2131" t="s">
        <v>24</v>
      </c>
      <c r="N2131" t="s">
        <v>35</v>
      </c>
      <c r="O2131" t="s">
        <v>26</v>
      </c>
      <c r="P2131" t="s">
        <v>27</v>
      </c>
      <c r="Q2131" t="s">
        <v>28</v>
      </c>
      <c r="R2131" t="s">
        <v>29</v>
      </c>
      <c r="S2131" t="s">
        <v>30</v>
      </c>
      <c r="T2131">
        <v>1007709034</v>
      </c>
      <c r="U2131" t="s">
        <v>3965</v>
      </c>
      <c r="V2131" t="s">
        <v>3934</v>
      </c>
      <c r="W2131" s="9">
        <f>IF(V2131="pregrado",31,
IF(V2131="posgrados",31,
IF(V2131="rEINTEGROS",7,
IF(V2131="BIT",90,
IF(V2131="OP GRADO - INGLÉS",17,"")))))</f>
        <v>31</v>
      </c>
      <c r="X2131" t="s">
        <v>3964</v>
      </c>
    </row>
    <row r="2132" spans="1:24" ht="15" x14ac:dyDescent="0.35">
      <c r="A2132" s="4">
        <v>45961.493252314816</v>
      </c>
      <c r="B2132">
        <v>20103125</v>
      </c>
      <c r="C2132" s="5" t="s">
        <v>19</v>
      </c>
      <c r="D2132">
        <v>567804</v>
      </c>
      <c r="E2132" t="s">
        <v>20</v>
      </c>
      <c r="F2132">
        <v>1006554524</v>
      </c>
      <c r="G2132" t="s">
        <v>198</v>
      </c>
      <c r="H2132">
        <v>100065182</v>
      </c>
      <c r="I2132">
        <v>202631</v>
      </c>
      <c r="J2132">
        <v>1006554524</v>
      </c>
      <c r="K2132" t="s">
        <v>89</v>
      </c>
      <c r="L2132" t="s">
        <v>127</v>
      </c>
      <c r="M2132" t="s">
        <v>24</v>
      </c>
      <c r="N2132" t="s">
        <v>25</v>
      </c>
      <c r="O2132" t="s">
        <v>26</v>
      </c>
      <c r="P2132" t="s">
        <v>27</v>
      </c>
      <c r="Q2132" t="s">
        <v>28</v>
      </c>
      <c r="R2132" t="s">
        <v>29</v>
      </c>
      <c r="S2132" t="s">
        <v>30</v>
      </c>
      <c r="T2132">
        <v>1023899450</v>
      </c>
      <c r="U2132" t="s">
        <v>3977</v>
      </c>
      <c r="V2132" t="s">
        <v>3970</v>
      </c>
      <c r="W2132" s="9">
        <f>IF(V2132="pregrado",31,
IF(V2132="posgrados",31,
IF(V2132="rEINTEGROS",7,
IF(V2132="BIT",90,
IF(V2132="OP GRADO - INGLÉS",17,"")))))</f>
        <v>7</v>
      </c>
      <c r="X2132" t="s">
        <v>3969</v>
      </c>
    </row>
    <row r="2133" spans="1:24" ht="15" x14ac:dyDescent="0.35">
      <c r="A2133" s="4">
        <v>45934.483414351853</v>
      </c>
      <c r="B2133">
        <v>20098978</v>
      </c>
      <c r="C2133" s="5" t="s">
        <v>19</v>
      </c>
      <c r="D2133">
        <v>568034</v>
      </c>
      <c r="E2133" t="s">
        <v>20</v>
      </c>
      <c r="F2133">
        <v>1053344237</v>
      </c>
      <c r="G2133" t="s">
        <v>103</v>
      </c>
      <c r="H2133">
        <v>100231976</v>
      </c>
      <c r="I2133">
        <v>202631</v>
      </c>
      <c r="J2133">
        <v>1053344237</v>
      </c>
      <c r="K2133" t="s">
        <v>23</v>
      </c>
      <c r="L2133" t="s">
        <v>32</v>
      </c>
      <c r="M2133" t="s">
        <v>24</v>
      </c>
      <c r="N2133" t="s">
        <v>35</v>
      </c>
      <c r="O2133" t="s">
        <v>26</v>
      </c>
      <c r="P2133" t="s">
        <v>27</v>
      </c>
      <c r="Q2133" t="s">
        <v>28</v>
      </c>
      <c r="R2133" t="s">
        <v>29</v>
      </c>
      <c r="S2133" t="s">
        <v>30</v>
      </c>
      <c r="T2133">
        <v>1000120140</v>
      </c>
      <c r="U2133" t="s">
        <v>3936</v>
      </c>
      <c r="V2133" t="s">
        <v>3937</v>
      </c>
      <c r="W2133" s="9">
        <f>IF(V2133="pregrado",31,
IF(V2133="posgrados",31,
IF(V2133="rEINTEGROS",7,
IF(V2133="BIT",90,
IF(V2133="OP GRADO - INGLÉS",17,"")))))</f>
        <v>31</v>
      </c>
      <c r="X2133" t="s">
        <v>3935</v>
      </c>
    </row>
    <row r="2134" spans="1:24" ht="15" x14ac:dyDescent="0.35">
      <c r="A2134" s="4">
        <v>45938.443854166668</v>
      </c>
      <c r="B2134">
        <v>20099400</v>
      </c>
      <c r="C2134" s="5" t="s">
        <v>19</v>
      </c>
      <c r="D2134">
        <v>568035</v>
      </c>
      <c r="E2134" t="s">
        <v>20</v>
      </c>
      <c r="F2134">
        <v>1026150187</v>
      </c>
      <c r="G2134" t="s">
        <v>116</v>
      </c>
      <c r="H2134">
        <v>100231939</v>
      </c>
      <c r="I2134">
        <v>202631</v>
      </c>
      <c r="J2134">
        <v>1026134166</v>
      </c>
      <c r="K2134" t="s">
        <v>33</v>
      </c>
      <c r="L2134" t="s">
        <v>51</v>
      </c>
      <c r="M2134" t="s">
        <v>24</v>
      </c>
      <c r="N2134" t="s">
        <v>25</v>
      </c>
      <c r="O2134" t="s">
        <v>26</v>
      </c>
      <c r="P2134" t="s">
        <v>27</v>
      </c>
      <c r="Q2134" t="s">
        <v>28</v>
      </c>
      <c r="R2134" t="s">
        <v>29</v>
      </c>
      <c r="S2134" t="s">
        <v>30</v>
      </c>
      <c r="T2134">
        <v>1000120140</v>
      </c>
      <c r="U2134" t="s">
        <v>3936</v>
      </c>
      <c r="V2134" t="s">
        <v>3937</v>
      </c>
      <c r="W2134" s="9">
        <f>IF(V2134="pregrado",31,
IF(V2134="posgrados",31,
IF(V2134="rEINTEGROS",7,
IF(V2134="BIT",90,
IF(V2134="OP GRADO - INGLÉS",17,"")))))</f>
        <v>31</v>
      </c>
      <c r="X2134" t="s">
        <v>3935</v>
      </c>
    </row>
    <row r="2135" spans="1:24" ht="15" x14ac:dyDescent="0.35">
      <c r="A2135" s="4">
        <v>45936.927974537037</v>
      </c>
      <c r="B2135">
        <v>20099149</v>
      </c>
      <c r="C2135" s="5" t="s">
        <v>19</v>
      </c>
      <c r="D2135">
        <v>568093</v>
      </c>
      <c r="E2135" t="s">
        <v>20</v>
      </c>
      <c r="F2135">
        <v>1007297410</v>
      </c>
      <c r="G2135" t="s">
        <v>108</v>
      </c>
      <c r="H2135">
        <v>100153865</v>
      </c>
      <c r="I2135">
        <v>202631</v>
      </c>
      <c r="J2135">
        <v>1007297410</v>
      </c>
      <c r="K2135" t="s">
        <v>89</v>
      </c>
      <c r="L2135" t="s">
        <v>32</v>
      </c>
      <c r="M2135" t="s">
        <v>24</v>
      </c>
      <c r="N2135" t="s">
        <v>38</v>
      </c>
      <c r="O2135" t="s">
        <v>26</v>
      </c>
      <c r="P2135" t="s">
        <v>27</v>
      </c>
      <c r="Q2135" t="s">
        <v>28</v>
      </c>
      <c r="R2135" t="s">
        <v>29</v>
      </c>
      <c r="S2135" t="s">
        <v>30</v>
      </c>
      <c r="T2135">
        <v>1019102787</v>
      </c>
      <c r="U2135" t="s">
        <v>3977</v>
      </c>
      <c r="V2135" t="s">
        <v>3970</v>
      </c>
      <c r="W2135" s="9">
        <f>IF(V2135="pregrado",31,
IF(V2135="posgrados",31,
IF(V2135="rEINTEGROS",7,
IF(V2135="BIT",90,
IF(V2135="OP GRADO - INGLÉS",17,"")))))</f>
        <v>7</v>
      </c>
      <c r="X2135" t="s">
        <v>3976</v>
      </c>
    </row>
    <row r="2136" spans="1:24" ht="15" x14ac:dyDescent="0.35">
      <c r="A2136" s="4">
        <v>45936.830335648148</v>
      </c>
      <c r="B2136">
        <v>20099143</v>
      </c>
      <c r="C2136" s="5" t="s">
        <v>19</v>
      </c>
      <c r="D2136">
        <v>568101</v>
      </c>
      <c r="E2136" t="s">
        <v>20</v>
      </c>
      <c r="F2136">
        <v>1018503738</v>
      </c>
      <c r="G2136" t="s">
        <v>106</v>
      </c>
      <c r="H2136">
        <v>100147011</v>
      </c>
      <c r="I2136">
        <v>202610</v>
      </c>
      <c r="J2136">
        <v>1018503738</v>
      </c>
      <c r="K2136" t="s">
        <v>89</v>
      </c>
      <c r="L2136" t="s">
        <v>107</v>
      </c>
      <c r="M2136" t="s">
        <v>24</v>
      </c>
      <c r="N2136" t="s">
        <v>38</v>
      </c>
      <c r="O2136" t="s">
        <v>26</v>
      </c>
      <c r="P2136" t="s">
        <v>27</v>
      </c>
      <c r="Q2136" t="s">
        <v>28</v>
      </c>
      <c r="R2136" t="s">
        <v>29</v>
      </c>
      <c r="S2136" t="s">
        <v>30</v>
      </c>
      <c r="T2136">
        <v>1019102787</v>
      </c>
      <c r="U2136" t="s">
        <v>3977</v>
      </c>
      <c r="V2136" t="s">
        <v>3970</v>
      </c>
      <c r="W2136" s="9">
        <f>IF(V2136="pregrado",31,
IF(V2136="posgrados",31,
IF(V2136="rEINTEGROS",7,
IF(V2136="BIT",90,
IF(V2136="OP GRADO - INGLÉS",17,"")))))</f>
        <v>7</v>
      </c>
      <c r="X2136" t="s">
        <v>3976</v>
      </c>
    </row>
    <row r="2137" spans="1:24" ht="15" x14ac:dyDescent="0.35">
      <c r="A2137" s="4">
        <v>45939.453958333332</v>
      </c>
      <c r="B2137">
        <v>20099609</v>
      </c>
      <c r="C2137" s="5" t="s">
        <v>19</v>
      </c>
      <c r="D2137">
        <v>568145</v>
      </c>
      <c r="E2137" t="s">
        <v>20</v>
      </c>
      <c r="F2137">
        <v>1070007801</v>
      </c>
      <c r="G2137" t="s">
        <v>121</v>
      </c>
      <c r="H2137">
        <v>100232180</v>
      </c>
      <c r="I2137">
        <v>202631</v>
      </c>
      <c r="J2137">
        <v>1002013481</v>
      </c>
      <c r="K2137" t="s">
        <v>23</v>
      </c>
      <c r="L2137" t="s">
        <v>32</v>
      </c>
      <c r="M2137" t="s">
        <v>24</v>
      </c>
      <c r="N2137" t="s">
        <v>35</v>
      </c>
      <c r="O2137" t="s">
        <v>26</v>
      </c>
      <c r="P2137" t="s">
        <v>27</v>
      </c>
      <c r="Q2137" t="s">
        <v>28</v>
      </c>
      <c r="R2137" t="s">
        <v>29</v>
      </c>
      <c r="S2137" t="s">
        <v>30</v>
      </c>
      <c r="T2137">
        <v>11001273124</v>
      </c>
      <c r="U2137" t="s">
        <v>3944</v>
      </c>
      <c r="V2137" t="s">
        <v>3934</v>
      </c>
      <c r="W2137" s="9">
        <f>IF(V2137="pregrado",31,
IF(V2137="posgrados",31,
IF(V2137="rEINTEGROS",7,
IF(V2137="BIT",90,
IF(V2137="OP GRADO - INGLÉS",17,"")))))</f>
        <v>31</v>
      </c>
      <c r="X2137" t="s">
        <v>3951</v>
      </c>
    </row>
    <row r="2138" spans="1:24" ht="15" x14ac:dyDescent="0.35">
      <c r="A2138" s="4">
        <v>45937.712094907409</v>
      </c>
      <c r="B2138">
        <v>20099333</v>
      </c>
      <c r="C2138" s="5" t="s">
        <v>19</v>
      </c>
      <c r="D2138">
        <v>568165</v>
      </c>
      <c r="E2138" t="s">
        <v>20</v>
      </c>
      <c r="F2138">
        <v>1007348884</v>
      </c>
      <c r="G2138" t="s">
        <v>115</v>
      </c>
      <c r="H2138">
        <v>100232163</v>
      </c>
      <c r="I2138">
        <v>202631</v>
      </c>
      <c r="J2138">
        <v>1026152142</v>
      </c>
      <c r="K2138" t="s">
        <v>23</v>
      </c>
      <c r="L2138" t="s">
        <v>86</v>
      </c>
      <c r="M2138" t="s">
        <v>87</v>
      </c>
      <c r="N2138" t="s">
        <v>35</v>
      </c>
      <c r="O2138" t="s">
        <v>26</v>
      </c>
      <c r="P2138" t="s">
        <v>27</v>
      </c>
      <c r="Q2138" t="s">
        <v>28</v>
      </c>
      <c r="R2138" t="s">
        <v>29</v>
      </c>
      <c r="S2138" t="s">
        <v>30</v>
      </c>
      <c r="T2138">
        <v>1014178931</v>
      </c>
      <c r="U2138" t="s">
        <v>3944</v>
      </c>
      <c r="V2138" t="s">
        <v>3934</v>
      </c>
      <c r="W2138" s="9">
        <f>IF(V2138="pregrado",31,
IF(V2138="posgrados",31,
IF(V2138="rEINTEGROS",7,
IF(V2138="BIT",90,
IF(V2138="OP GRADO - INGLÉS",17,"")))))</f>
        <v>31</v>
      </c>
      <c r="X2138" t="s">
        <v>3954</v>
      </c>
    </row>
    <row r="2139" spans="1:24" ht="15" x14ac:dyDescent="0.35">
      <c r="A2139" s="4">
        <v>45939.440046296295</v>
      </c>
      <c r="B2139">
        <v>20099604</v>
      </c>
      <c r="C2139" s="5" t="s">
        <v>19</v>
      </c>
      <c r="D2139">
        <v>568176</v>
      </c>
      <c r="E2139" t="s">
        <v>20</v>
      </c>
      <c r="F2139">
        <v>1116259653</v>
      </c>
      <c r="G2139" t="s">
        <v>120</v>
      </c>
      <c r="H2139">
        <v>100105966</v>
      </c>
      <c r="I2139">
        <v>202631</v>
      </c>
      <c r="J2139">
        <v>1116259653</v>
      </c>
      <c r="K2139" t="s">
        <v>89</v>
      </c>
      <c r="L2139" t="s">
        <v>90</v>
      </c>
      <c r="M2139" t="s">
        <v>24</v>
      </c>
      <c r="N2139" t="s">
        <v>35</v>
      </c>
      <c r="O2139" t="s">
        <v>26</v>
      </c>
      <c r="P2139" t="s">
        <v>27</v>
      </c>
      <c r="Q2139" t="s">
        <v>28</v>
      </c>
      <c r="R2139" t="s">
        <v>29</v>
      </c>
      <c r="S2139" t="s">
        <v>30</v>
      </c>
      <c r="T2139">
        <v>1023899450</v>
      </c>
      <c r="U2139" t="s">
        <v>3969</v>
      </c>
      <c r="V2139" t="s">
        <v>3970</v>
      </c>
      <c r="W2139" s="9">
        <f>IF(V2139="pregrado",31,
IF(V2139="posgrados",31,
IF(V2139="rEINTEGROS",7,
IF(V2139="BIT",90,
IF(V2139="OP GRADO - INGLÉS",17,"")))))</f>
        <v>7</v>
      </c>
      <c r="X2139" t="s">
        <v>3969</v>
      </c>
    </row>
    <row r="2140" spans="1:24" ht="15" x14ac:dyDescent="0.35">
      <c r="A2140" s="4">
        <v>45944.889791666668</v>
      </c>
      <c r="B2140">
        <v>20100257</v>
      </c>
      <c r="C2140" s="5" t="s">
        <v>19</v>
      </c>
      <c r="D2140">
        <v>568178</v>
      </c>
      <c r="E2140" t="s">
        <v>20</v>
      </c>
      <c r="F2140">
        <v>1102837174</v>
      </c>
      <c r="G2140" t="s">
        <v>126</v>
      </c>
      <c r="H2140">
        <v>100083445</v>
      </c>
      <c r="I2140">
        <v>202631</v>
      </c>
      <c r="J2140">
        <v>1102837174</v>
      </c>
      <c r="K2140" t="s">
        <v>89</v>
      </c>
      <c r="L2140" t="s">
        <v>127</v>
      </c>
      <c r="M2140" t="s">
        <v>24</v>
      </c>
      <c r="N2140" t="s">
        <v>25</v>
      </c>
      <c r="O2140" t="s">
        <v>26</v>
      </c>
      <c r="P2140" t="s">
        <v>27</v>
      </c>
      <c r="Q2140" t="s">
        <v>28</v>
      </c>
      <c r="R2140" t="s">
        <v>29</v>
      </c>
      <c r="S2140" t="s">
        <v>30</v>
      </c>
      <c r="T2140">
        <v>1023899450</v>
      </c>
      <c r="U2140" t="s">
        <v>3969</v>
      </c>
      <c r="V2140" t="s">
        <v>3970</v>
      </c>
      <c r="W2140" s="9">
        <f>IF(V2140="pregrado",31,
IF(V2140="posgrados",31,
IF(V2140="rEINTEGROS",7,
IF(V2140="BIT",90,
IF(V2140="OP GRADO - INGLÉS",17,"")))))</f>
        <v>7</v>
      </c>
      <c r="X2140" t="s">
        <v>3969</v>
      </c>
    </row>
    <row r="2141" spans="1:24" ht="15" x14ac:dyDescent="0.35">
      <c r="A2141" s="4">
        <v>45940.518009259256</v>
      </c>
      <c r="B2141">
        <v>20099844</v>
      </c>
      <c r="C2141" s="5" t="s">
        <v>19</v>
      </c>
      <c r="D2141">
        <v>568191</v>
      </c>
      <c r="E2141" t="s">
        <v>20</v>
      </c>
      <c r="F2141">
        <v>1033697930</v>
      </c>
      <c r="G2141" t="s">
        <v>123</v>
      </c>
      <c r="H2141">
        <v>100232203</v>
      </c>
      <c r="I2141">
        <v>202610</v>
      </c>
      <c r="J2141">
        <v>1033697930</v>
      </c>
      <c r="K2141" t="s">
        <v>33</v>
      </c>
      <c r="L2141" t="s">
        <v>40</v>
      </c>
      <c r="M2141" t="s">
        <v>24</v>
      </c>
      <c r="N2141" t="s">
        <v>38</v>
      </c>
      <c r="O2141" t="s">
        <v>26</v>
      </c>
      <c r="P2141" t="s">
        <v>27</v>
      </c>
      <c r="Q2141" t="s">
        <v>28</v>
      </c>
      <c r="R2141" t="s">
        <v>29</v>
      </c>
      <c r="S2141" t="s">
        <v>30</v>
      </c>
      <c r="T2141">
        <v>1000120140</v>
      </c>
      <c r="U2141" t="s">
        <v>3936</v>
      </c>
      <c r="V2141" t="s">
        <v>3937</v>
      </c>
      <c r="W2141" s="9">
        <f>IF(V2141="pregrado",31,
IF(V2141="posgrados",31,
IF(V2141="rEINTEGROS",7,
IF(V2141="BIT",90,
IF(V2141="OP GRADO - INGLÉS",17,"")))))</f>
        <v>31</v>
      </c>
      <c r="X2141" t="s">
        <v>3935</v>
      </c>
    </row>
    <row r="2142" spans="1:24" ht="15" x14ac:dyDescent="0.35">
      <c r="A2142" s="4">
        <v>45937.69734953704</v>
      </c>
      <c r="B2142">
        <v>20099320</v>
      </c>
      <c r="C2142" s="5" t="s">
        <v>19</v>
      </c>
      <c r="D2142">
        <v>568208</v>
      </c>
      <c r="E2142" t="s">
        <v>20</v>
      </c>
      <c r="F2142">
        <v>1043850094</v>
      </c>
      <c r="G2142" t="s">
        <v>113</v>
      </c>
      <c r="H2142">
        <v>100232034</v>
      </c>
      <c r="I2142">
        <v>202631</v>
      </c>
      <c r="J2142">
        <v>1043850094</v>
      </c>
      <c r="K2142" t="s">
        <v>23</v>
      </c>
      <c r="L2142" t="s">
        <v>114</v>
      </c>
      <c r="M2142" t="s">
        <v>24</v>
      </c>
      <c r="N2142" t="s">
        <v>35</v>
      </c>
      <c r="O2142" t="s">
        <v>26</v>
      </c>
      <c r="P2142" t="s">
        <v>27</v>
      </c>
      <c r="Q2142" t="s">
        <v>28</v>
      </c>
      <c r="R2142" t="s">
        <v>29</v>
      </c>
      <c r="S2142" t="s">
        <v>30</v>
      </c>
      <c r="T2142">
        <v>1000120140</v>
      </c>
      <c r="U2142" t="s">
        <v>3936</v>
      </c>
      <c r="V2142" t="s">
        <v>3937</v>
      </c>
      <c r="W2142" s="9">
        <f>IF(V2142="pregrado",31,
IF(V2142="posgrados",31,
IF(V2142="rEINTEGROS",7,
IF(V2142="BIT",90,
IF(V2142="OP GRADO - INGLÉS",17,"")))))</f>
        <v>31</v>
      </c>
      <c r="X2142" t="s">
        <v>3935</v>
      </c>
    </row>
    <row r="2143" spans="1:24" ht="15" x14ac:dyDescent="0.35">
      <c r="A2143" s="4">
        <v>45937.386608796296</v>
      </c>
      <c r="B2143">
        <v>20099180</v>
      </c>
      <c r="C2143" s="5" t="s">
        <v>19</v>
      </c>
      <c r="D2143">
        <v>568216</v>
      </c>
      <c r="E2143" t="s">
        <v>20</v>
      </c>
      <c r="F2143">
        <v>1001030246</v>
      </c>
      <c r="G2143" t="s">
        <v>109</v>
      </c>
      <c r="H2143">
        <v>100232242</v>
      </c>
      <c r="I2143">
        <v>202631</v>
      </c>
      <c r="J2143">
        <v>1001030246</v>
      </c>
      <c r="K2143" t="s">
        <v>33</v>
      </c>
      <c r="L2143" t="s">
        <v>65</v>
      </c>
      <c r="M2143" t="s">
        <v>24</v>
      </c>
      <c r="N2143" t="s">
        <v>25</v>
      </c>
      <c r="O2143" t="s">
        <v>26</v>
      </c>
      <c r="P2143" t="s">
        <v>27</v>
      </c>
      <c r="Q2143" t="s">
        <v>28</v>
      </c>
      <c r="R2143" t="s">
        <v>29</v>
      </c>
      <c r="S2143" t="s">
        <v>30</v>
      </c>
      <c r="T2143">
        <v>10306009131</v>
      </c>
      <c r="U2143" t="s">
        <v>3933</v>
      </c>
      <c r="V2143" t="s">
        <v>3934</v>
      </c>
      <c r="W2143" s="9">
        <f>IF(V2143="pregrado",31,
IF(V2143="posgrados",31,
IF(V2143="rEINTEGROS",7,
IF(V2143="BIT",90,
IF(V2143="OP GRADO - INGLÉS",17,"")))))</f>
        <v>31</v>
      </c>
      <c r="X2143" t="s">
        <v>3978</v>
      </c>
    </row>
    <row r="2144" spans="1:24" ht="15" x14ac:dyDescent="0.35">
      <c r="A2144" s="4">
        <v>45937.602465277778</v>
      </c>
      <c r="B2144">
        <v>20099263</v>
      </c>
      <c r="C2144" s="5" t="s">
        <v>19</v>
      </c>
      <c r="D2144">
        <v>568219</v>
      </c>
      <c r="E2144" t="s">
        <v>20</v>
      </c>
      <c r="F2144">
        <v>1013638268</v>
      </c>
      <c r="G2144" t="s">
        <v>111</v>
      </c>
      <c r="H2144">
        <v>100231914</v>
      </c>
      <c r="I2144">
        <v>202610</v>
      </c>
      <c r="J2144">
        <v>1013638268</v>
      </c>
      <c r="K2144" t="s">
        <v>23</v>
      </c>
      <c r="L2144" t="s">
        <v>62</v>
      </c>
      <c r="M2144" t="s">
        <v>24</v>
      </c>
      <c r="N2144" t="s">
        <v>35</v>
      </c>
      <c r="O2144" t="s">
        <v>26</v>
      </c>
      <c r="P2144" t="s">
        <v>27</v>
      </c>
      <c r="Q2144" t="s">
        <v>28</v>
      </c>
      <c r="R2144" t="s">
        <v>29</v>
      </c>
      <c r="S2144" t="s">
        <v>30</v>
      </c>
      <c r="T2144">
        <v>1000625316</v>
      </c>
      <c r="U2144" t="s">
        <v>3944</v>
      </c>
      <c r="V2144" t="s">
        <v>3934</v>
      </c>
      <c r="W2144" s="9">
        <f>IF(V2144="pregrado",31,
IF(V2144="posgrados",31,
IF(V2144="rEINTEGROS",7,
IF(V2144="BIT",90,
IF(V2144="OP GRADO - INGLÉS",17,"")))))</f>
        <v>31</v>
      </c>
      <c r="X2144" t="s">
        <v>3980</v>
      </c>
    </row>
    <row r="2145" spans="1:24" ht="15" x14ac:dyDescent="0.35">
      <c r="A2145" s="4">
        <v>45945.64334490741</v>
      </c>
      <c r="B2145">
        <v>20100449</v>
      </c>
      <c r="C2145" s="5" t="s">
        <v>19</v>
      </c>
      <c r="D2145">
        <v>568228</v>
      </c>
      <c r="E2145" t="s">
        <v>20</v>
      </c>
      <c r="F2145">
        <v>16474843</v>
      </c>
      <c r="G2145" t="s">
        <v>134</v>
      </c>
      <c r="H2145">
        <v>100232227</v>
      </c>
      <c r="I2145">
        <v>202631</v>
      </c>
      <c r="J2145">
        <v>1007882318</v>
      </c>
      <c r="K2145" t="s">
        <v>33</v>
      </c>
      <c r="L2145" t="s">
        <v>42</v>
      </c>
      <c r="M2145" t="s">
        <v>24</v>
      </c>
      <c r="N2145" t="s">
        <v>35</v>
      </c>
      <c r="O2145" t="s">
        <v>26</v>
      </c>
      <c r="P2145" t="s">
        <v>27</v>
      </c>
      <c r="Q2145" t="s">
        <v>28</v>
      </c>
      <c r="R2145" t="s">
        <v>29</v>
      </c>
      <c r="S2145" t="s">
        <v>30</v>
      </c>
      <c r="T2145">
        <v>1000120140</v>
      </c>
      <c r="U2145" t="s">
        <v>3936</v>
      </c>
      <c r="V2145" t="s">
        <v>3937</v>
      </c>
      <c r="W2145" s="9">
        <f>IF(V2145="pregrado",31,
IF(V2145="posgrados",31,
IF(V2145="rEINTEGROS",7,
IF(V2145="BIT",90,
IF(V2145="OP GRADO - INGLÉS",17,"")))))</f>
        <v>31</v>
      </c>
      <c r="X2145" t="s">
        <v>3935</v>
      </c>
    </row>
    <row r="2146" spans="1:24" ht="15" x14ac:dyDescent="0.35">
      <c r="A2146" s="4">
        <v>45968.72146990741</v>
      </c>
      <c r="B2146">
        <v>20103722</v>
      </c>
      <c r="C2146" s="5" t="s">
        <v>19</v>
      </c>
      <c r="D2146">
        <v>568257</v>
      </c>
      <c r="E2146" t="s">
        <v>20</v>
      </c>
      <c r="F2146">
        <v>13569967</v>
      </c>
      <c r="G2146" t="s">
        <v>257</v>
      </c>
      <c r="H2146">
        <v>100069815</v>
      </c>
      <c r="I2146">
        <v>202631</v>
      </c>
      <c r="J2146">
        <v>13569967</v>
      </c>
      <c r="K2146" t="s">
        <v>89</v>
      </c>
      <c r="L2146" t="s">
        <v>127</v>
      </c>
      <c r="M2146" t="s">
        <v>24</v>
      </c>
      <c r="N2146" t="s">
        <v>25</v>
      </c>
      <c r="O2146" t="s">
        <v>26</v>
      </c>
      <c r="P2146" t="s">
        <v>27</v>
      </c>
      <c r="Q2146" t="s">
        <v>28</v>
      </c>
      <c r="R2146" t="s">
        <v>29</v>
      </c>
      <c r="S2146" t="s">
        <v>30</v>
      </c>
      <c r="T2146">
        <v>1000934874</v>
      </c>
      <c r="U2146" t="s">
        <v>3977</v>
      </c>
      <c r="V2146" t="s">
        <v>3970</v>
      </c>
      <c r="W2146" s="9">
        <f>IF(V2146="pregrado",31,
IF(V2146="posgrados",31,
IF(V2146="rEINTEGROS",7,
IF(V2146="BIT",90,
IF(V2146="OP GRADO - INGLÉS",17,"")))))</f>
        <v>7</v>
      </c>
      <c r="X2146" t="s">
        <v>3999</v>
      </c>
    </row>
    <row r="2147" spans="1:24" ht="15" x14ac:dyDescent="0.35">
      <c r="A2147" s="4">
        <v>45940.390196759261</v>
      </c>
      <c r="B2147">
        <v>20099777</v>
      </c>
      <c r="C2147" s="5" t="s">
        <v>19</v>
      </c>
      <c r="D2147">
        <v>568260</v>
      </c>
      <c r="E2147" t="s">
        <v>20</v>
      </c>
      <c r="F2147">
        <v>1005052595</v>
      </c>
      <c r="G2147" t="s">
        <v>122</v>
      </c>
      <c r="H2147">
        <v>100122135</v>
      </c>
      <c r="I2147">
        <v>202631</v>
      </c>
      <c r="J2147">
        <v>1005052595</v>
      </c>
      <c r="K2147" t="s">
        <v>89</v>
      </c>
      <c r="L2147" t="s">
        <v>90</v>
      </c>
      <c r="M2147" t="s">
        <v>24</v>
      </c>
      <c r="N2147" t="s">
        <v>25</v>
      </c>
      <c r="O2147" t="s">
        <v>26</v>
      </c>
      <c r="P2147" t="s">
        <v>27</v>
      </c>
      <c r="Q2147" t="s">
        <v>28</v>
      </c>
      <c r="R2147" t="s">
        <v>29</v>
      </c>
      <c r="S2147" t="s">
        <v>30</v>
      </c>
      <c r="T2147">
        <v>1023899450</v>
      </c>
      <c r="U2147" t="s">
        <v>3969</v>
      </c>
      <c r="V2147" t="s">
        <v>3970</v>
      </c>
      <c r="W2147" s="9">
        <f>IF(V2147="pregrado",31,
IF(V2147="posgrados",31,
IF(V2147="rEINTEGROS",7,
IF(V2147="BIT",90,
IF(V2147="OP GRADO - INGLÉS",17,"")))))</f>
        <v>7</v>
      </c>
      <c r="X2147" t="s">
        <v>3969</v>
      </c>
    </row>
    <row r="2148" spans="1:24" ht="15" x14ac:dyDescent="0.35">
      <c r="A2148" s="4">
        <v>45945.633217592593</v>
      </c>
      <c r="B2148">
        <v>20100435</v>
      </c>
      <c r="C2148" s="5" t="s">
        <v>19</v>
      </c>
      <c r="D2148">
        <v>568272</v>
      </c>
      <c r="E2148" t="s">
        <v>20</v>
      </c>
      <c r="F2148">
        <v>1023162851</v>
      </c>
      <c r="G2148" t="s">
        <v>132</v>
      </c>
      <c r="H2148">
        <v>100135565</v>
      </c>
      <c r="I2148">
        <v>202611</v>
      </c>
      <c r="J2148">
        <v>1023162851</v>
      </c>
      <c r="K2148" t="s">
        <v>89</v>
      </c>
      <c r="L2148" t="s">
        <v>133</v>
      </c>
      <c r="M2148" t="s">
        <v>24</v>
      </c>
      <c r="N2148" t="s">
        <v>25</v>
      </c>
      <c r="O2148" t="s">
        <v>26</v>
      </c>
      <c r="P2148" t="s">
        <v>27</v>
      </c>
      <c r="Q2148" t="s">
        <v>28</v>
      </c>
      <c r="R2148" t="s">
        <v>29</v>
      </c>
      <c r="S2148" t="s">
        <v>30</v>
      </c>
      <c r="T2148">
        <v>1023899450</v>
      </c>
      <c r="U2148" t="s">
        <v>3969</v>
      </c>
      <c r="V2148" t="s">
        <v>3970</v>
      </c>
      <c r="W2148" s="9">
        <f>IF(V2148="pregrado",31,
IF(V2148="posgrados",31,
IF(V2148="rEINTEGROS",7,
IF(V2148="BIT",90,
IF(V2148="OP GRADO - INGLÉS",17,"")))))</f>
        <v>7</v>
      </c>
      <c r="X2148" t="s">
        <v>3969</v>
      </c>
    </row>
    <row r="2149" spans="1:24" ht="15" x14ac:dyDescent="0.35">
      <c r="A2149" s="4">
        <v>45937.684363425928</v>
      </c>
      <c r="B2149">
        <v>20099314</v>
      </c>
      <c r="C2149" s="5" t="s">
        <v>19</v>
      </c>
      <c r="D2149">
        <v>568278</v>
      </c>
      <c r="E2149" t="s">
        <v>20</v>
      </c>
      <c r="F2149">
        <v>1021392864</v>
      </c>
      <c r="G2149" t="s">
        <v>112</v>
      </c>
      <c r="H2149">
        <v>100232352</v>
      </c>
      <c r="I2149">
        <v>202610</v>
      </c>
      <c r="J2149">
        <v>1021392864</v>
      </c>
      <c r="K2149" t="s">
        <v>83</v>
      </c>
      <c r="L2149" t="s">
        <v>37</v>
      </c>
      <c r="M2149" t="s">
        <v>24</v>
      </c>
      <c r="N2149" t="s">
        <v>38</v>
      </c>
      <c r="O2149" t="s">
        <v>26</v>
      </c>
      <c r="P2149" t="s">
        <v>27</v>
      </c>
      <c r="Q2149" t="s">
        <v>28</v>
      </c>
      <c r="R2149" t="s">
        <v>29</v>
      </c>
      <c r="S2149" t="s">
        <v>30</v>
      </c>
      <c r="T2149">
        <v>1000857610</v>
      </c>
      <c r="U2149" t="s">
        <v>3941</v>
      </c>
      <c r="V2149" t="s">
        <v>3934</v>
      </c>
      <c r="W2149" s="9">
        <f>IF(V2149="pregrado",31,
IF(V2149="posgrados",31,
IF(V2149="rEINTEGROS",7,
IF(V2149="BIT",90,
IF(V2149="OP GRADO - INGLÉS",17,"")))))</f>
        <v>31</v>
      </c>
      <c r="X2149" t="s">
        <v>3942</v>
      </c>
    </row>
    <row r="2150" spans="1:24" ht="15" x14ac:dyDescent="0.35">
      <c r="A2150" s="4">
        <v>45952.454409722224</v>
      </c>
      <c r="B2150">
        <v>20101636</v>
      </c>
      <c r="C2150" s="5" t="s">
        <v>19</v>
      </c>
      <c r="D2150">
        <v>568317</v>
      </c>
      <c r="E2150" t="s">
        <v>20</v>
      </c>
      <c r="F2150">
        <v>57413129</v>
      </c>
      <c r="G2150" t="s">
        <v>161</v>
      </c>
      <c r="H2150">
        <v>100196233</v>
      </c>
      <c r="I2150">
        <v>202631</v>
      </c>
      <c r="J2150">
        <v>1012413415</v>
      </c>
      <c r="K2150" t="s">
        <v>46</v>
      </c>
      <c r="L2150" t="s">
        <v>119</v>
      </c>
      <c r="M2150" t="s">
        <v>24</v>
      </c>
      <c r="N2150" t="s">
        <v>35</v>
      </c>
      <c r="O2150" t="s">
        <v>26</v>
      </c>
      <c r="P2150" t="s">
        <v>27</v>
      </c>
      <c r="Q2150" t="s">
        <v>28</v>
      </c>
      <c r="R2150" t="s">
        <v>29</v>
      </c>
      <c r="S2150" t="s">
        <v>30</v>
      </c>
      <c r="T2150">
        <v>10006855461</v>
      </c>
      <c r="U2150" t="s">
        <v>3965</v>
      </c>
      <c r="V2150" t="s">
        <v>3934</v>
      </c>
      <c r="W2150" s="9">
        <f>IF(V2150="pregrado",31,
IF(V2150="posgrados",31,
IF(V2150="rEINTEGROS",7,
IF(V2150="BIT",90,
IF(V2150="OP GRADO - INGLÉS",17,"")))))</f>
        <v>31</v>
      </c>
      <c r="X2150" t="s">
        <v>3993</v>
      </c>
    </row>
    <row r="2151" spans="1:24" ht="15" x14ac:dyDescent="0.35">
      <c r="A2151" s="4">
        <v>45944.408877314818</v>
      </c>
      <c r="B2151">
        <v>20100062</v>
      </c>
      <c r="C2151" s="5" t="s">
        <v>19</v>
      </c>
      <c r="D2151">
        <v>568349</v>
      </c>
      <c r="E2151" t="s">
        <v>20</v>
      </c>
      <c r="F2151">
        <v>1007552405</v>
      </c>
      <c r="G2151" t="s">
        <v>124</v>
      </c>
      <c r="H2151">
        <v>100231226</v>
      </c>
      <c r="I2151">
        <v>202631</v>
      </c>
      <c r="J2151">
        <v>1007552405</v>
      </c>
      <c r="K2151" t="s">
        <v>33</v>
      </c>
      <c r="L2151" t="s">
        <v>32</v>
      </c>
      <c r="M2151" t="s">
        <v>24</v>
      </c>
      <c r="N2151" t="s">
        <v>35</v>
      </c>
      <c r="O2151" t="s">
        <v>26</v>
      </c>
      <c r="P2151" t="s">
        <v>27</v>
      </c>
      <c r="Q2151" t="s">
        <v>28</v>
      </c>
      <c r="R2151" t="s">
        <v>29</v>
      </c>
      <c r="S2151" t="s">
        <v>30</v>
      </c>
      <c r="T2151">
        <v>53139409</v>
      </c>
      <c r="U2151" t="s">
        <v>3944</v>
      </c>
      <c r="V2151" t="s">
        <v>3934</v>
      </c>
      <c r="W2151" s="9">
        <f>IF(V2151="pregrado",31,
IF(V2151="posgrados",31,
IF(V2151="rEINTEGROS",7,
IF(V2151="BIT",90,
IF(V2151="OP GRADO - INGLÉS",17,"")))))</f>
        <v>31</v>
      </c>
      <c r="X2151" t="s">
        <v>3955</v>
      </c>
    </row>
    <row r="2152" spans="1:24" ht="15" x14ac:dyDescent="0.35">
      <c r="A2152" s="4">
        <v>45938.721574074072</v>
      </c>
      <c r="B2152">
        <v>20099540</v>
      </c>
      <c r="C2152" s="5" t="s">
        <v>19</v>
      </c>
      <c r="D2152">
        <v>568399</v>
      </c>
      <c r="E2152" t="s">
        <v>20</v>
      </c>
      <c r="F2152">
        <v>1007835300</v>
      </c>
      <c r="G2152" t="s">
        <v>118</v>
      </c>
      <c r="H2152">
        <v>100232509</v>
      </c>
      <c r="I2152">
        <v>202631</v>
      </c>
      <c r="J2152">
        <v>1042775712</v>
      </c>
      <c r="K2152" t="s">
        <v>23</v>
      </c>
      <c r="L2152" t="s">
        <v>42</v>
      </c>
      <c r="M2152" t="s">
        <v>24</v>
      </c>
      <c r="N2152" t="s">
        <v>35</v>
      </c>
      <c r="O2152" t="s">
        <v>26</v>
      </c>
      <c r="P2152" t="s">
        <v>27</v>
      </c>
      <c r="Q2152" t="s">
        <v>28</v>
      </c>
      <c r="R2152" t="s">
        <v>29</v>
      </c>
      <c r="S2152" t="s">
        <v>30</v>
      </c>
      <c r="T2152">
        <v>53139409</v>
      </c>
      <c r="U2152" t="s">
        <v>3944</v>
      </c>
      <c r="V2152" t="s">
        <v>3934</v>
      </c>
      <c r="W2152" s="9">
        <f>IF(V2152="pregrado",31,
IF(V2152="posgrados",31,
IF(V2152="rEINTEGROS",7,
IF(V2152="BIT",90,
IF(V2152="OP GRADO - INGLÉS",17,"")))))</f>
        <v>31</v>
      </c>
      <c r="X2152" t="s">
        <v>3955</v>
      </c>
    </row>
    <row r="2153" spans="1:24" ht="15" x14ac:dyDescent="0.35">
      <c r="A2153" s="4">
        <v>45947.644236111111</v>
      </c>
      <c r="B2153">
        <v>20100950</v>
      </c>
      <c r="C2153" s="5" t="s">
        <v>19</v>
      </c>
      <c r="D2153">
        <v>568467</v>
      </c>
      <c r="E2153" t="s">
        <v>20</v>
      </c>
      <c r="F2153">
        <v>1000787175</v>
      </c>
      <c r="G2153" t="s">
        <v>142</v>
      </c>
      <c r="H2153">
        <v>100232597</v>
      </c>
      <c r="I2153">
        <v>202631</v>
      </c>
      <c r="J2153">
        <v>1005187002</v>
      </c>
      <c r="K2153" t="s">
        <v>23</v>
      </c>
      <c r="L2153" t="s">
        <v>86</v>
      </c>
      <c r="M2153" t="s">
        <v>87</v>
      </c>
      <c r="N2153" t="s">
        <v>25</v>
      </c>
      <c r="O2153" t="s">
        <v>26</v>
      </c>
      <c r="P2153" t="s">
        <v>27</v>
      </c>
      <c r="Q2153" t="s">
        <v>28</v>
      </c>
      <c r="R2153" t="s">
        <v>29</v>
      </c>
      <c r="S2153" t="s">
        <v>30</v>
      </c>
      <c r="T2153">
        <v>1016095309</v>
      </c>
      <c r="U2153" t="s">
        <v>3986</v>
      </c>
      <c r="V2153" t="s">
        <v>3934</v>
      </c>
      <c r="W2153" s="9">
        <f>IF(V2153="pregrado",31,
IF(V2153="posgrados",31,
IF(V2153="rEINTEGROS",7,
IF(V2153="BIT",90,
IF(V2153="OP GRADO - INGLÉS",17,"")))))</f>
        <v>31</v>
      </c>
      <c r="X2153" t="s">
        <v>3985</v>
      </c>
    </row>
    <row r="2154" spans="1:24" ht="15" x14ac:dyDescent="0.35">
      <c r="A2154" s="4">
        <v>45945.544166666667</v>
      </c>
      <c r="B2154">
        <v>20100381</v>
      </c>
      <c r="C2154" s="5" t="s">
        <v>19</v>
      </c>
      <c r="D2154">
        <v>568478</v>
      </c>
      <c r="E2154" t="s">
        <v>20</v>
      </c>
      <c r="F2154">
        <v>1193080865</v>
      </c>
      <c r="G2154" t="s">
        <v>131</v>
      </c>
      <c r="H2154">
        <v>100232611</v>
      </c>
      <c r="I2154">
        <v>202631</v>
      </c>
      <c r="J2154">
        <v>1193080865</v>
      </c>
      <c r="K2154" t="s">
        <v>33</v>
      </c>
      <c r="L2154" t="s">
        <v>42</v>
      </c>
      <c r="M2154" t="s">
        <v>24</v>
      </c>
      <c r="N2154" t="s">
        <v>38</v>
      </c>
      <c r="O2154" t="s">
        <v>26</v>
      </c>
      <c r="P2154" t="s">
        <v>27</v>
      </c>
      <c r="Q2154" t="s">
        <v>28</v>
      </c>
      <c r="R2154" t="s">
        <v>29</v>
      </c>
      <c r="S2154" t="s">
        <v>30</v>
      </c>
      <c r="T2154">
        <v>53139409</v>
      </c>
      <c r="U2154" t="s">
        <v>3944</v>
      </c>
      <c r="V2154" t="s">
        <v>3934</v>
      </c>
      <c r="W2154" s="9">
        <f>IF(V2154="pregrado",31,
IF(V2154="posgrados",31,
IF(V2154="rEINTEGROS",7,
IF(V2154="BIT",90,
IF(V2154="OP GRADO - INGLÉS",17,"")))))</f>
        <v>31</v>
      </c>
      <c r="X2154" t="s">
        <v>3955</v>
      </c>
    </row>
    <row r="2155" spans="1:24" ht="15" x14ac:dyDescent="0.35">
      <c r="A2155" s="4">
        <v>45953.678680555553</v>
      </c>
      <c r="B2155">
        <v>20101963</v>
      </c>
      <c r="C2155" s="5" t="s">
        <v>19</v>
      </c>
      <c r="D2155">
        <v>568479</v>
      </c>
      <c r="E2155" t="s">
        <v>20</v>
      </c>
      <c r="F2155">
        <v>13443625</v>
      </c>
      <c r="G2155" t="s">
        <v>169</v>
      </c>
      <c r="H2155">
        <v>100232506</v>
      </c>
      <c r="I2155">
        <v>202610</v>
      </c>
      <c r="J2155">
        <v>1030691227</v>
      </c>
      <c r="K2155" t="s">
        <v>23</v>
      </c>
      <c r="L2155" t="s">
        <v>49</v>
      </c>
      <c r="M2155" t="s">
        <v>24</v>
      </c>
      <c r="N2155" t="s">
        <v>35</v>
      </c>
      <c r="O2155" t="s">
        <v>26</v>
      </c>
      <c r="P2155" t="s">
        <v>27</v>
      </c>
      <c r="Q2155" t="s">
        <v>28</v>
      </c>
      <c r="R2155" t="s">
        <v>29</v>
      </c>
      <c r="S2155" t="s">
        <v>30</v>
      </c>
      <c r="T2155">
        <v>1000625316</v>
      </c>
      <c r="U2155" t="s">
        <v>3944</v>
      </c>
      <c r="V2155" t="s">
        <v>3934</v>
      </c>
      <c r="W2155" s="9">
        <f>IF(V2155="pregrado",31,
IF(V2155="posgrados",31,
IF(V2155="rEINTEGROS",7,
IF(V2155="BIT",90,
IF(V2155="OP GRADO - INGLÉS",17,"")))))</f>
        <v>31</v>
      </c>
      <c r="X2155" t="s">
        <v>3980</v>
      </c>
    </row>
    <row r="2156" spans="1:24" ht="15" x14ac:dyDescent="0.35">
      <c r="A2156" s="4">
        <v>45944.577534722222</v>
      </c>
      <c r="B2156">
        <v>20100140</v>
      </c>
      <c r="C2156" s="5" t="s">
        <v>19</v>
      </c>
      <c r="D2156">
        <v>568493</v>
      </c>
      <c r="E2156" t="s">
        <v>20</v>
      </c>
      <c r="F2156">
        <v>1034276180</v>
      </c>
      <c r="G2156" t="s">
        <v>125</v>
      </c>
      <c r="H2156">
        <v>100225286</v>
      </c>
      <c r="I2156">
        <v>202631</v>
      </c>
      <c r="J2156">
        <v>1034276180</v>
      </c>
      <c r="K2156" t="s">
        <v>33</v>
      </c>
      <c r="L2156" t="s">
        <v>32</v>
      </c>
      <c r="M2156" t="s">
        <v>24</v>
      </c>
      <c r="N2156" t="s">
        <v>38</v>
      </c>
      <c r="O2156" t="s">
        <v>26</v>
      </c>
      <c r="P2156" t="s">
        <v>27</v>
      </c>
      <c r="Q2156" t="s">
        <v>28</v>
      </c>
      <c r="R2156" t="s">
        <v>29</v>
      </c>
      <c r="S2156" t="s">
        <v>30</v>
      </c>
      <c r="T2156">
        <v>1006023129</v>
      </c>
      <c r="U2156" t="s">
        <v>3944</v>
      </c>
      <c r="V2156" t="s">
        <v>3934</v>
      </c>
      <c r="W2156" s="9">
        <f>IF(V2156="pregrado",31,
IF(V2156="posgrados",31,
IF(V2156="rEINTEGROS",7,
IF(V2156="BIT",90,
IF(V2156="OP GRADO - INGLÉS",17,"")))))</f>
        <v>31</v>
      </c>
      <c r="X2156" t="s">
        <v>3982</v>
      </c>
    </row>
    <row r="2157" spans="1:24" ht="15" x14ac:dyDescent="0.35">
      <c r="A2157" s="4">
        <v>45947.707048611112</v>
      </c>
      <c r="B2157">
        <v>20101003</v>
      </c>
      <c r="C2157" s="5" t="s">
        <v>19</v>
      </c>
      <c r="D2157">
        <v>568589</v>
      </c>
      <c r="E2157" t="s">
        <v>20</v>
      </c>
      <c r="F2157">
        <v>19408924</v>
      </c>
      <c r="G2157" t="s">
        <v>144</v>
      </c>
      <c r="H2157">
        <v>100232737</v>
      </c>
      <c r="I2157">
        <v>202610</v>
      </c>
      <c r="J2157">
        <v>1000614551</v>
      </c>
      <c r="K2157" t="s">
        <v>23</v>
      </c>
      <c r="L2157" t="s">
        <v>37</v>
      </c>
      <c r="M2157" t="s">
        <v>24</v>
      </c>
      <c r="N2157" t="s">
        <v>35</v>
      </c>
      <c r="O2157" t="s">
        <v>26</v>
      </c>
      <c r="P2157" t="s">
        <v>27</v>
      </c>
      <c r="Q2157" t="s">
        <v>28</v>
      </c>
      <c r="R2157" t="s">
        <v>29</v>
      </c>
      <c r="S2157" t="s">
        <v>30</v>
      </c>
      <c r="T2157">
        <v>11001273124</v>
      </c>
      <c r="U2157" t="s">
        <v>3944</v>
      </c>
      <c r="V2157" t="s">
        <v>3934</v>
      </c>
      <c r="W2157" s="9">
        <f>IF(V2157="pregrado",31,
IF(V2157="posgrados",31,
IF(V2157="rEINTEGROS",7,
IF(V2157="BIT",90,
IF(V2157="OP GRADO - INGLÉS",17,"")))))</f>
        <v>31</v>
      </c>
      <c r="X2157" t="s">
        <v>3951</v>
      </c>
    </row>
    <row r="2158" spans="1:24" ht="15" x14ac:dyDescent="0.35">
      <c r="A2158" s="4">
        <v>45951.884837962964</v>
      </c>
      <c r="B2158">
        <v>20101557</v>
      </c>
      <c r="C2158" s="5" t="s">
        <v>19</v>
      </c>
      <c r="D2158">
        <v>568696</v>
      </c>
      <c r="E2158" t="s">
        <v>20</v>
      </c>
      <c r="F2158">
        <v>1000126475</v>
      </c>
      <c r="G2158" t="s">
        <v>157</v>
      </c>
      <c r="H2158">
        <v>100232849</v>
      </c>
      <c r="I2158">
        <v>202631</v>
      </c>
      <c r="J2158">
        <v>1000135145</v>
      </c>
      <c r="K2158" t="s">
        <v>23</v>
      </c>
      <c r="L2158" t="s">
        <v>51</v>
      </c>
      <c r="M2158" t="s">
        <v>24</v>
      </c>
      <c r="N2158" t="s">
        <v>35</v>
      </c>
      <c r="O2158" t="s">
        <v>26</v>
      </c>
      <c r="P2158" t="s">
        <v>27</v>
      </c>
      <c r="Q2158" t="s">
        <v>28</v>
      </c>
      <c r="R2158" t="s">
        <v>29</v>
      </c>
      <c r="S2158" t="s">
        <v>30</v>
      </c>
      <c r="T2158">
        <v>10123971531</v>
      </c>
      <c r="U2158" t="s">
        <v>3944</v>
      </c>
      <c r="V2158" t="s">
        <v>3934</v>
      </c>
      <c r="W2158" s="9">
        <f>IF(V2158="pregrado",31,
IF(V2158="posgrados",31,
IF(V2158="rEINTEGROS",7,
IF(V2158="BIT",90,
IF(V2158="OP GRADO - INGLÉS",17,"")))))</f>
        <v>31</v>
      </c>
      <c r="X2158" t="s">
        <v>3943</v>
      </c>
    </row>
    <row r="2159" spans="1:24" ht="15" x14ac:dyDescent="0.35">
      <c r="A2159" s="4">
        <v>45960.342835648145</v>
      </c>
      <c r="B2159">
        <v>20102863</v>
      </c>
      <c r="C2159" s="5" t="s">
        <v>19</v>
      </c>
      <c r="D2159">
        <v>568755</v>
      </c>
      <c r="E2159" t="s">
        <v>20</v>
      </c>
      <c r="F2159">
        <v>1010760809</v>
      </c>
      <c r="G2159" t="s">
        <v>187</v>
      </c>
      <c r="H2159">
        <v>100232922</v>
      </c>
      <c r="I2159">
        <v>202610</v>
      </c>
      <c r="J2159">
        <v>1010760809</v>
      </c>
      <c r="K2159" t="s">
        <v>33</v>
      </c>
      <c r="L2159" t="s">
        <v>40</v>
      </c>
      <c r="M2159" t="s">
        <v>24</v>
      </c>
      <c r="N2159" t="s">
        <v>38</v>
      </c>
      <c r="O2159" t="s">
        <v>26</v>
      </c>
      <c r="P2159" t="s">
        <v>27</v>
      </c>
      <c r="Q2159" t="s">
        <v>28</v>
      </c>
      <c r="R2159" t="s">
        <v>29</v>
      </c>
      <c r="S2159" t="s">
        <v>30</v>
      </c>
      <c r="T2159">
        <v>1031147887</v>
      </c>
      <c r="U2159" t="s">
        <v>3948</v>
      </c>
      <c r="V2159" t="s">
        <v>3937</v>
      </c>
      <c r="W2159" s="9">
        <f>IF(V2159="pregrado",31,
IF(V2159="posgrados",31,
IF(V2159="rEINTEGROS",7,
IF(V2159="BIT",90,
IF(V2159="OP GRADO - INGLÉS",17,"")))))</f>
        <v>31</v>
      </c>
      <c r="X2159" t="s">
        <v>3947</v>
      </c>
    </row>
    <row r="2160" spans="1:24" ht="15" x14ac:dyDescent="0.35">
      <c r="A2160" s="4">
        <v>45945.503460648149</v>
      </c>
      <c r="B2160">
        <v>20100363</v>
      </c>
      <c r="C2160" s="5" t="s">
        <v>19</v>
      </c>
      <c r="D2160">
        <v>568773</v>
      </c>
      <c r="E2160" t="s">
        <v>20</v>
      </c>
      <c r="F2160">
        <v>1031143700</v>
      </c>
      <c r="G2160" t="s">
        <v>129</v>
      </c>
      <c r="H2160">
        <v>100032816</v>
      </c>
      <c r="I2160">
        <v>202631</v>
      </c>
      <c r="J2160">
        <v>1031143700</v>
      </c>
      <c r="K2160" t="s">
        <v>23</v>
      </c>
      <c r="L2160" t="s">
        <v>65</v>
      </c>
      <c r="M2160" t="s">
        <v>24</v>
      </c>
      <c r="N2160" t="s">
        <v>25</v>
      </c>
      <c r="O2160" t="s">
        <v>26</v>
      </c>
      <c r="P2160" t="s">
        <v>27</v>
      </c>
      <c r="Q2160" t="s">
        <v>28</v>
      </c>
      <c r="R2160" t="s">
        <v>29</v>
      </c>
      <c r="S2160" t="s">
        <v>30</v>
      </c>
      <c r="T2160">
        <v>1010240716</v>
      </c>
      <c r="U2160" t="s">
        <v>3939</v>
      </c>
      <c r="V2160" t="s">
        <v>3934</v>
      </c>
      <c r="W2160" s="9">
        <f>IF(V2160="pregrado",31,
IF(V2160="posgrados",31,
IF(V2160="rEINTEGROS",7,
IF(V2160="BIT",90,
IF(V2160="OP GRADO - INGLÉS",17,"")))))</f>
        <v>31</v>
      </c>
      <c r="X2160" t="s">
        <v>3938</v>
      </c>
    </row>
    <row r="2161" spans="1:24" ht="15" x14ac:dyDescent="0.35">
      <c r="A2161" s="4">
        <v>45947.450243055559</v>
      </c>
      <c r="B2161">
        <v>20100869</v>
      </c>
      <c r="C2161" s="5" t="s">
        <v>19</v>
      </c>
      <c r="D2161">
        <v>568774</v>
      </c>
      <c r="E2161" t="s">
        <v>20</v>
      </c>
      <c r="F2161">
        <v>1044432508</v>
      </c>
      <c r="G2161" t="s">
        <v>141</v>
      </c>
      <c r="H2161">
        <v>100232944</v>
      </c>
      <c r="I2161">
        <v>202610</v>
      </c>
      <c r="J2161">
        <v>1130271761</v>
      </c>
      <c r="K2161" t="s">
        <v>23</v>
      </c>
      <c r="L2161" t="s">
        <v>79</v>
      </c>
      <c r="M2161" t="s">
        <v>24</v>
      </c>
      <c r="N2161" t="s">
        <v>35</v>
      </c>
      <c r="O2161" t="s">
        <v>26</v>
      </c>
      <c r="P2161" t="s">
        <v>27</v>
      </c>
      <c r="Q2161" t="s">
        <v>28</v>
      </c>
      <c r="R2161" t="s">
        <v>29</v>
      </c>
      <c r="S2161" t="s">
        <v>30</v>
      </c>
      <c r="T2161">
        <v>1015482247</v>
      </c>
      <c r="U2161" t="s">
        <v>3944</v>
      </c>
      <c r="V2161" t="s">
        <v>3934</v>
      </c>
      <c r="W2161" s="9">
        <f>IF(V2161="pregrado",31,
IF(V2161="posgrados",31,
IF(V2161="rEINTEGROS",7,
IF(V2161="BIT",90,
IF(V2161="OP GRADO - INGLÉS",17,"")))))</f>
        <v>31</v>
      </c>
      <c r="X2161" t="s">
        <v>3984</v>
      </c>
    </row>
    <row r="2162" spans="1:24" ht="15" x14ac:dyDescent="0.35">
      <c r="A2162" s="4">
        <v>45946.574699074074</v>
      </c>
      <c r="B2162">
        <v>20100694</v>
      </c>
      <c r="C2162" s="5" t="s">
        <v>19</v>
      </c>
      <c r="D2162">
        <v>568799</v>
      </c>
      <c r="E2162" t="s">
        <v>20</v>
      </c>
      <c r="F2162">
        <v>1112102383</v>
      </c>
      <c r="G2162" t="s">
        <v>137</v>
      </c>
      <c r="H2162">
        <v>100232971</v>
      </c>
      <c r="I2162">
        <v>202631</v>
      </c>
      <c r="J2162">
        <v>1117018106</v>
      </c>
      <c r="K2162" t="s">
        <v>23</v>
      </c>
      <c r="L2162" t="s">
        <v>42</v>
      </c>
      <c r="M2162" t="s">
        <v>24</v>
      </c>
      <c r="N2162" t="s">
        <v>25</v>
      </c>
      <c r="O2162" t="s">
        <v>26</v>
      </c>
      <c r="P2162" t="s">
        <v>27</v>
      </c>
      <c r="Q2162" t="s">
        <v>28</v>
      </c>
      <c r="R2162" t="s">
        <v>29</v>
      </c>
      <c r="S2162" t="s">
        <v>30</v>
      </c>
      <c r="T2162">
        <v>1000625316</v>
      </c>
      <c r="U2162" t="s">
        <v>3944</v>
      </c>
      <c r="V2162" t="s">
        <v>3934</v>
      </c>
      <c r="W2162" s="9">
        <f>IF(V2162="pregrado",31,
IF(V2162="posgrados",31,
IF(V2162="rEINTEGROS",7,
IF(V2162="BIT",90,
IF(V2162="OP GRADO - INGLÉS",17,"")))))</f>
        <v>31</v>
      </c>
      <c r="X2162" t="s">
        <v>3980</v>
      </c>
    </row>
    <row r="2163" spans="1:24" ht="15" x14ac:dyDescent="0.35">
      <c r="A2163" s="4">
        <v>45945.42392361111</v>
      </c>
      <c r="B2163">
        <v>20100312</v>
      </c>
      <c r="C2163" s="5" t="s">
        <v>19</v>
      </c>
      <c r="D2163">
        <v>568860</v>
      </c>
      <c r="E2163" t="s">
        <v>20</v>
      </c>
      <c r="F2163">
        <v>1010211461</v>
      </c>
      <c r="G2163" t="s">
        <v>128</v>
      </c>
      <c r="H2163">
        <v>100232104</v>
      </c>
      <c r="I2163">
        <v>202631</v>
      </c>
      <c r="J2163">
        <v>1010211461</v>
      </c>
      <c r="K2163" t="s">
        <v>23</v>
      </c>
      <c r="L2163" t="s">
        <v>42</v>
      </c>
      <c r="M2163" t="s">
        <v>24</v>
      </c>
      <c r="N2163" t="s">
        <v>35</v>
      </c>
      <c r="O2163" t="s">
        <v>26</v>
      </c>
      <c r="P2163" t="s">
        <v>27</v>
      </c>
      <c r="Q2163" t="s">
        <v>28</v>
      </c>
      <c r="R2163" t="s">
        <v>29</v>
      </c>
      <c r="S2163" t="s">
        <v>30</v>
      </c>
      <c r="T2163">
        <v>1000001980</v>
      </c>
      <c r="U2163" t="s">
        <v>3944</v>
      </c>
      <c r="V2163" t="s">
        <v>3934</v>
      </c>
      <c r="W2163" s="9">
        <f>IF(V2163="pregrado",31,
IF(V2163="posgrados",31,
IF(V2163="rEINTEGROS",7,
IF(V2163="BIT",90,
IF(V2163="OP GRADO - INGLÉS",17,"")))))</f>
        <v>31</v>
      </c>
      <c r="X2163" t="s">
        <v>3968</v>
      </c>
    </row>
    <row r="2164" spans="1:24" ht="15" x14ac:dyDescent="0.35">
      <c r="A2164" s="4">
        <v>45945.517812500002</v>
      </c>
      <c r="B2164">
        <v>20100373</v>
      </c>
      <c r="C2164" s="5" t="s">
        <v>19</v>
      </c>
      <c r="D2164">
        <v>568863</v>
      </c>
      <c r="E2164" t="s">
        <v>20</v>
      </c>
      <c r="F2164">
        <v>52916305</v>
      </c>
      <c r="G2164" t="s">
        <v>130</v>
      </c>
      <c r="H2164">
        <v>100232789</v>
      </c>
      <c r="I2164">
        <v>202610</v>
      </c>
      <c r="J2164">
        <v>1141716474</v>
      </c>
      <c r="K2164" t="s">
        <v>23</v>
      </c>
      <c r="L2164" t="s">
        <v>96</v>
      </c>
      <c r="M2164" t="s">
        <v>24</v>
      </c>
      <c r="N2164" t="s">
        <v>35</v>
      </c>
      <c r="O2164" t="s">
        <v>26</v>
      </c>
      <c r="P2164" t="s">
        <v>27</v>
      </c>
      <c r="Q2164" t="s">
        <v>28</v>
      </c>
      <c r="R2164" t="s">
        <v>29</v>
      </c>
      <c r="S2164" t="s">
        <v>30</v>
      </c>
      <c r="T2164">
        <v>1000001980</v>
      </c>
      <c r="U2164" t="s">
        <v>3944</v>
      </c>
      <c r="V2164" t="s">
        <v>3934</v>
      </c>
      <c r="W2164" s="9">
        <f>IF(V2164="pregrado",31,
IF(V2164="posgrados",31,
IF(V2164="rEINTEGROS",7,
IF(V2164="BIT",90,
IF(V2164="OP GRADO - INGLÉS",17,"")))))</f>
        <v>31</v>
      </c>
      <c r="X2164" t="s">
        <v>3968</v>
      </c>
    </row>
    <row r="2165" spans="1:24" ht="15" x14ac:dyDescent="0.35">
      <c r="A2165" s="4">
        <v>45946.726342592592</v>
      </c>
      <c r="B2165">
        <v>20100792</v>
      </c>
      <c r="C2165" s="5" t="s">
        <v>19</v>
      </c>
      <c r="D2165">
        <v>568875</v>
      </c>
      <c r="E2165" t="s">
        <v>20</v>
      </c>
      <c r="F2165">
        <v>1127383887</v>
      </c>
      <c r="G2165" t="s">
        <v>138</v>
      </c>
      <c r="H2165">
        <v>100233047</v>
      </c>
      <c r="I2165">
        <v>202631</v>
      </c>
      <c r="J2165">
        <v>1127385471</v>
      </c>
      <c r="K2165" t="s">
        <v>23</v>
      </c>
      <c r="L2165" t="s">
        <v>32</v>
      </c>
      <c r="M2165" t="s">
        <v>24</v>
      </c>
      <c r="N2165" t="s">
        <v>35</v>
      </c>
      <c r="O2165" t="s">
        <v>26</v>
      </c>
      <c r="P2165" t="s">
        <v>27</v>
      </c>
      <c r="Q2165" t="s">
        <v>28</v>
      </c>
      <c r="R2165" t="s">
        <v>29</v>
      </c>
      <c r="S2165" t="s">
        <v>30</v>
      </c>
      <c r="T2165">
        <v>1000120140</v>
      </c>
      <c r="U2165" t="s">
        <v>3936</v>
      </c>
      <c r="V2165" t="s">
        <v>3937</v>
      </c>
      <c r="W2165" s="9">
        <f>IF(V2165="pregrado",31,
IF(V2165="posgrados",31,
IF(V2165="rEINTEGROS",7,
IF(V2165="BIT",90,
IF(V2165="OP GRADO - INGLÉS",17,"")))))</f>
        <v>31</v>
      </c>
      <c r="X2165" t="s">
        <v>3935</v>
      </c>
    </row>
    <row r="2166" spans="1:24" ht="15" x14ac:dyDescent="0.35">
      <c r="A2166" s="4">
        <v>45961.44736111111</v>
      </c>
      <c r="B2166">
        <v>20103107</v>
      </c>
      <c r="C2166" s="5" t="s">
        <v>19</v>
      </c>
      <c r="D2166">
        <v>568925</v>
      </c>
      <c r="E2166" t="s">
        <v>20</v>
      </c>
      <c r="F2166">
        <v>1024585298</v>
      </c>
      <c r="G2166" t="s">
        <v>197</v>
      </c>
      <c r="H2166">
        <v>100233112</v>
      </c>
      <c r="I2166">
        <v>202631</v>
      </c>
      <c r="J2166">
        <v>1023362305</v>
      </c>
      <c r="K2166" t="s">
        <v>33</v>
      </c>
      <c r="L2166" t="s">
        <v>42</v>
      </c>
      <c r="M2166" t="s">
        <v>24</v>
      </c>
      <c r="N2166" t="s">
        <v>25</v>
      </c>
      <c r="O2166" t="s">
        <v>26</v>
      </c>
      <c r="P2166" t="s">
        <v>27</v>
      </c>
      <c r="Q2166" t="s">
        <v>28</v>
      </c>
      <c r="R2166" t="s">
        <v>29</v>
      </c>
      <c r="S2166" t="s">
        <v>30</v>
      </c>
      <c r="T2166">
        <v>1000120140</v>
      </c>
      <c r="U2166" t="s">
        <v>3936</v>
      </c>
      <c r="V2166" t="s">
        <v>3937</v>
      </c>
      <c r="W2166" s="9">
        <f>IF(V2166="pregrado",31,
IF(V2166="posgrados",31,
IF(V2166="rEINTEGROS",7,
IF(V2166="BIT",90,
IF(V2166="OP GRADO - INGLÉS",17,"")))))</f>
        <v>31</v>
      </c>
      <c r="X2166" t="s">
        <v>3935</v>
      </c>
    </row>
    <row r="2167" spans="1:24" ht="15" x14ac:dyDescent="0.35">
      <c r="A2167" s="4">
        <v>45974.477361111109</v>
      </c>
      <c r="B2167">
        <v>20104051</v>
      </c>
      <c r="C2167" s="5" t="s">
        <v>19</v>
      </c>
      <c r="D2167">
        <v>568928</v>
      </c>
      <c r="E2167" t="s">
        <v>20</v>
      </c>
      <c r="F2167">
        <v>13067481</v>
      </c>
      <c r="G2167" t="s">
        <v>334</v>
      </c>
      <c r="H2167">
        <v>200052922</v>
      </c>
      <c r="I2167">
        <v>202631</v>
      </c>
      <c r="J2167">
        <v>1007736290</v>
      </c>
      <c r="K2167" t="s">
        <v>23</v>
      </c>
      <c r="L2167" t="s">
        <v>22</v>
      </c>
      <c r="M2167" t="s">
        <v>24</v>
      </c>
      <c r="N2167" t="s">
        <v>35</v>
      </c>
      <c r="O2167" t="s">
        <v>26</v>
      </c>
      <c r="P2167" t="s">
        <v>27</v>
      </c>
      <c r="Q2167" t="s">
        <v>28</v>
      </c>
      <c r="R2167" t="s">
        <v>29</v>
      </c>
      <c r="S2167" t="s">
        <v>30</v>
      </c>
      <c r="T2167">
        <v>1010240716</v>
      </c>
      <c r="U2167" t="s">
        <v>3939</v>
      </c>
      <c r="V2167" t="s">
        <v>3934</v>
      </c>
      <c r="W2167" s="9">
        <f>IF(V2167="pregrado",31,
IF(V2167="posgrados",31,
IF(V2167="rEINTEGROS",7,
IF(V2167="BIT",90,
IF(V2167="OP GRADO - INGLÉS",17,"")))))</f>
        <v>31</v>
      </c>
      <c r="X2167" t="s">
        <v>3938</v>
      </c>
    </row>
    <row r="2168" spans="1:24" ht="15" x14ac:dyDescent="0.35">
      <c r="A2168" s="4">
        <v>45945.797951388886</v>
      </c>
      <c r="B2168">
        <v>20100544</v>
      </c>
      <c r="C2168" s="5" t="s">
        <v>19</v>
      </c>
      <c r="D2168">
        <v>568934</v>
      </c>
      <c r="E2168" t="s">
        <v>20</v>
      </c>
      <c r="F2168">
        <v>80852304</v>
      </c>
      <c r="G2168" t="s">
        <v>136</v>
      </c>
      <c r="H2168">
        <v>100233078</v>
      </c>
      <c r="I2168">
        <v>202631</v>
      </c>
      <c r="J2168">
        <v>80852304</v>
      </c>
      <c r="K2168" t="s">
        <v>33</v>
      </c>
      <c r="L2168" t="s">
        <v>32</v>
      </c>
      <c r="M2168" t="s">
        <v>24</v>
      </c>
      <c r="N2168" t="s">
        <v>25</v>
      </c>
      <c r="O2168" t="s">
        <v>26</v>
      </c>
      <c r="P2168" t="s">
        <v>27</v>
      </c>
      <c r="Q2168" t="s">
        <v>28</v>
      </c>
      <c r="R2168" t="s">
        <v>29</v>
      </c>
      <c r="S2168" t="s">
        <v>30</v>
      </c>
      <c r="T2168">
        <v>10123971531</v>
      </c>
      <c r="U2168" t="s">
        <v>3944</v>
      </c>
      <c r="V2168" t="s">
        <v>3934</v>
      </c>
      <c r="W2168" s="9">
        <f>IF(V2168="pregrado",31,
IF(V2168="posgrados",31,
IF(V2168="rEINTEGROS",7,
IF(V2168="BIT",90,
IF(V2168="OP GRADO - INGLÉS",17,"")))))</f>
        <v>31</v>
      </c>
      <c r="X2168" t="s">
        <v>3943</v>
      </c>
    </row>
    <row r="2169" spans="1:24" ht="15" x14ac:dyDescent="0.35">
      <c r="A2169" s="4">
        <v>45950.670451388891</v>
      </c>
      <c r="B2169">
        <v>20101264</v>
      </c>
      <c r="C2169" s="5" t="s">
        <v>19</v>
      </c>
      <c r="D2169">
        <v>568969</v>
      </c>
      <c r="E2169" t="s">
        <v>20</v>
      </c>
      <c r="F2169">
        <v>1013262114</v>
      </c>
      <c r="G2169" t="s">
        <v>147</v>
      </c>
      <c r="H2169">
        <v>100233149</v>
      </c>
      <c r="I2169">
        <v>202631</v>
      </c>
      <c r="J2169">
        <v>1013262114</v>
      </c>
      <c r="K2169" t="s">
        <v>23</v>
      </c>
      <c r="L2169" t="s">
        <v>86</v>
      </c>
      <c r="M2169" t="s">
        <v>87</v>
      </c>
      <c r="N2169" t="s">
        <v>35</v>
      </c>
      <c r="O2169" t="s">
        <v>26</v>
      </c>
      <c r="P2169" t="s">
        <v>27</v>
      </c>
      <c r="Q2169" t="s">
        <v>28</v>
      </c>
      <c r="R2169" t="s">
        <v>29</v>
      </c>
      <c r="S2169" t="s">
        <v>30</v>
      </c>
      <c r="T2169">
        <v>1030525993</v>
      </c>
      <c r="U2169" t="s">
        <v>3933</v>
      </c>
      <c r="V2169" t="s">
        <v>3934</v>
      </c>
      <c r="W2169" s="9">
        <f>IF(V2169="pregrado",31,
IF(V2169="posgrados",31,
IF(V2169="rEINTEGROS",7,
IF(V2169="BIT",90,
IF(V2169="OP GRADO - INGLÉS",17,"")))))</f>
        <v>31</v>
      </c>
      <c r="X2169" t="s">
        <v>3956</v>
      </c>
    </row>
    <row r="2170" spans="1:24" ht="15" x14ac:dyDescent="0.35">
      <c r="A2170" s="4">
        <v>46055.67460648148</v>
      </c>
      <c r="B2170">
        <v>20119753</v>
      </c>
      <c r="C2170" s="6" t="s">
        <v>19</v>
      </c>
      <c r="D2170">
        <v>568992</v>
      </c>
      <c r="E2170" t="s">
        <v>20</v>
      </c>
      <c r="F2170">
        <v>1000733225</v>
      </c>
      <c r="G2170" t="s">
        <v>2659</v>
      </c>
      <c r="H2170">
        <v>100065819</v>
      </c>
      <c r="I2170">
        <v>202631</v>
      </c>
      <c r="J2170">
        <v>1000733225</v>
      </c>
      <c r="K2170" t="s">
        <v>89</v>
      </c>
      <c r="L2170" t="s">
        <v>119</v>
      </c>
      <c r="M2170" t="s">
        <v>24</v>
      </c>
      <c r="N2170" t="s">
        <v>35</v>
      </c>
      <c r="O2170" t="s">
        <v>26</v>
      </c>
      <c r="P2170" t="s">
        <v>27</v>
      </c>
      <c r="Q2170" t="s">
        <v>28</v>
      </c>
      <c r="R2170" t="s">
        <v>29</v>
      </c>
      <c r="S2170" t="s">
        <v>30</v>
      </c>
      <c r="T2170">
        <v>52168054</v>
      </c>
      <c r="U2170" t="s">
        <v>3977</v>
      </c>
      <c r="V2170" t="s">
        <v>3970</v>
      </c>
      <c r="W2170" s="9">
        <f>IF(V2170="pregrado",31,
IF(V2170="posgrados",31,
IF(V2170="rEINTEGROS",7,
IF(V2170="BIT",90,
IF(V2170="OP GRADO - INGLÉS",17,"")))))</f>
        <v>7</v>
      </c>
      <c r="X2170" t="s">
        <v>4057</v>
      </c>
    </row>
    <row r="2171" spans="1:24" ht="15" x14ac:dyDescent="0.35">
      <c r="A2171" s="4">
        <v>45951.690879629627</v>
      </c>
      <c r="B2171">
        <v>20101497</v>
      </c>
      <c r="C2171" s="5" t="s">
        <v>19</v>
      </c>
      <c r="D2171">
        <v>569024</v>
      </c>
      <c r="E2171" t="s">
        <v>20</v>
      </c>
      <c r="F2171">
        <v>1003823348</v>
      </c>
      <c r="G2171" t="s">
        <v>154</v>
      </c>
      <c r="H2171">
        <v>100233160</v>
      </c>
      <c r="I2171">
        <v>202631</v>
      </c>
      <c r="J2171">
        <v>1003823348</v>
      </c>
      <c r="K2171" t="s">
        <v>33</v>
      </c>
      <c r="L2171" t="s">
        <v>42</v>
      </c>
      <c r="M2171" t="s">
        <v>24</v>
      </c>
      <c r="N2171" t="s">
        <v>25</v>
      </c>
      <c r="O2171" t="s">
        <v>26</v>
      </c>
      <c r="P2171" t="s">
        <v>27</v>
      </c>
      <c r="Q2171" t="s">
        <v>28</v>
      </c>
      <c r="R2171" t="s">
        <v>29</v>
      </c>
      <c r="S2171" t="s">
        <v>30</v>
      </c>
      <c r="T2171">
        <v>1030525993</v>
      </c>
      <c r="U2171" t="s">
        <v>3933</v>
      </c>
      <c r="V2171" t="s">
        <v>3934</v>
      </c>
      <c r="W2171" s="9">
        <f>IF(V2171="pregrado",31,
IF(V2171="posgrados",31,
IF(V2171="rEINTEGROS",7,
IF(V2171="BIT",90,
IF(V2171="OP GRADO - INGLÉS",17,"")))))</f>
        <v>31</v>
      </c>
      <c r="X2171" t="s">
        <v>3956</v>
      </c>
    </row>
    <row r="2172" spans="1:24" ht="15" x14ac:dyDescent="0.35">
      <c r="A2172" s="4">
        <v>45958.403090277781</v>
      </c>
      <c r="B2172">
        <v>20102509</v>
      </c>
      <c r="C2172" s="5" t="s">
        <v>19</v>
      </c>
      <c r="D2172">
        <v>569030</v>
      </c>
      <c r="E2172" t="s">
        <v>20</v>
      </c>
      <c r="F2172">
        <v>1050542531</v>
      </c>
      <c r="G2172" t="s">
        <v>181</v>
      </c>
      <c r="H2172">
        <v>100233209</v>
      </c>
      <c r="I2172">
        <v>202610</v>
      </c>
      <c r="J2172">
        <v>1050545858</v>
      </c>
      <c r="K2172" t="s">
        <v>23</v>
      </c>
      <c r="L2172" t="s">
        <v>79</v>
      </c>
      <c r="M2172" t="s">
        <v>24</v>
      </c>
      <c r="N2172" t="s">
        <v>35</v>
      </c>
      <c r="O2172" t="s">
        <v>26</v>
      </c>
      <c r="P2172" t="s">
        <v>27</v>
      </c>
      <c r="Q2172" t="s">
        <v>28</v>
      </c>
      <c r="R2172" t="s">
        <v>29</v>
      </c>
      <c r="S2172" t="s">
        <v>30</v>
      </c>
      <c r="T2172">
        <v>1016095309</v>
      </c>
      <c r="U2172" t="s">
        <v>3986</v>
      </c>
      <c r="V2172" t="s">
        <v>3934</v>
      </c>
      <c r="W2172" s="9">
        <f>IF(V2172="pregrado",31,
IF(V2172="posgrados",31,
IF(V2172="rEINTEGROS",7,
IF(V2172="BIT",90,
IF(V2172="OP GRADO - INGLÉS",17,"")))))</f>
        <v>31</v>
      </c>
      <c r="X2172" t="s">
        <v>3985</v>
      </c>
    </row>
    <row r="2173" spans="1:24" ht="15" x14ac:dyDescent="0.35">
      <c r="A2173" s="4">
        <v>45947.670324074075</v>
      </c>
      <c r="B2173">
        <v>20100975</v>
      </c>
      <c r="C2173" s="5" t="s">
        <v>19</v>
      </c>
      <c r="D2173">
        <v>569055</v>
      </c>
      <c r="E2173" t="s">
        <v>20</v>
      </c>
      <c r="F2173">
        <v>1020714850</v>
      </c>
      <c r="G2173" t="s">
        <v>143</v>
      </c>
      <c r="H2173">
        <v>200053906</v>
      </c>
      <c r="I2173">
        <v>202631</v>
      </c>
      <c r="J2173">
        <v>1031813060</v>
      </c>
      <c r="K2173" t="s">
        <v>23</v>
      </c>
      <c r="L2173" t="s">
        <v>22</v>
      </c>
      <c r="M2173" t="s">
        <v>24</v>
      </c>
      <c r="N2173" t="s">
        <v>35</v>
      </c>
      <c r="O2173" t="s">
        <v>26</v>
      </c>
      <c r="P2173" t="s">
        <v>27</v>
      </c>
      <c r="Q2173" t="s">
        <v>28</v>
      </c>
      <c r="R2173" t="s">
        <v>29</v>
      </c>
      <c r="S2173" t="s">
        <v>30</v>
      </c>
      <c r="T2173">
        <v>10245841021</v>
      </c>
      <c r="U2173" t="s">
        <v>3933</v>
      </c>
      <c r="V2173" t="s">
        <v>3934</v>
      </c>
      <c r="W2173" s="9">
        <f>IF(V2173="pregrado",31,
IF(V2173="posgrados",31,
IF(V2173="rEINTEGROS",7,
IF(V2173="BIT",90,
IF(V2173="OP GRADO - INGLÉS",17,"")))))</f>
        <v>31</v>
      </c>
      <c r="X2173" t="s">
        <v>3987</v>
      </c>
    </row>
    <row r="2174" spans="1:24" ht="15" x14ac:dyDescent="0.35">
      <c r="A2174" s="4">
        <v>45952.472048611111</v>
      </c>
      <c r="B2174">
        <v>20101646</v>
      </c>
      <c r="C2174" s="5" t="s">
        <v>19</v>
      </c>
      <c r="D2174">
        <v>569097</v>
      </c>
      <c r="E2174" t="s">
        <v>20</v>
      </c>
      <c r="F2174">
        <v>52395524</v>
      </c>
      <c r="G2174" t="s">
        <v>162</v>
      </c>
      <c r="H2174">
        <v>100233294</v>
      </c>
      <c r="I2174">
        <v>202610</v>
      </c>
      <c r="J2174">
        <v>1014864009</v>
      </c>
      <c r="K2174" t="s">
        <v>23</v>
      </c>
      <c r="L2174" t="s">
        <v>62</v>
      </c>
      <c r="M2174" t="s">
        <v>24</v>
      </c>
      <c r="N2174" t="s">
        <v>35</v>
      </c>
      <c r="O2174" t="s">
        <v>26</v>
      </c>
      <c r="P2174" t="s">
        <v>27</v>
      </c>
      <c r="Q2174" t="s">
        <v>28</v>
      </c>
      <c r="R2174" t="s">
        <v>29</v>
      </c>
      <c r="S2174" t="s">
        <v>30</v>
      </c>
      <c r="T2174">
        <v>53040709</v>
      </c>
      <c r="U2174" t="s">
        <v>3963</v>
      </c>
      <c r="V2174" t="s">
        <v>3934</v>
      </c>
      <c r="W2174" s="9">
        <f>IF(V2174="pregrado",31,
IF(V2174="posgrados",31,
IF(V2174="rEINTEGROS",7,
IF(V2174="BIT",90,
IF(V2174="OP GRADO - INGLÉS",17,"")))))</f>
        <v>31</v>
      </c>
      <c r="X2174" t="s">
        <v>3994</v>
      </c>
    </row>
    <row r="2175" spans="1:24" ht="15" x14ac:dyDescent="0.35">
      <c r="A2175" s="4">
        <v>45951.539976851855</v>
      </c>
      <c r="B2175">
        <v>20101417</v>
      </c>
      <c r="C2175" s="5" t="s">
        <v>19</v>
      </c>
      <c r="D2175">
        <v>569100</v>
      </c>
      <c r="E2175" t="s">
        <v>20</v>
      </c>
      <c r="F2175">
        <v>1016594421</v>
      </c>
      <c r="G2175" t="s">
        <v>152</v>
      </c>
      <c r="H2175">
        <v>100233298</v>
      </c>
      <c r="I2175">
        <v>202610</v>
      </c>
      <c r="J2175">
        <v>1028780510</v>
      </c>
      <c r="K2175" t="s">
        <v>23</v>
      </c>
      <c r="L2175" t="s">
        <v>153</v>
      </c>
      <c r="M2175" t="s">
        <v>24</v>
      </c>
      <c r="N2175" t="s">
        <v>35</v>
      </c>
      <c r="O2175" t="s">
        <v>26</v>
      </c>
      <c r="P2175" t="s">
        <v>27</v>
      </c>
      <c r="Q2175" t="s">
        <v>28</v>
      </c>
      <c r="R2175" t="s">
        <v>29</v>
      </c>
      <c r="S2175" t="s">
        <v>30</v>
      </c>
      <c r="T2175">
        <v>53114739</v>
      </c>
      <c r="U2175" t="s">
        <v>3986</v>
      </c>
      <c r="V2175" t="s">
        <v>3934</v>
      </c>
      <c r="W2175" s="9">
        <f>IF(V2175="pregrado",31,
IF(V2175="posgrados",31,
IF(V2175="rEINTEGROS",7,
IF(V2175="BIT",90,
IF(V2175="OP GRADO - INGLÉS",17,"")))))</f>
        <v>31</v>
      </c>
      <c r="X2175" t="s">
        <v>4104</v>
      </c>
    </row>
    <row r="2176" spans="1:24" ht="15" x14ac:dyDescent="0.35">
      <c r="A2176" s="4">
        <v>45958.878379629627</v>
      </c>
      <c r="B2176">
        <v>20102668</v>
      </c>
      <c r="C2176" s="5" t="s">
        <v>19</v>
      </c>
      <c r="D2176">
        <v>569133</v>
      </c>
      <c r="E2176" t="s">
        <v>20</v>
      </c>
      <c r="F2176">
        <v>1012322671</v>
      </c>
      <c r="G2176" t="s">
        <v>185</v>
      </c>
      <c r="H2176">
        <v>200051116</v>
      </c>
      <c r="I2176">
        <v>202631</v>
      </c>
      <c r="J2176">
        <v>1012322671</v>
      </c>
      <c r="K2176" t="s">
        <v>33</v>
      </c>
      <c r="L2176" t="s">
        <v>22</v>
      </c>
      <c r="M2176" t="s">
        <v>24</v>
      </c>
      <c r="N2176" t="s">
        <v>35</v>
      </c>
      <c r="O2176" t="s">
        <v>26</v>
      </c>
      <c r="P2176" t="s">
        <v>27</v>
      </c>
      <c r="Q2176" t="s">
        <v>28</v>
      </c>
      <c r="R2176" t="s">
        <v>29</v>
      </c>
      <c r="S2176" t="s">
        <v>30</v>
      </c>
      <c r="T2176">
        <v>1015482247</v>
      </c>
      <c r="U2176" t="s">
        <v>3944</v>
      </c>
      <c r="V2176" t="s">
        <v>3934</v>
      </c>
      <c r="W2176" s="9">
        <f>IF(V2176="pregrado",31,
IF(V2176="posgrados",31,
IF(V2176="rEINTEGROS",7,
IF(V2176="BIT",90,
IF(V2176="OP GRADO - INGLÉS",17,"")))))</f>
        <v>31</v>
      </c>
      <c r="X2176" t="s">
        <v>3984</v>
      </c>
    </row>
    <row r="2177" spans="1:24" ht="15" x14ac:dyDescent="0.35">
      <c r="A2177" s="4">
        <v>45951.419502314813</v>
      </c>
      <c r="B2177">
        <v>20101369</v>
      </c>
      <c r="C2177" s="5" t="s">
        <v>19</v>
      </c>
      <c r="D2177">
        <v>569145</v>
      </c>
      <c r="E2177" t="s">
        <v>20</v>
      </c>
      <c r="F2177">
        <v>1031643301</v>
      </c>
      <c r="G2177" t="s">
        <v>149</v>
      </c>
      <c r="H2177">
        <v>100225774</v>
      </c>
      <c r="I2177">
        <v>202610</v>
      </c>
      <c r="J2177">
        <v>1031643301</v>
      </c>
      <c r="K2177" t="s">
        <v>33</v>
      </c>
      <c r="L2177" t="s">
        <v>40</v>
      </c>
      <c r="M2177" t="s">
        <v>24</v>
      </c>
      <c r="N2177" t="s">
        <v>25</v>
      </c>
      <c r="O2177" t="s">
        <v>26</v>
      </c>
      <c r="P2177" t="s">
        <v>27</v>
      </c>
      <c r="Q2177" t="s">
        <v>28</v>
      </c>
      <c r="R2177" t="s">
        <v>29</v>
      </c>
      <c r="S2177" t="s">
        <v>30</v>
      </c>
      <c r="T2177">
        <v>1023000938</v>
      </c>
      <c r="U2177" t="s">
        <v>3941</v>
      </c>
      <c r="V2177" t="s">
        <v>3934</v>
      </c>
      <c r="W2177" s="9">
        <f>IF(V2177="pregrado",31,
IF(V2177="posgrados",31,
IF(V2177="rEINTEGROS",7,
IF(V2177="BIT",90,
IF(V2177="OP GRADO - INGLÉS",17,"")))))</f>
        <v>31</v>
      </c>
      <c r="X2177" t="s">
        <v>3989</v>
      </c>
    </row>
    <row r="2178" spans="1:24" ht="15" x14ac:dyDescent="0.35">
      <c r="A2178" s="4">
        <v>45947.7106712963</v>
      </c>
      <c r="B2178">
        <v>20101008</v>
      </c>
      <c r="C2178" s="5" t="s">
        <v>19</v>
      </c>
      <c r="D2178">
        <v>569146</v>
      </c>
      <c r="E2178" t="s">
        <v>20</v>
      </c>
      <c r="F2178">
        <v>1023916285</v>
      </c>
      <c r="G2178" t="s">
        <v>145</v>
      </c>
      <c r="H2178">
        <v>100233135</v>
      </c>
      <c r="I2178">
        <v>202610</v>
      </c>
      <c r="J2178">
        <v>1028885720</v>
      </c>
      <c r="K2178" t="s">
        <v>23</v>
      </c>
      <c r="L2178" t="s">
        <v>49</v>
      </c>
      <c r="M2178" t="s">
        <v>24</v>
      </c>
      <c r="N2178" t="s">
        <v>35</v>
      </c>
      <c r="O2178" t="s">
        <v>26</v>
      </c>
      <c r="P2178" t="s">
        <v>27</v>
      </c>
      <c r="Q2178" t="s">
        <v>28</v>
      </c>
      <c r="R2178" t="s">
        <v>29</v>
      </c>
      <c r="S2178" t="s">
        <v>30</v>
      </c>
      <c r="T2178">
        <v>1000625316</v>
      </c>
      <c r="U2178" t="s">
        <v>3944</v>
      </c>
      <c r="V2178" t="s">
        <v>3934</v>
      </c>
      <c r="W2178" s="9">
        <f>IF(V2178="pregrado",31,
IF(V2178="posgrados",31,
IF(V2178="rEINTEGROS",7,
IF(V2178="BIT",90,
IF(V2178="OP GRADO - INGLÉS",17,"")))))</f>
        <v>31</v>
      </c>
      <c r="X2178" t="s">
        <v>3980</v>
      </c>
    </row>
    <row r="2179" spans="1:24" ht="15" x14ac:dyDescent="0.35">
      <c r="A2179" s="4">
        <v>45950.524976851855</v>
      </c>
      <c r="B2179">
        <v>20101215</v>
      </c>
      <c r="C2179" s="5" t="s">
        <v>19</v>
      </c>
      <c r="D2179">
        <v>569183</v>
      </c>
      <c r="E2179" t="s">
        <v>20</v>
      </c>
      <c r="F2179">
        <v>1023013326</v>
      </c>
      <c r="G2179" t="s">
        <v>146</v>
      </c>
      <c r="H2179">
        <v>100233398</v>
      </c>
      <c r="I2179">
        <v>202631</v>
      </c>
      <c r="J2179">
        <v>1023013326</v>
      </c>
      <c r="K2179" t="s">
        <v>23</v>
      </c>
      <c r="L2179" t="s">
        <v>32</v>
      </c>
      <c r="M2179" t="s">
        <v>24</v>
      </c>
      <c r="N2179" t="s">
        <v>35</v>
      </c>
      <c r="O2179" t="s">
        <v>26</v>
      </c>
      <c r="P2179" t="s">
        <v>27</v>
      </c>
      <c r="Q2179" t="s">
        <v>28</v>
      </c>
      <c r="R2179" t="s">
        <v>29</v>
      </c>
      <c r="S2179" t="s">
        <v>30</v>
      </c>
      <c r="T2179">
        <v>1057586591</v>
      </c>
      <c r="U2179" t="s">
        <v>3963</v>
      </c>
      <c r="V2179" t="s">
        <v>3934</v>
      </c>
      <c r="W2179" s="9">
        <f>IF(V2179="pregrado",31,
IF(V2179="posgrados",31,
IF(V2179="rEINTEGROS",7,
IF(V2179="BIT",90,
IF(V2179="OP GRADO - INGLÉS",17,"")))))</f>
        <v>31</v>
      </c>
      <c r="X2179" t="s">
        <v>3988</v>
      </c>
    </row>
    <row r="2180" spans="1:24" ht="15" x14ac:dyDescent="0.35">
      <c r="A2180" s="4">
        <v>45960.828518518516</v>
      </c>
      <c r="B2180">
        <v>20103050</v>
      </c>
      <c r="C2180" s="5" t="s">
        <v>19</v>
      </c>
      <c r="D2180">
        <v>569236</v>
      </c>
      <c r="E2180" t="s">
        <v>20</v>
      </c>
      <c r="F2180">
        <v>1000036782</v>
      </c>
      <c r="G2180" t="s">
        <v>195</v>
      </c>
      <c r="H2180">
        <v>100178503</v>
      </c>
      <c r="I2180">
        <v>202631</v>
      </c>
      <c r="J2180">
        <v>1000036782</v>
      </c>
      <c r="K2180" t="s">
        <v>33</v>
      </c>
      <c r="L2180" t="s">
        <v>42</v>
      </c>
      <c r="M2180" t="s">
        <v>24</v>
      </c>
      <c r="N2180" t="s">
        <v>25</v>
      </c>
      <c r="O2180" t="s">
        <v>26</v>
      </c>
      <c r="P2180" t="s">
        <v>27</v>
      </c>
      <c r="Q2180" t="s">
        <v>28</v>
      </c>
      <c r="R2180" t="s">
        <v>29</v>
      </c>
      <c r="S2180" t="s">
        <v>30</v>
      </c>
      <c r="T2180">
        <v>10123971531</v>
      </c>
      <c r="U2180" t="s">
        <v>3944</v>
      </c>
      <c r="V2180" t="s">
        <v>3934</v>
      </c>
      <c r="W2180" s="9">
        <f>IF(V2180="pregrado",31,
IF(V2180="posgrados",31,
IF(V2180="rEINTEGROS",7,
IF(V2180="BIT",90,
IF(V2180="OP GRADO - INGLÉS",17,"")))))</f>
        <v>31</v>
      </c>
      <c r="X2180" t="s">
        <v>3943</v>
      </c>
    </row>
    <row r="2181" spans="1:24" ht="15" x14ac:dyDescent="0.35">
      <c r="A2181" s="4">
        <v>45951.469872685186</v>
      </c>
      <c r="B2181">
        <v>20101399</v>
      </c>
      <c r="C2181" s="5" t="s">
        <v>19</v>
      </c>
      <c r="D2181">
        <v>569256</v>
      </c>
      <c r="E2181" t="s">
        <v>20</v>
      </c>
      <c r="F2181">
        <v>1024581399</v>
      </c>
      <c r="G2181" t="s">
        <v>151</v>
      </c>
      <c r="H2181">
        <v>100233482</v>
      </c>
      <c r="I2181">
        <v>202631</v>
      </c>
      <c r="J2181">
        <v>1024581399</v>
      </c>
      <c r="K2181" t="s">
        <v>23</v>
      </c>
      <c r="L2181" t="s">
        <v>65</v>
      </c>
      <c r="M2181" t="s">
        <v>24</v>
      </c>
      <c r="N2181" t="s">
        <v>35</v>
      </c>
      <c r="O2181" t="s">
        <v>26</v>
      </c>
      <c r="P2181" t="s">
        <v>27</v>
      </c>
      <c r="Q2181" t="s">
        <v>28</v>
      </c>
      <c r="R2181" t="s">
        <v>29</v>
      </c>
      <c r="S2181" t="s">
        <v>30</v>
      </c>
      <c r="T2181">
        <v>1013595695</v>
      </c>
      <c r="U2181" t="s">
        <v>3933</v>
      </c>
      <c r="V2181" t="s">
        <v>3934</v>
      </c>
      <c r="W2181" s="9">
        <f>IF(V2181="pregrado",31,
IF(V2181="posgrados",31,
IF(V2181="rEINTEGROS",7,
IF(V2181="BIT",90,
IF(V2181="OP GRADO - INGLÉS",17,"")))))</f>
        <v>31</v>
      </c>
      <c r="X2181" t="s">
        <v>3990</v>
      </c>
    </row>
    <row r="2182" spans="1:24" ht="15" x14ac:dyDescent="0.35">
      <c r="A2182" s="4">
        <v>45967.445324074077</v>
      </c>
      <c r="B2182">
        <v>20103539</v>
      </c>
      <c r="C2182" s="5" t="s">
        <v>19</v>
      </c>
      <c r="D2182">
        <v>569272</v>
      </c>
      <c r="E2182" t="s">
        <v>20</v>
      </c>
      <c r="F2182">
        <v>1000471578</v>
      </c>
      <c r="G2182" t="s">
        <v>229</v>
      </c>
      <c r="H2182">
        <v>100233498</v>
      </c>
      <c r="I2182">
        <v>202610</v>
      </c>
      <c r="J2182">
        <v>1000471578</v>
      </c>
      <c r="K2182" t="s">
        <v>33</v>
      </c>
      <c r="L2182" t="s">
        <v>79</v>
      </c>
      <c r="M2182" t="s">
        <v>24</v>
      </c>
      <c r="N2182" t="s">
        <v>38</v>
      </c>
      <c r="O2182" t="s">
        <v>26</v>
      </c>
      <c r="P2182" t="s">
        <v>27</v>
      </c>
      <c r="Q2182" t="s">
        <v>28</v>
      </c>
      <c r="R2182" t="s">
        <v>29</v>
      </c>
      <c r="S2182" t="s">
        <v>30</v>
      </c>
      <c r="T2182">
        <v>53040709</v>
      </c>
      <c r="U2182" t="s">
        <v>3963</v>
      </c>
      <c r="V2182" t="s">
        <v>3934</v>
      </c>
      <c r="W2182" s="9">
        <f>IF(V2182="pregrado",31,
IF(V2182="posgrados",31,
IF(V2182="rEINTEGROS",7,
IF(V2182="BIT",90,
IF(V2182="OP GRADO - INGLÉS",17,"")))))</f>
        <v>31</v>
      </c>
      <c r="X2182" t="s">
        <v>3994</v>
      </c>
    </row>
    <row r="2183" spans="1:24" ht="15" x14ac:dyDescent="0.35">
      <c r="A2183" s="4">
        <v>45951.443414351852</v>
      </c>
      <c r="B2183">
        <v>20101382</v>
      </c>
      <c r="C2183" s="5" t="s">
        <v>19</v>
      </c>
      <c r="D2183">
        <v>569280</v>
      </c>
      <c r="E2183" t="s">
        <v>20</v>
      </c>
      <c r="F2183">
        <v>1065853419</v>
      </c>
      <c r="G2183" t="s">
        <v>150</v>
      </c>
      <c r="H2183">
        <v>100124975</v>
      </c>
      <c r="I2183">
        <v>202611</v>
      </c>
      <c r="J2183">
        <v>1086298140</v>
      </c>
      <c r="K2183" t="s">
        <v>89</v>
      </c>
      <c r="L2183" t="s">
        <v>133</v>
      </c>
      <c r="M2183" t="s">
        <v>24</v>
      </c>
      <c r="N2183">
        <v>0</v>
      </c>
      <c r="O2183" t="s">
        <v>26</v>
      </c>
      <c r="P2183" t="s">
        <v>27</v>
      </c>
      <c r="Q2183" t="s">
        <v>28</v>
      </c>
      <c r="R2183" t="s">
        <v>29</v>
      </c>
      <c r="S2183" t="s">
        <v>30</v>
      </c>
      <c r="T2183">
        <v>1023899450</v>
      </c>
      <c r="U2183" t="s">
        <v>3969</v>
      </c>
      <c r="V2183" t="s">
        <v>3970</v>
      </c>
      <c r="W2183" s="9">
        <f>IF(V2183="pregrado",31,
IF(V2183="posgrados",31,
IF(V2183="rEINTEGROS",7,
IF(V2183="BIT",90,
IF(V2183="OP GRADO - INGLÉS",17,"")))))</f>
        <v>7</v>
      </c>
      <c r="X2183" t="s">
        <v>3969</v>
      </c>
    </row>
    <row r="2184" spans="1:24" ht="15" x14ac:dyDescent="0.35">
      <c r="A2184" s="4">
        <v>45951.384745370371</v>
      </c>
      <c r="B2184">
        <v>20101358</v>
      </c>
      <c r="C2184" s="5" t="s">
        <v>19</v>
      </c>
      <c r="D2184">
        <v>569281</v>
      </c>
      <c r="E2184" t="s">
        <v>20</v>
      </c>
      <c r="F2184">
        <v>1002058892</v>
      </c>
      <c r="G2184" t="s">
        <v>148</v>
      </c>
      <c r="H2184">
        <v>100194149</v>
      </c>
      <c r="I2184">
        <v>202631</v>
      </c>
      <c r="J2184">
        <v>1002058892</v>
      </c>
      <c r="K2184" t="s">
        <v>89</v>
      </c>
      <c r="L2184" t="s">
        <v>127</v>
      </c>
      <c r="M2184" t="s">
        <v>24</v>
      </c>
      <c r="N2184" t="s">
        <v>25</v>
      </c>
      <c r="O2184" t="s">
        <v>26</v>
      </c>
      <c r="P2184" t="s">
        <v>27</v>
      </c>
      <c r="Q2184" t="s">
        <v>28</v>
      </c>
      <c r="R2184" t="s">
        <v>29</v>
      </c>
      <c r="S2184" t="s">
        <v>30</v>
      </c>
      <c r="T2184">
        <v>1023899450</v>
      </c>
      <c r="U2184" t="s">
        <v>3969</v>
      </c>
      <c r="V2184" t="s">
        <v>3970</v>
      </c>
      <c r="W2184" s="9">
        <f>IF(V2184="pregrado",31,
IF(V2184="posgrados",31,
IF(V2184="rEINTEGROS",7,
IF(V2184="BIT",90,
IF(V2184="OP GRADO - INGLÉS",17,"")))))</f>
        <v>7</v>
      </c>
      <c r="X2184" t="s">
        <v>3969</v>
      </c>
    </row>
    <row r="2185" spans="1:24" ht="15" x14ac:dyDescent="0.35">
      <c r="A2185" s="4">
        <v>45953.312465277777</v>
      </c>
      <c r="B2185">
        <v>20101810</v>
      </c>
      <c r="C2185" s="5" t="s">
        <v>19</v>
      </c>
      <c r="D2185">
        <v>569316</v>
      </c>
      <c r="E2185" t="s">
        <v>20</v>
      </c>
      <c r="F2185">
        <v>1061198341</v>
      </c>
      <c r="G2185" t="s">
        <v>167</v>
      </c>
      <c r="H2185">
        <v>100233543</v>
      </c>
      <c r="I2185">
        <v>202610</v>
      </c>
      <c r="J2185">
        <v>1061198341</v>
      </c>
      <c r="K2185" t="s">
        <v>33</v>
      </c>
      <c r="L2185" t="s">
        <v>37</v>
      </c>
      <c r="M2185" t="s">
        <v>24</v>
      </c>
      <c r="N2185" t="s">
        <v>38</v>
      </c>
      <c r="O2185" t="s">
        <v>26</v>
      </c>
      <c r="P2185" t="s">
        <v>27</v>
      </c>
      <c r="Q2185" t="s">
        <v>28</v>
      </c>
      <c r="R2185" t="s">
        <v>29</v>
      </c>
      <c r="S2185" t="s">
        <v>30</v>
      </c>
      <c r="T2185">
        <v>1118531834</v>
      </c>
      <c r="U2185" t="s">
        <v>3941</v>
      </c>
      <c r="V2185" t="s">
        <v>3934</v>
      </c>
      <c r="W2185" s="9">
        <f>IF(V2185="pregrado",31,
IF(V2185="posgrados",31,
IF(V2185="rEINTEGROS",7,
IF(V2185="BIT",90,
IF(V2185="OP GRADO - INGLÉS",17,"")))))</f>
        <v>31</v>
      </c>
      <c r="X2185" t="s">
        <v>3996</v>
      </c>
    </row>
    <row r="2186" spans="1:24" ht="15" x14ac:dyDescent="0.35">
      <c r="A2186" s="4">
        <v>45952.431585648148</v>
      </c>
      <c r="B2186">
        <v>20101615</v>
      </c>
      <c r="C2186" s="5" t="s">
        <v>19</v>
      </c>
      <c r="D2186">
        <v>569321</v>
      </c>
      <c r="E2186" t="s">
        <v>20</v>
      </c>
      <c r="F2186">
        <v>9693251</v>
      </c>
      <c r="G2186" t="s">
        <v>158</v>
      </c>
      <c r="H2186">
        <v>100233547</v>
      </c>
      <c r="I2186">
        <v>202631</v>
      </c>
      <c r="J2186">
        <v>9693251</v>
      </c>
      <c r="K2186" t="s">
        <v>23</v>
      </c>
      <c r="L2186" t="s">
        <v>65</v>
      </c>
      <c r="M2186" t="s">
        <v>24</v>
      </c>
      <c r="N2186" t="s">
        <v>35</v>
      </c>
      <c r="O2186" t="s">
        <v>26</v>
      </c>
      <c r="P2186" t="s">
        <v>27</v>
      </c>
      <c r="Q2186" t="s">
        <v>28</v>
      </c>
      <c r="R2186" t="s">
        <v>29</v>
      </c>
      <c r="S2186" t="s">
        <v>30</v>
      </c>
      <c r="T2186">
        <v>1030525993</v>
      </c>
      <c r="U2186" t="s">
        <v>3933</v>
      </c>
      <c r="V2186" t="s">
        <v>3934</v>
      </c>
      <c r="W2186" s="9">
        <f>IF(V2186="pregrado",31,
IF(V2186="posgrados",31,
IF(V2186="rEINTEGROS",7,
IF(V2186="BIT",90,
IF(V2186="OP GRADO - INGLÉS",17,"")))))</f>
        <v>31</v>
      </c>
      <c r="X2186" t="s">
        <v>3956</v>
      </c>
    </row>
    <row r="2187" spans="1:24" ht="15" x14ac:dyDescent="0.35">
      <c r="A2187" s="4">
        <v>45952.726655092592</v>
      </c>
      <c r="B2187">
        <v>20101770</v>
      </c>
      <c r="C2187" s="5" t="s">
        <v>19</v>
      </c>
      <c r="D2187">
        <v>569333</v>
      </c>
      <c r="E2187" t="s">
        <v>20</v>
      </c>
      <c r="F2187">
        <v>40445046</v>
      </c>
      <c r="G2187" t="s">
        <v>165</v>
      </c>
      <c r="H2187">
        <v>100233559</v>
      </c>
      <c r="I2187">
        <v>202631</v>
      </c>
      <c r="J2187">
        <v>1000186319</v>
      </c>
      <c r="K2187" t="s">
        <v>23</v>
      </c>
      <c r="L2187" t="s">
        <v>114</v>
      </c>
      <c r="M2187" t="s">
        <v>24</v>
      </c>
      <c r="N2187" t="s">
        <v>35</v>
      </c>
      <c r="O2187" t="s">
        <v>26</v>
      </c>
      <c r="P2187" t="s">
        <v>27</v>
      </c>
      <c r="Q2187" t="s">
        <v>28</v>
      </c>
      <c r="R2187" t="s">
        <v>29</v>
      </c>
      <c r="S2187" t="s">
        <v>30</v>
      </c>
      <c r="T2187">
        <v>80021358</v>
      </c>
      <c r="U2187" t="s">
        <v>3986</v>
      </c>
      <c r="V2187" t="s">
        <v>3934</v>
      </c>
      <c r="W2187" s="9">
        <f>IF(V2187="pregrado",31,
IF(V2187="posgrados",31,
IF(V2187="rEINTEGROS",7,
IF(V2187="BIT",90,
IF(V2187="OP GRADO - INGLÉS",17,"")))))</f>
        <v>31</v>
      </c>
      <c r="X2187" t="s">
        <v>3995</v>
      </c>
    </row>
    <row r="2188" spans="1:24" ht="15" x14ac:dyDescent="0.35">
      <c r="A2188" s="4">
        <v>46000.807858796295</v>
      </c>
      <c r="B2188">
        <v>20106261</v>
      </c>
      <c r="C2188" s="6" t="s">
        <v>19</v>
      </c>
      <c r="D2188">
        <v>569353</v>
      </c>
      <c r="E2188" t="s">
        <v>20</v>
      </c>
      <c r="F2188">
        <v>40091653</v>
      </c>
      <c r="G2188" t="s">
        <v>845</v>
      </c>
      <c r="H2188">
        <v>100233580</v>
      </c>
      <c r="I2188">
        <v>202631</v>
      </c>
      <c r="J2188">
        <v>1118024320</v>
      </c>
      <c r="K2188" t="s">
        <v>33</v>
      </c>
      <c r="L2188" t="s">
        <v>65</v>
      </c>
      <c r="M2188" t="s">
        <v>24</v>
      </c>
      <c r="N2188" t="s">
        <v>25</v>
      </c>
      <c r="O2188" t="s">
        <v>26</v>
      </c>
      <c r="P2188" t="s">
        <v>27</v>
      </c>
      <c r="Q2188" t="s">
        <v>28</v>
      </c>
      <c r="R2188" t="s">
        <v>29</v>
      </c>
      <c r="S2188" t="s">
        <v>30</v>
      </c>
      <c r="T2188">
        <v>1003690112</v>
      </c>
      <c r="U2188" t="s">
        <v>3933</v>
      </c>
      <c r="V2188" t="s">
        <v>3934</v>
      </c>
      <c r="W2188" s="9">
        <f>IF(V2188="pregrado",31,
IF(V2188="posgrados",31,
IF(V2188="rEINTEGROS",7,
IF(V2188="BIT",90,
IF(V2188="OP GRADO - INGLÉS",17,"")))))</f>
        <v>31</v>
      </c>
      <c r="X2188" t="s">
        <v>4061</v>
      </c>
    </row>
    <row r="2189" spans="1:24" ht="15" x14ac:dyDescent="0.35">
      <c r="A2189" s="4">
        <v>45951.691886574074</v>
      </c>
      <c r="B2189">
        <v>20101499</v>
      </c>
      <c r="C2189" s="5" t="s">
        <v>19</v>
      </c>
      <c r="D2189">
        <v>569382</v>
      </c>
      <c r="E2189" t="s">
        <v>20</v>
      </c>
      <c r="F2189">
        <v>1023014193</v>
      </c>
      <c r="G2189" t="s">
        <v>155</v>
      </c>
      <c r="H2189">
        <v>100233607</v>
      </c>
      <c r="I2189">
        <v>202631</v>
      </c>
      <c r="J2189">
        <v>1023014193</v>
      </c>
      <c r="K2189" t="s">
        <v>33</v>
      </c>
      <c r="L2189" t="s">
        <v>32</v>
      </c>
      <c r="M2189" t="s">
        <v>24</v>
      </c>
      <c r="N2189" t="s">
        <v>38</v>
      </c>
      <c r="O2189" t="s">
        <v>26</v>
      </c>
      <c r="P2189" t="s">
        <v>27</v>
      </c>
      <c r="Q2189" t="s">
        <v>28</v>
      </c>
      <c r="R2189" t="s">
        <v>29</v>
      </c>
      <c r="S2189" t="s">
        <v>30</v>
      </c>
      <c r="T2189">
        <v>11001273124</v>
      </c>
      <c r="U2189" t="s">
        <v>3944</v>
      </c>
      <c r="V2189" t="s">
        <v>3934</v>
      </c>
      <c r="W2189" s="9">
        <f>IF(V2189="pregrado",31,
IF(V2189="posgrados",31,
IF(V2189="rEINTEGROS",7,
IF(V2189="BIT",90,
IF(V2189="OP GRADO - INGLÉS",17,"")))))</f>
        <v>31</v>
      </c>
      <c r="X2189" t="s">
        <v>3951</v>
      </c>
    </row>
    <row r="2190" spans="1:24" ht="15" x14ac:dyDescent="0.35">
      <c r="A2190" s="4">
        <v>45954.462037037039</v>
      </c>
      <c r="B2190">
        <v>20102046</v>
      </c>
      <c r="C2190" s="5" t="s">
        <v>19</v>
      </c>
      <c r="D2190">
        <v>569386</v>
      </c>
      <c r="E2190" t="s">
        <v>20</v>
      </c>
      <c r="F2190">
        <v>1073252950</v>
      </c>
      <c r="G2190" t="s">
        <v>172</v>
      </c>
      <c r="H2190">
        <v>100136046</v>
      </c>
      <c r="I2190">
        <v>202631</v>
      </c>
      <c r="J2190">
        <v>1073252950</v>
      </c>
      <c r="K2190" t="s">
        <v>33</v>
      </c>
      <c r="L2190" t="s">
        <v>32</v>
      </c>
      <c r="M2190" t="s">
        <v>24</v>
      </c>
      <c r="N2190" t="s">
        <v>38</v>
      </c>
      <c r="O2190" t="s">
        <v>26</v>
      </c>
      <c r="P2190" t="s">
        <v>27</v>
      </c>
      <c r="Q2190" t="s">
        <v>28</v>
      </c>
      <c r="R2190" t="s">
        <v>29</v>
      </c>
      <c r="S2190" t="s">
        <v>30</v>
      </c>
      <c r="T2190">
        <v>1006023129</v>
      </c>
      <c r="U2190" t="s">
        <v>3944</v>
      </c>
      <c r="V2190" t="s">
        <v>3934</v>
      </c>
      <c r="W2190" s="9">
        <f>IF(V2190="pregrado",31,
IF(V2190="posgrados",31,
IF(V2190="rEINTEGROS",7,
IF(V2190="BIT",90,
IF(V2190="OP GRADO - INGLÉS",17,"")))))</f>
        <v>31</v>
      </c>
      <c r="X2190" t="s">
        <v>3982</v>
      </c>
    </row>
    <row r="2191" spans="1:24" ht="15" x14ac:dyDescent="0.35">
      <c r="A2191" s="4">
        <v>45957.773842592593</v>
      </c>
      <c r="B2191">
        <v>20102458</v>
      </c>
      <c r="C2191" s="5" t="s">
        <v>19</v>
      </c>
      <c r="D2191">
        <v>569419</v>
      </c>
      <c r="E2191" t="s">
        <v>20</v>
      </c>
      <c r="F2191">
        <v>1069306002</v>
      </c>
      <c r="G2191" t="s">
        <v>180</v>
      </c>
      <c r="H2191">
        <v>100233645</v>
      </c>
      <c r="I2191">
        <v>202610</v>
      </c>
      <c r="J2191">
        <v>1142114305</v>
      </c>
      <c r="K2191" t="s">
        <v>23</v>
      </c>
      <c r="L2191" t="s">
        <v>79</v>
      </c>
      <c r="M2191" t="s">
        <v>24</v>
      </c>
      <c r="N2191" t="s">
        <v>35</v>
      </c>
      <c r="O2191" t="s">
        <v>26</v>
      </c>
      <c r="P2191" t="s">
        <v>27</v>
      </c>
      <c r="Q2191" t="s">
        <v>28</v>
      </c>
      <c r="R2191" t="s">
        <v>29</v>
      </c>
      <c r="S2191" t="s">
        <v>30</v>
      </c>
      <c r="T2191">
        <v>1000625316</v>
      </c>
      <c r="U2191" t="s">
        <v>3944</v>
      </c>
      <c r="V2191" t="s">
        <v>3934</v>
      </c>
      <c r="W2191" s="9">
        <f>IF(V2191="pregrado",31,
IF(V2191="posgrados",31,
IF(V2191="rEINTEGROS",7,
IF(V2191="BIT",90,
IF(V2191="OP GRADO - INGLÉS",17,"")))))</f>
        <v>31</v>
      </c>
      <c r="X2191" t="s">
        <v>3980</v>
      </c>
    </row>
    <row r="2192" spans="1:24" ht="15" x14ac:dyDescent="0.35">
      <c r="A2192" s="4">
        <v>45954.695509259262</v>
      </c>
      <c r="B2192">
        <v>20102145</v>
      </c>
      <c r="C2192" s="5" t="s">
        <v>19</v>
      </c>
      <c r="D2192">
        <v>569441</v>
      </c>
      <c r="E2192" t="s">
        <v>20</v>
      </c>
      <c r="F2192">
        <v>2231745</v>
      </c>
      <c r="G2192" t="s">
        <v>173</v>
      </c>
      <c r="H2192">
        <v>900007363</v>
      </c>
      <c r="I2192">
        <v>202631</v>
      </c>
      <c r="J2192">
        <v>2231745</v>
      </c>
      <c r="K2192" t="s">
        <v>46</v>
      </c>
      <c r="L2192" t="s">
        <v>86</v>
      </c>
      <c r="M2192" t="s">
        <v>87</v>
      </c>
      <c r="N2192">
        <v>0</v>
      </c>
      <c r="O2192" t="s">
        <v>26</v>
      </c>
      <c r="P2192" t="s">
        <v>27</v>
      </c>
      <c r="Q2192" t="s">
        <v>28</v>
      </c>
      <c r="R2192" t="s">
        <v>29</v>
      </c>
      <c r="S2192" t="s">
        <v>30</v>
      </c>
      <c r="T2192">
        <v>1000934874</v>
      </c>
      <c r="U2192" t="s">
        <v>3977</v>
      </c>
      <c r="V2192" t="s">
        <v>3970</v>
      </c>
      <c r="W2192" s="9">
        <f>IF(V2192="pregrado",31,
IF(V2192="posgrados",31,
IF(V2192="rEINTEGROS",7,
IF(V2192="BIT",90,
IF(V2192="OP GRADO - INGLÉS",17,"")))))</f>
        <v>7</v>
      </c>
      <c r="X2192" t="s">
        <v>3999</v>
      </c>
    </row>
    <row r="2193" spans="1:24" ht="15" x14ac:dyDescent="0.35">
      <c r="A2193" s="4">
        <v>45965.570231481484</v>
      </c>
      <c r="B2193">
        <v>20103301</v>
      </c>
      <c r="C2193" s="5" t="s">
        <v>19</v>
      </c>
      <c r="D2193">
        <v>569452</v>
      </c>
      <c r="E2193" t="s">
        <v>20</v>
      </c>
      <c r="F2193">
        <v>1003739826</v>
      </c>
      <c r="G2193" t="s">
        <v>200</v>
      </c>
      <c r="H2193">
        <v>200054888</v>
      </c>
      <c r="I2193">
        <v>202631</v>
      </c>
      <c r="J2193">
        <v>1003739826</v>
      </c>
      <c r="K2193" t="s">
        <v>23</v>
      </c>
      <c r="L2193" t="s">
        <v>22</v>
      </c>
      <c r="M2193" t="s">
        <v>24</v>
      </c>
      <c r="N2193" t="s">
        <v>35</v>
      </c>
      <c r="O2193" t="s">
        <v>26</v>
      </c>
      <c r="P2193" t="s">
        <v>27</v>
      </c>
      <c r="Q2193" t="s">
        <v>28</v>
      </c>
      <c r="R2193" t="s">
        <v>29</v>
      </c>
      <c r="S2193" t="s">
        <v>30</v>
      </c>
      <c r="T2193">
        <v>1014273794</v>
      </c>
      <c r="U2193" t="s">
        <v>3939</v>
      </c>
      <c r="V2193" t="s">
        <v>3934</v>
      </c>
      <c r="W2193" s="9">
        <f>IF(V2193="pregrado",31,
IF(V2193="posgrados",31,
IF(V2193="rEINTEGROS",7,
IF(V2193="BIT",90,
IF(V2193="OP GRADO - INGLÉS",17,"")))))</f>
        <v>31</v>
      </c>
      <c r="X2193" t="s">
        <v>4004</v>
      </c>
    </row>
    <row r="2194" spans="1:24" ht="15" x14ac:dyDescent="0.35">
      <c r="A2194" s="4">
        <v>45952.507835648146</v>
      </c>
      <c r="B2194">
        <v>20101668</v>
      </c>
      <c r="C2194" s="5" t="s">
        <v>19</v>
      </c>
      <c r="D2194">
        <v>569481</v>
      </c>
      <c r="E2194" t="s">
        <v>20</v>
      </c>
      <c r="F2194">
        <v>1005038401</v>
      </c>
      <c r="G2194" t="s">
        <v>163</v>
      </c>
      <c r="H2194">
        <v>200055426</v>
      </c>
      <c r="I2194">
        <v>202631</v>
      </c>
      <c r="J2194">
        <v>1005038401</v>
      </c>
      <c r="K2194" t="s">
        <v>23</v>
      </c>
      <c r="L2194" t="s">
        <v>22</v>
      </c>
      <c r="M2194" t="s">
        <v>24</v>
      </c>
      <c r="N2194" t="s">
        <v>35</v>
      </c>
      <c r="O2194" t="s">
        <v>26</v>
      </c>
      <c r="P2194" t="s">
        <v>27</v>
      </c>
      <c r="Q2194" t="s">
        <v>28</v>
      </c>
      <c r="R2194" t="s">
        <v>29</v>
      </c>
      <c r="S2194" t="s">
        <v>30</v>
      </c>
      <c r="T2194">
        <v>1000120140</v>
      </c>
      <c r="U2194" t="s">
        <v>3936</v>
      </c>
      <c r="V2194" t="s">
        <v>3937</v>
      </c>
      <c r="W2194" s="9">
        <f>IF(V2194="pregrado",31,
IF(V2194="posgrados",31,
IF(V2194="rEINTEGROS",7,
IF(V2194="BIT",90,
IF(V2194="OP GRADO - INGLÉS",17,"")))))</f>
        <v>31</v>
      </c>
      <c r="X2194" t="s">
        <v>3935</v>
      </c>
    </row>
    <row r="2195" spans="1:24" ht="15" x14ac:dyDescent="0.35">
      <c r="A2195" s="4">
        <v>45952.604687500003</v>
      </c>
      <c r="B2195">
        <v>20101709</v>
      </c>
      <c r="C2195" s="5" t="s">
        <v>19</v>
      </c>
      <c r="D2195">
        <v>569500</v>
      </c>
      <c r="E2195" t="s">
        <v>20</v>
      </c>
      <c r="F2195">
        <v>79389663</v>
      </c>
      <c r="G2195" t="s">
        <v>164</v>
      </c>
      <c r="H2195">
        <v>100173741</v>
      </c>
      <c r="I2195">
        <v>202610</v>
      </c>
      <c r="J2195">
        <v>1029280245</v>
      </c>
      <c r="K2195" t="s">
        <v>23</v>
      </c>
      <c r="L2195" t="s">
        <v>49</v>
      </c>
      <c r="M2195" t="s">
        <v>24</v>
      </c>
      <c r="N2195" t="s">
        <v>35</v>
      </c>
      <c r="O2195" t="s">
        <v>26</v>
      </c>
      <c r="P2195" t="s">
        <v>27</v>
      </c>
      <c r="Q2195" t="s">
        <v>28</v>
      </c>
      <c r="R2195" t="s">
        <v>29</v>
      </c>
      <c r="S2195" t="s">
        <v>30</v>
      </c>
      <c r="T2195">
        <v>1000625316</v>
      </c>
      <c r="U2195" t="s">
        <v>3944</v>
      </c>
      <c r="V2195" t="s">
        <v>3934</v>
      </c>
      <c r="W2195" s="9">
        <f>IF(V2195="pregrado",31,
IF(V2195="posgrados",31,
IF(V2195="rEINTEGROS",7,
IF(V2195="BIT",90,
IF(V2195="OP GRADO - INGLÉS",17,"")))))</f>
        <v>31</v>
      </c>
      <c r="X2195" t="s">
        <v>3980</v>
      </c>
    </row>
    <row r="2196" spans="1:24" ht="15" x14ac:dyDescent="0.35">
      <c r="A2196" s="4">
        <v>45954.717303240737</v>
      </c>
      <c r="B2196">
        <v>20102156</v>
      </c>
      <c r="C2196" s="5" t="s">
        <v>19</v>
      </c>
      <c r="D2196">
        <v>569541</v>
      </c>
      <c r="E2196" t="s">
        <v>20</v>
      </c>
      <c r="F2196">
        <v>1082857613</v>
      </c>
      <c r="G2196" t="s">
        <v>174</v>
      </c>
      <c r="H2196">
        <v>100233754</v>
      </c>
      <c r="I2196">
        <v>202631</v>
      </c>
      <c r="J2196">
        <v>1082857613</v>
      </c>
      <c r="K2196" t="s">
        <v>23</v>
      </c>
      <c r="L2196" t="s">
        <v>114</v>
      </c>
      <c r="M2196" t="s">
        <v>24</v>
      </c>
      <c r="N2196" t="s">
        <v>35</v>
      </c>
      <c r="O2196" t="s">
        <v>26</v>
      </c>
      <c r="P2196" t="s">
        <v>27</v>
      </c>
      <c r="Q2196" t="s">
        <v>28</v>
      </c>
      <c r="R2196" t="s">
        <v>29</v>
      </c>
      <c r="S2196" t="s">
        <v>30</v>
      </c>
      <c r="T2196">
        <v>1023975276</v>
      </c>
      <c r="U2196" t="s">
        <v>3963</v>
      </c>
      <c r="V2196" t="s">
        <v>3934</v>
      </c>
      <c r="W2196" s="9">
        <f>IF(V2196="pregrado",31,
IF(V2196="posgrados",31,
IF(V2196="rEINTEGROS",7,
IF(V2196="BIT",90,
IF(V2196="OP GRADO - INGLÉS",17,"")))))</f>
        <v>31</v>
      </c>
      <c r="X2196" t="s">
        <v>3962</v>
      </c>
    </row>
    <row r="2197" spans="1:24" ht="15" x14ac:dyDescent="0.35">
      <c r="A2197" s="4">
        <v>45966.644074074073</v>
      </c>
      <c r="B2197">
        <v>20103454</v>
      </c>
      <c r="C2197" s="5" t="s">
        <v>19</v>
      </c>
      <c r="D2197">
        <v>569549</v>
      </c>
      <c r="E2197" t="s">
        <v>20</v>
      </c>
      <c r="F2197">
        <v>1032876006</v>
      </c>
      <c r="G2197" t="s">
        <v>214</v>
      </c>
      <c r="H2197">
        <v>100157680</v>
      </c>
      <c r="I2197">
        <v>202610</v>
      </c>
      <c r="J2197">
        <v>1032876006</v>
      </c>
      <c r="K2197" t="s">
        <v>89</v>
      </c>
      <c r="L2197" t="s">
        <v>107</v>
      </c>
      <c r="M2197" t="s">
        <v>24</v>
      </c>
      <c r="N2197" t="s">
        <v>215</v>
      </c>
      <c r="O2197" t="s">
        <v>26</v>
      </c>
      <c r="P2197" t="s">
        <v>27</v>
      </c>
      <c r="Q2197" t="s">
        <v>28</v>
      </c>
      <c r="R2197" t="s">
        <v>29</v>
      </c>
      <c r="S2197" t="s">
        <v>30</v>
      </c>
      <c r="T2197">
        <v>1000934874</v>
      </c>
      <c r="U2197" t="s">
        <v>3977</v>
      </c>
      <c r="V2197" t="s">
        <v>3970</v>
      </c>
      <c r="W2197" s="9">
        <f>IF(V2197="pregrado",31,
IF(V2197="posgrados",31,
IF(V2197="rEINTEGROS",7,
IF(V2197="BIT",90,
IF(V2197="OP GRADO - INGLÉS",17,"")))))</f>
        <v>7</v>
      </c>
      <c r="X2197" t="s">
        <v>3999</v>
      </c>
    </row>
    <row r="2198" spans="1:24" ht="15" x14ac:dyDescent="0.35">
      <c r="A2198" s="4">
        <v>45959.35832175926</v>
      </c>
      <c r="B2198">
        <v>20102676</v>
      </c>
      <c r="C2198" s="5" t="s">
        <v>19</v>
      </c>
      <c r="D2198">
        <v>569571</v>
      </c>
      <c r="E2198" t="s">
        <v>20</v>
      </c>
      <c r="F2198">
        <v>1002395757</v>
      </c>
      <c r="G2198" t="s">
        <v>186</v>
      </c>
      <c r="H2198">
        <v>100233784</v>
      </c>
      <c r="I2198">
        <v>202631</v>
      </c>
      <c r="J2198">
        <v>1002395757</v>
      </c>
      <c r="K2198" t="s">
        <v>33</v>
      </c>
      <c r="L2198" t="s">
        <v>42</v>
      </c>
      <c r="M2198" t="s">
        <v>24</v>
      </c>
      <c r="N2198" t="s">
        <v>25</v>
      </c>
      <c r="O2198" t="s">
        <v>26</v>
      </c>
      <c r="P2198" t="s">
        <v>27</v>
      </c>
      <c r="Q2198" t="s">
        <v>28</v>
      </c>
      <c r="R2198" t="s">
        <v>29</v>
      </c>
      <c r="S2198" t="s">
        <v>30</v>
      </c>
      <c r="T2198">
        <v>53139409</v>
      </c>
      <c r="U2198" t="s">
        <v>3944</v>
      </c>
      <c r="V2198" t="s">
        <v>3934</v>
      </c>
      <c r="W2198" s="9">
        <f>IF(V2198="pregrado",31,
IF(V2198="posgrados",31,
IF(V2198="rEINTEGROS",7,
IF(V2198="BIT",90,
IF(V2198="OP GRADO - INGLÉS",17,"")))))</f>
        <v>31</v>
      </c>
      <c r="X2198" t="s">
        <v>3955</v>
      </c>
    </row>
    <row r="2199" spans="1:24" ht="15" x14ac:dyDescent="0.35">
      <c r="A2199" s="4">
        <v>45958.529328703706</v>
      </c>
      <c r="B2199">
        <v>20102554</v>
      </c>
      <c r="C2199" s="5" t="s">
        <v>19</v>
      </c>
      <c r="D2199">
        <v>569630</v>
      </c>
      <c r="E2199" t="s">
        <v>20</v>
      </c>
      <c r="F2199">
        <v>1121396429</v>
      </c>
      <c r="G2199" t="s">
        <v>184</v>
      </c>
      <c r="H2199">
        <v>200055461</v>
      </c>
      <c r="I2199">
        <v>202631</v>
      </c>
      <c r="J2199">
        <v>1121396429</v>
      </c>
      <c r="K2199" t="s">
        <v>23</v>
      </c>
      <c r="L2199" t="s">
        <v>77</v>
      </c>
      <c r="M2199" t="s">
        <v>24</v>
      </c>
      <c r="N2199" t="s">
        <v>35</v>
      </c>
      <c r="O2199" t="s">
        <v>26</v>
      </c>
      <c r="P2199" t="s">
        <v>27</v>
      </c>
      <c r="Q2199" t="s">
        <v>28</v>
      </c>
      <c r="R2199" t="s">
        <v>29</v>
      </c>
      <c r="S2199" t="s">
        <v>30</v>
      </c>
      <c r="T2199">
        <v>1019080589</v>
      </c>
      <c r="U2199" t="s">
        <v>3963</v>
      </c>
      <c r="V2199" t="s">
        <v>3934</v>
      </c>
      <c r="W2199" s="9">
        <f>IF(V2199="pregrado",31,
IF(V2199="posgrados",31,
IF(V2199="rEINTEGROS",7,
IF(V2199="BIT",90,
IF(V2199="OP GRADO - INGLÉS",17,"")))))</f>
        <v>31</v>
      </c>
      <c r="X2199" t="s">
        <v>4001</v>
      </c>
    </row>
    <row r="2200" spans="1:24" ht="15" x14ac:dyDescent="0.35">
      <c r="A2200" s="4">
        <v>45955.411307870374</v>
      </c>
      <c r="B2200">
        <v>20102203</v>
      </c>
      <c r="C2200" s="5" t="s">
        <v>19</v>
      </c>
      <c r="D2200">
        <v>569706</v>
      </c>
      <c r="E2200" t="s">
        <v>20</v>
      </c>
      <c r="F2200">
        <v>1023242362</v>
      </c>
      <c r="G2200" t="s">
        <v>175</v>
      </c>
      <c r="H2200">
        <v>100233943</v>
      </c>
      <c r="I2200">
        <v>202631</v>
      </c>
      <c r="J2200">
        <v>1023242362</v>
      </c>
      <c r="K2200" t="s">
        <v>33</v>
      </c>
      <c r="L2200" t="s">
        <v>51</v>
      </c>
      <c r="M2200" t="s">
        <v>24</v>
      </c>
      <c r="N2200" t="s">
        <v>25</v>
      </c>
      <c r="O2200" t="s">
        <v>26</v>
      </c>
      <c r="P2200" t="s">
        <v>27</v>
      </c>
      <c r="Q2200" t="s">
        <v>28</v>
      </c>
      <c r="R2200" t="s">
        <v>29</v>
      </c>
      <c r="S2200" t="s">
        <v>30</v>
      </c>
      <c r="T2200">
        <v>52182207</v>
      </c>
      <c r="U2200" t="s">
        <v>3941</v>
      </c>
      <c r="V2200" t="s">
        <v>3934</v>
      </c>
      <c r="W2200" s="9">
        <f>IF(V2200="pregrado",31,
IF(V2200="posgrados",31,
IF(V2200="rEINTEGROS",7,
IF(V2200="BIT",90,
IF(V2200="OP GRADO - INGLÉS",17,"")))))</f>
        <v>31</v>
      </c>
      <c r="X2200" t="s">
        <v>3946</v>
      </c>
    </row>
    <row r="2201" spans="1:24" ht="15" x14ac:dyDescent="0.35">
      <c r="A2201" s="4">
        <v>45957.531921296293</v>
      </c>
      <c r="B2201">
        <v>20102347</v>
      </c>
      <c r="C2201" s="5" t="s">
        <v>19</v>
      </c>
      <c r="D2201">
        <v>569710</v>
      </c>
      <c r="E2201" t="s">
        <v>20</v>
      </c>
      <c r="F2201">
        <v>4753101</v>
      </c>
      <c r="G2201" t="s">
        <v>177</v>
      </c>
      <c r="H2201">
        <v>100023863</v>
      </c>
      <c r="I2201">
        <v>202631</v>
      </c>
      <c r="J2201">
        <v>1023004795</v>
      </c>
      <c r="K2201" t="s">
        <v>23</v>
      </c>
      <c r="L2201" t="s">
        <v>42</v>
      </c>
      <c r="M2201" t="s">
        <v>24</v>
      </c>
      <c r="N2201" t="s">
        <v>35</v>
      </c>
      <c r="O2201" t="s">
        <v>26</v>
      </c>
      <c r="P2201" t="s">
        <v>27</v>
      </c>
      <c r="Q2201" t="s">
        <v>28</v>
      </c>
      <c r="R2201" t="s">
        <v>29</v>
      </c>
      <c r="S2201" t="s">
        <v>30</v>
      </c>
      <c r="T2201">
        <v>1015478965</v>
      </c>
      <c r="U2201" t="s">
        <v>3944</v>
      </c>
      <c r="V2201" t="s">
        <v>3934</v>
      </c>
      <c r="W2201" s="9">
        <f>IF(V2201="pregrado",31,
IF(V2201="posgrados",31,
IF(V2201="rEINTEGROS",7,
IF(V2201="BIT",90,
IF(V2201="OP GRADO - INGLÉS",17,"")))))</f>
        <v>31</v>
      </c>
      <c r="X2201" t="s">
        <v>3979</v>
      </c>
    </row>
    <row r="2202" spans="1:24" ht="15" x14ac:dyDescent="0.35">
      <c r="A2202" s="4">
        <v>45957.55746527778</v>
      </c>
      <c r="B2202">
        <v>20102355</v>
      </c>
      <c r="C2202" s="5" t="s">
        <v>19</v>
      </c>
      <c r="D2202">
        <v>569774</v>
      </c>
      <c r="E2202" t="s">
        <v>20</v>
      </c>
      <c r="F2202">
        <v>1003764528</v>
      </c>
      <c r="G2202" t="s">
        <v>179</v>
      </c>
      <c r="H2202">
        <v>100233996</v>
      </c>
      <c r="I2202">
        <v>202631</v>
      </c>
      <c r="J2202">
        <v>1003764528</v>
      </c>
      <c r="K2202" t="s">
        <v>33</v>
      </c>
      <c r="L2202" t="s">
        <v>51</v>
      </c>
      <c r="M2202" t="s">
        <v>24</v>
      </c>
      <c r="N2202" t="s">
        <v>38</v>
      </c>
      <c r="O2202" t="s">
        <v>26</v>
      </c>
      <c r="P2202" t="s">
        <v>27</v>
      </c>
      <c r="Q2202" t="s">
        <v>28</v>
      </c>
      <c r="R2202" t="s">
        <v>29</v>
      </c>
      <c r="S2202" t="s">
        <v>30</v>
      </c>
      <c r="T2202">
        <v>1001192723</v>
      </c>
      <c r="U2202" t="s">
        <v>3941</v>
      </c>
      <c r="V2202" t="s">
        <v>3934</v>
      </c>
      <c r="W2202" s="9">
        <f>IF(V2202="pregrado",31,
IF(V2202="posgrados",31,
IF(V2202="rEINTEGROS",7,
IF(V2202="BIT",90,
IF(V2202="OP GRADO - INGLÉS",17,"")))))</f>
        <v>31</v>
      </c>
      <c r="X2202" t="s">
        <v>3940</v>
      </c>
    </row>
    <row r="2203" spans="1:24" ht="15" x14ac:dyDescent="0.35">
      <c r="A2203" s="4">
        <v>45955.430868055555</v>
      </c>
      <c r="B2203">
        <v>20102211</v>
      </c>
      <c r="C2203" s="5" t="s">
        <v>19</v>
      </c>
      <c r="D2203">
        <v>569794</v>
      </c>
      <c r="E2203" t="s">
        <v>20</v>
      </c>
      <c r="F2203">
        <v>1000862547</v>
      </c>
      <c r="G2203" t="s">
        <v>176</v>
      </c>
      <c r="H2203">
        <v>100234015</v>
      </c>
      <c r="I2203">
        <v>202610</v>
      </c>
      <c r="J2203">
        <v>1000862547</v>
      </c>
      <c r="K2203" t="s">
        <v>23</v>
      </c>
      <c r="L2203" t="s">
        <v>37</v>
      </c>
      <c r="M2203" t="s">
        <v>24</v>
      </c>
      <c r="N2203" t="s">
        <v>35</v>
      </c>
      <c r="O2203" t="s">
        <v>26</v>
      </c>
      <c r="P2203" t="s">
        <v>27</v>
      </c>
      <c r="Q2203" t="s">
        <v>28</v>
      </c>
      <c r="R2203" t="s">
        <v>29</v>
      </c>
      <c r="S2203" t="s">
        <v>30</v>
      </c>
      <c r="T2203">
        <v>52182207</v>
      </c>
      <c r="U2203" t="s">
        <v>3941</v>
      </c>
      <c r="V2203" t="s">
        <v>3934</v>
      </c>
      <c r="W2203" s="9">
        <f>IF(V2203="pregrado",31,
IF(V2203="posgrados",31,
IF(V2203="rEINTEGROS",7,
IF(V2203="BIT",90,
IF(V2203="OP GRADO - INGLÉS",17,"")))))</f>
        <v>31</v>
      </c>
      <c r="X2203" t="s">
        <v>3946</v>
      </c>
    </row>
    <row r="2204" spans="1:24" ht="15" x14ac:dyDescent="0.35">
      <c r="A2204" s="4">
        <v>45958.407557870371</v>
      </c>
      <c r="B2204">
        <v>20102514</v>
      </c>
      <c r="C2204" s="5" t="s">
        <v>19</v>
      </c>
      <c r="D2204">
        <v>569802</v>
      </c>
      <c r="E2204" t="s">
        <v>20</v>
      </c>
      <c r="F2204">
        <v>40363576</v>
      </c>
      <c r="G2204" t="s">
        <v>182</v>
      </c>
      <c r="H2204">
        <v>200055997</v>
      </c>
      <c r="I2204">
        <v>202631</v>
      </c>
      <c r="J2204">
        <v>1124244588</v>
      </c>
      <c r="K2204" t="s">
        <v>74</v>
      </c>
      <c r="L2204" t="s">
        <v>22</v>
      </c>
      <c r="M2204" t="s">
        <v>24</v>
      </c>
      <c r="N2204">
        <v>0</v>
      </c>
      <c r="O2204" t="s">
        <v>26</v>
      </c>
      <c r="P2204" t="s">
        <v>27</v>
      </c>
      <c r="Q2204" t="s">
        <v>28</v>
      </c>
      <c r="R2204" t="s">
        <v>29</v>
      </c>
      <c r="S2204" t="s">
        <v>30</v>
      </c>
      <c r="T2204">
        <v>1000120140</v>
      </c>
      <c r="U2204" t="s">
        <v>3936</v>
      </c>
      <c r="V2204" t="s">
        <v>3937</v>
      </c>
      <c r="W2204" s="9">
        <f>IF(V2204="pregrado",31,
IF(V2204="posgrados",31,
IF(V2204="rEINTEGROS",7,
IF(V2204="BIT",90,
IF(V2204="OP GRADO - INGLÉS",17,"")))))</f>
        <v>31</v>
      </c>
      <c r="X2204" t="s">
        <v>3935</v>
      </c>
    </row>
    <row r="2205" spans="1:24" ht="15" x14ac:dyDescent="0.35">
      <c r="A2205" s="4">
        <v>45957.555023148147</v>
      </c>
      <c r="B2205">
        <v>20102354</v>
      </c>
      <c r="C2205" s="5" t="s">
        <v>19</v>
      </c>
      <c r="D2205">
        <v>569809</v>
      </c>
      <c r="E2205" t="s">
        <v>20</v>
      </c>
      <c r="F2205">
        <v>1028882960</v>
      </c>
      <c r="G2205" t="s">
        <v>178</v>
      </c>
      <c r="H2205">
        <v>100233707</v>
      </c>
      <c r="I2205">
        <v>202610</v>
      </c>
      <c r="J2205">
        <v>1028882960</v>
      </c>
      <c r="K2205" t="s">
        <v>23</v>
      </c>
      <c r="L2205" t="s">
        <v>49</v>
      </c>
      <c r="M2205" t="s">
        <v>24</v>
      </c>
      <c r="N2205" t="s">
        <v>35</v>
      </c>
      <c r="O2205" t="s">
        <v>26</v>
      </c>
      <c r="P2205" t="s">
        <v>27</v>
      </c>
      <c r="Q2205" t="s">
        <v>28</v>
      </c>
      <c r="R2205" t="s">
        <v>29</v>
      </c>
      <c r="S2205" t="s">
        <v>30</v>
      </c>
      <c r="T2205">
        <v>10123971531</v>
      </c>
      <c r="U2205" t="s">
        <v>3944</v>
      </c>
      <c r="V2205" t="s">
        <v>3934</v>
      </c>
      <c r="W2205" s="9">
        <f>IF(V2205="pregrado",31,
IF(V2205="posgrados",31,
IF(V2205="rEINTEGROS",7,
IF(V2205="BIT",90,
IF(V2205="OP GRADO - INGLÉS",17,"")))))</f>
        <v>31</v>
      </c>
      <c r="X2205" t="s">
        <v>3943</v>
      </c>
    </row>
    <row r="2206" spans="1:24" ht="15" x14ac:dyDescent="0.35">
      <c r="A2206" s="4">
        <v>45992.45826388889</v>
      </c>
      <c r="B2206">
        <v>20105428</v>
      </c>
      <c r="C2206" s="6" t="s">
        <v>19</v>
      </c>
      <c r="D2206">
        <v>569824</v>
      </c>
      <c r="E2206" t="s">
        <v>20</v>
      </c>
      <c r="F2206">
        <v>39621019</v>
      </c>
      <c r="G2206" t="s">
        <v>700</v>
      </c>
      <c r="H2206">
        <v>100234051</v>
      </c>
      <c r="I2206">
        <v>202610</v>
      </c>
      <c r="J2206">
        <v>1074466083</v>
      </c>
      <c r="K2206" t="s">
        <v>33</v>
      </c>
      <c r="L2206" t="s">
        <v>40</v>
      </c>
      <c r="M2206" t="s">
        <v>24</v>
      </c>
      <c r="N2206" t="s">
        <v>25</v>
      </c>
      <c r="O2206" t="s">
        <v>26</v>
      </c>
      <c r="P2206" t="s">
        <v>27</v>
      </c>
      <c r="Q2206" t="s">
        <v>28</v>
      </c>
      <c r="R2206" t="s">
        <v>29</v>
      </c>
      <c r="S2206" t="s">
        <v>30</v>
      </c>
      <c r="T2206">
        <v>1023000938</v>
      </c>
      <c r="U2206" t="s">
        <v>3941</v>
      </c>
      <c r="V2206" t="s">
        <v>3934</v>
      </c>
      <c r="W2206" s="9">
        <f>IF(V2206="pregrado",31,
IF(V2206="posgrados",31,
IF(V2206="rEINTEGROS",7,
IF(V2206="BIT",90,
IF(V2206="OP GRADO - INGLÉS",17,"")))))</f>
        <v>31</v>
      </c>
      <c r="X2206" t="s">
        <v>3989</v>
      </c>
    </row>
    <row r="2207" spans="1:24" ht="15" x14ac:dyDescent="0.35">
      <c r="A2207" s="4">
        <v>45967.515451388892</v>
      </c>
      <c r="B2207">
        <v>20103557</v>
      </c>
      <c r="C2207" s="5" t="s">
        <v>19</v>
      </c>
      <c r="D2207">
        <v>569868</v>
      </c>
      <c r="E2207" t="s">
        <v>20</v>
      </c>
      <c r="F2207">
        <v>1060597373</v>
      </c>
      <c r="G2207" t="s">
        <v>234</v>
      </c>
      <c r="H2207">
        <v>100234103</v>
      </c>
      <c r="I2207">
        <v>202631</v>
      </c>
      <c r="J2207">
        <v>1060597373</v>
      </c>
      <c r="K2207" t="s">
        <v>83</v>
      </c>
      <c r="L2207" t="s">
        <v>101</v>
      </c>
      <c r="M2207" t="s">
        <v>24</v>
      </c>
      <c r="N2207" t="s">
        <v>35</v>
      </c>
      <c r="O2207" t="s">
        <v>26</v>
      </c>
      <c r="P2207" t="s">
        <v>27</v>
      </c>
      <c r="Q2207" t="s">
        <v>28</v>
      </c>
      <c r="R2207" t="s">
        <v>29</v>
      </c>
      <c r="S2207" t="s">
        <v>30</v>
      </c>
      <c r="T2207">
        <v>1077967131</v>
      </c>
      <c r="U2207" t="s">
        <v>3963</v>
      </c>
      <c r="V2207" t="s">
        <v>3934</v>
      </c>
      <c r="W2207" s="9">
        <f>IF(V2207="pregrado",31,
IF(V2207="posgrados",31,
IF(V2207="rEINTEGROS",7,
IF(V2207="BIT",90,
IF(V2207="OP GRADO - INGLÉS",17,"")))))</f>
        <v>31</v>
      </c>
      <c r="X2207" t="s">
        <v>4011</v>
      </c>
    </row>
    <row r="2208" spans="1:24" ht="15" x14ac:dyDescent="0.35">
      <c r="A2208" s="4">
        <v>45980.515289351853</v>
      </c>
      <c r="B2208">
        <v>20104389</v>
      </c>
      <c r="C2208" s="5" t="s">
        <v>19</v>
      </c>
      <c r="D2208">
        <v>569888</v>
      </c>
      <c r="E2208" t="s">
        <v>20</v>
      </c>
      <c r="F2208">
        <v>1193067867</v>
      </c>
      <c r="G2208" t="s">
        <v>422</v>
      </c>
      <c r="H2208">
        <v>100161017</v>
      </c>
      <c r="I2208">
        <v>202631</v>
      </c>
      <c r="J2208">
        <v>1067715112</v>
      </c>
      <c r="K2208" t="s">
        <v>89</v>
      </c>
      <c r="L2208" t="s">
        <v>207</v>
      </c>
      <c r="M2208" t="s">
        <v>24</v>
      </c>
      <c r="N2208" t="s">
        <v>25</v>
      </c>
      <c r="O2208" t="s">
        <v>26</v>
      </c>
      <c r="P2208" t="s">
        <v>27</v>
      </c>
      <c r="Q2208" t="s">
        <v>28</v>
      </c>
      <c r="R2208" t="s">
        <v>29</v>
      </c>
      <c r="S2208" t="s">
        <v>30</v>
      </c>
      <c r="T2208">
        <v>1000934874</v>
      </c>
      <c r="U2208" t="s">
        <v>3977</v>
      </c>
      <c r="V2208" t="s">
        <v>3970</v>
      </c>
      <c r="W2208" s="9">
        <f>IF(V2208="pregrado",31,
IF(V2208="posgrados",31,
IF(V2208="rEINTEGROS",7,
IF(V2208="BIT",90,
IF(V2208="OP GRADO - INGLÉS",17,"")))))</f>
        <v>7</v>
      </c>
      <c r="X2208" t="s">
        <v>3999</v>
      </c>
    </row>
    <row r="2209" spans="1:24" ht="15" x14ac:dyDescent="0.35">
      <c r="A2209" s="4">
        <v>45960.455601851849</v>
      </c>
      <c r="B2209">
        <v>20102917</v>
      </c>
      <c r="C2209" s="5" t="s">
        <v>19</v>
      </c>
      <c r="D2209">
        <v>569889</v>
      </c>
      <c r="E2209" t="s">
        <v>20</v>
      </c>
      <c r="F2209">
        <v>53030125</v>
      </c>
      <c r="G2209" t="s">
        <v>188</v>
      </c>
      <c r="H2209">
        <v>100234137</v>
      </c>
      <c r="I2209">
        <v>202610</v>
      </c>
      <c r="J2209">
        <v>1016029660</v>
      </c>
      <c r="K2209" t="s">
        <v>23</v>
      </c>
      <c r="L2209" t="s">
        <v>79</v>
      </c>
      <c r="M2209" t="s">
        <v>24</v>
      </c>
      <c r="N2209" t="s">
        <v>35</v>
      </c>
      <c r="O2209" t="s">
        <v>26</v>
      </c>
      <c r="P2209" t="s">
        <v>27</v>
      </c>
      <c r="Q2209" t="s">
        <v>28</v>
      </c>
      <c r="R2209" t="s">
        <v>29</v>
      </c>
      <c r="S2209" t="s">
        <v>30</v>
      </c>
      <c r="T2209">
        <v>11001273124</v>
      </c>
      <c r="U2209" t="s">
        <v>3944</v>
      </c>
      <c r="V2209" t="s">
        <v>3934</v>
      </c>
      <c r="W2209" s="9">
        <f>IF(V2209="pregrado",31,
IF(V2209="posgrados",31,
IF(V2209="rEINTEGROS",7,
IF(V2209="BIT",90,
IF(V2209="OP GRADO - INGLÉS",17,"")))))</f>
        <v>31</v>
      </c>
      <c r="X2209" t="s">
        <v>3951</v>
      </c>
    </row>
    <row r="2210" spans="1:24" ht="15" x14ac:dyDescent="0.35">
      <c r="A2210" s="4">
        <v>45967.42119212963</v>
      </c>
      <c r="B2210">
        <v>20103531</v>
      </c>
      <c r="C2210" s="5" t="s">
        <v>19</v>
      </c>
      <c r="D2210">
        <v>569890</v>
      </c>
      <c r="E2210" t="s">
        <v>20</v>
      </c>
      <c r="F2210">
        <v>27082034</v>
      </c>
      <c r="G2210" t="s">
        <v>228</v>
      </c>
      <c r="H2210">
        <v>100234139</v>
      </c>
      <c r="I2210">
        <v>202631</v>
      </c>
      <c r="J2210">
        <v>1004214210</v>
      </c>
      <c r="K2210" t="s">
        <v>23</v>
      </c>
      <c r="L2210" t="s">
        <v>51</v>
      </c>
      <c r="M2210" t="s">
        <v>24</v>
      </c>
      <c r="N2210" t="s">
        <v>35</v>
      </c>
      <c r="O2210" t="s">
        <v>26</v>
      </c>
      <c r="P2210" t="s">
        <v>27</v>
      </c>
      <c r="Q2210" t="s">
        <v>28</v>
      </c>
      <c r="R2210" t="s">
        <v>29</v>
      </c>
      <c r="S2210" t="s">
        <v>30</v>
      </c>
      <c r="T2210">
        <v>1010081108</v>
      </c>
      <c r="U2210" t="s">
        <v>3941</v>
      </c>
      <c r="V2210" t="s">
        <v>3934</v>
      </c>
      <c r="W2210" s="9">
        <f>IF(V2210="pregrado",31,
IF(V2210="posgrados",31,
IF(V2210="rEINTEGROS",7,
IF(V2210="BIT",90,
IF(V2210="OP GRADO - INGLÉS",17,"")))))</f>
        <v>31</v>
      </c>
      <c r="X2210" t="s">
        <v>4009</v>
      </c>
    </row>
    <row r="2211" spans="1:24" ht="15" x14ac:dyDescent="0.35">
      <c r="A2211" s="4">
        <v>45989.444895833331</v>
      </c>
      <c r="B2211">
        <v>20105229</v>
      </c>
      <c r="C2211" s="6" t="s">
        <v>19</v>
      </c>
      <c r="D2211">
        <v>569894</v>
      </c>
      <c r="E2211" t="s">
        <v>20</v>
      </c>
      <c r="F2211">
        <v>43029583</v>
      </c>
      <c r="G2211" t="s">
        <v>647</v>
      </c>
      <c r="H2211">
        <v>100234145</v>
      </c>
      <c r="I2211">
        <v>202631</v>
      </c>
      <c r="J2211">
        <v>1035426558</v>
      </c>
      <c r="K2211" t="s">
        <v>33</v>
      </c>
      <c r="L2211" t="s">
        <v>42</v>
      </c>
      <c r="M2211" t="s">
        <v>24</v>
      </c>
      <c r="N2211" t="s">
        <v>35</v>
      </c>
      <c r="O2211" t="s">
        <v>26</v>
      </c>
      <c r="P2211" t="s">
        <v>27</v>
      </c>
      <c r="Q2211" t="s">
        <v>28</v>
      </c>
      <c r="R2211" t="s">
        <v>29</v>
      </c>
      <c r="S2211" t="s">
        <v>30</v>
      </c>
      <c r="T2211">
        <v>1000001980</v>
      </c>
      <c r="U2211" t="s">
        <v>3944</v>
      </c>
      <c r="V2211" t="s">
        <v>3934</v>
      </c>
      <c r="W2211" s="9">
        <f>IF(V2211="pregrado",31,
IF(V2211="posgrados",31,
IF(V2211="rEINTEGROS",7,
IF(V2211="BIT",90,
IF(V2211="OP GRADO - INGLÉS",17,"")))))</f>
        <v>31</v>
      </c>
      <c r="X2211" t="s">
        <v>3968</v>
      </c>
    </row>
    <row r="2212" spans="1:24" ht="15" x14ac:dyDescent="0.35">
      <c r="A2212" s="4">
        <v>45961.739733796298</v>
      </c>
      <c r="B2212">
        <v>20103201</v>
      </c>
      <c r="C2212" s="5" t="s">
        <v>19</v>
      </c>
      <c r="D2212">
        <v>569901</v>
      </c>
      <c r="E2212" t="s">
        <v>20</v>
      </c>
      <c r="F2212">
        <v>52122519</v>
      </c>
      <c r="G2212" t="s">
        <v>199</v>
      </c>
      <c r="H2212">
        <v>100234153</v>
      </c>
      <c r="I2212">
        <v>202610</v>
      </c>
      <c r="J2212">
        <v>1013123132</v>
      </c>
      <c r="K2212" t="s">
        <v>23</v>
      </c>
      <c r="L2212" t="s">
        <v>62</v>
      </c>
      <c r="M2212" t="s">
        <v>24</v>
      </c>
      <c r="N2212" t="s">
        <v>35</v>
      </c>
      <c r="O2212" t="s">
        <v>26</v>
      </c>
      <c r="P2212" t="s">
        <v>27</v>
      </c>
      <c r="Q2212" t="s">
        <v>28</v>
      </c>
      <c r="R2212" t="s">
        <v>29</v>
      </c>
      <c r="S2212" t="s">
        <v>30</v>
      </c>
      <c r="T2212">
        <v>1015478965</v>
      </c>
      <c r="U2212" t="s">
        <v>3944</v>
      </c>
      <c r="V2212" t="s">
        <v>3934</v>
      </c>
      <c r="W2212" s="9">
        <f>IF(V2212="pregrado",31,
IF(V2212="posgrados",31,
IF(V2212="rEINTEGROS",7,
IF(V2212="BIT",90,
IF(V2212="OP GRADO - INGLÉS",17,"")))))</f>
        <v>31</v>
      </c>
      <c r="X2212" t="s">
        <v>3979</v>
      </c>
    </row>
    <row r="2213" spans="1:24" ht="15" x14ac:dyDescent="0.35">
      <c r="A2213" s="4">
        <v>45966.463425925926</v>
      </c>
      <c r="B2213">
        <v>20103406</v>
      </c>
      <c r="C2213" s="5" t="s">
        <v>19</v>
      </c>
      <c r="D2213">
        <v>569915</v>
      </c>
      <c r="E2213" t="s">
        <v>20</v>
      </c>
      <c r="F2213">
        <v>28404886</v>
      </c>
      <c r="G2213" t="s">
        <v>208</v>
      </c>
      <c r="H2213">
        <v>100141815</v>
      </c>
      <c r="I2213">
        <v>202631</v>
      </c>
      <c r="J2213">
        <v>1096245049</v>
      </c>
      <c r="K2213" t="s">
        <v>89</v>
      </c>
      <c r="L2213" t="s">
        <v>119</v>
      </c>
      <c r="M2213" t="s">
        <v>24</v>
      </c>
      <c r="N2213" t="s">
        <v>35</v>
      </c>
      <c r="O2213" t="s">
        <v>26</v>
      </c>
      <c r="P2213" t="s">
        <v>27</v>
      </c>
      <c r="Q2213" t="s">
        <v>28</v>
      </c>
      <c r="R2213" t="s">
        <v>29</v>
      </c>
      <c r="S2213" t="s">
        <v>30</v>
      </c>
      <c r="T2213">
        <v>1000934874</v>
      </c>
      <c r="U2213" t="s">
        <v>3977</v>
      </c>
      <c r="V2213" t="s">
        <v>3970</v>
      </c>
      <c r="W2213" s="9">
        <f>IF(V2213="pregrado",31,
IF(V2213="posgrados",31,
IF(V2213="rEINTEGROS",7,
IF(V2213="BIT",90,
IF(V2213="OP GRADO - INGLÉS",17,"")))))</f>
        <v>7</v>
      </c>
      <c r="X2213" t="s">
        <v>3999</v>
      </c>
    </row>
    <row r="2214" spans="1:24" ht="15" x14ac:dyDescent="0.35">
      <c r="A2214" s="4">
        <v>45958.493379629632</v>
      </c>
      <c r="B2214">
        <v>20102546</v>
      </c>
      <c r="C2214" s="5" t="s">
        <v>19</v>
      </c>
      <c r="D2214">
        <v>569934</v>
      </c>
      <c r="E2214" t="s">
        <v>20</v>
      </c>
      <c r="F2214">
        <v>1032379483</v>
      </c>
      <c r="G2214" t="s">
        <v>183</v>
      </c>
      <c r="H2214">
        <v>100234190</v>
      </c>
      <c r="I2214">
        <v>202631</v>
      </c>
      <c r="J2214">
        <v>1032379483</v>
      </c>
      <c r="K2214" t="s">
        <v>33</v>
      </c>
      <c r="L2214" t="s">
        <v>51</v>
      </c>
      <c r="M2214" t="s">
        <v>24</v>
      </c>
      <c r="N2214" t="s">
        <v>38</v>
      </c>
      <c r="O2214" t="s">
        <v>26</v>
      </c>
      <c r="P2214" t="s">
        <v>27</v>
      </c>
      <c r="Q2214" t="s">
        <v>28</v>
      </c>
      <c r="R2214" t="s">
        <v>29</v>
      </c>
      <c r="S2214" t="s">
        <v>30</v>
      </c>
      <c r="T2214">
        <v>1024572316</v>
      </c>
      <c r="U2214" t="s">
        <v>3941</v>
      </c>
      <c r="V2214" t="s">
        <v>3934</v>
      </c>
      <c r="W2214" s="9">
        <f>IF(V2214="pregrado",31,
IF(V2214="posgrados",31,
IF(V2214="rEINTEGROS",7,
IF(V2214="BIT",90,
IF(V2214="OP GRADO - INGLÉS",17,"")))))</f>
        <v>31</v>
      </c>
      <c r="X2214" t="s">
        <v>4000</v>
      </c>
    </row>
    <row r="2215" spans="1:24" ht="15" x14ac:dyDescent="0.35">
      <c r="A2215" s="4">
        <v>45973.360717592594</v>
      </c>
      <c r="B2215">
        <v>20103945</v>
      </c>
      <c r="C2215" s="5" t="s">
        <v>19</v>
      </c>
      <c r="D2215">
        <v>569964</v>
      </c>
      <c r="E2215" t="s">
        <v>20</v>
      </c>
      <c r="F2215">
        <v>72266229</v>
      </c>
      <c r="G2215" t="s">
        <v>306</v>
      </c>
      <c r="H2215">
        <v>200048636</v>
      </c>
      <c r="I2215">
        <v>202631</v>
      </c>
      <c r="J2215">
        <v>72266229</v>
      </c>
      <c r="K2215" t="s">
        <v>23</v>
      </c>
      <c r="L2215" t="s">
        <v>77</v>
      </c>
      <c r="M2215" t="s">
        <v>24</v>
      </c>
      <c r="N2215" t="s">
        <v>35</v>
      </c>
      <c r="O2215" t="s">
        <v>26</v>
      </c>
      <c r="P2215" t="s">
        <v>27</v>
      </c>
      <c r="Q2215" t="s">
        <v>28</v>
      </c>
      <c r="R2215" t="s">
        <v>29</v>
      </c>
      <c r="S2215" t="s">
        <v>30</v>
      </c>
      <c r="T2215">
        <v>1000251314</v>
      </c>
      <c r="U2215" t="s">
        <v>3963</v>
      </c>
      <c r="V2215" t="s">
        <v>3934</v>
      </c>
      <c r="W2215" s="9">
        <f>IF(V2215="pregrado",31,
IF(V2215="posgrados",31,
IF(V2215="rEINTEGROS",7,
IF(V2215="BIT",90,
IF(V2215="OP GRADO - INGLÉS",17,"")))))</f>
        <v>31</v>
      </c>
      <c r="X2215" t="s">
        <v>4024</v>
      </c>
    </row>
    <row r="2216" spans="1:24" ht="15" x14ac:dyDescent="0.35">
      <c r="A2216" s="4">
        <v>46051.484976851854</v>
      </c>
      <c r="B2216">
        <v>20118438</v>
      </c>
      <c r="C2216" s="6" t="s">
        <v>19</v>
      </c>
      <c r="D2216">
        <v>570033</v>
      </c>
      <c r="E2216" t="s">
        <v>20</v>
      </c>
      <c r="F2216">
        <v>1023938506</v>
      </c>
      <c r="G2216" t="s">
        <v>2478</v>
      </c>
      <c r="H2216">
        <v>100106751</v>
      </c>
      <c r="I2216">
        <v>202631</v>
      </c>
      <c r="J2216">
        <v>1023938506</v>
      </c>
      <c r="K2216" t="s">
        <v>89</v>
      </c>
      <c r="L2216" t="s">
        <v>127</v>
      </c>
      <c r="M2216" t="s">
        <v>24</v>
      </c>
      <c r="N2216" t="s">
        <v>38</v>
      </c>
      <c r="O2216" t="s">
        <v>26</v>
      </c>
      <c r="P2216" t="s">
        <v>27</v>
      </c>
      <c r="Q2216" t="s">
        <v>28</v>
      </c>
      <c r="R2216" t="s">
        <v>29</v>
      </c>
      <c r="S2216" t="s">
        <v>30</v>
      </c>
      <c r="T2216">
        <v>1000934874</v>
      </c>
      <c r="U2216" t="s">
        <v>3977</v>
      </c>
      <c r="V2216" t="s">
        <v>3970</v>
      </c>
      <c r="W2216" s="9">
        <f>IF(V2216="pregrado",31,
IF(V2216="posgrados",31,
IF(V2216="rEINTEGROS",7,
IF(V2216="BIT",90,
IF(V2216="OP GRADO - INGLÉS",17,"")))))</f>
        <v>7</v>
      </c>
      <c r="X2216" t="s">
        <v>3999</v>
      </c>
    </row>
    <row r="2217" spans="1:24" ht="15" x14ac:dyDescent="0.35">
      <c r="A2217" s="4">
        <v>45961.37537037037</v>
      </c>
      <c r="B2217">
        <v>20103074</v>
      </c>
      <c r="C2217" s="5" t="s">
        <v>19</v>
      </c>
      <c r="D2217">
        <v>570081</v>
      </c>
      <c r="E2217" t="s">
        <v>20</v>
      </c>
      <c r="F2217">
        <v>1116282921</v>
      </c>
      <c r="G2217" t="s">
        <v>196</v>
      </c>
      <c r="H2217">
        <v>200057508</v>
      </c>
      <c r="I2217">
        <v>202631</v>
      </c>
      <c r="J2217">
        <v>1116282921</v>
      </c>
      <c r="K2217" t="s">
        <v>23</v>
      </c>
      <c r="L2217" t="s">
        <v>22</v>
      </c>
      <c r="M2217" t="s">
        <v>24</v>
      </c>
      <c r="N2217" t="s">
        <v>35</v>
      </c>
      <c r="O2217" t="s">
        <v>26</v>
      </c>
      <c r="P2217" t="s">
        <v>27</v>
      </c>
      <c r="Q2217" t="s">
        <v>28</v>
      </c>
      <c r="R2217" t="s">
        <v>29</v>
      </c>
      <c r="S2217" t="s">
        <v>30</v>
      </c>
      <c r="T2217">
        <v>1000120140</v>
      </c>
      <c r="U2217" t="s">
        <v>3936</v>
      </c>
      <c r="V2217" t="s">
        <v>3937</v>
      </c>
      <c r="W2217" s="9">
        <f>IF(V2217="pregrado",31,
IF(V2217="posgrados",31,
IF(V2217="rEINTEGROS",7,
IF(V2217="BIT",90,
IF(V2217="OP GRADO - INGLÉS",17,"")))))</f>
        <v>31</v>
      </c>
      <c r="X2217" t="s">
        <v>3935</v>
      </c>
    </row>
    <row r="2218" spans="1:24" ht="15" x14ac:dyDescent="0.35">
      <c r="A2218" s="4">
        <v>45960.661134259259</v>
      </c>
      <c r="B2218">
        <v>20102987</v>
      </c>
      <c r="C2218" s="5" t="s">
        <v>19</v>
      </c>
      <c r="D2218">
        <v>570088</v>
      </c>
      <c r="E2218" t="s">
        <v>20</v>
      </c>
      <c r="F2218">
        <v>1073238433</v>
      </c>
      <c r="G2218" t="s">
        <v>192</v>
      </c>
      <c r="H2218">
        <v>100234343</v>
      </c>
      <c r="I2218">
        <v>202631</v>
      </c>
      <c r="J2218">
        <v>1073238433</v>
      </c>
      <c r="K2218" t="s">
        <v>33</v>
      </c>
      <c r="L2218" t="s">
        <v>65</v>
      </c>
      <c r="M2218" t="s">
        <v>24</v>
      </c>
      <c r="N2218" t="s">
        <v>25</v>
      </c>
      <c r="O2218" t="s">
        <v>26</v>
      </c>
      <c r="P2218" t="s">
        <v>27</v>
      </c>
      <c r="Q2218" t="s">
        <v>28</v>
      </c>
      <c r="R2218" t="s">
        <v>29</v>
      </c>
      <c r="S2218" t="s">
        <v>30</v>
      </c>
      <c r="T2218">
        <v>1010240716</v>
      </c>
      <c r="U2218" t="s">
        <v>3939</v>
      </c>
      <c r="V2218" t="s">
        <v>3934</v>
      </c>
      <c r="W2218" s="9">
        <f>IF(V2218="pregrado",31,
IF(V2218="posgrados",31,
IF(V2218="rEINTEGROS",7,
IF(V2218="BIT",90,
IF(V2218="OP GRADO - INGLÉS",17,"")))))</f>
        <v>31</v>
      </c>
      <c r="X2218" t="s">
        <v>3938</v>
      </c>
    </row>
    <row r="2219" spans="1:24" ht="15" x14ac:dyDescent="0.35">
      <c r="A2219" s="4">
        <v>45985.822777777779</v>
      </c>
      <c r="B2219">
        <v>20104745</v>
      </c>
      <c r="C2219" s="5" t="s">
        <v>19</v>
      </c>
      <c r="D2219">
        <v>570096</v>
      </c>
      <c r="E2219" t="s">
        <v>20</v>
      </c>
      <c r="F2219">
        <v>19442500</v>
      </c>
      <c r="G2219" t="s">
        <v>506</v>
      </c>
      <c r="H2219">
        <v>100232359</v>
      </c>
      <c r="I2219">
        <v>202610</v>
      </c>
      <c r="J2219">
        <v>1034780535</v>
      </c>
      <c r="K2219" t="s">
        <v>23</v>
      </c>
      <c r="L2219" t="s">
        <v>49</v>
      </c>
      <c r="M2219" t="s">
        <v>24</v>
      </c>
      <c r="N2219" t="s">
        <v>35</v>
      </c>
      <c r="O2219" t="s">
        <v>26</v>
      </c>
      <c r="P2219" t="s">
        <v>27</v>
      </c>
      <c r="Q2219" t="s">
        <v>28</v>
      </c>
      <c r="R2219" t="s">
        <v>29</v>
      </c>
      <c r="S2219" t="s">
        <v>30</v>
      </c>
      <c r="T2219">
        <v>53139409</v>
      </c>
      <c r="U2219" t="s">
        <v>3944</v>
      </c>
      <c r="V2219" t="s">
        <v>3934</v>
      </c>
      <c r="W2219" s="9">
        <f>IF(V2219="pregrado",31,
IF(V2219="posgrados",31,
IF(V2219="rEINTEGROS",7,
IF(V2219="BIT",90,
IF(V2219="OP GRADO - INGLÉS",17,"")))))</f>
        <v>31</v>
      </c>
      <c r="X2219" t="s">
        <v>3955</v>
      </c>
    </row>
    <row r="2220" spans="1:24" ht="15" x14ac:dyDescent="0.35">
      <c r="A2220" s="4">
        <v>45960.733020833337</v>
      </c>
      <c r="B2220">
        <v>20103023</v>
      </c>
      <c r="C2220" s="5" t="s">
        <v>19</v>
      </c>
      <c r="D2220">
        <v>570125</v>
      </c>
      <c r="E2220" t="s">
        <v>20</v>
      </c>
      <c r="F2220">
        <v>1022349993</v>
      </c>
      <c r="G2220" t="s">
        <v>193</v>
      </c>
      <c r="H2220">
        <v>100234387</v>
      </c>
      <c r="I2220">
        <v>202610</v>
      </c>
      <c r="J2220">
        <v>1022349993</v>
      </c>
      <c r="K2220" t="s">
        <v>23</v>
      </c>
      <c r="L2220" t="s">
        <v>194</v>
      </c>
      <c r="M2220" t="s">
        <v>24</v>
      </c>
      <c r="N2220" t="s">
        <v>35</v>
      </c>
      <c r="O2220" t="s">
        <v>26</v>
      </c>
      <c r="P2220" t="s">
        <v>27</v>
      </c>
      <c r="Q2220" t="s">
        <v>28</v>
      </c>
      <c r="R2220" t="s">
        <v>29</v>
      </c>
      <c r="S2220" t="s">
        <v>30</v>
      </c>
      <c r="T2220">
        <v>39658730</v>
      </c>
      <c r="U2220" t="s">
        <v>3963</v>
      </c>
      <c r="V2220" t="s">
        <v>3934</v>
      </c>
      <c r="W2220" s="9">
        <f>IF(V2220="pregrado",31,
IF(V2220="posgrados",31,
IF(V2220="rEINTEGROS",7,
IF(V2220="BIT",90,
IF(V2220="OP GRADO - INGLÉS",17,"")))))</f>
        <v>31</v>
      </c>
      <c r="X2220" t="s">
        <v>4003</v>
      </c>
    </row>
    <row r="2221" spans="1:24" ht="15" x14ac:dyDescent="0.35">
      <c r="A2221" s="4">
        <v>45966.542129629626</v>
      </c>
      <c r="B2221">
        <v>20103425</v>
      </c>
      <c r="C2221" s="5" t="s">
        <v>19</v>
      </c>
      <c r="D2221">
        <v>570141</v>
      </c>
      <c r="E2221" t="s">
        <v>20</v>
      </c>
      <c r="F2221">
        <v>1193232738</v>
      </c>
      <c r="G2221" t="s">
        <v>209</v>
      </c>
      <c r="H2221">
        <v>100234402</v>
      </c>
      <c r="I2221">
        <v>202631</v>
      </c>
      <c r="J2221">
        <v>1193232738</v>
      </c>
      <c r="K2221" t="s">
        <v>74</v>
      </c>
      <c r="L2221" t="s">
        <v>32</v>
      </c>
      <c r="M2221" t="s">
        <v>24</v>
      </c>
      <c r="N2221" t="s">
        <v>35</v>
      </c>
      <c r="O2221" t="s">
        <v>26</v>
      </c>
      <c r="P2221" t="s">
        <v>27</v>
      </c>
      <c r="Q2221" t="s">
        <v>28</v>
      </c>
      <c r="R2221" t="s">
        <v>29</v>
      </c>
      <c r="S2221" t="s">
        <v>30</v>
      </c>
      <c r="T2221">
        <v>1015478965</v>
      </c>
      <c r="U2221" t="s">
        <v>3944</v>
      </c>
      <c r="V2221" t="s">
        <v>3934</v>
      </c>
      <c r="W2221" s="9">
        <f>IF(V2221="pregrado",31,
IF(V2221="posgrados",31,
IF(V2221="rEINTEGROS",7,
IF(V2221="BIT",90,
IF(V2221="OP GRADO - INGLÉS",17,"")))))</f>
        <v>31</v>
      </c>
      <c r="X2221" t="s">
        <v>3979</v>
      </c>
    </row>
    <row r="2222" spans="1:24" ht="15" x14ac:dyDescent="0.35">
      <c r="A2222" s="4">
        <v>45972.590509259258</v>
      </c>
      <c r="B2222">
        <v>20103893</v>
      </c>
      <c r="C2222" s="5" t="s">
        <v>19</v>
      </c>
      <c r="D2222">
        <v>570147</v>
      </c>
      <c r="E2222" t="s">
        <v>20</v>
      </c>
      <c r="F2222">
        <v>51973184</v>
      </c>
      <c r="G2222" t="s">
        <v>292</v>
      </c>
      <c r="H2222">
        <v>100234408</v>
      </c>
      <c r="I2222">
        <v>202610</v>
      </c>
      <c r="J2222">
        <v>1032678841</v>
      </c>
      <c r="K2222" t="s">
        <v>23</v>
      </c>
      <c r="L2222" t="s">
        <v>194</v>
      </c>
      <c r="M2222" t="s">
        <v>24</v>
      </c>
      <c r="N2222" t="s">
        <v>35</v>
      </c>
      <c r="O2222" t="s">
        <v>26</v>
      </c>
      <c r="P2222" t="s">
        <v>27</v>
      </c>
      <c r="Q2222" t="s">
        <v>28</v>
      </c>
      <c r="R2222" t="s">
        <v>29</v>
      </c>
      <c r="S2222" t="s">
        <v>30</v>
      </c>
      <c r="T2222">
        <v>1023975276</v>
      </c>
      <c r="U2222" t="s">
        <v>3963</v>
      </c>
      <c r="V2222" t="s">
        <v>3934</v>
      </c>
      <c r="W2222" s="9">
        <f>IF(V2222="pregrado",31,
IF(V2222="posgrados",31,
IF(V2222="rEINTEGROS",7,
IF(V2222="BIT",90,
IF(V2222="OP GRADO - INGLÉS",17,"")))))</f>
        <v>31</v>
      </c>
      <c r="X2222" t="s">
        <v>3962</v>
      </c>
    </row>
    <row r="2223" spans="1:24" ht="15" x14ac:dyDescent="0.35">
      <c r="A2223" s="4">
        <v>45960.62427083333</v>
      </c>
      <c r="B2223">
        <v>20102972</v>
      </c>
      <c r="C2223" s="5" t="s">
        <v>19</v>
      </c>
      <c r="D2223">
        <v>570148</v>
      </c>
      <c r="E2223" t="s">
        <v>20</v>
      </c>
      <c r="F2223">
        <v>1073152001</v>
      </c>
      <c r="G2223" t="s">
        <v>191</v>
      </c>
      <c r="H2223">
        <v>100111290</v>
      </c>
      <c r="I2223">
        <v>202610</v>
      </c>
      <c r="J2223">
        <v>1073152001</v>
      </c>
      <c r="K2223" t="s">
        <v>33</v>
      </c>
      <c r="L2223" t="s">
        <v>40</v>
      </c>
      <c r="M2223" t="s">
        <v>24</v>
      </c>
      <c r="N2223" t="s">
        <v>38</v>
      </c>
      <c r="O2223" t="s">
        <v>26</v>
      </c>
      <c r="P2223" t="s">
        <v>27</v>
      </c>
      <c r="Q2223" t="s">
        <v>28</v>
      </c>
      <c r="R2223" t="s">
        <v>29</v>
      </c>
      <c r="S2223" t="s">
        <v>30</v>
      </c>
      <c r="T2223">
        <v>1000286877</v>
      </c>
      <c r="U2223" t="s">
        <v>3986</v>
      </c>
      <c r="V2223" t="s">
        <v>3934</v>
      </c>
      <c r="W2223" s="9">
        <f>IF(V2223="pregrado",31,
IF(V2223="posgrados",31,
IF(V2223="rEINTEGROS",7,
IF(V2223="BIT",90,
IF(V2223="OP GRADO - INGLÉS",17,"")))))</f>
        <v>31</v>
      </c>
      <c r="X2223" t="s">
        <v>4100</v>
      </c>
    </row>
    <row r="2224" spans="1:24" ht="15" x14ac:dyDescent="0.35">
      <c r="A2224" s="4">
        <v>45972.48709490741</v>
      </c>
      <c r="B2224">
        <v>20103868</v>
      </c>
      <c r="C2224" s="5" t="s">
        <v>19</v>
      </c>
      <c r="D2224">
        <v>570149</v>
      </c>
      <c r="E2224" t="s">
        <v>20</v>
      </c>
      <c r="F2224">
        <v>2988760</v>
      </c>
      <c r="G2224" t="s">
        <v>288</v>
      </c>
      <c r="H2224">
        <v>100234409</v>
      </c>
      <c r="I2224">
        <v>202610</v>
      </c>
      <c r="J2224">
        <v>1031808175</v>
      </c>
      <c r="K2224" t="s">
        <v>33</v>
      </c>
      <c r="L2224" t="s">
        <v>153</v>
      </c>
      <c r="M2224" t="s">
        <v>24</v>
      </c>
      <c r="N2224" t="s">
        <v>25</v>
      </c>
      <c r="O2224" t="s">
        <v>26</v>
      </c>
      <c r="P2224" t="s">
        <v>27</v>
      </c>
      <c r="Q2224" t="s">
        <v>28</v>
      </c>
      <c r="R2224" t="s">
        <v>29</v>
      </c>
      <c r="S2224" t="s">
        <v>30</v>
      </c>
      <c r="T2224">
        <v>1014283217</v>
      </c>
      <c r="U2224" t="s">
        <v>3963</v>
      </c>
      <c r="V2224" t="s">
        <v>3934</v>
      </c>
      <c r="W2224" s="9">
        <f>IF(V2224="pregrado",31,
IF(V2224="posgrados",31,
IF(V2224="rEINTEGROS",7,
IF(V2224="BIT",90,
IF(V2224="OP GRADO - INGLÉS",17,"")))))</f>
        <v>31</v>
      </c>
      <c r="X2224" t="s">
        <v>4023</v>
      </c>
    </row>
    <row r="2225" spans="1:24" ht="15" x14ac:dyDescent="0.35">
      <c r="A2225" s="4">
        <v>45987.517013888886</v>
      </c>
      <c r="B2225">
        <v>20104926</v>
      </c>
      <c r="C2225" s="6" t="s">
        <v>19</v>
      </c>
      <c r="D2225">
        <v>570157</v>
      </c>
      <c r="E2225" t="s">
        <v>20</v>
      </c>
      <c r="F2225">
        <v>1051661448</v>
      </c>
      <c r="G2225" t="s">
        <v>561</v>
      </c>
      <c r="H2225">
        <v>100234418</v>
      </c>
      <c r="I2225">
        <v>202610</v>
      </c>
      <c r="J2225">
        <v>1051661448</v>
      </c>
      <c r="K2225" t="s">
        <v>33</v>
      </c>
      <c r="L2225" t="s">
        <v>37</v>
      </c>
      <c r="M2225" t="s">
        <v>24</v>
      </c>
      <c r="N2225" t="s">
        <v>25</v>
      </c>
      <c r="O2225" t="s">
        <v>26</v>
      </c>
      <c r="P2225" t="s">
        <v>27</v>
      </c>
      <c r="Q2225" t="s">
        <v>28</v>
      </c>
      <c r="R2225" t="s">
        <v>29</v>
      </c>
      <c r="S2225" t="s">
        <v>30</v>
      </c>
      <c r="T2225">
        <v>1070815435</v>
      </c>
      <c r="U2225" t="s">
        <v>3986</v>
      </c>
      <c r="V2225" t="s">
        <v>3934</v>
      </c>
      <c r="W2225" s="9">
        <f>IF(V2225="pregrado",31,
IF(V2225="posgrados",31,
IF(V2225="rEINTEGROS",7,
IF(V2225="BIT",90,
IF(V2225="OP GRADO - INGLÉS",17,"")))))</f>
        <v>31</v>
      </c>
      <c r="X2225" t="s">
        <v>4038</v>
      </c>
    </row>
    <row r="2226" spans="1:24" ht="15" x14ac:dyDescent="0.35">
      <c r="A2226" s="4">
        <v>45960.619629629633</v>
      </c>
      <c r="B2226">
        <v>20102968</v>
      </c>
      <c r="C2226" s="5" t="s">
        <v>19</v>
      </c>
      <c r="D2226">
        <v>570160</v>
      </c>
      <c r="E2226" t="s">
        <v>20</v>
      </c>
      <c r="F2226">
        <v>1000129150</v>
      </c>
      <c r="G2226" t="s">
        <v>190</v>
      </c>
      <c r="H2226">
        <v>100204714</v>
      </c>
      <c r="I2226">
        <v>202610</v>
      </c>
      <c r="J2226">
        <v>1000129150</v>
      </c>
      <c r="K2226" t="s">
        <v>33</v>
      </c>
      <c r="L2226" t="s">
        <v>153</v>
      </c>
      <c r="M2226" t="s">
        <v>24</v>
      </c>
      <c r="N2226" t="s">
        <v>25</v>
      </c>
      <c r="O2226" t="s">
        <v>26</v>
      </c>
      <c r="P2226" t="s">
        <v>27</v>
      </c>
      <c r="Q2226" t="s">
        <v>28</v>
      </c>
      <c r="R2226" t="s">
        <v>29</v>
      </c>
      <c r="S2226" t="s">
        <v>30</v>
      </c>
      <c r="T2226">
        <v>1001277801</v>
      </c>
      <c r="U2226" t="s">
        <v>3965</v>
      </c>
      <c r="V2226" t="s">
        <v>3934</v>
      </c>
      <c r="W2226" s="9">
        <f>IF(V2226="pregrado",31,
IF(V2226="posgrados",31,
IF(V2226="rEINTEGROS",7,
IF(V2226="BIT",90,
IF(V2226="OP GRADO - INGLÉS",17,"")))))</f>
        <v>31</v>
      </c>
      <c r="X2226" t="s">
        <v>4002</v>
      </c>
    </row>
    <row r="2227" spans="1:24" ht="15" x14ac:dyDescent="0.35">
      <c r="A2227" s="4">
        <v>45975.59033564815</v>
      </c>
      <c r="B2227">
        <v>20104160</v>
      </c>
      <c r="C2227" s="5" t="s">
        <v>19</v>
      </c>
      <c r="D2227">
        <v>570163</v>
      </c>
      <c r="E2227" t="s">
        <v>20</v>
      </c>
      <c r="F2227">
        <v>39642675</v>
      </c>
      <c r="G2227" t="s">
        <v>365</v>
      </c>
      <c r="H2227">
        <v>100234424</v>
      </c>
      <c r="I2227">
        <v>202610</v>
      </c>
      <c r="J2227">
        <v>1012417069</v>
      </c>
      <c r="K2227" t="s">
        <v>23</v>
      </c>
      <c r="L2227" t="s">
        <v>62</v>
      </c>
      <c r="M2227" t="s">
        <v>24</v>
      </c>
      <c r="N2227" t="s">
        <v>35</v>
      </c>
      <c r="O2227" t="s">
        <v>26</v>
      </c>
      <c r="P2227" t="s">
        <v>27</v>
      </c>
      <c r="Q2227" t="s">
        <v>28</v>
      </c>
      <c r="R2227" t="s">
        <v>29</v>
      </c>
      <c r="S2227" t="s">
        <v>30</v>
      </c>
      <c r="T2227">
        <v>1000120140</v>
      </c>
      <c r="U2227" t="s">
        <v>3936</v>
      </c>
      <c r="V2227" t="s">
        <v>3937</v>
      </c>
      <c r="W2227" s="9">
        <f>IF(V2227="pregrado",31,
IF(V2227="posgrados",31,
IF(V2227="rEINTEGROS",7,
IF(V2227="BIT",90,
IF(V2227="OP GRADO - INGLÉS",17,"")))))</f>
        <v>31</v>
      </c>
      <c r="X2227" t="s">
        <v>3935</v>
      </c>
    </row>
    <row r="2228" spans="1:24" ht="15" x14ac:dyDescent="0.35">
      <c r="A2228" s="4">
        <v>45965.596759259257</v>
      </c>
      <c r="B2228">
        <v>20103303</v>
      </c>
      <c r="C2228" s="5" t="s">
        <v>19</v>
      </c>
      <c r="D2228">
        <v>570169</v>
      </c>
      <c r="E2228" t="s">
        <v>20</v>
      </c>
      <c r="F2228">
        <v>1062082806</v>
      </c>
      <c r="G2228" t="s">
        <v>201</v>
      </c>
      <c r="H2228">
        <v>100231452</v>
      </c>
      <c r="I2228">
        <v>202631</v>
      </c>
      <c r="J2228">
        <v>1062082806</v>
      </c>
      <c r="K2228" t="s">
        <v>23</v>
      </c>
      <c r="L2228" t="s">
        <v>101</v>
      </c>
      <c r="M2228" t="s">
        <v>24</v>
      </c>
      <c r="N2228" t="s">
        <v>35</v>
      </c>
      <c r="O2228" t="s">
        <v>26</v>
      </c>
      <c r="P2228" t="s">
        <v>27</v>
      </c>
      <c r="Q2228" t="s">
        <v>28</v>
      </c>
      <c r="R2228" t="s">
        <v>29</v>
      </c>
      <c r="S2228" t="s">
        <v>30</v>
      </c>
      <c r="T2228">
        <v>1023975276</v>
      </c>
      <c r="U2228" t="s">
        <v>3963</v>
      </c>
      <c r="V2228" t="s">
        <v>3934</v>
      </c>
      <c r="W2228" s="9">
        <f>IF(V2228="pregrado",31,
IF(V2228="posgrados",31,
IF(V2228="rEINTEGROS",7,
IF(V2228="BIT",90,
IF(V2228="OP GRADO - INGLÉS",17,"")))))</f>
        <v>31</v>
      </c>
      <c r="X2228" t="s">
        <v>3962</v>
      </c>
    </row>
    <row r="2229" spans="1:24" ht="15" x14ac:dyDescent="0.35">
      <c r="A2229" s="4">
        <v>45975.680439814816</v>
      </c>
      <c r="B2229">
        <v>20104188</v>
      </c>
      <c r="C2229" s="5" t="s">
        <v>19</v>
      </c>
      <c r="D2229">
        <v>570205</v>
      </c>
      <c r="E2229" t="s">
        <v>20</v>
      </c>
      <c r="F2229">
        <v>1001297261</v>
      </c>
      <c r="G2229" t="s">
        <v>375</v>
      </c>
      <c r="H2229">
        <v>100234465</v>
      </c>
      <c r="I2229">
        <v>202610</v>
      </c>
      <c r="J2229">
        <v>1001297261</v>
      </c>
      <c r="K2229" t="s">
        <v>33</v>
      </c>
      <c r="L2229" t="s">
        <v>62</v>
      </c>
      <c r="M2229" t="s">
        <v>24</v>
      </c>
      <c r="N2229" t="s">
        <v>35</v>
      </c>
      <c r="O2229" t="s">
        <v>26</v>
      </c>
      <c r="P2229" t="s">
        <v>27</v>
      </c>
      <c r="Q2229" t="s">
        <v>28</v>
      </c>
      <c r="R2229" t="s">
        <v>29</v>
      </c>
      <c r="S2229" t="s">
        <v>30</v>
      </c>
      <c r="T2229">
        <v>1000625316</v>
      </c>
      <c r="U2229" t="s">
        <v>3944</v>
      </c>
      <c r="V2229" t="s">
        <v>3934</v>
      </c>
      <c r="W2229" s="9">
        <f>IF(V2229="pregrado",31,
IF(V2229="posgrados",31,
IF(V2229="rEINTEGROS",7,
IF(V2229="BIT",90,
IF(V2229="OP GRADO - INGLÉS",17,"")))))</f>
        <v>31</v>
      </c>
      <c r="X2229" t="s">
        <v>3980</v>
      </c>
    </row>
    <row r="2230" spans="1:24" ht="15" x14ac:dyDescent="0.35">
      <c r="A2230" s="4">
        <v>45975.540138888886</v>
      </c>
      <c r="B2230">
        <v>20104148</v>
      </c>
      <c r="C2230" s="5" t="s">
        <v>19</v>
      </c>
      <c r="D2230">
        <v>570219</v>
      </c>
      <c r="E2230" t="s">
        <v>20</v>
      </c>
      <c r="F2230">
        <v>1083014545</v>
      </c>
      <c r="G2230" t="s">
        <v>361</v>
      </c>
      <c r="H2230">
        <v>100234475</v>
      </c>
      <c r="I2230">
        <v>202610</v>
      </c>
      <c r="J2230">
        <v>1084450537</v>
      </c>
      <c r="K2230" t="s">
        <v>23</v>
      </c>
      <c r="L2230" t="s">
        <v>79</v>
      </c>
      <c r="M2230" t="s">
        <v>24</v>
      </c>
      <c r="N2230" t="s">
        <v>35</v>
      </c>
      <c r="O2230" t="s">
        <v>26</v>
      </c>
      <c r="P2230" t="s">
        <v>27</v>
      </c>
      <c r="Q2230" t="s">
        <v>28</v>
      </c>
      <c r="R2230" t="s">
        <v>29</v>
      </c>
      <c r="S2230" t="s">
        <v>30</v>
      </c>
      <c r="T2230">
        <v>1015478965</v>
      </c>
      <c r="U2230" t="s">
        <v>3944</v>
      </c>
      <c r="V2230" t="s">
        <v>3934</v>
      </c>
      <c r="W2230" s="9">
        <f>IF(V2230="pregrado",31,
IF(V2230="posgrados",31,
IF(V2230="rEINTEGROS",7,
IF(V2230="BIT",90,
IF(V2230="OP GRADO - INGLÉS",17,"")))))</f>
        <v>31</v>
      </c>
      <c r="X2230" t="s">
        <v>3979</v>
      </c>
    </row>
    <row r="2231" spans="1:24" ht="15" x14ac:dyDescent="0.35">
      <c r="A2231" s="4">
        <v>45973.516446759262</v>
      </c>
      <c r="B2231">
        <v>20103972</v>
      </c>
      <c r="C2231" s="5" t="s">
        <v>19</v>
      </c>
      <c r="D2231">
        <v>570228</v>
      </c>
      <c r="E2231" t="s">
        <v>20</v>
      </c>
      <c r="F2231">
        <v>39802946</v>
      </c>
      <c r="G2231" t="s">
        <v>314</v>
      </c>
      <c r="H2231">
        <v>100234353</v>
      </c>
      <c r="I2231">
        <v>202610</v>
      </c>
      <c r="J2231">
        <v>1072961280</v>
      </c>
      <c r="K2231" t="s">
        <v>23</v>
      </c>
      <c r="L2231" t="s">
        <v>49</v>
      </c>
      <c r="M2231" t="s">
        <v>24</v>
      </c>
      <c r="N2231" t="s">
        <v>35</v>
      </c>
      <c r="O2231" t="s">
        <v>26</v>
      </c>
      <c r="P2231" t="s">
        <v>27</v>
      </c>
      <c r="Q2231" t="s">
        <v>28</v>
      </c>
      <c r="R2231" t="s">
        <v>29</v>
      </c>
      <c r="S2231" t="s">
        <v>30</v>
      </c>
      <c r="T2231">
        <v>1000001980</v>
      </c>
      <c r="U2231" t="s">
        <v>3944</v>
      </c>
      <c r="V2231" t="s">
        <v>3934</v>
      </c>
      <c r="W2231" s="9">
        <f>IF(V2231="pregrado",31,
IF(V2231="posgrados",31,
IF(V2231="rEINTEGROS",7,
IF(V2231="BIT",90,
IF(V2231="OP GRADO - INGLÉS",17,"")))))</f>
        <v>31</v>
      </c>
      <c r="X2231" t="s">
        <v>3968</v>
      </c>
    </row>
    <row r="2232" spans="1:24" ht="15" x14ac:dyDescent="0.35">
      <c r="A2232" s="4">
        <v>45966.422650462962</v>
      </c>
      <c r="B2232">
        <v>20103399</v>
      </c>
      <c r="C2232" s="5" t="s">
        <v>19</v>
      </c>
      <c r="D2232">
        <v>570283</v>
      </c>
      <c r="E2232" t="s">
        <v>20</v>
      </c>
      <c r="F2232">
        <v>1032493558</v>
      </c>
      <c r="G2232" t="s">
        <v>206</v>
      </c>
      <c r="H2232">
        <v>100234448</v>
      </c>
      <c r="I2232">
        <v>202631</v>
      </c>
      <c r="J2232">
        <v>1032493558</v>
      </c>
      <c r="K2232" t="s">
        <v>33</v>
      </c>
      <c r="L2232" t="s">
        <v>207</v>
      </c>
      <c r="M2232" t="s">
        <v>24</v>
      </c>
      <c r="N2232" t="s">
        <v>38</v>
      </c>
      <c r="O2232" t="s">
        <v>26</v>
      </c>
      <c r="P2232" t="s">
        <v>27</v>
      </c>
      <c r="Q2232" t="s">
        <v>28</v>
      </c>
      <c r="R2232" t="s">
        <v>29</v>
      </c>
      <c r="S2232" t="s">
        <v>30</v>
      </c>
      <c r="T2232">
        <v>52182207</v>
      </c>
      <c r="U2232" t="s">
        <v>3941</v>
      </c>
      <c r="V2232" t="s">
        <v>3934</v>
      </c>
      <c r="W2232" s="9">
        <f>IF(V2232="pregrado",31,
IF(V2232="posgrados",31,
IF(V2232="rEINTEGROS",7,
IF(V2232="BIT",90,
IF(V2232="OP GRADO - INGLÉS",17,"")))))</f>
        <v>31</v>
      </c>
      <c r="X2232" t="s">
        <v>3946</v>
      </c>
    </row>
    <row r="2233" spans="1:24" ht="15" x14ac:dyDescent="0.35">
      <c r="A2233" s="4">
        <v>45965.737650462965</v>
      </c>
      <c r="B2233">
        <v>20103356</v>
      </c>
      <c r="C2233" s="5" t="s">
        <v>19</v>
      </c>
      <c r="D2233">
        <v>570293</v>
      </c>
      <c r="E2233" t="s">
        <v>20</v>
      </c>
      <c r="F2233">
        <v>1088330990</v>
      </c>
      <c r="G2233" t="s">
        <v>203</v>
      </c>
      <c r="H2233">
        <v>100234208</v>
      </c>
      <c r="I2233">
        <v>202611</v>
      </c>
      <c r="J2233">
        <v>1088330990</v>
      </c>
      <c r="K2233" t="s">
        <v>33</v>
      </c>
      <c r="L2233" t="s">
        <v>204</v>
      </c>
      <c r="M2233" t="s">
        <v>24</v>
      </c>
      <c r="N2233" t="s">
        <v>25</v>
      </c>
      <c r="O2233" t="s">
        <v>26</v>
      </c>
      <c r="P2233" t="s">
        <v>27</v>
      </c>
      <c r="Q2233" t="s">
        <v>28</v>
      </c>
      <c r="R2233" t="s">
        <v>29</v>
      </c>
      <c r="S2233" t="s">
        <v>30</v>
      </c>
      <c r="T2233">
        <v>1019115186</v>
      </c>
      <c r="U2233" t="s">
        <v>3941</v>
      </c>
      <c r="V2233" t="s">
        <v>3934</v>
      </c>
      <c r="W2233" s="9">
        <f>IF(V2233="pregrado",31,
IF(V2233="posgrados",31,
IF(V2233="rEINTEGROS",7,
IF(V2233="BIT",90,
IF(V2233="OP GRADO - INGLÉS",17,"")))))</f>
        <v>31</v>
      </c>
      <c r="X2233" t="s">
        <v>4005</v>
      </c>
    </row>
    <row r="2234" spans="1:24" ht="15" x14ac:dyDescent="0.35">
      <c r="A2234" s="4">
        <v>45966.641157407408</v>
      </c>
      <c r="B2234">
        <v>20103452</v>
      </c>
      <c r="C2234" s="5" t="s">
        <v>19</v>
      </c>
      <c r="D2234">
        <v>570294</v>
      </c>
      <c r="E2234" t="s">
        <v>20</v>
      </c>
      <c r="F2234">
        <v>1016948478</v>
      </c>
      <c r="G2234" t="s">
        <v>213</v>
      </c>
      <c r="H2234">
        <v>100234472</v>
      </c>
      <c r="I2234">
        <v>202611</v>
      </c>
      <c r="J2234">
        <v>1016948478</v>
      </c>
      <c r="K2234" t="s">
        <v>33</v>
      </c>
      <c r="L2234" t="s">
        <v>204</v>
      </c>
      <c r="M2234" t="s">
        <v>24</v>
      </c>
      <c r="N2234" t="s">
        <v>25</v>
      </c>
      <c r="O2234" t="s">
        <v>26</v>
      </c>
      <c r="P2234" t="s">
        <v>27</v>
      </c>
      <c r="Q2234" t="s">
        <v>28</v>
      </c>
      <c r="R2234" t="s">
        <v>29</v>
      </c>
      <c r="S2234" t="s">
        <v>30</v>
      </c>
      <c r="T2234">
        <v>1020730718</v>
      </c>
      <c r="U2234" t="s">
        <v>3941</v>
      </c>
      <c r="V2234" t="s">
        <v>3934</v>
      </c>
      <c r="W2234" s="9">
        <f>IF(V2234="pregrado",31,
IF(V2234="posgrados",31,
IF(V2234="rEINTEGROS",7,
IF(V2234="BIT",90,
IF(V2234="OP GRADO - INGLÉS",17,"")))))</f>
        <v>31</v>
      </c>
      <c r="X2234" t="s">
        <v>3952</v>
      </c>
    </row>
    <row r="2235" spans="1:24" ht="15" x14ac:dyDescent="0.35">
      <c r="A2235" s="4">
        <v>45965.669745370367</v>
      </c>
      <c r="B2235">
        <v>20103329</v>
      </c>
      <c r="C2235" s="5" t="s">
        <v>19</v>
      </c>
      <c r="D2235">
        <v>570298</v>
      </c>
      <c r="E2235" t="s">
        <v>20</v>
      </c>
      <c r="F2235">
        <v>46665042</v>
      </c>
      <c r="G2235" t="s">
        <v>202</v>
      </c>
      <c r="H2235">
        <v>100234585</v>
      </c>
      <c r="I2235">
        <v>202631</v>
      </c>
      <c r="J2235">
        <v>1003741728</v>
      </c>
      <c r="K2235" t="s">
        <v>23</v>
      </c>
      <c r="L2235" t="s">
        <v>32</v>
      </c>
      <c r="M2235" t="s">
        <v>24</v>
      </c>
      <c r="N2235" t="s">
        <v>35</v>
      </c>
      <c r="O2235" t="s">
        <v>26</v>
      </c>
      <c r="P2235" t="s">
        <v>27</v>
      </c>
      <c r="Q2235" t="s">
        <v>28</v>
      </c>
      <c r="R2235" t="s">
        <v>29</v>
      </c>
      <c r="S2235" t="s">
        <v>30</v>
      </c>
      <c r="T2235">
        <v>11001273124</v>
      </c>
      <c r="U2235" t="s">
        <v>3944</v>
      </c>
      <c r="V2235" t="s">
        <v>3934</v>
      </c>
      <c r="W2235" s="9">
        <f>IF(V2235="pregrado",31,
IF(V2235="posgrados",31,
IF(V2235="rEINTEGROS",7,
IF(V2235="BIT",90,
IF(V2235="OP GRADO - INGLÉS",17,"")))))</f>
        <v>31</v>
      </c>
      <c r="X2235" t="s">
        <v>3951</v>
      </c>
    </row>
    <row r="2236" spans="1:24" ht="15" x14ac:dyDescent="0.35">
      <c r="A2236" s="4">
        <v>45966.633993055555</v>
      </c>
      <c r="B2236">
        <v>20103447</v>
      </c>
      <c r="C2236" s="5" t="s">
        <v>19</v>
      </c>
      <c r="D2236">
        <v>570299</v>
      </c>
      <c r="E2236" t="s">
        <v>20</v>
      </c>
      <c r="F2236">
        <v>40328208</v>
      </c>
      <c r="G2236" t="s">
        <v>210</v>
      </c>
      <c r="H2236">
        <v>100234606</v>
      </c>
      <c r="I2236">
        <v>202631</v>
      </c>
      <c r="J2236">
        <v>40328208</v>
      </c>
      <c r="K2236" t="s">
        <v>23</v>
      </c>
      <c r="L2236" t="s">
        <v>32</v>
      </c>
      <c r="M2236" t="s">
        <v>24</v>
      </c>
      <c r="N2236" t="s">
        <v>35</v>
      </c>
      <c r="O2236" t="s">
        <v>26</v>
      </c>
      <c r="P2236" t="s">
        <v>27</v>
      </c>
      <c r="Q2236" t="s">
        <v>28</v>
      </c>
      <c r="R2236" t="s">
        <v>29</v>
      </c>
      <c r="S2236" t="s">
        <v>30</v>
      </c>
      <c r="T2236">
        <v>53139409</v>
      </c>
      <c r="U2236" t="s">
        <v>3944</v>
      </c>
      <c r="V2236" t="s">
        <v>3934</v>
      </c>
      <c r="W2236" s="9">
        <f>IF(V2236="pregrado",31,
IF(V2236="posgrados",31,
IF(V2236="rEINTEGROS",7,
IF(V2236="BIT",90,
IF(V2236="OP GRADO - INGLÉS",17,"")))))</f>
        <v>31</v>
      </c>
      <c r="X2236" t="s">
        <v>3955</v>
      </c>
    </row>
    <row r="2237" spans="1:24" ht="15" x14ac:dyDescent="0.35">
      <c r="A2237" s="4">
        <v>45968.62090277778</v>
      </c>
      <c r="B2237">
        <v>20103688</v>
      </c>
      <c r="C2237" s="5" t="s">
        <v>19</v>
      </c>
      <c r="D2237">
        <v>570322</v>
      </c>
      <c r="E2237" t="s">
        <v>20</v>
      </c>
      <c r="F2237">
        <v>1079232126</v>
      </c>
      <c r="G2237" t="s">
        <v>250</v>
      </c>
      <c r="H2237">
        <v>100234626</v>
      </c>
      <c r="I2237">
        <v>202611</v>
      </c>
      <c r="J2237">
        <v>1079232126</v>
      </c>
      <c r="K2237" t="s">
        <v>23</v>
      </c>
      <c r="L2237" t="s">
        <v>227</v>
      </c>
      <c r="M2237" t="s">
        <v>24</v>
      </c>
      <c r="N2237" t="s">
        <v>35</v>
      </c>
      <c r="O2237" t="s">
        <v>26</v>
      </c>
      <c r="P2237" t="s">
        <v>27</v>
      </c>
      <c r="Q2237" t="s">
        <v>28</v>
      </c>
      <c r="R2237" t="s">
        <v>29</v>
      </c>
      <c r="S2237" t="s">
        <v>30</v>
      </c>
      <c r="T2237">
        <v>1030570122</v>
      </c>
      <c r="U2237" t="s">
        <v>3965</v>
      </c>
      <c r="V2237" t="s">
        <v>3934</v>
      </c>
      <c r="W2237" s="9">
        <f>IF(V2237="pregrado",31,
IF(V2237="posgrados",31,
IF(V2237="rEINTEGROS",7,
IF(V2237="BIT",90,
IF(V2237="OP GRADO - INGLÉS",17,"")))))</f>
        <v>31</v>
      </c>
      <c r="X2237" t="s">
        <v>4015</v>
      </c>
    </row>
    <row r="2238" spans="1:24" ht="15" x14ac:dyDescent="0.35">
      <c r="A2238" s="4">
        <v>45966.636122685188</v>
      </c>
      <c r="B2238">
        <v>20103448</v>
      </c>
      <c r="C2238" s="5" t="s">
        <v>19</v>
      </c>
      <c r="D2238">
        <v>570323</v>
      </c>
      <c r="E2238" t="s">
        <v>20</v>
      </c>
      <c r="F2238">
        <v>1057842112</v>
      </c>
      <c r="G2238" t="s">
        <v>211</v>
      </c>
      <c r="H2238">
        <v>100234420</v>
      </c>
      <c r="I2238">
        <v>202611</v>
      </c>
      <c r="J2238">
        <v>1057842112</v>
      </c>
      <c r="K2238" t="s">
        <v>83</v>
      </c>
      <c r="L2238" t="s">
        <v>204</v>
      </c>
      <c r="M2238" t="s">
        <v>24</v>
      </c>
      <c r="N2238" t="s">
        <v>38</v>
      </c>
      <c r="O2238" t="s">
        <v>26</v>
      </c>
      <c r="P2238" t="s">
        <v>27</v>
      </c>
      <c r="Q2238" t="s">
        <v>28</v>
      </c>
      <c r="R2238" t="s">
        <v>29</v>
      </c>
      <c r="S2238" t="s">
        <v>30</v>
      </c>
      <c r="T2238">
        <v>1020730718</v>
      </c>
      <c r="U2238" t="s">
        <v>3941</v>
      </c>
      <c r="V2238" t="s">
        <v>3934</v>
      </c>
      <c r="W2238" s="9">
        <f>IF(V2238="pregrado",31,
IF(V2238="posgrados",31,
IF(V2238="rEINTEGROS",7,
IF(V2238="BIT",90,
IF(V2238="OP GRADO - INGLÉS",17,"")))))</f>
        <v>31</v>
      </c>
      <c r="X2238" t="s">
        <v>3952</v>
      </c>
    </row>
    <row r="2239" spans="1:24" ht="15" x14ac:dyDescent="0.35">
      <c r="A2239" s="4">
        <v>45973.756516203706</v>
      </c>
      <c r="B2239">
        <v>20104014</v>
      </c>
      <c r="C2239" s="5" t="s">
        <v>19</v>
      </c>
      <c r="D2239">
        <v>570326</v>
      </c>
      <c r="E2239" t="s">
        <v>20</v>
      </c>
      <c r="F2239">
        <v>1193374943</v>
      </c>
      <c r="G2239" t="s">
        <v>326</v>
      </c>
      <c r="H2239">
        <v>100234629</v>
      </c>
      <c r="I2239">
        <v>202631</v>
      </c>
      <c r="J2239">
        <v>1003202649</v>
      </c>
      <c r="K2239" t="s">
        <v>33</v>
      </c>
      <c r="L2239" t="s">
        <v>101</v>
      </c>
      <c r="M2239" t="s">
        <v>24</v>
      </c>
      <c r="N2239" t="s">
        <v>35</v>
      </c>
      <c r="O2239" t="s">
        <v>26</v>
      </c>
      <c r="P2239" t="s">
        <v>27</v>
      </c>
      <c r="Q2239" t="s">
        <v>28</v>
      </c>
      <c r="R2239" t="s">
        <v>29</v>
      </c>
      <c r="S2239" t="s">
        <v>30</v>
      </c>
      <c r="T2239">
        <v>1013687925</v>
      </c>
      <c r="U2239" t="s">
        <v>3933</v>
      </c>
      <c r="V2239" t="s">
        <v>3934</v>
      </c>
      <c r="W2239" s="9">
        <f>IF(V2239="pregrado",31,
IF(V2239="posgrados",31,
IF(V2239="rEINTEGROS",7,
IF(V2239="BIT",90,
IF(V2239="OP GRADO - INGLÉS",17,"")))))</f>
        <v>31</v>
      </c>
      <c r="X2239" t="s">
        <v>3959</v>
      </c>
    </row>
    <row r="2240" spans="1:24" ht="15" x14ac:dyDescent="0.35">
      <c r="A2240" s="4">
        <v>45993.631550925929</v>
      </c>
      <c r="B2240">
        <v>20105620</v>
      </c>
      <c r="C2240" s="6" t="s">
        <v>19</v>
      </c>
      <c r="D2240">
        <v>570328</v>
      </c>
      <c r="E2240" t="s">
        <v>20</v>
      </c>
      <c r="F2240">
        <v>1000989478</v>
      </c>
      <c r="G2240" t="s">
        <v>725</v>
      </c>
      <c r="H2240">
        <v>100234625</v>
      </c>
      <c r="I2240">
        <v>202610</v>
      </c>
      <c r="J2240">
        <v>1000989478</v>
      </c>
      <c r="K2240" t="s">
        <v>33</v>
      </c>
      <c r="L2240" t="s">
        <v>37</v>
      </c>
      <c r="M2240" t="s">
        <v>24</v>
      </c>
      <c r="N2240" t="s">
        <v>38</v>
      </c>
      <c r="O2240" t="s">
        <v>26</v>
      </c>
      <c r="P2240" t="s">
        <v>27</v>
      </c>
      <c r="Q2240" t="s">
        <v>28</v>
      </c>
      <c r="R2240" t="s">
        <v>29</v>
      </c>
      <c r="S2240" t="s">
        <v>30</v>
      </c>
      <c r="T2240">
        <v>1031147887</v>
      </c>
      <c r="U2240" t="s">
        <v>3948</v>
      </c>
      <c r="V2240" t="s">
        <v>3937</v>
      </c>
      <c r="W2240" s="9">
        <f>IF(V2240="pregrado",31,
IF(V2240="posgrados",31,
IF(V2240="rEINTEGROS",7,
IF(V2240="BIT",90,
IF(V2240="OP GRADO - INGLÉS",17,"")))))</f>
        <v>31</v>
      </c>
      <c r="X2240" t="s">
        <v>3947</v>
      </c>
    </row>
    <row r="2241" spans="1:24" ht="15" x14ac:dyDescent="0.35">
      <c r="A2241" s="4">
        <v>45968.770856481482</v>
      </c>
      <c r="B2241">
        <v>20103731</v>
      </c>
      <c r="C2241" s="5" t="s">
        <v>19</v>
      </c>
      <c r="D2241">
        <v>570337</v>
      </c>
      <c r="E2241" t="s">
        <v>20</v>
      </c>
      <c r="F2241">
        <v>1037604235</v>
      </c>
      <c r="G2241" t="s">
        <v>260</v>
      </c>
      <c r="H2241">
        <v>100233652</v>
      </c>
      <c r="I2241">
        <v>202631</v>
      </c>
      <c r="J2241">
        <v>1001499325</v>
      </c>
      <c r="K2241" t="s">
        <v>23</v>
      </c>
      <c r="L2241" t="s">
        <v>219</v>
      </c>
      <c r="M2241" t="s">
        <v>24</v>
      </c>
      <c r="N2241" t="s">
        <v>35</v>
      </c>
      <c r="O2241" t="s">
        <v>26</v>
      </c>
      <c r="P2241" t="s">
        <v>27</v>
      </c>
      <c r="Q2241" t="s">
        <v>28</v>
      </c>
      <c r="R2241" t="s">
        <v>29</v>
      </c>
      <c r="S2241" t="s">
        <v>30</v>
      </c>
      <c r="T2241">
        <v>1077967131</v>
      </c>
      <c r="U2241" t="s">
        <v>3963</v>
      </c>
      <c r="V2241" t="s">
        <v>3934</v>
      </c>
      <c r="W2241" s="9">
        <f>IF(V2241="pregrado",31,
IF(V2241="posgrados",31,
IF(V2241="rEINTEGROS",7,
IF(V2241="BIT",90,
IF(V2241="OP GRADO - INGLÉS",17,"")))))</f>
        <v>31</v>
      </c>
      <c r="X2241" t="s">
        <v>4011</v>
      </c>
    </row>
    <row r="2242" spans="1:24" ht="15" x14ac:dyDescent="0.35">
      <c r="A2242" s="4">
        <v>45966.770405092589</v>
      </c>
      <c r="B2242">
        <v>20103495</v>
      </c>
      <c r="C2242" s="5" t="s">
        <v>19</v>
      </c>
      <c r="D2242">
        <v>570363</v>
      </c>
      <c r="E2242" t="s">
        <v>20</v>
      </c>
      <c r="F2242">
        <v>1014186091</v>
      </c>
      <c r="G2242" t="s">
        <v>224</v>
      </c>
      <c r="H2242">
        <v>100231126</v>
      </c>
      <c r="I2242">
        <v>202631</v>
      </c>
      <c r="J2242">
        <v>1014186091</v>
      </c>
      <c r="K2242" t="s">
        <v>23</v>
      </c>
      <c r="L2242" t="s">
        <v>219</v>
      </c>
      <c r="M2242" t="s">
        <v>24</v>
      </c>
      <c r="N2242" t="s">
        <v>35</v>
      </c>
      <c r="O2242" t="s">
        <v>26</v>
      </c>
      <c r="P2242" t="s">
        <v>27</v>
      </c>
      <c r="Q2242" t="s">
        <v>28</v>
      </c>
      <c r="R2242" t="s">
        <v>29</v>
      </c>
      <c r="S2242" t="s">
        <v>30</v>
      </c>
      <c r="T2242">
        <v>1023975276</v>
      </c>
      <c r="U2242" t="s">
        <v>3963</v>
      </c>
      <c r="V2242" t="s">
        <v>3934</v>
      </c>
      <c r="W2242" s="9">
        <f>IF(V2242="pregrado",31,
IF(V2242="posgrados",31,
IF(V2242="rEINTEGROS",7,
IF(V2242="BIT",90,
IF(V2242="OP GRADO - INGLÉS",17,"")))))</f>
        <v>31</v>
      </c>
      <c r="X2242" t="s">
        <v>3962</v>
      </c>
    </row>
    <row r="2243" spans="1:24" ht="15" x14ac:dyDescent="0.35">
      <c r="A2243" s="4">
        <v>45967.412685185183</v>
      </c>
      <c r="B2243">
        <v>20103529</v>
      </c>
      <c r="C2243" s="5" t="s">
        <v>19</v>
      </c>
      <c r="D2243">
        <v>570372</v>
      </c>
      <c r="E2243" t="s">
        <v>20</v>
      </c>
      <c r="F2243">
        <v>1124540800</v>
      </c>
      <c r="G2243" t="s">
        <v>226</v>
      </c>
      <c r="H2243">
        <v>100234524</v>
      </c>
      <c r="I2243">
        <v>202611</v>
      </c>
      <c r="J2243">
        <v>1124540800</v>
      </c>
      <c r="K2243" t="s">
        <v>23</v>
      </c>
      <c r="L2243" t="s">
        <v>227</v>
      </c>
      <c r="M2243" t="s">
        <v>24</v>
      </c>
      <c r="N2243" t="s">
        <v>35</v>
      </c>
      <c r="O2243" t="s">
        <v>26</v>
      </c>
      <c r="P2243" t="s">
        <v>27</v>
      </c>
      <c r="Q2243" t="s">
        <v>28</v>
      </c>
      <c r="R2243" t="s">
        <v>29</v>
      </c>
      <c r="S2243" t="s">
        <v>30</v>
      </c>
      <c r="T2243">
        <v>1001277801</v>
      </c>
      <c r="U2243" t="s">
        <v>3965</v>
      </c>
      <c r="V2243" t="s">
        <v>3934</v>
      </c>
      <c r="W2243" s="9">
        <f>IF(V2243="pregrado",31,
IF(V2243="posgrados",31,
IF(V2243="rEINTEGROS",7,
IF(V2243="BIT",90,
IF(V2243="OP GRADO - INGLÉS",17,"")))))</f>
        <v>31</v>
      </c>
      <c r="X2243" t="s">
        <v>4002</v>
      </c>
    </row>
    <row r="2244" spans="1:24" ht="15" x14ac:dyDescent="0.35">
      <c r="A2244" s="4">
        <v>45975.539664351854</v>
      </c>
      <c r="B2244">
        <v>20104147</v>
      </c>
      <c r="C2244" s="5" t="s">
        <v>19</v>
      </c>
      <c r="D2244">
        <v>570373</v>
      </c>
      <c r="E2244" t="s">
        <v>20</v>
      </c>
      <c r="F2244">
        <v>1023955171</v>
      </c>
      <c r="G2244" t="s">
        <v>360</v>
      </c>
      <c r="H2244">
        <v>100234654</v>
      </c>
      <c r="I2244">
        <v>202631</v>
      </c>
      <c r="J2244">
        <v>1023955171</v>
      </c>
      <c r="K2244" t="s">
        <v>33</v>
      </c>
      <c r="L2244" t="s">
        <v>127</v>
      </c>
      <c r="M2244" t="s">
        <v>24</v>
      </c>
      <c r="N2244" t="s">
        <v>25</v>
      </c>
      <c r="O2244" t="s">
        <v>26</v>
      </c>
      <c r="P2244" t="s">
        <v>27</v>
      </c>
      <c r="Q2244" t="s">
        <v>28</v>
      </c>
      <c r="R2244" t="s">
        <v>29</v>
      </c>
      <c r="S2244" t="s">
        <v>30</v>
      </c>
      <c r="T2244">
        <v>1014273794</v>
      </c>
      <c r="U2244" t="s">
        <v>3939</v>
      </c>
      <c r="V2244" t="s">
        <v>3934</v>
      </c>
      <c r="W2244" s="9">
        <f>IF(V2244="pregrado",31,
IF(V2244="posgrados",31,
IF(V2244="rEINTEGROS",7,
IF(V2244="BIT",90,
IF(V2244="OP GRADO - INGLÉS",17,"")))))</f>
        <v>31</v>
      </c>
      <c r="X2244" t="s">
        <v>4004</v>
      </c>
    </row>
    <row r="2245" spans="1:24" ht="15" x14ac:dyDescent="0.35">
      <c r="A2245" s="4">
        <v>45968.401423611111</v>
      </c>
      <c r="B2245">
        <v>20103646</v>
      </c>
      <c r="C2245" s="5" t="s">
        <v>19</v>
      </c>
      <c r="D2245">
        <v>570375</v>
      </c>
      <c r="E2245" t="s">
        <v>20</v>
      </c>
      <c r="F2245">
        <v>1018469341</v>
      </c>
      <c r="G2245" t="s">
        <v>239</v>
      </c>
      <c r="H2245">
        <v>100234613</v>
      </c>
      <c r="I2245">
        <v>202631</v>
      </c>
      <c r="J2245">
        <v>1018469341</v>
      </c>
      <c r="K2245" t="s">
        <v>74</v>
      </c>
      <c r="L2245" t="s">
        <v>240</v>
      </c>
      <c r="M2245" t="s">
        <v>24</v>
      </c>
      <c r="N2245" t="s">
        <v>35</v>
      </c>
      <c r="O2245" t="s">
        <v>26</v>
      </c>
      <c r="P2245" t="s">
        <v>27</v>
      </c>
      <c r="Q2245" t="s">
        <v>28</v>
      </c>
      <c r="R2245" t="s">
        <v>29</v>
      </c>
      <c r="S2245" t="s">
        <v>30</v>
      </c>
      <c r="T2245">
        <v>1007709034</v>
      </c>
      <c r="U2245" t="s">
        <v>3965</v>
      </c>
      <c r="V2245" t="s">
        <v>3934</v>
      </c>
      <c r="W2245" s="9">
        <f>IF(V2245="pregrado",31,
IF(V2245="posgrados",31,
IF(V2245="rEINTEGROS",7,
IF(V2245="BIT",90,
IF(V2245="OP GRADO - INGLÉS",17,"")))))</f>
        <v>31</v>
      </c>
      <c r="X2245" t="s">
        <v>3964</v>
      </c>
    </row>
    <row r="2246" spans="1:24" ht="15" x14ac:dyDescent="0.35">
      <c r="A2246" s="4">
        <v>45966.756712962961</v>
      </c>
      <c r="B2246">
        <v>20103492</v>
      </c>
      <c r="C2246" s="5" t="s">
        <v>19</v>
      </c>
      <c r="D2246">
        <v>570376</v>
      </c>
      <c r="E2246" t="s">
        <v>20</v>
      </c>
      <c r="F2246">
        <v>1005853941</v>
      </c>
      <c r="G2246" t="s">
        <v>223</v>
      </c>
      <c r="H2246">
        <v>100234637</v>
      </c>
      <c r="I2246">
        <v>202610</v>
      </c>
      <c r="J2246">
        <v>1005853941</v>
      </c>
      <c r="K2246" t="s">
        <v>33</v>
      </c>
      <c r="L2246" t="s">
        <v>194</v>
      </c>
      <c r="M2246" t="s">
        <v>24</v>
      </c>
      <c r="N2246" t="s">
        <v>38</v>
      </c>
      <c r="O2246" t="s">
        <v>26</v>
      </c>
      <c r="P2246" t="s">
        <v>27</v>
      </c>
      <c r="Q2246" t="s">
        <v>28</v>
      </c>
      <c r="R2246" t="s">
        <v>29</v>
      </c>
      <c r="S2246" t="s">
        <v>30</v>
      </c>
      <c r="T2246">
        <v>1023975276</v>
      </c>
      <c r="U2246" t="s">
        <v>3963</v>
      </c>
      <c r="V2246" t="s">
        <v>3934</v>
      </c>
      <c r="W2246" s="9">
        <f>IF(V2246="pregrado",31,
IF(V2246="posgrados",31,
IF(V2246="rEINTEGROS",7,
IF(V2246="BIT",90,
IF(V2246="OP GRADO - INGLÉS",17,"")))))</f>
        <v>31</v>
      </c>
      <c r="X2246" t="s">
        <v>3962</v>
      </c>
    </row>
    <row r="2247" spans="1:24" ht="15" x14ac:dyDescent="0.35">
      <c r="A2247" s="4">
        <v>45974.773981481485</v>
      </c>
      <c r="B2247">
        <v>20104098</v>
      </c>
      <c r="C2247" s="5" t="s">
        <v>19</v>
      </c>
      <c r="D2247">
        <v>570379</v>
      </c>
      <c r="E2247" t="s">
        <v>20</v>
      </c>
      <c r="F2247">
        <v>11346636</v>
      </c>
      <c r="G2247" t="s">
        <v>349</v>
      </c>
      <c r="H2247">
        <v>100078407</v>
      </c>
      <c r="I2247">
        <v>202611</v>
      </c>
      <c r="J2247">
        <v>1075689791</v>
      </c>
      <c r="K2247" t="s">
        <v>89</v>
      </c>
      <c r="L2247" t="s">
        <v>133</v>
      </c>
      <c r="M2247" t="s">
        <v>24</v>
      </c>
      <c r="N2247" t="s">
        <v>35</v>
      </c>
      <c r="O2247" t="s">
        <v>26</v>
      </c>
      <c r="P2247" t="s">
        <v>27</v>
      </c>
      <c r="Q2247" t="s">
        <v>28</v>
      </c>
      <c r="R2247" t="s">
        <v>29</v>
      </c>
      <c r="S2247" t="s">
        <v>30</v>
      </c>
      <c r="T2247">
        <v>1019102787</v>
      </c>
      <c r="U2247" t="s">
        <v>3977</v>
      </c>
      <c r="V2247" t="s">
        <v>3970</v>
      </c>
      <c r="W2247" s="9">
        <f>IF(V2247="pregrado",31,
IF(V2247="posgrados",31,
IF(V2247="rEINTEGROS",7,
IF(V2247="BIT",90,
IF(V2247="OP GRADO - INGLÉS",17,"")))))</f>
        <v>7</v>
      </c>
      <c r="X2247" t="s">
        <v>3976</v>
      </c>
    </row>
    <row r="2248" spans="1:24" ht="15" x14ac:dyDescent="0.35">
      <c r="A2248" s="4">
        <v>45968.591377314813</v>
      </c>
      <c r="B2248">
        <v>20103680</v>
      </c>
      <c r="C2248" s="5" t="s">
        <v>19</v>
      </c>
      <c r="D2248">
        <v>570381</v>
      </c>
      <c r="E2248" t="s">
        <v>20</v>
      </c>
      <c r="F2248">
        <v>35421200</v>
      </c>
      <c r="G2248" t="s">
        <v>249</v>
      </c>
      <c r="H2248">
        <v>100234652</v>
      </c>
      <c r="I2248">
        <v>202611</v>
      </c>
      <c r="J2248">
        <v>1075676981</v>
      </c>
      <c r="K2248" t="s">
        <v>23</v>
      </c>
      <c r="L2248" t="s">
        <v>227</v>
      </c>
      <c r="M2248" t="s">
        <v>24</v>
      </c>
      <c r="N2248" t="s">
        <v>35</v>
      </c>
      <c r="O2248" t="s">
        <v>26</v>
      </c>
      <c r="P2248" t="s">
        <v>27</v>
      </c>
      <c r="Q2248" t="s">
        <v>28</v>
      </c>
      <c r="R2248" t="s">
        <v>29</v>
      </c>
      <c r="S2248" t="s">
        <v>30</v>
      </c>
      <c r="T2248">
        <v>1073692626</v>
      </c>
      <c r="U2248" t="s">
        <v>3965</v>
      </c>
      <c r="V2248" t="s">
        <v>3934</v>
      </c>
      <c r="W2248" s="9">
        <f>IF(V2248="pregrado",31,
IF(V2248="posgrados",31,
IF(V2248="rEINTEGROS",7,
IF(V2248="BIT",90,
IF(V2248="OP GRADO - INGLÉS",17,"")))))</f>
        <v>31</v>
      </c>
      <c r="X2248" t="s">
        <v>4014</v>
      </c>
    </row>
    <row r="2249" spans="1:24" ht="15" x14ac:dyDescent="0.35">
      <c r="A2249" s="4">
        <v>45966.691469907404</v>
      </c>
      <c r="B2249">
        <v>20103474</v>
      </c>
      <c r="C2249" s="5" t="s">
        <v>19</v>
      </c>
      <c r="D2249">
        <v>570390</v>
      </c>
      <c r="E2249" t="s">
        <v>20</v>
      </c>
      <c r="F2249">
        <v>1006508422</v>
      </c>
      <c r="G2249" t="s">
        <v>218</v>
      </c>
      <c r="H2249">
        <v>100234663</v>
      </c>
      <c r="I2249">
        <v>202631</v>
      </c>
      <c r="J2249">
        <v>1006508422</v>
      </c>
      <c r="K2249" t="s">
        <v>23</v>
      </c>
      <c r="L2249" t="s">
        <v>219</v>
      </c>
      <c r="M2249" t="s">
        <v>24</v>
      </c>
      <c r="N2249" t="s">
        <v>35</v>
      </c>
      <c r="O2249" t="s">
        <v>26</v>
      </c>
      <c r="P2249" t="s">
        <v>27</v>
      </c>
      <c r="Q2249" t="s">
        <v>28</v>
      </c>
      <c r="R2249" t="s">
        <v>29</v>
      </c>
      <c r="S2249" t="s">
        <v>30</v>
      </c>
      <c r="T2249">
        <v>39658730</v>
      </c>
      <c r="U2249" t="s">
        <v>3963</v>
      </c>
      <c r="V2249" t="s">
        <v>3934</v>
      </c>
      <c r="W2249" s="9">
        <f>IF(V2249="pregrado",31,
IF(V2249="posgrados",31,
IF(V2249="rEINTEGROS",7,
IF(V2249="BIT",90,
IF(V2249="OP GRADO - INGLÉS",17,"")))))</f>
        <v>31</v>
      </c>
      <c r="X2249" t="s">
        <v>4003</v>
      </c>
    </row>
    <row r="2250" spans="1:24" ht="15" x14ac:dyDescent="0.35">
      <c r="A2250" s="4">
        <v>45969.48909722222</v>
      </c>
      <c r="B2250">
        <v>20103742</v>
      </c>
      <c r="C2250" s="5" t="s">
        <v>19</v>
      </c>
      <c r="D2250">
        <v>570392</v>
      </c>
      <c r="E2250" t="s">
        <v>20</v>
      </c>
      <c r="F2250">
        <v>1152439107</v>
      </c>
      <c r="G2250" t="s">
        <v>261</v>
      </c>
      <c r="H2250">
        <v>100125771</v>
      </c>
      <c r="I2250">
        <v>202631</v>
      </c>
      <c r="J2250">
        <v>1152439107</v>
      </c>
      <c r="K2250" t="s">
        <v>89</v>
      </c>
      <c r="L2250" t="s">
        <v>127</v>
      </c>
      <c r="M2250" t="s">
        <v>24</v>
      </c>
      <c r="N2250" t="s">
        <v>35</v>
      </c>
      <c r="O2250" t="s">
        <v>26</v>
      </c>
      <c r="P2250" t="s">
        <v>27</v>
      </c>
      <c r="Q2250" t="s">
        <v>28</v>
      </c>
      <c r="R2250" t="s">
        <v>29</v>
      </c>
      <c r="S2250" t="s">
        <v>30</v>
      </c>
      <c r="T2250">
        <v>1000934874</v>
      </c>
      <c r="U2250" t="s">
        <v>3977</v>
      </c>
      <c r="V2250" t="s">
        <v>3970</v>
      </c>
      <c r="W2250" s="9">
        <f>IF(V2250="pregrado",31,
IF(V2250="posgrados",31,
IF(V2250="rEINTEGROS",7,
IF(V2250="BIT",90,
IF(V2250="OP GRADO - INGLÉS",17,"")))))</f>
        <v>7</v>
      </c>
      <c r="X2250" t="s">
        <v>3999</v>
      </c>
    </row>
    <row r="2251" spans="1:24" ht="15" x14ac:dyDescent="0.35">
      <c r="A2251" s="4">
        <v>45987.688020833331</v>
      </c>
      <c r="B2251">
        <v>20104994</v>
      </c>
      <c r="C2251" s="6" t="s">
        <v>19</v>
      </c>
      <c r="D2251">
        <v>570394</v>
      </c>
      <c r="E2251" t="s">
        <v>20</v>
      </c>
      <c r="F2251">
        <v>1065004467</v>
      </c>
      <c r="G2251" t="s">
        <v>579</v>
      </c>
      <c r="H2251">
        <v>100234678</v>
      </c>
      <c r="I2251">
        <v>202611</v>
      </c>
      <c r="J2251">
        <v>1065004467</v>
      </c>
      <c r="K2251" t="s">
        <v>23</v>
      </c>
      <c r="L2251" t="s">
        <v>221</v>
      </c>
      <c r="M2251" t="s">
        <v>24</v>
      </c>
      <c r="N2251" t="s">
        <v>35</v>
      </c>
      <c r="O2251" t="s">
        <v>26</v>
      </c>
      <c r="P2251" t="s">
        <v>27</v>
      </c>
      <c r="Q2251" t="s">
        <v>28</v>
      </c>
      <c r="R2251" t="s">
        <v>29</v>
      </c>
      <c r="S2251" t="s">
        <v>30</v>
      </c>
      <c r="T2251">
        <v>1032678391</v>
      </c>
      <c r="U2251" t="s">
        <v>3965</v>
      </c>
      <c r="V2251" t="s">
        <v>3934</v>
      </c>
      <c r="W2251" s="9">
        <f>IF(V2251="pregrado",31,
IF(V2251="posgrados",31,
IF(V2251="rEINTEGROS",7,
IF(V2251="BIT",90,
IF(V2251="OP GRADO - INGLÉS",17,"")))))</f>
        <v>31</v>
      </c>
      <c r="X2251" t="s">
        <v>4098</v>
      </c>
    </row>
    <row r="2252" spans="1:24" ht="15" x14ac:dyDescent="0.35">
      <c r="A2252" s="4">
        <v>45973.342939814815</v>
      </c>
      <c r="B2252">
        <v>20103942</v>
      </c>
      <c r="C2252" s="5" t="s">
        <v>19</v>
      </c>
      <c r="D2252">
        <v>570405</v>
      </c>
      <c r="E2252" t="s">
        <v>20</v>
      </c>
      <c r="F2252">
        <v>1005594084</v>
      </c>
      <c r="G2252" t="s">
        <v>305</v>
      </c>
      <c r="H2252">
        <v>100191320</v>
      </c>
      <c r="I2252">
        <v>202631</v>
      </c>
      <c r="J2252">
        <v>1031800494</v>
      </c>
      <c r="K2252" t="s">
        <v>89</v>
      </c>
      <c r="L2252" t="s">
        <v>90</v>
      </c>
      <c r="M2252" t="s">
        <v>24</v>
      </c>
      <c r="N2252" t="s">
        <v>38</v>
      </c>
      <c r="O2252" t="s">
        <v>26</v>
      </c>
      <c r="P2252" t="s">
        <v>27</v>
      </c>
      <c r="Q2252" t="s">
        <v>28</v>
      </c>
      <c r="R2252" t="s">
        <v>29</v>
      </c>
      <c r="S2252" t="s">
        <v>30</v>
      </c>
      <c r="T2252">
        <v>1000934874</v>
      </c>
      <c r="U2252" t="s">
        <v>3977</v>
      </c>
      <c r="V2252" t="s">
        <v>3970</v>
      </c>
      <c r="W2252" s="9">
        <f>IF(V2252="pregrado",31,
IF(V2252="posgrados",31,
IF(V2252="rEINTEGROS",7,
IF(V2252="BIT",90,
IF(V2252="OP GRADO - INGLÉS",17,"")))))</f>
        <v>7</v>
      </c>
      <c r="X2252" t="s">
        <v>3999</v>
      </c>
    </row>
    <row r="2253" spans="1:24" ht="15" x14ac:dyDescent="0.35">
      <c r="A2253" s="4">
        <v>45987.36614583333</v>
      </c>
      <c r="B2253">
        <v>20104878</v>
      </c>
      <c r="C2253" s="6" t="s">
        <v>19</v>
      </c>
      <c r="D2253">
        <v>570407</v>
      </c>
      <c r="E2253" t="s">
        <v>20</v>
      </c>
      <c r="F2253">
        <v>1044921531</v>
      </c>
      <c r="G2253" t="s">
        <v>549</v>
      </c>
      <c r="H2253">
        <v>100169071</v>
      </c>
      <c r="I2253">
        <v>202611</v>
      </c>
      <c r="J2253">
        <v>1044921531</v>
      </c>
      <c r="K2253" t="s">
        <v>89</v>
      </c>
      <c r="L2253" t="s">
        <v>133</v>
      </c>
      <c r="M2253" t="s">
        <v>24</v>
      </c>
      <c r="N2253" t="s">
        <v>35</v>
      </c>
      <c r="O2253" t="s">
        <v>26</v>
      </c>
      <c r="P2253" t="s">
        <v>27</v>
      </c>
      <c r="Q2253" t="s">
        <v>28</v>
      </c>
      <c r="R2253" t="s">
        <v>29</v>
      </c>
      <c r="S2253" t="s">
        <v>30</v>
      </c>
      <c r="T2253">
        <v>1000934874</v>
      </c>
      <c r="U2253" t="s">
        <v>3977</v>
      </c>
      <c r="V2253" t="s">
        <v>3970</v>
      </c>
      <c r="W2253" s="9">
        <f>IF(V2253="pregrado",31,
IF(V2253="posgrados",31,
IF(V2253="rEINTEGROS",7,
IF(V2253="BIT",90,
IF(V2253="OP GRADO - INGLÉS",17,"")))))</f>
        <v>7</v>
      </c>
      <c r="X2253" t="s">
        <v>3999</v>
      </c>
    </row>
    <row r="2254" spans="1:24" ht="15" x14ac:dyDescent="0.35">
      <c r="A2254" s="4">
        <v>45967.487962962965</v>
      </c>
      <c r="B2254">
        <v>20103548</v>
      </c>
      <c r="C2254" s="5" t="s">
        <v>19</v>
      </c>
      <c r="D2254">
        <v>570408</v>
      </c>
      <c r="E2254" t="s">
        <v>20</v>
      </c>
      <c r="F2254">
        <v>1082874684</v>
      </c>
      <c r="G2254" t="s">
        <v>232</v>
      </c>
      <c r="H2254">
        <v>100234690</v>
      </c>
      <c r="I2254">
        <v>202631</v>
      </c>
      <c r="J2254">
        <v>1082874684</v>
      </c>
      <c r="K2254" t="s">
        <v>23</v>
      </c>
      <c r="L2254" t="s">
        <v>65</v>
      </c>
      <c r="M2254" t="s">
        <v>24</v>
      </c>
      <c r="N2254" t="s">
        <v>35</v>
      </c>
      <c r="O2254" t="s">
        <v>26</v>
      </c>
      <c r="P2254" t="s">
        <v>27</v>
      </c>
      <c r="Q2254" t="s">
        <v>28</v>
      </c>
      <c r="R2254" t="s">
        <v>29</v>
      </c>
      <c r="S2254" t="s">
        <v>30</v>
      </c>
      <c r="T2254">
        <v>79786913</v>
      </c>
      <c r="U2254" t="s">
        <v>3939</v>
      </c>
      <c r="V2254" t="s">
        <v>3934</v>
      </c>
      <c r="W2254" s="9">
        <f>IF(V2254="pregrado",31,
IF(V2254="posgrados",31,
IF(V2254="rEINTEGROS",7,
IF(V2254="BIT",90,
IF(V2254="OP GRADO - INGLÉS",17,"")))))</f>
        <v>31</v>
      </c>
      <c r="X2254" t="s">
        <v>4010</v>
      </c>
    </row>
    <row r="2255" spans="1:24" ht="15" x14ac:dyDescent="0.35">
      <c r="A2255" s="4">
        <v>45966.714398148149</v>
      </c>
      <c r="B2255">
        <v>20103486</v>
      </c>
      <c r="C2255" s="5" t="s">
        <v>19</v>
      </c>
      <c r="D2255">
        <v>570411</v>
      </c>
      <c r="E2255" t="s">
        <v>20</v>
      </c>
      <c r="F2255">
        <v>1006997817</v>
      </c>
      <c r="G2255" t="s">
        <v>220</v>
      </c>
      <c r="H2255">
        <v>100234692</v>
      </c>
      <c r="I2255">
        <v>202611</v>
      </c>
      <c r="J2255">
        <v>1006997817</v>
      </c>
      <c r="K2255" t="s">
        <v>23</v>
      </c>
      <c r="L2255" t="s">
        <v>221</v>
      </c>
      <c r="M2255" t="s">
        <v>24</v>
      </c>
      <c r="N2255" t="s">
        <v>35</v>
      </c>
      <c r="O2255" t="s">
        <v>26</v>
      </c>
      <c r="P2255" t="s">
        <v>27</v>
      </c>
      <c r="Q2255" t="s">
        <v>28</v>
      </c>
      <c r="R2255" t="s">
        <v>29</v>
      </c>
      <c r="S2255" t="s">
        <v>30</v>
      </c>
      <c r="T2255">
        <v>10822473081</v>
      </c>
      <c r="U2255" t="s">
        <v>3965</v>
      </c>
      <c r="V2255" t="s">
        <v>3934</v>
      </c>
      <c r="W2255" s="9">
        <f>IF(V2255="pregrado",31,
IF(V2255="posgrados",31,
IF(V2255="rEINTEGROS",7,
IF(V2255="BIT",90,
IF(V2255="OP GRADO - INGLÉS",17,"")))))</f>
        <v>31</v>
      </c>
      <c r="X2255" t="s">
        <v>4007</v>
      </c>
    </row>
    <row r="2256" spans="1:24" ht="15" x14ac:dyDescent="0.35">
      <c r="A2256" s="4">
        <v>45971.440393518518</v>
      </c>
      <c r="B2256">
        <v>20103775</v>
      </c>
      <c r="C2256" s="5" t="s">
        <v>19</v>
      </c>
      <c r="D2256">
        <v>570415</v>
      </c>
      <c r="E2256" t="s">
        <v>20</v>
      </c>
      <c r="F2256">
        <v>79819390</v>
      </c>
      <c r="G2256" t="s">
        <v>263</v>
      </c>
      <c r="H2256">
        <v>100234698</v>
      </c>
      <c r="I2256">
        <v>202631</v>
      </c>
      <c r="J2256">
        <v>1013115604</v>
      </c>
      <c r="K2256" t="s">
        <v>23</v>
      </c>
      <c r="L2256" t="s">
        <v>90</v>
      </c>
      <c r="M2256" t="s">
        <v>24</v>
      </c>
      <c r="N2256" t="s">
        <v>35</v>
      </c>
      <c r="O2256" t="s">
        <v>26</v>
      </c>
      <c r="P2256" t="s">
        <v>27</v>
      </c>
      <c r="Q2256" t="s">
        <v>28</v>
      </c>
      <c r="R2256" t="s">
        <v>29</v>
      </c>
      <c r="S2256" t="s">
        <v>30</v>
      </c>
      <c r="T2256">
        <v>1023370559</v>
      </c>
      <c r="U2256" t="s">
        <v>3933</v>
      </c>
      <c r="V2256" t="s">
        <v>3934</v>
      </c>
      <c r="W2256" s="9">
        <f>IF(V2256="pregrado",31,
IF(V2256="posgrados",31,
IF(V2256="rEINTEGROS",7,
IF(V2256="BIT",90,
IF(V2256="OP GRADO - INGLÉS",17,"")))))</f>
        <v>31</v>
      </c>
      <c r="X2256" t="s">
        <v>4017</v>
      </c>
    </row>
    <row r="2257" spans="1:24" ht="15" x14ac:dyDescent="0.35">
      <c r="A2257" s="4">
        <v>45966.743402777778</v>
      </c>
      <c r="B2257">
        <v>20103491</v>
      </c>
      <c r="C2257" s="5" t="s">
        <v>19</v>
      </c>
      <c r="D2257">
        <v>570429</v>
      </c>
      <c r="E2257" t="s">
        <v>20</v>
      </c>
      <c r="F2257">
        <v>1121215354</v>
      </c>
      <c r="G2257" t="s">
        <v>222</v>
      </c>
      <c r="H2257">
        <v>100234590</v>
      </c>
      <c r="I2257">
        <v>202611</v>
      </c>
      <c r="J2257">
        <v>1121215354</v>
      </c>
      <c r="K2257" t="s">
        <v>23</v>
      </c>
      <c r="L2257" t="s">
        <v>221</v>
      </c>
      <c r="M2257" t="s">
        <v>24</v>
      </c>
      <c r="N2257" t="s">
        <v>25</v>
      </c>
      <c r="O2257" t="s">
        <v>26</v>
      </c>
      <c r="P2257" t="s">
        <v>27</v>
      </c>
      <c r="Q2257" t="s">
        <v>28</v>
      </c>
      <c r="R2257" t="s">
        <v>29</v>
      </c>
      <c r="S2257" t="s">
        <v>30</v>
      </c>
      <c r="T2257">
        <v>1001277801</v>
      </c>
      <c r="U2257" t="s">
        <v>3965</v>
      </c>
      <c r="V2257" t="s">
        <v>3934</v>
      </c>
      <c r="W2257" s="9">
        <f>IF(V2257="pregrado",31,
IF(V2257="posgrados",31,
IF(V2257="rEINTEGROS",7,
IF(V2257="BIT",90,
IF(V2257="OP GRADO - INGLÉS",17,"")))))</f>
        <v>31</v>
      </c>
      <c r="X2257" t="s">
        <v>4002</v>
      </c>
    </row>
    <row r="2258" spans="1:24" ht="15" x14ac:dyDescent="0.35">
      <c r="A2258" s="4">
        <v>45966.683032407411</v>
      </c>
      <c r="B2258">
        <v>20103466</v>
      </c>
      <c r="C2258" s="5" t="s">
        <v>19</v>
      </c>
      <c r="D2258">
        <v>570437</v>
      </c>
      <c r="E2258" t="s">
        <v>20</v>
      </c>
      <c r="F2258">
        <v>1025061050</v>
      </c>
      <c r="G2258" t="s">
        <v>217</v>
      </c>
      <c r="H2258">
        <v>100199486</v>
      </c>
      <c r="I2258">
        <v>202631</v>
      </c>
      <c r="J2258">
        <v>1025061050</v>
      </c>
      <c r="K2258" t="s">
        <v>23</v>
      </c>
      <c r="L2258" t="s">
        <v>90</v>
      </c>
      <c r="M2258" t="s">
        <v>24</v>
      </c>
      <c r="N2258" t="s">
        <v>35</v>
      </c>
      <c r="O2258" t="s">
        <v>26</v>
      </c>
      <c r="P2258" t="s">
        <v>27</v>
      </c>
      <c r="Q2258" t="s">
        <v>28</v>
      </c>
      <c r="R2258" t="s">
        <v>29</v>
      </c>
      <c r="S2258" t="s">
        <v>30</v>
      </c>
      <c r="T2258">
        <v>1018496066</v>
      </c>
      <c r="U2258" t="s">
        <v>3939</v>
      </c>
      <c r="V2258" t="s">
        <v>3934</v>
      </c>
      <c r="W2258" s="9">
        <f>IF(V2258="pregrado",31,
IF(V2258="posgrados",31,
IF(V2258="rEINTEGROS",7,
IF(V2258="BIT",90,
IF(V2258="OP GRADO - INGLÉS",17,"")))))</f>
        <v>31</v>
      </c>
      <c r="X2258" t="s">
        <v>4006</v>
      </c>
    </row>
    <row r="2259" spans="1:24" ht="15" x14ac:dyDescent="0.35">
      <c r="A2259" s="4">
        <v>45966.664456018516</v>
      </c>
      <c r="B2259">
        <v>20103458</v>
      </c>
      <c r="C2259" s="5" t="s">
        <v>19</v>
      </c>
      <c r="D2259">
        <v>570440</v>
      </c>
      <c r="E2259" t="s">
        <v>20</v>
      </c>
      <c r="F2259">
        <v>1052838504</v>
      </c>
      <c r="G2259" t="s">
        <v>216</v>
      </c>
      <c r="H2259">
        <v>100234670</v>
      </c>
      <c r="I2259">
        <v>202610</v>
      </c>
      <c r="J2259">
        <v>1052838504</v>
      </c>
      <c r="K2259" t="s">
        <v>23</v>
      </c>
      <c r="L2259" t="s">
        <v>40</v>
      </c>
      <c r="M2259" t="s">
        <v>24</v>
      </c>
      <c r="N2259" t="s">
        <v>35</v>
      </c>
      <c r="O2259" t="s">
        <v>26</v>
      </c>
      <c r="P2259" t="s">
        <v>27</v>
      </c>
      <c r="Q2259" t="s">
        <v>28</v>
      </c>
      <c r="R2259" t="s">
        <v>29</v>
      </c>
      <c r="S2259" t="s">
        <v>30</v>
      </c>
      <c r="T2259">
        <v>53061994</v>
      </c>
      <c r="U2259" t="s">
        <v>3941</v>
      </c>
      <c r="V2259" t="s">
        <v>3934</v>
      </c>
      <c r="W2259" s="9">
        <f>IF(V2259="pregrado",31,
IF(V2259="posgrados",31,
IF(V2259="rEINTEGROS",7,
IF(V2259="BIT",90,
IF(V2259="OP GRADO - INGLÉS",17,"")))))</f>
        <v>31</v>
      </c>
      <c r="X2259" t="s">
        <v>3950</v>
      </c>
    </row>
    <row r="2260" spans="1:24" ht="15" x14ac:dyDescent="0.35">
      <c r="A2260" s="4">
        <v>45985.304791666669</v>
      </c>
      <c r="B2260">
        <v>20104647</v>
      </c>
      <c r="C2260" s="5" t="s">
        <v>19</v>
      </c>
      <c r="D2260">
        <v>570444</v>
      </c>
      <c r="E2260" t="s">
        <v>20</v>
      </c>
      <c r="F2260">
        <v>1018510143</v>
      </c>
      <c r="G2260" t="s">
        <v>478</v>
      </c>
      <c r="H2260">
        <v>100034803</v>
      </c>
      <c r="I2260">
        <v>202610</v>
      </c>
      <c r="J2260">
        <v>1018510143</v>
      </c>
      <c r="K2260" t="s">
        <v>89</v>
      </c>
      <c r="L2260" t="s">
        <v>49</v>
      </c>
      <c r="M2260" t="s">
        <v>24</v>
      </c>
      <c r="N2260">
        <v>0</v>
      </c>
      <c r="O2260" t="s">
        <v>26</v>
      </c>
      <c r="P2260" t="s">
        <v>27</v>
      </c>
      <c r="Q2260" t="s">
        <v>28</v>
      </c>
      <c r="R2260" t="s">
        <v>29</v>
      </c>
      <c r="S2260" t="s">
        <v>30</v>
      </c>
      <c r="T2260">
        <v>1019102787</v>
      </c>
      <c r="U2260" t="s">
        <v>3977</v>
      </c>
      <c r="V2260" t="s">
        <v>3970</v>
      </c>
      <c r="W2260" s="9">
        <f>IF(V2260="pregrado",31,
IF(V2260="posgrados",31,
IF(V2260="rEINTEGROS",7,
IF(V2260="BIT",90,
IF(V2260="OP GRADO - INGLÉS",17,"")))))</f>
        <v>7</v>
      </c>
      <c r="X2260" t="s">
        <v>3976</v>
      </c>
    </row>
    <row r="2261" spans="1:24" ht="15" x14ac:dyDescent="0.35">
      <c r="A2261" s="4">
        <v>46009.680659722224</v>
      </c>
      <c r="B2261">
        <v>20108597</v>
      </c>
      <c r="C2261" s="6" t="s">
        <v>19</v>
      </c>
      <c r="D2261">
        <v>570453</v>
      </c>
      <c r="E2261" t="s">
        <v>20</v>
      </c>
      <c r="F2261">
        <v>1122296499</v>
      </c>
      <c r="G2261" t="s">
        <v>1152</v>
      </c>
      <c r="H2261">
        <v>100166982</v>
      </c>
      <c r="I2261">
        <v>202631</v>
      </c>
      <c r="J2261">
        <v>1122296499</v>
      </c>
      <c r="K2261" t="s">
        <v>89</v>
      </c>
      <c r="L2261" t="s">
        <v>77</v>
      </c>
      <c r="M2261" t="s">
        <v>24</v>
      </c>
      <c r="N2261" t="s">
        <v>35</v>
      </c>
      <c r="O2261" t="s">
        <v>26</v>
      </c>
      <c r="P2261" t="s">
        <v>27</v>
      </c>
      <c r="Q2261" t="s">
        <v>28</v>
      </c>
      <c r="R2261" t="s">
        <v>29</v>
      </c>
      <c r="S2261" t="s">
        <v>30</v>
      </c>
      <c r="T2261">
        <v>1019102787</v>
      </c>
      <c r="U2261" t="s">
        <v>3977</v>
      </c>
      <c r="V2261" t="s">
        <v>3970</v>
      </c>
      <c r="W2261" s="9">
        <f>IF(V2261="pregrado",31,
IF(V2261="posgrados",31,
IF(V2261="rEINTEGROS",7,
IF(V2261="BIT",90,
IF(V2261="OP GRADO - INGLÉS",17,"")))))</f>
        <v>7</v>
      </c>
      <c r="X2261" t="s">
        <v>3976</v>
      </c>
    </row>
    <row r="2262" spans="1:24" ht="15" x14ac:dyDescent="0.35">
      <c r="A2262" s="4">
        <v>46022.595671296294</v>
      </c>
      <c r="B2262">
        <v>20110615</v>
      </c>
      <c r="C2262" s="6" t="s">
        <v>19</v>
      </c>
      <c r="D2262">
        <v>570456</v>
      </c>
      <c r="E2262" t="s">
        <v>20</v>
      </c>
      <c r="F2262">
        <v>1112785408</v>
      </c>
      <c r="G2262" t="s">
        <v>1450</v>
      </c>
      <c r="H2262">
        <v>100125156</v>
      </c>
      <c r="I2262">
        <v>202611</v>
      </c>
      <c r="J2262">
        <v>1006321113</v>
      </c>
      <c r="K2262" t="s">
        <v>89</v>
      </c>
      <c r="L2262" t="s">
        <v>133</v>
      </c>
      <c r="M2262" t="s">
        <v>24</v>
      </c>
      <c r="N2262" t="s">
        <v>25</v>
      </c>
      <c r="O2262" t="s">
        <v>26</v>
      </c>
      <c r="P2262" t="s">
        <v>27</v>
      </c>
      <c r="Q2262" t="s">
        <v>28</v>
      </c>
      <c r="R2262" t="s">
        <v>29</v>
      </c>
      <c r="S2262" t="s">
        <v>30</v>
      </c>
      <c r="T2262">
        <v>1023899450</v>
      </c>
      <c r="U2262" t="s">
        <v>3977</v>
      </c>
      <c r="V2262" t="s">
        <v>3970</v>
      </c>
      <c r="W2262" s="9">
        <f>IF(V2262="pregrado",31,
IF(V2262="posgrados",31,
IF(V2262="rEINTEGROS",7,
IF(V2262="BIT",90,
IF(V2262="OP GRADO - INGLÉS",17,"")))))</f>
        <v>7</v>
      </c>
      <c r="X2262" t="s">
        <v>3969</v>
      </c>
    </row>
    <row r="2263" spans="1:24" ht="15" x14ac:dyDescent="0.35">
      <c r="A2263" s="4">
        <v>45972.525381944448</v>
      </c>
      <c r="B2263">
        <v>20103880</v>
      </c>
      <c r="C2263" s="5" t="s">
        <v>19</v>
      </c>
      <c r="D2263">
        <v>570465</v>
      </c>
      <c r="E2263" t="s">
        <v>20</v>
      </c>
      <c r="F2263">
        <v>1052630268</v>
      </c>
      <c r="G2263" t="s">
        <v>290</v>
      </c>
      <c r="H2263">
        <v>100234593</v>
      </c>
      <c r="I2263">
        <v>202631</v>
      </c>
      <c r="J2263">
        <v>1052630268</v>
      </c>
      <c r="K2263" t="s">
        <v>33</v>
      </c>
      <c r="L2263" t="s">
        <v>51</v>
      </c>
      <c r="M2263" t="s">
        <v>24</v>
      </c>
      <c r="N2263" t="s">
        <v>25</v>
      </c>
      <c r="O2263" t="s">
        <v>26</v>
      </c>
      <c r="P2263" t="s">
        <v>27</v>
      </c>
      <c r="Q2263" t="s">
        <v>28</v>
      </c>
      <c r="R2263" t="s">
        <v>29</v>
      </c>
      <c r="S2263" t="s">
        <v>30</v>
      </c>
      <c r="T2263">
        <v>53178431</v>
      </c>
      <c r="U2263" t="s">
        <v>3941</v>
      </c>
      <c r="V2263" t="s">
        <v>3934</v>
      </c>
      <c r="W2263" s="9">
        <f>IF(V2263="pregrado",31,
IF(V2263="posgrados",31,
IF(V2263="rEINTEGROS",7,
IF(V2263="BIT",90,
IF(V2263="OP GRADO - INGLÉS",17,"")))))</f>
        <v>31</v>
      </c>
      <c r="X2263" t="s">
        <v>3949</v>
      </c>
    </row>
    <row r="2264" spans="1:24" ht="15" x14ac:dyDescent="0.35">
      <c r="A2264" s="4">
        <v>45973.854062500002</v>
      </c>
      <c r="B2264">
        <v>20104019</v>
      </c>
      <c r="C2264" s="5" t="s">
        <v>19</v>
      </c>
      <c r="D2264">
        <v>570466</v>
      </c>
      <c r="E2264" t="s">
        <v>20</v>
      </c>
      <c r="F2264">
        <v>52621912</v>
      </c>
      <c r="G2264" t="s">
        <v>328</v>
      </c>
      <c r="H2264">
        <v>100234751</v>
      </c>
      <c r="I2264">
        <v>202631</v>
      </c>
      <c r="J2264">
        <v>1020826278</v>
      </c>
      <c r="K2264" t="s">
        <v>23</v>
      </c>
      <c r="L2264" t="s">
        <v>90</v>
      </c>
      <c r="M2264" t="s">
        <v>24</v>
      </c>
      <c r="N2264" t="s">
        <v>35</v>
      </c>
      <c r="O2264" t="s">
        <v>26</v>
      </c>
      <c r="P2264" t="s">
        <v>27</v>
      </c>
      <c r="Q2264" t="s">
        <v>28</v>
      </c>
      <c r="R2264" t="s">
        <v>29</v>
      </c>
      <c r="S2264" t="s">
        <v>30</v>
      </c>
      <c r="T2264">
        <v>1023370559</v>
      </c>
      <c r="U2264" t="s">
        <v>3933</v>
      </c>
      <c r="V2264" t="s">
        <v>3934</v>
      </c>
      <c r="W2264" s="9">
        <f>IF(V2264="pregrado",31,
IF(V2264="posgrados",31,
IF(V2264="rEINTEGROS",7,
IF(V2264="BIT",90,
IF(V2264="OP GRADO - INGLÉS",17,"")))))</f>
        <v>31</v>
      </c>
      <c r="X2264" t="s">
        <v>4017</v>
      </c>
    </row>
    <row r="2265" spans="1:24" ht="15" x14ac:dyDescent="0.35">
      <c r="A2265" s="4">
        <v>45980.564930555556</v>
      </c>
      <c r="B2265">
        <v>20104395</v>
      </c>
      <c r="C2265" s="5" t="s">
        <v>19</v>
      </c>
      <c r="D2265">
        <v>570469</v>
      </c>
      <c r="E2265" t="s">
        <v>20</v>
      </c>
      <c r="F2265">
        <v>1001057360</v>
      </c>
      <c r="G2265" t="s">
        <v>425</v>
      </c>
      <c r="H2265">
        <v>100234605</v>
      </c>
      <c r="I2265">
        <v>202610</v>
      </c>
      <c r="J2265">
        <v>1001057360</v>
      </c>
      <c r="K2265" t="s">
        <v>33</v>
      </c>
      <c r="L2265" t="s">
        <v>37</v>
      </c>
      <c r="M2265" t="s">
        <v>24</v>
      </c>
      <c r="N2265" t="s">
        <v>35</v>
      </c>
      <c r="O2265" t="s">
        <v>26</v>
      </c>
      <c r="P2265" t="s">
        <v>27</v>
      </c>
      <c r="Q2265" t="s">
        <v>28</v>
      </c>
      <c r="R2265" t="s">
        <v>29</v>
      </c>
      <c r="S2265" t="s">
        <v>30</v>
      </c>
      <c r="T2265">
        <v>1032394283</v>
      </c>
      <c r="U2265" t="s">
        <v>3941</v>
      </c>
      <c r="V2265" t="s">
        <v>3934</v>
      </c>
      <c r="W2265" s="9">
        <f>IF(V2265="pregrado",31,
IF(V2265="posgrados",31,
IF(V2265="rEINTEGROS",7,
IF(V2265="BIT",90,
IF(V2265="OP GRADO - INGLÉS",17,"")))))</f>
        <v>31</v>
      </c>
      <c r="X2265" t="s">
        <v>4034</v>
      </c>
    </row>
    <row r="2266" spans="1:24" ht="15" x14ac:dyDescent="0.35">
      <c r="A2266" s="4">
        <v>45973.588634259257</v>
      </c>
      <c r="B2266">
        <v>20103980</v>
      </c>
      <c r="C2266" s="5" t="s">
        <v>19</v>
      </c>
      <c r="D2266">
        <v>570482</v>
      </c>
      <c r="E2266" t="s">
        <v>20</v>
      </c>
      <c r="F2266">
        <v>1000592348</v>
      </c>
      <c r="G2266" t="s">
        <v>319</v>
      </c>
      <c r="H2266">
        <v>100161031</v>
      </c>
      <c r="I2266">
        <v>202631</v>
      </c>
      <c r="J2266">
        <v>1075876065</v>
      </c>
      <c r="K2266" t="s">
        <v>33</v>
      </c>
      <c r="L2266" t="s">
        <v>51</v>
      </c>
      <c r="M2266" t="s">
        <v>24</v>
      </c>
      <c r="N2266" t="s">
        <v>25</v>
      </c>
      <c r="O2266" t="s">
        <v>26</v>
      </c>
      <c r="P2266" t="s">
        <v>27</v>
      </c>
      <c r="Q2266" t="s">
        <v>28</v>
      </c>
      <c r="R2266" t="s">
        <v>29</v>
      </c>
      <c r="S2266" t="s">
        <v>30</v>
      </c>
      <c r="T2266">
        <v>80219471</v>
      </c>
      <c r="U2266" t="s">
        <v>3941</v>
      </c>
      <c r="V2266" t="s">
        <v>3934</v>
      </c>
      <c r="W2266" s="9">
        <f>IF(V2266="pregrado",31,
IF(V2266="posgrados",31,
IF(V2266="rEINTEGROS",7,
IF(V2266="BIT",90,
IF(V2266="OP GRADO - INGLÉS",17,"")))))</f>
        <v>31</v>
      </c>
      <c r="X2266" t="s">
        <v>4030</v>
      </c>
    </row>
    <row r="2267" spans="1:24" ht="15" x14ac:dyDescent="0.35">
      <c r="A2267" s="4">
        <v>45968.704988425925</v>
      </c>
      <c r="B2267">
        <v>20103715</v>
      </c>
      <c r="C2267" s="5" t="s">
        <v>19</v>
      </c>
      <c r="D2267">
        <v>570483</v>
      </c>
      <c r="E2267" t="s">
        <v>20</v>
      </c>
      <c r="F2267">
        <v>25455197</v>
      </c>
      <c r="G2267" t="s">
        <v>255</v>
      </c>
      <c r="H2267">
        <v>200056250</v>
      </c>
      <c r="I2267">
        <v>202631</v>
      </c>
      <c r="J2267">
        <v>1002936658</v>
      </c>
      <c r="K2267" t="s">
        <v>23</v>
      </c>
      <c r="L2267" t="s">
        <v>119</v>
      </c>
      <c r="M2267" t="s">
        <v>24</v>
      </c>
      <c r="N2267" t="s">
        <v>35</v>
      </c>
      <c r="O2267" t="s">
        <v>26</v>
      </c>
      <c r="P2267" t="s">
        <v>27</v>
      </c>
      <c r="Q2267" t="s">
        <v>28</v>
      </c>
      <c r="R2267" t="s">
        <v>29</v>
      </c>
      <c r="S2267" t="s">
        <v>30</v>
      </c>
      <c r="T2267">
        <v>39658730</v>
      </c>
      <c r="U2267" t="s">
        <v>3963</v>
      </c>
      <c r="V2267" t="s">
        <v>3934</v>
      </c>
      <c r="W2267" s="9">
        <f>IF(V2267="pregrado",31,
IF(V2267="posgrados",31,
IF(V2267="rEINTEGROS",7,
IF(V2267="BIT",90,
IF(V2267="OP GRADO - INGLÉS",17,"")))))</f>
        <v>31</v>
      </c>
      <c r="X2267" t="s">
        <v>4003</v>
      </c>
    </row>
    <row r="2268" spans="1:24" ht="15" x14ac:dyDescent="0.35">
      <c r="A2268" s="4">
        <v>45968.490208333336</v>
      </c>
      <c r="B2268">
        <v>20103657</v>
      </c>
      <c r="C2268" s="5" t="s">
        <v>19</v>
      </c>
      <c r="D2268">
        <v>570484</v>
      </c>
      <c r="E2268" t="s">
        <v>20</v>
      </c>
      <c r="F2268">
        <v>32846565</v>
      </c>
      <c r="G2268" t="s">
        <v>245</v>
      </c>
      <c r="H2268">
        <v>200051153</v>
      </c>
      <c r="I2268">
        <v>202631</v>
      </c>
      <c r="J2268">
        <v>32846565</v>
      </c>
      <c r="K2268" t="s">
        <v>74</v>
      </c>
      <c r="L2268" t="s">
        <v>119</v>
      </c>
      <c r="M2268" t="s">
        <v>24</v>
      </c>
      <c r="N2268" t="s">
        <v>35</v>
      </c>
      <c r="O2268" t="s">
        <v>26</v>
      </c>
      <c r="P2268" t="s">
        <v>27</v>
      </c>
      <c r="Q2268" t="s">
        <v>28</v>
      </c>
      <c r="R2268" t="s">
        <v>29</v>
      </c>
      <c r="S2268" t="s">
        <v>30</v>
      </c>
      <c r="T2268">
        <v>1023975276</v>
      </c>
      <c r="U2268" t="s">
        <v>3963</v>
      </c>
      <c r="V2268" t="s">
        <v>3934</v>
      </c>
      <c r="W2268" s="9">
        <f>IF(V2268="pregrado",31,
IF(V2268="posgrados",31,
IF(V2268="rEINTEGROS",7,
IF(V2268="BIT",90,
IF(V2268="OP GRADO - INGLÉS",17,"")))))</f>
        <v>31</v>
      </c>
      <c r="X2268" t="s">
        <v>3962</v>
      </c>
    </row>
    <row r="2269" spans="1:24" ht="15" x14ac:dyDescent="0.35">
      <c r="A2269" s="4">
        <v>45968.496296296296</v>
      </c>
      <c r="B2269">
        <v>20103658</v>
      </c>
      <c r="C2269" s="5" t="s">
        <v>19</v>
      </c>
      <c r="D2269">
        <v>570485</v>
      </c>
      <c r="E2269" t="s">
        <v>20</v>
      </c>
      <c r="F2269">
        <v>1109413799</v>
      </c>
      <c r="G2269" t="s">
        <v>246</v>
      </c>
      <c r="H2269">
        <v>200057074</v>
      </c>
      <c r="I2269">
        <v>202631</v>
      </c>
      <c r="J2269">
        <v>1109413799</v>
      </c>
      <c r="K2269" t="s">
        <v>23</v>
      </c>
      <c r="L2269" t="s">
        <v>119</v>
      </c>
      <c r="M2269" t="s">
        <v>24</v>
      </c>
      <c r="N2269" t="s">
        <v>35</v>
      </c>
      <c r="O2269" t="s">
        <v>26</v>
      </c>
      <c r="P2269" t="s">
        <v>27</v>
      </c>
      <c r="Q2269" t="s">
        <v>28</v>
      </c>
      <c r="R2269" t="s">
        <v>29</v>
      </c>
      <c r="S2269" t="s">
        <v>30</v>
      </c>
      <c r="T2269">
        <v>1023975276</v>
      </c>
      <c r="U2269" t="s">
        <v>3963</v>
      </c>
      <c r="V2269" t="s">
        <v>3934</v>
      </c>
      <c r="W2269" s="9">
        <f>IF(V2269="pregrado",31,
IF(V2269="posgrados",31,
IF(V2269="rEINTEGROS",7,
IF(V2269="BIT",90,
IF(V2269="OP GRADO - INGLÉS",17,"")))))</f>
        <v>31</v>
      </c>
      <c r="X2269" t="s">
        <v>3962</v>
      </c>
    </row>
    <row r="2270" spans="1:24" ht="15" x14ac:dyDescent="0.35">
      <c r="A2270" s="4">
        <v>45967.464386574073</v>
      </c>
      <c r="B2270">
        <v>20103543</v>
      </c>
      <c r="C2270" s="5" t="s">
        <v>19</v>
      </c>
      <c r="D2270">
        <v>570495</v>
      </c>
      <c r="E2270" t="s">
        <v>20</v>
      </c>
      <c r="F2270">
        <v>1001173220</v>
      </c>
      <c r="G2270" t="s">
        <v>230</v>
      </c>
      <c r="H2270">
        <v>100227694</v>
      </c>
      <c r="I2270">
        <v>202631</v>
      </c>
      <c r="J2270">
        <v>1001173220</v>
      </c>
      <c r="K2270" t="s">
        <v>33</v>
      </c>
      <c r="L2270" t="s">
        <v>231</v>
      </c>
      <c r="M2270" t="s">
        <v>24</v>
      </c>
      <c r="N2270" t="s">
        <v>38</v>
      </c>
      <c r="O2270" t="s">
        <v>26</v>
      </c>
      <c r="P2270" t="s">
        <v>27</v>
      </c>
      <c r="Q2270" t="s">
        <v>28</v>
      </c>
      <c r="R2270" t="s">
        <v>29</v>
      </c>
      <c r="S2270" t="s">
        <v>30</v>
      </c>
      <c r="T2270">
        <v>1031147887</v>
      </c>
      <c r="U2270" t="s">
        <v>3948</v>
      </c>
      <c r="V2270" t="s">
        <v>3937</v>
      </c>
      <c r="W2270" s="9">
        <f>IF(V2270="pregrado",31,
IF(V2270="posgrados",31,
IF(V2270="rEINTEGROS",7,
IF(V2270="BIT",90,
IF(V2270="OP GRADO - INGLÉS",17,"")))))</f>
        <v>31</v>
      </c>
      <c r="X2270" t="s">
        <v>3947</v>
      </c>
    </row>
    <row r="2271" spans="1:24" ht="15" x14ac:dyDescent="0.35">
      <c r="A2271" s="4">
        <v>45967.96162037037</v>
      </c>
      <c r="B2271">
        <v>20103638</v>
      </c>
      <c r="C2271" s="5" t="s">
        <v>19</v>
      </c>
      <c r="D2271">
        <v>570501</v>
      </c>
      <c r="E2271" t="s">
        <v>20</v>
      </c>
      <c r="F2271">
        <v>1001016323</v>
      </c>
      <c r="G2271" t="s">
        <v>238</v>
      </c>
      <c r="H2271">
        <v>100234782</v>
      </c>
      <c r="I2271">
        <v>202631</v>
      </c>
      <c r="J2271">
        <v>1001016323</v>
      </c>
      <c r="K2271" t="s">
        <v>23</v>
      </c>
      <c r="L2271" t="s">
        <v>65</v>
      </c>
      <c r="M2271" t="s">
        <v>24</v>
      </c>
      <c r="N2271" t="s">
        <v>35</v>
      </c>
      <c r="O2271" t="s">
        <v>26</v>
      </c>
      <c r="P2271" t="s">
        <v>27</v>
      </c>
      <c r="Q2271" t="s">
        <v>28</v>
      </c>
      <c r="R2271" t="s">
        <v>29</v>
      </c>
      <c r="S2271" t="s">
        <v>30</v>
      </c>
      <c r="T2271">
        <v>79786913</v>
      </c>
      <c r="U2271" t="s">
        <v>3939</v>
      </c>
      <c r="V2271" t="s">
        <v>3934</v>
      </c>
      <c r="W2271" s="9">
        <f>IF(V2271="pregrado",31,
IF(V2271="posgrados",31,
IF(V2271="rEINTEGROS",7,
IF(V2271="BIT",90,
IF(V2271="OP GRADO - INGLÉS",17,"")))))</f>
        <v>31</v>
      </c>
      <c r="X2271" t="s">
        <v>4010</v>
      </c>
    </row>
    <row r="2272" spans="1:24" ht="15" x14ac:dyDescent="0.35">
      <c r="A2272" s="4">
        <v>45967.51353009259</v>
      </c>
      <c r="B2272">
        <v>20103555</v>
      </c>
      <c r="C2272" s="5" t="s">
        <v>19</v>
      </c>
      <c r="D2272">
        <v>570509</v>
      </c>
      <c r="E2272" t="s">
        <v>20</v>
      </c>
      <c r="F2272">
        <v>1087491896</v>
      </c>
      <c r="G2272" t="s">
        <v>233</v>
      </c>
      <c r="H2272">
        <v>100234280</v>
      </c>
      <c r="I2272">
        <v>202631</v>
      </c>
      <c r="J2272">
        <v>1087491896</v>
      </c>
      <c r="K2272" t="s">
        <v>23</v>
      </c>
      <c r="L2272" t="s">
        <v>90</v>
      </c>
      <c r="M2272" t="s">
        <v>24</v>
      </c>
      <c r="N2272" t="s">
        <v>35</v>
      </c>
      <c r="O2272" t="s">
        <v>26</v>
      </c>
      <c r="P2272" t="s">
        <v>27</v>
      </c>
      <c r="Q2272" t="s">
        <v>28</v>
      </c>
      <c r="R2272" t="s">
        <v>29</v>
      </c>
      <c r="S2272" t="s">
        <v>30</v>
      </c>
      <c r="T2272">
        <v>1001048359</v>
      </c>
      <c r="U2272" t="s">
        <v>3939</v>
      </c>
      <c r="V2272" t="s">
        <v>3934</v>
      </c>
      <c r="W2272" s="9">
        <f>IF(V2272="pregrado",31,
IF(V2272="posgrados",31,
IF(V2272="rEINTEGROS",7,
IF(V2272="BIT",90,
IF(V2272="OP GRADO - INGLÉS",17,"")))))</f>
        <v>31</v>
      </c>
      <c r="X2272" t="s">
        <v>4106</v>
      </c>
    </row>
    <row r="2273" spans="1:24" ht="15" x14ac:dyDescent="0.35">
      <c r="A2273" s="4">
        <v>45967.658726851849</v>
      </c>
      <c r="B2273">
        <v>20103596</v>
      </c>
      <c r="C2273" s="5" t="s">
        <v>19</v>
      </c>
      <c r="D2273">
        <v>570510</v>
      </c>
      <c r="E2273" t="s">
        <v>20</v>
      </c>
      <c r="F2273">
        <v>1020728822</v>
      </c>
      <c r="G2273" t="s">
        <v>235</v>
      </c>
      <c r="H2273">
        <v>100234788</v>
      </c>
      <c r="I2273">
        <v>202611</v>
      </c>
      <c r="J2273">
        <v>1020728822</v>
      </c>
      <c r="K2273" t="s">
        <v>23</v>
      </c>
      <c r="L2273" t="s">
        <v>221</v>
      </c>
      <c r="M2273" t="s">
        <v>24</v>
      </c>
      <c r="N2273" t="s">
        <v>35</v>
      </c>
      <c r="O2273" t="s">
        <v>26</v>
      </c>
      <c r="P2273" t="s">
        <v>27</v>
      </c>
      <c r="Q2273" t="s">
        <v>28</v>
      </c>
      <c r="R2273" t="s">
        <v>29</v>
      </c>
      <c r="S2273" t="s">
        <v>30</v>
      </c>
      <c r="T2273">
        <v>53071696</v>
      </c>
      <c r="U2273" t="s">
        <v>3965</v>
      </c>
      <c r="V2273" t="s">
        <v>3934</v>
      </c>
      <c r="W2273" s="9">
        <f>IF(V2273="pregrado",31,
IF(V2273="posgrados",31,
IF(V2273="rEINTEGROS",7,
IF(V2273="BIT",90,
IF(V2273="OP GRADO - INGLÉS",17,"")))))</f>
        <v>31</v>
      </c>
      <c r="X2273" t="s">
        <v>4012</v>
      </c>
    </row>
    <row r="2274" spans="1:24" ht="15" x14ac:dyDescent="0.35">
      <c r="A2274" s="4">
        <v>45968.539849537039</v>
      </c>
      <c r="B2274">
        <v>20103673</v>
      </c>
      <c r="C2274" s="5" t="s">
        <v>19</v>
      </c>
      <c r="D2274">
        <v>570528</v>
      </c>
      <c r="E2274" t="s">
        <v>20</v>
      </c>
      <c r="F2274">
        <v>1036631810</v>
      </c>
      <c r="G2274" t="s">
        <v>248</v>
      </c>
      <c r="H2274">
        <v>100234479</v>
      </c>
      <c r="I2274">
        <v>202631</v>
      </c>
      <c r="J2274">
        <v>1036631810</v>
      </c>
      <c r="K2274" t="s">
        <v>33</v>
      </c>
      <c r="L2274" t="s">
        <v>127</v>
      </c>
      <c r="M2274" t="s">
        <v>24</v>
      </c>
      <c r="N2274" t="s">
        <v>25</v>
      </c>
      <c r="O2274" t="s">
        <v>26</v>
      </c>
      <c r="P2274" t="s">
        <v>27</v>
      </c>
      <c r="Q2274" t="s">
        <v>28</v>
      </c>
      <c r="R2274" t="s">
        <v>29</v>
      </c>
      <c r="S2274" t="s">
        <v>30</v>
      </c>
      <c r="T2274">
        <v>1013687925</v>
      </c>
      <c r="U2274" t="s">
        <v>3933</v>
      </c>
      <c r="V2274" t="s">
        <v>3934</v>
      </c>
      <c r="W2274" s="9">
        <f>IF(V2274="pregrado",31,
IF(V2274="posgrados",31,
IF(V2274="rEINTEGROS",7,
IF(V2274="BIT",90,
IF(V2274="OP GRADO - INGLÉS",17,"")))))</f>
        <v>31</v>
      </c>
      <c r="X2274" t="s">
        <v>3959</v>
      </c>
    </row>
    <row r="2275" spans="1:24" ht="15" x14ac:dyDescent="0.35">
      <c r="A2275" s="4">
        <v>45969.504467592589</v>
      </c>
      <c r="B2275">
        <v>20103744</v>
      </c>
      <c r="C2275" s="5" t="s">
        <v>19</v>
      </c>
      <c r="D2275">
        <v>570542</v>
      </c>
      <c r="E2275" t="s">
        <v>20</v>
      </c>
      <c r="F2275">
        <v>1007256854</v>
      </c>
      <c r="G2275" t="s">
        <v>262</v>
      </c>
      <c r="H2275">
        <v>100234582</v>
      </c>
      <c r="I2275">
        <v>202631</v>
      </c>
      <c r="J2275">
        <v>1007256854</v>
      </c>
      <c r="K2275" t="s">
        <v>33</v>
      </c>
      <c r="L2275" t="s">
        <v>240</v>
      </c>
      <c r="M2275" t="s">
        <v>24</v>
      </c>
      <c r="N2275" t="s">
        <v>35</v>
      </c>
      <c r="O2275" t="s">
        <v>26</v>
      </c>
      <c r="P2275" t="s">
        <v>27</v>
      </c>
      <c r="Q2275" t="s">
        <v>28</v>
      </c>
      <c r="R2275" t="s">
        <v>29</v>
      </c>
      <c r="S2275" t="s">
        <v>30</v>
      </c>
      <c r="T2275">
        <v>10006855461</v>
      </c>
      <c r="U2275" t="s">
        <v>3965</v>
      </c>
      <c r="V2275" t="s">
        <v>3934</v>
      </c>
      <c r="W2275" s="9">
        <f>IF(V2275="pregrado",31,
IF(V2275="posgrados",31,
IF(V2275="rEINTEGROS",7,
IF(V2275="BIT",90,
IF(V2275="OP GRADO - INGLÉS",17,"")))))</f>
        <v>31</v>
      </c>
      <c r="X2275" t="s">
        <v>3993</v>
      </c>
    </row>
    <row r="2276" spans="1:24" ht="15" x14ac:dyDescent="0.35">
      <c r="A2276" s="4">
        <v>45983.477962962963</v>
      </c>
      <c r="B2276">
        <v>20104636</v>
      </c>
      <c r="C2276" s="5" t="s">
        <v>19</v>
      </c>
      <c r="D2276">
        <v>570547</v>
      </c>
      <c r="E2276" t="s">
        <v>20</v>
      </c>
      <c r="F2276">
        <v>1128452981</v>
      </c>
      <c r="G2276" t="s">
        <v>474</v>
      </c>
      <c r="H2276">
        <v>100234825</v>
      </c>
      <c r="I2276">
        <v>202631</v>
      </c>
      <c r="J2276">
        <v>1039024896</v>
      </c>
      <c r="K2276" t="s">
        <v>33</v>
      </c>
      <c r="L2276" t="s">
        <v>51</v>
      </c>
      <c r="M2276" t="s">
        <v>24</v>
      </c>
      <c r="N2276" t="s">
        <v>35</v>
      </c>
      <c r="O2276" t="s">
        <v>26</v>
      </c>
      <c r="P2276" t="s">
        <v>27</v>
      </c>
      <c r="Q2276" t="s">
        <v>28</v>
      </c>
      <c r="R2276" t="s">
        <v>29</v>
      </c>
      <c r="S2276" t="s">
        <v>30</v>
      </c>
      <c r="T2276">
        <v>52182207</v>
      </c>
      <c r="U2276" t="s">
        <v>3941</v>
      </c>
      <c r="V2276" t="s">
        <v>3934</v>
      </c>
      <c r="W2276" s="9">
        <f>IF(V2276="pregrado",31,
IF(V2276="posgrados",31,
IF(V2276="rEINTEGROS",7,
IF(V2276="BIT",90,
IF(V2276="OP GRADO - INGLÉS",17,"")))))</f>
        <v>31</v>
      </c>
      <c r="X2276" t="s">
        <v>3946</v>
      </c>
    </row>
    <row r="2277" spans="1:24" ht="15" x14ac:dyDescent="0.35">
      <c r="A2277" s="4">
        <v>45968.408703703702</v>
      </c>
      <c r="B2277">
        <v>20103647</v>
      </c>
      <c r="C2277" s="5" t="s">
        <v>19</v>
      </c>
      <c r="D2277">
        <v>570553</v>
      </c>
      <c r="E2277" t="s">
        <v>20</v>
      </c>
      <c r="F2277">
        <v>1001056990</v>
      </c>
      <c r="G2277" t="s">
        <v>241</v>
      </c>
      <c r="H2277">
        <v>100234729</v>
      </c>
      <c r="I2277">
        <v>202611</v>
      </c>
      <c r="J2277">
        <v>1001056990</v>
      </c>
      <c r="K2277" t="s">
        <v>23</v>
      </c>
      <c r="L2277" t="s">
        <v>227</v>
      </c>
      <c r="M2277" t="s">
        <v>24</v>
      </c>
      <c r="N2277" t="s">
        <v>35</v>
      </c>
      <c r="O2277" t="s">
        <v>26</v>
      </c>
      <c r="P2277" t="s">
        <v>27</v>
      </c>
      <c r="Q2277" t="s">
        <v>28</v>
      </c>
      <c r="R2277" t="s">
        <v>29</v>
      </c>
      <c r="S2277" t="s">
        <v>30</v>
      </c>
      <c r="T2277">
        <v>1032678391</v>
      </c>
      <c r="U2277" t="s">
        <v>3965</v>
      </c>
      <c r="V2277" t="s">
        <v>3934</v>
      </c>
      <c r="W2277" s="9">
        <f>IF(V2277="pregrado",31,
IF(V2277="posgrados",31,
IF(V2277="rEINTEGROS",7,
IF(V2277="BIT",90,
IF(V2277="OP GRADO - INGLÉS",17,"")))))</f>
        <v>31</v>
      </c>
      <c r="X2277" t="s">
        <v>4098</v>
      </c>
    </row>
    <row r="2278" spans="1:24" ht="15" x14ac:dyDescent="0.35">
      <c r="A2278" s="4">
        <v>46083.570868055554</v>
      </c>
      <c r="B2278">
        <v>20127229</v>
      </c>
      <c r="C2278" s="6" t="s">
        <v>19</v>
      </c>
      <c r="D2278">
        <v>570556</v>
      </c>
      <c r="E2278" t="s">
        <v>20</v>
      </c>
      <c r="F2278">
        <v>26227715</v>
      </c>
      <c r="G2278" t="s">
        <v>3785</v>
      </c>
      <c r="H2278">
        <v>100199039</v>
      </c>
      <c r="I2278">
        <v>202631</v>
      </c>
      <c r="J2278">
        <v>1073973627</v>
      </c>
      <c r="K2278" t="s">
        <v>33</v>
      </c>
      <c r="L2278" t="s">
        <v>101</v>
      </c>
      <c r="M2278" t="s">
        <v>24</v>
      </c>
      <c r="N2278" t="s">
        <v>35</v>
      </c>
      <c r="O2278" t="s">
        <v>26</v>
      </c>
      <c r="P2278" t="s">
        <v>27</v>
      </c>
      <c r="Q2278" t="s">
        <v>28</v>
      </c>
      <c r="R2278" t="s">
        <v>29</v>
      </c>
      <c r="S2278" t="s">
        <v>30</v>
      </c>
      <c r="T2278">
        <v>1023975276</v>
      </c>
      <c r="U2278" t="s">
        <v>3963</v>
      </c>
      <c r="V2278" t="s">
        <v>3934</v>
      </c>
      <c r="W2278" s="9">
        <f>IF(V2278="pregrado",31,
IF(V2278="posgrados",31,
IF(V2278="rEINTEGROS",7,
IF(V2278="BIT",90,
IF(V2278="OP GRADO - INGLÉS",17,"")))))</f>
        <v>31</v>
      </c>
      <c r="X2278" t="s">
        <v>3962</v>
      </c>
    </row>
    <row r="2279" spans="1:24" ht="15" x14ac:dyDescent="0.35">
      <c r="A2279" s="4">
        <v>45968.737187500003</v>
      </c>
      <c r="B2279">
        <v>20103725</v>
      </c>
      <c r="C2279" s="5" t="s">
        <v>19</v>
      </c>
      <c r="D2279">
        <v>570563</v>
      </c>
      <c r="E2279" t="s">
        <v>20</v>
      </c>
      <c r="F2279">
        <v>43704351</v>
      </c>
      <c r="G2279" t="s">
        <v>258</v>
      </c>
      <c r="H2279">
        <v>200052947</v>
      </c>
      <c r="I2279">
        <v>202631</v>
      </c>
      <c r="J2279">
        <v>43704351</v>
      </c>
      <c r="K2279" t="s">
        <v>23</v>
      </c>
      <c r="L2279" t="s">
        <v>77</v>
      </c>
      <c r="M2279" t="s">
        <v>24</v>
      </c>
      <c r="N2279" t="s">
        <v>35</v>
      </c>
      <c r="O2279" t="s">
        <v>26</v>
      </c>
      <c r="P2279" t="s">
        <v>27</v>
      </c>
      <c r="Q2279" t="s">
        <v>28</v>
      </c>
      <c r="R2279" t="s">
        <v>29</v>
      </c>
      <c r="S2279" t="s">
        <v>30</v>
      </c>
      <c r="T2279">
        <v>1023974716</v>
      </c>
      <c r="U2279" t="s">
        <v>3963</v>
      </c>
      <c r="V2279" t="s">
        <v>3934</v>
      </c>
      <c r="W2279" s="9">
        <f>IF(V2279="pregrado",31,
IF(V2279="posgrados",31,
IF(V2279="rEINTEGROS",7,
IF(V2279="BIT",90,
IF(V2279="OP GRADO - INGLÉS",17,"")))))</f>
        <v>31</v>
      </c>
      <c r="X2279" t="s">
        <v>4016</v>
      </c>
    </row>
    <row r="2280" spans="1:24" ht="15" x14ac:dyDescent="0.35">
      <c r="A2280" s="4">
        <v>45968.473391203705</v>
      </c>
      <c r="B2280">
        <v>20103655</v>
      </c>
      <c r="C2280" s="5" t="s">
        <v>19</v>
      </c>
      <c r="D2280">
        <v>570570</v>
      </c>
      <c r="E2280" t="s">
        <v>20</v>
      </c>
      <c r="F2280">
        <v>1010962711</v>
      </c>
      <c r="G2280" t="s">
        <v>243</v>
      </c>
      <c r="H2280">
        <v>100234839</v>
      </c>
      <c r="I2280">
        <v>202631</v>
      </c>
      <c r="J2280">
        <v>1010962711</v>
      </c>
      <c r="K2280" t="s">
        <v>33</v>
      </c>
      <c r="L2280" t="s">
        <v>90</v>
      </c>
      <c r="M2280" t="s">
        <v>24</v>
      </c>
      <c r="N2280" t="s">
        <v>25</v>
      </c>
      <c r="O2280" t="s">
        <v>26</v>
      </c>
      <c r="P2280" t="s">
        <v>27</v>
      </c>
      <c r="Q2280" t="s">
        <v>28</v>
      </c>
      <c r="R2280" t="s">
        <v>29</v>
      </c>
      <c r="S2280" t="s">
        <v>30</v>
      </c>
      <c r="T2280">
        <v>10306009131</v>
      </c>
      <c r="U2280" t="s">
        <v>3933</v>
      </c>
      <c r="V2280" t="s">
        <v>3934</v>
      </c>
      <c r="W2280" s="9">
        <f>IF(V2280="pregrado",31,
IF(V2280="posgrados",31,
IF(V2280="rEINTEGROS",7,
IF(V2280="BIT",90,
IF(V2280="OP GRADO - INGLÉS",17,"")))))</f>
        <v>31</v>
      </c>
      <c r="X2280" t="s">
        <v>3978</v>
      </c>
    </row>
    <row r="2281" spans="1:24" ht="15" x14ac:dyDescent="0.35">
      <c r="A2281" s="4">
        <v>45967.680752314816</v>
      </c>
      <c r="B2281">
        <v>20103600</v>
      </c>
      <c r="C2281" s="5" t="s">
        <v>19</v>
      </c>
      <c r="D2281">
        <v>570581</v>
      </c>
      <c r="E2281" t="s">
        <v>20</v>
      </c>
      <c r="F2281">
        <v>1069266039</v>
      </c>
      <c r="G2281" t="s">
        <v>236</v>
      </c>
      <c r="H2281">
        <v>100234598</v>
      </c>
      <c r="I2281">
        <v>202631</v>
      </c>
      <c r="J2281">
        <v>1069266039</v>
      </c>
      <c r="K2281" t="s">
        <v>33</v>
      </c>
      <c r="L2281" t="s">
        <v>42</v>
      </c>
      <c r="M2281" t="s">
        <v>24</v>
      </c>
      <c r="N2281" t="s">
        <v>35</v>
      </c>
      <c r="O2281" t="s">
        <v>26</v>
      </c>
      <c r="P2281" t="s">
        <v>27</v>
      </c>
      <c r="Q2281" t="s">
        <v>28</v>
      </c>
      <c r="R2281" t="s">
        <v>29</v>
      </c>
      <c r="S2281" t="s">
        <v>30</v>
      </c>
      <c r="T2281">
        <v>1000001980</v>
      </c>
      <c r="U2281" t="s">
        <v>3944</v>
      </c>
      <c r="V2281" t="s">
        <v>3934</v>
      </c>
      <c r="W2281" s="9">
        <f>IF(V2281="pregrado",31,
IF(V2281="posgrados",31,
IF(V2281="rEINTEGROS",7,
IF(V2281="BIT",90,
IF(V2281="OP GRADO - INGLÉS",17,"")))))</f>
        <v>31</v>
      </c>
      <c r="X2281" t="s">
        <v>3968</v>
      </c>
    </row>
    <row r="2282" spans="1:24" ht="15" x14ac:dyDescent="0.35">
      <c r="A2282" s="4">
        <v>45985.786724537036</v>
      </c>
      <c r="B2282">
        <v>20104742</v>
      </c>
      <c r="C2282" s="5" t="s">
        <v>19</v>
      </c>
      <c r="D2282">
        <v>570589</v>
      </c>
      <c r="E2282" t="s">
        <v>20</v>
      </c>
      <c r="F2282">
        <v>1015470446</v>
      </c>
      <c r="G2282" t="s">
        <v>505</v>
      </c>
      <c r="H2282">
        <v>100233379</v>
      </c>
      <c r="I2282">
        <v>202631</v>
      </c>
      <c r="J2282">
        <v>1015470446</v>
      </c>
      <c r="K2282" t="s">
        <v>33</v>
      </c>
      <c r="L2282" t="s">
        <v>90</v>
      </c>
      <c r="M2282" t="s">
        <v>24</v>
      </c>
      <c r="N2282" t="s">
        <v>25</v>
      </c>
      <c r="O2282" t="s">
        <v>26</v>
      </c>
      <c r="P2282" t="s">
        <v>27</v>
      </c>
      <c r="Q2282" t="s">
        <v>28</v>
      </c>
      <c r="R2282" t="s">
        <v>29</v>
      </c>
      <c r="S2282" t="s">
        <v>30</v>
      </c>
      <c r="T2282">
        <v>1013102684</v>
      </c>
      <c r="U2282" t="s">
        <v>3939</v>
      </c>
      <c r="V2282" t="s">
        <v>3934</v>
      </c>
      <c r="W2282" s="9">
        <f>IF(V2282="pregrado",31,
IF(V2282="posgrados",31,
IF(V2282="rEINTEGROS",7,
IF(V2282="BIT",90,
IF(V2282="OP GRADO - INGLÉS",17,"")))))</f>
        <v>31</v>
      </c>
      <c r="X2282" t="s">
        <v>4050</v>
      </c>
    </row>
    <row r="2283" spans="1:24" ht="15" x14ac:dyDescent="0.35">
      <c r="A2283" s="4">
        <v>45968.694791666669</v>
      </c>
      <c r="B2283">
        <v>20103711</v>
      </c>
      <c r="C2283" s="5" t="s">
        <v>19</v>
      </c>
      <c r="D2283">
        <v>570611</v>
      </c>
      <c r="E2283" t="s">
        <v>20</v>
      </c>
      <c r="F2283">
        <v>1121847032</v>
      </c>
      <c r="G2283" t="s">
        <v>254</v>
      </c>
      <c r="H2283">
        <v>100213822</v>
      </c>
      <c r="I2283">
        <v>202631</v>
      </c>
      <c r="J2283">
        <v>1005373091</v>
      </c>
      <c r="K2283" t="s">
        <v>33</v>
      </c>
      <c r="L2283" t="s">
        <v>65</v>
      </c>
      <c r="M2283" t="s">
        <v>24</v>
      </c>
      <c r="N2283" t="s">
        <v>25</v>
      </c>
      <c r="O2283" t="s">
        <v>26</v>
      </c>
      <c r="P2283" t="s">
        <v>27</v>
      </c>
      <c r="Q2283" t="s">
        <v>28</v>
      </c>
      <c r="R2283" t="s">
        <v>29</v>
      </c>
      <c r="S2283" t="s">
        <v>30</v>
      </c>
      <c r="T2283">
        <v>1013687925</v>
      </c>
      <c r="U2283" t="s">
        <v>3933</v>
      </c>
      <c r="V2283" t="s">
        <v>3934</v>
      </c>
      <c r="W2283" s="9">
        <f>IF(V2283="pregrado",31,
IF(V2283="posgrados",31,
IF(V2283="rEINTEGROS",7,
IF(V2283="BIT",90,
IF(V2283="OP GRADO - INGLÉS",17,"")))))</f>
        <v>31</v>
      </c>
      <c r="X2283" t="s">
        <v>3959</v>
      </c>
    </row>
    <row r="2284" spans="1:24" ht="15" x14ac:dyDescent="0.35">
      <c r="A2284" s="4">
        <v>45968.458865740744</v>
      </c>
      <c r="B2284">
        <v>20103650</v>
      </c>
      <c r="C2284" s="5" t="s">
        <v>19</v>
      </c>
      <c r="D2284">
        <v>570614</v>
      </c>
      <c r="E2284" t="s">
        <v>20</v>
      </c>
      <c r="F2284">
        <v>1076385933</v>
      </c>
      <c r="G2284" t="s">
        <v>242</v>
      </c>
      <c r="H2284">
        <v>100160048</v>
      </c>
      <c r="I2284">
        <v>202631</v>
      </c>
      <c r="J2284">
        <v>1076385933</v>
      </c>
      <c r="K2284" t="s">
        <v>33</v>
      </c>
      <c r="L2284" t="s">
        <v>119</v>
      </c>
      <c r="M2284" t="s">
        <v>24</v>
      </c>
      <c r="N2284" t="s">
        <v>35</v>
      </c>
      <c r="O2284" t="s">
        <v>26</v>
      </c>
      <c r="P2284" t="s">
        <v>27</v>
      </c>
      <c r="Q2284" t="s">
        <v>28</v>
      </c>
      <c r="R2284" t="s">
        <v>29</v>
      </c>
      <c r="S2284" t="s">
        <v>30</v>
      </c>
      <c r="T2284">
        <v>1013687925</v>
      </c>
      <c r="U2284" t="s">
        <v>3933</v>
      </c>
      <c r="V2284" t="s">
        <v>3934</v>
      </c>
      <c r="W2284" s="9">
        <f>IF(V2284="pregrado",31,
IF(V2284="posgrados",31,
IF(V2284="rEINTEGROS",7,
IF(V2284="BIT",90,
IF(V2284="OP GRADO - INGLÉS",17,"")))))</f>
        <v>31</v>
      </c>
      <c r="X2284" t="s">
        <v>3959</v>
      </c>
    </row>
    <row r="2285" spans="1:24" ht="15" x14ac:dyDescent="0.35">
      <c r="A2285" s="4">
        <v>45975.566921296297</v>
      </c>
      <c r="B2285">
        <v>20104153</v>
      </c>
      <c r="C2285" s="5" t="s">
        <v>19</v>
      </c>
      <c r="D2285">
        <v>570620</v>
      </c>
      <c r="E2285" t="s">
        <v>20</v>
      </c>
      <c r="F2285">
        <v>1031125208</v>
      </c>
      <c r="G2285" t="s">
        <v>363</v>
      </c>
      <c r="H2285">
        <v>100205188</v>
      </c>
      <c r="I2285">
        <v>202631</v>
      </c>
      <c r="J2285">
        <v>1031125208</v>
      </c>
      <c r="K2285" t="s">
        <v>33</v>
      </c>
      <c r="L2285" t="s">
        <v>207</v>
      </c>
      <c r="M2285" t="s">
        <v>24</v>
      </c>
      <c r="N2285" t="s">
        <v>25</v>
      </c>
      <c r="O2285" t="s">
        <v>26</v>
      </c>
      <c r="P2285" t="s">
        <v>27</v>
      </c>
      <c r="Q2285" t="s">
        <v>28</v>
      </c>
      <c r="R2285" t="s">
        <v>29</v>
      </c>
      <c r="S2285" t="s">
        <v>30</v>
      </c>
      <c r="T2285">
        <v>1070815435</v>
      </c>
      <c r="U2285" t="s">
        <v>3986</v>
      </c>
      <c r="V2285" t="s">
        <v>3934</v>
      </c>
      <c r="W2285" s="9">
        <f>IF(V2285="pregrado",31,
IF(V2285="posgrados",31,
IF(V2285="rEINTEGROS",7,
IF(V2285="BIT",90,
IF(V2285="OP GRADO - INGLÉS",17,"")))))</f>
        <v>31</v>
      </c>
      <c r="X2285" t="s">
        <v>4038</v>
      </c>
    </row>
    <row r="2286" spans="1:24" ht="15" x14ac:dyDescent="0.35">
      <c r="A2286" s="4">
        <v>45989.779282407406</v>
      </c>
      <c r="B2286">
        <v>20105323</v>
      </c>
      <c r="C2286" s="6" t="s">
        <v>19</v>
      </c>
      <c r="D2286">
        <v>570623</v>
      </c>
      <c r="E2286" t="s">
        <v>20</v>
      </c>
      <c r="F2286">
        <v>1076876462</v>
      </c>
      <c r="G2286" t="s">
        <v>677</v>
      </c>
      <c r="H2286">
        <v>100234894</v>
      </c>
      <c r="I2286">
        <v>202611</v>
      </c>
      <c r="J2286">
        <v>1078666376</v>
      </c>
      <c r="K2286" t="s">
        <v>23</v>
      </c>
      <c r="L2286" t="s">
        <v>227</v>
      </c>
      <c r="M2286" t="s">
        <v>24</v>
      </c>
      <c r="N2286" t="s">
        <v>35</v>
      </c>
      <c r="O2286" t="s">
        <v>26</v>
      </c>
      <c r="P2286" t="s">
        <v>27</v>
      </c>
      <c r="Q2286" t="s">
        <v>28</v>
      </c>
      <c r="R2286" t="s">
        <v>29</v>
      </c>
      <c r="S2286" t="s">
        <v>30</v>
      </c>
      <c r="T2286">
        <v>1070973852</v>
      </c>
      <c r="U2286" t="s">
        <v>3936</v>
      </c>
      <c r="V2286" t="s">
        <v>3937</v>
      </c>
      <c r="W2286" s="9">
        <f>IF(V2286="pregrado",31,
IF(V2286="posgrados",31,
IF(V2286="rEINTEGROS",7,
IF(V2286="BIT",90,
IF(V2286="OP GRADO - INGLÉS",17,"")))))</f>
        <v>31</v>
      </c>
      <c r="X2286" t="s">
        <v>3957</v>
      </c>
    </row>
    <row r="2287" spans="1:24" ht="15" x14ac:dyDescent="0.35">
      <c r="A2287" s="4">
        <v>45993.660798611112</v>
      </c>
      <c r="B2287">
        <v>20105640</v>
      </c>
      <c r="C2287" s="6" t="s">
        <v>19</v>
      </c>
      <c r="D2287">
        <v>570626</v>
      </c>
      <c r="E2287" t="s">
        <v>20</v>
      </c>
      <c r="F2287">
        <v>3159626</v>
      </c>
      <c r="G2287" t="s">
        <v>728</v>
      </c>
      <c r="H2287">
        <v>100234897</v>
      </c>
      <c r="I2287">
        <v>202610</v>
      </c>
      <c r="J2287">
        <v>1013107637</v>
      </c>
      <c r="K2287" t="s">
        <v>33</v>
      </c>
      <c r="L2287" t="s">
        <v>37</v>
      </c>
      <c r="M2287" t="s">
        <v>24</v>
      </c>
      <c r="N2287" t="s">
        <v>25</v>
      </c>
      <c r="O2287" t="s">
        <v>26</v>
      </c>
      <c r="P2287" t="s">
        <v>27</v>
      </c>
      <c r="Q2287" t="s">
        <v>28</v>
      </c>
      <c r="R2287" t="s">
        <v>29</v>
      </c>
      <c r="S2287" t="s">
        <v>30</v>
      </c>
      <c r="T2287">
        <v>1026298522</v>
      </c>
      <c r="U2287" t="s">
        <v>3965</v>
      </c>
      <c r="V2287" t="s">
        <v>3934</v>
      </c>
      <c r="W2287" s="9">
        <f>IF(V2287="pregrado",31,
IF(V2287="posgrados",31,
IF(V2287="rEINTEGROS",7,
IF(V2287="BIT",90,
IF(V2287="OP GRADO - INGLÉS",17,"")))))</f>
        <v>31</v>
      </c>
      <c r="X2287" t="s">
        <v>4040</v>
      </c>
    </row>
    <row r="2288" spans="1:24" ht="15" x14ac:dyDescent="0.35">
      <c r="A2288" s="4">
        <v>45979.641203703701</v>
      </c>
      <c r="B2288">
        <v>20104312</v>
      </c>
      <c r="C2288" s="5" t="s">
        <v>19</v>
      </c>
      <c r="D2288">
        <v>570638</v>
      </c>
      <c r="E2288" t="s">
        <v>20</v>
      </c>
      <c r="F2288">
        <v>1022440305</v>
      </c>
      <c r="G2288" t="s">
        <v>404</v>
      </c>
      <c r="H2288">
        <v>100234631</v>
      </c>
      <c r="I2288">
        <v>202631</v>
      </c>
      <c r="J2288">
        <v>1022440305</v>
      </c>
      <c r="K2288" t="s">
        <v>33</v>
      </c>
      <c r="L2288" t="s">
        <v>207</v>
      </c>
      <c r="M2288" t="s">
        <v>24</v>
      </c>
      <c r="N2288" t="s">
        <v>25</v>
      </c>
      <c r="O2288" t="s">
        <v>26</v>
      </c>
      <c r="P2288" t="s">
        <v>27</v>
      </c>
      <c r="Q2288" t="s">
        <v>28</v>
      </c>
      <c r="R2288" t="s">
        <v>29</v>
      </c>
      <c r="S2288" t="s">
        <v>30</v>
      </c>
      <c r="T2288">
        <v>1032394283</v>
      </c>
      <c r="U2288" t="s">
        <v>3941</v>
      </c>
      <c r="V2288" t="s">
        <v>3934</v>
      </c>
      <c r="W2288" s="9">
        <f>IF(V2288="pregrado",31,
IF(V2288="posgrados",31,
IF(V2288="rEINTEGROS",7,
IF(V2288="BIT",90,
IF(V2288="OP GRADO - INGLÉS",17,"")))))</f>
        <v>31</v>
      </c>
      <c r="X2288" t="s">
        <v>4034</v>
      </c>
    </row>
    <row r="2289" spans="1:24" ht="15" x14ac:dyDescent="0.35">
      <c r="A2289" s="4">
        <v>45968.480775462966</v>
      </c>
      <c r="B2289">
        <v>20103656</v>
      </c>
      <c r="C2289" s="5" t="s">
        <v>19</v>
      </c>
      <c r="D2289">
        <v>570644</v>
      </c>
      <c r="E2289" t="s">
        <v>20</v>
      </c>
      <c r="F2289">
        <v>1028861364</v>
      </c>
      <c r="G2289" t="s">
        <v>244</v>
      </c>
      <c r="H2289">
        <v>100234873</v>
      </c>
      <c r="I2289">
        <v>202610</v>
      </c>
      <c r="J2289">
        <v>1028861364</v>
      </c>
      <c r="K2289" t="s">
        <v>23</v>
      </c>
      <c r="L2289" t="s">
        <v>107</v>
      </c>
      <c r="M2289" t="s">
        <v>24</v>
      </c>
      <c r="N2289" t="s">
        <v>38</v>
      </c>
      <c r="O2289" t="s">
        <v>26</v>
      </c>
      <c r="P2289" t="s">
        <v>27</v>
      </c>
      <c r="Q2289" t="s">
        <v>28</v>
      </c>
      <c r="R2289" t="s">
        <v>29</v>
      </c>
      <c r="S2289" t="s">
        <v>30</v>
      </c>
      <c r="T2289">
        <v>1006505929</v>
      </c>
      <c r="U2289" t="s">
        <v>3986</v>
      </c>
      <c r="V2289" t="s">
        <v>3934</v>
      </c>
      <c r="W2289" s="9">
        <f>IF(V2289="pregrado",31,
IF(V2289="posgrados",31,
IF(V2289="rEINTEGROS",7,
IF(V2289="BIT",90,
IF(V2289="OP GRADO - INGLÉS",17,"")))))</f>
        <v>31</v>
      </c>
      <c r="X2289" t="s">
        <v>4013</v>
      </c>
    </row>
    <row r="2290" spans="1:24" ht="15" x14ac:dyDescent="0.35">
      <c r="A2290" s="4">
        <v>45973.753078703703</v>
      </c>
      <c r="B2290">
        <v>20104012</v>
      </c>
      <c r="C2290" s="5" t="s">
        <v>19</v>
      </c>
      <c r="D2290">
        <v>570647</v>
      </c>
      <c r="E2290" t="s">
        <v>20</v>
      </c>
      <c r="F2290">
        <v>1004921751</v>
      </c>
      <c r="G2290" t="s">
        <v>325</v>
      </c>
      <c r="H2290">
        <v>100234922</v>
      </c>
      <c r="I2290">
        <v>202631</v>
      </c>
      <c r="J2290">
        <v>1004921751</v>
      </c>
      <c r="K2290" t="s">
        <v>33</v>
      </c>
      <c r="L2290" t="s">
        <v>51</v>
      </c>
      <c r="M2290" t="s">
        <v>24</v>
      </c>
      <c r="N2290" t="s">
        <v>25</v>
      </c>
      <c r="O2290" t="s">
        <v>26</v>
      </c>
      <c r="P2290" t="s">
        <v>27</v>
      </c>
      <c r="Q2290" t="s">
        <v>28</v>
      </c>
      <c r="R2290" t="s">
        <v>29</v>
      </c>
      <c r="S2290" t="s">
        <v>30</v>
      </c>
      <c r="T2290">
        <v>1023000938</v>
      </c>
      <c r="U2290" t="s">
        <v>3941</v>
      </c>
      <c r="V2290" t="s">
        <v>3934</v>
      </c>
      <c r="W2290" s="9">
        <f>IF(V2290="pregrado",31,
IF(V2290="posgrados",31,
IF(V2290="rEINTEGROS",7,
IF(V2290="BIT",90,
IF(V2290="OP GRADO - INGLÉS",17,"")))))</f>
        <v>31</v>
      </c>
      <c r="X2290" t="s">
        <v>3989</v>
      </c>
    </row>
    <row r="2291" spans="1:24" ht="15" x14ac:dyDescent="0.35">
      <c r="A2291" s="4">
        <v>45968.742164351854</v>
      </c>
      <c r="B2291">
        <v>20103726</v>
      </c>
      <c r="C2291" s="5" t="s">
        <v>19</v>
      </c>
      <c r="D2291">
        <v>570655</v>
      </c>
      <c r="E2291" t="s">
        <v>20</v>
      </c>
      <c r="F2291">
        <v>1121533200</v>
      </c>
      <c r="G2291" t="s">
        <v>259</v>
      </c>
      <c r="H2291">
        <v>100234930</v>
      </c>
      <c r="I2291">
        <v>202631</v>
      </c>
      <c r="J2291">
        <v>1121533200</v>
      </c>
      <c r="K2291" t="s">
        <v>23</v>
      </c>
      <c r="L2291" t="s">
        <v>32</v>
      </c>
      <c r="M2291" t="s">
        <v>24</v>
      </c>
      <c r="N2291" t="s">
        <v>35</v>
      </c>
      <c r="O2291" t="s">
        <v>26</v>
      </c>
      <c r="P2291" t="s">
        <v>27</v>
      </c>
      <c r="Q2291" t="s">
        <v>28</v>
      </c>
      <c r="R2291" t="s">
        <v>29</v>
      </c>
      <c r="S2291" t="s">
        <v>30</v>
      </c>
      <c r="T2291">
        <v>1015482247</v>
      </c>
      <c r="U2291" t="s">
        <v>3944</v>
      </c>
      <c r="V2291" t="s">
        <v>3934</v>
      </c>
      <c r="W2291" s="9">
        <f>IF(V2291="pregrado",31,
IF(V2291="posgrados",31,
IF(V2291="rEINTEGROS",7,
IF(V2291="BIT",90,
IF(V2291="OP GRADO - INGLÉS",17,"")))))</f>
        <v>31</v>
      </c>
      <c r="X2291" t="s">
        <v>3984</v>
      </c>
    </row>
    <row r="2292" spans="1:24" ht="15" x14ac:dyDescent="0.35">
      <c r="A2292" s="4">
        <v>45974.433645833335</v>
      </c>
      <c r="B2292">
        <v>20104042</v>
      </c>
      <c r="C2292" s="5" t="s">
        <v>19</v>
      </c>
      <c r="D2292">
        <v>570663</v>
      </c>
      <c r="E2292" t="s">
        <v>20</v>
      </c>
      <c r="F2292">
        <v>9976979</v>
      </c>
      <c r="G2292" t="s">
        <v>332</v>
      </c>
      <c r="H2292">
        <v>100155519</v>
      </c>
      <c r="I2292">
        <v>202631</v>
      </c>
      <c r="J2292">
        <v>1192800979</v>
      </c>
      <c r="K2292" t="s">
        <v>33</v>
      </c>
      <c r="L2292" t="s">
        <v>32</v>
      </c>
      <c r="M2292" t="s">
        <v>24</v>
      </c>
      <c r="N2292" t="s">
        <v>25</v>
      </c>
      <c r="O2292" t="s">
        <v>26</v>
      </c>
      <c r="P2292" t="s">
        <v>27</v>
      </c>
      <c r="Q2292" t="s">
        <v>28</v>
      </c>
      <c r="R2292" t="s">
        <v>29</v>
      </c>
      <c r="S2292" t="s">
        <v>30</v>
      </c>
      <c r="T2292">
        <v>11001273124</v>
      </c>
      <c r="U2292" t="s">
        <v>3944</v>
      </c>
      <c r="V2292" t="s">
        <v>3934</v>
      </c>
      <c r="W2292" s="9">
        <f>IF(V2292="pregrado",31,
IF(V2292="posgrados",31,
IF(V2292="rEINTEGROS",7,
IF(V2292="BIT",90,
IF(V2292="OP GRADO - INGLÉS",17,"")))))</f>
        <v>31</v>
      </c>
      <c r="X2292" t="s">
        <v>3951</v>
      </c>
    </row>
    <row r="2293" spans="1:24" ht="15" x14ac:dyDescent="0.35">
      <c r="A2293" s="4">
        <v>46006.609768518516</v>
      </c>
      <c r="B2293">
        <v>20107407</v>
      </c>
      <c r="C2293" s="6" t="s">
        <v>19</v>
      </c>
      <c r="D2293">
        <v>570673</v>
      </c>
      <c r="E2293" t="s">
        <v>20</v>
      </c>
      <c r="F2293">
        <v>1075624336</v>
      </c>
      <c r="G2293" t="s">
        <v>1011</v>
      </c>
      <c r="H2293">
        <v>100234946</v>
      </c>
      <c r="I2293">
        <v>202611</v>
      </c>
      <c r="J2293">
        <v>1075624336</v>
      </c>
      <c r="K2293" t="s">
        <v>33</v>
      </c>
      <c r="L2293" t="s">
        <v>204</v>
      </c>
      <c r="M2293" t="s">
        <v>24</v>
      </c>
      <c r="N2293" t="s">
        <v>25</v>
      </c>
      <c r="O2293" t="s">
        <v>26</v>
      </c>
      <c r="P2293" t="s">
        <v>27</v>
      </c>
      <c r="Q2293" t="s">
        <v>28</v>
      </c>
      <c r="R2293" t="s">
        <v>29</v>
      </c>
      <c r="S2293" t="s">
        <v>30</v>
      </c>
      <c r="T2293">
        <v>1023000938</v>
      </c>
      <c r="U2293" t="s">
        <v>3941</v>
      </c>
      <c r="V2293" t="s">
        <v>3934</v>
      </c>
      <c r="W2293" s="9">
        <f>IF(V2293="pregrado",31,
IF(V2293="posgrados",31,
IF(V2293="rEINTEGROS",7,
IF(V2293="BIT",90,
IF(V2293="OP GRADO - INGLÉS",17,"")))))</f>
        <v>31</v>
      </c>
      <c r="X2293" t="s">
        <v>3989</v>
      </c>
    </row>
    <row r="2294" spans="1:24" ht="15" x14ac:dyDescent="0.35">
      <c r="A2294" s="4">
        <v>45979.597222222219</v>
      </c>
      <c r="B2294">
        <v>20104309</v>
      </c>
      <c r="C2294" s="5" t="s">
        <v>19</v>
      </c>
      <c r="D2294">
        <v>570683</v>
      </c>
      <c r="E2294" t="s">
        <v>20</v>
      </c>
      <c r="F2294">
        <v>1022929027</v>
      </c>
      <c r="G2294" t="s">
        <v>403</v>
      </c>
      <c r="H2294">
        <v>100234578</v>
      </c>
      <c r="I2294">
        <v>202631</v>
      </c>
      <c r="J2294">
        <v>1022929027</v>
      </c>
      <c r="K2294" t="s">
        <v>23</v>
      </c>
      <c r="L2294" t="s">
        <v>90</v>
      </c>
      <c r="M2294" t="s">
        <v>24</v>
      </c>
      <c r="N2294" t="s">
        <v>35</v>
      </c>
      <c r="O2294" t="s">
        <v>26</v>
      </c>
      <c r="P2294" t="s">
        <v>27</v>
      </c>
      <c r="Q2294" t="s">
        <v>28</v>
      </c>
      <c r="R2294" t="s">
        <v>29</v>
      </c>
      <c r="S2294" t="s">
        <v>30</v>
      </c>
      <c r="T2294">
        <v>1023921046</v>
      </c>
      <c r="U2294" t="s">
        <v>3933</v>
      </c>
      <c r="V2294" t="s">
        <v>3934</v>
      </c>
      <c r="W2294" s="9">
        <f>IF(V2294="pregrado",31,
IF(V2294="posgrados",31,
IF(V2294="rEINTEGROS",7,
IF(V2294="BIT",90,
IF(V2294="OP GRADO - INGLÉS",17,"")))))</f>
        <v>31</v>
      </c>
      <c r="X2294" t="s">
        <v>4043</v>
      </c>
    </row>
    <row r="2295" spans="1:24" ht="15" x14ac:dyDescent="0.35">
      <c r="A2295" s="4">
        <v>45973.459340277775</v>
      </c>
      <c r="B2295">
        <v>20103959</v>
      </c>
      <c r="C2295" s="5" t="s">
        <v>19</v>
      </c>
      <c r="D2295">
        <v>570688</v>
      </c>
      <c r="E2295" t="s">
        <v>20</v>
      </c>
      <c r="F2295">
        <v>1007531050</v>
      </c>
      <c r="G2295" t="s">
        <v>310</v>
      </c>
      <c r="H2295">
        <v>100123613</v>
      </c>
      <c r="I2295">
        <v>202631</v>
      </c>
      <c r="J2295">
        <v>1118579262</v>
      </c>
      <c r="K2295" t="s">
        <v>74</v>
      </c>
      <c r="L2295" t="s">
        <v>90</v>
      </c>
      <c r="M2295" t="s">
        <v>24</v>
      </c>
      <c r="N2295" t="s">
        <v>35</v>
      </c>
      <c r="O2295" t="s">
        <v>26</v>
      </c>
      <c r="P2295" t="s">
        <v>27</v>
      </c>
      <c r="Q2295" t="s">
        <v>28</v>
      </c>
      <c r="R2295" t="s">
        <v>29</v>
      </c>
      <c r="S2295" t="s">
        <v>30</v>
      </c>
      <c r="T2295">
        <v>1001048359</v>
      </c>
      <c r="U2295" t="s">
        <v>3939</v>
      </c>
      <c r="V2295" t="s">
        <v>3934</v>
      </c>
      <c r="W2295" s="9">
        <f>IF(V2295="pregrado",31,
IF(V2295="posgrados",31,
IF(V2295="rEINTEGROS",7,
IF(V2295="BIT",90,
IF(V2295="OP GRADO - INGLÉS",17,"")))))</f>
        <v>31</v>
      </c>
      <c r="X2295" t="s">
        <v>4106</v>
      </c>
    </row>
    <row r="2296" spans="1:24" ht="15" x14ac:dyDescent="0.35">
      <c r="A2296" s="4">
        <v>45971.493576388886</v>
      </c>
      <c r="B2296">
        <v>20103781</v>
      </c>
      <c r="C2296" s="5" t="s">
        <v>19</v>
      </c>
      <c r="D2296">
        <v>570696</v>
      </c>
      <c r="E2296" t="s">
        <v>20</v>
      </c>
      <c r="F2296">
        <v>1075672258</v>
      </c>
      <c r="G2296" t="s">
        <v>264</v>
      </c>
      <c r="H2296">
        <v>100146370</v>
      </c>
      <c r="I2296">
        <v>202611</v>
      </c>
      <c r="J2296">
        <v>1075672258</v>
      </c>
      <c r="K2296" t="s">
        <v>23</v>
      </c>
      <c r="L2296" t="s">
        <v>227</v>
      </c>
      <c r="M2296" t="s">
        <v>24</v>
      </c>
      <c r="N2296" t="s">
        <v>35</v>
      </c>
      <c r="O2296" t="s">
        <v>26</v>
      </c>
      <c r="P2296" t="s">
        <v>27</v>
      </c>
      <c r="Q2296" t="s">
        <v>28</v>
      </c>
      <c r="R2296" t="s">
        <v>29</v>
      </c>
      <c r="S2296" t="s">
        <v>30</v>
      </c>
      <c r="T2296">
        <v>1007709034</v>
      </c>
      <c r="U2296" t="s">
        <v>3965</v>
      </c>
      <c r="V2296" t="s">
        <v>3934</v>
      </c>
      <c r="W2296" s="9">
        <f>IF(V2296="pregrado",31,
IF(V2296="posgrados",31,
IF(V2296="rEINTEGROS",7,
IF(V2296="BIT",90,
IF(V2296="OP GRADO - INGLÉS",17,"")))))</f>
        <v>31</v>
      </c>
      <c r="X2296" t="s">
        <v>3964</v>
      </c>
    </row>
    <row r="2297" spans="1:24" ht="15" x14ac:dyDescent="0.35">
      <c r="A2297" s="4">
        <v>45971.508333333331</v>
      </c>
      <c r="B2297">
        <v>20103783</v>
      </c>
      <c r="C2297" s="5" t="s">
        <v>19</v>
      </c>
      <c r="D2297">
        <v>570699</v>
      </c>
      <c r="E2297" t="s">
        <v>20</v>
      </c>
      <c r="F2297">
        <v>1085326624</v>
      </c>
      <c r="G2297" t="s">
        <v>265</v>
      </c>
      <c r="H2297">
        <v>100234970</v>
      </c>
      <c r="I2297">
        <v>202631</v>
      </c>
      <c r="J2297">
        <v>1085326624</v>
      </c>
      <c r="K2297" t="s">
        <v>23</v>
      </c>
      <c r="L2297" t="s">
        <v>65</v>
      </c>
      <c r="M2297" t="s">
        <v>24</v>
      </c>
      <c r="N2297" t="s">
        <v>35</v>
      </c>
      <c r="O2297" t="s">
        <v>26</v>
      </c>
      <c r="P2297" t="s">
        <v>27</v>
      </c>
      <c r="Q2297" t="s">
        <v>28</v>
      </c>
      <c r="R2297" t="s">
        <v>29</v>
      </c>
      <c r="S2297" t="s">
        <v>30</v>
      </c>
      <c r="T2297">
        <v>1023370559</v>
      </c>
      <c r="U2297" t="s">
        <v>3933</v>
      </c>
      <c r="V2297" t="s">
        <v>3934</v>
      </c>
      <c r="W2297" s="9">
        <f>IF(V2297="pregrado",31,
IF(V2297="posgrados",31,
IF(V2297="rEINTEGROS",7,
IF(V2297="BIT",90,
IF(V2297="OP GRADO - INGLÉS",17,"")))))</f>
        <v>31</v>
      </c>
      <c r="X2297" t="s">
        <v>4017</v>
      </c>
    </row>
    <row r="2298" spans="1:24" ht="15" x14ac:dyDescent="0.35">
      <c r="A2298" s="4">
        <v>45968.713495370372</v>
      </c>
      <c r="B2298">
        <v>20103718</v>
      </c>
      <c r="C2298" s="5" t="s">
        <v>19</v>
      </c>
      <c r="D2298">
        <v>570706</v>
      </c>
      <c r="E2298" t="s">
        <v>20</v>
      </c>
      <c r="F2298">
        <v>1025529184</v>
      </c>
      <c r="G2298" t="s">
        <v>256</v>
      </c>
      <c r="H2298">
        <v>100234744</v>
      </c>
      <c r="I2298">
        <v>202610</v>
      </c>
      <c r="J2298">
        <v>1025529184</v>
      </c>
      <c r="K2298" t="s">
        <v>23</v>
      </c>
      <c r="L2298" t="s">
        <v>79</v>
      </c>
      <c r="M2298" t="s">
        <v>24</v>
      </c>
      <c r="N2298" t="s">
        <v>35</v>
      </c>
      <c r="O2298" t="s">
        <v>26</v>
      </c>
      <c r="P2298" t="s">
        <v>27</v>
      </c>
      <c r="Q2298" t="s">
        <v>28</v>
      </c>
      <c r="R2298" t="s">
        <v>29</v>
      </c>
      <c r="S2298" t="s">
        <v>30</v>
      </c>
      <c r="T2298">
        <v>1001277801</v>
      </c>
      <c r="U2298" t="s">
        <v>3965</v>
      </c>
      <c r="V2298" t="s">
        <v>3934</v>
      </c>
      <c r="W2298" s="9">
        <f>IF(V2298="pregrado",31,
IF(V2298="posgrados",31,
IF(V2298="rEINTEGROS",7,
IF(V2298="BIT",90,
IF(V2298="OP GRADO - INGLÉS",17,"")))))</f>
        <v>31</v>
      </c>
      <c r="X2298" t="s">
        <v>4002</v>
      </c>
    </row>
    <row r="2299" spans="1:24" ht="15" x14ac:dyDescent="0.35">
      <c r="A2299" s="4">
        <v>45972.663599537038</v>
      </c>
      <c r="B2299">
        <v>20103907</v>
      </c>
      <c r="C2299" s="5" t="s">
        <v>19</v>
      </c>
      <c r="D2299">
        <v>570720</v>
      </c>
      <c r="E2299" t="s">
        <v>20</v>
      </c>
      <c r="F2299">
        <v>1030625205</v>
      </c>
      <c r="G2299" t="s">
        <v>297</v>
      </c>
      <c r="H2299">
        <v>100234984</v>
      </c>
      <c r="I2299">
        <v>202631</v>
      </c>
      <c r="J2299">
        <v>1030625205</v>
      </c>
      <c r="K2299" t="s">
        <v>23</v>
      </c>
      <c r="L2299" t="s">
        <v>51</v>
      </c>
      <c r="M2299" t="s">
        <v>24</v>
      </c>
      <c r="N2299" t="s">
        <v>35</v>
      </c>
      <c r="O2299" t="s">
        <v>26</v>
      </c>
      <c r="P2299" t="s">
        <v>27</v>
      </c>
      <c r="Q2299" t="s">
        <v>28</v>
      </c>
      <c r="R2299" t="s">
        <v>29</v>
      </c>
      <c r="S2299" t="s">
        <v>30</v>
      </c>
      <c r="T2299">
        <v>1018455773</v>
      </c>
      <c r="U2299" t="s">
        <v>3986</v>
      </c>
      <c r="V2299" t="s">
        <v>3934</v>
      </c>
      <c r="W2299" s="9">
        <f>IF(V2299="pregrado",31,
IF(V2299="posgrados",31,
IF(V2299="rEINTEGROS",7,
IF(V2299="BIT",90,
IF(V2299="OP GRADO - INGLÉS",17,"")))))</f>
        <v>31</v>
      </c>
      <c r="X2299" t="s">
        <v>4101</v>
      </c>
    </row>
    <row r="2300" spans="1:24" ht="15" x14ac:dyDescent="0.35">
      <c r="A2300" s="4">
        <v>45977.572210648148</v>
      </c>
      <c r="B2300">
        <v>20104261</v>
      </c>
      <c r="C2300" s="5" t="s">
        <v>19</v>
      </c>
      <c r="D2300">
        <v>570726</v>
      </c>
      <c r="E2300" t="s">
        <v>20</v>
      </c>
      <c r="F2300">
        <v>52356571</v>
      </c>
      <c r="G2300" t="s">
        <v>388</v>
      </c>
      <c r="H2300">
        <v>100234990</v>
      </c>
      <c r="I2300">
        <v>202631</v>
      </c>
      <c r="J2300">
        <v>1070385610</v>
      </c>
      <c r="K2300" t="s">
        <v>23</v>
      </c>
      <c r="L2300" t="s">
        <v>207</v>
      </c>
      <c r="M2300" t="s">
        <v>24</v>
      </c>
      <c r="N2300" t="s">
        <v>35</v>
      </c>
      <c r="O2300" t="s">
        <v>26</v>
      </c>
      <c r="P2300" t="s">
        <v>27</v>
      </c>
      <c r="Q2300" t="s">
        <v>28</v>
      </c>
      <c r="R2300" t="s">
        <v>29</v>
      </c>
      <c r="S2300" t="s">
        <v>30</v>
      </c>
      <c r="T2300">
        <v>80219471</v>
      </c>
      <c r="U2300" t="s">
        <v>3941</v>
      </c>
      <c r="V2300" t="s">
        <v>3934</v>
      </c>
      <c r="W2300" s="9">
        <f>IF(V2300="pregrado",31,
IF(V2300="posgrados",31,
IF(V2300="rEINTEGROS",7,
IF(V2300="BIT",90,
IF(V2300="OP GRADO - INGLÉS",17,"")))))</f>
        <v>31</v>
      </c>
      <c r="X2300" t="s">
        <v>4030</v>
      </c>
    </row>
    <row r="2301" spans="1:24" ht="15" x14ac:dyDescent="0.35">
      <c r="A2301" s="4">
        <v>45989.520208333335</v>
      </c>
      <c r="B2301">
        <v>20105257</v>
      </c>
      <c r="C2301" s="6" t="s">
        <v>19</v>
      </c>
      <c r="D2301">
        <v>570728</v>
      </c>
      <c r="E2301" t="s">
        <v>20</v>
      </c>
      <c r="F2301">
        <v>1082900462</v>
      </c>
      <c r="G2301" t="s">
        <v>656</v>
      </c>
      <c r="H2301">
        <v>100234995</v>
      </c>
      <c r="I2301">
        <v>202631</v>
      </c>
      <c r="J2301">
        <v>1082900462</v>
      </c>
      <c r="K2301" t="s">
        <v>23</v>
      </c>
      <c r="L2301" t="s">
        <v>231</v>
      </c>
      <c r="M2301" t="s">
        <v>24</v>
      </c>
      <c r="N2301" t="s">
        <v>35</v>
      </c>
      <c r="O2301" t="s">
        <v>26</v>
      </c>
      <c r="P2301" t="s">
        <v>27</v>
      </c>
      <c r="Q2301" t="s">
        <v>28</v>
      </c>
      <c r="R2301" t="s">
        <v>29</v>
      </c>
      <c r="S2301" t="s">
        <v>30</v>
      </c>
      <c r="T2301">
        <v>1020730718</v>
      </c>
      <c r="U2301" t="s">
        <v>3941</v>
      </c>
      <c r="V2301" t="s">
        <v>3934</v>
      </c>
      <c r="W2301" s="9">
        <f>IF(V2301="pregrado",31,
IF(V2301="posgrados",31,
IF(V2301="rEINTEGROS",7,
IF(V2301="BIT",90,
IF(V2301="OP GRADO - INGLÉS",17,"")))))</f>
        <v>31</v>
      </c>
      <c r="X2301" t="s">
        <v>3952</v>
      </c>
    </row>
    <row r="2302" spans="1:24" ht="15" x14ac:dyDescent="0.35">
      <c r="A2302" s="4">
        <v>45980.608946759261</v>
      </c>
      <c r="B2302">
        <v>20104406</v>
      </c>
      <c r="C2302" s="5" t="s">
        <v>19</v>
      </c>
      <c r="D2302">
        <v>570730</v>
      </c>
      <c r="E2302" t="s">
        <v>20</v>
      </c>
      <c r="F2302">
        <v>1001216785</v>
      </c>
      <c r="G2302" t="s">
        <v>432</v>
      </c>
      <c r="H2302">
        <v>100234996</v>
      </c>
      <c r="I2302">
        <v>202631</v>
      </c>
      <c r="J2302">
        <v>1001216785</v>
      </c>
      <c r="K2302" t="s">
        <v>33</v>
      </c>
      <c r="L2302" t="s">
        <v>119</v>
      </c>
      <c r="M2302" t="s">
        <v>24</v>
      </c>
      <c r="N2302" t="s">
        <v>35</v>
      </c>
      <c r="O2302" t="s">
        <v>26</v>
      </c>
      <c r="P2302" t="s">
        <v>27</v>
      </c>
      <c r="Q2302" t="s">
        <v>28</v>
      </c>
      <c r="R2302" t="s">
        <v>29</v>
      </c>
      <c r="S2302" t="s">
        <v>30</v>
      </c>
      <c r="T2302">
        <v>53040709</v>
      </c>
      <c r="U2302" t="s">
        <v>3963</v>
      </c>
      <c r="V2302" t="s">
        <v>3934</v>
      </c>
      <c r="W2302" s="9">
        <f>IF(V2302="pregrado",31,
IF(V2302="posgrados",31,
IF(V2302="rEINTEGROS",7,
IF(V2302="BIT",90,
IF(V2302="OP GRADO - INGLÉS",17,"")))))</f>
        <v>31</v>
      </c>
      <c r="X2302" t="s">
        <v>3994</v>
      </c>
    </row>
    <row r="2303" spans="1:24" ht="15" x14ac:dyDescent="0.35">
      <c r="A2303" s="4">
        <v>45973.521516203706</v>
      </c>
      <c r="B2303">
        <v>20103974</v>
      </c>
      <c r="C2303" s="5" t="s">
        <v>19</v>
      </c>
      <c r="D2303">
        <v>570733</v>
      </c>
      <c r="E2303" t="s">
        <v>20</v>
      </c>
      <c r="F2303">
        <v>1077450149</v>
      </c>
      <c r="G2303" t="s">
        <v>317</v>
      </c>
      <c r="H2303">
        <v>100234766</v>
      </c>
      <c r="I2303">
        <v>202631</v>
      </c>
      <c r="J2303">
        <v>1077455470</v>
      </c>
      <c r="K2303" t="s">
        <v>83</v>
      </c>
      <c r="L2303" t="s">
        <v>77</v>
      </c>
      <c r="M2303" t="s">
        <v>24</v>
      </c>
      <c r="N2303" t="s">
        <v>35</v>
      </c>
      <c r="O2303" t="s">
        <v>26</v>
      </c>
      <c r="P2303" t="s">
        <v>27</v>
      </c>
      <c r="Q2303" t="s">
        <v>28</v>
      </c>
      <c r="R2303" t="s">
        <v>29</v>
      </c>
      <c r="S2303" t="s">
        <v>30</v>
      </c>
      <c r="T2303">
        <v>1013662799</v>
      </c>
      <c r="U2303" t="s">
        <v>3965</v>
      </c>
      <c r="V2303" t="s">
        <v>3934</v>
      </c>
      <c r="W2303" s="9">
        <f>IF(V2303="pregrado",31,
IF(V2303="posgrados",31,
IF(V2303="rEINTEGROS",7,
IF(V2303="BIT",90,
IF(V2303="OP GRADO - INGLÉS",17,"")))))</f>
        <v>31</v>
      </c>
      <c r="X2303" t="s">
        <v>4021</v>
      </c>
    </row>
    <row r="2304" spans="1:24" ht="15" x14ac:dyDescent="0.35">
      <c r="A2304" s="4">
        <v>45972.650150462963</v>
      </c>
      <c r="B2304">
        <v>20103904</v>
      </c>
      <c r="C2304" s="5" t="s">
        <v>19</v>
      </c>
      <c r="D2304">
        <v>570745</v>
      </c>
      <c r="E2304" t="s">
        <v>20</v>
      </c>
      <c r="F2304">
        <v>1072713230</v>
      </c>
      <c r="G2304" t="s">
        <v>296</v>
      </c>
      <c r="H2304">
        <v>100235011</v>
      </c>
      <c r="I2304">
        <v>202631</v>
      </c>
      <c r="J2304">
        <v>1072713230</v>
      </c>
      <c r="K2304" t="s">
        <v>33</v>
      </c>
      <c r="L2304" t="s">
        <v>127</v>
      </c>
      <c r="M2304" t="s">
        <v>24</v>
      </c>
      <c r="N2304" t="s">
        <v>25</v>
      </c>
      <c r="O2304" t="s">
        <v>26</v>
      </c>
      <c r="P2304" t="s">
        <v>27</v>
      </c>
      <c r="Q2304" t="s">
        <v>28</v>
      </c>
      <c r="R2304" t="s">
        <v>29</v>
      </c>
      <c r="S2304" t="s">
        <v>30</v>
      </c>
      <c r="T2304">
        <v>39666517</v>
      </c>
      <c r="U2304" t="s">
        <v>3933</v>
      </c>
      <c r="V2304" t="s">
        <v>3934</v>
      </c>
      <c r="W2304" s="9">
        <f>IF(V2304="pregrado",31,
IF(V2304="posgrados",31,
IF(V2304="rEINTEGROS",7,
IF(V2304="BIT",90,
IF(V2304="OP GRADO - INGLÉS",17,"")))))</f>
        <v>31</v>
      </c>
      <c r="X2304" t="s">
        <v>4025</v>
      </c>
    </row>
    <row r="2305" spans="1:24" ht="15" x14ac:dyDescent="0.35">
      <c r="A2305" s="4">
        <v>45971.720706018517</v>
      </c>
      <c r="B2305">
        <v>20103815</v>
      </c>
      <c r="C2305" s="5" t="s">
        <v>19</v>
      </c>
      <c r="D2305">
        <v>570751</v>
      </c>
      <c r="E2305" t="s">
        <v>20</v>
      </c>
      <c r="F2305">
        <v>1022386886</v>
      </c>
      <c r="G2305" t="s">
        <v>277</v>
      </c>
      <c r="H2305">
        <v>100235017</v>
      </c>
      <c r="I2305">
        <v>202631</v>
      </c>
      <c r="J2305">
        <v>1022386886</v>
      </c>
      <c r="K2305" t="s">
        <v>33</v>
      </c>
      <c r="L2305" t="s">
        <v>127</v>
      </c>
      <c r="M2305" t="s">
        <v>24</v>
      </c>
      <c r="N2305" t="s">
        <v>25</v>
      </c>
      <c r="O2305" t="s">
        <v>26</v>
      </c>
      <c r="P2305" t="s">
        <v>27</v>
      </c>
      <c r="Q2305" t="s">
        <v>28</v>
      </c>
      <c r="R2305" t="s">
        <v>29</v>
      </c>
      <c r="S2305" t="s">
        <v>30</v>
      </c>
      <c r="T2305">
        <v>10306009131</v>
      </c>
      <c r="U2305" t="s">
        <v>3933</v>
      </c>
      <c r="V2305" t="s">
        <v>3934</v>
      </c>
      <c r="W2305" s="9">
        <f>IF(V2305="pregrado",31,
IF(V2305="posgrados",31,
IF(V2305="rEINTEGROS",7,
IF(V2305="BIT",90,
IF(V2305="OP GRADO - INGLÉS",17,"")))))</f>
        <v>31</v>
      </c>
      <c r="X2305" t="s">
        <v>3978</v>
      </c>
    </row>
    <row r="2306" spans="1:24" ht="15" x14ac:dyDescent="0.35">
      <c r="A2306" s="4">
        <v>45971.619895833333</v>
      </c>
      <c r="B2306">
        <v>20103791</v>
      </c>
      <c r="C2306" s="5" t="s">
        <v>19</v>
      </c>
      <c r="D2306">
        <v>570753</v>
      </c>
      <c r="E2306" t="s">
        <v>20</v>
      </c>
      <c r="F2306">
        <v>1003516388</v>
      </c>
      <c r="G2306" t="s">
        <v>272</v>
      </c>
      <c r="H2306">
        <v>100235019</v>
      </c>
      <c r="I2306">
        <v>202611</v>
      </c>
      <c r="J2306">
        <v>1003516388</v>
      </c>
      <c r="K2306" t="s">
        <v>23</v>
      </c>
      <c r="L2306" t="s">
        <v>227</v>
      </c>
      <c r="M2306" t="s">
        <v>24</v>
      </c>
      <c r="N2306" t="s">
        <v>25</v>
      </c>
      <c r="O2306" t="s">
        <v>26</v>
      </c>
      <c r="P2306" t="s">
        <v>27</v>
      </c>
      <c r="Q2306" t="s">
        <v>28</v>
      </c>
      <c r="R2306" t="s">
        <v>29</v>
      </c>
      <c r="S2306" t="s">
        <v>30</v>
      </c>
      <c r="T2306">
        <v>1013662799</v>
      </c>
      <c r="U2306" t="s">
        <v>3965</v>
      </c>
      <c r="V2306" t="s">
        <v>3934</v>
      </c>
      <c r="W2306" s="9">
        <f>IF(V2306="pregrado",31,
IF(V2306="posgrados",31,
IF(V2306="rEINTEGROS",7,
IF(V2306="BIT",90,
IF(V2306="OP GRADO - INGLÉS",17,"")))))</f>
        <v>31</v>
      </c>
      <c r="X2306" t="s">
        <v>4021</v>
      </c>
    </row>
    <row r="2307" spans="1:24" ht="15" x14ac:dyDescent="0.35">
      <c r="A2307" s="4">
        <v>45986.617094907408</v>
      </c>
      <c r="B2307">
        <v>20104813</v>
      </c>
      <c r="C2307" s="5" t="s">
        <v>19</v>
      </c>
      <c r="D2307">
        <v>570761</v>
      </c>
      <c r="E2307" t="s">
        <v>20</v>
      </c>
      <c r="F2307">
        <v>1002769831</v>
      </c>
      <c r="G2307" t="s">
        <v>528</v>
      </c>
      <c r="H2307">
        <v>100235025</v>
      </c>
      <c r="I2307">
        <v>202610</v>
      </c>
      <c r="J2307">
        <v>1002769831</v>
      </c>
      <c r="K2307" t="s">
        <v>23</v>
      </c>
      <c r="L2307" t="s">
        <v>40</v>
      </c>
      <c r="M2307" t="s">
        <v>24</v>
      </c>
      <c r="N2307" t="s">
        <v>35</v>
      </c>
      <c r="O2307" t="s">
        <v>26</v>
      </c>
      <c r="P2307" t="s">
        <v>27</v>
      </c>
      <c r="Q2307" t="s">
        <v>28</v>
      </c>
      <c r="R2307" t="s">
        <v>29</v>
      </c>
      <c r="S2307" t="s">
        <v>30</v>
      </c>
      <c r="T2307">
        <v>53061994</v>
      </c>
      <c r="U2307" t="s">
        <v>3941</v>
      </c>
      <c r="V2307" t="s">
        <v>3934</v>
      </c>
      <c r="W2307" s="9">
        <f>IF(V2307="pregrado",31,
IF(V2307="posgrados",31,
IF(V2307="rEINTEGROS",7,
IF(V2307="BIT",90,
IF(V2307="OP GRADO - INGLÉS",17,"")))))</f>
        <v>31</v>
      </c>
      <c r="X2307" t="s">
        <v>3950</v>
      </c>
    </row>
    <row r="2308" spans="1:24" ht="15" x14ac:dyDescent="0.35">
      <c r="A2308" s="4">
        <v>45982.38177083333</v>
      </c>
      <c r="B2308">
        <v>20104579</v>
      </c>
      <c r="C2308" s="5" t="s">
        <v>19</v>
      </c>
      <c r="D2308">
        <v>570762</v>
      </c>
      <c r="E2308" t="s">
        <v>20</v>
      </c>
      <c r="F2308">
        <v>1006552934</v>
      </c>
      <c r="G2308" t="s">
        <v>465</v>
      </c>
      <c r="H2308">
        <v>100235026</v>
      </c>
      <c r="I2308">
        <v>202631</v>
      </c>
      <c r="J2308">
        <v>1006552934</v>
      </c>
      <c r="K2308" t="s">
        <v>33</v>
      </c>
      <c r="L2308" t="s">
        <v>127</v>
      </c>
      <c r="M2308" t="s">
        <v>24</v>
      </c>
      <c r="N2308" t="s">
        <v>38</v>
      </c>
      <c r="O2308" t="s">
        <v>26</v>
      </c>
      <c r="P2308" t="s">
        <v>27</v>
      </c>
      <c r="Q2308" t="s">
        <v>28</v>
      </c>
      <c r="R2308" t="s">
        <v>29</v>
      </c>
      <c r="S2308" t="s">
        <v>30</v>
      </c>
      <c r="T2308">
        <v>1013102684</v>
      </c>
      <c r="U2308" t="s">
        <v>3939</v>
      </c>
      <c r="V2308" t="s">
        <v>3934</v>
      </c>
      <c r="W2308" s="9">
        <f>IF(V2308="pregrado",31,
IF(V2308="posgrados",31,
IF(V2308="rEINTEGROS",7,
IF(V2308="BIT",90,
IF(V2308="OP GRADO - INGLÉS",17,"")))))</f>
        <v>31</v>
      </c>
      <c r="X2308" t="s">
        <v>4050</v>
      </c>
    </row>
    <row r="2309" spans="1:24" ht="15" x14ac:dyDescent="0.35">
      <c r="A2309" s="4">
        <v>45995.786932870367</v>
      </c>
      <c r="B2309">
        <v>20105931</v>
      </c>
      <c r="C2309" s="6" t="s">
        <v>19</v>
      </c>
      <c r="D2309">
        <v>570763</v>
      </c>
      <c r="E2309" t="s">
        <v>20</v>
      </c>
      <c r="F2309">
        <v>1058842599</v>
      </c>
      <c r="G2309" t="s">
        <v>796</v>
      </c>
      <c r="H2309">
        <v>100235027</v>
      </c>
      <c r="I2309">
        <v>202611</v>
      </c>
      <c r="J2309">
        <v>1094912339</v>
      </c>
      <c r="K2309" t="s">
        <v>23</v>
      </c>
      <c r="L2309" t="s">
        <v>221</v>
      </c>
      <c r="M2309" t="s">
        <v>24</v>
      </c>
      <c r="N2309" t="s">
        <v>35</v>
      </c>
      <c r="O2309" t="s">
        <v>26</v>
      </c>
      <c r="P2309" t="s">
        <v>27</v>
      </c>
      <c r="Q2309" t="s">
        <v>28</v>
      </c>
      <c r="R2309" t="s">
        <v>29</v>
      </c>
      <c r="S2309" t="s">
        <v>30</v>
      </c>
      <c r="T2309">
        <v>53071696</v>
      </c>
      <c r="U2309" t="s">
        <v>3965</v>
      </c>
      <c r="V2309" t="s">
        <v>3934</v>
      </c>
      <c r="W2309" s="9">
        <f>IF(V2309="pregrado",31,
IF(V2309="posgrados",31,
IF(V2309="rEINTEGROS",7,
IF(V2309="BIT",90,
IF(V2309="OP GRADO - INGLÉS",17,"")))))</f>
        <v>31</v>
      </c>
      <c r="X2309" t="s">
        <v>4012</v>
      </c>
    </row>
    <row r="2310" spans="1:24" ht="15" x14ac:dyDescent="0.35">
      <c r="A2310" s="4">
        <v>45979.51394675926</v>
      </c>
      <c r="B2310">
        <v>20104296</v>
      </c>
      <c r="C2310" s="5" t="s">
        <v>19</v>
      </c>
      <c r="D2310">
        <v>570767</v>
      </c>
      <c r="E2310" t="s">
        <v>20</v>
      </c>
      <c r="F2310">
        <v>1233891068</v>
      </c>
      <c r="G2310" t="s">
        <v>398</v>
      </c>
      <c r="H2310">
        <v>100235030</v>
      </c>
      <c r="I2310">
        <v>202611</v>
      </c>
      <c r="J2310">
        <v>1233891068</v>
      </c>
      <c r="K2310" t="s">
        <v>23</v>
      </c>
      <c r="L2310" t="s">
        <v>227</v>
      </c>
      <c r="M2310" t="s">
        <v>24</v>
      </c>
      <c r="N2310" t="s">
        <v>35</v>
      </c>
      <c r="O2310" t="s">
        <v>26</v>
      </c>
      <c r="P2310" t="s">
        <v>27</v>
      </c>
      <c r="Q2310" t="s">
        <v>28</v>
      </c>
      <c r="R2310" t="s">
        <v>29</v>
      </c>
      <c r="S2310" t="s">
        <v>30</v>
      </c>
      <c r="T2310">
        <v>1032678391</v>
      </c>
      <c r="U2310" t="s">
        <v>3965</v>
      </c>
      <c r="V2310" t="s">
        <v>3934</v>
      </c>
      <c r="W2310" s="9">
        <f>IF(V2310="pregrado",31,
IF(V2310="posgrados",31,
IF(V2310="rEINTEGROS",7,
IF(V2310="BIT",90,
IF(V2310="OP GRADO - INGLÉS",17,"")))))</f>
        <v>31</v>
      </c>
      <c r="X2310" t="s">
        <v>4098</v>
      </c>
    </row>
    <row r="2311" spans="1:24" ht="15" x14ac:dyDescent="0.35">
      <c r="A2311" s="4">
        <v>45974.566157407404</v>
      </c>
      <c r="B2311">
        <v>20104069</v>
      </c>
      <c r="C2311" s="5" t="s">
        <v>19</v>
      </c>
      <c r="D2311">
        <v>570774</v>
      </c>
      <c r="E2311" t="s">
        <v>20</v>
      </c>
      <c r="F2311">
        <v>1005153789</v>
      </c>
      <c r="G2311" t="s">
        <v>339</v>
      </c>
      <c r="H2311">
        <v>100220430</v>
      </c>
      <c r="I2311">
        <v>202631</v>
      </c>
      <c r="J2311">
        <v>1005153789</v>
      </c>
      <c r="K2311" t="s">
        <v>33</v>
      </c>
      <c r="L2311" t="s">
        <v>90</v>
      </c>
      <c r="M2311" t="s">
        <v>24</v>
      </c>
      <c r="N2311" t="s">
        <v>25</v>
      </c>
      <c r="O2311" t="s">
        <v>26</v>
      </c>
      <c r="P2311" t="s">
        <v>27</v>
      </c>
      <c r="Q2311" t="s">
        <v>28</v>
      </c>
      <c r="R2311" t="s">
        <v>29</v>
      </c>
      <c r="S2311" t="s">
        <v>30</v>
      </c>
      <c r="T2311">
        <v>1030525993</v>
      </c>
      <c r="U2311" t="s">
        <v>3933</v>
      </c>
      <c r="V2311" t="s">
        <v>3934</v>
      </c>
      <c r="W2311" s="9">
        <f>IF(V2311="pregrado",31,
IF(V2311="posgrados",31,
IF(V2311="rEINTEGROS",7,
IF(V2311="BIT",90,
IF(V2311="OP GRADO - INGLÉS",17,"")))))</f>
        <v>31</v>
      </c>
      <c r="X2311" t="s">
        <v>3956</v>
      </c>
    </row>
    <row r="2312" spans="1:24" ht="15" x14ac:dyDescent="0.35">
      <c r="A2312" s="4">
        <v>45974.363842592589</v>
      </c>
      <c r="B2312">
        <v>20104027</v>
      </c>
      <c r="C2312" s="5" t="s">
        <v>19</v>
      </c>
      <c r="D2312">
        <v>570778</v>
      </c>
      <c r="E2312" t="s">
        <v>20</v>
      </c>
      <c r="F2312">
        <v>1032476736</v>
      </c>
      <c r="G2312" t="s">
        <v>330</v>
      </c>
      <c r="H2312">
        <v>100201119</v>
      </c>
      <c r="I2312">
        <v>202611</v>
      </c>
      <c r="J2312">
        <v>1048851233</v>
      </c>
      <c r="K2312" t="s">
        <v>23</v>
      </c>
      <c r="L2312" t="s">
        <v>227</v>
      </c>
      <c r="M2312" t="s">
        <v>24</v>
      </c>
      <c r="N2312" t="s">
        <v>35</v>
      </c>
      <c r="O2312" t="s">
        <v>26</v>
      </c>
      <c r="P2312" t="s">
        <v>27</v>
      </c>
      <c r="Q2312" t="s">
        <v>28</v>
      </c>
      <c r="R2312" t="s">
        <v>29</v>
      </c>
      <c r="S2312" t="s">
        <v>30</v>
      </c>
      <c r="T2312">
        <v>1013662799</v>
      </c>
      <c r="U2312" t="s">
        <v>3965</v>
      </c>
      <c r="V2312" t="s">
        <v>3934</v>
      </c>
      <c r="W2312" s="9">
        <f>IF(V2312="pregrado",31,
IF(V2312="posgrados",31,
IF(V2312="rEINTEGROS",7,
IF(V2312="BIT",90,
IF(V2312="OP GRADO - INGLÉS",17,"")))))</f>
        <v>31</v>
      </c>
      <c r="X2312" t="s">
        <v>4021</v>
      </c>
    </row>
    <row r="2313" spans="1:24" ht="15" x14ac:dyDescent="0.35">
      <c r="A2313" s="4">
        <v>45976.435497685183</v>
      </c>
      <c r="B2313">
        <v>20104231</v>
      </c>
      <c r="C2313" s="5" t="s">
        <v>19</v>
      </c>
      <c r="D2313">
        <v>570780</v>
      </c>
      <c r="E2313" t="s">
        <v>20</v>
      </c>
      <c r="F2313">
        <v>39285858</v>
      </c>
      <c r="G2313" t="s">
        <v>383</v>
      </c>
      <c r="H2313">
        <v>100224648</v>
      </c>
      <c r="I2313">
        <v>202631</v>
      </c>
      <c r="J2313">
        <v>39285858</v>
      </c>
      <c r="K2313" t="s">
        <v>33</v>
      </c>
      <c r="L2313" t="s">
        <v>119</v>
      </c>
      <c r="M2313" t="s">
        <v>24</v>
      </c>
      <c r="N2313" t="s">
        <v>35</v>
      </c>
      <c r="O2313" t="s">
        <v>26</v>
      </c>
      <c r="P2313" t="s">
        <v>27</v>
      </c>
      <c r="Q2313" t="s">
        <v>28</v>
      </c>
      <c r="R2313" t="s">
        <v>29</v>
      </c>
      <c r="S2313" t="s">
        <v>30</v>
      </c>
      <c r="T2313">
        <v>52446712</v>
      </c>
      <c r="U2313" t="s">
        <v>3963</v>
      </c>
      <c r="V2313" t="s">
        <v>3934</v>
      </c>
      <c r="W2313" s="9">
        <f>IF(V2313="pregrado",31,
IF(V2313="posgrados",31,
IF(V2313="rEINTEGROS",7,
IF(V2313="BIT",90,
IF(V2313="OP GRADO - INGLÉS",17,"")))))</f>
        <v>31</v>
      </c>
      <c r="X2313" t="s">
        <v>4041</v>
      </c>
    </row>
    <row r="2314" spans="1:24" ht="15" x14ac:dyDescent="0.35">
      <c r="A2314" s="4">
        <v>45988.348437499997</v>
      </c>
      <c r="B2314">
        <v>20105026</v>
      </c>
      <c r="C2314" s="6" t="s">
        <v>19</v>
      </c>
      <c r="D2314">
        <v>570781</v>
      </c>
      <c r="E2314" t="s">
        <v>20</v>
      </c>
      <c r="F2314">
        <v>1014480670</v>
      </c>
      <c r="G2314" t="s">
        <v>590</v>
      </c>
      <c r="H2314">
        <v>100235049</v>
      </c>
      <c r="I2314">
        <v>202610</v>
      </c>
      <c r="J2314">
        <v>1014480670</v>
      </c>
      <c r="K2314" t="s">
        <v>23</v>
      </c>
      <c r="L2314" t="s">
        <v>40</v>
      </c>
      <c r="M2314" t="s">
        <v>24</v>
      </c>
      <c r="N2314" t="s">
        <v>25</v>
      </c>
      <c r="O2314" t="s">
        <v>26</v>
      </c>
      <c r="P2314" t="s">
        <v>27</v>
      </c>
      <c r="Q2314" t="s">
        <v>28</v>
      </c>
      <c r="R2314" t="s">
        <v>29</v>
      </c>
      <c r="S2314" t="s">
        <v>30</v>
      </c>
      <c r="T2314">
        <v>1118531834</v>
      </c>
      <c r="U2314" t="s">
        <v>3941</v>
      </c>
      <c r="V2314" t="s">
        <v>3934</v>
      </c>
      <c r="W2314" s="9">
        <f>IF(V2314="pregrado",31,
IF(V2314="posgrados",31,
IF(V2314="rEINTEGROS",7,
IF(V2314="BIT",90,
IF(V2314="OP GRADO - INGLÉS",17,"")))))</f>
        <v>31</v>
      </c>
      <c r="X2314" t="s">
        <v>3996</v>
      </c>
    </row>
    <row r="2315" spans="1:24" ht="15" x14ac:dyDescent="0.35">
      <c r="A2315" s="4">
        <v>45971.519328703704</v>
      </c>
      <c r="B2315">
        <v>20103786</v>
      </c>
      <c r="C2315" s="5" t="s">
        <v>19</v>
      </c>
      <c r="D2315">
        <v>570785</v>
      </c>
      <c r="E2315" t="s">
        <v>20</v>
      </c>
      <c r="F2315">
        <v>30390817</v>
      </c>
      <c r="G2315" t="s">
        <v>266</v>
      </c>
      <c r="H2315">
        <v>100235055</v>
      </c>
      <c r="I2315">
        <v>202631</v>
      </c>
      <c r="J2315">
        <v>30390817</v>
      </c>
      <c r="K2315" t="s">
        <v>23</v>
      </c>
      <c r="L2315" t="s">
        <v>240</v>
      </c>
      <c r="M2315" t="s">
        <v>24</v>
      </c>
      <c r="N2315" t="s">
        <v>35</v>
      </c>
      <c r="O2315" t="s">
        <v>26</v>
      </c>
      <c r="P2315" t="s">
        <v>27</v>
      </c>
      <c r="Q2315" t="s">
        <v>28</v>
      </c>
      <c r="R2315" t="s">
        <v>29</v>
      </c>
      <c r="S2315" t="s">
        <v>30</v>
      </c>
      <c r="T2315">
        <v>1001277801</v>
      </c>
      <c r="U2315" t="s">
        <v>3965</v>
      </c>
      <c r="V2315" t="s">
        <v>3934</v>
      </c>
      <c r="W2315" s="9">
        <f>IF(V2315="pregrado",31,
IF(V2315="posgrados",31,
IF(V2315="rEINTEGROS",7,
IF(V2315="BIT",90,
IF(V2315="OP GRADO - INGLÉS",17,"")))))</f>
        <v>31</v>
      </c>
      <c r="X2315" t="s">
        <v>4002</v>
      </c>
    </row>
    <row r="2316" spans="1:24" ht="15" x14ac:dyDescent="0.35">
      <c r="A2316" s="4">
        <v>45981.526307870372</v>
      </c>
      <c r="B2316">
        <v>20104504</v>
      </c>
      <c r="C2316" s="5" t="s">
        <v>19</v>
      </c>
      <c r="D2316">
        <v>570792</v>
      </c>
      <c r="E2316" t="s">
        <v>20</v>
      </c>
      <c r="F2316">
        <v>1047402242</v>
      </c>
      <c r="G2316" t="s">
        <v>450</v>
      </c>
      <c r="H2316">
        <v>100235061</v>
      </c>
      <c r="I2316">
        <v>202631</v>
      </c>
      <c r="J2316">
        <v>1047402242</v>
      </c>
      <c r="K2316" t="s">
        <v>33</v>
      </c>
      <c r="L2316" t="s">
        <v>42</v>
      </c>
      <c r="M2316" t="s">
        <v>24</v>
      </c>
      <c r="N2316" t="s">
        <v>25</v>
      </c>
      <c r="O2316" t="s">
        <v>26</v>
      </c>
      <c r="P2316" t="s">
        <v>27</v>
      </c>
      <c r="Q2316" t="s">
        <v>28</v>
      </c>
      <c r="R2316" t="s">
        <v>29</v>
      </c>
      <c r="S2316" t="s">
        <v>30</v>
      </c>
      <c r="T2316">
        <v>1000120140</v>
      </c>
      <c r="U2316" t="s">
        <v>3936</v>
      </c>
      <c r="V2316" t="s">
        <v>3937</v>
      </c>
      <c r="W2316" s="9">
        <f>IF(V2316="pregrado",31,
IF(V2316="posgrados",31,
IF(V2316="rEINTEGROS",7,
IF(V2316="BIT",90,
IF(V2316="OP GRADO - INGLÉS",17,"")))))</f>
        <v>31</v>
      </c>
      <c r="X2316" t="s">
        <v>3935</v>
      </c>
    </row>
    <row r="2317" spans="1:24" ht="15" x14ac:dyDescent="0.35">
      <c r="A2317" s="4">
        <v>45988.865972222222</v>
      </c>
      <c r="B2317">
        <v>20105193</v>
      </c>
      <c r="C2317" s="6" t="s">
        <v>19</v>
      </c>
      <c r="D2317">
        <v>570794</v>
      </c>
      <c r="E2317" t="s">
        <v>20</v>
      </c>
      <c r="F2317">
        <v>65788998</v>
      </c>
      <c r="G2317" t="s">
        <v>635</v>
      </c>
      <c r="H2317">
        <v>100235062</v>
      </c>
      <c r="I2317">
        <v>202610</v>
      </c>
      <c r="J2317">
        <v>1033726323</v>
      </c>
      <c r="K2317" t="s">
        <v>23</v>
      </c>
      <c r="L2317" t="s">
        <v>40</v>
      </c>
      <c r="M2317" t="s">
        <v>24</v>
      </c>
      <c r="N2317" t="s">
        <v>35</v>
      </c>
      <c r="O2317" t="s">
        <v>26</v>
      </c>
      <c r="P2317" t="s">
        <v>27</v>
      </c>
      <c r="Q2317" t="s">
        <v>28</v>
      </c>
      <c r="R2317" t="s">
        <v>29</v>
      </c>
      <c r="S2317" t="s">
        <v>30</v>
      </c>
      <c r="T2317">
        <v>1023000938</v>
      </c>
      <c r="U2317" t="s">
        <v>3941</v>
      </c>
      <c r="V2317" t="s">
        <v>3934</v>
      </c>
      <c r="W2317" s="9">
        <f>IF(V2317="pregrado",31,
IF(V2317="posgrados",31,
IF(V2317="rEINTEGROS",7,
IF(V2317="BIT",90,
IF(V2317="OP GRADO - INGLÉS",17,"")))))</f>
        <v>31</v>
      </c>
      <c r="X2317" t="s">
        <v>3989</v>
      </c>
    </row>
    <row r="2318" spans="1:24" ht="15" x14ac:dyDescent="0.35">
      <c r="A2318" s="4">
        <v>45972.716435185182</v>
      </c>
      <c r="B2318">
        <v>20103923</v>
      </c>
      <c r="C2318" s="5" t="s">
        <v>19</v>
      </c>
      <c r="D2318">
        <v>570796</v>
      </c>
      <c r="E2318" t="s">
        <v>20</v>
      </c>
      <c r="F2318">
        <v>1005275407</v>
      </c>
      <c r="G2318" t="s">
        <v>302</v>
      </c>
      <c r="H2318">
        <v>100235064</v>
      </c>
      <c r="I2318">
        <v>202631</v>
      </c>
      <c r="J2318">
        <v>1005275407</v>
      </c>
      <c r="K2318" t="s">
        <v>23</v>
      </c>
      <c r="L2318" t="s">
        <v>207</v>
      </c>
      <c r="M2318" t="s">
        <v>24</v>
      </c>
      <c r="N2318" t="s">
        <v>35</v>
      </c>
      <c r="O2318" t="s">
        <v>26</v>
      </c>
      <c r="P2318" t="s">
        <v>27</v>
      </c>
      <c r="Q2318" t="s">
        <v>28</v>
      </c>
      <c r="R2318" t="s">
        <v>29</v>
      </c>
      <c r="S2318" t="s">
        <v>30</v>
      </c>
      <c r="T2318">
        <v>1002500634</v>
      </c>
      <c r="U2318" t="s">
        <v>3986</v>
      </c>
      <c r="V2318" t="s">
        <v>3934</v>
      </c>
      <c r="W2318" s="9">
        <f>IF(V2318="pregrado",31,
IF(V2318="posgrados",31,
IF(V2318="rEINTEGROS",7,
IF(V2318="BIT",90,
IF(V2318="OP GRADO - INGLÉS",17,"")))))</f>
        <v>31</v>
      </c>
      <c r="X2318" t="s">
        <v>4026</v>
      </c>
    </row>
    <row r="2319" spans="1:24" ht="15" x14ac:dyDescent="0.35">
      <c r="A2319" s="4">
        <v>45989.672164351854</v>
      </c>
      <c r="B2319">
        <v>20105289</v>
      </c>
      <c r="C2319" s="6" t="s">
        <v>19</v>
      </c>
      <c r="D2319">
        <v>570798</v>
      </c>
      <c r="E2319" t="s">
        <v>20</v>
      </c>
      <c r="F2319">
        <v>1036621794</v>
      </c>
      <c r="G2319" t="s">
        <v>667</v>
      </c>
      <c r="H2319">
        <v>100235066</v>
      </c>
      <c r="I2319">
        <v>202611</v>
      </c>
      <c r="J2319">
        <v>1036621794</v>
      </c>
      <c r="K2319" t="s">
        <v>23</v>
      </c>
      <c r="L2319" t="s">
        <v>204</v>
      </c>
      <c r="M2319" t="s">
        <v>24</v>
      </c>
      <c r="N2319" t="s">
        <v>35</v>
      </c>
      <c r="O2319" t="s">
        <v>26</v>
      </c>
      <c r="P2319" t="s">
        <v>27</v>
      </c>
      <c r="Q2319" t="s">
        <v>28</v>
      </c>
      <c r="R2319" t="s">
        <v>29</v>
      </c>
      <c r="S2319" t="s">
        <v>30</v>
      </c>
      <c r="T2319">
        <v>53178431</v>
      </c>
      <c r="U2319" t="s">
        <v>3941</v>
      </c>
      <c r="V2319" t="s">
        <v>3934</v>
      </c>
      <c r="W2319" s="9">
        <f>IF(V2319="pregrado",31,
IF(V2319="posgrados",31,
IF(V2319="rEINTEGROS",7,
IF(V2319="BIT",90,
IF(V2319="OP GRADO - INGLÉS",17,"")))))</f>
        <v>31</v>
      </c>
      <c r="X2319" t="s">
        <v>3949</v>
      </c>
    </row>
    <row r="2320" spans="1:24" ht="15" x14ac:dyDescent="0.35">
      <c r="A2320" s="4">
        <v>46065.701122685183</v>
      </c>
      <c r="B2320">
        <v>20122951</v>
      </c>
      <c r="C2320" s="6" t="s">
        <v>19</v>
      </c>
      <c r="D2320">
        <v>570799</v>
      </c>
      <c r="E2320" t="s">
        <v>20</v>
      </c>
      <c r="F2320">
        <v>41956138</v>
      </c>
      <c r="G2320" t="s">
        <v>3116</v>
      </c>
      <c r="H2320">
        <v>100233854</v>
      </c>
      <c r="I2320">
        <v>202631</v>
      </c>
      <c r="J2320">
        <v>41956138</v>
      </c>
      <c r="K2320" t="s">
        <v>33</v>
      </c>
      <c r="L2320" t="s">
        <v>207</v>
      </c>
      <c r="M2320" t="s">
        <v>24</v>
      </c>
      <c r="N2320" t="s">
        <v>25</v>
      </c>
      <c r="O2320" t="s">
        <v>26</v>
      </c>
      <c r="P2320" t="s">
        <v>27</v>
      </c>
      <c r="Q2320" t="s">
        <v>28</v>
      </c>
      <c r="R2320" t="s">
        <v>29</v>
      </c>
      <c r="S2320" t="s">
        <v>30</v>
      </c>
      <c r="T2320">
        <v>1023000938</v>
      </c>
      <c r="U2320" t="s">
        <v>3941</v>
      </c>
      <c r="V2320" t="s">
        <v>3934</v>
      </c>
      <c r="W2320" s="9">
        <f>IF(V2320="pregrado",31,
IF(V2320="posgrados",31,
IF(V2320="rEINTEGROS",7,
IF(V2320="BIT",90,
IF(V2320="OP GRADO - INGLÉS",17,"")))))</f>
        <v>31</v>
      </c>
      <c r="X2320" t="s">
        <v>3989</v>
      </c>
    </row>
    <row r="2321" spans="1:24" ht="15" x14ac:dyDescent="0.35">
      <c r="A2321" s="4">
        <v>45989.826921296299</v>
      </c>
      <c r="B2321">
        <v>20105326</v>
      </c>
      <c r="C2321" s="6" t="s">
        <v>19</v>
      </c>
      <c r="D2321">
        <v>570801</v>
      </c>
      <c r="E2321" t="s">
        <v>20</v>
      </c>
      <c r="F2321">
        <v>52363934</v>
      </c>
      <c r="G2321" t="s">
        <v>678</v>
      </c>
      <c r="H2321">
        <v>100234381</v>
      </c>
      <c r="I2321">
        <v>202631</v>
      </c>
      <c r="J2321">
        <v>1029145267</v>
      </c>
      <c r="K2321" t="s">
        <v>33</v>
      </c>
      <c r="L2321" t="s">
        <v>90</v>
      </c>
      <c r="M2321" t="s">
        <v>24</v>
      </c>
      <c r="N2321" t="s">
        <v>25</v>
      </c>
      <c r="O2321" t="s">
        <v>26</v>
      </c>
      <c r="P2321" t="s">
        <v>27</v>
      </c>
      <c r="Q2321" t="s">
        <v>28</v>
      </c>
      <c r="R2321" t="s">
        <v>29</v>
      </c>
      <c r="S2321" t="s">
        <v>30</v>
      </c>
      <c r="T2321">
        <v>1025460711</v>
      </c>
      <c r="U2321" t="s">
        <v>3933</v>
      </c>
      <c r="V2321" t="s">
        <v>3934</v>
      </c>
      <c r="W2321" s="9">
        <f>IF(V2321="pregrado",31,
IF(V2321="posgrados",31,
IF(V2321="rEINTEGROS",7,
IF(V2321="BIT",90,
IF(V2321="OP GRADO - INGLÉS",17,"")))))</f>
        <v>31</v>
      </c>
      <c r="X2321" t="s">
        <v>4062</v>
      </c>
    </row>
    <row r="2322" spans="1:24" ht="15" x14ac:dyDescent="0.35">
      <c r="A2322" s="4">
        <v>45974.563634259262</v>
      </c>
      <c r="B2322">
        <v>20104068</v>
      </c>
      <c r="C2322" s="5" t="s">
        <v>19</v>
      </c>
      <c r="D2322">
        <v>570806</v>
      </c>
      <c r="E2322" t="s">
        <v>20</v>
      </c>
      <c r="F2322">
        <v>1023973687</v>
      </c>
      <c r="G2322" t="s">
        <v>338</v>
      </c>
      <c r="H2322">
        <v>100234599</v>
      </c>
      <c r="I2322">
        <v>202610</v>
      </c>
      <c r="J2322">
        <v>1023973687</v>
      </c>
      <c r="K2322" t="s">
        <v>33</v>
      </c>
      <c r="L2322" t="s">
        <v>37</v>
      </c>
      <c r="M2322" t="s">
        <v>24</v>
      </c>
      <c r="N2322" t="s">
        <v>35</v>
      </c>
      <c r="O2322" t="s">
        <v>26</v>
      </c>
      <c r="P2322" t="s">
        <v>27</v>
      </c>
      <c r="Q2322" t="s">
        <v>28</v>
      </c>
      <c r="R2322" t="s">
        <v>29</v>
      </c>
      <c r="S2322" t="s">
        <v>30</v>
      </c>
      <c r="T2322">
        <v>1032394283</v>
      </c>
      <c r="U2322" t="s">
        <v>3941</v>
      </c>
      <c r="V2322" t="s">
        <v>3934</v>
      </c>
      <c r="W2322" s="9">
        <f>IF(V2322="pregrado",31,
IF(V2322="posgrados",31,
IF(V2322="rEINTEGROS",7,
IF(V2322="BIT",90,
IF(V2322="OP GRADO - INGLÉS",17,"")))))</f>
        <v>31</v>
      </c>
      <c r="X2322" t="s">
        <v>4034</v>
      </c>
    </row>
    <row r="2323" spans="1:24" ht="15" x14ac:dyDescent="0.35">
      <c r="A2323" s="4">
        <v>45971.635115740741</v>
      </c>
      <c r="B2323">
        <v>20103794</v>
      </c>
      <c r="C2323" s="5" t="s">
        <v>19</v>
      </c>
      <c r="D2323">
        <v>570812</v>
      </c>
      <c r="E2323" t="s">
        <v>20</v>
      </c>
      <c r="F2323">
        <v>1192806396</v>
      </c>
      <c r="G2323" t="s">
        <v>273</v>
      </c>
      <c r="H2323">
        <v>100235074</v>
      </c>
      <c r="I2323">
        <v>202611</v>
      </c>
      <c r="J2323">
        <v>1192806396</v>
      </c>
      <c r="K2323" t="s">
        <v>23</v>
      </c>
      <c r="L2323" t="s">
        <v>221</v>
      </c>
      <c r="M2323" t="s">
        <v>24</v>
      </c>
      <c r="N2323" t="s">
        <v>35</v>
      </c>
      <c r="O2323" t="s">
        <v>26</v>
      </c>
      <c r="P2323" t="s">
        <v>27</v>
      </c>
      <c r="Q2323" t="s">
        <v>28</v>
      </c>
      <c r="R2323" t="s">
        <v>29</v>
      </c>
      <c r="S2323" t="s">
        <v>30</v>
      </c>
      <c r="T2323">
        <v>1013662799</v>
      </c>
      <c r="U2323" t="s">
        <v>3965</v>
      </c>
      <c r="V2323" t="s">
        <v>3934</v>
      </c>
      <c r="W2323" s="9">
        <f>IF(V2323="pregrado",31,
IF(V2323="posgrados",31,
IF(V2323="rEINTEGROS",7,
IF(V2323="BIT",90,
IF(V2323="OP GRADO - INGLÉS",17,"")))))</f>
        <v>31</v>
      </c>
      <c r="X2323" t="s">
        <v>4021</v>
      </c>
    </row>
    <row r="2324" spans="1:24" ht="15" x14ac:dyDescent="0.35">
      <c r="A2324" s="4">
        <v>45971.727708333332</v>
      </c>
      <c r="B2324">
        <v>20103819</v>
      </c>
      <c r="C2324" s="5" t="s">
        <v>19</v>
      </c>
      <c r="D2324">
        <v>570815</v>
      </c>
      <c r="E2324" t="s">
        <v>20</v>
      </c>
      <c r="F2324">
        <v>1012334713</v>
      </c>
      <c r="G2324" t="s">
        <v>280</v>
      </c>
      <c r="H2324">
        <v>100234192</v>
      </c>
      <c r="I2324">
        <v>202610</v>
      </c>
      <c r="J2324">
        <v>1012334713</v>
      </c>
      <c r="K2324" t="s">
        <v>23</v>
      </c>
      <c r="L2324" t="s">
        <v>79</v>
      </c>
      <c r="M2324" t="s">
        <v>24</v>
      </c>
      <c r="N2324" t="s">
        <v>35</v>
      </c>
      <c r="O2324" t="s">
        <v>26</v>
      </c>
      <c r="P2324" t="s">
        <v>27</v>
      </c>
      <c r="Q2324" t="s">
        <v>28</v>
      </c>
      <c r="R2324" t="s">
        <v>29</v>
      </c>
      <c r="S2324" t="s">
        <v>30</v>
      </c>
      <c r="T2324">
        <v>1073709943</v>
      </c>
      <c r="U2324" t="s">
        <v>3963</v>
      </c>
      <c r="V2324" t="s">
        <v>3934</v>
      </c>
      <c r="W2324" s="9">
        <f>IF(V2324="pregrado",31,
IF(V2324="posgrados",31,
IF(V2324="rEINTEGROS",7,
IF(V2324="BIT",90,
IF(V2324="OP GRADO - INGLÉS",17,"")))))</f>
        <v>31</v>
      </c>
      <c r="X2324" t="s">
        <v>4022</v>
      </c>
    </row>
    <row r="2325" spans="1:24" ht="15" x14ac:dyDescent="0.35">
      <c r="A2325" s="4">
        <v>45989.54923611111</v>
      </c>
      <c r="B2325">
        <v>20105264</v>
      </c>
      <c r="C2325" s="6" t="s">
        <v>19</v>
      </c>
      <c r="D2325">
        <v>570817</v>
      </c>
      <c r="E2325" t="s">
        <v>20</v>
      </c>
      <c r="F2325">
        <v>52762940</v>
      </c>
      <c r="G2325" t="s">
        <v>658</v>
      </c>
      <c r="H2325">
        <v>100235083</v>
      </c>
      <c r="I2325">
        <v>202611</v>
      </c>
      <c r="J2325">
        <v>1012377062</v>
      </c>
      <c r="K2325" t="s">
        <v>23</v>
      </c>
      <c r="L2325" t="s">
        <v>227</v>
      </c>
      <c r="M2325" t="s">
        <v>24</v>
      </c>
      <c r="N2325" t="s">
        <v>35</v>
      </c>
      <c r="O2325" t="s">
        <v>26</v>
      </c>
      <c r="P2325" t="s">
        <v>27</v>
      </c>
      <c r="Q2325" t="s">
        <v>28</v>
      </c>
      <c r="R2325" t="s">
        <v>29</v>
      </c>
      <c r="S2325" t="s">
        <v>30</v>
      </c>
      <c r="T2325">
        <v>1007709034</v>
      </c>
      <c r="U2325" t="s">
        <v>3965</v>
      </c>
      <c r="V2325" t="s">
        <v>3934</v>
      </c>
      <c r="W2325" s="9">
        <f>IF(V2325="pregrado",31,
IF(V2325="posgrados",31,
IF(V2325="rEINTEGROS",7,
IF(V2325="BIT",90,
IF(V2325="OP GRADO - INGLÉS",17,"")))))</f>
        <v>31</v>
      </c>
      <c r="X2325" t="s">
        <v>3964</v>
      </c>
    </row>
    <row r="2326" spans="1:24" ht="15" x14ac:dyDescent="0.35">
      <c r="A2326" s="4">
        <v>45973.390567129631</v>
      </c>
      <c r="B2326">
        <v>20103952</v>
      </c>
      <c r="C2326" s="5" t="s">
        <v>19</v>
      </c>
      <c r="D2326">
        <v>570818</v>
      </c>
      <c r="E2326" t="s">
        <v>20</v>
      </c>
      <c r="F2326">
        <v>1049349824</v>
      </c>
      <c r="G2326" t="s">
        <v>309</v>
      </c>
      <c r="H2326">
        <v>100235085</v>
      </c>
      <c r="I2326">
        <v>202631</v>
      </c>
      <c r="J2326">
        <v>1049349824</v>
      </c>
      <c r="K2326" t="s">
        <v>33</v>
      </c>
      <c r="L2326" t="s">
        <v>90</v>
      </c>
      <c r="M2326" t="s">
        <v>24</v>
      </c>
      <c r="N2326" t="s">
        <v>25</v>
      </c>
      <c r="O2326" t="s">
        <v>26</v>
      </c>
      <c r="P2326" t="s">
        <v>27</v>
      </c>
      <c r="Q2326" t="s">
        <v>28</v>
      </c>
      <c r="R2326" t="s">
        <v>29</v>
      </c>
      <c r="S2326" t="s">
        <v>30</v>
      </c>
      <c r="T2326">
        <v>10306009131</v>
      </c>
      <c r="U2326" t="s">
        <v>3933</v>
      </c>
      <c r="V2326" t="s">
        <v>3934</v>
      </c>
      <c r="W2326" s="9">
        <f>IF(V2326="pregrado",31,
IF(V2326="posgrados",31,
IF(V2326="rEINTEGROS",7,
IF(V2326="BIT",90,
IF(V2326="OP GRADO - INGLÉS",17,"")))))</f>
        <v>31</v>
      </c>
      <c r="X2326" t="s">
        <v>3978</v>
      </c>
    </row>
    <row r="2327" spans="1:24" ht="15" x14ac:dyDescent="0.35">
      <c r="A2327" s="4">
        <v>45972.625625000001</v>
      </c>
      <c r="B2327">
        <v>20103902</v>
      </c>
      <c r="C2327" s="5" t="s">
        <v>19</v>
      </c>
      <c r="D2327">
        <v>570823</v>
      </c>
      <c r="E2327" t="s">
        <v>20</v>
      </c>
      <c r="F2327">
        <v>1058324344</v>
      </c>
      <c r="G2327" t="s">
        <v>295</v>
      </c>
      <c r="H2327">
        <v>100235089</v>
      </c>
      <c r="I2327">
        <v>202631</v>
      </c>
      <c r="J2327">
        <v>1058324344</v>
      </c>
      <c r="K2327" t="s">
        <v>33</v>
      </c>
      <c r="L2327" t="s">
        <v>127</v>
      </c>
      <c r="M2327" t="s">
        <v>24</v>
      </c>
      <c r="N2327" t="s">
        <v>38</v>
      </c>
      <c r="O2327" t="s">
        <v>26</v>
      </c>
      <c r="P2327" t="s">
        <v>27</v>
      </c>
      <c r="Q2327" t="s">
        <v>28</v>
      </c>
      <c r="R2327" t="s">
        <v>29</v>
      </c>
      <c r="S2327" t="s">
        <v>30</v>
      </c>
      <c r="T2327">
        <v>1070973852</v>
      </c>
      <c r="U2327" t="s">
        <v>3936</v>
      </c>
      <c r="V2327" t="s">
        <v>3937</v>
      </c>
      <c r="W2327" s="9">
        <f>IF(V2327="pregrado",31,
IF(V2327="posgrados",31,
IF(V2327="rEINTEGROS",7,
IF(V2327="BIT",90,
IF(V2327="OP GRADO - INGLÉS",17,"")))))</f>
        <v>31</v>
      </c>
      <c r="X2327" t="s">
        <v>3957</v>
      </c>
    </row>
    <row r="2328" spans="1:24" ht="15" x14ac:dyDescent="0.35">
      <c r="A2328" s="4">
        <v>45973.381122685183</v>
      </c>
      <c r="B2328">
        <v>20103950</v>
      </c>
      <c r="C2328" s="5" t="s">
        <v>19</v>
      </c>
      <c r="D2328">
        <v>570828</v>
      </c>
      <c r="E2328" t="s">
        <v>20</v>
      </c>
      <c r="F2328">
        <v>52701417</v>
      </c>
      <c r="G2328" t="s">
        <v>307</v>
      </c>
      <c r="H2328">
        <v>100214690</v>
      </c>
      <c r="I2328">
        <v>202610</v>
      </c>
      <c r="J2328">
        <v>1013006387</v>
      </c>
      <c r="K2328" t="s">
        <v>23</v>
      </c>
      <c r="L2328" t="s">
        <v>40</v>
      </c>
      <c r="M2328" t="s">
        <v>24</v>
      </c>
      <c r="N2328" t="s">
        <v>35</v>
      </c>
      <c r="O2328" t="s">
        <v>26</v>
      </c>
      <c r="P2328" t="s">
        <v>27</v>
      </c>
      <c r="Q2328" t="s">
        <v>28</v>
      </c>
      <c r="R2328" t="s">
        <v>29</v>
      </c>
      <c r="S2328" t="s">
        <v>30</v>
      </c>
      <c r="T2328">
        <v>1016095309</v>
      </c>
      <c r="U2328" t="s">
        <v>3986</v>
      </c>
      <c r="V2328" t="s">
        <v>3934</v>
      </c>
      <c r="W2328" s="9">
        <f>IF(V2328="pregrado",31,
IF(V2328="posgrados",31,
IF(V2328="rEINTEGROS",7,
IF(V2328="BIT",90,
IF(V2328="OP GRADO - INGLÉS",17,"")))))</f>
        <v>31</v>
      </c>
      <c r="X2328" t="s">
        <v>3985</v>
      </c>
    </row>
    <row r="2329" spans="1:24" ht="15" x14ac:dyDescent="0.35">
      <c r="A2329" s="4">
        <v>45979.424745370372</v>
      </c>
      <c r="B2329">
        <v>20104278</v>
      </c>
      <c r="C2329" s="5" t="s">
        <v>19</v>
      </c>
      <c r="D2329">
        <v>570835</v>
      </c>
      <c r="E2329" t="s">
        <v>20</v>
      </c>
      <c r="F2329">
        <v>1038646993</v>
      </c>
      <c r="G2329" t="s">
        <v>393</v>
      </c>
      <c r="H2329">
        <v>100235106</v>
      </c>
      <c r="I2329">
        <v>202611</v>
      </c>
      <c r="J2329">
        <v>1038646993</v>
      </c>
      <c r="K2329" t="s">
        <v>23</v>
      </c>
      <c r="L2329" t="s">
        <v>227</v>
      </c>
      <c r="M2329" t="s">
        <v>24</v>
      </c>
      <c r="N2329" t="s">
        <v>35</v>
      </c>
      <c r="O2329" t="s">
        <v>26</v>
      </c>
      <c r="P2329" t="s">
        <v>27</v>
      </c>
      <c r="Q2329" t="s">
        <v>28</v>
      </c>
      <c r="R2329" t="s">
        <v>29</v>
      </c>
      <c r="S2329" t="s">
        <v>30</v>
      </c>
      <c r="T2329">
        <v>53071696</v>
      </c>
      <c r="U2329" t="s">
        <v>3965</v>
      </c>
      <c r="V2329" t="s">
        <v>3934</v>
      </c>
      <c r="W2329" s="9">
        <f>IF(V2329="pregrado",31,
IF(V2329="posgrados",31,
IF(V2329="rEINTEGROS",7,
IF(V2329="BIT",90,
IF(V2329="OP GRADO - INGLÉS",17,"")))))</f>
        <v>31</v>
      </c>
      <c r="X2329" t="s">
        <v>4012</v>
      </c>
    </row>
    <row r="2330" spans="1:24" ht="15" x14ac:dyDescent="0.35">
      <c r="A2330" s="4">
        <v>45972.430659722224</v>
      </c>
      <c r="B2330">
        <v>20103853</v>
      </c>
      <c r="C2330" s="5" t="s">
        <v>19</v>
      </c>
      <c r="D2330">
        <v>570838</v>
      </c>
      <c r="E2330" t="s">
        <v>20</v>
      </c>
      <c r="F2330">
        <v>1016105840</v>
      </c>
      <c r="G2330" t="s">
        <v>284</v>
      </c>
      <c r="H2330">
        <v>100235108</v>
      </c>
      <c r="I2330">
        <v>202631</v>
      </c>
      <c r="J2330">
        <v>1016105840</v>
      </c>
      <c r="K2330" t="s">
        <v>33</v>
      </c>
      <c r="L2330" t="s">
        <v>90</v>
      </c>
      <c r="M2330" t="s">
        <v>24</v>
      </c>
      <c r="N2330" t="s">
        <v>35</v>
      </c>
      <c r="O2330" t="s">
        <v>26</v>
      </c>
      <c r="P2330" t="s">
        <v>27</v>
      </c>
      <c r="Q2330" t="s">
        <v>28</v>
      </c>
      <c r="R2330" t="s">
        <v>29</v>
      </c>
      <c r="S2330" t="s">
        <v>30</v>
      </c>
      <c r="T2330">
        <v>1014273794</v>
      </c>
      <c r="U2330" t="s">
        <v>3939</v>
      </c>
      <c r="V2330" t="s">
        <v>3934</v>
      </c>
      <c r="W2330" s="9">
        <f>IF(V2330="pregrado",31,
IF(V2330="posgrados",31,
IF(V2330="rEINTEGROS",7,
IF(V2330="BIT",90,
IF(V2330="OP GRADO - INGLÉS",17,"")))))</f>
        <v>31</v>
      </c>
      <c r="X2330" t="s">
        <v>4004</v>
      </c>
    </row>
    <row r="2331" spans="1:24" ht="15" x14ac:dyDescent="0.35">
      <c r="A2331" s="4">
        <v>45971.679548611108</v>
      </c>
      <c r="B2331">
        <v>20103805</v>
      </c>
      <c r="C2331" s="5" t="s">
        <v>19</v>
      </c>
      <c r="D2331">
        <v>570843</v>
      </c>
      <c r="E2331" t="s">
        <v>20</v>
      </c>
      <c r="F2331">
        <v>1093795697</v>
      </c>
      <c r="G2331" t="s">
        <v>275</v>
      </c>
      <c r="H2331">
        <v>100234493</v>
      </c>
      <c r="I2331">
        <v>202631</v>
      </c>
      <c r="J2331">
        <v>1093795697</v>
      </c>
      <c r="K2331" t="s">
        <v>33</v>
      </c>
      <c r="L2331" t="s">
        <v>240</v>
      </c>
      <c r="M2331" t="s">
        <v>24</v>
      </c>
      <c r="N2331" t="s">
        <v>35</v>
      </c>
      <c r="O2331" t="s">
        <v>26</v>
      </c>
      <c r="P2331" t="s">
        <v>27</v>
      </c>
      <c r="Q2331" t="s">
        <v>28</v>
      </c>
      <c r="R2331" t="s">
        <v>29</v>
      </c>
      <c r="S2331" t="s">
        <v>30</v>
      </c>
      <c r="T2331">
        <v>10006855461</v>
      </c>
      <c r="U2331" t="s">
        <v>3965</v>
      </c>
      <c r="V2331" t="s">
        <v>3934</v>
      </c>
      <c r="W2331" s="9">
        <f>IF(V2331="pregrado",31,
IF(V2331="posgrados",31,
IF(V2331="rEINTEGROS",7,
IF(V2331="BIT",90,
IF(V2331="OP GRADO - INGLÉS",17,"")))))</f>
        <v>31</v>
      </c>
      <c r="X2331" t="s">
        <v>3993</v>
      </c>
    </row>
    <row r="2332" spans="1:24" ht="15" x14ac:dyDescent="0.35">
      <c r="A2332" s="4">
        <v>45972.722604166665</v>
      </c>
      <c r="B2332">
        <v>20103927</v>
      </c>
      <c r="C2332" s="5" t="s">
        <v>19</v>
      </c>
      <c r="D2332">
        <v>570862</v>
      </c>
      <c r="E2332" t="s">
        <v>20</v>
      </c>
      <c r="F2332">
        <v>60410341</v>
      </c>
      <c r="G2332" t="s">
        <v>303</v>
      </c>
      <c r="H2332">
        <v>100235129</v>
      </c>
      <c r="I2332">
        <v>202631</v>
      </c>
      <c r="J2332">
        <v>60410341</v>
      </c>
      <c r="K2332" t="s">
        <v>23</v>
      </c>
      <c r="L2332" t="s">
        <v>207</v>
      </c>
      <c r="M2332" t="s">
        <v>24</v>
      </c>
      <c r="N2332" t="s">
        <v>35</v>
      </c>
      <c r="O2332" t="s">
        <v>26</v>
      </c>
      <c r="P2332" t="s">
        <v>27</v>
      </c>
      <c r="Q2332" t="s">
        <v>28</v>
      </c>
      <c r="R2332" t="s">
        <v>29</v>
      </c>
      <c r="S2332" t="s">
        <v>30</v>
      </c>
      <c r="T2332">
        <v>1016095309</v>
      </c>
      <c r="U2332" t="s">
        <v>3986</v>
      </c>
      <c r="V2332" t="s">
        <v>3934</v>
      </c>
      <c r="W2332" s="9">
        <f>IF(V2332="pregrado",31,
IF(V2332="posgrados",31,
IF(V2332="rEINTEGROS",7,
IF(V2332="BIT",90,
IF(V2332="OP GRADO - INGLÉS",17,"")))))</f>
        <v>31</v>
      </c>
      <c r="X2332" t="s">
        <v>3985</v>
      </c>
    </row>
    <row r="2333" spans="1:24" ht="15" x14ac:dyDescent="0.35">
      <c r="A2333" s="4">
        <v>45974.627129629633</v>
      </c>
      <c r="B2333">
        <v>20104074</v>
      </c>
      <c r="C2333" s="5" t="s">
        <v>19</v>
      </c>
      <c r="D2333">
        <v>570864</v>
      </c>
      <c r="E2333" t="s">
        <v>20</v>
      </c>
      <c r="F2333">
        <v>15050798</v>
      </c>
      <c r="G2333" t="s">
        <v>343</v>
      </c>
      <c r="H2333">
        <v>100235133</v>
      </c>
      <c r="I2333">
        <v>202631</v>
      </c>
      <c r="J2333">
        <v>1069502548</v>
      </c>
      <c r="K2333" t="s">
        <v>23</v>
      </c>
      <c r="L2333" t="s">
        <v>219</v>
      </c>
      <c r="M2333" t="s">
        <v>24</v>
      </c>
      <c r="N2333" t="s">
        <v>35</v>
      </c>
      <c r="O2333" t="s">
        <v>26</v>
      </c>
      <c r="P2333" t="s">
        <v>27</v>
      </c>
      <c r="Q2333" t="s">
        <v>28</v>
      </c>
      <c r="R2333" t="s">
        <v>29</v>
      </c>
      <c r="S2333" t="s">
        <v>30</v>
      </c>
      <c r="T2333">
        <v>1077967131</v>
      </c>
      <c r="U2333" t="s">
        <v>3963</v>
      </c>
      <c r="V2333" t="s">
        <v>3934</v>
      </c>
      <c r="W2333" s="9">
        <f>IF(V2333="pregrado",31,
IF(V2333="posgrados",31,
IF(V2333="rEINTEGROS",7,
IF(V2333="BIT",90,
IF(V2333="OP GRADO - INGLÉS",17,"")))))</f>
        <v>31</v>
      </c>
      <c r="X2333" t="s">
        <v>4011</v>
      </c>
    </row>
    <row r="2334" spans="1:24" ht="15" x14ac:dyDescent="0.35">
      <c r="A2334" s="4">
        <v>45972.45821759259</v>
      </c>
      <c r="B2334">
        <v>20103863</v>
      </c>
      <c r="C2334" s="5" t="s">
        <v>19</v>
      </c>
      <c r="D2334">
        <v>570865</v>
      </c>
      <c r="E2334" t="s">
        <v>20</v>
      </c>
      <c r="F2334">
        <v>1089245481</v>
      </c>
      <c r="G2334" t="s">
        <v>286</v>
      </c>
      <c r="H2334">
        <v>100235134</v>
      </c>
      <c r="I2334">
        <v>202631</v>
      </c>
      <c r="J2334">
        <v>1089245481</v>
      </c>
      <c r="K2334" t="s">
        <v>23</v>
      </c>
      <c r="L2334" t="s">
        <v>90</v>
      </c>
      <c r="M2334" t="s">
        <v>24</v>
      </c>
      <c r="N2334" t="s">
        <v>35</v>
      </c>
      <c r="O2334" t="s">
        <v>26</v>
      </c>
      <c r="P2334" t="s">
        <v>27</v>
      </c>
      <c r="Q2334" t="s">
        <v>28</v>
      </c>
      <c r="R2334" t="s">
        <v>29</v>
      </c>
      <c r="S2334" t="s">
        <v>30</v>
      </c>
      <c r="T2334">
        <v>1018496066</v>
      </c>
      <c r="U2334" t="s">
        <v>3939</v>
      </c>
      <c r="V2334" t="s">
        <v>3934</v>
      </c>
      <c r="W2334" s="9">
        <f>IF(V2334="pregrado",31,
IF(V2334="posgrados",31,
IF(V2334="rEINTEGROS",7,
IF(V2334="BIT",90,
IF(V2334="OP GRADO - INGLÉS",17,"")))))</f>
        <v>31</v>
      </c>
      <c r="X2334" t="s">
        <v>4006</v>
      </c>
    </row>
    <row r="2335" spans="1:24" ht="15" x14ac:dyDescent="0.35">
      <c r="A2335" s="4">
        <v>45975.376030092593</v>
      </c>
      <c r="B2335">
        <v>20104116</v>
      </c>
      <c r="C2335" s="5" t="s">
        <v>19</v>
      </c>
      <c r="D2335">
        <v>570883</v>
      </c>
      <c r="E2335" t="s">
        <v>20</v>
      </c>
      <c r="F2335">
        <v>84063957</v>
      </c>
      <c r="G2335" t="s">
        <v>354</v>
      </c>
      <c r="H2335">
        <v>100235154</v>
      </c>
      <c r="I2335">
        <v>202631</v>
      </c>
      <c r="J2335">
        <v>1134192378</v>
      </c>
      <c r="K2335" t="s">
        <v>23</v>
      </c>
      <c r="L2335" t="s">
        <v>114</v>
      </c>
      <c r="M2335" t="s">
        <v>24</v>
      </c>
      <c r="N2335" t="s">
        <v>35</v>
      </c>
      <c r="O2335" t="s">
        <v>26</v>
      </c>
      <c r="P2335" t="s">
        <v>27</v>
      </c>
      <c r="Q2335" t="s">
        <v>28</v>
      </c>
      <c r="R2335" t="s">
        <v>29</v>
      </c>
      <c r="S2335" t="s">
        <v>30</v>
      </c>
      <c r="T2335">
        <v>1013662799</v>
      </c>
      <c r="U2335" t="s">
        <v>3965</v>
      </c>
      <c r="V2335" t="s">
        <v>3934</v>
      </c>
      <c r="W2335" s="9">
        <f>IF(V2335="pregrado",31,
IF(V2335="posgrados",31,
IF(V2335="rEINTEGROS",7,
IF(V2335="BIT",90,
IF(V2335="OP GRADO - INGLÉS",17,"")))))</f>
        <v>31</v>
      </c>
      <c r="X2335" t="s">
        <v>4021</v>
      </c>
    </row>
    <row r="2336" spans="1:24" ht="15" x14ac:dyDescent="0.35">
      <c r="A2336" s="4">
        <v>45972.430509259262</v>
      </c>
      <c r="B2336">
        <v>20103852</v>
      </c>
      <c r="C2336" s="5" t="s">
        <v>19</v>
      </c>
      <c r="D2336">
        <v>570900</v>
      </c>
      <c r="E2336" t="s">
        <v>20</v>
      </c>
      <c r="F2336">
        <v>1030520786</v>
      </c>
      <c r="G2336" t="s">
        <v>283</v>
      </c>
      <c r="H2336">
        <v>100235173</v>
      </c>
      <c r="I2336">
        <v>202611</v>
      </c>
      <c r="J2336">
        <v>1030520786</v>
      </c>
      <c r="K2336" t="s">
        <v>33</v>
      </c>
      <c r="L2336" t="s">
        <v>204</v>
      </c>
      <c r="M2336" t="s">
        <v>24</v>
      </c>
      <c r="N2336" t="s">
        <v>38</v>
      </c>
      <c r="O2336" t="s">
        <v>26</v>
      </c>
      <c r="P2336" t="s">
        <v>27</v>
      </c>
      <c r="Q2336" t="s">
        <v>28</v>
      </c>
      <c r="R2336" t="s">
        <v>29</v>
      </c>
      <c r="S2336" t="s">
        <v>30</v>
      </c>
      <c r="T2336">
        <v>1020730718</v>
      </c>
      <c r="U2336" t="s">
        <v>3941</v>
      </c>
      <c r="V2336" t="s">
        <v>3934</v>
      </c>
      <c r="W2336" s="9">
        <f>IF(V2336="pregrado",31,
IF(V2336="posgrados",31,
IF(V2336="rEINTEGROS",7,
IF(V2336="BIT",90,
IF(V2336="OP GRADO - INGLÉS",17,"")))))</f>
        <v>31</v>
      </c>
      <c r="X2336" t="s">
        <v>3952</v>
      </c>
    </row>
    <row r="2337" spans="1:24" ht="15" x14ac:dyDescent="0.35">
      <c r="A2337" s="4">
        <v>45972.580740740741</v>
      </c>
      <c r="B2337">
        <v>20103890</v>
      </c>
      <c r="C2337" s="5" t="s">
        <v>19</v>
      </c>
      <c r="D2337">
        <v>570905</v>
      </c>
      <c r="E2337" t="s">
        <v>20</v>
      </c>
      <c r="F2337">
        <v>1072673580</v>
      </c>
      <c r="G2337" t="s">
        <v>291</v>
      </c>
      <c r="H2337">
        <v>200061205</v>
      </c>
      <c r="I2337">
        <v>202631</v>
      </c>
      <c r="J2337">
        <v>1072673580</v>
      </c>
      <c r="K2337" t="s">
        <v>23</v>
      </c>
      <c r="L2337" t="s">
        <v>119</v>
      </c>
      <c r="M2337" t="s">
        <v>24</v>
      </c>
      <c r="N2337" t="s">
        <v>35</v>
      </c>
      <c r="O2337" t="s">
        <v>26</v>
      </c>
      <c r="P2337" t="s">
        <v>27</v>
      </c>
      <c r="Q2337" t="s">
        <v>28</v>
      </c>
      <c r="R2337" t="s">
        <v>29</v>
      </c>
      <c r="S2337" t="s">
        <v>30</v>
      </c>
      <c r="T2337">
        <v>1000251314</v>
      </c>
      <c r="U2337" t="s">
        <v>3963</v>
      </c>
      <c r="V2337" t="s">
        <v>3934</v>
      </c>
      <c r="W2337" s="9">
        <f>IF(V2337="pregrado",31,
IF(V2337="posgrados",31,
IF(V2337="rEINTEGROS",7,
IF(V2337="BIT",90,
IF(V2337="OP GRADO - INGLÉS",17,"")))))</f>
        <v>31</v>
      </c>
      <c r="X2337" t="s">
        <v>4024</v>
      </c>
    </row>
    <row r="2338" spans="1:24" ht="15" x14ac:dyDescent="0.35">
      <c r="A2338" s="4">
        <v>45973.466747685183</v>
      </c>
      <c r="B2338">
        <v>20103962</v>
      </c>
      <c r="C2338" s="5" t="s">
        <v>19</v>
      </c>
      <c r="D2338">
        <v>570909</v>
      </c>
      <c r="E2338" t="s">
        <v>20</v>
      </c>
      <c r="F2338">
        <v>1021669682</v>
      </c>
      <c r="G2338" t="s">
        <v>312</v>
      </c>
      <c r="H2338">
        <v>100235183</v>
      </c>
      <c r="I2338">
        <v>202631</v>
      </c>
      <c r="J2338">
        <v>1021669682</v>
      </c>
      <c r="K2338" t="s">
        <v>23</v>
      </c>
      <c r="L2338" t="s">
        <v>231</v>
      </c>
      <c r="M2338" t="s">
        <v>24</v>
      </c>
      <c r="N2338" t="s">
        <v>35</v>
      </c>
      <c r="O2338" t="s">
        <v>26</v>
      </c>
      <c r="P2338" t="s">
        <v>27</v>
      </c>
      <c r="Q2338" t="s">
        <v>28</v>
      </c>
      <c r="R2338" t="s">
        <v>29</v>
      </c>
      <c r="S2338" t="s">
        <v>30</v>
      </c>
      <c r="T2338">
        <v>1023000938</v>
      </c>
      <c r="U2338" t="s">
        <v>3941</v>
      </c>
      <c r="V2338" t="s">
        <v>3934</v>
      </c>
      <c r="W2338" s="9">
        <f>IF(V2338="pregrado",31,
IF(V2338="posgrados",31,
IF(V2338="rEINTEGROS",7,
IF(V2338="BIT",90,
IF(V2338="OP GRADO - INGLÉS",17,"")))))</f>
        <v>31</v>
      </c>
      <c r="X2338" t="s">
        <v>3989</v>
      </c>
    </row>
    <row r="2339" spans="1:24" ht="15" x14ac:dyDescent="0.35">
      <c r="A2339" s="4">
        <v>45972.519918981481</v>
      </c>
      <c r="B2339">
        <v>20103878</v>
      </c>
      <c r="C2339" s="5" t="s">
        <v>19</v>
      </c>
      <c r="D2339">
        <v>570910</v>
      </c>
      <c r="E2339" t="s">
        <v>20</v>
      </c>
      <c r="F2339">
        <v>1111043052</v>
      </c>
      <c r="G2339" t="s">
        <v>289</v>
      </c>
      <c r="H2339">
        <v>100234937</v>
      </c>
      <c r="I2339">
        <v>202611</v>
      </c>
      <c r="J2339">
        <v>1014666838</v>
      </c>
      <c r="K2339" t="s">
        <v>23</v>
      </c>
      <c r="L2339" t="s">
        <v>221</v>
      </c>
      <c r="M2339" t="s">
        <v>24</v>
      </c>
      <c r="N2339" t="s">
        <v>35</v>
      </c>
      <c r="O2339" t="s">
        <v>26</v>
      </c>
      <c r="P2339" t="s">
        <v>27</v>
      </c>
      <c r="Q2339" t="s">
        <v>28</v>
      </c>
      <c r="R2339" t="s">
        <v>29</v>
      </c>
      <c r="S2339" t="s">
        <v>30</v>
      </c>
      <c r="T2339">
        <v>53071696</v>
      </c>
      <c r="U2339" t="s">
        <v>3965</v>
      </c>
      <c r="V2339" t="s">
        <v>3934</v>
      </c>
      <c r="W2339" s="9">
        <f>IF(V2339="pregrado",31,
IF(V2339="posgrados",31,
IF(V2339="rEINTEGROS",7,
IF(V2339="BIT",90,
IF(V2339="OP GRADO - INGLÉS",17,"")))))</f>
        <v>31</v>
      </c>
      <c r="X2339" t="s">
        <v>4012</v>
      </c>
    </row>
    <row r="2340" spans="1:24" ht="15" x14ac:dyDescent="0.35">
      <c r="A2340" s="4">
        <v>45980.43509259259</v>
      </c>
      <c r="B2340">
        <v>20104368</v>
      </c>
      <c r="C2340" s="5" t="s">
        <v>19</v>
      </c>
      <c r="D2340">
        <v>570922</v>
      </c>
      <c r="E2340" t="s">
        <v>20</v>
      </c>
      <c r="F2340">
        <v>1024521726</v>
      </c>
      <c r="G2340" t="s">
        <v>418</v>
      </c>
      <c r="H2340">
        <v>100235192</v>
      </c>
      <c r="I2340">
        <v>202631</v>
      </c>
      <c r="J2340">
        <v>1024521726</v>
      </c>
      <c r="K2340" t="s">
        <v>33</v>
      </c>
      <c r="L2340" t="s">
        <v>207</v>
      </c>
      <c r="M2340" t="s">
        <v>24</v>
      </c>
      <c r="N2340" t="s">
        <v>25</v>
      </c>
      <c r="O2340" t="s">
        <v>26</v>
      </c>
      <c r="P2340" t="s">
        <v>27</v>
      </c>
      <c r="Q2340" t="s">
        <v>28</v>
      </c>
      <c r="R2340" t="s">
        <v>29</v>
      </c>
      <c r="S2340" t="s">
        <v>30</v>
      </c>
      <c r="T2340">
        <v>1073692626</v>
      </c>
      <c r="U2340" t="s">
        <v>3965</v>
      </c>
      <c r="V2340" t="s">
        <v>3934</v>
      </c>
      <c r="W2340" s="9">
        <f>IF(V2340="pregrado",31,
IF(V2340="posgrados",31,
IF(V2340="rEINTEGROS",7,
IF(V2340="BIT",90,
IF(V2340="OP GRADO - INGLÉS",17,"")))))</f>
        <v>31</v>
      </c>
      <c r="X2340" t="s">
        <v>4014</v>
      </c>
    </row>
    <row r="2341" spans="1:24" ht="15" x14ac:dyDescent="0.35">
      <c r="A2341" s="4">
        <v>45972.679560185185</v>
      </c>
      <c r="B2341">
        <v>20103914</v>
      </c>
      <c r="C2341" s="5" t="s">
        <v>19</v>
      </c>
      <c r="D2341">
        <v>570926</v>
      </c>
      <c r="E2341" t="s">
        <v>20</v>
      </c>
      <c r="F2341">
        <v>1015992833</v>
      </c>
      <c r="G2341" t="s">
        <v>299</v>
      </c>
      <c r="H2341">
        <v>100235195</v>
      </c>
      <c r="I2341">
        <v>202631</v>
      </c>
      <c r="J2341">
        <v>1015992833</v>
      </c>
      <c r="K2341" t="s">
        <v>33</v>
      </c>
      <c r="L2341" t="s">
        <v>127</v>
      </c>
      <c r="M2341" t="s">
        <v>24</v>
      </c>
      <c r="N2341" t="s">
        <v>38</v>
      </c>
      <c r="O2341" t="s">
        <v>26</v>
      </c>
      <c r="P2341" t="s">
        <v>27</v>
      </c>
      <c r="Q2341" t="s">
        <v>28</v>
      </c>
      <c r="R2341" t="s">
        <v>29</v>
      </c>
      <c r="S2341" t="s">
        <v>30</v>
      </c>
      <c r="T2341">
        <v>1014273794</v>
      </c>
      <c r="U2341" t="s">
        <v>3939</v>
      </c>
      <c r="V2341" t="s">
        <v>3934</v>
      </c>
      <c r="W2341" s="9">
        <f>IF(V2341="pregrado",31,
IF(V2341="posgrados",31,
IF(V2341="rEINTEGROS",7,
IF(V2341="BIT",90,
IF(V2341="OP GRADO - INGLÉS",17,"")))))</f>
        <v>31</v>
      </c>
      <c r="X2341" t="s">
        <v>4004</v>
      </c>
    </row>
    <row r="2342" spans="1:24" ht="15" x14ac:dyDescent="0.35">
      <c r="A2342" s="4">
        <v>45974.416493055556</v>
      </c>
      <c r="B2342">
        <v>20104037</v>
      </c>
      <c r="C2342" s="5" t="s">
        <v>19</v>
      </c>
      <c r="D2342">
        <v>570927</v>
      </c>
      <c r="E2342" t="s">
        <v>20</v>
      </c>
      <c r="F2342">
        <v>1006700478</v>
      </c>
      <c r="G2342" t="s">
        <v>331</v>
      </c>
      <c r="H2342">
        <v>100235196</v>
      </c>
      <c r="I2342">
        <v>202631</v>
      </c>
      <c r="J2342">
        <v>1006700478</v>
      </c>
      <c r="K2342" t="s">
        <v>23</v>
      </c>
      <c r="L2342" t="s">
        <v>90</v>
      </c>
      <c r="M2342" t="s">
        <v>24</v>
      </c>
      <c r="N2342" t="s">
        <v>25</v>
      </c>
      <c r="O2342" t="s">
        <v>26</v>
      </c>
      <c r="P2342" t="s">
        <v>27</v>
      </c>
      <c r="Q2342" t="s">
        <v>28</v>
      </c>
      <c r="R2342" t="s">
        <v>29</v>
      </c>
      <c r="S2342" t="s">
        <v>30</v>
      </c>
      <c r="T2342">
        <v>1023929839</v>
      </c>
      <c r="U2342" t="s">
        <v>3933</v>
      </c>
      <c r="V2342" t="s">
        <v>3934</v>
      </c>
      <c r="W2342" s="9">
        <f>IF(V2342="pregrado",31,
IF(V2342="posgrados",31,
IF(V2342="rEINTEGROS",7,
IF(V2342="BIT",90,
IF(V2342="OP GRADO - INGLÉS",17,"")))))</f>
        <v>31</v>
      </c>
      <c r="X2342" t="s">
        <v>3932</v>
      </c>
    </row>
    <row r="2343" spans="1:24" ht="15" x14ac:dyDescent="0.35">
      <c r="A2343" s="4">
        <v>45993.563750000001</v>
      </c>
      <c r="B2343">
        <v>20105596</v>
      </c>
      <c r="C2343" s="6" t="s">
        <v>19</v>
      </c>
      <c r="D2343">
        <v>570928</v>
      </c>
      <c r="E2343" t="s">
        <v>20</v>
      </c>
      <c r="F2343">
        <v>1001185750</v>
      </c>
      <c r="G2343" t="s">
        <v>721</v>
      </c>
      <c r="H2343">
        <v>100235197</v>
      </c>
      <c r="I2343">
        <v>202631</v>
      </c>
      <c r="J2343">
        <v>1001185750</v>
      </c>
      <c r="K2343" t="s">
        <v>33</v>
      </c>
      <c r="L2343" t="s">
        <v>32</v>
      </c>
      <c r="M2343" t="s">
        <v>24</v>
      </c>
      <c r="N2343" t="s">
        <v>38</v>
      </c>
      <c r="O2343" t="s">
        <v>26</v>
      </c>
      <c r="P2343" t="s">
        <v>27</v>
      </c>
      <c r="Q2343" t="s">
        <v>28</v>
      </c>
      <c r="R2343" t="s">
        <v>29</v>
      </c>
      <c r="S2343" t="s">
        <v>30</v>
      </c>
      <c r="T2343">
        <v>1000120140</v>
      </c>
      <c r="U2343" t="s">
        <v>3936</v>
      </c>
      <c r="V2343" t="s">
        <v>3937</v>
      </c>
      <c r="W2343" s="9">
        <f>IF(V2343="pregrado",31,
IF(V2343="posgrados",31,
IF(V2343="rEINTEGROS",7,
IF(V2343="BIT",90,
IF(V2343="OP GRADO - INGLÉS",17,"")))))</f>
        <v>31</v>
      </c>
      <c r="X2343" t="s">
        <v>3935</v>
      </c>
    </row>
    <row r="2344" spans="1:24" ht="15" x14ac:dyDescent="0.35">
      <c r="A2344" s="4">
        <v>45972.715069444443</v>
      </c>
      <c r="B2344">
        <v>20103921</v>
      </c>
      <c r="C2344" s="5" t="s">
        <v>19</v>
      </c>
      <c r="D2344">
        <v>570939</v>
      </c>
      <c r="E2344" t="s">
        <v>20</v>
      </c>
      <c r="F2344">
        <v>1028032656</v>
      </c>
      <c r="G2344" t="s">
        <v>301</v>
      </c>
      <c r="H2344">
        <v>100235207</v>
      </c>
      <c r="I2344">
        <v>202631</v>
      </c>
      <c r="J2344">
        <v>1028032722</v>
      </c>
      <c r="K2344" t="s">
        <v>33</v>
      </c>
      <c r="L2344" t="s">
        <v>207</v>
      </c>
      <c r="M2344" t="s">
        <v>24</v>
      </c>
      <c r="N2344" t="s">
        <v>25</v>
      </c>
      <c r="O2344" t="s">
        <v>26</v>
      </c>
      <c r="P2344" t="s">
        <v>27</v>
      </c>
      <c r="Q2344" t="s">
        <v>28</v>
      </c>
      <c r="R2344" t="s">
        <v>29</v>
      </c>
      <c r="S2344" t="s">
        <v>30</v>
      </c>
      <c r="T2344">
        <v>1024572316</v>
      </c>
      <c r="U2344" t="s">
        <v>3941</v>
      </c>
      <c r="V2344" t="s">
        <v>3934</v>
      </c>
      <c r="W2344" s="9">
        <f>IF(V2344="pregrado",31,
IF(V2344="posgrados",31,
IF(V2344="rEINTEGROS",7,
IF(V2344="BIT",90,
IF(V2344="OP GRADO - INGLÉS",17,"")))))</f>
        <v>31</v>
      </c>
      <c r="X2344" t="s">
        <v>4000</v>
      </c>
    </row>
    <row r="2345" spans="1:24" ht="15" x14ac:dyDescent="0.35">
      <c r="A2345" s="4">
        <v>45979.500694444447</v>
      </c>
      <c r="B2345">
        <v>20104292</v>
      </c>
      <c r="C2345" s="5" t="s">
        <v>19</v>
      </c>
      <c r="D2345">
        <v>570941</v>
      </c>
      <c r="E2345" t="s">
        <v>20</v>
      </c>
      <c r="F2345">
        <v>52542036</v>
      </c>
      <c r="G2345" t="s">
        <v>396</v>
      </c>
      <c r="H2345">
        <v>100235209</v>
      </c>
      <c r="I2345">
        <v>202631</v>
      </c>
      <c r="J2345">
        <v>80425525</v>
      </c>
      <c r="K2345" t="s">
        <v>23</v>
      </c>
      <c r="L2345" t="s">
        <v>240</v>
      </c>
      <c r="M2345" t="s">
        <v>24</v>
      </c>
      <c r="N2345" t="s">
        <v>25</v>
      </c>
      <c r="O2345" t="s">
        <v>26</v>
      </c>
      <c r="P2345" t="s">
        <v>27</v>
      </c>
      <c r="Q2345" t="s">
        <v>28</v>
      </c>
      <c r="R2345" t="s">
        <v>29</v>
      </c>
      <c r="S2345" t="s">
        <v>30</v>
      </c>
      <c r="T2345">
        <v>1007709034</v>
      </c>
      <c r="U2345" t="s">
        <v>3965</v>
      </c>
      <c r="V2345" t="s">
        <v>3934</v>
      </c>
      <c r="W2345" s="9">
        <f>IF(V2345="pregrado",31,
IF(V2345="posgrados",31,
IF(V2345="rEINTEGROS",7,
IF(V2345="BIT",90,
IF(V2345="OP GRADO - INGLÉS",17,"")))))</f>
        <v>31</v>
      </c>
      <c r="X2345" t="s">
        <v>3964</v>
      </c>
    </row>
    <row r="2346" spans="1:24" ht="15" x14ac:dyDescent="0.35">
      <c r="A2346" s="4">
        <v>45979.734583333331</v>
      </c>
      <c r="B2346">
        <v>20104333</v>
      </c>
      <c r="C2346" s="5" t="s">
        <v>19</v>
      </c>
      <c r="D2346">
        <v>570957</v>
      </c>
      <c r="E2346" t="s">
        <v>20</v>
      </c>
      <c r="F2346">
        <v>1071428483</v>
      </c>
      <c r="G2346" t="s">
        <v>411</v>
      </c>
      <c r="H2346">
        <v>100145455</v>
      </c>
      <c r="I2346">
        <v>202611</v>
      </c>
      <c r="J2346">
        <v>1071428483</v>
      </c>
      <c r="K2346" t="s">
        <v>23</v>
      </c>
      <c r="L2346" t="s">
        <v>227</v>
      </c>
      <c r="M2346" t="s">
        <v>24</v>
      </c>
      <c r="N2346" t="s">
        <v>35</v>
      </c>
      <c r="O2346" t="s">
        <v>26</v>
      </c>
      <c r="P2346" t="s">
        <v>27</v>
      </c>
      <c r="Q2346" t="s">
        <v>28</v>
      </c>
      <c r="R2346" t="s">
        <v>29</v>
      </c>
      <c r="S2346" t="s">
        <v>30</v>
      </c>
      <c r="T2346">
        <v>10006855461</v>
      </c>
      <c r="U2346" t="s">
        <v>3965</v>
      </c>
      <c r="V2346" t="s">
        <v>3934</v>
      </c>
      <c r="W2346" s="9">
        <f>IF(V2346="pregrado",31,
IF(V2346="posgrados",31,
IF(V2346="rEINTEGROS",7,
IF(V2346="BIT",90,
IF(V2346="OP GRADO - INGLÉS",17,"")))))</f>
        <v>31</v>
      </c>
      <c r="X2346" t="s">
        <v>3993</v>
      </c>
    </row>
    <row r="2347" spans="1:24" ht="15" x14ac:dyDescent="0.35">
      <c r="A2347" s="4">
        <v>45997.380543981482</v>
      </c>
      <c r="B2347">
        <v>20106014</v>
      </c>
      <c r="C2347" s="6" t="s">
        <v>19</v>
      </c>
      <c r="D2347">
        <v>570967</v>
      </c>
      <c r="E2347" t="s">
        <v>20</v>
      </c>
      <c r="F2347">
        <v>80117707</v>
      </c>
      <c r="G2347" t="s">
        <v>802</v>
      </c>
      <c r="H2347">
        <v>100235110</v>
      </c>
      <c r="I2347">
        <v>202610</v>
      </c>
      <c r="J2347">
        <v>1019763975</v>
      </c>
      <c r="K2347" t="s">
        <v>23</v>
      </c>
      <c r="L2347" t="s">
        <v>49</v>
      </c>
      <c r="M2347" t="s">
        <v>24</v>
      </c>
      <c r="N2347" t="s">
        <v>35</v>
      </c>
      <c r="O2347" t="s">
        <v>26</v>
      </c>
      <c r="P2347" t="s">
        <v>27</v>
      </c>
      <c r="Q2347" t="s">
        <v>28</v>
      </c>
      <c r="R2347" t="s">
        <v>29</v>
      </c>
      <c r="S2347" t="s">
        <v>30</v>
      </c>
      <c r="T2347">
        <v>10123971531</v>
      </c>
      <c r="U2347" t="s">
        <v>3944</v>
      </c>
      <c r="V2347" t="s">
        <v>3934</v>
      </c>
      <c r="W2347" s="9">
        <f>IF(V2347="pregrado",31,
IF(V2347="posgrados",31,
IF(V2347="rEINTEGROS",7,
IF(V2347="BIT",90,
IF(V2347="OP GRADO - INGLÉS",17,"")))))</f>
        <v>31</v>
      </c>
      <c r="X2347" t="s">
        <v>3943</v>
      </c>
    </row>
    <row r="2348" spans="1:24" ht="15" x14ac:dyDescent="0.35">
      <c r="A2348" s="4">
        <v>45974.493946759256</v>
      </c>
      <c r="B2348">
        <v>20104056</v>
      </c>
      <c r="C2348" s="5" t="s">
        <v>19</v>
      </c>
      <c r="D2348">
        <v>570978</v>
      </c>
      <c r="E2348" t="s">
        <v>20</v>
      </c>
      <c r="F2348">
        <v>1110586119</v>
      </c>
      <c r="G2348" t="s">
        <v>337</v>
      </c>
      <c r="H2348">
        <v>100235248</v>
      </c>
      <c r="I2348">
        <v>202631</v>
      </c>
      <c r="J2348">
        <v>1110586119</v>
      </c>
      <c r="K2348" t="s">
        <v>23</v>
      </c>
      <c r="L2348" t="s">
        <v>240</v>
      </c>
      <c r="M2348" t="s">
        <v>24</v>
      </c>
      <c r="N2348" t="s">
        <v>35</v>
      </c>
      <c r="O2348" t="s">
        <v>26</v>
      </c>
      <c r="P2348" t="s">
        <v>27</v>
      </c>
      <c r="Q2348" t="s">
        <v>28</v>
      </c>
      <c r="R2348" t="s">
        <v>29</v>
      </c>
      <c r="S2348" t="s">
        <v>30</v>
      </c>
      <c r="T2348">
        <v>10006855461</v>
      </c>
      <c r="U2348" t="s">
        <v>3965</v>
      </c>
      <c r="V2348" t="s">
        <v>3934</v>
      </c>
      <c r="W2348" s="9">
        <f>IF(V2348="pregrado",31,
IF(V2348="posgrados",31,
IF(V2348="rEINTEGROS",7,
IF(V2348="BIT",90,
IF(V2348="OP GRADO - INGLÉS",17,"")))))</f>
        <v>31</v>
      </c>
      <c r="X2348" t="s">
        <v>3993</v>
      </c>
    </row>
    <row r="2349" spans="1:24" ht="15" x14ac:dyDescent="0.35">
      <c r="A2349" s="4">
        <v>45973.500555555554</v>
      </c>
      <c r="B2349">
        <v>20103968</v>
      </c>
      <c r="C2349" s="5" t="s">
        <v>19</v>
      </c>
      <c r="D2349">
        <v>570982</v>
      </c>
      <c r="E2349" t="s">
        <v>20</v>
      </c>
      <c r="F2349">
        <v>1022441616</v>
      </c>
      <c r="G2349" t="s">
        <v>313</v>
      </c>
      <c r="H2349">
        <v>100235252</v>
      </c>
      <c r="I2349">
        <v>202611</v>
      </c>
      <c r="J2349">
        <v>1022441616</v>
      </c>
      <c r="K2349" t="s">
        <v>33</v>
      </c>
      <c r="L2349" t="s">
        <v>204</v>
      </c>
      <c r="M2349" t="s">
        <v>24</v>
      </c>
      <c r="N2349" t="s">
        <v>25</v>
      </c>
      <c r="O2349" t="s">
        <v>26</v>
      </c>
      <c r="P2349" t="s">
        <v>27</v>
      </c>
      <c r="Q2349" t="s">
        <v>28</v>
      </c>
      <c r="R2349" t="s">
        <v>29</v>
      </c>
      <c r="S2349" t="s">
        <v>30</v>
      </c>
      <c r="T2349">
        <v>1022392610</v>
      </c>
      <c r="U2349" t="s">
        <v>3941</v>
      </c>
      <c r="V2349" t="s">
        <v>3934</v>
      </c>
      <c r="W2349" s="9">
        <f>IF(V2349="pregrado",31,
IF(V2349="posgrados",31,
IF(V2349="rEINTEGROS",7,
IF(V2349="BIT",90,
IF(V2349="OP GRADO - INGLÉS",17,"")))))</f>
        <v>31</v>
      </c>
      <c r="X2349" t="s">
        <v>4028</v>
      </c>
    </row>
    <row r="2350" spans="1:24" ht="15" x14ac:dyDescent="0.35">
      <c r="A2350" s="4">
        <v>45973.381527777776</v>
      </c>
      <c r="B2350">
        <v>20103951</v>
      </c>
      <c r="C2350" s="5" t="s">
        <v>19</v>
      </c>
      <c r="D2350">
        <v>570986</v>
      </c>
      <c r="E2350" t="s">
        <v>20</v>
      </c>
      <c r="F2350">
        <v>1007591831</v>
      </c>
      <c r="G2350" t="s">
        <v>308</v>
      </c>
      <c r="H2350">
        <v>100235256</v>
      </c>
      <c r="I2350">
        <v>202631</v>
      </c>
      <c r="J2350">
        <v>1007591831</v>
      </c>
      <c r="K2350" t="s">
        <v>33</v>
      </c>
      <c r="L2350" t="s">
        <v>90</v>
      </c>
      <c r="M2350" t="s">
        <v>24</v>
      </c>
      <c r="N2350" t="s">
        <v>25</v>
      </c>
      <c r="O2350" t="s">
        <v>26</v>
      </c>
      <c r="P2350" t="s">
        <v>27</v>
      </c>
      <c r="Q2350" t="s">
        <v>28</v>
      </c>
      <c r="R2350" t="s">
        <v>29</v>
      </c>
      <c r="S2350" t="s">
        <v>30</v>
      </c>
      <c r="T2350">
        <v>10306009131</v>
      </c>
      <c r="U2350" t="s">
        <v>3933</v>
      </c>
      <c r="V2350" t="s">
        <v>3934</v>
      </c>
      <c r="W2350" s="9">
        <f>IF(V2350="pregrado",31,
IF(V2350="posgrados",31,
IF(V2350="rEINTEGROS",7,
IF(V2350="BIT",90,
IF(V2350="OP GRADO - INGLÉS",17,"")))))</f>
        <v>31</v>
      </c>
      <c r="X2350" t="s">
        <v>3978</v>
      </c>
    </row>
    <row r="2351" spans="1:24" ht="15" x14ac:dyDescent="0.35">
      <c r="A2351" s="4">
        <v>45973.636400462965</v>
      </c>
      <c r="B2351">
        <v>20103988</v>
      </c>
      <c r="C2351" s="5" t="s">
        <v>19</v>
      </c>
      <c r="D2351">
        <v>570998</v>
      </c>
      <c r="E2351" t="s">
        <v>20</v>
      </c>
      <c r="F2351">
        <v>1101697507</v>
      </c>
      <c r="G2351" t="s">
        <v>321</v>
      </c>
      <c r="H2351">
        <v>100234223</v>
      </c>
      <c r="I2351">
        <v>202631</v>
      </c>
      <c r="J2351">
        <v>1101697507</v>
      </c>
      <c r="K2351" t="s">
        <v>23</v>
      </c>
      <c r="L2351" t="s">
        <v>90</v>
      </c>
      <c r="M2351" t="s">
        <v>24</v>
      </c>
      <c r="N2351" t="s">
        <v>35</v>
      </c>
      <c r="O2351" t="s">
        <v>26</v>
      </c>
      <c r="P2351" t="s">
        <v>27</v>
      </c>
      <c r="Q2351" t="s">
        <v>28</v>
      </c>
      <c r="R2351" t="s">
        <v>29</v>
      </c>
      <c r="S2351" t="s">
        <v>30</v>
      </c>
      <c r="T2351">
        <v>1070973852</v>
      </c>
      <c r="U2351" t="s">
        <v>3936</v>
      </c>
      <c r="V2351" t="s">
        <v>3937</v>
      </c>
      <c r="W2351" s="9">
        <f>IF(V2351="pregrado",31,
IF(V2351="posgrados",31,
IF(V2351="rEINTEGROS",7,
IF(V2351="BIT",90,
IF(V2351="OP GRADO - INGLÉS",17,"")))))</f>
        <v>31</v>
      </c>
      <c r="X2351" t="s">
        <v>3957</v>
      </c>
    </row>
    <row r="2352" spans="1:24" ht="15" x14ac:dyDescent="0.35">
      <c r="A2352" s="4">
        <v>45995.417592592596</v>
      </c>
      <c r="B2352">
        <v>20105832</v>
      </c>
      <c r="C2352" s="6" t="s">
        <v>19</v>
      </c>
      <c r="D2352">
        <v>571001</v>
      </c>
      <c r="E2352" t="s">
        <v>20</v>
      </c>
      <c r="F2352">
        <v>1193531629</v>
      </c>
      <c r="G2352" t="s">
        <v>769</v>
      </c>
      <c r="H2352">
        <v>100235271</v>
      </c>
      <c r="I2352">
        <v>202611</v>
      </c>
      <c r="J2352">
        <v>1193531629</v>
      </c>
      <c r="K2352" t="s">
        <v>23</v>
      </c>
      <c r="L2352" t="s">
        <v>227</v>
      </c>
      <c r="M2352" t="s">
        <v>24</v>
      </c>
      <c r="N2352" t="s">
        <v>35</v>
      </c>
      <c r="O2352" t="s">
        <v>26</v>
      </c>
      <c r="P2352" t="s">
        <v>27</v>
      </c>
      <c r="Q2352" t="s">
        <v>28</v>
      </c>
      <c r="R2352" t="s">
        <v>29</v>
      </c>
      <c r="S2352" t="s">
        <v>30</v>
      </c>
      <c r="T2352">
        <v>1003652550</v>
      </c>
      <c r="U2352" t="s">
        <v>3965</v>
      </c>
      <c r="V2352" t="s">
        <v>3934</v>
      </c>
      <c r="W2352" s="9">
        <f>IF(V2352="pregrado",31,
IF(V2352="posgrados",31,
IF(V2352="rEINTEGROS",7,
IF(V2352="BIT",90,
IF(V2352="OP GRADO - INGLÉS",17,"")))))</f>
        <v>31</v>
      </c>
      <c r="X2352" t="s">
        <v>4059</v>
      </c>
    </row>
    <row r="2353" spans="1:24" ht="15" x14ac:dyDescent="0.35">
      <c r="A2353" s="4">
        <v>45974.712731481479</v>
      </c>
      <c r="B2353">
        <v>20104088</v>
      </c>
      <c r="C2353" s="5" t="s">
        <v>19</v>
      </c>
      <c r="D2353">
        <v>571006</v>
      </c>
      <c r="E2353" t="s">
        <v>20</v>
      </c>
      <c r="F2353">
        <v>1028782464</v>
      </c>
      <c r="G2353" t="s">
        <v>347</v>
      </c>
      <c r="H2353">
        <v>100235278</v>
      </c>
      <c r="I2353">
        <v>202631</v>
      </c>
      <c r="J2353">
        <v>1028782464</v>
      </c>
      <c r="K2353" t="s">
        <v>23</v>
      </c>
      <c r="L2353" t="s">
        <v>57</v>
      </c>
      <c r="M2353" t="s">
        <v>24</v>
      </c>
      <c r="N2353" t="s">
        <v>38</v>
      </c>
      <c r="O2353" t="s">
        <v>26</v>
      </c>
      <c r="P2353" t="s">
        <v>27</v>
      </c>
      <c r="Q2353" t="s">
        <v>28</v>
      </c>
      <c r="R2353" t="s">
        <v>29</v>
      </c>
      <c r="S2353" t="s">
        <v>30</v>
      </c>
      <c r="T2353">
        <v>53178431</v>
      </c>
      <c r="U2353" t="s">
        <v>3941</v>
      </c>
      <c r="V2353" t="s">
        <v>3934</v>
      </c>
      <c r="W2353" s="9">
        <f>IF(V2353="pregrado",31,
IF(V2353="posgrados",31,
IF(V2353="rEINTEGROS",7,
IF(V2353="BIT",90,
IF(V2353="OP GRADO - INGLÉS",17,"")))))</f>
        <v>31</v>
      </c>
      <c r="X2353" t="s">
        <v>3949</v>
      </c>
    </row>
    <row r="2354" spans="1:24" ht="15" x14ac:dyDescent="0.35">
      <c r="A2354" s="4">
        <v>45975.802604166667</v>
      </c>
      <c r="B2354">
        <v>20104214</v>
      </c>
      <c r="C2354" s="5" t="s">
        <v>19</v>
      </c>
      <c r="D2354">
        <v>571007</v>
      </c>
      <c r="E2354" t="s">
        <v>20</v>
      </c>
      <c r="F2354">
        <v>1007404275</v>
      </c>
      <c r="G2354" t="s">
        <v>381</v>
      </c>
      <c r="H2354">
        <v>100235280</v>
      </c>
      <c r="I2354">
        <v>202631</v>
      </c>
      <c r="J2354">
        <v>1007404275</v>
      </c>
      <c r="K2354" t="s">
        <v>33</v>
      </c>
      <c r="L2354" t="s">
        <v>127</v>
      </c>
      <c r="M2354" t="s">
        <v>24</v>
      </c>
      <c r="N2354" t="s">
        <v>38</v>
      </c>
      <c r="O2354" t="s">
        <v>26</v>
      </c>
      <c r="P2354" t="s">
        <v>27</v>
      </c>
      <c r="Q2354" t="s">
        <v>28</v>
      </c>
      <c r="R2354" t="s">
        <v>29</v>
      </c>
      <c r="S2354" t="s">
        <v>30</v>
      </c>
      <c r="T2354">
        <v>1023929839</v>
      </c>
      <c r="U2354" t="s">
        <v>3933</v>
      </c>
      <c r="V2354" t="s">
        <v>3934</v>
      </c>
      <c r="W2354" s="9">
        <f>IF(V2354="pregrado",31,
IF(V2354="posgrados",31,
IF(V2354="rEINTEGROS",7,
IF(V2354="BIT",90,
IF(V2354="OP GRADO - INGLÉS",17,"")))))</f>
        <v>31</v>
      </c>
      <c r="X2354" t="s">
        <v>3932</v>
      </c>
    </row>
    <row r="2355" spans="1:24" ht="15" x14ac:dyDescent="0.35">
      <c r="A2355" s="4">
        <v>45973.681886574072</v>
      </c>
      <c r="B2355">
        <v>20103996</v>
      </c>
      <c r="C2355" s="5" t="s">
        <v>19</v>
      </c>
      <c r="D2355">
        <v>571011</v>
      </c>
      <c r="E2355" t="s">
        <v>20</v>
      </c>
      <c r="F2355">
        <v>1070962131</v>
      </c>
      <c r="G2355" t="s">
        <v>324</v>
      </c>
      <c r="H2355">
        <v>100235287</v>
      </c>
      <c r="I2355">
        <v>202631</v>
      </c>
      <c r="J2355">
        <v>1070962131</v>
      </c>
      <c r="K2355" t="s">
        <v>23</v>
      </c>
      <c r="L2355" t="s">
        <v>240</v>
      </c>
      <c r="M2355" t="s">
        <v>24</v>
      </c>
      <c r="N2355" t="s">
        <v>35</v>
      </c>
      <c r="O2355" t="s">
        <v>26</v>
      </c>
      <c r="P2355" t="s">
        <v>27</v>
      </c>
      <c r="Q2355" t="s">
        <v>28</v>
      </c>
      <c r="R2355" t="s">
        <v>29</v>
      </c>
      <c r="S2355" t="s">
        <v>30</v>
      </c>
      <c r="T2355">
        <v>1030570122</v>
      </c>
      <c r="U2355" t="s">
        <v>3965</v>
      </c>
      <c r="V2355" t="s">
        <v>3934</v>
      </c>
      <c r="W2355" s="9">
        <f>IF(V2355="pregrado",31,
IF(V2355="posgrados",31,
IF(V2355="rEINTEGROS",7,
IF(V2355="BIT",90,
IF(V2355="OP GRADO - INGLÉS",17,"")))))</f>
        <v>31</v>
      </c>
      <c r="X2355" t="s">
        <v>4015</v>
      </c>
    </row>
    <row r="2356" spans="1:24" ht="15" x14ac:dyDescent="0.35">
      <c r="A2356" s="4">
        <v>45979.88422453704</v>
      </c>
      <c r="B2356">
        <v>20104348</v>
      </c>
      <c r="C2356" s="5" t="s">
        <v>19</v>
      </c>
      <c r="D2356">
        <v>571022</v>
      </c>
      <c r="E2356" t="s">
        <v>20</v>
      </c>
      <c r="F2356">
        <v>1049663951</v>
      </c>
      <c r="G2356" t="s">
        <v>415</v>
      </c>
      <c r="H2356">
        <v>100235297</v>
      </c>
      <c r="I2356">
        <v>202631</v>
      </c>
      <c r="J2356">
        <v>1049663951</v>
      </c>
      <c r="K2356" t="s">
        <v>23</v>
      </c>
      <c r="L2356" t="s">
        <v>207</v>
      </c>
      <c r="M2356" t="s">
        <v>24</v>
      </c>
      <c r="N2356" t="s">
        <v>35</v>
      </c>
      <c r="O2356" t="s">
        <v>26</v>
      </c>
      <c r="P2356" t="s">
        <v>27</v>
      </c>
      <c r="Q2356" t="s">
        <v>28</v>
      </c>
      <c r="R2356" t="s">
        <v>29</v>
      </c>
      <c r="S2356" t="s">
        <v>30</v>
      </c>
      <c r="T2356">
        <v>1031147887</v>
      </c>
      <c r="U2356" t="s">
        <v>3948</v>
      </c>
      <c r="V2356" t="s">
        <v>3937</v>
      </c>
      <c r="W2356" s="9">
        <f>IF(V2356="pregrado",31,
IF(V2356="posgrados",31,
IF(V2356="rEINTEGROS",7,
IF(V2356="BIT",90,
IF(V2356="OP GRADO - INGLÉS",17,"")))))</f>
        <v>31</v>
      </c>
      <c r="X2356" t="s">
        <v>3947</v>
      </c>
    </row>
    <row r="2357" spans="1:24" ht="15" x14ac:dyDescent="0.35">
      <c r="A2357" s="4">
        <v>45973.464456018519</v>
      </c>
      <c r="B2357">
        <v>20103960</v>
      </c>
      <c r="C2357" s="5" t="s">
        <v>19</v>
      </c>
      <c r="D2357">
        <v>571034</v>
      </c>
      <c r="E2357" t="s">
        <v>20</v>
      </c>
      <c r="F2357">
        <v>40445807</v>
      </c>
      <c r="G2357" t="s">
        <v>311</v>
      </c>
      <c r="H2357">
        <v>100067299</v>
      </c>
      <c r="I2357">
        <v>202611</v>
      </c>
      <c r="J2357">
        <v>40445807</v>
      </c>
      <c r="K2357" t="s">
        <v>23</v>
      </c>
      <c r="L2357" t="s">
        <v>221</v>
      </c>
      <c r="M2357" t="s">
        <v>24</v>
      </c>
      <c r="N2357" t="s">
        <v>35</v>
      </c>
      <c r="O2357" t="s">
        <v>26</v>
      </c>
      <c r="P2357" t="s">
        <v>27</v>
      </c>
      <c r="Q2357" t="s">
        <v>28</v>
      </c>
      <c r="R2357" t="s">
        <v>29</v>
      </c>
      <c r="S2357" t="s">
        <v>30</v>
      </c>
      <c r="T2357">
        <v>45555807</v>
      </c>
      <c r="U2357" t="s">
        <v>3965</v>
      </c>
      <c r="V2357" t="s">
        <v>3934</v>
      </c>
      <c r="W2357" s="9">
        <f>IF(V2357="pregrado",31,
IF(V2357="posgrados",31,
IF(V2357="rEINTEGROS",7,
IF(V2357="BIT",90,
IF(V2357="OP GRADO - INGLÉS",17,"")))))</f>
        <v>31</v>
      </c>
      <c r="X2357" t="s">
        <v>4027</v>
      </c>
    </row>
    <row r="2358" spans="1:24" ht="15" x14ac:dyDescent="0.35">
      <c r="A2358" s="4">
        <v>45981.730578703704</v>
      </c>
      <c r="B2358">
        <v>20104568</v>
      </c>
      <c r="C2358" s="5" t="s">
        <v>19</v>
      </c>
      <c r="D2358">
        <v>571049</v>
      </c>
      <c r="E2358" t="s">
        <v>20</v>
      </c>
      <c r="F2358">
        <v>1070014640</v>
      </c>
      <c r="G2358" t="s">
        <v>463</v>
      </c>
      <c r="H2358">
        <v>100219108</v>
      </c>
      <c r="I2358">
        <v>202611</v>
      </c>
      <c r="J2358">
        <v>1070018518</v>
      </c>
      <c r="K2358" t="s">
        <v>23</v>
      </c>
      <c r="L2358" t="s">
        <v>227</v>
      </c>
      <c r="M2358" t="s">
        <v>24</v>
      </c>
      <c r="N2358" t="s">
        <v>35</v>
      </c>
      <c r="O2358" t="s">
        <v>26</v>
      </c>
      <c r="P2358" t="s">
        <v>27</v>
      </c>
      <c r="Q2358" t="s">
        <v>28</v>
      </c>
      <c r="R2358" t="s">
        <v>29</v>
      </c>
      <c r="S2358" t="s">
        <v>30</v>
      </c>
      <c r="T2358">
        <v>45555807</v>
      </c>
      <c r="U2358" t="s">
        <v>3965</v>
      </c>
      <c r="V2358" t="s">
        <v>3934</v>
      </c>
      <c r="W2358" s="9">
        <f>IF(V2358="pregrado",31,
IF(V2358="posgrados",31,
IF(V2358="rEINTEGROS",7,
IF(V2358="BIT",90,
IF(V2358="OP GRADO - INGLÉS",17,"")))))</f>
        <v>31</v>
      </c>
      <c r="X2358" t="s">
        <v>4027</v>
      </c>
    </row>
    <row r="2359" spans="1:24" ht="15" x14ac:dyDescent="0.35">
      <c r="A2359" s="4">
        <v>45975.635821759257</v>
      </c>
      <c r="B2359">
        <v>20104166</v>
      </c>
      <c r="C2359" s="5" t="s">
        <v>19</v>
      </c>
      <c r="D2359">
        <v>571054</v>
      </c>
      <c r="E2359" t="s">
        <v>20</v>
      </c>
      <c r="F2359">
        <v>1013589858</v>
      </c>
      <c r="G2359" t="s">
        <v>368</v>
      </c>
      <c r="H2359">
        <v>100235324</v>
      </c>
      <c r="I2359">
        <v>202631</v>
      </c>
      <c r="J2359">
        <v>1013589858</v>
      </c>
      <c r="K2359" t="s">
        <v>33</v>
      </c>
      <c r="L2359" t="s">
        <v>207</v>
      </c>
      <c r="M2359" t="s">
        <v>24</v>
      </c>
      <c r="N2359" t="s">
        <v>38</v>
      </c>
      <c r="O2359" t="s">
        <v>26</v>
      </c>
      <c r="P2359" t="s">
        <v>27</v>
      </c>
      <c r="Q2359" t="s">
        <v>28</v>
      </c>
      <c r="R2359" t="s">
        <v>29</v>
      </c>
      <c r="S2359" t="s">
        <v>30</v>
      </c>
      <c r="T2359">
        <v>1018455773</v>
      </c>
      <c r="U2359" t="s">
        <v>3986</v>
      </c>
      <c r="V2359" t="s">
        <v>3934</v>
      </c>
      <c r="W2359" s="9">
        <f>IF(V2359="pregrado",31,
IF(V2359="posgrados",31,
IF(V2359="rEINTEGROS",7,
IF(V2359="BIT",90,
IF(V2359="OP GRADO - INGLÉS",17,"")))))</f>
        <v>31</v>
      </c>
      <c r="X2359" t="s">
        <v>4101</v>
      </c>
    </row>
    <row r="2360" spans="1:24" ht="15" x14ac:dyDescent="0.35">
      <c r="A2360" s="4">
        <v>45975.369155092594</v>
      </c>
      <c r="B2360">
        <v>20104114</v>
      </c>
      <c r="C2360" s="5" t="s">
        <v>19</v>
      </c>
      <c r="D2360">
        <v>571077</v>
      </c>
      <c r="E2360" t="s">
        <v>20</v>
      </c>
      <c r="F2360">
        <v>1077295233</v>
      </c>
      <c r="G2360" t="s">
        <v>353</v>
      </c>
      <c r="H2360">
        <v>100235357</v>
      </c>
      <c r="I2360">
        <v>202611</v>
      </c>
      <c r="J2360">
        <v>1077295233</v>
      </c>
      <c r="K2360" t="s">
        <v>33</v>
      </c>
      <c r="L2360" t="s">
        <v>204</v>
      </c>
      <c r="M2360" t="s">
        <v>24</v>
      </c>
      <c r="N2360" t="s">
        <v>25</v>
      </c>
      <c r="O2360" t="s">
        <v>26</v>
      </c>
      <c r="P2360" t="s">
        <v>27</v>
      </c>
      <c r="Q2360" t="s">
        <v>28</v>
      </c>
      <c r="R2360" t="s">
        <v>29</v>
      </c>
      <c r="S2360" t="s">
        <v>30</v>
      </c>
      <c r="T2360">
        <v>1023000938</v>
      </c>
      <c r="U2360" t="s">
        <v>3941</v>
      </c>
      <c r="V2360" t="s">
        <v>3934</v>
      </c>
      <c r="W2360" s="9">
        <f>IF(V2360="pregrado",31,
IF(V2360="posgrados",31,
IF(V2360="rEINTEGROS",7,
IF(V2360="BIT",90,
IF(V2360="OP GRADO - INGLÉS",17,"")))))</f>
        <v>31</v>
      </c>
      <c r="X2360" t="s">
        <v>3989</v>
      </c>
    </row>
    <row r="2361" spans="1:24" ht="15" x14ac:dyDescent="0.35">
      <c r="A2361" s="4">
        <v>45979.361793981479</v>
      </c>
      <c r="B2361">
        <v>20104270</v>
      </c>
      <c r="C2361" s="5" t="s">
        <v>19</v>
      </c>
      <c r="D2361">
        <v>571081</v>
      </c>
      <c r="E2361" t="s">
        <v>20</v>
      </c>
      <c r="F2361">
        <v>1007306975</v>
      </c>
      <c r="G2361" t="s">
        <v>390</v>
      </c>
      <c r="H2361">
        <v>100160032</v>
      </c>
      <c r="I2361">
        <v>202611</v>
      </c>
      <c r="J2361">
        <v>1007306975</v>
      </c>
      <c r="K2361" t="s">
        <v>89</v>
      </c>
      <c r="L2361" t="s">
        <v>133</v>
      </c>
      <c r="M2361" t="s">
        <v>24</v>
      </c>
      <c r="N2361" t="s">
        <v>25</v>
      </c>
      <c r="O2361" t="s">
        <v>26</v>
      </c>
      <c r="P2361" t="s">
        <v>27</v>
      </c>
      <c r="Q2361" t="s">
        <v>28</v>
      </c>
      <c r="R2361" t="s">
        <v>29</v>
      </c>
      <c r="S2361" t="s">
        <v>30</v>
      </c>
      <c r="T2361">
        <v>1019102787</v>
      </c>
      <c r="U2361" t="s">
        <v>3977</v>
      </c>
      <c r="V2361" t="s">
        <v>3970</v>
      </c>
      <c r="W2361" s="9">
        <f>IF(V2361="pregrado",31,
IF(V2361="posgrados",31,
IF(V2361="rEINTEGROS",7,
IF(V2361="BIT",90,
IF(V2361="OP GRADO - INGLÉS",17,"")))))</f>
        <v>7</v>
      </c>
      <c r="X2361" t="s">
        <v>3976</v>
      </c>
    </row>
    <row r="2362" spans="1:24" ht="15" x14ac:dyDescent="0.35">
      <c r="A2362" s="4">
        <v>45973.859479166669</v>
      </c>
      <c r="B2362">
        <v>20104020</v>
      </c>
      <c r="C2362" s="5" t="s">
        <v>19</v>
      </c>
      <c r="D2362">
        <v>571083</v>
      </c>
      <c r="E2362" t="s">
        <v>20</v>
      </c>
      <c r="F2362">
        <v>1070385903</v>
      </c>
      <c r="G2362" t="s">
        <v>329</v>
      </c>
      <c r="H2362">
        <v>100138666</v>
      </c>
      <c r="I2362">
        <v>202610</v>
      </c>
      <c r="J2362">
        <v>1070385903</v>
      </c>
      <c r="K2362" t="s">
        <v>89</v>
      </c>
      <c r="L2362" t="s">
        <v>79</v>
      </c>
      <c r="M2362" t="s">
        <v>24</v>
      </c>
      <c r="N2362" t="s">
        <v>38</v>
      </c>
      <c r="O2362" t="s">
        <v>26</v>
      </c>
      <c r="P2362" t="s">
        <v>27</v>
      </c>
      <c r="Q2362" t="s">
        <v>28</v>
      </c>
      <c r="R2362" t="s">
        <v>29</v>
      </c>
      <c r="S2362" t="s">
        <v>30</v>
      </c>
      <c r="T2362">
        <v>1019102787</v>
      </c>
      <c r="U2362" t="s">
        <v>3977</v>
      </c>
      <c r="V2362" t="s">
        <v>3970</v>
      </c>
      <c r="W2362" s="9">
        <f>IF(V2362="pregrado",31,
IF(V2362="posgrados",31,
IF(V2362="rEINTEGROS",7,
IF(V2362="BIT",90,
IF(V2362="OP GRADO - INGLÉS",17,"")))))</f>
        <v>7</v>
      </c>
      <c r="X2362" t="s">
        <v>3976</v>
      </c>
    </row>
    <row r="2363" spans="1:24" ht="15" x14ac:dyDescent="0.35">
      <c r="A2363" s="4">
        <v>45975.742199074077</v>
      </c>
      <c r="B2363">
        <v>20104205</v>
      </c>
      <c r="C2363" s="5" t="s">
        <v>19</v>
      </c>
      <c r="D2363">
        <v>571089</v>
      </c>
      <c r="E2363" t="s">
        <v>20</v>
      </c>
      <c r="F2363">
        <v>1023026976</v>
      </c>
      <c r="G2363" t="s">
        <v>379</v>
      </c>
      <c r="H2363">
        <v>100234912</v>
      </c>
      <c r="I2363">
        <v>202611</v>
      </c>
      <c r="J2363">
        <v>1023026976</v>
      </c>
      <c r="K2363" t="s">
        <v>23</v>
      </c>
      <c r="L2363" t="s">
        <v>227</v>
      </c>
      <c r="M2363" t="s">
        <v>24</v>
      </c>
      <c r="N2363" t="s">
        <v>35</v>
      </c>
      <c r="O2363" t="s">
        <v>26</v>
      </c>
      <c r="P2363" t="s">
        <v>27</v>
      </c>
      <c r="Q2363" t="s">
        <v>28</v>
      </c>
      <c r="R2363" t="s">
        <v>29</v>
      </c>
      <c r="S2363" t="s">
        <v>30</v>
      </c>
      <c r="T2363">
        <v>1026298522</v>
      </c>
      <c r="U2363" t="s">
        <v>3965</v>
      </c>
      <c r="V2363" t="s">
        <v>3934</v>
      </c>
      <c r="W2363" s="9">
        <f>IF(V2363="pregrado",31,
IF(V2363="posgrados",31,
IF(V2363="rEINTEGROS",7,
IF(V2363="BIT",90,
IF(V2363="OP GRADO - INGLÉS",17,"")))))</f>
        <v>31</v>
      </c>
      <c r="X2363" t="s">
        <v>4040</v>
      </c>
    </row>
    <row r="2364" spans="1:24" ht="15" x14ac:dyDescent="0.35">
      <c r="A2364" s="4">
        <v>45981.558321759258</v>
      </c>
      <c r="B2364">
        <v>20104520</v>
      </c>
      <c r="C2364" s="5" t="s">
        <v>19</v>
      </c>
      <c r="D2364">
        <v>571104</v>
      </c>
      <c r="E2364" t="s">
        <v>20</v>
      </c>
      <c r="F2364">
        <v>1063298322</v>
      </c>
      <c r="G2364" t="s">
        <v>454</v>
      </c>
      <c r="H2364">
        <v>200060690</v>
      </c>
      <c r="I2364">
        <v>202631</v>
      </c>
      <c r="J2364">
        <v>1003290446</v>
      </c>
      <c r="K2364" t="s">
        <v>33</v>
      </c>
      <c r="L2364" t="s">
        <v>119</v>
      </c>
      <c r="M2364" t="s">
        <v>24</v>
      </c>
      <c r="N2364" t="s">
        <v>35</v>
      </c>
      <c r="O2364" t="s">
        <v>26</v>
      </c>
      <c r="P2364" t="s">
        <v>27</v>
      </c>
      <c r="Q2364" t="s">
        <v>28</v>
      </c>
      <c r="R2364" t="s">
        <v>29</v>
      </c>
      <c r="S2364" t="s">
        <v>30</v>
      </c>
      <c r="T2364">
        <v>1000251314</v>
      </c>
      <c r="U2364" t="s">
        <v>3963</v>
      </c>
      <c r="V2364" t="s">
        <v>3934</v>
      </c>
      <c r="W2364" s="9">
        <f>IF(V2364="pregrado",31,
IF(V2364="posgrados",31,
IF(V2364="rEINTEGROS",7,
IF(V2364="BIT",90,
IF(V2364="OP GRADO - INGLÉS",17,"")))))</f>
        <v>31</v>
      </c>
      <c r="X2364" t="s">
        <v>4024</v>
      </c>
    </row>
    <row r="2365" spans="1:24" ht="15" x14ac:dyDescent="0.35">
      <c r="A2365" s="4">
        <v>45987.337384259263</v>
      </c>
      <c r="B2365">
        <v>20104872</v>
      </c>
      <c r="C2365" s="5" t="s">
        <v>19</v>
      </c>
      <c r="D2365">
        <v>571115</v>
      </c>
      <c r="E2365" t="s">
        <v>20</v>
      </c>
      <c r="F2365">
        <v>1030642321</v>
      </c>
      <c r="G2365" t="s">
        <v>547</v>
      </c>
      <c r="H2365">
        <v>100235392</v>
      </c>
      <c r="I2365">
        <v>202611</v>
      </c>
      <c r="J2365">
        <v>1030642321</v>
      </c>
      <c r="K2365" t="s">
        <v>23</v>
      </c>
      <c r="L2365" t="s">
        <v>227</v>
      </c>
      <c r="M2365" t="s">
        <v>24</v>
      </c>
      <c r="N2365" t="s">
        <v>35</v>
      </c>
      <c r="O2365" t="s">
        <v>26</v>
      </c>
      <c r="P2365" t="s">
        <v>27</v>
      </c>
      <c r="Q2365" t="s">
        <v>28</v>
      </c>
      <c r="R2365" t="s">
        <v>29</v>
      </c>
      <c r="S2365" t="s">
        <v>30</v>
      </c>
      <c r="T2365">
        <v>52342867</v>
      </c>
      <c r="U2365" t="s">
        <v>3965</v>
      </c>
      <c r="V2365" t="s">
        <v>3934</v>
      </c>
      <c r="W2365" s="9">
        <f>IF(V2365="pregrado",31,
IF(V2365="posgrados",31,
IF(V2365="rEINTEGROS",7,
IF(V2365="BIT",90,
IF(V2365="OP GRADO - INGLÉS",17,"")))))</f>
        <v>31</v>
      </c>
      <c r="X2365" t="s">
        <v>4047</v>
      </c>
    </row>
    <row r="2366" spans="1:24" ht="15" x14ac:dyDescent="0.35">
      <c r="A2366" s="4">
        <v>45986.6559837963</v>
      </c>
      <c r="B2366">
        <v>20104827</v>
      </c>
      <c r="C2366" s="5" t="s">
        <v>19</v>
      </c>
      <c r="D2366">
        <v>571119</v>
      </c>
      <c r="E2366" t="s">
        <v>20</v>
      </c>
      <c r="F2366">
        <v>88218479</v>
      </c>
      <c r="G2366" t="s">
        <v>534</v>
      </c>
      <c r="H2366">
        <v>100235397</v>
      </c>
      <c r="I2366">
        <v>202631</v>
      </c>
      <c r="J2366">
        <v>88218479</v>
      </c>
      <c r="K2366" t="s">
        <v>33</v>
      </c>
      <c r="L2366" t="s">
        <v>90</v>
      </c>
      <c r="M2366" t="s">
        <v>24</v>
      </c>
      <c r="N2366" t="s">
        <v>25</v>
      </c>
      <c r="O2366" t="s">
        <v>26</v>
      </c>
      <c r="P2366" t="s">
        <v>27</v>
      </c>
      <c r="Q2366" t="s">
        <v>28</v>
      </c>
      <c r="R2366" t="s">
        <v>29</v>
      </c>
      <c r="S2366" t="s">
        <v>30</v>
      </c>
      <c r="T2366">
        <v>1007473661</v>
      </c>
      <c r="U2366" t="s">
        <v>3933</v>
      </c>
      <c r="V2366" t="s">
        <v>3934</v>
      </c>
      <c r="W2366" s="9">
        <f>IF(V2366="pregrado",31,
IF(V2366="posgrados",31,
IF(V2366="rEINTEGROS",7,
IF(V2366="BIT",90,
IF(V2366="OP GRADO - INGLÉS",17,"")))))</f>
        <v>31</v>
      </c>
      <c r="X2366" t="s">
        <v>4058</v>
      </c>
    </row>
    <row r="2367" spans="1:24" ht="15" x14ac:dyDescent="0.35">
      <c r="A2367" s="4">
        <v>45975.401423611111</v>
      </c>
      <c r="B2367">
        <v>20104118</v>
      </c>
      <c r="C2367" s="5" t="s">
        <v>19</v>
      </c>
      <c r="D2367">
        <v>571135</v>
      </c>
      <c r="E2367" t="s">
        <v>20</v>
      </c>
      <c r="F2367">
        <v>1102721944</v>
      </c>
      <c r="G2367" t="s">
        <v>355</v>
      </c>
      <c r="H2367">
        <v>100235419</v>
      </c>
      <c r="I2367">
        <v>202631</v>
      </c>
      <c r="J2367">
        <v>1102721944</v>
      </c>
      <c r="K2367" t="s">
        <v>33</v>
      </c>
      <c r="L2367" t="s">
        <v>42</v>
      </c>
      <c r="M2367" t="s">
        <v>24</v>
      </c>
      <c r="N2367" t="s">
        <v>25</v>
      </c>
      <c r="O2367" t="s">
        <v>26</v>
      </c>
      <c r="P2367" t="s">
        <v>27</v>
      </c>
      <c r="Q2367" t="s">
        <v>28</v>
      </c>
      <c r="R2367" t="s">
        <v>29</v>
      </c>
      <c r="S2367" t="s">
        <v>30</v>
      </c>
      <c r="T2367">
        <v>1000349074</v>
      </c>
      <c r="U2367" t="s">
        <v>3944</v>
      </c>
      <c r="V2367" t="s">
        <v>3934</v>
      </c>
      <c r="W2367" s="9">
        <f>IF(V2367="pregrado",31,
IF(V2367="posgrados",31,
IF(V2367="rEINTEGROS",7,
IF(V2367="BIT",90,
IF(V2367="OP GRADO - INGLÉS",17,"")))))</f>
        <v>31</v>
      </c>
      <c r="X2367" t="s">
        <v>4036</v>
      </c>
    </row>
    <row r="2368" spans="1:24" ht="15" x14ac:dyDescent="0.35">
      <c r="A2368" s="4">
        <v>45974.707094907404</v>
      </c>
      <c r="B2368">
        <v>20104084</v>
      </c>
      <c r="C2368" s="5" t="s">
        <v>19</v>
      </c>
      <c r="D2368">
        <v>571142</v>
      </c>
      <c r="E2368" t="s">
        <v>20</v>
      </c>
      <c r="F2368">
        <v>1073130496</v>
      </c>
      <c r="G2368" t="s">
        <v>345</v>
      </c>
      <c r="H2368">
        <v>100235426</v>
      </c>
      <c r="I2368">
        <v>202631</v>
      </c>
      <c r="J2368">
        <v>1073130496</v>
      </c>
      <c r="K2368" t="s">
        <v>23</v>
      </c>
      <c r="L2368" t="s">
        <v>240</v>
      </c>
      <c r="M2368" t="s">
        <v>24</v>
      </c>
      <c r="N2368" t="s">
        <v>35</v>
      </c>
      <c r="O2368" t="s">
        <v>26</v>
      </c>
      <c r="P2368" t="s">
        <v>27</v>
      </c>
      <c r="Q2368" t="s">
        <v>28</v>
      </c>
      <c r="R2368" t="s">
        <v>29</v>
      </c>
      <c r="S2368" t="s">
        <v>30</v>
      </c>
      <c r="T2368">
        <v>53071696</v>
      </c>
      <c r="U2368" t="s">
        <v>3965</v>
      </c>
      <c r="V2368" t="s">
        <v>3934</v>
      </c>
      <c r="W2368" s="9">
        <f>IF(V2368="pregrado",31,
IF(V2368="posgrados",31,
IF(V2368="rEINTEGROS",7,
IF(V2368="BIT",90,
IF(V2368="OP GRADO - INGLÉS",17,"")))))</f>
        <v>31</v>
      </c>
      <c r="X2368" t="s">
        <v>4012</v>
      </c>
    </row>
    <row r="2369" spans="1:24" ht="15" x14ac:dyDescent="0.35">
      <c r="A2369" s="4">
        <v>45974.824236111112</v>
      </c>
      <c r="B2369">
        <v>20104104</v>
      </c>
      <c r="C2369" s="5" t="s">
        <v>19</v>
      </c>
      <c r="D2369">
        <v>571143</v>
      </c>
      <c r="E2369" t="s">
        <v>20</v>
      </c>
      <c r="F2369">
        <v>52483249</v>
      </c>
      <c r="G2369" t="s">
        <v>350</v>
      </c>
      <c r="H2369">
        <v>100235427</v>
      </c>
      <c r="I2369">
        <v>202631</v>
      </c>
      <c r="J2369">
        <v>1000493466</v>
      </c>
      <c r="K2369" t="s">
        <v>33</v>
      </c>
      <c r="L2369" t="s">
        <v>90</v>
      </c>
      <c r="M2369" t="s">
        <v>24</v>
      </c>
      <c r="N2369" t="s">
        <v>38</v>
      </c>
      <c r="O2369" t="s">
        <v>26</v>
      </c>
      <c r="P2369" t="s">
        <v>27</v>
      </c>
      <c r="Q2369" t="s">
        <v>28</v>
      </c>
      <c r="R2369" t="s">
        <v>29</v>
      </c>
      <c r="S2369" t="s">
        <v>30</v>
      </c>
      <c r="T2369">
        <v>10306009131</v>
      </c>
      <c r="U2369" t="s">
        <v>3933</v>
      </c>
      <c r="V2369" t="s">
        <v>3934</v>
      </c>
      <c r="W2369" s="9">
        <f>IF(V2369="pregrado",31,
IF(V2369="posgrados",31,
IF(V2369="rEINTEGROS",7,
IF(V2369="BIT",90,
IF(V2369="OP GRADO - INGLÉS",17,"")))))</f>
        <v>31</v>
      </c>
      <c r="X2369" t="s">
        <v>3978</v>
      </c>
    </row>
    <row r="2370" spans="1:24" ht="15" x14ac:dyDescent="0.35">
      <c r="A2370" s="4">
        <v>45979.556377314817</v>
      </c>
      <c r="B2370">
        <v>20104303</v>
      </c>
      <c r="C2370" s="5" t="s">
        <v>19</v>
      </c>
      <c r="D2370">
        <v>571150</v>
      </c>
      <c r="E2370" t="s">
        <v>20</v>
      </c>
      <c r="F2370">
        <v>1192811066</v>
      </c>
      <c r="G2370" t="s">
        <v>401</v>
      </c>
      <c r="H2370">
        <v>100235435</v>
      </c>
      <c r="I2370">
        <v>202611</v>
      </c>
      <c r="J2370">
        <v>1124497510</v>
      </c>
      <c r="K2370" t="s">
        <v>23</v>
      </c>
      <c r="L2370" t="s">
        <v>221</v>
      </c>
      <c r="M2370" t="s">
        <v>24</v>
      </c>
      <c r="N2370" t="s">
        <v>35</v>
      </c>
      <c r="O2370" t="s">
        <v>26</v>
      </c>
      <c r="P2370" t="s">
        <v>27</v>
      </c>
      <c r="Q2370" t="s">
        <v>28</v>
      </c>
      <c r="R2370" t="s">
        <v>29</v>
      </c>
      <c r="S2370" t="s">
        <v>30</v>
      </c>
      <c r="T2370">
        <v>53006215</v>
      </c>
      <c r="U2370" t="s">
        <v>3965</v>
      </c>
      <c r="V2370" t="s">
        <v>3934</v>
      </c>
      <c r="W2370" s="9">
        <f>IF(V2370="pregrado",31,
IF(V2370="posgrados",31,
IF(V2370="rEINTEGROS",7,
IF(V2370="BIT",90,
IF(V2370="OP GRADO - INGLÉS",17,"")))))</f>
        <v>31</v>
      </c>
      <c r="X2370" t="s">
        <v>4042</v>
      </c>
    </row>
    <row r="2371" spans="1:24" ht="15" x14ac:dyDescent="0.35">
      <c r="A2371" s="4">
        <v>45990.61513888889</v>
      </c>
      <c r="B2371">
        <v>20105373</v>
      </c>
      <c r="C2371" s="6" t="s">
        <v>19</v>
      </c>
      <c r="D2371">
        <v>571155</v>
      </c>
      <c r="E2371" t="s">
        <v>20</v>
      </c>
      <c r="F2371">
        <v>1090529109</v>
      </c>
      <c r="G2371" t="s">
        <v>688</v>
      </c>
      <c r="H2371">
        <v>100235443</v>
      </c>
      <c r="I2371">
        <v>202631</v>
      </c>
      <c r="J2371">
        <v>1000206388</v>
      </c>
      <c r="K2371" t="s">
        <v>74</v>
      </c>
      <c r="L2371" t="s">
        <v>42</v>
      </c>
      <c r="M2371" t="s">
        <v>24</v>
      </c>
      <c r="N2371" t="s">
        <v>35</v>
      </c>
      <c r="O2371" t="s">
        <v>26</v>
      </c>
      <c r="P2371" t="s">
        <v>27</v>
      </c>
      <c r="Q2371" t="s">
        <v>28</v>
      </c>
      <c r="R2371" t="s">
        <v>29</v>
      </c>
      <c r="S2371" t="s">
        <v>30</v>
      </c>
      <c r="T2371">
        <v>1000120140</v>
      </c>
      <c r="U2371" t="s">
        <v>3936</v>
      </c>
      <c r="V2371" t="s">
        <v>3937</v>
      </c>
      <c r="W2371" s="9">
        <f>IF(V2371="pregrado",31,
IF(V2371="posgrados",31,
IF(V2371="rEINTEGROS",7,
IF(V2371="BIT",90,
IF(V2371="OP GRADO - INGLÉS",17,"")))))</f>
        <v>31</v>
      </c>
      <c r="X2371" t="s">
        <v>3935</v>
      </c>
    </row>
    <row r="2372" spans="1:24" ht="15" x14ac:dyDescent="0.35">
      <c r="A2372" s="4">
        <v>45981.581377314818</v>
      </c>
      <c r="B2372">
        <v>20104525</v>
      </c>
      <c r="C2372" s="5" t="s">
        <v>19</v>
      </c>
      <c r="D2372">
        <v>571164</v>
      </c>
      <c r="E2372" t="s">
        <v>20</v>
      </c>
      <c r="F2372">
        <v>1004637624</v>
      </c>
      <c r="G2372" t="s">
        <v>457</v>
      </c>
      <c r="H2372">
        <v>100075804</v>
      </c>
      <c r="I2372">
        <v>202611</v>
      </c>
      <c r="J2372">
        <v>1004637624</v>
      </c>
      <c r="K2372" t="s">
        <v>23</v>
      </c>
      <c r="L2372" t="s">
        <v>227</v>
      </c>
      <c r="M2372" t="s">
        <v>24</v>
      </c>
      <c r="N2372" t="s">
        <v>35</v>
      </c>
      <c r="O2372" t="s">
        <v>26</v>
      </c>
      <c r="P2372" t="s">
        <v>27</v>
      </c>
      <c r="Q2372" t="s">
        <v>28</v>
      </c>
      <c r="R2372" t="s">
        <v>29</v>
      </c>
      <c r="S2372" t="s">
        <v>30</v>
      </c>
      <c r="T2372">
        <v>53006215</v>
      </c>
      <c r="U2372" t="s">
        <v>3965</v>
      </c>
      <c r="V2372" t="s">
        <v>3934</v>
      </c>
      <c r="W2372" s="9">
        <f>IF(V2372="pregrado",31,
IF(V2372="posgrados",31,
IF(V2372="rEINTEGROS",7,
IF(V2372="BIT",90,
IF(V2372="OP GRADO - INGLÉS",17,"")))))</f>
        <v>31</v>
      </c>
      <c r="X2372" t="s">
        <v>4042</v>
      </c>
    </row>
    <row r="2373" spans="1:24" ht="15" x14ac:dyDescent="0.35">
      <c r="A2373" s="4">
        <v>46001.448310185187</v>
      </c>
      <c r="B2373">
        <v>20106337</v>
      </c>
      <c r="C2373" s="6" t="s">
        <v>19</v>
      </c>
      <c r="D2373">
        <v>571166</v>
      </c>
      <c r="E2373" t="s">
        <v>20</v>
      </c>
      <c r="F2373">
        <v>1102354102</v>
      </c>
      <c r="G2373" t="s">
        <v>854</v>
      </c>
      <c r="H2373">
        <v>100108981</v>
      </c>
      <c r="I2373">
        <v>202611</v>
      </c>
      <c r="J2373">
        <v>1102354102</v>
      </c>
      <c r="K2373" t="s">
        <v>89</v>
      </c>
      <c r="L2373" t="s">
        <v>133</v>
      </c>
      <c r="M2373" t="s">
        <v>24</v>
      </c>
      <c r="N2373" t="s">
        <v>35</v>
      </c>
      <c r="O2373" t="s">
        <v>26</v>
      </c>
      <c r="P2373" t="s">
        <v>27</v>
      </c>
      <c r="Q2373" t="s">
        <v>28</v>
      </c>
      <c r="R2373" t="s">
        <v>29</v>
      </c>
      <c r="S2373" t="s">
        <v>30</v>
      </c>
      <c r="T2373">
        <v>1016110979</v>
      </c>
      <c r="U2373" t="s">
        <v>3977</v>
      </c>
      <c r="V2373" t="s">
        <v>3970</v>
      </c>
      <c r="W2373" s="9">
        <f>IF(V2373="pregrado",31,
IF(V2373="posgrados",31,
IF(V2373="rEINTEGROS",7,
IF(V2373="BIT",90,
IF(V2373="OP GRADO - INGLÉS",17,"")))))</f>
        <v>7</v>
      </c>
      <c r="X2373" t="s">
        <v>4051</v>
      </c>
    </row>
    <row r="2374" spans="1:24" ht="15" x14ac:dyDescent="0.35">
      <c r="A2374" s="4">
        <v>45980.445671296293</v>
      </c>
      <c r="B2374">
        <v>20104369</v>
      </c>
      <c r="C2374" s="5" t="s">
        <v>19</v>
      </c>
      <c r="D2374">
        <v>571171</v>
      </c>
      <c r="E2374" t="s">
        <v>20</v>
      </c>
      <c r="F2374">
        <v>80577580</v>
      </c>
      <c r="G2374" t="s">
        <v>419</v>
      </c>
      <c r="H2374">
        <v>100235454</v>
      </c>
      <c r="I2374">
        <v>202611</v>
      </c>
      <c r="J2374">
        <v>1028487884</v>
      </c>
      <c r="K2374" t="s">
        <v>23</v>
      </c>
      <c r="L2374" t="s">
        <v>227</v>
      </c>
      <c r="M2374" t="s">
        <v>24</v>
      </c>
      <c r="N2374" t="s">
        <v>35</v>
      </c>
      <c r="O2374" t="s">
        <v>26</v>
      </c>
      <c r="P2374" t="s">
        <v>27</v>
      </c>
      <c r="Q2374" t="s">
        <v>28</v>
      </c>
      <c r="R2374" t="s">
        <v>29</v>
      </c>
      <c r="S2374" t="s">
        <v>30</v>
      </c>
      <c r="T2374">
        <v>524883151</v>
      </c>
      <c r="U2374" t="s">
        <v>3965</v>
      </c>
      <c r="V2374" t="s">
        <v>3934</v>
      </c>
      <c r="W2374" s="9">
        <f>IF(V2374="pregrado",31,
IF(V2374="posgrados",31,
IF(V2374="rEINTEGROS",7,
IF(V2374="BIT",90,
IF(V2374="OP GRADO - INGLÉS",17,"")))))</f>
        <v>31</v>
      </c>
      <c r="X2374" t="s">
        <v>4046</v>
      </c>
    </row>
    <row r="2375" spans="1:24" ht="15" x14ac:dyDescent="0.35">
      <c r="A2375" s="4">
        <v>45981.480671296296</v>
      </c>
      <c r="B2375">
        <v>20104493</v>
      </c>
      <c r="C2375" s="5" t="s">
        <v>19</v>
      </c>
      <c r="D2375">
        <v>571179</v>
      </c>
      <c r="E2375" t="s">
        <v>20</v>
      </c>
      <c r="F2375">
        <v>1192779487</v>
      </c>
      <c r="G2375" t="s">
        <v>449</v>
      </c>
      <c r="H2375">
        <v>100235462</v>
      </c>
      <c r="I2375">
        <v>202631</v>
      </c>
      <c r="J2375">
        <v>1065629732</v>
      </c>
      <c r="K2375" t="s">
        <v>23</v>
      </c>
      <c r="L2375" t="s">
        <v>219</v>
      </c>
      <c r="M2375" t="s">
        <v>24</v>
      </c>
      <c r="N2375" t="s">
        <v>35</v>
      </c>
      <c r="O2375" t="s">
        <v>26</v>
      </c>
      <c r="P2375" t="s">
        <v>27</v>
      </c>
      <c r="Q2375" t="s">
        <v>28</v>
      </c>
      <c r="R2375" t="s">
        <v>29</v>
      </c>
      <c r="S2375" t="s">
        <v>30</v>
      </c>
      <c r="T2375">
        <v>1023974716</v>
      </c>
      <c r="U2375" t="s">
        <v>3963</v>
      </c>
      <c r="V2375" t="s">
        <v>3934</v>
      </c>
      <c r="W2375" s="9">
        <f>IF(V2375="pregrado",31,
IF(V2375="posgrados",31,
IF(V2375="rEINTEGROS",7,
IF(V2375="BIT",90,
IF(V2375="OP GRADO - INGLÉS",17,"")))))</f>
        <v>31</v>
      </c>
      <c r="X2375" t="s">
        <v>4016</v>
      </c>
    </row>
    <row r="2376" spans="1:24" ht="15" x14ac:dyDescent="0.35">
      <c r="A2376" s="4">
        <v>45974.915729166663</v>
      </c>
      <c r="B2376">
        <v>20104111</v>
      </c>
      <c r="C2376" s="5" t="s">
        <v>19</v>
      </c>
      <c r="D2376">
        <v>571180</v>
      </c>
      <c r="E2376" t="s">
        <v>20</v>
      </c>
      <c r="F2376">
        <v>1001117417</v>
      </c>
      <c r="G2376" t="s">
        <v>352</v>
      </c>
      <c r="H2376">
        <v>100235463</v>
      </c>
      <c r="I2376">
        <v>202631</v>
      </c>
      <c r="J2376">
        <v>1001117417</v>
      </c>
      <c r="K2376" t="s">
        <v>33</v>
      </c>
      <c r="L2376" t="s">
        <v>51</v>
      </c>
      <c r="M2376" t="s">
        <v>24</v>
      </c>
      <c r="N2376" t="s">
        <v>38</v>
      </c>
      <c r="O2376" t="s">
        <v>26</v>
      </c>
      <c r="P2376" t="s">
        <v>27</v>
      </c>
      <c r="Q2376" t="s">
        <v>28</v>
      </c>
      <c r="R2376" t="s">
        <v>29</v>
      </c>
      <c r="S2376" t="s">
        <v>30</v>
      </c>
      <c r="T2376">
        <v>1023974716</v>
      </c>
      <c r="U2376" t="s">
        <v>3963</v>
      </c>
      <c r="V2376" t="s">
        <v>3934</v>
      </c>
      <c r="W2376" s="9">
        <f>IF(V2376="pregrado",31,
IF(V2376="posgrados",31,
IF(V2376="rEINTEGROS",7,
IF(V2376="BIT",90,
IF(V2376="OP GRADO - INGLÉS",17,"")))))</f>
        <v>31</v>
      </c>
      <c r="X2376" t="s">
        <v>4016</v>
      </c>
    </row>
    <row r="2377" spans="1:24" ht="15" x14ac:dyDescent="0.35">
      <c r="A2377" s="4">
        <v>45975.717256944445</v>
      </c>
      <c r="B2377">
        <v>20104199</v>
      </c>
      <c r="C2377" s="5" t="s">
        <v>19</v>
      </c>
      <c r="D2377">
        <v>571184</v>
      </c>
      <c r="E2377" t="s">
        <v>20</v>
      </c>
      <c r="F2377">
        <v>1216726779</v>
      </c>
      <c r="G2377" t="s">
        <v>378</v>
      </c>
      <c r="H2377">
        <v>100235467</v>
      </c>
      <c r="I2377">
        <v>202631</v>
      </c>
      <c r="J2377">
        <v>1216726779</v>
      </c>
      <c r="K2377" t="s">
        <v>23</v>
      </c>
      <c r="L2377" t="s">
        <v>114</v>
      </c>
      <c r="M2377" t="s">
        <v>24</v>
      </c>
      <c r="N2377" t="s">
        <v>35</v>
      </c>
      <c r="O2377" t="s">
        <v>26</v>
      </c>
      <c r="P2377" t="s">
        <v>27</v>
      </c>
      <c r="Q2377" t="s">
        <v>28</v>
      </c>
      <c r="R2377" t="s">
        <v>29</v>
      </c>
      <c r="S2377" t="s">
        <v>30</v>
      </c>
      <c r="T2377">
        <v>1023975276</v>
      </c>
      <c r="U2377" t="s">
        <v>3963</v>
      </c>
      <c r="V2377" t="s">
        <v>3934</v>
      </c>
      <c r="W2377" s="9">
        <f>IF(V2377="pregrado",31,
IF(V2377="posgrados",31,
IF(V2377="rEINTEGROS",7,
IF(V2377="BIT",90,
IF(V2377="OP GRADO - INGLÉS",17,"")))))</f>
        <v>31</v>
      </c>
      <c r="X2377" t="s">
        <v>3962</v>
      </c>
    </row>
    <row r="2378" spans="1:24" ht="15" x14ac:dyDescent="0.35">
      <c r="A2378" s="4">
        <v>45975.64739583333</v>
      </c>
      <c r="B2378">
        <v>20104172</v>
      </c>
      <c r="C2378" s="5" t="s">
        <v>19</v>
      </c>
      <c r="D2378">
        <v>571186</v>
      </c>
      <c r="E2378" t="s">
        <v>20</v>
      </c>
      <c r="F2378">
        <v>1140165288</v>
      </c>
      <c r="G2378" t="s">
        <v>371</v>
      </c>
      <c r="H2378">
        <v>100235471</v>
      </c>
      <c r="I2378">
        <v>202611</v>
      </c>
      <c r="J2378">
        <v>1140165288</v>
      </c>
      <c r="K2378" t="s">
        <v>23</v>
      </c>
      <c r="L2378" t="s">
        <v>204</v>
      </c>
      <c r="M2378" t="s">
        <v>24</v>
      </c>
      <c r="N2378" t="s">
        <v>25</v>
      </c>
      <c r="O2378" t="s">
        <v>26</v>
      </c>
      <c r="P2378" t="s">
        <v>27</v>
      </c>
      <c r="Q2378" t="s">
        <v>28</v>
      </c>
      <c r="R2378" t="s">
        <v>29</v>
      </c>
      <c r="S2378" t="s">
        <v>30</v>
      </c>
      <c r="T2378">
        <v>53061994</v>
      </c>
      <c r="U2378" t="s">
        <v>3941</v>
      </c>
      <c r="V2378" t="s">
        <v>3934</v>
      </c>
      <c r="W2378" s="9">
        <f>IF(V2378="pregrado",31,
IF(V2378="posgrados",31,
IF(V2378="rEINTEGROS",7,
IF(V2378="BIT",90,
IF(V2378="OP GRADO - INGLÉS",17,"")))))</f>
        <v>31</v>
      </c>
      <c r="X2378" t="s">
        <v>3950</v>
      </c>
    </row>
    <row r="2379" spans="1:24" ht="15" x14ac:dyDescent="0.35">
      <c r="A2379" s="4">
        <v>45981.439293981479</v>
      </c>
      <c r="B2379">
        <v>20104476</v>
      </c>
      <c r="C2379" s="5" t="s">
        <v>19</v>
      </c>
      <c r="D2379">
        <v>571192</v>
      </c>
      <c r="E2379" t="s">
        <v>20</v>
      </c>
      <c r="F2379">
        <v>50640303</v>
      </c>
      <c r="G2379" t="s">
        <v>445</v>
      </c>
      <c r="H2379">
        <v>100235479</v>
      </c>
      <c r="I2379">
        <v>202631</v>
      </c>
      <c r="J2379">
        <v>1074005446</v>
      </c>
      <c r="K2379" t="s">
        <v>23</v>
      </c>
      <c r="L2379" t="s">
        <v>219</v>
      </c>
      <c r="M2379" t="s">
        <v>24</v>
      </c>
      <c r="N2379" t="s">
        <v>35</v>
      </c>
      <c r="O2379" t="s">
        <v>26</v>
      </c>
      <c r="P2379" t="s">
        <v>27</v>
      </c>
      <c r="Q2379" t="s">
        <v>28</v>
      </c>
      <c r="R2379" t="s">
        <v>29</v>
      </c>
      <c r="S2379" t="s">
        <v>30</v>
      </c>
      <c r="T2379">
        <v>1000251314</v>
      </c>
      <c r="U2379" t="s">
        <v>3963</v>
      </c>
      <c r="V2379" t="s">
        <v>3934</v>
      </c>
      <c r="W2379" s="9">
        <f>IF(V2379="pregrado",31,
IF(V2379="posgrados",31,
IF(V2379="rEINTEGROS",7,
IF(V2379="BIT",90,
IF(V2379="OP GRADO - INGLÉS",17,"")))))</f>
        <v>31</v>
      </c>
      <c r="X2379" t="s">
        <v>4024</v>
      </c>
    </row>
    <row r="2380" spans="1:24" ht="15" x14ac:dyDescent="0.35">
      <c r="A2380" s="4">
        <v>45987.512187499997</v>
      </c>
      <c r="B2380">
        <v>20104923</v>
      </c>
      <c r="C2380" s="6" t="s">
        <v>19</v>
      </c>
      <c r="D2380">
        <v>571196</v>
      </c>
      <c r="E2380" t="s">
        <v>20</v>
      </c>
      <c r="F2380">
        <v>1076384694</v>
      </c>
      <c r="G2380" t="s">
        <v>560</v>
      </c>
      <c r="H2380">
        <v>100235485</v>
      </c>
      <c r="I2380">
        <v>202631</v>
      </c>
      <c r="J2380">
        <v>1076384694</v>
      </c>
      <c r="K2380" t="s">
        <v>23</v>
      </c>
      <c r="L2380" t="s">
        <v>51</v>
      </c>
      <c r="M2380" t="s">
        <v>24</v>
      </c>
      <c r="N2380" t="s">
        <v>35</v>
      </c>
      <c r="O2380" t="s">
        <v>26</v>
      </c>
      <c r="P2380" t="s">
        <v>27</v>
      </c>
      <c r="Q2380" t="s">
        <v>28</v>
      </c>
      <c r="R2380" t="s">
        <v>29</v>
      </c>
      <c r="S2380" t="s">
        <v>30</v>
      </c>
      <c r="T2380">
        <v>80021358</v>
      </c>
      <c r="U2380" t="s">
        <v>3986</v>
      </c>
      <c r="V2380" t="s">
        <v>3934</v>
      </c>
      <c r="W2380" s="9">
        <f>IF(V2380="pregrado",31,
IF(V2380="posgrados",31,
IF(V2380="rEINTEGROS",7,
IF(V2380="BIT",90,
IF(V2380="OP GRADO - INGLÉS",17,"")))))</f>
        <v>31</v>
      </c>
      <c r="X2380" t="s">
        <v>3995</v>
      </c>
    </row>
    <row r="2381" spans="1:24" ht="15" x14ac:dyDescent="0.35">
      <c r="A2381" s="4">
        <v>45975.692372685182</v>
      </c>
      <c r="B2381">
        <v>20104193</v>
      </c>
      <c r="C2381" s="5" t="s">
        <v>19</v>
      </c>
      <c r="D2381">
        <v>571241</v>
      </c>
      <c r="E2381" t="s">
        <v>20</v>
      </c>
      <c r="F2381">
        <v>1128274589</v>
      </c>
      <c r="G2381" t="s">
        <v>376</v>
      </c>
      <c r="H2381">
        <v>200063725</v>
      </c>
      <c r="I2381">
        <v>202631</v>
      </c>
      <c r="J2381">
        <v>1128274589</v>
      </c>
      <c r="K2381" t="s">
        <v>23</v>
      </c>
      <c r="L2381" t="s">
        <v>119</v>
      </c>
      <c r="M2381" t="s">
        <v>24</v>
      </c>
      <c r="N2381" t="s">
        <v>35</v>
      </c>
      <c r="O2381" t="s">
        <v>26</v>
      </c>
      <c r="P2381" t="s">
        <v>27</v>
      </c>
      <c r="Q2381" t="s">
        <v>28</v>
      </c>
      <c r="R2381" t="s">
        <v>29</v>
      </c>
      <c r="S2381" t="s">
        <v>30</v>
      </c>
      <c r="T2381">
        <v>1077967131</v>
      </c>
      <c r="U2381" t="s">
        <v>3963</v>
      </c>
      <c r="V2381" t="s">
        <v>3934</v>
      </c>
      <c r="W2381" s="9">
        <f>IF(V2381="pregrado",31,
IF(V2381="posgrados",31,
IF(V2381="rEINTEGROS",7,
IF(V2381="BIT",90,
IF(V2381="OP GRADO - INGLÉS",17,"")))))</f>
        <v>31</v>
      </c>
      <c r="X2381" t="s">
        <v>4011</v>
      </c>
    </row>
    <row r="2382" spans="1:24" ht="15" x14ac:dyDescent="0.35">
      <c r="A2382" s="4">
        <v>45979.511678240742</v>
      </c>
      <c r="B2382">
        <v>20104295</v>
      </c>
      <c r="C2382" s="5" t="s">
        <v>19</v>
      </c>
      <c r="D2382">
        <v>571257</v>
      </c>
      <c r="E2382" t="s">
        <v>20</v>
      </c>
      <c r="F2382">
        <v>1019985562</v>
      </c>
      <c r="G2382" t="s">
        <v>397</v>
      </c>
      <c r="H2382">
        <v>100235534</v>
      </c>
      <c r="I2382">
        <v>202631</v>
      </c>
      <c r="J2382">
        <v>1019985562</v>
      </c>
      <c r="K2382" t="s">
        <v>33</v>
      </c>
      <c r="L2382" t="s">
        <v>90</v>
      </c>
      <c r="M2382" t="s">
        <v>24</v>
      </c>
      <c r="N2382" t="s">
        <v>25</v>
      </c>
      <c r="O2382" t="s">
        <v>26</v>
      </c>
      <c r="P2382" t="s">
        <v>27</v>
      </c>
      <c r="Q2382" t="s">
        <v>28</v>
      </c>
      <c r="R2382" t="s">
        <v>29</v>
      </c>
      <c r="S2382" t="s">
        <v>30</v>
      </c>
      <c r="T2382">
        <v>1013595695</v>
      </c>
      <c r="U2382" t="s">
        <v>3933</v>
      </c>
      <c r="V2382" t="s">
        <v>3934</v>
      </c>
      <c r="W2382" s="9">
        <f>IF(V2382="pregrado",31,
IF(V2382="posgrados",31,
IF(V2382="rEINTEGROS",7,
IF(V2382="BIT",90,
IF(V2382="OP GRADO - INGLÉS",17,"")))))</f>
        <v>31</v>
      </c>
      <c r="X2382" t="s">
        <v>3990</v>
      </c>
    </row>
    <row r="2383" spans="1:24" ht="15" x14ac:dyDescent="0.35">
      <c r="A2383" s="4">
        <v>45976.492592592593</v>
      </c>
      <c r="B2383">
        <v>20104239</v>
      </c>
      <c r="C2383" s="5" t="s">
        <v>19</v>
      </c>
      <c r="D2383">
        <v>571261</v>
      </c>
      <c r="E2383" t="s">
        <v>20</v>
      </c>
      <c r="F2383">
        <v>1018375040</v>
      </c>
      <c r="G2383" t="s">
        <v>384</v>
      </c>
      <c r="H2383">
        <v>100235538</v>
      </c>
      <c r="I2383">
        <v>202631</v>
      </c>
      <c r="J2383">
        <v>1015332949</v>
      </c>
      <c r="K2383" t="s">
        <v>23</v>
      </c>
      <c r="L2383" t="s">
        <v>219</v>
      </c>
      <c r="M2383" t="s">
        <v>24</v>
      </c>
      <c r="N2383" t="s">
        <v>35</v>
      </c>
      <c r="O2383" t="s">
        <v>26</v>
      </c>
      <c r="P2383" t="s">
        <v>27</v>
      </c>
      <c r="Q2383" t="s">
        <v>28</v>
      </c>
      <c r="R2383" t="s">
        <v>29</v>
      </c>
      <c r="S2383" t="s">
        <v>30</v>
      </c>
      <c r="T2383">
        <v>1057586591</v>
      </c>
      <c r="U2383" t="s">
        <v>3963</v>
      </c>
      <c r="V2383" t="s">
        <v>3934</v>
      </c>
      <c r="W2383" s="9">
        <f>IF(V2383="pregrado",31,
IF(V2383="posgrados",31,
IF(V2383="rEINTEGROS",7,
IF(V2383="BIT",90,
IF(V2383="OP GRADO - INGLÉS",17,"")))))</f>
        <v>31</v>
      </c>
      <c r="X2383" t="s">
        <v>3988</v>
      </c>
    </row>
    <row r="2384" spans="1:24" ht="15" x14ac:dyDescent="0.35">
      <c r="A2384" s="4">
        <v>45975.673391203702</v>
      </c>
      <c r="B2384">
        <v>20104184</v>
      </c>
      <c r="C2384" s="5" t="s">
        <v>19</v>
      </c>
      <c r="D2384">
        <v>571263</v>
      </c>
      <c r="E2384" t="s">
        <v>20</v>
      </c>
      <c r="F2384">
        <v>1066175032</v>
      </c>
      <c r="G2384" t="s">
        <v>374</v>
      </c>
      <c r="H2384">
        <v>100206790</v>
      </c>
      <c r="I2384">
        <v>202631</v>
      </c>
      <c r="J2384">
        <v>1066175032</v>
      </c>
      <c r="K2384" t="s">
        <v>33</v>
      </c>
      <c r="L2384" t="s">
        <v>101</v>
      </c>
      <c r="M2384" t="s">
        <v>24</v>
      </c>
      <c r="N2384" t="s">
        <v>35</v>
      </c>
      <c r="O2384" t="s">
        <v>26</v>
      </c>
      <c r="P2384" t="s">
        <v>27</v>
      </c>
      <c r="Q2384" t="s">
        <v>28</v>
      </c>
      <c r="R2384" t="s">
        <v>29</v>
      </c>
      <c r="S2384" t="s">
        <v>30</v>
      </c>
      <c r="T2384">
        <v>1023975276</v>
      </c>
      <c r="U2384" t="s">
        <v>3963</v>
      </c>
      <c r="V2384" t="s">
        <v>3934</v>
      </c>
      <c r="W2384" s="9">
        <f>IF(V2384="pregrado",31,
IF(V2384="posgrados",31,
IF(V2384="rEINTEGROS",7,
IF(V2384="BIT",90,
IF(V2384="OP GRADO - INGLÉS",17,"")))))</f>
        <v>31</v>
      </c>
      <c r="X2384" t="s">
        <v>3962</v>
      </c>
    </row>
    <row r="2385" spans="1:24" ht="15" x14ac:dyDescent="0.35">
      <c r="A2385" s="4">
        <v>45976.403124999997</v>
      </c>
      <c r="B2385">
        <v>20104228</v>
      </c>
      <c r="C2385" s="5" t="s">
        <v>19</v>
      </c>
      <c r="D2385">
        <v>571273</v>
      </c>
      <c r="E2385" t="s">
        <v>20</v>
      </c>
      <c r="F2385">
        <v>1056956642</v>
      </c>
      <c r="G2385" t="s">
        <v>382</v>
      </c>
      <c r="H2385">
        <v>100235549</v>
      </c>
      <c r="I2385">
        <v>202631</v>
      </c>
      <c r="J2385">
        <v>1056956642</v>
      </c>
      <c r="K2385" t="s">
        <v>74</v>
      </c>
      <c r="L2385" t="s">
        <v>231</v>
      </c>
      <c r="M2385" t="s">
        <v>24</v>
      </c>
      <c r="N2385" t="s">
        <v>35</v>
      </c>
      <c r="O2385" t="s">
        <v>26</v>
      </c>
      <c r="P2385" t="s">
        <v>27</v>
      </c>
      <c r="Q2385" t="s">
        <v>28</v>
      </c>
      <c r="R2385" t="s">
        <v>29</v>
      </c>
      <c r="S2385" t="s">
        <v>30</v>
      </c>
      <c r="T2385">
        <v>1031147887</v>
      </c>
      <c r="U2385" t="s">
        <v>3948</v>
      </c>
      <c r="V2385" t="s">
        <v>3937</v>
      </c>
      <c r="W2385" s="9">
        <f>IF(V2385="pregrado",31,
IF(V2385="posgrados",31,
IF(V2385="rEINTEGROS",7,
IF(V2385="BIT",90,
IF(V2385="OP GRADO - INGLÉS",17,"")))))</f>
        <v>31</v>
      </c>
      <c r="X2385" t="s">
        <v>3947</v>
      </c>
    </row>
    <row r="2386" spans="1:24" ht="15" x14ac:dyDescent="0.35">
      <c r="A2386" s="4">
        <v>45975.585046296299</v>
      </c>
      <c r="B2386">
        <v>20104157</v>
      </c>
      <c r="C2386" s="5" t="s">
        <v>19</v>
      </c>
      <c r="D2386">
        <v>571278</v>
      </c>
      <c r="E2386" t="s">
        <v>20</v>
      </c>
      <c r="F2386">
        <v>1234338027</v>
      </c>
      <c r="G2386" t="s">
        <v>364</v>
      </c>
      <c r="H2386">
        <v>100235557</v>
      </c>
      <c r="I2386">
        <v>202611</v>
      </c>
      <c r="J2386">
        <v>1234338027</v>
      </c>
      <c r="K2386" t="s">
        <v>23</v>
      </c>
      <c r="L2386" t="s">
        <v>221</v>
      </c>
      <c r="M2386" t="s">
        <v>24</v>
      </c>
      <c r="N2386" t="s">
        <v>25</v>
      </c>
      <c r="O2386" t="s">
        <v>26</v>
      </c>
      <c r="P2386" t="s">
        <v>27</v>
      </c>
      <c r="Q2386" t="s">
        <v>28</v>
      </c>
      <c r="R2386" t="s">
        <v>29</v>
      </c>
      <c r="S2386" t="s">
        <v>30</v>
      </c>
      <c r="T2386">
        <v>1023929839</v>
      </c>
      <c r="U2386" t="s">
        <v>3933</v>
      </c>
      <c r="V2386" t="s">
        <v>3934</v>
      </c>
      <c r="W2386" s="9">
        <f>IF(V2386="pregrado",31,
IF(V2386="posgrados",31,
IF(V2386="rEINTEGROS",7,
IF(V2386="BIT",90,
IF(V2386="OP GRADO - INGLÉS",17,"")))))</f>
        <v>31</v>
      </c>
      <c r="X2386" t="s">
        <v>3932</v>
      </c>
    </row>
    <row r="2387" spans="1:24" ht="15" x14ac:dyDescent="0.35">
      <c r="A2387" s="4">
        <v>45988.578287037039</v>
      </c>
      <c r="B2387">
        <v>20105102</v>
      </c>
      <c r="C2387" s="6" t="s">
        <v>19</v>
      </c>
      <c r="D2387">
        <v>571279</v>
      </c>
      <c r="E2387" t="s">
        <v>20</v>
      </c>
      <c r="F2387">
        <v>79352769</v>
      </c>
      <c r="G2387" t="s">
        <v>615</v>
      </c>
      <c r="H2387">
        <v>100235564</v>
      </c>
      <c r="I2387">
        <v>202631</v>
      </c>
      <c r="J2387">
        <v>1023959587</v>
      </c>
      <c r="K2387" t="s">
        <v>23</v>
      </c>
      <c r="L2387" t="s">
        <v>32</v>
      </c>
      <c r="M2387" t="s">
        <v>24</v>
      </c>
      <c r="N2387" t="s">
        <v>25</v>
      </c>
      <c r="O2387" t="s">
        <v>26</v>
      </c>
      <c r="P2387" t="s">
        <v>27</v>
      </c>
      <c r="Q2387" t="s">
        <v>28</v>
      </c>
      <c r="R2387" t="s">
        <v>29</v>
      </c>
      <c r="S2387" t="s">
        <v>30</v>
      </c>
      <c r="T2387">
        <v>1000120140</v>
      </c>
      <c r="U2387" t="s">
        <v>3936</v>
      </c>
      <c r="V2387" t="s">
        <v>3937</v>
      </c>
      <c r="W2387" s="9">
        <f>IF(V2387="pregrado",31,
IF(V2387="posgrados",31,
IF(V2387="rEINTEGROS",7,
IF(V2387="BIT",90,
IF(V2387="OP GRADO - INGLÉS",17,"")))))</f>
        <v>31</v>
      </c>
      <c r="X2387" t="s">
        <v>3935</v>
      </c>
    </row>
    <row r="2388" spans="1:24" ht="15" x14ac:dyDescent="0.35">
      <c r="A2388" s="4">
        <v>45985.61277777778</v>
      </c>
      <c r="B2388">
        <v>20104702</v>
      </c>
      <c r="C2388" s="5" t="s">
        <v>19</v>
      </c>
      <c r="D2388">
        <v>571285</v>
      </c>
      <c r="E2388" t="s">
        <v>20</v>
      </c>
      <c r="F2388">
        <v>52173732</v>
      </c>
      <c r="G2388" t="s">
        <v>490</v>
      </c>
      <c r="H2388">
        <v>100235568</v>
      </c>
      <c r="I2388">
        <v>202610</v>
      </c>
      <c r="J2388">
        <v>1013622104</v>
      </c>
      <c r="K2388" t="s">
        <v>23</v>
      </c>
      <c r="L2388" t="s">
        <v>79</v>
      </c>
      <c r="M2388" t="s">
        <v>24</v>
      </c>
      <c r="N2388" t="s">
        <v>35</v>
      </c>
      <c r="O2388" t="s">
        <v>26</v>
      </c>
      <c r="P2388" t="s">
        <v>27</v>
      </c>
      <c r="Q2388" t="s">
        <v>28</v>
      </c>
      <c r="R2388" t="s">
        <v>29</v>
      </c>
      <c r="S2388" t="s">
        <v>30</v>
      </c>
      <c r="T2388">
        <v>1030570122</v>
      </c>
      <c r="U2388" t="s">
        <v>3965</v>
      </c>
      <c r="V2388" t="s">
        <v>3934</v>
      </c>
      <c r="W2388" s="9">
        <f>IF(V2388="pregrado",31,
IF(V2388="posgrados",31,
IF(V2388="rEINTEGROS",7,
IF(V2388="BIT",90,
IF(V2388="OP GRADO - INGLÉS",17,"")))))</f>
        <v>31</v>
      </c>
      <c r="X2388" t="s">
        <v>4015</v>
      </c>
    </row>
    <row r="2389" spans="1:24" ht="15" x14ac:dyDescent="0.35">
      <c r="A2389" s="4">
        <v>45979.699305555558</v>
      </c>
      <c r="B2389">
        <v>20104329</v>
      </c>
      <c r="C2389" s="5" t="s">
        <v>19</v>
      </c>
      <c r="D2389">
        <v>571294</v>
      </c>
      <c r="E2389" t="s">
        <v>20</v>
      </c>
      <c r="F2389">
        <v>79296785</v>
      </c>
      <c r="G2389" t="s">
        <v>410</v>
      </c>
      <c r="H2389">
        <v>100235359</v>
      </c>
      <c r="I2389">
        <v>202610</v>
      </c>
      <c r="J2389">
        <v>1001091822</v>
      </c>
      <c r="K2389" t="s">
        <v>23</v>
      </c>
      <c r="L2389" t="s">
        <v>153</v>
      </c>
      <c r="M2389" t="s">
        <v>24</v>
      </c>
      <c r="N2389" t="s">
        <v>35</v>
      </c>
      <c r="O2389" t="s">
        <v>26</v>
      </c>
      <c r="P2389" t="s">
        <v>27</v>
      </c>
      <c r="Q2389" t="s">
        <v>28</v>
      </c>
      <c r="R2389" t="s">
        <v>29</v>
      </c>
      <c r="S2389" t="s">
        <v>30</v>
      </c>
      <c r="T2389">
        <v>524883151</v>
      </c>
      <c r="U2389" t="s">
        <v>3965</v>
      </c>
      <c r="V2389" t="s">
        <v>3934</v>
      </c>
      <c r="W2389" s="9">
        <f>IF(V2389="pregrado",31,
IF(V2389="posgrados",31,
IF(V2389="rEINTEGROS",7,
IF(V2389="BIT",90,
IF(V2389="OP GRADO - INGLÉS",17,"")))))</f>
        <v>31</v>
      </c>
      <c r="X2389" t="s">
        <v>4046</v>
      </c>
    </row>
    <row r="2390" spans="1:24" ht="15" x14ac:dyDescent="0.35">
      <c r="A2390" s="4">
        <v>45975.561608796299</v>
      </c>
      <c r="B2390">
        <v>20104149</v>
      </c>
      <c r="C2390" s="5" t="s">
        <v>19</v>
      </c>
      <c r="D2390">
        <v>571298</v>
      </c>
      <c r="E2390" t="s">
        <v>20</v>
      </c>
      <c r="F2390">
        <v>1069471392</v>
      </c>
      <c r="G2390" t="s">
        <v>362</v>
      </c>
      <c r="H2390">
        <v>100235493</v>
      </c>
      <c r="I2390">
        <v>202610</v>
      </c>
      <c r="J2390">
        <v>1069471392</v>
      </c>
      <c r="K2390" t="s">
        <v>23</v>
      </c>
      <c r="L2390" t="s">
        <v>153</v>
      </c>
      <c r="M2390" t="s">
        <v>24</v>
      </c>
      <c r="N2390" t="s">
        <v>35</v>
      </c>
      <c r="O2390" t="s">
        <v>26</v>
      </c>
      <c r="P2390" t="s">
        <v>27</v>
      </c>
      <c r="Q2390" t="s">
        <v>28</v>
      </c>
      <c r="R2390" t="s">
        <v>29</v>
      </c>
      <c r="S2390" t="s">
        <v>30</v>
      </c>
      <c r="T2390">
        <v>1032678391</v>
      </c>
      <c r="U2390" t="s">
        <v>3965</v>
      </c>
      <c r="V2390" t="s">
        <v>3934</v>
      </c>
      <c r="W2390" s="9">
        <f>IF(V2390="pregrado",31,
IF(V2390="posgrados",31,
IF(V2390="rEINTEGROS",7,
IF(V2390="BIT",90,
IF(V2390="OP GRADO - INGLÉS",17,"")))))</f>
        <v>31</v>
      </c>
      <c r="X2390" t="s">
        <v>4098</v>
      </c>
    </row>
    <row r="2391" spans="1:24" ht="15" x14ac:dyDescent="0.35">
      <c r="A2391" s="4">
        <v>45986.373819444445</v>
      </c>
      <c r="B2391">
        <v>20104759</v>
      </c>
      <c r="C2391" s="5" t="s">
        <v>19</v>
      </c>
      <c r="D2391">
        <v>571309</v>
      </c>
      <c r="E2391" t="s">
        <v>20</v>
      </c>
      <c r="F2391">
        <v>1073978752</v>
      </c>
      <c r="G2391" t="s">
        <v>511</v>
      </c>
      <c r="H2391">
        <v>100139517</v>
      </c>
      <c r="I2391">
        <v>202611</v>
      </c>
      <c r="J2391">
        <v>1073978752</v>
      </c>
      <c r="K2391" t="s">
        <v>33</v>
      </c>
      <c r="L2391" t="s">
        <v>204</v>
      </c>
      <c r="M2391" t="s">
        <v>24</v>
      </c>
      <c r="N2391" t="s">
        <v>35</v>
      </c>
      <c r="O2391" t="s">
        <v>26</v>
      </c>
      <c r="P2391" t="s">
        <v>27</v>
      </c>
      <c r="Q2391" t="s">
        <v>28</v>
      </c>
      <c r="R2391" t="s">
        <v>29</v>
      </c>
      <c r="S2391" t="s">
        <v>30</v>
      </c>
      <c r="T2391">
        <v>53178431</v>
      </c>
      <c r="U2391" t="s">
        <v>3941</v>
      </c>
      <c r="V2391" t="s">
        <v>3934</v>
      </c>
      <c r="W2391" s="9">
        <f>IF(V2391="pregrado",31,
IF(V2391="posgrados",31,
IF(V2391="rEINTEGROS",7,
IF(V2391="BIT",90,
IF(V2391="OP GRADO - INGLÉS",17,"")))))</f>
        <v>31</v>
      </c>
      <c r="X2391" t="s">
        <v>3949</v>
      </c>
    </row>
    <row r="2392" spans="1:24" ht="15" x14ac:dyDescent="0.35">
      <c r="A2392" s="4">
        <v>45975.641342592593</v>
      </c>
      <c r="B2392">
        <v>20104168</v>
      </c>
      <c r="C2392" s="5" t="s">
        <v>19</v>
      </c>
      <c r="D2392">
        <v>571311</v>
      </c>
      <c r="E2392" t="s">
        <v>20</v>
      </c>
      <c r="F2392">
        <v>1006947477</v>
      </c>
      <c r="G2392" t="s">
        <v>369</v>
      </c>
      <c r="H2392">
        <v>100235353</v>
      </c>
      <c r="I2392">
        <v>202631</v>
      </c>
      <c r="J2392">
        <v>1006947477</v>
      </c>
      <c r="K2392" t="s">
        <v>23</v>
      </c>
      <c r="L2392" t="s">
        <v>370</v>
      </c>
      <c r="M2392" t="s">
        <v>24</v>
      </c>
      <c r="N2392" t="s">
        <v>35</v>
      </c>
      <c r="O2392" t="s">
        <v>26</v>
      </c>
      <c r="P2392" t="s">
        <v>27</v>
      </c>
      <c r="Q2392" t="s">
        <v>28</v>
      </c>
      <c r="R2392" t="s">
        <v>29</v>
      </c>
      <c r="S2392" t="s">
        <v>30</v>
      </c>
      <c r="T2392">
        <v>1023367706</v>
      </c>
      <c r="U2392" t="s">
        <v>3963</v>
      </c>
      <c r="V2392" t="s">
        <v>3934</v>
      </c>
      <c r="W2392" s="9">
        <f>IF(V2392="pregrado",31,
IF(V2392="posgrados",31,
IF(V2392="rEINTEGROS",7,
IF(V2392="BIT",90,
IF(V2392="OP GRADO - INGLÉS",17,"")))))</f>
        <v>31</v>
      </c>
      <c r="X2392" t="s">
        <v>4039</v>
      </c>
    </row>
    <row r="2393" spans="1:24" ht="15" x14ac:dyDescent="0.35">
      <c r="A2393" s="4">
        <v>45980.760821759257</v>
      </c>
      <c r="B2393">
        <v>20104445</v>
      </c>
      <c r="C2393" s="5" t="s">
        <v>19</v>
      </c>
      <c r="D2393">
        <v>571316</v>
      </c>
      <c r="E2393" t="s">
        <v>20</v>
      </c>
      <c r="F2393">
        <v>52888439</v>
      </c>
      <c r="G2393" t="s">
        <v>441</v>
      </c>
      <c r="H2393">
        <v>100234748</v>
      </c>
      <c r="I2393">
        <v>202610</v>
      </c>
      <c r="J2393">
        <v>1019057893</v>
      </c>
      <c r="K2393" t="s">
        <v>23</v>
      </c>
      <c r="L2393" t="s">
        <v>49</v>
      </c>
      <c r="M2393" t="s">
        <v>24</v>
      </c>
      <c r="N2393" t="s">
        <v>35</v>
      </c>
      <c r="O2393" t="s">
        <v>26</v>
      </c>
      <c r="P2393" t="s">
        <v>27</v>
      </c>
      <c r="Q2393" t="s">
        <v>28</v>
      </c>
      <c r="R2393" t="s">
        <v>29</v>
      </c>
      <c r="S2393" t="s">
        <v>30</v>
      </c>
      <c r="T2393">
        <v>53139409</v>
      </c>
      <c r="U2393" t="s">
        <v>3944</v>
      </c>
      <c r="V2393" t="s">
        <v>3934</v>
      </c>
      <c r="W2393" s="9">
        <f>IF(V2393="pregrado",31,
IF(V2393="posgrados",31,
IF(V2393="rEINTEGROS",7,
IF(V2393="BIT",90,
IF(V2393="OP GRADO - INGLÉS",17,"")))))</f>
        <v>31</v>
      </c>
      <c r="X2393" t="s">
        <v>3955</v>
      </c>
    </row>
    <row r="2394" spans="1:24" ht="15" x14ac:dyDescent="0.35">
      <c r="A2394" s="4">
        <v>45983.354618055557</v>
      </c>
      <c r="B2394">
        <v>20104618</v>
      </c>
      <c r="C2394" s="5" t="s">
        <v>19</v>
      </c>
      <c r="D2394">
        <v>571319</v>
      </c>
      <c r="E2394" t="s">
        <v>20</v>
      </c>
      <c r="F2394">
        <v>1072710605</v>
      </c>
      <c r="G2394" t="s">
        <v>470</v>
      </c>
      <c r="H2394">
        <v>100235602</v>
      </c>
      <c r="I2394">
        <v>202611</v>
      </c>
      <c r="J2394">
        <v>1072710605</v>
      </c>
      <c r="K2394" t="s">
        <v>33</v>
      </c>
      <c r="L2394" t="s">
        <v>204</v>
      </c>
      <c r="M2394" t="s">
        <v>24</v>
      </c>
      <c r="N2394" t="s">
        <v>25</v>
      </c>
      <c r="O2394" t="s">
        <v>26</v>
      </c>
      <c r="P2394" t="s">
        <v>27</v>
      </c>
      <c r="Q2394" t="s">
        <v>28</v>
      </c>
      <c r="R2394" t="s">
        <v>29</v>
      </c>
      <c r="S2394" t="s">
        <v>30</v>
      </c>
      <c r="T2394">
        <v>1031147887</v>
      </c>
      <c r="U2394" t="s">
        <v>3948</v>
      </c>
      <c r="V2394" t="s">
        <v>3937</v>
      </c>
      <c r="W2394" s="9">
        <f>IF(V2394="pregrado",31,
IF(V2394="posgrados",31,
IF(V2394="rEINTEGROS",7,
IF(V2394="BIT",90,
IF(V2394="OP GRADO - INGLÉS",17,"")))))</f>
        <v>31</v>
      </c>
      <c r="X2394" t="s">
        <v>3947</v>
      </c>
    </row>
    <row r="2395" spans="1:24" ht="15" x14ac:dyDescent="0.35">
      <c r="A2395" s="4">
        <v>45978.841145833336</v>
      </c>
      <c r="B2395">
        <v>20104267</v>
      </c>
      <c r="C2395" s="5" t="s">
        <v>19</v>
      </c>
      <c r="D2395">
        <v>571328</v>
      </c>
      <c r="E2395" t="s">
        <v>20</v>
      </c>
      <c r="F2395">
        <v>52666966</v>
      </c>
      <c r="G2395" t="s">
        <v>389</v>
      </c>
      <c r="H2395">
        <v>100235611</v>
      </c>
      <c r="I2395">
        <v>202610</v>
      </c>
      <c r="J2395">
        <v>1032940919</v>
      </c>
      <c r="K2395" t="s">
        <v>23</v>
      </c>
      <c r="L2395" t="s">
        <v>40</v>
      </c>
      <c r="M2395" t="s">
        <v>24</v>
      </c>
      <c r="N2395" t="s">
        <v>38</v>
      </c>
      <c r="O2395" t="s">
        <v>26</v>
      </c>
      <c r="P2395" t="s">
        <v>27</v>
      </c>
      <c r="Q2395" t="s">
        <v>28</v>
      </c>
      <c r="R2395" t="s">
        <v>29</v>
      </c>
      <c r="S2395" t="s">
        <v>30</v>
      </c>
      <c r="T2395">
        <v>80219471</v>
      </c>
      <c r="U2395" t="s">
        <v>3941</v>
      </c>
      <c r="V2395" t="s">
        <v>3934</v>
      </c>
      <c r="W2395" s="9">
        <f>IF(V2395="pregrado",31,
IF(V2395="posgrados",31,
IF(V2395="rEINTEGROS",7,
IF(V2395="BIT",90,
IF(V2395="OP GRADO - INGLÉS",17,"")))))</f>
        <v>31</v>
      </c>
      <c r="X2395" t="s">
        <v>4030</v>
      </c>
    </row>
    <row r="2396" spans="1:24" ht="15" x14ac:dyDescent="0.35">
      <c r="A2396" s="4">
        <v>45975.607094907406</v>
      </c>
      <c r="B2396">
        <v>20104162</v>
      </c>
      <c r="C2396" s="5" t="s">
        <v>19</v>
      </c>
      <c r="D2396">
        <v>571334</v>
      </c>
      <c r="E2396" t="s">
        <v>20</v>
      </c>
      <c r="F2396">
        <v>1072364493</v>
      </c>
      <c r="G2396" t="s">
        <v>366</v>
      </c>
      <c r="H2396">
        <v>100235618</v>
      </c>
      <c r="I2396">
        <v>202611</v>
      </c>
      <c r="J2396">
        <v>1072364493</v>
      </c>
      <c r="K2396" t="s">
        <v>23</v>
      </c>
      <c r="L2396" t="s">
        <v>227</v>
      </c>
      <c r="M2396" t="s">
        <v>24</v>
      </c>
      <c r="N2396" t="s">
        <v>35</v>
      </c>
      <c r="O2396" t="s">
        <v>26</v>
      </c>
      <c r="P2396" t="s">
        <v>27</v>
      </c>
      <c r="Q2396" t="s">
        <v>28</v>
      </c>
      <c r="R2396" t="s">
        <v>29</v>
      </c>
      <c r="S2396" t="s">
        <v>30</v>
      </c>
      <c r="T2396">
        <v>1013662799</v>
      </c>
      <c r="U2396" t="s">
        <v>3965</v>
      </c>
      <c r="V2396" t="s">
        <v>3934</v>
      </c>
      <c r="W2396" s="9">
        <f>IF(V2396="pregrado",31,
IF(V2396="posgrados",31,
IF(V2396="rEINTEGROS",7,
IF(V2396="BIT",90,
IF(V2396="OP GRADO - INGLÉS",17,"")))))</f>
        <v>31</v>
      </c>
      <c r="X2396" t="s">
        <v>4021</v>
      </c>
    </row>
    <row r="2397" spans="1:24" ht="15" x14ac:dyDescent="0.35">
      <c r="A2397" s="4">
        <v>45989.414224537039</v>
      </c>
      <c r="B2397">
        <v>20105215</v>
      </c>
      <c r="C2397" s="6" t="s">
        <v>19</v>
      </c>
      <c r="D2397">
        <v>571335</v>
      </c>
      <c r="E2397" t="s">
        <v>20</v>
      </c>
      <c r="F2397">
        <v>1000577354</v>
      </c>
      <c r="G2397" t="s">
        <v>641</v>
      </c>
      <c r="H2397">
        <v>100235619</v>
      </c>
      <c r="I2397">
        <v>202631</v>
      </c>
      <c r="J2397">
        <v>1000577354</v>
      </c>
      <c r="K2397" t="s">
        <v>23</v>
      </c>
      <c r="L2397" t="s">
        <v>57</v>
      </c>
      <c r="M2397" t="s">
        <v>24</v>
      </c>
      <c r="N2397" t="s">
        <v>35</v>
      </c>
      <c r="O2397" t="s">
        <v>26</v>
      </c>
      <c r="P2397" t="s">
        <v>27</v>
      </c>
      <c r="Q2397" t="s">
        <v>28</v>
      </c>
      <c r="R2397" t="s">
        <v>29</v>
      </c>
      <c r="S2397" t="s">
        <v>30</v>
      </c>
      <c r="T2397">
        <v>1031147887</v>
      </c>
      <c r="U2397" t="s">
        <v>3948</v>
      </c>
      <c r="V2397" t="s">
        <v>3937</v>
      </c>
      <c r="W2397" s="9">
        <f>IF(V2397="pregrado",31,
IF(V2397="posgrados",31,
IF(V2397="rEINTEGROS",7,
IF(V2397="BIT",90,
IF(V2397="OP GRADO - INGLÉS",17,"")))))</f>
        <v>31</v>
      </c>
      <c r="X2397" t="s">
        <v>3947</v>
      </c>
    </row>
    <row r="2398" spans="1:24" ht="15" x14ac:dyDescent="0.35">
      <c r="A2398" s="4">
        <v>45979.461550925924</v>
      </c>
      <c r="B2398">
        <v>20104286</v>
      </c>
      <c r="C2398" s="5" t="s">
        <v>19</v>
      </c>
      <c r="D2398">
        <v>571336</v>
      </c>
      <c r="E2398" t="s">
        <v>20</v>
      </c>
      <c r="F2398">
        <v>1000225191</v>
      </c>
      <c r="G2398" t="s">
        <v>395</v>
      </c>
      <c r="H2398">
        <v>100231337</v>
      </c>
      <c r="I2398">
        <v>202611</v>
      </c>
      <c r="J2398">
        <v>1000225191</v>
      </c>
      <c r="K2398" t="s">
        <v>23</v>
      </c>
      <c r="L2398" t="s">
        <v>227</v>
      </c>
      <c r="M2398" t="s">
        <v>24</v>
      </c>
      <c r="N2398" t="s">
        <v>25</v>
      </c>
      <c r="O2398" t="s">
        <v>26</v>
      </c>
      <c r="P2398" t="s">
        <v>27</v>
      </c>
      <c r="Q2398" t="s">
        <v>28</v>
      </c>
      <c r="R2398" t="s">
        <v>29</v>
      </c>
      <c r="S2398" t="s">
        <v>30</v>
      </c>
      <c r="T2398">
        <v>1013662799</v>
      </c>
      <c r="U2398" t="s">
        <v>3965</v>
      </c>
      <c r="V2398" t="s">
        <v>3934</v>
      </c>
      <c r="W2398" s="9">
        <f>IF(V2398="pregrado",31,
IF(V2398="posgrados",31,
IF(V2398="rEINTEGROS",7,
IF(V2398="BIT",90,
IF(V2398="OP GRADO - INGLÉS",17,"")))))</f>
        <v>31</v>
      </c>
      <c r="X2398" t="s">
        <v>4021</v>
      </c>
    </row>
    <row r="2399" spans="1:24" ht="15" x14ac:dyDescent="0.35">
      <c r="A2399" s="4">
        <v>45979.664143518516</v>
      </c>
      <c r="B2399">
        <v>20104316</v>
      </c>
      <c r="C2399" s="5" t="s">
        <v>19</v>
      </c>
      <c r="D2399">
        <v>571345</v>
      </c>
      <c r="E2399" t="s">
        <v>20</v>
      </c>
      <c r="F2399">
        <v>1003310255</v>
      </c>
      <c r="G2399" t="s">
        <v>405</v>
      </c>
      <c r="H2399">
        <v>200054280</v>
      </c>
      <c r="I2399">
        <v>202631</v>
      </c>
      <c r="J2399">
        <v>1003310255</v>
      </c>
      <c r="K2399" t="s">
        <v>33</v>
      </c>
      <c r="L2399" t="s">
        <v>119</v>
      </c>
      <c r="M2399" t="s">
        <v>24</v>
      </c>
      <c r="N2399" t="s">
        <v>35</v>
      </c>
      <c r="O2399" t="s">
        <v>26</v>
      </c>
      <c r="P2399" t="s">
        <v>27</v>
      </c>
      <c r="Q2399" t="s">
        <v>28</v>
      </c>
      <c r="R2399" t="s">
        <v>29</v>
      </c>
      <c r="S2399" t="s">
        <v>30</v>
      </c>
      <c r="T2399">
        <v>1020820287</v>
      </c>
      <c r="U2399" t="s">
        <v>3963</v>
      </c>
      <c r="V2399" t="s">
        <v>3934</v>
      </c>
      <c r="W2399" s="9">
        <f>IF(V2399="pregrado",31,
IF(V2399="posgrados",31,
IF(V2399="rEINTEGROS",7,
IF(V2399="BIT",90,
IF(V2399="OP GRADO - INGLÉS",17,"")))))</f>
        <v>31</v>
      </c>
      <c r="X2399" t="s">
        <v>4044</v>
      </c>
    </row>
    <row r="2400" spans="1:24" ht="15" x14ac:dyDescent="0.35">
      <c r="A2400" s="4">
        <v>45980.741354166668</v>
      </c>
      <c r="B2400">
        <v>20104442</v>
      </c>
      <c r="C2400" s="5" t="s">
        <v>19</v>
      </c>
      <c r="D2400">
        <v>571353</v>
      </c>
      <c r="E2400" t="s">
        <v>20</v>
      </c>
      <c r="F2400">
        <v>1014856350</v>
      </c>
      <c r="G2400" t="s">
        <v>440</v>
      </c>
      <c r="H2400">
        <v>100235558</v>
      </c>
      <c r="I2400">
        <v>202611</v>
      </c>
      <c r="J2400">
        <v>1014856350</v>
      </c>
      <c r="K2400" t="s">
        <v>23</v>
      </c>
      <c r="L2400" t="s">
        <v>227</v>
      </c>
      <c r="M2400" t="s">
        <v>24</v>
      </c>
      <c r="N2400" t="s">
        <v>35</v>
      </c>
      <c r="O2400" t="s">
        <v>26</v>
      </c>
      <c r="P2400" t="s">
        <v>27</v>
      </c>
      <c r="Q2400" t="s">
        <v>28</v>
      </c>
      <c r="R2400" t="s">
        <v>29</v>
      </c>
      <c r="S2400" t="s">
        <v>30</v>
      </c>
      <c r="T2400">
        <v>1030570122</v>
      </c>
      <c r="U2400" t="s">
        <v>3965</v>
      </c>
      <c r="V2400" t="s">
        <v>3934</v>
      </c>
      <c r="W2400" s="9">
        <f>IF(V2400="pregrado",31,
IF(V2400="posgrados",31,
IF(V2400="rEINTEGROS",7,
IF(V2400="BIT",90,
IF(V2400="OP GRADO - INGLÉS",17,"")))))</f>
        <v>31</v>
      </c>
      <c r="X2400" t="s">
        <v>4015</v>
      </c>
    </row>
    <row r="2401" spans="1:24" ht="15" x14ac:dyDescent="0.35">
      <c r="A2401" s="4">
        <v>45986.711828703701</v>
      </c>
      <c r="B2401">
        <v>20104849</v>
      </c>
      <c r="C2401" s="5" t="s">
        <v>19</v>
      </c>
      <c r="D2401">
        <v>571359</v>
      </c>
      <c r="E2401" t="s">
        <v>20</v>
      </c>
      <c r="F2401">
        <v>1007829076</v>
      </c>
      <c r="G2401" t="s">
        <v>540</v>
      </c>
      <c r="H2401">
        <v>100235635</v>
      </c>
      <c r="I2401">
        <v>202631</v>
      </c>
      <c r="J2401">
        <v>1007829076</v>
      </c>
      <c r="K2401" t="s">
        <v>33</v>
      </c>
      <c r="L2401" t="s">
        <v>32</v>
      </c>
      <c r="M2401" t="s">
        <v>24</v>
      </c>
      <c r="N2401" t="s">
        <v>35</v>
      </c>
      <c r="O2401" t="s">
        <v>26</v>
      </c>
      <c r="P2401" t="s">
        <v>27</v>
      </c>
      <c r="Q2401" t="s">
        <v>28</v>
      </c>
      <c r="R2401" t="s">
        <v>29</v>
      </c>
      <c r="S2401" t="s">
        <v>30</v>
      </c>
      <c r="T2401">
        <v>1006023129</v>
      </c>
      <c r="U2401" t="s">
        <v>3944</v>
      </c>
      <c r="V2401" t="s">
        <v>3934</v>
      </c>
      <c r="W2401" s="9">
        <f>IF(V2401="pregrado",31,
IF(V2401="posgrados",31,
IF(V2401="rEINTEGROS",7,
IF(V2401="BIT",90,
IF(V2401="OP GRADO - INGLÉS",17,"")))))</f>
        <v>31</v>
      </c>
      <c r="X2401" t="s">
        <v>3982</v>
      </c>
    </row>
    <row r="2402" spans="1:24" ht="15" x14ac:dyDescent="0.35">
      <c r="A2402" s="4">
        <v>46003.544664351852</v>
      </c>
      <c r="B2402">
        <v>20106930</v>
      </c>
      <c r="C2402" s="6" t="s">
        <v>19</v>
      </c>
      <c r="D2402">
        <v>571399</v>
      </c>
      <c r="E2402" t="s">
        <v>20</v>
      </c>
      <c r="F2402">
        <v>1002682993</v>
      </c>
      <c r="G2402" t="s">
        <v>959</v>
      </c>
      <c r="H2402">
        <v>100235667</v>
      </c>
      <c r="I2402">
        <v>202611</v>
      </c>
      <c r="J2402">
        <v>1002682993</v>
      </c>
      <c r="K2402" t="s">
        <v>33</v>
      </c>
      <c r="L2402" t="s">
        <v>204</v>
      </c>
      <c r="M2402" t="s">
        <v>24</v>
      </c>
      <c r="N2402" t="s">
        <v>38</v>
      </c>
      <c r="O2402" t="s">
        <v>26</v>
      </c>
      <c r="P2402" t="s">
        <v>27</v>
      </c>
      <c r="Q2402" t="s">
        <v>28</v>
      </c>
      <c r="R2402" t="s">
        <v>29</v>
      </c>
      <c r="S2402" t="s">
        <v>30</v>
      </c>
      <c r="T2402">
        <v>53178431</v>
      </c>
      <c r="U2402" t="s">
        <v>3941</v>
      </c>
      <c r="V2402" t="s">
        <v>3934</v>
      </c>
      <c r="W2402" s="9">
        <f>IF(V2402="pregrado",31,
IF(V2402="posgrados",31,
IF(V2402="rEINTEGROS",7,
IF(V2402="BIT",90,
IF(V2402="OP GRADO - INGLÉS",17,"")))))</f>
        <v>31</v>
      </c>
      <c r="X2402" t="s">
        <v>3949</v>
      </c>
    </row>
    <row r="2403" spans="1:24" ht="15" x14ac:dyDescent="0.35">
      <c r="A2403" s="4">
        <v>45983.390393518515</v>
      </c>
      <c r="B2403">
        <v>20104620</v>
      </c>
      <c r="C2403" s="5" t="s">
        <v>19</v>
      </c>
      <c r="D2403">
        <v>571402</v>
      </c>
      <c r="E2403" t="s">
        <v>20</v>
      </c>
      <c r="F2403">
        <v>1043295991</v>
      </c>
      <c r="G2403" t="s">
        <v>471</v>
      </c>
      <c r="H2403">
        <v>100235670</v>
      </c>
      <c r="I2403">
        <v>202631</v>
      </c>
      <c r="J2403">
        <v>1043295991</v>
      </c>
      <c r="K2403" t="s">
        <v>23</v>
      </c>
      <c r="L2403" t="s">
        <v>114</v>
      </c>
      <c r="M2403" t="s">
        <v>24</v>
      </c>
      <c r="N2403" t="s">
        <v>35</v>
      </c>
      <c r="O2403" t="s">
        <v>26</v>
      </c>
      <c r="P2403" t="s">
        <v>27</v>
      </c>
      <c r="Q2403" t="s">
        <v>28</v>
      </c>
      <c r="R2403" t="s">
        <v>29</v>
      </c>
      <c r="S2403" t="s">
        <v>30</v>
      </c>
      <c r="T2403">
        <v>53040709</v>
      </c>
      <c r="U2403" t="s">
        <v>3963</v>
      </c>
      <c r="V2403" t="s">
        <v>3934</v>
      </c>
      <c r="W2403" s="9">
        <f>IF(V2403="pregrado",31,
IF(V2403="posgrados",31,
IF(V2403="rEINTEGROS",7,
IF(V2403="BIT",90,
IF(V2403="OP GRADO - INGLÉS",17,"")))))</f>
        <v>31</v>
      </c>
      <c r="X2403" t="s">
        <v>3994</v>
      </c>
    </row>
    <row r="2404" spans="1:24" ht="15" x14ac:dyDescent="0.35">
      <c r="A2404" s="4">
        <v>45987.376527777778</v>
      </c>
      <c r="B2404">
        <v>20104882</v>
      </c>
      <c r="C2404" s="6" t="s">
        <v>19</v>
      </c>
      <c r="D2404">
        <v>571404</v>
      </c>
      <c r="E2404" t="s">
        <v>20</v>
      </c>
      <c r="F2404">
        <v>80657938</v>
      </c>
      <c r="G2404" t="s">
        <v>550</v>
      </c>
      <c r="H2404">
        <v>100235674</v>
      </c>
      <c r="I2404">
        <v>202611</v>
      </c>
      <c r="J2404">
        <v>1074344906</v>
      </c>
      <c r="K2404" t="s">
        <v>23</v>
      </c>
      <c r="L2404" t="s">
        <v>227</v>
      </c>
      <c r="M2404" t="s">
        <v>24</v>
      </c>
      <c r="N2404" t="s">
        <v>35</v>
      </c>
      <c r="O2404" t="s">
        <v>26</v>
      </c>
      <c r="P2404" t="s">
        <v>27</v>
      </c>
      <c r="Q2404" t="s">
        <v>28</v>
      </c>
      <c r="R2404" t="s">
        <v>29</v>
      </c>
      <c r="S2404" t="s">
        <v>30</v>
      </c>
      <c r="T2404">
        <v>1003652550</v>
      </c>
      <c r="U2404" t="s">
        <v>3965</v>
      </c>
      <c r="V2404" t="s">
        <v>3934</v>
      </c>
      <c r="W2404" s="9">
        <f>IF(V2404="pregrado",31,
IF(V2404="posgrados",31,
IF(V2404="rEINTEGROS",7,
IF(V2404="BIT",90,
IF(V2404="OP GRADO - INGLÉS",17,"")))))</f>
        <v>31</v>
      </c>
      <c r="X2404" t="s">
        <v>4059</v>
      </c>
    </row>
    <row r="2405" spans="1:24" ht="15" x14ac:dyDescent="0.35">
      <c r="A2405" s="4">
        <v>45981.726944444446</v>
      </c>
      <c r="B2405">
        <v>20104567</v>
      </c>
      <c r="C2405" s="5" t="s">
        <v>19</v>
      </c>
      <c r="D2405">
        <v>571421</v>
      </c>
      <c r="E2405" t="s">
        <v>20</v>
      </c>
      <c r="F2405">
        <v>52029487</v>
      </c>
      <c r="G2405" t="s">
        <v>462</v>
      </c>
      <c r="H2405">
        <v>100235689</v>
      </c>
      <c r="I2405">
        <v>202631</v>
      </c>
      <c r="J2405">
        <v>52029487</v>
      </c>
      <c r="K2405" t="s">
        <v>23</v>
      </c>
      <c r="L2405" t="s">
        <v>240</v>
      </c>
      <c r="M2405" t="s">
        <v>24</v>
      </c>
      <c r="N2405" t="s">
        <v>35</v>
      </c>
      <c r="O2405" t="s">
        <v>26</v>
      </c>
      <c r="P2405" t="s">
        <v>27</v>
      </c>
      <c r="Q2405" t="s">
        <v>28</v>
      </c>
      <c r="R2405" t="s">
        <v>29</v>
      </c>
      <c r="S2405" t="s">
        <v>30</v>
      </c>
      <c r="T2405">
        <v>1015428862</v>
      </c>
      <c r="U2405" t="s">
        <v>3965</v>
      </c>
      <c r="V2405" t="s">
        <v>3934</v>
      </c>
      <c r="W2405" s="9">
        <f>IF(V2405="pregrado",31,
IF(V2405="posgrados",31,
IF(V2405="rEINTEGROS",7,
IF(V2405="BIT",90,
IF(V2405="OP GRADO - INGLÉS",17,"")))))</f>
        <v>31</v>
      </c>
      <c r="X2405" t="s">
        <v>4048</v>
      </c>
    </row>
    <row r="2406" spans="1:24" ht="15" x14ac:dyDescent="0.35">
      <c r="A2406" s="4">
        <v>45980.567939814813</v>
      </c>
      <c r="B2406">
        <v>20104397</v>
      </c>
      <c r="C2406" s="5" t="s">
        <v>19</v>
      </c>
      <c r="D2406">
        <v>571426</v>
      </c>
      <c r="E2406" t="s">
        <v>20</v>
      </c>
      <c r="F2406">
        <v>14897788</v>
      </c>
      <c r="G2406" t="s">
        <v>427</v>
      </c>
      <c r="H2406">
        <v>100235702</v>
      </c>
      <c r="I2406">
        <v>202611</v>
      </c>
      <c r="J2406">
        <v>1110042463</v>
      </c>
      <c r="K2406" t="s">
        <v>23</v>
      </c>
      <c r="L2406" t="s">
        <v>227</v>
      </c>
      <c r="M2406" t="s">
        <v>24</v>
      </c>
      <c r="N2406" t="s">
        <v>25</v>
      </c>
      <c r="O2406" t="s">
        <v>26</v>
      </c>
      <c r="P2406" t="s">
        <v>27</v>
      </c>
      <c r="Q2406" t="s">
        <v>28</v>
      </c>
      <c r="R2406" t="s">
        <v>29</v>
      </c>
      <c r="S2406" t="s">
        <v>30</v>
      </c>
      <c r="T2406">
        <v>1001277801</v>
      </c>
      <c r="U2406" t="s">
        <v>3965</v>
      </c>
      <c r="V2406" t="s">
        <v>3934</v>
      </c>
      <c r="W2406" s="9">
        <f>IF(V2406="pregrado",31,
IF(V2406="posgrados",31,
IF(V2406="rEINTEGROS",7,
IF(V2406="BIT",90,
IF(V2406="OP GRADO - INGLÉS",17,"")))))</f>
        <v>31</v>
      </c>
      <c r="X2406" t="s">
        <v>4002</v>
      </c>
    </row>
    <row r="2407" spans="1:24" ht="15" x14ac:dyDescent="0.35">
      <c r="A2407" s="4">
        <v>45986.439675925925</v>
      </c>
      <c r="B2407">
        <v>20104781</v>
      </c>
      <c r="C2407" s="5" t="s">
        <v>19</v>
      </c>
      <c r="D2407">
        <v>571430</v>
      </c>
      <c r="E2407" t="s">
        <v>20</v>
      </c>
      <c r="F2407">
        <v>1082861166</v>
      </c>
      <c r="G2407" t="s">
        <v>518</v>
      </c>
      <c r="H2407">
        <v>100235707</v>
      </c>
      <c r="I2407">
        <v>202631</v>
      </c>
      <c r="J2407">
        <v>1082861166</v>
      </c>
      <c r="K2407" t="s">
        <v>23</v>
      </c>
      <c r="L2407" t="s">
        <v>231</v>
      </c>
      <c r="M2407" t="s">
        <v>24</v>
      </c>
      <c r="N2407" t="s">
        <v>35</v>
      </c>
      <c r="O2407" t="s">
        <v>26</v>
      </c>
      <c r="P2407" t="s">
        <v>27</v>
      </c>
      <c r="Q2407" t="s">
        <v>28</v>
      </c>
      <c r="R2407" t="s">
        <v>29</v>
      </c>
      <c r="S2407" t="s">
        <v>30</v>
      </c>
      <c r="T2407">
        <v>1001192723</v>
      </c>
      <c r="U2407" t="s">
        <v>3941</v>
      </c>
      <c r="V2407" t="s">
        <v>3934</v>
      </c>
      <c r="W2407" s="9">
        <f>IF(V2407="pregrado",31,
IF(V2407="posgrados",31,
IF(V2407="rEINTEGROS",7,
IF(V2407="BIT",90,
IF(V2407="OP GRADO - INGLÉS",17,"")))))</f>
        <v>31</v>
      </c>
      <c r="X2407" t="s">
        <v>3940</v>
      </c>
    </row>
    <row r="2408" spans="1:24" ht="15" x14ac:dyDescent="0.35">
      <c r="A2408" s="4">
        <v>45979.388796296298</v>
      </c>
      <c r="B2408">
        <v>20104274</v>
      </c>
      <c r="C2408" s="5" t="s">
        <v>19</v>
      </c>
      <c r="D2408">
        <v>571434</v>
      </c>
      <c r="E2408" t="s">
        <v>20</v>
      </c>
      <c r="F2408">
        <v>1023364747</v>
      </c>
      <c r="G2408" t="s">
        <v>392</v>
      </c>
      <c r="H2408">
        <v>100235712</v>
      </c>
      <c r="I2408">
        <v>202610</v>
      </c>
      <c r="J2408">
        <v>1023364747</v>
      </c>
      <c r="K2408" t="s">
        <v>33</v>
      </c>
      <c r="L2408" t="s">
        <v>40</v>
      </c>
      <c r="M2408" t="s">
        <v>24</v>
      </c>
      <c r="N2408" t="s">
        <v>35</v>
      </c>
      <c r="O2408" t="s">
        <v>26</v>
      </c>
      <c r="P2408" t="s">
        <v>27</v>
      </c>
      <c r="Q2408" t="s">
        <v>28</v>
      </c>
      <c r="R2408" t="s">
        <v>29</v>
      </c>
      <c r="S2408" t="s">
        <v>30</v>
      </c>
      <c r="T2408">
        <v>11001273124</v>
      </c>
      <c r="U2408" t="s">
        <v>3944</v>
      </c>
      <c r="V2408" t="s">
        <v>3934</v>
      </c>
      <c r="W2408" s="9">
        <f>IF(V2408="pregrado",31,
IF(V2408="posgrados",31,
IF(V2408="rEINTEGROS",7,
IF(V2408="BIT",90,
IF(V2408="OP GRADO - INGLÉS",17,"")))))</f>
        <v>31</v>
      </c>
      <c r="X2408" t="s">
        <v>3951</v>
      </c>
    </row>
    <row r="2409" spans="1:24" ht="15" x14ac:dyDescent="0.35">
      <c r="A2409" s="4">
        <v>45986.392800925925</v>
      </c>
      <c r="B2409">
        <v>20104763</v>
      </c>
      <c r="C2409" s="5" t="s">
        <v>19</v>
      </c>
      <c r="D2409">
        <v>571437</v>
      </c>
      <c r="E2409" t="s">
        <v>20</v>
      </c>
      <c r="F2409">
        <v>1085901042</v>
      </c>
      <c r="G2409" t="s">
        <v>514</v>
      </c>
      <c r="H2409">
        <v>100235720</v>
      </c>
      <c r="I2409">
        <v>202631</v>
      </c>
      <c r="J2409">
        <v>1085901042</v>
      </c>
      <c r="K2409" t="s">
        <v>23</v>
      </c>
      <c r="L2409" t="s">
        <v>207</v>
      </c>
      <c r="M2409" t="s">
        <v>24</v>
      </c>
      <c r="N2409" t="s">
        <v>35</v>
      </c>
      <c r="O2409" t="s">
        <v>26</v>
      </c>
      <c r="P2409" t="s">
        <v>27</v>
      </c>
      <c r="Q2409" t="s">
        <v>28</v>
      </c>
      <c r="R2409" t="s">
        <v>29</v>
      </c>
      <c r="S2409" t="s">
        <v>30</v>
      </c>
      <c r="T2409">
        <v>1016095309</v>
      </c>
      <c r="U2409" t="s">
        <v>3986</v>
      </c>
      <c r="V2409" t="s">
        <v>3934</v>
      </c>
      <c r="W2409" s="9">
        <f>IF(V2409="pregrado",31,
IF(V2409="posgrados",31,
IF(V2409="rEINTEGROS",7,
IF(V2409="BIT",90,
IF(V2409="OP GRADO - INGLÉS",17,"")))))</f>
        <v>31</v>
      </c>
      <c r="X2409" t="s">
        <v>3985</v>
      </c>
    </row>
    <row r="2410" spans="1:24" ht="15" x14ac:dyDescent="0.35">
      <c r="A2410" s="4">
        <v>45979.740127314813</v>
      </c>
      <c r="B2410">
        <v>20104336</v>
      </c>
      <c r="C2410" s="5" t="s">
        <v>19</v>
      </c>
      <c r="D2410">
        <v>571440</v>
      </c>
      <c r="E2410" t="s">
        <v>20</v>
      </c>
      <c r="F2410">
        <v>40768466</v>
      </c>
      <c r="G2410" t="s">
        <v>412</v>
      </c>
      <c r="H2410">
        <v>100235725</v>
      </c>
      <c r="I2410">
        <v>202611</v>
      </c>
      <c r="J2410">
        <v>1117550028</v>
      </c>
      <c r="K2410" t="s">
        <v>23</v>
      </c>
      <c r="L2410" t="s">
        <v>227</v>
      </c>
      <c r="M2410" t="s">
        <v>24</v>
      </c>
      <c r="N2410" t="s">
        <v>35</v>
      </c>
      <c r="O2410" t="s">
        <v>26</v>
      </c>
      <c r="P2410" t="s">
        <v>27</v>
      </c>
      <c r="Q2410" t="s">
        <v>28</v>
      </c>
      <c r="R2410" t="s">
        <v>29</v>
      </c>
      <c r="S2410" t="s">
        <v>30</v>
      </c>
      <c r="T2410">
        <v>1013662799</v>
      </c>
      <c r="U2410" t="s">
        <v>3965</v>
      </c>
      <c r="V2410" t="s">
        <v>3934</v>
      </c>
      <c r="W2410" s="9">
        <f>IF(V2410="pregrado",31,
IF(V2410="posgrados",31,
IF(V2410="rEINTEGROS",7,
IF(V2410="BIT",90,
IF(V2410="OP GRADO - INGLÉS",17,"")))))</f>
        <v>31</v>
      </c>
      <c r="X2410" t="s">
        <v>4021</v>
      </c>
    </row>
    <row r="2411" spans="1:24" ht="15" x14ac:dyDescent="0.35">
      <c r="A2411" s="4">
        <v>45988.925127314818</v>
      </c>
      <c r="B2411">
        <v>20105197</v>
      </c>
      <c r="C2411" s="6" t="s">
        <v>19</v>
      </c>
      <c r="D2411">
        <v>571454</v>
      </c>
      <c r="E2411" t="s">
        <v>20</v>
      </c>
      <c r="F2411">
        <v>1033734276</v>
      </c>
      <c r="G2411" t="s">
        <v>637</v>
      </c>
      <c r="H2411">
        <v>100102295</v>
      </c>
      <c r="I2411">
        <v>202611</v>
      </c>
      <c r="J2411">
        <v>1033734276</v>
      </c>
      <c r="K2411" t="s">
        <v>89</v>
      </c>
      <c r="L2411" t="s">
        <v>133</v>
      </c>
      <c r="M2411" t="s">
        <v>24</v>
      </c>
      <c r="N2411" t="s">
        <v>38</v>
      </c>
      <c r="O2411" t="s">
        <v>26</v>
      </c>
      <c r="P2411" t="s">
        <v>27</v>
      </c>
      <c r="Q2411" t="s">
        <v>28</v>
      </c>
      <c r="R2411" t="s">
        <v>29</v>
      </c>
      <c r="S2411" t="s">
        <v>30</v>
      </c>
      <c r="T2411">
        <v>52168054</v>
      </c>
      <c r="U2411" t="s">
        <v>3977</v>
      </c>
      <c r="V2411" t="s">
        <v>3970</v>
      </c>
      <c r="W2411" s="9">
        <f>IF(V2411="pregrado",31,
IF(V2411="posgrados",31,
IF(V2411="rEINTEGROS",7,
IF(V2411="BIT",90,
IF(V2411="OP GRADO - INGLÉS",17,"")))))</f>
        <v>7</v>
      </c>
      <c r="X2411" t="s">
        <v>4057</v>
      </c>
    </row>
    <row r="2412" spans="1:24" ht="15" x14ac:dyDescent="0.35">
      <c r="A2412" s="4">
        <v>45980.496111111112</v>
      </c>
      <c r="B2412">
        <v>20104385</v>
      </c>
      <c r="C2412" s="5" t="s">
        <v>19</v>
      </c>
      <c r="D2412">
        <v>571474</v>
      </c>
      <c r="E2412" t="s">
        <v>20</v>
      </c>
      <c r="F2412">
        <v>1000326797</v>
      </c>
      <c r="G2412" t="s">
        <v>420</v>
      </c>
      <c r="H2412">
        <v>100122118</v>
      </c>
      <c r="I2412">
        <v>202611</v>
      </c>
      <c r="J2412">
        <v>52984913</v>
      </c>
      <c r="K2412" t="s">
        <v>89</v>
      </c>
      <c r="L2412" t="s">
        <v>133</v>
      </c>
      <c r="M2412" t="s">
        <v>24</v>
      </c>
      <c r="N2412" t="s">
        <v>35</v>
      </c>
      <c r="O2412" t="s">
        <v>26</v>
      </c>
      <c r="P2412" t="s">
        <v>27</v>
      </c>
      <c r="Q2412" t="s">
        <v>28</v>
      </c>
      <c r="R2412" t="s">
        <v>29</v>
      </c>
      <c r="S2412" t="s">
        <v>30</v>
      </c>
      <c r="T2412">
        <v>1000934874</v>
      </c>
      <c r="U2412" t="s">
        <v>3977</v>
      </c>
      <c r="V2412" t="s">
        <v>3970</v>
      </c>
      <c r="W2412" s="9">
        <f>IF(V2412="pregrado",31,
IF(V2412="posgrados",31,
IF(V2412="rEINTEGROS",7,
IF(V2412="BIT",90,
IF(V2412="OP GRADO - INGLÉS",17,"")))))</f>
        <v>7</v>
      </c>
      <c r="X2412" t="s">
        <v>3999</v>
      </c>
    </row>
    <row r="2413" spans="1:24" ht="15" x14ac:dyDescent="0.35">
      <c r="A2413" s="4">
        <v>45986.88108796296</v>
      </c>
      <c r="B2413">
        <v>20104866</v>
      </c>
      <c r="C2413" s="5" t="s">
        <v>19</v>
      </c>
      <c r="D2413">
        <v>571486</v>
      </c>
      <c r="E2413" t="s">
        <v>20</v>
      </c>
      <c r="F2413">
        <v>1005910885</v>
      </c>
      <c r="G2413" t="s">
        <v>545</v>
      </c>
      <c r="H2413">
        <v>100216505</v>
      </c>
      <c r="I2413">
        <v>202611</v>
      </c>
      <c r="J2413">
        <v>1005910885</v>
      </c>
      <c r="K2413" t="s">
        <v>89</v>
      </c>
      <c r="L2413" t="s">
        <v>133</v>
      </c>
      <c r="M2413" t="s">
        <v>24</v>
      </c>
      <c r="N2413" t="s">
        <v>38</v>
      </c>
      <c r="O2413" t="s">
        <v>26</v>
      </c>
      <c r="P2413" t="s">
        <v>27</v>
      </c>
      <c r="Q2413" t="s">
        <v>28</v>
      </c>
      <c r="R2413" t="s">
        <v>29</v>
      </c>
      <c r="S2413" t="s">
        <v>30</v>
      </c>
      <c r="T2413">
        <v>1016110979</v>
      </c>
      <c r="U2413" t="s">
        <v>3977</v>
      </c>
      <c r="V2413" t="s">
        <v>3970</v>
      </c>
      <c r="W2413" s="9">
        <f>IF(V2413="pregrado",31,
IF(V2413="posgrados",31,
IF(V2413="rEINTEGROS",7,
IF(V2413="BIT",90,
IF(V2413="OP GRADO - INGLÉS",17,"")))))</f>
        <v>7</v>
      </c>
      <c r="X2413" t="s">
        <v>4051</v>
      </c>
    </row>
    <row r="2414" spans="1:24" ht="15" x14ac:dyDescent="0.35">
      <c r="A2414" s="4">
        <v>45980.519641203704</v>
      </c>
      <c r="B2414">
        <v>20104391</v>
      </c>
      <c r="C2414" s="5" t="s">
        <v>19</v>
      </c>
      <c r="D2414">
        <v>571502</v>
      </c>
      <c r="E2414" t="s">
        <v>20</v>
      </c>
      <c r="F2414">
        <v>1116854466</v>
      </c>
      <c r="G2414" t="s">
        <v>423</v>
      </c>
      <c r="H2414">
        <v>100235777</v>
      </c>
      <c r="I2414">
        <v>202631</v>
      </c>
      <c r="J2414">
        <v>1116854466</v>
      </c>
      <c r="K2414" t="s">
        <v>23</v>
      </c>
      <c r="L2414" t="s">
        <v>90</v>
      </c>
      <c r="M2414" t="s">
        <v>24</v>
      </c>
      <c r="N2414" t="s">
        <v>25</v>
      </c>
      <c r="O2414" t="s">
        <v>26</v>
      </c>
      <c r="P2414" t="s">
        <v>27</v>
      </c>
      <c r="Q2414" t="s">
        <v>28</v>
      </c>
      <c r="R2414" t="s">
        <v>29</v>
      </c>
      <c r="S2414" t="s">
        <v>30</v>
      </c>
      <c r="T2414">
        <v>1030525993</v>
      </c>
      <c r="U2414" t="s">
        <v>3933</v>
      </c>
      <c r="V2414" t="s">
        <v>3934</v>
      </c>
      <c r="W2414" s="9">
        <f>IF(V2414="pregrado",31,
IF(V2414="posgrados",31,
IF(V2414="rEINTEGROS",7,
IF(V2414="BIT",90,
IF(V2414="OP GRADO - INGLÉS",17,"")))))</f>
        <v>31</v>
      </c>
      <c r="X2414" t="s">
        <v>3956</v>
      </c>
    </row>
    <row r="2415" spans="1:24" ht="15" x14ac:dyDescent="0.35">
      <c r="A2415" s="4">
        <v>46008.654594907406</v>
      </c>
      <c r="B2415">
        <v>20108258</v>
      </c>
      <c r="C2415" s="6" t="s">
        <v>19</v>
      </c>
      <c r="D2415">
        <v>571504</v>
      </c>
      <c r="E2415" t="s">
        <v>20</v>
      </c>
      <c r="F2415">
        <v>1030542640</v>
      </c>
      <c r="G2415" t="s">
        <v>1091</v>
      </c>
      <c r="H2415">
        <v>100235778</v>
      </c>
      <c r="I2415">
        <v>202631</v>
      </c>
      <c r="J2415">
        <v>53099379</v>
      </c>
      <c r="K2415" t="s">
        <v>33</v>
      </c>
      <c r="L2415" t="s">
        <v>370</v>
      </c>
      <c r="M2415" t="s">
        <v>24</v>
      </c>
      <c r="N2415" t="s">
        <v>35</v>
      </c>
      <c r="O2415" t="s">
        <v>26</v>
      </c>
      <c r="P2415" t="s">
        <v>27</v>
      </c>
      <c r="Q2415" t="s">
        <v>28</v>
      </c>
      <c r="R2415" t="s">
        <v>29</v>
      </c>
      <c r="S2415" t="s">
        <v>30</v>
      </c>
      <c r="T2415">
        <v>1000350862</v>
      </c>
      <c r="U2415" t="s">
        <v>3963</v>
      </c>
      <c r="V2415" t="s">
        <v>3934</v>
      </c>
      <c r="W2415" s="9">
        <f>IF(V2415="pregrado",31,
IF(V2415="posgrados",31,
IF(V2415="rEINTEGROS",7,
IF(V2415="BIT",90,
IF(V2415="OP GRADO - INGLÉS",17,"")))))</f>
        <v>31</v>
      </c>
      <c r="X2415" t="s">
        <v>4071</v>
      </c>
    </row>
    <row r="2416" spans="1:24" ht="15" x14ac:dyDescent="0.35">
      <c r="A2416" s="4">
        <v>45986.682800925926</v>
      </c>
      <c r="B2416">
        <v>20104835</v>
      </c>
      <c r="C2416" s="5" t="s">
        <v>19</v>
      </c>
      <c r="D2416">
        <v>571509</v>
      </c>
      <c r="E2416" t="s">
        <v>20</v>
      </c>
      <c r="F2416">
        <v>1000183215</v>
      </c>
      <c r="G2416" t="s">
        <v>536</v>
      </c>
      <c r="H2416">
        <v>100235786</v>
      </c>
      <c r="I2416">
        <v>202631</v>
      </c>
      <c r="J2416">
        <v>1000183215</v>
      </c>
      <c r="K2416" t="s">
        <v>23</v>
      </c>
      <c r="L2416" t="s">
        <v>207</v>
      </c>
      <c r="M2416" t="s">
        <v>24</v>
      </c>
      <c r="N2416" t="s">
        <v>35</v>
      </c>
      <c r="O2416" t="s">
        <v>26</v>
      </c>
      <c r="P2416" t="s">
        <v>27</v>
      </c>
      <c r="Q2416" t="s">
        <v>28</v>
      </c>
      <c r="R2416" t="s">
        <v>29</v>
      </c>
      <c r="S2416" t="s">
        <v>30</v>
      </c>
      <c r="T2416">
        <v>1018455773</v>
      </c>
      <c r="U2416" t="s">
        <v>3986</v>
      </c>
      <c r="V2416" t="s">
        <v>3934</v>
      </c>
      <c r="W2416" s="9">
        <f>IF(V2416="pregrado",31,
IF(V2416="posgrados",31,
IF(V2416="rEINTEGROS",7,
IF(V2416="BIT",90,
IF(V2416="OP GRADO - INGLÉS",17,"")))))</f>
        <v>31</v>
      </c>
      <c r="X2416" t="s">
        <v>4101</v>
      </c>
    </row>
    <row r="2417" spans="1:24" ht="15" x14ac:dyDescent="0.35">
      <c r="A2417" s="4">
        <v>45980.669421296298</v>
      </c>
      <c r="B2417">
        <v>20104419</v>
      </c>
      <c r="C2417" s="5" t="s">
        <v>19</v>
      </c>
      <c r="D2417">
        <v>571520</v>
      </c>
      <c r="E2417" t="s">
        <v>20</v>
      </c>
      <c r="F2417">
        <v>1003616609</v>
      </c>
      <c r="G2417" t="s">
        <v>435</v>
      </c>
      <c r="H2417">
        <v>100235798</v>
      </c>
      <c r="I2417">
        <v>202610</v>
      </c>
      <c r="J2417">
        <v>1003616609</v>
      </c>
      <c r="K2417" t="s">
        <v>23</v>
      </c>
      <c r="L2417" t="s">
        <v>37</v>
      </c>
      <c r="M2417" t="s">
        <v>24</v>
      </c>
      <c r="N2417" t="s">
        <v>35</v>
      </c>
      <c r="O2417" t="s">
        <v>26</v>
      </c>
      <c r="P2417" t="s">
        <v>27</v>
      </c>
      <c r="Q2417" t="s">
        <v>28</v>
      </c>
      <c r="R2417" t="s">
        <v>29</v>
      </c>
      <c r="S2417" t="s">
        <v>30</v>
      </c>
      <c r="T2417">
        <v>1023000938</v>
      </c>
      <c r="U2417" t="s">
        <v>3941</v>
      </c>
      <c r="V2417" t="s">
        <v>3934</v>
      </c>
      <c r="W2417" s="9">
        <f>IF(V2417="pregrado",31,
IF(V2417="posgrados",31,
IF(V2417="rEINTEGROS",7,
IF(V2417="BIT",90,
IF(V2417="OP GRADO - INGLÉS",17,"")))))</f>
        <v>31</v>
      </c>
      <c r="X2417" t="s">
        <v>3989</v>
      </c>
    </row>
    <row r="2418" spans="1:24" ht="15" x14ac:dyDescent="0.35">
      <c r="A2418" s="4">
        <v>45985.47</v>
      </c>
      <c r="B2418">
        <v>20104673</v>
      </c>
      <c r="C2418" s="5" t="s">
        <v>19</v>
      </c>
      <c r="D2418">
        <v>571534</v>
      </c>
      <c r="E2418" t="s">
        <v>20</v>
      </c>
      <c r="F2418">
        <v>1092353409</v>
      </c>
      <c r="G2418" t="s">
        <v>481</v>
      </c>
      <c r="H2418">
        <v>100235741</v>
      </c>
      <c r="I2418">
        <v>202631</v>
      </c>
      <c r="J2418">
        <v>1092353409</v>
      </c>
      <c r="K2418" t="s">
        <v>33</v>
      </c>
      <c r="L2418" t="s">
        <v>42</v>
      </c>
      <c r="M2418" t="s">
        <v>24</v>
      </c>
      <c r="N2418" t="s">
        <v>25</v>
      </c>
      <c r="O2418" t="s">
        <v>26</v>
      </c>
      <c r="P2418" t="s">
        <v>27</v>
      </c>
      <c r="Q2418" t="s">
        <v>28</v>
      </c>
      <c r="R2418" t="s">
        <v>29</v>
      </c>
      <c r="S2418" t="s">
        <v>30</v>
      </c>
      <c r="T2418">
        <v>1000001980</v>
      </c>
      <c r="U2418" t="s">
        <v>3944</v>
      </c>
      <c r="V2418" t="s">
        <v>3934</v>
      </c>
      <c r="W2418" s="9">
        <f>IF(V2418="pregrado",31,
IF(V2418="posgrados",31,
IF(V2418="rEINTEGROS",7,
IF(V2418="BIT",90,
IF(V2418="OP GRADO - INGLÉS",17,"")))))</f>
        <v>31</v>
      </c>
      <c r="X2418" t="s">
        <v>3968</v>
      </c>
    </row>
    <row r="2419" spans="1:24" ht="15" x14ac:dyDescent="0.35">
      <c r="A2419" s="4">
        <v>45986.694016203706</v>
      </c>
      <c r="B2419">
        <v>20104839</v>
      </c>
      <c r="C2419" s="5" t="s">
        <v>19</v>
      </c>
      <c r="D2419">
        <v>571538</v>
      </c>
      <c r="E2419" t="s">
        <v>20</v>
      </c>
      <c r="F2419">
        <v>1121214169</v>
      </c>
      <c r="G2419" t="s">
        <v>537</v>
      </c>
      <c r="H2419">
        <v>100235812</v>
      </c>
      <c r="I2419">
        <v>202631</v>
      </c>
      <c r="J2419">
        <v>1121214169</v>
      </c>
      <c r="K2419" t="s">
        <v>33</v>
      </c>
      <c r="L2419" t="s">
        <v>207</v>
      </c>
      <c r="M2419" t="s">
        <v>24</v>
      </c>
      <c r="N2419" t="s">
        <v>25</v>
      </c>
      <c r="O2419" t="s">
        <v>26</v>
      </c>
      <c r="P2419" t="s">
        <v>27</v>
      </c>
      <c r="Q2419" t="s">
        <v>28</v>
      </c>
      <c r="R2419" t="s">
        <v>29</v>
      </c>
      <c r="S2419" t="s">
        <v>30</v>
      </c>
      <c r="T2419">
        <v>1070815435</v>
      </c>
      <c r="U2419" t="s">
        <v>3986</v>
      </c>
      <c r="V2419" t="s">
        <v>3934</v>
      </c>
      <c r="W2419" s="9">
        <f>IF(V2419="pregrado",31,
IF(V2419="posgrados",31,
IF(V2419="rEINTEGROS",7,
IF(V2419="BIT",90,
IF(V2419="OP GRADO - INGLÉS",17,"")))))</f>
        <v>31</v>
      </c>
      <c r="X2419" t="s">
        <v>4038</v>
      </c>
    </row>
    <row r="2420" spans="1:24" ht="15" x14ac:dyDescent="0.35">
      <c r="A2420" s="4">
        <v>45980.431238425925</v>
      </c>
      <c r="B2420">
        <v>20104367</v>
      </c>
      <c r="C2420" s="5" t="s">
        <v>19</v>
      </c>
      <c r="D2420">
        <v>571543</v>
      </c>
      <c r="E2420" t="s">
        <v>20</v>
      </c>
      <c r="F2420">
        <v>1006150763</v>
      </c>
      <c r="G2420" t="s">
        <v>417</v>
      </c>
      <c r="H2420">
        <v>100235815</v>
      </c>
      <c r="I2420">
        <v>202631</v>
      </c>
      <c r="J2420">
        <v>1006150763</v>
      </c>
      <c r="K2420" t="s">
        <v>23</v>
      </c>
      <c r="L2420" t="s">
        <v>207</v>
      </c>
      <c r="M2420" t="s">
        <v>24</v>
      </c>
      <c r="N2420" t="s">
        <v>35</v>
      </c>
      <c r="O2420" t="s">
        <v>26</v>
      </c>
      <c r="P2420" t="s">
        <v>27</v>
      </c>
      <c r="Q2420" t="s">
        <v>28</v>
      </c>
      <c r="R2420" t="s">
        <v>29</v>
      </c>
      <c r="S2420" t="s">
        <v>30</v>
      </c>
      <c r="T2420">
        <v>1002500634</v>
      </c>
      <c r="U2420" t="s">
        <v>3986</v>
      </c>
      <c r="V2420" t="s">
        <v>3934</v>
      </c>
      <c r="W2420" s="9">
        <f>IF(V2420="pregrado",31,
IF(V2420="posgrados",31,
IF(V2420="rEINTEGROS",7,
IF(V2420="BIT",90,
IF(V2420="OP GRADO - INGLÉS",17,"")))))</f>
        <v>31</v>
      </c>
      <c r="X2420" t="s">
        <v>4026</v>
      </c>
    </row>
    <row r="2421" spans="1:24" ht="15" x14ac:dyDescent="0.35">
      <c r="A2421" s="4">
        <v>45980.527673611112</v>
      </c>
      <c r="B2421">
        <v>20104393</v>
      </c>
      <c r="C2421" s="5" t="s">
        <v>19</v>
      </c>
      <c r="D2421">
        <v>571545</v>
      </c>
      <c r="E2421" t="s">
        <v>20</v>
      </c>
      <c r="F2421">
        <v>1036840093</v>
      </c>
      <c r="G2421" t="s">
        <v>424</v>
      </c>
      <c r="H2421">
        <v>100154831</v>
      </c>
      <c r="I2421">
        <v>202611</v>
      </c>
      <c r="J2421">
        <v>1036840093</v>
      </c>
      <c r="K2421" t="s">
        <v>89</v>
      </c>
      <c r="L2421" t="s">
        <v>133</v>
      </c>
      <c r="M2421" t="s">
        <v>24</v>
      </c>
      <c r="N2421" t="s">
        <v>35</v>
      </c>
      <c r="O2421" t="s">
        <v>26</v>
      </c>
      <c r="P2421" t="s">
        <v>27</v>
      </c>
      <c r="Q2421" t="s">
        <v>28</v>
      </c>
      <c r="R2421" t="s">
        <v>29</v>
      </c>
      <c r="S2421" t="s">
        <v>30</v>
      </c>
      <c r="T2421">
        <v>1019102787</v>
      </c>
      <c r="U2421" t="s">
        <v>3977</v>
      </c>
      <c r="V2421" t="s">
        <v>3970</v>
      </c>
      <c r="W2421" s="9">
        <f>IF(V2421="pregrado",31,
IF(V2421="posgrados",31,
IF(V2421="rEINTEGROS",7,
IF(V2421="BIT",90,
IF(V2421="OP GRADO - INGLÉS",17,"")))))</f>
        <v>7</v>
      </c>
      <c r="X2421" t="s">
        <v>3976</v>
      </c>
    </row>
    <row r="2422" spans="1:24" ht="15" x14ac:dyDescent="0.35">
      <c r="A2422" s="4">
        <v>45987.551932870374</v>
      </c>
      <c r="B2422">
        <v>20104936</v>
      </c>
      <c r="C2422" s="6" t="s">
        <v>19</v>
      </c>
      <c r="D2422">
        <v>571548</v>
      </c>
      <c r="E2422" t="s">
        <v>20</v>
      </c>
      <c r="F2422">
        <v>1120924540</v>
      </c>
      <c r="G2422" t="s">
        <v>564</v>
      </c>
      <c r="H2422">
        <v>100171392</v>
      </c>
      <c r="I2422">
        <v>202611</v>
      </c>
      <c r="J2422">
        <v>1120924540</v>
      </c>
      <c r="K2422" t="s">
        <v>89</v>
      </c>
      <c r="L2422" t="s">
        <v>133</v>
      </c>
      <c r="M2422" t="s">
        <v>24</v>
      </c>
      <c r="N2422" t="s">
        <v>25</v>
      </c>
      <c r="O2422" t="s">
        <v>26</v>
      </c>
      <c r="P2422" t="s">
        <v>27</v>
      </c>
      <c r="Q2422" t="s">
        <v>28</v>
      </c>
      <c r="R2422" t="s">
        <v>29</v>
      </c>
      <c r="S2422" t="s">
        <v>30</v>
      </c>
      <c r="T2422">
        <v>1019102787</v>
      </c>
      <c r="U2422" t="s">
        <v>3977</v>
      </c>
      <c r="V2422" t="s">
        <v>3970</v>
      </c>
      <c r="W2422" s="9">
        <f>IF(V2422="pregrado",31,
IF(V2422="posgrados",31,
IF(V2422="rEINTEGROS",7,
IF(V2422="BIT",90,
IF(V2422="OP GRADO - INGLÉS",17,"")))))</f>
        <v>7</v>
      </c>
      <c r="X2422" t="s">
        <v>3976</v>
      </c>
    </row>
    <row r="2423" spans="1:24" ht="15" x14ac:dyDescent="0.35">
      <c r="A2423" s="4">
        <v>45994.852581018517</v>
      </c>
      <c r="B2423">
        <v>20105809</v>
      </c>
      <c r="C2423" s="6" t="s">
        <v>19</v>
      </c>
      <c r="D2423">
        <v>571553</v>
      </c>
      <c r="E2423" t="s">
        <v>20</v>
      </c>
      <c r="F2423">
        <v>1000223789</v>
      </c>
      <c r="G2423" t="s">
        <v>764</v>
      </c>
      <c r="H2423">
        <v>100091780</v>
      </c>
      <c r="I2423">
        <v>202611</v>
      </c>
      <c r="J2423">
        <v>1000223789</v>
      </c>
      <c r="K2423" t="s">
        <v>89</v>
      </c>
      <c r="L2423" t="s">
        <v>133</v>
      </c>
      <c r="M2423" t="s">
        <v>24</v>
      </c>
      <c r="N2423" t="s">
        <v>38</v>
      </c>
      <c r="O2423" t="s">
        <v>26</v>
      </c>
      <c r="P2423" t="s">
        <v>27</v>
      </c>
      <c r="Q2423" t="s">
        <v>28</v>
      </c>
      <c r="R2423" t="s">
        <v>29</v>
      </c>
      <c r="S2423" t="s">
        <v>30</v>
      </c>
      <c r="T2423">
        <v>1019102787</v>
      </c>
      <c r="U2423" t="s">
        <v>3977</v>
      </c>
      <c r="V2423" t="s">
        <v>3970</v>
      </c>
      <c r="W2423" s="9">
        <f>IF(V2423="pregrado",31,
IF(V2423="posgrados",31,
IF(V2423="rEINTEGROS",7,
IF(V2423="BIT",90,
IF(V2423="OP GRADO - INGLÉS",17,"")))))</f>
        <v>7</v>
      </c>
      <c r="X2423" t="s">
        <v>3976</v>
      </c>
    </row>
    <row r="2424" spans="1:24" ht="15" x14ac:dyDescent="0.35">
      <c r="A2424" s="4">
        <v>45988.557627314818</v>
      </c>
      <c r="B2424">
        <v>20105095</v>
      </c>
      <c r="C2424" s="6" t="s">
        <v>19</v>
      </c>
      <c r="D2424">
        <v>571560</v>
      </c>
      <c r="E2424" t="s">
        <v>20</v>
      </c>
      <c r="F2424">
        <v>1033712512</v>
      </c>
      <c r="G2424" t="s">
        <v>611</v>
      </c>
      <c r="H2424">
        <v>100235822</v>
      </c>
      <c r="I2424">
        <v>202631</v>
      </c>
      <c r="J2424">
        <v>1033712512</v>
      </c>
      <c r="K2424" t="s">
        <v>33</v>
      </c>
      <c r="L2424" t="s">
        <v>32</v>
      </c>
      <c r="M2424" t="s">
        <v>24</v>
      </c>
      <c r="N2424" t="s">
        <v>25</v>
      </c>
      <c r="O2424" t="s">
        <v>26</v>
      </c>
      <c r="P2424" t="s">
        <v>27</v>
      </c>
      <c r="Q2424" t="s">
        <v>28</v>
      </c>
      <c r="R2424" t="s">
        <v>29</v>
      </c>
      <c r="S2424" t="s">
        <v>30</v>
      </c>
      <c r="T2424">
        <v>1000120140</v>
      </c>
      <c r="U2424" t="s">
        <v>3936</v>
      </c>
      <c r="V2424" t="s">
        <v>3937</v>
      </c>
      <c r="W2424" s="9">
        <f>IF(V2424="pregrado",31,
IF(V2424="posgrados",31,
IF(V2424="rEINTEGROS",7,
IF(V2424="BIT",90,
IF(V2424="OP GRADO - INGLÉS",17,"")))))</f>
        <v>31</v>
      </c>
      <c r="X2424" t="s">
        <v>3935</v>
      </c>
    </row>
    <row r="2425" spans="1:24" ht="15" x14ac:dyDescent="0.35">
      <c r="A2425" s="4">
        <v>45981.376689814817</v>
      </c>
      <c r="B2425">
        <v>20104466</v>
      </c>
      <c r="C2425" s="5" t="s">
        <v>19</v>
      </c>
      <c r="D2425">
        <v>571567</v>
      </c>
      <c r="E2425" t="s">
        <v>20</v>
      </c>
      <c r="F2425">
        <v>1002025430</v>
      </c>
      <c r="G2425" t="s">
        <v>442</v>
      </c>
      <c r="H2425">
        <v>100235829</v>
      </c>
      <c r="I2425">
        <v>202631</v>
      </c>
      <c r="J2425">
        <v>1002025430</v>
      </c>
      <c r="K2425" t="s">
        <v>33</v>
      </c>
      <c r="L2425" t="s">
        <v>370</v>
      </c>
      <c r="M2425" t="s">
        <v>24</v>
      </c>
      <c r="N2425" t="s">
        <v>35</v>
      </c>
      <c r="O2425" t="s">
        <v>26</v>
      </c>
      <c r="P2425" t="s">
        <v>27</v>
      </c>
      <c r="Q2425" t="s">
        <v>28</v>
      </c>
      <c r="R2425" t="s">
        <v>29</v>
      </c>
      <c r="S2425" t="s">
        <v>30</v>
      </c>
      <c r="T2425">
        <v>1000251314</v>
      </c>
      <c r="U2425" t="s">
        <v>3963</v>
      </c>
      <c r="V2425" t="s">
        <v>3934</v>
      </c>
      <c r="W2425" s="9">
        <f>IF(V2425="pregrado",31,
IF(V2425="posgrados",31,
IF(V2425="rEINTEGROS",7,
IF(V2425="BIT",90,
IF(V2425="OP GRADO - INGLÉS",17,"")))))</f>
        <v>31</v>
      </c>
      <c r="X2425" t="s">
        <v>4024</v>
      </c>
    </row>
    <row r="2426" spans="1:24" ht="15" x14ac:dyDescent="0.35">
      <c r="A2426" s="4">
        <v>45980.584837962961</v>
      </c>
      <c r="B2426">
        <v>20104399</v>
      </c>
      <c r="C2426" s="5" t="s">
        <v>19</v>
      </c>
      <c r="D2426">
        <v>571569</v>
      </c>
      <c r="E2426" t="s">
        <v>20</v>
      </c>
      <c r="F2426">
        <v>1022427482</v>
      </c>
      <c r="G2426" t="s">
        <v>429</v>
      </c>
      <c r="H2426">
        <v>200055398</v>
      </c>
      <c r="I2426">
        <v>202631</v>
      </c>
      <c r="J2426">
        <v>1022427482</v>
      </c>
      <c r="K2426" t="s">
        <v>23</v>
      </c>
      <c r="L2426" t="s">
        <v>119</v>
      </c>
      <c r="M2426" t="s">
        <v>24</v>
      </c>
      <c r="N2426" t="s">
        <v>35</v>
      </c>
      <c r="O2426" t="s">
        <v>26</v>
      </c>
      <c r="P2426" t="s">
        <v>27</v>
      </c>
      <c r="Q2426" t="s">
        <v>28</v>
      </c>
      <c r="R2426" t="s">
        <v>29</v>
      </c>
      <c r="S2426" t="s">
        <v>30</v>
      </c>
      <c r="T2426">
        <v>1023975276</v>
      </c>
      <c r="U2426" t="s">
        <v>3963</v>
      </c>
      <c r="V2426" t="s">
        <v>3934</v>
      </c>
      <c r="W2426" s="9">
        <f>IF(V2426="pregrado",31,
IF(V2426="posgrados",31,
IF(V2426="rEINTEGROS",7,
IF(V2426="BIT",90,
IF(V2426="OP GRADO - INGLÉS",17,"")))))</f>
        <v>31</v>
      </c>
      <c r="X2426" t="s">
        <v>3962</v>
      </c>
    </row>
    <row r="2427" spans="1:24" ht="15" x14ac:dyDescent="0.35">
      <c r="A2427" s="4">
        <v>45983.595277777778</v>
      </c>
      <c r="B2427">
        <v>20104642</v>
      </c>
      <c r="C2427" s="5" t="s">
        <v>19</v>
      </c>
      <c r="D2427">
        <v>571570</v>
      </c>
      <c r="E2427" t="s">
        <v>20</v>
      </c>
      <c r="F2427">
        <v>1006407173</v>
      </c>
      <c r="G2427" t="s">
        <v>476</v>
      </c>
      <c r="H2427">
        <v>100235830</v>
      </c>
      <c r="I2427">
        <v>202611</v>
      </c>
      <c r="J2427">
        <v>1006407173</v>
      </c>
      <c r="K2427" t="s">
        <v>23</v>
      </c>
      <c r="L2427" t="s">
        <v>227</v>
      </c>
      <c r="M2427" t="s">
        <v>24</v>
      </c>
      <c r="N2427" t="s">
        <v>35</v>
      </c>
      <c r="O2427" t="s">
        <v>26</v>
      </c>
      <c r="P2427" t="s">
        <v>27</v>
      </c>
      <c r="Q2427" t="s">
        <v>28</v>
      </c>
      <c r="R2427" t="s">
        <v>29</v>
      </c>
      <c r="S2427" t="s">
        <v>30</v>
      </c>
      <c r="T2427">
        <v>52342867</v>
      </c>
      <c r="U2427" t="s">
        <v>3965</v>
      </c>
      <c r="V2427" t="s">
        <v>3934</v>
      </c>
      <c r="W2427" s="9">
        <f>IF(V2427="pregrado",31,
IF(V2427="posgrados",31,
IF(V2427="rEINTEGROS",7,
IF(V2427="BIT",90,
IF(V2427="OP GRADO - INGLÉS",17,"")))))</f>
        <v>31</v>
      </c>
      <c r="X2427" t="s">
        <v>4047</v>
      </c>
    </row>
    <row r="2428" spans="1:24" ht="15" x14ac:dyDescent="0.35">
      <c r="A2428" s="4">
        <v>45980.69458333333</v>
      </c>
      <c r="B2428">
        <v>20104430</v>
      </c>
      <c r="C2428" s="5" t="s">
        <v>19</v>
      </c>
      <c r="D2428">
        <v>571574</v>
      </c>
      <c r="E2428" t="s">
        <v>20</v>
      </c>
      <c r="F2428">
        <v>38612670</v>
      </c>
      <c r="G2428" t="s">
        <v>437</v>
      </c>
      <c r="H2428">
        <v>100235834</v>
      </c>
      <c r="I2428">
        <v>202611</v>
      </c>
      <c r="J2428">
        <v>1111669405</v>
      </c>
      <c r="K2428" t="s">
        <v>33</v>
      </c>
      <c r="L2428" t="s">
        <v>204</v>
      </c>
      <c r="M2428" t="s">
        <v>24</v>
      </c>
      <c r="N2428" t="s">
        <v>25</v>
      </c>
      <c r="O2428" t="s">
        <v>26</v>
      </c>
      <c r="P2428" t="s">
        <v>27</v>
      </c>
      <c r="Q2428" t="s">
        <v>28</v>
      </c>
      <c r="R2428" t="s">
        <v>29</v>
      </c>
      <c r="S2428" t="s">
        <v>30</v>
      </c>
      <c r="T2428">
        <v>1023000938</v>
      </c>
      <c r="U2428" t="s">
        <v>3941</v>
      </c>
      <c r="V2428" t="s">
        <v>3934</v>
      </c>
      <c r="W2428" s="9">
        <f>IF(V2428="pregrado",31,
IF(V2428="posgrados",31,
IF(V2428="rEINTEGROS",7,
IF(V2428="BIT",90,
IF(V2428="OP GRADO - INGLÉS",17,"")))))</f>
        <v>31</v>
      </c>
      <c r="X2428" t="s">
        <v>3989</v>
      </c>
    </row>
    <row r="2429" spans="1:24" ht="15" x14ac:dyDescent="0.35">
      <c r="A2429" s="4">
        <v>45981.603726851848</v>
      </c>
      <c r="B2429">
        <v>20104538</v>
      </c>
      <c r="C2429" s="5" t="s">
        <v>19</v>
      </c>
      <c r="D2429">
        <v>571578</v>
      </c>
      <c r="E2429" t="s">
        <v>20</v>
      </c>
      <c r="F2429">
        <v>1055551543</v>
      </c>
      <c r="G2429" t="s">
        <v>459</v>
      </c>
      <c r="H2429">
        <v>100235837</v>
      </c>
      <c r="I2429">
        <v>202611</v>
      </c>
      <c r="J2429">
        <v>1021678935</v>
      </c>
      <c r="K2429" t="s">
        <v>23</v>
      </c>
      <c r="L2429" t="s">
        <v>227</v>
      </c>
      <c r="M2429" t="s">
        <v>24</v>
      </c>
      <c r="N2429" t="s">
        <v>35</v>
      </c>
      <c r="O2429" t="s">
        <v>26</v>
      </c>
      <c r="P2429" t="s">
        <v>27</v>
      </c>
      <c r="Q2429" t="s">
        <v>28</v>
      </c>
      <c r="R2429" t="s">
        <v>29</v>
      </c>
      <c r="S2429" t="s">
        <v>30</v>
      </c>
      <c r="T2429">
        <v>45555807</v>
      </c>
      <c r="U2429" t="s">
        <v>3965</v>
      </c>
      <c r="V2429" t="s">
        <v>3934</v>
      </c>
      <c r="W2429" s="9">
        <f>IF(V2429="pregrado",31,
IF(V2429="posgrados",31,
IF(V2429="rEINTEGROS",7,
IF(V2429="BIT",90,
IF(V2429="OP GRADO - INGLÉS",17,"")))))</f>
        <v>31</v>
      </c>
      <c r="X2429" t="s">
        <v>4027</v>
      </c>
    </row>
    <row r="2430" spans="1:24" ht="15" x14ac:dyDescent="0.35">
      <c r="A2430" s="4">
        <v>45980.569675925923</v>
      </c>
      <c r="B2430">
        <v>20104398</v>
      </c>
      <c r="C2430" s="5" t="s">
        <v>19</v>
      </c>
      <c r="D2430">
        <v>571584</v>
      </c>
      <c r="E2430" t="s">
        <v>20</v>
      </c>
      <c r="F2430">
        <v>1123560293</v>
      </c>
      <c r="G2430" t="s">
        <v>428</v>
      </c>
      <c r="H2430">
        <v>100235842</v>
      </c>
      <c r="I2430">
        <v>202631</v>
      </c>
      <c r="J2430">
        <v>1090380995</v>
      </c>
      <c r="K2430" t="s">
        <v>33</v>
      </c>
      <c r="L2430" t="s">
        <v>90</v>
      </c>
      <c r="M2430" t="s">
        <v>24</v>
      </c>
      <c r="N2430" t="s">
        <v>25</v>
      </c>
      <c r="O2430" t="s">
        <v>26</v>
      </c>
      <c r="P2430" t="s">
        <v>27</v>
      </c>
      <c r="Q2430" t="s">
        <v>28</v>
      </c>
      <c r="R2430" t="s">
        <v>29</v>
      </c>
      <c r="S2430" t="s">
        <v>30</v>
      </c>
      <c r="T2430">
        <v>1013687925</v>
      </c>
      <c r="U2430" t="s">
        <v>3933</v>
      </c>
      <c r="V2430" t="s">
        <v>3934</v>
      </c>
      <c r="W2430" s="9">
        <f>IF(V2430="pregrado",31,
IF(V2430="posgrados",31,
IF(V2430="rEINTEGROS",7,
IF(V2430="BIT",90,
IF(V2430="OP GRADO - INGLÉS",17,"")))))</f>
        <v>31</v>
      </c>
      <c r="X2430" t="s">
        <v>3959</v>
      </c>
    </row>
    <row r="2431" spans="1:24" ht="15" x14ac:dyDescent="0.35">
      <c r="A2431" s="4">
        <v>45985.650451388887</v>
      </c>
      <c r="B2431">
        <v>20104708</v>
      </c>
      <c r="C2431" s="5" t="s">
        <v>19</v>
      </c>
      <c r="D2431">
        <v>571596</v>
      </c>
      <c r="E2431" t="s">
        <v>20</v>
      </c>
      <c r="F2431">
        <v>1023955100</v>
      </c>
      <c r="G2431" t="s">
        <v>494</v>
      </c>
      <c r="H2431">
        <v>100185942</v>
      </c>
      <c r="I2431">
        <v>202631</v>
      </c>
      <c r="J2431">
        <v>1023955100</v>
      </c>
      <c r="K2431" t="s">
        <v>23</v>
      </c>
      <c r="L2431" t="s">
        <v>42</v>
      </c>
      <c r="M2431" t="s">
        <v>24</v>
      </c>
      <c r="N2431" t="s">
        <v>35</v>
      </c>
      <c r="O2431" t="s">
        <v>26</v>
      </c>
      <c r="P2431" t="s">
        <v>27</v>
      </c>
      <c r="Q2431" t="s">
        <v>28</v>
      </c>
      <c r="R2431" t="s">
        <v>29</v>
      </c>
      <c r="S2431" t="s">
        <v>30</v>
      </c>
      <c r="T2431">
        <v>1000120140</v>
      </c>
      <c r="U2431" t="s">
        <v>3936</v>
      </c>
      <c r="V2431" t="s">
        <v>3937</v>
      </c>
      <c r="W2431" s="9">
        <f>IF(V2431="pregrado",31,
IF(V2431="posgrados",31,
IF(V2431="rEINTEGROS",7,
IF(V2431="BIT",90,
IF(V2431="OP GRADO - INGLÉS",17,"")))))</f>
        <v>31</v>
      </c>
      <c r="X2431" t="s">
        <v>3935</v>
      </c>
    </row>
    <row r="2432" spans="1:24" ht="15" x14ac:dyDescent="0.35">
      <c r="A2432" s="4">
        <v>45995.447025462963</v>
      </c>
      <c r="B2432">
        <v>20105837</v>
      </c>
      <c r="C2432" s="6" t="s">
        <v>19</v>
      </c>
      <c r="D2432">
        <v>571605</v>
      </c>
      <c r="E2432" t="s">
        <v>20</v>
      </c>
      <c r="F2432">
        <v>1007153054</v>
      </c>
      <c r="G2432" t="s">
        <v>770</v>
      </c>
      <c r="H2432">
        <v>100235857</v>
      </c>
      <c r="I2432">
        <v>202631</v>
      </c>
      <c r="J2432">
        <v>1007153054</v>
      </c>
      <c r="K2432" t="s">
        <v>33</v>
      </c>
      <c r="L2432" t="s">
        <v>32</v>
      </c>
      <c r="M2432" t="s">
        <v>24</v>
      </c>
      <c r="N2432" t="s">
        <v>35</v>
      </c>
      <c r="O2432" t="s">
        <v>26</v>
      </c>
      <c r="P2432" t="s">
        <v>27</v>
      </c>
      <c r="Q2432" t="s">
        <v>28</v>
      </c>
      <c r="R2432" t="s">
        <v>29</v>
      </c>
      <c r="S2432" t="s">
        <v>30</v>
      </c>
      <c r="T2432">
        <v>10123971531</v>
      </c>
      <c r="U2432" t="s">
        <v>3944</v>
      </c>
      <c r="V2432" t="s">
        <v>3934</v>
      </c>
      <c r="W2432" s="9">
        <f>IF(V2432="pregrado",31,
IF(V2432="posgrados",31,
IF(V2432="rEINTEGROS",7,
IF(V2432="BIT",90,
IF(V2432="OP GRADO - INGLÉS",17,"")))))</f>
        <v>31</v>
      </c>
      <c r="X2432" t="s">
        <v>3943</v>
      </c>
    </row>
    <row r="2433" spans="1:24" ht="15" x14ac:dyDescent="0.35">
      <c r="A2433" s="4">
        <v>45980.588194444441</v>
      </c>
      <c r="B2433">
        <v>20104400</v>
      </c>
      <c r="C2433" s="5" t="s">
        <v>19</v>
      </c>
      <c r="D2433">
        <v>571622</v>
      </c>
      <c r="E2433" t="s">
        <v>20</v>
      </c>
      <c r="F2433">
        <v>1052703667</v>
      </c>
      <c r="G2433" t="s">
        <v>430</v>
      </c>
      <c r="H2433">
        <v>100235770</v>
      </c>
      <c r="I2433">
        <v>202611</v>
      </c>
      <c r="J2433">
        <v>1052703667</v>
      </c>
      <c r="K2433" t="s">
        <v>23</v>
      </c>
      <c r="L2433" t="s">
        <v>221</v>
      </c>
      <c r="M2433" t="s">
        <v>24</v>
      </c>
      <c r="N2433" t="s">
        <v>25</v>
      </c>
      <c r="O2433" t="s">
        <v>26</v>
      </c>
      <c r="P2433" t="s">
        <v>27</v>
      </c>
      <c r="Q2433" t="s">
        <v>28</v>
      </c>
      <c r="R2433" t="s">
        <v>29</v>
      </c>
      <c r="S2433" t="s">
        <v>30</v>
      </c>
      <c r="T2433">
        <v>10006855461</v>
      </c>
      <c r="U2433" t="s">
        <v>3965</v>
      </c>
      <c r="V2433" t="s">
        <v>3934</v>
      </c>
      <c r="W2433" s="9">
        <f>IF(V2433="pregrado",31,
IF(V2433="posgrados",31,
IF(V2433="rEINTEGROS",7,
IF(V2433="BIT",90,
IF(V2433="OP GRADO - INGLÉS",17,"")))))</f>
        <v>31</v>
      </c>
      <c r="X2433" t="s">
        <v>3993</v>
      </c>
    </row>
    <row r="2434" spans="1:24" ht="15" x14ac:dyDescent="0.35">
      <c r="A2434" s="4">
        <v>45981.535162037035</v>
      </c>
      <c r="B2434">
        <v>20104509</v>
      </c>
      <c r="C2434" s="5" t="s">
        <v>19</v>
      </c>
      <c r="D2434">
        <v>571630</v>
      </c>
      <c r="E2434" t="s">
        <v>20</v>
      </c>
      <c r="F2434">
        <v>1007727610</v>
      </c>
      <c r="G2434" t="s">
        <v>451</v>
      </c>
      <c r="H2434">
        <v>100235875</v>
      </c>
      <c r="I2434">
        <v>202631</v>
      </c>
      <c r="J2434">
        <v>1007727610</v>
      </c>
      <c r="K2434" t="s">
        <v>23</v>
      </c>
      <c r="L2434" t="s">
        <v>231</v>
      </c>
      <c r="M2434" t="s">
        <v>24</v>
      </c>
      <c r="N2434" t="s">
        <v>25</v>
      </c>
      <c r="O2434" t="s">
        <v>26</v>
      </c>
      <c r="P2434" t="s">
        <v>27</v>
      </c>
      <c r="Q2434" t="s">
        <v>28</v>
      </c>
      <c r="R2434" t="s">
        <v>29</v>
      </c>
      <c r="S2434" t="s">
        <v>30</v>
      </c>
      <c r="T2434">
        <v>1057586591</v>
      </c>
      <c r="U2434" t="s">
        <v>3963</v>
      </c>
      <c r="V2434" t="s">
        <v>3934</v>
      </c>
      <c r="W2434" s="9">
        <f>IF(V2434="pregrado",31,
IF(V2434="posgrados",31,
IF(V2434="rEINTEGROS",7,
IF(V2434="BIT",90,
IF(V2434="OP GRADO - INGLÉS",17,"")))))</f>
        <v>31</v>
      </c>
      <c r="X2434" t="s">
        <v>3988</v>
      </c>
    </row>
    <row r="2435" spans="1:24" ht="15" x14ac:dyDescent="0.35">
      <c r="A2435" s="4">
        <v>45980.680590277778</v>
      </c>
      <c r="B2435">
        <v>20104423</v>
      </c>
      <c r="C2435" s="5" t="s">
        <v>19</v>
      </c>
      <c r="D2435">
        <v>571632</v>
      </c>
      <c r="E2435" t="s">
        <v>20</v>
      </c>
      <c r="F2435">
        <v>1002544271</v>
      </c>
      <c r="G2435" t="s">
        <v>436</v>
      </c>
      <c r="H2435">
        <v>100235878</v>
      </c>
      <c r="I2435">
        <v>202631</v>
      </c>
      <c r="J2435">
        <v>1002544271</v>
      </c>
      <c r="K2435" t="s">
        <v>33</v>
      </c>
      <c r="L2435" t="s">
        <v>32</v>
      </c>
      <c r="M2435" t="s">
        <v>24</v>
      </c>
      <c r="N2435" t="s">
        <v>25</v>
      </c>
      <c r="O2435" t="s">
        <v>26</v>
      </c>
      <c r="P2435" t="s">
        <v>27</v>
      </c>
      <c r="Q2435" t="s">
        <v>28</v>
      </c>
      <c r="R2435" t="s">
        <v>29</v>
      </c>
      <c r="S2435" t="s">
        <v>30</v>
      </c>
      <c r="T2435">
        <v>1006023129</v>
      </c>
      <c r="U2435" t="s">
        <v>3944</v>
      </c>
      <c r="V2435" t="s">
        <v>3934</v>
      </c>
      <c r="W2435" s="9">
        <f>IF(V2435="pregrado",31,
IF(V2435="posgrados",31,
IF(V2435="rEINTEGROS",7,
IF(V2435="BIT",90,
IF(V2435="OP GRADO - INGLÉS",17,"")))))</f>
        <v>31</v>
      </c>
      <c r="X2435" t="s">
        <v>3982</v>
      </c>
    </row>
    <row r="2436" spans="1:24" ht="15" x14ac:dyDescent="0.35">
      <c r="A2436" s="4">
        <v>45980.726759259262</v>
      </c>
      <c r="B2436">
        <v>20104438</v>
      </c>
      <c r="C2436" s="5" t="s">
        <v>19</v>
      </c>
      <c r="D2436">
        <v>571636</v>
      </c>
      <c r="E2436" t="s">
        <v>20</v>
      </c>
      <c r="F2436">
        <v>1010065496</v>
      </c>
      <c r="G2436" t="s">
        <v>438</v>
      </c>
      <c r="H2436">
        <v>100235883</v>
      </c>
      <c r="I2436">
        <v>202631</v>
      </c>
      <c r="J2436">
        <v>1010065496</v>
      </c>
      <c r="K2436" t="s">
        <v>33</v>
      </c>
      <c r="L2436" t="s">
        <v>57</v>
      </c>
      <c r="M2436" t="s">
        <v>24</v>
      </c>
      <c r="N2436" t="s">
        <v>38</v>
      </c>
      <c r="O2436" t="s">
        <v>26</v>
      </c>
      <c r="P2436" t="s">
        <v>27</v>
      </c>
      <c r="Q2436" t="s">
        <v>28</v>
      </c>
      <c r="R2436" t="s">
        <v>29</v>
      </c>
      <c r="S2436" t="s">
        <v>30</v>
      </c>
      <c r="T2436">
        <v>1019115186</v>
      </c>
      <c r="U2436" t="s">
        <v>3941</v>
      </c>
      <c r="V2436" t="s">
        <v>3934</v>
      </c>
      <c r="W2436" s="9">
        <f>IF(V2436="pregrado",31,
IF(V2436="posgrados",31,
IF(V2436="rEINTEGROS",7,
IF(V2436="BIT",90,
IF(V2436="OP GRADO - INGLÉS",17,"")))))</f>
        <v>31</v>
      </c>
      <c r="X2436" t="s">
        <v>4005</v>
      </c>
    </row>
    <row r="2437" spans="1:24" ht="15" x14ac:dyDescent="0.35">
      <c r="A2437" s="4">
        <v>46000.597766203704</v>
      </c>
      <c r="B2437">
        <v>20106173</v>
      </c>
      <c r="C2437" s="6" t="s">
        <v>19</v>
      </c>
      <c r="D2437">
        <v>571647</v>
      </c>
      <c r="E2437" t="s">
        <v>20</v>
      </c>
      <c r="F2437">
        <v>1062088261</v>
      </c>
      <c r="G2437" t="s">
        <v>827</v>
      </c>
      <c r="H2437">
        <v>100235339</v>
      </c>
      <c r="I2437">
        <v>202631</v>
      </c>
      <c r="J2437">
        <v>1062088261</v>
      </c>
      <c r="K2437" t="s">
        <v>33</v>
      </c>
      <c r="L2437" t="s">
        <v>370</v>
      </c>
      <c r="M2437" t="s">
        <v>24</v>
      </c>
      <c r="N2437" t="s">
        <v>35</v>
      </c>
      <c r="O2437" t="s">
        <v>26</v>
      </c>
      <c r="P2437" t="s">
        <v>27</v>
      </c>
      <c r="Q2437" t="s">
        <v>28</v>
      </c>
      <c r="R2437" t="s">
        <v>29</v>
      </c>
      <c r="S2437" t="s">
        <v>30</v>
      </c>
      <c r="T2437">
        <v>1000251314</v>
      </c>
      <c r="U2437" t="s">
        <v>3963</v>
      </c>
      <c r="V2437" t="s">
        <v>3934</v>
      </c>
      <c r="W2437" s="9">
        <f>IF(V2437="pregrado",31,
IF(V2437="posgrados",31,
IF(V2437="rEINTEGROS",7,
IF(V2437="BIT",90,
IF(V2437="OP GRADO - INGLÉS",17,"")))))</f>
        <v>31</v>
      </c>
      <c r="X2437" t="s">
        <v>4024</v>
      </c>
    </row>
    <row r="2438" spans="1:24" ht="15" x14ac:dyDescent="0.35">
      <c r="A2438" s="4">
        <v>45987.476990740739</v>
      </c>
      <c r="B2438">
        <v>20104913</v>
      </c>
      <c r="C2438" s="6" t="s">
        <v>19</v>
      </c>
      <c r="D2438">
        <v>571648</v>
      </c>
      <c r="E2438" t="s">
        <v>20</v>
      </c>
      <c r="F2438">
        <v>1057589418</v>
      </c>
      <c r="G2438" t="s">
        <v>558</v>
      </c>
      <c r="H2438">
        <v>100218317</v>
      </c>
      <c r="I2438">
        <v>202631</v>
      </c>
      <c r="J2438">
        <v>1057589418</v>
      </c>
      <c r="K2438" t="s">
        <v>23</v>
      </c>
      <c r="L2438" t="s">
        <v>65</v>
      </c>
      <c r="M2438" t="s">
        <v>24</v>
      </c>
      <c r="N2438" t="s">
        <v>35</v>
      </c>
      <c r="O2438" t="s">
        <v>26</v>
      </c>
      <c r="P2438" t="s">
        <v>27</v>
      </c>
      <c r="Q2438" t="s">
        <v>28</v>
      </c>
      <c r="R2438" t="s">
        <v>29</v>
      </c>
      <c r="S2438" t="s">
        <v>30</v>
      </c>
      <c r="T2438">
        <v>1003690112</v>
      </c>
      <c r="U2438" t="s">
        <v>3933</v>
      </c>
      <c r="V2438" t="s">
        <v>3934</v>
      </c>
      <c r="W2438" s="9">
        <f>IF(V2438="pregrado",31,
IF(V2438="posgrados",31,
IF(V2438="rEINTEGROS",7,
IF(V2438="BIT",90,
IF(V2438="OP GRADO - INGLÉS",17,"")))))</f>
        <v>31</v>
      </c>
      <c r="X2438" t="s">
        <v>4061</v>
      </c>
    </row>
    <row r="2439" spans="1:24" ht="15" x14ac:dyDescent="0.35">
      <c r="A2439" s="4">
        <v>46001.696331018517</v>
      </c>
      <c r="B2439">
        <v>20106478</v>
      </c>
      <c r="C2439" s="6" t="s">
        <v>19</v>
      </c>
      <c r="D2439">
        <v>571651</v>
      </c>
      <c r="E2439" t="s">
        <v>20</v>
      </c>
      <c r="F2439">
        <v>1012420745</v>
      </c>
      <c r="G2439" t="s">
        <v>880</v>
      </c>
      <c r="H2439">
        <v>100205009</v>
      </c>
      <c r="I2439">
        <v>202631</v>
      </c>
      <c r="J2439">
        <v>1012420745</v>
      </c>
      <c r="K2439" t="s">
        <v>33</v>
      </c>
      <c r="L2439" t="s">
        <v>42</v>
      </c>
      <c r="M2439" t="s">
        <v>24</v>
      </c>
      <c r="N2439" t="s">
        <v>35</v>
      </c>
      <c r="O2439" t="s">
        <v>26</v>
      </c>
      <c r="P2439" t="s">
        <v>27</v>
      </c>
      <c r="Q2439" t="s">
        <v>28</v>
      </c>
      <c r="R2439" t="s">
        <v>29</v>
      </c>
      <c r="S2439" t="s">
        <v>30</v>
      </c>
      <c r="T2439">
        <v>53139409</v>
      </c>
      <c r="U2439" t="s">
        <v>3944</v>
      </c>
      <c r="V2439" t="s">
        <v>3934</v>
      </c>
      <c r="W2439" s="9">
        <f>IF(V2439="pregrado",31,
IF(V2439="posgrados",31,
IF(V2439="rEINTEGROS",7,
IF(V2439="BIT",90,
IF(V2439="OP GRADO - INGLÉS",17,"")))))</f>
        <v>31</v>
      </c>
      <c r="X2439" t="s">
        <v>3955</v>
      </c>
    </row>
    <row r="2440" spans="1:24" ht="15" x14ac:dyDescent="0.35">
      <c r="A2440" s="4">
        <v>45985.500092592592</v>
      </c>
      <c r="B2440">
        <v>20104681</v>
      </c>
      <c r="C2440" s="5" t="s">
        <v>19</v>
      </c>
      <c r="D2440">
        <v>571654</v>
      </c>
      <c r="E2440" t="s">
        <v>20</v>
      </c>
      <c r="F2440">
        <v>43344112</v>
      </c>
      <c r="G2440" t="s">
        <v>483</v>
      </c>
      <c r="H2440">
        <v>100235990</v>
      </c>
      <c r="I2440">
        <v>202631</v>
      </c>
      <c r="J2440">
        <v>1001764029</v>
      </c>
      <c r="K2440" t="s">
        <v>23</v>
      </c>
      <c r="L2440" t="s">
        <v>207</v>
      </c>
      <c r="M2440" t="s">
        <v>24</v>
      </c>
      <c r="N2440" t="s">
        <v>35</v>
      </c>
      <c r="O2440" t="s">
        <v>26</v>
      </c>
      <c r="P2440" t="s">
        <v>27</v>
      </c>
      <c r="Q2440" t="s">
        <v>28</v>
      </c>
      <c r="R2440" t="s">
        <v>29</v>
      </c>
      <c r="S2440" t="s">
        <v>30</v>
      </c>
      <c r="T2440">
        <v>52392617</v>
      </c>
      <c r="U2440" t="s">
        <v>3965</v>
      </c>
      <c r="V2440" t="s">
        <v>3934</v>
      </c>
      <c r="W2440" s="9">
        <f>IF(V2440="pregrado",31,
IF(V2440="posgrados",31,
IF(V2440="rEINTEGROS",7,
IF(V2440="BIT",90,
IF(V2440="OP GRADO - INGLÉS",17,"")))))</f>
        <v>31</v>
      </c>
      <c r="X2440" t="s">
        <v>4053</v>
      </c>
    </row>
    <row r="2441" spans="1:24" ht="15" x14ac:dyDescent="0.35">
      <c r="A2441" s="4">
        <v>45993.871331018519</v>
      </c>
      <c r="B2441">
        <v>20105676</v>
      </c>
      <c r="C2441" s="6" t="s">
        <v>19</v>
      </c>
      <c r="D2441">
        <v>571666</v>
      </c>
      <c r="E2441" t="s">
        <v>20</v>
      </c>
      <c r="F2441">
        <v>1024592967</v>
      </c>
      <c r="G2441" t="s">
        <v>739</v>
      </c>
      <c r="H2441">
        <v>100118775</v>
      </c>
      <c r="I2441">
        <v>202611</v>
      </c>
      <c r="J2441">
        <v>1024592967</v>
      </c>
      <c r="K2441" t="s">
        <v>89</v>
      </c>
      <c r="L2441" t="s">
        <v>133</v>
      </c>
      <c r="M2441" t="s">
        <v>24</v>
      </c>
      <c r="N2441" t="s">
        <v>35</v>
      </c>
      <c r="O2441" t="s">
        <v>26</v>
      </c>
      <c r="P2441" t="s">
        <v>27</v>
      </c>
      <c r="Q2441" t="s">
        <v>28</v>
      </c>
      <c r="R2441" t="s">
        <v>29</v>
      </c>
      <c r="S2441" t="s">
        <v>30</v>
      </c>
      <c r="T2441">
        <v>52168054</v>
      </c>
      <c r="U2441" t="s">
        <v>3977</v>
      </c>
      <c r="V2441" t="s">
        <v>3970</v>
      </c>
      <c r="W2441" s="9">
        <f>IF(V2441="pregrado",31,
IF(V2441="posgrados",31,
IF(V2441="rEINTEGROS",7,
IF(V2441="BIT",90,
IF(V2441="OP GRADO - INGLÉS",17,"")))))</f>
        <v>7</v>
      </c>
      <c r="X2441" t="s">
        <v>4057</v>
      </c>
    </row>
    <row r="2442" spans="1:24" ht="15" x14ac:dyDescent="0.35">
      <c r="A2442" s="4">
        <v>45986.861886574072</v>
      </c>
      <c r="B2442">
        <v>20104864</v>
      </c>
      <c r="C2442" s="5" t="s">
        <v>19</v>
      </c>
      <c r="D2442">
        <v>571687</v>
      </c>
      <c r="E2442" t="s">
        <v>20</v>
      </c>
      <c r="F2442">
        <v>1037619565</v>
      </c>
      <c r="G2442" t="s">
        <v>544</v>
      </c>
      <c r="H2442">
        <v>100236018</v>
      </c>
      <c r="I2442">
        <v>202611</v>
      </c>
      <c r="J2442">
        <v>1037619565</v>
      </c>
      <c r="K2442" t="s">
        <v>23</v>
      </c>
      <c r="L2442" t="s">
        <v>204</v>
      </c>
      <c r="M2442" t="s">
        <v>24</v>
      </c>
      <c r="N2442" t="s">
        <v>25</v>
      </c>
      <c r="O2442" t="s">
        <v>26</v>
      </c>
      <c r="P2442" t="s">
        <v>27</v>
      </c>
      <c r="Q2442" t="s">
        <v>28</v>
      </c>
      <c r="R2442" t="s">
        <v>29</v>
      </c>
      <c r="S2442" t="s">
        <v>30</v>
      </c>
      <c r="T2442">
        <v>52182207</v>
      </c>
      <c r="U2442" t="s">
        <v>3941</v>
      </c>
      <c r="V2442" t="s">
        <v>3934</v>
      </c>
      <c r="W2442" s="9">
        <f>IF(V2442="pregrado",31,
IF(V2442="posgrados",31,
IF(V2442="rEINTEGROS",7,
IF(V2442="BIT",90,
IF(V2442="OP GRADO - INGLÉS",17,"")))))</f>
        <v>31</v>
      </c>
      <c r="X2442" t="s">
        <v>3946</v>
      </c>
    </row>
    <row r="2443" spans="1:24" ht="15" x14ac:dyDescent="0.35">
      <c r="A2443" s="4">
        <v>45981.470127314817</v>
      </c>
      <c r="B2443">
        <v>20104487</v>
      </c>
      <c r="C2443" s="5" t="s">
        <v>19</v>
      </c>
      <c r="D2443">
        <v>571714</v>
      </c>
      <c r="E2443" t="s">
        <v>20</v>
      </c>
      <c r="F2443">
        <v>55171198</v>
      </c>
      <c r="G2443" t="s">
        <v>448</v>
      </c>
      <c r="H2443">
        <v>100236042</v>
      </c>
      <c r="I2443">
        <v>202631</v>
      </c>
      <c r="J2443">
        <v>1075540788</v>
      </c>
      <c r="K2443" t="s">
        <v>23</v>
      </c>
      <c r="L2443" t="s">
        <v>114</v>
      </c>
      <c r="M2443" t="s">
        <v>24</v>
      </c>
      <c r="N2443" t="s">
        <v>35</v>
      </c>
      <c r="O2443" t="s">
        <v>26</v>
      </c>
      <c r="P2443" t="s">
        <v>27</v>
      </c>
      <c r="Q2443" t="s">
        <v>28</v>
      </c>
      <c r="R2443" t="s">
        <v>29</v>
      </c>
      <c r="S2443" t="s">
        <v>30</v>
      </c>
      <c r="T2443">
        <v>1073709943</v>
      </c>
      <c r="U2443" t="s">
        <v>3963</v>
      </c>
      <c r="V2443" t="s">
        <v>3934</v>
      </c>
      <c r="W2443" s="9">
        <f>IF(V2443="pregrado",31,
IF(V2443="posgrados",31,
IF(V2443="rEINTEGROS",7,
IF(V2443="BIT",90,
IF(V2443="OP GRADO - INGLÉS",17,"")))))</f>
        <v>31</v>
      </c>
      <c r="X2443" t="s">
        <v>4022</v>
      </c>
    </row>
    <row r="2444" spans="1:24" ht="15" x14ac:dyDescent="0.35">
      <c r="A2444" s="4">
        <v>45981.469861111109</v>
      </c>
      <c r="B2444">
        <v>20104486</v>
      </c>
      <c r="C2444" s="5" t="s">
        <v>19</v>
      </c>
      <c r="D2444">
        <v>571729</v>
      </c>
      <c r="E2444" t="s">
        <v>20</v>
      </c>
      <c r="F2444">
        <v>4472512</v>
      </c>
      <c r="G2444" t="s">
        <v>447</v>
      </c>
      <c r="H2444">
        <v>100235507</v>
      </c>
      <c r="I2444">
        <v>202610</v>
      </c>
      <c r="J2444">
        <v>1121709167</v>
      </c>
      <c r="K2444" t="s">
        <v>23</v>
      </c>
      <c r="L2444" t="s">
        <v>49</v>
      </c>
      <c r="M2444" t="s">
        <v>24</v>
      </c>
      <c r="N2444" t="s">
        <v>35</v>
      </c>
      <c r="O2444" t="s">
        <v>26</v>
      </c>
      <c r="P2444" t="s">
        <v>27</v>
      </c>
      <c r="Q2444" t="s">
        <v>28</v>
      </c>
      <c r="R2444" t="s">
        <v>29</v>
      </c>
      <c r="S2444" t="s">
        <v>30</v>
      </c>
      <c r="T2444">
        <v>1015482247</v>
      </c>
      <c r="U2444" t="s">
        <v>3944</v>
      </c>
      <c r="V2444" t="s">
        <v>3934</v>
      </c>
      <c r="W2444" s="9">
        <f>IF(V2444="pregrado",31,
IF(V2444="posgrados",31,
IF(V2444="rEINTEGROS",7,
IF(V2444="BIT",90,
IF(V2444="OP GRADO - INGLÉS",17,"")))))</f>
        <v>31</v>
      </c>
      <c r="X2444" t="s">
        <v>3984</v>
      </c>
    </row>
    <row r="2445" spans="1:24" ht="15" x14ac:dyDescent="0.35">
      <c r="A2445" s="4">
        <v>46008.39534722222</v>
      </c>
      <c r="B2445">
        <v>20108091</v>
      </c>
      <c r="C2445" s="6" t="s">
        <v>19</v>
      </c>
      <c r="D2445">
        <v>571737</v>
      </c>
      <c r="E2445" t="s">
        <v>20</v>
      </c>
      <c r="F2445">
        <v>20941089</v>
      </c>
      <c r="G2445" t="s">
        <v>1068</v>
      </c>
      <c r="H2445">
        <v>100235429</v>
      </c>
      <c r="I2445">
        <v>202610</v>
      </c>
      <c r="J2445">
        <v>1023377128</v>
      </c>
      <c r="K2445" t="s">
        <v>23</v>
      </c>
      <c r="L2445" t="s">
        <v>49</v>
      </c>
      <c r="M2445" t="s">
        <v>24</v>
      </c>
      <c r="N2445" t="s">
        <v>35</v>
      </c>
      <c r="O2445" t="s">
        <v>26</v>
      </c>
      <c r="P2445" t="s">
        <v>27</v>
      </c>
      <c r="Q2445" t="s">
        <v>28</v>
      </c>
      <c r="R2445" t="s">
        <v>29</v>
      </c>
      <c r="S2445" t="s">
        <v>30</v>
      </c>
      <c r="T2445">
        <v>53139409</v>
      </c>
      <c r="U2445" t="s">
        <v>3944</v>
      </c>
      <c r="V2445" t="s">
        <v>3934</v>
      </c>
      <c r="W2445" s="9">
        <f>IF(V2445="pregrado",31,
IF(V2445="posgrados",31,
IF(V2445="rEINTEGROS",7,
IF(V2445="BIT",90,
IF(V2445="OP GRADO - INGLÉS",17,"")))))</f>
        <v>31</v>
      </c>
      <c r="X2445" t="s">
        <v>3955</v>
      </c>
    </row>
    <row r="2446" spans="1:24" ht="15" x14ac:dyDescent="0.35">
      <c r="A2446" s="4">
        <v>45986.700358796297</v>
      </c>
      <c r="B2446">
        <v>20104842</v>
      </c>
      <c r="C2446" s="5" t="s">
        <v>19</v>
      </c>
      <c r="D2446">
        <v>571739</v>
      </c>
      <c r="E2446" t="s">
        <v>20</v>
      </c>
      <c r="F2446">
        <v>1028780952</v>
      </c>
      <c r="G2446" t="s">
        <v>538</v>
      </c>
      <c r="H2446">
        <v>100236076</v>
      </c>
      <c r="I2446">
        <v>202611</v>
      </c>
      <c r="J2446">
        <v>1028780952</v>
      </c>
      <c r="K2446" t="s">
        <v>23</v>
      </c>
      <c r="L2446" t="s">
        <v>227</v>
      </c>
      <c r="M2446" t="s">
        <v>24</v>
      </c>
      <c r="N2446" t="s">
        <v>35</v>
      </c>
      <c r="O2446" t="s">
        <v>26</v>
      </c>
      <c r="P2446" t="s">
        <v>27</v>
      </c>
      <c r="Q2446" t="s">
        <v>28</v>
      </c>
      <c r="R2446" t="s">
        <v>29</v>
      </c>
      <c r="S2446" t="s">
        <v>30</v>
      </c>
      <c r="T2446">
        <v>1003652550</v>
      </c>
      <c r="U2446" t="s">
        <v>3965</v>
      </c>
      <c r="V2446" t="s">
        <v>3934</v>
      </c>
      <c r="W2446" s="9">
        <f>IF(V2446="pregrado",31,
IF(V2446="posgrados",31,
IF(V2446="rEINTEGROS",7,
IF(V2446="BIT",90,
IF(V2446="OP GRADO - INGLÉS",17,"")))))</f>
        <v>31</v>
      </c>
      <c r="X2446" t="s">
        <v>4059</v>
      </c>
    </row>
    <row r="2447" spans="1:24" ht="15" x14ac:dyDescent="0.35">
      <c r="A2447" s="4">
        <v>45988.386018518519</v>
      </c>
      <c r="B2447">
        <v>20105035</v>
      </c>
      <c r="C2447" s="6" t="s">
        <v>19</v>
      </c>
      <c r="D2447">
        <v>571742</v>
      </c>
      <c r="E2447" t="s">
        <v>20</v>
      </c>
      <c r="F2447">
        <v>1114400682</v>
      </c>
      <c r="G2447" t="s">
        <v>592</v>
      </c>
      <c r="H2447">
        <v>100236079</v>
      </c>
      <c r="I2447">
        <v>202631</v>
      </c>
      <c r="J2447">
        <v>1112728170</v>
      </c>
      <c r="K2447" t="s">
        <v>23</v>
      </c>
      <c r="L2447" t="s">
        <v>57</v>
      </c>
      <c r="M2447" t="s">
        <v>24</v>
      </c>
      <c r="N2447" t="s">
        <v>35</v>
      </c>
      <c r="O2447" t="s">
        <v>26</v>
      </c>
      <c r="P2447" t="s">
        <v>27</v>
      </c>
      <c r="Q2447" t="s">
        <v>28</v>
      </c>
      <c r="R2447" t="s">
        <v>29</v>
      </c>
      <c r="S2447" t="s">
        <v>30</v>
      </c>
      <c r="T2447">
        <v>53178431</v>
      </c>
      <c r="U2447" t="s">
        <v>3941</v>
      </c>
      <c r="V2447" t="s">
        <v>3934</v>
      </c>
      <c r="W2447" s="9">
        <f>IF(V2447="pregrado",31,
IF(V2447="posgrados",31,
IF(V2447="rEINTEGROS",7,
IF(V2447="BIT",90,
IF(V2447="OP GRADO - INGLÉS",17,"")))))</f>
        <v>31</v>
      </c>
      <c r="X2447" t="s">
        <v>3949</v>
      </c>
    </row>
    <row r="2448" spans="1:24" ht="15" x14ac:dyDescent="0.35">
      <c r="A2448" s="4">
        <v>46000.764664351853</v>
      </c>
      <c r="B2448">
        <v>20106243</v>
      </c>
      <c r="C2448" s="6" t="s">
        <v>19</v>
      </c>
      <c r="D2448">
        <v>571749</v>
      </c>
      <c r="E2448" t="s">
        <v>20</v>
      </c>
      <c r="F2448">
        <v>26007493</v>
      </c>
      <c r="G2448" t="s">
        <v>841</v>
      </c>
      <c r="H2448">
        <v>100236087</v>
      </c>
      <c r="I2448">
        <v>202610</v>
      </c>
      <c r="J2448">
        <v>1025323733</v>
      </c>
      <c r="K2448" t="s">
        <v>23</v>
      </c>
      <c r="L2448" t="s">
        <v>40</v>
      </c>
      <c r="M2448" t="s">
        <v>24</v>
      </c>
      <c r="N2448" t="s">
        <v>35</v>
      </c>
      <c r="O2448" t="s">
        <v>26</v>
      </c>
      <c r="P2448" t="s">
        <v>27</v>
      </c>
      <c r="Q2448" t="s">
        <v>28</v>
      </c>
      <c r="R2448" t="s">
        <v>29</v>
      </c>
      <c r="S2448" t="s">
        <v>30</v>
      </c>
      <c r="T2448">
        <v>1003690112</v>
      </c>
      <c r="U2448" t="s">
        <v>3933</v>
      </c>
      <c r="V2448" t="s">
        <v>3934</v>
      </c>
      <c r="W2448" s="9">
        <f>IF(V2448="pregrado",31,
IF(V2448="posgrados",31,
IF(V2448="rEINTEGROS",7,
IF(V2448="BIT",90,
IF(V2448="OP GRADO - INGLÉS",17,"")))))</f>
        <v>31</v>
      </c>
      <c r="X2448" t="s">
        <v>4061</v>
      </c>
    </row>
    <row r="2449" spans="1:24" ht="15" x14ac:dyDescent="0.35">
      <c r="A2449" s="4">
        <v>45987.688055555554</v>
      </c>
      <c r="B2449">
        <v>20104995</v>
      </c>
      <c r="C2449" s="6" t="s">
        <v>19</v>
      </c>
      <c r="D2449">
        <v>571750</v>
      </c>
      <c r="E2449" t="s">
        <v>20</v>
      </c>
      <c r="F2449">
        <v>35479288</v>
      </c>
      <c r="G2449" t="s">
        <v>580</v>
      </c>
      <c r="H2449">
        <v>100236088</v>
      </c>
      <c r="I2449">
        <v>202610</v>
      </c>
      <c r="J2449">
        <v>1141116284</v>
      </c>
      <c r="K2449" t="s">
        <v>23</v>
      </c>
      <c r="L2449" t="s">
        <v>79</v>
      </c>
      <c r="M2449" t="s">
        <v>24</v>
      </c>
      <c r="N2449" t="s">
        <v>35</v>
      </c>
      <c r="O2449" t="s">
        <v>26</v>
      </c>
      <c r="P2449" t="s">
        <v>27</v>
      </c>
      <c r="Q2449" t="s">
        <v>28</v>
      </c>
      <c r="R2449" t="s">
        <v>29</v>
      </c>
      <c r="S2449" t="s">
        <v>30</v>
      </c>
      <c r="T2449">
        <v>53006215</v>
      </c>
      <c r="U2449" t="s">
        <v>3965</v>
      </c>
      <c r="V2449" t="s">
        <v>3934</v>
      </c>
      <c r="W2449" s="9">
        <f>IF(V2449="pregrado",31,
IF(V2449="posgrados",31,
IF(V2449="rEINTEGROS",7,
IF(V2449="BIT",90,
IF(V2449="OP GRADO - INGLÉS",17,"")))))</f>
        <v>31</v>
      </c>
      <c r="X2449" t="s">
        <v>4042</v>
      </c>
    </row>
    <row r="2450" spans="1:24" ht="15" x14ac:dyDescent="0.35">
      <c r="A2450" s="4">
        <v>45981.570717592593</v>
      </c>
      <c r="B2450">
        <v>20104523</v>
      </c>
      <c r="C2450" s="5" t="s">
        <v>19</v>
      </c>
      <c r="D2450">
        <v>571756</v>
      </c>
      <c r="E2450" t="s">
        <v>20</v>
      </c>
      <c r="F2450">
        <v>1023035580</v>
      </c>
      <c r="G2450" t="s">
        <v>456</v>
      </c>
      <c r="H2450">
        <v>100236093</v>
      </c>
      <c r="I2450">
        <v>202611</v>
      </c>
      <c r="J2450">
        <v>1023035580</v>
      </c>
      <c r="K2450" t="s">
        <v>23</v>
      </c>
      <c r="L2450" t="s">
        <v>221</v>
      </c>
      <c r="M2450" t="s">
        <v>24</v>
      </c>
      <c r="N2450" t="s">
        <v>35</v>
      </c>
      <c r="O2450" t="s">
        <v>26</v>
      </c>
      <c r="P2450" t="s">
        <v>27</v>
      </c>
      <c r="Q2450" t="s">
        <v>28</v>
      </c>
      <c r="R2450" t="s">
        <v>29</v>
      </c>
      <c r="S2450" t="s">
        <v>30</v>
      </c>
      <c r="T2450">
        <v>52342867</v>
      </c>
      <c r="U2450" t="s">
        <v>3965</v>
      </c>
      <c r="V2450" t="s">
        <v>3934</v>
      </c>
      <c r="W2450" s="9">
        <f>IF(V2450="pregrado",31,
IF(V2450="posgrados",31,
IF(V2450="rEINTEGROS",7,
IF(V2450="BIT",90,
IF(V2450="OP GRADO - INGLÉS",17,"")))))</f>
        <v>31</v>
      </c>
      <c r="X2450" t="s">
        <v>4047</v>
      </c>
    </row>
    <row r="2451" spans="1:24" ht="15" x14ac:dyDescent="0.35">
      <c r="A2451" s="4">
        <v>45989.430949074071</v>
      </c>
      <c r="B2451">
        <v>20105223</v>
      </c>
      <c r="C2451" s="6" t="s">
        <v>19</v>
      </c>
      <c r="D2451">
        <v>571767</v>
      </c>
      <c r="E2451" t="s">
        <v>20</v>
      </c>
      <c r="F2451">
        <v>1073713092</v>
      </c>
      <c r="G2451" t="s">
        <v>643</v>
      </c>
      <c r="H2451">
        <v>100121780</v>
      </c>
      <c r="I2451">
        <v>202611</v>
      </c>
      <c r="J2451">
        <v>1073713092</v>
      </c>
      <c r="K2451" t="s">
        <v>89</v>
      </c>
      <c r="L2451" t="s">
        <v>133</v>
      </c>
      <c r="M2451" t="s">
        <v>24</v>
      </c>
      <c r="N2451" t="s">
        <v>35</v>
      </c>
      <c r="O2451" t="s">
        <v>26</v>
      </c>
      <c r="P2451" t="s">
        <v>27</v>
      </c>
      <c r="Q2451" t="s">
        <v>28</v>
      </c>
      <c r="R2451" t="s">
        <v>29</v>
      </c>
      <c r="S2451" t="s">
        <v>30</v>
      </c>
      <c r="T2451">
        <v>1016110979</v>
      </c>
      <c r="U2451" t="s">
        <v>3977</v>
      </c>
      <c r="V2451" t="s">
        <v>3970</v>
      </c>
      <c r="W2451" s="9">
        <f>IF(V2451="pregrado",31,
IF(V2451="posgrados",31,
IF(V2451="rEINTEGROS",7,
IF(V2451="BIT",90,
IF(V2451="OP GRADO - INGLÉS",17,"")))))</f>
        <v>7</v>
      </c>
      <c r="X2451" t="s">
        <v>4051</v>
      </c>
    </row>
    <row r="2452" spans="1:24" ht="15" x14ac:dyDescent="0.35">
      <c r="A2452" s="4">
        <v>45987.474143518521</v>
      </c>
      <c r="B2452">
        <v>20104911</v>
      </c>
      <c r="C2452" s="6" t="s">
        <v>19</v>
      </c>
      <c r="D2452">
        <v>571770</v>
      </c>
      <c r="E2452" t="s">
        <v>20</v>
      </c>
      <c r="F2452">
        <v>1030657724</v>
      </c>
      <c r="G2452" t="s">
        <v>557</v>
      </c>
      <c r="H2452">
        <v>100236099</v>
      </c>
      <c r="I2452">
        <v>202611</v>
      </c>
      <c r="J2452">
        <v>1030657724</v>
      </c>
      <c r="K2452" t="s">
        <v>23</v>
      </c>
      <c r="L2452" t="s">
        <v>227</v>
      </c>
      <c r="M2452" t="s">
        <v>24</v>
      </c>
      <c r="N2452" t="s">
        <v>35</v>
      </c>
      <c r="O2452" t="s">
        <v>26</v>
      </c>
      <c r="P2452" t="s">
        <v>27</v>
      </c>
      <c r="Q2452" t="s">
        <v>28</v>
      </c>
      <c r="R2452" t="s">
        <v>29</v>
      </c>
      <c r="S2452" t="s">
        <v>30</v>
      </c>
      <c r="T2452">
        <v>1001277801</v>
      </c>
      <c r="U2452" t="s">
        <v>3965</v>
      </c>
      <c r="V2452" t="s">
        <v>3934</v>
      </c>
      <c r="W2452" s="9">
        <f>IF(V2452="pregrado",31,
IF(V2452="posgrados",31,
IF(V2452="rEINTEGROS",7,
IF(V2452="BIT",90,
IF(V2452="OP GRADO - INGLÉS",17,"")))))</f>
        <v>31</v>
      </c>
      <c r="X2452" t="s">
        <v>4002</v>
      </c>
    </row>
    <row r="2453" spans="1:24" ht="15" x14ac:dyDescent="0.35">
      <c r="A2453" s="4">
        <v>45987.641550925924</v>
      </c>
      <c r="B2453">
        <v>20104967</v>
      </c>
      <c r="C2453" s="6" t="s">
        <v>19</v>
      </c>
      <c r="D2453">
        <v>571784</v>
      </c>
      <c r="E2453" t="s">
        <v>20</v>
      </c>
      <c r="F2453">
        <v>1005996501</v>
      </c>
      <c r="G2453" t="s">
        <v>572</v>
      </c>
      <c r="H2453">
        <v>100137124</v>
      </c>
      <c r="I2453">
        <v>202611</v>
      </c>
      <c r="J2453">
        <v>1005996501</v>
      </c>
      <c r="K2453" t="s">
        <v>89</v>
      </c>
      <c r="L2453" t="s">
        <v>133</v>
      </c>
      <c r="M2453" t="s">
        <v>24</v>
      </c>
      <c r="N2453" t="s">
        <v>35</v>
      </c>
      <c r="O2453" t="s">
        <v>26</v>
      </c>
      <c r="P2453" t="s">
        <v>27</v>
      </c>
      <c r="Q2453" t="s">
        <v>28</v>
      </c>
      <c r="R2453" t="s">
        <v>29</v>
      </c>
      <c r="S2453" t="s">
        <v>30</v>
      </c>
      <c r="T2453">
        <v>1019102787</v>
      </c>
      <c r="U2453" t="s">
        <v>3977</v>
      </c>
      <c r="V2453" t="s">
        <v>3970</v>
      </c>
      <c r="W2453" s="9">
        <f>IF(V2453="pregrado",31,
IF(V2453="posgrados",31,
IF(V2453="rEINTEGROS",7,
IF(V2453="BIT",90,
IF(V2453="OP GRADO - INGLÉS",17,"")))))</f>
        <v>7</v>
      </c>
      <c r="X2453" t="s">
        <v>3976</v>
      </c>
    </row>
    <row r="2454" spans="1:24" ht="15" x14ac:dyDescent="0.35">
      <c r="A2454" s="4">
        <v>46063.643622685187</v>
      </c>
      <c r="B2454">
        <v>20122117</v>
      </c>
      <c r="C2454" s="6" t="s">
        <v>19</v>
      </c>
      <c r="D2454">
        <v>571787</v>
      </c>
      <c r="E2454" t="s">
        <v>20</v>
      </c>
      <c r="F2454">
        <v>1004506432</v>
      </c>
      <c r="G2454" t="s">
        <v>2996</v>
      </c>
      <c r="H2454">
        <v>100133933</v>
      </c>
      <c r="I2454">
        <v>202611</v>
      </c>
      <c r="J2454">
        <v>1004506432</v>
      </c>
      <c r="K2454" t="s">
        <v>89</v>
      </c>
      <c r="L2454" t="s">
        <v>133</v>
      </c>
      <c r="M2454" t="s">
        <v>24</v>
      </c>
      <c r="N2454" t="s">
        <v>25</v>
      </c>
      <c r="O2454" t="s">
        <v>26</v>
      </c>
      <c r="P2454" t="s">
        <v>27</v>
      </c>
      <c r="Q2454" t="s">
        <v>28</v>
      </c>
      <c r="R2454" t="s">
        <v>29</v>
      </c>
      <c r="S2454" t="s">
        <v>30</v>
      </c>
      <c r="T2454">
        <v>1019102787</v>
      </c>
      <c r="U2454" t="s">
        <v>3977</v>
      </c>
      <c r="V2454" t="s">
        <v>3970</v>
      </c>
      <c r="W2454" s="9">
        <f>IF(V2454="pregrado",31,
IF(V2454="posgrados",31,
IF(V2454="rEINTEGROS",7,
IF(V2454="BIT",90,
IF(V2454="OP GRADO - INGLÉS",17,"")))))</f>
        <v>7</v>
      </c>
      <c r="X2454" t="s">
        <v>3976</v>
      </c>
    </row>
    <row r="2455" spans="1:24" ht="15" x14ac:dyDescent="0.35">
      <c r="A2455" s="4">
        <v>45983.411064814813</v>
      </c>
      <c r="B2455">
        <v>20104624</v>
      </c>
      <c r="C2455" s="5" t="s">
        <v>19</v>
      </c>
      <c r="D2455">
        <v>571793</v>
      </c>
      <c r="E2455" t="s">
        <v>20</v>
      </c>
      <c r="F2455">
        <v>1095178299</v>
      </c>
      <c r="G2455" t="s">
        <v>473</v>
      </c>
      <c r="H2455">
        <v>100236162</v>
      </c>
      <c r="I2455">
        <v>202611</v>
      </c>
      <c r="J2455">
        <v>1095178299</v>
      </c>
      <c r="K2455" t="s">
        <v>23</v>
      </c>
      <c r="L2455" t="s">
        <v>227</v>
      </c>
      <c r="M2455" t="s">
        <v>24</v>
      </c>
      <c r="N2455" t="s">
        <v>25</v>
      </c>
      <c r="O2455" t="s">
        <v>26</v>
      </c>
      <c r="P2455" t="s">
        <v>27</v>
      </c>
      <c r="Q2455" t="s">
        <v>28</v>
      </c>
      <c r="R2455" t="s">
        <v>29</v>
      </c>
      <c r="S2455" t="s">
        <v>30</v>
      </c>
      <c r="T2455">
        <v>1013662799</v>
      </c>
      <c r="U2455" t="s">
        <v>3965</v>
      </c>
      <c r="V2455" t="s">
        <v>3934</v>
      </c>
      <c r="W2455" s="9">
        <f>IF(V2455="pregrado",31,
IF(V2455="posgrados",31,
IF(V2455="rEINTEGROS",7,
IF(V2455="BIT",90,
IF(V2455="OP GRADO - INGLÉS",17,"")))))</f>
        <v>31</v>
      </c>
      <c r="X2455" t="s">
        <v>4021</v>
      </c>
    </row>
    <row r="2456" spans="1:24" ht="15" x14ac:dyDescent="0.35">
      <c r="A2456" s="4">
        <v>45981.56150462963</v>
      </c>
      <c r="B2456">
        <v>20104522</v>
      </c>
      <c r="C2456" s="5" t="s">
        <v>19</v>
      </c>
      <c r="D2456">
        <v>571800</v>
      </c>
      <c r="E2456" t="s">
        <v>20</v>
      </c>
      <c r="F2456">
        <v>1022434514</v>
      </c>
      <c r="G2456" t="s">
        <v>455</v>
      </c>
      <c r="H2456">
        <v>100057382</v>
      </c>
      <c r="I2456">
        <v>202631</v>
      </c>
      <c r="J2456">
        <v>1022434514</v>
      </c>
      <c r="K2456" t="s">
        <v>89</v>
      </c>
      <c r="L2456" t="s">
        <v>90</v>
      </c>
      <c r="M2456" t="s">
        <v>24</v>
      </c>
      <c r="N2456" t="s">
        <v>35</v>
      </c>
      <c r="O2456" t="s">
        <v>26</v>
      </c>
      <c r="P2456" t="s">
        <v>27</v>
      </c>
      <c r="Q2456" t="s">
        <v>28</v>
      </c>
      <c r="R2456" t="s">
        <v>29</v>
      </c>
      <c r="S2456" t="s">
        <v>30</v>
      </c>
      <c r="T2456">
        <v>1000934874</v>
      </c>
      <c r="U2456" t="s">
        <v>3977</v>
      </c>
      <c r="V2456" t="s">
        <v>3970</v>
      </c>
      <c r="W2456" s="9">
        <f>IF(V2456="pregrado",31,
IF(V2456="posgrados",31,
IF(V2456="rEINTEGROS",7,
IF(V2456="BIT",90,
IF(V2456="OP GRADO - INGLÉS",17,"")))))</f>
        <v>7</v>
      </c>
      <c r="X2456" t="s">
        <v>3999</v>
      </c>
    </row>
    <row r="2457" spans="1:24" ht="15" x14ac:dyDescent="0.35">
      <c r="A2457" s="4">
        <v>45987.655104166668</v>
      </c>
      <c r="B2457">
        <v>20104975</v>
      </c>
      <c r="C2457" s="6" t="s">
        <v>19</v>
      </c>
      <c r="D2457">
        <v>571809</v>
      </c>
      <c r="E2457" t="s">
        <v>20</v>
      </c>
      <c r="F2457">
        <v>68298149</v>
      </c>
      <c r="G2457" t="s">
        <v>574</v>
      </c>
      <c r="H2457">
        <v>100101373</v>
      </c>
      <c r="I2457">
        <v>202611</v>
      </c>
      <c r="J2457">
        <v>68298149</v>
      </c>
      <c r="K2457" t="s">
        <v>89</v>
      </c>
      <c r="L2457" t="s">
        <v>133</v>
      </c>
      <c r="M2457" t="s">
        <v>24</v>
      </c>
      <c r="N2457" t="s">
        <v>35</v>
      </c>
      <c r="O2457" t="s">
        <v>26</v>
      </c>
      <c r="P2457" t="s">
        <v>27</v>
      </c>
      <c r="Q2457" t="s">
        <v>28</v>
      </c>
      <c r="R2457" t="s">
        <v>29</v>
      </c>
      <c r="S2457" t="s">
        <v>30</v>
      </c>
      <c r="T2457">
        <v>52168054</v>
      </c>
      <c r="U2457" t="s">
        <v>3977</v>
      </c>
      <c r="V2457" t="s">
        <v>3970</v>
      </c>
      <c r="W2457" s="9">
        <f>IF(V2457="pregrado",31,
IF(V2457="posgrados",31,
IF(V2457="rEINTEGROS",7,
IF(V2457="BIT",90,
IF(V2457="OP GRADO - INGLÉS",17,"")))))</f>
        <v>7</v>
      </c>
      <c r="X2457" t="s">
        <v>4057</v>
      </c>
    </row>
    <row r="2458" spans="1:24" ht="15" x14ac:dyDescent="0.35">
      <c r="A2458" s="4">
        <v>45987.391909722224</v>
      </c>
      <c r="B2458">
        <v>20104888</v>
      </c>
      <c r="C2458" s="6" t="s">
        <v>19</v>
      </c>
      <c r="D2458">
        <v>571821</v>
      </c>
      <c r="E2458" t="s">
        <v>20</v>
      </c>
      <c r="F2458">
        <v>1010148320</v>
      </c>
      <c r="G2458" t="s">
        <v>553</v>
      </c>
      <c r="H2458">
        <v>100236184</v>
      </c>
      <c r="I2458">
        <v>202611</v>
      </c>
      <c r="J2458">
        <v>1006910121</v>
      </c>
      <c r="K2458" t="s">
        <v>23</v>
      </c>
      <c r="L2458" t="s">
        <v>221</v>
      </c>
      <c r="M2458" t="s">
        <v>24</v>
      </c>
      <c r="N2458" t="s">
        <v>35</v>
      </c>
      <c r="O2458" t="s">
        <v>26</v>
      </c>
      <c r="P2458" t="s">
        <v>27</v>
      </c>
      <c r="Q2458" t="s">
        <v>28</v>
      </c>
      <c r="R2458" t="s">
        <v>29</v>
      </c>
      <c r="S2458" t="s">
        <v>30</v>
      </c>
      <c r="T2458">
        <v>1073692626</v>
      </c>
      <c r="U2458" t="s">
        <v>3965</v>
      </c>
      <c r="V2458" t="s">
        <v>3934</v>
      </c>
      <c r="W2458" s="9">
        <f>IF(V2458="pregrado",31,
IF(V2458="posgrados",31,
IF(V2458="rEINTEGROS",7,
IF(V2458="BIT",90,
IF(V2458="OP GRADO - INGLÉS",17,"")))))</f>
        <v>31</v>
      </c>
      <c r="X2458" t="s">
        <v>4014</v>
      </c>
    </row>
    <row r="2459" spans="1:24" ht="15" x14ac:dyDescent="0.35">
      <c r="A2459" s="4">
        <v>45989.45616898148</v>
      </c>
      <c r="B2459">
        <v>20105233</v>
      </c>
      <c r="C2459" s="6" t="s">
        <v>19</v>
      </c>
      <c r="D2459">
        <v>571826</v>
      </c>
      <c r="E2459" t="s">
        <v>20</v>
      </c>
      <c r="F2459">
        <v>1015409527</v>
      </c>
      <c r="G2459" t="s">
        <v>648</v>
      </c>
      <c r="H2459">
        <v>100236191</v>
      </c>
      <c r="I2459">
        <v>202611</v>
      </c>
      <c r="J2459">
        <v>1015415366</v>
      </c>
      <c r="K2459" t="s">
        <v>23</v>
      </c>
      <c r="L2459" t="s">
        <v>227</v>
      </c>
      <c r="M2459" t="s">
        <v>24</v>
      </c>
      <c r="N2459" t="s">
        <v>25</v>
      </c>
      <c r="O2459" t="s">
        <v>26</v>
      </c>
      <c r="P2459" t="s">
        <v>27</v>
      </c>
      <c r="Q2459" t="s">
        <v>28</v>
      </c>
      <c r="R2459" t="s">
        <v>29</v>
      </c>
      <c r="S2459" t="s">
        <v>30</v>
      </c>
      <c r="T2459">
        <v>1030570122</v>
      </c>
      <c r="U2459" t="s">
        <v>3965</v>
      </c>
      <c r="V2459" t="s">
        <v>3934</v>
      </c>
      <c r="W2459" s="9">
        <f>IF(V2459="pregrado",31,
IF(V2459="posgrados",31,
IF(V2459="rEINTEGROS",7,
IF(V2459="BIT",90,
IF(V2459="OP GRADO - INGLÉS",17,"")))))</f>
        <v>31</v>
      </c>
      <c r="X2459" t="s">
        <v>4015</v>
      </c>
    </row>
    <row r="2460" spans="1:24" ht="15" x14ac:dyDescent="0.35">
      <c r="A2460" s="4">
        <v>45988.487800925926</v>
      </c>
      <c r="B2460">
        <v>20105072</v>
      </c>
      <c r="C2460" s="6" t="s">
        <v>19</v>
      </c>
      <c r="D2460">
        <v>571835</v>
      </c>
      <c r="E2460" t="s">
        <v>20</v>
      </c>
      <c r="F2460">
        <v>1234096231</v>
      </c>
      <c r="G2460" t="s">
        <v>602</v>
      </c>
      <c r="H2460">
        <v>100236199</v>
      </c>
      <c r="I2460">
        <v>202631</v>
      </c>
      <c r="J2460">
        <v>1042453439</v>
      </c>
      <c r="K2460" t="s">
        <v>74</v>
      </c>
      <c r="L2460" t="s">
        <v>42</v>
      </c>
      <c r="M2460" t="s">
        <v>24</v>
      </c>
      <c r="N2460" t="s">
        <v>35</v>
      </c>
      <c r="O2460" t="s">
        <v>26</v>
      </c>
      <c r="P2460" t="s">
        <v>27</v>
      </c>
      <c r="Q2460" t="s">
        <v>28</v>
      </c>
      <c r="R2460" t="s">
        <v>29</v>
      </c>
      <c r="S2460" t="s">
        <v>30</v>
      </c>
      <c r="T2460">
        <v>1006023129</v>
      </c>
      <c r="U2460" t="s">
        <v>3944</v>
      </c>
      <c r="V2460" t="s">
        <v>3934</v>
      </c>
      <c r="W2460" s="9">
        <f>IF(V2460="pregrado",31,
IF(V2460="posgrados",31,
IF(V2460="rEINTEGROS",7,
IF(V2460="BIT",90,
IF(V2460="OP GRADO - INGLÉS",17,"")))))</f>
        <v>31</v>
      </c>
      <c r="X2460" t="s">
        <v>3982</v>
      </c>
    </row>
    <row r="2461" spans="1:24" ht="15" x14ac:dyDescent="0.35">
      <c r="A2461" s="4">
        <v>46001.514490740738</v>
      </c>
      <c r="B2461">
        <v>20106377</v>
      </c>
      <c r="C2461" s="6" t="s">
        <v>19</v>
      </c>
      <c r="D2461">
        <v>571844</v>
      </c>
      <c r="E2461" t="s">
        <v>20</v>
      </c>
      <c r="F2461">
        <v>1019989687</v>
      </c>
      <c r="G2461" t="s">
        <v>865</v>
      </c>
      <c r="H2461">
        <v>100234082</v>
      </c>
      <c r="I2461">
        <v>202611</v>
      </c>
      <c r="J2461">
        <v>1019989687</v>
      </c>
      <c r="K2461" t="s">
        <v>33</v>
      </c>
      <c r="L2461" t="s">
        <v>204</v>
      </c>
      <c r="M2461" t="s">
        <v>24</v>
      </c>
      <c r="N2461" t="s">
        <v>25</v>
      </c>
      <c r="O2461" t="s">
        <v>26</v>
      </c>
      <c r="P2461" t="s">
        <v>27</v>
      </c>
      <c r="Q2461" t="s">
        <v>28</v>
      </c>
      <c r="R2461" t="s">
        <v>29</v>
      </c>
      <c r="S2461" t="s">
        <v>30</v>
      </c>
      <c r="T2461">
        <v>1032394283</v>
      </c>
      <c r="U2461" t="s">
        <v>3941</v>
      </c>
      <c r="V2461" t="s">
        <v>3934</v>
      </c>
      <c r="W2461" s="9">
        <f>IF(V2461="pregrado",31,
IF(V2461="posgrados",31,
IF(V2461="rEINTEGROS",7,
IF(V2461="BIT",90,
IF(V2461="OP GRADO - INGLÉS",17,"")))))</f>
        <v>31</v>
      </c>
      <c r="X2461" t="s">
        <v>4034</v>
      </c>
    </row>
    <row r="2462" spans="1:24" ht="15" x14ac:dyDescent="0.35">
      <c r="A2462" s="4">
        <v>45986.514189814814</v>
      </c>
      <c r="B2462">
        <v>20104791</v>
      </c>
      <c r="C2462" s="5" t="s">
        <v>19</v>
      </c>
      <c r="D2462">
        <v>571865</v>
      </c>
      <c r="E2462" t="s">
        <v>20</v>
      </c>
      <c r="F2462">
        <v>1093592403</v>
      </c>
      <c r="G2462" t="s">
        <v>523</v>
      </c>
      <c r="H2462">
        <v>200035765</v>
      </c>
      <c r="I2462">
        <v>202631</v>
      </c>
      <c r="J2462">
        <v>1093592403</v>
      </c>
      <c r="K2462" t="s">
        <v>33</v>
      </c>
      <c r="L2462" t="s">
        <v>22</v>
      </c>
      <c r="M2462" t="s">
        <v>24</v>
      </c>
      <c r="N2462" t="s">
        <v>25</v>
      </c>
      <c r="O2462" t="s">
        <v>26</v>
      </c>
      <c r="P2462" t="s">
        <v>27</v>
      </c>
      <c r="Q2462" t="s">
        <v>28</v>
      </c>
      <c r="R2462" t="s">
        <v>29</v>
      </c>
      <c r="S2462" t="s">
        <v>30</v>
      </c>
      <c r="T2462">
        <v>79786913</v>
      </c>
      <c r="U2462" t="s">
        <v>3939</v>
      </c>
      <c r="V2462" t="s">
        <v>3934</v>
      </c>
      <c r="W2462" s="9">
        <f>IF(V2462="pregrado",31,
IF(V2462="posgrados",31,
IF(V2462="rEINTEGROS",7,
IF(V2462="BIT",90,
IF(V2462="OP GRADO - INGLÉS",17,"")))))</f>
        <v>31</v>
      </c>
      <c r="X2462" t="s">
        <v>4010</v>
      </c>
    </row>
    <row r="2463" spans="1:24" ht="15" x14ac:dyDescent="0.35">
      <c r="A2463" s="4">
        <v>45986.579201388886</v>
      </c>
      <c r="B2463">
        <v>20104806</v>
      </c>
      <c r="C2463" s="5" t="s">
        <v>19</v>
      </c>
      <c r="D2463">
        <v>571869</v>
      </c>
      <c r="E2463" t="s">
        <v>20</v>
      </c>
      <c r="F2463">
        <v>1057590107</v>
      </c>
      <c r="G2463" t="s">
        <v>527</v>
      </c>
      <c r="H2463">
        <v>100236230</v>
      </c>
      <c r="I2463">
        <v>202631</v>
      </c>
      <c r="J2463">
        <v>1057593667</v>
      </c>
      <c r="K2463" t="s">
        <v>33</v>
      </c>
      <c r="L2463" t="s">
        <v>51</v>
      </c>
      <c r="M2463" t="s">
        <v>24</v>
      </c>
      <c r="N2463" t="s">
        <v>25</v>
      </c>
      <c r="O2463" t="s">
        <v>26</v>
      </c>
      <c r="P2463" t="s">
        <v>27</v>
      </c>
      <c r="Q2463" t="s">
        <v>28</v>
      </c>
      <c r="R2463" t="s">
        <v>29</v>
      </c>
      <c r="S2463" t="s">
        <v>30</v>
      </c>
      <c r="T2463">
        <v>1002500634</v>
      </c>
      <c r="U2463" t="s">
        <v>3986</v>
      </c>
      <c r="V2463" t="s">
        <v>3934</v>
      </c>
      <c r="W2463" s="9">
        <f>IF(V2463="pregrado",31,
IF(V2463="posgrados",31,
IF(V2463="rEINTEGROS",7,
IF(V2463="BIT",90,
IF(V2463="OP GRADO - INGLÉS",17,"")))))</f>
        <v>31</v>
      </c>
      <c r="X2463" t="s">
        <v>4026</v>
      </c>
    </row>
    <row r="2464" spans="1:24" ht="15" x14ac:dyDescent="0.35">
      <c r="A2464" s="4">
        <v>45989.691643518519</v>
      </c>
      <c r="B2464">
        <v>20105301</v>
      </c>
      <c r="C2464" s="6" t="s">
        <v>19</v>
      </c>
      <c r="D2464">
        <v>571871</v>
      </c>
      <c r="E2464" t="s">
        <v>20</v>
      </c>
      <c r="F2464">
        <v>1233897892</v>
      </c>
      <c r="G2464" t="s">
        <v>672</v>
      </c>
      <c r="H2464">
        <v>100236234</v>
      </c>
      <c r="I2464">
        <v>202610</v>
      </c>
      <c r="J2464">
        <v>1233897892</v>
      </c>
      <c r="K2464" t="s">
        <v>23</v>
      </c>
      <c r="L2464" t="s">
        <v>79</v>
      </c>
      <c r="M2464" t="s">
        <v>24</v>
      </c>
      <c r="N2464" t="s">
        <v>35</v>
      </c>
      <c r="O2464" t="s">
        <v>26</v>
      </c>
      <c r="P2464" t="s">
        <v>27</v>
      </c>
      <c r="Q2464" t="s">
        <v>28</v>
      </c>
      <c r="R2464" t="s">
        <v>29</v>
      </c>
      <c r="S2464" t="s">
        <v>30</v>
      </c>
      <c r="T2464">
        <v>1023000938</v>
      </c>
      <c r="U2464" t="s">
        <v>3941</v>
      </c>
      <c r="V2464" t="s">
        <v>3934</v>
      </c>
      <c r="W2464" s="9">
        <f>IF(V2464="pregrado",31,
IF(V2464="posgrados",31,
IF(V2464="rEINTEGROS",7,
IF(V2464="BIT",90,
IF(V2464="OP GRADO - INGLÉS",17,"")))))</f>
        <v>31</v>
      </c>
      <c r="X2464" t="s">
        <v>3989</v>
      </c>
    </row>
    <row r="2465" spans="1:24" ht="15" x14ac:dyDescent="0.35">
      <c r="A2465" s="4">
        <v>45994.489282407405</v>
      </c>
      <c r="B2465">
        <v>20105716</v>
      </c>
      <c r="C2465" s="6" t="s">
        <v>19</v>
      </c>
      <c r="D2465">
        <v>571881</v>
      </c>
      <c r="E2465" t="s">
        <v>20</v>
      </c>
      <c r="F2465">
        <v>80114255</v>
      </c>
      <c r="G2465" t="s">
        <v>747</v>
      </c>
      <c r="H2465">
        <v>100236240</v>
      </c>
      <c r="I2465">
        <v>202631</v>
      </c>
      <c r="J2465">
        <v>80114255</v>
      </c>
      <c r="K2465" t="s">
        <v>23</v>
      </c>
      <c r="L2465" t="s">
        <v>240</v>
      </c>
      <c r="M2465" t="s">
        <v>24</v>
      </c>
      <c r="N2465" t="s">
        <v>35</v>
      </c>
      <c r="O2465" t="s">
        <v>26</v>
      </c>
      <c r="P2465" t="s">
        <v>27</v>
      </c>
      <c r="Q2465" t="s">
        <v>28</v>
      </c>
      <c r="R2465" t="s">
        <v>29</v>
      </c>
      <c r="S2465" t="s">
        <v>30</v>
      </c>
      <c r="T2465">
        <v>45555807</v>
      </c>
      <c r="U2465" t="s">
        <v>3965</v>
      </c>
      <c r="V2465" t="s">
        <v>3934</v>
      </c>
      <c r="W2465" s="9">
        <f>IF(V2465="pregrado",31,
IF(V2465="posgrados",31,
IF(V2465="rEINTEGROS",7,
IF(V2465="BIT",90,
IF(V2465="OP GRADO - INGLÉS",17,"")))))</f>
        <v>31</v>
      </c>
      <c r="X2465" t="s">
        <v>4027</v>
      </c>
    </row>
    <row r="2466" spans="1:24" ht="15" x14ac:dyDescent="0.35">
      <c r="A2466" s="4">
        <v>45987.387013888889</v>
      </c>
      <c r="B2466">
        <v>20104885</v>
      </c>
      <c r="C2466" s="6" t="s">
        <v>19</v>
      </c>
      <c r="D2466">
        <v>571917</v>
      </c>
      <c r="E2466" t="s">
        <v>20</v>
      </c>
      <c r="F2466">
        <v>1034283240</v>
      </c>
      <c r="G2466" t="s">
        <v>552</v>
      </c>
      <c r="H2466">
        <v>100236284</v>
      </c>
      <c r="I2466">
        <v>202631</v>
      </c>
      <c r="J2466">
        <v>1034283240</v>
      </c>
      <c r="K2466" t="s">
        <v>33</v>
      </c>
      <c r="L2466" t="s">
        <v>90</v>
      </c>
      <c r="M2466" t="s">
        <v>24</v>
      </c>
      <c r="N2466" t="s">
        <v>25</v>
      </c>
      <c r="O2466" t="s">
        <v>26</v>
      </c>
      <c r="P2466" t="s">
        <v>27</v>
      </c>
      <c r="Q2466" t="s">
        <v>28</v>
      </c>
      <c r="R2466" t="s">
        <v>29</v>
      </c>
      <c r="S2466" t="s">
        <v>30</v>
      </c>
      <c r="T2466">
        <v>1003690112</v>
      </c>
      <c r="U2466" t="s">
        <v>3933</v>
      </c>
      <c r="V2466" t="s">
        <v>3934</v>
      </c>
      <c r="W2466" s="9">
        <f>IF(V2466="pregrado",31,
IF(V2466="posgrados",31,
IF(V2466="rEINTEGROS",7,
IF(V2466="BIT",90,
IF(V2466="OP GRADO - INGLÉS",17,"")))))</f>
        <v>31</v>
      </c>
      <c r="X2466" t="s">
        <v>4061</v>
      </c>
    </row>
    <row r="2467" spans="1:24" ht="15" x14ac:dyDescent="0.35">
      <c r="A2467" s="4">
        <v>45985.453518518516</v>
      </c>
      <c r="B2467">
        <v>20104665</v>
      </c>
      <c r="C2467" s="5" t="s">
        <v>19</v>
      </c>
      <c r="D2467">
        <v>571920</v>
      </c>
      <c r="E2467" t="s">
        <v>20</v>
      </c>
      <c r="F2467">
        <v>1007469468</v>
      </c>
      <c r="G2467" t="s">
        <v>480</v>
      </c>
      <c r="H2467">
        <v>100236198</v>
      </c>
      <c r="I2467">
        <v>202611</v>
      </c>
      <c r="J2467">
        <v>1125758313</v>
      </c>
      <c r="K2467" t="s">
        <v>23</v>
      </c>
      <c r="L2467" t="s">
        <v>221</v>
      </c>
      <c r="M2467" t="s">
        <v>24</v>
      </c>
      <c r="N2467" t="s">
        <v>35</v>
      </c>
      <c r="O2467" t="s">
        <v>26</v>
      </c>
      <c r="P2467" t="s">
        <v>27</v>
      </c>
      <c r="Q2467" t="s">
        <v>28</v>
      </c>
      <c r="R2467" t="s">
        <v>29</v>
      </c>
      <c r="S2467" t="s">
        <v>30</v>
      </c>
      <c r="T2467">
        <v>1013662799</v>
      </c>
      <c r="U2467" t="s">
        <v>3965</v>
      </c>
      <c r="V2467" t="s">
        <v>3934</v>
      </c>
      <c r="W2467" s="9">
        <f>IF(V2467="pregrado",31,
IF(V2467="posgrados",31,
IF(V2467="rEINTEGROS",7,
IF(V2467="BIT",90,
IF(V2467="OP GRADO - INGLÉS",17,"")))))</f>
        <v>31</v>
      </c>
      <c r="X2467" t="s">
        <v>4021</v>
      </c>
    </row>
    <row r="2468" spans="1:24" ht="15" x14ac:dyDescent="0.35">
      <c r="A2468" s="4">
        <v>45985.518657407411</v>
      </c>
      <c r="B2468">
        <v>20104684</v>
      </c>
      <c r="C2468" s="5" t="s">
        <v>19</v>
      </c>
      <c r="D2468">
        <v>571941</v>
      </c>
      <c r="E2468" t="s">
        <v>20</v>
      </c>
      <c r="F2468">
        <v>11300346</v>
      </c>
      <c r="G2468" t="s">
        <v>484</v>
      </c>
      <c r="H2468">
        <v>100236308</v>
      </c>
      <c r="I2468">
        <v>202631</v>
      </c>
      <c r="J2468">
        <v>1127216812</v>
      </c>
      <c r="K2468" t="s">
        <v>23</v>
      </c>
      <c r="L2468" t="s">
        <v>240</v>
      </c>
      <c r="M2468" t="s">
        <v>24</v>
      </c>
      <c r="N2468" t="s">
        <v>35</v>
      </c>
      <c r="O2468" t="s">
        <v>26</v>
      </c>
      <c r="P2468" t="s">
        <v>27</v>
      </c>
      <c r="Q2468" t="s">
        <v>28</v>
      </c>
      <c r="R2468" t="s">
        <v>29</v>
      </c>
      <c r="S2468" t="s">
        <v>30</v>
      </c>
      <c r="T2468">
        <v>1032678391</v>
      </c>
      <c r="U2468" t="s">
        <v>3965</v>
      </c>
      <c r="V2468" t="s">
        <v>3934</v>
      </c>
      <c r="W2468" s="9">
        <f>IF(V2468="pregrado",31,
IF(V2468="posgrados",31,
IF(V2468="rEINTEGROS",7,
IF(V2468="BIT",90,
IF(V2468="OP GRADO - INGLÉS",17,"")))))</f>
        <v>31</v>
      </c>
      <c r="X2468" t="s">
        <v>4098</v>
      </c>
    </row>
    <row r="2469" spans="1:24" ht="15" x14ac:dyDescent="0.35">
      <c r="A2469" s="4">
        <v>45987.418796296297</v>
      </c>
      <c r="B2469">
        <v>20104895</v>
      </c>
      <c r="C2469" s="6" t="s">
        <v>19</v>
      </c>
      <c r="D2469">
        <v>571942</v>
      </c>
      <c r="E2469" t="s">
        <v>20</v>
      </c>
      <c r="F2469">
        <v>93289604</v>
      </c>
      <c r="G2469" t="s">
        <v>554</v>
      </c>
      <c r="H2469">
        <v>100236309</v>
      </c>
      <c r="I2469">
        <v>202611</v>
      </c>
      <c r="J2469">
        <v>1016086240</v>
      </c>
      <c r="K2469" t="s">
        <v>23</v>
      </c>
      <c r="L2469" t="s">
        <v>227</v>
      </c>
      <c r="M2469" t="s">
        <v>24</v>
      </c>
      <c r="N2469" t="s">
        <v>35</v>
      </c>
      <c r="O2469" t="s">
        <v>26</v>
      </c>
      <c r="P2469" t="s">
        <v>27</v>
      </c>
      <c r="Q2469" t="s">
        <v>28</v>
      </c>
      <c r="R2469" t="s">
        <v>29</v>
      </c>
      <c r="S2469" t="s">
        <v>30</v>
      </c>
      <c r="T2469">
        <v>1073692626</v>
      </c>
      <c r="U2469" t="s">
        <v>3965</v>
      </c>
      <c r="V2469" t="s">
        <v>3934</v>
      </c>
      <c r="W2469" s="9">
        <f>IF(V2469="pregrado",31,
IF(V2469="posgrados",31,
IF(V2469="rEINTEGROS",7,
IF(V2469="BIT",90,
IF(V2469="OP GRADO - INGLÉS",17,"")))))</f>
        <v>31</v>
      </c>
      <c r="X2469" t="s">
        <v>4014</v>
      </c>
    </row>
    <row r="2470" spans="1:24" ht="15" x14ac:dyDescent="0.35">
      <c r="A2470" s="4">
        <v>45986.79146990741</v>
      </c>
      <c r="B2470">
        <v>20104863</v>
      </c>
      <c r="C2470" s="5" t="s">
        <v>19</v>
      </c>
      <c r="D2470">
        <v>571955</v>
      </c>
      <c r="E2470" t="s">
        <v>20</v>
      </c>
      <c r="F2470">
        <v>1000460045</v>
      </c>
      <c r="G2470" t="s">
        <v>543</v>
      </c>
      <c r="H2470">
        <v>100236323</v>
      </c>
      <c r="I2470">
        <v>202631</v>
      </c>
      <c r="J2470">
        <v>1000460045</v>
      </c>
      <c r="K2470" t="s">
        <v>33</v>
      </c>
      <c r="L2470" t="s">
        <v>207</v>
      </c>
      <c r="M2470" t="s">
        <v>24</v>
      </c>
      <c r="N2470" t="s">
        <v>25</v>
      </c>
      <c r="O2470" t="s">
        <v>26</v>
      </c>
      <c r="P2470" t="s">
        <v>27</v>
      </c>
      <c r="Q2470" t="s">
        <v>28</v>
      </c>
      <c r="R2470" t="s">
        <v>29</v>
      </c>
      <c r="S2470" t="s">
        <v>30</v>
      </c>
      <c r="T2470">
        <v>80021358</v>
      </c>
      <c r="U2470" t="s">
        <v>3986</v>
      </c>
      <c r="V2470" t="s">
        <v>3934</v>
      </c>
      <c r="W2470" s="9">
        <f>IF(V2470="pregrado",31,
IF(V2470="posgrados",31,
IF(V2470="rEINTEGROS",7,
IF(V2470="BIT",90,
IF(V2470="OP GRADO - INGLÉS",17,"")))))</f>
        <v>31</v>
      </c>
      <c r="X2470" t="s">
        <v>3995</v>
      </c>
    </row>
    <row r="2471" spans="1:24" ht="15" x14ac:dyDescent="0.35">
      <c r="A2471" s="4">
        <v>45983.488877314812</v>
      </c>
      <c r="B2471">
        <v>20104637</v>
      </c>
      <c r="C2471" s="5" t="s">
        <v>19</v>
      </c>
      <c r="D2471">
        <v>571957</v>
      </c>
      <c r="E2471" t="s">
        <v>20</v>
      </c>
      <c r="F2471">
        <v>1007727952</v>
      </c>
      <c r="G2471" t="s">
        <v>475</v>
      </c>
      <c r="H2471">
        <v>100236327</v>
      </c>
      <c r="I2471">
        <v>202631</v>
      </c>
      <c r="J2471">
        <v>1007727952</v>
      </c>
      <c r="K2471" t="s">
        <v>33</v>
      </c>
      <c r="L2471" t="s">
        <v>231</v>
      </c>
      <c r="M2471" t="s">
        <v>24</v>
      </c>
      <c r="N2471" t="s">
        <v>25</v>
      </c>
      <c r="O2471" t="s">
        <v>26</v>
      </c>
      <c r="P2471" t="s">
        <v>27</v>
      </c>
      <c r="Q2471" t="s">
        <v>28</v>
      </c>
      <c r="R2471" t="s">
        <v>29</v>
      </c>
      <c r="S2471" t="s">
        <v>30</v>
      </c>
      <c r="T2471">
        <v>1026299972</v>
      </c>
      <c r="U2471" t="s">
        <v>3933</v>
      </c>
      <c r="V2471" t="s">
        <v>3934</v>
      </c>
      <c r="W2471" s="9">
        <f>IF(V2471="pregrado",31,
IF(V2471="posgrados",31,
IF(V2471="rEINTEGROS",7,
IF(V2471="BIT",90,
IF(V2471="OP GRADO - INGLÉS",17,"")))))</f>
        <v>31</v>
      </c>
      <c r="X2471" t="s">
        <v>4052</v>
      </c>
    </row>
    <row r="2472" spans="1:24" ht="15" x14ac:dyDescent="0.35">
      <c r="A2472" s="4">
        <v>46004.432546296295</v>
      </c>
      <c r="B2472">
        <v>20107100</v>
      </c>
      <c r="C2472" s="6" t="s">
        <v>19</v>
      </c>
      <c r="D2472">
        <v>571958</v>
      </c>
      <c r="E2472" t="s">
        <v>20</v>
      </c>
      <c r="F2472">
        <v>39012852</v>
      </c>
      <c r="G2472" t="s">
        <v>981</v>
      </c>
      <c r="H2472">
        <v>100236328</v>
      </c>
      <c r="I2472">
        <v>202631</v>
      </c>
      <c r="J2472">
        <v>1122406345</v>
      </c>
      <c r="K2472" t="s">
        <v>33</v>
      </c>
      <c r="L2472" t="s">
        <v>101</v>
      </c>
      <c r="M2472" t="s">
        <v>24</v>
      </c>
      <c r="N2472" t="s">
        <v>35</v>
      </c>
      <c r="O2472" t="s">
        <v>26</v>
      </c>
      <c r="P2472" t="s">
        <v>27</v>
      </c>
      <c r="Q2472" t="s">
        <v>28</v>
      </c>
      <c r="R2472" t="s">
        <v>29</v>
      </c>
      <c r="S2472" t="s">
        <v>30</v>
      </c>
      <c r="T2472">
        <v>52342867</v>
      </c>
      <c r="U2472" t="s">
        <v>3965</v>
      </c>
      <c r="V2472" t="s">
        <v>3934</v>
      </c>
      <c r="W2472" s="9">
        <f>IF(V2472="pregrado",31,
IF(V2472="posgrados",31,
IF(V2472="rEINTEGROS",7,
IF(V2472="BIT",90,
IF(V2472="OP GRADO - INGLÉS",17,"")))))</f>
        <v>31</v>
      </c>
      <c r="X2472" t="s">
        <v>4047</v>
      </c>
    </row>
    <row r="2473" spans="1:24" ht="15" x14ac:dyDescent="0.35">
      <c r="A2473" s="4">
        <v>45989.691087962965</v>
      </c>
      <c r="B2473">
        <v>20105300</v>
      </c>
      <c r="C2473" s="6" t="s">
        <v>19</v>
      </c>
      <c r="D2473">
        <v>571959</v>
      </c>
      <c r="E2473" t="s">
        <v>20</v>
      </c>
      <c r="F2473">
        <v>1016047625</v>
      </c>
      <c r="G2473" t="s">
        <v>671</v>
      </c>
      <c r="H2473">
        <v>100236330</v>
      </c>
      <c r="I2473">
        <v>202631</v>
      </c>
      <c r="J2473">
        <v>1022430264</v>
      </c>
      <c r="K2473" t="s">
        <v>23</v>
      </c>
      <c r="L2473" t="s">
        <v>90</v>
      </c>
      <c r="M2473" t="s">
        <v>24</v>
      </c>
      <c r="N2473" t="s">
        <v>35</v>
      </c>
      <c r="O2473" t="s">
        <v>26</v>
      </c>
      <c r="P2473" t="s">
        <v>27</v>
      </c>
      <c r="Q2473" t="s">
        <v>28</v>
      </c>
      <c r="R2473" t="s">
        <v>29</v>
      </c>
      <c r="S2473" t="s">
        <v>30</v>
      </c>
      <c r="T2473">
        <v>1003690112</v>
      </c>
      <c r="U2473" t="s">
        <v>3933</v>
      </c>
      <c r="V2473" t="s">
        <v>3934</v>
      </c>
      <c r="W2473" s="9">
        <f>IF(V2473="pregrado",31,
IF(V2473="posgrados",31,
IF(V2473="rEINTEGROS",7,
IF(V2473="BIT",90,
IF(V2473="OP GRADO - INGLÉS",17,"")))))</f>
        <v>31</v>
      </c>
      <c r="X2473" t="s">
        <v>4061</v>
      </c>
    </row>
    <row r="2474" spans="1:24" ht="15" x14ac:dyDescent="0.35">
      <c r="A2474" s="4">
        <v>45985.663472222222</v>
      </c>
      <c r="B2474">
        <v>20104715</v>
      </c>
      <c r="C2474" s="5" t="s">
        <v>19</v>
      </c>
      <c r="D2474">
        <v>571965</v>
      </c>
      <c r="E2474" t="s">
        <v>20</v>
      </c>
      <c r="F2474">
        <v>1077088850</v>
      </c>
      <c r="G2474" t="s">
        <v>498</v>
      </c>
      <c r="H2474">
        <v>100236336</v>
      </c>
      <c r="I2474">
        <v>202631</v>
      </c>
      <c r="J2474">
        <v>1077088850</v>
      </c>
      <c r="K2474" t="s">
        <v>23</v>
      </c>
      <c r="L2474" t="s">
        <v>207</v>
      </c>
      <c r="M2474" t="s">
        <v>24</v>
      </c>
      <c r="N2474" t="s">
        <v>35</v>
      </c>
      <c r="O2474" t="s">
        <v>26</v>
      </c>
      <c r="P2474" t="s">
        <v>27</v>
      </c>
      <c r="Q2474" t="s">
        <v>28</v>
      </c>
      <c r="R2474" t="s">
        <v>29</v>
      </c>
      <c r="S2474" t="s">
        <v>30</v>
      </c>
      <c r="T2474">
        <v>80021358</v>
      </c>
      <c r="U2474" t="s">
        <v>3986</v>
      </c>
      <c r="V2474" t="s">
        <v>3934</v>
      </c>
      <c r="W2474" s="9">
        <f>IF(V2474="pregrado",31,
IF(V2474="posgrados",31,
IF(V2474="rEINTEGROS",7,
IF(V2474="BIT",90,
IF(V2474="OP GRADO - INGLÉS",17,"")))))</f>
        <v>31</v>
      </c>
      <c r="X2474" t="s">
        <v>3995</v>
      </c>
    </row>
    <row r="2475" spans="1:24" ht="15" x14ac:dyDescent="0.35">
      <c r="A2475" s="4">
        <v>45985.893657407411</v>
      </c>
      <c r="B2475">
        <v>20104747</v>
      </c>
      <c r="C2475" s="5" t="s">
        <v>19</v>
      </c>
      <c r="D2475">
        <v>571969</v>
      </c>
      <c r="E2475" t="s">
        <v>20</v>
      </c>
      <c r="F2475">
        <v>1010235568</v>
      </c>
      <c r="G2475" t="s">
        <v>507</v>
      </c>
      <c r="H2475">
        <v>100236340</v>
      </c>
      <c r="I2475">
        <v>202631</v>
      </c>
      <c r="J2475">
        <v>1010235568</v>
      </c>
      <c r="K2475" t="s">
        <v>23</v>
      </c>
      <c r="L2475" t="s">
        <v>65</v>
      </c>
      <c r="M2475" t="s">
        <v>24</v>
      </c>
      <c r="N2475" t="s">
        <v>35</v>
      </c>
      <c r="O2475" t="s">
        <v>26</v>
      </c>
      <c r="P2475" t="s">
        <v>27</v>
      </c>
      <c r="Q2475" t="s">
        <v>28</v>
      </c>
      <c r="R2475" t="s">
        <v>29</v>
      </c>
      <c r="S2475" t="s">
        <v>30</v>
      </c>
      <c r="T2475">
        <v>1015441103</v>
      </c>
      <c r="U2475" t="s">
        <v>3933</v>
      </c>
      <c r="V2475" t="s">
        <v>3934</v>
      </c>
      <c r="W2475" s="9">
        <f>IF(V2475="pregrado",31,
IF(V2475="posgrados",31,
IF(V2475="rEINTEGROS",7,
IF(V2475="BIT",90,
IF(V2475="OP GRADO - INGLÉS",17,"")))))</f>
        <v>31</v>
      </c>
      <c r="X2475" t="s">
        <v>3961</v>
      </c>
    </row>
    <row r="2476" spans="1:24" ht="15" x14ac:dyDescent="0.35">
      <c r="A2476" s="4">
        <v>45985.539456018516</v>
      </c>
      <c r="B2476">
        <v>20104687</v>
      </c>
      <c r="C2476" s="5" t="s">
        <v>19</v>
      </c>
      <c r="D2476">
        <v>571974</v>
      </c>
      <c r="E2476" t="s">
        <v>20</v>
      </c>
      <c r="F2476">
        <v>1123626521</v>
      </c>
      <c r="G2476" t="s">
        <v>487</v>
      </c>
      <c r="H2476">
        <v>100236349</v>
      </c>
      <c r="I2476">
        <v>202631</v>
      </c>
      <c r="J2476">
        <v>1123626521</v>
      </c>
      <c r="K2476" t="s">
        <v>33</v>
      </c>
      <c r="L2476" t="s">
        <v>57</v>
      </c>
      <c r="M2476" t="s">
        <v>24</v>
      </c>
      <c r="N2476" t="s">
        <v>38</v>
      </c>
      <c r="O2476" t="s">
        <v>26</v>
      </c>
      <c r="P2476" t="s">
        <v>27</v>
      </c>
      <c r="Q2476" t="s">
        <v>28</v>
      </c>
      <c r="R2476" t="s">
        <v>29</v>
      </c>
      <c r="S2476" t="s">
        <v>30</v>
      </c>
      <c r="T2476">
        <v>1118531834</v>
      </c>
      <c r="U2476" t="s">
        <v>3941</v>
      </c>
      <c r="V2476" t="s">
        <v>3934</v>
      </c>
      <c r="W2476" s="9">
        <f>IF(V2476="pregrado",31,
IF(V2476="posgrados",31,
IF(V2476="rEINTEGROS",7,
IF(V2476="BIT",90,
IF(V2476="OP GRADO - INGLÉS",17,"")))))</f>
        <v>31</v>
      </c>
      <c r="X2476" t="s">
        <v>3996</v>
      </c>
    </row>
    <row r="2477" spans="1:24" ht="15" x14ac:dyDescent="0.35">
      <c r="A2477" s="4">
        <v>45985.783877314818</v>
      </c>
      <c r="B2477">
        <v>20104741</v>
      </c>
      <c r="C2477" s="5" t="s">
        <v>19</v>
      </c>
      <c r="D2477">
        <v>571979</v>
      </c>
      <c r="E2477" t="s">
        <v>20</v>
      </c>
      <c r="F2477">
        <v>1016020200</v>
      </c>
      <c r="G2477" t="s">
        <v>504</v>
      </c>
      <c r="H2477">
        <v>100236357</v>
      </c>
      <c r="I2477">
        <v>202631</v>
      </c>
      <c r="J2477">
        <v>1016020200</v>
      </c>
      <c r="K2477" t="s">
        <v>33</v>
      </c>
      <c r="L2477" t="s">
        <v>207</v>
      </c>
      <c r="M2477" t="s">
        <v>24</v>
      </c>
      <c r="N2477" t="s">
        <v>38</v>
      </c>
      <c r="O2477" t="s">
        <v>26</v>
      </c>
      <c r="P2477" t="s">
        <v>27</v>
      </c>
      <c r="Q2477" t="s">
        <v>28</v>
      </c>
      <c r="R2477" t="s">
        <v>29</v>
      </c>
      <c r="S2477" t="s">
        <v>30</v>
      </c>
      <c r="T2477">
        <v>52182207</v>
      </c>
      <c r="U2477" t="s">
        <v>3941</v>
      </c>
      <c r="V2477" t="s">
        <v>3934</v>
      </c>
      <c r="W2477" s="9">
        <f>IF(V2477="pregrado",31,
IF(V2477="posgrados",31,
IF(V2477="rEINTEGROS",7,
IF(V2477="BIT",90,
IF(V2477="OP GRADO - INGLÉS",17,"")))))</f>
        <v>31</v>
      </c>
      <c r="X2477" t="s">
        <v>3946</v>
      </c>
    </row>
    <row r="2478" spans="1:24" ht="15" x14ac:dyDescent="0.35">
      <c r="A2478" s="4">
        <v>46009.464409722219</v>
      </c>
      <c r="B2478">
        <v>20108471</v>
      </c>
      <c r="C2478" s="6" t="s">
        <v>19</v>
      </c>
      <c r="D2478">
        <v>571983</v>
      </c>
      <c r="E2478" t="s">
        <v>20</v>
      </c>
      <c r="F2478">
        <v>1070975236</v>
      </c>
      <c r="G2478" t="s">
        <v>1121</v>
      </c>
      <c r="H2478">
        <v>100236365</v>
      </c>
      <c r="I2478">
        <v>202631</v>
      </c>
      <c r="J2478">
        <v>1070975236</v>
      </c>
      <c r="K2478" t="s">
        <v>33</v>
      </c>
      <c r="L2478" t="s">
        <v>32</v>
      </c>
      <c r="M2478" t="s">
        <v>24</v>
      </c>
      <c r="N2478" t="s">
        <v>35</v>
      </c>
      <c r="O2478" t="s">
        <v>26</v>
      </c>
      <c r="P2478" t="s">
        <v>27</v>
      </c>
      <c r="Q2478" t="s">
        <v>28</v>
      </c>
      <c r="R2478" t="s">
        <v>29</v>
      </c>
      <c r="S2478" t="s">
        <v>30</v>
      </c>
      <c r="T2478">
        <v>1015482247</v>
      </c>
      <c r="U2478" t="s">
        <v>3944</v>
      </c>
      <c r="V2478" t="s">
        <v>3934</v>
      </c>
      <c r="W2478" s="9">
        <f>IF(V2478="pregrado",31,
IF(V2478="posgrados",31,
IF(V2478="rEINTEGROS",7,
IF(V2478="BIT",90,
IF(V2478="OP GRADO - INGLÉS",17,"")))))</f>
        <v>31</v>
      </c>
      <c r="X2478" t="s">
        <v>3984</v>
      </c>
    </row>
    <row r="2479" spans="1:24" ht="15" x14ac:dyDescent="0.35">
      <c r="A2479" s="4">
        <v>45986.646643518521</v>
      </c>
      <c r="B2479">
        <v>20104824</v>
      </c>
      <c r="C2479" s="5" t="s">
        <v>19</v>
      </c>
      <c r="D2479">
        <v>571985</v>
      </c>
      <c r="E2479" t="s">
        <v>20</v>
      </c>
      <c r="F2479">
        <v>74373319</v>
      </c>
      <c r="G2479" t="s">
        <v>533</v>
      </c>
      <c r="H2479">
        <v>100236367</v>
      </c>
      <c r="I2479">
        <v>202631</v>
      </c>
      <c r="J2479">
        <v>1072190047</v>
      </c>
      <c r="K2479" t="s">
        <v>33</v>
      </c>
      <c r="L2479" t="s">
        <v>207</v>
      </c>
      <c r="M2479" t="s">
        <v>24</v>
      </c>
      <c r="N2479" t="s">
        <v>25</v>
      </c>
      <c r="O2479" t="s">
        <v>26</v>
      </c>
      <c r="P2479" t="s">
        <v>27</v>
      </c>
      <c r="Q2479" t="s">
        <v>28</v>
      </c>
      <c r="R2479" t="s">
        <v>29</v>
      </c>
      <c r="S2479" t="s">
        <v>30</v>
      </c>
      <c r="T2479">
        <v>1002500634</v>
      </c>
      <c r="U2479" t="s">
        <v>3986</v>
      </c>
      <c r="V2479" t="s">
        <v>3934</v>
      </c>
      <c r="W2479" s="9">
        <f>IF(V2479="pregrado",31,
IF(V2479="posgrados",31,
IF(V2479="rEINTEGROS",7,
IF(V2479="BIT",90,
IF(V2479="OP GRADO - INGLÉS",17,"")))))</f>
        <v>31</v>
      </c>
      <c r="X2479" t="s">
        <v>4026</v>
      </c>
    </row>
    <row r="2480" spans="1:24" ht="15" x14ac:dyDescent="0.35">
      <c r="A2480" s="4">
        <v>45985.688796296294</v>
      </c>
      <c r="B2480">
        <v>20104722</v>
      </c>
      <c r="C2480" s="5" t="s">
        <v>19</v>
      </c>
      <c r="D2480">
        <v>571988</v>
      </c>
      <c r="E2480" t="s">
        <v>20</v>
      </c>
      <c r="F2480">
        <v>1144130630</v>
      </c>
      <c r="G2480" t="s">
        <v>499</v>
      </c>
      <c r="H2480">
        <v>100236369</v>
      </c>
      <c r="I2480">
        <v>202631</v>
      </c>
      <c r="J2480">
        <v>1144130630</v>
      </c>
      <c r="K2480" t="s">
        <v>33</v>
      </c>
      <c r="L2480" t="s">
        <v>127</v>
      </c>
      <c r="M2480" t="s">
        <v>24</v>
      </c>
      <c r="N2480" t="s">
        <v>25</v>
      </c>
      <c r="O2480" t="s">
        <v>26</v>
      </c>
      <c r="P2480" t="s">
        <v>27</v>
      </c>
      <c r="Q2480" t="s">
        <v>28</v>
      </c>
      <c r="R2480" t="s">
        <v>29</v>
      </c>
      <c r="S2480" t="s">
        <v>30</v>
      </c>
      <c r="T2480">
        <v>1018496066</v>
      </c>
      <c r="U2480" t="s">
        <v>3939</v>
      </c>
      <c r="V2480" t="s">
        <v>3934</v>
      </c>
      <c r="W2480" s="9">
        <f>IF(V2480="pregrado",31,
IF(V2480="posgrados",31,
IF(V2480="rEINTEGROS",7,
IF(V2480="BIT",90,
IF(V2480="OP GRADO - INGLÉS",17,"")))))</f>
        <v>31</v>
      </c>
      <c r="X2480" t="s">
        <v>4006</v>
      </c>
    </row>
    <row r="2481" spans="1:24" ht="15" x14ac:dyDescent="0.35">
      <c r="A2481" s="4">
        <v>46002.668287037035</v>
      </c>
      <c r="B2481">
        <v>20106703</v>
      </c>
      <c r="C2481" s="6" t="s">
        <v>19</v>
      </c>
      <c r="D2481">
        <v>571992</v>
      </c>
      <c r="E2481" t="s">
        <v>20</v>
      </c>
      <c r="F2481">
        <v>1100393701</v>
      </c>
      <c r="G2481" t="s">
        <v>921</v>
      </c>
      <c r="H2481">
        <v>100236377</v>
      </c>
      <c r="I2481">
        <v>202631</v>
      </c>
      <c r="J2481">
        <v>1100393701</v>
      </c>
      <c r="K2481" t="s">
        <v>23</v>
      </c>
      <c r="L2481" t="s">
        <v>114</v>
      </c>
      <c r="M2481" t="s">
        <v>24</v>
      </c>
      <c r="N2481" t="s">
        <v>25</v>
      </c>
      <c r="O2481" t="s">
        <v>26</v>
      </c>
      <c r="P2481" t="s">
        <v>27</v>
      </c>
      <c r="Q2481" t="s">
        <v>28</v>
      </c>
      <c r="R2481" t="s">
        <v>29</v>
      </c>
      <c r="S2481" t="s">
        <v>30</v>
      </c>
      <c r="T2481">
        <v>1014283217</v>
      </c>
      <c r="U2481" t="s">
        <v>3963</v>
      </c>
      <c r="V2481" t="s">
        <v>3934</v>
      </c>
      <c r="W2481" s="9">
        <f>IF(V2481="pregrado",31,
IF(V2481="posgrados",31,
IF(V2481="rEINTEGROS",7,
IF(V2481="BIT",90,
IF(V2481="OP GRADO - INGLÉS",17,"")))))</f>
        <v>31</v>
      </c>
      <c r="X2481" t="s">
        <v>4023</v>
      </c>
    </row>
    <row r="2482" spans="1:24" ht="15" x14ac:dyDescent="0.35">
      <c r="A2482" s="4">
        <v>45985.659479166665</v>
      </c>
      <c r="B2482">
        <v>20104713</v>
      </c>
      <c r="C2482" s="5" t="s">
        <v>19</v>
      </c>
      <c r="D2482">
        <v>571995</v>
      </c>
      <c r="E2482" t="s">
        <v>20</v>
      </c>
      <c r="F2482">
        <v>32880154</v>
      </c>
      <c r="G2482" t="s">
        <v>496</v>
      </c>
      <c r="H2482">
        <v>100236379</v>
      </c>
      <c r="I2482">
        <v>202631</v>
      </c>
      <c r="J2482">
        <v>32880154</v>
      </c>
      <c r="K2482" t="s">
        <v>33</v>
      </c>
      <c r="L2482" t="s">
        <v>101</v>
      </c>
      <c r="M2482" t="s">
        <v>24</v>
      </c>
      <c r="N2482" t="s">
        <v>35</v>
      </c>
      <c r="O2482" t="s">
        <v>26</v>
      </c>
      <c r="P2482" t="s">
        <v>27</v>
      </c>
      <c r="Q2482" t="s">
        <v>28</v>
      </c>
      <c r="R2482" t="s">
        <v>29</v>
      </c>
      <c r="S2482" t="s">
        <v>30</v>
      </c>
      <c r="T2482">
        <v>1057586591</v>
      </c>
      <c r="U2482" t="s">
        <v>3963</v>
      </c>
      <c r="V2482" t="s">
        <v>3934</v>
      </c>
      <c r="W2482" s="9">
        <f>IF(V2482="pregrado",31,
IF(V2482="posgrados",31,
IF(V2482="rEINTEGROS",7,
IF(V2482="BIT",90,
IF(V2482="OP GRADO - INGLÉS",17,"")))))</f>
        <v>31</v>
      </c>
      <c r="X2482" t="s">
        <v>3988</v>
      </c>
    </row>
    <row r="2483" spans="1:24" ht="15" x14ac:dyDescent="0.35">
      <c r="A2483" s="4">
        <v>45988.491261574076</v>
      </c>
      <c r="B2483">
        <v>20105074</v>
      </c>
      <c r="C2483" s="6" t="s">
        <v>19</v>
      </c>
      <c r="D2483">
        <v>571996</v>
      </c>
      <c r="E2483" t="s">
        <v>20</v>
      </c>
      <c r="F2483">
        <v>1033739547</v>
      </c>
      <c r="G2483" t="s">
        <v>603</v>
      </c>
      <c r="H2483">
        <v>100050531</v>
      </c>
      <c r="I2483">
        <v>202610</v>
      </c>
      <c r="J2483">
        <v>1033739547</v>
      </c>
      <c r="K2483" t="s">
        <v>46</v>
      </c>
      <c r="L2483" t="s">
        <v>49</v>
      </c>
      <c r="M2483" t="s">
        <v>24</v>
      </c>
      <c r="N2483" t="s">
        <v>35</v>
      </c>
      <c r="O2483" t="s">
        <v>26</v>
      </c>
      <c r="P2483" t="s">
        <v>27</v>
      </c>
      <c r="Q2483" t="s">
        <v>28</v>
      </c>
      <c r="R2483" t="s">
        <v>29</v>
      </c>
      <c r="S2483" t="s">
        <v>30</v>
      </c>
      <c r="T2483">
        <v>53139409</v>
      </c>
      <c r="U2483" t="s">
        <v>3944</v>
      </c>
      <c r="V2483" t="s">
        <v>3934</v>
      </c>
      <c r="W2483" s="9">
        <f>IF(V2483="pregrado",31,
IF(V2483="posgrados",31,
IF(V2483="rEINTEGROS",7,
IF(V2483="BIT",90,
IF(V2483="OP GRADO - INGLÉS",17,"")))))</f>
        <v>31</v>
      </c>
      <c r="X2483" t="s">
        <v>3955</v>
      </c>
    </row>
    <row r="2484" spans="1:24" ht="15" x14ac:dyDescent="0.35">
      <c r="A2484" s="4">
        <v>45985.65184027778</v>
      </c>
      <c r="B2484">
        <v>20104709</v>
      </c>
      <c r="C2484" s="5" t="s">
        <v>19</v>
      </c>
      <c r="D2484">
        <v>572016</v>
      </c>
      <c r="E2484" t="s">
        <v>20</v>
      </c>
      <c r="F2484">
        <v>1072653073</v>
      </c>
      <c r="G2484" t="s">
        <v>495</v>
      </c>
      <c r="H2484">
        <v>100236392</v>
      </c>
      <c r="I2484">
        <v>202611</v>
      </c>
      <c r="J2484">
        <v>1072653073</v>
      </c>
      <c r="K2484" t="s">
        <v>23</v>
      </c>
      <c r="L2484" t="s">
        <v>227</v>
      </c>
      <c r="M2484" t="s">
        <v>24</v>
      </c>
      <c r="N2484" t="s">
        <v>35</v>
      </c>
      <c r="O2484" t="s">
        <v>26</v>
      </c>
      <c r="P2484" t="s">
        <v>27</v>
      </c>
      <c r="Q2484" t="s">
        <v>28</v>
      </c>
      <c r="R2484" t="s">
        <v>29</v>
      </c>
      <c r="S2484" t="s">
        <v>30</v>
      </c>
      <c r="T2484">
        <v>1007709034</v>
      </c>
      <c r="U2484" t="s">
        <v>3965</v>
      </c>
      <c r="V2484" t="s">
        <v>3934</v>
      </c>
      <c r="W2484" s="9">
        <f>IF(V2484="pregrado",31,
IF(V2484="posgrados",31,
IF(V2484="rEINTEGROS",7,
IF(V2484="BIT",90,
IF(V2484="OP GRADO - INGLÉS",17,"")))))</f>
        <v>31</v>
      </c>
      <c r="X2484" t="s">
        <v>3964</v>
      </c>
    </row>
    <row r="2485" spans="1:24" ht="15" x14ac:dyDescent="0.35">
      <c r="A2485" s="4">
        <v>45989.459780092591</v>
      </c>
      <c r="B2485">
        <v>20105234</v>
      </c>
      <c r="C2485" s="6" t="s">
        <v>19</v>
      </c>
      <c r="D2485">
        <v>572021</v>
      </c>
      <c r="E2485" t="s">
        <v>20</v>
      </c>
      <c r="F2485">
        <v>1018228885</v>
      </c>
      <c r="G2485" t="s">
        <v>649</v>
      </c>
      <c r="H2485">
        <v>100236399</v>
      </c>
      <c r="I2485">
        <v>202631</v>
      </c>
      <c r="J2485">
        <v>1018228885</v>
      </c>
      <c r="K2485" t="s">
        <v>23</v>
      </c>
      <c r="L2485" t="s">
        <v>65</v>
      </c>
      <c r="M2485" t="s">
        <v>24</v>
      </c>
      <c r="N2485" t="s">
        <v>35</v>
      </c>
      <c r="O2485" t="s">
        <v>26</v>
      </c>
      <c r="P2485" t="s">
        <v>27</v>
      </c>
      <c r="Q2485" t="s">
        <v>28</v>
      </c>
      <c r="R2485" t="s">
        <v>29</v>
      </c>
      <c r="S2485" t="s">
        <v>30</v>
      </c>
      <c r="T2485">
        <v>1023370559</v>
      </c>
      <c r="U2485" t="s">
        <v>3933</v>
      </c>
      <c r="V2485" t="s">
        <v>3934</v>
      </c>
      <c r="W2485" s="9">
        <f>IF(V2485="pregrado",31,
IF(V2485="posgrados",31,
IF(V2485="rEINTEGROS",7,
IF(V2485="BIT",90,
IF(V2485="OP GRADO - INGLÉS",17,"")))))</f>
        <v>31</v>
      </c>
      <c r="X2485" t="s">
        <v>4017</v>
      </c>
    </row>
    <row r="2486" spans="1:24" ht="15" x14ac:dyDescent="0.35">
      <c r="A2486" s="4">
        <v>45988.807233796295</v>
      </c>
      <c r="B2486">
        <v>20105189</v>
      </c>
      <c r="C2486" s="6" t="s">
        <v>19</v>
      </c>
      <c r="D2486">
        <v>572028</v>
      </c>
      <c r="E2486" t="s">
        <v>20</v>
      </c>
      <c r="F2486">
        <v>1000856431</v>
      </c>
      <c r="G2486" t="s">
        <v>633</v>
      </c>
      <c r="H2486">
        <v>100236407</v>
      </c>
      <c r="I2486">
        <v>202631</v>
      </c>
      <c r="J2486">
        <v>1000856431</v>
      </c>
      <c r="K2486" t="s">
        <v>33</v>
      </c>
      <c r="L2486" t="s">
        <v>65</v>
      </c>
      <c r="M2486" t="s">
        <v>24</v>
      </c>
      <c r="N2486" t="s">
        <v>25</v>
      </c>
      <c r="O2486" t="s">
        <v>26</v>
      </c>
      <c r="P2486" t="s">
        <v>27</v>
      </c>
      <c r="Q2486" t="s">
        <v>28</v>
      </c>
      <c r="R2486" t="s">
        <v>29</v>
      </c>
      <c r="S2486" t="s">
        <v>30</v>
      </c>
      <c r="T2486">
        <v>1023921046</v>
      </c>
      <c r="U2486" t="s">
        <v>3933</v>
      </c>
      <c r="V2486" t="s">
        <v>3934</v>
      </c>
      <c r="W2486" s="9">
        <f>IF(V2486="pregrado",31,
IF(V2486="posgrados",31,
IF(V2486="rEINTEGROS",7,
IF(V2486="BIT",90,
IF(V2486="OP GRADO - INGLÉS",17,"")))))</f>
        <v>31</v>
      </c>
      <c r="X2486" t="s">
        <v>4043</v>
      </c>
    </row>
    <row r="2487" spans="1:24" ht="15" x14ac:dyDescent="0.35">
      <c r="A2487" s="4">
        <v>45986.447395833333</v>
      </c>
      <c r="B2487">
        <v>20104783</v>
      </c>
      <c r="C2487" s="5" t="s">
        <v>19</v>
      </c>
      <c r="D2487">
        <v>572033</v>
      </c>
      <c r="E2487" t="s">
        <v>20</v>
      </c>
      <c r="F2487">
        <v>1045669892</v>
      </c>
      <c r="G2487" t="s">
        <v>519</v>
      </c>
      <c r="H2487">
        <v>100236418</v>
      </c>
      <c r="I2487">
        <v>202631</v>
      </c>
      <c r="J2487">
        <v>1045669892</v>
      </c>
      <c r="K2487" t="s">
        <v>23</v>
      </c>
      <c r="L2487" t="s">
        <v>370</v>
      </c>
      <c r="M2487" t="s">
        <v>24</v>
      </c>
      <c r="N2487" t="s">
        <v>35</v>
      </c>
      <c r="O2487" t="s">
        <v>26</v>
      </c>
      <c r="P2487" t="s">
        <v>27</v>
      </c>
      <c r="Q2487" t="s">
        <v>28</v>
      </c>
      <c r="R2487" t="s">
        <v>29</v>
      </c>
      <c r="S2487" t="s">
        <v>30</v>
      </c>
      <c r="T2487">
        <v>1023975276</v>
      </c>
      <c r="U2487" t="s">
        <v>3963</v>
      </c>
      <c r="V2487" t="s">
        <v>3934</v>
      </c>
      <c r="W2487" s="9">
        <f>IF(V2487="pregrado",31,
IF(V2487="posgrados",31,
IF(V2487="rEINTEGROS",7,
IF(V2487="BIT",90,
IF(V2487="OP GRADO - INGLÉS",17,"")))))</f>
        <v>31</v>
      </c>
      <c r="X2487" t="s">
        <v>3962</v>
      </c>
    </row>
    <row r="2488" spans="1:24" ht="15" x14ac:dyDescent="0.35">
      <c r="A2488" s="4">
        <v>45986.349409722221</v>
      </c>
      <c r="B2488">
        <v>20104754</v>
      </c>
      <c r="C2488" s="5" t="s">
        <v>19</v>
      </c>
      <c r="D2488">
        <v>572034</v>
      </c>
      <c r="E2488" t="s">
        <v>20</v>
      </c>
      <c r="F2488">
        <v>1214720291</v>
      </c>
      <c r="G2488" t="s">
        <v>509</v>
      </c>
      <c r="H2488">
        <v>100236419</v>
      </c>
      <c r="I2488">
        <v>202631</v>
      </c>
      <c r="J2488">
        <v>8128476</v>
      </c>
      <c r="K2488" t="s">
        <v>23</v>
      </c>
      <c r="L2488" t="s">
        <v>240</v>
      </c>
      <c r="M2488" t="s">
        <v>24</v>
      </c>
      <c r="N2488" t="s">
        <v>35</v>
      </c>
      <c r="O2488" t="s">
        <v>26</v>
      </c>
      <c r="P2488" t="s">
        <v>27</v>
      </c>
      <c r="Q2488" t="s">
        <v>28</v>
      </c>
      <c r="R2488" t="s">
        <v>29</v>
      </c>
      <c r="S2488" t="s">
        <v>30</v>
      </c>
      <c r="T2488">
        <v>1032678391</v>
      </c>
      <c r="U2488" t="s">
        <v>3965</v>
      </c>
      <c r="V2488" t="s">
        <v>3934</v>
      </c>
      <c r="W2488" s="9">
        <f>IF(V2488="pregrado",31,
IF(V2488="posgrados",31,
IF(V2488="rEINTEGROS",7,
IF(V2488="BIT",90,
IF(V2488="OP GRADO - INGLÉS",17,"")))))</f>
        <v>31</v>
      </c>
      <c r="X2488" t="s">
        <v>4098</v>
      </c>
    </row>
    <row r="2489" spans="1:24" ht="15" x14ac:dyDescent="0.35">
      <c r="A2489" s="4">
        <v>45985.662245370368</v>
      </c>
      <c r="B2489">
        <v>20104714</v>
      </c>
      <c r="C2489" s="5" t="s">
        <v>19</v>
      </c>
      <c r="D2489">
        <v>572038</v>
      </c>
      <c r="E2489" t="s">
        <v>20</v>
      </c>
      <c r="F2489">
        <v>1118555219</v>
      </c>
      <c r="G2489" t="s">
        <v>497</v>
      </c>
      <c r="H2489">
        <v>100236423</v>
      </c>
      <c r="I2489">
        <v>202631</v>
      </c>
      <c r="J2489">
        <v>1023954074</v>
      </c>
      <c r="K2489" t="s">
        <v>23</v>
      </c>
      <c r="L2489" t="s">
        <v>57</v>
      </c>
      <c r="M2489" t="s">
        <v>24</v>
      </c>
      <c r="N2489" t="s">
        <v>35</v>
      </c>
      <c r="O2489" t="s">
        <v>26</v>
      </c>
      <c r="P2489" t="s">
        <v>27</v>
      </c>
      <c r="Q2489" t="s">
        <v>28</v>
      </c>
      <c r="R2489" t="s">
        <v>29</v>
      </c>
      <c r="S2489" t="s">
        <v>30</v>
      </c>
      <c r="T2489">
        <v>1020730718</v>
      </c>
      <c r="U2489" t="s">
        <v>3941</v>
      </c>
      <c r="V2489" t="s">
        <v>3934</v>
      </c>
      <c r="W2489" s="9">
        <f>IF(V2489="pregrado",31,
IF(V2489="posgrados",31,
IF(V2489="rEINTEGROS",7,
IF(V2489="BIT",90,
IF(V2489="OP GRADO - INGLÉS",17,"")))))</f>
        <v>31</v>
      </c>
      <c r="X2489" t="s">
        <v>3952</v>
      </c>
    </row>
    <row r="2490" spans="1:24" ht="15" x14ac:dyDescent="0.35">
      <c r="A2490" s="4">
        <v>45987.709444444445</v>
      </c>
      <c r="B2490">
        <v>20105006</v>
      </c>
      <c r="C2490" s="6" t="s">
        <v>19</v>
      </c>
      <c r="D2490">
        <v>572044</v>
      </c>
      <c r="E2490" t="s">
        <v>20</v>
      </c>
      <c r="F2490">
        <v>51752864</v>
      </c>
      <c r="G2490" t="s">
        <v>582</v>
      </c>
      <c r="H2490">
        <v>100236431</v>
      </c>
      <c r="I2490">
        <v>202631</v>
      </c>
      <c r="J2490">
        <v>1032500317</v>
      </c>
      <c r="K2490" t="s">
        <v>23</v>
      </c>
      <c r="L2490" t="s">
        <v>42</v>
      </c>
      <c r="M2490" t="s">
        <v>24</v>
      </c>
      <c r="N2490" t="s">
        <v>35</v>
      </c>
      <c r="O2490" t="s">
        <v>26</v>
      </c>
      <c r="P2490" t="s">
        <v>27</v>
      </c>
      <c r="Q2490" t="s">
        <v>28</v>
      </c>
      <c r="R2490" t="s">
        <v>29</v>
      </c>
      <c r="S2490" t="s">
        <v>30</v>
      </c>
      <c r="T2490">
        <v>10123971531</v>
      </c>
      <c r="U2490" t="s">
        <v>3944</v>
      </c>
      <c r="V2490" t="s">
        <v>3934</v>
      </c>
      <c r="W2490" s="9">
        <f>IF(V2490="pregrado",31,
IF(V2490="posgrados",31,
IF(V2490="rEINTEGROS",7,
IF(V2490="BIT",90,
IF(V2490="OP GRADO - INGLÉS",17,"")))))</f>
        <v>31</v>
      </c>
      <c r="X2490" t="s">
        <v>3943</v>
      </c>
    </row>
    <row r="2491" spans="1:24" ht="15" x14ac:dyDescent="0.35">
      <c r="A2491" s="4">
        <v>45994.686307870368</v>
      </c>
      <c r="B2491">
        <v>20105774</v>
      </c>
      <c r="C2491" s="6" t="s">
        <v>19</v>
      </c>
      <c r="D2491">
        <v>572052</v>
      </c>
      <c r="E2491" t="s">
        <v>20</v>
      </c>
      <c r="F2491">
        <v>1124500780</v>
      </c>
      <c r="G2491" t="s">
        <v>755</v>
      </c>
      <c r="H2491">
        <v>100236440</v>
      </c>
      <c r="I2491">
        <v>202631</v>
      </c>
      <c r="J2491">
        <v>1124500780</v>
      </c>
      <c r="K2491" t="s">
        <v>23</v>
      </c>
      <c r="L2491" t="s">
        <v>32</v>
      </c>
      <c r="M2491" t="s">
        <v>24</v>
      </c>
      <c r="N2491" t="s">
        <v>35</v>
      </c>
      <c r="O2491" t="s">
        <v>26</v>
      </c>
      <c r="P2491" t="s">
        <v>27</v>
      </c>
      <c r="Q2491" t="s">
        <v>28</v>
      </c>
      <c r="R2491" t="s">
        <v>29</v>
      </c>
      <c r="S2491" t="s">
        <v>30</v>
      </c>
      <c r="T2491">
        <v>1006023129</v>
      </c>
      <c r="U2491" t="s">
        <v>3944</v>
      </c>
      <c r="V2491" t="s">
        <v>3934</v>
      </c>
      <c r="W2491" s="9">
        <f>IF(V2491="pregrado",31,
IF(V2491="posgrados",31,
IF(V2491="rEINTEGROS",7,
IF(V2491="BIT",90,
IF(V2491="OP GRADO - INGLÉS",17,"")))))</f>
        <v>31</v>
      </c>
      <c r="X2491" t="s">
        <v>3982</v>
      </c>
    </row>
    <row r="2492" spans="1:24" ht="15" x14ac:dyDescent="0.35">
      <c r="A2492" s="4">
        <v>45986.368877314817</v>
      </c>
      <c r="B2492">
        <v>20104757</v>
      </c>
      <c r="C2492" s="5" t="s">
        <v>19</v>
      </c>
      <c r="D2492">
        <v>572063</v>
      </c>
      <c r="E2492" t="s">
        <v>20</v>
      </c>
      <c r="F2492">
        <v>1068819730</v>
      </c>
      <c r="G2492" t="s">
        <v>510</v>
      </c>
      <c r="H2492">
        <v>100236453</v>
      </c>
      <c r="I2492">
        <v>202611</v>
      </c>
      <c r="J2492">
        <v>1068819730</v>
      </c>
      <c r="K2492" t="s">
        <v>23</v>
      </c>
      <c r="L2492" t="s">
        <v>221</v>
      </c>
      <c r="M2492" t="s">
        <v>24</v>
      </c>
      <c r="N2492" t="s">
        <v>35</v>
      </c>
      <c r="O2492" t="s">
        <v>26</v>
      </c>
      <c r="P2492" t="s">
        <v>27</v>
      </c>
      <c r="Q2492" t="s">
        <v>28</v>
      </c>
      <c r="R2492" t="s">
        <v>29</v>
      </c>
      <c r="S2492" t="s">
        <v>30</v>
      </c>
      <c r="T2492">
        <v>10822473081</v>
      </c>
      <c r="U2492" t="s">
        <v>3965</v>
      </c>
      <c r="V2492" t="s">
        <v>3934</v>
      </c>
      <c r="W2492" s="9">
        <f>IF(V2492="pregrado",31,
IF(V2492="posgrados",31,
IF(V2492="rEINTEGROS",7,
IF(V2492="BIT",90,
IF(V2492="OP GRADO - INGLÉS",17,"")))))</f>
        <v>31</v>
      </c>
      <c r="X2492" t="s">
        <v>4007</v>
      </c>
    </row>
    <row r="2493" spans="1:24" ht="15" x14ac:dyDescent="0.35">
      <c r="A2493" s="4">
        <v>45989.491342592592</v>
      </c>
      <c r="B2493">
        <v>20105246</v>
      </c>
      <c r="C2493" s="6" t="s">
        <v>19</v>
      </c>
      <c r="D2493">
        <v>572079</v>
      </c>
      <c r="E2493" t="s">
        <v>20</v>
      </c>
      <c r="F2493">
        <v>1007363864</v>
      </c>
      <c r="G2493" t="s">
        <v>653</v>
      </c>
      <c r="H2493">
        <v>100236468</v>
      </c>
      <c r="I2493">
        <v>202631</v>
      </c>
      <c r="J2493">
        <v>1007363864</v>
      </c>
      <c r="K2493" t="s">
        <v>33</v>
      </c>
      <c r="L2493" t="s">
        <v>42</v>
      </c>
      <c r="M2493" t="s">
        <v>24</v>
      </c>
      <c r="N2493" t="s">
        <v>25</v>
      </c>
      <c r="O2493" t="s">
        <v>26</v>
      </c>
      <c r="P2493" t="s">
        <v>27</v>
      </c>
      <c r="Q2493" t="s">
        <v>28</v>
      </c>
      <c r="R2493" t="s">
        <v>29</v>
      </c>
      <c r="S2493" t="s">
        <v>30</v>
      </c>
      <c r="T2493">
        <v>11001273124</v>
      </c>
      <c r="U2493" t="s">
        <v>3944</v>
      </c>
      <c r="V2493" t="s">
        <v>3934</v>
      </c>
      <c r="W2493" s="9">
        <f>IF(V2493="pregrado",31,
IF(V2493="posgrados",31,
IF(V2493="rEINTEGROS",7,
IF(V2493="BIT",90,
IF(V2493="OP GRADO - INGLÉS",17,"")))))</f>
        <v>31</v>
      </c>
      <c r="X2493" t="s">
        <v>3951</v>
      </c>
    </row>
    <row r="2494" spans="1:24" ht="15" x14ac:dyDescent="0.35">
      <c r="A2494" s="4">
        <v>46002.512557870374</v>
      </c>
      <c r="B2494">
        <v>20106634</v>
      </c>
      <c r="C2494" s="6" t="s">
        <v>19</v>
      </c>
      <c r="D2494">
        <v>572086</v>
      </c>
      <c r="E2494" t="s">
        <v>20</v>
      </c>
      <c r="F2494">
        <v>1000723240</v>
      </c>
      <c r="G2494" t="s">
        <v>909</v>
      </c>
      <c r="H2494">
        <v>100151370</v>
      </c>
      <c r="I2494">
        <v>202631</v>
      </c>
      <c r="J2494">
        <v>1000723240</v>
      </c>
      <c r="K2494" t="s">
        <v>89</v>
      </c>
      <c r="L2494" t="s">
        <v>51</v>
      </c>
      <c r="M2494" t="s">
        <v>24</v>
      </c>
      <c r="N2494" t="s">
        <v>25</v>
      </c>
      <c r="O2494" t="s">
        <v>26</v>
      </c>
      <c r="P2494" t="s">
        <v>27</v>
      </c>
      <c r="Q2494" t="s">
        <v>28</v>
      </c>
      <c r="R2494" t="s">
        <v>29</v>
      </c>
      <c r="S2494" t="s">
        <v>30</v>
      </c>
      <c r="T2494">
        <v>1000934874</v>
      </c>
      <c r="U2494" t="s">
        <v>3977</v>
      </c>
      <c r="V2494" t="s">
        <v>3970</v>
      </c>
      <c r="W2494" s="9">
        <f>IF(V2494="pregrado",31,
IF(V2494="posgrados",31,
IF(V2494="rEINTEGROS",7,
IF(V2494="BIT",90,
IF(V2494="OP GRADO - INGLÉS",17,"")))))</f>
        <v>7</v>
      </c>
      <c r="X2494" t="s">
        <v>3999</v>
      </c>
    </row>
    <row r="2495" spans="1:24" ht="15" x14ac:dyDescent="0.35">
      <c r="A2495" s="4">
        <v>45989.616932870369</v>
      </c>
      <c r="B2495">
        <v>20105273</v>
      </c>
      <c r="C2495" s="6" t="s">
        <v>19</v>
      </c>
      <c r="D2495">
        <v>572091</v>
      </c>
      <c r="E2495" t="s">
        <v>20</v>
      </c>
      <c r="F2495">
        <v>1037633773</v>
      </c>
      <c r="G2495" t="s">
        <v>663</v>
      </c>
      <c r="H2495">
        <v>100236481</v>
      </c>
      <c r="I2495">
        <v>202611</v>
      </c>
      <c r="J2495">
        <v>1021804326</v>
      </c>
      <c r="K2495" t="s">
        <v>23</v>
      </c>
      <c r="L2495" t="s">
        <v>204</v>
      </c>
      <c r="M2495" t="s">
        <v>24</v>
      </c>
      <c r="N2495" t="s">
        <v>35</v>
      </c>
      <c r="O2495" t="s">
        <v>26</v>
      </c>
      <c r="P2495" t="s">
        <v>27</v>
      </c>
      <c r="Q2495" t="s">
        <v>28</v>
      </c>
      <c r="R2495" t="s">
        <v>29</v>
      </c>
      <c r="S2495" t="s">
        <v>30</v>
      </c>
      <c r="T2495">
        <v>53139409</v>
      </c>
      <c r="U2495" t="s">
        <v>3944</v>
      </c>
      <c r="V2495" t="s">
        <v>3934</v>
      </c>
      <c r="W2495" s="9">
        <f>IF(V2495="pregrado",31,
IF(V2495="posgrados",31,
IF(V2495="rEINTEGROS",7,
IF(V2495="BIT",90,
IF(V2495="OP GRADO - INGLÉS",17,"")))))</f>
        <v>31</v>
      </c>
      <c r="X2495" t="s">
        <v>3955</v>
      </c>
    </row>
    <row r="2496" spans="1:24" ht="15" x14ac:dyDescent="0.35">
      <c r="A2496" s="4">
        <v>45986.304490740738</v>
      </c>
      <c r="B2496">
        <v>20104749</v>
      </c>
      <c r="C2496" s="5" t="s">
        <v>19</v>
      </c>
      <c r="D2496">
        <v>572096</v>
      </c>
      <c r="E2496" t="s">
        <v>20</v>
      </c>
      <c r="F2496">
        <v>1073533395</v>
      </c>
      <c r="G2496" t="s">
        <v>508</v>
      </c>
      <c r="H2496">
        <v>100044793</v>
      </c>
      <c r="I2496">
        <v>202611</v>
      </c>
      <c r="J2496">
        <v>1073534199</v>
      </c>
      <c r="K2496" t="s">
        <v>89</v>
      </c>
      <c r="L2496" t="s">
        <v>133</v>
      </c>
      <c r="M2496" t="s">
        <v>24</v>
      </c>
      <c r="N2496">
        <v>0</v>
      </c>
      <c r="O2496" t="s">
        <v>26</v>
      </c>
      <c r="P2496" t="s">
        <v>27</v>
      </c>
      <c r="Q2496" t="s">
        <v>28</v>
      </c>
      <c r="R2496" t="s">
        <v>29</v>
      </c>
      <c r="S2496" t="s">
        <v>30</v>
      </c>
      <c r="T2496">
        <v>1023899450</v>
      </c>
      <c r="U2496" t="s">
        <v>3977</v>
      </c>
      <c r="V2496" t="s">
        <v>3970</v>
      </c>
      <c r="W2496" s="9">
        <f>IF(V2496="pregrado",31,
IF(V2496="posgrados",31,
IF(V2496="rEINTEGROS",7,
IF(V2496="BIT",90,
IF(V2496="OP GRADO - INGLÉS",17,"")))))</f>
        <v>7</v>
      </c>
      <c r="X2496" t="s">
        <v>3969</v>
      </c>
    </row>
    <row r="2497" spans="1:24" ht="15" x14ac:dyDescent="0.35">
      <c r="A2497" s="4">
        <v>45987.630300925928</v>
      </c>
      <c r="B2497">
        <v>20104960</v>
      </c>
      <c r="C2497" s="6" t="s">
        <v>19</v>
      </c>
      <c r="D2497">
        <v>572099</v>
      </c>
      <c r="E2497" t="s">
        <v>20</v>
      </c>
      <c r="F2497">
        <v>1026559172</v>
      </c>
      <c r="G2497" t="s">
        <v>569</v>
      </c>
      <c r="H2497">
        <v>100236487</v>
      </c>
      <c r="I2497">
        <v>202611</v>
      </c>
      <c r="J2497">
        <v>1026559172</v>
      </c>
      <c r="K2497" t="s">
        <v>23</v>
      </c>
      <c r="L2497" t="s">
        <v>221</v>
      </c>
      <c r="M2497" t="s">
        <v>24</v>
      </c>
      <c r="N2497" t="s">
        <v>35</v>
      </c>
      <c r="O2497" t="s">
        <v>26</v>
      </c>
      <c r="P2497" t="s">
        <v>27</v>
      </c>
      <c r="Q2497" t="s">
        <v>28</v>
      </c>
      <c r="R2497" t="s">
        <v>29</v>
      </c>
      <c r="S2497" t="s">
        <v>30</v>
      </c>
      <c r="T2497">
        <v>1003652550</v>
      </c>
      <c r="U2497" t="s">
        <v>3965</v>
      </c>
      <c r="V2497" t="s">
        <v>3934</v>
      </c>
      <c r="W2497" s="9">
        <f>IF(V2497="pregrado",31,
IF(V2497="posgrados",31,
IF(V2497="rEINTEGROS",7,
IF(V2497="BIT",90,
IF(V2497="OP GRADO - INGLÉS",17,"")))))</f>
        <v>31</v>
      </c>
      <c r="X2497" t="s">
        <v>4059</v>
      </c>
    </row>
    <row r="2498" spans="1:24" ht="15" x14ac:dyDescent="0.35">
      <c r="A2498" s="4">
        <v>45986.706550925926</v>
      </c>
      <c r="B2498">
        <v>20104846</v>
      </c>
      <c r="C2498" s="5" t="s">
        <v>19</v>
      </c>
      <c r="D2498">
        <v>572100</v>
      </c>
      <c r="E2498" t="s">
        <v>20</v>
      </c>
      <c r="F2498">
        <v>1020403898</v>
      </c>
      <c r="G2498" t="s">
        <v>539</v>
      </c>
      <c r="H2498">
        <v>100236488</v>
      </c>
      <c r="I2498">
        <v>202610</v>
      </c>
      <c r="J2498">
        <v>1020403898</v>
      </c>
      <c r="K2498" t="s">
        <v>23</v>
      </c>
      <c r="L2498" t="s">
        <v>62</v>
      </c>
      <c r="M2498" t="s">
        <v>24</v>
      </c>
      <c r="N2498" t="s">
        <v>35</v>
      </c>
      <c r="O2498" t="s">
        <v>26</v>
      </c>
      <c r="P2498" t="s">
        <v>27</v>
      </c>
      <c r="Q2498" t="s">
        <v>28</v>
      </c>
      <c r="R2498" t="s">
        <v>29</v>
      </c>
      <c r="S2498" t="s">
        <v>30</v>
      </c>
      <c r="T2498">
        <v>1015407851</v>
      </c>
      <c r="U2498" t="s">
        <v>3944</v>
      </c>
      <c r="V2498" t="s">
        <v>3934</v>
      </c>
      <c r="W2498" s="9">
        <f>IF(V2498="pregrado",31,
IF(V2498="posgrados",31,
IF(V2498="rEINTEGROS",7,
IF(V2498="BIT",90,
IF(V2498="OP GRADO - INGLÉS",17,"")))))</f>
        <v>31</v>
      </c>
      <c r="X2498" t="s">
        <v>4102</v>
      </c>
    </row>
    <row r="2499" spans="1:24" ht="15" x14ac:dyDescent="0.35">
      <c r="A2499" s="4">
        <v>45987.812893518516</v>
      </c>
      <c r="B2499">
        <v>20105020</v>
      </c>
      <c r="C2499" s="6" t="s">
        <v>19</v>
      </c>
      <c r="D2499">
        <v>572101</v>
      </c>
      <c r="E2499" t="s">
        <v>20</v>
      </c>
      <c r="F2499">
        <v>1002727767</v>
      </c>
      <c r="G2499" t="s">
        <v>586</v>
      </c>
      <c r="H2499">
        <v>100235663</v>
      </c>
      <c r="I2499">
        <v>202631</v>
      </c>
      <c r="J2499">
        <v>1002727767</v>
      </c>
      <c r="K2499" t="s">
        <v>23</v>
      </c>
      <c r="L2499" t="s">
        <v>119</v>
      </c>
      <c r="M2499" t="s">
        <v>24</v>
      </c>
      <c r="N2499" t="s">
        <v>35</v>
      </c>
      <c r="O2499" t="s">
        <v>26</v>
      </c>
      <c r="P2499" t="s">
        <v>27</v>
      </c>
      <c r="Q2499" t="s">
        <v>28</v>
      </c>
      <c r="R2499" t="s">
        <v>29</v>
      </c>
      <c r="S2499" t="s">
        <v>30</v>
      </c>
      <c r="T2499">
        <v>39658730</v>
      </c>
      <c r="U2499" t="s">
        <v>3963</v>
      </c>
      <c r="V2499" t="s">
        <v>3934</v>
      </c>
      <c r="W2499" s="9">
        <f>IF(V2499="pregrado",31,
IF(V2499="posgrados",31,
IF(V2499="rEINTEGROS",7,
IF(V2499="BIT",90,
IF(V2499="OP GRADO - INGLÉS",17,"")))))</f>
        <v>31</v>
      </c>
      <c r="X2499" t="s">
        <v>4003</v>
      </c>
    </row>
    <row r="2500" spans="1:24" ht="15" x14ac:dyDescent="0.35">
      <c r="A2500" s="4">
        <v>46007.450682870367</v>
      </c>
      <c r="B2500">
        <v>20107760</v>
      </c>
      <c r="C2500" s="6" t="s">
        <v>19</v>
      </c>
      <c r="D2500">
        <v>572104</v>
      </c>
      <c r="E2500" t="s">
        <v>20</v>
      </c>
      <c r="F2500">
        <v>1016113265</v>
      </c>
      <c r="G2500" t="s">
        <v>1033</v>
      </c>
      <c r="H2500">
        <v>100060414</v>
      </c>
      <c r="I2500">
        <v>202610</v>
      </c>
      <c r="J2500">
        <v>1016113265</v>
      </c>
      <c r="K2500" t="s">
        <v>89</v>
      </c>
      <c r="L2500" t="s">
        <v>37</v>
      </c>
      <c r="M2500" t="s">
        <v>24</v>
      </c>
      <c r="N2500">
        <v>0</v>
      </c>
      <c r="O2500" t="s">
        <v>26</v>
      </c>
      <c r="P2500" t="s">
        <v>27</v>
      </c>
      <c r="Q2500" t="s">
        <v>28</v>
      </c>
      <c r="R2500" t="s">
        <v>29</v>
      </c>
      <c r="S2500" t="s">
        <v>30</v>
      </c>
      <c r="T2500">
        <v>1023899450</v>
      </c>
      <c r="U2500" t="s">
        <v>3977</v>
      </c>
      <c r="V2500" t="s">
        <v>3970</v>
      </c>
      <c r="W2500" s="9">
        <f>IF(V2500="pregrado",31,
IF(V2500="posgrados",31,
IF(V2500="rEINTEGROS",7,
IF(V2500="BIT",90,
IF(V2500="OP GRADO - INGLÉS",17,"")))))</f>
        <v>7</v>
      </c>
      <c r="X2500" t="s">
        <v>3969</v>
      </c>
    </row>
    <row r="2501" spans="1:24" ht="15" x14ac:dyDescent="0.35">
      <c r="A2501" s="4">
        <v>45987.553680555553</v>
      </c>
      <c r="B2501">
        <v>20104938</v>
      </c>
      <c r="C2501" s="6" t="s">
        <v>19</v>
      </c>
      <c r="D2501">
        <v>572105</v>
      </c>
      <c r="E2501" t="s">
        <v>20</v>
      </c>
      <c r="F2501">
        <v>1019987238</v>
      </c>
      <c r="G2501" t="s">
        <v>565</v>
      </c>
      <c r="H2501">
        <v>100236492</v>
      </c>
      <c r="I2501">
        <v>202631</v>
      </c>
      <c r="J2501">
        <v>1019987238</v>
      </c>
      <c r="K2501" t="s">
        <v>33</v>
      </c>
      <c r="L2501" t="s">
        <v>90</v>
      </c>
      <c r="M2501" t="s">
        <v>24</v>
      </c>
      <c r="N2501" t="s">
        <v>25</v>
      </c>
      <c r="O2501" t="s">
        <v>26</v>
      </c>
      <c r="P2501" t="s">
        <v>27</v>
      </c>
      <c r="Q2501" t="s">
        <v>28</v>
      </c>
      <c r="R2501" t="s">
        <v>29</v>
      </c>
      <c r="S2501" t="s">
        <v>30</v>
      </c>
      <c r="T2501">
        <v>1025460711</v>
      </c>
      <c r="U2501" t="s">
        <v>3933</v>
      </c>
      <c r="V2501" t="s">
        <v>3934</v>
      </c>
      <c r="W2501" s="9">
        <f>IF(V2501="pregrado",31,
IF(V2501="posgrados",31,
IF(V2501="rEINTEGROS",7,
IF(V2501="BIT",90,
IF(V2501="OP GRADO - INGLÉS",17,"")))))</f>
        <v>31</v>
      </c>
      <c r="X2501" t="s">
        <v>4062</v>
      </c>
    </row>
    <row r="2502" spans="1:24" ht="15" x14ac:dyDescent="0.35">
      <c r="A2502" s="4">
        <v>45985.70753472222</v>
      </c>
      <c r="B2502">
        <v>20104729</v>
      </c>
      <c r="C2502" s="5" t="s">
        <v>19</v>
      </c>
      <c r="D2502">
        <v>572106</v>
      </c>
      <c r="E2502" t="s">
        <v>20</v>
      </c>
      <c r="F2502">
        <v>1010067644</v>
      </c>
      <c r="G2502" t="s">
        <v>500</v>
      </c>
      <c r="H2502">
        <v>100177820</v>
      </c>
      <c r="I2502">
        <v>202631</v>
      </c>
      <c r="J2502">
        <v>1010067644</v>
      </c>
      <c r="K2502" t="s">
        <v>89</v>
      </c>
      <c r="L2502" t="s">
        <v>90</v>
      </c>
      <c r="M2502" t="s">
        <v>24</v>
      </c>
      <c r="N2502" t="s">
        <v>35</v>
      </c>
      <c r="O2502" t="s">
        <v>26</v>
      </c>
      <c r="P2502" t="s">
        <v>27</v>
      </c>
      <c r="Q2502" t="s">
        <v>28</v>
      </c>
      <c r="R2502" t="s">
        <v>29</v>
      </c>
      <c r="S2502" t="s">
        <v>30</v>
      </c>
      <c r="T2502">
        <v>1023899450</v>
      </c>
      <c r="U2502" t="s">
        <v>3977</v>
      </c>
      <c r="V2502" t="s">
        <v>3970</v>
      </c>
      <c r="W2502" s="9">
        <f>IF(V2502="pregrado",31,
IF(V2502="posgrados",31,
IF(V2502="rEINTEGROS",7,
IF(V2502="BIT",90,
IF(V2502="OP GRADO - INGLÉS",17,"")))))</f>
        <v>7</v>
      </c>
      <c r="X2502" t="s">
        <v>3969</v>
      </c>
    </row>
    <row r="2503" spans="1:24" ht="15" x14ac:dyDescent="0.35">
      <c r="A2503" s="4">
        <v>45994.663252314815</v>
      </c>
      <c r="B2503">
        <v>20105766</v>
      </c>
      <c r="C2503" s="6" t="s">
        <v>19</v>
      </c>
      <c r="D2503">
        <v>572108</v>
      </c>
      <c r="E2503" t="s">
        <v>20</v>
      </c>
      <c r="F2503">
        <v>40433891</v>
      </c>
      <c r="G2503" t="s">
        <v>753</v>
      </c>
      <c r="H2503">
        <v>200053848</v>
      </c>
      <c r="I2503">
        <v>202631</v>
      </c>
      <c r="J2503">
        <v>40433891</v>
      </c>
      <c r="K2503" t="s">
        <v>33</v>
      </c>
      <c r="L2503" t="s">
        <v>77</v>
      </c>
      <c r="M2503" t="s">
        <v>24</v>
      </c>
      <c r="N2503" t="s">
        <v>35</v>
      </c>
      <c r="O2503" t="s">
        <v>26</v>
      </c>
      <c r="P2503" t="s">
        <v>27</v>
      </c>
      <c r="Q2503" t="s">
        <v>28</v>
      </c>
      <c r="R2503" t="s">
        <v>29</v>
      </c>
      <c r="S2503" t="s">
        <v>30</v>
      </c>
      <c r="T2503">
        <v>1023975276</v>
      </c>
      <c r="U2503" t="s">
        <v>3963</v>
      </c>
      <c r="V2503" t="s">
        <v>3934</v>
      </c>
      <c r="W2503" s="9">
        <f>IF(V2503="pregrado",31,
IF(V2503="posgrados",31,
IF(V2503="rEINTEGROS",7,
IF(V2503="BIT",90,
IF(V2503="OP GRADO - INGLÉS",17,"")))))</f>
        <v>31</v>
      </c>
      <c r="X2503" t="s">
        <v>3962</v>
      </c>
    </row>
    <row r="2504" spans="1:24" ht="15" x14ac:dyDescent="0.35">
      <c r="A2504" s="4">
        <v>46069.448946759258</v>
      </c>
      <c r="B2504">
        <v>20123619</v>
      </c>
      <c r="C2504" s="6" t="s">
        <v>19</v>
      </c>
      <c r="D2504">
        <v>572109</v>
      </c>
      <c r="E2504" t="s">
        <v>20</v>
      </c>
      <c r="F2504">
        <v>1137524314</v>
      </c>
      <c r="G2504" t="s">
        <v>3228</v>
      </c>
      <c r="H2504">
        <v>100236494</v>
      </c>
      <c r="I2504">
        <v>202631</v>
      </c>
      <c r="J2504">
        <v>1137524314</v>
      </c>
      <c r="K2504" t="s">
        <v>23</v>
      </c>
      <c r="L2504" t="s">
        <v>207</v>
      </c>
      <c r="M2504" t="s">
        <v>24</v>
      </c>
      <c r="N2504" t="s">
        <v>35</v>
      </c>
      <c r="O2504" t="s">
        <v>26</v>
      </c>
      <c r="P2504" t="s">
        <v>27</v>
      </c>
      <c r="Q2504" t="s">
        <v>28</v>
      </c>
      <c r="R2504" t="s">
        <v>29</v>
      </c>
      <c r="S2504" t="s">
        <v>30</v>
      </c>
      <c r="T2504">
        <v>1002500634</v>
      </c>
      <c r="U2504" t="s">
        <v>3986</v>
      </c>
      <c r="V2504" t="s">
        <v>3934</v>
      </c>
      <c r="W2504" s="9">
        <f>IF(V2504="pregrado",31,
IF(V2504="posgrados",31,
IF(V2504="rEINTEGROS",7,
IF(V2504="BIT",90,
IF(V2504="OP GRADO - INGLÉS",17,"")))))</f>
        <v>31</v>
      </c>
      <c r="X2504" t="s">
        <v>4026</v>
      </c>
    </row>
    <row r="2505" spans="1:24" ht="15" x14ac:dyDescent="0.35">
      <c r="A2505" s="4">
        <v>45986.630254629628</v>
      </c>
      <c r="B2505">
        <v>20104817</v>
      </c>
      <c r="C2505" s="5" t="s">
        <v>19</v>
      </c>
      <c r="D2505">
        <v>572119</v>
      </c>
      <c r="E2505" t="s">
        <v>20</v>
      </c>
      <c r="F2505">
        <v>1058460314</v>
      </c>
      <c r="G2505" t="s">
        <v>529</v>
      </c>
      <c r="H2505">
        <v>100236504</v>
      </c>
      <c r="I2505">
        <v>202631</v>
      </c>
      <c r="J2505">
        <v>1058460314</v>
      </c>
      <c r="K2505" t="s">
        <v>23</v>
      </c>
      <c r="L2505" t="s">
        <v>231</v>
      </c>
      <c r="M2505" t="s">
        <v>24</v>
      </c>
      <c r="N2505" t="s">
        <v>35</v>
      </c>
      <c r="O2505" t="s">
        <v>26</v>
      </c>
      <c r="P2505" t="s">
        <v>27</v>
      </c>
      <c r="Q2505" t="s">
        <v>28</v>
      </c>
      <c r="R2505" t="s">
        <v>29</v>
      </c>
      <c r="S2505" t="s">
        <v>30</v>
      </c>
      <c r="T2505">
        <v>1022392610</v>
      </c>
      <c r="U2505" t="s">
        <v>3941</v>
      </c>
      <c r="V2505" t="s">
        <v>3934</v>
      </c>
      <c r="W2505" s="9">
        <f>IF(V2505="pregrado",31,
IF(V2505="posgrados",31,
IF(V2505="rEINTEGROS",7,
IF(V2505="BIT",90,
IF(V2505="OP GRADO - INGLÉS",17,"")))))</f>
        <v>31</v>
      </c>
      <c r="X2505" t="s">
        <v>4028</v>
      </c>
    </row>
    <row r="2506" spans="1:24" ht="15" x14ac:dyDescent="0.35">
      <c r="A2506" s="4">
        <v>45987.631574074076</v>
      </c>
      <c r="B2506">
        <v>20104961</v>
      </c>
      <c r="C2506" s="6" t="s">
        <v>19</v>
      </c>
      <c r="D2506">
        <v>572125</v>
      </c>
      <c r="E2506" t="s">
        <v>20</v>
      </c>
      <c r="F2506">
        <v>1082949680</v>
      </c>
      <c r="G2506" t="s">
        <v>570</v>
      </c>
      <c r="H2506">
        <v>100236545</v>
      </c>
      <c r="I2506">
        <v>202631</v>
      </c>
      <c r="J2506">
        <v>1082949680</v>
      </c>
      <c r="K2506" t="s">
        <v>23</v>
      </c>
      <c r="L2506" t="s">
        <v>207</v>
      </c>
      <c r="M2506" t="s">
        <v>24</v>
      </c>
      <c r="N2506" t="s">
        <v>35</v>
      </c>
      <c r="O2506" t="s">
        <v>26</v>
      </c>
      <c r="P2506" t="s">
        <v>27</v>
      </c>
      <c r="Q2506" t="s">
        <v>28</v>
      </c>
      <c r="R2506" t="s">
        <v>29</v>
      </c>
      <c r="S2506" t="s">
        <v>30</v>
      </c>
      <c r="T2506">
        <v>1006505929</v>
      </c>
      <c r="U2506" t="s">
        <v>3986</v>
      </c>
      <c r="V2506" t="s">
        <v>3934</v>
      </c>
      <c r="W2506" s="9">
        <f>IF(V2506="pregrado",31,
IF(V2506="posgrados",31,
IF(V2506="rEINTEGROS",7,
IF(V2506="BIT",90,
IF(V2506="OP GRADO - INGLÉS",17,"")))))</f>
        <v>31</v>
      </c>
      <c r="X2506" t="s">
        <v>4013</v>
      </c>
    </row>
    <row r="2507" spans="1:24" ht="15" x14ac:dyDescent="0.35">
      <c r="A2507" s="4">
        <v>46001.414594907408</v>
      </c>
      <c r="B2507">
        <v>20106315</v>
      </c>
      <c r="C2507" s="6" t="s">
        <v>19</v>
      </c>
      <c r="D2507">
        <v>572155</v>
      </c>
      <c r="E2507" t="s">
        <v>20</v>
      </c>
      <c r="F2507">
        <v>20573045</v>
      </c>
      <c r="G2507" t="s">
        <v>850</v>
      </c>
      <c r="H2507">
        <v>100236579</v>
      </c>
      <c r="I2507">
        <v>202610</v>
      </c>
      <c r="J2507">
        <v>1020754686</v>
      </c>
      <c r="K2507" t="s">
        <v>23</v>
      </c>
      <c r="L2507" t="s">
        <v>79</v>
      </c>
      <c r="M2507" t="s">
        <v>24</v>
      </c>
      <c r="N2507" t="s">
        <v>35</v>
      </c>
      <c r="O2507" t="s">
        <v>26</v>
      </c>
      <c r="P2507" t="s">
        <v>27</v>
      </c>
      <c r="Q2507" t="s">
        <v>28</v>
      </c>
      <c r="R2507" t="s">
        <v>29</v>
      </c>
      <c r="S2507" t="s">
        <v>30</v>
      </c>
      <c r="T2507">
        <v>1030570122</v>
      </c>
      <c r="U2507" t="s">
        <v>3965</v>
      </c>
      <c r="V2507" t="s">
        <v>3934</v>
      </c>
      <c r="W2507" s="9">
        <f>IF(V2507="pregrado",31,
IF(V2507="posgrados",31,
IF(V2507="rEINTEGROS",7,
IF(V2507="BIT",90,
IF(V2507="OP GRADO - INGLÉS",17,"")))))</f>
        <v>31</v>
      </c>
      <c r="X2507" t="s">
        <v>4015</v>
      </c>
    </row>
    <row r="2508" spans="1:24" ht="15" x14ac:dyDescent="0.35">
      <c r="A2508" s="4">
        <v>46010.615798611114</v>
      </c>
      <c r="B2508">
        <v>20108853</v>
      </c>
      <c r="C2508" s="6" t="s">
        <v>19</v>
      </c>
      <c r="D2508">
        <v>572160</v>
      </c>
      <c r="E2508" t="s">
        <v>20</v>
      </c>
      <c r="F2508">
        <v>1000473738</v>
      </c>
      <c r="G2508" t="s">
        <v>1189</v>
      </c>
      <c r="H2508">
        <v>100180762</v>
      </c>
      <c r="I2508">
        <v>202611</v>
      </c>
      <c r="J2508">
        <v>1000473738</v>
      </c>
      <c r="K2508" t="s">
        <v>89</v>
      </c>
      <c r="L2508" t="s">
        <v>133</v>
      </c>
      <c r="M2508" t="s">
        <v>24</v>
      </c>
      <c r="N2508" t="s">
        <v>25</v>
      </c>
      <c r="O2508" t="s">
        <v>26</v>
      </c>
      <c r="P2508" t="s">
        <v>27</v>
      </c>
      <c r="Q2508" t="s">
        <v>28</v>
      </c>
      <c r="R2508" t="s">
        <v>29</v>
      </c>
      <c r="S2508" t="s">
        <v>30</v>
      </c>
      <c r="T2508">
        <v>1019102787</v>
      </c>
      <c r="U2508" t="s">
        <v>3977</v>
      </c>
      <c r="V2508" t="s">
        <v>3970</v>
      </c>
      <c r="W2508" s="9">
        <f>IF(V2508="pregrado",31,
IF(V2508="posgrados",31,
IF(V2508="rEINTEGROS",7,
IF(V2508="BIT",90,
IF(V2508="OP GRADO - INGLÉS",17,"")))))</f>
        <v>7</v>
      </c>
      <c r="X2508" t="s">
        <v>3976</v>
      </c>
    </row>
    <row r="2509" spans="1:24" ht="15" x14ac:dyDescent="0.35">
      <c r="A2509" s="4">
        <v>45991.789895833332</v>
      </c>
      <c r="B2509">
        <v>20105388</v>
      </c>
      <c r="C2509" s="6" t="s">
        <v>19</v>
      </c>
      <c r="D2509">
        <v>572163</v>
      </c>
      <c r="E2509" t="s">
        <v>20</v>
      </c>
      <c r="F2509">
        <v>1016109933</v>
      </c>
      <c r="G2509" t="s">
        <v>693</v>
      </c>
      <c r="H2509">
        <v>100082120</v>
      </c>
      <c r="I2509">
        <v>202611</v>
      </c>
      <c r="J2509">
        <v>1016109933</v>
      </c>
      <c r="K2509" t="s">
        <v>89</v>
      </c>
      <c r="L2509" t="s">
        <v>133</v>
      </c>
      <c r="M2509" t="s">
        <v>24</v>
      </c>
      <c r="N2509" t="s">
        <v>38</v>
      </c>
      <c r="O2509" t="s">
        <v>26</v>
      </c>
      <c r="P2509" t="s">
        <v>27</v>
      </c>
      <c r="Q2509" t="s">
        <v>28</v>
      </c>
      <c r="R2509" t="s">
        <v>29</v>
      </c>
      <c r="S2509" t="s">
        <v>30</v>
      </c>
      <c r="T2509">
        <v>1019102787</v>
      </c>
      <c r="U2509" t="s">
        <v>3977</v>
      </c>
      <c r="V2509" t="s">
        <v>3970</v>
      </c>
      <c r="W2509" s="9">
        <f>IF(V2509="pregrado",31,
IF(V2509="posgrados",31,
IF(V2509="rEINTEGROS",7,
IF(V2509="BIT",90,
IF(V2509="OP GRADO - INGLÉS",17,"")))))</f>
        <v>7</v>
      </c>
      <c r="X2509" t="s">
        <v>3976</v>
      </c>
    </row>
    <row r="2510" spans="1:24" ht="15" x14ac:dyDescent="0.35">
      <c r="A2510" s="4">
        <v>45986.434282407405</v>
      </c>
      <c r="B2510">
        <v>20104779</v>
      </c>
      <c r="C2510" s="5" t="s">
        <v>19</v>
      </c>
      <c r="D2510">
        <v>572164</v>
      </c>
      <c r="E2510" t="s">
        <v>20</v>
      </c>
      <c r="F2510">
        <v>25341617</v>
      </c>
      <c r="G2510" t="s">
        <v>517</v>
      </c>
      <c r="H2510">
        <v>100047722</v>
      </c>
      <c r="I2510">
        <v>202611</v>
      </c>
      <c r="J2510">
        <v>25341617</v>
      </c>
      <c r="K2510" t="s">
        <v>23</v>
      </c>
      <c r="L2510" t="s">
        <v>221</v>
      </c>
      <c r="M2510" t="s">
        <v>24</v>
      </c>
      <c r="N2510" t="s">
        <v>35</v>
      </c>
      <c r="O2510" t="s">
        <v>26</v>
      </c>
      <c r="P2510" t="s">
        <v>27</v>
      </c>
      <c r="Q2510" t="s">
        <v>28</v>
      </c>
      <c r="R2510" t="s">
        <v>29</v>
      </c>
      <c r="S2510" t="s">
        <v>30</v>
      </c>
      <c r="T2510">
        <v>1070973852</v>
      </c>
      <c r="U2510" t="s">
        <v>3936</v>
      </c>
      <c r="V2510" t="s">
        <v>3937</v>
      </c>
      <c r="W2510" s="9">
        <f>IF(V2510="pregrado",31,
IF(V2510="posgrados",31,
IF(V2510="rEINTEGROS",7,
IF(V2510="BIT",90,
IF(V2510="OP GRADO - INGLÉS",17,"")))))</f>
        <v>31</v>
      </c>
      <c r="X2510" t="s">
        <v>3957</v>
      </c>
    </row>
    <row r="2511" spans="1:24" ht="15" x14ac:dyDescent="0.35">
      <c r="A2511" s="4">
        <v>45986.955682870372</v>
      </c>
      <c r="B2511">
        <v>20104869</v>
      </c>
      <c r="C2511" s="5" t="s">
        <v>19</v>
      </c>
      <c r="D2511">
        <v>572168</v>
      </c>
      <c r="E2511" t="s">
        <v>20</v>
      </c>
      <c r="F2511">
        <v>52712141</v>
      </c>
      <c r="G2511" t="s">
        <v>546</v>
      </c>
      <c r="H2511">
        <v>100236587</v>
      </c>
      <c r="I2511">
        <v>202610</v>
      </c>
      <c r="J2511">
        <v>1032938560</v>
      </c>
      <c r="K2511" t="s">
        <v>23</v>
      </c>
      <c r="L2511" t="s">
        <v>40</v>
      </c>
      <c r="M2511" t="s">
        <v>24</v>
      </c>
      <c r="N2511" t="s">
        <v>35</v>
      </c>
      <c r="O2511" t="s">
        <v>26</v>
      </c>
      <c r="P2511" t="s">
        <v>27</v>
      </c>
      <c r="Q2511" t="s">
        <v>28</v>
      </c>
      <c r="R2511" t="s">
        <v>29</v>
      </c>
      <c r="S2511" t="s">
        <v>30</v>
      </c>
      <c r="T2511">
        <v>1000578914</v>
      </c>
      <c r="U2511" t="s">
        <v>3941</v>
      </c>
      <c r="V2511" t="s">
        <v>3934</v>
      </c>
      <c r="W2511" s="9">
        <f>IF(V2511="pregrado",31,
IF(V2511="posgrados",31,
IF(V2511="rEINTEGROS",7,
IF(V2511="BIT",90,
IF(V2511="OP GRADO - INGLÉS",17,"")))))</f>
        <v>31</v>
      </c>
      <c r="X2511" t="s">
        <v>4060</v>
      </c>
    </row>
    <row r="2512" spans="1:24" ht="15" x14ac:dyDescent="0.35">
      <c r="A2512" s="4">
        <v>46014.420902777776</v>
      </c>
      <c r="B2512">
        <v>20109411</v>
      </c>
      <c r="C2512" s="6" t="s">
        <v>19</v>
      </c>
      <c r="D2512">
        <v>572184</v>
      </c>
      <c r="E2512" t="s">
        <v>20</v>
      </c>
      <c r="F2512">
        <v>26901955</v>
      </c>
      <c r="G2512" t="s">
        <v>1254</v>
      </c>
      <c r="H2512">
        <v>100236600</v>
      </c>
      <c r="I2512">
        <v>202610</v>
      </c>
      <c r="J2512">
        <v>1002474468</v>
      </c>
      <c r="K2512" t="s">
        <v>23</v>
      </c>
      <c r="L2512" t="s">
        <v>79</v>
      </c>
      <c r="M2512" t="s">
        <v>24</v>
      </c>
      <c r="N2512" t="s">
        <v>35</v>
      </c>
      <c r="O2512" t="s">
        <v>26</v>
      </c>
      <c r="P2512" t="s">
        <v>27</v>
      </c>
      <c r="Q2512" t="s">
        <v>28</v>
      </c>
      <c r="R2512" t="s">
        <v>29</v>
      </c>
      <c r="S2512" t="s">
        <v>30</v>
      </c>
      <c r="T2512">
        <v>1030570122</v>
      </c>
      <c r="U2512" t="s">
        <v>3965</v>
      </c>
      <c r="V2512" t="s">
        <v>3934</v>
      </c>
      <c r="W2512" s="9">
        <f>IF(V2512="pregrado",31,
IF(V2512="posgrados",31,
IF(V2512="rEINTEGROS",7,
IF(V2512="BIT",90,
IF(V2512="OP GRADO - INGLÉS",17,"")))))</f>
        <v>31</v>
      </c>
      <c r="X2512" t="s">
        <v>4015</v>
      </c>
    </row>
    <row r="2513" spans="1:24" ht="15" x14ac:dyDescent="0.35">
      <c r="A2513" s="4">
        <v>45988.422094907408</v>
      </c>
      <c r="B2513">
        <v>20105041</v>
      </c>
      <c r="C2513" s="6" t="s">
        <v>19</v>
      </c>
      <c r="D2513">
        <v>572194</v>
      </c>
      <c r="E2513" t="s">
        <v>20</v>
      </c>
      <c r="F2513">
        <v>7172745</v>
      </c>
      <c r="G2513" t="s">
        <v>597</v>
      </c>
      <c r="H2513">
        <v>100236611</v>
      </c>
      <c r="I2513">
        <v>202631</v>
      </c>
      <c r="J2513">
        <v>1116239791</v>
      </c>
      <c r="K2513" t="s">
        <v>33</v>
      </c>
      <c r="L2513" t="s">
        <v>90</v>
      </c>
      <c r="M2513" t="s">
        <v>24</v>
      </c>
      <c r="N2513" t="s">
        <v>25</v>
      </c>
      <c r="O2513" t="s">
        <v>26</v>
      </c>
      <c r="P2513" t="s">
        <v>27</v>
      </c>
      <c r="Q2513" t="s">
        <v>28</v>
      </c>
      <c r="R2513" t="s">
        <v>29</v>
      </c>
      <c r="S2513" t="s">
        <v>30</v>
      </c>
      <c r="T2513">
        <v>1026299972</v>
      </c>
      <c r="U2513" t="s">
        <v>3933</v>
      </c>
      <c r="V2513" t="s">
        <v>3934</v>
      </c>
      <c r="W2513" s="9">
        <f>IF(V2513="pregrado",31,
IF(V2513="posgrados",31,
IF(V2513="rEINTEGROS",7,
IF(V2513="BIT",90,
IF(V2513="OP GRADO - INGLÉS",17,"")))))</f>
        <v>31</v>
      </c>
      <c r="X2513" t="s">
        <v>4052</v>
      </c>
    </row>
    <row r="2514" spans="1:24" ht="15" x14ac:dyDescent="0.35">
      <c r="A2514" s="4">
        <v>45986.631620370368</v>
      </c>
      <c r="B2514">
        <v>20104819</v>
      </c>
      <c r="C2514" s="5" t="s">
        <v>19</v>
      </c>
      <c r="D2514">
        <v>572208</v>
      </c>
      <c r="E2514" t="s">
        <v>20</v>
      </c>
      <c r="F2514">
        <v>1144108279</v>
      </c>
      <c r="G2514" t="s">
        <v>530</v>
      </c>
      <c r="H2514">
        <v>100154058</v>
      </c>
      <c r="I2514">
        <v>202611</v>
      </c>
      <c r="J2514">
        <v>1144108279</v>
      </c>
      <c r="K2514" t="s">
        <v>89</v>
      </c>
      <c r="L2514" t="s">
        <v>133</v>
      </c>
      <c r="M2514" t="s">
        <v>24</v>
      </c>
      <c r="N2514" t="s">
        <v>35</v>
      </c>
      <c r="O2514" t="s">
        <v>26</v>
      </c>
      <c r="P2514" t="s">
        <v>27</v>
      </c>
      <c r="Q2514" t="s">
        <v>28</v>
      </c>
      <c r="R2514" t="s">
        <v>29</v>
      </c>
      <c r="S2514" t="s">
        <v>30</v>
      </c>
      <c r="T2514">
        <v>52168054</v>
      </c>
      <c r="U2514" t="s">
        <v>3977</v>
      </c>
      <c r="V2514" t="s">
        <v>3970</v>
      </c>
      <c r="W2514" s="9">
        <f>IF(V2514="pregrado",31,
IF(V2514="posgrados",31,
IF(V2514="rEINTEGROS",7,
IF(V2514="BIT",90,
IF(V2514="OP GRADO - INGLÉS",17,"")))))</f>
        <v>7</v>
      </c>
      <c r="X2514" t="s">
        <v>4057</v>
      </c>
    </row>
    <row r="2515" spans="1:24" ht="15" x14ac:dyDescent="0.35">
      <c r="A2515" s="4">
        <v>45990.467812499999</v>
      </c>
      <c r="B2515">
        <v>20105350</v>
      </c>
      <c r="C2515" s="6" t="s">
        <v>19</v>
      </c>
      <c r="D2515">
        <v>572210</v>
      </c>
      <c r="E2515" t="s">
        <v>20</v>
      </c>
      <c r="F2515">
        <v>52308902</v>
      </c>
      <c r="G2515" t="s">
        <v>680</v>
      </c>
      <c r="H2515">
        <v>100236620</v>
      </c>
      <c r="I2515">
        <v>202610</v>
      </c>
      <c r="J2515">
        <v>1141326101</v>
      </c>
      <c r="K2515" t="s">
        <v>23</v>
      </c>
      <c r="L2515" t="s">
        <v>79</v>
      </c>
      <c r="M2515" t="s">
        <v>24</v>
      </c>
      <c r="N2515" t="s">
        <v>35</v>
      </c>
      <c r="O2515" t="s">
        <v>26</v>
      </c>
      <c r="P2515" t="s">
        <v>27</v>
      </c>
      <c r="Q2515" t="s">
        <v>28</v>
      </c>
      <c r="R2515" t="s">
        <v>29</v>
      </c>
      <c r="S2515" t="s">
        <v>30</v>
      </c>
      <c r="T2515">
        <v>53006215</v>
      </c>
      <c r="U2515" t="s">
        <v>3965</v>
      </c>
      <c r="V2515" t="s">
        <v>3934</v>
      </c>
      <c r="W2515" s="9">
        <f>IF(V2515="pregrado",31,
IF(V2515="posgrados",31,
IF(V2515="rEINTEGROS",7,
IF(V2515="BIT",90,
IF(V2515="OP GRADO - INGLÉS",17,"")))))</f>
        <v>31</v>
      </c>
      <c r="X2515" t="s">
        <v>4042</v>
      </c>
    </row>
    <row r="2516" spans="1:24" ht="15" x14ac:dyDescent="0.35">
      <c r="A2516" s="4">
        <v>45987.544976851852</v>
      </c>
      <c r="B2516">
        <v>20104934</v>
      </c>
      <c r="C2516" s="6" t="s">
        <v>19</v>
      </c>
      <c r="D2516">
        <v>572212</v>
      </c>
      <c r="E2516" t="s">
        <v>20</v>
      </c>
      <c r="F2516">
        <v>1000784183</v>
      </c>
      <c r="G2516" t="s">
        <v>563</v>
      </c>
      <c r="H2516">
        <v>100234710</v>
      </c>
      <c r="I2516">
        <v>202610</v>
      </c>
      <c r="J2516">
        <v>1013114709</v>
      </c>
      <c r="K2516" t="s">
        <v>23</v>
      </c>
      <c r="L2516" t="s">
        <v>40</v>
      </c>
      <c r="M2516" t="s">
        <v>24</v>
      </c>
      <c r="N2516" t="s">
        <v>35</v>
      </c>
      <c r="O2516" t="s">
        <v>26</v>
      </c>
      <c r="P2516" t="s">
        <v>27</v>
      </c>
      <c r="Q2516" t="s">
        <v>28</v>
      </c>
      <c r="R2516" t="s">
        <v>29</v>
      </c>
      <c r="S2516" t="s">
        <v>30</v>
      </c>
      <c r="T2516">
        <v>1118531834</v>
      </c>
      <c r="U2516" t="s">
        <v>3941</v>
      </c>
      <c r="V2516" t="s">
        <v>3934</v>
      </c>
      <c r="W2516" s="9">
        <f>IF(V2516="pregrado",31,
IF(V2516="posgrados",31,
IF(V2516="rEINTEGROS",7,
IF(V2516="BIT",90,
IF(V2516="OP GRADO - INGLÉS",17,"")))))</f>
        <v>31</v>
      </c>
      <c r="X2516" t="s">
        <v>3996</v>
      </c>
    </row>
    <row r="2517" spans="1:24" ht="15" x14ac:dyDescent="0.35">
      <c r="A2517" s="4">
        <v>45987.925243055557</v>
      </c>
      <c r="B2517">
        <v>20105021</v>
      </c>
      <c r="C2517" s="6" t="s">
        <v>19</v>
      </c>
      <c r="D2517">
        <v>572222</v>
      </c>
      <c r="E2517" t="s">
        <v>20</v>
      </c>
      <c r="F2517">
        <v>1024562039</v>
      </c>
      <c r="G2517" t="s">
        <v>587</v>
      </c>
      <c r="H2517">
        <v>100153602</v>
      </c>
      <c r="I2517">
        <v>202611</v>
      </c>
      <c r="J2517">
        <v>1024562039</v>
      </c>
      <c r="K2517" t="s">
        <v>89</v>
      </c>
      <c r="L2517" t="s">
        <v>133</v>
      </c>
      <c r="M2517" t="s">
        <v>24</v>
      </c>
      <c r="N2517" t="s">
        <v>25</v>
      </c>
      <c r="O2517" t="s">
        <v>26</v>
      </c>
      <c r="P2517" t="s">
        <v>27</v>
      </c>
      <c r="Q2517" t="s">
        <v>28</v>
      </c>
      <c r="R2517" t="s">
        <v>29</v>
      </c>
      <c r="S2517" t="s">
        <v>30</v>
      </c>
      <c r="T2517">
        <v>1016110979</v>
      </c>
      <c r="U2517" t="s">
        <v>3977</v>
      </c>
      <c r="V2517" t="s">
        <v>3970</v>
      </c>
      <c r="W2517" s="9">
        <f>IF(V2517="pregrado",31,
IF(V2517="posgrados",31,
IF(V2517="rEINTEGROS",7,
IF(V2517="BIT",90,
IF(V2517="OP GRADO - INGLÉS",17,"")))))</f>
        <v>7</v>
      </c>
      <c r="X2517" t="s">
        <v>4051</v>
      </c>
    </row>
    <row r="2518" spans="1:24" ht="15" x14ac:dyDescent="0.35">
      <c r="A2518" s="4">
        <v>45987.60460648148</v>
      </c>
      <c r="B2518">
        <v>20104950</v>
      </c>
      <c r="C2518" s="6" t="s">
        <v>19</v>
      </c>
      <c r="D2518">
        <v>572224</v>
      </c>
      <c r="E2518" t="s">
        <v>20</v>
      </c>
      <c r="F2518">
        <v>36559564</v>
      </c>
      <c r="G2518" t="s">
        <v>566</v>
      </c>
      <c r="H2518">
        <v>100235084</v>
      </c>
      <c r="I2518">
        <v>202610</v>
      </c>
      <c r="J2518">
        <v>1140919146</v>
      </c>
      <c r="K2518" t="s">
        <v>23</v>
      </c>
      <c r="L2518" t="s">
        <v>49</v>
      </c>
      <c r="M2518" t="s">
        <v>24</v>
      </c>
      <c r="N2518" t="s">
        <v>35</v>
      </c>
      <c r="O2518" t="s">
        <v>26</v>
      </c>
      <c r="P2518" t="s">
        <v>27</v>
      </c>
      <c r="Q2518" t="s">
        <v>28</v>
      </c>
      <c r="R2518" t="s">
        <v>29</v>
      </c>
      <c r="S2518" t="s">
        <v>30</v>
      </c>
      <c r="T2518">
        <v>1006023129</v>
      </c>
      <c r="U2518" t="s">
        <v>3944</v>
      </c>
      <c r="V2518" t="s">
        <v>3934</v>
      </c>
      <c r="W2518" s="9">
        <f>IF(V2518="pregrado",31,
IF(V2518="posgrados",31,
IF(V2518="rEINTEGROS",7,
IF(V2518="BIT",90,
IF(V2518="OP GRADO - INGLÉS",17,"")))))</f>
        <v>31</v>
      </c>
      <c r="X2518" t="s">
        <v>3982</v>
      </c>
    </row>
    <row r="2519" spans="1:24" ht="15" x14ac:dyDescent="0.35">
      <c r="A2519" s="4">
        <v>45987.620335648149</v>
      </c>
      <c r="B2519">
        <v>20104955</v>
      </c>
      <c r="C2519" s="6" t="s">
        <v>19</v>
      </c>
      <c r="D2519">
        <v>572228</v>
      </c>
      <c r="E2519" t="s">
        <v>20</v>
      </c>
      <c r="F2519">
        <v>21022935</v>
      </c>
      <c r="G2519" t="s">
        <v>568</v>
      </c>
      <c r="H2519">
        <v>100063321</v>
      </c>
      <c r="I2519">
        <v>202631</v>
      </c>
      <c r="J2519">
        <v>1077091758</v>
      </c>
      <c r="K2519" t="s">
        <v>33</v>
      </c>
      <c r="L2519" t="s">
        <v>231</v>
      </c>
      <c r="M2519" t="s">
        <v>24</v>
      </c>
      <c r="N2519" t="s">
        <v>38</v>
      </c>
      <c r="O2519" t="s">
        <v>26</v>
      </c>
      <c r="P2519" t="s">
        <v>27</v>
      </c>
      <c r="Q2519" t="s">
        <v>28</v>
      </c>
      <c r="R2519" t="s">
        <v>29</v>
      </c>
      <c r="S2519" t="s">
        <v>30</v>
      </c>
      <c r="T2519">
        <v>1020730718</v>
      </c>
      <c r="U2519" t="s">
        <v>3941</v>
      </c>
      <c r="V2519" t="s">
        <v>3934</v>
      </c>
      <c r="W2519" s="9">
        <f>IF(V2519="pregrado",31,
IF(V2519="posgrados",31,
IF(V2519="rEINTEGROS",7,
IF(V2519="BIT",90,
IF(V2519="OP GRADO - INGLÉS",17,"")))))</f>
        <v>31</v>
      </c>
      <c r="X2519" t="s">
        <v>3952</v>
      </c>
    </row>
    <row r="2520" spans="1:24" ht="15" x14ac:dyDescent="0.35">
      <c r="A2520" s="4">
        <v>45987.506249999999</v>
      </c>
      <c r="B2520">
        <v>20104922</v>
      </c>
      <c r="C2520" s="6" t="s">
        <v>19</v>
      </c>
      <c r="D2520">
        <v>572236</v>
      </c>
      <c r="E2520" t="s">
        <v>20</v>
      </c>
      <c r="F2520">
        <v>1014191802</v>
      </c>
      <c r="G2520" t="s">
        <v>559</v>
      </c>
      <c r="H2520">
        <v>100236635</v>
      </c>
      <c r="I2520">
        <v>202611</v>
      </c>
      <c r="J2520">
        <v>1014191802</v>
      </c>
      <c r="K2520" t="s">
        <v>23</v>
      </c>
      <c r="L2520" t="s">
        <v>227</v>
      </c>
      <c r="M2520" t="s">
        <v>24</v>
      </c>
      <c r="N2520" t="s">
        <v>35</v>
      </c>
      <c r="O2520" t="s">
        <v>26</v>
      </c>
      <c r="P2520" t="s">
        <v>27</v>
      </c>
      <c r="Q2520" t="s">
        <v>28</v>
      </c>
      <c r="R2520" t="s">
        <v>29</v>
      </c>
      <c r="S2520" t="s">
        <v>30</v>
      </c>
      <c r="T2520">
        <v>1032678391</v>
      </c>
      <c r="U2520" t="s">
        <v>3965</v>
      </c>
      <c r="V2520" t="s">
        <v>3934</v>
      </c>
      <c r="W2520" s="9">
        <f>IF(V2520="pregrado",31,
IF(V2520="posgrados",31,
IF(V2520="rEINTEGROS",7,
IF(V2520="BIT",90,
IF(V2520="OP GRADO - INGLÉS",17,"")))))</f>
        <v>31</v>
      </c>
      <c r="X2520" t="s">
        <v>4098</v>
      </c>
    </row>
    <row r="2521" spans="1:24" ht="15" x14ac:dyDescent="0.35">
      <c r="A2521" s="4">
        <v>45986.665312500001</v>
      </c>
      <c r="B2521">
        <v>20104830</v>
      </c>
      <c r="C2521" s="5" t="s">
        <v>19</v>
      </c>
      <c r="D2521">
        <v>572239</v>
      </c>
      <c r="E2521" t="s">
        <v>20</v>
      </c>
      <c r="F2521">
        <v>1143944467</v>
      </c>
      <c r="G2521" t="s">
        <v>535</v>
      </c>
      <c r="H2521">
        <v>100236498</v>
      </c>
      <c r="I2521">
        <v>202611</v>
      </c>
      <c r="J2521">
        <v>1143944467</v>
      </c>
      <c r="K2521" t="s">
        <v>23</v>
      </c>
      <c r="L2521" t="s">
        <v>227</v>
      </c>
      <c r="M2521" t="s">
        <v>24</v>
      </c>
      <c r="N2521" t="s">
        <v>35</v>
      </c>
      <c r="O2521" t="s">
        <v>26</v>
      </c>
      <c r="P2521" t="s">
        <v>27</v>
      </c>
      <c r="Q2521" t="s">
        <v>28</v>
      </c>
      <c r="R2521" t="s">
        <v>29</v>
      </c>
      <c r="S2521" t="s">
        <v>30</v>
      </c>
      <c r="T2521">
        <v>10006855461</v>
      </c>
      <c r="U2521" t="s">
        <v>3965</v>
      </c>
      <c r="V2521" t="s">
        <v>3934</v>
      </c>
      <c r="W2521" s="9">
        <f>IF(V2521="pregrado",31,
IF(V2521="posgrados",31,
IF(V2521="rEINTEGROS",7,
IF(V2521="BIT",90,
IF(V2521="OP GRADO - INGLÉS",17,"")))))</f>
        <v>31</v>
      </c>
      <c r="X2521" t="s">
        <v>3993</v>
      </c>
    </row>
    <row r="2522" spans="1:24" ht="15" x14ac:dyDescent="0.35">
      <c r="A2522" s="4">
        <v>45989.640266203707</v>
      </c>
      <c r="B2522">
        <v>20105281</v>
      </c>
      <c r="C2522" s="6" t="s">
        <v>19</v>
      </c>
      <c r="D2522">
        <v>572240</v>
      </c>
      <c r="E2522" t="s">
        <v>20</v>
      </c>
      <c r="F2522">
        <v>1116802957</v>
      </c>
      <c r="G2522" t="s">
        <v>664</v>
      </c>
      <c r="H2522">
        <v>100236552</v>
      </c>
      <c r="I2522">
        <v>202631</v>
      </c>
      <c r="J2522">
        <v>1116802957</v>
      </c>
      <c r="K2522" t="s">
        <v>23</v>
      </c>
      <c r="L2522" t="s">
        <v>207</v>
      </c>
      <c r="M2522" t="s">
        <v>24</v>
      </c>
      <c r="N2522" t="s">
        <v>35</v>
      </c>
      <c r="O2522" t="s">
        <v>26</v>
      </c>
      <c r="P2522" t="s">
        <v>27</v>
      </c>
      <c r="Q2522" t="s">
        <v>28</v>
      </c>
      <c r="R2522" t="s">
        <v>29</v>
      </c>
      <c r="S2522" t="s">
        <v>30</v>
      </c>
      <c r="T2522">
        <v>1001315142</v>
      </c>
      <c r="U2522" t="s">
        <v>3986</v>
      </c>
      <c r="V2522" t="s">
        <v>3934</v>
      </c>
      <c r="W2522" s="9">
        <f>IF(V2522="pregrado",31,
IF(V2522="posgrados",31,
IF(V2522="rEINTEGROS",7,
IF(V2522="BIT",90,
IF(V2522="OP GRADO - INGLÉS",17,"")))))</f>
        <v>31</v>
      </c>
      <c r="X2522" t="s">
        <v>4064</v>
      </c>
    </row>
    <row r="2523" spans="1:24" ht="15" x14ac:dyDescent="0.35">
      <c r="A2523" s="4">
        <v>45993.651192129626</v>
      </c>
      <c r="B2523">
        <v>20105636</v>
      </c>
      <c r="C2523" s="6" t="s">
        <v>19</v>
      </c>
      <c r="D2523">
        <v>572254</v>
      </c>
      <c r="E2523" t="s">
        <v>20</v>
      </c>
      <c r="F2523">
        <v>1042773647</v>
      </c>
      <c r="G2523" t="s">
        <v>727</v>
      </c>
      <c r="H2523">
        <v>100236650</v>
      </c>
      <c r="I2523">
        <v>202631</v>
      </c>
      <c r="J2523">
        <v>1042773647</v>
      </c>
      <c r="K2523" t="s">
        <v>33</v>
      </c>
      <c r="L2523" t="s">
        <v>32</v>
      </c>
      <c r="M2523" t="s">
        <v>24</v>
      </c>
      <c r="N2523" t="s">
        <v>35</v>
      </c>
      <c r="O2523" t="s">
        <v>26</v>
      </c>
      <c r="P2523" t="s">
        <v>27</v>
      </c>
      <c r="Q2523" t="s">
        <v>28</v>
      </c>
      <c r="R2523" t="s">
        <v>29</v>
      </c>
      <c r="S2523" t="s">
        <v>30</v>
      </c>
      <c r="T2523">
        <v>1000625316</v>
      </c>
      <c r="U2523" t="s">
        <v>3944</v>
      </c>
      <c r="V2523" t="s">
        <v>3934</v>
      </c>
      <c r="W2523" s="9">
        <f>IF(V2523="pregrado",31,
IF(V2523="posgrados",31,
IF(V2523="rEINTEGROS",7,
IF(V2523="BIT",90,
IF(V2523="OP GRADO - INGLÉS",17,"")))))</f>
        <v>31</v>
      </c>
      <c r="X2523" t="s">
        <v>3980</v>
      </c>
    </row>
    <row r="2524" spans="1:24" ht="15" x14ac:dyDescent="0.35">
      <c r="A2524" s="4">
        <v>45987.347905092596</v>
      </c>
      <c r="B2524">
        <v>20104873</v>
      </c>
      <c r="C2524" s="5" t="s">
        <v>19</v>
      </c>
      <c r="D2524">
        <v>572255</v>
      </c>
      <c r="E2524" t="s">
        <v>20</v>
      </c>
      <c r="F2524">
        <v>1032796255</v>
      </c>
      <c r="G2524" t="s">
        <v>548</v>
      </c>
      <c r="H2524">
        <v>100234522</v>
      </c>
      <c r="I2524">
        <v>202631</v>
      </c>
      <c r="J2524">
        <v>1032796255</v>
      </c>
      <c r="K2524" t="s">
        <v>23</v>
      </c>
      <c r="L2524" t="s">
        <v>57</v>
      </c>
      <c r="M2524" t="s">
        <v>24</v>
      </c>
      <c r="N2524" t="s">
        <v>35</v>
      </c>
      <c r="O2524" t="s">
        <v>26</v>
      </c>
      <c r="P2524" t="s">
        <v>27</v>
      </c>
      <c r="Q2524" t="s">
        <v>28</v>
      </c>
      <c r="R2524" t="s">
        <v>29</v>
      </c>
      <c r="S2524" t="s">
        <v>30</v>
      </c>
      <c r="T2524">
        <v>1022392610</v>
      </c>
      <c r="U2524" t="s">
        <v>3941</v>
      </c>
      <c r="V2524" t="s">
        <v>3934</v>
      </c>
      <c r="W2524" s="9">
        <f>IF(V2524="pregrado",31,
IF(V2524="posgrados",31,
IF(V2524="rEINTEGROS",7,
IF(V2524="BIT",90,
IF(V2524="OP GRADO - INGLÉS",17,"")))))</f>
        <v>31</v>
      </c>
      <c r="X2524" t="s">
        <v>4028</v>
      </c>
    </row>
    <row r="2525" spans="1:24" ht="15" x14ac:dyDescent="0.35">
      <c r="A2525" s="4">
        <v>45989.470393518517</v>
      </c>
      <c r="B2525">
        <v>20105241</v>
      </c>
      <c r="C2525" s="6" t="s">
        <v>19</v>
      </c>
      <c r="D2525">
        <v>572271</v>
      </c>
      <c r="E2525" t="s">
        <v>20</v>
      </c>
      <c r="F2525">
        <v>1096243419</v>
      </c>
      <c r="G2525" t="s">
        <v>651</v>
      </c>
      <c r="H2525">
        <v>100221286</v>
      </c>
      <c r="I2525">
        <v>202631</v>
      </c>
      <c r="J2525">
        <v>1096243419</v>
      </c>
      <c r="K2525" t="s">
        <v>33</v>
      </c>
      <c r="L2525" t="s">
        <v>90</v>
      </c>
      <c r="M2525" t="s">
        <v>24</v>
      </c>
      <c r="N2525" t="s">
        <v>38</v>
      </c>
      <c r="O2525" t="s">
        <v>26</v>
      </c>
      <c r="P2525" t="s">
        <v>27</v>
      </c>
      <c r="Q2525" t="s">
        <v>28</v>
      </c>
      <c r="R2525" t="s">
        <v>29</v>
      </c>
      <c r="S2525" t="s">
        <v>30</v>
      </c>
      <c r="T2525">
        <v>1001048359</v>
      </c>
      <c r="U2525" t="s">
        <v>3939</v>
      </c>
      <c r="V2525" t="s">
        <v>3934</v>
      </c>
      <c r="W2525" s="9">
        <f>IF(V2525="pregrado",31,
IF(V2525="posgrados",31,
IF(V2525="rEINTEGROS",7,
IF(V2525="BIT",90,
IF(V2525="OP GRADO - INGLÉS",17,"")))))</f>
        <v>31</v>
      </c>
      <c r="X2525" t="s">
        <v>4106</v>
      </c>
    </row>
    <row r="2526" spans="1:24" ht="15" x14ac:dyDescent="0.35">
      <c r="A2526" s="4">
        <v>45990.381412037037</v>
      </c>
      <c r="B2526">
        <v>20105333</v>
      </c>
      <c r="C2526" s="6" t="s">
        <v>19</v>
      </c>
      <c r="D2526">
        <v>572275</v>
      </c>
      <c r="E2526" t="s">
        <v>20</v>
      </c>
      <c r="F2526">
        <v>1001341720</v>
      </c>
      <c r="G2526" t="s">
        <v>679</v>
      </c>
      <c r="H2526">
        <v>100236675</v>
      </c>
      <c r="I2526">
        <v>202611</v>
      </c>
      <c r="J2526">
        <v>1001341720</v>
      </c>
      <c r="K2526" t="s">
        <v>23</v>
      </c>
      <c r="L2526" t="s">
        <v>227</v>
      </c>
      <c r="M2526" t="s">
        <v>24</v>
      </c>
      <c r="N2526" t="s">
        <v>25</v>
      </c>
      <c r="O2526" t="s">
        <v>26</v>
      </c>
      <c r="P2526" t="s">
        <v>27</v>
      </c>
      <c r="Q2526" t="s">
        <v>28</v>
      </c>
      <c r="R2526" t="s">
        <v>29</v>
      </c>
      <c r="S2526" t="s">
        <v>30</v>
      </c>
      <c r="T2526">
        <v>52392617</v>
      </c>
      <c r="U2526" t="s">
        <v>3965</v>
      </c>
      <c r="V2526" t="s">
        <v>3934</v>
      </c>
      <c r="W2526" s="9">
        <f>IF(V2526="pregrado",31,
IF(V2526="posgrados",31,
IF(V2526="rEINTEGROS",7,
IF(V2526="BIT",90,
IF(V2526="OP GRADO - INGLÉS",17,"")))))</f>
        <v>31</v>
      </c>
      <c r="X2526" t="s">
        <v>4053</v>
      </c>
    </row>
    <row r="2527" spans="1:24" ht="15" x14ac:dyDescent="0.35">
      <c r="A2527" s="4">
        <v>45987.61818287037</v>
      </c>
      <c r="B2527">
        <v>20104953</v>
      </c>
      <c r="C2527" s="6" t="s">
        <v>19</v>
      </c>
      <c r="D2527">
        <v>572287</v>
      </c>
      <c r="E2527" t="s">
        <v>20</v>
      </c>
      <c r="F2527">
        <v>1073810756</v>
      </c>
      <c r="G2527" t="s">
        <v>567</v>
      </c>
      <c r="H2527">
        <v>100236688</v>
      </c>
      <c r="I2527">
        <v>202611</v>
      </c>
      <c r="J2527">
        <v>1073810756</v>
      </c>
      <c r="K2527" t="s">
        <v>23</v>
      </c>
      <c r="L2527" t="s">
        <v>221</v>
      </c>
      <c r="M2527" t="s">
        <v>24</v>
      </c>
      <c r="N2527" t="s">
        <v>25</v>
      </c>
      <c r="O2527" t="s">
        <v>26</v>
      </c>
      <c r="P2527" t="s">
        <v>27</v>
      </c>
      <c r="Q2527" t="s">
        <v>28</v>
      </c>
      <c r="R2527" t="s">
        <v>29</v>
      </c>
      <c r="S2527" t="s">
        <v>30</v>
      </c>
      <c r="T2527">
        <v>52342867</v>
      </c>
      <c r="U2527" t="s">
        <v>3965</v>
      </c>
      <c r="V2527" t="s">
        <v>3934</v>
      </c>
      <c r="W2527" s="9">
        <f>IF(V2527="pregrado",31,
IF(V2527="posgrados",31,
IF(V2527="rEINTEGROS",7,
IF(V2527="BIT",90,
IF(V2527="OP GRADO - INGLÉS",17,"")))))</f>
        <v>31</v>
      </c>
      <c r="X2527" t="s">
        <v>4047</v>
      </c>
    </row>
    <row r="2528" spans="1:24" ht="15" x14ac:dyDescent="0.35">
      <c r="A2528" s="4">
        <v>45988.662187499998</v>
      </c>
      <c r="B2528">
        <v>20105136</v>
      </c>
      <c r="C2528" s="6" t="s">
        <v>19</v>
      </c>
      <c r="D2528">
        <v>572291</v>
      </c>
      <c r="E2528" t="s">
        <v>20</v>
      </c>
      <c r="F2528">
        <v>64725446</v>
      </c>
      <c r="G2528" t="s">
        <v>622</v>
      </c>
      <c r="H2528">
        <v>100236692</v>
      </c>
      <c r="I2528">
        <v>202611</v>
      </c>
      <c r="J2528">
        <v>1101382691</v>
      </c>
      <c r="K2528" t="s">
        <v>23</v>
      </c>
      <c r="L2528" t="s">
        <v>227</v>
      </c>
      <c r="M2528" t="s">
        <v>24</v>
      </c>
      <c r="N2528" t="s">
        <v>35</v>
      </c>
      <c r="O2528" t="s">
        <v>26</v>
      </c>
      <c r="P2528" t="s">
        <v>27</v>
      </c>
      <c r="Q2528" t="s">
        <v>28</v>
      </c>
      <c r="R2528" t="s">
        <v>29</v>
      </c>
      <c r="S2528" t="s">
        <v>30</v>
      </c>
      <c r="T2528">
        <v>53006215</v>
      </c>
      <c r="U2528" t="s">
        <v>3965</v>
      </c>
      <c r="V2528" t="s">
        <v>3934</v>
      </c>
      <c r="W2528" s="9">
        <f>IF(V2528="pregrado",31,
IF(V2528="posgrados",31,
IF(V2528="rEINTEGROS",7,
IF(V2528="BIT",90,
IF(V2528="OP GRADO - INGLÉS",17,"")))))</f>
        <v>31</v>
      </c>
      <c r="X2528" t="s">
        <v>4042</v>
      </c>
    </row>
    <row r="2529" spans="1:24" ht="15" x14ac:dyDescent="0.35">
      <c r="A2529" s="4">
        <v>45988.471354166664</v>
      </c>
      <c r="B2529">
        <v>20105063</v>
      </c>
      <c r="C2529" s="6" t="s">
        <v>19</v>
      </c>
      <c r="D2529">
        <v>572292</v>
      </c>
      <c r="E2529" t="s">
        <v>20</v>
      </c>
      <c r="F2529">
        <v>1001963481</v>
      </c>
      <c r="G2529" t="s">
        <v>599</v>
      </c>
      <c r="H2529">
        <v>100236693</v>
      </c>
      <c r="I2529">
        <v>202631</v>
      </c>
      <c r="J2529">
        <v>1001963481</v>
      </c>
      <c r="K2529" t="s">
        <v>23</v>
      </c>
      <c r="L2529" t="s">
        <v>127</v>
      </c>
      <c r="M2529" t="s">
        <v>24</v>
      </c>
      <c r="N2529" t="s">
        <v>25</v>
      </c>
      <c r="O2529" t="s">
        <v>26</v>
      </c>
      <c r="P2529" t="s">
        <v>27</v>
      </c>
      <c r="Q2529" t="s">
        <v>28</v>
      </c>
      <c r="R2529" t="s">
        <v>29</v>
      </c>
      <c r="S2529" t="s">
        <v>30</v>
      </c>
      <c r="T2529">
        <v>10245841021</v>
      </c>
      <c r="U2529" t="s">
        <v>3933</v>
      </c>
      <c r="V2529" t="s">
        <v>3934</v>
      </c>
      <c r="W2529" s="9">
        <f>IF(V2529="pregrado",31,
IF(V2529="posgrados",31,
IF(V2529="rEINTEGROS",7,
IF(V2529="BIT",90,
IF(V2529="OP GRADO - INGLÉS",17,"")))))</f>
        <v>31</v>
      </c>
      <c r="X2529" t="s">
        <v>3987</v>
      </c>
    </row>
    <row r="2530" spans="1:24" ht="15" x14ac:dyDescent="0.35">
      <c r="A2530" s="4">
        <v>45990.988344907404</v>
      </c>
      <c r="B2530">
        <v>20105380</v>
      </c>
      <c r="C2530" s="6" t="s">
        <v>19</v>
      </c>
      <c r="D2530">
        <v>572299</v>
      </c>
      <c r="E2530" t="s">
        <v>20</v>
      </c>
      <c r="F2530">
        <v>1001295698</v>
      </c>
      <c r="G2530" t="s">
        <v>692</v>
      </c>
      <c r="H2530">
        <v>100180496</v>
      </c>
      <c r="I2530">
        <v>202611</v>
      </c>
      <c r="J2530">
        <v>1001295698</v>
      </c>
      <c r="K2530" t="s">
        <v>89</v>
      </c>
      <c r="L2530" t="s">
        <v>133</v>
      </c>
      <c r="M2530" t="s">
        <v>24</v>
      </c>
      <c r="N2530" t="s">
        <v>25</v>
      </c>
      <c r="O2530" t="s">
        <v>26</v>
      </c>
      <c r="P2530" t="s">
        <v>27</v>
      </c>
      <c r="Q2530" t="s">
        <v>28</v>
      </c>
      <c r="R2530" t="s">
        <v>29</v>
      </c>
      <c r="S2530" t="s">
        <v>30</v>
      </c>
      <c r="T2530">
        <v>1000934874</v>
      </c>
      <c r="U2530" t="s">
        <v>3977</v>
      </c>
      <c r="V2530" t="s">
        <v>3970</v>
      </c>
      <c r="W2530" s="9">
        <f>IF(V2530="pregrado",31,
IF(V2530="posgrados",31,
IF(V2530="rEINTEGROS",7,
IF(V2530="BIT",90,
IF(V2530="OP GRADO - INGLÉS",17,"")))))</f>
        <v>7</v>
      </c>
      <c r="X2530" t="s">
        <v>3999</v>
      </c>
    </row>
    <row r="2531" spans="1:24" ht="15" x14ac:dyDescent="0.35">
      <c r="A2531" s="4">
        <v>46002.42633101852</v>
      </c>
      <c r="B2531">
        <v>20106577</v>
      </c>
      <c r="C2531" s="6" t="s">
        <v>19</v>
      </c>
      <c r="D2531">
        <v>572300</v>
      </c>
      <c r="E2531" t="s">
        <v>20</v>
      </c>
      <c r="F2531">
        <v>79795688</v>
      </c>
      <c r="G2531" t="s">
        <v>901</v>
      </c>
      <c r="H2531">
        <v>100165177</v>
      </c>
      <c r="I2531">
        <v>202611</v>
      </c>
      <c r="J2531">
        <v>1026262527</v>
      </c>
      <c r="K2531" t="s">
        <v>89</v>
      </c>
      <c r="L2531" t="s">
        <v>133</v>
      </c>
      <c r="M2531" t="s">
        <v>24</v>
      </c>
      <c r="N2531" t="s">
        <v>35</v>
      </c>
      <c r="O2531" t="s">
        <v>26</v>
      </c>
      <c r="P2531" t="s">
        <v>27</v>
      </c>
      <c r="Q2531" t="s">
        <v>28</v>
      </c>
      <c r="R2531" t="s">
        <v>29</v>
      </c>
      <c r="S2531" t="s">
        <v>30</v>
      </c>
      <c r="T2531">
        <v>1000934874</v>
      </c>
      <c r="U2531" t="s">
        <v>3977</v>
      </c>
      <c r="V2531" t="s">
        <v>3970</v>
      </c>
      <c r="W2531" s="9">
        <f>IF(V2531="pregrado",31,
IF(V2531="posgrados",31,
IF(V2531="rEINTEGROS",7,
IF(V2531="BIT",90,
IF(V2531="OP GRADO - INGLÉS",17,"")))))</f>
        <v>7</v>
      </c>
      <c r="X2531" t="s">
        <v>3999</v>
      </c>
    </row>
    <row r="2532" spans="1:24" ht="15" x14ac:dyDescent="0.35">
      <c r="A2532" s="4">
        <v>45987.38140046296</v>
      </c>
      <c r="B2532">
        <v>20104884</v>
      </c>
      <c r="C2532" s="6" t="s">
        <v>19</v>
      </c>
      <c r="D2532">
        <v>572304</v>
      </c>
      <c r="E2532" t="s">
        <v>20</v>
      </c>
      <c r="F2532">
        <v>1031540181</v>
      </c>
      <c r="G2532" t="s">
        <v>551</v>
      </c>
      <c r="H2532">
        <v>100236664</v>
      </c>
      <c r="I2532">
        <v>202631</v>
      </c>
      <c r="J2532">
        <v>1031540181</v>
      </c>
      <c r="K2532" t="s">
        <v>33</v>
      </c>
      <c r="L2532" t="s">
        <v>90</v>
      </c>
      <c r="M2532" t="s">
        <v>24</v>
      </c>
      <c r="N2532" t="s">
        <v>38</v>
      </c>
      <c r="O2532" t="s">
        <v>26</v>
      </c>
      <c r="P2532" t="s">
        <v>27</v>
      </c>
      <c r="Q2532" t="s">
        <v>28</v>
      </c>
      <c r="R2532" t="s">
        <v>29</v>
      </c>
      <c r="S2532" t="s">
        <v>30</v>
      </c>
      <c r="T2532">
        <v>39666517</v>
      </c>
      <c r="U2532" t="s">
        <v>3933</v>
      </c>
      <c r="V2532" t="s">
        <v>3934</v>
      </c>
      <c r="W2532" s="9">
        <f>IF(V2532="pregrado",31,
IF(V2532="posgrados",31,
IF(V2532="rEINTEGROS",7,
IF(V2532="BIT",90,
IF(V2532="OP GRADO - INGLÉS",17,"")))))</f>
        <v>31</v>
      </c>
      <c r="X2532" t="s">
        <v>4025</v>
      </c>
    </row>
    <row r="2533" spans="1:24" ht="15" x14ac:dyDescent="0.35">
      <c r="A2533" s="4">
        <v>45988.538912037038</v>
      </c>
      <c r="B2533">
        <v>20105091</v>
      </c>
      <c r="C2533" s="6" t="s">
        <v>19</v>
      </c>
      <c r="D2533">
        <v>572322</v>
      </c>
      <c r="E2533" t="s">
        <v>20</v>
      </c>
      <c r="F2533">
        <v>8332708</v>
      </c>
      <c r="G2533" t="s">
        <v>609</v>
      </c>
      <c r="H2533">
        <v>100214003</v>
      </c>
      <c r="I2533">
        <v>202611</v>
      </c>
      <c r="J2533">
        <v>1036657738</v>
      </c>
      <c r="K2533" t="s">
        <v>89</v>
      </c>
      <c r="L2533" t="s">
        <v>133</v>
      </c>
      <c r="M2533" t="s">
        <v>24</v>
      </c>
      <c r="N2533" t="s">
        <v>35</v>
      </c>
      <c r="O2533" t="s">
        <v>26</v>
      </c>
      <c r="P2533" t="s">
        <v>27</v>
      </c>
      <c r="Q2533" t="s">
        <v>28</v>
      </c>
      <c r="R2533" t="s">
        <v>29</v>
      </c>
      <c r="S2533" t="s">
        <v>30</v>
      </c>
      <c r="T2533">
        <v>52168054</v>
      </c>
      <c r="U2533" t="s">
        <v>3977</v>
      </c>
      <c r="V2533" t="s">
        <v>3970</v>
      </c>
      <c r="W2533" s="9">
        <f>IF(V2533="pregrado",31,
IF(V2533="posgrados",31,
IF(V2533="rEINTEGROS",7,
IF(V2533="BIT",90,
IF(V2533="OP GRADO - INGLÉS",17,"")))))</f>
        <v>7</v>
      </c>
      <c r="X2533" t="s">
        <v>4057</v>
      </c>
    </row>
    <row r="2534" spans="1:24" ht="15" x14ac:dyDescent="0.35">
      <c r="A2534" s="4">
        <v>45995.657592592594</v>
      </c>
      <c r="B2534">
        <v>20105891</v>
      </c>
      <c r="C2534" s="6" t="s">
        <v>19</v>
      </c>
      <c r="D2534">
        <v>572338</v>
      </c>
      <c r="E2534" t="s">
        <v>20</v>
      </c>
      <c r="F2534">
        <v>1001496979</v>
      </c>
      <c r="G2534" t="s">
        <v>782</v>
      </c>
      <c r="H2534">
        <v>100189646</v>
      </c>
      <c r="I2534">
        <v>202631</v>
      </c>
      <c r="J2534">
        <v>1001496979</v>
      </c>
      <c r="K2534" t="s">
        <v>89</v>
      </c>
      <c r="L2534" t="s">
        <v>77</v>
      </c>
      <c r="M2534" t="s">
        <v>24</v>
      </c>
      <c r="N2534" t="s">
        <v>35</v>
      </c>
      <c r="O2534" t="s">
        <v>26</v>
      </c>
      <c r="P2534" t="s">
        <v>27</v>
      </c>
      <c r="Q2534" t="s">
        <v>28</v>
      </c>
      <c r="R2534" t="s">
        <v>29</v>
      </c>
      <c r="S2534" t="s">
        <v>30</v>
      </c>
      <c r="T2534">
        <v>52168054</v>
      </c>
      <c r="U2534" t="s">
        <v>3977</v>
      </c>
      <c r="V2534" t="s">
        <v>3970</v>
      </c>
      <c r="W2534" s="9">
        <f>IF(V2534="pregrado",31,
IF(V2534="posgrados",31,
IF(V2534="rEINTEGROS",7,
IF(V2534="BIT",90,
IF(V2534="OP GRADO - INGLÉS",17,"")))))</f>
        <v>7</v>
      </c>
      <c r="X2534" t="s">
        <v>4057</v>
      </c>
    </row>
    <row r="2535" spans="1:24" ht="15" x14ac:dyDescent="0.35">
      <c r="A2535" s="4">
        <v>45988.846724537034</v>
      </c>
      <c r="B2535">
        <v>20105191</v>
      </c>
      <c r="C2535" s="6" t="s">
        <v>19</v>
      </c>
      <c r="D2535">
        <v>572345</v>
      </c>
      <c r="E2535" t="s">
        <v>20</v>
      </c>
      <c r="F2535">
        <v>1070945060</v>
      </c>
      <c r="G2535" t="s">
        <v>634</v>
      </c>
      <c r="H2535">
        <v>100101336</v>
      </c>
      <c r="I2535">
        <v>202631</v>
      </c>
      <c r="J2535">
        <v>1070945060</v>
      </c>
      <c r="K2535" t="s">
        <v>89</v>
      </c>
      <c r="L2535" t="s">
        <v>127</v>
      </c>
      <c r="M2535" t="s">
        <v>24</v>
      </c>
      <c r="N2535" t="s">
        <v>38</v>
      </c>
      <c r="O2535" t="s">
        <v>26</v>
      </c>
      <c r="P2535" t="s">
        <v>27</v>
      </c>
      <c r="Q2535" t="s">
        <v>28</v>
      </c>
      <c r="R2535" t="s">
        <v>29</v>
      </c>
      <c r="S2535" t="s">
        <v>30</v>
      </c>
      <c r="T2535">
        <v>1019102787</v>
      </c>
      <c r="U2535" t="s">
        <v>3977</v>
      </c>
      <c r="V2535" t="s">
        <v>3970</v>
      </c>
      <c r="W2535" s="9">
        <f>IF(V2535="pregrado",31,
IF(V2535="posgrados",31,
IF(V2535="rEINTEGROS",7,
IF(V2535="BIT",90,
IF(V2535="OP GRADO - INGLÉS",17,"")))))</f>
        <v>7</v>
      </c>
      <c r="X2535" t="s">
        <v>3976</v>
      </c>
    </row>
    <row r="2536" spans="1:24" ht="15" x14ac:dyDescent="0.35">
      <c r="A2536" s="4">
        <v>46043.504027777781</v>
      </c>
      <c r="B2536">
        <v>20115719</v>
      </c>
      <c r="C2536" s="6" t="s">
        <v>19</v>
      </c>
      <c r="D2536">
        <v>572357</v>
      </c>
      <c r="E2536" t="s">
        <v>20</v>
      </c>
      <c r="F2536">
        <v>1011083652</v>
      </c>
      <c r="G2536" t="s">
        <v>2082</v>
      </c>
      <c r="H2536">
        <v>100236749</v>
      </c>
      <c r="I2536">
        <v>202631</v>
      </c>
      <c r="J2536">
        <v>1011083652</v>
      </c>
      <c r="K2536" t="s">
        <v>33</v>
      </c>
      <c r="L2536" t="s">
        <v>57</v>
      </c>
      <c r="M2536" t="s">
        <v>24</v>
      </c>
      <c r="N2536" t="s">
        <v>25</v>
      </c>
      <c r="O2536" t="s">
        <v>26</v>
      </c>
      <c r="P2536" t="s">
        <v>27</v>
      </c>
      <c r="Q2536" t="s">
        <v>28</v>
      </c>
      <c r="R2536" t="s">
        <v>29</v>
      </c>
      <c r="S2536" t="s">
        <v>30</v>
      </c>
      <c r="T2536">
        <v>1000578914</v>
      </c>
      <c r="U2536" t="s">
        <v>3941</v>
      </c>
      <c r="V2536" t="s">
        <v>3934</v>
      </c>
      <c r="W2536" s="9">
        <f>IF(V2536="pregrado",31,
IF(V2536="posgrados",31,
IF(V2536="rEINTEGROS",7,
IF(V2536="BIT",90,
IF(V2536="OP GRADO - INGLÉS",17,"")))))</f>
        <v>31</v>
      </c>
      <c r="X2536" t="s">
        <v>4060</v>
      </c>
    </row>
    <row r="2537" spans="1:24" ht="15" x14ac:dyDescent="0.35">
      <c r="A2537" s="4">
        <v>46002.688831018517</v>
      </c>
      <c r="B2537">
        <v>20106720</v>
      </c>
      <c r="C2537" s="6" t="s">
        <v>19</v>
      </c>
      <c r="D2537">
        <v>572364</v>
      </c>
      <c r="E2537" t="s">
        <v>20</v>
      </c>
      <c r="F2537">
        <v>1012332036</v>
      </c>
      <c r="G2537" t="s">
        <v>926</v>
      </c>
      <c r="H2537">
        <v>100236756</v>
      </c>
      <c r="I2537">
        <v>202631</v>
      </c>
      <c r="J2537">
        <v>1012332036</v>
      </c>
      <c r="K2537" t="s">
        <v>33</v>
      </c>
      <c r="L2537" t="s">
        <v>42</v>
      </c>
      <c r="M2537" t="s">
        <v>24</v>
      </c>
      <c r="N2537" t="s">
        <v>38</v>
      </c>
      <c r="O2537" t="s">
        <v>26</v>
      </c>
      <c r="P2537" t="s">
        <v>27</v>
      </c>
      <c r="Q2537" t="s">
        <v>28</v>
      </c>
      <c r="R2537" t="s">
        <v>29</v>
      </c>
      <c r="S2537" t="s">
        <v>30</v>
      </c>
      <c r="T2537">
        <v>1015482247</v>
      </c>
      <c r="U2537" t="s">
        <v>3944</v>
      </c>
      <c r="V2537" t="s">
        <v>3934</v>
      </c>
      <c r="W2537" s="9">
        <f>IF(V2537="pregrado",31,
IF(V2537="posgrados",31,
IF(V2537="rEINTEGROS",7,
IF(V2537="BIT",90,
IF(V2537="OP GRADO - INGLÉS",17,"")))))</f>
        <v>31</v>
      </c>
      <c r="X2537" t="s">
        <v>3984</v>
      </c>
    </row>
    <row r="2538" spans="1:24" ht="15" x14ac:dyDescent="0.35">
      <c r="A2538" s="4">
        <v>45989.70208333333</v>
      </c>
      <c r="B2538">
        <v>20105305</v>
      </c>
      <c r="C2538" s="6" t="s">
        <v>19</v>
      </c>
      <c r="D2538">
        <v>572381</v>
      </c>
      <c r="E2538" t="s">
        <v>20</v>
      </c>
      <c r="F2538">
        <v>1121196602</v>
      </c>
      <c r="G2538" t="s">
        <v>674</v>
      </c>
      <c r="H2538">
        <v>100236768</v>
      </c>
      <c r="I2538">
        <v>202611</v>
      </c>
      <c r="J2538">
        <v>1121209015</v>
      </c>
      <c r="K2538" t="s">
        <v>23</v>
      </c>
      <c r="L2538" t="s">
        <v>221</v>
      </c>
      <c r="M2538" t="s">
        <v>24</v>
      </c>
      <c r="N2538" t="s">
        <v>35</v>
      </c>
      <c r="O2538" t="s">
        <v>26</v>
      </c>
      <c r="P2538" t="s">
        <v>27</v>
      </c>
      <c r="Q2538" t="s">
        <v>28</v>
      </c>
      <c r="R2538" t="s">
        <v>29</v>
      </c>
      <c r="S2538" t="s">
        <v>30</v>
      </c>
      <c r="T2538">
        <v>53006215</v>
      </c>
      <c r="U2538" t="s">
        <v>3965</v>
      </c>
      <c r="V2538" t="s">
        <v>3934</v>
      </c>
      <c r="W2538" s="9">
        <f>IF(V2538="pregrado",31,
IF(V2538="posgrados",31,
IF(V2538="rEINTEGROS",7,
IF(V2538="BIT",90,
IF(V2538="OP GRADO - INGLÉS",17,"")))))</f>
        <v>31</v>
      </c>
      <c r="X2538" t="s">
        <v>4042</v>
      </c>
    </row>
    <row r="2539" spans="1:24" ht="15" x14ac:dyDescent="0.35">
      <c r="A2539" s="4">
        <v>45987.673449074071</v>
      </c>
      <c r="B2539">
        <v>20104983</v>
      </c>
      <c r="C2539" s="6" t="s">
        <v>19</v>
      </c>
      <c r="D2539">
        <v>572383</v>
      </c>
      <c r="E2539" t="s">
        <v>20</v>
      </c>
      <c r="F2539">
        <v>1060591682</v>
      </c>
      <c r="G2539" t="s">
        <v>576</v>
      </c>
      <c r="H2539">
        <v>100040941</v>
      </c>
      <c r="I2539">
        <v>202631</v>
      </c>
      <c r="J2539">
        <v>1060591682</v>
      </c>
      <c r="K2539" t="s">
        <v>46</v>
      </c>
      <c r="L2539" t="s">
        <v>119</v>
      </c>
      <c r="M2539" t="s">
        <v>24</v>
      </c>
      <c r="N2539" t="s">
        <v>577</v>
      </c>
      <c r="O2539" t="s">
        <v>26</v>
      </c>
      <c r="P2539" t="s">
        <v>27</v>
      </c>
      <c r="Q2539" t="s">
        <v>28</v>
      </c>
      <c r="R2539" t="s">
        <v>29</v>
      </c>
      <c r="S2539" t="s">
        <v>30</v>
      </c>
      <c r="T2539">
        <v>1000934874</v>
      </c>
      <c r="U2539" t="s">
        <v>3977</v>
      </c>
      <c r="V2539" t="s">
        <v>3970</v>
      </c>
      <c r="W2539" s="9">
        <f>IF(V2539="pregrado",31,
IF(V2539="posgrados",31,
IF(V2539="rEINTEGROS",7,
IF(V2539="BIT",90,
IF(V2539="OP GRADO - INGLÉS",17,"")))))</f>
        <v>7</v>
      </c>
      <c r="X2539" t="s">
        <v>3999</v>
      </c>
    </row>
    <row r="2540" spans="1:24" ht="15" x14ac:dyDescent="0.35">
      <c r="A2540" s="4">
        <v>46000.566666666666</v>
      </c>
      <c r="B2540">
        <v>20106163</v>
      </c>
      <c r="C2540" s="6" t="s">
        <v>19</v>
      </c>
      <c r="D2540">
        <v>572386</v>
      </c>
      <c r="E2540" t="s">
        <v>20</v>
      </c>
      <c r="F2540">
        <v>1121965032</v>
      </c>
      <c r="G2540" t="s">
        <v>826</v>
      </c>
      <c r="H2540">
        <v>100192765</v>
      </c>
      <c r="I2540">
        <v>202611</v>
      </c>
      <c r="J2540">
        <v>1121965032</v>
      </c>
      <c r="K2540" t="s">
        <v>89</v>
      </c>
      <c r="L2540" t="s">
        <v>133</v>
      </c>
      <c r="M2540" t="s">
        <v>24</v>
      </c>
      <c r="N2540" t="s">
        <v>25</v>
      </c>
      <c r="O2540" t="s">
        <v>26</v>
      </c>
      <c r="P2540" t="s">
        <v>27</v>
      </c>
      <c r="Q2540" t="s">
        <v>28</v>
      </c>
      <c r="R2540" t="s">
        <v>29</v>
      </c>
      <c r="S2540" t="s">
        <v>30</v>
      </c>
      <c r="T2540">
        <v>1023899450</v>
      </c>
      <c r="U2540" t="s">
        <v>3977</v>
      </c>
      <c r="V2540" t="s">
        <v>3970</v>
      </c>
      <c r="W2540" s="9">
        <f>IF(V2540="pregrado",31,
IF(V2540="posgrados",31,
IF(V2540="rEINTEGROS",7,
IF(V2540="BIT",90,
IF(V2540="OP GRADO - INGLÉS",17,"")))))</f>
        <v>7</v>
      </c>
      <c r="X2540" t="s">
        <v>3969</v>
      </c>
    </row>
    <row r="2541" spans="1:24" ht="15" x14ac:dyDescent="0.35">
      <c r="A2541" s="4">
        <v>46031.522638888891</v>
      </c>
      <c r="B2541">
        <v>20112045</v>
      </c>
      <c r="C2541" s="6" t="s">
        <v>19</v>
      </c>
      <c r="D2541">
        <v>572403</v>
      </c>
      <c r="E2541" t="s">
        <v>20</v>
      </c>
      <c r="F2541">
        <v>1031650740</v>
      </c>
      <c r="G2541" t="s">
        <v>1638</v>
      </c>
      <c r="H2541">
        <v>100205098</v>
      </c>
      <c r="I2541">
        <v>202631</v>
      </c>
      <c r="J2541">
        <v>52499072</v>
      </c>
      <c r="K2541" t="s">
        <v>23</v>
      </c>
      <c r="L2541" t="s">
        <v>119</v>
      </c>
      <c r="M2541" t="s">
        <v>24</v>
      </c>
      <c r="N2541" t="s">
        <v>35</v>
      </c>
      <c r="O2541" t="s">
        <v>26</v>
      </c>
      <c r="P2541" t="s">
        <v>27</v>
      </c>
      <c r="Q2541" t="s">
        <v>28</v>
      </c>
      <c r="R2541" t="s">
        <v>29</v>
      </c>
      <c r="S2541" t="s">
        <v>30</v>
      </c>
      <c r="T2541">
        <v>52446712</v>
      </c>
      <c r="U2541" t="s">
        <v>3963</v>
      </c>
      <c r="V2541" t="s">
        <v>3934</v>
      </c>
      <c r="W2541" s="9">
        <f>IF(V2541="pregrado",31,
IF(V2541="posgrados",31,
IF(V2541="rEINTEGROS",7,
IF(V2541="BIT",90,
IF(V2541="OP GRADO - INGLÉS",17,"")))))</f>
        <v>31</v>
      </c>
      <c r="X2541" t="s">
        <v>4041</v>
      </c>
    </row>
    <row r="2542" spans="1:24" ht="15" x14ac:dyDescent="0.35">
      <c r="A2542" s="4">
        <v>45987.738217592596</v>
      </c>
      <c r="B2542">
        <v>20105012</v>
      </c>
      <c r="C2542" s="6" t="s">
        <v>19</v>
      </c>
      <c r="D2542">
        <v>572404</v>
      </c>
      <c r="E2542" t="s">
        <v>20</v>
      </c>
      <c r="F2542">
        <v>1066599324</v>
      </c>
      <c r="G2542" t="s">
        <v>585</v>
      </c>
      <c r="H2542">
        <v>100200732</v>
      </c>
      <c r="I2542">
        <v>202611</v>
      </c>
      <c r="J2542">
        <v>1066599324</v>
      </c>
      <c r="K2542" t="s">
        <v>23</v>
      </c>
      <c r="L2542" t="s">
        <v>221</v>
      </c>
      <c r="M2542" t="s">
        <v>24</v>
      </c>
      <c r="N2542" t="s">
        <v>35</v>
      </c>
      <c r="O2542" t="s">
        <v>26</v>
      </c>
      <c r="P2542" t="s">
        <v>27</v>
      </c>
      <c r="Q2542" t="s">
        <v>28</v>
      </c>
      <c r="R2542" t="s">
        <v>29</v>
      </c>
      <c r="S2542" t="s">
        <v>30</v>
      </c>
      <c r="T2542">
        <v>1032678391</v>
      </c>
      <c r="U2542" t="s">
        <v>3965</v>
      </c>
      <c r="V2542" t="s">
        <v>3934</v>
      </c>
      <c r="W2542" s="9">
        <f>IF(V2542="pregrado",31,
IF(V2542="posgrados",31,
IF(V2542="rEINTEGROS",7,
IF(V2542="BIT",90,
IF(V2542="OP GRADO - INGLÉS",17,"")))))</f>
        <v>31</v>
      </c>
      <c r="X2542" t="s">
        <v>4098</v>
      </c>
    </row>
    <row r="2543" spans="1:24" ht="15" x14ac:dyDescent="0.35">
      <c r="A2543" s="4">
        <v>45987.690405092595</v>
      </c>
      <c r="B2543">
        <v>20104996</v>
      </c>
      <c r="C2543" s="6" t="s">
        <v>19</v>
      </c>
      <c r="D2543">
        <v>572405</v>
      </c>
      <c r="E2543" t="s">
        <v>20</v>
      </c>
      <c r="F2543">
        <v>32699351</v>
      </c>
      <c r="G2543" t="s">
        <v>581</v>
      </c>
      <c r="H2543">
        <v>100218340</v>
      </c>
      <c r="I2543">
        <v>202631</v>
      </c>
      <c r="J2543">
        <v>1129528843</v>
      </c>
      <c r="K2543" t="s">
        <v>33</v>
      </c>
      <c r="L2543" t="s">
        <v>101</v>
      </c>
      <c r="M2543" t="s">
        <v>24</v>
      </c>
      <c r="N2543" t="s">
        <v>35</v>
      </c>
      <c r="O2543" t="s">
        <v>26</v>
      </c>
      <c r="P2543" t="s">
        <v>27</v>
      </c>
      <c r="Q2543" t="s">
        <v>28</v>
      </c>
      <c r="R2543" t="s">
        <v>29</v>
      </c>
      <c r="S2543" t="s">
        <v>30</v>
      </c>
      <c r="T2543">
        <v>11001273124</v>
      </c>
      <c r="U2543" t="s">
        <v>3944</v>
      </c>
      <c r="V2543" t="s">
        <v>3934</v>
      </c>
      <c r="W2543" s="9">
        <f>IF(V2543="pregrado",31,
IF(V2543="posgrados",31,
IF(V2543="rEINTEGROS",7,
IF(V2543="BIT",90,
IF(V2543="OP GRADO - INGLÉS",17,"")))))</f>
        <v>31</v>
      </c>
      <c r="X2543" t="s">
        <v>3951</v>
      </c>
    </row>
    <row r="2544" spans="1:24" ht="15" x14ac:dyDescent="0.35">
      <c r="A2544" s="4">
        <v>45988.451342592591</v>
      </c>
      <c r="B2544">
        <v>20105052</v>
      </c>
      <c r="C2544" s="6" t="s">
        <v>19</v>
      </c>
      <c r="D2544">
        <v>572406</v>
      </c>
      <c r="E2544" t="s">
        <v>20</v>
      </c>
      <c r="F2544">
        <v>11366420</v>
      </c>
      <c r="G2544" t="s">
        <v>598</v>
      </c>
      <c r="H2544">
        <v>100236604</v>
      </c>
      <c r="I2544">
        <v>202610</v>
      </c>
      <c r="J2544">
        <v>1019996399</v>
      </c>
      <c r="K2544" t="s">
        <v>23</v>
      </c>
      <c r="L2544" t="s">
        <v>49</v>
      </c>
      <c r="M2544" t="s">
        <v>24</v>
      </c>
      <c r="N2544" t="s">
        <v>35</v>
      </c>
      <c r="O2544" t="s">
        <v>26</v>
      </c>
      <c r="P2544" t="s">
        <v>27</v>
      </c>
      <c r="Q2544" t="s">
        <v>28</v>
      </c>
      <c r="R2544" t="s">
        <v>29</v>
      </c>
      <c r="S2544" t="s">
        <v>30</v>
      </c>
      <c r="T2544">
        <v>1015407851</v>
      </c>
      <c r="U2544" t="s">
        <v>3944</v>
      </c>
      <c r="V2544" t="s">
        <v>3934</v>
      </c>
      <c r="W2544" s="9">
        <f>IF(V2544="pregrado",31,
IF(V2544="posgrados",31,
IF(V2544="rEINTEGROS",7,
IF(V2544="BIT",90,
IF(V2544="OP GRADO - INGLÉS",17,"")))))</f>
        <v>31</v>
      </c>
      <c r="X2544" t="s">
        <v>4102</v>
      </c>
    </row>
    <row r="2545" spans="1:24" ht="15" x14ac:dyDescent="0.35">
      <c r="A2545" s="4">
        <v>45987.719942129632</v>
      </c>
      <c r="B2545">
        <v>20105008</v>
      </c>
      <c r="C2545" s="6" t="s">
        <v>19</v>
      </c>
      <c r="D2545">
        <v>572416</v>
      </c>
      <c r="E2545" t="s">
        <v>20</v>
      </c>
      <c r="F2545">
        <v>1001272549</v>
      </c>
      <c r="G2545" t="s">
        <v>583</v>
      </c>
      <c r="H2545">
        <v>100236814</v>
      </c>
      <c r="I2545">
        <v>202610</v>
      </c>
      <c r="J2545">
        <v>1001272549</v>
      </c>
      <c r="K2545" t="s">
        <v>23</v>
      </c>
      <c r="L2545" t="s">
        <v>194</v>
      </c>
      <c r="M2545" t="s">
        <v>24</v>
      </c>
      <c r="N2545" t="s">
        <v>35</v>
      </c>
      <c r="O2545" t="s">
        <v>26</v>
      </c>
      <c r="P2545" t="s">
        <v>27</v>
      </c>
      <c r="Q2545" t="s">
        <v>28</v>
      </c>
      <c r="R2545" t="s">
        <v>29</v>
      </c>
      <c r="S2545" t="s">
        <v>30</v>
      </c>
      <c r="T2545">
        <v>1023367706</v>
      </c>
      <c r="U2545" t="s">
        <v>3963</v>
      </c>
      <c r="V2545" t="s">
        <v>3934</v>
      </c>
      <c r="W2545" s="9">
        <f>IF(V2545="pregrado",31,
IF(V2545="posgrados",31,
IF(V2545="rEINTEGROS",7,
IF(V2545="BIT",90,
IF(V2545="OP GRADO - INGLÉS",17,"")))))</f>
        <v>31</v>
      </c>
      <c r="X2545" t="s">
        <v>4039</v>
      </c>
    </row>
    <row r="2546" spans="1:24" ht="15" x14ac:dyDescent="0.35">
      <c r="A2546" s="4">
        <v>45988.630891203706</v>
      </c>
      <c r="B2546">
        <v>20105120</v>
      </c>
      <c r="C2546" s="6" t="s">
        <v>19</v>
      </c>
      <c r="D2546">
        <v>572421</v>
      </c>
      <c r="E2546" t="s">
        <v>20</v>
      </c>
      <c r="F2546">
        <v>1015463373</v>
      </c>
      <c r="G2546" t="s">
        <v>619</v>
      </c>
      <c r="H2546">
        <v>100236816</v>
      </c>
      <c r="I2546">
        <v>202611</v>
      </c>
      <c r="J2546">
        <v>1015463373</v>
      </c>
      <c r="K2546" t="s">
        <v>23</v>
      </c>
      <c r="L2546" t="s">
        <v>204</v>
      </c>
      <c r="M2546" t="s">
        <v>24</v>
      </c>
      <c r="N2546" t="s">
        <v>35</v>
      </c>
      <c r="O2546" t="s">
        <v>26</v>
      </c>
      <c r="P2546" t="s">
        <v>27</v>
      </c>
      <c r="Q2546" t="s">
        <v>28</v>
      </c>
      <c r="R2546" t="s">
        <v>29</v>
      </c>
      <c r="S2546" t="s">
        <v>30</v>
      </c>
      <c r="T2546">
        <v>1015441103</v>
      </c>
      <c r="U2546" t="s">
        <v>3933</v>
      </c>
      <c r="V2546" t="s">
        <v>3934</v>
      </c>
      <c r="W2546" s="9">
        <f>IF(V2546="pregrado",31,
IF(V2546="posgrados",31,
IF(V2546="rEINTEGROS",7,
IF(V2546="BIT",90,
IF(V2546="OP GRADO - INGLÉS",17,"")))))</f>
        <v>31</v>
      </c>
      <c r="X2546" t="s">
        <v>3961</v>
      </c>
    </row>
    <row r="2547" spans="1:24" ht="15" x14ac:dyDescent="0.35">
      <c r="A2547" s="4">
        <v>45992.717013888891</v>
      </c>
      <c r="B2547">
        <v>20105503</v>
      </c>
      <c r="C2547" s="6" t="s">
        <v>19</v>
      </c>
      <c r="D2547">
        <v>572437</v>
      </c>
      <c r="E2547" t="s">
        <v>20</v>
      </c>
      <c r="F2547">
        <v>1003511354</v>
      </c>
      <c r="G2547" t="s">
        <v>710</v>
      </c>
      <c r="H2547">
        <v>100236837</v>
      </c>
      <c r="I2547">
        <v>202631</v>
      </c>
      <c r="J2547">
        <v>1003511354</v>
      </c>
      <c r="K2547" t="s">
        <v>23</v>
      </c>
      <c r="L2547" t="s">
        <v>65</v>
      </c>
      <c r="M2547" t="s">
        <v>24</v>
      </c>
      <c r="N2547" t="s">
        <v>35</v>
      </c>
      <c r="O2547" t="s">
        <v>26</v>
      </c>
      <c r="P2547" t="s">
        <v>27</v>
      </c>
      <c r="Q2547" t="s">
        <v>28</v>
      </c>
      <c r="R2547" t="s">
        <v>29</v>
      </c>
      <c r="S2547" t="s">
        <v>30</v>
      </c>
      <c r="T2547">
        <v>1013595695</v>
      </c>
      <c r="U2547" t="s">
        <v>3933</v>
      </c>
      <c r="V2547" t="s">
        <v>3934</v>
      </c>
      <c r="W2547" s="9">
        <f>IF(V2547="pregrado",31,
IF(V2547="posgrados",31,
IF(V2547="rEINTEGROS",7,
IF(V2547="BIT",90,
IF(V2547="OP GRADO - INGLÉS",17,"")))))</f>
        <v>31</v>
      </c>
      <c r="X2547" t="s">
        <v>3990</v>
      </c>
    </row>
    <row r="2548" spans="1:24" ht="15" x14ac:dyDescent="0.35">
      <c r="A2548" s="4">
        <v>45988.628425925926</v>
      </c>
      <c r="B2548">
        <v>20105117</v>
      </c>
      <c r="C2548" s="6" t="s">
        <v>19</v>
      </c>
      <c r="D2548">
        <v>572438</v>
      </c>
      <c r="E2548" t="s">
        <v>20</v>
      </c>
      <c r="F2548">
        <v>1010134855</v>
      </c>
      <c r="G2548" t="s">
        <v>617</v>
      </c>
      <c r="H2548">
        <v>100233248</v>
      </c>
      <c r="I2548">
        <v>202611</v>
      </c>
      <c r="J2548">
        <v>1010134855</v>
      </c>
      <c r="K2548" t="s">
        <v>23</v>
      </c>
      <c r="L2548" t="s">
        <v>227</v>
      </c>
      <c r="M2548" t="s">
        <v>24</v>
      </c>
      <c r="N2548" t="s">
        <v>35</v>
      </c>
      <c r="O2548" t="s">
        <v>26</v>
      </c>
      <c r="P2548" t="s">
        <v>27</v>
      </c>
      <c r="Q2548" t="s">
        <v>28</v>
      </c>
      <c r="R2548" t="s">
        <v>29</v>
      </c>
      <c r="S2548" t="s">
        <v>30</v>
      </c>
      <c r="T2548">
        <v>53114739</v>
      </c>
      <c r="U2548" t="s">
        <v>3986</v>
      </c>
      <c r="V2548" t="s">
        <v>3934</v>
      </c>
      <c r="W2548" s="9">
        <f>IF(V2548="pregrado",31,
IF(V2548="posgrados",31,
IF(V2548="rEINTEGROS",7,
IF(V2548="BIT",90,
IF(V2548="OP GRADO - INGLÉS",17,"")))))</f>
        <v>31</v>
      </c>
      <c r="X2548" t="s">
        <v>4104</v>
      </c>
    </row>
    <row r="2549" spans="1:24" ht="15" x14ac:dyDescent="0.35">
      <c r="A2549" s="4">
        <v>45988.370775462965</v>
      </c>
      <c r="B2549">
        <v>20105030</v>
      </c>
      <c r="C2549" s="6" t="s">
        <v>19</v>
      </c>
      <c r="D2549">
        <v>572440</v>
      </c>
      <c r="E2549" t="s">
        <v>20</v>
      </c>
      <c r="F2549">
        <v>1007628798</v>
      </c>
      <c r="G2549" t="s">
        <v>591</v>
      </c>
      <c r="H2549">
        <v>100236839</v>
      </c>
      <c r="I2549">
        <v>202611</v>
      </c>
      <c r="J2549">
        <v>1007628798</v>
      </c>
      <c r="K2549" t="s">
        <v>23</v>
      </c>
      <c r="L2549" t="s">
        <v>204</v>
      </c>
      <c r="M2549" t="s">
        <v>24</v>
      </c>
      <c r="N2549" t="s">
        <v>38</v>
      </c>
      <c r="O2549" t="s">
        <v>26</v>
      </c>
      <c r="P2549" t="s">
        <v>27</v>
      </c>
      <c r="Q2549" t="s">
        <v>28</v>
      </c>
      <c r="R2549" t="s">
        <v>29</v>
      </c>
      <c r="S2549" t="s">
        <v>30</v>
      </c>
      <c r="T2549">
        <v>1118531834</v>
      </c>
      <c r="U2549" t="s">
        <v>3941</v>
      </c>
      <c r="V2549" t="s">
        <v>3934</v>
      </c>
      <c r="W2549" s="9">
        <f>IF(V2549="pregrado",31,
IF(V2549="posgrados",31,
IF(V2549="rEINTEGROS",7,
IF(V2549="BIT",90,
IF(V2549="OP GRADO - INGLÉS",17,"")))))</f>
        <v>31</v>
      </c>
      <c r="X2549" t="s">
        <v>3996</v>
      </c>
    </row>
    <row r="2550" spans="1:24" ht="15" x14ac:dyDescent="0.35">
      <c r="A2550" s="4">
        <v>45988.498472222222</v>
      </c>
      <c r="B2550">
        <v>20105078</v>
      </c>
      <c r="C2550" s="6" t="s">
        <v>19</v>
      </c>
      <c r="D2550">
        <v>572443</v>
      </c>
      <c r="E2550" t="s">
        <v>20</v>
      </c>
      <c r="F2550">
        <v>65555600</v>
      </c>
      <c r="G2550" t="s">
        <v>606</v>
      </c>
      <c r="H2550">
        <v>100236844</v>
      </c>
      <c r="I2550">
        <v>202631</v>
      </c>
      <c r="J2550">
        <v>1141320718</v>
      </c>
      <c r="K2550" t="s">
        <v>23</v>
      </c>
      <c r="L2550" t="s">
        <v>90</v>
      </c>
      <c r="M2550" t="s">
        <v>24</v>
      </c>
      <c r="N2550" t="s">
        <v>35</v>
      </c>
      <c r="O2550" t="s">
        <v>26</v>
      </c>
      <c r="P2550" t="s">
        <v>27</v>
      </c>
      <c r="Q2550" t="s">
        <v>28</v>
      </c>
      <c r="R2550" t="s">
        <v>29</v>
      </c>
      <c r="S2550" t="s">
        <v>30</v>
      </c>
      <c r="T2550">
        <v>1001048359</v>
      </c>
      <c r="U2550" t="s">
        <v>3939</v>
      </c>
      <c r="V2550" t="s">
        <v>3934</v>
      </c>
      <c r="W2550" s="9">
        <f>IF(V2550="pregrado",31,
IF(V2550="posgrados",31,
IF(V2550="rEINTEGROS",7,
IF(V2550="BIT",90,
IF(V2550="OP GRADO - INGLÉS",17,"")))))</f>
        <v>31</v>
      </c>
      <c r="X2550" t="s">
        <v>4106</v>
      </c>
    </row>
    <row r="2551" spans="1:24" ht="15" x14ac:dyDescent="0.35">
      <c r="A2551" s="4">
        <v>45992.457881944443</v>
      </c>
      <c r="B2551">
        <v>20105427</v>
      </c>
      <c r="C2551" s="6" t="s">
        <v>19</v>
      </c>
      <c r="D2551">
        <v>572447</v>
      </c>
      <c r="E2551" t="s">
        <v>20</v>
      </c>
      <c r="F2551">
        <v>1028039630</v>
      </c>
      <c r="G2551" t="s">
        <v>699</v>
      </c>
      <c r="H2551">
        <v>100236857</v>
      </c>
      <c r="I2551">
        <v>202631</v>
      </c>
      <c r="J2551">
        <v>1028039630</v>
      </c>
      <c r="K2551" t="s">
        <v>23</v>
      </c>
      <c r="L2551" t="s">
        <v>90</v>
      </c>
      <c r="M2551" t="s">
        <v>24</v>
      </c>
      <c r="N2551" t="s">
        <v>25</v>
      </c>
      <c r="O2551" t="s">
        <v>26</v>
      </c>
      <c r="P2551" t="s">
        <v>27</v>
      </c>
      <c r="Q2551" t="s">
        <v>28</v>
      </c>
      <c r="R2551" t="s">
        <v>29</v>
      </c>
      <c r="S2551" t="s">
        <v>30</v>
      </c>
      <c r="T2551">
        <v>1007709034</v>
      </c>
      <c r="U2551" t="s">
        <v>3965</v>
      </c>
      <c r="V2551" t="s">
        <v>3934</v>
      </c>
      <c r="W2551" s="9">
        <f>IF(V2551="pregrado",31,
IF(V2551="posgrados",31,
IF(V2551="rEINTEGROS",7,
IF(V2551="BIT",90,
IF(V2551="OP GRADO - INGLÉS",17,"")))))</f>
        <v>31</v>
      </c>
      <c r="X2551" t="s">
        <v>3964</v>
      </c>
    </row>
    <row r="2552" spans="1:24" ht="15" x14ac:dyDescent="0.35">
      <c r="A2552" s="4">
        <v>45995.798576388886</v>
      </c>
      <c r="B2552">
        <v>20105935</v>
      </c>
      <c r="C2552" s="6" t="s">
        <v>19</v>
      </c>
      <c r="D2552">
        <v>572448</v>
      </c>
      <c r="E2552" t="s">
        <v>20</v>
      </c>
      <c r="F2552">
        <v>39286463</v>
      </c>
      <c r="G2552" t="s">
        <v>798</v>
      </c>
      <c r="H2552">
        <v>100236858</v>
      </c>
      <c r="I2552">
        <v>202631</v>
      </c>
      <c r="J2552">
        <v>1072526815</v>
      </c>
      <c r="K2552" t="s">
        <v>23</v>
      </c>
      <c r="L2552" t="s">
        <v>101</v>
      </c>
      <c r="M2552" t="s">
        <v>24</v>
      </c>
      <c r="N2552" t="s">
        <v>35</v>
      </c>
      <c r="O2552" t="s">
        <v>26</v>
      </c>
      <c r="P2552" t="s">
        <v>27</v>
      </c>
      <c r="Q2552" t="s">
        <v>28</v>
      </c>
      <c r="R2552" t="s">
        <v>29</v>
      </c>
      <c r="S2552" t="s">
        <v>30</v>
      </c>
      <c r="T2552">
        <v>1001277801</v>
      </c>
      <c r="U2552" t="s">
        <v>3965</v>
      </c>
      <c r="V2552" t="s">
        <v>3934</v>
      </c>
      <c r="W2552" s="9">
        <f>IF(V2552="pregrado",31,
IF(V2552="posgrados",31,
IF(V2552="rEINTEGROS",7,
IF(V2552="BIT",90,
IF(V2552="OP GRADO - INGLÉS",17,"")))))</f>
        <v>31</v>
      </c>
      <c r="X2552" t="s">
        <v>4002</v>
      </c>
    </row>
    <row r="2553" spans="1:24" ht="15" x14ac:dyDescent="0.35">
      <c r="A2553" s="4">
        <v>45989.510312500002</v>
      </c>
      <c r="B2553">
        <v>20105255</v>
      </c>
      <c r="C2553" s="6" t="s">
        <v>19</v>
      </c>
      <c r="D2553">
        <v>572449</v>
      </c>
      <c r="E2553" t="s">
        <v>20</v>
      </c>
      <c r="F2553">
        <v>1069256776</v>
      </c>
      <c r="G2553" t="s">
        <v>655</v>
      </c>
      <c r="H2553">
        <v>100236859</v>
      </c>
      <c r="I2553">
        <v>202631</v>
      </c>
      <c r="J2553">
        <v>1069256776</v>
      </c>
      <c r="K2553" t="s">
        <v>23</v>
      </c>
      <c r="L2553" t="s">
        <v>127</v>
      </c>
      <c r="M2553" t="s">
        <v>24</v>
      </c>
      <c r="N2553" t="s">
        <v>35</v>
      </c>
      <c r="O2553" t="s">
        <v>26</v>
      </c>
      <c r="P2553" t="s">
        <v>27</v>
      </c>
      <c r="Q2553" t="s">
        <v>28</v>
      </c>
      <c r="R2553" t="s">
        <v>29</v>
      </c>
      <c r="S2553" t="s">
        <v>30</v>
      </c>
      <c r="T2553">
        <v>10245841021</v>
      </c>
      <c r="U2553" t="s">
        <v>3933</v>
      </c>
      <c r="V2553" t="s">
        <v>3934</v>
      </c>
      <c r="W2553" s="9">
        <f>IF(V2553="pregrado",31,
IF(V2553="posgrados",31,
IF(V2553="rEINTEGROS",7,
IF(V2553="BIT",90,
IF(V2553="OP GRADO - INGLÉS",17,"")))))</f>
        <v>31</v>
      </c>
      <c r="X2553" t="s">
        <v>3987</v>
      </c>
    </row>
    <row r="2554" spans="1:24" ht="15" x14ac:dyDescent="0.35">
      <c r="A2554" s="4">
        <v>45988.496874999997</v>
      </c>
      <c r="B2554">
        <v>20105076</v>
      </c>
      <c r="C2554" s="6" t="s">
        <v>19</v>
      </c>
      <c r="D2554">
        <v>572458</v>
      </c>
      <c r="E2554" t="s">
        <v>20</v>
      </c>
      <c r="F2554">
        <v>1006690825</v>
      </c>
      <c r="G2554" t="s">
        <v>604</v>
      </c>
      <c r="H2554">
        <v>100236870</v>
      </c>
      <c r="I2554">
        <v>202631</v>
      </c>
      <c r="J2554">
        <v>1006690825</v>
      </c>
      <c r="K2554" t="s">
        <v>23</v>
      </c>
      <c r="L2554" t="s">
        <v>240</v>
      </c>
      <c r="M2554" t="s">
        <v>24</v>
      </c>
      <c r="N2554" t="s">
        <v>605</v>
      </c>
      <c r="O2554" t="s">
        <v>26</v>
      </c>
      <c r="P2554" t="s">
        <v>27</v>
      </c>
      <c r="Q2554" t="s">
        <v>28</v>
      </c>
      <c r="R2554" t="s">
        <v>29</v>
      </c>
      <c r="S2554" t="s">
        <v>30</v>
      </c>
      <c r="T2554">
        <v>10822473081</v>
      </c>
      <c r="U2554" t="s">
        <v>3965</v>
      </c>
      <c r="V2554" t="s">
        <v>3934</v>
      </c>
      <c r="W2554" s="9">
        <f>IF(V2554="pregrado",31,
IF(V2554="posgrados",31,
IF(V2554="rEINTEGROS",7,
IF(V2554="BIT",90,
IF(V2554="OP GRADO - INGLÉS",17,"")))))</f>
        <v>31</v>
      </c>
      <c r="X2554" t="s">
        <v>4007</v>
      </c>
    </row>
    <row r="2555" spans="1:24" ht="15" x14ac:dyDescent="0.35">
      <c r="A2555" s="4">
        <v>45988.644791666666</v>
      </c>
      <c r="B2555">
        <v>20105124</v>
      </c>
      <c r="C2555" s="6" t="s">
        <v>19</v>
      </c>
      <c r="D2555">
        <v>572461</v>
      </c>
      <c r="E2555" t="s">
        <v>20</v>
      </c>
      <c r="F2555">
        <v>1003913295</v>
      </c>
      <c r="G2555" t="s">
        <v>620</v>
      </c>
      <c r="H2555">
        <v>100236871</v>
      </c>
      <c r="I2555">
        <v>202631</v>
      </c>
      <c r="J2555">
        <v>1003913295</v>
      </c>
      <c r="K2555" t="s">
        <v>23</v>
      </c>
      <c r="L2555" t="s">
        <v>127</v>
      </c>
      <c r="M2555" t="s">
        <v>24</v>
      </c>
      <c r="N2555" t="s">
        <v>35</v>
      </c>
      <c r="O2555" t="s">
        <v>26</v>
      </c>
      <c r="P2555" t="s">
        <v>27</v>
      </c>
      <c r="Q2555" t="s">
        <v>28</v>
      </c>
      <c r="R2555" t="s">
        <v>29</v>
      </c>
      <c r="S2555" t="s">
        <v>30</v>
      </c>
      <c r="T2555">
        <v>10306009131</v>
      </c>
      <c r="U2555" t="s">
        <v>3933</v>
      </c>
      <c r="V2555" t="s">
        <v>3934</v>
      </c>
      <c r="W2555" s="9">
        <f>IF(V2555="pregrado",31,
IF(V2555="posgrados",31,
IF(V2555="rEINTEGROS",7,
IF(V2555="BIT",90,
IF(V2555="OP GRADO - INGLÉS",17,"")))))</f>
        <v>31</v>
      </c>
      <c r="X2555" t="s">
        <v>3978</v>
      </c>
    </row>
    <row r="2556" spans="1:24" ht="15" x14ac:dyDescent="0.35">
      <c r="A2556" s="4">
        <v>46003.541365740741</v>
      </c>
      <c r="B2556">
        <v>20106929</v>
      </c>
      <c r="C2556" s="6" t="s">
        <v>19</v>
      </c>
      <c r="D2556">
        <v>572463</v>
      </c>
      <c r="E2556" t="s">
        <v>20</v>
      </c>
      <c r="F2556">
        <v>1085906527</v>
      </c>
      <c r="G2556" t="s">
        <v>958</v>
      </c>
      <c r="H2556">
        <v>100236875</v>
      </c>
      <c r="I2556">
        <v>202631</v>
      </c>
      <c r="J2556">
        <v>1085906527</v>
      </c>
      <c r="K2556" t="s">
        <v>33</v>
      </c>
      <c r="L2556" t="s">
        <v>42</v>
      </c>
      <c r="M2556" t="s">
        <v>24</v>
      </c>
      <c r="N2556" t="s">
        <v>25</v>
      </c>
      <c r="O2556" t="s">
        <v>26</v>
      </c>
      <c r="P2556" t="s">
        <v>27</v>
      </c>
      <c r="Q2556" t="s">
        <v>28</v>
      </c>
      <c r="R2556" t="s">
        <v>29</v>
      </c>
      <c r="S2556" t="s">
        <v>30</v>
      </c>
      <c r="T2556">
        <v>10123971531</v>
      </c>
      <c r="U2556" t="s">
        <v>3944</v>
      </c>
      <c r="V2556" t="s">
        <v>3934</v>
      </c>
      <c r="W2556" s="9">
        <f>IF(V2556="pregrado",31,
IF(V2556="posgrados",31,
IF(V2556="rEINTEGROS",7,
IF(V2556="BIT",90,
IF(V2556="OP GRADO - INGLÉS",17,"")))))</f>
        <v>31</v>
      </c>
      <c r="X2556" t="s">
        <v>3943</v>
      </c>
    </row>
    <row r="2557" spans="1:24" ht="15" x14ac:dyDescent="0.35">
      <c r="A2557" s="4">
        <v>45988.697465277779</v>
      </c>
      <c r="B2557">
        <v>20105160</v>
      </c>
      <c r="C2557" s="6" t="s">
        <v>19</v>
      </c>
      <c r="D2557">
        <v>572465</v>
      </c>
      <c r="E2557" t="s">
        <v>20</v>
      </c>
      <c r="F2557">
        <v>1082965101</v>
      </c>
      <c r="G2557" t="s">
        <v>629</v>
      </c>
      <c r="H2557">
        <v>100236877</v>
      </c>
      <c r="I2557">
        <v>202631</v>
      </c>
      <c r="J2557">
        <v>1082965101</v>
      </c>
      <c r="K2557" t="s">
        <v>23</v>
      </c>
      <c r="L2557" t="s">
        <v>240</v>
      </c>
      <c r="M2557" t="s">
        <v>24</v>
      </c>
      <c r="N2557" t="s">
        <v>35</v>
      </c>
      <c r="O2557" t="s">
        <v>26</v>
      </c>
      <c r="P2557" t="s">
        <v>27</v>
      </c>
      <c r="Q2557" t="s">
        <v>28</v>
      </c>
      <c r="R2557" t="s">
        <v>29</v>
      </c>
      <c r="S2557" t="s">
        <v>30</v>
      </c>
      <c r="T2557">
        <v>10822473081</v>
      </c>
      <c r="U2557" t="s">
        <v>3965</v>
      </c>
      <c r="V2557" t="s">
        <v>3934</v>
      </c>
      <c r="W2557" s="9">
        <f>IF(V2557="pregrado",31,
IF(V2557="posgrados",31,
IF(V2557="rEINTEGROS",7,
IF(V2557="BIT",90,
IF(V2557="OP GRADO - INGLÉS",17,"")))))</f>
        <v>31</v>
      </c>
      <c r="X2557" t="s">
        <v>4007</v>
      </c>
    </row>
    <row r="2558" spans="1:24" ht="15" x14ac:dyDescent="0.35">
      <c r="A2558" s="4">
        <v>45988.50105324074</v>
      </c>
      <c r="B2558">
        <v>20105079</v>
      </c>
      <c r="C2558" s="6" t="s">
        <v>19</v>
      </c>
      <c r="D2558">
        <v>572469</v>
      </c>
      <c r="E2558" t="s">
        <v>20</v>
      </c>
      <c r="F2558">
        <v>1013259258</v>
      </c>
      <c r="G2558" t="s">
        <v>607</v>
      </c>
      <c r="H2558">
        <v>100236883</v>
      </c>
      <c r="I2558">
        <v>202610</v>
      </c>
      <c r="J2558">
        <v>1013259258</v>
      </c>
      <c r="K2558" t="s">
        <v>23</v>
      </c>
      <c r="L2558" t="s">
        <v>40</v>
      </c>
      <c r="M2558" t="s">
        <v>24</v>
      </c>
      <c r="N2558" t="s">
        <v>35</v>
      </c>
      <c r="O2558" t="s">
        <v>26</v>
      </c>
      <c r="P2558" t="s">
        <v>27</v>
      </c>
      <c r="Q2558" t="s">
        <v>28</v>
      </c>
      <c r="R2558" t="s">
        <v>29</v>
      </c>
      <c r="S2558" t="s">
        <v>30</v>
      </c>
      <c r="T2558">
        <v>1001192723</v>
      </c>
      <c r="U2558" t="s">
        <v>3941</v>
      </c>
      <c r="V2558" t="s">
        <v>3934</v>
      </c>
      <c r="W2558" s="9">
        <f>IF(V2558="pregrado",31,
IF(V2558="posgrados",31,
IF(V2558="rEINTEGROS",7,
IF(V2558="BIT",90,
IF(V2558="OP GRADO - INGLÉS",17,"")))))</f>
        <v>31</v>
      </c>
      <c r="X2558" t="s">
        <v>3940</v>
      </c>
    </row>
    <row r="2559" spans="1:24" ht="15" x14ac:dyDescent="0.35">
      <c r="A2559" s="4">
        <v>45988.684398148151</v>
      </c>
      <c r="B2559">
        <v>20105149</v>
      </c>
      <c r="C2559" s="6" t="s">
        <v>19</v>
      </c>
      <c r="D2559">
        <v>572472</v>
      </c>
      <c r="E2559" t="s">
        <v>20</v>
      </c>
      <c r="F2559">
        <v>25349746</v>
      </c>
      <c r="G2559" t="s">
        <v>625</v>
      </c>
      <c r="H2559">
        <v>100030246</v>
      </c>
      <c r="I2559">
        <v>202611</v>
      </c>
      <c r="J2559">
        <v>25349746</v>
      </c>
      <c r="K2559" t="s">
        <v>23</v>
      </c>
      <c r="L2559" t="s">
        <v>221</v>
      </c>
      <c r="M2559" t="s">
        <v>24</v>
      </c>
      <c r="N2559" t="s">
        <v>35</v>
      </c>
      <c r="O2559" t="s">
        <v>26</v>
      </c>
      <c r="P2559" t="s">
        <v>27</v>
      </c>
      <c r="Q2559" t="s">
        <v>28</v>
      </c>
      <c r="R2559" t="s">
        <v>29</v>
      </c>
      <c r="S2559" t="s">
        <v>30</v>
      </c>
      <c r="T2559">
        <v>1032678391</v>
      </c>
      <c r="U2559" t="s">
        <v>3965</v>
      </c>
      <c r="V2559" t="s">
        <v>3934</v>
      </c>
      <c r="W2559" s="9">
        <f>IF(V2559="pregrado",31,
IF(V2559="posgrados",31,
IF(V2559="rEINTEGROS",7,
IF(V2559="BIT",90,
IF(V2559="OP GRADO - INGLÉS",17,"")))))</f>
        <v>31</v>
      </c>
      <c r="X2559" t="s">
        <v>4098</v>
      </c>
    </row>
    <row r="2560" spans="1:24" ht="15" x14ac:dyDescent="0.35">
      <c r="A2560" s="4">
        <v>45990.628842592596</v>
      </c>
      <c r="B2560">
        <v>20105374</v>
      </c>
      <c r="C2560" s="6" t="s">
        <v>19</v>
      </c>
      <c r="D2560">
        <v>572475</v>
      </c>
      <c r="E2560" t="s">
        <v>20</v>
      </c>
      <c r="F2560">
        <v>1094245697</v>
      </c>
      <c r="G2560" t="s">
        <v>689</v>
      </c>
      <c r="H2560">
        <v>100236893</v>
      </c>
      <c r="I2560">
        <v>202631</v>
      </c>
      <c r="J2560">
        <v>1094245697</v>
      </c>
      <c r="K2560" t="s">
        <v>33</v>
      </c>
      <c r="L2560" t="s">
        <v>101</v>
      </c>
      <c r="M2560" t="s">
        <v>24</v>
      </c>
      <c r="N2560" t="s">
        <v>35</v>
      </c>
      <c r="O2560" t="s">
        <v>26</v>
      </c>
      <c r="P2560" t="s">
        <v>27</v>
      </c>
      <c r="Q2560" t="s">
        <v>28</v>
      </c>
      <c r="R2560" t="s">
        <v>29</v>
      </c>
      <c r="S2560" t="s">
        <v>30</v>
      </c>
      <c r="T2560">
        <v>1013687925</v>
      </c>
      <c r="U2560" t="s">
        <v>3933</v>
      </c>
      <c r="V2560" t="s">
        <v>3934</v>
      </c>
      <c r="W2560" s="9">
        <f>IF(V2560="pregrado",31,
IF(V2560="posgrados",31,
IF(V2560="rEINTEGROS",7,
IF(V2560="BIT",90,
IF(V2560="OP GRADO - INGLÉS",17,"")))))</f>
        <v>31</v>
      </c>
      <c r="X2560" t="s">
        <v>3959</v>
      </c>
    </row>
    <row r="2561" spans="1:24" ht="15" x14ac:dyDescent="0.35">
      <c r="A2561" s="4">
        <v>45988.52884259259</v>
      </c>
      <c r="B2561">
        <v>20105088</v>
      </c>
      <c r="C2561" s="6" t="s">
        <v>19</v>
      </c>
      <c r="D2561">
        <v>572476</v>
      </c>
      <c r="E2561" t="s">
        <v>20</v>
      </c>
      <c r="F2561">
        <v>45756284</v>
      </c>
      <c r="G2561" t="s">
        <v>608</v>
      </c>
      <c r="H2561">
        <v>100236894</v>
      </c>
      <c r="I2561">
        <v>202610</v>
      </c>
      <c r="J2561">
        <v>1141914316</v>
      </c>
      <c r="K2561" t="s">
        <v>23</v>
      </c>
      <c r="L2561" t="s">
        <v>40</v>
      </c>
      <c r="M2561" t="s">
        <v>24</v>
      </c>
      <c r="N2561" t="s">
        <v>35</v>
      </c>
      <c r="O2561" t="s">
        <v>26</v>
      </c>
      <c r="P2561" t="s">
        <v>27</v>
      </c>
      <c r="Q2561" t="s">
        <v>28</v>
      </c>
      <c r="R2561" t="s">
        <v>29</v>
      </c>
      <c r="S2561" t="s">
        <v>30</v>
      </c>
      <c r="T2561">
        <v>1020730718</v>
      </c>
      <c r="U2561" t="s">
        <v>3941</v>
      </c>
      <c r="V2561" t="s">
        <v>3934</v>
      </c>
      <c r="W2561" s="9">
        <f>IF(V2561="pregrado",31,
IF(V2561="posgrados",31,
IF(V2561="rEINTEGROS",7,
IF(V2561="BIT",90,
IF(V2561="OP GRADO - INGLÉS",17,"")))))</f>
        <v>31</v>
      </c>
      <c r="X2561" t="s">
        <v>3952</v>
      </c>
    </row>
    <row r="2562" spans="1:24" ht="15" x14ac:dyDescent="0.35">
      <c r="A2562" s="4">
        <v>45988.874131944445</v>
      </c>
      <c r="B2562">
        <v>20105195</v>
      </c>
      <c r="C2562" s="6" t="s">
        <v>19</v>
      </c>
      <c r="D2562">
        <v>572477</v>
      </c>
      <c r="E2562" t="s">
        <v>20</v>
      </c>
      <c r="F2562">
        <v>52546810</v>
      </c>
      <c r="G2562" t="s">
        <v>636</v>
      </c>
      <c r="H2562">
        <v>100236895</v>
      </c>
      <c r="I2562">
        <v>202611</v>
      </c>
      <c r="J2562">
        <v>1031176562</v>
      </c>
      <c r="K2562" t="s">
        <v>23</v>
      </c>
      <c r="L2562" t="s">
        <v>221</v>
      </c>
      <c r="M2562" t="s">
        <v>24</v>
      </c>
      <c r="N2562" t="s">
        <v>35</v>
      </c>
      <c r="O2562" t="s">
        <v>26</v>
      </c>
      <c r="P2562" t="s">
        <v>27</v>
      </c>
      <c r="Q2562" t="s">
        <v>28</v>
      </c>
      <c r="R2562" t="s">
        <v>29</v>
      </c>
      <c r="S2562" t="s">
        <v>30</v>
      </c>
      <c r="T2562">
        <v>10123971531</v>
      </c>
      <c r="U2562" t="s">
        <v>3944</v>
      </c>
      <c r="V2562" t="s">
        <v>3934</v>
      </c>
      <c r="W2562" s="9">
        <f>IF(V2562="pregrado",31,
IF(V2562="posgrados",31,
IF(V2562="rEINTEGROS",7,
IF(V2562="BIT",90,
IF(V2562="OP GRADO - INGLÉS",17,"")))))</f>
        <v>31</v>
      </c>
      <c r="X2562" t="s">
        <v>3943</v>
      </c>
    </row>
    <row r="2563" spans="1:24" ht="15" x14ac:dyDescent="0.35">
      <c r="A2563" s="4">
        <v>45989.501076388886</v>
      </c>
      <c r="B2563">
        <v>20105250</v>
      </c>
      <c r="C2563" s="6" t="s">
        <v>19</v>
      </c>
      <c r="D2563">
        <v>572481</v>
      </c>
      <c r="E2563" t="s">
        <v>20</v>
      </c>
      <c r="F2563">
        <v>1110496892</v>
      </c>
      <c r="G2563" t="s">
        <v>654</v>
      </c>
      <c r="H2563">
        <v>100193889</v>
      </c>
      <c r="I2563">
        <v>202611</v>
      </c>
      <c r="J2563">
        <v>1024550416</v>
      </c>
      <c r="K2563" t="s">
        <v>23</v>
      </c>
      <c r="L2563" t="s">
        <v>227</v>
      </c>
      <c r="M2563" t="s">
        <v>24</v>
      </c>
      <c r="N2563" t="s">
        <v>25</v>
      </c>
      <c r="O2563" t="s">
        <v>26</v>
      </c>
      <c r="P2563" t="s">
        <v>27</v>
      </c>
      <c r="Q2563" t="s">
        <v>28</v>
      </c>
      <c r="R2563" t="s">
        <v>29</v>
      </c>
      <c r="S2563" t="s">
        <v>30</v>
      </c>
      <c r="T2563">
        <v>1013662799</v>
      </c>
      <c r="U2563" t="s">
        <v>3965</v>
      </c>
      <c r="V2563" t="s">
        <v>3934</v>
      </c>
      <c r="W2563" s="9">
        <f>IF(V2563="pregrado",31,
IF(V2563="posgrados",31,
IF(V2563="rEINTEGROS",7,
IF(V2563="BIT",90,
IF(V2563="OP GRADO - INGLÉS",17,"")))))</f>
        <v>31</v>
      </c>
      <c r="X2563" t="s">
        <v>4021</v>
      </c>
    </row>
    <row r="2564" spans="1:24" ht="15" x14ac:dyDescent="0.35">
      <c r="A2564" s="4">
        <v>45988.54010416667</v>
      </c>
      <c r="B2564">
        <v>20105092</v>
      </c>
      <c r="C2564" s="6" t="s">
        <v>19</v>
      </c>
      <c r="D2564">
        <v>572488</v>
      </c>
      <c r="E2564" t="s">
        <v>20</v>
      </c>
      <c r="F2564">
        <v>1118528057</v>
      </c>
      <c r="G2564" t="s">
        <v>610</v>
      </c>
      <c r="H2564">
        <v>100236911</v>
      </c>
      <c r="I2564">
        <v>202631</v>
      </c>
      <c r="J2564">
        <v>1118528057</v>
      </c>
      <c r="K2564" t="s">
        <v>33</v>
      </c>
      <c r="L2564" t="s">
        <v>127</v>
      </c>
      <c r="M2564" t="s">
        <v>24</v>
      </c>
      <c r="N2564" t="s">
        <v>25</v>
      </c>
      <c r="O2564" t="s">
        <v>26</v>
      </c>
      <c r="P2564" t="s">
        <v>27</v>
      </c>
      <c r="Q2564" t="s">
        <v>28</v>
      </c>
      <c r="R2564" t="s">
        <v>29</v>
      </c>
      <c r="S2564" t="s">
        <v>30</v>
      </c>
      <c r="T2564">
        <v>1070973852</v>
      </c>
      <c r="U2564" t="s">
        <v>3936</v>
      </c>
      <c r="V2564" t="s">
        <v>3937</v>
      </c>
      <c r="W2564" s="9">
        <f>IF(V2564="pregrado",31,
IF(V2564="posgrados",31,
IF(V2564="rEINTEGROS",7,
IF(V2564="BIT",90,
IF(V2564="OP GRADO - INGLÉS",17,"")))))</f>
        <v>31</v>
      </c>
      <c r="X2564" t="s">
        <v>3957</v>
      </c>
    </row>
    <row r="2565" spans="1:24" ht="15" x14ac:dyDescent="0.35">
      <c r="A2565" s="4">
        <v>46000.803217592591</v>
      </c>
      <c r="B2565">
        <v>20106258</v>
      </c>
      <c r="C2565" s="6" t="s">
        <v>19</v>
      </c>
      <c r="D2565">
        <v>572490</v>
      </c>
      <c r="E2565" t="s">
        <v>20</v>
      </c>
      <c r="F2565">
        <v>1014270535</v>
      </c>
      <c r="G2565" t="s">
        <v>844</v>
      </c>
      <c r="H2565">
        <v>100236580</v>
      </c>
      <c r="I2565">
        <v>202610</v>
      </c>
      <c r="J2565">
        <v>1032876346</v>
      </c>
      <c r="K2565" t="s">
        <v>23</v>
      </c>
      <c r="L2565" t="s">
        <v>49</v>
      </c>
      <c r="M2565" t="s">
        <v>24</v>
      </c>
      <c r="N2565" t="s">
        <v>35</v>
      </c>
      <c r="O2565" t="s">
        <v>26</v>
      </c>
      <c r="P2565" t="s">
        <v>27</v>
      </c>
      <c r="Q2565" t="s">
        <v>28</v>
      </c>
      <c r="R2565" t="s">
        <v>29</v>
      </c>
      <c r="S2565" t="s">
        <v>30</v>
      </c>
      <c r="T2565">
        <v>1070973852</v>
      </c>
      <c r="U2565" t="s">
        <v>3936</v>
      </c>
      <c r="V2565" t="s">
        <v>3937</v>
      </c>
      <c r="W2565" s="9">
        <f>IF(V2565="pregrado",31,
IF(V2565="posgrados",31,
IF(V2565="rEINTEGROS",7,
IF(V2565="BIT",90,
IF(V2565="OP GRADO - INGLÉS",17,"")))))</f>
        <v>31</v>
      </c>
      <c r="X2565" t="s">
        <v>3957</v>
      </c>
    </row>
    <row r="2566" spans="1:24" ht="15" x14ac:dyDescent="0.35">
      <c r="A2566" s="4">
        <v>45989.578831018516</v>
      </c>
      <c r="B2566">
        <v>20105267</v>
      </c>
      <c r="C2566" s="6" t="s">
        <v>19</v>
      </c>
      <c r="D2566">
        <v>572493</v>
      </c>
      <c r="E2566" t="s">
        <v>20</v>
      </c>
      <c r="F2566">
        <v>80729611</v>
      </c>
      <c r="G2566" t="s">
        <v>659</v>
      </c>
      <c r="H2566">
        <v>100236917</v>
      </c>
      <c r="I2566">
        <v>202610</v>
      </c>
      <c r="J2566">
        <v>1021680981</v>
      </c>
      <c r="K2566" t="s">
        <v>23</v>
      </c>
      <c r="L2566" t="s">
        <v>62</v>
      </c>
      <c r="M2566" t="s">
        <v>24</v>
      </c>
      <c r="N2566" t="s">
        <v>38</v>
      </c>
      <c r="O2566" t="s">
        <v>26</v>
      </c>
      <c r="P2566" t="s">
        <v>27</v>
      </c>
      <c r="Q2566" t="s">
        <v>28</v>
      </c>
      <c r="R2566" t="s">
        <v>29</v>
      </c>
      <c r="S2566" t="s">
        <v>30</v>
      </c>
      <c r="T2566">
        <v>1000625316</v>
      </c>
      <c r="U2566" t="s">
        <v>3944</v>
      </c>
      <c r="V2566" t="s">
        <v>3934</v>
      </c>
      <c r="W2566" s="9">
        <f>IF(V2566="pregrado",31,
IF(V2566="posgrados",31,
IF(V2566="rEINTEGROS",7,
IF(V2566="BIT",90,
IF(V2566="OP GRADO - INGLÉS",17,"")))))</f>
        <v>31</v>
      </c>
      <c r="X2566" t="s">
        <v>3980</v>
      </c>
    </row>
    <row r="2567" spans="1:24" ht="15" x14ac:dyDescent="0.35">
      <c r="A2567" s="4">
        <v>46006.514988425923</v>
      </c>
      <c r="B2567">
        <v>20107314</v>
      </c>
      <c r="C2567" s="6" t="s">
        <v>19</v>
      </c>
      <c r="D2567">
        <v>572494</v>
      </c>
      <c r="E2567" t="s">
        <v>20</v>
      </c>
      <c r="F2567">
        <v>1005156501</v>
      </c>
      <c r="G2567" t="s">
        <v>1001</v>
      </c>
      <c r="H2567">
        <v>100236918</v>
      </c>
      <c r="I2567">
        <v>202631</v>
      </c>
      <c r="J2567">
        <v>1005156501</v>
      </c>
      <c r="K2567" t="s">
        <v>33</v>
      </c>
      <c r="L2567" t="s">
        <v>127</v>
      </c>
      <c r="M2567" t="s">
        <v>24</v>
      </c>
      <c r="N2567" t="s">
        <v>25</v>
      </c>
      <c r="O2567" t="s">
        <v>26</v>
      </c>
      <c r="P2567" t="s">
        <v>27</v>
      </c>
      <c r="Q2567" t="s">
        <v>28</v>
      </c>
      <c r="R2567" t="s">
        <v>29</v>
      </c>
      <c r="S2567" t="s">
        <v>30</v>
      </c>
      <c r="T2567">
        <v>1030525993</v>
      </c>
      <c r="U2567" t="s">
        <v>3933</v>
      </c>
      <c r="V2567" t="s">
        <v>3934</v>
      </c>
      <c r="W2567" s="9">
        <f>IF(V2567="pregrado",31,
IF(V2567="posgrados",31,
IF(V2567="rEINTEGROS",7,
IF(V2567="BIT",90,
IF(V2567="OP GRADO - INGLÉS",17,"")))))</f>
        <v>31</v>
      </c>
      <c r="X2567" t="s">
        <v>3956</v>
      </c>
    </row>
    <row r="2568" spans="1:24" ht="15" x14ac:dyDescent="0.35">
      <c r="A2568" s="4">
        <v>45989.65351851852</v>
      </c>
      <c r="B2568">
        <v>20105285</v>
      </c>
      <c r="C2568" s="6" t="s">
        <v>19</v>
      </c>
      <c r="D2568">
        <v>572499</v>
      </c>
      <c r="E2568" t="s">
        <v>20</v>
      </c>
      <c r="F2568">
        <v>52476856</v>
      </c>
      <c r="G2568" t="s">
        <v>665</v>
      </c>
      <c r="H2568">
        <v>100234830</v>
      </c>
      <c r="I2568">
        <v>202610</v>
      </c>
      <c r="J2568">
        <v>1030686624</v>
      </c>
      <c r="K2568" t="s">
        <v>23</v>
      </c>
      <c r="L2568" t="s">
        <v>49</v>
      </c>
      <c r="M2568" t="s">
        <v>24</v>
      </c>
      <c r="N2568" t="s">
        <v>35</v>
      </c>
      <c r="O2568" t="s">
        <v>26</v>
      </c>
      <c r="P2568" t="s">
        <v>27</v>
      </c>
      <c r="Q2568" t="s">
        <v>28</v>
      </c>
      <c r="R2568" t="s">
        <v>29</v>
      </c>
      <c r="S2568" t="s">
        <v>30</v>
      </c>
      <c r="T2568">
        <v>53139409</v>
      </c>
      <c r="U2568" t="s">
        <v>3944</v>
      </c>
      <c r="V2568" t="s">
        <v>3934</v>
      </c>
      <c r="W2568" s="9">
        <f>IF(V2568="pregrado",31,
IF(V2568="posgrados",31,
IF(V2568="rEINTEGROS",7,
IF(V2568="BIT",90,
IF(V2568="OP GRADO - INGLÉS",17,"")))))</f>
        <v>31</v>
      </c>
      <c r="X2568" t="s">
        <v>3955</v>
      </c>
    </row>
    <row r="2569" spans="1:24" ht="15" x14ac:dyDescent="0.35">
      <c r="A2569" s="4">
        <v>46002.382037037038</v>
      </c>
      <c r="B2569">
        <v>20106547</v>
      </c>
      <c r="C2569" s="6" t="s">
        <v>19</v>
      </c>
      <c r="D2569">
        <v>572500</v>
      </c>
      <c r="E2569" t="s">
        <v>20</v>
      </c>
      <c r="F2569">
        <v>1000183532</v>
      </c>
      <c r="G2569" t="s">
        <v>894</v>
      </c>
      <c r="H2569">
        <v>200067249</v>
      </c>
      <c r="I2569">
        <v>202631</v>
      </c>
      <c r="J2569">
        <v>1000183532</v>
      </c>
      <c r="K2569" t="s">
        <v>33</v>
      </c>
      <c r="L2569" t="s">
        <v>22</v>
      </c>
      <c r="M2569" t="s">
        <v>24</v>
      </c>
      <c r="N2569" t="s">
        <v>895</v>
      </c>
      <c r="O2569" t="s">
        <v>26</v>
      </c>
      <c r="P2569" t="s">
        <v>27</v>
      </c>
      <c r="Q2569" t="s">
        <v>28</v>
      </c>
      <c r="R2569" t="s">
        <v>29</v>
      </c>
      <c r="S2569" t="s">
        <v>30</v>
      </c>
      <c r="T2569">
        <v>1000625316</v>
      </c>
      <c r="U2569" t="s">
        <v>3944</v>
      </c>
      <c r="V2569" t="s">
        <v>3934</v>
      </c>
      <c r="W2569" s="9">
        <f>IF(V2569="pregrado",31,
IF(V2569="posgrados",31,
IF(V2569="rEINTEGROS",7,
IF(V2569="BIT",90,
IF(V2569="OP GRADO - INGLÉS",17,"")))))</f>
        <v>31</v>
      </c>
      <c r="X2569" t="s">
        <v>3980</v>
      </c>
    </row>
    <row r="2570" spans="1:24" ht="15" x14ac:dyDescent="0.35">
      <c r="A2570" s="4">
        <v>45990.743506944447</v>
      </c>
      <c r="B2570">
        <v>20105377</v>
      </c>
      <c r="C2570" s="6" t="s">
        <v>19</v>
      </c>
      <c r="D2570">
        <v>572501</v>
      </c>
      <c r="E2570" t="s">
        <v>20</v>
      </c>
      <c r="F2570">
        <v>1007343134</v>
      </c>
      <c r="G2570" t="s">
        <v>691</v>
      </c>
      <c r="H2570">
        <v>100236925</v>
      </c>
      <c r="I2570">
        <v>202631</v>
      </c>
      <c r="J2570">
        <v>1007343134</v>
      </c>
      <c r="K2570" t="s">
        <v>33</v>
      </c>
      <c r="L2570" t="s">
        <v>127</v>
      </c>
      <c r="M2570" t="s">
        <v>24</v>
      </c>
      <c r="N2570" t="s">
        <v>25</v>
      </c>
      <c r="O2570" t="s">
        <v>26</v>
      </c>
      <c r="P2570" t="s">
        <v>27</v>
      </c>
      <c r="Q2570" t="s">
        <v>28</v>
      </c>
      <c r="R2570" t="s">
        <v>29</v>
      </c>
      <c r="S2570" t="s">
        <v>30</v>
      </c>
      <c r="T2570">
        <v>1014273794</v>
      </c>
      <c r="U2570" t="s">
        <v>3939</v>
      </c>
      <c r="V2570" t="s">
        <v>3934</v>
      </c>
      <c r="W2570" s="9">
        <f>IF(V2570="pregrado",31,
IF(V2570="posgrados",31,
IF(V2570="rEINTEGROS",7,
IF(V2570="BIT",90,
IF(V2570="OP GRADO - INGLÉS",17,"")))))</f>
        <v>31</v>
      </c>
      <c r="X2570" t="s">
        <v>4004</v>
      </c>
    </row>
    <row r="2571" spans="1:24" ht="15" x14ac:dyDescent="0.35">
      <c r="A2571" s="4">
        <v>45989.74695601852</v>
      </c>
      <c r="B2571">
        <v>20105318</v>
      </c>
      <c r="C2571" s="6" t="s">
        <v>19</v>
      </c>
      <c r="D2571">
        <v>572514</v>
      </c>
      <c r="E2571" t="s">
        <v>20</v>
      </c>
      <c r="F2571">
        <v>1122844869</v>
      </c>
      <c r="G2571" t="s">
        <v>676</v>
      </c>
      <c r="H2571">
        <v>100236950</v>
      </c>
      <c r="I2571">
        <v>202631</v>
      </c>
      <c r="J2571">
        <v>1122844869</v>
      </c>
      <c r="K2571" t="s">
        <v>23</v>
      </c>
      <c r="L2571" t="s">
        <v>370</v>
      </c>
      <c r="M2571" t="s">
        <v>24</v>
      </c>
      <c r="N2571" t="s">
        <v>35</v>
      </c>
      <c r="O2571" t="s">
        <v>26</v>
      </c>
      <c r="P2571" t="s">
        <v>27</v>
      </c>
      <c r="Q2571" t="s">
        <v>28</v>
      </c>
      <c r="R2571" t="s">
        <v>29</v>
      </c>
      <c r="S2571" t="s">
        <v>30</v>
      </c>
      <c r="T2571">
        <v>1023367706</v>
      </c>
      <c r="U2571" t="s">
        <v>3963</v>
      </c>
      <c r="V2571" t="s">
        <v>3934</v>
      </c>
      <c r="W2571" s="9">
        <f>IF(V2571="pregrado",31,
IF(V2571="posgrados",31,
IF(V2571="rEINTEGROS",7,
IF(V2571="BIT",90,
IF(V2571="OP GRADO - INGLÉS",17,"")))))</f>
        <v>31</v>
      </c>
      <c r="X2571" t="s">
        <v>4039</v>
      </c>
    </row>
    <row r="2572" spans="1:24" ht="15" x14ac:dyDescent="0.35">
      <c r="A2572" s="4">
        <v>46001.554826388892</v>
      </c>
      <c r="B2572">
        <v>20106403</v>
      </c>
      <c r="C2572" s="6" t="s">
        <v>19</v>
      </c>
      <c r="D2572">
        <v>572520</v>
      </c>
      <c r="E2572" t="s">
        <v>20</v>
      </c>
      <c r="F2572">
        <v>98502216</v>
      </c>
      <c r="G2572" t="s">
        <v>870</v>
      </c>
      <c r="H2572">
        <v>100236954</v>
      </c>
      <c r="I2572">
        <v>202631</v>
      </c>
      <c r="J2572">
        <v>1039622983</v>
      </c>
      <c r="K2572" t="s">
        <v>33</v>
      </c>
      <c r="L2572" t="s">
        <v>101</v>
      </c>
      <c r="M2572" t="s">
        <v>24</v>
      </c>
      <c r="N2572" t="s">
        <v>35</v>
      </c>
      <c r="O2572" t="s">
        <v>26</v>
      </c>
      <c r="P2572" t="s">
        <v>27</v>
      </c>
      <c r="Q2572" t="s">
        <v>28</v>
      </c>
      <c r="R2572" t="s">
        <v>29</v>
      </c>
      <c r="S2572" t="s">
        <v>30</v>
      </c>
      <c r="T2572">
        <v>1023975276</v>
      </c>
      <c r="U2572" t="s">
        <v>3963</v>
      </c>
      <c r="V2572" t="s">
        <v>3934</v>
      </c>
      <c r="W2572" s="9">
        <f>IF(V2572="pregrado",31,
IF(V2572="posgrados",31,
IF(V2572="rEINTEGROS",7,
IF(V2572="BIT",90,
IF(V2572="OP GRADO - INGLÉS",17,"")))))</f>
        <v>31</v>
      </c>
      <c r="X2572" t="s">
        <v>3962</v>
      </c>
    </row>
    <row r="2573" spans="1:24" ht="15" x14ac:dyDescent="0.35">
      <c r="A2573" s="4">
        <v>45989.688784722224</v>
      </c>
      <c r="B2573">
        <v>20105298</v>
      </c>
      <c r="C2573" s="6" t="s">
        <v>19</v>
      </c>
      <c r="D2573">
        <v>572523</v>
      </c>
      <c r="E2573" t="s">
        <v>20</v>
      </c>
      <c r="F2573">
        <v>53092451</v>
      </c>
      <c r="G2573" t="s">
        <v>670</v>
      </c>
      <c r="H2573">
        <v>100236960</v>
      </c>
      <c r="I2573">
        <v>202631</v>
      </c>
      <c r="J2573">
        <v>53092451</v>
      </c>
      <c r="K2573" t="s">
        <v>23</v>
      </c>
      <c r="L2573" t="s">
        <v>57</v>
      </c>
      <c r="M2573" t="s">
        <v>24</v>
      </c>
      <c r="N2573" t="s">
        <v>35</v>
      </c>
      <c r="O2573" t="s">
        <v>26</v>
      </c>
      <c r="P2573" t="s">
        <v>27</v>
      </c>
      <c r="Q2573" t="s">
        <v>28</v>
      </c>
      <c r="R2573" t="s">
        <v>29</v>
      </c>
      <c r="S2573" t="s">
        <v>30</v>
      </c>
      <c r="T2573">
        <v>1006505929</v>
      </c>
      <c r="U2573" t="s">
        <v>3986</v>
      </c>
      <c r="V2573" t="s">
        <v>3934</v>
      </c>
      <c r="W2573" s="9">
        <f>IF(V2573="pregrado",31,
IF(V2573="posgrados",31,
IF(V2573="rEINTEGROS",7,
IF(V2573="BIT",90,
IF(V2573="OP GRADO - INGLÉS",17,"")))))</f>
        <v>31</v>
      </c>
      <c r="X2573" t="s">
        <v>4013</v>
      </c>
    </row>
    <row r="2574" spans="1:24" ht="15" x14ac:dyDescent="0.35">
      <c r="A2574" s="4">
        <v>45989.432129629633</v>
      </c>
      <c r="B2574">
        <v>20105225</v>
      </c>
      <c r="C2574" s="6" t="s">
        <v>19</v>
      </c>
      <c r="D2574">
        <v>572524</v>
      </c>
      <c r="E2574" t="s">
        <v>20</v>
      </c>
      <c r="F2574">
        <v>31712397</v>
      </c>
      <c r="G2574" t="s">
        <v>645</v>
      </c>
      <c r="H2574">
        <v>100236962</v>
      </c>
      <c r="I2574">
        <v>202631</v>
      </c>
      <c r="J2574">
        <v>31712397</v>
      </c>
      <c r="K2574" t="s">
        <v>23</v>
      </c>
      <c r="L2574" t="s">
        <v>240</v>
      </c>
      <c r="M2574" t="s">
        <v>24</v>
      </c>
      <c r="N2574" t="s">
        <v>35</v>
      </c>
      <c r="O2574" t="s">
        <v>26</v>
      </c>
      <c r="P2574" t="s">
        <v>27</v>
      </c>
      <c r="Q2574" t="s">
        <v>28</v>
      </c>
      <c r="R2574" t="s">
        <v>29</v>
      </c>
      <c r="S2574" t="s">
        <v>30</v>
      </c>
      <c r="T2574">
        <v>10822473081</v>
      </c>
      <c r="U2574" t="s">
        <v>3965</v>
      </c>
      <c r="V2574" t="s">
        <v>3934</v>
      </c>
      <c r="W2574" s="9">
        <f>IF(V2574="pregrado",31,
IF(V2574="posgrados",31,
IF(V2574="rEINTEGROS",7,
IF(V2574="BIT",90,
IF(V2574="OP GRADO - INGLÉS",17,"")))))</f>
        <v>31</v>
      </c>
      <c r="X2574" t="s">
        <v>4007</v>
      </c>
    </row>
    <row r="2575" spans="1:24" ht="15" x14ac:dyDescent="0.35">
      <c r="A2575" s="4">
        <v>46000.676666666666</v>
      </c>
      <c r="B2575">
        <v>20106208</v>
      </c>
      <c r="C2575" s="6" t="s">
        <v>19</v>
      </c>
      <c r="D2575">
        <v>572535</v>
      </c>
      <c r="E2575" t="s">
        <v>20</v>
      </c>
      <c r="F2575">
        <v>1032938018</v>
      </c>
      <c r="G2575" t="s">
        <v>835</v>
      </c>
      <c r="H2575">
        <v>100236974</v>
      </c>
      <c r="I2575">
        <v>202631</v>
      </c>
      <c r="J2575">
        <v>1032938018</v>
      </c>
      <c r="K2575" t="s">
        <v>83</v>
      </c>
      <c r="L2575" t="s">
        <v>51</v>
      </c>
      <c r="M2575" t="s">
        <v>24</v>
      </c>
      <c r="N2575" t="s">
        <v>38</v>
      </c>
      <c r="O2575" t="s">
        <v>26</v>
      </c>
      <c r="P2575" t="s">
        <v>27</v>
      </c>
      <c r="Q2575" t="s">
        <v>28</v>
      </c>
      <c r="R2575" t="s">
        <v>29</v>
      </c>
      <c r="S2575" t="s">
        <v>30</v>
      </c>
      <c r="T2575">
        <v>1001192723</v>
      </c>
      <c r="U2575" t="s">
        <v>3941</v>
      </c>
      <c r="V2575" t="s">
        <v>3934</v>
      </c>
      <c r="W2575" s="9">
        <f>IF(V2575="pregrado",31,
IF(V2575="posgrados",31,
IF(V2575="rEINTEGROS",7,
IF(V2575="BIT",90,
IF(V2575="OP GRADO - INGLÉS",17,"")))))</f>
        <v>31</v>
      </c>
      <c r="X2575" t="s">
        <v>3940</v>
      </c>
    </row>
    <row r="2576" spans="1:24" ht="15" x14ac:dyDescent="0.35">
      <c r="A2576" s="4">
        <v>45989.504212962966</v>
      </c>
      <c r="B2576">
        <v>20105253</v>
      </c>
      <c r="C2576" s="6" t="s">
        <v>19</v>
      </c>
      <c r="D2576">
        <v>572543</v>
      </c>
      <c r="E2576" t="s">
        <v>20</v>
      </c>
      <c r="F2576">
        <v>1110496892</v>
      </c>
      <c r="G2576" t="s">
        <v>654</v>
      </c>
      <c r="H2576">
        <v>100236986</v>
      </c>
      <c r="I2576">
        <v>202631</v>
      </c>
      <c r="J2576">
        <v>1117543232</v>
      </c>
      <c r="K2576" t="s">
        <v>23</v>
      </c>
      <c r="L2576" t="s">
        <v>240</v>
      </c>
      <c r="M2576" t="s">
        <v>24</v>
      </c>
      <c r="N2576" t="s">
        <v>35</v>
      </c>
      <c r="O2576" t="s">
        <v>26</v>
      </c>
      <c r="P2576" t="s">
        <v>27</v>
      </c>
      <c r="Q2576" t="s">
        <v>28</v>
      </c>
      <c r="R2576" t="s">
        <v>29</v>
      </c>
      <c r="S2576" t="s">
        <v>30</v>
      </c>
      <c r="T2576">
        <v>1013662799</v>
      </c>
      <c r="U2576" t="s">
        <v>3965</v>
      </c>
      <c r="V2576" t="s">
        <v>3934</v>
      </c>
      <c r="W2576" s="9">
        <f>IF(V2576="pregrado",31,
IF(V2576="posgrados",31,
IF(V2576="rEINTEGROS",7,
IF(V2576="BIT",90,
IF(V2576="OP GRADO - INGLÉS",17,"")))))</f>
        <v>31</v>
      </c>
      <c r="X2576" t="s">
        <v>4021</v>
      </c>
    </row>
    <row r="2577" spans="1:24" ht="15" x14ac:dyDescent="0.35">
      <c r="A2577" s="4">
        <v>45994.413576388892</v>
      </c>
      <c r="B2577">
        <v>20105694</v>
      </c>
      <c r="C2577" s="6" t="s">
        <v>19</v>
      </c>
      <c r="D2577">
        <v>572545</v>
      </c>
      <c r="E2577" t="s">
        <v>20</v>
      </c>
      <c r="F2577">
        <v>1073168307</v>
      </c>
      <c r="G2577" t="s">
        <v>741</v>
      </c>
      <c r="H2577">
        <v>200066881</v>
      </c>
      <c r="I2577">
        <v>202631</v>
      </c>
      <c r="J2577">
        <v>1011099197</v>
      </c>
      <c r="K2577" t="s">
        <v>33</v>
      </c>
      <c r="L2577" t="s">
        <v>22</v>
      </c>
      <c r="M2577" t="s">
        <v>24</v>
      </c>
      <c r="N2577" t="s">
        <v>25</v>
      </c>
      <c r="O2577" t="s">
        <v>26</v>
      </c>
      <c r="P2577" t="s">
        <v>27</v>
      </c>
      <c r="Q2577" t="s">
        <v>28</v>
      </c>
      <c r="R2577" t="s">
        <v>29</v>
      </c>
      <c r="S2577" t="s">
        <v>30</v>
      </c>
      <c r="T2577">
        <v>1018496066</v>
      </c>
      <c r="U2577" t="s">
        <v>3939</v>
      </c>
      <c r="V2577" t="s">
        <v>3934</v>
      </c>
      <c r="W2577" s="9">
        <f>IF(V2577="pregrado",31,
IF(V2577="posgrados",31,
IF(V2577="rEINTEGROS",7,
IF(V2577="BIT",90,
IF(V2577="OP GRADO - INGLÉS",17,"")))))</f>
        <v>31</v>
      </c>
      <c r="X2577" t="s">
        <v>4006</v>
      </c>
    </row>
    <row r="2578" spans="1:24" ht="15" x14ac:dyDescent="0.35">
      <c r="A2578" s="4">
        <v>45990.501157407409</v>
      </c>
      <c r="B2578">
        <v>20105364</v>
      </c>
      <c r="C2578" s="6" t="s">
        <v>19</v>
      </c>
      <c r="D2578">
        <v>572548</v>
      </c>
      <c r="E2578" t="s">
        <v>20</v>
      </c>
      <c r="F2578">
        <v>1070953614</v>
      </c>
      <c r="G2578" t="s">
        <v>684</v>
      </c>
      <c r="H2578">
        <v>100236989</v>
      </c>
      <c r="I2578">
        <v>202631</v>
      </c>
      <c r="J2578">
        <v>1070390236</v>
      </c>
      <c r="K2578" t="s">
        <v>23</v>
      </c>
      <c r="L2578" t="s">
        <v>101</v>
      </c>
      <c r="M2578" t="s">
        <v>24</v>
      </c>
      <c r="N2578" t="s">
        <v>35</v>
      </c>
      <c r="O2578" t="s">
        <v>26</v>
      </c>
      <c r="P2578" t="s">
        <v>27</v>
      </c>
      <c r="Q2578" t="s">
        <v>28</v>
      </c>
      <c r="R2578" t="s">
        <v>29</v>
      </c>
      <c r="S2578" t="s">
        <v>30</v>
      </c>
      <c r="T2578">
        <v>53040709</v>
      </c>
      <c r="U2578" t="s">
        <v>3963</v>
      </c>
      <c r="V2578" t="s">
        <v>3934</v>
      </c>
      <c r="W2578" s="9">
        <f>IF(V2578="pregrado",31,
IF(V2578="posgrados",31,
IF(V2578="rEINTEGROS",7,
IF(V2578="BIT",90,
IF(V2578="OP GRADO - INGLÉS",17,"")))))</f>
        <v>31</v>
      </c>
      <c r="X2578" t="s">
        <v>3994</v>
      </c>
    </row>
    <row r="2579" spans="1:24" ht="15" x14ac:dyDescent="0.35">
      <c r="A2579" s="4">
        <v>45989.614351851851</v>
      </c>
      <c r="B2579">
        <v>20105271</v>
      </c>
      <c r="C2579" s="6" t="s">
        <v>19</v>
      </c>
      <c r="D2579">
        <v>572555</v>
      </c>
      <c r="E2579" t="s">
        <v>20</v>
      </c>
      <c r="F2579">
        <v>1074418797</v>
      </c>
      <c r="G2579" t="s">
        <v>661</v>
      </c>
      <c r="H2579">
        <v>100187681</v>
      </c>
      <c r="I2579">
        <v>202611</v>
      </c>
      <c r="J2579">
        <v>1074418797</v>
      </c>
      <c r="K2579" t="s">
        <v>33</v>
      </c>
      <c r="L2579" t="s">
        <v>204</v>
      </c>
      <c r="M2579" t="s">
        <v>24</v>
      </c>
      <c r="N2579" t="s">
        <v>35</v>
      </c>
      <c r="O2579" t="s">
        <v>26</v>
      </c>
      <c r="P2579" t="s">
        <v>27</v>
      </c>
      <c r="Q2579" t="s">
        <v>28</v>
      </c>
      <c r="R2579" t="s">
        <v>29</v>
      </c>
      <c r="S2579" t="s">
        <v>30</v>
      </c>
      <c r="T2579">
        <v>1032394283</v>
      </c>
      <c r="U2579" t="s">
        <v>3941</v>
      </c>
      <c r="V2579" t="s">
        <v>3934</v>
      </c>
      <c r="W2579" s="9">
        <f>IF(V2579="pregrado",31,
IF(V2579="posgrados",31,
IF(V2579="rEINTEGROS",7,
IF(V2579="BIT",90,
IF(V2579="OP GRADO - INGLÉS",17,"")))))</f>
        <v>31</v>
      </c>
      <c r="X2579" t="s">
        <v>4034</v>
      </c>
    </row>
    <row r="2580" spans="1:24" ht="15" x14ac:dyDescent="0.35">
      <c r="A2580" s="4">
        <v>45989.4690625</v>
      </c>
      <c r="B2580">
        <v>20105240</v>
      </c>
      <c r="C2580" s="6" t="s">
        <v>19</v>
      </c>
      <c r="D2580">
        <v>572556</v>
      </c>
      <c r="E2580" t="s">
        <v>20</v>
      </c>
      <c r="F2580">
        <v>64521981</v>
      </c>
      <c r="G2580" t="s">
        <v>650</v>
      </c>
      <c r="H2580">
        <v>100218468</v>
      </c>
      <c r="I2580">
        <v>202610</v>
      </c>
      <c r="J2580">
        <v>1014317636</v>
      </c>
      <c r="K2580" t="s">
        <v>23</v>
      </c>
      <c r="L2580" t="s">
        <v>62</v>
      </c>
      <c r="M2580" t="s">
        <v>24</v>
      </c>
      <c r="N2580" t="s">
        <v>35</v>
      </c>
      <c r="O2580" t="s">
        <v>26</v>
      </c>
      <c r="P2580" t="s">
        <v>27</v>
      </c>
      <c r="Q2580" t="s">
        <v>28</v>
      </c>
      <c r="R2580" t="s">
        <v>29</v>
      </c>
      <c r="S2580" t="s">
        <v>30</v>
      </c>
      <c r="T2580">
        <v>10123971531</v>
      </c>
      <c r="U2580" t="s">
        <v>3944</v>
      </c>
      <c r="V2580" t="s">
        <v>3934</v>
      </c>
      <c r="W2580" s="9">
        <f>IF(V2580="pregrado",31,
IF(V2580="posgrados",31,
IF(V2580="rEINTEGROS",7,
IF(V2580="BIT",90,
IF(V2580="OP GRADO - INGLÉS",17,"")))))</f>
        <v>31</v>
      </c>
      <c r="X2580" t="s">
        <v>3943</v>
      </c>
    </row>
    <row r="2581" spans="1:24" ht="15" x14ac:dyDescent="0.35">
      <c r="A2581" s="4">
        <v>45989.699363425927</v>
      </c>
      <c r="B2581">
        <v>20105304</v>
      </c>
      <c r="C2581" s="6" t="s">
        <v>19</v>
      </c>
      <c r="D2581">
        <v>572564</v>
      </c>
      <c r="E2581" t="s">
        <v>20</v>
      </c>
      <c r="F2581">
        <v>1002630674</v>
      </c>
      <c r="G2581" t="s">
        <v>673</v>
      </c>
      <c r="H2581">
        <v>100236996</v>
      </c>
      <c r="I2581">
        <v>202611</v>
      </c>
      <c r="J2581">
        <v>1002630674</v>
      </c>
      <c r="K2581" t="s">
        <v>23</v>
      </c>
      <c r="L2581" t="s">
        <v>227</v>
      </c>
      <c r="M2581" t="s">
        <v>24</v>
      </c>
      <c r="N2581" t="s">
        <v>35</v>
      </c>
      <c r="O2581" t="s">
        <v>26</v>
      </c>
      <c r="P2581" t="s">
        <v>27</v>
      </c>
      <c r="Q2581" t="s">
        <v>28</v>
      </c>
      <c r="R2581" t="s">
        <v>29</v>
      </c>
      <c r="S2581" t="s">
        <v>30</v>
      </c>
      <c r="T2581">
        <v>52392617</v>
      </c>
      <c r="U2581" t="s">
        <v>3965</v>
      </c>
      <c r="V2581" t="s">
        <v>3934</v>
      </c>
      <c r="W2581" s="9">
        <f>IF(V2581="pregrado",31,
IF(V2581="posgrados",31,
IF(V2581="rEINTEGROS",7,
IF(V2581="BIT",90,
IF(V2581="OP GRADO - INGLÉS",17,"")))))</f>
        <v>31</v>
      </c>
      <c r="X2581" t="s">
        <v>4053</v>
      </c>
    </row>
    <row r="2582" spans="1:24" ht="15" x14ac:dyDescent="0.35">
      <c r="A2582" s="4">
        <v>45989.438993055555</v>
      </c>
      <c r="B2582">
        <v>20105228</v>
      </c>
      <c r="C2582" s="6" t="s">
        <v>19</v>
      </c>
      <c r="D2582">
        <v>572578</v>
      </c>
      <c r="E2582" t="s">
        <v>20</v>
      </c>
      <c r="F2582">
        <v>1077224066</v>
      </c>
      <c r="G2582" t="s">
        <v>646</v>
      </c>
      <c r="H2582">
        <v>100211084</v>
      </c>
      <c r="I2582">
        <v>202631</v>
      </c>
      <c r="J2582">
        <v>1077224066</v>
      </c>
      <c r="K2582" t="s">
        <v>33</v>
      </c>
      <c r="L2582" t="s">
        <v>90</v>
      </c>
      <c r="M2582" t="s">
        <v>24</v>
      </c>
      <c r="N2582" t="s">
        <v>25</v>
      </c>
      <c r="O2582" t="s">
        <v>26</v>
      </c>
      <c r="P2582" t="s">
        <v>27</v>
      </c>
      <c r="Q2582" t="s">
        <v>28</v>
      </c>
      <c r="R2582" t="s">
        <v>29</v>
      </c>
      <c r="S2582" t="s">
        <v>30</v>
      </c>
      <c r="T2582">
        <v>1007473661</v>
      </c>
      <c r="U2582" t="s">
        <v>3933</v>
      </c>
      <c r="V2582" t="s">
        <v>3934</v>
      </c>
      <c r="W2582" s="9">
        <f>IF(V2582="pregrado",31,
IF(V2582="posgrados",31,
IF(V2582="rEINTEGROS",7,
IF(V2582="BIT",90,
IF(V2582="OP GRADO - INGLÉS",17,"")))))</f>
        <v>31</v>
      </c>
      <c r="X2582" t="s">
        <v>4058</v>
      </c>
    </row>
    <row r="2583" spans="1:24" ht="15" x14ac:dyDescent="0.35">
      <c r="A2583" s="4">
        <v>45990.484016203707</v>
      </c>
      <c r="B2583">
        <v>20105362</v>
      </c>
      <c r="C2583" s="6" t="s">
        <v>19</v>
      </c>
      <c r="D2583">
        <v>572586</v>
      </c>
      <c r="E2583" t="s">
        <v>20</v>
      </c>
      <c r="F2583">
        <v>1143878535</v>
      </c>
      <c r="G2583" t="s">
        <v>683</v>
      </c>
      <c r="H2583">
        <v>100235592</v>
      </c>
      <c r="I2583">
        <v>202631</v>
      </c>
      <c r="J2583">
        <v>1143878535</v>
      </c>
      <c r="K2583" t="s">
        <v>33</v>
      </c>
      <c r="L2583" t="s">
        <v>32</v>
      </c>
      <c r="M2583" t="s">
        <v>24</v>
      </c>
      <c r="N2583" t="s">
        <v>35</v>
      </c>
      <c r="O2583" t="s">
        <v>26</v>
      </c>
      <c r="P2583" t="s">
        <v>27</v>
      </c>
      <c r="Q2583" t="s">
        <v>28</v>
      </c>
      <c r="R2583" t="s">
        <v>29</v>
      </c>
      <c r="S2583" t="s">
        <v>30</v>
      </c>
      <c r="T2583">
        <v>1000001980</v>
      </c>
      <c r="U2583" t="s">
        <v>3944</v>
      </c>
      <c r="V2583" t="s">
        <v>3934</v>
      </c>
      <c r="W2583" s="9">
        <f>IF(V2583="pregrado",31,
IF(V2583="posgrados",31,
IF(V2583="rEINTEGROS",7,
IF(V2583="BIT",90,
IF(V2583="OP GRADO - INGLÉS",17,"")))))</f>
        <v>31</v>
      </c>
      <c r="X2583" t="s">
        <v>3968</v>
      </c>
    </row>
    <row r="2584" spans="1:24" ht="15" x14ac:dyDescent="0.35">
      <c r="A2584" s="4">
        <v>45990.519270833334</v>
      </c>
      <c r="B2584">
        <v>20105367</v>
      </c>
      <c r="C2584" s="6" t="s">
        <v>19</v>
      </c>
      <c r="D2584">
        <v>572594</v>
      </c>
      <c r="E2584" t="s">
        <v>20</v>
      </c>
      <c r="F2584">
        <v>1019011396</v>
      </c>
      <c r="G2584" t="s">
        <v>685</v>
      </c>
      <c r="H2584">
        <v>100237016</v>
      </c>
      <c r="I2584">
        <v>202610</v>
      </c>
      <c r="J2584">
        <v>1019011396</v>
      </c>
      <c r="K2584" t="s">
        <v>23</v>
      </c>
      <c r="L2584" t="s">
        <v>194</v>
      </c>
      <c r="M2584" t="s">
        <v>24</v>
      </c>
      <c r="N2584" t="s">
        <v>35</v>
      </c>
      <c r="O2584" t="s">
        <v>26</v>
      </c>
      <c r="P2584" t="s">
        <v>27</v>
      </c>
      <c r="Q2584" t="s">
        <v>28</v>
      </c>
      <c r="R2584" t="s">
        <v>29</v>
      </c>
      <c r="S2584" t="s">
        <v>30</v>
      </c>
      <c r="T2584">
        <v>53040709</v>
      </c>
      <c r="U2584" t="s">
        <v>3963</v>
      </c>
      <c r="V2584" t="s">
        <v>3934</v>
      </c>
      <c r="W2584" s="9">
        <f>IF(V2584="pregrado",31,
IF(V2584="posgrados",31,
IF(V2584="rEINTEGROS",7,
IF(V2584="BIT",90,
IF(V2584="OP GRADO - INGLÉS",17,"")))))</f>
        <v>31</v>
      </c>
      <c r="X2584" t="s">
        <v>3994</v>
      </c>
    </row>
    <row r="2585" spans="1:24" ht="15" x14ac:dyDescent="0.35">
      <c r="A2585" s="4">
        <v>45994.660208333335</v>
      </c>
      <c r="B2585">
        <v>20105760</v>
      </c>
      <c r="C2585" s="6" t="s">
        <v>19</v>
      </c>
      <c r="D2585">
        <v>572595</v>
      </c>
      <c r="E2585" t="s">
        <v>20</v>
      </c>
      <c r="F2585">
        <v>1003003040</v>
      </c>
      <c r="G2585" t="s">
        <v>752</v>
      </c>
      <c r="H2585">
        <v>100221502</v>
      </c>
      <c r="I2585">
        <v>202631</v>
      </c>
      <c r="J2585">
        <v>1003003040</v>
      </c>
      <c r="K2585" t="s">
        <v>23</v>
      </c>
      <c r="L2585" t="s">
        <v>219</v>
      </c>
      <c r="M2585" t="s">
        <v>24</v>
      </c>
      <c r="N2585" t="s">
        <v>35</v>
      </c>
      <c r="O2585" t="s">
        <v>26</v>
      </c>
      <c r="P2585" t="s">
        <v>27</v>
      </c>
      <c r="Q2585" t="s">
        <v>28</v>
      </c>
      <c r="R2585" t="s">
        <v>29</v>
      </c>
      <c r="S2585" t="s">
        <v>30</v>
      </c>
      <c r="T2585">
        <v>1000251314</v>
      </c>
      <c r="U2585" t="s">
        <v>3963</v>
      </c>
      <c r="V2585" t="s">
        <v>3934</v>
      </c>
      <c r="W2585" s="9">
        <f>IF(V2585="pregrado",31,
IF(V2585="posgrados",31,
IF(V2585="rEINTEGROS",7,
IF(V2585="BIT",90,
IF(V2585="OP GRADO - INGLÉS",17,"")))))</f>
        <v>31</v>
      </c>
      <c r="X2585" t="s">
        <v>4024</v>
      </c>
    </row>
    <row r="2586" spans="1:24" ht="15" x14ac:dyDescent="0.35">
      <c r="A2586" s="4">
        <v>45989.594039351854</v>
      </c>
      <c r="B2586">
        <v>20105269</v>
      </c>
      <c r="C2586" s="6" t="s">
        <v>19</v>
      </c>
      <c r="D2586">
        <v>572600</v>
      </c>
      <c r="E2586" t="s">
        <v>20</v>
      </c>
      <c r="F2586">
        <v>1030683995</v>
      </c>
      <c r="G2586" t="s">
        <v>660</v>
      </c>
      <c r="H2586">
        <v>100237020</v>
      </c>
      <c r="I2586">
        <v>202631</v>
      </c>
      <c r="J2586">
        <v>1030683995</v>
      </c>
      <c r="K2586" t="s">
        <v>23</v>
      </c>
      <c r="L2586" t="s">
        <v>207</v>
      </c>
      <c r="M2586" t="s">
        <v>24</v>
      </c>
      <c r="N2586" t="s">
        <v>35</v>
      </c>
      <c r="O2586" t="s">
        <v>26</v>
      </c>
      <c r="P2586" t="s">
        <v>27</v>
      </c>
      <c r="Q2586" t="s">
        <v>28</v>
      </c>
      <c r="R2586" t="s">
        <v>29</v>
      </c>
      <c r="S2586" t="s">
        <v>30</v>
      </c>
      <c r="T2586">
        <v>80021358</v>
      </c>
      <c r="U2586" t="s">
        <v>3986</v>
      </c>
      <c r="V2586" t="s">
        <v>3934</v>
      </c>
      <c r="W2586" s="9">
        <f>IF(V2586="pregrado",31,
IF(V2586="posgrados",31,
IF(V2586="rEINTEGROS",7,
IF(V2586="BIT",90,
IF(V2586="OP GRADO - INGLÉS",17,"")))))</f>
        <v>31</v>
      </c>
      <c r="X2586" t="s">
        <v>3995</v>
      </c>
    </row>
    <row r="2587" spans="1:24" ht="15" x14ac:dyDescent="0.35">
      <c r="A2587" s="4">
        <v>46008.696631944447</v>
      </c>
      <c r="B2587">
        <v>20108300</v>
      </c>
      <c r="C2587" s="6" t="s">
        <v>19</v>
      </c>
      <c r="D2587">
        <v>572611</v>
      </c>
      <c r="E2587" t="s">
        <v>20</v>
      </c>
      <c r="F2587">
        <v>1118122316</v>
      </c>
      <c r="G2587" t="s">
        <v>742</v>
      </c>
      <c r="H2587">
        <v>100237029</v>
      </c>
      <c r="I2587">
        <v>202611</v>
      </c>
      <c r="J2587">
        <v>1120955878</v>
      </c>
      <c r="K2587" t="s">
        <v>23</v>
      </c>
      <c r="L2587" t="s">
        <v>227</v>
      </c>
      <c r="M2587" t="s">
        <v>24</v>
      </c>
      <c r="N2587" t="s">
        <v>35</v>
      </c>
      <c r="O2587" t="s">
        <v>26</v>
      </c>
      <c r="P2587" t="s">
        <v>27</v>
      </c>
      <c r="Q2587" t="s">
        <v>28</v>
      </c>
      <c r="R2587" t="s">
        <v>29</v>
      </c>
      <c r="S2587" t="s">
        <v>30</v>
      </c>
      <c r="T2587">
        <v>10822473081</v>
      </c>
      <c r="U2587" t="s">
        <v>3965</v>
      </c>
      <c r="V2587" t="s">
        <v>3934</v>
      </c>
      <c r="W2587" s="9">
        <f>IF(V2587="pregrado",31,
IF(V2587="posgrados",31,
IF(V2587="rEINTEGROS",7,
IF(V2587="BIT",90,
IF(V2587="OP GRADO - INGLÉS",17,"")))))</f>
        <v>31</v>
      </c>
      <c r="X2587" t="s">
        <v>4007</v>
      </c>
    </row>
    <row r="2588" spans="1:24" ht="15" x14ac:dyDescent="0.35">
      <c r="A2588" s="4">
        <v>45989.67359953704</v>
      </c>
      <c r="B2588">
        <v>20105290</v>
      </c>
      <c r="C2588" s="6" t="s">
        <v>19</v>
      </c>
      <c r="D2588">
        <v>572616</v>
      </c>
      <c r="E2588" t="s">
        <v>20</v>
      </c>
      <c r="F2588">
        <v>1018491707</v>
      </c>
      <c r="G2588" t="s">
        <v>668</v>
      </c>
      <c r="H2588">
        <v>100237032</v>
      </c>
      <c r="I2588">
        <v>202631</v>
      </c>
      <c r="J2588">
        <v>1018491707</v>
      </c>
      <c r="K2588" t="s">
        <v>23</v>
      </c>
      <c r="L2588" t="s">
        <v>90</v>
      </c>
      <c r="M2588" t="s">
        <v>24</v>
      </c>
      <c r="N2588" t="s">
        <v>35</v>
      </c>
      <c r="O2588" t="s">
        <v>26</v>
      </c>
      <c r="P2588" t="s">
        <v>27</v>
      </c>
      <c r="Q2588" t="s">
        <v>28</v>
      </c>
      <c r="R2588" t="s">
        <v>29</v>
      </c>
      <c r="S2588" t="s">
        <v>30</v>
      </c>
      <c r="T2588">
        <v>1015441103</v>
      </c>
      <c r="U2588" t="s">
        <v>3933</v>
      </c>
      <c r="V2588" t="s">
        <v>3934</v>
      </c>
      <c r="W2588" s="9">
        <f>IF(V2588="pregrado",31,
IF(V2588="posgrados",31,
IF(V2588="rEINTEGROS",7,
IF(V2588="BIT",90,
IF(V2588="OP GRADO - INGLÉS",17,"")))))</f>
        <v>31</v>
      </c>
      <c r="X2588" t="s">
        <v>3961</v>
      </c>
    </row>
    <row r="2589" spans="1:24" ht="15" x14ac:dyDescent="0.35">
      <c r="A2589" s="4">
        <v>45994.430636574078</v>
      </c>
      <c r="B2589">
        <v>20105696</v>
      </c>
      <c r="C2589" s="6" t="s">
        <v>19</v>
      </c>
      <c r="D2589">
        <v>572617</v>
      </c>
      <c r="E2589" t="s">
        <v>20</v>
      </c>
      <c r="F2589">
        <v>1118122316</v>
      </c>
      <c r="G2589" t="s">
        <v>742</v>
      </c>
      <c r="H2589">
        <v>100237033</v>
      </c>
      <c r="I2589">
        <v>202611</v>
      </c>
      <c r="J2589">
        <v>1120956224</v>
      </c>
      <c r="K2589" t="s">
        <v>23</v>
      </c>
      <c r="L2589" t="s">
        <v>227</v>
      </c>
      <c r="M2589" t="s">
        <v>24</v>
      </c>
      <c r="N2589" t="s">
        <v>35</v>
      </c>
      <c r="O2589" t="s">
        <v>26</v>
      </c>
      <c r="P2589" t="s">
        <v>27</v>
      </c>
      <c r="Q2589" t="s">
        <v>28</v>
      </c>
      <c r="R2589" t="s">
        <v>29</v>
      </c>
      <c r="S2589" t="s">
        <v>30</v>
      </c>
      <c r="T2589">
        <v>10822473081</v>
      </c>
      <c r="U2589" t="s">
        <v>3965</v>
      </c>
      <c r="V2589" t="s">
        <v>3934</v>
      </c>
      <c r="W2589" s="9">
        <f>IF(V2589="pregrado",31,
IF(V2589="posgrados",31,
IF(V2589="rEINTEGROS",7,
IF(V2589="BIT",90,
IF(V2589="OP GRADO - INGLÉS",17,"")))))</f>
        <v>31</v>
      </c>
      <c r="X2589" t="s">
        <v>4007</v>
      </c>
    </row>
    <row r="2590" spans="1:24" ht="15" x14ac:dyDescent="0.35">
      <c r="A2590" s="4">
        <v>46055.7655787037</v>
      </c>
      <c r="B2590">
        <v>20119854</v>
      </c>
      <c r="C2590" s="6" t="s">
        <v>19</v>
      </c>
      <c r="D2590">
        <v>572636</v>
      </c>
      <c r="E2590" t="s">
        <v>20</v>
      </c>
      <c r="F2590">
        <v>1007884404</v>
      </c>
      <c r="G2590" t="s">
        <v>2669</v>
      </c>
      <c r="H2590">
        <v>100237127</v>
      </c>
      <c r="I2590">
        <v>202631</v>
      </c>
      <c r="J2590">
        <v>1007884404</v>
      </c>
      <c r="K2590" t="s">
        <v>33</v>
      </c>
      <c r="L2590" t="s">
        <v>42</v>
      </c>
      <c r="M2590" t="s">
        <v>24</v>
      </c>
      <c r="N2590" t="s">
        <v>35</v>
      </c>
      <c r="O2590" t="s">
        <v>26</v>
      </c>
      <c r="P2590" t="s">
        <v>27</v>
      </c>
      <c r="Q2590" t="s">
        <v>28</v>
      </c>
      <c r="R2590" t="s">
        <v>29</v>
      </c>
      <c r="S2590" t="s">
        <v>30</v>
      </c>
      <c r="T2590">
        <v>1015482247</v>
      </c>
      <c r="U2590" t="s">
        <v>3944</v>
      </c>
      <c r="V2590" t="s">
        <v>3934</v>
      </c>
      <c r="W2590" s="9">
        <f>IF(V2590="pregrado",31,
IF(V2590="posgrados",31,
IF(V2590="rEINTEGROS",7,
IF(V2590="BIT",90,
IF(V2590="OP GRADO - INGLÉS",17,"")))))</f>
        <v>31</v>
      </c>
      <c r="X2590" t="s">
        <v>3984</v>
      </c>
    </row>
    <row r="2591" spans="1:24" ht="15" x14ac:dyDescent="0.35">
      <c r="A2591" s="4">
        <v>45993.701793981483</v>
      </c>
      <c r="B2591">
        <v>20105654</v>
      </c>
      <c r="C2591" s="6" t="s">
        <v>19</v>
      </c>
      <c r="D2591">
        <v>572638</v>
      </c>
      <c r="E2591" t="s">
        <v>20</v>
      </c>
      <c r="F2591">
        <v>1105689099</v>
      </c>
      <c r="G2591" t="s">
        <v>730</v>
      </c>
      <c r="H2591">
        <v>100237129</v>
      </c>
      <c r="I2591">
        <v>202631</v>
      </c>
      <c r="J2591">
        <v>1105689099</v>
      </c>
      <c r="K2591" t="s">
        <v>23</v>
      </c>
      <c r="L2591" t="s">
        <v>65</v>
      </c>
      <c r="M2591" t="s">
        <v>24</v>
      </c>
      <c r="N2591" t="s">
        <v>35</v>
      </c>
      <c r="O2591" t="s">
        <v>26</v>
      </c>
      <c r="P2591" t="s">
        <v>27</v>
      </c>
      <c r="Q2591" t="s">
        <v>28</v>
      </c>
      <c r="R2591" t="s">
        <v>29</v>
      </c>
      <c r="S2591" t="s">
        <v>30</v>
      </c>
      <c r="T2591">
        <v>1026299972</v>
      </c>
      <c r="U2591" t="s">
        <v>3933</v>
      </c>
      <c r="V2591" t="s">
        <v>3934</v>
      </c>
      <c r="W2591" s="9">
        <f>IF(V2591="pregrado",31,
IF(V2591="posgrados",31,
IF(V2591="rEINTEGROS",7,
IF(V2591="BIT",90,
IF(V2591="OP GRADO - INGLÉS",17,"")))))</f>
        <v>31</v>
      </c>
      <c r="X2591" t="s">
        <v>4052</v>
      </c>
    </row>
    <row r="2592" spans="1:24" ht="15" x14ac:dyDescent="0.35">
      <c r="A2592" s="4">
        <v>45993.763449074075</v>
      </c>
      <c r="B2592">
        <v>20105670</v>
      </c>
      <c r="C2592" s="6" t="s">
        <v>19</v>
      </c>
      <c r="D2592">
        <v>572644</v>
      </c>
      <c r="E2592" t="s">
        <v>20</v>
      </c>
      <c r="F2592">
        <v>1030657734</v>
      </c>
      <c r="G2592" t="s">
        <v>734</v>
      </c>
      <c r="H2592">
        <v>100237135</v>
      </c>
      <c r="I2592">
        <v>202631</v>
      </c>
      <c r="J2592">
        <v>1030657734</v>
      </c>
      <c r="K2592" t="s">
        <v>33</v>
      </c>
      <c r="L2592" t="s">
        <v>90</v>
      </c>
      <c r="M2592" t="s">
        <v>24</v>
      </c>
      <c r="N2592" t="s">
        <v>38</v>
      </c>
      <c r="O2592" t="s">
        <v>26</v>
      </c>
      <c r="P2592" t="s">
        <v>27</v>
      </c>
      <c r="Q2592" t="s">
        <v>28</v>
      </c>
      <c r="R2592" t="s">
        <v>29</v>
      </c>
      <c r="S2592" t="s">
        <v>30</v>
      </c>
      <c r="T2592">
        <v>1023370559</v>
      </c>
      <c r="U2592" t="s">
        <v>3933</v>
      </c>
      <c r="V2592" t="s">
        <v>3934</v>
      </c>
      <c r="W2592" s="9">
        <f>IF(V2592="pregrado",31,
IF(V2592="posgrados",31,
IF(V2592="rEINTEGROS",7,
IF(V2592="BIT",90,
IF(V2592="OP GRADO - INGLÉS",17,"")))))</f>
        <v>31</v>
      </c>
      <c r="X2592" t="s">
        <v>4017</v>
      </c>
    </row>
    <row r="2593" spans="1:24" ht="15" x14ac:dyDescent="0.35">
      <c r="A2593" s="4">
        <v>45992.411030092589</v>
      </c>
      <c r="B2593">
        <v>20105403</v>
      </c>
      <c r="C2593" s="6" t="s">
        <v>19</v>
      </c>
      <c r="D2593">
        <v>572647</v>
      </c>
      <c r="E2593" t="s">
        <v>20</v>
      </c>
      <c r="F2593">
        <v>1102794706</v>
      </c>
      <c r="G2593" t="s">
        <v>694</v>
      </c>
      <c r="H2593">
        <v>100237141</v>
      </c>
      <c r="I2593">
        <v>202631</v>
      </c>
      <c r="J2593">
        <v>1102794706</v>
      </c>
      <c r="K2593" t="s">
        <v>23</v>
      </c>
      <c r="L2593" t="s">
        <v>101</v>
      </c>
      <c r="M2593" t="s">
        <v>24</v>
      </c>
      <c r="N2593" t="s">
        <v>35</v>
      </c>
      <c r="O2593" t="s">
        <v>26</v>
      </c>
      <c r="P2593" t="s">
        <v>27</v>
      </c>
      <c r="Q2593" t="s">
        <v>28</v>
      </c>
      <c r="R2593" t="s">
        <v>29</v>
      </c>
      <c r="S2593" t="s">
        <v>30</v>
      </c>
      <c r="T2593">
        <v>39658730</v>
      </c>
      <c r="U2593" t="s">
        <v>3963</v>
      </c>
      <c r="V2593" t="s">
        <v>3934</v>
      </c>
      <c r="W2593" s="9">
        <f>IF(V2593="pregrado",31,
IF(V2593="posgrados",31,
IF(V2593="rEINTEGROS",7,
IF(V2593="BIT",90,
IF(V2593="OP GRADO - INGLÉS",17,"")))))</f>
        <v>31</v>
      </c>
      <c r="X2593" t="s">
        <v>4003</v>
      </c>
    </row>
    <row r="2594" spans="1:24" ht="15" x14ac:dyDescent="0.35">
      <c r="A2594" s="4">
        <v>45990.729618055557</v>
      </c>
      <c r="B2594">
        <v>20105376</v>
      </c>
      <c r="C2594" s="6" t="s">
        <v>19</v>
      </c>
      <c r="D2594">
        <v>572651</v>
      </c>
      <c r="E2594" t="s">
        <v>20</v>
      </c>
      <c r="F2594">
        <v>86060646</v>
      </c>
      <c r="G2594" t="s">
        <v>690</v>
      </c>
      <c r="H2594">
        <v>100237148</v>
      </c>
      <c r="I2594">
        <v>202611</v>
      </c>
      <c r="J2594">
        <v>1121833399</v>
      </c>
      <c r="K2594" t="s">
        <v>23</v>
      </c>
      <c r="L2594" t="s">
        <v>227</v>
      </c>
      <c r="M2594" t="s">
        <v>24</v>
      </c>
      <c r="N2594" t="s">
        <v>35</v>
      </c>
      <c r="O2594" t="s">
        <v>26</v>
      </c>
      <c r="P2594" t="s">
        <v>27</v>
      </c>
      <c r="Q2594" t="s">
        <v>28</v>
      </c>
      <c r="R2594" t="s">
        <v>29</v>
      </c>
      <c r="S2594" t="s">
        <v>30</v>
      </c>
      <c r="T2594">
        <v>52342867</v>
      </c>
      <c r="U2594" t="s">
        <v>3965</v>
      </c>
      <c r="V2594" t="s">
        <v>3934</v>
      </c>
      <c r="W2594" s="9">
        <f>IF(V2594="pregrado",31,
IF(V2594="posgrados",31,
IF(V2594="rEINTEGROS",7,
IF(V2594="BIT",90,
IF(V2594="OP GRADO - INGLÉS",17,"")))))</f>
        <v>31</v>
      </c>
      <c r="X2594" t="s">
        <v>4047</v>
      </c>
    </row>
    <row r="2595" spans="1:24" ht="15" x14ac:dyDescent="0.35">
      <c r="A2595" s="4">
        <v>45997.450775462959</v>
      </c>
      <c r="B2595">
        <v>20106025</v>
      </c>
      <c r="C2595" s="6" t="s">
        <v>19</v>
      </c>
      <c r="D2595">
        <v>572659</v>
      </c>
      <c r="E2595" t="s">
        <v>20</v>
      </c>
      <c r="F2595">
        <v>1010222025</v>
      </c>
      <c r="G2595" t="s">
        <v>804</v>
      </c>
      <c r="H2595">
        <v>100237169</v>
      </c>
      <c r="I2595">
        <v>202631</v>
      </c>
      <c r="J2595">
        <v>1010222025</v>
      </c>
      <c r="K2595" t="s">
        <v>23</v>
      </c>
      <c r="L2595" t="s">
        <v>240</v>
      </c>
      <c r="M2595" t="s">
        <v>24</v>
      </c>
      <c r="N2595" t="s">
        <v>25</v>
      </c>
      <c r="O2595" t="s">
        <v>26</v>
      </c>
      <c r="P2595" t="s">
        <v>27</v>
      </c>
      <c r="Q2595" t="s">
        <v>28</v>
      </c>
      <c r="R2595" t="s">
        <v>29</v>
      </c>
      <c r="S2595" t="s">
        <v>30</v>
      </c>
      <c r="T2595">
        <v>1073692626</v>
      </c>
      <c r="U2595" t="s">
        <v>3965</v>
      </c>
      <c r="V2595" t="s">
        <v>3934</v>
      </c>
      <c r="W2595" s="9">
        <f>IF(V2595="pregrado",31,
IF(V2595="posgrados",31,
IF(V2595="rEINTEGROS",7,
IF(V2595="BIT",90,
IF(V2595="OP GRADO - INGLÉS",17,"")))))</f>
        <v>31</v>
      </c>
      <c r="X2595" t="s">
        <v>4014</v>
      </c>
    </row>
    <row r="2596" spans="1:24" ht="15" x14ac:dyDescent="0.35">
      <c r="A2596" s="4">
        <v>45993.898680555554</v>
      </c>
      <c r="B2596">
        <v>20105679</v>
      </c>
      <c r="C2596" s="6" t="s">
        <v>19</v>
      </c>
      <c r="D2596">
        <v>572663</v>
      </c>
      <c r="E2596" t="s">
        <v>20</v>
      </c>
      <c r="F2596">
        <v>24511629</v>
      </c>
      <c r="G2596" t="s">
        <v>740</v>
      </c>
      <c r="H2596">
        <v>100231969</v>
      </c>
      <c r="I2596">
        <v>202631</v>
      </c>
      <c r="J2596">
        <v>1088007041</v>
      </c>
      <c r="K2596" t="s">
        <v>23</v>
      </c>
      <c r="L2596" t="s">
        <v>90</v>
      </c>
      <c r="M2596" t="s">
        <v>24</v>
      </c>
      <c r="N2596" t="s">
        <v>35</v>
      </c>
      <c r="O2596" t="s">
        <v>26</v>
      </c>
      <c r="P2596" t="s">
        <v>27</v>
      </c>
      <c r="Q2596" t="s">
        <v>28</v>
      </c>
      <c r="R2596" t="s">
        <v>29</v>
      </c>
      <c r="S2596" t="s">
        <v>30</v>
      </c>
      <c r="T2596">
        <v>1015441103</v>
      </c>
      <c r="U2596" t="s">
        <v>3933</v>
      </c>
      <c r="V2596" t="s">
        <v>3934</v>
      </c>
      <c r="W2596" s="9">
        <f>IF(V2596="pregrado",31,
IF(V2596="posgrados",31,
IF(V2596="rEINTEGROS",7,
IF(V2596="BIT",90,
IF(V2596="OP GRADO - INGLÉS",17,"")))))</f>
        <v>31</v>
      </c>
      <c r="X2596" t="s">
        <v>3961</v>
      </c>
    </row>
    <row r="2597" spans="1:24" ht="15" x14ac:dyDescent="0.35">
      <c r="A2597" s="4">
        <v>45992.48296296296</v>
      </c>
      <c r="B2597">
        <v>20105440</v>
      </c>
      <c r="C2597" s="6" t="s">
        <v>19</v>
      </c>
      <c r="D2597">
        <v>572666</v>
      </c>
      <c r="E2597" t="s">
        <v>20</v>
      </c>
      <c r="F2597">
        <v>11105218</v>
      </c>
      <c r="G2597" t="s">
        <v>703</v>
      </c>
      <c r="H2597">
        <v>100237178</v>
      </c>
      <c r="I2597">
        <v>202631</v>
      </c>
      <c r="J2597">
        <v>1067281711</v>
      </c>
      <c r="K2597" t="s">
        <v>23</v>
      </c>
      <c r="L2597" t="s">
        <v>240</v>
      </c>
      <c r="M2597" t="s">
        <v>24</v>
      </c>
      <c r="N2597" t="s">
        <v>35</v>
      </c>
      <c r="O2597" t="s">
        <v>26</v>
      </c>
      <c r="P2597" t="s">
        <v>27</v>
      </c>
      <c r="Q2597" t="s">
        <v>28</v>
      </c>
      <c r="R2597" t="s">
        <v>29</v>
      </c>
      <c r="S2597" t="s">
        <v>30</v>
      </c>
      <c r="T2597">
        <v>1032678391</v>
      </c>
      <c r="U2597" t="s">
        <v>3965</v>
      </c>
      <c r="V2597" t="s">
        <v>3934</v>
      </c>
      <c r="W2597" s="9">
        <f>IF(V2597="pregrado",31,
IF(V2597="posgrados",31,
IF(V2597="rEINTEGROS",7,
IF(V2597="BIT",90,
IF(V2597="OP GRADO - INGLÉS",17,"")))))</f>
        <v>31</v>
      </c>
      <c r="X2597" t="s">
        <v>4098</v>
      </c>
    </row>
    <row r="2598" spans="1:24" ht="15" x14ac:dyDescent="0.35">
      <c r="A2598" s="4">
        <v>46042.731724537036</v>
      </c>
      <c r="B2598">
        <v>20115492</v>
      </c>
      <c r="C2598" s="6" t="s">
        <v>19</v>
      </c>
      <c r="D2598">
        <v>572667</v>
      </c>
      <c r="E2598" t="s">
        <v>20</v>
      </c>
      <c r="F2598">
        <v>1056121709</v>
      </c>
      <c r="G2598" t="s">
        <v>2044</v>
      </c>
      <c r="H2598">
        <v>100237179</v>
      </c>
      <c r="I2598">
        <v>202631</v>
      </c>
      <c r="J2598">
        <v>1056121709</v>
      </c>
      <c r="K2598" t="s">
        <v>23</v>
      </c>
      <c r="L2598" t="s">
        <v>231</v>
      </c>
      <c r="M2598" t="s">
        <v>24</v>
      </c>
      <c r="N2598" t="s">
        <v>35</v>
      </c>
      <c r="O2598" t="s">
        <v>26</v>
      </c>
      <c r="P2598" t="s">
        <v>27</v>
      </c>
      <c r="Q2598" t="s">
        <v>28</v>
      </c>
      <c r="R2598" t="s">
        <v>29</v>
      </c>
      <c r="S2598" t="s">
        <v>30</v>
      </c>
      <c r="T2598">
        <v>1001192723</v>
      </c>
      <c r="U2598" t="s">
        <v>3941</v>
      </c>
      <c r="V2598" t="s">
        <v>3934</v>
      </c>
      <c r="W2598" s="9">
        <f>IF(V2598="pregrado",31,
IF(V2598="posgrados",31,
IF(V2598="rEINTEGROS",7,
IF(V2598="BIT",90,
IF(V2598="OP GRADO - INGLÉS",17,"")))))</f>
        <v>31</v>
      </c>
      <c r="X2598" t="s">
        <v>3940</v>
      </c>
    </row>
    <row r="2599" spans="1:24" ht="15" x14ac:dyDescent="0.35">
      <c r="A2599" s="4">
        <v>45990.47084490741</v>
      </c>
      <c r="B2599">
        <v>20105351</v>
      </c>
      <c r="C2599" s="6" t="s">
        <v>19</v>
      </c>
      <c r="D2599">
        <v>572669</v>
      </c>
      <c r="E2599" t="s">
        <v>20</v>
      </c>
      <c r="F2599">
        <v>1077427402</v>
      </c>
      <c r="G2599" t="s">
        <v>681</v>
      </c>
      <c r="H2599">
        <v>100237182</v>
      </c>
      <c r="I2599">
        <v>202611</v>
      </c>
      <c r="J2599">
        <v>1077427402</v>
      </c>
      <c r="K2599" t="s">
        <v>23</v>
      </c>
      <c r="L2599" t="s">
        <v>227</v>
      </c>
      <c r="M2599" t="s">
        <v>24</v>
      </c>
      <c r="N2599" t="s">
        <v>35</v>
      </c>
      <c r="O2599" t="s">
        <v>26</v>
      </c>
      <c r="P2599" t="s">
        <v>27</v>
      </c>
      <c r="Q2599" t="s">
        <v>28</v>
      </c>
      <c r="R2599" t="s">
        <v>29</v>
      </c>
      <c r="S2599" t="s">
        <v>30</v>
      </c>
      <c r="T2599">
        <v>1032678391</v>
      </c>
      <c r="U2599" t="s">
        <v>3965</v>
      </c>
      <c r="V2599" t="s">
        <v>3934</v>
      </c>
      <c r="W2599" s="9">
        <f>IF(V2599="pregrado",31,
IF(V2599="posgrados",31,
IF(V2599="rEINTEGROS",7,
IF(V2599="BIT",90,
IF(V2599="OP GRADO - INGLÉS",17,"")))))</f>
        <v>31</v>
      </c>
      <c r="X2599" t="s">
        <v>4098</v>
      </c>
    </row>
    <row r="2600" spans="1:24" ht="15" x14ac:dyDescent="0.35">
      <c r="A2600" s="4">
        <v>45995.567175925928</v>
      </c>
      <c r="B2600">
        <v>20105866</v>
      </c>
      <c r="C2600" s="6" t="s">
        <v>19</v>
      </c>
      <c r="D2600">
        <v>572670</v>
      </c>
      <c r="E2600" t="s">
        <v>20</v>
      </c>
      <c r="F2600">
        <v>1125474923</v>
      </c>
      <c r="G2600" t="s">
        <v>776</v>
      </c>
      <c r="H2600">
        <v>100200026</v>
      </c>
      <c r="I2600">
        <v>202631</v>
      </c>
      <c r="J2600">
        <v>1125474923</v>
      </c>
      <c r="K2600" t="s">
        <v>33</v>
      </c>
      <c r="L2600" t="s">
        <v>127</v>
      </c>
      <c r="M2600" t="s">
        <v>24</v>
      </c>
      <c r="N2600" t="s">
        <v>25</v>
      </c>
      <c r="O2600" t="s">
        <v>26</v>
      </c>
      <c r="P2600" t="s">
        <v>27</v>
      </c>
      <c r="Q2600" t="s">
        <v>28</v>
      </c>
      <c r="R2600" t="s">
        <v>29</v>
      </c>
      <c r="S2600" t="s">
        <v>30</v>
      </c>
      <c r="T2600">
        <v>10306009131</v>
      </c>
      <c r="U2600" t="s">
        <v>3933</v>
      </c>
      <c r="V2600" t="s">
        <v>3934</v>
      </c>
      <c r="W2600" s="9">
        <f>IF(V2600="pregrado",31,
IF(V2600="posgrados",31,
IF(V2600="rEINTEGROS",7,
IF(V2600="BIT",90,
IF(V2600="OP GRADO - INGLÉS",17,"")))))</f>
        <v>31</v>
      </c>
      <c r="X2600" t="s">
        <v>3978</v>
      </c>
    </row>
    <row r="2601" spans="1:24" ht="15" x14ac:dyDescent="0.35">
      <c r="A2601" s="4">
        <v>45992.492094907408</v>
      </c>
      <c r="B2601">
        <v>20105443</v>
      </c>
      <c r="C2601" s="6" t="s">
        <v>19</v>
      </c>
      <c r="D2601">
        <v>572672</v>
      </c>
      <c r="E2601" t="s">
        <v>20</v>
      </c>
      <c r="F2601">
        <v>1002709471</v>
      </c>
      <c r="G2601" t="s">
        <v>704</v>
      </c>
      <c r="H2601">
        <v>100237183</v>
      </c>
      <c r="I2601">
        <v>202631</v>
      </c>
      <c r="J2601">
        <v>1002709471</v>
      </c>
      <c r="K2601" t="s">
        <v>23</v>
      </c>
      <c r="L2601" t="s">
        <v>240</v>
      </c>
      <c r="M2601" t="s">
        <v>24</v>
      </c>
      <c r="N2601" t="s">
        <v>35</v>
      </c>
      <c r="O2601" t="s">
        <v>26</v>
      </c>
      <c r="P2601" t="s">
        <v>27</v>
      </c>
      <c r="Q2601" t="s">
        <v>28</v>
      </c>
      <c r="R2601" t="s">
        <v>29</v>
      </c>
      <c r="S2601" t="s">
        <v>30</v>
      </c>
      <c r="T2601">
        <v>1073692626</v>
      </c>
      <c r="U2601" t="s">
        <v>3965</v>
      </c>
      <c r="V2601" t="s">
        <v>3934</v>
      </c>
      <c r="W2601" s="9">
        <f>IF(V2601="pregrado",31,
IF(V2601="posgrados",31,
IF(V2601="rEINTEGROS",7,
IF(V2601="BIT",90,
IF(V2601="OP GRADO - INGLÉS",17,"")))))</f>
        <v>31</v>
      </c>
      <c r="X2601" t="s">
        <v>4014</v>
      </c>
    </row>
    <row r="2602" spans="1:24" ht="15" x14ac:dyDescent="0.35">
      <c r="A2602" s="4">
        <v>45992.513391203705</v>
      </c>
      <c r="B2602">
        <v>20105448</v>
      </c>
      <c r="C2602" s="6" t="s">
        <v>19</v>
      </c>
      <c r="D2602">
        <v>572679</v>
      </c>
      <c r="E2602" t="s">
        <v>20</v>
      </c>
      <c r="F2602">
        <v>1000539352</v>
      </c>
      <c r="G2602" t="s">
        <v>705</v>
      </c>
      <c r="H2602">
        <v>100237197</v>
      </c>
      <c r="I2602">
        <v>202631</v>
      </c>
      <c r="J2602">
        <v>1000539352</v>
      </c>
      <c r="K2602" t="s">
        <v>23</v>
      </c>
      <c r="L2602" t="s">
        <v>90</v>
      </c>
      <c r="M2602" t="s">
        <v>24</v>
      </c>
      <c r="N2602" t="s">
        <v>35</v>
      </c>
      <c r="O2602" t="s">
        <v>26</v>
      </c>
      <c r="P2602" t="s">
        <v>27</v>
      </c>
      <c r="Q2602" t="s">
        <v>28</v>
      </c>
      <c r="R2602" t="s">
        <v>29</v>
      </c>
      <c r="S2602" t="s">
        <v>30</v>
      </c>
      <c r="T2602">
        <v>1007473661</v>
      </c>
      <c r="U2602" t="s">
        <v>3933</v>
      </c>
      <c r="V2602" t="s">
        <v>3934</v>
      </c>
      <c r="W2602" s="9">
        <f>IF(V2602="pregrado",31,
IF(V2602="posgrados",31,
IF(V2602="rEINTEGROS",7,
IF(V2602="BIT",90,
IF(V2602="OP GRADO - INGLÉS",17,"")))))</f>
        <v>31</v>
      </c>
      <c r="X2602" t="s">
        <v>4058</v>
      </c>
    </row>
    <row r="2603" spans="1:24" ht="15" x14ac:dyDescent="0.35">
      <c r="A2603" s="4">
        <v>45990.52008101852</v>
      </c>
      <c r="B2603">
        <v>20105368</v>
      </c>
      <c r="C2603" s="6" t="s">
        <v>19</v>
      </c>
      <c r="D2603">
        <v>572681</v>
      </c>
      <c r="E2603" t="s">
        <v>20</v>
      </c>
      <c r="F2603">
        <v>20700223</v>
      </c>
      <c r="G2603" t="s">
        <v>686</v>
      </c>
      <c r="H2603">
        <v>100230914</v>
      </c>
      <c r="I2603">
        <v>202631</v>
      </c>
      <c r="J2603">
        <v>1069332151</v>
      </c>
      <c r="K2603" t="s">
        <v>23</v>
      </c>
      <c r="L2603" t="s">
        <v>240</v>
      </c>
      <c r="M2603" t="s">
        <v>24</v>
      </c>
      <c r="N2603" t="s">
        <v>35</v>
      </c>
      <c r="O2603" t="s">
        <v>26</v>
      </c>
      <c r="P2603" t="s">
        <v>27</v>
      </c>
      <c r="Q2603" t="s">
        <v>28</v>
      </c>
      <c r="R2603" t="s">
        <v>29</v>
      </c>
      <c r="S2603" t="s">
        <v>30</v>
      </c>
      <c r="T2603">
        <v>1000001980</v>
      </c>
      <c r="U2603" t="s">
        <v>3944</v>
      </c>
      <c r="V2603" t="s">
        <v>3934</v>
      </c>
      <c r="W2603" s="9">
        <f>IF(V2603="pregrado",31,
IF(V2603="posgrados",31,
IF(V2603="rEINTEGROS",7,
IF(V2603="BIT",90,
IF(V2603="OP GRADO - INGLÉS",17,"")))))</f>
        <v>31</v>
      </c>
      <c r="X2603" t="s">
        <v>3968</v>
      </c>
    </row>
    <row r="2604" spans="1:24" ht="15" x14ac:dyDescent="0.35">
      <c r="A2604" s="4">
        <v>45993.574479166666</v>
      </c>
      <c r="B2604">
        <v>20105600</v>
      </c>
      <c r="C2604" s="6" t="s">
        <v>19</v>
      </c>
      <c r="D2604">
        <v>572690</v>
      </c>
      <c r="E2604" t="s">
        <v>20</v>
      </c>
      <c r="F2604">
        <v>1011322322</v>
      </c>
      <c r="G2604" t="s">
        <v>722</v>
      </c>
      <c r="H2604">
        <v>200062933</v>
      </c>
      <c r="I2604">
        <v>202631</v>
      </c>
      <c r="J2604">
        <v>1011322322</v>
      </c>
      <c r="K2604" t="s">
        <v>33</v>
      </c>
      <c r="L2604" t="s">
        <v>22</v>
      </c>
      <c r="M2604" t="s">
        <v>24</v>
      </c>
      <c r="N2604" t="s">
        <v>25</v>
      </c>
      <c r="O2604" t="s">
        <v>26</v>
      </c>
      <c r="P2604" t="s">
        <v>27</v>
      </c>
      <c r="Q2604" t="s">
        <v>28</v>
      </c>
      <c r="R2604" t="s">
        <v>29</v>
      </c>
      <c r="S2604" t="s">
        <v>30</v>
      </c>
      <c r="T2604">
        <v>10245841021</v>
      </c>
      <c r="U2604" t="s">
        <v>3933</v>
      </c>
      <c r="V2604" t="s">
        <v>3934</v>
      </c>
      <c r="W2604" s="9">
        <f>IF(V2604="pregrado",31,
IF(V2604="posgrados",31,
IF(V2604="rEINTEGROS",7,
IF(V2604="BIT",90,
IF(V2604="OP GRADO - INGLÉS",17,"")))))</f>
        <v>31</v>
      </c>
      <c r="X2604" t="s">
        <v>3987</v>
      </c>
    </row>
    <row r="2605" spans="1:24" ht="15" x14ac:dyDescent="0.35">
      <c r="A2605" s="4">
        <v>45992.476921296293</v>
      </c>
      <c r="B2605">
        <v>20105436</v>
      </c>
      <c r="C2605" s="6" t="s">
        <v>19</v>
      </c>
      <c r="D2605">
        <v>572697</v>
      </c>
      <c r="E2605" t="s">
        <v>20</v>
      </c>
      <c r="F2605">
        <v>1014301893</v>
      </c>
      <c r="G2605" t="s">
        <v>701</v>
      </c>
      <c r="H2605">
        <v>100237222</v>
      </c>
      <c r="I2605">
        <v>202611</v>
      </c>
      <c r="J2605">
        <v>1014301893</v>
      </c>
      <c r="K2605" t="s">
        <v>23</v>
      </c>
      <c r="L2605" t="s">
        <v>204</v>
      </c>
      <c r="M2605" t="s">
        <v>24</v>
      </c>
      <c r="N2605" t="s">
        <v>35</v>
      </c>
      <c r="O2605" t="s">
        <v>26</v>
      </c>
      <c r="P2605" t="s">
        <v>27</v>
      </c>
      <c r="Q2605" t="s">
        <v>28</v>
      </c>
      <c r="R2605" t="s">
        <v>29</v>
      </c>
      <c r="S2605" t="s">
        <v>30</v>
      </c>
      <c r="T2605">
        <v>1020730718</v>
      </c>
      <c r="U2605" t="s">
        <v>3941</v>
      </c>
      <c r="V2605" t="s">
        <v>3934</v>
      </c>
      <c r="W2605" s="9">
        <f>IF(V2605="pregrado",31,
IF(V2605="posgrados",31,
IF(V2605="rEINTEGROS",7,
IF(V2605="BIT",90,
IF(V2605="OP GRADO - INGLÉS",17,"")))))</f>
        <v>31</v>
      </c>
      <c r="X2605" t="s">
        <v>3952</v>
      </c>
    </row>
    <row r="2606" spans="1:24" ht="15" x14ac:dyDescent="0.35">
      <c r="A2606" s="4">
        <v>46001.866377314815</v>
      </c>
      <c r="B2606">
        <v>20106519</v>
      </c>
      <c r="C2606" s="6" t="s">
        <v>19</v>
      </c>
      <c r="D2606">
        <v>572706</v>
      </c>
      <c r="E2606" t="s">
        <v>20</v>
      </c>
      <c r="F2606">
        <v>1073157837</v>
      </c>
      <c r="G2606" t="s">
        <v>886</v>
      </c>
      <c r="H2606">
        <v>100237260</v>
      </c>
      <c r="I2606">
        <v>202631</v>
      </c>
      <c r="J2606">
        <v>1073235761</v>
      </c>
      <c r="K2606" t="s">
        <v>23</v>
      </c>
      <c r="L2606" t="s">
        <v>90</v>
      </c>
      <c r="M2606" t="s">
        <v>24</v>
      </c>
      <c r="N2606" t="s">
        <v>35</v>
      </c>
      <c r="O2606" t="s">
        <v>26</v>
      </c>
      <c r="P2606" t="s">
        <v>27</v>
      </c>
      <c r="Q2606" t="s">
        <v>28</v>
      </c>
      <c r="R2606" t="s">
        <v>29</v>
      </c>
      <c r="S2606" t="s">
        <v>30</v>
      </c>
      <c r="T2606">
        <v>1030525993</v>
      </c>
      <c r="U2606" t="s">
        <v>3933</v>
      </c>
      <c r="V2606" t="s">
        <v>3934</v>
      </c>
      <c r="W2606" s="9">
        <f>IF(V2606="pregrado",31,
IF(V2606="posgrados",31,
IF(V2606="rEINTEGROS",7,
IF(V2606="BIT",90,
IF(V2606="OP GRADO - INGLÉS",17,"")))))</f>
        <v>31</v>
      </c>
      <c r="X2606" t="s">
        <v>3956</v>
      </c>
    </row>
    <row r="2607" spans="1:24" ht="15" x14ac:dyDescent="0.35">
      <c r="A2607" s="4">
        <v>46008.700787037036</v>
      </c>
      <c r="B2607">
        <v>20108305</v>
      </c>
      <c r="C2607" s="6" t="s">
        <v>19</v>
      </c>
      <c r="D2607">
        <v>572710</v>
      </c>
      <c r="E2607" t="s">
        <v>20</v>
      </c>
      <c r="F2607">
        <v>32488047</v>
      </c>
      <c r="G2607" t="s">
        <v>1093</v>
      </c>
      <c r="H2607">
        <v>100217741</v>
      </c>
      <c r="I2607">
        <v>202631</v>
      </c>
      <c r="J2607">
        <v>1001015043</v>
      </c>
      <c r="K2607" t="s">
        <v>33</v>
      </c>
      <c r="L2607" t="s">
        <v>42</v>
      </c>
      <c r="M2607" t="s">
        <v>24</v>
      </c>
      <c r="N2607" t="s">
        <v>35</v>
      </c>
      <c r="O2607" t="s">
        <v>26</v>
      </c>
      <c r="P2607" t="s">
        <v>27</v>
      </c>
      <c r="Q2607" t="s">
        <v>28</v>
      </c>
      <c r="R2607" t="s">
        <v>29</v>
      </c>
      <c r="S2607" t="s">
        <v>30</v>
      </c>
      <c r="T2607">
        <v>10123971531</v>
      </c>
      <c r="U2607" t="s">
        <v>3944</v>
      </c>
      <c r="V2607" t="s">
        <v>3934</v>
      </c>
      <c r="W2607" s="9">
        <f>IF(V2607="pregrado",31,
IF(V2607="posgrados",31,
IF(V2607="rEINTEGROS",7,
IF(V2607="BIT",90,
IF(V2607="OP GRADO - INGLÉS",17,"")))))</f>
        <v>31</v>
      </c>
      <c r="X2607" t="s">
        <v>3943</v>
      </c>
    </row>
    <row r="2608" spans="1:24" ht="15" x14ac:dyDescent="0.35">
      <c r="A2608" s="4">
        <v>45993.412280092591</v>
      </c>
      <c r="B2608">
        <v>20105551</v>
      </c>
      <c r="C2608" s="6" t="s">
        <v>19</v>
      </c>
      <c r="D2608">
        <v>572723</v>
      </c>
      <c r="E2608" t="s">
        <v>20</v>
      </c>
      <c r="F2608">
        <v>1116776962</v>
      </c>
      <c r="G2608" t="s">
        <v>714</v>
      </c>
      <c r="H2608">
        <v>100237278</v>
      </c>
      <c r="I2608">
        <v>202631</v>
      </c>
      <c r="J2608">
        <v>1116776962</v>
      </c>
      <c r="K2608" t="s">
        <v>33</v>
      </c>
      <c r="L2608" t="s">
        <v>127</v>
      </c>
      <c r="M2608" t="s">
        <v>24</v>
      </c>
      <c r="N2608" t="s">
        <v>25</v>
      </c>
      <c r="O2608" t="s">
        <v>26</v>
      </c>
      <c r="P2608" t="s">
        <v>27</v>
      </c>
      <c r="Q2608" t="s">
        <v>28</v>
      </c>
      <c r="R2608" t="s">
        <v>29</v>
      </c>
      <c r="S2608" t="s">
        <v>30</v>
      </c>
      <c r="T2608">
        <v>1026299972</v>
      </c>
      <c r="U2608" t="s">
        <v>3933</v>
      </c>
      <c r="V2608" t="s">
        <v>3934</v>
      </c>
      <c r="W2608" s="9">
        <f>IF(V2608="pregrado",31,
IF(V2608="posgrados",31,
IF(V2608="rEINTEGROS",7,
IF(V2608="BIT",90,
IF(V2608="OP GRADO - INGLÉS",17,"")))))</f>
        <v>31</v>
      </c>
      <c r="X2608" t="s">
        <v>4052</v>
      </c>
    </row>
    <row r="2609" spans="1:24" ht="15" x14ac:dyDescent="0.35">
      <c r="A2609" s="4">
        <v>46006.828576388885</v>
      </c>
      <c r="B2609">
        <v>20107606</v>
      </c>
      <c r="C2609" s="6" t="s">
        <v>19</v>
      </c>
      <c r="D2609">
        <v>572730</v>
      </c>
      <c r="E2609" t="s">
        <v>20</v>
      </c>
      <c r="F2609">
        <v>1072168611</v>
      </c>
      <c r="G2609" t="s">
        <v>1028</v>
      </c>
      <c r="H2609">
        <v>100237284</v>
      </c>
      <c r="I2609">
        <v>202631</v>
      </c>
      <c r="J2609">
        <v>1015450867</v>
      </c>
      <c r="K2609" t="s">
        <v>33</v>
      </c>
      <c r="L2609" t="s">
        <v>127</v>
      </c>
      <c r="M2609" t="s">
        <v>24</v>
      </c>
      <c r="N2609" t="s">
        <v>38</v>
      </c>
      <c r="O2609" t="s">
        <v>26</v>
      </c>
      <c r="P2609" t="s">
        <v>27</v>
      </c>
      <c r="Q2609" t="s">
        <v>28</v>
      </c>
      <c r="R2609" t="s">
        <v>29</v>
      </c>
      <c r="S2609" t="s">
        <v>30</v>
      </c>
      <c r="T2609">
        <v>1030525993</v>
      </c>
      <c r="U2609" t="s">
        <v>3933</v>
      </c>
      <c r="V2609" t="s">
        <v>3934</v>
      </c>
      <c r="W2609" s="9">
        <f>IF(V2609="pregrado",31,
IF(V2609="posgrados",31,
IF(V2609="rEINTEGROS",7,
IF(V2609="BIT",90,
IF(V2609="OP GRADO - INGLÉS",17,"")))))</f>
        <v>31</v>
      </c>
      <c r="X2609" t="s">
        <v>3956</v>
      </c>
    </row>
    <row r="2610" spans="1:24" ht="15" x14ac:dyDescent="0.35">
      <c r="A2610" s="4">
        <v>45992.719687500001</v>
      </c>
      <c r="B2610">
        <v>20105504</v>
      </c>
      <c r="C2610" s="6" t="s">
        <v>19</v>
      </c>
      <c r="D2610">
        <v>572746</v>
      </c>
      <c r="E2610" t="s">
        <v>20</v>
      </c>
      <c r="F2610">
        <v>1096214661</v>
      </c>
      <c r="G2610" t="s">
        <v>711</v>
      </c>
      <c r="H2610">
        <v>100237300</v>
      </c>
      <c r="I2610">
        <v>202631</v>
      </c>
      <c r="J2610">
        <v>1096214661</v>
      </c>
      <c r="K2610" t="s">
        <v>23</v>
      </c>
      <c r="L2610" t="s">
        <v>127</v>
      </c>
      <c r="M2610" t="s">
        <v>24</v>
      </c>
      <c r="N2610" t="s">
        <v>35</v>
      </c>
      <c r="O2610" t="s">
        <v>26</v>
      </c>
      <c r="P2610" t="s">
        <v>27</v>
      </c>
      <c r="Q2610" t="s">
        <v>28</v>
      </c>
      <c r="R2610" t="s">
        <v>29</v>
      </c>
      <c r="S2610" t="s">
        <v>30</v>
      </c>
      <c r="T2610">
        <v>1013687925</v>
      </c>
      <c r="U2610" t="s">
        <v>3933</v>
      </c>
      <c r="V2610" t="s">
        <v>3934</v>
      </c>
      <c r="W2610" s="9">
        <f>IF(V2610="pregrado",31,
IF(V2610="posgrados",31,
IF(V2610="rEINTEGROS",7,
IF(V2610="BIT",90,
IF(V2610="OP GRADO - INGLÉS",17,"")))))</f>
        <v>31</v>
      </c>
      <c r="X2610" t="s">
        <v>3959</v>
      </c>
    </row>
    <row r="2611" spans="1:24" ht="15" x14ac:dyDescent="0.35">
      <c r="A2611" s="4">
        <v>45993.718136574076</v>
      </c>
      <c r="B2611">
        <v>20105660</v>
      </c>
      <c r="C2611" s="6" t="s">
        <v>19</v>
      </c>
      <c r="D2611">
        <v>572747</v>
      </c>
      <c r="E2611" t="s">
        <v>20</v>
      </c>
      <c r="F2611">
        <v>1007562359</v>
      </c>
      <c r="G2611" t="s">
        <v>732</v>
      </c>
      <c r="H2611">
        <v>200063424</v>
      </c>
      <c r="I2611">
        <v>202631</v>
      </c>
      <c r="J2611">
        <v>1007562359</v>
      </c>
      <c r="K2611" t="s">
        <v>33</v>
      </c>
      <c r="L2611" t="s">
        <v>119</v>
      </c>
      <c r="M2611" t="s">
        <v>24</v>
      </c>
      <c r="N2611" t="s">
        <v>35</v>
      </c>
      <c r="O2611" t="s">
        <v>26</v>
      </c>
      <c r="P2611" t="s">
        <v>27</v>
      </c>
      <c r="Q2611" t="s">
        <v>28</v>
      </c>
      <c r="R2611" t="s">
        <v>29</v>
      </c>
      <c r="S2611" t="s">
        <v>30</v>
      </c>
      <c r="T2611">
        <v>1077967131</v>
      </c>
      <c r="U2611" t="s">
        <v>3963</v>
      </c>
      <c r="V2611" t="s">
        <v>3934</v>
      </c>
      <c r="W2611" s="9">
        <f>IF(V2611="pregrado",31,
IF(V2611="posgrados",31,
IF(V2611="rEINTEGROS",7,
IF(V2611="BIT",90,
IF(V2611="OP GRADO - INGLÉS",17,"")))))</f>
        <v>31</v>
      </c>
      <c r="X2611" t="s">
        <v>4011</v>
      </c>
    </row>
    <row r="2612" spans="1:24" ht="15" x14ac:dyDescent="0.35">
      <c r="A2612" s="4">
        <v>46076.778831018521</v>
      </c>
      <c r="B2612">
        <v>20125843</v>
      </c>
      <c r="C2612" s="6" t="s">
        <v>19</v>
      </c>
      <c r="D2612">
        <v>572751</v>
      </c>
      <c r="E2612" t="s">
        <v>20</v>
      </c>
      <c r="F2612">
        <v>1074344441</v>
      </c>
      <c r="G2612" t="s">
        <v>3575</v>
      </c>
      <c r="H2612">
        <v>100233451</v>
      </c>
      <c r="I2612">
        <v>202610</v>
      </c>
      <c r="J2612">
        <v>1074344441</v>
      </c>
      <c r="K2612" t="s">
        <v>23</v>
      </c>
      <c r="L2612" t="s">
        <v>79</v>
      </c>
      <c r="M2612" t="s">
        <v>24</v>
      </c>
      <c r="N2612" t="s">
        <v>35</v>
      </c>
      <c r="O2612" t="s">
        <v>26</v>
      </c>
      <c r="P2612" t="s">
        <v>27</v>
      </c>
      <c r="Q2612" t="s">
        <v>28</v>
      </c>
      <c r="R2612" t="s">
        <v>29</v>
      </c>
      <c r="S2612" t="s">
        <v>30</v>
      </c>
      <c r="T2612">
        <v>1003652550</v>
      </c>
      <c r="U2612" t="s">
        <v>3965</v>
      </c>
      <c r="V2612" t="s">
        <v>3934</v>
      </c>
      <c r="W2612" s="9">
        <f>IF(V2612="pregrado",31,
IF(V2612="posgrados",31,
IF(V2612="rEINTEGROS",7,
IF(V2612="BIT",90,
IF(V2612="OP GRADO - INGLÉS",17,"")))))</f>
        <v>31</v>
      </c>
      <c r="X2612" t="s">
        <v>4059</v>
      </c>
    </row>
    <row r="2613" spans="1:24" ht="15" x14ac:dyDescent="0.35">
      <c r="A2613" s="4">
        <v>45992.695416666669</v>
      </c>
      <c r="B2613">
        <v>20105492</v>
      </c>
      <c r="C2613" s="6" t="s">
        <v>19</v>
      </c>
      <c r="D2613">
        <v>572753</v>
      </c>
      <c r="E2613" t="s">
        <v>20</v>
      </c>
      <c r="F2613">
        <v>1041148625</v>
      </c>
      <c r="G2613" t="s">
        <v>709</v>
      </c>
      <c r="H2613">
        <v>100133881</v>
      </c>
      <c r="I2613">
        <v>202631</v>
      </c>
      <c r="J2613">
        <v>1041148625</v>
      </c>
      <c r="K2613" t="s">
        <v>23</v>
      </c>
      <c r="L2613" t="s">
        <v>240</v>
      </c>
      <c r="M2613" t="s">
        <v>24</v>
      </c>
      <c r="N2613" t="s">
        <v>25</v>
      </c>
      <c r="O2613" t="s">
        <v>26</v>
      </c>
      <c r="P2613" t="s">
        <v>27</v>
      </c>
      <c r="Q2613" t="s">
        <v>28</v>
      </c>
      <c r="R2613" t="s">
        <v>29</v>
      </c>
      <c r="S2613" t="s">
        <v>30</v>
      </c>
      <c r="T2613">
        <v>1023929839</v>
      </c>
      <c r="U2613" t="s">
        <v>3933</v>
      </c>
      <c r="V2613" t="s">
        <v>3934</v>
      </c>
      <c r="W2613" s="9">
        <f>IF(V2613="pregrado",31,
IF(V2613="posgrados",31,
IF(V2613="rEINTEGROS",7,
IF(V2613="BIT",90,
IF(V2613="OP GRADO - INGLÉS",17,"")))))</f>
        <v>31</v>
      </c>
      <c r="X2613" t="s">
        <v>3932</v>
      </c>
    </row>
    <row r="2614" spans="1:24" ht="15" x14ac:dyDescent="0.35">
      <c r="A2614" s="4">
        <v>46001.439560185187</v>
      </c>
      <c r="B2614">
        <v>20106333</v>
      </c>
      <c r="C2614" s="6" t="s">
        <v>19</v>
      </c>
      <c r="D2614">
        <v>572756</v>
      </c>
      <c r="E2614" t="s">
        <v>20</v>
      </c>
      <c r="F2614">
        <v>5366132</v>
      </c>
      <c r="G2614" t="s">
        <v>852</v>
      </c>
      <c r="H2614">
        <v>100230700</v>
      </c>
      <c r="I2614">
        <v>202610</v>
      </c>
      <c r="J2614">
        <v>1028881214</v>
      </c>
      <c r="K2614" t="s">
        <v>83</v>
      </c>
      <c r="L2614" t="s">
        <v>49</v>
      </c>
      <c r="M2614" t="s">
        <v>24</v>
      </c>
      <c r="N2614" t="s">
        <v>35</v>
      </c>
      <c r="O2614" t="s">
        <v>26</v>
      </c>
      <c r="P2614" t="s">
        <v>27</v>
      </c>
      <c r="Q2614" t="s">
        <v>28</v>
      </c>
      <c r="R2614" t="s">
        <v>29</v>
      </c>
      <c r="S2614" t="s">
        <v>30</v>
      </c>
      <c r="T2614">
        <v>10123971531</v>
      </c>
      <c r="U2614" t="s">
        <v>3944</v>
      </c>
      <c r="V2614" t="s">
        <v>3934</v>
      </c>
      <c r="W2614" s="9">
        <f>IF(V2614="pregrado",31,
IF(V2614="posgrados",31,
IF(V2614="rEINTEGROS",7,
IF(V2614="BIT",90,
IF(V2614="OP GRADO - INGLÉS",17,"")))))</f>
        <v>31</v>
      </c>
      <c r="X2614" t="s">
        <v>3943</v>
      </c>
    </row>
    <row r="2615" spans="1:24" ht="15" x14ac:dyDescent="0.35">
      <c r="A2615" s="4">
        <v>45993.667916666665</v>
      </c>
      <c r="B2615">
        <v>20105643</v>
      </c>
      <c r="C2615" s="6" t="s">
        <v>19</v>
      </c>
      <c r="D2615">
        <v>572761</v>
      </c>
      <c r="E2615" t="s">
        <v>20</v>
      </c>
      <c r="F2615">
        <v>22523802</v>
      </c>
      <c r="G2615" t="s">
        <v>729</v>
      </c>
      <c r="H2615">
        <v>100237310</v>
      </c>
      <c r="I2615">
        <v>202631</v>
      </c>
      <c r="J2615">
        <v>22523802</v>
      </c>
      <c r="K2615" t="s">
        <v>23</v>
      </c>
      <c r="L2615" t="s">
        <v>219</v>
      </c>
      <c r="M2615" t="s">
        <v>24</v>
      </c>
      <c r="N2615" t="s">
        <v>35</v>
      </c>
      <c r="O2615" t="s">
        <v>26</v>
      </c>
      <c r="P2615" t="s">
        <v>27</v>
      </c>
      <c r="Q2615" t="s">
        <v>28</v>
      </c>
      <c r="R2615" t="s">
        <v>29</v>
      </c>
      <c r="S2615" t="s">
        <v>30</v>
      </c>
      <c r="T2615">
        <v>1020820287</v>
      </c>
      <c r="U2615" t="s">
        <v>3963</v>
      </c>
      <c r="V2615" t="s">
        <v>3934</v>
      </c>
      <c r="W2615" s="9">
        <f>IF(V2615="pregrado",31,
IF(V2615="posgrados",31,
IF(V2615="rEINTEGROS",7,
IF(V2615="BIT",90,
IF(V2615="OP GRADO - INGLÉS",17,"")))))</f>
        <v>31</v>
      </c>
      <c r="X2615" t="s">
        <v>4044</v>
      </c>
    </row>
    <row r="2616" spans="1:24" ht="15" x14ac:dyDescent="0.35">
      <c r="A2616" s="4">
        <v>45993.470057870371</v>
      </c>
      <c r="B2616">
        <v>20105572</v>
      </c>
      <c r="C2616" s="6" t="s">
        <v>19</v>
      </c>
      <c r="D2616">
        <v>572768</v>
      </c>
      <c r="E2616" t="s">
        <v>20</v>
      </c>
      <c r="F2616">
        <v>1111262048</v>
      </c>
      <c r="G2616" t="s">
        <v>715</v>
      </c>
      <c r="H2616">
        <v>200065707</v>
      </c>
      <c r="I2616">
        <v>202631</v>
      </c>
      <c r="J2616">
        <v>1031816519</v>
      </c>
      <c r="K2616" t="s">
        <v>23</v>
      </c>
      <c r="L2616" t="s">
        <v>22</v>
      </c>
      <c r="M2616" t="s">
        <v>24</v>
      </c>
      <c r="N2616" t="s">
        <v>25</v>
      </c>
      <c r="O2616" t="s">
        <v>26</v>
      </c>
      <c r="P2616" t="s">
        <v>27</v>
      </c>
      <c r="Q2616" t="s">
        <v>28</v>
      </c>
      <c r="R2616" t="s">
        <v>29</v>
      </c>
      <c r="S2616" t="s">
        <v>30</v>
      </c>
      <c r="T2616">
        <v>1010240716</v>
      </c>
      <c r="U2616" t="s">
        <v>3939</v>
      </c>
      <c r="V2616" t="s">
        <v>3934</v>
      </c>
      <c r="W2616" s="9">
        <f>IF(V2616="pregrado",31,
IF(V2616="posgrados",31,
IF(V2616="rEINTEGROS",7,
IF(V2616="BIT",90,
IF(V2616="OP GRADO - INGLÉS",17,"")))))</f>
        <v>31</v>
      </c>
      <c r="X2616" t="s">
        <v>3938</v>
      </c>
    </row>
    <row r="2617" spans="1:24" ht="15" x14ac:dyDescent="0.35">
      <c r="A2617" s="4">
        <v>46006.475266203706</v>
      </c>
      <c r="B2617">
        <v>20107273</v>
      </c>
      <c r="C2617" s="6" t="s">
        <v>19</v>
      </c>
      <c r="D2617">
        <v>572769</v>
      </c>
      <c r="E2617" t="s">
        <v>20</v>
      </c>
      <c r="F2617">
        <v>1024544198</v>
      </c>
      <c r="G2617" t="s">
        <v>994</v>
      </c>
      <c r="H2617">
        <v>100237320</v>
      </c>
      <c r="I2617">
        <v>202631</v>
      </c>
      <c r="J2617">
        <v>1024544198</v>
      </c>
      <c r="K2617" t="s">
        <v>33</v>
      </c>
      <c r="L2617" t="s">
        <v>207</v>
      </c>
      <c r="M2617" t="s">
        <v>24</v>
      </c>
      <c r="N2617" t="s">
        <v>35</v>
      </c>
      <c r="O2617" t="s">
        <v>26</v>
      </c>
      <c r="P2617" t="s">
        <v>27</v>
      </c>
      <c r="Q2617" t="s">
        <v>28</v>
      </c>
      <c r="R2617" t="s">
        <v>29</v>
      </c>
      <c r="S2617" t="s">
        <v>30</v>
      </c>
      <c r="T2617">
        <v>1006505929</v>
      </c>
      <c r="U2617" t="s">
        <v>3986</v>
      </c>
      <c r="V2617" t="s">
        <v>3934</v>
      </c>
      <c r="W2617" s="9">
        <f>IF(V2617="pregrado",31,
IF(V2617="posgrados",31,
IF(V2617="rEINTEGROS",7,
IF(V2617="BIT",90,
IF(V2617="OP GRADO - INGLÉS",17,"")))))</f>
        <v>31</v>
      </c>
      <c r="X2617" t="s">
        <v>4013</v>
      </c>
    </row>
    <row r="2618" spans="1:24" ht="15" x14ac:dyDescent="0.35">
      <c r="A2618" s="4">
        <v>46002.678449074076</v>
      </c>
      <c r="B2618">
        <v>20106711</v>
      </c>
      <c r="C2618" s="6" t="s">
        <v>19</v>
      </c>
      <c r="D2618">
        <v>572772</v>
      </c>
      <c r="E2618" t="s">
        <v>20</v>
      </c>
      <c r="F2618">
        <v>1007504858</v>
      </c>
      <c r="G2618" t="s">
        <v>923</v>
      </c>
      <c r="H2618">
        <v>100237324</v>
      </c>
      <c r="I2618">
        <v>202631</v>
      </c>
      <c r="J2618">
        <v>1007504858</v>
      </c>
      <c r="K2618" t="s">
        <v>33</v>
      </c>
      <c r="L2618" t="s">
        <v>90</v>
      </c>
      <c r="M2618" t="s">
        <v>24</v>
      </c>
      <c r="N2618" t="s">
        <v>25</v>
      </c>
      <c r="O2618" t="s">
        <v>26</v>
      </c>
      <c r="P2618" t="s">
        <v>27</v>
      </c>
      <c r="Q2618" t="s">
        <v>28</v>
      </c>
      <c r="R2618" t="s">
        <v>29</v>
      </c>
      <c r="S2618" t="s">
        <v>30</v>
      </c>
      <c r="T2618">
        <v>39666517</v>
      </c>
      <c r="U2618" t="s">
        <v>3933</v>
      </c>
      <c r="V2618" t="s">
        <v>3934</v>
      </c>
      <c r="W2618" s="9">
        <f>IF(V2618="pregrado",31,
IF(V2618="posgrados",31,
IF(V2618="rEINTEGROS",7,
IF(V2618="BIT",90,
IF(V2618="OP GRADO - INGLÉS",17,"")))))</f>
        <v>31</v>
      </c>
      <c r="X2618" t="s">
        <v>4025</v>
      </c>
    </row>
    <row r="2619" spans="1:24" ht="15" x14ac:dyDescent="0.35">
      <c r="A2619" s="4">
        <v>46000.375243055554</v>
      </c>
      <c r="B2619">
        <v>20106074</v>
      </c>
      <c r="C2619" s="6" t="s">
        <v>19</v>
      </c>
      <c r="D2619">
        <v>572780</v>
      </c>
      <c r="E2619" t="s">
        <v>20</v>
      </c>
      <c r="F2619">
        <v>1077112103</v>
      </c>
      <c r="G2619" t="s">
        <v>811</v>
      </c>
      <c r="H2619">
        <v>200067898</v>
      </c>
      <c r="I2619">
        <v>202631</v>
      </c>
      <c r="J2619">
        <v>1077112103</v>
      </c>
      <c r="K2619" t="s">
        <v>33</v>
      </c>
      <c r="L2619" t="s">
        <v>119</v>
      </c>
      <c r="M2619" t="s">
        <v>24</v>
      </c>
      <c r="N2619" t="s">
        <v>35</v>
      </c>
      <c r="O2619" t="s">
        <v>26</v>
      </c>
      <c r="P2619" t="s">
        <v>27</v>
      </c>
      <c r="Q2619" t="s">
        <v>28</v>
      </c>
      <c r="R2619" t="s">
        <v>29</v>
      </c>
      <c r="S2619" t="s">
        <v>30</v>
      </c>
      <c r="T2619">
        <v>1020820287</v>
      </c>
      <c r="U2619" t="s">
        <v>3963</v>
      </c>
      <c r="V2619" t="s">
        <v>3934</v>
      </c>
      <c r="W2619" s="9">
        <f>IF(V2619="pregrado",31,
IF(V2619="posgrados",31,
IF(V2619="rEINTEGROS",7,
IF(V2619="BIT",90,
IF(V2619="OP GRADO - INGLÉS",17,"")))))</f>
        <v>31</v>
      </c>
      <c r="X2619" t="s">
        <v>4044</v>
      </c>
    </row>
    <row r="2620" spans="1:24" ht="15" x14ac:dyDescent="0.35">
      <c r="A2620" s="4">
        <v>45993.532048611109</v>
      </c>
      <c r="B2620">
        <v>20105590</v>
      </c>
      <c r="C2620" s="6" t="s">
        <v>19</v>
      </c>
      <c r="D2620">
        <v>572787</v>
      </c>
      <c r="E2620" t="s">
        <v>20</v>
      </c>
      <c r="F2620">
        <v>1000853905</v>
      </c>
      <c r="G2620" t="s">
        <v>719</v>
      </c>
      <c r="H2620">
        <v>100224291</v>
      </c>
      <c r="I2620">
        <v>202631</v>
      </c>
      <c r="J2620">
        <v>1000853905</v>
      </c>
      <c r="K2620" t="s">
        <v>33</v>
      </c>
      <c r="L2620" t="s">
        <v>32</v>
      </c>
      <c r="M2620" t="s">
        <v>24</v>
      </c>
      <c r="N2620" t="s">
        <v>720</v>
      </c>
      <c r="O2620" t="s">
        <v>26</v>
      </c>
      <c r="P2620" t="s">
        <v>27</v>
      </c>
      <c r="Q2620" t="s">
        <v>28</v>
      </c>
      <c r="R2620" t="s">
        <v>29</v>
      </c>
      <c r="S2620" t="s">
        <v>30</v>
      </c>
      <c r="T2620">
        <v>10123971531</v>
      </c>
      <c r="U2620" t="s">
        <v>3944</v>
      </c>
      <c r="V2620" t="s">
        <v>3934</v>
      </c>
      <c r="W2620" s="9">
        <f>IF(V2620="pregrado",31,
IF(V2620="posgrados",31,
IF(V2620="rEINTEGROS",7,
IF(V2620="BIT",90,
IF(V2620="OP GRADO - INGLÉS",17,"")))))</f>
        <v>31</v>
      </c>
      <c r="X2620" t="s">
        <v>3943</v>
      </c>
    </row>
    <row r="2621" spans="1:24" ht="15" x14ac:dyDescent="0.35">
      <c r="A2621" s="4">
        <v>45993.712025462963</v>
      </c>
      <c r="B2621">
        <v>20105659</v>
      </c>
      <c r="C2621" s="6" t="s">
        <v>19</v>
      </c>
      <c r="D2621">
        <v>572792</v>
      </c>
      <c r="E2621" t="s">
        <v>20</v>
      </c>
      <c r="F2621">
        <v>1066727490</v>
      </c>
      <c r="G2621" t="s">
        <v>731</v>
      </c>
      <c r="H2621">
        <v>100237349</v>
      </c>
      <c r="I2621">
        <v>202631</v>
      </c>
      <c r="J2621">
        <v>1066727490</v>
      </c>
      <c r="K2621" t="s">
        <v>23</v>
      </c>
      <c r="L2621" t="s">
        <v>219</v>
      </c>
      <c r="M2621" t="s">
        <v>24</v>
      </c>
      <c r="N2621" t="s">
        <v>35</v>
      </c>
      <c r="O2621" t="s">
        <v>26</v>
      </c>
      <c r="P2621" t="s">
        <v>27</v>
      </c>
      <c r="Q2621" t="s">
        <v>28</v>
      </c>
      <c r="R2621" t="s">
        <v>29</v>
      </c>
      <c r="S2621" t="s">
        <v>30</v>
      </c>
      <c r="T2621">
        <v>1020820287</v>
      </c>
      <c r="U2621" t="s">
        <v>3963</v>
      </c>
      <c r="V2621" t="s">
        <v>3934</v>
      </c>
      <c r="W2621" s="9">
        <f>IF(V2621="pregrado",31,
IF(V2621="posgrados",31,
IF(V2621="rEINTEGROS",7,
IF(V2621="BIT",90,
IF(V2621="OP GRADO - INGLÉS",17,"")))))</f>
        <v>31</v>
      </c>
      <c r="X2621" t="s">
        <v>4044</v>
      </c>
    </row>
    <row r="2622" spans="1:24" ht="15" x14ac:dyDescent="0.35">
      <c r="A2622" s="4">
        <v>46003.622685185182</v>
      </c>
      <c r="B2622">
        <v>20106971</v>
      </c>
      <c r="C2622" s="6" t="s">
        <v>19</v>
      </c>
      <c r="D2622">
        <v>572805</v>
      </c>
      <c r="E2622" t="s">
        <v>20</v>
      </c>
      <c r="F2622">
        <v>1001535010</v>
      </c>
      <c r="G2622" t="s">
        <v>965</v>
      </c>
      <c r="H2622">
        <v>100237369</v>
      </c>
      <c r="I2622">
        <v>202631</v>
      </c>
      <c r="J2622">
        <v>1001535010</v>
      </c>
      <c r="K2622" t="s">
        <v>33</v>
      </c>
      <c r="L2622" t="s">
        <v>207</v>
      </c>
      <c r="M2622" t="s">
        <v>24</v>
      </c>
      <c r="N2622" t="s">
        <v>25</v>
      </c>
      <c r="O2622" t="s">
        <v>26</v>
      </c>
      <c r="P2622" t="s">
        <v>27</v>
      </c>
      <c r="Q2622" t="s">
        <v>28</v>
      </c>
      <c r="R2622" t="s">
        <v>29</v>
      </c>
      <c r="S2622" t="s">
        <v>30</v>
      </c>
      <c r="T2622">
        <v>1070815435</v>
      </c>
      <c r="U2622" t="s">
        <v>3986</v>
      </c>
      <c r="V2622" t="s">
        <v>3934</v>
      </c>
      <c r="W2622" s="9">
        <f>IF(V2622="pregrado",31,
IF(V2622="posgrados",31,
IF(V2622="rEINTEGROS",7,
IF(V2622="BIT",90,
IF(V2622="OP GRADO - INGLÉS",17,"")))))</f>
        <v>31</v>
      </c>
      <c r="X2622" t="s">
        <v>4038</v>
      </c>
    </row>
    <row r="2623" spans="1:24" ht="15" x14ac:dyDescent="0.35">
      <c r="A2623" s="4">
        <v>46013.55296296296</v>
      </c>
      <c r="B2623">
        <v>20109194</v>
      </c>
      <c r="C2623" s="6" t="s">
        <v>19</v>
      </c>
      <c r="D2623">
        <v>572814</v>
      </c>
      <c r="E2623" t="s">
        <v>20</v>
      </c>
      <c r="F2623">
        <v>20362972</v>
      </c>
      <c r="G2623" t="s">
        <v>1224</v>
      </c>
      <c r="H2623">
        <v>100200418</v>
      </c>
      <c r="I2623">
        <v>202611</v>
      </c>
      <c r="J2623">
        <v>1001198836</v>
      </c>
      <c r="K2623" t="s">
        <v>89</v>
      </c>
      <c r="L2623" t="s">
        <v>133</v>
      </c>
      <c r="M2623" t="s">
        <v>24</v>
      </c>
      <c r="N2623" t="s">
        <v>35</v>
      </c>
      <c r="O2623" t="s">
        <v>26</v>
      </c>
      <c r="P2623" t="s">
        <v>27</v>
      </c>
      <c r="Q2623" t="s">
        <v>28</v>
      </c>
      <c r="R2623" t="s">
        <v>29</v>
      </c>
      <c r="S2623" t="s">
        <v>30</v>
      </c>
      <c r="T2623">
        <v>1000934874</v>
      </c>
      <c r="U2623" t="s">
        <v>3977</v>
      </c>
      <c r="V2623" t="s">
        <v>3970</v>
      </c>
      <c r="W2623" s="9">
        <f>IF(V2623="pregrado",31,
IF(V2623="posgrados",31,
IF(V2623="rEINTEGROS",7,
IF(V2623="BIT",90,
IF(V2623="OP GRADO - INGLÉS",17,"")))))</f>
        <v>7</v>
      </c>
      <c r="X2623" t="s">
        <v>3999</v>
      </c>
    </row>
    <row r="2624" spans="1:24" ht="15" x14ac:dyDescent="0.35">
      <c r="A2624" s="4">
        <v>46000.61347222222</v>
      </c>
      <c r="B2624">
        <v>20106184</v>
      </c>
      <c r="C2624" s="6" t="s">
        <v>19</v>
      </c>
      <c r="D2624">
        <v>572815</v>
      </c>
      <c r="E2624" t="s">
        <v>20</v>
      </c>
      <c r="F2624">
        <v>1078350855</v>
      </c>
      <c r="G2624" t="s">
        <v>829</v>
      </c>
      <c r="H2624">
        <v>100137527</v>
      </c>
      <c r="I2624">
        <v>202611</v>
      </c>
      <c r="J2624">
        <v>1078350855</v>
      </c>
      <c r="K2624" t="s">
        <v>89</v>
      </c>
      <c r="L2624" t="s">
        <v>133</v>
      </c>
      <c r="M2624" t="s">
        <v>24</v>
      </c>
      <c r="N2624" t="s">
        <v>25</v>
      </c>
      <c r="O2624" t="s">
        <v>26</v>
      </c>
      <c r="P2624" t="s">
        <v>27</v>
      </c>
      <c r="Q2624" t="s">
        <v>28</v>
      </c>
      <c r="R2624" t="s">
        <v>29</v>
      </c>
      <c r="S2624" t="s">
        <v>30</v>
      </c>
      <c r="T2624">
        <v>1000934874</v>
      </c>
      <c r="U2624" t="s">
        <v>3977</v>
      </c>
      <c r="V2624" t="s">
        <v>3970</v>
      </c>
      <c r="W2624" s="9">
        <f>IF(V2624="pregrado",31,
IF(V2624="posgrados",31,
IF(V2624="rEINTEGROS",7,
IF(V2624="BIT",90,
IF(V2624="OP GRADO - INGLÉS",17,"")))))</f>
        <v>7</v>
      </c>
      <c r="X2624" t="s">
        <v>3999</v>
      </c>
    </row>
    <row r="2625" spans="1:24" ht="15" x14ac:dyDescent="0.35">
      <c r="A2625" s="4">
        <v>46028.622199074074</v>
      </c>
      <c r="B2625">
        <v>20111229</v>
      </c>
      <c r="C2625" s="6" t="s">
        <v>19</v>
      </c>
      <c r="D2625">
        <v>572823</v>
      </c>
      <c r="E2625" t="s">
        <v>20</v>
      </c>
      <c r="F2625">
        <v>1122412864</v>
      </c>
      <c r="G2625" t="s">
        <v>1524</v>
      </c>
      <c r="H2625">
        <v>100237383</v>
      </c>
      <c r="I2625">
        <v>202631</v>
      </c>
      <c r="J2625">
        <v>1122412864</v>
      </c>
      <c r="K2625" t="s">
        <v>33</v>
      </c>
      <c r="L2625" t="s">
        <v>101</v>
      </c>
      <c r="M2625" t="s">
        <v>24</v>
      </c>
      <c r="N2625" t="s">
        <v>35</v>
      </c>
      <c r="O2625" t="s">
        <v>26</v>
      </c>
      <c r="P2625" t="s">
        <v>27</v>
      </c>
      <c r="Q2625" t="s">
        <v>28</v>
      </c>
      <c r="R2625" t="s">
        <v>29</v>
      </c>
      <c r="S2625" t="s">
        <v>30</v>
      </c>
      <c r="T2625">
        <v>1000251314</v>
      </c>
      <c r="U2625" t="s">
        <v>3963</v>
      </c>
      <c r="V2625" t="s">
        <v>3934</v>
      </c>
      <c r="W2625" s="9">
        <f>IF(V2625="pregrado",31,
IF(V2625="posgrados",31,
IF(V2625="rEINTEGROS",7,
IF(V2625="BIT",90,
IF(V2625="OP GRADO - INGLÉS",17,"")))))</f>
        <v>31</v>
      </c>
      <c r="X2625" t="s">
        <v>4024</v>
      </c>
    </row>
    <row r="2626" spans="1:24" ht="15" x14ac:dyDescent="0.35">
      <c r="A2626" s="4">
        <v>45993.636134259257</v>
      </c>
      <c r="B2626">
        <v>20105625</v>
      </c>
      <c r="C2626" s="6" t="s">
        <v>19</v>
      </c>
      <c r="D2626">
        <v>572830</v>
      </c>
      <c r="E2626" t="s">
        <v>20</v>
      </c>
      <c r="F2626">
        <v>52072204</v>
      </c>
      <c r="G2626" t="s">
        <v>726</v>
      </c>
      <c r="H2626">
        <v>100237184</v>
      </c>
      <c r="I2626">
        <v>202610</v>
      </c>
      <c r="J2626">
        <v>1014667296</v>
      </c>
      <c r="K2626" t="s">
        <v>23</v>
      </c>
      <c r="L2626" t="s">
        <v>49</v>
      </c>
      <c r="M2626" t="s">
        <v>24</v>
      </c>
      <c r="N2626" t="s">
        <v>35</v>
      </c>
      <c r="O2626" t="s">
        <v>26</v>
      </c>
      <c r="P2626" t="s">
        <v>27</v>
      </c>
      <c r="Q2626" t="s">
        <v>28</v>
      </c>
      <c r="R2626" t="s">
        <v>29</v>
      </c>
      <c r="S2626" t="s">
        <v>30</v>
      </c>
      <c r="T2626">
        <v>1000625316</v>
      </c>
      <c r="U2626" t="s">
        <v>3944</v>
      </c>
      <c r="V2626" t="s">
        <v>3934</v>
      </c>
      <c r="W2626" s="9">
        <f>IF(V2626="pregrado",31,
IF(V2626="posgrados",31,
IF(V2626="rEINTEGROS",7,
IF(V2626="BIT",90,
IF(V2626="OP GRADO - INGLÉS",17,"")))))</f>
        <v>31</v>
      </c>
      <c r="X2626" t="s">
        <v>3980</v>
      </c>
    </row>
    <row r="2627" spans="1:24" ht="15" x14ac:dyDescent="0.35">
      <c r="A2627" s="4">
        <v>45993.525509259256</v>
      </c>
      <c r="B2627">
        <v>20105587</v>
      </c>
      <c r="C2627" s="6" t="s">
        <v>19</v>
      </c>
      <c r="D2627">
        <v>572832</v>
      </c>
      <c r="E2627" t="s">
        <v>20</v>
      </c>
      <c r="F2627">
        <v>1002479863</v>
      </c>
      <c r="G2627" t="s">
        <v>717</v>
      </c>
      <c r="H2627">
        <v>100237399</v>
      </c>
      <c r="I2627">
        <v>202631</v>
      </c>
      <c r="J2627">
        <v>1002479863</v>
      </c>
      <c r="K2627" t="s">
        <v>33</v>
      </c>
      <c r="L2627" t="s">
        <v>42</v>
      </c>
      <c r="M2627" t="s">
        <v>24</v>
      </c>
      <c r="N2627" t="s">
        <v>35</v>
      </c>
      <c r="O2627" t="s">
        <v>26</v>
      </c>
      <c r="P2627" t="s">
        <v>27</v>
      </c>
      <c r="Q2627" t="s">
        <v>28</v>
      </c>
      <c r="R2627" t="s">
        <v>29</v>
      </c>
      <c r="S2627" t="s">
        <v>30</v>
      </c>
      <c r="T2627">
        <v>11001273124</v>
      </c>
      <c r="U2627" t="s">
        <v>3944</v>
      </c>
      <c r="V2627" t="s">
        <v>3934</v>
      </c>
      <c r="W2627" s="9">
        <f>IF(V2627="pregrado",31,
IF(V2627="posgrados",31,
IF(V2627="rEINTEGROS",7,
IF(V2627="BIT",90,
IF(V2627="OP GRADO - INGLÉS",17,"")))))</f>
        <v>31</v>
      </c>
      <c r="X2627" t="s">
        <v>3951</v>
      </c>
    </row>
    <row r="2628" spans="1:24" ht="15" x14ac:dyDescent="0.35">
      <c r="A2628" s="4">
        <v>46000.506180555552</v>
      </c>
      <c r="B2628">
        <v>20106131</v>
      </c>
      <c r="C2628" s="6" t="s">
        <v>19</v>
      </c>
      <c r="D2628">
        <v>572842</v>
      </c>
      <c r="E2628" t="s">
        <v>20</v>
      </c>
      <c r="F2628">
        <v>1073519780</v>
      </c>
      <c r="G2628" t="s">
        <v>821</v>
      </c>
      <c r="H2628">
        <v>100237411</v>
      </c>
      <c r="I2628">
        <v>202611</v>
      </c>
      <c r="J2628">
        <v>1073519780</v>
      </c>
      <c r="K2628" t="s">
        <v>23</v>
      </c>
      <c r="L2628" t="s">
        <v>221</v>
      </c>
      <c r="M2628" t="s">
        <v>24</v>
      </c>
      <c r="N2628" t="s">
        <v>35</v>
      </c>
      <c r="O2628" t="s">
        <v>26</v>
      </c>
      <c r="P2628" t="s">
        <v>27</v>
      </c>
      <c r="Q2628" t="s">
        <v>28</v>
      </c>
      <c r="R2628" t="s">
        <v>29</v>
      </c>
      <c r="S2628" t="s">
        <v>30</v>
      </c>
      <c r="T2628">
        <v>53006215</v>
      </c>
      <c r="U2628" t="s">
        <v>3965</v>
      </c>
      <c r="V2628" t="s">
        <v>3934</v>
      </c>
      <c r="W2628" s="9">
        <f>IF(V2628="pregrado",31,
IF(V2628="posgrados",31,
IF(V2628="rEINTEGROS",7,
IF(V2628="BIT",90,
IF(V2628="OP GRADO - INGLÉS",17,"")))))</f>
        <v>31</v>
      </c>
      <c r="X2628" t="s">
        <v>4042</v>
      </c>
    </row>
    <row r="2629" spans="1:24" ht="15" x14ac:dyDescent="0.35">
      <c r="A2629" s="4">
        <v>46001.49622685185</v>
      </c>
      <c r="B2629">
        <v>20106366</v>
      </c>
      <c r="C2629" s="6" t="s">
        <v>19</v>
      </c>
      <c r="D2629">
        <v>572864</v>
      </c>
      <c r="E2629" t="s">
        <v>20</v>
      </c>
      <c r="F2629">
        <v>1096800991</v>
      </c>
      <c r="G2629" t="s">
        <v>861</v>
      </c>
      <c r="H2629">
        <v>100237430</v>
      </c>
      <c r="I2629">
        <v>202631</v>
      </c>
      <c r="J2629">
        <v>1096800991</v>
      </c>
      <c r="K2629" t="s">
        <v>33</v>
      </c>
      <c r="L2629" t="s">
        <v>101</v>
      </c>
      <c r="M2629" t="s">
        <v>24</v>
      </c>
      <c r="N2629" t="s">
        <v>35</v>
      </c>
      <c r="O2629" t="s">
        <v>26</v>
      </c>
      <c r="P2629" t="s">
        <v>27</v>
      </c>
      <c r="Q2629" t="s">
        <v>28</v>
      </c>
      <c r="R2629" t="s">
        <v>29</v>
      </c>
      <c r="S2629" t="s">
        <v>30</v>
      </c>
      <c r="T2629">
        <v>1000251314</v>
      </c>
      <c r="U2629" t="s">
        <v>3963</v>
      </c>
      <c r="V2629" t="s">
        <v>3934</v>
      </c>
      <c r="W2629" s="9">
        <f>IF(V2629="pregrado",31,
IF(V2629="posgrados",31,
IF(V2629="rEINTEGROS",7,
IF(V2629="BIT",90,
IF(V2629="OP GRADO - INGLÉS",17,"")))))</f>
        <v>31</v>
      </c>
      <c r="X2629" t="s">
        <v>4024</v>
      </c>
    </row>
    <row r="2630" spans="1:24" ht="15" x14ac:dyDescent="0.35">
      <c r="A2630" s="4">
        <v>45997.532870370371</v>
      </c>
      <c r="B2630">
        <v>20106033</v>
      </c>
      <c r="C2630" s="6" t="s">
        <v>19</v>
      </c>
      <c r="D2630">
        <v>572871</v>
      </c>
      <c r="E2630" t="s">
        <v>20</v>
      </c>
      <c r="F2630">
        <v>79844300</v>
      </c>
      <c r="G2630" t="s">
        <v>806</v>
      </c>
      <c r="H2630">
        <v>100052805</v>
      </c>
      <c r="I2630">
        <v>202631</v>
      </c>
      <c r="J2630">
        <v>1018428252</v>
      </c>
      <c r="K2630" t="s">
        <v>23</v>
      </c>
      <c r="L2630" t="s">
        <v>127</v>
      </c>
      <c r="M2630" t="s">
        <v>24</v>
      </c>
      <c r="N2630" t="s">
        <v>35</v>
      </c>
      <c r="O2630" t="s">
        <v>26</v>
      </c>
      <c r="P2630" t="s">
        <v>27</v>
      </c>
      <c r="Q2630" t="s">
        <v>28</v>
      </c>
      <c r="R2630" t="s">
        <v>29</v>
      </c>
      <c r="S2630" t="s">
        <v>30</v>
      </c>
      <c r="T2630">
        <v>1023921046</v>
      </c>
      <c r="U2630" t="s">
        <v>3933</v>
      </c>
      <c r="V2630" t="s">
        <v>3934</v>
      </c>
      <c r="W2630" s="9">
        <f>IF(V2630="pregrado",31,
IF(V2630="posgrados",31,
IF(V2630="rEINTEGROS",7,
IF(V2630="BIT",90,
IF(V2630="OP GRADO - INGLÉS",17,"")))))</f>
        <v>31</v>
      </c>
      <c r="X2630" t="s">
        <v>4043</v>
      </c>
    </row>
    <row r="2631" spans="1:24" ht="15" x14ac:dyDescent="0.35">
      <c r="A2631" s="4">
        <v>46001.519444444442</v>
      </c>
      <c r="B2631">
        <v>20106381</v>
      </c>
      <c r="C2631" s="6" t="s">
        <v>19</v>
      </c>
      <c r="D2631">
        <v>572894</v>
      </c>
      <c r="E2631" t="s">
        <v>20</v>
      </c>
      <c r="F2631">
        <v>27098231</v>
      </c>
      <c r="G2631" t="s">
        <v>867</v>
      </c>
      <c r="H2631">
        <v>100237497</v>
      </c>
      <c r="I2631">
        <v>202631</v>
      </c>
      <c r="J2631">
        <v>1081592532</v>
      </c>
      <c r="K2631" t="s">
        <v>33</v>
      </c>
      <c r="L2631" t="s">
        <v>101</v>
      </c>
      <c r="M2631" t="s">
        <v>24</v>
      </c>
      <c r="N2631" t="s">
        <v>35</v>
      </c>
      <c r="O2631" t="s">
        <v>26</v>
      </c>
      <c r="P2631" t="s">
        <v>27</v>
      </c>
      <c r="Q2631" t="s">
        <v>28</v>
      </c>
      <c r="R2631" t="s">
        <v>29</v>
      </c>
      <c r="S2631" t="s">
        <v>30</v>
      </c>
      <c r="T2631">
        <v>1000251314</v>
      </c>
      <c r="U2631" t="s">
        <v>3963</v>
      </c>
      <c r="V2631" t="s">
        <v>3934</v>
      </c>
      <c r="W2631" s="9">
        <f>IF(V2631="pregrado",31,
IF(V2631="posgrados",31,
IF(V2631="rEINTEGROS",7,
IF(V2631="BIT",90,
IF(V2631="OP GRADO - INGLÉS",17,"")))))</f>
        <v>31</v>
      </c>
      <c r="X2631" t="s">
        <v>4024</v>
      </c>
    </row>
    <row r="2632" spans="1:24" ht="15" x14ac:dyDescent="0.35">
      <c r="A2632" s="4">
        <v>46036.493657407409</v>
      </c>
      <c r="B2632">
        <v>20113001</v>
      </c>
      <c r="C2632" s="6" t="s">
        <v>19</v>
      </c>
      <c r="D2632">
        <v>572897</v>
      </c>
      <c r="E2632" t="s">
        <v>20</v>
      </c>
      <c r="F2632">
        <v>94534366</v>
      </c>
      <c r="G2632" t="s">
        <v>1753</v>
      </c>
      <c r="H2632">
        <v>100170337</v>
      </c>
      <c r="I2632">
        <v>202611</v>
      </c>
      <c r="J2632">
        <v>94534366</v>
      </c>
      <c r="K2632" t="s">
        <v>89</v>
      </c>
      <c r="L2632" t="s">
        <v>133</v>
      </c>
      <c r="M2632" t="s">
        <v>24</v>
      </c>
      <c r="N2632" t="s">
        <v>35</v>
      </c>
      <c r="O2632" t="s">
        <v>26</v>
      </c>
      <c r="P2632" t="s">
        <v>27</v>
      </c>
      <c r="Q2632" t="s">
        <v>28</v>
      </c>
      <c r="R2632" t="s">
        <v>29</v>
      </c>
      <c r="S2632" t="s">
        <v>30</v>
      </c>
      <c r="T2632">
        <v>1016110979</v>
      </c>
      <c r="U2632" t="s">
        <v>3977</v>
      </c>
      <c r="V2632" t="s">
        <v>3970</v>
      </c>
      <c r="W2632" s="9">
        <f>IF(V2632="pregrado",31,
IF(V2632="posgrados",31,
IF(V2632="rEINTEGROS",7,
IF(V2632="BIT",90,
IF(V2632="OP GRADO - INGLÉS",17,"")))))</f>
        <v>7</v>
      </c>
      <c r="X2632" t="s">
        <v>4051</v>
      </c>
    </row>
    <row r="2633" spans="1:24" ht="15" x14ac:dyDescent="0.35">
      <c r="A2633" s="4">
        <v>46007.390879629631</v>
      </c>
      <c r="B2633">
        <v>20107708</v>
      </c>
      <c r="C2633" s="6" t="s">
        <v>19</v>
      </c>
      <c r="D2633">
        <v>572902</v>
      </c>
      <c r="E2633" t="s">
        <v>20</v>
      </c>
      <c r="F2633">
        <v>1063180974</v>
      </c>
      <c r="G2633" t="s">
        <v>1030</v>
      </c>
      <c r="H2633">
        <v>100187855</v>
      </c>
      <c r="I2633">
        <v>202631</v>
      </c>
      <c r="J2633">
        <v>1063180974</v>
      </c>
      <c r="K2633" t="s">
        <v>33</v>
      </c>
      <c r="L2633" t="s">
        <v>119</v>
      </c>
      <c r="M2633" t="s">
        <v>24</v>
      </c>
      <c r="N2633" t="s">
        <v>35</v>
      </c>
      <c r="O2633" t="s">
        <v>26</v>
      </c>
      <c r="P2633" t="s">
        <v>27</v>
      </c>
      <c r="Q2633" t="s">
        <v>28</v>
      </c>
      <c r="R2633" t="s">
        <v>29</v>
      </c>
      <c r="S2633" t="s">
        <v>30</v>
      </c>
      <c r="T2633">
        <v>1023975276</v>
      </c>
      <c r="U2633" t="s">
        <v>3963</v>
      </c>
      <c r="V2633" t="s">
        <v>3934</v>
      </c>
      <c r="W2633" s="9">
        <f>IF(V2633="pregrado",31,
IF(V2633="posgrados",31,
IF(V2633="rEINTEGROS",7,
IF(V2633="BIT",90,
IF(V2633="OP GRADO - INGLÉS",17,"")))))</f>
        <v>31</v>
      </c>
      <c r="X2633" t="s">
        <v>3962</v>
      </c>
    </row>
    <row r="2634" spans="1:24" ht="15" x14ac:dyDescent="0.35">
      <c r="A2634" s="4">
        <v>45995.401620370372</v>
      </c>
      <c r="B2634">
        <v>20105829</v>
      </c>
      <c r="C2634" s="6" t="s">
        <v>19</v>
      </c>
      <c r="D2634">
        <v>572916</v>
      </c>
      <c r="E2634" t="s">
        <v>20</v>
      </c>
      <c r="F2634">
        <v>53910020</v>
      </c>
      <c r="G2634" t="s">
        <v>768</v>
      </c>
      <c r="H2634">
        <v>100237525</v>
      </c>
      <c r="I2634">
        <v>202611</v>
      </c>
      <c r="J2634">
        <v>1076738060</v>
      </c>
      <c r="K2634" t="s">
        <v>23</v>
      </c>
      <c r="L2634" t="s">
        <v>227</v>
      </c>
      <c r="M2634" t="s">
        <v>24</v>
      </c>
      <c r="N2634" t="s">
        <v>35</v>
      </c>
      <c r="O2634" t="s">
        <v>26</v>
      </c>
      <c r="P2634" t="s">
        <v>27</v>
      </c>
      <c r="Q2634" t="s">
        <v>28</v>
      </c>
      <c r="R2634" t="s">
        <v>29</v>
      </c>
      <c r="S2634" t="s">
        <v>30</v>
      </c>
      <c r="T2634">
        <v>10006855461</v>
      </c>
      <c r="U2634" t="s">
        <v>3965</v>
      </c>
      <c r="V2634" t="s">
        <v>3934</v>
      </c>
      <c r="W2634" s="9">
        <f>IF(V2634="pregrado",31,
IF(V2634="posgrados",31,
IF(V2634="rEINTEGROS",7,
IF(V2634="BIT",90,
IF(V2634="OP GRADO - INGLÉS",17,"")))))</f>
        <v>31</v>
      </c>
      <c r="X2634" t="s">
        <v>3993</v>
      </c>
    </row>
    <row r="2635" spans="1:24" ht="15" x14ac:dyDescent="0.35">
      <c r="A2635" s="4">
        <v>45994.463275462964</v>
      </c>
      <c r="B2635">
        <v>20105707</v>
      </c>
      <c r="C2635" s="6" t="s">
        <v>19</v>
      </c>
      <c r="D2635">
        <v>572924</v>
      </c>
      <c r="E2635" t="s">
        <v>20</v>
      </c>
      <c r="F2635">
        <v>1030520976</v>
      </c>
      <c r="G2635" t="s">
        <v>744</v>
      </c>
      <c r="H2635">
        <v>100237531</v>
      </c>
      <c r="I2635">
        <v>202631</v>
      </c>
      <c r="J2635">
        <v>1030520976</v>
      </c>
      <c r="K2635" t="s">
        <v>33</v>
      </c>
      <c r="L2635" t="s">
        <v>90</v>
      </c>
      <c r="M2635" t="s">
        <v>24</v>
      </c>
      <c r="N2635" t="s">
        <v>38</v>
      </c>
      <c r="O2635" t="s">
        <v>26</v>
      </c>
      <c r="P2635" t="s">
        <v>27</v>
      </c>
      <c r="Q2635" t="s">
        <v>28</v>
      </c>
      <c r="R2635" t="s">
        <v>29</v>
      </c>
      <c r="S2635" t="s">
        <v>30</v>
      </c>
      <c r="T2635">
        <v>1023370559</v>
      </c>
      <c r="U2635" t="s">
        <v>3933</v>
      </c>
      <c r="V2635" t="s">
        <v>3934</v>
      </c>
      <c r="W2635" s="9">
        <f>IF(V2635="pregrado",31,
IF(V2635="posgrados",31,
IF(V2635="rEINTEGROS",7,
IF(V2635="BIT",90,
IF(V2635="OP GRADO - INGLÉS",17,"")))))</f>
        <v>31</v>
      </c>
      <c r="X2635" t="s">
        <v>4017</v>
      </c>
    </row>
    <row r="2636" spans="1:24" ht="15" x14ac:dyDescent="0.35">
      <c r="A2636" s="4">
        <v>46000.690706018519</v>
      </c>
      <c r="B2636">
        <v>20106217</v>
      </c>
      <c r="C2636" s="6" t="s">
        <v>19</v>
      </c>
      <c r="D2636">
        <v>572934</v>
      </c>
      <c r="E2636" t="s">
        <v>20</v>
      </c>
      <c r="F2636">
        <v>1004249286</v>
      </c>
      <c r="G2636" t="s">
        <v>837</v>
      </c>
      <c r="H2636">
        <v>200065737</v>
      </c>
      <c r="I2636">
        <v>202631</v>
      </c>
      <c r="J2636">
        <v>1004249286</v>
      </c>
      <c r="K2636" t="s">
        <v>23</v>
      </c>
      <c r="L2636" t="s">
        <v>119</v>
      </c>
      <c r="M2636" t="s">
        <v>24</v>
      </c>
      <c r="N2636" t="s">
        <v>35</v>
      </c>
      <c r="O2636" t="s">
        <v>26</v>
      </c>
      <c r="P2636" t="s">
        <v>27</v>
      </c>
      <c r="Q2636" t="s">
        <v>28</v>
      </c>
      <c r="R2636" t="s">
        <v>29</v>
      </c>
      <c r="S2636" t="s">
        <v>30</v>
      </c>
      <c r="T2636">
        <v>1023367706</v>
      </c>
      <c r="U2636" t="s">
        <v>3963</v>
      </c>
      <c r="V2636" t="s">
        <v>3934</v>
      </c>
      <c r="W2636" s="9">
        <f>IF(V2636="pregrado",31,
IF(V2636="posgrados",31,
IF(V2636="rEINTEGROS",7,
IF(V2636="BIT",90,
IF(V2636="OP GRADO - INGLÉS",17,"")))))</f>
        <v>31</v>
      </c>
      <c r="X2636" t="s">
        <v>4039</v>
      </c>
    </row>
    <row r="2637" spans="1:24" ht="15" x14ac:dyDescent="0.35">
      <c r="A2637" s="4">
        <v>46029.489583333336</v>
      </c>
      <c r="B2637">
        <v>20111416</v>
      </c>
      <c r="C2637" s="6" t="s">
        <v>19</v>
      </c>
      <c r="D2637">
        <v>572938</v>
      </c>
      <c r="E2637" t="s">
        <v>20</v>
      </c>
      <c r="F2637">
        <v>1017194853</v>
      </c>
      <c r="G2637" t="s">
        <v>1553</v>
      </c>
      <c r="H2637">
        <v>100148531</v>
      </c>
      <c r="I2637">
        <v>202631</v>
      </c>
      <c r="J2637">
        <v>1017194853</v>
      </c>
      <c r="K2637" t="s">
        <v>89</v>
      </c>
      <c r="L2637" t="s">
        <v>127</v>
      </c>
      <c r="M2637" t="s">
        <v>24</v>
      </c>
      <c r="N2637" t="s">
        <v>25</v>
      </c>
      <c r="O2637" t="s">
        <v>26</v>
      </c>
      <c r="P2637" t="s">
        <v>27</v>
      </c>
      <c r="Q2637" t="s">
        <v>28</v>
      </c>
      <c r="R2637" t="s">
        <v>29</v>
      </c>
      <c r="S2637" t="s">
        <v>30</v>
      </c>
      <c r="T2637">
        <v>52168054</v>
      </c>
      <c r="U2637" t="s">
        <v>3977</v>
      </c>
      <c r="V2637" t="s">
        <v>3970</v>
      </c>
      <c r="W2637" s="9">
        <f>IF(V2637="pregrado",31,
IF(V2637="posgrados",31,
IF(V2637="rEINTEGROS",7,
IF(V2637="BIT",90,
IF(V2637="OP GRADO - INGLÉS",17,"")))))</f>
        <v>7</v>
      </c>
      <c r="X2637" t="s">
        <v>4057</v>
      </c>
    </row>
    <row r="2638" spans="1:24" ht="15" x14ac:dyDescent="0.35">
      <c r="A2638" s="4">
        <v>45994.727256944447</v>
      </c>
      <c r="B2638">
        <v>20105790</v>
      </c>
      <c r="C2638" s="6" t="s">
        <v>19</v>
      </c>
      <c r="D2638">
        <v>572943</v>
      </c>
      <c r="E2638" t="s">
        <v>20</v>
      </c>
      <c r="F2638">
        <v>1021668708</v>
      </c>
      <c r="G2638" t="s">
        <v>757</v>
      </c>
      <c r="H2638">
        <v>100237547</v>
      </c>
      <c r="I2638">
        <v>202610</v>
      </c>
      <c r="J2638">
        <v>1025461718</v>
      </c>
      <c r="K2638" t="s">
        <v>33</v>
      </c>
      <c r="L2638" t="s">
        <v>37</v>
      </c>
      <c r="M2638" t="s">
        <v>24</v>
      </c>
      <c r="N2638" t="s">
        <v>38</v>
      </c>
      <c r="O2638" t="s">
        <v>26</v>
      </c>
      <c r="P2638" t="s">
        <v>27</v>
      </c>
      <c r="Q2638" t="s">
        <v>28</v>
      </c>
      <c r="R2638" t="s">
        <v>29</v>
      </c>
      <c r="S2638" t="s">
        <v>30</v>
      </c>
      <c r="T2638">
        <v>52182207</v>
      </c>
      <c r="U2638" t="s">
        <v>3941</v>
      </c>
      <c r="V2638" t="s">
        <v>3934</v>
      </c>
      <c r="W2638" s="9">
        <f>IF(V2638="pregrado",31,
IF(V2638="posgrados",31,
IF(V2638="rEINTEGROS",7,
IF(V2638="BIT",90,
IF(V2638="OP GRADO - INGLÉS",17,"")))))</f>
        <v>31</v>
      </c>
      <c r="X2638" t="s">
        <v>3946</v>
      </c>
    </row>
    <row r="2639" spans="1:24" ht="15" x14ac:dyDescent="0.35">
      <c r="A2639" s="4">
        <v>45994.843252314815</v>
      </c>
      <c r="B2639">
        <v>20105807</v>
      </c>
      <c r="C2639" s="6" t="s">
        <v>19</v>
      </c>
      <c r="D2639">
        <v>572950</v>
      </c>
      <c r="E2639" t="s">
        <v>20</v>
      </c>
      <c r="F2639">
        <v>79811862</v>
      </c>
      <c r="G2639" t="s">
        <v>761</v>
      </c>
      <c r="H2639">
        <v>100237553</v>
      </c>
      <c r="I2639">
        <v>202610</v>
      </c>
      <c r="J2639">
        <v>1021668708</v>
      </c>
      <c r="K2639" t="s">
        <v>33</v>
      </c>
      <c r="L2639" t="s">
        <v>37</v>
      </c>
      <c r="M2639" t="s">
        <v>24</v>
      </c>
      <c r="N2639" t="s">
        <v>25</v>
      </c>
      <c r="O2639" t="s">
        <v>26</v>
      </c>
      <c r="P2639" t="s">
        <v>27</v>
      </c>
      <c r="Q2639" t="s">
        <v>28</v>
      </c>
      <c r="R2639" t="s">
        <v>29</v>
      </c>
      <c r="S2639" t="s">
        <v>30</v>
      </c>
      <c r="T2639">
        <v>52182207</v>
      </c>
      <c r="U2639" t="s">
        <v>3941</v>
      </c>
      <c r="V2639" t="s">
        <v>3934</v>
      </c>
      <c r="W2639" s="9">
        <f>IF(V2639="pregrado",31,
IF(V2639="posgrados",31,
IF(V2639="rEINTEGROS",7,
IF(V2639="BIT",90,
IF(V2639="OP GRADO - INGLÉS",17,"")))))</f>
        <v>31</v>
      </c>
      <c r="X2639" t="s">
        <v>3946</v>
      </c>
    </row>
    <row r="2640" spans="1:24" ht="15" x14ac:dyDescent="0.35">
      <c r="A2640" s="4">
        <v>45994.480543981481</v>
      </c>
      <c r="B2640">
        <v>20105712</v>
      </c>
      <c r="C2640" s="6" t="s">
        <v>19</v>
      </c>
      <c r="D2640">
        <v>572955</v>
      </c>
      <c r="E2640" t="s">
        <v>20</v>
      </c>
      <c r="F2640">
        <v>1025669351</v>
      </c>
      <c r="G2640" t="s">
        <v>746</v>
      </c>
      <c r="H2640">
        <v>100237558</v>
      </c>
      <c r="I2640">
        <v>202631</v>
      </c>
      <c r="J2640">
        <v>1025669351</v>
      </c>
      <c r="K2640" t="s">
        <v>23</v>
      </c>
      <c r="L2640" t="s">
        <v>207</v>
      </c>
      <c r="M2640" t="s">
        <v>24</v>
      </c>
      <c r="N2640" t="s">
        <v>35</v>
      </c>
      <c r="O2640" t="s">
        <v>26</v>
      </c>
      <c r="P2640" t="s">
        <v>27</v>
      </c>
      <c r="Q2640" t="s">
        <v>28</v>
      </c>
      <c r="R2640" t="s">
        <v>29</v>
      </c>
      <c r="S2640" t="s">
        <v>30</v>
      </c>
      <c r="T2640">
        <v>1006505929</v>
      </c>
      <c r="U2640" t="s">
        <v>3986</v>
      </c>
      <c r="V2640" t="s">
        <v>3934</v>
      </c>
      <c r="W2640" s="9">
        <f>IF(V2640="pregrado",31,
IF(V2640="posgrados",31,
IF(V2640="rEINTEGROS",7,
IF(V2640="BIT",90,
IF(V2640="OP GRADO - INGLÉS",17,"")))))</f>
        <v>31</v>
      </c>
      <c r="X2640" t="s">
        <v>4013</v>
      </c>
    </row>
    <row r="2641" spans="1:24" ht="15" x14ac:dyDescent="0.35">
      <c r="A2641" s="4">
        <v>45995.705555555556</v>
      </c>
      <c r="B2641">
        <v>20105912</v>
      </c>
      <c r="C2641" s="6" t="s">
        <v>19</v>
      </c>
      <c r="D2641">
        <v>572961</v>
      </c>
      <c r="E2641" t="s">
        <v>20</v>
      </c>
      <c r="F2641">
        <v>1193086739</v>
      </c>
      <c r="G2641" t="s">
        <v>787</v>
      </c>
      <c r="H2641">
        <v>100237563</v>
      </c>
      <c r="I2641">
        <v>202631</v>
      </c>
      <c r="J2641">
        <v>1193086739</v>
      </c>
      <c r="K2641" t="s">
        <v>33</v>
      </c>
      <c r="L2641" t="s">
        <v>90</v>
      </c>
      <c r="M2641" t="s">
        <v>24</v>
      </c>
      <c r="N2641" t="s">
        <v>38</v>
      </c>
      <c r="O2641" t="s">
        <v>26</v>
      </c>
      <c r="P2641" t="s">
        <v>27</v>
      </c>
      <c r="Q2641" t="s">
        <v>28</v>
      </c>
      <c r="R2641" t="s">
        <v>29</v>
      </c>
      <c r="S2641" t="s">
        <v>30</v>
      </c>
      <c r="T2641">
        <v>1023370559</v>
      </c>
      <c r="U2641" t="s">
        <v>3933</v>
      </c>
      <c r="V2641" t="s">
        <v>3934</v>
      </c>
      <c r="W2641" s="9">
        <f>IF(V2641="pregrado",31,
IF(V2641="posgrados",31,
IF(V2641="rEINTEGROS",7,
IF(V2641="BIT",90,
IF(V2641="OP GRADO - INGLÉS",17,"")))))</f>
        <v>31</v>
      </c>
      <c r="X2641" t="s">
        <v>4017</v>
      </c>
    </row>
    <row r="2642" spans="1:24" ht="15" x14ac:dyDescent="0.35">
      <c r="A2642" s="4">
        <v>45994.858587962961</v>
      </c>
      <c r="B2642">
        <v>20105811</v>
      </c>
      <c r="C2642" s="6" t="s">
        <v>19</v>
      </c>
      <c r="D2642">
        <v>572966</v>
      </c>
      <c r="E2642" t="s">
        <v>20</v>
      </c>
      <c r="F2642">
        <v>1021669427</v>
      </c>
      <c r="G2642" t="s">
        <v>765</v>
      </c>
      <c r="H2642">
        <v>100237569</v>
      </c>
      <c r="I2642">
        <v>202610</v>
      </c>
      <c r="J2642">
        <v>1021669427</v>
      </c>
      <c r="K2642" t="s">
        <v>33</v>
      </c>
      <c r="L2642" t="s">
        <v>37</v>
      </c>
      <c r="M2642" t="s">
        <v>24</v>
      </c>
      <c r="N2642" t="s">
        <v>38</v>
      </c>
      <c r="O2642" t="s">
        <v>26</v>
      </c>
      <c r="P2642" t="s">
        <v>27</v>
      </c>
      <c r="Q2642" t="s">
        <v>28</v>
      </c>
      <c r="R2642" t="s">
        <v>29</v>
      </c>
      <c r="S2642" t="s">
        <v>30</v>
      </c>
      <c r="T2642">
        <v>52182207</v>
      </c>
      <c r="U2642" t="s">
        <v>3941</v>
      </c>
      <c r="V2642" t="s">
        <v>3934</v>
      </c>
      <c r="W2642" s="9">
        <f>IF(V2642="pregrado",31,
IF(V2642="posgrados",31,
IF(V2642="rEINTEGROS",7,
IF(V2642="BIT",90,
IF(V2642="OP GRADO - INGLÉS",17,"")))))</f>
        <v>31</v>
      </c>
      <c r="X2642" t="s">
        <v>3946</v>
      </c>
    </row>
    <row r="2643" spans="1:24" ht="15" x14ac:dyDescent="0.35">
      <c r="A2643" s="4">
        <v>45994.50608796296</v>
      </c>
      <c r="B2643">
        <v>20105720</v>
      </c>
      <c r="C2643" s="6" t="s">
        <v>19</v>
      </c>
      <c r="D2643">
        <v>572970</v>
      </c>
      <c r="E2643" t="s">
        <v>20</v>
      </c>
      <c r="F2643">
        <v>1098794053</v>
      </c>
      <c r="G2643" t="s">
        <v>748</v>
      </c>
      <c r="H2643">
        <v>100237574</v>
      </c>
      <c r="I2643">
        <v>202631</v>
      </c>
      <c r="J2643">
        <v>1098794053</v>
      </c>
      <c r="K2643" t="s">
        <v>23</v>
      </c>
      <c r="L2643" t="s">
        <v>240</v>
      </c>
      <c r="M2643" t="s">
        <v>24</v>
      </c>
      <c r="N2643" t="s">
        <v>35</v>
      </c>
      <c r="O2643" t="s">
        <v>26</v>
      </c>
      <c r="P2643" t="s">
        <v>27</v>
      </c>
      <c r="Q2643" t="s">
        <v>28</v>
      </c>
      <c r="R2643" t="s">
        <v>29</v>
      </c>
      <c r="S2643" t="s">
        <v>30</v>
      </c>
      <c r="T2643">
        <v>53071696</v>
      </c>
      <c r="U2643" t="s">
        <v>3965</v>
      </c>
      <c r="V2643" t="s">
        <v>3934</v>
      </c>
      <c r="W2643" s="9">
        <f>IF(V2643="pregrado",31,
IF(V2643="posgrados",31,
IF(V2643="rEINTEGROS",7,
IF(V2643="BIT",90,
IF(V2643="OP GRADO - INGLÉS",17,"")))))</f>
        <v>31</v>
      </c>
      <c r="X2643" t="s">
        <v>4012</v>
      </c>
    </row>
    <row r="2644" spans="1:24" ht="15" x14ac:dyDescent="0.35">
      <c r="A2644" s="4">
        <v>46001.380624999998</v>
      </c>
      <c r="B2644">
        <v>20106296</v>
      </c>
      <c r="C2644" s="6" t="s">
        <v>19</v>
      </c>
      <c r="D2644">
        <v>572979</v>
      </c>
      <c r="E2644" t="s">
        <v>20</v>
      </c>
      <c r="F2644">
        <v>3158709</v>
      </c>
      <c r="G2644" t="s">
        <v>848</v>
      </c>
      <c r="H2644">
        <v>100237583</v>
      </c>
      <c r="I2644">
        <v>202631</v>
      </c>
      <c r="J2644">
        <v>1121842081</v>
      </c>
      <c r="K2644" t="s">
        <v>23</v>
      </c>
      <c r="L2644" t="s">
        <v>240</v>
      </c>
      <c r="M2644" t="s">
        <v>24</v>
      </c>
      <c r="N2644" t="s">
        <v>35</v>
      </c>
      <c r="O2644" t="s">
        <v>26</v>
      </c>
      <c r="P2644" t="s">
        <v>27</v>
      </c>
      <c r="Q2644" t="s">
        <v>28</v>
      </c>
      <c r="R2644" t="s">
        <v>29</v>
      </c>
      <c r="S2644" t="s">
        <v>30</v>
      </c>
      <c r="T2644">
        <v>1001277801</v>
      </c>
      <c r="U2644" t="s">
        <v>3965</v>
      </c>
      <c r="V2644" t="s">
        <v>3934</v>
      </c>
      <c r="W2644" s="9">
        <f>IF(V2644="pregrado",31,
IF(V2644="posgrados",31,
IF(V2644="rEINTEGROS",7,
IF(V2644="BIT",90,
IF(V2644="OP GRADO - INGLÉS",17,"")))))</f>
        <v>31</v>
      </c>
      <c r="X2644" t="s">
        <v>4002</v>
      </c>
    </row>
    <row r="2645" spans="1:24" ht="15" x14ac:dyDescent="0.35">
      <c r="A2645" s="4">
        <v>46003.688125000001</v>
      </c>
      <c r="B2645">
        <v>20107022</v>
      </c>
      <c r="C2645" s="6" t="s">
        <v>19</v>
      </c>
      <c r="D2645">
        <v>572983</v>
      </c>
      <c r="E2645" t="s">
        <v>20</v>
      </c>
      <c r="F2645">
        <v>93239108</v>
      </c>
      <c r="G2645" t="s">
        <v>973</v>
      </c>
      <c r="H2645">
        <v>100237587</v>
      </c>
      <c r="I2645">
        <v>202631</v>
      </c>
      <c r="J2645">
        <v>93239108</v>
      </c>
      <c r="K2645" t="s">
        <v>23</v>
      </c>
      <c r="L2645" t="s">
        <v>65</v>
      </c>
      <c r="M2645" t="s">
        <v>24</v>
      </c>
      <c r="N2645" t="s">
        <v>35</v>
      </c>
      <c r="O2645" t="s">
        <v>26</v>
      </c>
      <c r="P2645" t="s">
        <v>27</v>
      </c>
      <c r="Q2645" t="s">
        <v>28</v>
      </c>
      <c r="R2645" t="s">
        <v>29</v>
      </c>
      <c r="S2645" t="s">
        <v>30</v>
      </c>
      <c r="T2645">
        <v>1015441103</v>
      </c>
      <c r="U2645" t="s">
        <v>3933</v>
      </c>
      <c r="V2645" t="s">
        <v>3934</v>
      </c>
      <c r="W2645" s="9">
        <f>IF(V2645="pregrado",31,
IF(V2645="posgrados",31,
IF(V2645="rEINTEGROS",7,
IF(V2645="BIT",90,
IF(V2645="OP GRADO - INGLÉS",17,"")))))</f>
        <v>31</v>
      </c>
      <c r="X2645" t="s">
        <v>3961</v>
      </c>
    </row>
    <row r="2646" spans="1:24" ht="15" x14ac:dyDescent="0.35">
      <c r="A2646" s="4">
        <v>45994.607361111113</v>
      </c>
      <c r="B2646">
        <v>20105742</v>
      </c>
      <c r="C2646" s="6" t="s">
        <v>19</v>
      </c>
      <c r="D2646">
        <v>572985</v>
      </c>
      <c r="E2646" t="s">
        <v>20</v>
      </c>
      <c r="F2646">
        <v>1007662641</v>
      </c>
      <c r="G2646" t="s">
        <v>749</v>
      </c>
      <c r="H2646">
        <v>100237589</v>
      </c>
      <c r="I2646">
        <v>202611</v>
      </c>
      <c r="J2646">
        <v>1007662641</v>
      </c>
      <c r="K2646" t="s">
        <v>83</v>
      </c>
      <c r="L2646" t="s">
        <v>204</v>
      </c>
      <c r="M2646" t="s">
        <v>24</v>
      </c>
      <c r="N2646" t="s">
        <v>25</v>
      </c>
      <c r="O2646" t="s">
        <v>26</v>
      </c>
      <c r="P2646" t="s">
        <v>27</v>
      </c>
      <c r="Q2646" t="s">
        <v>28</v>
      </c>
      <c r="R2646" t="s">
        <v>29</v>
      </c>
      <c r="S2646" t="s">
        <v>30</v>
      </c>
      <c r="T2646">
        <v>39666517</v>
      </c>
      <c r="U2646" t="s">
        <v>3933</v>
      </c>
      <c r="V2646" t="s">
        <v>3934</v>
      </c>
      <c r="W2646" s="9">
        <f>IF(V2646="pregrado",31,
IF(V2646="posgrados",31,
IF(V2646="rEINTEGROS",7,
IF(V2646="BIT",90,
IF(V2646="OP GRADO - INGLÉS",17,"")))))</f>
        <v>31</v>
      </c>
      <c r="X2646" t="s">
        <v>4025</v>
      </c>
    </row>
    <row r="2647" spans="1:24" ht="15" x14ac:dyDescent="0.35">
      <c r="A2647" s="4">
        <v>45995.787442129629</v>
      </c>
      <c r="B2647">
        <v>20105932</v>
      </c>
      <c r="C2647" s="6" t="s">
        <v>19</v>
      </c>
      <c r="D2647">
        <v>572987</v>
      </c>
      <c r="E2647" t="s">
        <v>20</v>
      </c>
      <c r="F2647">
        <v>1127074288</v>
      </c>
      <c r="G2647" t="s">
        <v>797</v>
      </c>
      <c r="H2647">
        <v>200068221</v>
      </c>
      <c r="I2647">
        <v>202631</v>
      </c>
      <c r="J2647">
        <v>1127070370</v>
      </c>
      <c r="K2647" t="s">
        <v>33</v>
      </c>
      <c r="L2647" t="s">
        <v>22</v>
      </c>
      <c r="M2647" t="s">
        <v>24</v>
      </c>
      <c r="N2647" t="s">
        <v>25</v>
      </c>
      <c r="O2647" t="s">
        <v>26</v>
      </c>
      <c r="P2647" t="s">
        <v>27</v>
      </c>
      <c r="Q2647" t="s">
        <v>28</v>
      </c>
      <c r="R2647" t="s">
        <v>29</v>
      </c>
      <c r="S2647" t="s">
        <v>30</v>
      </c>
      <c r="T2647">
        <v>1018496066</v>
      </c>
      <c r="U2647" t="s">
        <v>3939</v>
      </c>
      <c r="V2647" t="s">
        <v>3934</v>
      </c>
      <c r="W2647" s="9">
        <f>IF(V2647="pregrado",31,
IF(V2647="posgrados",31,
IF(V2647="rEINTEGROS",7,
IF(V2647="BIT",90,
IF(V2647="OP GRADO - INGLÉS",17,"")))))</f>
        <v>31</v>
      </c>
      <c r="X2647" t="s">
        <v>4006</v>
      </c>
    </row>
    <row r="2648" spans="1:24" ht="15" x14ac:dyDescent="0.35">
      <c r="A2648" s="4">
        <v>46000.53597222222</v>
      </c>
      <c r="B2648">
        <v>20106152</v>
      </c>
      <c r="C2648" s="6" t="s">
        <v>19</v>
      </c>
      <c r="D2648">
        <v>572991</v>
      </c>
      <c r="E2648" t="s">
        <v>20</v>
      </c>
      <c r="F2648">
        <v>1000707675</v>
      </c>
      <c r="G2648" t="s">
        <v>824</v>
      </c>
      <c r="H2648">
        <v>100237596</v>
      </c>
      <c r="I2648">
        <v>202611</v>
      </c>
      <c r="J2648">
        <v>1000707675</v>
      </c>
      <c r="K2648" t="s">
        <v>23</v>
      </c>
      <c r="L2648" t="s">
        <v>221</v>
      </c>
      <c r="M2648" t="s">
        <v>24</v>
      </c>
      <c r="N2648" t="s">
        <v>35</v>
      </c>
      <c r="O2648" t="s">
        <v>26</v>
      </c>
      <c r="P2648" t="s">
        <v>27</v>
      </c>
      <c r="Q2648" t="s">
        <v>28</v>
      </c>
      <c r="R2648" t="s">
        <v>29</v>
      </c>
      <c r="S2648" t="s">
        <v>30</v>
      </c>
      <c r="T2648">
        <v>53006215</v>
      </c>
      <c r="U2648" t="s">
        <v>3965</v>
      </c>
      <c r="V2648" t="s">
        <v>3934</v>
      </c>
      <c r="W2648" s="9">
        <f>IF(V2648="pregrado",31,
IF(V2648="posgrados",31,
IF(V2648="rEINTEGROS",7,
IF(V2648="BIT",90,
IF(V2648="OP GRADO - INGLÉS",17,"")))))</f>
        <v>31</v>
      </c>
      <c r="X2648" t="s">
        <v>4042</v>
      </c>
    </row>
    <row r="2649" spans="1:24" ht="15" x14ac:dyDescent="0.35">
      <c r="A2649" s="4">
        <v>46000.658773148149</v>
      </c>
      <c r="B2649">
        <v>20106197</v>
      </c>
      <c r="C2649" s="6" t="s">
        <v>19</v>
      </c>
      <c r="D2649">
        <v>572994</v>
      </c>
      <c r="E2649" t="s">
        <v>20</v>
      </c>
      <c r="F2649">
        <v>24369893</v>
      </c>
      <c r="G2649" t="s">
        <v>831</v>
      </c>
      <c r="H2649">
        <v>100237586</v>
      </c>
      <c r="I2649">
        <v>202611</v>
      </c>
      <c r="J2649">
        <v>1055831037</v>
      </c>
      <c r="K2649" t="s">
        <v>23</v>
      </c>
      <c r="L2649" t="s">
        <v>227</v>
      </c>
      <c r="M2649" t="s">
        <v>24</v>
      </c>
      <c r="N2649" t="s">
        <v>35</v>
      </c>
      <c r="O2649" t="s">
        <v>26</v>
      </c>
      <c r="P2649" t="s">
        <v>27</v>
      </c>
      <c r="Q2649" t="s">
        <v>28</v>
      </c>
      <c r="R2649" t="s">
        <v>29</v>
      </c>
      <c r="S2649" t="s">
        <v>30</v>
      </c>
      <c r="T2649">
        <v>53006215</v>
      </c>
      <c r="U2649" t="s">
        <v>3965</v>
      </c>
      <c r="V2649" t="s">
        <v>3934</v>
      </c>
      <c r="W2649" s="9">
        <f>IF(V2649="pregrado",31,
IF(V2649="posgrados",31,
IF(V2649="rEINTEGROS",7,
IF(V2649="BIT",90,
IF(V2649="OP GRADO - INGLÉS",17,"")))))</f>
        <v>31</v>
      </c>
      <c r="X2649" t="s">
        <v>4042</v>
      </c>
    </row>
    <row r="2650" spans="1:24" ht="15" x14ac:dyDescent="0.35">
      <c r="A2650" s="4">
        <v>46001.511944444443</v>
      </c>
      <c r="B2650">
        <v>20106373</v>
      </c>
      <c r="C2650" s="6" t="s">
        <v>19</v>
      </c>
      <c r="D2650">
        <v>573028</v>
      </c>
      <c r="E2650" t="s">
        <v>20</v>
      </c>
      <c r="F2650">
        <v>1038646220</v>
      </c>
      <c r="G2650" t="s">
        <v>864</v>
      </c>
      <c r="H2650">
        <v>100237625</v>
      </c>
      <c r="I2650">
        <v>202631</v>
      </c>
      <c r="J2650">
        <v>1038646220</v>
      </c>
      <c r="K2650" t="s">
        <v>33</v>
      </c>
      <c r="L2650" t="s">
        <v>101</v>
      </c>
      <c r="M2650" t="s">
        <v>24</v>
      </c>
      <c r="N2650" t="s">
        <v>35</v>
      </c>
      <c r="O2650" t="s">
        <v>26</v>
      </c>
      <c r="P2650" t="s">
        <v>27</v>
      </c>
      <c r="Q2650" t="s">
        <v>28</v>
      </c>
      <c r="R2650" t="s">
        <v>29</v>
      </c>
      <c r="S2650" t="s">
        <v>30</v>
      </c>
      <c r="T2650">
        <v>52446712</v>
      </c>
      <c r="U2650" t="s">
        <v>3963</v>
      </c>
      <c r="V2650" t="s">
        <v>3934</v>
      </c>
      <c r="W2650" s="9">
        <f>IF(V2650="pregrado",31,
IF(V2650="posgrados",31,
IF(V2650="rEINTEGROS",7,
IF(V2650="BIT",90,
IF(V2650="OP GRADO - INGLÉS",17,"")))))</f>
        <v>31</v>
      </c>
      <c r="X2650" t="s">
        <v>4041</v>
      </c>
    </row>
    <row r="2651" spans="1:24" ht="15" x14ac:dyDescent="0.35">
      <c r="A2651" s="4">
        <v>45995.737986111111</v>
      </c>
      <c r="B2651">
        <v>20105922</v>
      </c>
      <c r="C2651" s="6" t="s">
        <v>19</v>
      </c>
      <c r="D2651">
        <v>573030</v>
      </c>
      <c r="E2651" t="s">
        <v>20</v>
      </c>
      <c r="F2651">
        <v>1006691961</v>
      </c>
      <c r="G2651" t="s">
        <v>790</v>
      </c>
      <c r="H2651">
        <v>100237629</v>
      </c>
      <c r="I2651">
        <v>202631</v>
      </c>
      <c r="J2651">
        <v>1006691961</v>
      </c>
      <c r="K2651" t="s">
        <v>33</v>
      </c>
      <c r="L2651" t="s">
        <v>101</v>
      </c>
      <c r="M2651" t="s">
        <v>24</v>
      </c>
      <c r="N2651" t="s">
        <v>35</v>
      </c>
      <c r="O2651" t="s">
        <v>26</v>
      </c>
      <c r="P2651" t="s">
        <v>27</v>
      </c>
      <c r="Q2651" t="s">
        <v>28</v>
      </c>
      <c r="R2651" t="s">
        <v>29</v>
      </c>
      <c r="S2651" t="s">
        <v>30</v>
      </c>
      <c r="T2651">
        <v>1023975276</v>
      </c>
      <c r="U2651" t="s">
        <v>3963</v>
      </c>
      <c r="V2651" t="s">
        <v>3934</v>
      </c>
      <c r="W2651" s="9">
        <f>IF(V2651="pregrado",31,
IF(V2651="posgrados",31,
IF(V2651="rEINTEGROS",7,
IF(V2651="BIT",90,
IF(V2651="OP GRADO - INGLÉS",17,"")))))</f>
        <v>31</v>
      </c>
      <c r="X2651" t="s">
        <v>3962</v>
      </c>
    </row>
    <row r="2652" spans="1:24" ht="15" x14ac:dyDescent="0.35">
      <c r="A2652" s="4">
        <v>45994.679189814815</v>
      </c>
      <c r="B2652">
        <v>20105772</v>
      </c>
      <c r="C2652" s="6" t="s">
        <v>19</v>
      </c>
      <c r="D2652">
        <v>573035</v>
      </c>
      <c r="E2652" t="s">
        <v>20</v>
      </c>
      <c r="F2652">
        <v>1060655902</v>
      </c>
      <c r="G2652" t="s">
        <v>754</v>
      </c>
      <c r="H2652">
        <v>100237636</v>
      </c>
      <c r="I2652">
        <v>202631</v>
      </c>
      <c r="J2652">
        <v>1060655902</v>
      </c>
      <c r="K2652" t="s">
        <v>33</v>
      </c>
      <c r="L2652" t="s">
        <v>127</v>
      </c>
      <c r="M2652" t="s">
        <v>24</v>
      </c>
      <c r="N2652" t="s">
        <v>25</v>
      </c>
      <c r="O2652" t="s">
        <v>26</v>
      </c>
      <c r="P2652" t="s">
        <v>27</v>
      </c>
      <c r="Q2652" t="s">
        <v>28</v>
      </c>
      <c r="R2652" t="s">
        <v>29</v>
      </c>
      <c r="S2652" t="s">
        <v>30</v>
      </c>
      <c r="T2652">
        <v>1007473661</v>
      </c>
      <c r="U2652" t="s">
        <v>3933</v>
      </c>
      <c r="V2652" t="s">
        <v>3934</v>
      </c>
      <c r="W2652" s="9">
        <f>IF(V2652="pregrado",31,
IF(V2652="posgrados",31,
IF(V2652="rEINTEGROS",7,
IF(V2652="BIT",90,
IF(V2652="OP GRADO - INGLÉS",17,"")))))</f>
        <v>31</v>
      </c>
      <c r="X2652" t="s">
        <v>4058</v>
      </c>
    </row>
    <row r="2653" spans="1:24" ht="15" x14ac:dyDescent="0.35">
      <c r="A2653" s="4">
        <v>45994.653645833336</v>
      </c>
      <c r="B2653">
        <v>20105758</v>
      </c>
      <c r="C2653" s="6" t="s">
        <v>19</v>
      </c>
      <c r="D2653">
        <v>573039</v>
      </c>
      <c r="E2653" t="s">
        <v>20</v>
      </c>
      <c r="F2653">
        <v>79489145</v>
      </c>
      <c r="G2653" t="s">
        <v>751</v>
      </c>
      <c r="H2653">
        <v>100064136</v>
      </c>
      <c r="I2653">
        <v>202631</v>
      </c>
      <c r="J2653">
        <v>79489145</v>
      </c>
      <c r="K2653" t="s">
        <v>46</v>
      </c>
      <c r="L2653" t="s">
        <v>240</v>
      </c>
      <c r="M2653" t="s">
        <v>24</v>
      </c>
      <c r="N2653" t="s">
        <v>35</v>
      </c>
      <c r="O2653" t="s">
        <v>26</v>
      </c>
      <c r="P2653" t="s">
        <v>27</v>
      </c>
      <c r="Q2653" t="s">
        <v>28</v>
      </c>
      <c r="R2653" t="s">
        <v>29</v>
      </c>
      <c r="S2653" t="s">
        <v>30</v>
      </c>
      <c r="T2653">
        <v>10006855461</v>
      </c>
      <c r="U2653" t="s">
        <v>3965</v>
      </c>
      <c r="V2653" t="s">
        <v>3934</v>
      </c>
      <c r="W2653" s="9">
        <f>IF(V2653="pregrado",31,
IF(V2653="posgrados",31,
IF(V2653="rEINTEGROS",7,
IF(V2653="BIT",90,
IF(V2653="OP GRADO - INGLÉS",17,"")))))</f>
        <v>31</v>
      </c>
      <c r="X2653" t="s">
        <v>3993</v>
      </c>
    </row>
    <row r="2654" spans="1:24" ht="15" x14ac:dyDescent="0.35">
      <c r="A2654" s="4">
        <v>46000.960081018522</v>
      </c>
      <c r="B2654">
        <v>20106276</v>
      </c>
      <c r="C2654" s="6" t="s">
        <v>19</v>
      </c>
      <c r="D2654">
        <v>573053</v>
      </c>
      <c r="E2654" t="s">
        <v>20</v>
      </c>
      <c r="F2654">
        <v>1000324751</v>
      </c>
      <c r="G2654" t="s">
        <v>846</v>
      </c>
      <c r="H2654">
        <v>100142605</v>
      </c>
      <c r="I2654">
        <v>202631</v>
      </c>
      <c r="J2654">
        <v>1000324751</v>
      </c>
      <c r="K2654" t="s">
        <v>46</v>
      </c>
      <c r="L2654" t="s">
        <v>119</v>
      </c>
      <c r="M2654" t="s">
        <v>24</v>
      </c>
      <c r="N2654" t="s">
        <v>35</v>
      </c>
      <c r="O2654" t="s">
        <v>26</v>
      </c>
      <c r="P2654" t="s">
        <v>27</v>
      </c>
      <c r="Q2654" t="s">
        <v>28</v>
      </c>
      <c r="R2654" t="s">
        <v>29</v>
      </c>
      <c r="S2654" t="s">
        <v>30</v>
      </c>
      <c r="T2654">
        <v>1019102787</v>
      </c>
      <c r="U2654" t="s">
        <v>3977</v>
      </c>
      <c r="V2654" t="s">
        <v>3970</v>
      </c>
      <c r="W2654" s="9">
        <f>IF(V2654="pregrado",31,
IF(V2654="posgrados",31,
IF(V2654="rEINTEGROS",7,
IF(V2654="BIT",90,
IF(V2654="OP GRADO - INGLÉS",17,"")))))</f>
        <v>7</v>
      </c>
      <c r="X2654" t="s">
        <v>3976</v>
      </c>
    </row>
    <row r="2655" spans="1:24" ht="15" x14ac:dyDescent="0.35">
      <c r="A2655" s="4">
        <v>45999.72865740741</v>
      </c>
      <c r="B2655">
        <v>20106060</v>
      </c>
      <c r="C2655" s="6" t="s">
        <v>19</v>
      </c>
      <c r="D2655">
        <v>573054</v>
      </c>
      <c r="E2655" t="s">
        <v>20</v>
      </c>
      <c r="F2655">
        <v>52499386</v>
      </c>
      <c r="G2655" t="s">
        <v>810</v>
      </c>
      <c r="H2655">
        <v>100140356</v>
      </c>
      <c r="I2655">
        <v>202631</v>
      </c>
      <c r="J2655">
        <v>1000063886</v>
      </c>
      <c r="K2655" t="s">
        <v>46</v>
      </c>
      <c r="L2655" t="s">
        <v>207</v>
      </c>
      <c r="M2655" t="s">
        <v>24</v>
      </c>
      <c r="N2655" t="s">
        <v>35</v>
      </c>
      <c r="O2655" t="s">
        <v>26</v>
      </c>
      <c r="P2655" t="s">
        <v>27</v>
      </c>
      <c r="Q2655" t="s">
        <v>28</v>
      </c>
      <c r="R2655" t="s">
        <v>29</v>
      </c>
      <c r="S2655" t="s">
        <v>30</v>
      </c>
      <c r="T2655">
        <v>1023899450</v>
      </c>
      <c r="U2655" t="s">
        <v>3977</v>
      </c>
      <c r="V2655" t="s">
        <v>3970</v>
      </c>
      <c r="W2655" s="9">
        <f>IF(V2655="pregrado",31,
IF(V2655="posgrados",31,
IF(V2655="rEINTEGROS",7,
IF(V2655="BIT",90,
IF(V2655="OP GRADO - INGLÉS",17,"")))))</f>
        <v>7</v>
      </c>
      <c r="X2655" t="s">
        <v>3969</v>
      </c>
    </row>
    <row r="2656" spans="1:24" ht="15" x14ac:dyDescent="0.35">
      <c r="A2656" s="4">
        <v>46045.422789351855</v>
      </c>
      <c r="B2656">
        <v>20116461</v>
      </c>
      <c r="C2656" s="6" t="s">
        <v>19</v>
      </c>
      <c r="D2656">
        <v>573059</v>
      </c>
      <c r="E2656" t="s">
        <v>20</v>
      </c>
      <c r="F2656">
        <v>1050483718</v>
      </c>
      <c r="G2656" t="s">
        <v>2222</v>
      </c>
      <c r="H2656">
        <v>100188146</v>
      </c>
      <c r="I2656">
        <v>202610</v>
      </c>
      <c r="J2656">
        <v>1050483718</v>
      </c>
      <c r="K2656" t="s">
        <v>89</v>
      </c>
      <c r="L2656" t="s">
        <v>79</v>
      </c>
      <c r="M2656" t="s">
        <v>24</v>
      </c>
      <c r="N2656" t="s">
        <v>35</v>
      </c>
      <c r="O2656" t="s">
        <v>26</v>
      </c>
      <c r="P2656" t="s">
        <v>27</v>
      </c>
      <c r="Q2656" t="s">
        <v>28</v>
      </c>
      <c r="R2656" t="s">
        <v>29</v>
      </c>
      <c r="S2656" t="s">
        <v>30</v>
      </c>
      <c r="T2656">
        <v>1023899450</v>
      </c>
      <c r="U2656" t="s">
        <v>3977</v>
      </c>
      <c r="V2656" t="s">
        <v>3970</v>
      </c>
      <c r="W2656" s="9">
        <f>IF(V2656="pregrado",31,
IF(V2656="posgrados",31,
IF(V2656="rEINTEGROS",7,
IF(V2656="BIT",90,
IF(V2656="OP GRADO - INGLÉS",17,"")))))</f>
        <v>7</v>
      </c>
      <c r="X2656" t="s">
        <v>3969</v>
      </c>
    </row>
    <row r="2657" spans="1:24" ht="15" x14ac:dyDescent="0.35">
      <c r="A2657" s="4">
        <v>46000.689641203702</v>
      </c>
      <c r="B2657">
        <v>20106216</v>
      </c>
      <c r="C2657" s="6" t="s">
        <v>19</v>
      </c>
      <c r="D2657">
        <v>573071</v>
      </c>
      <c r="E2657" t="s">
        <v>20</v>
      </c>
      <c r="F2657">
        <v>1151196906</v>
      </c>
      <c r="G2657" t="s">
        <v>836</v>
      </c>
      <c r="H2657">
        <v>100225109</v>
      </c>
      <c r="I2657">
        <v>202631</v>
      </c>
      <c r="J2657">
        <v>1151196906</v>
      </c>
      <c r="K2657" t="s">
        <v>33</v>
      </c>
      <c r="L2657" t="s">
        <v>370</v>
      </c>
      <c r="M2657" t="s">
        <v>24</v>
      </c>
      <c r="N2657" t="s">
        <v>35</v>
      </c>
      <c r="O2657" t="s">
        <v>26</v>
      </c>
      <c r="P2657" t="s">
        <v>27</v>
      </c>
      <c r="Q2657" t="s">
        <v>28</v>
      </c>
      <c r="R2657" t="s">
        <v>29</v>
      </c>
      <c r="S2657" t="s">
        <v>30</v>
      </c>
      <c r="T2657">
        <v>1000973717</v>
      </c>
      <c r="U2657" t="s">
        <v>3963</v>
      </c>
      <c r="V2657" t="s">
        <v>3934</v>
      </c>
      <c r="W2657" s="9">
        <f>IF(V2657="pregrado",31,
IF(V2657="posgrados",31,
IF(V2657="rEINTEGROS",7,
IF(V2657="BIT",90,
IF(V2657="OP GRADO - INGLÉS",17,"")))))</f>
        <v>31</v>
      </c>
      <c r="X2657" t="s">
        <v>4073</v>
      </c>
    </row>
    <row r="2658" spans="1:24" ht="15" x14ac:dyDescent="0.35">
      <c r="A2658" s="4">
        <v>46024.576435185183</v>
      </c>
      <c r="B2658">
        <v>20110701</v>
      </c>
      <c r="C2658" s="6" t="s">
        <v>19</v>
      </c>
      <c r="D2658">
        <v>573072</v>
      </c>
      <c r="E2658" t="s">
        <v>20</v>
      </c>
      <c r="F2658">
        <v>1014216453</v>
      </c>
      <c r="G2658" t="s">
        <v>1460</v>
      </c>
      <c r="H2658">
        <v>100161789</v>
      </c>
      <c r="I2658">
        <v>202631</v>
      </c>
      <c r="J2658">
        <v>1012399367</v>
      </c>
      <c r="K2658" t="s">
        <v>89</v>
      </c>
      <c r="L2658" t="s">
        <v>51</v>
      </c>
      <c r="M2658" t="s">
        <v>24</v>
      </c>
      <c r="N2658" t="s">
        <v>25</v>
      </c>
      <c r="O2658" t="s">
        <v>26</v>
      </c>
      <c r="P2658" t="s">
        <v>27</v>
      </c>
      <c r="Q2658" t="s">
        <v>28</v>
      </c>
      <c r="R2658" t="s">
        <v>29</v>
      </c>
      <c r="S2658" t="s">
        <v>30</v>
      </c>
      <c r="T2658">
        <v>52168054</v>
      </c>
      <c r="U2658" t="s">
        <v>3977</v>
      </c>
      <c r="V2658" t="s">
        <v>3970</v>
      </c>
      <c r="W2658" s="9">
        <f>IF(V2658="pregrado",31,
IF(V2658="posgrados",31,
IF(V2658="rEINTEGROS",7,
IF(V2658="BIT",90,
IF(V2658="OP GRADO - INGLÉS",17,"")))))</f>
        <v>7</v>
      </c>
      <c r="X2658" t="s">
        <v>4057</v>
      </c>
    </row>
    <row r="2659" spans="1:24" ht="15" x14ac:dyDescent="0.35">
      <c r="A2659" s="4">
        <v>45994.804097222222</v>
      </c>
      <c r="B2659">
        <v>20105802</v>
      </c>
      <c r="C2659" s="6" t="s">
        <v>19</v>
      </c>
      <c r="D2659">
        <v>573074</v>
      </c>
      <c r="E2659" t="s">
        <v>20</v>
      </c>
      <c r="F2659">
        <v>80747475</v>
      </c>
      <c r="G2659" t="s">
        <v>760</v>
      </c>
      <c r="H2659">
        <v>100236331</v>
      </c>
      <c r="I2659">
        <v>202610</v>
      </c>
      <c r="J2659">
        <v>1013118748</v>
      </c>
      <c r="K2659" t="s">
        <v>23</v>
      </c>
      <c r="L2659" t="s">
        <v>49</v>
      </c>
      <c r="M2659" t="s">
        <v>24</v>
      </c>
      <c r="N2659" t="s">
        <v>35</v>
      </c>
      <c r="O2659" t="s">
        <v>26</v>
      </c>
      <c r="P2659" t="s">
        <v>27</v>
      </c>
      <c r="Q2659" t="s">
        <v>28</v>
      </c>
      <c r="R2659" t="s">
        <v>29</v>
      </c>
      <c r="S2659" t="s">
        <v>30</v>
      </c>
      <c r="T2659">
        <v>1000001980</v>
      </c>
      <c r="U2659" t="s">
        <v>3944</v>
      </c>
      <c r="V2659" t="s">
        <v>3934</v>
      </c>
      <c r="W2659" s="9">
        <f>IF(V2659="pregrado",31,
IF(V2659="posgrados",31,
IF(V2659="rEINTEGROS",7,
IF(V2659="BIT",90,
IF(V2659="OP GRADO - INGLÉS",17,"")))))</f>
        <v>31</v>
      </c>
      <c r="X2659" t="s">
        <v>3968</v>
      </c>
    </row>
    <row r="2660" spans="1:24" ht="15" x14ac:dyDescent="0.35">
      <c r="A2660" s="4">
        <v>46048.624131944445</v>
      </c>
      <c r="B2660">
        <v>20117187</v>
      </c>
      <c r="C2660" s="6" t="s">
        <v>19</v>
      </c>
      <c r="D2660">
        <v>573077</v>
      </c>
      <c r="E2660" t="s">
        <v>20</v>
      </c>
      <c r="F2660">
        <v>1003851444</v>
      </c>
      <c r="G2660" t="s">
        <v>2296</v>
      </c>
      <c r="H2660">
        <v>100237671</v>
      </c>
      <c r="I2660">
        <v>202611</v>
      </c>
      <c r="J2660">
        <v>1003851444</v>
      </c>
      <c r="K2660" t="s">
        <v>23</v>
      </c>
      <c r="L2660" t="s">
        <v>204</v>
      </c>
      <c r="M2660" t="s">
        <v>24</v>
      </c>
      <c r="N2660" t="s">
        <v>35</v>
      </c>
      <c r="O2660" t="s">
        <v>26</v>
      </c>
      <c r="P2660" t="s">
        <v>27</v>
      </c>
      <c r="Q2660" t="s">
        <v>28</v>
      </c>
      <c r="R2660" t="s">
        <v>29</v>
      </c>
      <c r="S2660" t="s">
        <v>30</v>
      </c>
      <c r="T2660">
        <v>1000349074</v>
      </c>
      <c r="U2660" t="s">
        <v>3944</v>
      </c>
      <c r="V2660" t="s">
        <v>3934</v>
      </c>
      <c r="W2660" s="9">
        <f>IF(V2660="pregrado",31,
IF(V2660="posgrados",31,
IF(V2660="rEINTEGROS",7,
IF(V2660="BIT",90,
IF(V2660="OP GRADO - INGLÉS",17,"")))))</f>
        <v>31</v>
      </c>
      <c r="X2660" t="s">
        <v>4036</v>
      </c>
    </row>
    <row r="2661" spans="1:24" ht="15" x14ac:dyDescent="0.35">
      <c r="A2661" s="4">
        <v>45995.522372685184</v>
      </c>
      <c r="B2661">
        <v>20105851</v>
      </c>
      <c r="C2661" s="6" t="s">
        <v>19</v>
      </c>
      <c r="D2661">
        <v>573096</v>
      </c>
      <c r="E2661" t="s">
        <v>20</v>
      </c>
      <c r="F2661">
        <v>1000469576</v>
      </c>
      <c r="G2661" t="s">
        <v>773</v>
      </c>
      <c r="H2661">
        <v>100237699</v>
      </c>
      <c r="I2661">
        <v>202611</v>
      </c>
      <c r="J2661">
        <v>1000469576</v>
      </c>
      <c r="K2661" t="s">
        <v>23</v>
      </c>
      <c r="L2661" t="s">
        <v>227</v>
      </c>
      <c r="M2661" t="s">
        <v>24</v>
      </c>
      <c r="N2661" t="s">
        <v>35</v>
      </c>
      <c r="O2661" t="s">
        <v>26</v>
      </c>
      <c r="P2661" t="s">
        <v>27</v>
      </c>
      <c r="Q2661" t="s">
        <v>28</v>
      </c>
      <c r="R2661" t="s">
        <v>29</v>
      </c>
      <c r="S2661" t="s">
        <v>30</v>
      </c>
      <c r="T2661">
        <v>1032678391</v>
      </c>
      <c r="U2661" t="s">
        <v>3965</v>
      </c>
      <c r="V2661" t="s">
        <v>3934</v>
      </c>
      <c r="W2661" s="9">
        <f>IF(V2661="pregrado",31,
IF(V2661="posgrados",31,
IF(V2661="rEINTEGROS",7,
IF(V2661="BIT",90,
IF(V2661="OP GRADO - INGLÉS",17,"")))))</f>
        <v>31</v>
      </c>
      <c r="X2661" t="s">
        <v>4098</v>
      </c>
    </row>
    <row r="2662" spans="1:24" ht="15" x14ac:dyDescent="0.35">
      <c r="A2662" s="4">
        <v>46013.516863425924</v>
      </c>
      <c r="B2662">
        <v>20109167</v>
      </c>
      <c r="C2662" s="6" t="s">
        <v>19</v>
      </c>
      <c r="D2662">
        <v>575922</v>
      </c>
      <c r="E2662" t="s">
        <v>20</v>
      </c>
      <c r="F2662">
        <v>1073511864</v>
      </c>
      <c r="G2662" t="s">
        <v>1219</v>
      </c>
      <c r="H2662">
        <v>100201998</v>
      </c>
      <c r="I2662">
        <v>202631</v>
      </c>
      <c r="J2662">
        <v>1073511864</v>
      </c>
      <c r="K2662" t="s">
        <v>74</v>
      </c>
      <c r="L2662" t="s">
        <v>240</v>
      </c>
      <c r="M2662" t="s">
        <v>24</v>
      </c>
      <c r="N2662" t="s">
        <v>25</v>
      </c>
      <c r="O2662" t="s">
        <v>26</v>
      </c>
      <c r="P2662" t="s">
        <v>27</v>
      </c>
      <c r="Q2662" t="s">
        <v>28</v>
      </c>
      <c r="R2662" t="s">
        <v>29</v>
      </c>
      <c r="S2662" t="s">
        <v>30</v>
      </c>
      <c r="T2662">
        <v>1015441103</v>
      </c>
      <c r="U2662" t="s">
        <v>3933</v>
      </c>
      <c r="V2662" t="s">
        <v>3934</v>
      </c>
      <c r="W2662" s="9">
        <f>IF(V2662="pregrado",31,
IF(V2662="posgrados",31,
IF(V2662="rEINTEGROS",7,
IF(V2662="BIT",90,
IF(V2662="OP GRADO - INGLÉS",17,"")))))</f>
        <v>31</v>
      </c>
      <c r="X2662" t="s">
        <v>3961</v>
      </c>
    </row>
    <row r="2663" spans="1:24" ht="15" x14ac:dyDescent="0.35">
      <c r="A2663" s="4">
        <v>45995.667893518519</v>
      </c>
      <c r="B2663">
        <v>20105896</v>
      </c>
      <c r="C2663" s="6" t="s">
        <v>19</v>
      </c>
      <c r="D2663">
        <v>576619</v>
      </c>
      <c r="E2663" t="s">
        <v>20</v>
      </c>
      <c r="F2663">
        <v>28647779</v>
      </c>
      <c r="G2663" t="s">
        <v>783</v>
      </c>
      <c r="H2663">
        <v>100237717</v>
      </c>
      <c r="I2663">
        <v>202611</v>
      </c>
      <c r="J2663">
        <v>1005727509</v>
      </c>
      <c r="K2663" t="s">
        <v>23</v>
      </c>
      <c r="L2663" t="s">
        <v>221</v>
      </c>
      <c r="M2663" t="s">
        <v>24</v>
      </c>
      <c r="N2663" t="s">
        <v>35</v>
      </c>
      <c r="O2663" t="s">
        <v>26</v>
      </c>
      <c r="P2663" t="s">
        <v>27</v>
      </c>
      <c r="Q2663" t="s">
        <v>28</v>
      </c>
      <c r="R2663" t="s">
        <v>29</v>
      </c>
      <c r="S2663" t="s">
        <v>30</v>
      </c>
      <c r="T2663">
        <v>1030570122</v>
      </c>
      <c r="U2663" t="s">
        <v>3965</v>
      </c>
      <c r="V2663" t="s">
        <v>3934</v>
      </c>
      <c r="W2663" s="9">
        <f>IF(V2663="pregrado",31,
IF(V2663="posgrados",31,
IF(V2663="rEINTEGROS",7,
IF(V2663="BIT",90,
IF(V2663="OP GRADO - INGLÉS",17,"")))))</f>
        <v>31</v>
      </c>
      <c r="X2663" t="s">
        <v>4015</v>
      </c>
    </row>
    <row r="2664" spans="1:24" ht="15" x14ac:dyDescent="0.35">
      <c r="A2664" s="4">
        <v>45995.655648148146</v>
      </c>
      <c r="B2664">
        <v>20105889</v>
      </c>
      <c r="C2664" s="6" t="s">
        <v>19</v>
      </c>
      <c r="D2664">
        <v>584093</v>
      </c>
      <c r="E2664" t="s">
        <v>20</v>
      </c>
      <c r="F2664">
        <v>1023969550</v>
      </c>
      <c r="G2664" t="s">
        <v>781</v>
      </c>
      <c r="H2664">
        <v>100237726</v>
      </c>
      <c r="I2664">
        <v>202611</v>
      </c>
      <c r="J2664">
        <v>1023969550</v>
      </c>
      <c r="K2664" t="s">
        <v>23</v>
      </c>
      <c r="L2664" t="s">
        <v>221</v>
      </c>
      <c r="M2664" t="s">
        <v>24</v>
      </c>
      <c r="N2664" t="s">
        <v>35</v>
      </c>
      <c r="O2664" t="s">
        <v>26</v>
      </c>
      <c r="P2664" t="s">
        <v>27</v>
      </c>
      <c r="Q2664" t="s">
        <v>28</v>
      </c>
      <c r="R2664" t="s">
        <v>29</v>
      </c>
      <c r="S2664" t="s">
        <v>30</v>
      </c>
      <c r="T2664">
        <v>1001277801</v>
      </c>
      <c r="U2664" t="s">
        <v>3965</v>
      </c>
      <c r="V2664" t="s">
        <v>3934</v>
      </c>
      <c r="W2664" s="9">
        <f>IF(V2664="pregrado",31,
IF(V2664="posgrados",31,
IF(V2664="rEINTEGROS",7,
IF(V2664="BIT",90,
IF(V2664="OP GRADO - INGLÉS",17,"")))))</f>
        <v>31</v>
      </c>
      <c r="X2664" t="s">
        <v>4002</v>
      </c>
    </row>
    <row r="2665" spans="1:24" ht="15" x14ac:dyDescent="0.35">
      <c r="A2665" s="4">
        <v>45995.737256944441</v>
      </c>
      <c r="B2665">
        <v>20105921</v>
      </c>
      <c r="C2665" s="6" t="s">
        <v>19</v>
      </c>
      <c r="D2665">
        <v>584242</v>
      </c>
      <c r="E2665" t="s">
        <v>20</v>
      </c>
      <c r="F2665">
        <v>1016071540</v>
      </c>
      <c r="G2665" t="s">
        <v>789</v>
      </c>
      <c r="H2665">
        <v>100237742</v>
      </c>
      <c r="I2665">
        <v>202631</v>
      </c>
      <c r="J2665">
        <v>1016071540</v>
      </c>
      <c r="K2665" t="s">
        <v>33</v>
      </c>
      <c r="L2665" t="s">
        <v>32</v>
      </c>
      <c r="M2665" t="s">
        <v>24</v>
      </c>
      <c r="N2665" t="s">
        <v>38</v>
      </c>
      <c r="O2665" t="s">
        <v>26</v>
      </c>
      <c r="P2665" t="s">
        <v>27</v>
      </c>
      <c r="Q2665" t="s">
        <v>28</v>
      </c>
      <c r="R2665" t="s">
        <v>29</v>
      </c>
      <c r="S2665" t="s">
        <v>30</v>
      </c>
      <c r="T2665">
        <v>10123971531</v>
      </c>
      <c r="U2665" t="s">
        <v>3944</v>
      </c>
      <c r="V2665" t="s">
        <v>3934</v>
      </c>
      <c r="W2665" s="9">
        <f>IF(V2665="pregrado",31,
IF(V2665="posgrados",31,
IF(V2665="rEINTEGROS",7,
IF(V2665="BIT",90,
IF(V2665="OP GRADO - INGLÉS",17,"")))))</f>
        <v>31</v>
      </c>
      <c r="X2665" t="s">
        <v>3943</v>
      </c>
    </row>
    <row r="2666" spans="1:24" ht="15" x14ac:dyDescent="0.35">
      <c r="A2666" s="4">
        <v>45995.692071759258</v>
      </c>
      <c r="B2666">
        <v>20105908</v>
      </c>
      <c r="C2666" s="6" t="s">
        <v>19</v>
      </c>
      <c r="D2666">
        <v>584244</v>
      </c>
      <c r="E2666" t="s">
        <v>20</v>
      </c>
      <c r="F2666">
        <v>1014663326</v>
      </c>
      <c r="G2666" t="s">
        <v>786</v>
      </c>
      <c r="H2666">
        <v>100237743</v>
      </c>
      <c r="I2666">
        <v>202631</v>
      </c>
      <c r="J2666">
        <v>1014663326</v>
      </c>
      <c r="K2666" t="s">
        <v>23</v>
      </c>
      <c r="L2666" t="s">
        <v>231</v>
      </c>
      <c r="M2666" t="s">
        <v>24</v>
      </c>
      <c r="N2666" t="s">
        <v>35</v>
      </c>
      <c r="O2666" t="s">
        <v>26</v>
      </c>
      <c r="P2666" t="s">
        <v>27</v>
      </c>
      <c r="Q2666" t="s">
        <v>28</v>
      </c>
      <c r="R2666" t="s">
        <v>29</v>
      </c>
      <c r="S2666" t="s">
        <v>30</v>
      </c>
      <c r="T2666">
        <v>1022392610</v>
      </c>
      <c r="U2666" t="s">
        <v>3941</v>
      </c>
      <c r="V2666" t="s">
        <v>3934</v>
      </c>
      <c r="W2666" s="9">
        <f>IF(V2666="pregrado",31,
IF(V2666="posgrados",31,
IF(V2666="rEINTEGROS",7,
IF(V2666="BIT",90,
IF(V2666="OP GRADO - INGLÉS",17,"")))))</f>
        <v>31</v>
      </c>
      <c r="X2666" t="s">
        <v>4028</v>
      </c>
    </row>
    <row r="2667" spans="1:24" ht="15" x14ac:dyDescent="0.35">
      <c r="A2667" s="4">
        <v>46001.431851851848</v>
      </c>
      <c r="B2667">
        <v>20106325</v>
      </c>
      <c r="C2667" s="6" t="s">
        <v>19</v>
      </c>
      <c r="D2667">
        <v>584250</v>
      </c>
      <c r="E2667" t="s">
        <v>20</v>
      </c>
      <c r="F2667">
        <v>1000224717</v>
      </c>
      <c r="G2667" t="s">
        <v>851</v>
      </c>
      <c r="H2667">
        <v>100086665</v>
      </c>
      <c r="I2667">
        <v>202611</v>
      </c>
      <c r="J2667">
        <v>1000224717</v>
      </c>
      <c r="K2667" t="s">
        <v>23</v>
      </c>
      <c r="L2667" t="s">
        <v>227</v>
      </c>
      <c r="M2667" t="s">
        <v>24</v>
      </c>
      <c r="N2667" t="s">
        <v>35</v>
      </c>
      <c r="O2667" t="s">
        <v>26</v>
      </c>
      <c r="P2667" t="s">
        <v>27</v>
      </c>
      <c r="Q2667" t="s">
        <v>28</v>
      </c>
      <c r="R2667" t="s">
        <v>29</v>
      </c>
      <c r="S2667" t="s">
        <v>30</v>
      </c>
      <c r="T2667">
        <v>53006215</v>
      </c>
      <c r="U2667" t="s">
        <v>3965</v>
      </c>
      <c r="V2667" t="s">
        <v>3934</v>
      </c>
      <c r="W2667" s="9">
        <f>IF(V2667="pregrado",31,
IF(V2667="posgrados",31,
IF(V2667="rEINTEGROS",7,
IF(V2667="BIT",90,
IF(V2667="OP GRADO - INGLÉS",17,"")))))</f>
        <v>31</v>
      </c>
      <c r="X2667" t="s">
        <v>4042</v>
      </c>
    </row>
    <row r="2668" spans="1:24" ht="15" x14ac:dyDescent="0.35">
      <c r="A2668" s="4">
        <v>46000.493773148148</v>
      </c>
      <c r="B2668">
        <v>20106122</v>
      </c>
      <c r="C2668" s="6" t="s">
        <v>19</v>
      </c>
      <c r="D2668">
        <v>584255</v>
      </c>
      <c r="E2668" t="s">
        <v>20</v>
      </c>
      <c r="F2668">
        <v>1032011946</v>
      </c>
      <c r="G2668" t="s">
        <v>819</v>
      </c>
      <c r="H2668">
        <v>100237749</v>
      </c>
      <c r="I2668">
        <v>202631</v>
      </c>
      <c r="J2668">
        <v>1032011946</v>
      </c>
      <c r="K2668" t="s">
        <v>33</v>
      </c>
      <c r="L2668" t="s">
        <v>90</v>
      </c>
      <c r="M2668" t="s">
        <v>24</v>
      </c>
      <c r="N2668" t="s">
        <v>25</v>
      </c>
      <c r="O2668" t="s">
        <v>26</v>
      </c>
      <c r="P2668" t="s">
        <v>27</v>
      </c>
      <c r="Q2668" t="s">
        <v>28</v>
      </c>
      <c r="R2668" t="s">
        <v>29</v>
      </c>
      <c r="S2668" t="s">
        <v>30</v>
      </c>
      <c r="T2668">
        <v>1025460711</v>
      </c>
      <c r="U2668" t="s">
        <v>3933</v>
      </c>
      <c r="V2668" t="s">
        <v>3934</v>
      </c>
      <c r="W2668" s="9">
        <f>IF(V2668="pregrado",31,
IF(V2668="posgrados",31,
IF(V2668="rEINTEGROS",7,
IF(V2668="BIT",90,
IF(V2668="OP GRADO - INGLÉS",17,"")))))</f>
        <v>31</v>
      </c>
      <c r="X2668" t="s">
        <v>4062</v>
      </c>
    </row>
    <row r="2669" spans="1:24" ht="15" x14ac:dyDescent="0.35">
      <c r="A2669" s="4">
        <v>45995.677789351852</v>
      </c>
      <c r="B2669">
        <v>20105904</v>
      </c>
      <c r="C2669" s="6" t="s">
        <v>19</v>
      </c>
      <c r="D2669">
        <v>584256</v>
      </c>
      <c r="E2669" t="s">
        <v>20</v>
      </c>
      <c r="F2669">
        <v>1013657541</v>
      </c>
      <c r="G2669" t="s">
        <v>784</v>
      </c>
      <c r="H2669">
        <v>100237751</v>
      </c>
      <c r="I2669">
        <v>202631</v>
      </c>
      <c r="J2669">
        <v>1013657541</v>
      </c>
      <c r="K2669" t="s">
        <v>23</v>
      </c>
      <c r="L2669" t="s">
        <v>231</v>
      </c>
      <c r="M2669" t="s">
        <v>24</v>
      </c>
      <c r="N2669" t="s">
        <v>35</v>
      </c>
      <c r="O2669" t="s">
        <v>26</v>
      </c>
      <c r="P2669" t="s">
        <v>27</v>
      </c>
      <c r="Q2669" t="s">
        <v>28</v>
      </c>
      <c r="R2669" t="s">
        <v>29</v>
      </c>
      <c r="S2669" t="s">
        <v>30</v>
      </c>
      <c r="T2669">
        <v>1022392610</v>
      </c>
      <c r="U2669" t="s">
        <v>3941</v>
      </c>
      <c r="V2669" t="s">
        <v>3934</v>
      </c>
      <c r="W2669" s="9">
        <f>IF(V2669="pregrado",31,
IF(V2669="posgrados",31,
IF(V2669="rEINTEGROS",7,
IF(V2669="BIT",90,
IF(V2669="OP GRADO - INGLÉS",17,"")))))</f>
        <v>31</v>
      </c>
      <c r="X2669" t="s">
        <v>4028</v>
      </c>
    </row>
    <row r="2670" spans="1:24" ht="15" x14ac:dyDescent="0.35">
      <c r="A2670" s="4">
        <v>46000.420034722221</v>
      </c>
      <c r="B2670">
        <v>20106091</v>
      </c>
      <c r="C2670" s="6" t="s">
        <v>19</v>
      </c>
      <c r="D2670">
        <v>584263</v>
      </c>
      <c r="E2670" t="s">
        <v>20</v>
      </c>
      <c r="F2670">
        <v>1014479521</v>
      </c>
      <c r="G2670" t="s">
        <v>813</v>
      </c>
      <c r="H2670">
        <v>100237758</v>
      </c>
      <c r="I2670">
        <v>202610</v>
      </c>
      <c r="J2670">
        <v>1014479521</v>
      </c>
      <c r="K2670" t="s">
        <v>33</v>
      </c>
      <c r="L2670" t="s">
        <v>37</v>
      </c>
      <c r="M2670" t="s">
        <v>24</v>
      </c>
      <c r="N2670" t="s">
        <v>38</v>
      </c>
      <c r="O2670" t="s">
        <v>26</v>
      </c>
      <c r="P2670" t="s">
        <v>27</v>
      </c>
      <c r="Q2670" t="s">
        <v>28</v>
      </c>
      <c r="R2670" t="s">
        <v>29</v>
      </c>
      <c r="S2670" t="s">
        <v>30</v>
      </c>
      <c r="T2670">
        <v>1023000938</v>
      </c>
      <c r="U2670" t="s">
        <v>3941</v>
      </c>
      <c r="V2670" t="s">
        <v>3934</v>
      </c>
      <c r="W2670" s="9">
        <f>IF(V2670="pregrado",31,
IF(V2670="posgrados",31,
IF(V2670="rEINTEGROS",7,
IF(V2670="BIT",90,
IF(V2670="OP GRADO - INGLÉS",17,"")))))</f>
        <v>31</v>
      </c>
      <c r="X2670" t="s">
        <v>3989</v>
      </c>
    </row>
    <row r="2671" spans="1:24" ht="15" x14ac:dyDescent="0.35">
      <c r="A2671" s="4">
        <v>46000.767141203702</v>
      </c>
      <c r="B2671">
        <v>20106245</v>
      </c>
      <c r="C2671" s="6" t="s">
        <v>19</v>
      </c>
      <c r="D2671">
        <v>585082</v>
      </c>
      <c r="E2671" t="s">
        <v>20</v>
      </c>
      <c r="F2671">
        <v>26227665</v>
      </c>
      <c r="G2671" t="s">
        <v>842</v>
      </c>
      <c r="H2671">
        <v>100237766</v>
      </c>
      <c r="I2671">
        <v>202611</v>
      </c>
      <c r="J2671">
        <v>1071434056</v>
      </c>
      <c r="K2671" t="s">
        <v>23</v>
      </c>
      <c r="L2671" t="s">
        <v>227</v>
      </c>
      <c r="M2671" t="s">
        <v>24</v>
      </c>
      <c r="N2671" t="s">
        <v>25</v>
      </c>
      <c r="O2671" t="s">
        <v>26</v>
      </c>
      <c r="P2671" t="s">
        <v>27</v>
      </c>
      <c r="Q2671" t="s">
        <v>28</v>
      </c>
      <c r="R2671" t="s">
        <v>29</v>
      </c>
      <c r="S2671" t="s">
        <v>30</v>
      </c>
      <c r="T2671">
        <v>1003652550</v>
      </c>
      <c r="U2671" t="s">
        <v>3965</v>
      </c>
      <c r="V2671" t="s">
        <v>3934</v>
      </c>
      <c r="W2671" s="9">
        <f>IF(V2671="pregrado",31,
IF(V2671="posgrados",31,
IF(V2671="rEINTEGROS",7,
IF(V2671="BIT",90,
IF(V2671="OP GRADO - INGLÉS",17,"")))))</f>
        <v>31</v>
      </c>
      <c r="X2671" t="s">
        <v>4059</v>
      </c>
    </row>
    <row r="2672" spans="1:24" ht="15" x14ac:dyDescent="0.35">
      <c r="A2672" s="4">
        <v>46003.775127314817</v>
      </c>
      <c r="B2672">
        <v>20107069</v>
      </c>
      <c r="C2672" s="6" t="s">
        <v>19</v>
      </c>
      <c r="D2672">
        <v>587303</v>
      </c>
      <c r="E2672" t="s">
        <v>20</v>
      </c>
      <c r="F2672">
        <v>37120308</v>
      </c>
      <c r="G2672" t="s">
        <v>978</v>
      </c>
      <c r="H2672">
        <v>100237790</v>
      </c>
      <c r="I2672">
        <v>202631</v>
      </c>
      <c r="J2672">
        <v>1085952303</v>
      </c>
      <c r="K2672" t="s">
        <v>23</v>
      </c>
      <c r="L2672" t="s">
        <v>219</v>
      </c>
      <c r="M2672" t="s">
        <v>24</v>
      </c>
      <c r="N2672" t="s">
        <v>35</v>
      </c>
      <c r="O2672" t="s">
        <v>26</v>
      </c>
      <c r="P2672" t="s">
        <v>27</v>
      </c>
      <c r="Q2672" t="s">
        <v>28</v>
      </c>
      <c r="R2672" t="s">
        <v>29</v>
      </c>
      <c r="S2672" t="s">
        <v>30</v>
      </c>
      <c r="T2672">
        <v>1023975276</v>
      </c>
      <c r="U2672" t="s">
        <v>3963</v>
      </c>
      <c r="V2672" t="s">
        <v>3934</v>
      </c>
      <c r="W2672" s="9">
        <f>IF(V2672="pregrado",31,
IF(V2672="posgrados",31,
IF(V2672="rEINTEGROS",7,
IF(V2672="BIT",90,
IF(V2672="OP GRADO - INGLÉS",17,"")))))</f>
        <v>31</v>
      </c>
      <c r="X2672" t="s">
        <v>3962</v>
      </c>
    </row>
    <row r="2673" spans="1:24" ht="15" x14ac:dyDescent="0.35">
      <c r="A2673" s="4">
        <v>46000.784409722219</v>
      </c>
      <c r="B2673">
        <v>20106254</v>
      </c>
      <c r="C2673" s="6" t="s">
        <v>19</v>
      </c>
      <c r="D2673">
        <v>587314</v>
      </c>
      <c r="E2673" t="s">
        <v>20</v>
      </c>
      <c r="F2673">
        <v>1005570371</v>
      </c>
      <c r="G2673" t="s">
        <v>843</v>
      </c>
      <c r="H2673">
        <v>100214858</v>
      </c>
      <c r="I2673">
        <v>202611</v>
      </c>
      <c r="J2673">
        <v>1103097714</v>
      </c>
      <c r="K2673" t="s">
        <v>23</v>
      </c>
      <c r="L2673" t="s">
        <v>227</v>
      </c>
      <c r="M2673" t="s">
        <v>24</v>
      </c>
      <c r="N2673" t="s">
        <v>35</v>
      </c>
      <c r="O2673" t="s">
        <v>26</v>
      </c>
      <c r="P2673" t="s">
        <v>27</v>
      </c>
      <c r="Q2673" t="s">
        <v>28</v>
      </c>
      <c r="R2673" t="s">
        <v>29</v>
      </c>
      <c r="S2673" t="s">
        <v>30</v>
      </c>
      <c r="T2673">
        <v>45555807</v>
      </c>
      <c r="U2673" t="s">
        <v>3965</v>
      </c>
      <c r="V2673" t="s">
        <v>3934</v>
      </c>
      <c r="W2673" s="9">
        <f>IF(V2673="pregrado",31,
IF(V2673="posgrados",31,
IF(V2673="rEINTEGROS",7,
IF(V2673="BIT",90,
IF(V2673="OP GRADO - INGLÉS",17,"")))))</f>
        <v>31</v>
      </c>
      <c r="X2673" t="s">
        <v>4027</v>
      </c>
    </row>
    <row r="2674" spans="1:24" ht="15" x14ac:dyDescent="0.35">
      <c r="A2674" s="4">
        <v>46000.540763888886</v>
      </c>
      <c r="B2674">
        <v>20106153</v>
      </c>
      <c r="C2674" s="6" t="s">
        <v>19</v>
      </c>
      <c r="D2674">
        <v>587316</v>
      </c>
      <c r="E2674" t="s">
        <v>20</v>
      </c>
      <c r="F2674">
        <v>1016713827</v>
      </c>
      <c r="G2674" t="s">
        <v>825</v>
      </c>
      <c r="H2674">
        <v>100237804</v>
      </c>
      <c r="I2674">
        <v>202631</v>
      </c>
      <c r="J2674">
        <v>1016713827</v>
      </c>
      <c r="K2674" t="s">
        <v>33</v>
      </c>
      <c r="L2674" t="s">
        <v>65</v>
      </c>
      <c r="M2674" t="s">
        <v>24</v>
      </c>
      <c r="N2674" t="s">
        <v>25</v>
      </c>
      <c r="O2674" t="s">
        <v>26</v>
      </c>
      <c r="P2674" t="s">
        <v>27</v>
      </c>
      <c r="Q2674" t="s">
        <v>28</v>
      </c>
      <c r="R2674" t="s">
        <v>29</v>
      </c>
      <c r="S2674" t="s">
        <v>30</v>
      </c>
      <c r="T2674">
        <v>10306009131</v>
      </c>
      <c r="U2674" t="s">
        <v>3933</v>
      </c>
      <c r="V2674" t="s">
        <v>3934</v>
      </c>
      <c r="W2674" s="9">
        <f>IF(V2674="pregrado",31,
IF(V2674="posgrados",31,
IF(V2674="rEINTEGROS",7,
IF(V2674="BIT",90,
IF(V2674="OP GRADO - INGLÉS",17,"")))))</f>
        <v>31</v>
      </c>
      <c r="X2674" t="s">
        <v>3978</v>
      </c>
    </row>
    <row r="2675" spans="1:24" ht="15" x14ac:dyDescent="0.35">
      <c r="A2675" s="4">
        <v>46013.716909722221</v>
      </c>
      <c r="B2675">
        <v>20109279</v>
      </c>
      <c r="C2675" s="6" t="s">
        <v>19</v>
      </c>
      <c r="D2675">
        <v>587318</v>
      </c>
      <c r="E2675" t="s">
        <v>20</v>
      </c>
      <c r="F2675">
        <v>1085259146</v>
      </c>
      <c r="G2675" t="s">
        <v>1241</v>
      </c>
      <c r="H2675">
        <v>100237807</v>
      </c>
      <c r="I2675">
        <v>202631</v>
      </c>
      <c r="J2675">
        <v>1085259146</v>
      </c>
      <c r="K2675" t="s">
        <v>33</v>
      </c>
      <c r="L2675" t="s">
        <v>370</v>
      </c>
      <c r="M2675" t="s">
        <v>24</v>
      </c>
      <c r="N2675" t="s">
        <v>35</v>
      </c>
      <c r="O2675" t="s">
        <v>26</v>
      </c>
      <c r="P2675" t="s">
        <v>27</v>
      </c>
      <c r="Q2675" t="s">
        <v>28</v>
      </c>
      <c r="R2675" t="s">
        <v>29</v>
      </c>
      <c r="S2675" t="s">
        <v>30</v>
      </c>
      <c r="T2675">
        <v>1023974716</v>
      </c>
      <c r="U2675" t="s">
        <v>3963</v>
      </c>
      <c r="V2675" t="s">
        <v>3934</v>
      </c>
      <c r="W2675" s="9">
        <f>IF(V2675="pregrado",31,
IF(V2675="posgrados",31,
IF(V2675="rEINTEGROS",7,
IF(V2675="BIT",90,
IF(V2675="OP GRADO - INGLÉS",17,"")))))</f>
        <v>31</v>
      </c>
      <c r="X2675" t="s">
        <v>4016</v>
      </c>
    </row>
    <row r="2676" spans="1:24" ht="15" x14ac:dyDescent="0.35">
      <c r="A2676" s="4">
        <v>46001.603587962964</v>
      </c>
      <c r="B2676">
        <v>20106428</v>
      </c>
      <c r="C2676" s="6" t="s">
        <v>19</v>
      </c>
      <c r="D2676">
        <v>587320</v>
      </c>
      <c r="E2676" t="s">
        <v>20</v>
      </c>
      <c r="F2676">
        <v>1001389814</v>
      </c>
      <c r="G2676" t="s">
        <v>872</v>
      </c>
      <c r="H2676">
        <v>100223300</v>
      </c>
      <c r="I2676">
        <v>202631</v>
      </c>
      <c r="J2676">
        <v>1020497763</v>
      </c>
      <c r="K2676" t="s">
        <v>33</v>
      </c>
      <c r="L2676" t="s">
        <v>127</v>
      </c>
      <c r="M2676" t="s">
        <v>24</v>
      </c>
      <c r="N2676" t="s">
        <v>25</v>
      </c>
      <c r="O2676" t="s">
        <v>26</v>
      </c>
      <c r="P2676" t="s">
        <v>27</v>
      </c>
      <c r="Q2676" t="s">
        <v>28</v>
      </c>
      <c r="R2676" t="s">
        <v>29</v>
      </c>
      <c r="S2676" t="s">
        <v>30</v>
      </c>
      <c r="T2676">
        <v>10306009131</v>
      </c>
      <c r="U2676" t="s">
        <v>3933</v>
      </c>
      <c r="V2676" t="s">
        <v>3934</v>
      </c>
      <c r="W2676" s="9">
        <f>IF(V2676="pregrado",31,
IF(V2676="posgrados",31,
IF(V2676="rEINTEGROS",7,
IF(V2676="BIT",90,
IF(V2676="OP GRADO - INGLÉS",17,"")))))</f>
        <v>31</v>
      </c>
      <c r="X2676" t="s">
        <v>3978</v>
      </c>
    </row>
    <row r="2677" spans="1:24" ht="15" x14ac:dyDescent="0.35">
      <c r="A2677" s="4">
        <v>45995.798761574071</v>
      </c>
      <c r="B2677">
        <v>20105936</v>
      </c>
      <c r="C2677" s="6" t="s">
        <v>19</v>
      </c>
      <c r="D2677">
        <v>587321</v>
      </c>
      <c r="E2677" t="s">
        <v>20</v>
      </c>
      <c r="F2677">
        <v>1015396387</v>
      </c>
      <c r="G2677" t="s">
        <v>799</v>
      </c>
      <c r="H2677">
        <v>100237676</v>
      </c>
      <c r="I2677">
        <v>202610</v>
      </c>
      <c r="J2677">
        <v>1141116860</v>
      </c>
      <c r="K2677" t="s">
        <v>23</v>
      </c>
      <c r="L2677" t="s">
        <v>49</v>
      </c>
      <c r="M2677" t="s">
        <v>24</v>
      </c>
      <c r="N2677" t="s">
        <v>35</v>
      </c>
      <c r="O2677" t="s">
        <v>26</v>
      </c>
      <c r="P2677" t="s">
        <v>27</v>
      </c>
      <c r="Q2677" t="s">
        <v>28</v>
      </c>
      <c r="R2677" t="s">
        <v>29</v>
      </c>
      <c r="S2677" t="s">
        <v>30</v>
      </c>
      <c r="T2677">
        <v>1015482247</v>
      </c>
      <c r="U2677" t="s">
        <v>3944</v>
      </c>
      <c r="V2677" t="s">
        <v>3934</v>
      </c>
      <c r="W2677" s="9">
        <f>IF(V2677="pregrado",31,
IF(V2677="posgrados",31,
IF(V2677="rEINTEGROS",7,
IF(V2677="BIT",90,
IF(V2677="OP GRADO - INGLÉS",17,"")))))</f>
        <v>31</v>
      </c>
      <c r="X2677" t="s">
        <v>3984</v>
      </c>
    </row>
    <row r="2678" spans="1:24" ht="15" x14ac:dyDescent="0.35">
      <c r="A2678" s="4">
        <v>46001.529189814813</v>
      </c>
      <c r="B2678">
        <v>20106387</v>
      </c>
      <c r="C2678" s="6" t="s">
        <v>19</v>
      </c>
      <c r="D2678">
        <v>587325</v>
      </c>
      <c r="E2678" t="s">
        <v>20</v>
      </c>
      <c r="F2678">
        <v>66942111</v>
      </c>
      <c r="G2678" t="s">
        <v>868</v>
      </c>
      <c r="H2678">
        <v>100237815</v>
      </c>
      <c r="I2678">
        <v>202631</v>
      </c>
      <c r="J2678">
        <v>1111800010</v>
      </c>
      <c r="K2678" t="s">
        <v>23</v>
      </c>
      <c r="L2678" t="s">
        <v>219</v>
      </c>
      <c r="M2678" t="s">
        <v>24</v>
      </c>
      <c r="N2678" t="s">
        <v>35</v>
      </c>
      <c r="O2678" t="s">
        <v>26</v>
      </c>
      <c r="P2678" t="s">
        <v>27</v>
      </c>
      <c r="Q2678" t="s">
        <v>28</v>
      </c>
      <c r="R2678" t="s">
        <v>29</v>
      </c>
      <c r="S2678" t="s">
        <v>30</v>
      </c>
      <c r="T2678">
        <v>1020820287</v>
      </c>
      <c r="U2678" t="s">
        <v>3963</v>
      </c>
      <c r="V2678" t="s">
        <v>3934</v>
      </c>
      <c r="W2678" s="9">
        <f>IF(V2678="pregrado",31,
IF(V2678="posgrados",31,
IF(V2678="rEINTEGROS",7,
IF(V2678="BIT",90,
IF(V2678="OP GRADO - INGLÉS",17,"")))))</f>
        <v>31</v>
      </c>
      <c r="X2678" t="s">
        <v>4044</v>
      </c>
    </row>
    <row r="2679" spans="1:24" ht="15" x14ac:dyDescent="0.35">
      <c r="A2679" s="4">
        <v>46011.480509259258</v>
      </c>
      <c r="B2679">
        <v>20109012</v>
      </c>
      <c r="C2679" s="6" t="s">
        <v>19</v>
      </c>
      <c r="D2679">
        <v>590095</v>
      </c>
      <c r="E2679" t="s">
        <v>20</v>
      </c>
      <c r="F2679">
        <v>1111193167</v>
      </c>
      <c r="G2679" t="s">
        <v>1204</v>
      </c>
      <c r="H2679">
        <v>100190432</v>
      </c>
      <c r="I2679">
        <v>202610</v>
      </c>
      <c r="J2679">
        <v>1111193167</v>
      </c>
      <c r="K2679" t="s">
        <v>89</v>
      </c>
      <c r="L2679" t="s">
        <v>40</v>
      </c>
      <c r="M2679" t="s">
        <v>24</v>
      </c>
      <c r="N2679" t="s">
        <v>35</v>
      </c>
      <c r="O2679" t="s">
        <v>26</v>
      </c>
      <c r="P2679" t="s">
        <v>27</v>
      </c>
      <c r="Q2679" t="s">
        <v>28</v>
      </c>
      <c r="R2679" t="s">
        <v>29</v>
      </c>
      <c r="S2679" t="s">
        <v>30</v>
      </c>
      <c r="T2679">
        <v>1023899450</v>
      </c>
      <c r="U2679" t="s">
        <v>3977</v>
      </c>
      <c r="V2679" t="s">
        <v>3970</v>
      </c>
      <c r="W2679" s="9">
        <f>IF(V2679="pregrado",31,
IF(V2679="posgrados",31,
IF(V2679="rEINTEGROS",7,
IF(V2679="BIT",90,
IF(V2679="OP GRADO - INGLÉS",17,"")))))</f>
        <v>7</v>
      </c>
      <c r="X2679" t="s">
        <v>3969</v>
      </c>
    </row>
    <row r="2680" spans="1:24" ht="15" x14ac:dyDescent="0.35">
      <c r="A2680" s="4">
        <v>46072.732418981483</v>
      </c>
      <c r="B2680">
        <v>20125014</v>
      </c>
      <c r="C2680" s="6" t="s">
        <v>19</v>
      </c>
      <c r="D2680">
        <v>590393</v>
      </c>
      <c r="E2680" t="s">
        <v>20</v>
      </c>
      <c r="F2680">
        <v>79835833</v>
      </c>
      <c r="G2680" t="s">
        <v>3439</v>
      </c>
      <c r="H2680">
        <v>100226598</v>
      </c>
      <c r="I2680">
        <v>202610</v>
      </c>
      <c r="J2680">
        <v>1000380610</v>
      </c>
      <c r="K2680" t="s">
        <v>74</v>
      </c>
      <c r="L2680" t="s">
        <v>40</v>
      </c>
      <c r="M2680" t="s">
        <v>24</v>
      </c>
      <c r="N2680" t="s">
        <v>35</v>
      </c>
      <c r="O2680" t="s">
        <v>26</v>
      </c>
      <c r="P2680" t="s">
        <v>27</v>
      </c>
      <c r="Q2680" t="s">
        <v>28</v>
      </c>
      <c r="R2680" t="s">
        <v>29</v>
      </c>
      <c r="S2680" t="s">
        <v>30</v>
      </c>
      <c r="T2680">
        <v>53178431</v>
      </c>
      <c r="U2680" t="s">
        <v>3941</v>
      </c>
      <c r="V2680" t="s">
        <v>3934</v>
      </c>
      <c r="W2680" s="9">
        <f>IF(V2680="pregrado",31,
IF(V2680="posgrados",31,
IF(V2680="rEINTEGROS",7,
IF(V2680="BIT",90,
IF(V2680="OP GRADO - INGLÉS",17,"")))))</f>
        <v>31</v>
      </c>
      <c r="X2680" t="s">
        <v>3949</v>
      </c>
    </row>
    <row r="2681" spans="1:24" ht="15" x14ac:dyDescent="0.35">
      <c r="A2681" s="4">
        <v>46001.509467592594</v>
      </c>
      <c r="B2681">
        <v>20106371</v>
      </c>
      <c r="C2681" s="6" t="s">
        <v>19</v>
      </c>
      <c r="D2681">
        <v>591532</v>
      </c>
      <c r="E2681" t="s">
        <v>20</v>
      </c>
      <c r="F2681">
        <v>1065578615</v>
      </c>
      <c r="G2681" t="s">
        <v>862</v>
      </c>
      <c r="H2681">
        <v>100237834</v>
      </c>
      <c r="I2681">
        <v>202631</v>
      </c>
      <c r="J2681">
        <v>1065578615</v>
      </c>
      <c r="K2681" t="s">
        <v>23</v>
      </c>
      <c r="L2681" t="s">
        <v>57</v>
      </c>
      <c r="M2681" t="s">
        <v>24</v>
      </c>
      <c r="N2681" t="s">
        <v>35</v>
      </c>
      <c r="O2681" t="s">
        <v>26</v>
      </c>
      <c r="P2681" t="s">
        <v>27</v>
      </c>
      <c r="Q2681" t="s">
        <v>28</v>
      </c>
      <c r="R2681" t="s">
        <v>29</v>
      </c>
      <c r="S2681" t="s">
        <v>30</v>
      </c>
      <c r="T2681">
        <v>1022392610</v>
      </c>
      <c r="U2681" t="s">
        <v>3941</v>
      </c>
      <c r="V2681" t="s">
        <v>3934</v>
      </c>
      <c r="W2681" s="9">
        <f>IF(V2681="pregrado",31,
IF(V2681="posgrados",31,
IF(V2681="rEINTEGROS",7,
IF(V2681="BIT",90,
IF(V2681="OP GRADO - INGLÉS",17,"")))))</f>
        <v>31</v>
      </c>
      <c r="X2681" t="s">
        <v>4028</v>
      </c>
    </row>
    <row r="2682" spans="1:24" ht="15" x14ac:dyDescent="0.35">
      <c r="A2682" s="4">
        <v>46000.740532407406</v>
      </c>
      <c r="B2682">
        <v>20106233</v>
      </c>
      <c r="C2682" s="6" t="s">
        <v>19</v>
      </c>
      <c r="D2682">
        <v>591566</v>
      </c>
      <c r="E2682" t="s">
        <v>20</v>
      </c>
      <c r="F2682">
        <v>1070590037</v>
      </c>
      <c r="G2682" t="s">
        <v>839</v>
      </c>
      <c r="H2682">
        <v>100237878</v>
      </c>
      <c r="I2682">
        <v>202631</v>
      </c>
      <c r="J2682">
        <v>1070590037</v>
      </c>
      <c r="K2682" t="s">
        <v>33</v>
      </c>
      <c r="L2682" t="s">
        <v>51</v>
      </c>
      <c r="M2682" t="s">
        <v>24</v>
      </c>
      <c r="N2682" t="s">
        <v>25</v>
      </c>
      <c r="O2682" t="s">
        <v>26</v>
      </c>
      <c r="P2682" t="s">
        <v>27</v>
      </c>
      <c r="Q2682" t="s">
        <v>28</v>
      </c>
      <c r="R2682" t="s">
        <v>29</v>
      </c>
      <c r="S2682" t="s">
        <v>30</v>
      </c>
      <c r="T2682">
        <v>1001192723</v>
      </c>
      <c r="U2682" t="s">
        <v>3941</v>
      </c>
      <c r="V2682" t="s">
        <v>3934</v>
      </c>
      <c r="W2682" s="9">
        <f>IF(V2682="pregrado",31,
IF(V2682="posgrados",31,
IF(V2682="rEINTEGROS",7,
IF(V2682="BIT",90,
IF(V2682="OP GRADO - INGLÉS",17,"")))))</f>
        <v>31</v>
      </c>
      <c r="X2682" t="s">
        <v>3940</v>
      </c>
    </row>
    <row r="2683" spans="1:24" ht="15" x14ac:dyDescent="0.35">
      <c r="A2683" s="4">
        <v>46002.814525462964</v>
      </c>
      <c r="B2683">
        <v>20106767</v>
      </c>
      <c r="C2683" s="6" t="s">
        <v>19</v>
      </c>
      <c r="D2683">
        <v>591568</v>
      </c>
      <c r="E2683" t="s">
        <v>20</v>
      </c>
      <c r="F2683">
        <v>1137059870</v>
      </c>
      <c r="G2683" t="s">
        <v>939</v>
      </c>
      <c r="H2683">
        <v>100237881</v>
      </c>
      <c r="I2683">
        <v>202631</v>
      </c>
      <c r="J2683">
        <v>1137059870</v>
      </c>
      <c r="K2683" t="s">
        <v>33</v>
      </c>
      <c r="L2683" t="s">
        <v>90</v>
      </c>
      <c r="M2683" t="s">
        <v>24</v>
      </c>
      <c r="N2683" t="s">
        <v>25</v>
      </c>
      <c r="O2683" t="s">
        <v>26</v>
      </c>
      <c r="P2683" t="s">
        <v>27</v>
      </c>
      <c r="Q2683" t="s">
        <v>28</v>
      </c>
      <c r="R2683" t="s">
        <v>29</v>
      </c>
      <c r="S2683" t="s">
        <v>30</v>
      </c>
      <c r="T2683">
        <v>39666517</v>
      </c>
      <c r="U2683" t="s">
        <v>3933</v>
      </c>
      <c r="V2683" t="s">
        <v>3934</v>
      </c>
      <c r="W2683" s="9">
        <f>IF(V2683="pregrado",31,
IF(V2683="posgrados",31,
IF(V2683="rEINTEGROS",7,
IF(V2683="BIT",90,
IF(V2683="OP GRADO - INGLÉS",17,"")))))</f>
        <v>31</v>
      </c>
      <c r="X2683" t="s">
        <v>4025</v>
      </c>
    </row>
    <row r="2684" spans="1:24" ht="15" x14ac:dyDescent="0.35">
      <c r="A2684" s="4">
        <v>46002.701307870368</v>
      </c>
      <c r="B2684">
        <v>20106726</v>
      </c>
      <c r="C2684" s="6" t="s">
        <v>19</v>
      </c>
      <c r="D2684">
        <v>591586</v>
      </c>
      <c r="E2684" t="s">
        <v>20</v>
      </c>
      <c r="F2684">
        <v>1073234689</v>
      </c>
      <c r="G2684" t="s">
        <v>928</v>
      </c>
      <c r="H2684">
        <v>100237901</v>
      </c>
      <c r="I2684">
        <v>202610</v>
      </c>
      <c r="J2684">
        <v>1073578045</v>
      </c>
      <c r="K2684" t="s">
        <v>23</v>
      </c>
      <c r="L2684" t="s">
        <v>62</v>
      </c>
      <c r="M2684" t="s">
        <v>24</v>
      </c>
      <c r="N2684" t="s">
        <v>35</v>
      </c>
      <c r="O2684" t="s">
        <v>26</v>
      </c>
      <c r="P2684" t="s">
        <v>27</v>
      </c>
      <c r="Q2684" t="s">
        <v>28</v>
      </c>
      <c r="R2684" t="s">
        <v>29</v>
      </c>
      <c r="S2684" t="s">
        <v>30</v>
      </c>
      <c r="T2684">
        <v>1000349074</v>
      </c>
      <c r="U2684" t="s">
        <v>3944</v>
      </c>
      <c r="V2684" t="s">
        <v>3934</v>
      </c>
      <c r="W2684" s="9">
        <f>IF(V2684="pregrado",31,
IF(V2684="posgrados",31,
IF(V2684="rEINTEGROS",7,
IF(V2684="BIT",90,
IF(V2684="OP GRADO - INGLÉS",17,"")))))</f>
        <v>31</v>
      </c>
      <c r="X2684" t="s">
        <v>4036</v>
      </c>
    </row>
    <row r="2685" spans="1:24" ht="15" x14ac:dyDescent="0.35">
      <c r="A2685" s="4">
        <v>46000.531493055554</v>
      </c>
      <c r="B2685">
        <v>20106150</v>
      </c>
      <c r="C2685" s="6" t="s">
        <v>19</v>
      </c>
      <c r="D2685">
        <v>591594</v>
      </c>
      <c r="E2685" t="s">
        <v>20</v>
      </c>
      <c r="F2685">
        <v>91435143</v>
      </c>
      <c r="G2685" t="s">
        <v>822</v>
      </c>
      <c r="H2685">
        <v>100237912</v>
      </c>
      <c r="I2685">
        <v>202631</v>
      </c>
      <c r="J2685">
        <v>1097184565</v>
      </c>
      <c r="K2685" t="s">
        <v>33</v>
      </c>
      <c r="L2685" t="s">
        <v>370</v>
      </c>
      <c r="M2685" t="s">
        <v>24</v>
      </c>
      <c r="N2685" t="s">
        <v>35</v>
      </c>
      <c r="O2685" t="s">
        <v>26</v>
      </c>
      <c r="P2685" t="s">
        <v>27</v>
      </c>
      <c r="Q2685" t="s">
        <v>28</v>
      </c>
      <c r="R2685" t="s">
        <v>29</v>
      </c>
      <c r="S2685" t="s">
        <v>30</v>
      </c>
      <c r="T2685">
        <v>1000350862</v>
      </c>
      <c r="U2685" t="s">
        <v>3963</v>
      </c>
      <c r="V2685" t="s">
        <v>3934</v>
      </c>
      <c r="W2685" s="9">
        <f>IF(V2685="pregrado",31,
IF(V2685="posgrados",31,
IF(V2685="rEINTEGROS",7,
IF(V2685="BIT",90,
IF(V2685="OP GRADO - INGLÉS",17,"")))))</f>
        <v>31</v>
      </c>
      <c r="X2685" t="s">
        <v>4071</v>
      </c>
    </row>
    <row r="2686" spans="1:24" ht="15" x14ac:dyDescent="0.35">
      <c r="A2686" s="4">
        <v>46014.531550925924</v>
      </c>
      <c r="B2686">
        <v>20109504</v>
      </c>
      <c r="C2686" s="6" t="s">
        <v>19</v>
      </c>
      <c r="D2686">
        <v>591596</v>
      </c>
      <c r="E2686" t="s">
        <v>20</v>
      </c>
      <c r="F2686">
        <v>1043129119</v>
      </c>
      <c r="G2686" t="s">
        <v>1269</v>
      </c>
      <c r="H2686">
        <v>100237913</v>
      </c>
      <c r="I2686">
        <v>202631</v>
      </c>
      <c r="J2686">
        <v>1046694755</v>
      </c>
      <c r="K2686" t="s">
        <v>33</v>
      </c>
      <c r="L2686" t="s">
        <v>370</v>
      </c>
      <c r="M2686" t="s">
        <v>24</v>
      </c>
      <c r="N2686" t="s">
        <v>35</v>
      </c>
      <c r="O2686" t="s">
        <v>26</v>
      </c>
      <c r="P2686" t="s">
        <v>27</v>
      </c>
      <c r="Q2686" t="s">
        <v>28</v>
      </c>
      <c r="R2686" t="s">
        <v>29</v>
      </c>
      <c r="S2686" t="s">
        <v>30</v>
      </c>
      <c r="T2686">
        <v>52446712</v>
      </c>
      <c r="U2686" t="s">
        <v>3963</v>
      </c>
      <c r="V2686" t="s">
        <v>3934</v>
      </c>
      <c r="W2686" s="9">
        <f>IF(V2686="pregrado",31,
IF(V2686="posgrados",31,
IF(V2686="rEINTEGROS",7,
IF(V2686="BIT",90,
IF(V2686="OP GRADO - INGLÉS",17,"")))))</f>
        <v>31</v>
      </c>
      <c r="X2686" t="s">
        <v>4041</v>
      </c>
    </row>
    <row r="2687" spans="1:24" ht="15" x14ac:dyDescent="0.35">
      <c r="A2687" s="4">
        <v>46000.422731481478</v>
      </c>
      <c r="B2687">
        <v>20106094</v>
      </c>
      <c r="C2687" s="6" t="s">
        <v>19</v>
      </c>
      <c r="D2687">
        <v>591607</v>
      </c>
      <c r="E2687" t="s">
        <v>20</v>
      </c>
      <c r="F2687">
        <v>1022946645</v>
      </c>
      <c r="G2687" t="s">
        <v>814</v>
      </c>
      <c r="H2687">
        <v>100237938</v>
      </c>
      <c r="I2687">
        <v>202631</v>
      </c>
      <c r="J2687">
        <v>1140918300</v>
      </c>
      <c r="K2687" t="s">
        <v>23</v>
      </c>
      <c r="L2687" t="s">
        <v>127</v>
      </c>
      <c r="M2687" t="s">
        <v>24</v>
      </c>
      <c r="N2687" t="s">
        <v>35</v>
      </c>
      <c r="O2687" t="s">
        <v>26</v>
      </c>
      <c r="P2687" t="s">
        <v>27</v>
      </c>
      <c r="Q2687" t="s">
        <v>28</v>
      </c>
      <c r="R2687" t="s">
        <v>29</v>
      </c>
      <c r="S2687" t="s">
        <v>30</v>
      </c>
      <c r="T2687">
        <v>1023970223</v>
      </c>
      <c r="U2687" t="s">
        <v>3933</v>
      </c>
      <c r="V2687" t="s">
        <v>3934</v>
      </c>
      <c r="W2687" s="9">
        <f>IF(V2687="pregrado",31,
IF(V2687="posgrados",31,
IF(V2687="rEINTEGROS",7,
IF(V2687="BIT",90,
IF(V2687="OP GRADO - INGLÉS",17,"")))))</f>
        <v>31</v>
      </c>
      <c r="X2687" t="s">
        <v>4070</v>
      </c>
    </row>
    <row r="2688" spans="1:24" ht="15" x14ac:dyDescent="0.35">
      <c r="A2688" s="4">
        <v>46003.64770833333</v>
      </c>
      <c r="B2688">
        <v>20106993</v>
      </c>
      <c r="C2688" s="6" t="s">
        <v>19</v>
      </c>
      <c r="D2688">
        <v>591608</v>
      </c>
      <c r="E2688" t="s">
        <v>20</v>
      </c>
      <c r="F2688">
        <v>1007361145</v>
      </c>
      <c r="G2688" t="s">
        <v>969</v>
      </c>
      <c r="H2688">
        <v>100237939</v>
      </c>
      <c r="I2688">
        <v>202631</v>
      </c>
      <c r="J2688">
        <v>1007361145</v>
      </c>
      <c r="K2688" t="s">
        <v>74</v>
      </c>
      <c r="L2688" t="s">
        <v>32</v>
      </c>
      <c r="M2688" t="s">
        <v>24</v>
      </c>
      <c r="N2688" t="s">
        <v>35</v>
      </c>
      <c r="O2688" t="s">
        <v>26</v>
      </c>
      <c r="P2688" t="s">
        <v>27</v>
      </c>
      <c r="Q2688" t="s">
        <v>28</v>
      </c>
      <c r="R2688" t="s">
        <v>29</v>
      </c>
      <c r="S2688" t="s">
        <v>30</v>
      </c>
      <c r="T2688">
        <v>1006023129</v>
      </c>
      <c r="U2688" t="s">
        <v>3944</v>
      </c>
      <c r="V2688" t="s">
        <v>3934</v>
      </c>
      <c r="W2688" s="9">
        <f>IF(V2688="pregrado",31,
IF(V2688="posgrados",31,
IF(V2688="rEINTEGROS",7,
IF(V2688="BIT",90,
IF(V2688="OP GRADO - INGLÉS",17,"")))))</f>
        <v>31</v>
      </c>
      <c r="X2688" t="s">
        <v>3982</v>
      </c>
    </row>
    <row r="2689" spans="1:24" ht="15" x14ac:dyDescent="0.35">
      <c r="A2689" s="4">
        <v>46006.589166666665</v>
      </c>
      <c r="B2689">
        <v>20107390</v>
      </c>
      <c r="C2689" s="6" t="s">
        <v>19</v>
      </c>
      <c r="D2689">
        <v>591609</v>
      </c>
      <c r="E2689" t="s">
        <v>20</v>
      </c>
      <c r="F2689">
        <v>35602204</v>
      </c>
      <c r="G2689" t="s">
        <v>1006</v>
      </c>
      <c r="H2689">
        <v>100237940</v>
      </c>
      <c r="I2689">
        <v>202611</v>
      </c>
      <c r="J2689">
        <v>1010104664</v>
      </c>
      <c r="K2689" t="s">
        <v>23</v>
      </c>
      <c r="L2689" t="s">
        <v>227</v>
      </c>
      <c r="M2689" t="s">
        <v>24</v>
      </c>
      <c r="N2689" t="s">
        <v>35</v>
      </c>
      <c r="O2689" t="s">
        <v>26</v>
      </c>
      <c r="P2689" t="s">
        <v>27</v>
      </c>
      <c r="Q2689" t="s">
        <v>28</v>
      </c>
      <c r="R2689" t="s">
        <v>29</v>
      </c>
      <c r="S2689" t="s">
        <v>30</v>
      </c>
      <c r="T2689">
        <v>1001277801</v>
      </c>
      <c r="U2689" t="s">
        <v>3965</v>
      </c>
      <c r="V2689" t="s">
        <v>3934</v>
      </c>
      <c r="W2689" s="9">
        <f>IF(V2689="pregrado",31,
IF(V2689="posgrados",31,
IF(V2689="rEINTEGROS",7,
IF(V2689="BIT",90,
IF(V2689="OP GRADO - INGLÉS",17,"")))))</f>
        <v>31</v>
      </c>
      <c r="X2689" t="s">
        <v>4002</v>
      </c>
    </row>
    <row r="2690" spans="1:24" ht="15" x14ac:dyDescent="0.35">
      <c r="A2690" s="4">
        <v>46001.491030092591</v>
      </c>
      <c r="B2690">
        <v>20106363</v>
      </c>
      <c r="C2690" s="6" t="s">
        <v>19</v>
      </c>
      <c r="D2690">
        <v>591612</v>
      </c>
      <c r="E2690" t="s">
        <v>20</v>
      </c>
      <c r="F2690">
        <v>24031061</v>
      </c>
      <c r="G2690" t="s">
        <v>860</v>
      </c>
      <c r="H2690">
        <v>100142208</v>
      </c>
      <c r="I2690">
        <v>202611</v>
      </c>
      <c r="J2690">
        <v>1073244506</v>
      </c>
      <c r="K2690" t="s">
        <v>23</v>
      </c>
      <c r="L2690" t="s">
        <v>227</v>
      </c>
      <c r="M2690" t="s">
        <v>24</v>
      </c>
      <c r="N2690" t="s">
        <v>25</v>
      </c>
      <c r="O2690" t="s">
        <v>26</v>
      </c>
      <c r="P2690" t="s">
        <v>27</v>
      </c>
      <c r="Q2690" t="s">
        <v>28</v>
      </c>
      <c r="R2690" t="s">
        <v>29</v>
      </c>
      <c r="S2690" t="s">
        <v>30</v>
      </c>
      <c r="T2690">
        <v>1073692626</v>
      </c>
      <c r="U2690" t="s">
        <v>3965</v>
      </c>
      <c r="V2690" t="s">
        <v>3934</v>
      </c>
      <c r="W2690" s="9">
        <f>IF(V2690="pregrado",31,
IF(V2690="posgrados",31,
IF(V2690="rEINTEGROS",7,
IF(V2690="BIT",90,
IF(V2690="OP GRADO - INGLÉS",17,"")))))</f>
        <v>31</v>
      </c>
      <c r="X2690" t="s">
        <v>4014</v>
      </c>
    </row>
    <row r="2691" spans="1:24" ht="15" x14ac:dyDescent="0.35">
      <c r="A2691" s="4">
        <v>46003.423472222225</v>
      </c>
      <c r="B2691">
        <v>20106859</v>
      </c>
      <c r="C2691" s="6" t="s">
        <v>19</v>
      </c>
      <c r="D2691">
        <v>591617</v>
      </c>
      <c r="E2691" t="s">
        <v>20</v>
      </c>
      <c r="F2691">
        <v>1010760555</v>
      </c>
      <c r="G2691" t="s">
        <v>949</v>
      </c>
      <c r="H2691">
        <v>200043295</v>
      </c>
      <c r="I2691">
        <v>202610</v>
      </c>
      <c r="J2691">
        <v>1010760555</v>
      </c>
      <c r="K2691" t="s">
        <v>23</v>
      </c>
      <c r="L2691" t="s">
        <v>69</v>
      </c>
      <c r="M2691" t="s">
        <v>24</v>
      </c>
      <c r="N2691" t="s">
        <v>35</v>
      </c>
      <c r="O2691" t="s">
        <v>26</v>
      </c>
      <c r="P2691" t="s">
        <v>27</v>
      </c>
      <c r="Q2691" t="s">
        <v>28</v>
      </c>
      <c r="R2691" t="s">
        <v>29</v>
      </c>
      <c r="S2691" t="s">
        <v>30</v>
      </c>
      <c r="T2691">
        <v>1023929839</v>
      </c>
      <c r="U2691" t="s">
        <v>3933</v>
      </c>
      <c r="V2691" t="s">
        <v>3934</v>
      </c>
      <c r="W2691" s="9">
        <f>IF(V2691="pregrado",31,
IF(V2691="posgrados",31,
IF(V2691="rEINTEGROS",7,
IF(V2691="BIT",90,
IF(V2691="OP GRADO - INGLÉS",17,"")))))</f>
        <v>31</v>
      </c>
      <c r="X2691" t="s">
        <v>3932</v>
      </c>
    </row>
    <row r="2692" spans="1:24" ht="15" x14ac:dyDescent="0.35">
      <c r="A2692" s="4">
        <v>46001.59878472222</v>
      </c>
      <c r="B2692">
        <v>20106423</v>
      </c>
      <c r="C2692" s="6" t="s">
        <v>19</v>
      </c>
      <c r="D2692">
        <v>591620</v>
      </c>
      <c r="E2692" t="s">
        <v>20</v>
      </c>
      <c r="F2692">
        <v>33745838</v>
      </c>
      <c r="G2692" t="s">
        <v>871</v>
      </c>
      <c r="H2692">
        <v>100237955</v>
      </c>
      <c r="I2692">
        <v>202631</v>
      </c>
      <c r="J2692">
        <v>1058845289</v>
      </c>
      <c r="K2692" t="s">
        <v>23</v>
      </c>
      <c r="L2692" t="s">
        <v>240</v>
      </c>
      <c r="M2692" t="s">
        <v>24</v>
      </c>
      <c r="N2692" t="s">
        <v>35</v>
      </c>
      <c r="O2692" t="s">
        <v>26</v>
      </c>
      <c r="P2692" t="s">
        <v>27</v>
      </c>
      <c r="Q2692" t="s">
        <v>28</v>
      </c>
      <c r="R2692" t="s">
        <v>29</v>
      </c>
      <c r="S2692" t="s">
        <v>30</v>
      </c>
      <c r="T2692">
        <v>1030525993</v>
      </c>
      <c r="U2692" t="s">
        <v>3933</v>
      </c>
      <c r="V2692" t="s">
        <v>3934</v>
      </c>
      <c r="W2692" s="9">
        <f>IF(V2692="pregrado",31,
IF(V2692="posgrados",31,
IF(V2692="rEINTEGROS",7,
IF(V2692="BIT",90,
IF(V2692="OP GRADO - INGLÉS",17,"")))))</f>
        <v>31</v>
      </c>
      <c r="X2692" t="s">
        <v>3956</v>
      </c>
    </row>
    <row r="2693" spans="1:24" ht="15" x14ac:dyDescent="0.35">
      <c r="A2693" s="4">
        <v>46000.490173611113</v>
      </c>
      <c r="B2693">
        <v>20106120</v>
      </c>
      <c r="C2693" s="6" t="s">
        <v>19</v>
      </c>
      <c r="D2693">
        <v>591622</v>
      </c>
      <c r="E2693" t="s">
        <v>20</v>
      </c>
      <c r="F2693">
        <v>1002636030</v>
      </c>
      <c r="G2693" t="s">
        <v>818</v>
      </c>
      <c r="H2693">
        <v>100237957</v>
      </c>
      <c r="I2693">
        <v>202631</v>
      </c>
      <c r="J2693">
        <v>1002636030</v>
      </c>
      <c r="K2693" t="s">
        <v>23</v>
      </c>
      <c r="L2693" t="s">
        <v>127</v>
      </c>
      <c r="M2693" t="s">
        <v>24</v>
      </c>
      <c r="N2693" t="s">
        <v>35</v>
      </c>
      <c r="O2693" t="s">
        <v>26</v>
      </c>
      <c r="P2693" t="s">
        <v>27</v>
      </c>
      <c r="Q2693" t="s">
        <v>28</v>
      </c>
      <c r="R2693" t="s">
        <v>29</v>
      </c>
      <c r="S2693" t="s">
        <v>30</v>
      </c>
      <c r="T2693">
        <v>1007473661</v>
      </c>
      <c r="U2693" t="s">
        <v>3933</v>
      </c>
      <c r="V2693" t="s">
        <v>3934</v>
      </c>
      <c r="W2693" s="9">
        <f>IF(V2693="pregrado",31,
IF(V2693="posgrados",31,
IF(V2693="rEINTEGROS",7,
IF(V2693="BIT",90,
IF(V2693="OP GRADO - INGLÉS",17,"")))))</f>
        <v>31</v>
      </c>
      <c r="X2693" t="s">
        <v>4058</v>
      </c>
    </row>
    <row r="2694" spans="1:24" ht="15" x14ac:dyDescent="0.35">
      <c r="A2694" s="4">
        <v>46001.696180555555</v>
      </c>
      <c r="B2694">
        <v>20106477</v>
      </c>
      <c r="C2694" s="6" t="s">
        <v>19</v>
      </c>
      <c r="D2694">
        <v>591623</v>
      </c>
      <c r="E2694" t="s">
        <v>20</v>
      </c>
      <c r="F2694">
        <v>52296162</v>
      </c>
      <c r="G2694" t="s">
        <v>879</v>
      </c>
      <c r="H2694">
        <v>100237132</v>
      </c>
      <c r="I2694">
        <v>202610</v>
      </c>
      <c r="J2694">
        <v>1025144371</v>
      </c>
      <c r="K2694" t="s">
        <v>23</v>
      </c>
      <c r="L2694" t="s">
        <v>49</v>
      </c>
      <c r="M2694" t="s">
        <v>24</v>
      </c>
      <c r="N2694" t="s">
        <v>35</v>
      </c>
      <c r="O2694" t="s">
        <v>26</v>
      </c>
      <c r="P2694" t="s">
        <v>27</v>
      </c>
      <c r="Q2694" t="s">
        <v>28</v>
      </c>
      <c r="R2694" t="s">
        <v>29</v>
      </c>
      <c r="S2694" t="s">
        <v>30</v>
      </c>
      <c r="T2694">
        <v>1000349074</v>
      </c>
      <c r="U2694" t="s">
        <v>3944</v>
      </c>
      <c r="V2694" t="s">
        <v>3934</v>
      </c>
      <c r="W2694" s="9">
        <f>IF(V2694="pregrado",31,
IF(V2694="posgrados",31,
IF(V2694="rEINTEGROS",7,
IF(V2694="BIT",90,
IF(V2694="OP GRADO - INGLÉS",17,"")))))</f>
        <v>31</v>
      </c>
      <c r="X2694" t="s">
        <v>4036</v>
      </c>
    </row>
    <row r="2695" spans="1:24" ht="15" x14ac:dyDescent="0.35">
      <c r="A2695" s="4">
        <v>46001.531446759262</v>
      </c>
      <c r="B2695">
        <v>20106390</v>
      </c>
      <c r="C2695" s="6" t="s">
        <v>19</v>
      </c>
      <c r="D2695">
        <v>591633</v>
      </c>
      <c r="E2695" t="s">
        <v>20</v>
      </c>
      <c r="F2695">
        <v>76328661</v>
      </c>
      <c r="G2695" t="s">
        <v>869</v>
      </c>
      <c r="H2695">
        <v>100237971</v>
      </c>
      <c r="I2695">
        <v>202631</v>
      </c>
      <c r="J2695">
        <v>76328661</v>
      </c>
      <c r="K2695" t="s">
        <v>23</v>
      </c>
      <c r="L2695" t="s">
        <v>219</v>
      </c>
      <c r="M2695" t="s">
        <v>24</v>
      </c>
      <c r="N2695" t="s">
        <v>35</v>
      </c>
      <c r="O2695" t="s">
        <v>26</v>
      </c>
      <c r="P2695" t="s">
        <v>27</v>
      </c>
      <c r="Q2695" t="s">
        <v>28</v>
      </c>
      <c r="R2695" t="s">
        <v>29</v>
      </c>
      <c r="S2695" t="s">
        <v>30</v>
      </c>
      <c r="T2695">
        <v>52446712</v>
      </c>
      <c r="U2695" t="s">
        <v>3963</v>
      </c>
      <c r="V2695" t="s">
        <v>3934</v>
      </c>
      <c r="W2695" s="9">
        <f>IF(V2695="pregrado",31,
IF(V2695="posgrados",31,
IF(V2695="rEINTEGROS",7,
IF(V2695="BIT",90,
IF(V2695="OP GRADO - INGLÉS",17,"")))))</f>
        <v>31</v>
      </c>
      <c r="X2695" t="s">
        <v>4041</v>
      </c>
    </row>
    <row r="2696" spans="1:24" ht="15" x14ac:dyDescent="0.35">
      <c r="A2696" s="4">
        <v>46006.563645833332</v>
      </c>
      <c r="B2696">
        <v>20107370</v>
      </c>
      <c r="C2696" s="6" t="s">
        <v>19</v>
      </c>
      <c r="D2696">
        <v>591637</v>
      </c>
      <c r="E2696" t="s">
        <v>20</v>
      </c>
      <c r="F2696">
        <v>26086975</v>
      </c>
      <c r="G2696" t="s">
        <v>1005</v>
      </c>
      <c r="H2696">
        <v>200055728</v>
      </c>
      <c r="I2696">
        <v>202631</v>
      </c>
      <c r="J2696">
        <v>1007792422</v>
      </c>
      <c r="K2696" t="s">
        <v>33</v>
      </c>
      <c r="L2696" t="s">
        <v>119</v>
      </c>
      <c r="M2696" t="s">
        <v>24</v>
      </c>
      <c r="N2696" t="s">
        <v>35</v>
      </c>
      <c r="O2696" t="s">
        <v>26</v>
      </c>
      <c r="P2696" t="s">
        <v>27</v>
      </c>
      <c r="Q2696" t="s">
        <v>28</v>
      </c>
      <c r="R2696" t="s">
        <v>29</v>
      </c>
      <c r="S2696" t="s">
        <v>30</v>
      </c>
      <c r="T2696">
        <v>1023367706</v>
      </c>
      <c r="U2696" t="s">
        <v>3963</v>
      </c>
      <c r="V2696" t="s">
        <v>3934</v>
      </c>
      <c r="W2696" s="9">
        <f>IF(V2696="pregrado",31,
IF(V2696="posgrados",31,
IF(V2696="rEINTEGROS",7,
IF(V2696="BIT",90,
IF(V2696="OP GRADO - INGLÉS",17,"")))))</f>
        <v>31</v>
      </c>
      <c r="X2696" t="s">
        <v>4039</v>
      </c>
    </row>
    <row r="2697" spans="1:24" ht="15" x14ac:dyDescent="0.35">
      <c r="A2697" s="4">
        <v>46014.632303240738</v>
      </c>
      <c r="B2697">
        <v>20109566</v>
      </c>
      <c r="C2697" s="6" t="s">
        <v>19</v>
      </c>
      <c r="D2697">
        <v>591658</v>
      </c>
      <c r="E2697" t="s">
        <v>20</v>
      </c>
      <c r="F2697">
        <v>1005339805</v>
      </c>
      <c r="G2697" t="s">
        <v>1275</v>
      </c>
      <c r="H2697">
        <v>100237914</v>
      </c>
      <c r="I2697">
        <v>202631</v>
      </c>
      <c r="J2697">
        <v>1005339805</v>
      </c>
      <c r="K2697" t="s">
        <v>33</v>
      </c>
      <c r="L2697" t="s">
        <v>370</v>
      </c>
      <c r="M2697" t="s">
        <v>24</v>
      </c>
      <c r="N2697" t="s">
        <v>35</v>
      </c>
      <c r="O2697" t="s">
        <v>26</v>
      </c>
      <c r="P2697" t="s">
        <v>27</v>
      </c>
      <c r="Q2697" t="s">
        <v>28</v>
      </c>
      <c r="R2697" t="s">
        <v>29</v>
      </c>
      <c r="S2697" t="s">
        <v>30</v>
      </c>
      <c r="T2697">
        <v>52446712</v>
      </c>
      <c r="U2697" t="s">
        <v>3963</v>
      </c>
      <c r="V2697" t="s">
        <v>3934</v>
      </c>
      <c r="W2697" s="9">
        <f>IF(V2697="pregrado",31,
IF(V2697="posgrados",31,
IF(V2697="rEINTEGROS",7,
IF(V2697="BIT",90,
IF(V2697="OP GRADO - INGLÉS",17,"")))))</f>
        <v>31</v>
      </c>
      <c r="X2697" t="s">
        <v>4041</v>
      </c>
    </row>
    <row r="2698" spans="1:24" ht="15" x14ac:dyDescent="0.35">
      <c r="A2698" s="4">
        <v>46000.66951388889</v>
      </c>
      <c r="B2698">
        <v>20106203</v>
      </c>
      <c r="C2698" s="6" t="s">
        <v>19</v>
      </c>
      <c r="D2698">
        <v>591671</v>
      </c>
      <c r="E2698" t="s">
        <v>20</v>
      </c>
      <c r="F2698">
        <v>1001089070</v>
      </c>
      <c r="G2698" t="s">
        <v>832</v>
      </c>
      <c r="H2698">
        <v>100145375</v>
      </c>
      <c r="I2698">
        <v>202611</v>
      </c>
      <c r="J2698">
        <v>1001089070</v>
      </c>
      <c r="K2698" t="s">
        <v>89</v>
      </c>
      <c r="L2698" t="s">
        <v>133</v>
      </c>
      <c r="M2698" t="s">
        <v>24</v>
      </c>
      <c r="N2698" t="s">
        <v>35</v>
      </c>
      <c r="O2698" t="s">
        <v>26</v>
      </c>
      <c r="P2698" t="s">
        <v>27</v>
      </c>
      <c r="Q2698" t="s">
        <v>28</v>
      </c>
      <c r="R2698" t="s">
        <v>29</v>
      </c>
      <c r="S2698" t="s">
        <v>30</v>
      </c>
      <c r="T2698">
        <v>1000934874</v>
      </c>
      <c r="U2698" t="s">
        <v>3977</v>
      </c>
      <c r="V2698" t="s">
        <v>3970</v>
      </c>
      <c r="W2698" s="9">
        <f>IF(V2698="pregrado",31,
IF(V2698="posgrados",31,
IF(V2698="rEINTEGROS",7,
IF(V2698="BIT",90,
IF(V2698="OP GRADO - INGLÉS",17,"")))))</f>
        <v>7</v>
      </c>
      <c r="X2698" t="s">
        <v>3999</v>
      </c>
    </row>
    <row r="2699" spans="1:24" ht="15" x14ac:dyDescent="0.35">
      <c r="A2699" s="4">
        <v>46001.467534722222</v>
      </c>
      <c r="B2699">
        <v>20106352</v>
      </c>
      <c r="C2699" s="6" t="s">
        <v>19</v>
      </c>
      <c r="D2699">
        <v>591675</v>
      </c>
      <c r="E2699" t="s">
        <v>20</v>
      </c>
      <c r="F2699">
        <v>1193135894</v>
      </c>
      <c r="G2699" t="s">
        <v>858</v>
      </c>
      <c r="H2699">
        <v>100170550</v>
      </c>
      <c r="I2699">
        <v>202611</v>
      </c>
      <c r="J2699">
        <v>1193135894</v>
      </c>
      <c r="K2699" t="s">
        <v>89</v>
      </c>
      <c r="L2699" t="s">
        <v>133</v>
      </c>
      <c r="M2699" t="s">
        <v>24</v>
      </c>
      <c r="N2699" t="s">
        <v>25</v>
      </c>
      <c r="O2699" t="s">
        <v>26</v>
      </c>
      <c r="P2699" t="s">
        <v>27</v>
      </c>
      <c r="Q2699" t="s">
        <v>28</v>
      </c>
      <c r="R2699" t="s">
        <v>29</v>
      </c>
      <c r="S2699" t="s">
        <v>30</v>
      </c>
      <c r="T2699">
        <v>1000934874</v>
      </c>
      <c r="U2699" t="s">
        <v>3977</v>
      </c>
      <c r="V2699" t="s">
        <v>3970</v>
      </c>
      <c r="W2699" s="9">
        <f>IF(V2699="pregrado",31,
IF(V2699="posgrados",31,
IF(V2699="rEINTEGROS",7,
IF(V2699="BIT",90,
IF(V2699="OP GRADO - INGLÉS",17,"")))))</f>
        <v>7</v>
      </c>
      <c r="X2699" t="s">
        <v>3999</v>
      </c>
    </row>
    <row r="2700" spans="1:24" ht="15" x14ac:dyDescent="0.35">
      <c r="A2700" s="4">
        <v>46003.378321759257</v>
      </c>
      <c r="B2700">
        <v>20106816</v>
      </c>
      <c r="C2700" s="6" t="s">
        <v>19</v>
      </c>
      <c r="D2700">
        <v>591680</v>
      </c>
      <c r="E2700" t="s">
        <v>20</v>
      </c>
      <c r="F2700">
        <v>1128463631</v>
      </c>
      <c r="G2700" t="s">
        <v>942</v>
      </c>
      <c r="H2700">
        <v>100238012</v>
      </c>
      <c r="I2700">
        <v>202631</v>
      </c>
      <c r="J2700">
        <v>1128463631</v>
      </c>
      <c r="K2700" t="s">
        <v>33</v>
      </c>
      <c r="L2700" t="s">
        <v>32</v>
      </c>
      <c r="M2700" t="s">
        <v>24</v>
      </c>
      <c r="N2700" t="s">
        <v>25</v>
      </c>
      <c r="O2700" t="s">
        <v>26</v>
      </c>
      <c r="P2700" t="s">
        <v>27</v>
      </c>
      <c r="Q2700" t="s">
        <v>28</v>
      </c>
      <c r="R2700" t="s">
        <v>29</v>
      </c>
      <c r="S2700" t="s">
        <v>30</v>
      </c>
      <c r="T2700">
        <v>1000625316</v>
      </c>
      <c r="U2700" t="s">
        <v>3944</v>
      </c>
      <c r="V2700" t="s">
        <v>3934</v>
      </c>
      <c r="W2700" s="9">
        <f>IF(V2700="pregrado",31,
IF(V2700="posgrados",31,
IF(V2700="rEINTEGROS",7,
IF(V2700="BIT",90,
IF(V2700="OP GRADO - INGLÉS",17,"")))))</f>
        <v>31</v>
      </c>
      <c r="X2700" t="s">
        <v>3980</v>
      </c>
    </row>
    <row r="2701" spans="1:24" ht="15" x14ac:dyDescent="0.35">
      <c r="A2701" s="4">
        <v>46000.671678240738</v>
      </c>
      <c r="B2701">
        <v>20106204</v>
      </c>
      <c r="C2701" s="6" t="s">
        <v>19</v>
      </c>
      <c r="D2701">
        <v>591699</v>
      </c>
      <c r="E2701" t="s">
        <v>20</v>
      </c>
      <c r="F2701">
        <v>1193541018</v>
      </c>
      <c r="G2701" t="s">
        <v>833</v>
      </c>
      <c r="H2701">
        <v>100238029</v>
      </c>
      <c r="I2701">
        <v>202631</v>
      </c>
      <c r="J2701">
        <v>1193541018</v>
      </c>
      <c r="K2701" t="s">
        <v>33</v>
      </c>
      <c r="L2701" t="s">
        <v>42</v>
      </c>
      <c r="M2701" t="s">
        <v>24</v>
      </c>
      <c r="N2701" t="s">
        <v>25</v>
      </c>
      <c r="O2701" t="s">
        <v>26</v>
      </c>
      <c r="P2701" t="s">
        <v>27</v>
      </c>
      <c r="Q2701" t="s">
        <v>28</v>
      </c>
      <c r="R2701" t="s">
        <v>29</v>
      </c>
      <c r="S2701" t="s">
        <v>30</v>
      </c>
      <c r="T2701">
        <v>1006023129</v>
      </c>
      <c r="U2701" t="s">
        <v>3944</v>
      </c>
      <c r="V2701" t="s">
        <v>3934</v>
      </c>
      <c r="W2701" s="9">
        <f>IF(V2701="pregrado",31,
IF(V2701="posgrados",31,
IF(V2701="rEINTEGROS",7,
IF(V2701="BIT",90,
IF(V2701="OP GRADO - INGLÉS",17,"")))))</f>
        <v>31</v>
      </c>
      <c r="X2701" t="s">
        <v>3982</v>
      </c>
    </row>
    <row r="2702" spans="1:24" ht="15" x14ac:dyDescent="0.35">
      <c r="A2702" s="4">
        <v>46001.302743055552</v>
      </c>
      <c r="B2702">
        <v>20106281</v>
      </c>
      <c r="C2702" s="6" t="s">
        <v>19</v>
      </c>
      <c r="D2702">
        <v>591718</v>
      </c>
      <c r="E2702" t="s">
        <v>20</v>
      </c>
      <c r="F2702">
        <v>1023869754</v>
      </c>
      <c r="G2702" t="s">
        <v>847</v>
      </c>
      <c r="H2702">
        <v>100171795</v>
      </c>
      <c r="I2702">
        <v>202611</v>
      </c>
      <c r="J2702">
        <v>1023869754</v>
      </c>
      <c r="K2702" t="s">
        <v>89</v>
      </c>
      <c r="L2702" t="s">
        <v>204</v>
      </c>
      <c r="M2702" t="s">
        <v>24</v>
      </c>
      <c r="N2702" t="s">
        <v>38</v>
      </c>
      <c r="O2702" t="s">
        <v>26</v>
      </c>
      <c r="P2702" t="s">
        <v>27</v>
      </c>
      <c r="Q2702" t="s">
        <v>28</v>
      </c>
      <c r="R2702" t="s">
        <v>29</v>
      </c>
      <c r="S2702" t="s">
        <v>30</v>
      </c>
      <c r="T2702">
        <v>1019102787</v>
      </c>
      <c r="U2702" t="s">
        <v>3977</v>
      </c>
      <c r="V2702" t="s">
        <v>3970</v>
      </c>
      <c r="W2702" s="9">
        <f>IF(V2702="pregrado",31,
IF(V2702="posgrados",31,
IF(V2702="rEINTEGROS",7,
IF(V2702="BIT",90,
IF(V2702="OP GRADO - INGLÉS",17,"")))))</f>
        <v>7</v>
      </c>
      <c r="X2702" t="s">
        <v>3976</v>
      </c>
    </row>
    <row r="2703" spans="1:24" ht="15" x14ac:dyDescent="0.35">
      <c r="A2703" s="4">
        <v>46008.435648148145</v>
      </c>
      <c r="B2703">
        <v>20108126</v>
      </c>
      <c r="C2703" s="6" t="s">
        <v>19</v>
      </c>
      <c r="D2703">
        <v>591720</v>
      </c>
      <c r="E2703" t="s">
        <v>20</v>
      </c>
      <c r="F2703">
        <v>1034397292</v>
      </c>
      <c r="G2703" t="s">
        <v>1072</v>
      </c>
      <c r="H2703">
        <v>100091746</v>
      </c>
      <c r="I2703">
        <v>202610</v>
      </c>
      <c r="J2703">
        <v>1034397292</v>
      </c>
      <c r="K2703" t="s">
        <v>33</v>
      </c>
      <c r="L2703" t="s">
        <v>40</v>
      </c>
      <c r="M2703" t="s">
        <v>24</v>
      </c>
      <c r="N2703" t="s">
        <v>35</v>
      </c>
      <c r="O2703" t="s">
        <v>26</v>
      </c>
      <c r="P2703" t="s">
        <v>27</v>
      </c>
      <c r="Q2703" t="s">
        <v>28</v>
      </c>
      <c r="R2703" t="s">
        <v>29</v>
      </c>
      <c r="S2703" t="s">
        <v>30</v>
      </c>
      <c r="T2703">
        <v>1022392610</v>
      </c>
      <c r="U2703" t="s">
        <v>3941</v>
      </c>
      <c r="V2703" t="s">
        <v>3934</v>
      </c>
      <c r="W2703" s="9">
        <f>IF(V2703="pregrado",31,
IF(V2703="posgrados",31,
IF(V2703="rEINTEGROS",7,
IF(V2703="BIT",90,
IF(V2703="OP GRADO - INGLÉS",17,"")))))</f>
        <v>31</v>
      </c>
      <c r="X2703" t="s">
        <v>4028</v>
      </c>
    </row>
    <row r="2704" spans="1:24" ht="15" x14ac:dyDescent="0.35">
      <c r="A2704" s="4">
        <v>46021.50818287037</v>
      </c>
      <c r="B2704">
        <v>20110357</v>
      </c>
      <c r="C2704" s="6" t="s">
        <v>19</v>
      </c>
      <c r="D2704">
        <v>591723</v>
      </c>
      <c r="E2704" t="s">
        <v>20</v>
      </c>
      <c r="F2704">
        <v>1014301831</v>
      </c>
      <c r="G2704" t="s">
        <v>1403</v>
      </c>
      <c r="H2704">
        <v>100187396</v>
      </c>
      <c r="I2704">
        <v>202610</v>
      </c>
      <c r="J2704">
        <v>1033809491</v>
      </c>
      <c r="K2704" t="s">
        <v>89</v>
      </c>
      <c r="L2704" t="s">
        <v>37</v>
      </c>
      <c r="M2704" t="s">
        <v>24</v>
      </c>
      <c r="N2704" t="s">
        <v>38</v>
      </c>
      <c r="O2704" t="s">
        <v>26</v>
      </c>
      <c r="P2704" t="s">
        <v>27</v>
      </c>
      <c r="Q2704" t="s">
        <v>28</v>
      </c>
      <c r="R2704" t="s">
        <v>29</v>
      </c>
      <c r="S2704" t="s">
        <v>30</v>
      </c>
      <c r="T2704">
        <v>1019102787</v>
      </c>
      <c r="U2704" t="s">
        <v>3977</v>
      </c>
      <c r="V2704" t="s">
        <v>3970</v>
      </c>
      <c r="W2704" s="9">
        <f>IF(V2704="pregrado",31,
IF(V2704="posgrados",31,
IF(V2704="rEINTEGROS",7,
IF(V2704="BIT",90,
IF(V2704="OP GRADO - INGLÉS",17,"")))))</f>
        <v>7</v>
      </c>
      <c r="X2704" t="s">
        <v>3976</v>
      </c>
    </row>
    <row r="2705" spans="1:24" ht="15" x14ac:dyDescent="0.35">
      <c r="A2705" s="4">
        <v>46001.484513888892</v>
      </c>
      <c r="B2705">
        <v>20106357</v>
      </c>
      <c r="C2705" s="6" t="s">
        <v>19</v>
      </c>
      <c r="D2705">
        <v>591744</v>
      </c>
      <c r="E2705" t="s">
        <v>20</v>
      </c>
      <c r="F2705">
        <v>1059840397</v>
      </c>
      <c r="G2705" t="s">
        <v>859</v>
      </c>
      <c r="H2705">
        <v>100238054</v>
      </c>
      <c r="I2705">
        <v>202631</v>
      </c>
      <c r="J2705">
        <v>1059840397</v>
      </c>
      <c r="K2705" t="s">
        <v>23</v>
      </c>
      <c r="L2705" t="s">
        <v>127</v>
      </c>
      <c r="M2705" t="s">
        <v>24</v>
      </c>
      <c r="N2705" t="s">
        <v>25</v>
      </c>
      <c r="O2705" t="s">
        <v>26</v>
      </c>
      <c r="P2705" t="s">
        <v>27</v>
      </c>
      <c r="Q2705" t="s">
        <v>28</v>
      </c>
      <c r="R2705" t="s">
        <v>29</v>
      </c>
      <c r="S2705" t="s">
        <v>30</v>
      </c>
      <c r="T2705">
        <v>10306009131</v>
      </c>
      <c r="U2705" t="s">
        <v>3933</v>
      </c>
      <c r="V2705" t="s">
        <v>3934</v>
      </c>
      <c r="W2705" s="9">
        <f>IF(V2705="pregrado",31,
IF(V2705="posgrados",31,
IF(V2705="rEINTEGROS",7,
IF(V2705="BIT",90,
IF(V2705="OP GRADO - INGLÉS",17,"")))))</f>
        <v>31</v>
      </c>
      <c r="X2705" t="s">
        <v>3978</v>
      </c>
    </row>
    <row r="2706" spans="1:24" ht="15" x14ac:dyDescent="0.35">
      <c r="A2706" s="4">
        <v>46069.52443287037</v>
      </c>
      <c r="B2706">
        <v>20123674</v>
      </c>
      <c r="C2706" s="6" t="s">
        <v>19</v>
      </c>
      <c r="D2706">
        <v>591752</v>
      </c>
      <c r="E2706" t="s">
        <v>20</v>
      </c>
      <c r="F2706">
        <v>6808107</v>
      </c>
      <c r="G2706" t="s">
        <v>3236</v>
      </c>
      <c r="H2706">
        <v>100238059</v>
      </c>
      <c r="I2706">
        <v>202611</v>
      </c>
      <c r="J2706">
        <v>1101124038</v>
      </c>
      <c r="K2706" t="s">
        <v>23</v>
      </c>
      <c r="L2706" t="s">
        <v>221</v>
      </c>
      <c r="M2706" t="s">
        <v>24</v>
      </c>
      <c r="N2706" t="s">
        <v>35</v>
      </c>
      <c r="O2706" t="s">
        <v>26</v>
      </c>
      <c r="P2706" t="s">
        <v>27</v>
      </c>
      <c r="Q2706" t="s">
        <v>28</v>
      </c>
      <c r="R2706" t="s">
        <v>29</v>
      </c>
      <c r="S2706" t="s">
        <v>30</v>
      </c>
      <c r="T2706">
        <v>10006855461</v>
      </c>
      <c r="U2706" t="s">
        <v>3965</v>
      </c>
      <c r="V2706" t="s">
        <v>3934</v>
      </c>
      <c r="W2706" s="9">
        <f>IF(V2706="pregrado",31,
IF(V2706="posgrados",31,
IF(V2706="rEINTEGROS",7,
IF(V2706="BIT",90,
IF(V2706="OP GRADO - INGLÉS",17,"")))))</f>
        <v>31</v>
      </c>
      <c r="X2706" t="s">
        <v>3993</v>
      </c>
    </row>
    <row r="2707" spans="1:24" ht="15" x14ac:dyDescent="0.35">
      <c r="A2707" s="4">
        <v>46003.414490740739</v>
      </c>
      <c r="B2707">
        <v>20106846</v>
      </c>
      <c r="C2707" s="6" t="s">
        <v>19</v>
      </c>
      <c r="D2707">
        <v>591765</v>
      </c>
      <c r="E2707" t="s">
        <v>20</v>
      </c>
      <c r="F2707">
        <v>1003823860</v>
      </c>
      <c r="G2707" t="s">
        <v>946</v>
      </c>
      <c r="H2707">
        <v>100158054</v>
      </c>
      <c r="I2707">
        <v>202611</v>
      </c>
      <c r="J2707">
        <v>1003823860</v>
      </c>
      <c r="K2707" t="s">
        <v>23</v>
      </c>
      <c r="L2707" t="s">
        <v>227</v>
      </c>
      <c r="M2707" t="s">
        <v>24</v>
      </c>
      <c r="N2707" t="s">
        <v>35</v>
      </c>
      <c r="O2707" t="s">
        <v>26</v>
      </c>
      <c r="P2707" t="s">
        <v>27</v>
      </c>
      <c r="Q2707" t="s">
        <v>28</v>
      </c>
      <c r="R2707" t="s">
        <v>29</v>
      </c>
      <c r="S2707" t="s">
        <v>30</v>
      </c>
      <c r="T2707">
        <v>10006855461</v>
      </c>
      <c r="U2707" t="s">
        <v>3965</v>
      </c>
      <c r="V2707" t="s">
        <v>3934</v>
      </c>
      <c r="W2707" s="9">
        <f>IF(V2707="pregrado",31,
IF(V2707="posgrados",31,
IF(V2707="rEINTEGROS",7,
IF(V2707="BIT",90,
IF(V2707="OP GRADO - INGLÉS",17,"")))))</f>
        <v>31</v>
      </c>
      <c r="X2707" t="s">
        <v>3993</v>
      </c>
    </row>
    <row r="2708" spans="1:24" ht="15" x14ac:dyDescent="0.35">
      <c r="A2708" s="4">
        <v>46001.636296296296</v>
      </c>
      <c r="B2708">
        <v>20106440</v>
      </c>
      <c r="C2708" s="6" t="s">
        <v>19</v>
      </c>
      <c r="D2708">
        <v>591781</v>
      </c>
      <c r="E2708" t="s">
        <v>20</v>
      </c>
      <c r="F2708">
        <v>20667558</v>
      </c>
      <c r="G2708" t="s">
        <v>873</v>
      </c>
      <c r="H2708">
        <v>100237739</v>
      </c>
      <c r="I2708">
        <v>202610</v>
      </c>
      <c r="J2708">
        <v>1069852040</v>
      </c>
      <c r="K2708" t="s">
        <v>33</v>
      </c>
      <c r="L2708" t="s">
        <v>49</v>
      </c>
      <c r="M2708" t="s">
        <v>24</v>
      </c>
      <c r="N2708" t="s">
        <v>35</v>
      </c>
      <c r="O2708" t="s">
        <v>26</v>
      </c>
      <c r="P2708" t="s">
        <v>27</v>
      </c>
      <c r="Q2708" t="s">
        <v>28</v>
      </c>
      <c r="R2708" t="s">
        <v>29</v>
      </c>
      <c r="S2708" t="s">
        <v>30</v>
      </c>
      <c r="T2708">
        <v>11001273124</v>
      </c>
      <c r="U2708" t="s">
        <v>3944</v>
      </c>
      <c r="V2708" t="s">
        <v>3934</v>
      </c>
      <c r="W2708" s="9">
        <f>IF(V2708="pregrado",31,
IF(V2708="posgrados",31,
IF(V2708="rEINTEGROS",7,
IF(V2708="BIT",90,
IF(V2708="OP GRADO - INGLÉS",17,"")))))</f>
        <v>31</v>
      </c>
      <c r="X2708" t="s">
        <v>3951</v>
      </c>
    </row>
    <row r="2709" spans="1:24" ht="15" x14ac:dyDescent="0.35">
      <c r="A2709" s="4">
        <v>46006.657453703701</v>
      </c>
      <c r="B2709">
        <v>20107461</v>
      </c>
      <c r="C2709" s="6" t="s">
        <v>19</v>
      </c>
      <c r="D2709">
        <v>591783</v>
      </c>
      <c r="E2709" t="s">
        <v>20</v>
      </c>
      <c r="F2709">
        <v>1000786884</v>
      </c>
      <c r="G2709" t="s">
        <v>1012</v>
      </c>
      <c r="H2709">
        <v>100238084</v>
      </c>
      <c r="I2709">
        <v>202611</v>
      </c>
      <c r="J2709">
        <v>1013686102</v>
      </c>
      <c r="K2709" t="s">
        <v>23</v>
      </c>
      <c r="L2709" t="s">
        <v>221</v>
      </c>
      <c r="M2709" t="s">
        <v>24</v>
      </c>
      <c r="N2709" t="s">
        <v>25</v>
      </c>
      <c r="O2709" t="s">
        <v>26</v>
      </c>
      <c r="P2709" t="s">
        <v>27</v>
      </c>
      <c r="Q2709" t="s">
        <v>28</v>
      </c>
      <c r="R2709" t="s">
        <v>29</v>
      </c>
      <c r="S2709" t="s">
        <v>30</v>
      </c>
      <c r="T2709">
        <v>1013687925</v>
      </c>
      <c r="U2709" t="s">
        <v>3933</v>
      </c>
      <c r="V2709" t="s">
        <v>3934</v>
      </c>
      <c r="W2709" s="9">
        <f>IF(V2709="pregrado",31,
IF(V2709="posgrados",31,
IF(V2709="rEINTEGROS",7,
IF(V2709="BIT",90,
IF(V2709="OP GRADO - INGLÉS",17,"")))))</f>
        <v>31</v>
      </c>
      <c r="X2709" t="s">
        <v>3959</v>
      </c>
    </row>
    <row r="2710" spans="1:24" ht="15" x14ac:dyDescent="0.35">
      <c r="A2710" s="4">
        <v>46001.667800925927</v>
      </c>
      <c r="B2710">
        <v>20106455</v>
      </c>
      <c r="C2710" s="6" t="s">
        <v>19</v>
      </c>
      <c r="D2710">
        <v>591797</v>
      </c>
      <c r="E2710" t="s">
        <v>20</v>
      </c>
      <c r="F2710">
        <v>1005025126</v>
      </c>
      <c r="G2710" t="s">
        <v>878</v>
      </c>
      <c r="H2710">
        <v>200049714</v>
      </c>
      <c r="I2710">
        <v>202631</v>
      </c>
      <c r="J2710">
        <v>1005025126</v>
      </c>
      <c r="K2710" t="s">
        <v>33</v>
      </c>
      <c r="L2710" t="s">
        <v>77</v>
      </c>
      <c r="M2710" t="s">
        <v>24</v>
      </c>
      <c r="N2710" t="s">
        <v>25</v>
      </c>
      <c r="O2710" t="s">
        <v>26</v>
      </c>
      <c r="P2710" t="s">
        <v>27</v>
      </c>
      <c r="Q2710" t="s">
        <v>28</v>
      </c>
      <c r="R2710" t="s">
        <v>29</v>
      </c>
      <c r="S2710" t="s">
        <v>30</v>
      </c>
      <c r="T2710">
        <v>1000350862</v>
      </c>
      <c r="U2710" t="s">
        <v>3963</v>
      </c>
      <c r="V2710" t="s">
        <v>3934</v>
      </c>
      <c r="W2710" s="9">
        <f>IF(V2710="pregrado",31,
IF(V2710="posgrados",31,
IF(V2710="rEINTEGROS",7,
IF(V2710="BIT",90,
IF(V2710="OP GRADO - INGLÉS",17,"")))))</f>
        <v>31</v>
      </c>
      <c r="X2710" t="s">
        <v>4071</v>
      </c>
    </row>
    <row r="2711" spans="1:24" ht="15" x14ac:dyDescent="0.35">
      <c r="A2711" s="4">
        <v>46001.509525462963</v>
      </c>
      <c r="B2711">
        <v>20106372</v>
      </c>
      <c r="C2711" s="6" t="s">
        <v>19</v>
      </c>
      <c r="D2711">
        <v>591801</v>
      </c>
      <c r="E2711" t="s">
        <v>20</v>
      </c>
      <c r="F2711">
        <v>1072422380</v>
      </c>
      <c r="G2711" t="s">
        <v>863</v>
      </c>
      <c r="H2711">
        <v>100238096</v>
      </c>
      <c r="I2711">
        <v>202610</v>
      </c>
      <c r="J2711">
        <v>1072425498</v>
      </c>
      <c r="K2711" t="s">
        <v>23</v>
      </c>
      <c r="L2711" t="s">
        <v>153</v>
      </c>
      <c r="M2711" t="s">
        <v>24</v>
      </c>
      <c r="N2711" t="s">
        <v>35</v>
      </c>
      <c r="O2711" t="s">
        <v>26</v>
      </c>
      <c r="P2711" t="s">
        <v>27</v>
      </c>
      <c r="Q2711" t="s">
        <v>28</v>
      </c>
      <c r="R2711" t="s">
        <v>29</v>
      </c>
      <c r="S2711" t="s">
        <v>30</v>
      </c>
      <c r="T2711">
        <v>53071696</v>
      </c>
      <c r="U2711" t="s">
        <v>3965</v>
      </c>
      <c r="V2711" t="s">
        <v>3934</v>
      </c>
      <c r="W2711" s="9">
        <f>IF(V2711="pregrado",31,
IF(V2711="posgrados",31,
IF(V2711="rEINTEGROS",7,
IF(V2711="BIT",90,
IF(V2711="OP GRADO - INGLÉS",17,"")))))</f>
        <v>31</v>
      </c>
      <c r="X2711" t="s">
        <v>4012</v>
      </c>
    </row>
    <row r="2712" spans="1:24" ht="15" x14ac:dyDescent="0.35">
      <c r="A2712" s="4">
        <v>46006.702627314815</v>
      </c>
      <c r="B2712">
        <v>20107519</v>
      </c>
      <c r="C2712" s="6" t="s">
        <v>19</v>
      </c>
      <c r="D2712">
        <v>591823</v>
      </c>
      <c r="E2712" t="s">
        <v>20</v>
      </c>
      <c r="F2712">
        <v>91274678</v>
      </c>
      <c r="G2712" t="s">
        <v>1019</v>
      </c>
      <c r="H2712">
        <v>100074520</v>
      </c>
      <c r="I2712">
        <v>202631</v>
      </c>
      <c r="J2712">
        <v>1099550739</v>
      </c>
      <c r="K2712" t="s">
        <v>23</v>
      </c>
      <c r="L2712" t="s">
        <v>240</v>
      </c>
      <c r="M2712" t="s">
        <v>24</v>
      </c>
      <c r="N2712" t="s">
        <v>35</v>
      </c>
      <c r="O2712" t="s">
        <v>26</v>
      </c>
      <c r="P2712" t="s">
        <v>27</v>
      </c>
      <c r="Q2712" t="s">
        <v>28</v>
      </c>
      <c r="R2712" t="s">
        <v>29</v>
      </c>
      <c r="S2712" t="s">
        <v>30</v>
      </c>
      <c r="T2712">
        <v>45555807</v>
      </c>
      <c r="U2712" t="s">
        <v>3965</v>
      </c>
      <c r="V2712" t="s">
        <v>3934</v>
      </c>
      <c r="W2712" s="9">
        <f>IF(V2712="pregrado",31,
IF(V2712="posgrados",31,
IF(V2712="rEINTEGROS",7,
IF(V2712="BIT",90,
IF(V2712="OP GRADO - INGLÉS",17,"")))))</f>
        <v>31</v>
      </c>
      <c r="X2712" t="s">
        <v>4027</v>
      </c>
    </row>
    <row r="2713" spans="1:24" ht="15" x14ac:dyDescent="0.35">
      <c r="A2713" s="4">
        <v>46001.455289351848</v>
      </c>
      <c r="B2713">
        <v>20106343</v>
      </c>
      <c r="C2713" s="6" t="s">
        <v>19</v>
      </c>
      <c r="D2713">
        <v>591838</v>
      </c>
      <c r="E2713" t="s">
        <v>20</v>
      </c>
      <c r="F2713">
        <v>1090436683</v>
      </c>
      <c r="G2713" t="s">
        <v>856</v>
      </c>
      <c r="H2713">
        <v>100238127</v>
      </c>
      <c r="I2713">
        <v>202631</v>
      </c>
      <c r="J2713">
        <v>1090436683</v>
      </c>
      <c r="K2713" t="s">
        <v>23</v>
      </c>
      <c r="L2713" t="s">
        <v>370</v>
      </c>
      <c r="M2713" t="s">
        <v>24</v>
      </c>
      <c r="N2713" t="s">
        <v>35</v>
      </c>
      <c r="O2713" t="s">
        <v>26</v>
      </c>
      <c r="P2713" t="s">
        <v>27</v>
      </c>
      <c r="Q2713" t="s">
        <v>28</v>
      </c>
      <c r="R2713" t="s">
        <v>29</v>
      </c>
      <c r="S2713" t="s">
        <v>30</v>
      </c>
      <c r="T2713">
        <v>1023975276</v>
      </c>
      <c r="U2713" t="s">
        <v>3963</v>
      </c>
      <c r="V2713" t="s">
        <v>3934</v>
      </c>
      <c r="W2713" s="9">
        <f>IF(V2713="pregrado",31,
IF(V2713="posgrados",31,
IF(V2713="rEINTEGROS",7,
IF(V2713="BIT",90,
IF(V2713="OP GRADO - INGLÉS",17,"")))))</f>
        <v>31</v>
      </c>
      <c r="X2713" t="s">
        <v>3962</v>
      </c>
    </row>
    <row r="2714" spans="1:24" ht="15" x14ac:dyDescent="0.35">
      <c r="A2714" s="4">
        <v>46002.358298611114</v>
      </c>
      <c r="B2714">
        <v>20106536</v>
      </c>
      <c r="C2714" s="6" t="s">
        <v>19</v>
      </c>
      <c r="D2714">
        <v>591923</v>
      </c>
      <c r="E2714" t="s">
        <v>20</v>
      </c>
      <c r="F2714">
        <v>1123632646</v>
      </c>
      <c r="G2714" t="s">
        <v>891</v>
      </c>
      <c r="H2714">
        <v>100238196</v>
      </c>
      <c r="I2714">
        <v>202631</v>
      </c>
      <c r="J2714">
        <v>1123632646</v>
      </c>
      <c r="K2714" t="s">
        <v>23</v>
      </c>
      <c r="L2714" t="s">
        <v>32</v>
      </c>
      <c r="M2714" t="s">
        <v>24</v>
      </c>
      <c r="N2714" t="s">
        <v>35</v>
      </c>
      <c r="O2714" t="s">
        <v>26</v>
      </c>
      <c r="P2714" t="s">
        <v>27</v>
      </c>
      <c r="Q2714" t="s">
        <v>28</v>
      </c>
      <c r="R2714" t="s">
        <v>29</v>
      </c>
      <c r="S2714" t="s">
        <v>30</v>
      </c>
      <c r="T2714">
        <v>11001273124</v>
      </c>
      <c r="U2714" t="s">
        <v>3944</v>
      </c>
      <c r="V2714" t="s">
        <v>3934</v>
      </c>
      <c r="W2714" s="9">
        <f>IF(V2714="pregrado",31,
IF(V2714="posgrados",31,
IF(V2714="rEINTEGROS",7,
IF(V2714="BIT",90,
IF(V2714="OP GRADO - INGLÉS",17,"")))))</f>
        <v>31</v>
      </c>
      <c r="X2714" t="s">
        <v>3951</v>
      </c>
    </row>
    <row r="2715" spans="1:24" ht="15" x14ac:dyDescent="0.35">
      <c r="A2715" s="4">
        <v>46002.379467592589</v>
      </c>
      <c r="B2715">
        <v>20106544</v>
      </c>
      <c r="C2715" s="6" t="s">
        <v>19</v>
      </c>
      <c r="D2715">
        <v>591929</v>
      </c>
      <c r="E2715" t="s">
        <v>20</v>
      </c>
      <c r="F2715">
        <v>1001781693</v>
      </c>
      <c r="G2715" t="s">
        <v>893</v>
      </c>
      <c r="H2715">
        <v>100238202</v>
      </c>
      <c r="I2715">
        <v>202631</v>
      </c>
      <c r="J2715">
        <v>1001781693</v>
      </c>
      <c r="K2715" t="s">
        <v>33</v>
      </c>
      <c r="L2715" t="s">
        <v>231</v>
      </c>
      <c r="M2715" t="s">
        <v>24</v>
      </c>
      <c r="N2715" t="s">
        <v>38</v>
      </c>
      <c r="O2715" t="s">
        <v>26</v>
      </c>
      <c r="P2715" t="s">
        <v>27</v>
      </c>
      <c r="Q2715" t="s">
        <v>28</v>
      </c>
      <c r="R2715" t="s">
        <v>29</v>
      </c>
      <c r="S2715" t="s">
        <v>30</v>
      </c>
      <c r="T2715">
        <v>11001273124</v>
      </c>
      <c r="U2715" t="s">
        <v>3944</v>
      </c>
      <c r="V2715" t="s">
        <v>3934</v>
      </c>
      <c r="W2715" s="9">
        <f>IF(V2715="pregrado",31,
IF(V2715="posgrados",31,
IF(V2715="rEINTEGROS",7,
IF(V2715="BIT",90,
IF(V2715="OP GRADO - INGLÉS",17,"")))))</f>
        <v>31</v>
      </c>
      <c r="X2715" t="s">
        <v>3951</v>
      </c>
    </row>
    <row r="2716" spans="1:24" ht="15" x14ac:dyDescent="0.35">
      <c r="A2716" s="4">
        <v>46003.412592592591</v>
      </c>
      <c r="B2716">
        <v>20106843</v>
      </c>
      <c r="C2716" s="6" t="s">
        <v>19</v>
      </c>
      <c r="D2716">
        <v>591934</v>
      </c>
      <c r="E2716" t="s">
        <v>20</v>
      </c>
      <c r="F2716">
        <v>26377728</v>
      </c>
      <c r="G2716" t="s">
        <v>945</v>
      </c>
      <c r="H2716">
        <v>100238206</v>
      </c>
      <c r="I2716">
        <v>202611</v>
      </c>
      <c r="J2716">
        <v>1192725003</v>
      </c>
      <c r="K2716" t="s">
        <v>23</v>
      </c>
      <c r="L2716" t="s">
        <v>221</v>
      </c>
      <c r="M2716" t="s">
        <v>24</v>
      </c>
      <c r="N2716" t="s">
        <v>35</v>
      </c>
      <c r="O2716" t="s">
        <v>26</v>
      </c>
      <c r="P2716" t="s">
        <v>27</v>
      </c>
      <c r="Q2716" t="s">
        <v>28</v>
      </c>
      <c r="R2716" t="s">
        <v>29</v>
      </c>
      <c r="S2716" t="s">
        <v>30</v>
      </c>
      <c r="T2716">
        <v>1013662799</v>
      </c>
      <c r="U2716" t="s">
        <v>3965</v>
      </c>
      <c r="V2716" t="s">
        <v>3934</v>
      </c>
      <c r="W2716" s="9">
        <f>IF(V2716="pregrado",31,
IF(V2716="posgrados",31,
IF(V2716="rEINTEGROS",7,
IF(V2716="BIT",90,
IF(V2716="OP GRADO - INGLÉS",17,"")))))</f>
        <v>31</v>
      </c>
      <c r="X2716" t="s">
        <v>4021</v>
      </c>
    </row>
    <row r="2717" spans="1:24" ht="15" x14ac:dyDescent="0.35">
      <c r="A2717" s="4">
        <v>46001.702025462961</v>
      </c>
      <c r="B2717">
        <v>20106482</v>
      </c>
      <c r="C2717" s="6" t="s">
        <v>19</v>
      </c>
      <c r="D2717">
        <v>591936</v>
      </c>
      <c r="E2717" t="s">
        <v>20</v>
      </c>
      <c r="F2717">
        <v>1029142891</v>
      </c>
      <c r="G2717" t="s">
        <v>881</v>
      </c>
      <c r="H2717">
        <v>100238208</v>
      </c>
      <c r="I2717">
        <v>202631</v>
      </c>
      <c r="J2717">
        <v>1029142891</v>
      </c>
      <c r="K2717" t="s">
        <v>23</v>
      </c>
      <c r="L2717" t="s">
        <v>240</v>
      </c>
      <c r="M2717" t="s">
        <v>24</v>
      </c>
      <c r="N2717" t="s">
        <v>35</v>
      </c>
      <c r="O2717" t="s">
        <v>26</v>
      </c>
      <c r="P2717" t="s">
        <v>27</v>
      </c>
      <c r="Q2717" t="s">
        <v>28</v>
      </c>
      <c r="R2717" t="s">
        <v>29</v>
      </c>
      <c r="S2717" t="s">
        <v>30</v>
      </c>
      <c r="T2717">
        <v>10822473081</v>
      </c>
      <c r="U2717" t="s">
        <v>3965</v>
      </c>
      <c r="V2717" t="s">
        <v>3934</v>
      </c>
      <c r="W2717" s="9">
        <f>IF(V2717="pregrado",31,
IF(V2717="posgrados",31,
IF(V2717="rEINTEGROS",7,
IF(V2717="BIT",90,
IF(V2717="OP GRADO - INGLÉS",17,"")))))</f>
        <v>31</v>
      </c>
      <c r="X2717" t="s">
        <v>4007</v>
      </c>
    </row>
    <row r="2718" spans="1:24" ht="15" x14ac:dyDescent="0.35">
      <c r="A2718" s="4">
        <v>46002.633680555555</v>
      </c>
      <c r="B2718">
        <v>20106678</v>
      </c>
      <c r="C2718" s="6" t="s">
        <v>19</v>
      </c>
      <c r="D2718">
        <v>591957</v>
      </c>
      <c r="E2718" t="s">
        <v>20</v>
      </c>
      <c r="F2718">
        <v>22143676</v>
      </c>
      <c r="G2718" t="s">
        <v>915</v>
      </c>
      <c r="H2718">
        <v>100238220</v>
      </c>
      <c r="I2718">
        <v>202610</v>
      </c>
      <c r="J2718">
        <v>1134170520</v>
      </c>
      <c r="K2718" t="s">
        <v>23</v>
      </c>
      <c r="L2718" t="s">
        <v>40</v>
      </c>
      <c r="M2718" t="s">
        <v>24</v>
      </c>
      <c r="N2718" t="s">
        <v>35</v>
      </c>
      <c r="O2718" t="s">
        <v>26</v>
      </c>
      <c r="P2718" t="s">
        <v>27</v>
      </c>
      <c r="Q2718" t="s">
        <v>28</v>
      </c>
      <c r="R2718" t="s">
        <v>29</v>
      </c>
      <c r="S2718" t="s">
        <v>30</v>
      </c>
      <c r="T2718">
        <v>1019115186</v>
      </c>
      <c r="U2718" t="s">
        <v>3941</v>
      </c>
      <c r="V2718" t="s">
        <v>3934</v>
      </c>
      <c r="W2718" s="9">
        <f>IF(V2718="pregrado",31,
IF(V2718="posgrados",31,
IF(V2718="rEINTEGROS",7,
IF(V2718="BIT",90,
IF(V2718="OP GRADO - INGLÉS",17,"")))))</f>
        <v>31</v>
      </c>
      <c r="X2718" t="s">
        <v>4005</v>
      </c>
    </row>
    <row r="2719" spans="1:24" ht="15" x14ac:dyDescent="0.35">
      <c r="A2719" s="4">
        <v>46057.535173611112</v>
      </c>
      <c r="B2719">
        <v>20120441</v>
      </c>
      <c r="C2719" s="6" t="s">
        <v>19</v>
      </c>
      <c r="D2719">
        <v>591960</v>
      </c>
      <c r="E2719" t="s">
        <v>20</v>
      </c>
      <c r="F2719">
        <v>1007700768</v>
      </c>
      <c r="G2719" t="s">
        <v>2746</v>
      </c>
      <c r="H2719">
        <v>100094897</v>
      </c>
      <c r="I2719">
        <v>202631</v>
      </c>
      <c r="J2719">
        <v>1007700768</v>
      </c>
      <c r="K2719" t="s">
        <v>89</v>
      </c>
      <c r="L2719" t="s">
        <v>127</v>
      </c>
      <c r="M2719" t="s">
        <v>24</v>
      </c>
      <c r="N2719" t="s">
        <v>2460</v>
      </c>
      <c r="O2719" t="s">
        <v>26</v>
      </c>
      <c r="P2719" t="s">
        <v>27</v>
      </c>
      <c r="Q2719" t="s">
        <v>28</v>
      </c>
      <c r="R2719" t="s">
        <v>29</v>
      </c>
      <c r="S2719" t="s">
        <v>30</v>
      </c>
      <c r="T2719">
        <v>1019102787</v>
      </c>
      <c r="U2719" t="s">
        <v>3977</v>
      </c>
      <c r="V2719" t="s">
        <v>3970</v>
      </c>
      <c r="W2719" s="9">
        <f>IF(V2719="pregrado",31,
IF(V2719="posgrados",31,
IF(V2719="rEINTEGROS",7,
IF(V2719="BIT",90,
IF(V2719="OP GRADO - INGLÉS",17,"")))))</f>
        <v>7</v>
      </c>
      <c r="X2719" t="s">
        <v>3976</v>
      </c>
    </row>
    <row r="2720" spans="1:24" ht="15" x14ac:dyDescent="0.35">
      <c r="A2720" s="4">
        <v>46003.589456018519</v>
      </c>
      <c r="B2720">
        <v>20106952</v>
      </c>
      <c r="C2720" s="6" t="s">
        <v>19</v>
      </c>
      <c r="D2720">
        <v>591961</v>
      </c>
      <c r="E2720" t="s">
        <v>20</v>
      </c>
      <c r="F2720">
        <v>1000592328</v>
      </c>
      <c r="G2720" t="s">
        <v>963</v>
      </c>
      <c r="H2720">
        <v>100198788</v>
      </c>
      <c r="I2720">
        <v>202610</v>
      </c>
      <c r="J2720">
        <v>1000592328</v>
      </c>
      <c r="K2720" t="s">
        <v>33</v>
      </c>
      <c r="L2720" t="s">
        <v>107</v>
      </c>
      <c r="M2720" t="s">
        <v>24</v>
      </c>
      <c r="N2720" t="s">
        <v>38</v>
      </c>
      <c r="O2720" t="s">
        <v>26</v>
      </c>
      <c r="P2720" t="s">
        <v>27</v>
      </c>
      <c r="Q2720" t="s">
        <v>28</v>
      </c>
      <c r="R2720" t="s">
        <v>29</v>
      </c>
      <c r="S2720" t="s">
        <v>30</v>
      </c>
      <c r="T2720">
        <v>80021358</v>
      </c>
      <c r="U2720" t="s">
        <v>3986</v>
      </c>
      <c r="V2720" t="s">
        <v>3934</v>
      </c>
      <c r="W2720" s="9">
        <f>IF(V2720="pregrado",31,
IF(V2720="posgrados",31,
IF(V2720="rEINTEGROS",7,
IF(V2720="BIT",90,
IF(V2720="OP GRADO - INGLÉS",17,"")))))</f>
        <v>31</v>
      </c>
      <c r="X2720" t="s">
        <v>3995</v>
      </c>
    </row>
    <row r="2721" spans="1:24" ht="15" x14ac:dyDescent="0.35">
      <c r="A2721" s="4">
        <v>46002.357129629629</v>
      </c>
      <c r="B2721">
        <v>20106535</v>
      </c>
      <c r="C2721" s="6" t="s">
        <v>19</v>
      </c>
      <c r="D2721">
        <v>591967</v>
      </c>
      <c r="E2721" t="s">
        <v>20</v>
      </c>
      <c r="F2721">
        <v>1010034500</v>
      </c>
      <c r="G2721" t="s">
        <v>890</v>
      </c>
      <c r="H2721">
        <v>100184114</v>
      </c>
      <c r="I2721">
        <v>202611</v>
      </c>
      <c r="J2721">
        <v>1010034500</v>
      </c>
      <c r="K2721" t="s">
        <v>89</v>
      </c>
      <c r="L2721" t="s">
        <v>133</v>
      </c>
      <c r="M2721" t="s">
        <v>24</v>
      </c>
      <c r="N2721" t="s">
        <v>38</v>
      </c>
      <c r="O2721" t="s">
        <v>26</v>
      </c>
      <c r="P2721" t="s">
        <v>27</v>
      </c>
      <c r="Q2721" t="s">
        <v>28</v>
      </c>
      <c r="R2721" t="s">
        <v>29</v>
      </c>
      <c r="S2721" t="s">
        <v>30</v>
      </c>
      <c r="T2721">
        <v>1019102787</v>
      </c>
      <c r="U2721" t="s">
        <v>3977</v>
      </c>
      <c r="V2721" t="s">
        <v>3970</v>
      </c>
      <c r="W2721" s="9">
        <f>IF(V2721="pregrado",31,
IF(V2721="posgrados",31,
IF(V2721="rEINTEGROS",7,
IF(V2721="BIT",90,
IF(V2721="OP GRADO - INGLÉS",17,"")))))</f>
        <v>7</v>
      </c>
      <c r="X2721" t="s">
        <v>3976</v>
      </c>
    </row>
    <row r="2722" spans="1:24" ht="15" x14ac:dyDescent="0.35">
      <c r="A2722" s="4">
        <v>46002.227199074077</v>
      </c>
      <c r="B2722">
        <v>20106527</v>
      </c>
      <c r="C2722" s="6" t="s">
        <v>19</v>
      </c>
      <c r="D2722">
        <v>591970</v>
      </c>
      <c r="E2722" t="s">
        <v>20</v>
      </c>
      <c r="F2722">
        <v>1143991099</v>
      </c>
      <c r="G2722" t="s">
        <v>888</v>
      </c>
      <c r="H2722">
        <v>100172182</v>
      </c>
      <c r="I2722">
        <v>202631</v>
      </c>
      <c r="J2722">
        <v>1143991099</v>
      </c>
      <c r="K2722" t="s">
        <v>89</v>
      </c>
      <c r="L2722" t="s">
        <v>51</v>
      </c>
      <c r="M2722" t="s">
        <v>24</v>
      </c>
      <c r="N2722" t="s">
        <v>25</v>
      </c>
      <c r="O2722" t="s">
        <v>26</v>
      </c>
      <c r="P2722" t="s">
        <v>27</v>
      </c>
      <c r="Q2722" t="s">
        <v>28</v>
      </c>
      <c r="R2722" t="s">
        <v>29</v>
      </c>
      <c r="S2722" t="s">
        <v>30</v>
      </c>
      <c r="T2722">
        <v>1019102787</v>
      </c>
      <c r="U2722" t="s">
        <v>3977</v>
      </c>
      <c r="V2722" t="s">
        <v>3970</v>
      </c>
      <c r="W2722" s="9">
        <f>IF(V2722="pregrado",31,
IF(V2722="posgrados",31,
IF(V2722="rEINTEGROS",7,
IF(V2722="BIT",90,
IF(V2722="OP GRADO - INGLÉS",17,"")))))</f>
        <v>7</v>
      </c>
      <c r="X2722" t="s">
        <v>3976</v>
      </c>
    </row>
    <row r="2723" spans="1:24" ht="15" x14ac:dyDescent="0.35">
      <c r="A2723" s="4">
        <v>46006.703553240739</v>
      </c>
      <c r="B2723">
        <v>20107520</v>
      </c>
      <c r="C2723" s="6" t="s">
        <v>19</v>
      </c>
      <c r="D2723">
        <v>591982</v>
      </c>
      <c r="E2723" t="s">
        <v>20</v>
      </c>
      <c r="F2723">
        <v>4295264</v>
      </c>
      <c r="G2723" t="s">
        <v>1020</v>
      </c>
      <c r="H2723">
        <v>200070222</v>
      </c>
      <c r="I2723">
        <v>202631</v>
      </c>
      <c r="J2723">
        <v>1011080644</v>
      </c>
      <c r="K2723" t="s">
        <v>33</v>
      </c>
      <c r="L2723" t="s">
        <v>119</v>
      </c>
      <c r="M2723" t="s">
        <v>24</v>
      </c>
      <c r="N2723" t="s">
        <v>35</v>
      </c>
      <c r="O2723" t="s">
        <v>26</v>
      </c>
      <c r="P2723" t="s">
        <v>27</v>
      </c>
      <c r="Q2723" t="s">
        <v>28</v>
      </c>
      <c r="R2723" t="s">
        <v>29</v>
      </c>
      <c r="S2723" t="s">
        <v>30</v>
      </c>
      <c r="T2723">
        <v>52446712</v>
      </c>
      <c r="U2723" t="s">
        <v>3963</v>
      </c>
      <c r="V2723" t="s">
        <v>3934</v>
      </c>
      <c r="W2723" s="9">
        <f>IF(V2723="pregrado",31,
IF(V2723="posgrados",31,
IF(V2723="rEINTEGROS",7,
IF(V2723="BIT",90,
IF(V2723="OP GRADO - INGLÉS",17,"")))))</f>
        <v>31</v>
      </c>
      <c r="X2723" t="s">
        <v>4041</v>
      </c>
    </row>
    <row r="2724" spans="1:24" ht="15" x14ac:dyDescent="0.35">
      <c r="A2724" s="4">
        <v>46002.846759259257</v>
      </c>
      <c r="B2724">
        <v>20106776</v>
      </c>
      <c r="C2724" s="6" t="s">
        <v>19</v>
      </c>
      <c r="D2724">
        <v>591985</v>
      </c>
      <c r="E2724" t="s">
        <v>20</v>
      </c>
      <c r="F2724">
        <v>1000493117</v>
      </c>
      <c r="G2724" t="s">
        <v>941</v>
      </c>
      <c r="H2724">
        <v>100171461</v>
      </c>
      <c r="I2724">
        <v>202610</v>
      </c>
      <c r="J2724">
        <v>1000493117</v>
      </c>
      <c r="K2724" t="s">
        <v>89</v>
      </c>
      <c r="L2724" t="s">
        <v>107</v>
      </c>
      <c r="M2724" t="s">
        <v>24</v>
      </c>
      <c r="N2724" t="s">
        <v>25</v>
      </c>
      <c r="O2724" t="s">
        <v>26</v>
      </c>
      <c r="P2724" t="s">
        <v>27</v>
      </c>
      <c r="Q2724" t="s">
        <v>28</v>
      </c>
      <c r="R2724" t="s">
        <v>29</v>
      </c>
      <c r="S2724" t="s">
        <v>30</v>
      </c>
      <c r="T2724">
        <v>1016110979</v>
      </c>
      <c r="U2724" t="s">
        <v>3977</v>
      </c>
      <c r="V2724" t="s">
        <v>3970</v>
      </c>
      <c r="W2724" s="9">
        <f>IF(V2724="pregrado",31,
IF(V2724="posgrados",31,
IF(V2724="rEINTEGROS",7,
IF(V2724="BIT",90,
IF(V2724="OP GRADO - INGLÉS",17,"")))))</f>
        <v>7</v>
      </c>
      <c r="X2724" t="s">
        <v>4051</v>
      </c>
    </row>
    <row r="2725" spans="1:24" ht="15" x14ac:dyDescent="0.35">
      <c r="A2725" s="4">
        <v>46013.359780092593</v>
      </c>
      <c r="B2725">
        <v>20109088</v>
      </c>
      <c r="C2725" s="6" t="s">
        <v>19</v>
      </c>
      <c r="D2725">
        <v>592001</v>
      </c>
      <c r="E2725" t="s">
        <v>20</v>
      </c>
      <c r="F2725">
        <v>1072644149</v>
      </c>
      <c r="G2725" t="s">
        <v>1211</v>
      </c>
      <c r="H2725">
        <v>100238319</v>
      </c>
      <c r="I2725">
        <v>202631</v>
      </c>
      <c r="J2725">
        <v>1072644149</v>
      </c>
      <c r="K2725" t="s">
        <v>23</v>
      </c>
      <c r="L2725" t="s">
        <v>51</v>
      </c>
      <c r="M2725" t="s">
        <v>24</v>
      </c>
      <c r="N2725" t="s">
        <v>35</v>
      </c>
      <c r="O2725" t="s">
        <v>26</v>
      </c>
      <c r="P2725" t="s">
        <v>27</v>
      </c>
      <c r="Q2725" t="s">
        <v>28</v>
      </c>
      <c r="R2725" t="s">
        <v>29</v>
      </c>
      <c r="S2725" t="s">
        <v>30</v>
      </c>
      <c r="T2725">
        <v>1000777598</v>
      </c>
      <c r="U2725" t="s">
        <v>3986</v>
      </c>
      <c r="V2725" t="s">
        <v>3934</v>
      </c>
      <c r="W2725" s="9">
        <f>IF(V2725="pregrado",31,
IF(V2725="posgrados",31,
IF(V2725="rEINTEGROS",7,
IF(V2725="BIT",90,
IF(V2725="OP GRADO - INGLÉS",17,"")))))</f>
        <v>31</v>
      </c>
      <c r="X2725" t="s">
        <v>4103</v>
      </c>
    </row>
    <row r="2726" spans="1:24" ht="15" x14ac:dyDescent="0.35">
      <c r="A2726" s="4">
        <v>46002.419224537036</v>
      </c>
      <c r="B2726">
        <v>20106572</v>
      </c>
      <c r="C2726" s="6" t="s">
        <v>19</v>
      </c>
      <c r="D2726">
        <v>592009</v>
      </c>
      <c r="E2726" t="s">
        <v>20</v>
      </c>
      <c r="F2726">
        <v>1033694087</v>
      </c>
      <c r="G2726" t="s">
        <v>898</v>
      </c>
      <c r="H2726">
        <v>100238324</v>
      </c>
      <c r="I2726">
        <v>202631</v>
      </c>
      <c r="J2726">
        <v>1033694087</v>
      </c>
      <c r="K2726" t="s">
        <v>33</v>
      </c>
      <c r="L2726" t="s">
        <v>207</v>
      </c>
      <c r="M2726" t="s">
        <v>24</v>
      </c>
      <c r="N2726" t="s">
        <v>25</v>
      </c>
      <c r="O2726" t="s">
        <v>26</v>
      </c>
      <c r="P2726" t="s">
        <v>27</v>
      </c>
      <c r="Q2726" t="s">
        <v>28</v>
      </c>
      <c r="R2726" t="s">
        <v>29</v>
      </c>
      <c r="S2726" t="s">
        <v>30</v>
      </c>
      <c r="T2726">
        <v>1000286877</v>
      </c>
      <c r="U2726" t="s">
        <v>3986</v>
      </c>
      <c r="V2726" t="s">
        <v>3934</v>
      </c>
      <c r="W2726" s="9">
        <f>IF(V2726="pregrado",31,
IF(V2726="posgrados",31,
IF(V2726="rEINTEGROS",7,
IF(V2726="BIT",90,
IF(V2726="OP GRADO - INGLÉS",17,"")))))</f>
        <v>31</v>
      </c>
      <c r="X2726" t="s">
        <v>4100</v>
      </c>
    </row>
    <row r="2727" spans="1:24" ht="15" x14ac:dyDescent="0.35">
      <c r="A2727" s="4">
        <v>46008.444664351853</v>
      </c>
      <c r="B2727">
        <v>20108136</v>
      </c>
      <c r="C2727" s="6" t="s">
        <v>19</v>
      </c>
      <c r="D2727">
        <v>592018</v>
      </c>
      <c r="E2727" t="s">
        <v>20</v>
      </c>
      <c r="F2727">
        <v>1143393302</v>
      </c>
      <c r="G2727" t="s">
        <v>1073</v>
      </c>
      <c r="H2727">
        <v>100238338</v>
      </c>
      <c r="I2727">
        <v>202631</v>
      </c>
      <c r="J2727">
        <v>1143350490</v>
      </c>
      <c r="K2727" t="s">
        <v>33</v>
      </c>
      <c r="L2727" t="s">
        <v>370</v>
      </c>
      <c r="M2727" t="s">
        <v>24</v>
      </c>
      <c r="N2727" t="s">
        <v>35</v>
      </c>
      <c r="O2727" t="s">
        <v>26</v>
      </c>
      <c r="P2727" t="s">
        <v>27</v>
      </c>
      <c r="Q2727" t="s">
        <v>28</v>
      </c>
      <c r="R2727" t="s">
        <v>29</v>
      </c>
      <c r="S2727" t="s">
        <v>30</v>
      </c>
      <c r="T2727">
        <v>1023975276</v>
      </c>
      <c r="U2727" t="s">
        <v>3963</v>
      </c>
      <c r="V2727" t="s">
        <v>3934</v>
      </c>
      <c r="W2727" s="9">
        <f>IF(V2727="pregrado",31,
IF(V2727="posgrados",31,
IF(V2727="rEINTEGROS",7,
IF(V2727="BIT",90,
IF(V2727="OP GRADO - INGLÉS",17,"")))))</f>
        <v>31</v>
      </c>
      <c r="X2727" t="s">
        <v>3962</v>
      </c>
    </row>
    <row r="2728" spans="1:24" ht="15" x14ac:dyDescent="0.35">
      <c r="A2728" s="4">
        <v>46009.509317129632</v>
      </c>
      <c r="B2728">
        <v>20108498</v>
      </c>
      <c r="C2728" s="6" t="s">
        <v>19</v>
      </c>
      <c r="D2728">
        <v>592054</v>
      </c>
      <c r="E2728" t="s">
        <v>20</v>
      </c>
      <c r="F2728">
        <v>25970437</v>
      </c>
      <c r="G2728" t="s">
        <v>1127</v>
      </c>
      <c r="H2728">
        <v>100237882</v>
      </c>
      <c r="I2728">
        <v>202610</v>
      </c>
      <c r="J2728">
        <v>1062678497</v>
      </c>
      <c r="K2728" t="s">
        <v>23</v>
      </c>
      <c r="L2728" t="s">
        <v>49</v>
      </c>
      <c r="M2728" t="s">
        <v>24</v>
      </c>
      <c r="N2728" t="s">
        <v>35</v>
      </c>
      <c r="O2728" t="s">
        <v>26</v>
      </c>
      <c r="P2728" t="s">
        <v>27</v>
      </c>
      <c r="Q2728" t="s">
        <v>28</v>
      </c>
      <c r="R2728" t="s">
        <v>29</v>
      </c>
      <c r="S2728" t="s">
        <v>30</v>
      </c>
      <c r="T2728">
        <v>1015482247</v>
      </c>
      <c r="U2728" t="s">
        <v>3944</v>
      </c>
      <c r="V2728" t="s">
        <v>3934</v>
      </c>
      <c r="W2728" s="9">
        <f>IF(V2728="pregrado",31,
IF(V2728="posgrados",31,
IF(V2728="rEINTEGROS",7,
IF(V2728="BIT",90,
IF(V2728="OP GRADO - INGLÉS",17,"")))))</f>
        <v>31</v>
      </c>
      <c r="X2728" t="s">
        <v>3984</v>
      </c>
    </row>
    <row r="2729" spans="1:24" ht="15" x14ac:dyDescent="0.35">
      <c r="A2729" s="4">
        <v>46002.724386574075</v>
      </c>
      <c r="B2729">
        <v>20106737</v>
      </c>
      <c r="C2729" s="6" t="s">
        <v>19</v>
      </c>
      <c r="D2729">
        <v>592056</v>
      </c>
      <c r="E2729" t="s">
        <v>20</v>
      </c>
      <c r="F2729">
        <v>1061703958</v>
      </c>
      <c r="G2729" t="s">
        <v>929</v>
      </c>
      <c r="H2729">
        <v>100237385</v>
      </c>
      <c r="I2729">
        <v>202631</v>
      </c>
      <c r="J2729">
        <v>1061703958</v>
      </c>
      <c r="K2729" t="s">
        <v>33</v>
      </c>
      <c r="L2729" t="s">
        <v>90</v>
      </c>
      <c r="M2729" t="s">
        <v>24</v>
      </c>
      <c r="N2729" t="s">
        <v>35</v>
      </c>
      <c r="O2729" t="s">
        <v>26</v>
      </c>
      <c r="P2729" t="s">
        <v>27</v>
      </c>
      <c r="Q2729" t="s">
        <v>28</v>
      </c>
      <c r="R2729" t="s">
        <v>29</v>
      </c>
      <c r="S2729" t="s">
        <v>30</v>
      </c>
      <c r="T2729">
        <v>1014273794</v>
      </c>
      <c r="U2729" t="s">
        <v>3939</v>
      </c>
      <c r="V2729" t="s">
        <v>3934</v>
      </c>
      <c r="W2729" s="9">
        <f>IF(V2729="pregrado",31,
IF(V2729="posgrados",31,
IF(V2729="rEINTEGROS",7,
IF(V2729="BIT",90,
IF(V2729="OP GRADO - INGLÉS",17,"")))))</f>
        <v>31</v>
      </c>
      <c r="X2729" t="s">
        <v>4004</v>
      </c>
    </row>
    <row r="2730" spans="1:24" ht="15" x14ac:dyDescent="0.35">
      <c r="A2730" s="4">
        <v>46003.439583333333</v>
      </c>
      <c r="B2730">
        <v>20106877</v>
      </c>
      <c r="C2730" s="6" t="s">
        <v>19</v>
      </c>
      <c r="D2730">
        <v>592077</v>
      </c>
      <c r="E2730" t="s">
        <v>20</v>
      </c>
      <c r="F2730">
        <v>1001884361</v>
      </c>
      <c r="G2730" t="s">
        <v>952</v>
      </c>
      <c r="H2730">
        <v>100238385</v>
      </c>
      <c r="I2730">
        <v>202611</v>
      </c>
      <c r="J2730">
        <v>1001884361</v>
      </c>
      <c r="K2730" t="s">
        <v>23</v>
      </c>
      <c r="L2730" t="s">
        <v>221</v>
      </c>
      <c r="M2730" t="s">
        <v>24</v>
      </c>
      <c r="N2730" t="s">
        <v>35</v>
      </c>
      <c r="O2730" t="s">
        <v>26</v>
      </c>
      <c r="P2730" t="s">
        <v>27</v>
      </c>
      <c r="Q2730" t="s">
        <v>28</v>
      </c>
      <c r="R2730" t="s">
        <v>29</v>
      </c>
      <c r="S2730" t="s">
        <v>30</v>
      </c>
      <c r="T2730">
        <v>53006215</v>
      </c>
      <c r="U2730" t="s">
        <v>3965</v>
      </c>
      <c r="V2730" t="s">
        <v>3934</v>
      </c>
      <c r="W2730" s="9">
        <f>IF(V2730="pregrado",31,
IF(V2730="posgrados",31,
IF(V2730="rEINTEGROS",7,
IF(V2730="BIT",90,
IF(V2730="OP GRADO - INGLÉS",17,"")))))</f>
        <v>31</v>
      </c>
      <c r="X2730" t="s">
        <v>4042</v>
      </c>
    </row>
    <row r="2731" spans="1:24" ht="15" x14ac:dyDescent="0.35">
      <c r="A2731" s="4">
        <v>46002.668634259258</v>
      </c>
      <c r="B2731">
        <v>20106704</v>
      </c>
      <c r="C2731" s="6" t="s">
        <v>19</v>
      </c>
      <c r="D2731">
        <v>592085</v>
      </c>
      <c r="E2731" t="s">
        <v>20</v>
      </c>
      <c r="F2731">
        <v>1084899970</v>
      </c>
      <c r="G2731" t="s">
        <v>922</v>
      </c>
      <c r="H2731">
        <v>100238394</v>
      </c>
      <c r="I2731">
        <v>202611</v>
      </c>
      <c r="J2731">
        <v>1084898115</v>
      </c>
      <c r="K2731" t="s">
        <v>23</v>
      </c>
      <c r="L2731" t="s">
        <v>221</v>
      </c>
      <c r="M2731" t="s">
        <v>24</v>
      </c>
      <c r="N2731" t="s">
        <v>35</v>
      </c>
      <c r="O2731" t="s">
        <v>26</v>
      </c>
      <c r="P2731" t="s">
        <v>27</v>
      </c>
      <c r="Q2731" t="s">
        <v>28</v>
      </c>
      <c r="R2731" t="s">
        <v>29</v>
      </c>
      <c r="S2731" t="s">
        <v>30</v>
      </c>
      <c r="T2731">
        <v>1013662799</v>
      </c>
      <c r="U2731" t="s">
        <v>3965</v>
      </c>
      <c r="V2731" t="s">
        <v>3934</v>
      </c>
      <c r="W2731" s="9">
        <f>IF(V2731="pregrado",31,
IF(V2731="posgrados",31,
IF(V2731="rEINTEGROS",7,
IF(V2731="BIT",90,
IF(V2731="OP GRADO - INGLÉS",17,"")))))</f>
        <v>31</v>
      </c>
      <c r="X2731" t="s">
        <v>4021</v>
      </c>
    </row>
    <row r="2732" spans="1:24" ht="15" x14ac:dyDescent="0.35">
      <c r="A2732" s="4">
        <v>46002.595671296294</v>
      </c>
      <c r="B2732">
        <v>20106662</v>
      </c>
      <c r="C2732" s="6" t="s">
        <v>19</v>
      </c>
      <c r="D2732">
        <v>592097</v>
      </c>
      <c r="E2732" t="s">
        <v>20</v>
      </c>
      <c r="F2732">
        <v>1024478729</v>
      </c>
      <c r="G2732" t="s">
        <v>912</v>
      </c>
      <c r="H2732">
        <v>100238404</v>
      </c>
      <c r="I2732">
        <v>202631</v>
      </c>
      <c r="J2732">
        <v>1024478729</v>
      </c>
      <c r="K2732" t="s">
        <v>33</v>
      </c>
      <c r="L2732" t="s">
        <v>207</v>
      </c>
      <c r="M2732" t="s">
        <v>24</v>
      </c>
      <c r="N2732" t="s">
        <v>38</v>
      </c>
      <c r="O2732" t="s">
        <v>26</v>
      </c>
      <c r="P2732" t="s">
        <v>27</v>
      </c>
      <c r="Q2732" t="s">
        <v>28</v>
      </c>
      <c r="R2732" t="s">
        <v>29</v>
      </c>
      <c r="S2732" t="s">
        <v>30</v>
      </c>
      <c r="T2732">
        <v>1002500634</v>
      </c>
      <c r="U2732" t="s">
        <v>3986</v>
      </c>
      <c r="V2732" t="s">
        <v>3934</v>
      </c>
      <c r="W2732" s="9">
        <f>IF(V2732="pregrado",31,
IF(V2732="posgrados",31,
IF(V2732="rEINTEGROS",7,
IF(V2732="BIT",90,
IF(V2732="OP GRADO - INGLÉS",17,"")))))</f>
        <v>31</v>
      </c>
      <c r="X2732" t="s">
        <v>4026</v>
      </c>
    </row>
    <row r="2733" spans="1:24" ht="15" x14ac:dyDescent="0.35">
      <c r="A2733" s="4">
        <v>46002.679571759261</v>
      </c>
      <c r="B2733">
        <v>20106713</v>
      </c>
      <c r="C2733" s="6" t="s">
        <v>19</v>
      </c>
      <c r="D2733">
        <v>592099</v>
      </c>
      <c r="E2733" t="s">
        <v>20</v>
      </c>
      <c r="F2733">
        <v>1003741894</v>
      </c>
      <c r="G2733" t="s">
        <v>924</v>
      </c>
      <c r="H2733">
        <v>100238391</v>
      </c>
      <c r="I2733">
        <v>202631</v>
      </c>
      <c r="J2733">
        <v>1003741894</v>
      </c>
      <c r="K2733" t="s">
        <v>23</v>
      </c>
      <c r="L2733" t="s">
        <v>240</v>
      </c>
      <c r="M2733" t="s">
        <v>24</v>
      </c>
      <c r="N2733" t="s">
        <v>35</v>
      </c>
      <c r="O2733" t="s">
        <v>26</v>
      </c>
      <c r="P2733" t="s">
        <v>27</v>
      </c>
      <c r="Q2733" t="s">
        <v>28</v>
      </c>
      <c r="R2733" t="s">
        <v>29</v>
      </c>
      <c r="S2733" t="s">
        <v>30</v>
      </c>
      <c r="T2733">
        <v>10006855461</v>
      </c>
      <c r="U2733" t="s">
        <v>3965</v>
      </c>
      <c r="V2733" t="s">
        <v>3934</v>
      </c>
      <c r="W2733" s="9">
        <f>IF(V2733="pregrado",31,
IF(V2733="posgrados",31,
IF(V2733="rEINTEGROS",7,
IF(V2733="BIT",90,
IF(V2733="OP GRADO - INGLÉS",17,"")))))</f>
        <v>31</v>
      </c>
      <c r="X2733" t="s">
        <v>3993</v>
      </c>
    </row>
    <row r="2734" spans="1:24" ht="15" x14ac:dyDescent="0.35">
      <c r="A2734" s="4">
        <v>46002.612604166665</v>
      </c>
      <c r="B2734">
        <v>20106667</v>
      </c>
      <c r="C2734" s="6" t="s">
        <v>19</v>
      </c>
      <c r="D2734">
        <v>592105</v>
      </c>
      <c r="E2734" t="s">
        <v>20</v>
      </c>
      <c r="F2734">
        <v>1015399187</v>
      </c>
      <c r="G2734" t="s">
        <v>913</v>
      </c>
      <c r="H2734">
        <v>100238417</v>
      </c>
      <c r="I2734">
        <v>202631</v>
      </c>
      <c r="J2734">
        <v>1071165462</v>
      </c>
      <c r="K2734" t="s">
        <v>23</v>
      </c>
      <c r="L2734" t="s">
        <v>65</v>
      </c>
      <c r="M2734" t="s">
        <v>24</v>
      </c>
      <c r="N2734" t="s">
        <v>35</v>
      </c>
      <c r="O2734" t="s">
        <v>26</v>
      </c>
      <c r="P2734" t="s">
        <v>27</v>
      </c>
      <c r="Q2734" t="s">
        <v>28</v>
      </c>
      <c r="R2734" t="s">
        <v>29</v>
      </c>
      <c r="S2734" t="s">
        <v>30</v>
      </c>
      <c r="T2734">
        <v>1023921046</v>
      </c>
      <c r="U2734" t="s">
        <v>3933</v>
      </c>
      <c r="V2734" t="s">
        <v>3934</v>
      </c>
      <c r="W2734" s="9">
        <f>IF(V2734="pregrado",31,
IF(V2734="posgrados",31,
IF(V2734="rEINTEGROS",7,
IF(V2734="BIT",90,
IF(V2734="OP GRADO - INGLÉS",17,"")))))</f>
        <v>31</v>
      </c>
      <c r="X2734" t="s">
        <v>4043</v>
      </c>
    </row>
    <row r="2735" spans="1:24" ht="15" x14ac:dyDescent="0.35">
      <c r="A2735" s="4">
        <v>46006.528946759259</v>
      </c>
      <c r="B2735">
        <v>20107326</v>
      </c>
      <c r="C2735" s="6" t="s">
        <v>19</v>
      </c>
      <c r="D2735">
        <v>592107</v>
      </c>
      <c r="E2735" t="s">
        <v>20</v>
      </c>
      <c r="F2735">
        <v>1000019369</v>
      </c>
      <c r="G2735" t="s">
        <v>1002</v>
      </c>
      <c r="H2735">
        <v>100238418</v>
      </c>
      <c r="I2735">
        <v>202610</v>
      </c>
      <c r="J2735">
        <v>1000019369</v>
      </c>
      <c r="K2735" t="s">
        <v>23</v>
      </c>
      <c r="L2735" t="s">
        <v>153</v>
      </c>
      <c r="M2735" t="s">
        <v>24</v>
      </c>
      <c r="N2735" t="s">
        <v>35</v>
      </c>
      <c r="O2735" t="s">
        <v>26</v>
      </c>
      <c r="P2735" t="s">
        <v>27</v>
      </c>
      <c r="Q2735" t="s">
        <v>28</v>
      </c>
      <c r="R2735" t="s">
        <v>29</v>
      </c>
      <c r="S2735" t="s">
        <v>30</v>
      </c>
      <c r="T2735">
        <v>45555807</v>
      </c>
      <c r="U2735" t="s">
        <v>3965</v>
      </c>
      <c r="V2735" t="s">
        <v>3934</v>
      </c>
      <c r="W2735" s="9">
        <f>IF(V2735="pregrado",31,
IF(V2735="posgrados",31,
IF(V2735="rEINTEGROS",7,
IF(V2735="BIT",90,
IF(V2735="OP GRADO - INGLÉS",17,"")))))</f>
        <v>31</v>
      </c>
      <c r="X2735" t="s">
        <v>4027</v>
      </c>
    </row>
    <row r="2736" spans="1:24" ht="15" x14ac:dyDescent="0.35">
      <c r="A2736" s="4">
        <v>46066.696180555555</v>
      </c>
      <c r="B2736">
        <v>20123306</v>
      </c>
      <c r="C2736" s="6" t="s">
        <v>19</v>
      </c>
      <c r="D2736">
        <v>592115</v>
      </c>
      <c r="E2736" t="s">
        <v>20</v>
      </c>
      <c r="F2736">
        <v>1081396822</v>
      </c>
      <c r="G2736" t="s">
        <v>3183</v>
      </c>
      <c r="H2736">
        <v>100238423</v>
      </c>
      <c r="I2736">
        <v>202610</v>
      </c>
      <c r="J2736">
        <v>1031423223</v>
      </c>
      <c r="K2736" t="s">
        <v>23</v>
      </c>
      <c r="L2736" t="s">
        <v>40</v>
      </c>
      <c r="M2736" t="s">
        <v>24</v>
      </c>
      <c r="N2736" t="s">
        <v>38</v>
      </c>
      <c r="O2736" t="s">
        <v>26</v>
      </c>
      <c r="P2736" t="s">
        <v>27</v>
      </c>
      <c r="Q2736" t="s">
        <v>28</v>
      </c>
      <c r="R2736" t="s">
        <v>29</v>
      </c>
      <c r="S2736" t="s">
        <v>30</v>
      </c>
      <c r="T2736">
        <v>1032394283</v>
      </c>
      <c r="U2736" t="s">
        <v>3941</v>
      </c>
      <c r="V2736" t="s">
        <v>3934</v>
      </c>
      <c r="W2736" s="9">
        <f>IF(V2736="pregrado",31,
IF(V2736="posgrados",31,
IF(V2736="rEINTEGROS",7,
IF(V2736="BIT",90,
IF(V2736="OP GRADO - INGLÉS",17,"")))))</f>
        <v>31</v>
      </c>
      <c r="X2736" t="s">
        <v>4034</v>
      </c>
    </row>
    <row r="2737" spans="1:24" ht="15" x14ac:dyDescent="0.35">
      <c r="A2737" s="4">
        <v>46003.507222222222</v>
      </c>
      <c r="B2737">
        <v>20106912</v>
      </c>
      <c r="C2737" s="6" t="s">
        <v>19</v>
      </c>
      <c r="D2737">
        <v>592142</v>
      </c>
      <c r="E2737" t="s">
        <v>20</v>
      </c>
      <c r="F2737">
        <v>1030520509</v>
      </c>
      <c r="G2737" t="s">
        <v>956</v>
      </c>
      <c r="H2737">
        <v>100238452</v>
      </c>
      <c r="I2737">
        <v>202631</v>
      </c>
      <c r="J2737">
        <v>1030520509</v>
      </c>
      <c r="K2737" t="s">
        <v>33</v>
      </c>
      <c r="L2737" t="s">
        <v>22</v>
      </c>
      <c r="M2737" t="s">
        <v>24</v>
      </c>
      <c r="N2737" t="s">
        <v>35</v>
      </c>
      <c r="O2737" t="s">
        <v>26</v>
      </c>
      <c r="P2737" t="s">
        <v>27</v>
      </c>
      <c r="Q2737" t="s">
        <v>28</v>
      </c>
      <c r="R2737" t="s">
        <v>29</v>
      </c>
      <c r="S2737" t="s">
        <v>30</v>
      </c>
      <c r="T2737">
        <v>1015482247</v>
      </c>
      <c r="U2737" t="s">
        <v>3944</v>
      </c>
      <c r="V2737" t="s">
        <v>3934</v>
      </c>
      <c r="W2737" s="9">
        <f>IF(V2737="pregrado",31,
IF(V2737="posgrados",31,
IF(V2737="rEINTEGROS",7,
IF(V2737="BIT",90,
IF(V2737="OP GRADO - INGLÉS",17,"")))))</f>
        <v>31</v>
      </c>
      <c r="X2737" t="s">
        <v>3984</v>
      </c>
    </row>
    <row r="2738" spans="1:24" ht="15" x14ac:dyDescent="0.35">
      <c r="A2738" s="4">
        <v>46004.499120370368</v>
      </c>
      <c r="B2738">
        <v>20107117</v>
      </c>
      <c r="C2738" s="6" t="s">
        <v>19</v>
      </c>
      <c r="D2738">
        <v>592173</v>
      </c>
      <c r="E2738" t="s">
        <v>20</v>
      </c>
      <c r="F2738">
        <v>1007813872</v>
      </c>
      <c r="G2738" t="s">
        <v>985</v>
      </c>
      <c r="H2738">
        <v>100238470</v>
      </c>
      <c r="I2738">
        <v>202631</v>
      </c>
      <c r="J2738">
        <v>1007813872</v>
      </c>
      <c r="K2738" t="s">
        <v>33</v>
      </c>
      <c r="L2738" t="s">
        <v>207</v>
      </c>
      <c r="M2738" t="s">
        <v>24</v>
      </c>
      <c r="N2738" t="s">
        <v>25</v>
      </c>
      <c r="O2738" t="s">
        <v>26</v>
      </c>
      <c r="P2738" t="s">
        <v>27</v>
      </c>
      <c r="Q2738" t="s">
        <v>28</v>
      </c>
      <c r="R2738" t="s">
        <v>29</v>
      </c>
      <c r="S2738" t="s">
        <v>30</v>
      </c>
      <c r="T2738">
        <v>1002500634</v>
      </c>
      <c r="U2738" t="s">
        <v>3986</v>
      </c>
      <c r="V2738" t="s">
        <v>3934</v>
      </c>
      <c r="W2738" s="9">
        <f>IF(V2738="pregrado",31,
IF(V2738="posgrados",31,
IF(V2738="rEINTEGROS",7,
IF(V2738="BIT",90,
IF(V2738="OP GRADO - INGLÉS",17,"")))))</f>
        <v>31</v>
      </c>
      <c r="X2738" t="s">
        <v>4026</v>
      </c>
    </row>
    <row r="2739" spans="1:24" ht="15" x14ac:dyDescent="0.35">
      <c r="A2739" s="4">
        <v>46006.505983796298</v>
      </c>
      <c r="B2739">
        <v>20107304</v>
      </c>
      <c r="C2739" s="6" t="s">
        <v>19</v>
      </c>
      <c r="D2739">
        <v>592181</v>
      </c>
      <c r="E2739" t="s">
        <v>20</v>
      </c>
      <c r="F2739">
        <v>1072098450</v>
      </c>
      <c r="G2739" t="s">
        <v>997</v>
      </c>
      <c r="H2739">
        <v>100238476</v>
      </c>
      <c r="I2739">
        <v>202631</v>
      </c>
      <c r="J2739">
        <v>1072098450</v>
      </c>
      <c r="K2739" t="s">
        <v>23</v>
      </c>
      <c r="L2739" t="s">
        <v>231</v>
      </c>
      <c r="M2739" t="s">
        <v>24</v>
      </c>
      <c r="N2739" t="s">
        <v>35</v>
      </c>
      <c r="O2739" t="s">
        <v>26</v>
      </c>
      <c r="P2739" t="s">
        <v>27</v>
      </c>
      <c r="Q2739" t="s">
        <v>28</v>
      </c>
      <c r="R2739" t="s">
        <v>29</v>
      </c>
      <c r="S2739" t="s">
        <v>30</v>
      </c>
      <c r="T2739">
        <v>1032394283</v>
      </c>
      <c r="U2739" t="s">
        <v>3941</v>
      </c>
      <c r="V2739" t="s">
        <v>3934</v>
      </c>
      <c r="W2739" s="9">
        <f>IF(V2739="pregrado",31,
IF(V2739="posgrados",31,
IF(V2739="rEINTEGROS",7,
IF(V2739="BIT",90,
IF(V2739="OP GRADO - INGLÉS",17,"")))))</f>
        <v>31</v>
      </c>
      <c r="X2739" t="s">
        <v>4034</v>
      </c>
    </row>
    <row r="2740" spans="1:24" ht="15" x14ac:dyDescent="0.35">
      <c r="A2740" s="4">
        <v>46002.818344907406</v>
      </c>
      <c r="B2740">
        <v>20106770</v>
      </c>
      <c r="C2740" s="6" t="s">
        <v>19</v>
      </c>
      <c r="D2740">
        <v>592202</v>
      </c>
      <c r="E2740" t="s">
        <v>20</v>
      </c>
      <c r="F2740">
        <v>1124480131</v>
      </c>
      <c r="G2740" t="s">
        <v>940</v>
      </c>
      <c r="H2740">
        <v>200068421</v>
      </c>
      <c r="I2740">
        <v>202631</v>
      </c>
      <c r="J2740">
        <v>1124480131</v>
      </c>
      <c r="K2740" t="s">
        <v>33</v>
      </c>
      <c r="L2740" t="s">
        <v>119</v>
      </c>
      <c r="M2740" t="s">
        <v>24</v>
      </c>
      <c r="N2740" t="s">
        <v>35</v>
      </c>
      <c r="O2740" t="s">
        <v>26</v>
      </c>
      <c r="P2740" t="s">
        <v>27</v>
      </c>
      <c r="Q2740" t="s">
        <v>28</v>
      </c>
      <c r="R2740" t="s">
        <v>29</v>
      </c>
      <c r="S2740" t="s">
        <v>30</v>
      </c>
      <c r="T2740">
        <v>1023975276</v>
      </c>
      <c r="U2740" t="s">
        <v>3963</v>
      </c>
      <c r="V2740" t="s">
        <v>3934</v>
      </c>
      <c r="W2740" s="9">
        <f>IF(V2740="pregrado",31,
IF(V2740="posgrados",31,
IF(V2740="rEINTEGROS",7,
IF(V2740="BIT",90,
IF(V2740="OP GRADO - INGLÉS",17,"")))))</f>
        <v>31</v>
      </c>
      <c r="X2740" t="s">
        <v>3962</v>
      </c>
    </row>
    <row r="2741" spans="1:24" ht="15" x14ac:dyDescent="0.35">
      <c r="A2741" s="4">
        <v>46009.503668981481</v>
      </c>
      <c r="B2741">
        <v>20108494</v>
      </c>
      <c r="C2741" s="6" t="s">
        <v>19</v>
      </c>
      <c r="D2741">
        <v>592206</v>
      </c>
      <c r="E2741" t="s">
        <v>20</v>
      </c>
      <c r="F2741">
        <v>1073246182</v>
      </c>
      <c r="G2741" t="s">
        <v>1126</v>
      </c>
      <c r="H2741">
        <v>100234307</v>
      </c>
      <c r="I2741">
        <v>202631</v>
      </c>
      <c r="J2741">
        <v>1073246182</v>
      </c>
      <c r="K2741" t="s">
        <v>83</v>
      </c>
      <c r="L2741" t="s">
        <v>207</v>
      </c>
      <c r="M2741" t="s">
        <v>24</v>
      </c>
      <c r="N2741" t="s">
        <v>25</v>
      </c>
      <c r="O2741" t="s">
        <v>26</v>
      </c>
      <c r="P2741" t="s">
        <v>27</v>
      </c>
      <c r="Q2741" t="s">
        <v>28</v>
      </c>
      <c r="R2741" t="s">
        <v>29</v>
      </c>
      <c r="S2741" t="s">
        <v>30</v>
      </c>
      <c r="T2741">
        <v>1023000938</v>
      </c>
      <c r="U2741" t="s">
        <v>3941</v>
      </c>
      <c r="V2741" t="s">
        <v>3934</v>
      </c>
      <c r="W2741" s="9">
        <f>IF(V2741="pregrado",31,
IF(V2741="posgrados",31,
IF(V2741="rEINTEGROS",7,
IF(V2741="BIT",90,
IF(V2741="OP GRADO - INGLÉS",17,"")))))</f>
        <v>31</v>
      </c>
      <c r="X2741" t="s">
        <v>3989</v>
      </c>
    </row>
    <row r="2742" spans="1:24" ht="15" x14ac:dyDescent="0.35">
      <c r="A2742" s="4">
        <v>46002.76152777778</v>
      </c>
      <c r="B2742">
        <v>20106755</v>
      </c>
      <c r="C2742" s="6" t="s">
        <v>19</v>
      </c>
      <c r="D2742">
        <v>592219</v>
      </c>
      <c r="E2742" t="s">
        <v>20</v>
      </c>
      <c r="F2742">
        <v>1024523859</v>
      </c>
      <c r="G2742" t="s">
        <v>935</v>
      </c>
      <c r="H2742">
        <v>100166872</v>
      </c>
      <c r="I2742">
        <v>202631</v>
      </c>
      <c r="J2742">
        <v>1030525820</v>
      </c>
      <c r="K2742" t="s">
        <v>23</v>
      </c>
      <c r="L2742" t="s">
        <v>42</v>
      </c>
      <c r="M2742" t="s">
        <v>24</v>
      </c>
      <c r="N2742" t="s">
        <v>35</v>
      </c>
      <c r="O2742" t="s">
        <v>26</v>
      </c>
      <c r="P2742" t="s">
        <v>27</v>
      </c>
      <c r="Q2742" t="s">
        <v>28</v>
      </c>
      <c r="R2742" t="s">
        <v>29</v>
      </c>
      <c r="S2742" t="s">
        <v>30</v>
      </c>
      <c r="T2742">
        <v>10123971531</v>
      </c>
      <c r="U2742" t="s">
        <v>3944</v>
      </c>
      <c r="V2742" t="s">
        <v>3934</v>
      </c>
      <c r="W2742" s="9">
        <f>IF(V2742="pregrado",31,
IF(V2742="posgrados",31,
IF(V2742="rEINTEGROS",7,
IF(V2742="BIT",90,
IF(V2742="OP GRADO - INGLÉS",17,"")))))</f>
        <v>31</v>
      </c>
      <c r="X2742" t="s">
        <v>3943</v>
      </c>
    </row>
    <row r="2743" spans="1:24" ht="15" x14ac:dyDescent="0.35">
      <c r="A2743" s="4">
        <v>46002.727523148147</v>
      </c>
      <c r="B2743">
        <v>20106738</v>
      </c>
      <c r="C2743" s="6" t="s">
        <v>19</v>
      </c>
      <c r="D2743">
        <v>592222</v>
      </c>
      <c r="E2743" t="s">
        <v>20</v>
      </c>
      <c r="F2743">
        <v>1049794401</v>
      </c>
      <c r="G2743" t="s">
        <v>930</v>
      </c>
      <c r="H2743">
        <v>100237210</v>
      </c>
      <c r="I2743">
        <v>202610</v>
      </c>
      <c r="J2743">
        <v>1019992641</v>
      </c>
      <c r="K2743" t="s">
        <v>23</v>
      </c>
      <c r="L2743" t="s">
        <v>40</v>
      </c>
      <c r="M2743" t="s">
        <v>24</v>
      </c>
      <c r="N2743" t="s">
        <v>35</v>
      </c>
      <c r="O2743" t="s">
        <v>26</v>
      </c>
      <c r="P2743" t="s">
        <v>27</v>
      </c>
      <c r="Q2743" t="s">
        <v>28</v>
      </c>
      <c r="R2743" t="s">
        <v>29</v>
      </c>
      <c r="S2743" t="s">
        <v>30</v>
      </c>
      <c r="T2743">
        <v>52182207</v>
      </c>
      <c r="U2743" t="s">
        <v>3941</v>
      </c>
      <c r="V2743" t="s">
        <v>3934</v>
      </c>
      <c r="W2743" s="9">
        <f>IF(V2743="pregrado",31,
IF(V2743="posgrados",31,
IF(V2743="rEINTEGROS",7,
IF(V2743="BIT",90,
IF(V2743="OP GRADO - INGLÉS",17,"")))))</f>
        <v>31</v>
      </c>
      <c r="X2743" t="s">
        <v>3946</v>
      </c>
    </row>
    <row r="2744" spans="1:24" ht="15" x14ac:dyDescent="0.35">
      <c r="A2744" s="4">
        <v>46013.397997685184</v>
      </c>
      <c r="B2744">
        <v>20109102</v>
      </c>
      <c r="C2744" s="6" t="s">
        <v>19</v>
      </c>
      <c r="D2744">
        <v>592236</v>
      </c>
      <c r="E2744" t="s">
        <v>20</v>
      </c>
      <c r="F2744">
        <v>72334427</v>
      </c>
      <c r="G2744" t="s">
        <v>1213</v>
      </c>
      <c r="H2744">
        <v>200056473</v>
      </c>
      <c r="I2744">
        <v>202631</v>
      </c>
      <c r="J2744">
        <v>55308049</v>
      </c>
      <c r="K2744" t="s">
        <v>33</v>
      </c>
      <c r="L2744" t="s">
        <v>119</v>
      </c>
      <c r="M2744" t="s">
        <v>24</v>
      </c>
      <c r="N2744" t="s">
        <v>35</v>
      </c>
      <c r="O2744" t="s">
        <v>26</v>
      </c>
      <c r="P2744" t="s">
        <v>27</v>
      </c>
      <c r="Q2744" t="s">
        <v>28</v>
      </c>
      <c r="R2744" t="s">
        <v>29</v>
      </c>
      <c r="S2744" t="s">
        <v>30</v>
      </c>
      <c r="T2744">
        <v>1023975276</v>
      </c>
      <c r="U2744" t="s">
        <v>3963</v>
      </c>
      <c r="V2744" t="s">
        <v>3934</v>
      </c>
      <c r="W2744" s="9">
        <f>IF(V2744="pregrado",31,
IF(V2744="posgrados",31,
IF(V2744="rEINTEGROS",7,
IF(V2744="BIT",90,
IF(V2744="OP GRADO - INGLÉS",17,"")))))</f>
        <v>31</v>
      </c>
      <c r="X2744" t="s">
        <v>3962</v>
      </c>
    </row>
    <row r="2745" spans="1:24" ht="15" x14ac:dyDescent="0.35">
      <c r="A2745" s="4">
        <v>46003.584988425922</v>
      </c>
      <c r="B2745">
        <v>20106950</v>
      </c>
      <c r="C2745" s="6" t="s">
        <v>19</v>
      </c>
      <c r="D2745">
        <v>592239</v>
      </c>
      <c r="E2745" t="s">
        <v>20</v>
      </c>
      <c r="F2745">
        <v>1051656691</v>
      </c>
      <c r="G2745" t="s">
        <v>962</v>
      </c>
      <c r="H2745">
        <v>100238528</v>
      </c>
      <c r="I2745">
        <v>202610</v>
      </c>
      <c r="J2745">
        <v>1050841491</v>
      </c>
      <c r="K2745" t="s">
        <v>23</v>
      </c>
      <c r="L2745" t="s">
        <v>40</v>
      </c>
      <c r="M2745" t="s">
        <v>24</v>
      </c>
      <c r="N2745" t="s">
        <v>35</v>
      </c>
      <c r="O2745" t="s">
        <v>26</v>
      </c>
      <c r="P2745" t="s">
        <v>27</v>
      </c>
      <c r="Q2745" t="s">
        <v>28</v>
      </c>
      <c r="R2745" t="s">
        <v>29</v>
      </c>
      <c r="S2745" t="s">
        <v>30</v>
      </c>
      <c r="T2745">
        <v>1022392610</v>
      </c>
      <c r="U2745" t="s">
        <v>3941</v>
      </c>
      <c r="V2745" t="s">
        <v>3934</v>
      </c>
      <c r="W2745" s="9">
        <f>IF(V2745="pregrado",31,
IF(V2745="posgrados",31,
IF(V2745="rEINTEGROS",7,
IF(V2745="BIT",90,
IF(V2745="OP GRADO - INGLÉS",17,"")))))</f>
        <v>31</v>
      </c>
      <c r="X2745" t="s">
        <v>4028</v>
      </c>
    </row>
    <row r="2746" spans="1:24" ht="15" x14ac:dyDescent="0.35">
      <c r="A2746" s="4">
        <v>46015.567719907405</v>
      </c>
      <c r="B2746">
        <v>20109744</v>
      </c>
      <c r="C2746" s="6" t="s">
        <v>19</v>
      </c>
      <c r="D2746">
        <v>592241</v>
      </c>
      <c r="E2746" t="s">
        <v>20</v>
      </c>
      <c r="F2746">
        <v>1046910318</v>
      </c>
      <c r="G2746" t="s">
        <v>1304</v>
      </c>
      <c r="H2746">
        <v>100238532</v>
      </c>
      <c r="I2746">
        <v>202631</v>
      </c>
      <c r="J2746">
        <v>1046910318</v>
      </c>
      <c r="K2746" t="s">
        <v>33</v>
      </c>
      <c r="L2746" t="s">
        <v>207</v>
      </c>
      <c r="M2746" t="s">
        <v>24</v>
      </c>
      <c r="N2746" t="s">
        <v>25</v>
      </c>
      <c r="O2746" t="s">
        <v>26</v>
      </c>
      <c r="P2746" t="s">
        <v>27</v>
      </c>
      <c r="Q2746" t="s">
        <v>28</v>
      </c>
      <c r="R2746" t="s">
        <v>29</v>
      </c>
      <c r="S2746" t="s">
        <v>30</v>
      </c>
      <c r="T2746">
        <v>1002500634</v>
      </c>
      <c r="U2746" t="s">
        <v>3986</v>
      </c>
      <c r="V2746" t="s">
        <v>3934</v>
      </c>
      <c r="W2746" s="9">
        <f>IF(V2746="pregrado",31,
IF(V2746="posgrados",31,
IF(V2746="rEINTEGROS",7,
IF(V2746="BIT",90,
IF(V2746="OP GRADO - INGLÉS",17,"")))))</f>
        <v>31</v>
      </c>
      <c r="X2746" t="s">
        <v>4026</v>
      </c>
    </row>
    <row r="2747" spans="1:24" ht="15" x14ac:dyDescent="0.35">
      <c r="A2747" s="4">
        <v>46003.453923611109</v>
      </c>
      <c r="B2747">
        <v>20106884</v>
      </c>
      <c r="C2747" s="6" t="s">
        <v>19</v>
      </c>
      <c r="D2747">
        <v>592247</v>
      </c>
      <c r="E2747" t="s">
        <v>20</v>
      </c>
      <c r="F2747">
        <v>1114732292</v>
      </c>
      <c r="G2747" t="s">
        <v>953</v>
      </c>
      <c r="H2747">
        <v>100238539</v>
      </c>
      <c r="I2747">
        <v>202611</v>
      </c>
      <c r="J2747">
        <v>1114732292</v>
      </c>
      <c r="K2747" t="s">
        <v>33</v>
      </c>
      <c r="L2747" t="s">
        <v>204</v>
      </c>
      <c r="M2747" t="s">
        <v>24</v>
      </c>
      <c r="N2747" t="s">
        <v>38</v>
      </c>
      <c r="O2747" t="s">
        <v>26</v>
      </c>
      <c r="P2747" t="s">
        <v>27</v>
      </c>
      <c r="Q2747" t="s">
        <v>28</v>
      </c>
      <c r="R2747" t="s">
        <v>29</v>
      </c>
      <c r="S2747" t="s">
        <v>30</v>
      </c>
      <c r="T2747">
        <v>53061994</v>
      </c>
      <c r="U2747" t="s">
        <v>3941</v>
      </c>
      <c r="V2747" t="s">
        <v>3934</v>
      </c>
      <c r="W2747" s="9">
        <f>IF(V2747="pregrado",31,
IF(V2747="posgrados",31,
IF(V2747="rEINTEGROS",7,
IF(V2747="BIT",90,
IF(V2747="OP GRADO - INGLÉS",17,"")))))</f>
        <v>31</v>
      </c>
      <c r="X2747" t="s">
        <v>3950</v>
      </c>
    </row>
    <row r="2748" spans="1:24" ht="15" x14ac:dyDescent="0.35">
      <c r="A2748" s="4">
        <v>46007.449490740742</v>
      </c>
      <c r="B2748">
        <v>20107758</v>
      </c>
      <c r="C2748" s="6" t="s">
        <v>19</v>
      </c>
      <c r="D2748">
        <v>592256</v>
      </c>
      <c r="E2748" t="s">
        <v>20</v>
      </c>
      <c r="F2748">
        <v>1106772425</v>
      </c>
      <c r="G2748" t="s">
        <v>1032</v>
      </c>
      <c r="H2748">
        <v>100238545</v>
      </c>
      <c r="I2748">
        <v>202611</v>
      </c>
      <c r="J2748">
        <v>1106772425</v>
      </c>
      <c r="K2748" t="s">
        <v>23</v>
      </c>
      <c r="L2748" t="s">
        <v>221</v>
      </c>
      <c r="M2748" t="s">
        <v>24</v>
      </c>
      <c r="N2748" t="s">
        <v>35</v>
      </c>
      <c r="O2748" t="s">
        <v>26</v>
      </c>
      <c r="P2748" t="s">
        <v>27</v>
      </c>
      <c r="Q2748" t="s">
        <v>28</v>
      </c>
      <c r="R2748" t="s">
        <v>29</v>
      </c>
      <c r="S2748" t="s">
        <v>30</v>
      </c>
      <c r="T2748">
        <v>1032678391</v>
      </c>
      <c r="U2748" t="s">
        <v>3965</v>
      </c>
      <c r="V2748" t="s">
        <v>3934</v>
      </c>
      <c r="W2748" s="9">
        <f>IF(V2748="pregrado",31,
IF(V2748="posgrados",31,
IF(V2748="rEINTEGROS",7,
IF(V2748="BIT",90,
IF(V2748="OP GRADO - INGLÉS",17,"")))))</f>
        <v>31</v>
      </c>
      <c r="X2748" t="s">
        <v>4098</v>
      </c>
    </row>
    <row r="2749" spans="1:24" ht="15" x14ac:dyDescent="0.35">
      <c r="A2749" s="4">
        <v>46003.719039351854</v>
      </c>
      <c r="B2749">
        <v>20107041</v>
      </c>
      <c r="C2749" s="6" t="s">
        <v>19</v>
      </c>
      <c r="D2749">
        <v>592269</v>
      </c>
      <c r="E2749" t="s">
        <v>20</v>
      </c>
      <c r="F2749">
        <v>1042245906</v>
      </c>
      <c r="G2749" t="s">
        <v>976</v>
      </c>
      <c r="H2749">
        <v>200071528</v>
      </c>
      <c r="I2749">
        <v>202631</v>
      </c>
      <c r="J2749">
        <v>1042245906</v>
      </c>
      <c r="K2749" t="s">
        <v>23</v>
      </c>
      <c r="L2749" t="s">
        <v>119</v>
      </c>
      <c r="M2749" t="s">
        <v>24</v>
      </c>
      <c r="N2749" t="s">
        <v>25</v>
      </c>
      <c r="O2749" t="s">
        <v>26</v>
      </c>
      <c r="P2749" t="s">
        <v>27</v>
      </c>
      <c r="Q2749" t="s">
        <v>28</v>
      </c>
      <c r="R2749" t="s">
        <v>29</v>
      </c>
      <c r="S2749" t="s">
        <v>30</v>
      </c>
      <c r="T2749">
        <v>52342867</v>
      </c>
      <c r="U2749" t="s">
        <v>3965</v>
      </c>
      <c r="V2749" t="s">
        <v>3934</v>
      </c>
      <c r="W2749" s="9">
        <f>IF(V2749="pregrado",31,
IF(V2749="posgrados",31,
IF(V2749="rEINTEGROS",7,
IF(V2749="BIT",90,
IF(V2749="OP GRADO - INGLÉS",17,"")))))</f>
        <v>31</v>
      </c>
      <c r="X2749" t="s">
        <v>4047</v>
      </c>
    </row>
    <row r="2750" spans="1:24" ht="15" x14ac:dyDescent="0.35">
      <c r="A2750" s="4">
        <v>46003.65048611111</v>
      </c>
      <c r="B2750">
        <v>20106995</v>
      </c>
      <c r="C2750" s="6" t="s">
        <v>19</v>
      </c>
      <c r="D2750">
        <v>592270</v>
      </c>
      <c r="E2750" t="s">
        <v>20</v>
      </c>
      <c r="F2750">
        <v>1102722416</v>
      </c>
      <c r="G2750" t="s">
        <v>970</v>
      </c>
      <c r="H2750">
        <v>100238560</v>
      </c>
      <c r="I2750">
        <v>202631</v>
      </c>
      <c r="J2750">
        <v>1102722416</v>
      </c>
      <c r="K2750" t="s">
        <v>23</v>
      </c>
      <c r="L2750" t="s">
        <v>127</v>
      </c>
      <c r="M2750" t="s">
        <v>24</v>
      </c>
      <c r="N2750" t="s">
        <v>35</v>
      </c>
      <c r="O2750" t="s">
        <v>26</v>
      </c>
      <c r="P2750" t="s">
        <v>27</v>
      </c>
      <c r="Q2750" t="s">
        <v>28</v>
      </c>
      <c r="R2750" t="s">
        <v>29</v>
      </c>
      <c r="S2750" t="s">
        <v>30</v>
      </c>
      <c r="T2750">
        <v>1030525993</v>
      </c>
      <c r="U2750" t="s">
        <v>3933</v>
      </c>
      <c r="V2750" t="s">
        <v>3934</v>
      </c>
      <c r="W2750" s="9">
        <f>IF(V2750="pregrado",31,
IF(V2750="posgrados",31,
IF(V2750="rEINTEGROS",7,
IF(V2750="BIT",90,
IF(V2750="OP GRADO - INGLÉS",17,"")))))</f>
        <v>31</v>
      </c>
      <c r="X2750" t="s">
        <v>3956</v>
      </c>
    </row>
    <row r="2751" spans="1:24" ht="15" x14ac:dyDescent="0.35">
      <c r="A2751" s="4">
        <v>46012.369340277779</v>
      </c>
      <c r="B2751">
        <v>20109058</v>
      </c>
      <c r="C2751" s="6" t="s">
        <v>19</v>
      </c>
      <c r="D2751">
        <v>592275</v>
      </c>
      <c r="E2751" t="s">
        <v>20</v>
      </c>
      <c r="F2751">
        <v>35527758</v>
      </c>
      <c r="G2751" t="s">
        <v>1210</v>
      </c>
      <c r="H2751">
        <v>100092326</v>
      </c>
      <c r="I2751">
        <v>202631</v>
      </c>
      <c r="J2751">
        <v>1003567352</v>
      </c>
      <c r="K2751" t="s">
        <v>33</v>
      </c>
      <c r="L2751" t="s">
        <v>231</v>
      </c>
      <c r="M2751" t="s">
        <v>24</v>
      </c>
      <c r="N2751" t="s">
        <v>35</v>
      </c>
      <c r="O2751" t="s">
        <v>26</v>
      </c>
      <c r="P2751" t="s">
        <v>27</v>
      </c>
      <c r="Q2751" t="s">
        <v>28</v>
      </c>
      <c r="R2751" t="s">
        <v>29</v>
      </c>
      <c r="S2751" t="s">
        <v>30</v>
      </c>
      <c r="T2751">
        <v>1010081108</v>
      </c>
      <c r="U2751" t="s">
        <v>3941</v>
      </c>
      <c r="V2751" t="s">
        <v>3934</v>
      </c>
      <c r="W2751" s="9">
        <f>IF(V2751="pregrado",31,
IF(V2751="posgrados",31,
IF(V2751="rEINTEGROS",7,
IF(V2751="BIT",90,
IF(V2751="OP GRADO - INGLÉS",17,"")))))</f>
        <v>31</v>
      </c>
      <c r="X2751" t="s">
        <v>4009</v>
      </c>
    </row>
    <row r="2752" spans="1:24" ht="15" x14ac:dyDescent="0.35">
      <c r="A2752" s="4">
        <v>46008.680185185185</v>
      </c>
      <c r="B2752">
        <v>20108282</v>
      </c>
      <c r="C2752" s="6" t="s">
        <v>19</v>
      </c>
      <c r="D2752">
        <v>592288</v>
      </c>
      <c r="E2752" t="s">
        <v>20</v>
      </c>
      <c r="F2752">
        <v>1090272014</v>
      </c>
      <c r="G2752" t="s">
        <v>1092</v>
      </c>
      <c r="H2752">
        <v>100173270</v>
      </c>
      <c r="I2752">
        <v>202610</v>
      </c>
      <c r="J2752">
        <v>1090272014</v>
      </c>
      <c r="K2752" t="s">
        <v>46</v>
      </c>
      <c r="L2752" t="s">
        <v>153</v>
      </c>
      <c r="M2752" t="s">
        <v>24</v>
      </c>
      <c r="N2752" t="s">
        <v>25</v>
      </c>
      <c r="O2752" t="s">
        <v>26</v>
      </c>
      <c r="P2752" t="s">
        <v>27</v>
      </c>
      <c r="Q2752" t="s">
        <v>28</v>
      </c>
      <c r="R2752" t="s">
        <v>29</v>
      </c>
      <c r="S2752" t="s">
        <v>30</v>
      </c>
      <c r="T2752">
        <v>1019102787</v>
      </c>
      <c r="U2752" t="s">
        <v>3977</v>
      </c>
      <c r="V2752" t="s">
        <v>3970</v>
      </c>
      <c r="W2752" s="9">
        <f>IF(V2752="pregrado",31,
IF(V2752="posgrados",31,
IF(V2752="rEINTEGROS",7,
IF(V2752="BIT",90,
IF(V2752="OP GRADO - INGLÉS",17,"")))))</f>
        <v>7</v>
      </c>
      <c r="X2752" t="s">
        <v>3976</v>
      </c>
    </row>
    <row r="2753" spans="1:24" ht="15" x14ac:dyDescent="0.35">
      <c r="A2753" s="4">
        <v>46003.430208333331</v>
      </c>
      <c r="B2753">
        <v>20106865</v>
      </c>
      <c r="C2753" s="6" t="s">
        <v>19</v>
      </c>
      <c r="D2753">
        <v>592304</v>
      </c>
      <c r="E2753" t="s">
        <v>20</v>
      </c>
      <c r="F2753">
        <v>16460257</v>
      </c>
      <c r="G2753" t="s">
        <v>951</v>
      </c>
      <c r="H2753">
        <v>100238585</v>
      </c>
      <c r="I2753">
        <v>202631</v>
      </c>
      <c r="J2753">
        <v>1109671369</v>
      </c>
      <c r="K2753" t="s">
        <v>23</v>
      </c>
      <c r="L2753" t="s">
        <v>57</v>
      </c>
      <c r="M2753" t="s">
        <v>24</v>
      </c>
      <c r="N2753" t="s">
        <v>35</v>
      </c>
      <c r="O2753" t="s">
        <v>26</v>
      </c>
      <c r="P2753" t="s">
        <v>27</v>
      </c>
      <c r="Q2753" t="s">
        <v>28</v>
      </c>
      <c r="R2753" t="s">
        <v>29</v>
      </c>
      <c r="S2753" t="s">
        <v>30</v>
      </c>
      <c r="T2753">
        <v>52182207</v>
      </c>
      <c r="U2753" t="s">
        <v>3941</v>
      </c>
      <c r="V2753" t="s">
        <v>3934</v>
      </c>
      <c r="W2753" s="9">
        <f>IF(V2753="pregrado",31,
IF(V2753="posgrados",31,
IF(V2753="rEINTEGROS",7,
IF(V2753="BIT",90,
IF(V2753="OP GRADO - INGLÉS",17,"")))))</f>
        <v>31</v>
      </c>
      <c r="X2753" t="s">
        <v>3946</v>
      </c>
    </row>
    <row r="2754" spans="1:24" ht="15" x14ac:dyDescent="0.35">
      <c r="A2754" s="4">
        <v>46003.519282407404</v>
      </c>
      <c r="B2754">
        <v>20106917</v>
      </c>
      <c r="C2754" s="6" t="s">
        <v>19</v>
      </c>
      <c r="D2754">
        <v>592309</v>
      </c>
      <c r="E2754" t="s">
        <v>20</v>
      </c>
      <c r="F2754">
        <v>1087121213</v>
      </c>
      <c r="G2754" t="s">
        <v>957</v>
      </c>
      <c r="H2754">
        <v>100238587</v>
      </c>
      <c r="I2754">
        <v>202631</v>
      </c>
      <c r="J2754">
        <v>1087808120</v>
      </c>
      <c r="K2754" t="s">
        <v>33</v>
      </c>
      <c r="L2754" t="s">
        <v>127</v>
      </c>
      <c r="M2754" t="s">
        <v>24</v>
      </c>
      <c r="N2754" t="s">
        <v>25</v>
      </c>
      <c r="O2754" t="s">
        <v>26</v>
      </c>
      <c r="P2754" t="s">
        <v>27</v>
      </c>
      <c r="Q2754" t="s">
        <v>28</v>
      </c>
      <c r="R2754" t="s">
        <v>29</v>
      </c>
      <c r="S2754" t="s">
        <v>30</v>
      </c>
      <c r="T2754">
        <v>1007473661</v>
      </c>
      <c r="U2754" t="s">
        <v>3933</v>
      </c>
      <c r="V2754" t="s">
        <v>3934</v>
      </c>
      <c r="W2754" s="9">
        <f>IF(V2754="pregrado",31,
IF(V2754="posgrados",31,
IF(V2754="rEINTEGROS",7,
IF(V2754="BIT",90,
IF(V2754="OP GRADO - INGLÉS",17,"")))))</f>
        <v>31</v>
      </c>
      <c r="X2754" t="s">
        <v>4058</v>
      </c>
    </row>
    <row r="2755" spans="1:24" ht="15" x14ac:dyDescent="0.35">
      <c r="A2755" s="4">
        <v>46009.751886574071</v>
      </c>
      <c r="B2755">
        <v>20108638</v>
      </c>
      <c r="C2755" s="6" t="s">
        <v>19</v>
      </c>
      <c r="D2755">
        <v>592311</v>
      </c>
      <c r="E2755" t="s">
        <v>20</v>
      </c>
      <c r="F2755">
        <v>1047435412</v>
      </c>
      <c r="G2755" t="s">
        <v>1162</v>
      </c>
      <c r="H2755">
        <v>100233893</v>
      </c>
      <c r="I2755">
        <v>202631</v>
      </c>
      <c r="J2755">
        <v>1037573421</v>
      </c>
      <c r="K2755" t="s">
        <v>33</v>
      </c>
      <c r="L2755" t="s">
        <v>127</v>
      </c>
      <c r="M2755" t="s">
        <v>24</v>
      </c>
      <c r="N2755" t="s">
        <v>35</v>
      </c>
      <c r="O2755" t="s">
        <v>26</v>
      </c>
      <c r="P2755" t="s">
        <v>27</v>
      </c>
      <c r="Q2755" t="s">
        <v>28</v>
      </c>
      <c r="R2755" t="s">
        <v>29</v>
      </c>
      <c r="S2755" t="s">
        <v>30</v>
      </c>
      <c r="T2755">
        <v>1023929839</v>
      </c>
      <c r="U2755" t="s">
        <v>3933</v>
      </c>
      <c r="V2755" t="s">
        <v>3934</v>
      </c>
      <c r="W2755" s="9">
        <f>IF(V2755="pregrado",31,
IF(V2755="posgrados",31,
IF(V2755="rEINTEGROS",7,
IF(V2755="BIT",90,
IF(V2755="OP GRADO - INGLÉS",17,"")))))</f>
        <v>31</v>
      </c>
      <c r="X2755" t="s">
        <v>3932</v>
      </c>
    </row>
    <row r="2756" spans="1:24" ht="15" x14ac:dyDescent="0.35">
      <c r="A2756" s="4">
        <v>46003.557523148149</v>
      </c>
      <c r="B2756">
        <v>20106937</v>
      </c>
      <c r="C2756" s="6" t="s">
        <v>19</v>
      </c>
      <c r="D2756">
        <v>592322</v>
      </c>
      <c r="E2756" t="s">
        <v>20</v>
      </c>
      <c r="F2756">
        <v>1076501309</v>
      </c>
      <c r="G2756" t="s">
        <v>961</v>
      </c>
      <c r="H2756">
        <v>100238603</v>
      </c>
      <c r="I2756">
        <v>202631</v>
      </c>
      <c r="J2756">
        <v>1076501309</v>
      </c>
      <c r="K2756" t="s">
        <v>23</v>
      </c>
      <c r="L2756" t="s">
        <v>127</v>
      </c>
      <c r="M2756" t="s">
        <v>24</v>
      </c>
      <c r="N2756" t="s">
        <v>35</v>
      </c>
      <c r="O2756" t="s">
        <v>26</v>
      </c>
      <c r="P2756" t="s">
        <v>27</v>
      </c>
      <c r="Q2756" t="s">
        <v>28</v>
      </c>
      <c r="R2756" t="s">
        <v>29</v>
      </c>
      <c r="S2756" t="s">
        <v>30</v>
      </c>
      <c r="T2756">
        <v>1018455773</v>
      </c>
      <c r="U2756" t="s">
        <v>3986</v>
      </c>
      <c r="V2756" t="s">
        <v>3934</v>
      </c>
      <c r="W2756" s="9">
        <f>IF(V2756="pregrado",31,
IF(V2756="posgrados",31,
IF(V2756="rEINTEGROS",7,
IF(V2756="BIT",90,
IF(V2756="OP GRADO - INGLÉS",17,"")))))</f>
        <v>31</v>
      </c>
      <c r="X2756" t="s">
        <v>4101</v>
      </c>
    </row>
    <row r="2757" spans="1:24" ht="15" x14ac:dyDescent="0.35">
      <c r="A2757" s="4">
        <v>46003.626261574071</v>
      </c>
      <c r="B2757">
        <v>20106973</v>
      </c>
      <c r="C2757" s="6" t="s">
        <v>19</v>
      </c>
      <c r="D2757">
        <v>592333</v>
      </c>
      <c r="E2757" t="s">
        <v>20</v>
      </c>
      <c r="F2757">
        <v>1104805422</v>
      </c>
      <c r="G2757" t="s">
        <v>966</v>
      </c>
      <c r="H2757">
        <v>100238614</v>
      </c>
      <c r="I2757">
        <v>202631</v>
      </c>
      <c r="J2757">
        <v>1104805422</v>
      </c>
      <c r="K2757" t="s">
        <v>33</v>
      </c>
      <c r="L2757" t="s">
        <v>90</v>
      </c>
      <c r="M2757" t="s">
        <v>24</v>
      </c>
      <c r="N2757" t="s">
        <v>25</v>
      </c>
      <c r="O2757" t="s">
        <v>26</v>
      </c>
      <c r="P2757" t="s">
        <v>27</v>
      </c>
      <c r="Q2757" t="s">
        <v>28</v>
      </c>
      <c r="R2757" t="s">
        <v>29</v>
      </c>
      <c r="S2757" t="s">
        <v>30</v>
      </c>
      <c r="T2757">
        <v>1013687925</v>
      </c>
      <c r="U2757" t="s">
        <v>3933</v>
      </c>
      <c r="V2757" t="s">
        <v>3934</v>
      </c>
      <c r="W2757" s="9">
        <f>IF(V2757="pregrado",31,
IF(V2757="posgrados",31,
IF(V2757="rEINTEGROS",7,
IF(V2757="BIT",90,
IF(V2757="OP GRADO - INGLÉS",17,"")))))</f>
        <v>31</v>
      </c>
      <c r="X2757" t="s">
        <v>3959</v>
      </c>
    </row>
    <row r="2758" spans="1:24" ht="15" x14ac:dyDescent="0.35">
      <c r="A2758" s="4">
        <v>46003.548900462964</v>
      </c>
      <c r="B2758">
        <v>20106933</v>
      </c>
      <c r="C2758" s="6" t="s">
        <v>19</v>
      </c>
      <c r="D2758">
        <v>592351</v>
      </c>
      <c r="E2758" t="s">
        <v>20</v>
      </c>
      <c r="F2758">
        <v>1144202715</v>
      </c>
      <c r="G2758" t="s">
        <v>960</v>
      </c>
      <c r="H2758">
        <v>100238630</v>
      </c>
      <c r="I2758">
        <v>202631</v>
      </c>
      <c r="J2758">
        <v>1144202715</v>
      </c>
      <c r="K2758" t="s">
        <v>23</v>
      </c>
      <c r="L2758" t="s">
        <v>86</v>
      </c>
      <c r="M2758" t="s">
        <v>87</v>
      </c>
      <c r="N2758" t="s">
        <v>35</v>
      </c>
      <c r="O2758" t="s">
        <v>26</v>
      </c>
      <c r="P2758" t="s">
        <v>27</v>
      </c>
      <c r="Q2758" t="s">
        <v>28</v>
      </c>
      <c r="R2758" t="s">
        <v>29</v>
      </c>
      <c r="S2758" t="s">
        <v>30</v>
      </c>
      <c r="T2758">
        <v>1013595695</v>
      </c>
      <c r="U2758" t="s">
        <v>3933</v>
      </c>
      <c r="V2758" t="s">
        <v>3934</v>
      </c>
      <c r="W2758" s="9">
        <f>IF(V2758="pregrado",31,
IF(V2758="posgrados",31,
IF(V2758="rEINTEGROS",7,
IF(V2758="BIT",90,
IF(V2758="OP GRADO - INGLÉS",17,"")))))</f>
        <v>31</v>
      </c>
      <c r="X2758" t="s">
        <v>3990</v>
      </c>
    </row>
    <row r="2759" spans="1:24" ht="15" x14ac:dyDescent="0.35">
      <c r="A2759" s="4">
        <v>46010.440613425926</v>
      </c>
      <c r="B2759">
        <v>20108731</v>
      </c>
      <c r="C2759" s="6" t="s">
        <v>19</v>
      </c>
      <c r="D2759">
        <v>592355</v>
      </c>
      <c r="E2759" t="s">
        <v>20</v>
      </c>
      <c r="F2759">
        <v>1014480215</v>
      </c>
      <c r="G2759" t="s">
        <v>1174</v>
      </c>
      <c r="H2759">
        <v>100238544</v>
      </c>
      <c r="I2759">
        <v>202610</v>
      </c>
      <c r="J2759">
        <v>1014480215</v>
      </c>
      <c r="K2759" t="s">
        <v>33</v>
      </c>
      <c r="L2759" t="s">
        <v>40</v>
      </c>
      <c r="M2759" t="s">
        <v>24</v>
      </c>
      <c r="N2759" t="s">
        <v>38</v>
      </c>
      <c r="O2759" t="s">
        <v>26</v>
      </c>
      <c r="P2759" t="s">
        <v>27</v>
      </c>
      <c r="Q2759" t="s">
        <v>28</v>
      </c>
      <c r="R2759" t="s">
        <v>29</v>
      </c>
      <c r="S2759" t="s">
        <v>30</v>
      </c>
      <c r="T2759">
        <v>1118531834</v>
      </c>
      <c r="U2759" t="s">
        <v>3941</v>
      </c>
      <c r="V2759" t="s">
        <v>3934</v>
      </c>
      <c r="W2759" s="9">
        <f>IF(V2759="pregrado",31,
IF(V2759="posgrados",31,
IF(V2759="rEINTEGROS",7,
IF(V2759="BIT",90,
IF(V2759="OP GRADO - INGLÉS",17,"")))))</f>
        <v>31</v>
      </c>
      <c r="X2759" t="s">
        <v>3996</v>
      </c>
    </row>
    <row r="2760" spans="1:24" ht="15" x14ac:dyDescent="0.35">
      <c r="A2760" s="4">
        <v>46052.422071759262</v>
      </c>
      <c r="B2760">
        <v>20118810</v>
      </c>
      <c r="C2760" s="6" t="s">
        <v>19</v>
      </c>
      <c r="D2760">
        <v>592390</v>
      </c>
      <c r="E2760" t="s">
        <v>20</v>
      </c>
      <c r="F2760">
        <v>1016713787</v>
      </c>
      <c r="G2760" t="s">
        <v>2541</v>
      </c>
      <c r="H2760">
        <v>100238497</v>
      </c>
      <c r="I2760">
        <v>202610</v>
      </c>
      <c r="J2760">
        <v>1016713787</v>
      </c>
      <c r="K2760" t="s">
        <v>23</v>
      </c>
      <c r="L2760" t="s">
        <v>49</v>
      </c>
      <c r="M2760" t="s">
        <v>24</v>
      </c>
      <c r="N2760" t="s">
        <v>35</v>
      </c>
      <c r="O2760" t="s">
        <v>26</v>
      </c>
      <c r="P2760" t="s">
        <v>27</v>
      </c>
      <c r="Q2760" t="s">
        <v>28</v>
      </c>
      <c r="R2760" t="s">
        <v>29</v>
      </c>
      <c r="S2760" t="s">
        <v>30</v>
      </c>
      <c r="T2760">
        <v>1000625316</v>
      </c>
      <c r="U2760" t="s">
        <v>3944</v>
      </c>
      <c r="V2760" t="s">
        <v>3934</v>
      </c>
      <c r="W2760" s="9">
        <f>IF(V2760="pregrado",31,
IF(V2760="posgrados",31,
IF(V2760="rEINTEGROS",7,
IF(V2760="BIT",90,
IF(V2760="OP GRADO - INGLÉS",17,"")))))</f>
        <v>31</v>
      </c>
      <c r="X2760" t="s">
        <v>3980</v>
      </c>
    </row>
    <row r="2761" spans="1:24" ht="15" x14ac:dyDescent="0.35">
      <c r="A2761" s="4">
        <v>46006.667986111112</v>
      </c>
      <c r="B2761">
        <v>20107471</v>
      </c>
      <c r="C2761" s="6" t="s">
        <v>19</v>
      </c>
      <c r="D2761">
        <v>592394</v>
      </c>
      <c r="E2761" t="s">
        <v>20</v>
      </c>
      <c r="F2761">
        <v>1036251459</v>
      </c>
      <c r="G2761" t="s">
        <v>1013</v>
      </c>
      <c r="H2761">
        <v>100238683</v>
      </c>
      <c r="I2761">
        <v>202611</v>
      </c>
      <c r="J2761">
        <v>1036251459</v>
      </c>
      <c r="K2761" t="s">
        <v>23</v>
      </c>
      <c r="L2761" t="s">
        <v>204</v>
      </c>
      <c r="M2761" t="s">
        <v>24</v>
      </c>
      <c r="N2761" t="s">
        <v>35</v>
      </c>
      <c r="O2761" t="s">
        <v>26</v>
      </c>
      <c r="P2761" t="s">
        <v>27</v>
      </c>
      <c r="Q2761" t="s">
        <v>28</v>
      </c>
      <c r="R2761" t="s">
        <v>29</v>
      </c>
      <c r="S2761" t="s">
        <v>30</v>
      </c>
      <c r="T2761">
        <v>1020730718</v>
      </c>
      <c r="U2761" t="s">
        <v>3941</v>
      </c>
      <c r="V2761" t="s">
        <v>3934</v>
      </c>
      <c r="W2761" s="9">
        <f>IF(V2761="pregrado",31,
IF(V2761="posgrados",31,
IF(V2761="rEINTEGROS",7,
IF(V2761="BIT",90,
IF(V2761="OP GRADO - INGLÉS",17,"")))))</f>
        <v>31</v>
      </c>
      <c r="X2761" t="s">
        <v>3952</v>
      </c>
    </row>
    <row r="2762" spans="1:24" ht="15" x14ac:dyDescent="0.35">
      <c r="A2762" s="4">
        <v>46010.806064814817</v>
      </c>
      <c r="B2762">
        <v>20108955</v>
      </c>
      <c r="C2762" s="6" t="s">
        <v>19</v>
      </c>
      <c r="D2762">
        <v>592400</v>
      </c>
      <c r="E2762" t="s">
        <v>20</v>
      </c>
      <c r="F2762">
        <v>52163636</v>
      </c>
      <c r="G2762" t="s">
        <v>1198</v>
      </c>
      <c r="H2762">
        <v>100238691</v>
      </c>
      <c r="I2762">
        <v>202631</v>
      </c>
      <c r="J2762">
        <v>1014596783</v>
      </c>
      <c r="K2762" t="s">
        <v>33</v>
      </c>
      <c r="L2762" t="s">
        <v>90</v>
      </c>
      <c r="M2762" t="s">
        <v>24</v>
      </c>
      <c r="N2762" t="s">
        <v>38</v>
      </c>
      <c r="O2762" t="s">
        <v>26</v>
      </c>
      <c r="P2762" t="s">
        <v>27</v>
      </c>
      <c r="Q2762" t="s">
        <v>28</v>
      </c>
      <c r="R2762" t="s">
        <v>29</v>
      </c>
      <c r="S2762" t="s">
        <v>30</v>
      </c>
      <c r="T2762">
        <v>80219471</v>
      </c>
      <c r="U2762" t="s">
        <v>3941</v>
      </c>
      <c r="V2762" t="s">
        <v>3934</v>
      </c>
      <c r="W2762" s="9">
        <f>IF(V2762="pregrado",31,
IF(V2762="posgrados",31,
IF(V2762="rEINTEGROS",7,
IF(V2762="BIT",90,
IF(V2762="OP GRADO - INGLÉS",17,"")))))</f>
        <v>31</v>
      </c>
      <c r="X2762" t="s">
        <v>4030</v>
      </c>
    </row>
    <row r="2763" spans="1:24" ht="15" x14ac:dyDescent="0.35">
      <c r="A2763" s="4">
        <v>46017.575567129628</v>
      </c>
      <c r="B2763">
        <v>20109865</v>
      </c>
      <c r="C2763" s="6" t="s">
        <v>19</v>
      </c>
      <c r="D2763">
        <v>592409</v>
      </c>
      <c r="E2763" t="s">
        <v>20</v>
      </c>
      <c r="F2763">
        <v>64740225</v>
      </c>
      <c r="G2763" t="s">
        <v>1326</v>
      </c>
      <c r="H2763">
        <v>100238698</v>
      </c>
      <c r="I2763">
        <v>202610</v>
      </c>
      <c r="J2763">
        <v>1019057281</v>
      </c>
      <c r="K2763" t="s">
        <v>23</v>
      </c>
      <c r="L2763" t="s">
        <v>40</v>
      </c>
      <c r="M2763" t="s">
        <v>24</v>
      </c>
      <c r="N2763" t="s">
        <v>35</v>
      </c>
      <c r="O2763" t="s">
        <v>26</v>
      </c>
      <c r="P2763" t="s">
        <v>27</v>
      </c>
      <c r="Q2763" t="s">
        <v>28</v>
      </c>
      <c r="R2763" t="s">
        <v>29</v>
      </c>
      <c r="S2763" t="s">
        <v>30</v>
      </c>
      <c r="T2763">
        <v>1023000938</v>
      </c>
      <c r="U2763" t="s">
        <v>3941</v>
      </c>
      <c r="V2763" t="s">
        <v>3934</v>
      </c>
      <c r="W2763" s="9">
        <f>IF(V2763="pregrado",31,
IF(V2763="posgrados",31,
IF(V2763="rEINTEGROS",7,
IF(V2763="BIT",90,
IF(V2763="OP GRADO - INGLÉS",17,"")))))</f>
        <v>31</v>
      </c>
      <c r="X2763" t="s">
        <v>3989</v>
      </c>
    </row>
    <row r="2764" spans="1:24" ht="15" x14ac:dyDescent="0.35">
      <c r="A2764" s="4">
        <v>46003.711006944446</v>
      </c>
      <c r="B2764">
        <v>20107035</v>
      </c>
      <c r="C2764" s="6" t="s">
        <v>19</v>
      </c>
      <c r="D2764">
        <v>592421</v>
      </c>
      <c r="E2764" t="s">
        <v>20</v>
      </c>
      <c r="F2764">
        <v>1128187672</v>
      </c>
      <c r="G2764" t="s">
        <v>975</v>
      </c>
      <c r="H2764">
        <v>100238682</v>
      </c>
      <c r="I2764">
        <v>202631</v>
      </c>
      <c r="J2764">
        <v>1128187672</v>
      </c>
      <c r="K2764" t="s">
        <v>23</v>
      </c>
      <c r="L2764" t="s">
        <v>32</v>
      </c>
      <c r="M2764" t="s">
        <v>24</v>
      </c>
      <c r="N2764" t="s">
        <v>35</v>
      </c>
      <c r="O2764" t="s">
        <v>26</v>
      </c>
      <c r="P2764" t="s">
        <v>27</v>
      </c>
      <c r="Q2764" t="s">
        <v>28</v>
      </c>
      <c r="R2764" t="s">
        <v>29</v>
      </c>
      <c r="S2764" t="s">
        <v>30</v>
      </c>
      <c r="T2764">
        <v>10123971531</v>
      </c>
      <c r="U2764" t="s">
        <v>3944</v>
      </c>
      <c r="V2764" t="s">
        <v>3934</v>
      </c>
      <c r="W2764" s="9">
        <f>IF(V2764="pregrado",31,
IF(V2764="posgrados",31,
IF(V2764="rEINTEGROS",7,
IF(V2764="BIT",90,
IF(V2764="OP GRADO - INGLÉS",17,"")))))</f>
        <v>31</v>
      </c>
      <c r="X2764" t="s">
        <v>3943</v>
      </c>
    </row>
    <row r="2765" spans="1:24" ht="15" x14ac:dyDescent="0.35">
      <c r="A2765" s="4">
        <v>46006.486481481479</v>
      </c>
      <c r="B2765">
        <v>20107285</v>
      </c>
      <c r="C2765" s="6" t="s">
        <v>19</v>
      </c>
      <c r="D2765">
        <v>592422</v>
      </c>
      <c r="E2765" t="s">
        <v>20</v>
      </c>
      <c r="F2765">
        <v>1023031283</v>
      </c>
      <c r="G2765" t="s">
        <v>995</v>
      </c>
      <c r="H2765">
        <v>100238711</v>
      </c>
      <c r="I2765">
        <v>202611</v>
      </c>
      <c r="J2765">
        <v>1023031283</v>
      </c>
      <c r="K2765" t="s">
        <v>33</v>
      </c>
      <c r="L2765" t="s">
        <v>204</v>
      </c>
      <c r="M2765" t="s">
        <v>24</v>
      </c>
      <c r="N2765" t="s">
        <v>38</v>
      </c>
      <c r="O2765" t="s">
        <v>26</v>
      </c>
      <c r="P2765" t="s">
        <v>27</v>
      </c>
      <c r="Q2765" t="s">
        <v>28</v>
      </c>
      <c r="R2765" t="s">
        <v>29</v>
      </c>
      <c r="S2765" t="s">
        <v>30</v>
      </c>
      <c r="T2765">
        <v>53061994</v>
      </c>
      <c r="U2765" t="s">
        <v>3941</v>
      </c>
      <c r="V2765" t="s">
        <v>3934</v>
      </c>
      <c r="W2765" s="9">
        <f>IF(V2765="pregrado",31,
IF(V2765="posgrados",31,
IF(V2765="rEINTEGROS",7,
IF(V2765="BIT",90,
IF(V2765="OP GRADO - INGLÉS",17,"")))))</f>
        <v>31</v>
      </c>
      <c r="X2765" t="s">
        <v>3950</v>
      </c>
    </row>
    <row r="2766" spans="1:24" ht="15" x14ac:dyDescent="0.35">
      <c r="A2766" s="4">
        <v>46059.596006944441</v>
      </c>
      <c r="B2766">
        <v>20121178</v>
      </c>
      <c r="C2766" s="6" t="s">
        <v>19</v>
      </c>
      <c r="D2766">
        <v>592429</v>
      </c>
      <c r="E2766" t="s">
        <v>20</v>
      </c>
      <c r="F2766">
        <v>1090384821</v>
      </c>
      <c r="G2766" t="s">
        <v>2859</v>
      </c>
      <c r="H2766">
        <v>100222348</v>
      </c>
      <c r="I2766">
        <v>202631</v>
      </c>
      <c r="J2766">
        <v>1090384821</v>
      </c>
      <c r="K2766" t="s">
        <v>23</v>
      </c>
      <c r="L2766" t="s">
        <v>240</v>
      </c>
      <c r="M2766" t="s">
        <v>24</v>
      </c>
      <c r="N2766" t="s">
        <v>35</v>
      </c>
      <c r="O2766" t="s">
        <v>26</v>
      </c>
      <c r="P2766" t="s">
        <v>27</v>
      </c>
      <c r="Q2766" t="s">
        <v>28</v>
      </c>
      <c r="R2766" t="s">
        <v>29</v>
      </c>
      <c r="S2766" t="s">
        <v>30</v>
      </c>
      <c r="T2766">
        <v>1022392610</v>
      </c>
      <c r="U2766" t="s">
        <v>3941</v>
      </c>
      <c r="V2766" t="s">
        <v>3934</v>
      </c>
      <c r="W2766" s="9">
        <f>IF(V2766="pregrado",31,
IF(V2766="posgrados",31,
IF(V2766="rEINTEGROS",7,
IF(V2766="BIT",90,
IF(V2766="OP GRADO - INGLÉS",17,"")))))</f>
        <v>31</v>
      </c>
      <c r="X2766" t="s">
        <v>4028</v>
      </c>
    </row>
    <row r="2767" spans="1:24" ht="15" x14ac:dyDescent="0.35">
      <c r="A2767" s="4">
        <v>46008.460520833331</v>
      </c>
      <c r="B2767">
        <v>20108144</v>
      </c>
      <c r="C2767" s="6" t="s">
        <v>19</v>
      </c>
      <c r="D2767">
        <v>592455</v>
      </c>
      <c r="E2767" t="s">
        <v>20</v>
      </c>
      <c r="F2767">
        <v>80021782</v>
      </c>
      <c r="G2767" t="s">
        <v>1074</v>
      </c>
      <c r="H2767">
        <v>100235566</v>
      </c>
      <c r="I2767">
        <v>202631</v>
      </c>
      <c r="J2767">
        <v>80021782</v>
      </c>
      <c r="K2767" t="s">
        <v>23</v>
      </c>
      <c r="L2767" t="s">
        <v>42</v>
      </c>
      <c r="M2767" t="s">
        <v>24</v>
      </c>
      <c r="N2767" t="s">
        <v>35</v>
      </c>
      <c r="O2767" t="s">
        <v>26</v>
      </c>
      <c r="P2767" t="s">
        <v>27</v>
      </c>
      <c r="Q2767" t="s">
        <v>28</v>
      </c>
      <c r="R2767" t="s">
        <v>29</v>
      </c>
      <c r="S2767" t="s">
        <v>30</v>
      </c>
      <c r="T2767">
        <v>1000001980</v>
      </c>
      <c r="U2767" t="s">
        <v>3944</v>
      </c>
      <c r="V2767" t="s">
        <v>3934</v>
      </c>
      <c r="W2767" s="9">
        <f>IF(V2767="pregrado",31,
IF(V2767="posgrados",31,
IF(V2767="rEINTEGROS",7,
IF(V2767="BIT",90,
IF(V2767="OP GRADO - INGLÉS",17,"")))))</f>
        <v>31</v>
      </c>
      <c r="X2767" t="s">
        <v>3968</v>
      </c>
    </row>
    <row r="2768" spans="1:24" ht="15" x14ac:dyDescent="0.35">
      <c r="A2768" s="4">
        <v>46062.564236111109</v>
      </c>
      <c r="B2768">
        <v>20121667</v>
      </c>
      <c r="C2768" s="6" t="s">
        <v>19</v>
      </c>
      <c r="D2768">
        <v>592492</v>
      </c>
      <c r="E2768" t="s">
        <v>20</v>
      </c>
      <c r="F2768">
        <v>1072774578</v>
      </c>
      <c r="G2768" t="s">
        <v>2927</v>
      </c>
      <c r="H2768">
        <v>200071732</v>
      </c>
      <c r="I2768">
        <v>202631</v>
      </c>
      <c r="J2768">
        <v>1072774578</v>
      </c>
      <c r="K2768" t="s">
        <v>83</v>
      </c>
      <c r="L2768" t="s">
        <v>119</v>
      </c>
      <c r="M2768" t="s">
        <v>24</v>
      </c>
      <c r="N2768" t="s">
        <v>35</v>
      </c>
      <c r="O2768" t="s">
        <v>26</v>
      </c>
      <c r="P2768" t="s">
        <v>27</v>
      </c>
      <c r="Q2768" t="s">
        <v>28</v>
      </c>
      <c r="R2768" t="s">
        <v>29</v>
      </c>
      <c r="S2768" t="s">
        <v>30</v>
      </c>
      <c r="T2768">
        <v>1077967131</v>
      </c>
      <c r="U2768" t="s">
        <v>3963</v>
      </c>
      <c r="V2768" t="s">
        <v>3934</v>
      </c>
      <c r="W2768" s="9">
        <f>IF(V2768="pregrado",31,
IF(V2768="posgrados",31,
IF(V2768="rEINTEGROS",7,
IF(V2768="BIT",90,
IF(V2768="OP GRADO - INGLÉS",17,"")))))</f>
        <v>31</v>
      </c>
      <c r="X2768" t="s">
        <v>4011</v>
      </c>
    </row>
    <row r="2769" spans="1:24" ht="15" x14ac:dyDescent="0.35">
      <c r="A2769" s="4">
        <v>46004.383576388886</v>
      </c>
      <c r="B2769">
        <v>20107090</v>
      </c>
      <c r="C2769" s="6" t="s">
        <v>19</v>
      </c>
      <c r="D2769">
        <v>592513</v>
      </c>
      <c r="E2769" t="s">
        <v>20</v>
      </c>
      <c r="F2769">
        <v>1004509456</v>
      </c>
      <c r="G2769" t="s">
        <v>979</v>
      </c>
      <c r="H2769">
        <v>200066829</v>
      </c>
      <c r="I2769">
        <v>202631</v>
      </c>
      <c r="J2769">
        <v>1004509456</v>
      </c>
      <c r="K2769" t="s">
        <v>23</v>
      </c>
      <c r="L2769" t="s">
        <v>22</v>
      </c>
      <c r="M2769" t="s">
        <v>24</v>
      </c>
      <c r="N2769" t="s">
        <v>35</v>
      </c>
      <c r="O2769" t="s">
        <v>26</v>
      </c>
      <c r="P2769" t="s">
        <v>27</v>
      </c>
      <c r="Q2769" t="s">
        <v>28</v>
      </c>
      <c r="R2769" t="s">
        <v>29</v>
      </c>
      <c r="S2769" t="s">
        <v>30</v>
      </c>
      <c r="T2769">
        <v>10245841021</v>
      </c>
      <c r="U2769" t="s">
        <v>3933</v>
      </c>
      <c r="V2769" t="s">
        <v>3934</v>
      </c>
      <c r="W2769" s="9">
        <f>IF(V2769="pregrado",31,
IF(V2769="posgrados",31,
IF(V2769="rEINTEGROS",7,
IF(V2769="BIT",90,
IF(V2769="OP GRADO - INGLÉS",17,"")))))</f>
        <v>31</v>
      </c>
      <c r="X2769" t="s">
        <v>3987</v>
      </c>
    </row>
    <row r="2770" spans="1:24" ht="15" x14ac:dyDescent="0.35">
      <c r="A2770" s="4">
        <v>46008.748194444444</v>
      </c>
      <c r="B2770">
        <v>20108340</v>
      </c>
      <c r="C2770" s="6" t="s">
        <v>19</v>
      </c>
      <c r="D2770">
        <v>592520</v>
      </c>
      <c r="E2770" t="s">
        <v>20</v>
      </c>
      <c r="F2770">
        <v>1022351380</v>
      </c>
      <c r="G2770" t="s">
        <v>1095</v>
      </c>
      <c r="H2770">
        <v>100238759</v>
      </c>
      <c r="I2770">
        <v>202631</v>
      </c>
      <c r="J2770">
        <v>1022351380</v>
      </c>
      <c r="K2770" t="s">
        <v>33</v>
      </c>
      <c r="L2770" t="s">
        <v>240</v>
      </c>
      <c r="M2770" t="s">
        <v>24</v>
      </c>
      <c r="N2770" t="s">
        <v>38</v>
      </c>
      <c r="O2770" t="s">
        <v>26</v>
      </c>
      <c r="P2770" t="s">
        <v>27</v>
      </c>
      <c r="Q2770" t="s">
        <v>28</v>
      </c>
      <c r="R2770" t="s">
        <v>29</v>
      </c>
      <c r="S2770" t="s">
        <v>30</v>
      </c>
      <c r="T2770">
        <v>1015428862</v>
      </c>
      <c r="U2770" t="s">
        <v>3965</v>
      </c>
      <c r="V2770" t="s">
        <v>3934</v>
      </c>
      <c r="W2770" s="9">
        <f>IF(V2770="pregrado",31,
IF(V2770="posgrados",31,
IF(V2770="rEINTEGROS",7,
IF(V2770="BIT",90,
IF(V2770="OP GRADO - INGLÉS",17,"")))))</f>
        <v>31</v>
      </c>
      <c r="X2770" t="s">
        <v>4048</v>
      </c>
    </row>
    <row r="2771" spans="1:24" ht="15" x14ac:dyDescent="0.35">
      <c r="A2771" s="4">
        <v>46009.675706018519</v>
      </c>
      <c r="B2771">
        <v>20108591</v>
      </c>
      <c r="C2771" s="6" t="s">
        <v>19</v>
      </c>
      <c r="D2771">
        <v>592521</v>
      </c>
      <c r="E2771" t="s">
        <v>20</v>
      </c>
      <c r="F2771">
        <v>1003687448</v>
      </c>
      <c r="G2771" t="s">
        <v>1151</v>
      </c>
      <c r="H2771">
        <v>100238760</v>
      </c>
      <c r="I2771">
        <v>202611</v>
      </c>
      <c r="J2771">
        <v>1003687448</v>
      </c>
      <c r="K2771" t="s">
        <v>23</v>
      </c>
      <c r="L2771" t="s">
        <v>221</v>
      </c>
      <c r="M2771" t="s">
        <v>24</v>
      </c>
      <c r="N2771" t="s">
        <v>35</v>
      </c>
      <c r="O2771" t="s">
        <v>26</v>
      </c>
      <c r="P2771" t="s">
        <v>27</v>
      </c>
      <c r="Q2771" t="s">
        <v>28</v>
      </c>
      <c r="R2771" t="s">
        <v>29</v>
      </c>
      <c r="S2771" t="s">
        <v>30</v>
      </c>
      <c r="T2771">
        <v>1000001980</v>
      </c>
      <c r="U2771" t="s">
        <v>3944</v>
      </c>
      <c r="V2771" t="s">
        <v>3934</v>
      </c>
      <c r="W2771" s="9">
        <f>IF(V2771="pregrado",31,
IF(V2771="posgrados",31,
IF(V2771="rEINTEGROS",7,
IF(V2771="BIT",90,
IF(V2771="OP GRADO - INGLÉS",17,"")))))</f>
        <v>31</v>
      </c>
      <c r="X2771" t="s">
        <v>3968</v>
      </c>
    </row>
    <row r="2772" spans="1:24" ht="15" x14ac:dyDescent="0.35">
      <c r="A2772" s="4">
        <v>46007.471747685187</v>
      </c>
      <c r="B2772">
        <v>20107795</v>
      </c>
      <c r="C2772" s="6" t="s">
        <v>19</v>
      </c>
      <c r="D2772">
        <v>592523</v>
      </c>
      <c r="E2772" t="s">
        <v>20</v>
      </c>
      <c r="F2772">
        <v>1023623694</v>
      </c>
      <c r="G2772" t="s">
        <v>1037</v>
      </c>
      <c r="H2772">
        <v>100238764</v>
      </c>
      <c r="I2772">
        <v>202631</v>
      </c>
      <c r="J2772">
        <v>1023623694</v>
      </c>
      <c r="K2772" t="s">
        <v>33</v>
      </c>
      <c r="L2772" t="s">
        <v>90</v>
      </c>
      <c r="M2772" t="s">
        <v>24</v>
      </c>
      <c r="N2772" t="s">
        <v>35</v>
      </c>
      <c r="O2772" t="s">
        <v>26</v>
      </c>
      <c r="P2772" t="s">
        <v>27</v>
      </c>
      <c r="Q2772" t="s">
        <v>28</v>
      </c>
      <c r="R2772" t="s">
        <v>29</v>
      </c>
      <c r="S2772" t="s">
        <v>30</v>
      </c>
      <c r="T2772">
        <v>1013687925</v>
      </c>
      <c r="U2772" t="s">
        <v>3933</v>
      </c>
      <c r="V2772" t="s">
        <v>3934</v>
      </c>
      <c r="W2772" s="9">
        <f>IF(V2772="pregrado",31,
IF(V2772="posgrados",31,
IF(V2772="rEINTEGROS",7,
IF(V2772="BIT",90,
IF(V2772="OP GRADO - INGLÉS",17,"")))))</f>
        <v>31</v>
      </c>
      <c r="X2772" t="s">
        <v>3959</v>
      </c>
    </row>
    <row r="2773" spans="1:24" ht="15" x14ac:dyDescent="0.35">
      <c r="A2773" s="4">
        <v>46006.441469907404</v>
      </c>
      <c r="B2773">
        <v>20107245</v>
      </c>
      <c r="C2773" s="6" t="s">
        <v>19</v>
      </c>
      <c r="D2773">
        <v>592524</v>
      </c>
      <c r="E2773" t="s">
        <v>20</v>
      </c>
      <c r="F2773">
        <v>1058352366</v>
      </c>
      <c r="G2773" t="s">
        <v>993</v>
      </c>
      <c r="H2773">
        <v>100238765</v>
      </c>
      <c r="I2773">
        <v>202631</v>
      </c>
      <c r="J2773">
        <v>1058352366</v>
      </c>
      <c r="K2773" t="s">
        <v>33</v>
      </c>
      <c r="L2773" t="s">
        <v>127</v>
      </c>
      <c r="M2773" t="s">
        <v>24</v>
      </c>
      <c r="N2773" t="s">
        <v>25</v>
      </c>
      <c r="O2773" t="s">
        <v>26</v>
      </c>
      <c r="P2773" t="s">
        <v>27</v>
      </c>
      <c r="Q2773" t="s">
        <v>28</v>
      </c>
      <c r="R2773" t="s">
        <v>29</v>
      </c>
      <c r="S2773" t="s">
        <v>30</v>
      </c>
      <c r="T2773">
        <v>10245841021</v>
      </c>
      <c r="U2773" t="s">
        <v>3933</v>
      </c>
      <c r="V2773" t="s">
        <v>3934</v>
      </c>
      <c r="W2773" s="9">
        <f>IF(V2773="pregrado",31,
IF(V2773="posgrados",31,
IF(V2773="rEINTEGROS",7,
IF(V2773="BIT",90,
IF(V2773="OP GRADO - INGLÉS",17,"")))))</f>
        <v>31</v>
      </c>
      <c r="X2773" t="s">
        <v>3987</v>
      </c>
    </row>
    <row r="2774" spans="1:24" ht="15" x14ac:dyDescent="0.35">
      <c r="A2774" s="4">
        <v>46008.630740740744</v>
      </c>
      <c r="B2774">
        <v>20108242</v>
      </c>
      <c r="C2774" s="6" t="s">
        <v>19</v>
      </c>
      <c r="D2774">
        <v>592526</v>
      </c>
      <c r="E2774" t="s">
        <v>20</v>
      </c>
      <c r="F2774">
        <v>1024473883</v>
      </c>
      <c r="G2774" t="s">
        <v>1087</v>
      </c>
      <c r="H2774">
        <v>100238767</v>
      </c>
      <c r="I2774">
        <v>202611</v>
      </c>
      <c r="J2774">
        <v>1024473883</v>
      </c>
      <c r="K2774" t="s">
        <v>23</v>
      </c>
      <c r="L2774" t="s">
        <v>227</v>
      </c>
      <c r="M2774" t="s">
        <v>24</v>
      </c>
      <c r="N2774" t="s">
        <v>25</v>
      </c>
      <c r="O2774" t="s">
        <v>26</v>
      </c>
      <c r="P2774" t="s">
        <v>27</v>
      </c>
      <c r="Q2774" t="s">
        <v>28</v>
      </c>
      <c r="R2774" t="s">
        <v>29</v>
      </c>
      <c r="S2774" t="s">
        <v>30</v>
      </c>
      <c r="T2774">
        <v>1032678391</v>
      </c>
      <c r="U2774" t="s">
        <v>3965</v>
      </c>
      <c r="V2774" t="s">
        <v>3934</v>
      </c>
      <c r="W2774" s="9">
        <f>IF(V2774="pregrado",31,
IF(V2774="posgrados",31,
IF(V2774="rEINTEGROS",7,
IF(V2774="BIT",90,
IF(V2774="OP GRADO - INGLÉS",17,"")))))</f>
        <v>31</v>
      </c>
      <c r="X2774" t="s">
        <v>4098</v>
      </c>
    </row>
    <row r="2775" spans="1:24" ht="15" x14ac:dyDescent="0.35">
      <c r="A2775" s="4">
        <v>46004.476921296293</v>
      </c>
      <c r="B2775">
        <v>20107112</v>
      </c>
      <c r="C2775" s="6" t="s">
        <v>19</v>
      </c>
      <c r="D2775">
        <v>592533</v>
      </c>
      <c r="E2775" t="s">
        <v>20</v>
      </c>
      <c r="F2775">
        <v>1119839478</v>
      </c>
      <c r="G2775" t="s">
        <v>984</v>
      </c>
      <c r="H2775">
        <v>100238668</v>
      </c>
      <c r="I2775">
        <v>202631</v>
      </c>
      <c r="J2775">
        <v>1119839478</v>
      </c>
      <c r="K2775" t="s">
        <v>23</v>
      </c>
      <c r="L2775" t="s">
        <v>219</v>
      </c>
      <c r="M2775" t="s">
        <v>24</v>
      </c>
      <c r="N2775" t="s">
        <v>35</v>
      </c>
      <c r="O2775" t="s">
        <v>26</v>
      </c>
      <c r="P2775" t="s">
        <v>27</v>
      </c>
      <c r="Q2775" t="s">
        <v>28</v>
      </c>
      <c r="R2775" t="s">
        <v>29</v>
      </c>
      <c r="S2775" t="s">
        <v>30</v>
      </c>
      <c r="T2775">
        <v>1013687925</v>
      </c>
      <c r="U2775" t="s">
        <v>3933</v>
      </c>
      <c r="V2775" t="s">
        <v>3934</v>
      </c>
      <c r="W2775" s="9">
        <f>IF(V2775="pregrado",31,
IF(V2775="posgrados",31,
IF(V2775="rEINTEGROS",7,
IF(V2775="BIT",90,
IF(V2775="OP GRADO - INGLÉS",17,"")))))</f>
        <v>31</v>
      </c>
      <c r="X2775" t="s">
        <v>3959</v>
      </c>
    </row>
    <row r="2776" spans="1:24" ht="15" x14ac:dyDescent="0.35">
      <c r="A2776" s="4">
        <v>46006.412129629629</v>
      </c>
      <c r="B2776">
        <v>20107214</v>
      </c>
      <c r="C2776" s="6" t="s">
        <v>19</v>
      </c>
      <c r="D2776">
        <v>592537</v>
      </c>
      <c r="E2776" t="s">
        <v>20</v>
      </c>
      <c r="F2776">
        <v>1046527437</v>
      </c>
      <c r="G2776" t="s">
        <v>987</v>
      </c>
      <c r="H2776">
        <v>100238522</v>
      </c>
      <c r="I2776">
        <v>202610</v>
      </c>
      <c r="J2776">
        <v>1046527437</v>
      </c>
      <c r="K2776" t="s">
        <v>23</v>
      </c>
      <c r="L2776" t="s">
        <v>40</v>
      </c>
      <c r="M2776" t="s">
        <v>24</v>
      </c>
      <c r="N2776" t="s">
        <v>35</v>
      </c>
      <c r="O2776" t="s">
        <v>26</v>
      </c>
      <c r="P2776" t="s">
        <v>27</v>
      </c>
      <c r="Q2776" t="s">
        <v>28</v>
      </c>
      <c r="R2776" t="s">
        <v>29</v>
      </c>
      <c r="S2776" t="s">
        <v>30</v>
      </c>
      <c r="T2776">
        <v>1000578914</v>
      </c>
      <c r="U2776" t="s">
        <v>3941</v>
      </c>
      <c r="V2776" t="s">
        <v>3934</v>
      </c>
      <c r="W2776" s="9">
        <f>IF(V2776="pregrado",31,
IF(V2776="posgrados",31,
IF(V2776="rEINTEGROS",7,
IF(V2776="BIT",90,
IF(V2776="OP GRADO - INGLÉS",17,"")))))</f>
        <v>31</v>
      </c>
      <c r="X2776" t="s">
        <v>4060</v>
      </c>
    </row>
    <row r="2777" spans="1:24" ht="15" x14ac:dyDescent="0.35">
      <c r="A2777" s="4">
        <v>46058.454282407409</v>
      </c>
      <c r="B2777">
        <v>20120788</v>
      </c>
      <c r="C2777" s="6" t="s">
        <v>19</v>
      </c>
      <c r="D2777">
        <v>592540</v>
      </c>
      <c r="E2777" t="s">
        <v>20</v>
      </c>
      <c r="F2777">
        <v>1030567931</v>
      </c>
      <c r="G2777" t="s">
        <v>2793</v>
      </c>
      <c r="H2777">
        <v>100238781</v>
      </c>
      <c r="I2777">
        <v>202631</v>
      </c>
      <c r="J2777">
        <v>1030567931</v>
      </c>
      <c r="K2777" t="s">
        <v>33</v>
      </c>
      <c r="L2777" t="s">
        <v>51</v>
      </c>
      <c r="M2777" t="s">
        <v>24</v>
      </c>
      <c r="N2777" t="s">
        <v>35</v>
      </c>
      <c r="O2777" t="s">
        <v>26</v>
      </c>
      <c r="P2777" t="s">
        <v>27</v>
      </c>
      <c r="Q2777" t="s">
        <v>28</v>
      </c>
      <c r="R2777" t="s">
        <v>29</v>
      </c>
      <c r="S2777" t="s">
        <v>30</v>
      </c>
      <c r="T2777">
        <v>1000777598</v>
      </c>
      <c r="U2777" t="s">
        <v>3986</v>
      </c>
      <c r="V2777" t="s">
        <v>3934</v>
      </c>
      <c r="W2777" s="9">
        <f>IF(V2777="pregrado",31,
IF(V2777="posgrados",31,
IF(V2777="rEINTEGROS",7,
IF(V2777="BIT",90,
IF(V2777="OP GRADO - INGLÉS",17,"")))))</f>
        <v>31</v>
      </c>
      <c r="X2777" t="s">
        <v>4103</v>
      </c>
    </row>
    <row r="2778" spans="1:24" ht="15" x14ac:dyDescent="0.35">
      <c r="A2778" s="4">
        <v>46044.632557870369</v>
      </c>
      <c r="B2778">
        <v>20116221</v>
      </c>
      <c r="C2778" s="6" t="s">
        <v>19</v>
      </c>
      <c r="D2778">
        <v>592544</v>
      </c>
      <c r="E2778" t="s">
        <v>20</v>
      </c>
      <c r="F2778">
        <v>1103390069</v>
      </c>
      <c r="G2778" t="s">
        <v>2177</v>
      </c>
      <c r="H2778">
        <v>100232093</v>
      </c>
      <c r="I2778">
        <v>202611</v>
      </c>
      <c r="J2778">
        <v>1103390069</v>
      </c>
      <c r="K2778" t="s">
        <v>33</v>
      </c>
      <c r="L2778" t="s">
        <v>204</v>
      </c>
      <c r="M2778" t="s">
        <v>24</v>
      </c>
      <c r="N2778" t="s">
        <v>35</v>
      </c>
      <c r="O2778" t="s">
        <v>26</v>
      </c>
      <c r="P2778" t="s">
        <v>27</v>
      </c>
      <c r="Q2778" t="s">
        <v>28</v>
      </c>
      <c r="R2778" t="s">
        <v>29</v>
      </c>
      <c r="S2778" t="s">
        <v>30</v>
      </c>
      <c r="T2778">
        <v>1022392610</v>
      </c>
      <c r="U2778" t="s">
        <v>3941</v>
      </c>
      <c r="V2778" t="s">
        <v>3934</v>
      </c>
      <c r="W2778" s="9">
        <f>IF(V2778="pregrado",31,
IF(V2778="posgrados",31,
IF(V2778="rEINTEGROS",7,
IF(V2778="BIT",90,
IF(V2778="OP GRADO - INGLÉS",17,"")))))</f>
        <v>31</v>
      </c>
      <c r="X2778" t="s">
        <v>4028</v>
      </c>
    </row>
    <row r="2779" spans="1:24" ht="15" x14ac:dyDescent="0.35">
      <c r="A2779" s="4">
        <v>46043.763206018521</v>
      </c>
      <c r="B2779">
        <v>20115928</v>
      </c>
      <c r="C2779" s="6" t="s">
        <v>19</v>
      </c>
      <c r="D2779">
        <v>592546</v>
      </c>
      <c r="E2779" t="s">
        <v>20</v>
      </c>
      <c r="F2779">
        <v>1084866140</v>
      </c>
      <c r="G2779" t="s">
        <v>2120</v>
      </c>
      <c r="H2779">
        <v>100238785</v>
      </c>
      <c r="I2779">
        <v>202631</v>
      </c>
      <c r="J2779">
        <v>1084866140</v>
      </c>
      <c r="K2779" t="s">
        <v>83</v>
      </c>
      <c r="L2779" t="s">
        <v>90</v>
      </c>
      <c r="M2779" t="s">
        <v>24</v>
      </c>
      <c r="N2779" t="s">
        <v>25</v>
      </c>
      <c r="O2779" t="s">
        <v>26</v>
      </c>
      <c r="P2779" t="s">
        <v>27</v>
      </c>
      <c r="Q2779" t="s">
        <v>28</v>
      </c>
      <c r="R2779" t="s">
        <v>29</v>
      </c>
      <c r="S2779" t="s">
        <v>30</v>
      </c>
      <c r="T2779">
        <v>39666517</v>
      </c>
      <c r="U2779" t="s">
        <v>3933</v>
      </c>
      <c r="V2779" t="s">
        <v>3934</v>
      </c>
      <c r="W2779" s="9">
        <f>IF(V2779="pregrado",31,
IF(V2779="posgrados",31,
IF(V2779="rEINTEGROS",7,
IF(V2779="BIT",90,
IF(V2779="OP GRADO - INGLÉS",17,"")))))</f>
        <v>31</v>
      </c>
      <c r="X2779" t="s">
        <v>4025</v>
      </c>
    </row>
    <row r="2780" spans="1:24" ht="15" x14ac:dyDescent="0.35">
      <c r="A2780" s="4">
        <v>46006.607314814813</v>
      </c>
      <c r="B2780">
        <v>20107402</v>
      </c>
      <c r="C2780" s="6" t="s">
        <v>19</v>
      </c>
      <c r="D2780">
        <v>592548</v>
      </c>
      <c r="E2780" t="s">
        <v>20</v>
      </c>
      <c r="F2780">
        <v>1118124236</v>
      </c>
      <c r="G2780" t="s">
        <v>1008</v>
      </c>
      <c r="H2780">
        <v>100238789</v>
      </c>
      <c r="I2780">
        <v>202611</v>
      </c>
      <c r="J2780">
        <v>1118124236</v>
      </c>
      <c r="K2780" t="s">
        <v>23</v>
      </c>
      <c r="L2780" t="s">
        <v>227</v>
      </c>
      <c r="M2780" t="s">
        <v>24</v>
      </c>
      <c r="N2780" t="s">
        <v>35</v>
      </c>
      <c r="O2780" t="s">
        <v>26</v>
      </c>
      <c r="P2780" t="s">
        <v>27</v>
      </c>
      <c r="Q2780" t="s">
        <v>28</v>
      </c>
      <c r="R2780" t="s">
        <v>29</v>
      </c>
      <c r="S2780" t="s">
        <v>30</v>
      </c>
      <c r="T2780">
        <v>52342867</v>
      </c>
      <c r="U2780" t="s">
        <v>3965</v>
      </c>
      <c r="V2780" t="s">
        <v>3934</v>
      </c>
      <c r="W2780" s="9">
        <f>IF(V2780="pregrado",31,
IF(V2780="posgrados",31,
IF(V2780="rEINTEGROS",7,
IF(V2780="BIT",90,
IF(V2780="OP GRADO - INGLÉS",17,"")))))</f>
        <v>31</v>
      </c>
      <c r="X2780" t="s">
        <v>4047</v>
      </c>
    </row>
    <row r="2781" spans="1:24" ht="15" x14ac:dyDescent="0.35">
      <c r="A2781" s="4">
        <v>46013.721354166664</v>
      </c>
      <c r="B2781">
        <v>20109281</v>
      </c>
      <c r="C2781" s="6" t="s">
        <v>19</v>
      </c>
      <c r="D2781">
        <v>592554</v>
      </c>
      <c r="E2781" t="s">
        <v>20</v>
      </c>
      <c r="F2781">
        <v>97472716</v>
      </c>
      <c r="G2781" t="s">
        <v>1242</v>
      </c>
      <c r="H2781">
        <v>100068810</v>
      </c>
      <c r="I2781">
        <v>202631</v>
      </c>
      <c r="J2781">
        <v>97472716</v>
      </c>
      <c r="K2781" t="s">
        <v>33</v>
      </c>
      <c r="L2781" t="s">
        <v>119</v>
      </c>
      <c r="M2781" t="s">
        <v>24</v>
      </c>
      <c r="N2781" t="s">
        <v>35</v>
      </c>
      <c r="O2781" t="s">
        <v>26</v>
      </c>
      <c r="P2781" t="s">
        <v>27</v>
      </c>
      <c r="Q2781" t="s">
        <v>28</v>
      </c>
      <c r="R2781" t="s">
        <v>29</v>
      </c>
      <c r="S2781" t="s">
        <v>30</v>
      </c>
      <c r="T2781">
        <v>1023974716</v>
      </c>
      <c r="U2781" t="s">
        <v>3963</v>
      </c>
      <c r="V2781" t="s">
        <v>3934</v>
      </c>
      <c r="W2781" s="9">
        <f>IF(V2781="pregrado",31,
IF(V2781="posgrados",31,
IF(V2781="rEINTEGROS",7,
IF(V2781="BIT",90,
IF(V2781="OP GRADO - INGLÉS",17,"")))))</f>
        <v>31</v>
      </c>
      <c r="X2781" t="s">
        <v>4016</v>
      </c>
    </row>
    <row r="2782" spans="1:24" ht="15" x14ac:dyDescent="0.35">
      <c r="A2782" s="4">
        <v>46037.403969907406</v>
      </c>
      <c r="B2782">
        <v>20113444</v>
      </c>
      <c r="C2782" s="6" t="s">
        <v>19</v>
      </c>
      <c r="D2782">
        <v>592584</v>
      </c>
      <c r="E2782" t="s">
        <v>20</v>
      </c>
      <c r="F2782">
        <v>1068813734</v>
      </c>
      <c r="G2782" t="s">
        <v>1812</v>
      </c>
      <c r="H2782">
        <v>100187759</v>
      </c>
      <c r="I2782">
        <v>202631</v>
      </c>
      <c r="J2782">
        <v>1068810506</v>
      </c>
      <c r="K2782" t="s">
        <v>23</v>
      </c>
      <c r="L2782" t="s">
        <v>240</v>
      </c>
      <c r="M2782" t="s">
        <v>24</v>
      </c>
      <c r="N2782" t="s">
        <v>35</v>
      </c>
      <c r="O2782" t="s">
        <v>26</v>
      </c>
      <c r="P2782" t="s">
        <v>27</v>
      </c>
      <c r="Q2782" t="s">
        <v>28</v>
      </c>
      <c r="R2782" t="s">
        <v>29</v>
      </c>
      <c r="S2782" t="s">
        <v>30</v>
      </c>
      <c r="T2782">
        <v>10006855461</v>
      </c>
      <c r="U2782" t="s">
        <v>3965</v>
      </c>
      <c r="V2782" t="s">
        <v>3934</v>
      </c>
      <c r="W2782" s="9">
        <f>IF(V2782="pregrado",31,
IF(V2782="posgrados",31,
IF(V2782="rEINTEGROS",7,
IF(V2782="BIT",90,
IF(V2782="OP GRADO - INGLÉS",17,"")))))</f>
        <v>31</v>
      </c>
      <c r="X2782" t="s">
        <v>3993</v>
      </c>
    </row>
    <row r="2783" spans="1:24" ht="15" x14ac:dyDescent="0.35">
      <c r="A2783" s="4">
        <v>46038.480486111112</v>
      </c>
      <c r="B2783">
        <v>20114170</v>
      </c>
      <c r="C2783" s="6" t="s">
        <v>19</v>
      </c>
      <c r="D2783">
        <v>592596</v>
      </c>
      <c r="E2783" t="s">
        <v>20</v>
      </c>
      <c r="F2783">
        <v>1070018289</v>
      </c>
      <c r="G2783" t="s">
        <v>1892</v>
      </c>
      <c r="H2783">
        <v>100201972</v>
      </c>
      <c r="I2783">
        <v>202631</v>
      </c>
      <c r="J2783">
        <v>35197247</v>
      </c>
      <c r="K2783" t="s">
        <v>23</v>
      </c>
      <c r="L2783" t="s">
        <v>240</v>
      </c>
      <c r="M2783" t="s">
        <v>24</v>
      </c>
      <c r="N2783" t="s">
        <v>35</v>
      </c>
      <c r="O2783" t="s">
        <v>26</v>
      </c>
      <c r="P2783" t="s">
        <v>27</v>
      </c>
      <c r="Q2783" t="s">
        <v>28</v>
      </c>
      <c r="R2783" t="s">
        <v>29</v>
      </c>
      <c r="S2783" t="s">
        <v>30</v>
      </c>
      <c r="T2783">
        <v>1007709034</v>
      </c>
      <c r="U2783" t="s">
        <v>3965</v>
      </c>
      <c r="V2783" t="s">
        <v>3934</v>
      </c>
      <c r="W2783" s="9">
        <f>IF(V2783="pregrado",31,
IF(V2783="posgrados",31,
IF(V2783="rEINTEGROS",7,
IF(V2783="BIT",90,
IF(V2783="OP GRADO - INGLÉS",17,"")))))</f>
        <v>31</v>
      </c>
      <c r="X2783" t="s">
        <v>3964</v>
      </c>
    </row>
    <row r="2784" spans="1:24" ht="15" x14ac:dyDescent="0.35">
      <c r="A2784" s="4">
        <v>46038.547534722224</v>
      </c>
      <c r="B2784">
        <v>20114276</v>
      </c>
      <c r="C2784" s="6" t="s">
        <v>19</v>
      </c>
      <c r="D2784">
        <v>592611</v>
      </c>
      <c r="E2784" t="s">
        <v>20</v>
      </c>
      <c r="F2784">
        <v>1143428722</v>
      </c>
      <c r="G2784" t="s">
        <v>1902</v>
      </c>
      <c r="H2784">
        <v>100219847</v>
      </c>
      <c r="I2784">
        <v>202631</v>
      </c>
      <c r="J2784">
        <v>1143428722</v>
      </c>
      <c r="K2784" t="s">
        <v>33</v>
      </c>
      <c r="L2784" t="s">
        <v>32</v>
      </c>
      <c r="M2784" t="s">
        <v>24</v>
      </c>
      <c r="N2784" t="s">
        <v>25</v>
      </c>
      <c r="O2784" t="s">
        <v>26</v>
      </c>
      <c r="P2784" t="s">
        <v>27</v>
      </c>
      <c r="Q2784" t="s">
        <v>28</v>
      </c>
      <c r="R2784" t="s">
        <v>29</v>
      </c>
      <c r="S2784" t="s">
        <v>30</v>
      </c>
      <c r="T2784">
        <v>1000183349</v>
      </c>
      <c r="U2784" t="s">
        <v>3939</v>
      </c>
      <c r="V2784" t="s">
        <v>3934</v>
      </c>
      <c r="W2784" s="9">
        <f>IF(V2784="pregrado",31,
IF(V2784="posgrados",31,
IF(V2784="rEINTEGROS",7,
IF(V2784="BIT",90,
IF(V2784="OP GRADO - INGLÉS",17,"")))))</f>
        <v>31</v>
      </c>
      <c r="X2784" t="s">
        <v>4083</v>
      </c>
    </row>
    <row r="2785" spans="1:24" ht="15" x14ac:dyDescent="0.35">
      <c r="A2785" s="4">
        <v>46044.431145833332</v>
      </c>
      <c r="B2785">
        <v>20116047</v>
      </c>
      <c r="C2785" s="6" t="s">
        <v>19</v>
      </c>
      <c r="D2785">
        <v>592655</v>
      </c>
      <c r="E2785" t="s">
        <v>20</v>
      </c>
      <c r="F2785">
        <v>49553918</v>
      </c>
      <c r="G2785" t="s">
        <v>2145</v>
      </c>
      <c r="H2785">
        <v>100230697</v>
      </c>
      <c r="I2785">
        <v>202631</v>
      </c>
      <c r="J2785">
        <v>1066095100</v>
      </c>
      <c r="K2785" t="s">
        <v>33</v>
      </c>
      <c r="L2785" t="s">
        <v>42</v>
      </c>
      <c r="M2785" t="s">
        <v>24</v>
      </c>
      <c r="N2785" t="s">
        <v>35</v>
      </c>
      <c r="O2785" t="s">
        <v>26</v>
      </c>
      <c r="P2785" t="s">
        <v>27</v>
      </c>
      <c r="Q2785" t="s">
        <v>28</v>
      </c>
      <c r="R2785" t="s">
        <v>29</v>
      </c>
      <c r="S2785" t="s">
        <v>30</v>
      </c>
      <c r="T2785">
        <v>1000349074</v>
      </c>
      <c r="U2785" t="s">
        <v>3944</v>
      </c>
      <c r="V2785" t="s">
        <v>3934</v>
      </c>
      <c r="W2785" s="9">
        <f>IF(V2785="pregrado",31,
IF(V2785="posgrados",31,
IF(V2785="rEINTEGROS",7,
IF(V2785="BIT",90,
IF(V2785="OP GRADO - INGLÉS",17,"")))))</f>
        <v>31</v>
      </c>
      <c r="X2785" t="s">
        <v>4036</v>
      </c>
    </row>
    <row r="2786" spans="1:24" ht="15" x14ac:dyDescent="0.35">
      <c r="A2786" s="4">
        <v>46042.480011574073</v>
      </c>
      <c r="B2786">
        <v>20115246</v>
      </c>
      <c r="C2786" s="6" t="s">
        <v>19</v>
      </c>
      <c r="D2786">
        <v>592755</v>
      </c>
      <c r="E2786" t="s">
        <v>20</v>
      </c>
      <c r="F2786">
        <v>1001078230</v>
      </c>
      <c r="G2786" t="s">
        <v>2012</v>
      </c>
      <c r="H2786">
        <v>100234547</v>
      </c>
      <c r="I2786">
        <v>202631</v>
      </c>
      <c r="J2786">
        <v>1001078230</v>
      </c>
      <c r="K2786" t="s">
        <v>33</v>
      </c>
      <c r="L2786" t="s">
        <v>231</v>
      </c>
      <c r="M2786" t="s">
        <v>24</v>
      </c>
      <c r="N2786" t="s">
        <v>38</v>
      </c>
      <c r="O2786" t="s">
        <v>26</v>
      </c>
      <c r="P2786" t="s">
        <v>27</v>
      </c>
      <c r="Q2786" t="s">
        <v>28</v>
      </c>
      <c r="R2786" t="s">
        <v>29</v>
      </c>
      <c r="S2786" t="s">
        <v>30</v>
      </c>
      <c r="T2786">
        <v>1023000938</v>
      </c>
      <c r="U2786" t="s">
        <v>3941</v>
      </c>
      <c r="V2786" t="s">
        <v>3934</v>
      </c>
      <c r="W2786" s="9">
        <f>IF(V2786="pregrado",31,
IF(V2786="posgrados",31,
IF(V2786="rEINTEGROS",7,
IF(V2786="BIT",90,
IF(V2786="OP GRADO - INGLÉS",17,"")))))</f>
        <v>31</v>
      </c>
      <c r="X2786" t="s">
        <v>3989</v>
      </c>
    </row>
    <row r="2787" spans="1:24" ht="15" x14ac:dyDescent="0.35">
      <c r="A2787" s="4">
        <v>46022.365416666667</v>
      </c>
      <c r="B2787">
        <v>20110555</v>
      </c>
      <c r="C2787" s="6" t="s">
        <v>19</v>
      </c>
      <c r="D2787">
        <v>592821</v>
      </c>
      <c r="E2787" t="s">
        <v>20</v>
      </c>
      <c r="F2787">
        <v>1019052659</v>
      </c>
      <c r="G2787" t="s">
        <v>1434</v>
      </c>
      <c r="H2787">
        <v>100235610</v>
      </c>
      <c r="I2787">
        <v>202631</v>
      </c>
      <c r="J2787">
        <v>1019117503</v>
      </c>
      <c r="K2787" t="s">
        <v>23</v>
      </c>
      <c r="L2787" t="s">
        <v>231</v>
      </c>
      <c r="M2787" t="s">
        <v>24</v>
      </c>
      <c r="N2787" t="s">
        <v>38</v>
      </c>
      <c r="O2787" t="s">
        <v>26</v>
      </c>
      <c r="P2787" t="s">
        <v>27</v>
      </c>
      <c r="Q2787" t="s">
        <v>28</v>
      </c>
      <c r="R2787" t="s">
        <v>29</v>
      </c>
      <c r="S2787" t="s">
        <v>30</v>
      </c>
      <c r="T2787">
        <v>1024572316</v>
      </c>
      <c r="U2787" t="s">
        <v>3941</v>
      </c>
      <c r="V2787" t="s">
        <v>3934</v>
      </c>
      <c r="W2787" s="9">
        <f>IF(V2787="pregrado",31,
IF(V2787="posgrados",31,
IF(V2787="rEINTEGROS",7,
IF(V2787="BIT",90,
IF(V2787="OP GRADO - INGLÉS",17,"")))))</f>
        <v>31</v>
      </c>
      <c r="X2787" t="s">
        <v>4000</v>
      </c>
    </row>
    <row r="2788" spans="1:24" ht="15" x14ac:dyDescent="0.35">
      <c r="A2788" s="4">
        <v>46008.429016203707</v>
      </c>
      <c r="B2788">
        <v>20108120</v>
      </c>
      <c r="C2788" s="6" t="s">
        <v>19</v>
      </c>
      <c r="D2788">
        <v>592887</v>
      </c>
      <c r="E2788" t="s">
        <v>20</v>
      </c>
      <c r="F2788">
        <v>59665612</v>
      </c>
      <c r="G2788" t="s">
        <v>1071</v>
      </c>
      <c r="H2788">
        <v>100236759</v>
      </c>
      <c r="I2788">
        <v>202611</v>
      </c>
      <c r="J2788">
        <v>1087125987</v>
      </c>
      <c r="K2788" t="s">
        <v>23</v>
      </c>
      <c r="L2788" t="s">
        <v>204</v>
      </c>
      <c r="M2788" t="s">
        <v>24</v>
      </c>
      <c r="N2788" t="s">
        <v>35</v>
      </c>
      <c r="O2788" t="s">
        <v>26</v>
      </c>
      <c r="P2788" t="s">
        <v>27</v>
      </c>
      <c r="Q2788" t="s">
        <v>28</v>
      </c>
      <c r="R2788" t="s">
        <v>29</v>
      </c>
      <c r="S2788" t="s">
        <v>30</v>
      </c>
      <c r="T2788">
        <v>1015407851</v>
      </c>
      <c r="U2788" t="s">
        <v>3944</v>
      </c>
      <c r="V2788" t="s">
        <v>3934</v>
      </c>
      <c r="W2788" s="9">
        <f>IF(V2788="pregrado",31,
IF(V2788="posgrados",31,
IF(V2788="rEINTEGROS",7,
IF(V2788="BIT",90,
IF(V2788="OP GRADO - INGLÉS",17,"")))))</f>
        <v>31</v>
      </c>
      <c r="X2788" t="s">
        <v>4102</v>
      </c>
    </row>
    <row r="2789" spans="1:24" ht="15" x14ac:dyDescent="0.35">
      <c r="A2789" s="4">
        <v>46044.380243055559</v>
      </c>
      <c r="B2789">
        <v>20116006</v>
      </c>
      <c r="C2789" s="6" t="s">
        <v>19</v>
      </c>
      <c r="D2789">
        <v>592906</v>
      </c>
      <c r="E2789" t="s">
        <v>20</v>
      </c>
      <c r="F2789">
        <v>1074811140</v>
      </c>
      <c r="G2789" t="s">
        <v>2132</v>
      </c>
      <c r="H2789">
        <v>100237262</v>
      </c>
      <c r="I2789">
        <v>202610</v>
      </c>
      <c r="J2789">
        <v>1074811140</v>
      </c>
      <c r="K2789" t="s">
        <v>23</v>
      </c>
      <c r="L2789" t="s">
        <v>40</v>
      </c>
      <c r="M2789" t="s">
        <v>24</v>
      </c>
      <c r="N2789" t="s">
        <v>35</v>
      </c>
      <c r="O2789" t="s">
        <v>26</v>
      </c>
      <c r="P2789" t="s">
        <v>27</v>
      </c>
      <c r="Q2789" t="s">
        <v>28</v>
      </c>
      <c r="R2789" t="s">
        <v>29</v>
      </c>
      <c r="S2789" t="s">
        <v>30</v>
      </c>
      <c r="T2789">
        <v>1000578914</v>
      </c>
      <c r="U2789" t="s">
        <v>3941</v>
      </c>
      <c r="V2789" t="s">
        <v>3934</v>
      </c>
      <c r="W2789" s="9">
        <f>IF(V2789="pregrado",31,
IF(V2789="posgrados",31,
IF(V2789="rEINTEGROS",7,
IF(V2789="BIT",90,
IF(V2789="OP GRADO - INGLÉS",17,"")))))</f>
        <v>31</v>
      </c>
      <c r="X2789" t="s">
        <v>4060</v>
      </c>
    </row>
    <row r="2790" spans="1:24" ht="15" x14ac:dyDescent="0.35">
      <c r="A2790" s="4">
        <v>46009.51630787037</v>
      </c>
      <c r="B2790">
        <v>20108504</v>
      </c>
      <c r="C2790" s="6" t="s">
        <v>19</v>
      </c>
      <c r="D2790">
        <v>592917</v>
      </c>
      <c r="E2790" t="s">
        <v>20</v>
      </c>
      <c r="F2790">
        <v>1036336241</v>
      </c>
      <c r="G2790" t="s">
        <v>1129</v>
      </c>
      <c r="H2790">
        <v>100237499</v>
      </c>
      <c r="I2790">
        <v>202631</v>
      </c>
      <c r="J2790">
        <v>1036336737</v>
      </c>
      <c r="K2790" t="s">
        <v>33</v>
      </c>
      <c r="L2790" t="s">
        <v>119</v>
      </c>
      <c r="M2790" t="s">
        <v>24</v>
      </c>
      <c r="N2790" t="s">
        <v>35</v>
      </c>
      <c r="O2790" t="s">
        <v>26</v>
      </c>
      <c r="P2790" t="s">
        <v>27</v>
      </c>
      <c r="Q2790" t="s">
        <v>28</v>
      </c>
      <c r="R2790" t="s">
        <v>29</v>
      </c>
      <c r="S2790" t="s">
        <v>30</v>
      </c>
      <c r="T2790">
        <v>52446712</v>
      </c>
      <c r="U2790" t="s">
        <v>3963</v>
      </c>
      <c r="V2790" t="s">
        <v>3934</v>
      </c>
      <c r="W2790" s="9">
        <f>IF(V2790="pregrado",31,
IF(V2790="posgrados",31,
IF(V2790="rEINTEGROS",7,
IF(V2790="BIT",90,
IF(V2790="OP GRADO - INGLÉS",17,"")))))</f>
        <v>31</v>
      </c>
      <c r="X2790" t="s">
        <v>4041</v>
      </c>
    </row>
    <row r="2791" spans="1:24" ht="15" x14ac:dyDescent="0.35">
      <c r="A2791" s="4">
        <v>46010.533877314818</v>
      </c>
      <c r="B2791">
        <v>20108802</v>
      </c>
      <c r="C2791" s="6" t="s">
        <v>19</v>
      </c>
      <c r="D2791">
        <v>592922</v>
      </c>
      <c r="E2791" t="s">
        <v>20</v>
      </c>
      <c r="F2791">
        <v>1036682078</v>
      </c>
      <c r="G2791" t="s">
        <v>1186</v>
      </c>
      <c r="H2791">
        <v>100237707</v>
      </c>
      <c r="I2791">
        <v>202631</v>
      </c>
      <c r="J2791">
        <v>1036682078</v>
      </c>
      <c r="K2791" t="s">
        <v>33</v>
      </c>
      <c r="L2791" t="s">
        <v>207</v>
      </c>
      <c r="M2791" t="s">
        <v>24</v>
      </c>
      <c r="N2791" t="s">
        <v>35</v>
      </c>
      <c r="O2791" t="s">
        <v>26</v>
      </c>
      <c r="P2791" t="s">
        <v>27</v>
      </c>
      <c r="Q2791" t="s">
        <v>28</v>
      </c>
      <c r="R2791" t="s">
        <v>29</v>
      </c>
      <c r="S2791" t="s">
        <v>30</v>
      </c>
      <c r="T2791">
        <v>1018455773</v>
      </c>
      <c r="U2791" t="s">
        <v>3986</v>
      </c>
      <c r="V2791" t="s">
        <v>3934</v>
      </c>
      <c r="W2791" s="9">
        <f>IF(V2791="pregrado",31,
IF(V2791="posgrados",31,
IF(V2791="rEINTEGROS",7,
IF(V2791="BIT",90,
IF(V2791="OP GRADO - INGLÉS",17,"")))))</f>
        <v>31</v>
      </c>
      <c r="X2791" t="s">
        <v>4101</v>
      </c>
    </row>
    <row r="2792" spans="1:24" ht="15" x14ac:dyDescent="0.35">
      <c r="A2792" s="4">
        <v>46042.54178240741</v>
      </c>
      <c r="B2792">
        <v>20115291</v>
      </c>
      <c r="C2792" s="6" t="s">
        <v>19</v>
      </c>
      <c r="D2792">
        <v>592933</v>
      </c>
      <c r="E2792" t="s">
        <v>20</v>
      </c>
      <c r="F2792">
        <v>52204745</v>
      </c>
      <c r="G2792" t="s">
        <v>2020</v>
      </c>
      <c r="H2792">
        <v>100238048</v>
      </c>
      <c r="I2792">
        <v>202610</v>
      </c>
      <c r="J2792">
        <v>1022959872</v>
      </c>
      <c r="K2792" t="s">
        <v>23</v>
      </c>
      <c r="L2792" t="s">
        <v>40</v>
      </c>
      <c r="M2792" t="s">
        <v>24</v>
      </c>
      <c r="N2792" t="s">
        <v>35</v>
      </c>
      <c r="O2792" t="s">
        <v>26</v>
      </c>
      <c r="P2792" t="s">
        <v>27</v>
      </c>
      <c r="Q2792" t="s">
        <v>28</v>
      </c>
      <c r="R2792" t="s">
        <v>29</v>
      </c>
      <c r="S2792" t="s">
        <v>30</v>
      </c>
      <c r="T2792">
        <v>1023000938</v>
      </c>
      <c r="U2792" t="s">
        <v>3941</v>
      </c>
      <c r="V2792" t="s">
        <v>3934</v>
      </c>
      <c r="W2792" s="9">
        <f>IF(V2792="pregrado",31,
IF(V2792="posgrados",31,
IF(V2792="rEINTEGROS",7,
IF(V2792="BIT",90,
IF(V2792="OP GRADO - INGLÉS",17,"")))))</f>
        <v>31</v>
      </c>
      <c r="X2792" t="s">
        <v>3989</v>
      </c>
    </row>
    <row r="2793" spans="1:24" ht="15" x14ac:dyDescent="0.35">
      <c r="A2793" s="4">
        <v>46009.399293981478</v>
      </c>
      <c r="B2793">
        <v>20108414</v>
      </c>
      <c r="C2793" s="6" t="s">
        <v>19</v>
      </c>
      <c r="D2793">
        <v>592959</v>
      </c>
      <c r="E2793" t="s">
        <v>20</v>
      </c>
      <c r="F2793">
        <v>1098608853</v>
      </c>
      <c r="G2793" t="s">
        <v>1108</v>
      </c>
      <c r="H2793">
        <v>100238632</v>
      </c>
      <c r="I2793">
        <v>202631</v>
      </c>
      <c r="J2793">
        <v>1098651776</v>
      </c>
      <c r="K2793" t="s">
        <v>23</v>
      </c>
      <c r="L2793" t="s">
        <v>57</v>
      </c>
      <c r="M2793" t="s">
        <v>24</v>
      </c>
      <c r="N2793" t="s">
        <v>25</v>
      </c>
      <c r="O2793" t="s">
        <v>26</v>
      </c>
      <c r="P2793" t="s">
        <v>27</v>
      </c>
      <c r="Q2793" t="s">
        <v>28</v>
      </c>
      <c r="R2793" t="s">
        <v>29</v>
      </c>
      <c r="S2793" t="s">
        <v>30</v>
      </c>
      <c r="T2793">
        <v>1118531834</v>
      </c>
      <c r="U2793" t="s">
        <v>3941</v>
      </c>
      <c r="V2793" t="s">
        <v>3934</v>
      </c>
      <c r="W2793" s="9">
        <f>IF(V2793="pregrado",31,
IF(V2793="posgrados",31,
IF(V2793="rEINTEGROS",7,
IF(V2793="BIT",90,
IF(V2793="OP GRADO - INGLÉS",17,"")))))</f>
        <v>31</v>
      </c>
      <c r="X2793" t="s">
        <v>3996</v>
      </c>
    </row>
    <row r="2794" spans="1:24" ht="15" x14ac:dyDescent="0.35">
      <c r="A2794" s="4">
        <v>46017.711168981485</v>
      </c>
      <c r="B2794">
        <v>20109923</v>
      </c>
      <c r="C2794" s="6" t="s">
        <v>19</v>
      </c>
      <c r="D2794">
        <v>592966</v>
      </c>
      <c r="E2794" t="s">
        <v>20</v>
      </c>
      <c r="F2794">
        <v>1050672392</v>
      </c>
      <c r="G2794" t="s">
        <v>1340</v>
      </c>
      <c r="H2794">
        <v>100238664</v>
      </c>
      <c r="I2794">
        <v>202631</v>
      </c>
      <c r="J2794">
        <v>1053744176</v>
      </c>
      <c r="K2794" t="s">
        <v>23</v>
      </c>
      <c r="L2794" t="s">
        <v>231</v>
      </c>
      <c r="M2794" t="s">
        <v>24</v>
      </c>
      <c r="N2794" t="s">
        <v>35</v>
      </c>
      <c r="O2794" t="s">
        <v>26</v>
      </c>
      <c r="P2794" t="s">
        <v>27</v>
      </c>
      <c r="Q2794" t="s">
        <v>28</v>
      </c>
      <c r="R2794" t="s">
        <v>29</v>
      </c>
      <c r="S2794" t="s">
        <v>30</v>
      </c>
      <c r="T2794">
        <v>80021358</v>
      </c>
      <c r="U2794" t="s">
        <v>3986</v>
      </c>
      <c r="V2794" t="s">
        <v>3934</v>
      </c>
      <c r="W2794" s="9">
        <f>IF(V2794="pregrado",31,
IF(V2794="posgrados",31,
IF(V2794="rEINTEGROS",7,
IF(V2794="BIT",90,
IF(V2794="OP GRADO - INGLÉS",17,"")))))</f>
        <v>31</v>
      </c>
      <c r="X2794" t="s">
        <v>3995</v>
      </c>
    </row>
    <row r="2795" spans="1:24" ht="15" x14ac:dyDescent="0.35">
      <c r="A2795" s="4">
        <v>46007.669027777774</v>
      </c>
      <c r="B2795">
        <v>20107915</v>
      </c>
      <c r="C2795" s="6" t="s">
        <v>19</v>
      </c>
      <c r="D2795">
        <v>593006</v>
      </c>
      <c r="E2795" t="s">
        <v>20</v>
      </c>
      <c r="F2795">
        <v>36302693</v>
      </c>
      <c r="G2795" t="s">
        <v>1050</v>
      </c>
      <c r="H2795">
        <v>100238796</v>
      </c>
      <c r="I2795">
        <v>202611</v>
      </c>
      <c r="J2795">
        <v>1028860037</v>
      </c>
      <c r="K2795" t="s">
        <v>23</v>
      </c>
      <c r="L2795" t="s">
        <v>227</v>
      </c>
      <c r="M2795" t="s">
        <v>24</v>
      </c>
      <c r="N2795" t="s">
        <v>25</v>
      </c>
      <c r="O2795" t="s">
        <v>26</v>
      </c>
      <c r="P2795" t="s">
        <v>27</v>
      </c>
      <c r="Q2795" t="s">
        <v>28</v>
      </c>
      <c r="R2795" t="s">
        <v>29</v>
      </c>
      <c r="S2795" t="s">
        <v>30</v>
      </c>
      <c r="T2795">
        <v>1007709034</v>
      </c>
      <c r="U2795" t="s">
        <v>3965</v>
      </c>
      <c r="V2795" t="s">
        <v>3934</v>
      </c>
      <c r="W2795" s="9">
        <f>IF(V2795="pregrado",31,
IF(V2795="posgrados",31,
IF(V2795="rEINTEGROS",7,
IF(V2795="BIT",90,
IF(V2795="OP GRADO - INGLÉS",17,"")))))</f>
        <v>31</v>
      </c>
      <c r="X2795" t="s">
        <v>3964</v>
      </c>
    </row>
    <row r="2796" spans="1:24" ht="15" x14ac:dyDescent="0.35">
      <c r="A2796" s="4">
        <v>46008.539826388886</v>
      </c>
      <c r="B2796">
        <v>20108186</v>
      </c>
      <c r="C2796" s="6" t="s">
        <v>19</v>
      </c>
      <c r="D2796">
        <v>593012</v>
      </c>
      <c r="E2796" t="s">
        <v>20</v>
      </c>
      <c r="F2796">
        <v>1022326929</v>
      </c>
      <c r="G2796" t="s">
        <v>1082</v>
      </c>
      <c r="H2796">
        <v>100238803</v>
      </c>
      <c r="I2796">
        <v>202631</v>
      </c>
      <c r="J2796">
        <v>1022326929</v>
      </c>
      <c r="K2796" t="s">
        <v>23</v>
      </c>
      <c r="L2796" t="s">
        <v>90</v>
      </c>
      <c r="M2796" t="s">
        <v>24</v>
      </c>
      <c r="N2796" t="s">
        <v>38</v>
      </c>
      <c r="O2796" t="s">
        <v>26</v>
      </c>
      <c r="P2796" t="s">
        <v>27</v>
      </c>
      <c r="Q2796" t="s">
        <v>28</v>
      </c>
      <c r="R2796" t="s">
        <v>29</v>
      </c>
      <c r="S2796" t="s">
        <v>30</v>
      </c>
      <c r="T2796">
        <v>1007473661</v>
      </c>
      <c r="U2796" t="s">
        <v>3933</v>
      </c>
      <c r="V2796" t="s">
        <v>3934</v>
      </c>
      <c r="W2796" s="9">
        <f>IF(V2796="pregrado",31,
IF(V2796="posgrados",31,
IF(V2796="rEINTEGROS",7,
IF(V2796="BIT",90,
IF(V2796="OP GRADO - INGLÉS",17,"")))))</f>
        <v>31</v>
      </c>
      <c r="X2796" t="s">
        <v>4058</v>
      </c>
    </row>
    <row r="2797" spans="1:24" ht="15" x14ac:dyDescent="0.35">
      <c r="A2797" s="4">
        <v>46006.512662037036</v>
      </c>
      <c r="B2797">
        <v>20107311</v>
      </c>
      <c r="C2797" s="6" t="s">
        <v>19</v>
      </c>
      <c r="D2797">
        <v>593018</v>
      </c>
      <c r="E2797" t="s">
        <v>20</v>
      </c>
      <c r="F2797">
        <v>1028862280</v>
      </c>
      <c r="G2797" t="s">
        <v>999</v>
      </c>
      <c r="H2797">
        <v>100238806</v>
      </c>
      <c r="I2797">
        <v>202631</v>
      </c>
      <c r="J2797">
        <v>1028862280</v>
      </c>
      <c r="K2797" t="s">
        <v>33</v>
      </c>
      <c r="L2797" t="s">
        <v>231</v>
      </c>
      <c r="M2797" t="s">
        <v>24</v>
      </c>
      <c r="N2797" t="s">
        <v>25</v>
      </c>
      <c r="O2797" t="s">
        <v>26</v>
      </c>
      <c r="P2797" t="s">
        <v>27</v>
      </c>
      <c r="Q2797" t="s">
        <v>28</v>
      </c>
      <c r="R2797" t="s">
        <v>29</v>
      </c>
      <c r="S2797" t="s">
        <v>30</v>
      </c>
      <c r="T2797">
        <v>1022392610</v>
      </c>
      <c r="U2797" t="s">
        <v>3941</v>
      </c>
      <c r="V2797" t="s">
        <v>3934</v>
      </c>
      <c r="W2797" s="9">
        <f>IF(V2797="pregrado",31,
IF(V2797="posgrados",31,
IF(V2797="rEINTEGROS",7,
IF(V2797="BIT",90,
IF(V2797="OP GRADO - INGLÉS",17,"")))))</f>
        <v>31</v>
      </c>
      <c r="X2797" t="s">
        <v>4028</v>
      </c>
    </row>
    <row r="2798" spans="1:24" ht="15" x14ac:dyDescent="0.35">
      <c r="A2798" s="4">
        <v>46009.775520833333</v>
      </c>
      <c r="B2798">
        <v>20108649</v>
      </c>
      <c r="C2798" s="6" t="s">
        <v>19</v>
      </c>
      <c r="D2798">
        <v>593028</v>
      </c>
      <c r="E2798" t="s">
        <v>20</v>
      </c>
      <c r="F2798">
        <v>1010238224</v>
      </c>
      <c r="G2798" t="s">
        <v>1164</v>
      </c>
      <c r="H2798">
        <v>100235886</v>
      </c>
      <c r="I2798">
        <v>202631</v>
      </c>
      <c r="J2798">
        <v>1010238224</v>
      </c>
      <c r="K2798" t="s">
        <v>33</v>
      </c>
      <c r="L2798" t="s">
        <v>207</v>
      </c>
      <c r="M2798" t="s">
        <v>24</v>
      </c>
      <c r="N2798" t="s">
        <v>35</v>
      </c>
      <c r="O2798" t="s">
        <v>26</v>
      </c>
      <c r="P2798" t="s">
        <v>27</v>
      </c>
      <c r="Q2798" t="s">
        <v>28</v>
      </c>
      <c r="R2798" t="s">
        <v>29</v>
      </c>
      <c r="S2798" t="s">
        <v>30</v>
      </c>
      <c r="T2798">
        <v>1002500634</v>
      </c>
      <c r="U2798" t="s">
        <v>3986</v>
      </c>
      <c r="V2798" t="s">
        <v>3934</v>
      </c>
      <c r="W2798" s="9">
        <f>IF(V2798="pregrado",31,
IF(V2798="posgrados",31,
IF(V2798="rEINTEGROS",7,
IF(V2798="BIT",90,
IF(V2798="OP GRADO - INGLÉS",17,"")))))</f>
        <v>31</v>
      </c>
      <c r="X2798" t="s">
        <v>4026</v>
      </c>
    </row>
    <row r="2799" spans="1:24" ht="15" x14ac:dyDescent="0.35">
      <c r="A2799" s="4">
        <v>46020.752476851849</v>
      </c>
      <c r="B2799">
        <v>20110205</v>
      </c>
      <c r="C2799" s="6" t="s">
        <v>19</v>
      </c>
      <c r="D2799">
        <v>593036</v>
      </c>
      <c r="E2799" t="s">
        <v>20</v>
      </c>
      <c r="F2799">
        <v>1001051084</v>
      </c>
      <c r="G2799" t="s">
        <v>1382</v>
      </c>
      <c r="H2799">
        <v>100237975</v>
      </c>
      <c r="I2799">
        <v>202631</v>
      </c>
      <c r="J2799">
        <v>1001051084</v>
      </c>
      <c r="K2799" t="s">
        <v>83</v>
      </c>
      <c r="L2799" t="s">
        <v>207</v>
      </c>
      <c r="M2799" t="s">
        <v>24</v>
      </c>
      <c r="N2799" t="s">
        <v>35</v>
      </c>
      <c r="O2799" t="s">
        <v>26</v>
      </c>
      <c r="P2799" t="s">
        <v>27</v>
      </c>
      <c r="Q2799" t="s">
        <v>28</v>
      </c>
      <c r="R2799" t="s">
        <v>29</v>
      </c>
      <c r="S2799" t="s">
        <v>30</v>
      </c>
      <c r="T2799">
        <v>1000777598</v>
      </c>
      <c r="U2799" t="s">
        <v>3986</v>
      </c>
      <c r="V2799" t="s">
        <v>3934</v>
      </c>
      <c r="W2799" s="9">
        <f>IF(V2799="pregrado",31,
IF(V2799="posgrados",31,
IF(V2799="rEINTEGROS",7,
IF(V2799="BIT",90,
IF(V2799="OP GRADO - INGLÉS",17,"")))))</f>
        <v>31</v>
      </c>
      <c r="X2799" t="s">
        <v>4103</v>
      </c>
    </row>
    <row r="2800" spans="1:24" ht="15" x14ac:dyDescent="0.35">
      <c r="A2800" s="4">
        <v>46070.640439814815</v>
      </c>
      <c r="B2800">
        <v>20124167</v>
      </c>
      <c r="C2800" s="6" t="s">
        <v>19</v>
      </c>
      <c r="D2800">
        <v>593039</v>
      </c>
      <c r="E2800" t="s">
        <v>20</v>
      </c>
      <c r="F2800">
        <v>1039100499</v>
      </c>
      <c r="G2800" t="s">
        <v>3307</v>
      </c>
      <c r="H2800">
        <v>100238825</v>
      </c>
      <c r="I2800">
        <v>202631</v>
      </c>
      <c r="J2800">
        <v>1039100499</v>
      </c>
      <c r="K2800" t="s">
        <v>23</v>
      </c>
      <c r="L2800" t="s">
        <v>240</v>
      </c>
      <c r="M2800" t="s">
        <v>24</v>
      </c>
      <c r="N2800" t="s">
        <v>35</v>
      </c>
      <c r="O2800" t="s">
        <v>26</v>
      </c>
      <c r="P2800" t="s">
        <v>27</v>
      </c>
      <c r="Q2800" t="s">
        <v>28</v>
      </c>
      <c r="R2800" t="s">
        <v>29</v>
      </c>
      <c r="S2800" t="s">
        <v>30</v>
      </c>
      <c r="T2800">
        <v>1026298522</v>
      </c>
      <c r="U2800" t="s">
        <v>3965</v>
      </c>
      <c r="V2800" t="s">
        <v>3934</v>
      </c>
      <c r="W2800" s="9">
        <f>IF(V2800="pregrado",31,
IF(V2800="posgrados",31,
IF(V2800="rEINTEGROS",7,
IF(V2800="BIT",90,
IF(V2800="OP GRADO - INGLÉS",17,"")))))</f>
        <v>31</v>
      </c>
      <c r="X2800" t="s">
        <v>4040</v>
      </c>
    </row>
    <row r="2801" spans="1:24" ht="15" x14ac:dyDescent="0.35">
      <c r="A2801" s="4">
        <v>46006.514733796299</v>
      </c>
      <c r="B2801">
        <v>20107313</v>
      </c>
      <c r="C2801" s="6" t="s">
        <v>19</v>
      </c>
      <c r="D2801">
        <v>593062</v>
      </c>
      <c r="E2801" t="s">
        <v>20</v>
      </c>
      <c r="F2801">
        <v>40027985</v>
      </c>
      <c r="G2801" t="s">
        <v>1000</v>
      </c>
      <c r="H2801">
        <v>100237777</v>
      </c>
      <c r="I2801">
        <v>202641</v>
      </c>
      <c r="J2801">
        <v>40027985</v>
      </c>
      <c r="K2801" t="s">
        <v>23</v>
      </c>
      <c r="L2801" t="s">
        <v>294</v>
      </c>
      <c r="M2801" t="s">
        <v>47</v>
      </c>
      <c r="N2801" t="s">
        <v>35</v>
      </c>
      <c r="O2801" t="s">
        <v>26</v>
      </c>
      <c r="P2801" t="s">
        <v>27</v>
      </c>
      <c r="Q2801" t="s">
        <v>28</v>
      </c>
      <c r="R2801" t="s">
        <v>29</v>
      </c>
      <c r="S2801" t="s">
        <v>30</v>
      </c>
      <c r="T2801">
        <v>1015401969</v>
      </c>
      <c r="U2801" t="s">
        <v>3936</v>
      </c>
      <c r="V2801" t="s">
        <v>3937</v>
      </c>
      <c r="W2801" s="9">
        <f>IF(V2801="pregrado",31,
IF(V2801="posgrados",31,
IF(V2801="rEINTEGROS",7,
IF(V2801="BIT",90,
IF(V2801="OP GRADO - INGLÉS",17,"")))))</f>
        <v>31</v>
      </c>
      <c r="X2801" t="s">
        <v>3945</v>
      </c>
    </row>
    <row r="2802" spans="1:24" ht="15" x14ac:dyDescent="0.35">
      <c r="A2802" s="4">
        <v>46007.549583333333</v>
      </c>
      <c r="B2802">
        <v>20107844</v>
      </c>
      <c r="C2802" s="6" t="s">
        <v>19</v>
      </c>
      <c r="D2802">
        <v>593065</v>
      </c>
      <c r="E2802" t="s">
        <v>20</v>
      </c>
      <c r="F2802">
        <v>1110042896</v>
      </c>
      <c r="G2802" t="s">
        <v>1043</v>
      </c>
      <c r="H2802">
        <v>100238849</v>
      </c>
      <c r="I2802">
        <v>202631</v>
      </c>
      <c r="J2802">
        <v>1110042896</v>
      </c>
      <c r="K2802" t="s">
        <v>23</v>
      </c>
      <c r="L2802" t="s">
        <v>207</v>
      </c>
      <c r="M2802" t="s">
        <v>24</v>
      </c>
      <c r="N2802" t="s">
        <v>35</v>
      </c>
      <c r="O2802" t="s">
        <v>26</v>
      </c>
      <c r="P2802" t="s">
        <v>27</v>
      </c>
      <c r="Q2802" t="s">
        <v>28</v>
      </c>
      <c r="R2802" t="s">
        <v>29</v>
      </c>
      <c r="S2802" t="s">
        <v>30</v>
      </c>
      <c r="T2802">
        <v>1006505929</v>
      </c>
      <c r="U2802" t="s">
        <v>3986</v>
      </c>
      <c r="V2802" t="s">
        <v>3934</v>
      </c>
      <c r="W2802" s="9">
        <f>IF(V2802="pregrado",31,
IF(V2802="posgrados",31,
IF(V2802="rEINTEGROS",7,
IF(V2802="BIT",90,
IF(V2802="OP GRADO - INGLÉS",17,"")))))</f>
        <v>31</v>
      </c>
      <c r="X2802" t="s">
        <v>4013</v>
      </c>
    </row>
    <row r="2803" spans="1:24" ht="15" x14ac:dyDescent="0.35">
      <c r="A2803" s="4">
        <v>46009.551793981482</v>
      </c>
      <c r="B2803">
        <v>20108533</v>
      </c>
      <c r="C2803" s="6" t="s">
        <v>19</v>
      </c>
      <c r="D2803">
        <v>593068</v>
      </c>
      <c r="E2803" t="s">
        <v>20</v>
      </c>
      <c r="F2803">
        <v>34322196</v>
      </c>
      <c r="G2803" t="s">
        <v>1138</v>
      </c>
      <c r="H2803">
        <v>100238853</v>
      </c>
      <c r="I2803">
        <v>202631</v>
      </c>
      <c r="J2803">
        <v>1058546574</v>
      </c>
      <c r="K2803" t="s">
        <v>33</v>
      </c>
      <c r="L2803" t="s">
        <v>240</v>
      </c>
      <c r="M2803" t="s">
        <v>24</v>
      </c>
      <c r="N2803" t="s">
        <v>25</v>
      </c>
      <c r="O2803" t="s">
        <v>26</v>
      </c>
      <c r="P2803" t="s">
        <v>27</v>
      </c>
      <c r="Q2803" t="s">
        <v>28</v>
      </c>
      <c r="R2803" t="s">
        <v>29</v>
      </c>
      <c r="S2803" t="s">
        <v>30</v>
      </c>
      <c r="T2803">
        <v>53006215</v>
      </c>
      <c r="U2803" t="s">
        <v>3965</v>
      </c>
      <c r="V2803" t="s">
        <v>3934</v>
      </c>
      <c r="W2803" s="9">
        <f>IF(V2803="pregrado",31,
IF(V2803="posgrados",31,
IF(V2803="rEINTEGROS",7,
IF(V2803="BIT",90,
IF(V2803="OP GRADO - INGLÉS",17,"")))))</f>
        <v>31</v>
      </c>
      <c r="X2803" t="s">
        <v>4042</v>
      </c>
    </row>
    <row r="2804" spans="1:24" ht="15" x14ac:dyDescent="0.35">
      <c r="A2804" s="4">
        <v>46029.636203703703</v>
      </c>
      <c r="B2804">
        <v>20111513</v>
      </c>
      <c r="C2804" s="6" t="s">
        <v>19</v>
      </c>
      <c r="D2804">
        <v>593071</v>
      </c>
      <c r="E2804" t="s">
        <v>20</v>
      </c>
      <c r="F2804">
        <v>39151587</v>
      </c>
      <c r="G2804" t="s">
        <v>1563</v>
      </c>
      <c r="H2804">
        <v>100238854</v>
      </c>
      <c r="I2804">
        <v>202611</v>
      </c>
      <c r="J2804">
        <v>1123623795</v>
      </c>
      <c r="K2804" t="s">
        <v>23</v>
      </c>
      <c r="L2804" t="s">
        <v>221</v>
      </c>
      <c r="M2804" t="s">
        <v>24</v>
      </c>
      <c r="N2804" t="s">
        <v>25</v>
      </c>
      <c r="O2804" t="s">
        <v>26</v>
      </c>
      <c r="P2804" t="s">
        <v>27</v>
      </c>
      <c r="Q2804" t="s">
        <v>28</v>
      </c>
      <c r="R2804" t="s">
        <v>29</v>
      </c>
      <c r="S2804" t="s">
        <v>30</v>
      </c>
      <c r="T2804">
        <v>53006215</v>
      </c>
      <c r="U2804" t="s">
        <v>3965</v>
      </c>
      <c r="V2804" t="s">
        <v>3934</v>
      </c>
      <c r="W2804" s="9">
        <f>IF(V2804="pregrado",31,
IF(V2804="posgrados",31,
IF(V2804="rEINTEGROS",7,
IF(V2804="BIT",90,
IF(V2804="OP GRADO - INGLÉS",17,"")))))</f>
        <v>31</v>
      </c>
      <c r="X2804" t="s">
        <v>4042</v>
      </c>
    </row>
    <row r="2805" spans="1:24" ht="15" x14ac:dyDescent="0.35">
      <c r="A2805" s="4">
        <v>46006.679479166669</v>
      </c>
      <c r="B2805">
        <v>20107484</v>
      </c>
      <c r="C2805" s="6" t="s">
        <v>19</v>
      </c>
      <c r="D2805">
        <v>593077</v>
      </c>
      <c r="E2805" t="s">
        <v>20</v>
      </c>
      <c r="F2805">
        <v>1000493028</v>
      </c>
      <c r="G2805" t="s">
        <v>1016</v>
      </c>
      <c r="H2805">
        <v>100166241</v>
      </c>
      <c r="I2805">
        <v>202631</v>
      </c>
      <c r="J2805">
        <v>1000493028</v>
      </c>
      <c r="K2805" t="s">
        <v>33</v>
      </c>
      <c r="L2805" t="s">
        <v>90</v>
      </c>
      <c r="M2805" t="s">
        <v>24</v>
      </c>
      <c r="N2805" t="s">
        <v>38</v>
      </c>
      <c r="O2805" t="s">
        <v>26</v>
      </c>
      <c r="P2805" t="s">
        <v>27</v>
      </c>
      <c r="Q2805" t="s">
        <v>28</v>
      </c>
      <c r="R2805" t="s">
        <v>29</v>
      </c>
      <c r="S2805" t="s">
        <v>30</v>
      </c>
      <c r="T2805">
        <v>1023921046</v>
      </c>
      <c r="U2805" t="s">
        <v>3933</v>
      </c>
      <c r="V2805" t="s">
        <v>3934</v>
      </c>
      <c r="W2805" s="9">
        <f>IF(V2805="pregrado",31,
IF(V2805="posgrados",31,
IF(V2805="rEINTEGROS",7,
IF(V2805="BIT",90,
IF(V2805="OP GRADO - INGLÉS",17,"")))))</f>
        <v>31</v>
      </c>
      <c r="X2805" t="s">
        <v>4043</v>
      </c>
    </row>
    <row r="2806" spans="1:24" ht="15" x14ac:dyDescent="0.35">
      <c r="A2806" s="4">
        <v>46008.404675925929</v>
      </c>
      <c r="B2806">
        <v>20108102</v>
      </c>
      <c r="C2806" s="6" t="s">
        <v>19</v>
      </c>
      <c r="D2806">
        <v>593078</v>
      </c>
      <c r="E2806" t="s">
        <v>20</v>
      </c>
      <c r="F2806">
        <v>1090273978</v>
      </c>
      <c r="G2806" t="s">
        <v>1069</v>
      </c>
      <c r="H2806">
        <v>100238568</v>
      </c>
      <c r="I2806">
        <v>202631</v>
      </c>
      <c r="J2806">
        <v>1090273978</v>
      </c>
      <c r="K2806" t="s">
        <v>23</v>
      </c>
      <c r="L2806" t="s">
        <v>127</v>
      </c>
      <c r="M2806" t="s">
        <v>24</v>
      </c>
      <c r="N2806" t="s">
        <v>35</v>
      </c>
      <c r="O2806" t="s">
        <v>26</v>
      </c>
      <c r="P2806" t="s">
        <v>27</v>
      </c>
      <c r="Q2806" t="s">
        <v>28</v>
      </c>
      <c r="R2806" t="s">
        <v>29</v>
      </c>
      <c r="S2806" t="s">
        <v>30</v>
      </c>
      <c r="T2806">
        <v>1014273794</v>
      </c>
      <c r="U2806" t="s">
        <v>3939</v>
      </c>
      <c r="V2806" t="s">
        <v>3934</v>
      </c>
      <c r="W2806" s="9">
        <f>IF(V2806="pregrado",31,
IF(V2806="posgrados",31,
IF(V2806="rEINTEGROS",7,
IF(V2806="BIT",90,
IF(V2806="OP GRADO - INGLÉS",17,"")))))</f>
        <v>31</v>
      </c>
      <c r="X2806" t="s">
        <v>4004</v>
      </c>
    </row>
    <row r="2807" spans="1:24" ht="15" x14ac:dyDescent="0.35">
      <c r="A2807" s="4">
        <v>46007.476493055554</v>
      </c>
      <c r="B2807">
        <v>20107800</v>
      </c>
      <c r="C2807" s="6" t="s">
        <v>19</v>
      </c>
      <c r="D2807">
        <v>593079</v>
      </c>
      <c r="E2807" t="s">
        <v>20</v>
      </c>
      <c r="F2807">
        <v>1073709436</v>
      </c>
      <c r="G2807" t="s">
        <v>1038</v>
      </c>
      <c r="H2807">
        <v>200071878</v>
      </c>
      <c r="I2807">
        <v>202631</v>
      </c>
      <c r="J2807">
        <v>1073709436</v>
      </c>
      <c r="K2807" t="s">
        <v>23</v>
      </c>
      <c r="L2807" t="s">
        <v>119</v>
      </c>
      <c r="M2807" t="s">
        <v>24</v>
      </c>
      <c r="N2807" t="s">
        <v>35</v>
      </c>
      <c r="O2807" t="s">
        <v>26</v>
      </c>
      <c r="P2807" t="s">
        <v>27</v>
      </c>
      <c r="Q2807" t="s">
        <v>28</v>
      </c>
      <c r="R2807" t="s">
        <v>29</v>
      </c>
      <c r="S2807" t="s">
        <v>30</v>
      </c>
      <c r="T2807">
        <v>1023367706</v>
      </c>
      <c r="U2807" t="s">
        <v>3963</v>
      </c>
      <c r="V2807" t="s">
        <v>3934</v>
      </c>
      <c r="W2807" s="9">
        <f>IF(V2807="pregrado",31,
IF(V2807="posgrados",31,
IF(V2807="rEINTEGROS",7,
IF(V2807="BIT",90,
IF(V2807="OP GRADO - INGLÉS",17,"")))))</f>
        <v>31</v>
      </c>
      <c r="X2807" t="s">
        <v>4039</v>
      </c>
    </row>
    <row r="2808" spans="1:24" ht="15" x14ac:dyDescent="0.35">
      <c r="A2808" s="4">
        <v>46020.673750000002</v>
      </c>
      <c r="B2808">
        <v>20110161</v>
      </c>
      <c r="C2808" s="6" t="s">
        <v>19</v>
      </c>
      <c r="D2808">
        <v>593085</v>
      </c>
      <c r="E2808" t="s">
        <v>20</v>
      </c>
      <c r="F2808">
        <v>1000220238</v>
      </c>
      <c r="G2808" t="s">
        <v>1375</v>
      </c>
      <c r="H2808">
        <v>100238861</v>
      </c>
      <c r="I2808">
        <v>202611</v>
      </c>
      <c r="J2808">
        <v>1016052951</v>
      </c>
      <c r="K2808" t="s">
        <v>23</v>
      </c>
      <c r="L2808" t="s">
        <v>227</v>
      </c>
      <c r="M2808" t="s">
        <v>24</v>
      </c>
      <c r="N2808" t="s">
        <v>25</v>
      </c>
      <c r="O2808" t="s">
        <v>26</v>
      </c>
      <c r="P2808" t="s">
        <v>27</v>
      </c>
      <c r="Q2808" t="s">
        <v>28</v>
      </c>
      <c r="R2808" t="s">
        <v>29</v>
      </c>
      <c r="S2808" t="s">
        <v>30</v>
      </c>
      <c r="T2808">
        <v>10822473081</v>
      </c>
      <c r="U2808" t="s">
        <v>3965</v>
      </c>
      <c r="V2808" t="s">
        <v>3934</v>
      </c>
      <c r="W2808" s="9">
        <f>IF(V2808="pregrado",31,
IF(V2808="posgrados",31,
IF(V2808="rEINTEGROS",7,
IF(V2808="BIT",90,
IF(V2808="OP GRADO - INGLÉS",17,"")))))</f>
        <v>31</v>
      </c>
      <c r="X2808" t="s">
        <v>4007</v>
      </c>
    </row>
    <row r="2809" spans="1:24" ht="15" x14ac:dyDescent="0.35">
      <c r="A2809" s="4">
        <v>46007.721909722219</v>
      </c>
      <c r="B2809">
        <v>20107970</v>
      </c>
      <c r="C2809" s="6" t="s">
        <v>19</v>
      </c>
      <c r="D2809">
        <v>593095</v>
      </c>
      <c r="E2809" t="s">
        <v>20</v>
      </c>
      <c r="F2809">
        <v>91110967</v>
      </c>
      <c r="G2809" t="s">
        <v>1058</v>
      </c>
      <c r="H2809">
        <v>100238873</v>
      </c>
      <c r="I2809">
        <v>202611</v>
      </c>
      <c r="J2809">
        <v>1095910666</v>
      </c>
      <c r="K2809" t="s">
        <v>23</v>
      </c>
      <c r="L2809" t="s">
        <v>227</v>
      </c>
      <c r="M2809" t="s">
        <v>24</v>
      </c>
      <c r="N2809" t="s">
        <v>35</v>
      </c>
      <c r="O2809" t="s">
        <v>26</v>
      </c>
      <c r="P2809" t="s">
        <v>27</v>
      </c>
      <c r="Q2809" t="s">
        <v>28</v>
      </c>
      <c r="R2809" t="s">
        <v>29</v>
      </c>
      <c r="S2809" t="s">
        <v>30</v>
      </c>
      <c r="T2809">
        <v>1073692626</v>
      </c>
      <c r="U2809" t="s">
        <v>3965</v>
      </c>
      <c r="V2809" t="s">
        <v>3934</v>
      </c>
      <c r="W2809" s="9">
        <f>IF(V2809="pregrado",31,
IF(V2809="posgrados",31,
IF(V2809="rEINTEGROS",7,
IF(V2809="BIT",90,
IF(V2809="OP GRADO - INGLÉS",17,"")))))</f>
        <v>31</v>
      </c>
      <c r="X2809" t="s">
        <v>4014</v>
      </c>
    </row>
    <row r="2810" spans="1:24" ht="15" x14ac:dyDescent="0.35">
      <c r="A2810" s="4">
        <v>46007.478356481479</v>
      </c>
      <c r="B2810">
        <v>20107801</v>
      </c>
      <c r="C2810" s="6" t="s">
        <v>19</v>
      </c>
      <c r="D2810">
        <v>593109</v>
      </c>
      <c r="E2810" t="s">
        <v>20</v>
      </c>
      <c r="F2810">
        <v>1097184240</v>
      </c>
      <c r="G2810" t="s">
        <v>1039</v>
      </c>
      <c r="H2810">
        <v>100238884</v>
      </c>
      <c r="I2810">
        <v>202631</v>
      </c>
      <c r="J2810">
        <v>1097184240</v>
      </c>
      <c r="K2810" t="s">
        <v>33</v>
      </c>
      <c r="L2810" t="s">
        <v>101</v>
      </c>
      <c r="M2810" t="s">
        <v>24</v>
      </c>
      <c r="N2810" t="s">
        <v>35</v>
      </c>
      <c r="O2810" t="s">
        <v>26</v>
      </c>
      <c r="P2810" t="s">
        <v>27</v>
      </c>
      <c r="Q2810" t="s">
        <v>28</v>
      </c>
      <c r="R2810" t="s">
        <v>29</v>
      </c>
      <c r="S2810" t="s">
        <v>30</v>
      </c>
      <c r="T2810">
        <v>1000251314</v>
      </c>
      <c r="U2810" t="s">
        <v>3963</v>
      </c>
      <c r="V2810" t="s">
        <v>3934</v>
      </c>
      <c r="W2810" s="9">
        <f>IF(V2810="pregrado",31,
IF(V2810="posgrados",31,
IF(V2810="rEINTEGROS",7,
IF(V2810="BIT",90,
IF(V2810="OP GRADO - INGLÉS",17,"")))))</f>
        <v>31</v>
      </c>
      <c r="X2810" t="s">
        <v>4024</v>
      </c>
    </row>
    <row r="2811" spans="1:24" ht="15" x14ac:dyDescent="0.35">
      <c r="A2811" s="4">
        <v>46009.476597222223</v>
      </c>
      <c r="B2811">
        <v>20108476</v>
      </c>
      <c r="C2811" s="6" t="s">
        <v>19</v>
      </c>
      <c r="D2811">
        <v>593112</v>
      </c>
      <c r="E2811" t="s">
        <v>20</v>
      </c>
      <c r="F2811">
        <v>1022933263</v>
      </c>
      <c r="G2811" t="s">
        <v>1124</v>
      </c>
      <c r="H2811">
        <v>100238885</v>
      </c>
      <c r="I2811">
        <v>202631</v>
      </c>
      <c r="J2811">
        <v>1022933263</v>
      </c>
      <c r="K2811" t="s">
        <v>33</v>
      </c>
      <c r="L2811" t="s">
        <v>127</v>
      </c>
      <c r="M2811" t="s">
        <v>24</v>
      </c>
      <c r="N2811" t="s">
        <v>25</v>
      </c>
      <c r="O2811" t="s">
        <v>26</v>
      </c>
      <c r="P2811" t="s">
        <v>27</v>
      </c>
      <c r="Q2811" t="s">
        <v>28</v>
      </c>
      <c r="R2811" t="s">
        <v>29</v>
      </c>
      <c r="S2811" t="s">
        <v>30</v>
      </c>
      <c r="T2811">
        <v>1018496066</v>
      </c>
      <c r="U2811" t="s">
        <v>3939</v>
      </c>
      <c r="V2811" t="s">
        <v>3934</v>
      </c>
      <c r="W2811" s="9">
        <f>IF(V2811="pregrado",31,
IF(V2811="posgrados",31,
IF(V2811="rEINTEGROS",7,
IF(V2811="BIT",90,
IF(V2811="OP GRADO - INGLÉS",17,"")))))</f>
        <v>31</v>
      </c>
      <c r="X2811" t="s">
        <v>4006</v>
      </c>
    </row>
    <row r="2812" spans="1:24" ht="15" x14ac:dyDescent="0.35">
      <c r="A2812" s="4">
        <v>46007.463807870372</v>
      </c>
      <c r="B2812">
        <v>20107782</v>
      </c>
      <c r="C2812" s="6" t="s">
        <v>19</v>
      </c>
      <c r="D2812">
        <v>593114</v>
      </c>
      <c r="E2812" t="s">
        <v>20</v>
      </c>
      <c r="F2812">
        <v>1014286797</v>
      </c>
      <c r="G2812" t="s">
        <v>1035</v>
      </c>
      <c r="H2812">
        <v>100238644</v>
      </c>
      <c r="I2812">
        <v>202631</v>
      </c>
      <c r="J2812">
        <v>1014286797</v>
      </c>
      <c r="K2812" t="s">
        <v>33</v>
      </c>
      <c r="L2812" t="s">
        <v>51</v>
      </c>
      <c r="M2812" t="s">
        <v>24</v>
      </c>
      <c r="N2812" t="s">
        <v>25</v>
      </c>
      <c r="O2812" t="s">
        <v>26</v>
      </c>
      <c r="P2812" t="s">
        <v>27</v>
      </c>
      <c r="Q2812" t="s">
        <v>28</v>
      </c>
      <c r="R2812" t="s">
        <v>29</v>
      </c>
      <c r="S2812" t="s">
        <v>30</v>
      </c>
      <c r="T2812">
        <v>1070815435</v>
      </c>
      <c r="U2812" t="s">
        <v>3986</v>
      </c>
      <c r="V2812" t="s">
        <v>3934</v>
      </c>
      <c r="W2812" s="9">
        <f>IF(V2812="pregrado",31,
IF(V2812="posgrados",31,
IF(V2812="rEINTEGROS",7,
IF(V2812="BIT",90,
IF(V2812="OP GRADO - INGLÉS",17,"")))))</f>
        <v>31</v>
      </c>
      <c r="X2812" t="s">
        <v>4038</v>
      </c>
    </row>
    <row r="2813" spans="1:24" ht="15" x14ac:dyDescent="0.35">
      <c r="A2813" s="4">
        <v>46009.431018518517</v>
      </c>
      <c r="B2813">
        <v>20108439</v>
      </c>
      <c r="C2813" s="6" t="s">
        <v>19</v>
      </c>
      <c r="D2813">
        <v>593118</v>
      </c>
      <c r="E2813" t="s">
        <v>20</v>
      </c>
      <c r="F2813">
        <v>39555335</v>
      </c>
      <c r="G2813" t="s">
        <v>1113</v>
      </c>
      <c r="H2813">
        <v>100238897</v>
      </c>
      <c r="I2813">
        <v>202631</v>
      </c>
      <c r="J2813">
        <v>1030676207</v>
      </c>
      <c r="K2813" t="s">
        <v>23</v>
      </c>
      <c r="L2813" t="s">
        <v>42</v>
      </c>
      <c r="M2813" t="s">
        <v>24</v>
      </c>
      <c r="N2813" t="s">
        <v>35</v>
      </c>
      <c r="O2813" t="s">
        <v>26</v>
      </c>
      <c r="P2813" t="s">
        <v>27</v>
      </c>
      <c r="Q2813" t="s">
        <v>28</v>
      </c>
      <c r="R2813" t="s">
        <v>29</v>
      </c>
      <c r="S2813" t="s">
        <v>30</v>
      </c>
      <c r="T2813">
        <v>11001273124</v>
      </c>
      <c r="U2813" t="s">
        <v>3944</v>
      </c>
      <c r="V2813" t="s">
        <v>3934</v>
      </c>
      <c r="W2813" s="9">
        <f>IF(V2813="pregrado",31,
IF(V2813="posgrados",31,
IF(V2813="rEINTEGROS",7,
IF(V2813="BIT",90,
IF(V2813="OP GRADO - INGLÉS",17,"")))))</f>
        <v>31</v>
      </c>
      <c r="X2813" t="s">
        <v>3951</v>
      </c>
    </row>
    <row r="2814" spans="1:24" ht="15" x14ac:dyDescent="0.35">
      <c r="A2814" s="4">
        <v>46009.381076388891</v>
      </c>
      <c r="B2814">
        <v>20108401</v>
      </c>
      <c r="C2814" s="6" t="s">
        <v>19</v>
      </c>
      <c r="D2814">
        <v>593120</v>
      </c>
      <c r="E2814" t="s">
        <v>20</v>
      </c>
      <c r="F2814">
        <v>1000514143</v>
      </c>
      <c r="G2814" t="s">
        <v>1103</v>
      </c>
      <c r="H2814">
        <v>100238899</v>
      </c>
      <c r="I2814">
        <v>202611</v>
      </c>
      <c r="J2814">
        <v>1000514143</v>
      </c>
      <c r="K2814" t="s">
        <v>23</v>
      </c>
      <c r="L2814" t="s">
        <v>227</v>
      </c>
      <c r="M2814" t="s">
        <v>24</v>
      </c>
      <c r="N2814" t="s">
        <v>35</v>
      </c>
      <c r="O2814" t="s">
        <v>26</v>
      </c>
      <c r="P2814" t="s">
        <v>27</v>
      </c>
      <c r="Q2814" t="s">
        <v>28</v>
      </c>
      <c r="R2814" t="s">
        <v>29</v>
      </c>
      <c r="S2814" t="s">
        <v>30</v>
      </c>
      <c r="T2814">
        <v>1032678391</v>
      </c>
      <c r="U2814" t="s">
        <v>3965</v>
      </c>
      <c r="V2814" t="s">
        <v>3934</v>
      </c>
      <c r="W2814" s="9">
        <f>IF(V2814="pregrado",31,
IF(V2814="posgrados",31,
IF(V2814="rEINTEGROS",7,
IF(V2814="BIT",90,
IF(V2814="OP GRADO - INGLÉS",17,"")))))</f>
        <v>31</v>
      </c>
      <c r="X2814" t="s">
        <v>4098</v>
      </c>
    </row>
    <row r="2815" spans="1:24" ht="15" x14ac:dyDescent="0.35">
      <c r="A2815" s="4">
        <v>46006.786817129629</v>
      </c>
      <c r="B2815">
        <v>20107595</v>
      </c>
      <c r="C2815" s="6" t="s">
        <v>19</v>
      </c>
      <c r="D2815">
        <v>593122</v>
      </c>
      <c r="E2815" t="s">
        <v>20</v>
      </c>
      <c r="F2815">
        <v>1081799146</v>
      </c>
      <c r="G2815" t="s">
        <v>1027</v>
      </c>
      <c r="H2815">
        <v>100238903</v>
      </c>
      <c r="I2815">
        <v>202631</v>
      </c>
      <c r="J2815">
        <v>1081799146</v>
      </c>
      <c r="K2815" t="s">
        <v>23</v>
      </c>
      <c r="L2815" t="s">
        <v>207</v>
      </c>
      <c r="M2815" t="s">
        <v>24</v>
      </c>
      <c r="N2815" t="s">
        <v>35</v>
      </c>
      <c r="O2815" t="s">
        <v>26</v>
      </c>
      <c r="P2815" t="s">
        <v>27</v>
      </c>
      <c r="Q2815" t="s">
        <v>28</v>
      </c>
      <c r="R2815" t="s">
        <v>29</v>
      </c>
      <c r="S2815" t="s">
        <v>30</v>
      </c>
      <c r="T2815">
        <v>1018455773</v>
      </c>
      <c r="U2815" t="s">
        <v>3986</v>
      </c>
      <c r="V2815" t="s">
        <v>3934</v>
      </c>
      <c r="W2815" s="9">
        <f>IF(V2815="pregrado",31,
IF(V2815="posgrados",31,
IF(V2815="rEINTEGROS",7,
IF(V2815="BIT",90,
IF(V2815="OP GRADO - INGLÉS",17,"")))))</f>
        <v>31</v>
      </c>
      <c r="X2815" t="s">
        <v>4101</v>
      </c>
    </row>
    <row r="2816" spans="1:24" ht="15" x14ac:dyDescent="0.35">
      <c r="A2816" s="4">
        <v>46007.526979166665</v>
      </c>
      <c r="B2816">
        <v>20107833</v>
      </c>
      <c r="C2816" s="6" t="s">
        <v>19</v>
      </c>
      <c r="D2816">
        <v>593125</v>
      </c>
      <c r="E2816" t="s">
        <v>20</v>
      </c>
      <c r="F2816">
        <v>1193557505</v>
      </c>
      <c r="G2816" t="s">
        <v>1041</v>
      </c>
      <c r="H2816">
        <v>100217274</v>
      </c>
      <c r="I2816">
        <v>202611</v>
      </c>
      <c r="J2816">
        <v>1193557505</v>
      </c>
      <c r="K2816" t="s">
        <v>23</v>
      </c>
      <c r="L2816" t="s">
        <v>227</v>
      </c>
      <c r="M2816" t="s">
        <v>24</v>
      </c>
      <c r="N2816" t="s">
        <v>35</v>
      </c>
      <c r="O2816" t="s">
        <v>26</v>
      </c>
      <c r="P2816" t="s">
        <v>27</v>
      </c>
      <c r="Q2816" t="s">
        <v>28</v>
      </c>
      <c r="R2816" t="s">
        <v>29</v>
      </c>
      <c r="S2816" t="s">
        <v>30</v>
      </c>
      <c r="T2816">
        <v>45555807</v>
      </c>
      <c r="U2816" t="s">
        <v>3965</v>
      </c>
      <c r="V2816" t="s">
        <v>3934</v>
      </c>
      <c r="W2816" s="9">
        <f>IF(V2816="pregrado",31,
IF(V2816="posgrados",31,
IF(V2816="rEINTEGROS",7,
IF(V2816="BIT",90,
IF(V2816="OP GRADO - INGLÉS",17,"")))))</f>
        <v>31</v>
      </c>
      <c r="X2816" t="s">
        <v>4027</v>
      </c>
    </row>
    <row r="2817" spans="1:24" ht="15" x14ac:dyDescent="0.35">
      <c r="A2817" s="4">
        <v>46014.489351851851</v>
      </c>
      <c r="B2817">
        <v>20109464</v>
      </c>
      <c r="C2817" s="6" t="s">
        <v>19</v>
      </c>
      <c r="D2817">
        <v>593133</v>
      </c>
      <c r="E2817" t="s">
        <v>20</v>
      </c>
      <c r="F2817">
        <v>1143862735</v>
      </c>
      <c r="G2817" t="s">
        <v>1263</v>
      </c>
      <c r="H2817">
        <v>100238910</v>
      </c>
      <c r="I2817">
        <v>202631</v>
      </c>
      <c r="J2817">
        <v>1143862735</v>
      </c>
      <c r="K2817" t="s">
        <v>33</v>
      </c>
      <c r="L2817" t="s">
        <v>65</v>
      </c>
      <c r="M2817" t="s">
        <v>24</v>
      </c>
      <c r="N2817" t="s">
        <v>35</v>
      </c>
      <c r="O2817" t="s">
        <v>26</v>
      </c>
      <c r="P2817" t="s">
        <v>27</v>
      </c>
      <c r="Q2817" t="s">
        <v>28</v>
      </c>
      <c r="R2817" t="s">
        <v>29</v>
      </c>
      <c r="S2817" t="s">
        <v>30</v>
      </c>
      <c r="T2817">
        <v>1025460711</v>
      </c>
      <c r="U2817" t="s">
        <v>3933</v>
      </c>
      <c r="V2817" t="s">
        <v>3934</v>
      </c>
      <c r="W2817" s="9">
        <f>IF(V2817="pregrado",31,
IF(V2817="posgrados",31,
IF(V2817="rEINTEGROS",7,
IF(V2817="BIT",90,
IF(V2817="OP GRADO - INGLÉS",17,"")))))</f>
        <v>31</v>
      </c>
      <c r="X2817" t="s">
        <v>4062</v>
      </c>
    </row>
    <row r="2818" spans="1:24" ht="15" x14ac:dyDescent="0.35">
      <c r="A2818" s="4">
        <v>46007.456944444442</v>
      </c>
      <c r="B2818">
        <v>20107773</v>
      </c>
      <c r="C2818" s="6" t="s">
        <v>19</v>
      </c>
      <c r="D2818">
        <v>593138</v>
      </c>
      <c r="E2818" t="s">
        <v>20</v>
      </c>
      <c r="F2818">
        <v>1000226359</v>
      </c>
      <c r="G2818" t="s">
        <v>1034</v>
      </c>
      <c r="H2818">
        <v>100238917</v>
      </c>
      <c r="I2818">
        <v>202631</v>
      </c>
      <c r="J2818">
        <v>1000226359</v>
      </c>
      <c r="K2818" t="s">
        <v>23</v>
      </c>
      <c r="L2818" t="s">
        <v>231</v>
      </c>
      <c r="M2818" t="s">
        <v>24</v>
      </c>
      <c r="N2818" t="s">
        <v>35</v>
      </c>
      <c r="O2818" t="s">
        <v>26</v>
      </c>
      <c r="P2818" t="s">
        <v>27</v>
      </c>
      <c r="Q2818" t="s">
        <v>28</v>
      </c>
      <c r="R2818" t="s">
        <v>29</v>
      </c>
      <c r="S2818" t="s">
        <v>30</v>
      </c>
      <c r="T2818">
        <v>1022392610</v>
      </c>
      <c r="U2818" t="s">
        <v>3941</v>
      </c>
      <c r="V2818" t="s">
        <v>3934</v>
      </c>
      <c r="W2818" s="9">
        <f>IF(V2818="pregrado",31,
IF(V2818="posgrados",31,
IF(V2818="rEINTEGROS",7,
IF(V2818="BIT",90,
IF(V2818="OP GRADO - INGLÉS",17,"")))))</f>
        <v>31</v>
      </c>
      <c r="X2818" t="s">
        <v>4028</v>
      </c>
    </row>
    <row r="2819" spans="1:24" ht="15" x14ac:dyDescent="0.35">
      <c r="A2819" s="4">
        <v>46014.67465277778</v>
      </c>
      <c r="B2819">
        <v>20109599</v>
      </c>
      <c r="C2819" s="6" t="s">
        <v>19</v>
      </c>
      <c r="D2819">
        <v>593156</v>
      </c>
      <c r="E2819" t="s">
        <v>20</v>
      </c>
      <c r="F2819">
        <v>80897509</v>
      </c>
      <c r="G2819" t="s">
        <v>1283</v>
      </c>
      <c r="H2819">
        <v>100238934</v>
      </c>
      <c r="I2819">
        <v>202611</v>
      </c>
      <c r="J2819">
        <v>1022370124</v>
      </c>
      <c r="K2819" t="s">
        <v>23</v>
      </c>
      <c r="L2819" t="s">
        <v>221</v>
      </c>
      <c r="M2819" t="s">
        <v>24</v>
      </c>
      <c r="N2819" t="s">
        <v>35</v>
      </c>
      <c r="O2819" t="s">
        <v>26</v>
      </c>
      <c r="P2819" t="s">
        <v>27</v>
      </c>
      <c r="Q2819" t="s">
        <v>28</v>
      </c>
      <c r="R2819" t="s">
        <v>29</v>
      </c>
      <c r="S2819" t="s">
        <v>30</v>
      </c>
      <c r="T2819">
        <v>1032678391</v>
      </c>
      <c r="U2819" t="s">
        <v>3965</v>
      </c>
      <c r="V2819" t="s">
        <v>3934</v>
      </c>
      <c r="W2819" s="9">
        <f>IF(V2819="pregrado",31,
IF(V2819="posgrados",31,
IF(V2819="rEINTEGROS",7,
IF(V2819="BIT",90,
IF(V2819="OP GRADO - INGLÉS",17,"")))))</f>
        <v>31</v>
      </c>
      <c r="X2819" t="s">
        <v>4098</v>
      </c>
    </row>
    <row r="2820" spans="1:24" ht="15" x14ac:dyDescent="0.35">
      <c r="A2820" s="4">
        <v>46009.370555555557</v>
      </c>
      <c r="B2820">
        <v>20108394</v>
      </c>
      <c r="C2820" s="6" t="s">
        <v>19</v>
      </c>
      <c r="D2820">
        <v>593158</v>
      </c>
      <c r="E2820" t="s">
        <v>20</v>
      </c>
      <c r="F2820">
        <v>35528049</v>
      </c>
      <c r="G2820" t="s">
        <v>1102</v>
      </c>
      <c r="H2820">
        <v>100238936</v>
      </c>
      <c r="I2820">
        <v>202631</v>
      </c>
      <c r="J2820">
        <v>1069643346</v>
      </c>
      <c r="K2820" t="s">
        <v>23</v>
      </c>
      <c r="L2820" t="s">
        <v>370</v>
      </c>
      <c r="M2820" t="s">
        <v>24</v>
      </c>
      <c r="N2820" t="s">
        <v>35</v>
      </c>
      <c r="O2820" t="s">
        <v>26</v>
      </c>
      <c r="P2820" t="s">
        <v>27</v>
      </c>
      <c r="Q2820" t="s">
        <v>28</v>
      </c>
      <c r="R2820" t="s">
        <v>29</v>
      </c>
      <c r="S2820" t="s">
        <v>30</v>
      </c>
      <c r="T2820">
        <v>1023975276</v>
      </c>
      <c r="U2820" t="s">
        <v>3963</v>
      </c>
      <c r="V2820" t="s">
        <v>3934</v>
      </c>
      <c r="W2820" s="9">
        <f>IF(V2820="pregrado",31,
IF(V2820="posgrados",31,
IF(V2820="rEINTEGROS",7,
IF(V2820="BIT",90,
IF(V2820="OP GRADO - INGLÉS",17,"")))))</f>
        <v>31</v>
      </c>
      <c r="X2820" t="s">
        <v>3962</v>
      </c>
    </row>
    <row r="2821" spans="1:24" ht="15" x14ac:dyDescent="0.35">
      <c r="A2821" s="4">
        <v>46028.548946759256</v>
      </c>
      <c r="B2821">
        <v>20111194</v>
      </c>
      <c r="C2821" s="6" t="s">
        <v>19</v>
      </c>
      <c r="D2821">
        <v>593166</v>
      </c>
      <c r="E2821" t="s">
        <v>20</v>
      </c>
      <c r="F2821">
        <v>1001115146</v>
      </c>
      <c r="G2821" t="s">
        <v>1518</v>
      </c>
      <c r="H2821">
        <v>100160727</v>
      </c>
      <c r="I2821">
        <v>202611</v>
      </c>
      <c r="J2821">
        <v>1010242050</v>
      </c>
      <c r="K2821" t="s">
        <v>89</v>
      </c>
      <c r="L2821" t="s">
        <v>133</v>
      </c>
      <c r="M2821" t="s">
        <v>24</v>
      </c>
      <c r="N2821" t="s">
        <v>38</v>
      </c>
      <c r="O2821" t="s">
        <v>26</v>
      </c>
      <c r="P2821" t="s">
        <v>27</v>
      </c>
      <c r="Q2821" t="s">
        <v>28</v>
      </c>
      <c r="R2821" t="s">
        <v>29</v>
      </c>
      <c r="S2821" t="s">
        <v>30</v>
      </c>
      <c r="T2821">
        <v>1023899450</v>
      </c>
      <c r="U2821" t="s">
        <v>3977</v>
      </c>
      <c r="V2821" t="s">
        <v>3970</v>
      </c>
      <c r="W2821" s="9">
        <f>IF(V2821="pregrado",31,
IF(V2821="posgrados",31,
IF(V2821="rEINTEGROS",7,
IF(V2821="BIT",90,
IF(V2821="OP GRADO - INGLÉS",17,"")))))</f>
        <v>7</v>
      </c>
      <c r="X2821" t="s">
        <v>3969</v>
      </c>
    </row>
    <row r="2822" spans="1:24" ht="15" x14ac:dyDescent="0.35">
      <c r="A2822" s="4">
        <v>46007.439143518517</v>
      </c>
      <c r="B2822">
        <v>20107744</v>
      </c>
      <c r="C2822" s="6" t="s">
        <v>19</v>
      </c>
      <c r="D2822">
        <v>593169</v>
      </c>
      <c r="E2822" t="s">
        <v>20</v>
      </c>
      <c r="F2822">
        <v>1024471772</v>
      </c>
      <c r="G2822" t="s">
        <v>1031</v>
      </c>
      <c r="H2822">
        <v>100238945</v>
      </c>
      <c r="I2822">
        <v>202631</v>
      </c>
      <c r="J2822">
        <v>1024471772</v>
      </c>
      <c r="K2822" t="s">
        <v>23</v>
      </c>
      <c r="L2822" t="s">
        <v>90</v>
      </c>
      <c r="M2822" t="s">
        <v>24</v>
      </c>
      <c r="N2822" t="s">
        <v>25</v>
      </c>
      <c r="O2822" t="s">
        <v>26</v>
      </c>
      <c r="P2822" t="s">
        <v>27</v>
      </c>
      <c r="Q2822" t="s">
        <v>28</v>
      </c>
      <c r="R2822" t="s">
        <v>29</v>
      </c>
      <c r="S2822" t="s">
        <v>30</v>
      </c>
      <c r="T2822">
        <v>1013687925</v>
      </c>
      <c r="U2822" t="s">
        <v>3933</v>
      </c>
      <c r="V2822" t="s">
        <v>3934</v>
      </c>
      <c r="W2822" s="9">
        <f>IF(V2822="pregrado",31,
IF(V2822="posgrados",31,
IF(V2822="rEINTEGROS",7,
IF(V2822="BIT",90,
IF(V2822="OP GRADO - INGLÉS",17,"")))))</f>
        <v>31</v>
      </c>
      <c r="X2822" t="s">
        <v>3959</v>
      </c>
    </row>
    <row r="2823" spans="1:24" ht="15" x14ac:dyDescent="0.35">
      <c r="A2823" s="4">
        <v>46018.989699074074</v>
      </c>
      <c r="B2823">
        <v>20109993</v>
      </c>
      <c r="C2823" s="6" t="s">
        <v>19</v>
      </c>
      <c r="D2823">
        <v>593181</v>
      </c>
      <c r="E2823" t="s">
        <v>20</v>
      </c>
      <c r="F2823">
        <v>1027282466</v>
      </c>
      <c r="G2823" t="s">
        <v>1348</v>
      </c>
      <c r="H2823">
        <v>100238962</v>
      </c>
      <c r="I2823">
        <v>202610</v>
      </c>
      <c r="J2823">
        <v>1001118373</v>
      </c>
      <c r="K2823" t="s">
        <v>23</v>
      </c>
      <c r="L2823" t="s">
        <v>40</v>
      </c>
      <c r="M2823" t="s">
        <v>24</v>
      </c>
      <c r="N2823" t="s">
        <v>35</v>
      </c>
      <c r="O2823" t="s">
        <v>26</v>
      </c>
      <c r="P2823" t="s">
        <v>27</v>
      </c>
      <c r="Q2823" t="s">
        <v>28</v>
      </c>
      <c r="R2823" t="s">
        <v>29</v>
      </c>
      <c r="S2823" t="s">
        <v>30</v>
      </c>
      <c r="T2823">
        <v>80219471</v>
      </c>
      <c r="U2823" t="s">
        <v>3941</v>
      </c>
      <c r="V2823" t="s">
        <v>3934</v>
      </c>
      <c r="W2823" s="9">
        <f>IF(V2823="pregrado",31,
IF(V2823="posgrados",31,
IF(V2823="rEINTEGROS",7,
IF(V2823="BIT",90,
IF(V2823="OP GRADO - INGLÉS",17,"")))))</f>
        <v>31</v>
      </c>
      <c r="X2823" t="s">
        <v>4030</v>
      </c>
    </row>
    <row r="2824" spans="1:24" ht="15" x14ac:dyDescent="0.35">
      <c r="A2824" s="4">
        <v>46007.468530092592</v>
      </c>
      <c r="B2824">
        <v>20107789</v>
      </c>
      <c r="C2824" s="6" t="s">
        <v>19</v>
      </c>
      <c r="D2824">
        <v>593196</v>
      </c>
      <c r="E2824" t="s">
        <v>20</v>
      </c>
      <c r="F2824">
        <v>1007675660</v>
      </c>
      <c r="G2824" t="s">
        <v>1036</v>
      </c>
      <c r="H2824">
        <v>100238975</v>
      </c>
      <c r="I2824">
        <v>202611</v>
      </c>
      <c r="J2824">
        <v>1007675660</v>
      </c>
      <c r="K2824" t="s">
        <v>23</v>
      </c>
      <c r="L2824" t="s">
        <v>221</v>
      </c>
      <c r="M2824" t="s">
        <v>24</v>
      </c>
      <c r="N2824" t="s">
        <v>25</v>
      </c>
      <c r="O2824" t="s">
        <v>26</v>
      </c>
      <c r="P2824" t="s">
        <v>27</v>
      </c>
      <c r="Q2824" t="s">
        <v>28</v>
      </c>
      <c r="R2824" t="s">
        <v>29</v>
      </c>
      <c r="S2824" t="s">
        <v>30</v>
      </c>
      <c r="T2824">
        <v>1030573476</v>
      </c>
      <c r="U2824" t="s">
        <v>3965</v>
      </c>
      <c r="V2824" t="s">
        <v>3934</v>
      </c>
      <c r="W2824" s="9">
        <f>IF(V2824="pregrado",31,
IF(V2824="posgrados",31,
IF(V2824="rEINTEGROS",7,
IF(V2824="BIT",90,
IF(V2824="OP GRADO - INGLÉS",17,"")))))</f>
        <v>31</v>
      </c>
      <c r="X2824" t="s">
        <v>4077</v>
      </c>
    </row>
    <row r="2825" spans="1:24" ht="15" x14ac:dyDescent="0.35">
      <c r="A2825" s="4">
        <v>46008.465300925927</v>
      </c>
      <c r="B2825">
        <v>20108148</v>
      </c>
      <c r="C2825" s="6" t="s">
        <v>19</v>
      </c>
      <c r="D2825">
        <v>593199</v>
      </c>
      <c r="E2825" t="s">
        <v>20</v>
      </c>
      <c r="F2825">
        <v>1193142639</v>
      </c>
      <c r="G2825" t="s">
        <v>1076</v>
      </c>
      <c r="H2825">
        <v>100238981</v>
      </c>
      <c r="I2825">
        <v>202631</v>
      </c>
      <c r="J2825">
        <v>1193142639</v>
      </c>
      <c r="K2825" t="s">
        <v>33</v>
      </c>
      <c r="L2825" t="s">
        <v>207</v>
      </c>
      <c r="M2825" t="s">
        <v>24</v>
      </c>
      <c r="N2825" t="s">
        <v>25</v>
      </c>
      <c r="O2825" t="s">
        <v>26</v>
      </c>
      <c r="P2825" t="s">
        <v>27</v>
      </c>
      <c r="Q2825" t="s">
        <v>28</v>
      </c>
      <c r="R2825" t="s">
        <v>29</v>
      </c>
      <c r="S2825" t="s">
        <v>30</v>
      </c>
      <c r="T2825">
        <v>1000777598</v>
      </c>
      <c r="U2825" t="s">
        <v>3986</v>
      </c>
      <c r="V2825" t="s">
        <v>3934</v>
      </c>
      <c r="W2825" s="9">
        <f>IF(V2825="pregrado",31,
IF(V2825="posgrados",31,
IF(V2825="rEINTEGROS",7,
IF(V2825="BIT",90,
IF(V2825="OP GRADO - INGLÉS",17,"")))))</f>
        <v>31</v>
      </c>
      <c r="X2825" t="s">
        <v>4103</v>
      </c>
    </row>
    <row r="2826" spans="1:24" ht="15" x14ac:dyDescent="0.35">
      <c r="A2826" s="4">
        <v>46008.760462962964</v>
      </c>
      <c r="B2826">
        <v>20108345</v>
      </c>
      <c r="C2826" s="6" t="s">
        <v>19</v>
      </c>
      <c r="D2826">
        <v>593218</v>
      </c>
      <c r="E2826" t="s">
        <v>20</v>
      </c>
      <c r="F2826">
        <v>1140372870</v>
      </c>
      <c r="G2826" t="s">
        <v>1096</v>
      </c>
      <c r="H2826">
        <v>100239002</v>
      </c>
      <c r="I2826">
        <v>202611</v>
      </c>
      <c r="J2826">
        <v>1140372870</v>
      </c>
      <c r="K2826" t="s">
        <v>23</v>
      </c>
      <c r="L2826" t="s">
        <v>221</v>
      </c>
      <c r="M2826" t="s">
        <v>24</v>
      </c>
      <c r="N2826" t="s">
        <v>35</v>
      </c>
      <c r="O2826" t="s">
        <v>26</v>
      </c>
      <c r="P2826" t="s">
        <v>27</v>
      </c>
      <c r="Q2826" t="s">
        <v>28</v>
      </c>
      <c r="R2826" t="s">
        <v>29</v>
      </c>
      <c r="S2826" t="s">
        <v>30</v>
      </c>
      <c r="T2826">
        <v>1001277801</v>
      </c>
      <c r="U2826" t="s">
        <v>3965</v>
      </c>
      <c r="V2826" t="s">
        <v>3934</v>
      </c>
      <c r="W2826" s="9">
        <f>IF(V2826="pregrado",31,
IF(V2826="posgrados",31,
IF(V2826="rEINTEGROS",7,
IF(V2826="BIT",90,
IF(V2826="OP GRADO - INGLÉS",17,"")))))</f>
        <v>31</v>
      </c>
      <c r="X2826" t="s">
        <v>4002</v>
      </c>
    </row>
    <row r="2827" spans="1:24" ht="15" x14ac:dyDescent="0.35">
      <c r="A2827" s="4">
        <v>46007.625613425924</v>
      </c>
      <c r="B2827">
        <v>20107883</v>
      </c>
      <c r="C2827" s="6" t="s">
        <v>19</v>
      </c>
      <c r="D2827">
        <v>593229</v>
      </c>
      <c r="E2827" t="s">
        <v>20</v>
      </c>
      <c r="F2827">
        <v>1013661559</v>
      </c>
      <c r="G2827" t="s">
        <v>1047</v>
      </c>
      <c r="H2827">
        <v>100239019</v>
      </c>
      <c r="I2827">
        <v>202631</v>
      </c>
      <c r="J2827">
        <v>1013661559</v>
      </c>
      <c r="K2827" t="s">
        <v>33</v>
      </c>
      <c r="L2827" t="s">
        <v>51</v>
      </c>
      <c r="M2827" t="s">
        <v>24</v>
      </c>
      <c r="N2827" t="s">
        <v>38</v>
      </c>
      <c r="O2827" t="s">
        <v>26</v>
      </c>
      <c r="P2827" t="s">
        <v>27</v>
      </c>
      <c r="Q2827" t="s">
        <v>28</v>
      </c>
      <c r="R2827" t="s">
        <v>29</v>
      </c>
      <c r="S2827" t="s">
        <v>30</v>
      </c>
      <c r="T2827">
        <v>52876433</v>
      </c>
      <c r="U2827" t="s">
        <v>3986</v>
      </c>
      <c r="V2827" t="s">
        <v>3934</v>
      </c>
      <c r="W2827" s="9">
        <f>IF(V2827="pregrado",31,
IF(V2827="posgrados",31,
IF(V2827="rEINTEGROS",7,
IF(V2827="BIT",90,
IF(V2827="OP GRADO - INGLÉS",17,"")))))</f>
        <v>31</v>
      </c>
      <c r="X2827" t="s">
        <v>4078</v>
      </c>
    </row>
    <row r="2828" spans="1:24" ht="15" x14ac:dyDescent="0.35">
      <c r="A2828" s="4">
        <v>46008.48164351852</v>
      </c>
      <c r="B2828">
        <v>20108158</v>
      </c>
      <c r="C2828" s="6" t="s">
        <v>19</v>
      </c>
      <c r="D2828">
        <v>593232</v>
      </c>
      <c r="E2828" t="s">
        <v>20</v>
      </c>
      <c r="F2828">
        <v>1000806348</v>
      </c>
      <c r="G2828" t="s">
        <v>1077</v>
      </c>
      <c r="H2828">
        <v>100239023</v>
      </c>
      <c r="I2828">
        <v>202631</v>
      </c>
      <c r="J2828">
        <v>1000806348</v>
      </c>
      <c r="K2828" t="s">
        <v>23</v>
      </c>
      <c r="L2828" t="s">
        <v>90</v>
      </c>
      <c r="M2828" t="s">
        <v>24</v>
      </c>
      <c r="N2828" t="s">
        <v>35</v>
      </c>
      <c r="O2828" t="s">
        <v>26</v>
      </c>
      <c r="P2828" t="s">
        <v>27</v>
      </c>
      <c r="Q2828" t="s">
        <v>28</v>
      </c>
      <c r="R2828" t="s">
        <v>29</v>
      </c>
      <c r="S2828" t="s">
        <v>30</v>
      </c>
      <c r="T2828">
        <v>1030525993</v>
      </c>
      <c r="U2828" t="s">
        <v>3933</v>
      </c>
      <c r="V2828" t="s">
        <v>3934</v>
      </c>
      <c r="W2828" s="9">
        <f>IF(V2828="pregrado",31,
IF(V2828="posgrados",31,
IF(V2828="rEINTEGROS",7,
IF(V2828="BIT",90,
IF(V2828="OP GRADO - INGLÉS",17,"")))))</f>
        <v>31</v>
      </c>
      <c r="X2828" t="s">
        <v>3956</v>
      </c>
    </row>
    <row r="2829" spans="1:24" ht="15" x14ac:dyDescent="0.35">
      <c r="A2829" s="4">
        <v>46010.490590277775</v>
      </c>
      <c r="B2829">
        <v>20108764</v>
      </c>
      <c r="C2829" s="6" t="s">
        <v>19</v>
      </c>
      <c r="D2829">
        <v>593245</v>
      </c>
      <c r="E2829" t="s">
        <v>20</v>
      </c>
      <c r="F2829">
        <v>1090364633</v>
      </c>
      <c r="G2829" t="s">
        <v>1181</v>
      </c>
      <c r="H2829">
        <v>200071826</v>
      </c>
      <c r="I2829">
        <v>202631</v>
      </c>
      <c r="J2829">
        <v>1116499721</v>
      </c>
      <c r="K2829" t="s">
        <v>33</v>
      </c>
      <c r="L2829" t="s">
        <v>119</v>
      </c>
      <c r="M2829" t="s">
        <v>24</v>
      </c>
      <c r="N2829" t="s">
        <v>35</v>
      </c>
      <c r="O2829" t="s">
        <v>26</v>
      </c>
      <c r="P2829" t="s">
        <v>27</v>
      </c>
      <c r="Q2829" t="s">
        <v>28</v>
      </c>
      <c r="R2829" t="s">
        <v>29</v>
      </c>
      <c r="S2829" t="s">
        <v>30</v>
      </c>
      <c r="T2829">
        <v>1023975276</v>
      </c>
      <c r="U2829" t="s">
        <v>3963</v>
      </c>
      <c r="V2829" t="s">
        <v>3934</v>
      </c>
      <c r="W2829" s="9">
        <f>IF(V2829="pregrado",31,
IF(V2829="posgrados",31,
IF(V2829="rEINTEGROS",7,
IF(V2829="BIT",90,
IF(V2829="OP GRADO - INGLÉS",17,"")))))</f>
        <v>31</v>
      </c>
      <c r="X2829" t="s">
        <v>3962</v>
      </c>
    </row>
    <row r="2830" spans="1:24" ht="15" x14ac:dyDescent="0.35">
      <c r="A2830" s="4">
        <v>46008.365428240744</v>
      </c>
      <c r="B2830">
        <v>20108080</v>
      </c>
      <c r="C2830" s="6" t="s">
        <v>19</v>
      </c>
      <c r="D2830">
        <v>593257</v>
      </c>
      <c r="E2830" t="s">
        <v>20</v>
      </c>
      <c r="F2830">
        <v>1108120579</v>
      </c>
      <c r="G2830" t="s">
        <v>1067</v>
      </c>
      <c r="H2830">
        <v>200073493</v>
      </c>
      <c r="I2830">
        <v>202631</v>
      </c>
      <c r="J2830">
        <v>1108120579</v>
      </c>
      <c r="K2830" t="s">
        <v>33</v>
      </c>
      <c r="L2830" t="s">
        <v>77</v>
      </c>
      <c r="M2830" t="s">
        <v>24</v>
      </c>
      <c r="N2830" t="s">
        <v>35</v>
      </c>
      <c r="O2830" t="s">
        <v>26</v>
      </c>
      <c r="P2830" t="s">
        <v>27</v>
      </c>
      <c r="Q2830" t="s">
        <v>28</v>
      </c>
      <c r="R2830" t="s">
        <v>29</v>
      </c>
      <c r="S2830" t="s">
        <v>30</v>
      </c>
      <c r="T2830">
        <v>1013687925</v>
      </c>
      <c r="U2830" t="s">
        <v>3933</v>
      </c>
      <c r="V2830" t="s">
        <v>3934</v>
      </c>
      <c r="W2830" s="9">
        <f>IF(V2830="pregrado",31,
IF(V2830="posgrados",31,
IF(V2830="rEINTEGROS",7,
IF(V2830="BIT",90,
IF(V2830="OP GRADO - INGLÉS",17,"")))))</f>
        <v>31</v>
      </c>
      <c r="X2830" t="s">
        <v>3959</v>
      </c>
    </row>
    <row r="2831" spans="1:24" ht="15" x14ac:dyDescent="0.35">
      <c r="A2831" s="4">
        <v>46020.631712962961</v>
      </c>
      <c r="B2831">
        <v>20110142</v>
      </c>
      <c r="C2831" s="6" t="s">
        <v>19</v>
      </c>
      <c r="D2831">
        <v>593265</v>
      </c>
      <c r="E2831" t="s">
        <v>20</v>
      </c>
      <c r="F2831">
        <v>33207905</v>
      </c>
      <c r="G2831" t="s">
        <v>1372</v>
      </c>
      <c r="H2831">
        <v>100239032</v>
      </c>
      <c r="I2831">
        <v>202631</v>
      </c>
      <c r="J2831">
        <v>33207905</v>
      </c>
      <c r="K2831" t="s">
        <v>23</v>
      </c>
      <c r="L2831" t="s">
        <v>240</v>
      </c>
      <c r="M2831" t="s">
        <v>24</v>
      </c>
      <c r="N2831" t="s">
        <v>35</v>
      </c>
      <c r="O2831" t="s">
        <v>26</v>
      </c>
      <c r="P2831" t="s">
        <v>27</v>
      </c>
      <c r="Q2831" t="s">
        <v>28</v>
      </c>
      <c r="R2831" t="s">
        <v>29</v>
      </c>
      <c r="S2831" t="s">
        <v>30</v>
      </c>
      <c r="T2831">
        <v>53071696</v>
      </c>
      <c r="U2831" t="s">
        <v>3965</v>
      </c>
      <c r="V2831" t="s">
        <v>3934</v>
      </c>
      <c r="W2831" s="9">
        <f>IF(V2831="pregrado",31,
IF(V2831="posgrados",31,
IF(V2831="rEINTEGROS",7,
IF(V2831="BIT",90,
IF(V2831="OP GRADO - INGLÉS",17,"")))))</f>
        <v>31</v>
      </c>
      <c r="X2831" t="s">
        <v>4012</v>
      </c>
    </row>
    <row r="2832" spans="1:24" ht="15" x14ac:dyDescent="0.35">
      <c r="A2832" s="4">
        <v>46007.671111111114</v>
      </c>
      <c r="B2832">
        <v>20107921</v>
      </c>
      <c r="C2832" s="6" t="s">
        <v>19</v>
      </c>
      <c r="D2832">
        <v>593291</v>
      </c>
      <c r="E2832" t="s">
        <v>20</v>
      </c>
      <c r="F2832">
        <v>43266281</v>
      </c>
      <c r="G2832" t="s">
        <v>1051</v>
      </c>
      <c r="H2832">
        <v>200071979</v>
      </c>
      <c r="I2832">
        <v>202631</v>
      </c>
      <c r="J2832">
        <v>43266281</v>
      </c>
      <c r="K2832" t="s">
        <v>23</v>
      </c>
      <c r="L2832" t="s">
        <v>119</v>
      </c>
      <c r="M2832" t="s">
        <v>24</v>
      </c>
      <c r="N2832" t="s">
        <v>35</v>
      </c>
      <c r="O2832" t="s">
        <v>26</v>
      </c>
      <c r="P2832" t="s">
        <v>27</v>
      </c>
      <c r="Q2832" t="s">
        <v>28</v>
      </c>
      <c r="R2832" t="s">
        <v>29</v>
      </c>
      <c r="S2832" t="s">
        <v>30</v>
      </c>
      <c r="T2832">
        <v>1013687925</v>
      </c>
      <c r="U2832" t="s">
        <v>3933</v>
      </c>
      <c r="V2832" t="s">
        <v>3934</v>
      </c>
      <c r="W2832" s="9">
        <f>IF(V2832="pregrado",31,
IF(V2832="posgrados",31,
IF(V2832="rEINTEGROS",7,
IF(V2832="BIT",90,
IF(V2832="OP GRADO - INGLÉS",17,"")))))</f>
        <v>31</v>
      </c>
      <c r="X2832" t="s">
        <v>3959</v>
      </c>
    </row>
    <row r="2833" spans="1:24" ht="15" x14ac:dyDescent="0.35">
      <c r="A2833" s="4">
        <v>46008.559629629628</v>
      </c>
      <c r="B2833">
        <v>20108202</v>
      </c>
      <c r="C2833" s="6" t="s">
        <v>19</v>
      </c>
      <c r="D2833">
        <v>593325</v>
      </c>
      <c r="E2833" t="s">
        <v>20</v>
      </c>
      <c r="F2833">
        <v>1096232101</v>
      </c>
      <c r="G2833" t="s">
        <v>1083</v>
      </c>
      <c r="H2833">
        <v>100239052</v>
      </c>
      <c r="I2833">
        <v>202631</v>
      </c>
      <c r="J2833">
        <v>1097188991</v>
      </c>
      <c r="K2833" t="s">
        <v>23</v>
      </c>
      <c r="L2833" t="s">
        <v>219</v>
      </c>
      <c r="M2833" t="s">
        <v>24</v>
      </c>
      <c r="N2833" t="s">
        <v>35</v>
      </c>
      <c r="O2833" t="s">
        <v>26</v>
      </c>
      <c r="P2833" t="s">
        <v>27</v>
      </c>
      <c r="Q2833" t="s">
        <v>28</v>
      </c>
      <c r="R2833" t="s">
        <v>29</v>
      </c>
      <c r="S2833" t="s">
        <v>30</v>
      </c>
      <c r="T2833">
        <v>79635092</v>
      </c>
      <c r="U2833" t="s">
        <v>3963</v>
      </c>
      <c r="V2833" t="s">
        <v>3934</v>
      </c>
      <c r="W2833" s="9">
        <f>IF(V2833="pregrado",31,
IF(V2833="posgrados",31,
IF(V2833="rEINTEGROS",7,
IF(V2833="BIT",90,
IF(V2833="OP GRADO - INGLÉS",17,"")))))</f>
        <v>31</v>
      </c>
      <c r="X2833" t="s">
        <v>4079</v>
      </c>
    </row>
    <row r="2834" spans="1:24" ht="15" x14ac:dyDescent="0.35">
      <c r="A2834" s="4">
        <v>46038.581631944442</v>
      </c>
      <c r="B2834">
        <v>20114310</v>
      </c>
      <c r="C2834" s="6" t="s">
        <v>19</v>
      </c>
      <c r="D2834">
        <v>593339</v>
      </c>
      <c r="E2834" t="s">
        <v>20</v>
      </c>
      <c r="F2834">
        <v>3093316</v>
      </c>
      <c r="G2834" t="s">
        <v>1905</v>
      </c>
      <c r="H2834">
        <v>100155720</v>
      </c>
      <c r="I2834">
        <v>202611</v>
      </c>
      <c r="J2834">
        <v>1003690218</v>
      </c>
      <c r="K2834" t="s">
        <v>23</v>
      </c>
      <c r="L2834" t="s">
        <v>227</v>
      </c>
      <c r="M2834" t="s">
        <v>24</v>
      </c>
      <c r="N2834" t="s">
        <v>25</v>
      </c>
      <c r="O2834" t="s">
        <v>26</v>
      </c>
      <c r="P2834" t="s">
        <v>27</v>
      </c>
      <c r="Q2834" t="s">
        <v>28</v>
      </c>
      <c r="R2834" t="s">
        <v>29</v>
      </c>
      <c r="S2834" t="s">
        <v>30</v>
      </c>
      <c r="T2834">
        <v>1073692626</v>
      </c>
      <c r="U2834" t="s">
        <v>3965</v>
      </c>
      <c r="V2834" t="s">
        <v>3934</v>
      </c>
      <c r="W2834" s="9">
        <f>IF(V2834="pregrado",31,
IF(V2834="posgrados",31,
IF(V2834="rEINTEGROS",7,
IF(V2834="BIT",90,
IF(V2834="OP GRADO - INGLÉS",17,"")))))</f>
        <v>31</v>
      </c>
      <c r="X2834" t="s">
        <v>4014</v>
      </c>
    </row>
    <row r="2835" spans="1:24" ht="15" x14ac:dyDescent="0.35">
      <c r="A2835" s="4">
        <v>46008.581516203703</v>
      </c>
      <c r="B2835">
        <v>20108213</v>
      </c>
      <c r="C2835" s="6" t="s">
        <v>19</v>
      </c>
      <c r="D2835">
        <v>593340</v>
      </c>
      <c r="E2835" t="s">
        <v>20</v>
      </c>
      <c r="F2835">
        <v>1104017744</v>
      </c>
      <c r="G2835" t="s">
        <v>1085</v>
      </c>
      <c r="H2835">
        <v>100239061</v>
      </c>
      <c r="I2835">
        <v>202631</v>
      </c>
      <c r="J2835">
        <v>1104017744</v>
      </c>
      <c r="K2835" t="s">
        <v>23</v>
      </c>
      <c r="L2835" t="s">
        <v>86</v>
      </c>
      <c r="M2835" t="s">
        <v>87</v>
      </c>
      <c r="N2835" t="s">
        <v>35</v>
      </c>
      <c r="O2835" t="s">
        <v>26</v>
      </c>
      <c r="P2835" t="s">
        <v>27</v>
      </c>
      <c r="Q2835" t="s">
        <v>28</v>
      </c>
      <c r="R2835" t="s">
        <v>29</v>
      </c>
      <c r="S2835" t="s">
        <v>30</v>
      </c>
      <c r="T2835">
        <v>1013102684</v>
      </c>
      <c r="U2835" t="s">
        <v>3939</v>
      </c>
      <c r="V2835" t="s">
        <v>3934</v>
      </c>
      <c r="W2835" s="9">
        <f>IF(V2835="pregrado",31,
IF(V2835="posgrados",31,
IF(V2835="rEINTEGROS",7,
IF(V2835="BIT",90,
IF(V2835="OP GRADO - INGLÉS",17,"")))))</f>
        <v>31</v>
      </c>
      <c r="X2835" t="s">
        <v>4050</v>
      </c>
    </row>
    <row r="2836" spans="1:24" ht="15" x14ac:dyDescent="0.35">
      <c r="A2836" s="4">
        <v>46007.679525462961</v>
      </c>
      <c r="B2836">
        <v>20107927</v>
      </c>
      <c r="C2836" s="6" t="s">
        <v>19</v>
      </c>
      <c r="D2836">
        <v>593342</v>
      </c>
      <c r="E2836" t="s">
        <v>20</v>
      </c>
      <c r="F2836">
        <v>1003567027</v>
      </c>
      <c r="G2836" t="s">
        <v>1053</v>
      </c>
      <c r="H2836">
        <v>100236108</v>
      </c>
      <c r="I2836">
        <v>202631</v>
      </c>
      <c r="J2836">
        <v>1003567027</v>
      </c>
      <c r="K2836" t="s">
        <v>23</v>
      </c>
      <c r="L2836" t="s">
        <v>240</v>
      </c>
      <c r="M2836" t="s">
        <v>24</v>
      </c>
      <c r="N2836" t="s">
        <v>35</v>
      </c>
      <c r="O2836" t="s">
        <v>26</v>
      </c>
      <c r="P2836" t="s">
        <v>27</v>
      </c>
      <c r="Q2836" t="s">
        <v>28</v>
      </c>
      <c r="R2836" t="s">
        <v>29</v>
      </c>
      <c r="S2836" t="s">
        <v>30</v>
      </c>
      <c r="T2836">
        <v>1013662799</v>
      </c>
      <c r="U2836" t="s">
        <v>3965</v>
      </c>
      <c r="V2836" t="s">
        <v>3934</v>
      </c>
      <c r="W2836" s="9">
        <f>IF(V2836="pregrado",31,
IF(V2836="posgrados",31,
IF(V2836="rEINTEGROS",7,
IF(V2836="BIT",90,
IF(V2836="OP GRADO - INGLÉS",17,"")))))</f>
        <v>31</v>
      </c>
      <c r="X2836" t="s">
        <v>4021</v>
      </c>
    </row>
    <row r="2837" spans="1:24" ht="15" x14ac:dyDescent="0.35">
      <c r="A2837" s="4">
        <v>46009.723055555558</v>
      </c>
      <c r="B2837">
        <v>20108620</v>
      </c>
      <c r="C2837" s="6" t="s">
        <v>19</v>
      </c>
      <c r="D2837">
        <v>593344</v>
      </c>
      <c r="E2837" t="s">
        <v>20</v>
      </c>
      <c r="F2837">
        <v>1016109519</v>
      </c>
      <c r="G2837" t="s">
        <v>1158</v>
      </c>
      <c r="H2837">
        <v>100165932</v>
      </c>
      <c r="I2837">
        <v>202611</v>
      </c>
      <c r="J2837">
        <v>1016109519</v>
      </c>
      <c r="K2837" t="s">
        <v>89</v>
      </c>
      <c r="L2837" t="s">
        <v>133</v>
      </c>
      <c r="M2837" t="s">
        <v>24</v>
      </c>
      <c r="N2837" t="s">
        <v>25</v>
      </c>
      <c r="O2837" t="s">
        <v>26</v>
      </c>
      <c r="P2837" t="s">
        <v>27</v>
      </c>
      <c r="Q2837" t="s">
        <v>28</v>
      </c>
      <c r="R2837" t="s">
        <v>29</v>
      </c>
      <c r="S2837" t="s">
        <v>30</v>
      </c>
      <c r="T2837">
        <v>1000934874</v>
      </c>
      <c r="U2837" t="s">
        <v>3977</v>
      </c>
      <c r="V2837" t="s">
        <v>3970</v>
      </c>
      <c r="W2837" s="9">
        <f>IF(V2837="pregrado",31,
IF(V2837="posgrados",31,
IF(V2837="rEINTEGROS",7,
IF(V2837="BIT",90,
IF(V2837="OP GRADO - INGLÉS",17,"")))))</f>
        <v>7</v>
      </c>
      <c r="X2837" t="s">
        <v>3999</v>
      </c>
    </row>
    <row r="2838" spans="1:24" ht="15" x14ac:dyDescent="0.35">
      <c r="A2838" s="4">
        <v>46044.419108796297</v>
      </c>
      <c r="B2838">
        <v>20116038</v>
      </c>
      <c r="C2838" s="6" t="s">
        <v>19</v>
      </c>
      <c r="D2838">
        <v>593346</v>
      </c>
      <c r="E2838" t="s">
        <v>20</v>
      </c>
      <c r="F2838">
        <v>1075878593</v>
      </c>
      <c r="G2838" t="s">
        <v>2143</v>
      </c>
      <c r="H2838">
        <v>100102586</v>
      </c>
      <c r="I2838">
        <v>202611</v>
      </c>
      <c r="J2838">
        <v>1075878593</v>
      </c>
      <c r="K2838" t="s">
        <v>89</v>
      </c>
      <c r="L2838" t="s">
        <v>133</v>
      </c>
      <c r="M2838" t="s">
        <v>24</v>
      </c>
      <c r="N2838" t="s">
        <v>25</v>
      </c>
      <c r="O2838" t="s">
        <v>26</v>
      </c>
      <c r="P2838" t="s">
        <v>27</v>
      </c>
      <c r="Q2838" t="s">
        <v>28</v>
      </c>
      <c r="R2838" t="s">
        <v>29</v>
      </c>
      <c r="S2838" t="s">
        <v>30</v>
      </c>
      <c r="T2838">
        <v>1000934874</v>
      </c>
      <c r="U2838" t="s">
        <v>3977</v>
      </c>
      <c r="V2838" t="s">
        <v>3970</v>
      </c>
      <c r="W2838" s="9">
        <f>IF(V2838="pregrado",31,
IF(V2838="posgrados",31,
IF(V2838="rEINTEGROS",7,
IF(V2838="BIT",90,
IF(V2838="OP GRADO - INGLÉS",17,"")))))</f>
        <v>7</v>
      </c>
      <c r="X2838" t="s">
        <v>3999</v>
      </c>
    </row>
    <row r="2839" spans="1:24" ht="15" x14ac:dyDescent="0.35">
      <c r="A2839" s="4">
        <v>46009.470300925925</v>
      </c>
      <c r="B2839">
        <v>20108474</v>
      </c>
      <c r="C2839" s="6" t="s">
        <v>19</v>
      </c>
      <c r="D2839">
        <v>593352</v>
      </c>
      <c r="E2839" t="s">
        <v>20</v>
      </c>
      <c r="F2839">
        <v>1053442440</v>
      </c>
      <c r="G2839" t="s">
        <v>1122</v>
      </c>
      <c r="H2839">
        <v>100194857</v>
      </c>
      <c r="I2839">
        <v>202631</v>
      </c>
      <c r="J2839">
        <v>1053442440</v>
      </c>
      <c r="K2839" t="s">
        <v>89</v>
      </c>
      <c r="L2839" t="s">
        <v>127</v>
      </c>
      <c r="M2839" t="s">
        <v>24</v>
      </c>
      <c r="N2839" t="s">
        <v>38</v>
      </c>
      <c r="O2839" t="s">
        <v>26</v>
      </c>
      <c r="P2839" t="s">
        <v>27</v>
      </c>
      <c r="Q2839" t="s">
        <v>28</v>
      </c>
      <c r="R2839" t="s">
        <v>29</v>
      </c>
      <c r="S2839" t="s">
        <v>30</v>
      </c>
      <c r="T2839">
        <v>1000934874</v>
      </c>
      <c r="U2839" t="s">
        <v>3977</v>
      </c>
      <c r="V2839" t="s">
        <v>3970</v>
      </c>
      <c r="W2839" s="9">
        <f>IF(V2839="pregrado",31,
IF(V2839="posgrados",31,
IF(V2839="rEINTEGROS",7,
IF(V2839="BIT",90,
IF(V2839="OP GRADO - INGLÉS",17,"")))))</f>
        <v>7</v>
      </c>
      <c r="X2839" t="s">
        <v>3999</v>
      </c>
    </row>
    <row r="2840" spans="1:24" ht="15" x14ac:dyDescent="0.35">
      <c r="A2840" s="4">
        <v>46009.654594907406</v>
      </c>
      <c r="B2840">
        <v>20108581</v>
      </c>
      <c r="C2840" s="6" t="s">
        <v>19</v>
      </c>
      <c r="D2840">
        <v>593353</v>
      </c>
      <c r="E2840" t="s">
        <v>20</v>
      </c>
      <c r="F2840">
        <v>1027400456</v>
      </c>
      <c r="G2840" t="s">
        <v>1148</v>
      </c>
      <c r="H2840">
        <v>100205039</v>
      </c>
      <c r="I2840">
        <v>202611</v>
      </c>
      <c r="J2840">
        <v>1027400456</v>
      </c>
      <c r="K2840" t="s">
        <v>89</v>
      </c>
      <c r="L2840" t="s">
        <v>133</v>
      </c>
      <c r="M2840" t="s">
        <v>24</v>
      </c>
      <c r="N2840" t="s">
        <v>25</v>
      </c>
      <c r="O2840" t="s">
        <v>26</v>
      </c>
      <c r="P2840" t="s">
        <v>27</v>
      </c>
      <c r="Q2840" t="s">
        <v>28</v>
      </c>
      <c r="R2840" t="s">
        <v>29</v>
      </c>
      <c r="S2840" t="s">
        <v>30</v>
      </c>
      <c r="T2840">
        <v>1000934874</v>
      </c>
      <c r="U2840" t="s">
        <v>3977</v>
      </c>
      <c r="V2840" t="s">
        <v>3970</v>
      </c>
      <c r="W2840" s="9">
        <f>IF(V2840="pregrado",31,
IF(V2840="posgrados",31,
IF(V2840="rEINTEGROS",7,
IF(V2840="BIT",90,
IF(V2840="OP GRADO - INGLÉS",17,"")))))</f>
        <v>7</v>
      </c>
      <c r="X2840" t="s">
        <v>3999</v>
      </c>
    </row>
    <row r="2841" spans="1:24" ht="15" x14ac:dyDescent="0.35">
      <c r="A2841" s="4">
        <v>46011.493784722225</v>
      </c>
      <c r="B2841">
        <v>20109015</v>
      </c>
      <c r="C2841" s="6" t="s">
        <v>19</v>
      </c>
      <c r="D2841">
        <v>593367</v>
      </c>
      <c r="E2841" t="s">
        <v>20</v>
      </c>
      <c r="F2841">
        <v>1042353868</v>
      </c>
      <c r="G2841" t="s">
        <v>1206</v>
      </c>
      <c r="H2841">
        <v>100100884</v>
      </c>
      <c r="I2841">
        <v>202611</v>
      </c>
      <c r="J2841">
        <v>1042353868</v>
      </c>
      <c r="K2841" t="s">
        <v>46</v>
      </c>
      <c r="L2841" t="s">
        <v>221</v>
      </c>
      <c r="M2841" t="s">
        <v>24</v>
      </c>
      <c r="N2841" t="s">
        <v>35</v>
      </c>
      <c r="O2841" t="s">
        <v>26</v>
      </c>
      <c r="P2841" t="s">
        <v>27</v>
      </c>
      <c r="Q2841" t="s">
        <v>28</v>
      </c>
      <c r="R2841" t="s">
        <v>29</v>
      </c>
      <c r="S2841" t="s">
        <v>30</v>
      </c>
      <c r="T2841">
        <v>1000934874</v>
      </c>
      <c r="U2841" t="s">
        <v>3977</v>
      </c>
      <c r="V2841" t="s">
        <v>3970</v>
      </c>
      <c r="W2841" s="9">
        <f>IF(V2841="pregrado",31,
IF(V2841="posgrados",31,
IF(V2841="rEINTEGROS",7,
IF(V2841="BIT",90,
IF(V2841="OP GRADO - INGLÉS",17,"")))))</f>
        <v>7</v>
      </c>
      <c r="X2841" t="s">
        <v>3999</v>
      </c>
    </row>
    <row r="2842" spans="1:24" ht="15" x14ac:dyDescent="0.35">
      <c r="A2842" s="4">
        <v>46009.384641203702</v>
      </c>
      <c r="B2842">
        <v>20108405</v>
      </c>
      <c r="C2842" s="6" t="s">
        <v>19</v>
      </c>
      <c r="D2842">
        <v>593376</v>
      </c>
      <c r="E2842" t="s">
        <v>20</v>
      </c>
      <c r="F2842">
        <v>1050949876</v>
      </c>
      <c r="G2842" t="s">
        <v>1104</v>
      </c>
      <c r="H2842">
        <v>100237253</v>
      </c>
      <c r="I2842">
        <v>202631</v>
      </c>
      <c r="J2842">
        <v>1050949876</v>
      </c>
      <c r="K2842" t="s">
        <v>33</v>
      </c>
      <c r="L2842" t="s">
        <v>127</v>
      </c>
      <c r="M2842" t="s">
        <v>24</v>
      </c>
      <c r="N2842" t="s">
        <v>25</v>
      </c>
      <c r="O2842" t="s">
        <v>26</v>
      </c>
      <c r="P2842" t="s">
        <v>27</v>
      </c>
      <c r="Q2842" t="s">
        <v>28</v>
      </c>
      <c r="R2842" t="s">
        <v>29</v>
      </c>
      <c r="S2842" t="s">
        <v>30</v>
      </c>
      <c r="T2842">
        <v>1026299972</v>
      </c>
      <c r="U2842" t="s">
        <v>3933</v>
      </c>
      <c r="V2842" t="s">
        <v>3934</v>
      </c>
      <c r="W2842" s="9">
        <f>IF(V2842="pregrado",31,
IF(V2842="posgrados",31,
IF(V2842="rEINTEGROS",7,
IF(V2842="BIT",90,
IF(V2842="OP GRADO - INGLÉS",17,"")))))</f>
        <v>31</v>
      </c>
      <c r="X2842" t="s">
        <v>4052</v>
      </c>
    </row>
    <row r="2843" spans="1:24" ht="15" x14ac:dyDescent="0.35">
      <c r="A2843" s="4">
        <v>46029.482858796298</v>
      </c>
      <c r="B2843">
        <v>20111409</v>
      </c>
      <c r="C2843" s="6" t="s">
        <v>19</v>
      </c>
      <c r="D2843">
        <v>593377</v>
      </c>
      <c r="E2843" t="s">
        <v>20</v>
      </c>
      <c r="F2843">
        <v>1045729346</v>
      </c>
      <c r="G2843" t="s">
        <v>1550</v>
      </c>
      <c r="H2843">
        <v>100239081</v>
      </c>
      <c r="I2843">
        <v>202631</v>
      </c>
      <c r="J2843">
        <v>1045729346</v>
      </c>
      <c r="K2843" t="s">
        <v>23</v>
      </c>
      <c r="L2843" t="s">
        <v>32</v>
      </c>
      <c r="M2843" t="s">
        <v>24</v>
      </c>
      <c r="N2843" t="s">
        <v>25</v>
      </c>
      <c r="O2843" t="s">
        <v>26</v>
      </c>
      <c r="P2843" t="s">
        <v>27</v>
      </c>
      <c r="Q2843" t="s">
        <v>28</v>
      </c>
      <c r="R2843" t="s">
        <v>29</v>
      </c>
      <c r="S2843" t="s">
        <v>30</v>
      </c>
      <c r="T2843">
        <v>1000625316</v>
      </c>
      <c r="U2843" t="s">
        <v>3944</v>
      </c>
      <c r="V2843" t="s">
        <v>3934</v>
      </c>
      <c r="W2843" s="9">
        <f>IF(V2843="pregrado",31,
IF(V2843="posgrados",31,
IF(V2843="rEINTEGROS",7,
IF(V2843="BIT",90,
IF(V2843="OP GRADO - INGLÉS",17,"")))))</f>
        <v>31</v>
      </c>
      <c r="X2843" t="s">
        <v>3980</v>
      </c>
    </row>
    <row r="2844" spans="1:24" ht="15" x14ac:dyDescent="0.35">
      <c r="A2844" s="4">
        <v>46010.642534722225</v>
      </c>
      <c r="B2844">
        <v>20108876</v>
      </c>
      <c r="C2844" s="6" t="s">
        <v>19</v>
      </c>
      <c r="D2844">
        <v>593400</v>
      </c>
      <c r="E2844" t="s">
        <v>20</v>
      </c>
      <c r="F2844">
        <v>1036684102</v>
      </c>
      <c r="G2844" t="s">
        <v>1192</v>
      </c>
      <c r="H2844">
        <v>100237534</v>
      </c>
      <c r="I2844">
        <v>202631</v>
      </c>
      <c r="J2844">
        <v>1036684102</v>
      </c>
      <c r="K2844" t="s">
        <v>33</v>
      </c>
      <c r="L2844" t="s">
        <v>240</v>
      </c>
      <c r="M2844" t="s">
        <v>24</v>
      </c>
      <c r="N2844" t="s">
        <v>35</v>
      </c>
      <c r="O2844" t="s">
        <v>26</v>
      </c>
      <c r="P2844" t="s">
        <v>27</v>
      </c>
      <c r="Q2844" t="s">
        <v>28</v>
      </c>
      <c r="R2844" t="s">
        <v>29</v>
      </c>
      <c r="S2844" t="s">
        <v>30</v>
      </c>
      <c r="T2844">
        <v>10006855461</v>
      </c>
      <c r="U2844" t="s">
        <v>3965</v>
      </c>
      <c r="V2844" t="s">
        <v>3934</v>
      </c>
      <c r="W2844" s="9">
        <f>IF(V2844="pregrado",31,
IF(V2844="posgrados",31,
IF(V2844="rEINTEGROS",7,
IF(V2844="BIT",90,
IF(V2844="OP GRADO - INGLÉS",17,"")))))</f>
        <v>31</v>
      </c>
      <c r="X2844" t="s">
        <v>3993</v>
      </c>
    </row>
    <row r="2845" spans="1:24" ht="15" x14ac:dyDescent="0.35">
      <c r="A2845" s="4">
        <v>46009.523460648146</v>
      </c>
      <c r="B2845">
        <v>20108511</v>
      </c>
      <c r="C2845" s="6" t="s">
        <v>19</v>
      </c>
      <c r="D2845">
        <v>593403</v>
      </c>
      <c r="E2845" t="s">
        <v>20</v>
      </c>
      <c r="F2845">
        <v>1007689007</v>
      </c>
      <c r="G2845" t="s">
        <v>1131</v>
      </c>
      <c r="H2845">
        <v>100141248</v>
      </c>
      <c r="I2845">
        <v>202611</v>
      </c>
      <c r="J2845">
        <v>1007689007</v>
      </c>
      <c r="K2845" t="s">
        <v>89</v>
      </c>
      <c r="L2845" t="s">
        <v>133</v>
      </c>
      <c r="M2845" t="s">
        <v>24</v>
      </c>
      <c r="N2845" t="s">
        <v>25</v>
      </c>
      <c r="O2845" t="s">
        <v>26</v>
      </c>
      <c r="P2845" t="s">
        <v>27</v>
      </c>
      <c r="Q2845" t="s">
        <v>28</v>
      </c>
      <c r="R2845" t="s">
        <v>29</v>
      </c>
      <c r="S2845" t="s">
        <v>30</v>
      </c>
      <c r="T2845">
        <v>1016110979</v>
      </c>
      <c r="U2845" t="s">
        <v>3977</v>
      </c>
      <c r="V2845" t="s">
        <v>3970</v>
      </c>
      <c r="W2845" s="9">
        <f>IF(V2845="pregrado",31,
IF(V2845="posgrados",31,
IF(V2845="rEINTEGROS",7,
IF(V2845="BIT",90,
IF(V2845="OP GRADO - INGLÉS",17,"")))))</f>
        <v>7</v>
      </c>
      <c r="X2845" t="s">
        <v>4051</v>
      </c>
    </row>
    <row r="2846" spans="1:24" ht="15" x14ac:dyDescent="0.35">
      <c r="A2846" s="4">
        <v>46009.399293981478</v>
      </c>
      <c r="B2846">
        <v>20108415</v>
      </c>
      <c r="C2846" s="6" t="s">
        <v>19</v>
      </c>
      <c r="D2846">
        <v>593411</v>
      </c>
      <c r="E2846" t="s">
        <v>20</v>
      </c>
      <c r="F2846">
        <v>1001011063</v>
      </c>
      <c r="G2846" t="s">
        <v>1107</v>
      </c>
      <c r="H2846">
        <v>100239104</v>
      </c>
      <c r="I2846">
        <v>202611</v>
      </c>
      <c r="J2846">
        <v>1001011063</v>
      </c>
      <c r="K2846" t="s">
        <v>23</v>
      </c>
      <c r="L2846" t="s">
        <v>227</v>
      </c>
      <c r="M2846" t="s">
        <v>24</v>
      </c>
      <c r="N2846" t="s">
        <v>35</v>
      </c>
      <c r="O2846" t="s">
        <v>26</v>
      </c>
      <c r="P2846" t="s">
        <v>27</v>
      </c>
      <c r="Q2846" t="s">
        <v>28</v>
      </c>
      <c r="R2846" t="s">
        <v>29</v>
      </c>
      <c r="S2846" t="s">
        <v>30</v>
      </c>
      <c r="T2846">
        <v>53006215</v>
      </c>
      <c r="U2846" t="s">
        <v>3965</v>
      </c>
      <c r="V2846" t="s">
        <v>3934</v>
      </c>
      <c r="W2846" s="9">
        <f>IF(V2846="pregrado",31,
IF(V2846="posgrados",31,
IF(V2846="rEINTEGROS",7,
IF(V2846="BIT",90,
IF(V2846="OP GRADO - INGLÉS",17,"")))))</f>
        <v>31</v>
      </c>
      <c r="X2846" t="s">
        <v>4042</v>
      </c>
    </row>
    <row r="2847" spans="1:24" ht="15" x14ac:dyDescent="0.35">
      <c r="A2847" s="4">
        <v>46008.354930555557</v>
      </c>
      <c r="B2847">
        <v>20108071</v>
      </c>
      <c r="C2847" s="6" t="s">
        <v>19</v>
      </c>
      <c r="D2847">
        <v>593414</v>
      </c>
      <c r="E2847" t="s">
        <v>20</v>
      </c>
      <c r="F2847">
        <v>1022349634</v>
      </c>
      <c r="G2847" t="s">
        <v>1063</v>
      </c>
      <c r="H2847">
        <v>100238163</v>
      </c>
      <c r="I2847">
        <v>202631</v>
      </c>
      <c r="J2847">
        <v>1022349634</v>
      </c>
      <c r="K2847" t="s">
        <v>33</v>
      </c>
      <c r="L2847" t="s">
        <v>207</v>
      </c>
      <c r="M2847" t="s">
        <v>24</v>
      </c>
      <c r="N2847" t="s">
        <v>38</v>
      </c>
      <c r="O2847" t="s">
        <v>26</v>
      </c>
      <c r="P2847" t="s">
        <v>27</v>
      </c>
      <c r="Q2847" t="s">
        <v>28</v>
      </c>
      <c r="R2847" t="s">
        <v>29</v>
      </c>
      <c r="S2847" t="s">
        <v>30</v>
      </c>
      <c r="T2847">
        <v>1070815435</v>
      </c>
      <c r="U2847" t="s">
        <v>3986</v>
      </c>
      <c r="V2847" t="s">
        <v>3934</v>
      </c>
      <c r="W2847" s="9">
        <f>IF(V2847="pregrado",31,
IF(V2847="posgrados",31,
IF(V2847="rEINTEGROS",7,
IF(V2847="BIT",90,
IF(V2847="OP GRADO - INGLÉS",17,"")))))</f>
        <v>31</v>
      </c>
      <c r="X2847" t="s">
        <v>4038</v>
      </c>
    </row>
    <row r="2848" spans="1:24" ht="15" x14ac:dyDescent="0.35">
      <c r="A2848" s="4">
        <v>46014.423645833333</v>
      </c>
      <c r="B2848">
        <v>20109413</v>
      </c>
      <c r="C2848" s="6" t="s">
        <v>19</v>
      </c>
      <c r="D2848">
        <v>593427</v>
      </c>
      <c r="E2848" t="s">
        <v>20</v>
      </c>
      <c r="F2848">
        <v>1059607025</v>
      </c>
      <c r="G2848" t="s">
        <v>1255</v>
      </c>
      <c r="H2848">
        <v>100239116</v>
      </c>
      <c r="I2848">
        <v>202631</v>
      </c>
      <c r="J2848">
        <v>1059607025</v>
      </c>
      <c r="K2848" t="s">
        <v>33</v>
      </c>
      <c r="L2848" t="s">
        <v>240</v>
      </c>
      <c r="M2848" t="s">
        <v>24</v>
      </c>
      <c r="N2848" t="s">
        <v>605</v>
      </c>
      <c r="O2848" t="s">
        <v>26</v>
      </c>
      <c r="P2848" t="s">
        <v>27</v>
      </c>
      <c r="Q2848" t="s">
        <v>28</v>
      </c>
      <c r="R2848" t="s">
        <v>29</v>
      </c>
      <c r="S2848" t="s">
        <v>30</v>
      </c>
      <c r="T2848">
        <v>45555807</v>
      </c>
      <c r="U2848" t="s">
        <v>3965</v>
      </c>
      <c r="V2848" t="s">
        <v>3934</v>
      </c>
      <c r="W2848" s="9">
        <f>IF(V2848="pregrado",31,
IF(V2848="posgrados",31,
IF(V2848="rEINTEGROS",7,
IF(V2848="BIT",90,
IF(V2848="OP GRADO - INGLÉS",17,"")))))</f>
        <v>31</v>
      </c>
      <c r="X2848" t="s">
        <v>4027</v>
      </c>
    </row>
    <row r="2849" spans="1:24" ht="15" x14ac:dyDescent="0.35">
      <c r="A2849" s="4">
        <v>46009.549027777779</v>
      </c>
      <c r="B2849">
        <v>20108532</v>
      </c>
      <c r="C2849" s="6" t="s">
        <v>19</v>
      </c>
      <c r="D2849">
        <v>593430</v>
      </c>
      <c r="E2849" t="s">
        <v>20</v>
      </c>
      <c r="F2849">
        <v>1121212956</v>
      </c>
      <c r="G2849" t="s">
        <v>1137</v>
      </c>
      <c r="H2849">
        <v>100239119</v>
      </c>
      <c r="I2849">
        <v>202631</v>
      </c>
      <c r="J2849">
        <v>41058376</v>
      </c>
      <c r="K2849" t="s">
        <v>33</v>
      </c>
      <c r="L2849" t="s">
        <v>32</v>
      </c>
      <c r="M2849" t="s">
        <v>24</v>
      </c>
      <c r="N2849" t="s">
        <v>25</v>
      </c>
      <c r="O2849" t="s">
        <v>26</v>
      </c>
      <c r="P2849" t="s">
        <v>27</v>
      </c>
      <c r="Q2849" t="s">
        <v>28</v>
      </c>
      <c r="R2849" t="s">
        <v>29</v>
      </c>
      <c r="S2849" t="s">
        <v>30</v>
      </c>
      <c r="T2849">
        <v>1015428862</v>
      </c>
      <c r="U2849" t="s">
        <v>3965</v>
      </c>
      <c r="V2849" t="s">
        <v>3934</v>
      </c>
      <c r="W2849" s="9">
        <f>IF(V2849="pregrado",31,
IF(V2849="posgrados",31,
IF(V2849="rEINTEGROS",7,
IF(V2849="BIT",90,
IF(V2849="OP GRADO - INGLÉS",17,"")))))</f>
        <v>31</v>
      </c>
      <c r="X2849" t="s">
        <v>4048</v>
      </c>
    </row>
    <row r="2850" spans="1:24" ht="15" x14ac:dyDescent="0.35">
      <c r="A2850" s="4">
        <v>46009.757106481484</v>
      </c>
      <c r="B2850">
        <v>20108640</v>
      </c>
      <c r="C2850" s="6" t="s">
        <v>19</v>
      </c>
      <c r="D2850">
        <v>593432</v>
      </c>
      <c r="E2850" t="s">
        <v>20</v>
      </c>
      <c r="F2850">
        <v>1076651465</v>
      </c>
      <c r="G2850" t="s">
        <v>1163</v>
      </c>
      <c r="H2850">
        <v>100239123</v>
      </c>
      <c r="I2850">
        <v>202631</v>
      </c>
      <c r="J2850">
        <v>1072364760</v>
      </c>
      <c r="K2850" t="s">
        <v>33</v>
      </c>
      <c r="L2850" t="s">
        <v>231</v>
      </c>
      <c r="M2850" t="s">
        <v>24</v>
      </c>
      <c r="N2850" t="s">
        <v>38</v>
      </c>
      <c r="O2850" t="s">
        <v>26</v>
      </c>
      <c r="P2850" t="s">
        <v>27</v>
      </c>
      <c r="Q2850" t="s">
        <v>28</v>
      </c>
      <c r="R2850" t="s">
        <v>29</v>
      </c>
      <c r="S2850" t="s">
        <v>30</v>
      </c>
      <c r="T2850">
        <v>52182207</v>
      </c>
      <c r="U2850" t="s">
        <v>3941</v>
      </c>
      <c r="V2850" t="s">
        <v>3934</v>
      </c>
      <c r="W2850" s="9">
        <f>IF(V2850="pregrado",31,
IF(V2850="posgrados",31,
IF(V2850="rEINTEGROS",7,
IF(V2850="BIT",90,
IF(V2850="OP GRADO - INGLÉS",17,"")))))</f>
        <v>31</v>
      </c>
      <c r="X2850" t="s">
        <v>3946</v>
      </c>
    </row>
    <row r="2851" spans="1:24" ht="15" x14ac:dyDescent="0.35">
      <c r="A2851" s="4">
        <v>46050.621481481481</v>
      </c>
      <c r="B2851">
        <v>20118052</v>
      </c>
      <c r="C2851" s="6" t="s">
        <v>19</v>
      </c>
      <c r="D2851">
        <v>593447</v>
      </c>
      <c r="E2851" t="s">
        <v>20</v>
      </c>
      <c r="F2851">
        <v>8712804</v>
      </c>
      <c r="G2851" t="s">
        <v>2422</v>
      </c>
      <c r="H2851">
        <v>100239133</v>
      </c>
      <c r="I2851">
        <v>202631</v>
      </c>
      <c r="J2851">
        <v>72133928</v>
      </c>
      <c r="K2851" t="s">
        <v>23</v>
      </c>
      <c r="L2851" t="s">
        <v>219</v>
      </c>
      <c r="M2851" t="s">
        <v>24</v>
      </c>
      <c r="N2851" t="s">
        <v>35</v>
      </c>
      <c r="O2851" t="s">
        <v>26</v>
      </c>
      <c r="P2851" t="s">
        <v>27</v>
      </c>
      <c r="Q2851" t="s">
        <v>28</v>
      </c>
      <c r="R2851" t="s">
        <v>29</v>
      </c>
      <c r="S2851" t="s">
        <v>30</v>
      </c>
      <c r="T2851">
        <v>1000973717</v>
      </c>
      <c r="U2851" t="s">
        <v>3963</v>
      </c>
      <c r="V2851" t="s">
        <v>3934</v>
      </c>
      <c r="W2851" s="9">
        <f>IF(V2851="pregrado",31,
IF(V2851="posgrados",31,
IF(V2851="rEINTEGROS",7,
IF(V2851="BIT",90,
IF(V2851="OP GRADO - INGLÉS",17,"")))))</f>
        <v>31</v>
      </c>
      <c r="X2851" t="s">
        <v>4073</v>
      </c>
    </row>
    <row r="2852" spans="1:24" ht="15" x14ac:dyDescent="0.35">
      <c r="A2852" s="4">
        <v>46008.783171296294</v>
      </c>
      <c r="B2852">
        <v>20108353</v>
      </c>
      <c r="C2852" s="6" t="s">
        <v>19</v>
      </c>
      <c r="D2852">
        <v>593451</v>
      </c>
      <c r="E2852" t="s">
        <v>20</v>
      </c>
      <c r="F2852">
        <v>1044606612</v>
      </c>
      <c r="G2852" t="s">
        <v>1098</v>
      </c>
      <c r="H2852">
        <v>100239136</v>
      </c>
      <c r="I2852">
        <v>202631</v>
      </c>
      <c r="J2852">
        <v>1044606612</v>
      </c>
      <c r="K2852" t="s">
        <v>23</v>
      </c>
      <c r="L2852" t="s">
        <v>57</v>
      </c>
      <c r="M2852" t="s">
        <v>24</v>
      </c>
      <c r="N2852" t="s">
        <v>35</v>
      </c>
      <c r="O2852" t="s">
        <v>26</v>
      </c>
      <c r="P2852" t="s">
        <v>27</v>
      </c>
      <c r="Q2852" t="s">
        <v>28</v>
      </c>
      <c r="R2852" t="s">
        <v>29</v>
      </c>
      <c r="S2852" t="s">
        <v>30</v>
      </c>
      <c r="T2852">
        <v>53061994</v>
      </c>
      <c r="U2852" t="s">
        <v>3941</v>
      </c>
      <c r="V2852" t="s">
        <v>3934</v>
      </c>
      <c r="W2852" s="9">
        <f>IF(V2852="pregrado",31,
IF(V2852="posgrados",31,
IF(V2852="rEINTEGROS",7,
IF(V2852="BIT",90,
IF(V2852="OP GRADO - INGLÉS",17,"")))))</f>
        <v>31</v>
      </c>
      <c r="X2852" t="s">
        <v>3950</v>
      </c>
    </row>
    <row r="2853" spans="1:24" ht="15" x14ac:dyDescent="0.35">
      <c r="A2853" s="4">
        <v>46008.653333333335</v>
      </c>
      <c r="B2853">
        <v>20108257</v>
      </c>
      <c r="C2853" s="6" t="s">
        <v>19</v>
      </c>
      <c r="D2853">
        <v>593455</v>
      </c>
      <c r="E2853" t="s">
        <v>20</v>
      </c>
      <c r="F2853">
        <v>1000777098</v>
      </c>
      <c r="G2853" t="s">
        <v>1090</v>
      </c>
      <c r="H2853">
        <v>100239140</v>
      </c>
      <c r="I2853">
        <v>202631</v>
      </c>
      <c r="J2853">
        <v>1022942546</v>
      </c>
      <c r="K2853" t="s">
        <v>23</v>
      </c>
      <c r="L2853" t="s">
        <v>219</v>
      </c>
      <c r="M2853" t="s">
        <v>24</v>
      </c>
      <c r="N2853" t="s">
        <v>35</v>
      </c>
      <c r="O2853" t="s">
        <v>26</v>
      </c>
      <c r="P2853" t="s">
        <v>27</v>
      </c>
      <c r="Q2853" t="s">
        <v>28</v>
      </c>
      <c r="R2853" t="s">
        <v>29</v>
      </c>
      <c r="S2853" t="s">
        <v>30</v>
      </c>
      <c r="T2853">
        <v>1013687925</v>
      </c>
      <c r="U2853" t="s">
        <v>3933</v>
      </c>
      <c r="V2853" t="s">
        <v>3934</v>
      </c>
      <c r="W2853" s="9">
        <f>IF(V2853="pregrado",31,
IF(V2853="posgrados",31,
IF(V2853="rEINTEGROS",7,
IF(V2853="BIT",90,
IF(V2853="OP GRADO - INGLÉS",17,"")))))</f>
        <v>31</v>
      </c>
      <c r="X2853" t="s">
        <v>3959</v>
      </c>
    </row>
    <row r="2854" spans="1:24" ht="15" x14ac:dyDescent="0.35">
      <c r="A2854" s="4">
        <v>46009.793090277781</v>
      </c>
      <c r="B2854">
        <v>20108658</v>
      </c>
      <c r="C2854" s="6" t="s">
        <v>19</v>
      </c>
      <c r="D2854">
        <v>593460</v>
      </c>
      <c r="E2854" t="s">
        <v>20</v>
      </c>
      <c r="F2854">
        <v>1115724960</v>
      </c>
      <c r="G2854" t="s">
        <v>1166</v>
      </c>
      <c r="H2854">
        <v>100238101</v>
      </c>
      <c r="I2854">
        <v>202611</v>
      </c>
      <c r="J2854">
        <v>1115724960</v>
      </c>
      <c r="K2854" t="s">
        <v>23</v>
      </c>
      <c r="L2854" t="s">
        <v>227</v>
      </c>
      <c r="M2854" t="s">
        <v>24</v>
      </c>
      <c r="N2854" t="s">
        <v>35</v>
      </c>
      <c r="O2854" t="s">
        <v>26</v>
      </c>
      <c r="P2854" t="s">
        <v>27</v>
      </c>
      <c r="Q2854" t="s">
        <v>28</v>
      </c>
      <c r="R2854" t="s">
        <v>29</v>
      </c>
      <c r="S2854" t="s">
        <v>30</v>
      </c>
      <c r="T2854">
        <v>52342867</v>
      </c>
      <c r="U2854" t="s">
        <v>3965</v>
      </c>
      <c r="V2854" t="s">
        <v>3934</v>
      </c>
      <c r="W2854" s="9">
        <f>IF(V2854="pregrado",31,
IF(V2854="posgrados",31,
IF(V2854="rEINTEGROS",7,
IF(V2854="BIT",90,
IF(V2854="OP GRADO - INGLÉS",17,"")))))</f>
        <v>31</v>
      </c>
      <c r="X2854" t="s">
        <v>4047</v>
      </c>
    </row>
    <row r="2855" spans="1:24" ht="15" x14ac:dyDescent="0.35">
      <c r="A2855" s="4">
        <v>46008.518449074072</v>
      </c>
      <c r="B2855">
        <v>20108176</v>
      </c>
      <c r="C2855" s="6" t="s">
        <v>19</v>
      </c>
      <c r="D2855">
        <v>593464</v>
      </c>
      <c r="E2855" t="s">
        <v>20</v>
      </c>
      <c r="F2855">
        <v>1005177855</v>
      </c>
      <c r="G2855" t="s">
        <v>1080</v>
      </c>
      <c r="H2855">
        <v>100230464</v>
      </c>
      <c r="I2855">
        <v>202631</v>
      </c>
      <c r="J2855">
        <v>1005177855</v>
      </c>
      <c r="K2855" t="s">
        <v>23</v>
      </c>
      <c r="L2855" t="s">
        <v>51</v>
      </c>
      <c r="M2855" t="s">
        <v>24</v>
      </c>
      <c r="N2855" t="s">
        <v>35</v>
      </c>
      <c r="O2855" t="s">
        <v>26</v>
      </c>
      <c r="P2855" t="s">
        <v>27</v>
      </c>
      <c r="Q2855" t="s">
        <v>28</v>
      </c>
      <c r="R2855" t="s">
        <v>29</v>
      </c>
      <c r="S2855" t="s">
        <v>30</v>
      </c>
      <c r="T2855">
        <v>1019115186</v>
      </c>
      <c r="U2855" t="s">
        <v>3941</v>
      </c>
      <c r="V2855" t="s">
        <v>3934</v>
      </c>
      <c r="W2855" s="9">
        <f>IF(V2855="pregrado",31,
IF(V2855="posgrados",31,
IF(V2855="rEINTEGROS",7,
IF(V2855="BIT",90,
IF(V2855="OP GRADO - INGLÉS",17,"")))))</f>
        <v>31</v>
      </c>
      <c r="X2855" t="s">
        <v>4005</v>
      </c>
    </row>
    <row r="2856" spans="1:24" ht="15" x14ac:dyDescent="0.35">
      <c r="A2856" s="4">
        <v>46008.636354166665</v>
      </c>
      <c r="B2856">
        <v>20108246</v>
      </c>
      <c r="C2856" s="6" t="s">
        <v>19</v>
      </c>
      <c r="D2856">
        <v>593479</v>
      </c>
      <c r="E2856" t="s">
        <v>20</v>
      </c>
      <c r="F2856">
        <v>40914935</v>
      </c>
      <c r="G2856" t="s">
        <v>1089</v>
      </c>
      <c r="H2856">
        <v>100239161</v>
      </c>
      <c r="I2856">
        <v>202631</v>
      </c>
      <c r="J2856">
        <v>1120660347</v>
      </c>
      <c r="K2856" t="s">
        <v>33</v>
      </c>
      <c r="L2856" t="s">
        <v>65</v>
      </c>
      <c r="M2856" t="s">
        <v>24</v>
      </c>
      <c r="N2856" t="s">
        <v>25</v>
      </c>
      <c r="O2856" t="s">
        <v>26</v>
      </c>
      <c r="P2856" t="s">
        <v>27</v>
      </c>
      <c r="Q2856" t="s">
        <v>28</v>
      </c>
      <c r="R2856" t="s">
        <v>29</v>
      </c>
      <c r="S2856" t="s">
        <v>30</v>
      </c>
      <c r="T2856">
        <v>39666517</v>
      </c>
      <c r="U2856" t="s">
        <v>3933</v>
      </c>
      <c r="V2856" t="s">
        <v>3934</v>
      </c>
      <c r="W2856" s="9">
        <f>IF(V2856="pregrado",31,
IF(V2856="posgrados",31,
IF(V2856="rEINTEGROS",7,
IF(V2856="BIT",90,
IF(V2856="OP GRADO - INGLÉS",17,"")))))</f>
        <v>31</v>
      </c>
      <c r="X2856" t="s">
        <v>4025</v>
      </c>
    </row>
    <row r="2857" spans="1:24" ht="15" x14ac:dyDescent="0.35">
      <c r="A2857" s="4">
        <v>46009.59233796296</v>
      </c>
      <c r="B2857">
        <v>20108550</v>
      </c>
      <c r="C2857" s="6" t="s">
        <v>19</v>
      </c>
      <c r="D2857">
        <v>593480</v>
      </c>
      <c r="E2857" t="s">
        <v>20</v>
      </c>
      <c r="F2857">
        <v>20910847</v>
      </c>
      <c r="G2857" t="s">
        <v>1141</v>
      </c>
      <c r="H2857">
        <v>100229948</v>
      </c>
      <c r="I2857">
        <v>202631</v>
      </c>
      <c r="J2857">
        <v>20910847</v>
      </c>
      <c r="K2857" t="s">
        <v>23</v>
      </c>
      <c r="L2857" t="s">
        <v>219</v>
      </c>
      <c r="M2857" t="s">
        <v>24</v>
      </c>
      <c r="N2857" t="s">
        <v>35</v>
      </c>
      <c r="O2857" t="s">
        <v>26</v>
      </c>
      <c r="P2857" t="s">
        <v>27</v>
      </c>
      <c r="Q2857" t="s">
        <v>28</v>
      </c>
      <c r="R2857" t="s">
        <v>29</v>
      </c>
      <c r="S2857" t="s">
        <v>30</v>
      </c>
      <c r="T2857">
        <v>1000251314</v>
      </c>
      <c r="U2857" t="s">
        <v>3963</v>
      </c>
      <c r="V2857" t="s">
        <v>3934</v>
      </c>
      <c r="W2857" s="9">
        <f>IF(V2857="pregrado",31,
IF(V2857="posgrados",31,
IF(V2857="rEINTEGROS",7,
IF(V2857="BIT",90,
IF(V2857="OP GRADO - INGLÉS",17,"")))))</f>
        <v>31</v>
      </c>
      <c r="X2857" t="s">
        <v>4024</v>
      </c>
    </row>
    <row r="2858" spans="1:24" ht="15" x14ac:dyDescent="0.35">
      <c r="A2858" s="4">
        <v>46014.428553240738</v>
      </c>
      <c r="B2858">
        <v>20109419</v>
      </c>
      <c r="C2858" s="6" t="s">
        <v>19</v>
      </c>
      <c r="D2858">
        <v>593492</v>
      </c>
      <c r="E2858" t="s">
        <v>20</v>
      </c>
      <c r="F2858">
        <v>1010194937</v>
      </c>
      <c r="G2858" t="s">
        <v>1256</v>
      </c>
      <c r="H2858">
        <v>100225462</v>
      </c>
      <c r="I2858">
        <v>202610</v>
      </c>
      <c r="J2858">
        <v>1010194937</v>
      </c>
      <c r="K2858" t="s">
        <v>33</v>
      </c>
      <c r="L2858" t="s">
        <v>62</v>
      </c>
      <c r="M2858" t="s">
        <v>24</v>
      </c>
      <c r="N2858" t="s">
        <v>35</v>
      </c>
      <c r="O2858" t="s">
        <v>26</v>
      </c>
      <c r="P2858" t="s">
        <v>27</v>
      </c>
      <c r="Q2858" t="s">
        <v>28</v>
      </c>
      <c r="R2858" t="s">
        <v>29</v>
      </c>
      <c r="S2858" t="s">
        <v>30</v>
      </c>
      <c r="T2858">
        <v>53139409</v>
      </c>
      <c r="U2858" t="s">
        <v>3944</v>
      </c>
      <c r="V2858" t="s">
        <v>3934</v>
      </c>
      <c r="W2858" s="9">
        <f>IF(V2858="pregrado",31,
IF(V2858="posgrados",31,
IF(V2858="rEINTEGROS",7,
IF(V2858="BIT",90,
IF(V2858="OP GRADO - INGLÉS",17,"")))))</f>
        <v>31</v>
      </c>
      <c r="X2858" t="s">
        <v>3955</v>
      </c>
    </row>
    <row r="2859" spans="1:24" ht="15" x14ac:dyDescent="0.35">
      <c r="A2859" s="4">
        <v>46009.434965277775</v>
      </c>
      <c r="B2859">
        <v>20108443</v>
      </c>
      <c r="C2859" s="6" t="s">
        <v>19</v>
      </c>
      <c r="D2859">
        <v>593493</v>
      </c>
      <c r="E2859" t="s">
        <v>20</v>
      </c>
      <c r="F2859">
        <v>1020833984</v>
      </c>
      <c r="G2859" t="s">
        <v>1114</v>
      </c>
      <c r="H2859">
        <v>100239178</v>
      </c>
      <c r="I2859">
        <v>202631</v>
      </c>
      <c r="J2859">
        <v>1020833984</v>
      </c>
      <c r="K2859" t="s">
        <v>33</v>
      </c>
      <c r="L2859" t="s">
        <v>207</v>
      </c>
      <c r="M2859" t="s">
        <v>24</v>
      </c>
      <c r="N2859" t="s">
        <v>38</v>
      </c>
      <c r="O2859" t="s">
        <v>26</v>
      </c>
      <c r="P2859" t="s">
        <v>27</v>
      </c>
      <c r="Q2859" t="s">
        <v>28</v>
      </c>
      <c r="R2859" t="s">
        <v>29</v>
      </c>
      <c r="S2859" t="s">
        <v>30</v>
      </c>
      <c r="T2859">
        <v>52876433</v>
      </c>
      <c r="U2859" t="s">
        <v>3986</v>
      </c>
      <c r="V2859" t="s">
        <v>3934</v>
      </c>
      <c r="W2859" s="9">
        <f>IF(V2859="pregrado",31,
IF(V2859="posgrados",31,
IF(V2859="rEINTEGROS",7,
IF(V2859="BIT",90,
IF(V2859="OP GRADO - INGLÉS",17,"")))))</f>
        <v>31</v>
      </c>
      <c r="X2859" t="s">
        <v>4078</v>
      </c>
    </row>
    <row r="2860" spans="1:24" ht="15" x14ac:dyDescent="0.35">
      <c r="A2860" s="4">
        <v>46073.810694444444</v>
      </c>
      <c r="B2860">
        <v>20125439</v>
      </c>
      <c r="C2860" s="6" t="s">
        <v>19</v>
      </c>
      <c r="D2860">
        <v>593503</v>
      </c>
      <c r="E2860" t="s">
        <v>20</v>
      </c>
      <c r="F2860">
        <v>1133789514</v>
      </c>
      <c r="G2860" t="s">
        <v>3501</v>
      </c>
      <c r="H2860">
        <v>100177137</v>
      </c>
      <c r="I2860">
        <v>202631</v>
      </c>
      <c r="J2860">
        <v>1133789514</v>
      </c>
      <c r="K2860" t="s">
        <v>89</v>
      </c>
      <c r="L2860" t="s">
        <v>119</v>
      </c>
      <c r="M2860" t="s">
        <v>24</v>
      </c>
      <c r="N2860" t="s">
        <v>35</v>
      </c>
      <c r="O2860" t="s">
        <v>26</v>
      </c>
      <c r="P2860" t="s">
        <v>27</v>
      </c>
      <c r="Q2860" t="s">
        <v>28</v>
      </c>
      <c r="R2860" t="s">
        <v>29</v>
      </c>
      <c r="S2860" t="s">
        <v>30</v>
      </c>
      <c r="T2860">
        <v>1019102787</v>
      </c>
      <c r="U2860" t="s">
        <v>3977</v>
      </c>
      <c r="V2860" t="s">
        <v>3970</v>
      </c>
      <c r="W2860" s="9">
        <f>IF(V2860="pregrado",31,
IF(V2860="posgrados",31,
IF(V2860="rEINTEGROS",7,
IF(V2860="BIT",90,
IF(V2860="OP GRADO - INGLÉS",17,"")))))</f>
        <v>7</v>
      </c>
      <c r="X2860" t="s">
        <v>3976</v>
      </c>
    </row>
    <row r="2861" spans="1:24" ht="15" x14ac:dyDescent="0.35">
      <c r="A2861" s="4">
        <v>46009.398506944446</v>
      </c>
      <c r="B2861">
        <v>20108413</v>
      </c>
      <c r="C2861" s="6" t="s">
        <v>19</v>
      </c>
      <c r="D2861">
        <v>593504</v>
      </c>
      <c r="E2861" t="s">
        <v>20</v>
      </c>
      <c r="F2861">
        <v>1116260413</v>
      </c>
      <c r="G2861" t="s">
        <v>1106</v>
      </c>
      <c r="H2861">
        <v>100239188</v>
      </c>
      <c r="I2861">
        <v>202631</v>
      </c>
      <c r="J2861">
        <v>1116260413</v>
      </c>
      <c r="K2861" t="s">
        <v>33</v>
      </c>
      <c r="L2861" t="s">
        <v>51</v>
      </c>
      <c r="M2861" t="s">
        <v>24</v>
      </c>
      <c r="N2861" t="s">
        <v>25</v>
      </c>
      <c r="O2861" t="s">
        <v>26</v>
      </c>
      <c r="P2861" t="s">
        <v>27</v>
      </c>
      <c r="Q2861" t="s">
        <v>28</v>
      </c>
      <c r="R2861" t="s">
        <v>29</v>
      </c>
      <c r="S2861" t="s">
        <v>30</v>
      </c>
      <c r="T2861">
        <v>1022392610</v>
      </c>
      <c r="U2861" t="s">
        <v>3941</v>
      </c>
      <c r="V2861" t="s">
        <v>3934</v>
      </c>
      <c r="W2861" s="9">
        <f>IF(V2861="pregrado",31,
IF(V2861="posgrados",31,
IF(V2861="rEINTEGROS",7,
IF(V2861="BIT",90,
IF(V2861="OP GRADO - INGLÉS",17,"")))))</f>
        <v>31</v>
      </c>
      <c r="X2861" t="s">
        <v>4028</v>
      </c>
    </row>
    <row r="2862" spans="1:24" ht="15" x14ac:dyDescent="0.35">
      <c r="A2862" s="4">
        <v>46009.316793981481</v>
      </c>
      <c r="B2862">
        <v>20108378</v>
      </c>
      <c r="C2862" s="6" t="s">
        <v>19</v>
      </c>
      <c r="D2862">
        <v>593505</v>
      </c>
      <c r="E2862" t="s">
        <v>20</v>
      </c>
      <c r="F2862">
        <v>1116774052</v>
      </c>
      <c r="G2862" t="s">
        <v>1100</v>
      </c>
      <c r="H2862">
        <v>100157571</v>
      </c>
      <c r="I2862">
        <v>202611</v>
      </c>
      <c r="J2862">
        <v>1116774052</v>
      </c>
      <c r="K2862" t="s">
        <v>89</v>
      </c>
      <c r="L2862" t="s">
        <v>133</v>
      </c>
      <c r="M2862" t="s">
        <v>24</v>
      </c>
      <c r="N2862" t="s">
        <v>25</v>
      </c>
      <c r="O2862" t="s">
        <v>26</v>
      </c>
      <c r="P2862" t="s">
        <v>27</v>
      </c>
      <c r="Q2862" t="s">
        <v>28</v>
      </c>
      <c r="R2862" t="s">
        <v>29</v>
      </c>
      <c r="S2862" t="s">
        <v>30</v>
      </c>
      <c r="T2862">
        <v>1019102787</v>
      </c>
      <c r="U2862" t="s">
        <v>3977</v>
      </c>
      <c r="V2862" t="s">
        <v>3970</v>
      </c>
      <c r="W2862" s="9">
        <f>IF(V2862="pregrado",31,
IF(V2862="posgrados",31,
IF(V2862="rEINTEGROS",7,
IF(V2862="BIT",90,
IF(V2862="OP GRADO - INGLÉS",17,"")))))</f>
        <v>7</v>
      </c>
      <c r="X2862" t="s">
        <v>3976</v>
      </c>
    </row>
    <row r="2863" spans="1:24" ht="15" x14ac:dyDescent="0.35">
      <c r="A2863" s="4">
        <v>46010.541574074072</v>
      </c>
      <c r="B2863">
        <v>20108808</v>
      </c>
      <c r="C2863" s="6" t="s">
        <v>19</v>
      </c>
      <c r="D2863">
        <v>593512</v>
      </c>
      <c r="E2863" t="s">
        <v>20</v>
      </c>
      <c r="F2863">
        <v>3146512</v>
      </c>
      <c r="G2863" t="s">
        <v>1187</v>
      </c>
      <c r="H2863">
        <v>100239192</v>
      </c>
      <c r="I2863">
        <v>202631</v>
      </c>
      <c r="J2863">
        <v>1070007528</v>
      </c>
      <c r="K2863" t="s">
        <v>23</v>
      </c>
      <c r="L2863" t="s">
        <v>231</v>
      </c>
      <c r="M2863" t="s">
        <v>24</v>
      </c>
      <c r="N2863" t="s">
        <v>25</v>
      </c>
      <c r="O2863" t="s">
        <v>26</v>
      </c>
      <c r="P2863" t="s">
        <v>27</v>
      </c>
      <c r="Q2863" t="s">
        <v>28</v>
      </c>
      <c r="R2863" t="s">
        <v>29</v>
      </c>
      <c r="S2863" t="s">
        <v>30</v>
      </c>
      <c r="T2863">
        <v>1024572316</v>
      </c>
      <c r="U2863" t="s">
        <v>3941</v>
      </c>
      <c r="V2863" t="s">
        <v>3934</v>
      </c>
      <c r="W2863" s="9">
        <f>IF(V2863="pregrado",31,
IF(V2863="posgrados",31,
IF(V2863="rEINTEGROS",7,
IF(V2863="BIT",90,
IF(V2863="OP GRADO - INGLÉS",17,"")))))</f>
        <v>31</v>
      </c>
      <c r="X2863" t="s">
        <v>4000</v>
      </c>
    </row>
    <row r="2864" spans="1:24" ht="15" x14ac:dyDescent="0.35">
      <c r="A2864" s="4">
        <v>46030.750115740739</v>
      </c>
      <c r="B2864">
        <v>20111877</v>
      </c>
      <c r="C2864" s="6" t="s">
        <v>19</v>
      </c>
      <c r="D2864">
        <v>593514</v>
      </c>
      <c r="E2864" t="s">
        <v>20</v>
      </c>
      <c r="F2864">
        <v>1000505943</v>
      </c>
      <c r="G2864" t="s">
        <v>1613</v>
      </c>
      <c r="H2864">
        <v>100151485</v>
      </c>
      <c r="I2864">
        <v>202631</v>
      </c>
      <c r="J2864">
        <v>1000505943</v>
      </c>
      <c r="K2864" t="s">
        <v>89</v>
      </c>
      <c r="L2864" t="s">
        <v>119</v>
      </c>
      <c r="M2864" t="s">
        <v>24</v>
      </c>
      <c r="N2864" t="s">
        <v>35</v>
      </c>
      <c r="O2864" t="s">
        <v>26</v>
      </c>
      <c r="P2864" t="s">
        <v>27</v>
      </c>
      <c r="Q2864" t="s">
        <v>28</v>
      </c>
      <c r="R2864" t="s">
        <v>29</v>
      </c>
      <c r="S2864" t="s">
        <v>30</v>
      </c>
      <c r="T2864">
        <v>1019102787</v>
      </c>
      <c r="U2864" t="s">
        <v>3977</v>
      </c>
      <c r="V2864" t="s">
        <v>3970</v>
      </c>
      <c r="W2864" s="9">
        <f>IF(V2864="pregrado",31,
IF(V2864="posgrados",31,
IF(V2864="rEINTEGROS",7,
IF(V2864="BIT",90,
IF(V2864="OP GRADO - INGLÉS",17,"")))))</f>
        <v>7</v>
      </c>
      <c r="X2864" t="s">
        <v>3976</v>
      </c>
    </row>
    <row r="2865" spans="1:24" ht="15" x14ac:dyDescent="0.35">
      <c r="A2865" s="4">
        <v>46059.477210648147</v>
      </c>
      <c r="B2865">
        <v>20121159</v>
      </c>
      <c r="C2865" s="6" t="s">
        <v>19</v>
      </c>
      <c r="D2865">
        <v>593519</v>
      </c>
      <c r="E2865" t="s">
        <v>20</v>
      </c>
      <c r="F2865">
        <v>1007408630</v>
      </c>
      <c r="G2865" t="s">
        <v>2857</v>
      </c>
      <c r="H2865">
        <v>100239195</v>
      </c>
      <c r="I2865">
        <v>202631</v>
      </c>
      <c r="J2865">
        <v>1007408630</v>
      </c>
      <c r="K2865" t="s">
        <v>33</v>
      </c>
      <c r="L2865" t="s">
        <v>42</v>
      </c>
      <c r="M2865" t="s">
        <v>24</v>
      </c>
      <c r="N2865" t="s">
        <v>25</v>
      </c>
      <c r="O2865" t="s">
        <v>26</v>
      </c>
      <c r="P2865" t="s">
        <v>27</v>
      </c>
      <c r="Q2865" t="s">
        <v>28</v>
      </c>
      <c r="R2865" t="s">
        <v>29</v>
      </c>
      <c r="S2865" t="s">
        <v>30</v>
      </c>
      <c r="T2865">
        <v>1000349074</v>
      </c>
      <c r="U2865" t="s">
        <v>3944</v>
      </c>
      <c r="V2865" t="s">
        <v>3934</v>
      </c>
      <c r="W2865" s="9">
        <f>IF(V2865="pregrado",31,
IF(V2865="posgrados",31,
IF(V2865="rEINTEGROS",7,
IF(V2865="BIT",90,
IF(V2865="OP GRADO - INGLÉS",17,"")))))</f>
        <v>31</v>
      </c>
      <c r="X2865" t="s">
        <v>4036</v>
      </c>
    </row>
    <row r="2866" spans="1:24" ht="15" x14ac:dyDescent="0.35">
      <c r="A2866" s="4">
        <v>46009.534467592595</v>
      </c>
      <c r="B2866">
        <v>20108521</v>
      </c>
      <c r="C2866" s="6" t="s">
        <v>19</v>
      </c>
      <c r="D2866">
        <v>593531</v>
      </c>
      <c r="E2866" t="s">
        <v>20</v>
      </c>
      <c r="F2866">
        <v>1016714247</v>
      </c>
      <c r="G2866" t="s">
        <v>1133</v>
      </c>
      <c r="H2866">
        <v>100239205</v>
      </c>
      <c r="I2866">
        <v>202631</v>
      </c>
      <c r="J2866">
        <v>1016714247</v>
      </c>
      <c r="K2866" t="s">
        <v>33</v>
      </c>
      <c r="L2866" t="s">
        <v>90</v>
      </c>
      <c r="M2866" t="s">
        <v>24</v>
      </c>
      <c r="N2866" t="s">
        <v>25</v>
      </c>
      <c r="O2866" t="s">
        <v>26</v>
      </c>
      <c r="P2866" t="s">
        <v>27</v>
      </c>
      <c r="Q2866" t="s">
        <v>28</v>
      </c>
      <c r="R2866" t="s">
        <v>29</v>
      </c>
      <c r="S2866" t="s">
        <v>30</v>
      </c>
      <c r="T2866">
        <v>1010240716</v>
      </c>
      <c r="U2866" t="s">
        <v>3939</v>
      </c>
      <c r="V2866" t="s">
        <v>3934</v>
      </c>
      <c r="W2866" s="9">
        <f>IF(V2866="pregrado",31,
IF(V2866="posgrados",31,
IF(V2866="rEINTEGROS",7,
IF(V2866="BIT",90,
IF(V2866="OP GRADO - INGLÉS",17,"")))))</f>
        <v>31</v>
      </c>
      <c r="X2866" t="s">
        <v>3938</v>
      </c>
    </row>
    <row r="2867" spans="1:24" ht="15" x14ac:dyDescent="0.35">
      <c r="A2867" s="4">
        <v>46021.495370370372</v>
      </c>
      <c r="B2867">
        <v>20110347</v>
      </c>
      <c r="C2867" s="6" t="s">
        <v>19</v>
      </c>
      <c r="D2867">
        <v>593537</v>
      </c>
      <c r="E2867" t="s">
        <v>20</v>
      </c>
      <c r="F2867">
        <v>1000855681</v>
      </c>
      <c r="G2867" t="s">
        <v>1401</v>
      </c>
      <c r="H2867">
        <v>200052565</v>
      </c>
      <c r="I2867">
        <v>202631</v>
      </c>
      <c r="J2867">
        <v>1000855681</v>
      </c>
      <c r="K2867" t="s">
        <v>33</v>
      </c>
      <c r="L2867" t="s">
        <v>77</v>
      </c>
      <c r="M2867" t="s">
        <v>24</v>
      </c>
      <c r="N2867" t="s">
        <v>35</v>
      </c>
      <c r="O2867" t="s">
        <v>26</v>
      </c>
      <c r="P2867" t="s">
        <v>27</v>
      </c>
      <c r="Q2867" t="s">
        <v>28</v>
      </c>
      <c r="R2867" t="s">
        <v>29</v>
      </c>
      <c r="S2867" t="s">
        <v>30</v>
      </c>
      <c r="T2867">
        <v>1077967131</v>
      </c>
      <c r="U2867" t="s">
        <v>3963</v>
      </c>
      <c r="V2867" t="s">
        <v>3934</v>
      </c>
      <c r="W2867" s="9">
        <f>IF(V2867="pregrado",31,
IF(V2867="posgrados",31,
IF(V2867="rEINTEGROS",7,
IF(V2867="BIT",90,
IF(V2867="OP GRADO - INGLÉS",17,"")))))</f>
        <v>31</v>
      </c>
      <c r="X2867" t="s">
        <v>4011</v>
      </c>
    </row>
    <row r="2868" spans="1:24" ht="15" x14ac:dyDescent="0.35">
      <c r="A2868" s="4">
        <v>46009.354247685187</v>
      </c>
      <c r="B2868">
        <v>20108387</v>
      </c>
      <c r="C2868" s="6" t="s">
        <v>19</v>
      </c>
      <c r="D2868">
        <v>593540</v>
      </c>
      <c r="E2868" t="s">
        <v>20</v>
      </c>
      <c r="F2868">
        <v>1007369950</v>
      </c>
      <c r="G2868" t="s">
        <v>1101</v>
      </c>
      <c r="H2868">
        <v>200073760</v>
      </c>
      <c r="I2868">
        <v>202631</v>
      </c>
      <c r="J2868">
        <v>1007369950</v>
      </c>
      <c r="K2868" t="s">
        <v>23</v>
      </c>
      <c r="L2868" t="s">
        <v>119</v>
      </c>
      <c r="M2868" t="s">
        <v>24</v>
      </c>
      <c r="N2868" t="s">
        <v>35</v>
      </c>
      <c r="O2868" t="s">
        <v>26</v>
      </c>
      <c r="P2868" t="s">
        <v>27</v>
      </c>
      <c r="Q2868" t="s">
        <v>28</v>
      </c>
      <c r="R2868" t="s">
        <v>29</v>
      </c>
      <c r="S2868" t="s">
        <v>30</v>
      </c>
      <c r="T2868">
        <v>1000251314</v>
      </c>
      <c r="U2868" t="s">
        <v>3963</v>
      </c>
      <c r="V2868" t="s">
        <v>3934</v>
      </c>
      <c r="W2868" s="9">
        <f>IF(V2868="pregrado",31,
IF(V2868="posgrados",31,
IF(V2868="rEINTEGROS",7,
IF(V2868="BIT",90,
IF(V2868="OP GRADO - INGLÉS",17,"")))))</f>
        <v>31</v>
      </c>
      <c r="X2868" t="s">
        <v>4024</v>
      </c>
    </row>
    <row r="2869" spans="1:24" ht="15" x14ac:dyDescent="0.35">
      <c r="A2869" s="4">
        <v>46010.477118055554</v>
      </c>
      <c r="B2869">
        <v>20108757</v>
      </c>
      <c r="C2869" s="6" t="s">
        <v>19</v>
      </c>
      <c r="D2869">
        <v>593542</v>
      </c>
      <c r="E2869" t="s">
        <v>20</v>
      </c>
      <c r="F2869">
        <v>32782382</v>
      </c>
      <c r="G2869" t="s">
        <v>1179</v>
      </c>
      <c r="H2869">
        <v>100217652</v>
      </c>
      <c r="I2869">
        <v>202631</v>
      </c>
      <c r="J2869">
        <v>1124055518</v>
      </c>
      <c r="K2869" t="s">
        <v>23</v>
      </c>
      <c r="L2869" t="s">
        <v>207</v>
      </c>
      <c r="M2869" t="s">
        <v>24</v>
      </c>
      <c r="N2869" t="s">
        <v>35</v>
      </c>
      <c r="O2869" t="s">
        <v>26</v>
      </c>
      <c r="P2869" t="s">
        <v>27</v>
      </c>
      <c r="Q2869" t="s">
        <v>28</v>
      </c>
      <c r="R2869" t="s">
        <v>29</v>
      </c>
      <c r="S2869" t="s">
        <v>30</v>
      </c>
      <c r="T2869">
        <v>1018496066</v>
      </c>
      <c r="U2869" t="s">
        <v>3939</v>
      </c>
      <c r="V2869" t="s">
        <v>3934</v>
      </c>
      <c r="W2869" s="9">
        <f>IF(V2869="pregrado",31,
IF(V2869="posgrados",31,
IF(V2869="rEINTEGROS",7,
IF(V2869="BIT",90,
IF(V2869="OP GRADO - INGLÉS",17,"")))))</f>
        <v>31</v>
      </c>
      <c r="X2869" t="s">
        <v>4006</v>
      </c>
    </row>
    <row r="2870" spans="1:24" ht="15" x14ac:dyDescent="0.35">
      <c r="A2870" s="4">
        <v>46013.611064814817</v>
      </c>
      <c r="B2870">
        <v>20109211</v>
      </c>
      <c r="C2870" s="6" t="s">
        <v>19</v>
      </c>
      <c r="D2870">
        <v>593544</v>
      </c>
      <c r="E2870" t="s">
        <v>20</v>
      </c>
      <c r="F2870">
        <v>73211753</v>
      </c>
      <c r="G2870" t="s">
        <v>1228</v>
      </c>
      <c r="H2870">
        <v>100237791</v>
      </c>
      <c r="I2870">
        <v>202610</v>
      </c>
      <c r="J2870">
        <v>1043658556</v>
      </c>
      <c r="K2870" t="s">
        <v>33</v>
      </c>
      <c r="L2870" t="s">
        <v>153</v>
      </c>
      <c r="M2870" t="s">
        <v>24</v>
      </c>
      <c r="N2870" t="s">
        <v>25</v>
      </c>
      <c r="O2870" t="s">
        <v>26</v>
      </c>
      <c r="P2870" t="s">
        <v>27</v>
      </c>
      <c r="Q2870" t="s">
        <v>28</v>
      </c>
      <c r="R2870" t="s">
        <v>29</v>
      </c>
      <c r="S2870" t="s">
        <v>30</v>
      </c>
      <c r="T2870">
        <v>10006855461</v>
      </c>
      <c r="U2870" t="s">
        <v>3965</v>
      </c>
      <c r="V2870" t="s">
        <v>3934</v>
      </c>
      <c r="W2870" s="9">
        <f>IF(V2870="pregrado",31,
IF(V2870="posgrados",31,
IF(V2870="rEINTEGROS",7,
IF(V2870="BIT",90,
IF(V2870="OP GRADO - INGLÉS",17,"")))))</f>
        <v>31</v>
      </c>
      <c r="X2870" t="s">
        <v>3993</v>
      </c>
    </row>
    <row r="2871" spans="1:24" ht="15" x14ac:dyDescent="0.35">
      <c r="A2871" s="4">
        <v>46009.462500000001</v>
      </c>
      <c r="B2871">
        <v>20108469</v>
      </c>
      <c r="C2871" s="6" t="s">
        <v>19</v>
      </c>
      <c r="D2871">
        <v>593549</v>
      </c>
      <c r="E2871" t="s">
        <v>20</v>
      </c>
      <c r="F2871">
        <v>1032460451</v>
      </c>
      <c r="G2871" t="s">
        <v>1120</v>
      </c>
      <c r="H2871">
        <v>100239218</v>
      </c>
      <c r="I2871">
        <v>202631</v>
      </c>
      <c r="J2871">
        <v>1032460451</v>
      </c>
      <c r="K2871" t="s">
        <v>33</v>
      </c>
      <c r="L2871" t="s">
        <v>90</v>
      </c>
      <c r="M2871" t="s">
        <v>24</v>
      </c>
      <c r="N2871" t="s">
        <v>25</v>
      </c>
      <c r="O2871" t="s">
        <v>26</v>
      </c>
      <c r="P2871" t="s">
        <v>27</v>
      </c>
      <c r="Q2871" t="s">
        <v>28</v>
      </c>
      <c r="R2871" t="s">
        <v>29</v>
      </c>
      <c r="S2871" t="s">
        <v>30</v>
      </c>
      <c r="T2871">
        <v>1023370559</v>
      </c>
      <c r="U2871" t="s">
        <v>3933</v>
      </c>
      <c r="V2871" t="s">
        <v>3934</v>
      </c>
      <c r="W2871" s="9">
        <f>IF(V2871="pregrado",31,
IF(V2871="posgrados",31,
IF(V2871="rEINTEGROS",7,
IF(V2871="BIT",90,
IF(V2871="OP GRADO - INGLÉS",17,"")))))</f>
        <v>31</v>
      </c>
      <c r="X2871" t="s">
        <v>4017</v>
      </c>
    </row>
    <row r="2872" spans="1:24" ht="15" x14ac:dyDescent="0.35">
      <c r="A2872" s="4">
        <v>46009.619560185187</v>
      </c>
      <c r="B2872">
        <v>20108561</v>
      </c>
      <c r="C2872" s="6" t="s">
        <v>19</v>
      </c>
      <c r="D2872">
        <v>593550</v>
      </c>
      <c r="E2872" t="s">
        <v>20</v>
      </c>
      <c r="F2872">
        <v>35411609</v>
      </c>
      <c r="G2872" t="s">
        <v>1143</v>
      </c>
      <c r="H2872">
        <v>100214159</v>
      </c>
      <c r="I2872">
        <v>202631</v>
      </c>
      <c r="J2872">
        <v>1076739223</v>
      </c>
      <c r="K2872" t="s">
        <v>33</v>
      </c>
      <c r="L2872" t="s">
        <v>207</v>
      </c>
      <c r="M2872" t="s">
        <v>24</v>
      </c>
      <c r="N2872" t="s">
        <v>25</v>
      </c>
      <c r="O2872" t="s">
        <v>26</v>
      </c>
      <c r="P2872" t="s">
        <v>27</v>
      </c>
      <c r="Q2872" t="s">
        <v>28</v>
      </c>
      <c r="R2872" t="s">
        <v>29</v>
      </c>
      <c r="S2872" t="s">
        <v>30</v>
      </c>
      <c r="T2872">
        <v>1001315142</v>
      </c>
      <c r="U2872" t="s">
        <v>3986</v>
      </c>
      <c r="V2872" t="s">
        <v>3934</v>
      </c>
      <c r="W2872" s="9">
        <f>IF(V2872="pregrado",31,
IF(V2872="posgrados",31,
IF(V2872="rEINTEGROS",7,
IF(V2872="BIT",90,
IF(V2872="OP GRADO - INGLÉS",17,"")))))</f>
        <v>31</v>
      </c>
      <c r="X2872" t="s">
        <v>4064</v>
      </c>
    </row>
    <row r="2873" spans="1:24" ht="15" x14ac:dyDescent="0.35">
      <c r="A2873" s="4">
        <v>46009.460520833331</v>
      </c>
      <c r="B2873">
        <v>20108467</v>
      </c>
      <c r="C2873" s="6" t="s">
        <v>19</v>
      </c>
      <c r="D2873">
        <v>593552</v>
      </c>
      <c r="E2873" t="s">
        <v>20</v>
      </c>
      <c r="F2873">
        <v>1003070349</v>
      </c>
      <c r="G2873" t="s">
        <v>1119</v>
      </c>
      <c r="H2873">
        <v>100239224</v>
      </c>
      <c r="I2873">
        <v>202631</v>
      </c>
      <c r="J2873">
        <v>1003070349</v>
      </c>
      <c r="K2873" t="s">
        <v>23</v>
      </c>
      <c r="L2873" t="s">
        <v>231</v>
      </c>
      <c r="M2873" t="s">
        <v>24</v>
      </c>
      <c r="N2873" t="s">
        <v>35</v>
      </c>
      <c r="O2873" t="s">
        <v>26</v>
      </c>
      <c r="P2873" t="s">
        <v>27</v>
      </c>
      <c r="Q2873" t="s">
        <v>28</v>
      </c>
      <c r="R2873" t="s">
        <v>29</v>
      </c>
      <c r="S2873" t="s">
        <v>30</v>
      </c>
      <c r="T2873">
        <v>1023000938</v>
      </c>
      <c r="U2873" t="s">
        <v>3941</v>
      </c>
      <c r="V2873" t="s">
        <v>3934</v>
      </c>
      <c r="W2873" s="9">
        <f>IF(V2873="pregrado",31,
IF(V2873="posgrados",31,
IF(V2873="rEINTEGROS",7,
IF(V2873="BIT",90,
IF(V2873="OP GRADO - INGLÉS",17,"")))))</f>
        <v>31</v>
      </c>
      <c r="X2873" t="s">
        <v>3989</v>
      </c>
    </row>
    <row r="2874" spans="1:24" ht="15" x14ac:dyDescent="0.35">
      <c r="A2874" s="4">
        <v>46009.418356481481</v>
      </c>
      <c r="B2874">
        <v>20108428</v>
      </c>
      <c r="C2874" s="6" t="s">
        <v>19</v>
      </c>
      <c r="D2874">
        <v>593557</v>
      </c>
      <c r="E2874" t="s">
        <v>20</v>
      </c>
      <c r="F2874">
        <v>1089801060</v>
      </c>
      <c r="G2874" t="s">
        <v>1109</v>
      </c>
      <c r="H2874">
        <v>100239228</v>
      </c>
      <c r="I2874">
        <v>202611</v>
      </c>
      <c r="J2874">
        <v>1085544377</v>
      </c>
      <c r="K2874" t="s">
        <v>23</v>
      </c>
      <c r="L2874" t="s">
        <v>221</v>
      </c>
      <c r="M2874" t="s">
        <v>24</v>
      </c>
      <c r="N2874" t="s">
        <v>35</v>
      </c>
      <c r="O2874" t="s">
        <v>26</v>
      </c>
      <c r="P2874" t="s">
        <v>27</v>
      </c>
      <c r="Q2874" t="s">
        <v>28</v>
      </c>
      <c r="R2874" t="s">
        <v>29</v>
      </c>
      <c r="S2874" t="s">
        <v>30</v>
      </c>
      <c r="T2874">
        <v>1073692626</v>
      </c>
      <c r="U2874" t="s">
        <v>3965</v>
      </c>
      <c r="V2874" t="s">
        <v>3934</v>
      </c>
      <c r="W2874" s="9">
        <f>IF(V2874="pregrado",31,
IF(V2874="posgrados",31,
IF(V2874="rEINTEGROS",7,
IF(V2874="BIT",90,
IF(V2874="OP GRADO - INGLÉS",17,"")))))</f>
        <v>31</v>
      </c>
      <c r="X2874" t="s">
        <v>4014</v>
      </c>
    </row>
    <row r="2875" spans="1:24" ht="15" x14ac:dyDescent="0.35">
      <c r="A2875" s="4">
        <v>46008.787534722222</v>
      </c>
      <c r="B2875">
        <v>20108354</v>
      </c>
      <c r="C2875" s="6" t="s">
        <v>19</v>
      </c>
      <c r="D2875">
        <v>593561</v>
      </c>
      <c r="E2875" t="s">
        <v>20</v>
      </c>
      <c r="F2875">
        <v>1104133300</v>
      </c>
      <c r="G2875" t="s">
        <v>1099</v>
      </c>
      <c r="H2875">
        <v>200071743</v>
      </c>
      <c r="I2875">
        <v>202631</v>
      </c>
      <c r="J2875">
        <v>1104133300</v>
      </c>
      <c r="K2875" t="s">
        <v>23</v>
      </c>
      <c r="L2875" t="s">
        <v>370</v>
      </c>
      <c r="M2875" t="s">
        <v>24</v>
      </c>
      <c r="N2875" t="s">
        <v>35</v>
      </c>
      <c r="O2875" t="s">
        <v>26</v>
      </c>
      <c r="P2875" t="s">
        <v>27</v>
      </c>
      <c r="Q2875" t="s">
        <v>28</v>
      </c>
      <c r="R2875" t="s">
        <v>29</v>
      </c>
      <c r="S2875" t="s">
        <v>30</v>
      </c>
      <c r="T2875">
        <v>1023367706</v>
      </c>
      <c r="U2875" t="s">
        <v>3963</v>
      </c>
      <c r="V2875" t="s">
        <v>3934</v>
      </c>
      <c r="W2875" s="9">
        <f>IF(V2875="pregrado",31,
IF(V2875="posgrados",31,
IF(V2875="rEINTEGROS",7,
IF(V2875="BIT",90,
IF(V2875="OP GRADO - INGLÉS",17,"")))))</f>
        <v>31</v>
      </c>
      <c r="X2875" t="s">
        <v>4039</v>
      </c>
    </row>
    <row r="2876" spans="1:24" ht="15" x14ac:dyDescent="0.35">
      <c r="A2876" s="4">
        <v>46011.405150462961</v>
      </c>
      <c r="B2876">
        <v>20108980</v>
      </c>
      <c r="C2876" s="6" t="s">
        <v>19</v>
      </c>
      <c r="D2876">
        <v>593569</v>
      </c>
      <c r="E2876" t="s">
        <v>20</v>
      </c>
      <c r="F2876">
        <v>30572417</v>
      </c>
      <c r="G2876" t="s">
        <v>1201</v>
      </c>
      <c r="H2876">
        <v>100237753</v>
      </c>
      <c r="I2876">
        <v>202610</v>
      </c>
      <c r="J2876">
        <v>1010061068</v>
      </c>
      <c r="K2876" t="s">
        <v>33</v>
      </c>
      <c r="L2876" t="s">
        <v>49</v>
      </c>
      <c r="M2876" t="s">
        <v>24</v>
      </c>
      <c r="N2876" t="s">
        <v>35</v>
      </c>
      <c r="O2876" t="s">
        <v>26</v>
      </c>
      <c r="P2876" t="s">
        <v>27</v>
      </c>
      <c r="Q2876" t="s">
        <v>28</v>
      </c>
      <c r="R2876" t="s">
        <v>29</v>
      </c>
      <c r="S2876" t="s">
        <v>30</v>
      </c>
      <c r="T2876">
        <v>1015478965</v>
      </c>
      <c r="U2876" t="s">
        <v>3944</v>
      </c>
      <c r="V2876" t="s">
        <v>3934</v>
      </c>
      <c r="W2876" s="9">
        <f>IF(V2876="pregrado",31,
IF(V2876="posgrados",31,
IF(V2876="rEINTEGROS",7,
IF(V2876="BIT",90,
IF(V2876="OP GRADO - INGLÉS",17,"")))))</f>
        <v>31</v>
      </c>
      <c r="X2876" t="s">
        <v>3979</v>
      </c>
    </row>
    <row r="2877" spans="1:24" ht="15" x14ac:dyDescent="0.35">
      <c r="A2877" s="4">
        <v>46044.639050925929</v>
      </c>
      <c r="B2877">
        <v>20116228</v>
      </c>
      <c r="C2877" s="6" t="s">
        <v>19</v>
      </c>
      <c r="D2877">
        <v>593574</v>
      </c>
      <c r="E2877" t="s">
        <v>20</v>
      </c>
      <c r="F2877">
        <v>1001295231</v>
      </c>
      <c r="G2877" t="s">
        <v>2179</v>
      </c>
      <c r="H2877">
        <v>100239239</v>
      </c>
      <c r="I2877">
        <v>202631</v>
      </c>
      <c r="J2877">
        <v>1001295231</v>
      </c>
      <c r="K2877" t="s">
        <v>33</v>
      </c>
      <c r="L2877" t="s">
        <v>90</v>
      </c>
      <c r="M2877" t="s">
        <v>24</v>
      </c>
      <c r="N2877" t="s">
        <v>25</v>
      </c>
      <c r="O2877" t="s">
        <v>26</v>
      </c>
      <c r="P2877" t="s">
        <v>27</v>
      </c>
      <c r="Q2877" t="s">
        <v>28</v>
      </c>
      <c r="R2877" t="s">
        <v>29</v>
      </c>
      <c r="S2877" t="s">
        <v>30</v>
      </c>
      <c r="T2877">
        <v>1023370559</v>
      </c>
      <c r="U2877" t="s">
        <v>3933</v>
      </c>
      <c r="V2877" t="s">
        <v>3934</v>
      </c>
      <c r="W2877" s="9">
        <f>IF(V2877="pregrado",31,
IF(V2877="posgrados",31,
IF(V2877="rEINTEGROS",7,
IF(V2877="BIT",90,
IF(V2877="OP GRADO - INGLÉS",17,"")))))</f>
        <v>31</v>
      </c>
      <c r="X2877" t="s">
        <v>4017</v>
      </c>
    </row>
    <row r="2878" spans="1:24" ht="15" x14ac:dyDescent="0.35">
      <c r="A2878" s="4">
        <v>46014.647372685184</v>
      </c>
      <c r="B2878">
        <v>20109575</v>
      </c>
      <c r="C2878" s="6" t="s">
        <v>19</v>
      </c>
      <c r="D2878">
        <v>593579</v>
      </c>
      <c r="E2878" t="s">
        <v>20</v>
      </c>
      <c r="F2878">
        <v>1122120382</v>
      </c>
      <c r="G2878" t="s">
        <v>1277</v>
      </c>
      <c r="H2878">
        <v>100239242</v>
      </c>
      <c r="I2878">
        <v>202610</v>
      </c>
      <c r="J2878">
        <v>1122128711</v>
      </c>
      <c r="K2878" t="s">
        <v>23</v>
      </c>
      <c r="L2878" t="s">
        <v>79</v>
      </c>
      <c r="M2878" t="s">
        <v>24</v>
      </c>
      <c r="N2878" t="s">
        <v>35</v>
      </c>
      <c r="O2878" t="s">
        <v>26</v>
      </c>
      <c r="P2878" t="s">
        <v>27</v>
      </c>
      <c r="Q2878" t="s">
        <v>28</v>
      </c>
      <c r="R2878" t="s">
        <v>29</v>
      </c>
      <c r="S2878" t="s">
        <v>30</v>
      </c>
      <c r="T2878">
        <v>1030573476</v>
      </c>
      <c r="U2878" t="s">
        <v>3965</v>
      </c>
      <c r="V2878" t="s">
        <v>3934</v>
      </c>
      <c r="W2878" s="9">
        <f>IF(V2878="pregrado",31,
IF(V2878="posgrados",31,
IF(V2878="rEINTEGROS",7,
IF(V2878="BIT",90,
IF(V2878="OP GRADO - INGLÉS",17,"")))))</f>
        <v>31</v>
      </c>
      <c r="X2878" t="s">
        <v>4077</v>
      </c>
    </row>
    <row r="2879" spans="1:24" ht="15" x14ac:dyDescent="0.35">
      <c r="A2879" s="4">
        <v>46009.544131944444</v>
      </c>
      <c r="B2879">
        <v>20108528</v>
      </c>
      <c r="C2879" s="6" t="s">
        <v>19</v>
      </c>
      <c r="D2879">
        <v>593586</v>
      </c>
      <c r="E2879" t="s">
        <v>20</v>
      </c>
      <c r="F2879">
        <v>1007138106</v>
      </c>
      <c r="G2879" t="s">
        <v>1135</v>
      </c>
      <c r="H2879">
        <v>100239251</v>
      </c>
      <c r="I2879">
        <v>202631</v>
      </c>
      <c r="J2879">
        <v>1007138106</v>
      </c>
      <c r="K2879" t="s">
        <v>33</v>
      </c>
      <c r="L2879" t="s">
        <v>127</v>
      </c>
      <c r="M2879" t="s">
        <v>24</v>
      </c>
      <c r="N2879" t="s">
        <v>25</v>
      </c>
      <c r="O2879" t="s">
        <v>26</v>
      </c>
      <c r="P2879" t="s">
        <v>27</v>
      </c>
      <c r="Q2879" t="s">
        <v>28</v>
      </c>
      <c r="R2879" t="s">
        <v>29</v>
      </c>
      <c r="S2879" t="s">
        <v>30</v>
      </c>
      <c r="T2879">
        <v>1023921046</v>
      </c>
      <c r="U2879" t="s">
        <v>3933</v>
      </c>
      <c r="V2879" t="s">
        <v>3934</v>
      </c>
      <c r="W2879" s="9">
        <f>IF(V2879="pregrado",31,
IF(V2879="posgrados",31,
IF(V2879="rEINTEGROS",7,
IF(V2879="BIT",90,
IF(V2879="OP GRADO - INGLÉS",17,"")))))</f>
        <v>31</v>
      </c>
      <c r="X2879" t="s">
        <v>4043</v>
      </c>
    </row>
    <row r="2880" spans="1:24" ht="15" x14ac:dyDescent="0.35">
      <c r="A2880" s="4">
        <v>46009.567256944443</v>
      </c>
      <c r="B2880">
        <v>20108536</v>
      </c>
      <c r="C2880" s="6" t="s">
        <v>19</v>
      </c>
      <c r="D2880">
        <v>593588</v>
      </c>
      <c r="E2880" t="s">
        <v>20</v>
      </c>
      <c r="F2880">
        <v>1032676543</v>
      </c>
      <c r="G2880" t="s">
        <v>1139</v>
      </c>
      <c r="H2880">
        <v>100238179</v>
      </c>
      <c r="I2880">
        <v>202631</v>
      </c>
      <c r="J2880">
        <v>1032676543</v>
      </c>
      <c r="K2880" t="s">
        <v>33</v>
      </c>
      <c r="L2880" t="s">
        <v>231</v>
      </c>
      <c r="M2880" t="s">
        <v>24</v>
      </c>
      <c r="N2880" t="s">
        <v>25</v>
      </c>
      <c r="O2880" t="s">
        <v>26</v>
      </c>
      <c r="P2880" t="s">
        <v>27</v>
      </c>
      <c r="Q2880" t="s">
        <v>28</v>
      </c>
      <c r="R2880" t="s">
        <v>29</v>
      </c>
      <c r="S2880" t="s">
        <v>30</v>
      </c>
      <c r="T2880">
        <v>1001192723</v>
      </c>
      <c r="U2880" t="s">
        <v>3941</v>
      </c>
      <c r="V2880" t="s">
        <v>3934</v>
      </c>
      <c r="W2880" s="9">
        <f>IF(V2880="pregrado",31,
IF(V2880="posgrados",31,
IF(V2880="rEINTEGROS",7,
IF(V2880="BIT",90,
IF(V2880="OP GRADO - INGLÉS",17,"")))))</f>
        <v>31</v>
      </c>
      <c r="X2880" t="s">
        <v>3940</v>
      </c>
    </row>
    <row r="2881" spans="1:24" ht="15" x14ac:dyDescent="0.35">
      <c r="A2881" s="4">
        <v>46013.529976851853</v>
      </c>
      <c r="B2881">
        <v>20109179</v>
      </c>
      <c r="C2881" s="6" t="s">
        <v>19</v>
      </c>
      <c r="D2881">
        <v>593589</v>
      </c>
      <c r="E2881" t="s">
        <v>20</v>
      </c>
      <c r="F2881">
        <v>33646430</v>
      </c>
      <c r="G2881" t="s">
        <v>1221</v>
      </c>
      <c r="H2881">
        <v>100239253</v>
      </c>
      <c r="I2881">
        <v>202611</v>
      </c>
      <c r="J2881">
        <v>1029662525</v>
      </c>
      <c r="K2881" t="s">
        <v>23</v>
      </c>
      <c r="L2881" t="s">
        <v>221</v>
      </c>
      <c r="M2881" t="s">
        <v>24</v>
      </c>
      <c r="N2881" t="s">
        <v>35</v>
      </c>
      <c r="O2881" t="s">
        <v>26</v>
      </c>
      <c r="P2881" t="s">
        <v>27</v>
      </c>
      <c r="Q2881" t="s">
        <v>28</v>
      </c>
      <c r="R2881" t="s">
        <v>29</v>
      </c>
      <c r="S2881" t="s">
        <v>30</v>
      </c>
      <c r="T2881">
        <v>1030570122</v>
      </c>
      <c r="U2881" t="s">
        <v>3965</v>
      </c>
      <c r="V2881" t="s">
        <v>3934</v>
      </c>
      <c r="W2881" s="9">
        <f>IF(V2881="pregrado",31,
IF(V2881="posgrados",31,
IF(V2881="rEINTEGROS",7,
IF(V2881="BIT",90,
IF(V2881="OP GRADO - INGLÉS",17,"")))))</f>
        <v>31</v>
      </c>
      <c r="X2881" t="s">
        <v>4015</v>
      </c>
    </row>
    <row r="2882" spans="1:24" ht="15" x14ac:dyDescent="0.35">
      <c r="A2882" s="4">
        <v>46010.738356481481</v>
      </c>
      <c r="B2882">
        <v>20108940</v>
      </c>
      <c r="C2882" s="6" t="s">
        <v>19</v>
      </c>
      <c r="D2882">
        <v>593596</v>
      </c>
      <c r="E2882" t="s">
        <v>20</v>
      </c>
      <c r="F2882">
        <v>40775090</v>
      </c>
      <c r="G2882" t="s">
        <v>1195</v>
      </c>
      <c r="H2882">
        <v>100239257</v>
      </c>
      <c r="I2882">
        <v>202611</v>
      </c>
      <c r="J2882">
        <v>1006504097</v>
      </c>
      <c r="K2882" t="s">
        <v>23</v>
      </c>
      <c r="L2882" t="s">
        <v>227</v>
      </c>
      <c r="M2882" t="s">
        <v>24</v>
      </c>
      <c r="N2882" t="s">
        <v>25</v>
      </c>
      <c r="O2882" t="s">
        <v>26</v>
      </c>
      <c r="P2882" t="s">
        <v>27</v>
      </c>
      <c r="Q2882" t="s">
        <v>28</v>
      </c>
      <c r="R2882" t="s">
        <v>29</v>
      </c>
      <c r="S2882" t="s">
        <v>30</v>
      </c>
      <c r="T2882">
        <v>1032678391</v>
      </c>
      <c r="U2882" t="s">
        <v>3965</v>
      </c>
      <c r="V2882" t="s">
        <v>3934</v>
      </c>
      <c r="W2882" s="9">
        <f>IF(V2882="pregrado",31,
IF(V2882="posgrados",31,
IF(V2882="rEINTEGROS",7,
IF(V2882="BIT",90,
IF(V2882="OP GRADO - INGLÉS",17,"")))))</f>
        <v>31</v>
      </c>
      <c r="X2882" t="s">
        <v>4098</v>
      </c>
    </row>
    <row r="2883" spans="1:24" ht="15" x14ac:dyDescent="0.35">
      <c r="A2883" s="4">
        <v>46013.409421296295</v>
      </c>
      <c r="B2883">
        <v>20109107</v>
      </c>
      <c r="C2883" s="6" t="s">
        <v>19</v>
      </c>
      <c r="D2883">
        <v>593612</v>
      </c>
      <c r="E2883" t="s">
        <v>20</v>
      </c>
      <c r="F2883">
        <v>1002847159</v>
      </c>
      <c r="G2883" t="s">
        <v>1214</v>
      </c>
      <c r="H2883">
        <v>200055233</v>
      </c>
      <c r="I2883">
        <v>202631</v>
      </c>
      <c r="J2883">
        <v>1002847159</v>
      </c>
      <c r="K2883" t="s">
        <v>33</v>
      </c>
      <c r="L2883" t="s">
        <v>119</v>
      </c>
      <c r="M2883" t="s">
        <v>24</v>
      </c>
      <c r="N2883" t="s">
        <v>35</v>
      </c>
      <c r="O2883" t="s">
        <v>26</v>
      </c>
      <c r="P2883" t="s">
        <v>27</v>
      </c>
      <c r="Q2883" t="s">
        <v>28</v>
      </c>
      <c r="R2883" t="s">
        <v>29</v>
      </c>
      <c r="S2883" t="s">
        <v>30</v>
      </c>
      <c r="T2883">
        <v>1023975276</v>
      </c>
      <c r="U2883" t="s">
        <v>3963</v>
      </c>
      <c r="V2883" t="s">
        <v>3934</v>
      </c>
      <c r="W2883" s="9">
        <f>IF(V2883="pregrado",31,
IF(V2883="posgrados",31,
IF(V2883="rEINTEGROS",7,
IF(V2883="BIT",90,
IF(V2883="OP GRADO - INGLÉS",17,"")))))</f>
        <v>31</v>
      </c>
      <c r="X2883" t="s">
        <v>3962</v>
      </c>
    </row>
    <row r="2884" spans="1:24" ht="15" x14ac:dyDescent="0.35">
      <c r="A2884" s="4">
        <v>46009.729375000003</v>
      </c>
      <c r="B2884">
        <v>20108623</v>
      </c>
      <c r="C2884" s="6" t="s">
        <v>19</v>
      </c>
      <c r="D2884">
        <v>593615</v>
      </c>
      <c r="E2884" t="s">
        <v>20</v>
      </c>
      <c r="F2884">
        <v>73127858</v>
      </c>
      <c r="G2884" t="s">
        <v>1159</v>
      </c>
      <c r="H2884">
        <v>100239272</v>
      </c>
      <c r="I2884">
        <v>202631</v>
      </c>
      <c r="J2884">
        <v>1085008850</v>
      </c>
      <c r="K2884" t="s">
        <v>23</v>
      </c>
      <c r="L2884" t="s">
        <v>219</v>
      </c>
      <c r="M2884" t="s">
        <v>24</v>
      </c>
      <c r="N2884" t="s">
        <v>25</v>
      </c>
      <c r="O2884" t="s">
        <v>26</v>
      </c>
      <c r="P2884" t="s">
        <v>27</v>
      </c>
      <c r="Q2884" t="s">
        <v>28</v>
      </c>
      <c r="R2884" t="s">
        <v>29</v>
      </c>
      <c r="S2884" t="s">
        <v>30</v>
      </c>
      <c r="T2884">
        <v>1013662799</v>
      </c>
      <c r="U2884" t="s">
        <v>3965</v>
      </c>
      <c r="V2884" t="s">
        <v>3934</v>
      </c>
      <c r="W2884" s="9">
        <f>IF(V2884="pregrado",31,
IF(V2884="posgrados",31,
IF(V2884="rEINTEGROS",7,
IF(V2884="BIT",90,
IF(V2884="OP GRADO - INGLÉS",17,"")))))</f>
        <v>31</v>
      </c>
      <c r="X2884" t="s">
        <v>4021</v>
      </c>
    </row>
    <row r="2885" spans="1:24" ht="15" x14ac:dyDescent="0.35">
      <c r="A2885" s="4">
        <v>46010.502627314818</v>
      </c>
      <c r="B2885">
        <v>20108772</v>
      </c>
      <c r="C2885" s="6" t="s">
        <v>19</v>
      </c>
      <c r="D2885">
        <v>593616</v>
      </c>
      <c r="E2885" t="s">
        <v>20</v>
      </c>
      <c r="F2885">
        <v>1085334511</v>
      </c>
      <c r="G2885" t="s">
        <v>1182</v>
      </c>
      <c r="H2885">
        <v>200055787</v>
      </c>
      <c r="I2885">
        <v>202631</v>
      </c>
      <c r="J2885">
        <v>1085334511</v>
      </c>
      <c r="K2885" t="s">
        <v>23</v>
      </c>
      <c r="L2885" t="s">
        <v>119</v>
      </c>
      <c r="M2885" t="s">
        <v>24</v>
      </c>
      <c r="N2885" t="s">
        <v>35</v>
      </c>
      <c r="O2885" t="s">
        <v>26</v>
      </c>
      <c r="P2885" t="s">
        <v>27</v>
      </c>
      <c r="Q2885" t="s">
        <v>28</v>
      </c>
      <c r="R2885" t="s">
        <v>29</v>
      </c>
      <c r="S2885" t="s">
        <v>30</v>
      </c>
      <c r="T2885">
        <v>52446712</v>
      </c>
      <c r="U2885" t="s">
        <v>3963</v>
      </c>
      <c r="V2885" t="s">
        <v>3934</v>
      </c>
      <c r="W2885" s="9">
        <f>IF(V2885="pregrado",31,
IF(V2885="posgrados",31,
IF(V2885="rEINTEGROS",7,
IF(V2885="BIT",90,
IF(V2885="OP GRADO - INGLÉS",17,"")))))</f>
        <v>31</v>
      </c>
      <c r="X2885" t="s">
        <v>4041</v>
      </c>
    </row>
    <row r="2886" spans="1:24" ht="15" x14ac:dyDescent="0.35">
      <c r="A2886" s="4">
        <v>46010.446539351855</v>
      </c>
      <c r="B2886">
        <v>20108735</v>
      </c>
      <c r="C2886" s="6" t="s">
        <v>19</v>
      </c>
      <c r="D2886">
        <v>593625</v>
      </c>
      <c r="E2886" t="s">
        <v>20</v>
      </c>
      <c r="F2886">
        <v>1124848282</v>
      </c>
      <c r="G2886" t="s">
        <v>1175</v>
      </c>
      <c r="H2886">
        <v>100239281</v>
      </c>
      <c r="I2886">
        <v>202631</v>
      </c>
      <c r="J2886">
        <v>1124848282</v>
      </c>
      <c r="K2886" t="s">
        <v>33</v>
      </c>
      <c r="L2886" t="s">
        <v>90</v>
      </c>
      <c r="M2886" t="s">
        <v>24</v>
      </c>
      <c r="N2886" t="s">
        <v>25</v>
      </c>
      <c r="O2886" t="s">
        <v>26</v>
      </c>
      <c r="P2886" t="s">
        <v>27</v>
      </c>
      <c r="Q2886" t="s">
        <v>28</v>
      </c>
      <c r="R2886" t="s">
        <v>29</v>
      </c>
      <c r="S2886" t="s">
        <v>30</v>
      </c>
      <c r="T2886">
        <v>1025460711</v>
      </c>
      <c r="U2886" t="s">
        <v>3933</v>
      </c>
      <c r="V2886" t="s">
        <v>3934</v>
      </c>
      <c r="W2886" s="9">
        <f>IF(V2886="pregrado",31,
IF(V2886="posgrados",31,
IF(V2886="rEINTEGROS",7,
IF(V2886="BIT",90,
IF(V2886="OP GRADO - INGLÉS",17,"")))))</f>
        <v>31</v>
      </c>
      <c r="X2886" t="s">
        <v>4062</v>
      </c>
    </row>
    <row r="2887" spans="1:24" ht="15" x14ac:dyDescent="0.35">
      <c r="A2887" s="4">
        <v>46009.446828703702</v>
      </c>
      <c r="B2887">
        <v>20108450</v>
      </c>
      <c r="C2887" s="6" t="s">
        <v>19</v>
      </c>
      <c r="D2887">
        <v>593635</v>
      </c>
      <c r="E2887" t="s">
        <v>20</v>
      </c>
      <c r="F2887">
        <v>1072496683</v>
      </c>
      <c r="G2887" t="s">
        <v>1117</v>
      </c>
      <c r="H2887">
        <v>100229619</v>
      </c>
      <c r="I2887">
        <v>202631</v>
      </c>
      <c r="J2887">
        <v>1072496683</v>
      </c>
      <c r="K2887" t="s">
        <v>33</v>
      </c>
      <c r="L2887" t="s">
        <v>127</v>
      </c>
      <c r="M2887" t="s">
        <v>24</v>
      </c>
      <c r="N2887" t="s">
        <v>25</v>
      </c>
      <c r="O2887" t="s">
        <v>26</v>
      </c>
      <c r="P2887" t="s">
        <v>27</v>
      </c>
      <c r="Q2887" t="s">
        <v>28</v>
      </c>
      <c r="R2887" t="s">
        <v>29</v>
      </c>
      <c r="S2887" t="s">
        <v>30</v>
      </c>
      <c r="T2887">
        <v>1030525993</v>
      </c>
      <c r="U2887" t="s">
        <v>3933</v>
      </c>
      <c r="V2887" t="s">
        <v>3934</v>
      </c>
      <c r="W2887" s="9">
        <f>IF(V2887="pregrado",31,
IF(V2887="posgrados",31,
IF(V2887="rEINTEGROS",7,
IF(V2887="BIT",90,
IF(V2887="OP GRADO - INGLÉS",17,"")))))</f>
        <v>31</v>
      </c>
      <c r="X2887" t="s">
        <v>3956</v>
      </c>
    </row>
    <row r="2888" spans="1:24" ht="15" x14ac:dyDescent="0.35">
      <c r="A2888" s="4">
        <v>46027.628611111111</v>
      </c>
      <c r="B2888">
        <v>20110971</v>
      </c>
      <c r="C2888" s="6" t="s">
        <v>19</v>
      </c>
      <c r="D2888">
        <v>593638</v>
      </c>
      <c r="E2888" t="s">
        <v>20</v>
      </c>
      <c r="F2888">
        <v>1014194603</v>
      </c>
      <c r="G2888" t="s">
        <v>1484</v>
      </c>
      <c r="H2888">
        <v>100227773</v>
      </c>
      <c r="I2888">
        <v>202610</v>
      </c>
      <c r="J2888">
        <v>1014194603</v>
      </c>
      <c r="K2888" t="s">
        <v>23</v>
      </c>
      <c r="L2888" t="s">
        <v>153</v>
      </c>
      <c r="M2888" t="s">
        <v>24</v>
      </c>
      <c r="N2888" t="s">
        <v>35</v>
      </c>
      <c r="O2888" t="s">
        <v>26</v>
      </c>
      <c r="P2888" t="s">
        <v>27</v>
      </c>
      <c r="Q2888" t="s">
        <v>28</v>
      </c>
      <c r="R2888" t="s">
        <v>29</v>
      </c>
      <c r="S2888" t="s">
        <v>30</v>
      </c>
      <c r="T2888">
        <v>52392617</v>
      </c>
      <c r="U2888" t="s">
        <v>3965</v>
      </c>
      <c r="V2888" t="s">
        <v>3934</v>
      </c>
      <c r="W2888" s="9">
        <f>IF(V2888="pregrado",31,
IF(V2888="posgrados",31,
IF(V2888="rEINTEGROS",7,
IF(V2888="BIT",90,
IF(V2888="OP GRADO - INGLÉS",17,"")))))</f>
        <v>31</v>
      </c>
      <c r="X2888" t="s">
        <v>4053</v>
      </c>
    </row>
    <row r="2889" spans="1:24" ht="15" x14ac:dyDescent="0.35">
      <c r="A2889" s="4">
        <v>46009.71597222222</v>
      </c>
      <c r="B2889">
        <v>20108616</v>
      </c>
      <c r="C2889" s="6" t="s">
        <v>19</v>
      </c>
      <c r="D2889">
        <v>593643</v>
      </c>
      <c r="E2889" t="s">
        <v>20</v>
      </c>
      <c r="F2889">
        <v>1022948619</v>
      </c>
      <c r="G2889" t="s">
        <v>1157</v>
      </c>
      <c r="H2889">
        <v>100239305</v>
      </c>
      <c r="I2889">
        <v>202631</v>
      </c>
      <c r="J2889">
        <v>1022948619</v>
      </c>
      <c r="K2889" t="s">
        <v>33</v>
      </c>
      <c r="L2889" t="s">
        <v>90</v>
      </c>
      <c r="M2889" t="s">
        <v>24</v>
      </c>
      <c r="N2889" t="s">
        <v>25</v>
      </c>
      <c r="O2889" t="s">
        <v>26</v>
      </c>
      <c r="P2889" t="s">
        <v>27</v>
      </c>
      <c r="Q2889" t="s">
        <v>28</v>
      </c>
      <c r="R2889" t="s">
        <v>29</v>
      </c>
      <c r="S2889" t="s">
        <v>30</v>
      </c>
      <c r="T2889">
        <v>1013595695</v>
      </c>
      <c r="U2889" t="s">
        <v>3933</v>
      </c>
      <c r="V2889" t="s">
        <v>3934</v>
      </c>
      <c r="W2889" s="9">
        <f>IF(V2889="pregrado",31,
IF(V2889="posgrados",31,
IF(V2889="rEINTEGROS",7,
IF(V2889="BIT",90,
IF(V2889="OP GRADO - INGLÉS",17,"")))))</f>
        <v>31</v>
      </c>
      <c r="X2889" t="s">
        <v>3990</v>
      </c>
    </row>
    <row r="2890" spans="1:24" ht="15" x14ac:dyDescent="0.35">
      <c r="A2890" s="4">
        <v>46013.558865740742</v>
      </c>
      <c r="B2890">
        <v>20109195</v>
      </c>
      <c r="C2890" s="6" t="s">
        <v>19</v>
      </c>
      <c r="D2890">
        <v>593659</v>
      </c>
      <c r="E2890" t="s">
        <v>20</v>
      </c>
      <c r="F2890">
        <v>1078577880</v>
      </c>
      <c r="G2890" t="s">
        <v>1225</v>
      </c>
      <c r="H2890">
        <v>100239325</v>
      </c>
      <c r="I2890">
        <v>202611</v>
      </c>
      <c r="J2890">
        <v>1078577880</v>
      </c>
      <c r="K2890" t="s">
        <v>23</v>
      </c>
      <c r="L2890" t="s">
        <v>221</v>
      </c>
      <c r="M2890" t="s">
        <v>24</v>
      </c>
      <c r="N2890" t="s">
        <v>35</v>
      </c>
      <c r="O2890" t="s">
        <v>26</v>
      </c>
      <c r="P2890" t="s">
        <v>27</v>
      </c>
      <c r="Q2890" t="s">
        <v>28</v>
      </c>
      <c r="R2890" t="s">
        <v>29</v>
      </c>
      <c r="S2890" t="s">
        <v>30</v>
      </c>
      <c r="T2890">
        <v>1073692626</v>
      </c>
      <c r="U2890" t="s">
        <v>3965</v>
      </c>
      <c r="V2890" t="s">
        <v>3934</v>
      </c>
      <c r="W2890" s="9">
        <f>IF(V2890="pregrado",31,
IF(V2890="posgrados",31,
IF(V2890="rEINTEGROS",7,
IF(V2890="BIT",90,
IF(V2890="OP GRADO - INGLÉS",17,"")))))</f>
        <v>31</v>
      </c>
      <c r="X2890" t="s">
        <v>4014</v>
      </c>
    </row>
    <row r="2891" spans="1:24" ht="15" x14ac:dyDescent="0.35">
      <c r="A2891" s="4">
        <v>46067.487997685188</v>
      </c>
      <c r="B2891">
        <v>20123450</v>
      </c>
      <c r="C2891" s="6" t="s">
        <v>19</v>
      </c>
      <c r="D2891">
        <v>593661</v>
      </c>
      <c r="E2891" t="s">
        <v>20</v>
      </c>
      <c r="F2891">
        <v>1000106088</v>
      </c>
      <c r="G2891" t="s">
        <v>3209</v>
      </c>
      <c r="H2891">
        <v>100239328</v>
      </c>
      <c r="I2891">
        <v>202631</v>
      </c>
      <c r="J2891">
        <v>1000106088</v>
      </c>
      <c r="K2891" t="s">
        <v>33</v>
      </c>
      <c r="L2891" t="s">
        <v>32</v>
      </c>
      <c r="M2891" t="s">
        <v>24</v>
      </c>
      <c r="N2891" t="s">
        <v>25</v>
      </c>
      <c r="O2891" t="s">
        <v>26</v>
      </c>
      <c r="P2891" t="s">
        <v>27</v>
      </c>
      <c r="Q2891" t="s">
        <v>28</v>
      </c>
      <c r="R2891" t="s">
        <v>29</v>
      </c>
      <c r="S2891" t="s">
        <v>30</v>
      </c>
      <c r="T2891">
        <v>1000001980</v>
      </c>
      <c r="U2891" t="s">
        <v>3944</v>
      </c>
      <c r="V2891" t="s">
        <v>3934</v>
      </c>
      <c r="W2891" s="9">
        <f>IF(V2891="pregrado",31,
IF(V2891="posgrados",31,
IF(V2891="rEINTEGROS",7,
IF(V2891="BIT",90,
IF(V2891="OP GRADO - INGLÉS",17,"")))))</f>
        <v>31</v>
      </c>
      <c r="X2891" t="s">
        <v>3968</v>
      </c>
    </row>
    <row r="2892" spans="1:24" ht="15" x14ac:dyDescent="0.35">
      <c r="A2892" s="4">
        <v>46010.517013888886</v>
      </c>
      <c r="B2892">
        <v>20108783</v>
      </c>
      <c r="C2892" s="6" t="s">
        <v>19</v>
      </c>
      <c r="D2892">
        <v>593665</v>
      </c>
      <c r="E2892" t="s">
        <v>20</v>
      </c>
      <c r="F2892">
        <v>1127941569</v>
      </c>
      <c r="G2892" t="s">
        <v>1185</v>
      </c>
      <c r="H2892">
        <v>100239331</v>
      </c>
      <c r="I2892">
        <v>202631</v>
      </c>
      <c r="J2892">
        <v>1127941569</v>
      </c>
      <c r="K2892" t="s">
        <v>23</v>
      </c>
      <c r="L2892" t="s">
        <v>240</v>
      </c>
      <c r="M2892" t="s">
        <v>24</v>
      </c>
      <c r="N2892" t="s">
        <v>25</v>
      </c>
      <c r="O2892" t="s">
        <v>26</v>
      </c>
      <c r="P2892" t="s">
        <v>27</v>
      </c>
      <c r="Q2892" t="s">
        <v>28</v>
      </c>
      <c r="R2892" t="s">
        <v>29</v>
      </c>
      <c r="S2892" t="s">
        <v>30</v>
      </c>
      <c r="T2892">
        <v>1023974716</v>
      </c>
      <c r="U2892" t="s">
        <v>3963</v>
      </c>
      <c r="V2892" t="s">
        <v>3934</v>
      </c>
      <c r="W2892" s="9">
        <f>IF(V2892="pregrado",31,
IF(V2892="posgrados",31,
IF(V2892="rEINTEGROS",7,
IF(V2892="BIT",90,
IF(V2892="OP GRADO - INGLÉS",17,"")))))</f>
        <v>31</v>
      </c>
      <c r="X2892" t="s">
        <v>4016</v>
      </c>
    </row>
    <row r="2893" spans="1:24" ht="15" x14ac:dyDescent="0.35">
      <c r="A2893" s="4">
        <v>46010.744247685187</v>
      </c>
      <c r="B2893">
        <v>20108942</v>
      </c>
      <c r="C2893" s="6" t="s">
        <v>19</v>
      </c>
      <c r="D2893">
        <v>593666</v>
      </c>
      <c r="E2893" t="s">
        <v>20</v>
      </c>
      <c r="F2893">
        <v>1063484651</v>
      </c>
      <c r="G2893" t="s">
        <v>1196</v>
      </c>
      <c r="H2893">
        <v>100239332</v>
      </c>
      <c r="I2893">
        <v>202631</v>
      </c>
      <c r="J2893">
        <v>1063484651</v>
      </c>
      <c r="K2893" t="s">
        <v>23</v>
      </c>
      <c r="L2893" t="s">
        <v>90</v>
      </c>
      <c r="M2893" t="s">
        <v>24</v>
      </c>
      <c r="N2893" t="s">
        <v>35</v>
      </c>
      <c r="O2893" t="s">
        <v>26</v>
      </c>
      <c r="P2893" t="s">
        <v>27</v>
      </c>
      <c r="Q2893" t="s">
        <v>28</v>
      </c>
      <c r="R2893" t="s">
        <v>29</v>
      </c>
      <c r="S2893" t="s">
        <v>30</v>
      </c>
      <c r="T2893">
        <v>1003690112</v>
      </c>
      <c r="U2893" t="s">
        <v>3933</v>
      </c>
      <c r="V2893" t="s">
        <v>3934</v>
      </c>
      <c r="W2893" s="9">
        <f>IF(V2893="pregrado",31,
IF(V2893="posgrados",31,
IF(V2893="rEINTEGROS",7,
IF(V2893="BIT",90,
IF(V2893="OP GRADO - INGLÉS",17,"")))))</f>
        <v>31</v>
      </c>
      <c r="X2893" t="s">
        <v>4061</v>
      </c>
    </row>
    <row r="2894" spans="1:24" ht="15" x14ac:dyDescent="0.35">
      <c r="A2894" s="4">
        <v>46015.715949074074</v>
      </c>
      <c r="B2894">
        <v>20109752</v>
      </c>
      <c r="C2894" s="6" t="s">
        <v>19</v>
      </c>
      <c r="D2894">
        <v>593669</v>
      </c>
      <c r="E2894" t="s">
        <v>20</v>
      </c>
      <c r="F2894">
        <v>1193089555</v>
      </c>
      <c r="G2894" t="s">
        <v>1305</v>
      </c>
      <c r="H2894">
        <v>100239334</v>
      </c>
      <c r="I2894">
        <v>202631</v>
      </c>
      <c r="J2894">
        <v>1193089555</v>
      </c>
      <c r="K2894" t="s">
        <v>33</v>
      </c>
      <c r="L2894" t="s">
        <v>127</v>
      </c>
      <c r="M2894" t="s">
        <v>24</v>
      </c>
      <c r="N2894" t="s">
        <v>25</v>
      </c>
      <c r="O2894" t="s">
        <v>26</v>
      </c>
      <c r="P2894" t="s">
        <v>27</v>
      </c>
      <c r="Q2894" t="s">
        <v>28</v>
      </c>
      <c r="R2894" t="s">
        <v>29</v>
      </c>
      <c r="S2894" t="s">
        <v>30</v>
      </c>
      <c r="T2894">
        <v>1007473661</v>
      </c>
      <c r="U2894" t="s">
        <v>3933</v>
      </c>
      <c r="V2894" t="s">
        <v>3934</v>
      </c>
      <c r="W2894" s="9">
        <f>IF(V2894="pregrado",31,
IF(V2894="posgrados",31,
IF(V2894="rEINTEGROS",7,
IF(V2894="BIT",90,
IF(V2894="OP GRADO - INGLÉS",17,"")))))</f>
        <v>31</v>
      </c>
      <c r="X2894" t="s">
        <v>4058</v>
      </c>
    </row>
    <row r="2895" spans="1:24" ht="15" x14ac:dyDescent="0.35">
      <c r="A2895" s="4">
        <v>46010.46638888889</v>
      </c>
      <c r="B2895">
        <v>20108749</v>
      </c>
      <c r="C2895" s="6" t="s">
        <v>19</v>
      </c>
      <c r="D2895">
        <v>593672</v>
      </c>
      <c r="E2895" t="s">
        <v>20</v>
      </c>
      <c r="F2895">
        <v>20811507</v>
      </c>
      <c r="G2895" t="s">
        <v>1178</v>
      </c>
      <c r="H2895">
        <v>100239339</v>
      </c>
      <c r="I2895">
        <v>202631</v>
      </c>
      <c r="J2895">
        <v>20811507</v>
      </c>
      <c r="K2895" t="s">
        <v>23</v>
      </c>
      <c r="L2895" t="s">
        <v>32</v>
      </c>
      <c r="M2895" t="s">
        <v>24</v>
      </c>
      <c r="N2895" t="s">
        <v>35</v>
      </c>
      <c r="O2895" t="s">
        <v>26</v>
      </c>
      <c r="P2895" t="s">
        <v>27</v>
      </c>
      <c r="Q2895" t="s">
        <v>28</v>
      </c>
      <c r="R2895" t="s">
        <v>29</v>
      </c>
      <c r="S2895" t="s">
        <v>30</v>
      </c>
      <c r="T2895">
        <v>1000349074</v>
      </c>
      <c r="U2895" t="s">
        <v>3944</v>
      </c>
      <c r="V2895" t="s">
        <v>3934</v>
      </c>
      <c r="W2895" s="9">
        <f>IF(V2895="pregrado",31,
IF(V2895="posgrados",31,
IF(V2895="rEINTEGROS",7,
IF(V2895="BIT",90,
IF(V2895="OP GRADO - INGLÉS",17,"")))))</f>
        <v>31</v>
      </c>
      <c r="X2895" t="s">
        <v>4036</v>
      </c>
    </row>
    <row r="2896" spans="1:24" ht="15" x14ac:dyDescent="0.35">
      <c r="A2896" s="4">
        <v>46083.427546296298</v>
      </c>
      <c r="B2896">
        <v>20127170</v>
      </c>
      <c r="C2896" s="6" t="s">
        <v>19</v>
      </c>
      <c r="D2896">
        <v>593676</v>
      </c>
      <c r="E2896" t="s">
        <v>20</v>
      </c>
      <c r="F2896">
        <v>1084866876</v>
      </c>
      <c r="G2896" t="s">
        <v>3777</v>
      </c>
      <c r="H2896">
        <v>100239344</v>
      </c>
      <c r="I2896">
        <v>202631</v>
      </c>
      <c r="J2896">
        <v>1084866876</v>
      </c>
      <c r="K2896" t="s">
        <v>33</v>
      </c>
      <c r="L2896" t="s">
        <v>90</v>
      </c>
      <c r="M2896" t="s">
        <v>24</v>
      </c>
      <c r="N2896" t="s">
        <v>25</v>
      </c>
      <c r="O2896" t="s">
        <v>26</v>
      </c>
      <c r="P2896" t="s">
        <v>27</v>
      </c>
      <c r="Q2896" t="s">
        <v>28</v>
      </c>
      <c r="R2896" t="s">
        <v>29</v>
      </c>
      <c r="S2896" t="s">
        <v>30</v>
      </c>
      <c r="T2896">
        <v>1023370559</v>
      </c>
      <c r="U2896" t="s">
        <v>3933</v>
      </c>
      <c r="V2896" t="s">
        <v>3934</v>
      </c>
      <c r="W2896" s="9">
        <f>IF(V2896="pregrado",31,
IF(V2896="posgrados",31,
IF(V2896="rEINTEGROS",7,
IF(V2896="BIT",90,
IF(V2896="OP GRADO - INGLÉS",17,"")))))</f>
        <v>31</v>
      </c>
      <c r="X2896" t="s">
        <v>4017</v>
      </c>
    </row>
    <row r="2897" spans="1:24" ht="15" x14ac:dyDescent="0.35">
      <c r="A2897" s="4">
        <v>46010.451782407406</v>
      </c>
      <c r="B2897">
        <v>20108739</v>
      </c>
      <c r="C2897" s="6" t="s">
        <v>19</v>
      </c>
      <c r="D2897">
        <v>593678</v>
      </c>
      <c r="E2897" t="s">
        <v>20</v>
      </c>
      <c r="F2897">
        <v>1233692009</v>
      </c>
      <c r="G2897" t="s">
        <v>1177</v>
      </c>
      <c r="H2897">
        <v>100239346</v>
      </c>
      <c r="I2897">
        <v>202631</v>
      </c>
      <c r="J2897">
        <v>1233692009</v>
      </c>
      <c r="K2897" t="s">
        <v>23</v>
      </c>
      <c r="L2897" t="s">
        <v>90</v>
      </c>
      <c r="M2897" t="s">
        <v>24</v>
      </c>
      <c r="N2897" t="s">
        <v>25</v>
      </c>
      <c r="O2897" t="s">
        <v>26</v>
      </c>
      <c r="P2897" t="s">
        <v>27</v>
      </c>
      <c r="Q2897" t="s">
        <v>28</v>
      </c>
      <c r="R2897" t="s">
        <v>29</v>
      </c>
      <c r="S2897" t="s">
        <v>30</v>
      </c>
      <c r="T2897">
        <v>1023929839</v>
      </c>
      <c r="U2897" t="s">
        <v>3933</v>
      </c>
      <c r="V2897" t="s">
        <v>3934</v>
      </c>
      <c r="W2897" s="9">
        <f>IF(V2897="pregrado",31,
IF(V2897="posgrados",31,
IF(V2897="rEINTEGROS",7,
IF(V2897="BIT",90,
IF(V2897="OP GRADO - INGLÉS",17,"")))))</f>
        <v>31</v>
      </c>
      <c r="X2897" t="s">
        <v>3932</v>
      </c>
    </row>
    <row r="2898" spans="1:24" ht="15" x14ac:dyDescent="0.35">
      <c r="A2898" s="4">
        <v>46010.390706018516</v>
      </c>
      <c r="B2898">
        <v>20108703</v>
      </c>
      <c r="C2898" s="6" t="s">
        <v>19</v>
      </c>
      <c r="D2898">
        <v>593686</v>
      </c>
      <c r="E2898" t="s">
        <v>20</v>
      </c>
      <c r="F2898">
        <v>1072645510</v>
      </c>
      <c r="G2898" t="s">
        <v>1170</v>
      </c>
      <c r="H2898">
        <v>100237949</v>
      </c>
      <c r="I2898">
        <v>202611</v>
      </c>
      <c r="J2898">
        <v>1072645510</v>
      </c>
      <c r="K2898" t="s">
        <v>23</v>
      </c>
      <c r="L2898" t="s">
        <v>227</v>
      </c>
      <c r="M2898" t="s">
        <v>24</v>
      </c>
      <c r="N2898" t="s">
        <v>25</v>
      </c>
      <c r="O2898" t="s">
        <v>26</v>
      </c>
      <c r="P2898" t="s">
        <v>27</v>
      </c>
      <c r="Q2898" t="s">
        <v>28</v>
      </c>
      <c r="R2898" t="s">
        <v>29</v>
      </c>
      <c r="S2898" t="s">
        <v>30</v>
      </c>
      <c r="T2898">
        <v>1030570122</v>
      </c>
      <c r="U2898" t="s">
        <v>3965</v>
      </c>
      <c r="V2898" t="s">
        <v>3934</v>
      </c>
      <c r="W2898" s="9">
        <f>IF(V2898="pregrado",31,
IF(V2898="posgrados",31,
IF(V2898="rEINTEGROS",7,
IF(V2898="BIT",90,
IF(V2898="OP GRADO - INGLÉS",17,"")))))</f>
        <v>31</v>
      </c>
      <c r="X2898" t="s">
        <v>4015</v>
      </c>
    </row>
    <row r="2899" spans="1:24" ht="15" x14ac:dyDescent="0.35">
      <c r="A2899" s="4">
        <v>46020.751666666663</v>
      </c>
      <c r="B2899">
        <v>20110204</v>
      </c>
      <c r="C2899" s="6" t="s">
        <v>19</v>
      </c>
      <c r="D2899">
        <v>593689</v>
      </c>
      <c r="E2899" t="s">
        <v>20</v>
      </c>
      <c r="F2899">
        <v>1024576954</v>
      </c>
      <c r="G2899" t="s">
        <v>1381</v>
      </c>
      <c r="H2899">
        <v>100156656</v>
      </c>
      <c r="I2899">
        <v>202611</v>
      </c>
      <c r="J2899">
        <v>1024576954</v>
      </c>
      <c r="K2899" t="s">
        <v>23</v>
      </c>
      <c r="L2899" t="s">
        <v>221</v>
      </c>
      <c r="M2899" t="s">
        <v>24</v>
      </c>
      <c r="N2899" t="s">
        <v>35</v>
      </c>
      <c r="O2899" t="s">
        <v>26</v>
      </c>
      <c r="P2899" t="s">
        <v>27</v>
      </c>
      <c r="Q2899" t="s">
        <v>28</v>
      </c>
      <c r="R2899" t="s">
        <v>29</v>
      </c>
      <c r="S2899" t="s">
        <v>30</v>
      </c>
      <c r="T2899">
        <v>1032678391</v>
      </c>
      <c r="U2899" t="s">
        <v>3965</v>
      </c>
      <c r="V2899" t="s">
        <v>3934</v>
      </c>
      <c r="W2899" s="9">
        <f>IF(V2899="pregrado",31,
IF(V2899="posgrados",31,
IF(V2899="rEINTEGROS",7,
IF(V2899="BIT",90,
IF(V2899="OP GRADO - INGLÉS",17,"")))))</f>
        <v>31</v>
      </c>
      <c r="X2899" t="s">
        <v>4098</v>
      </c>
    </row>
    <row r="2900" spans="1:24" ht="15" x14ac:dyDescent="0.35">
      <c r="A2900" s="4">
        <v>46009.683645833335</v>
      </c>
      <c r="B2900">
        <v>20108599</v>
      </c>
      <c r="C2900" s="6" t="s">
        <v>19</v>
      </c>
      <c r="D2900">
        <v>593691</v>
      </c>
      <c r="E2900" t="s">
        <v>20</v>
      </c>
      <c r="F2900">
        <v>80852298</v>
      </c>
      <c r="G2900" t="s">
        <v>1154</v>
      </c>
      <c r="H2900">
        <v>200047241</v>
      </c>
      <c r="I2900">
        <v>202631</v>
      </c>
      <c r="J2900">
        <v>80852298</v>
      </c>
      <c r="K2900" t="s">
        <v>23</v>
      </c>
      <c r="L2900" t="s">
        <v>22</v>
      </c>
      <c r="M2900" t="s">
        <v>24</v>
      </c>
      <c r="N2900" t="s">
        <v>35</v>
      </c>
      <c r="O2900" t="s">
        <v>26</v>
      </c>
      <c r="P2900" t="s">
        <v>27</v>
      </c>
      <c r="Q2900" t="s">
        <v>28</v>
      </c>
      <c r="R2900" t="s">
        <v>29</v>
      </c>
      <c r="S2900" t="s">
        <v>30</v>
      </c>
      <c r="T2900">
        <v>80219471</v>
      </c>
      <c r="U2900" t="s">
        <v>3941</v>
      </c>
      <c r="V2900" t="s">
        <v>3934</v>
      </c>
      <c r="W2900" s="9">
        <f>IF(V2900="pregrado",31,
IF(V2900="posgrados",31,
IF(V2900="rEINTEGROS",7,
IF(V2900="BIT",90,
IF(V2900="OP GRADO - INGLÉS",17,"")))))</f>
        <v>31</v>
      </c>
      <c r="X2900" t="s">
        <v>4030</v>
      </c>
    </row>
    <row r="2901" spans="1:24" ht="15" x14ac:dyDescent="0.35">
      <c r="A2901" s="4">
        <v>46022.488275462965</v>
      </c>
      <c r="B2901">
        <v>20110590</v>
      </c>
      <c r="C2901" s="6" t="s">
        <v>19</v>
      </c>
      <c r="D2901">
        <v>593699</v>
      </c>
      <c r="E2901" t="s">
        <v>20</v>
      </c>
      <c r="F2901">
        <v>1022435868</v>
      </c>
      <c r="G2901" t="s">
        <v>1445</v>
      </c>
      <c r="H2901">
        <v>100239367</v>
      </c>
      <c r="I2901">
        <v>202610</v>
      </c>
      <c r="J2901">
        <v>1024477537</v>
      </c>
      <c r="K2901" t="s">
        <v>83</v>
      </c>
      <c r="L2901" t="s">
        <v>40</v>
      </c>
      <c r="M2901" t="s">
        <v>24</v>
      </c>
      <c r="N2901" t="s">
        <v>25</v>
      </c>
      <c r="O2901" t="s">
        <v>26</v>
      </c>
      <c r="P2901" t="s">
        <v>27</v>
      </c>
      <c r="Q2901" t="s">
        <v>28</v>
      </c>
      <c r="R2901" t="s">
        <v>29</v>
      </c>
      <c r="S2901" t="s">
        <v>30</v>
      </c>
      <c r="T2901">
        <v>1001192723</v>
      </c>
      <c r="U2901" t="s">
        <v>3941</v>
      </c>
      <c r="V2901" t="s">
        <v>3934</v>
      </c>
      <c r="W2901" s="9">
        <f>IF(V2901="pregrado",31,
IF(V2901="posgrados",31,
IF(V2901="rEINTEGROS",7,
IF(V2901="BIT",90,
IF(V2901="OP GRADO - INGLÉS",17,"")))))</f>
        <v>31</v>
      </c>
      <c r="X2901" t="s">
        <v>3940</v>
      </c>
    </row>
    <row r="2902" spans="1:24" ht="15" x14ac:dyDescent="0.35">
      <c r="A2902" s="4">
        <v>46009.706608796296</v>
      </c>
      <c r="B2902">
        <v>20108613</v>
      </c>
      <c r="C2902" s="6" t="s">
        <v>19</v>
      </c>
      <c r="D2902">
        <v>593705</v>
      </c>
      <c r="E2902" t="s">
        <v>20</v>
      </c>
      <c r="F2902">
        <v>1116855101</v>
      </c>
      <c r="G2902" t="s">
        <v>1156</v>
      </c>
      <c r="H2902">
        <v>100239320</v>
      </c>
      <c r="I2902">
        <v>202631</v>
      </c>
      <c r="J2902">
        <v>1116855101</v>
      </c>
      <c r="K2902" t="s">
        <v>23</v>
      </c>
      <c r="L2902" t="s">
        <v>114</v>
      </c>
      <c r="M2902" t="s">
        <v>24</v>
      </c>
      <c r="N2902" t="s">
        <v>35</v>
      </c>
      <c r="O2902" t="s">
        <v>26</v>
      </c>
      <c r="P2902" t="s">
        <v>27</v>
      </c>
      <c r="Q2902" t="s">
        <v>28</v>
      </c>
      <c r="R2902" t="s">
        <v>29</v>
      </c>
      <c r="S2902" t="s">
        <v>30</v>
      </c>
      <c r="T2902">
        <v>1023975276</v>
      </c>
      <c r="U2902" t="s">
        <v>3963</v>
      </c>
      <c r="V2902" t="s">
        <v>3934</v>
      </c>
      <c r="W2902" s="9">
        <f>IF(V2902="pregrado",31,
IF(V2902="posgrados",31,
IF(V2902="rEINTEGROS",7,
IF(V2902="BIT",90,
IF(V2902="OP GRADO - INGLÉS",17,"")))))</f>
        <v>31</v>
      </c>
      <c r="X2902" t="s">
        <v>3962</v>
      </c>
    </row>
    <row r="2903" spans="1:24" ht="15" x14ac:dyDescent="0.35">
      <c r="A2903" s="4">
        <v>46010.371990740743</v>
      </c>
      <c r="B2903">
        <v>20108693</v>
      </c>
      <c r="C2903" s="6" t="s">
        <v>19</v>
      </c>
      <c r="D2903">
        <v>593706</v>
      </c>
      <c r="E2903" t="s">
        <v>20</v>
      </c>
      <c r="F2903">
        <v>1000604676</v>
      </c>
      <c r="G2903" t="s">
        <v>1169</v>
      </c>
      <c r="H2903">
        <v>100217226</v>
      </c>
      <c r="I2903">
        <v>202631</v>
      </c>
      <c r="J2903">
        <v>1000604676</v>
      </c>
      <c r="K2903" t="s">
        <v>23</v>
      </c>
      <c r="L2903" t="s">
        <v>57</v>
      </c>
      <c r="M2903" t="s">
        <v>24</v>
      </c>
      <c r="N2903" t="s">
        <v>35</v>
      </c>
      <c r="O2903" t="s">
        <v>26</v>
      </c>
      <c r="P2903" t="s">
        <v>27</v>
      </c>
      <c r="Q2903" t="s">
        <v>28</v>
      </c>
      <c r="R2903" t="s">
        <v>29</v>
      </c>
      <c r="S2903" t="s">
        <v>30</v>
      </c>
      <c r="T2903">
        <v>1118531834</v>
      </c>
      <c r="U2903" t="s">
        <v>3941</v>
      </c>
      <c r="V2903" t="s">
        <v>3934</v>
      </c>
      <c r="W2903" s="9">
        <f>IF(V2903="pregrado",31,
IF(V2903="posgrados",31,
IF(V2903="rEINTEGROS",7,
IF(V2903="BIT",90,
IF(V2903="OP GRADO - INGLÉS",17,"")))))</f>
        <v>31</v>
      </c>
      <c r="X2903" t="s">
        <v>3996</v>
      </c>
    </row>
    <row r="2904" spans="1:24" ht="15" x14ac:dyDescent="0.35">
      <c r="A2904" s="4">
        <v>46010.37122685185</v>
      </c>
      <c r="B2904">
        <v>20108692</v>
      </c>
      <c r="C2904" s="6" t="s">
        <v>19</v>
      </c>
      <c r="D2904">
        <v>593711</v>
      </c>
      <c r="E2904" t="s">
        <v>20</v>
      </c>
      <c r="F2904">
        <v>79295162</v>
      </c>
      <c r="G2904" t="s">
        <v>1168</v>
      </c>
      <c r="H2904">
        <v>100239171</v>
      </c>
      <c r="I2904">
        <v>202610</v>
      </c>
      <c r="J2904">
        <v>1072101940</v>
      </c>
      <c r="K2904" t="s">
        <v>23</v>
      </c>
      <c r="L2904" t="s">
        <v>49</v>
      </c>
      <c r="M2904" t="s">
        <v>24</v>
      </c>
      <c r="N2904" t="s">
        <v>35</v>
      </c>
      <c r="O2904" t="s">
        <v>26</v>
      </c>
      <c r="P2904" t="s">
        <v>27</v>
      </c>
      <c r="Q2904" t="s">
        <v>28</v>
      </c>
      <c r="R2904" t="s">
        <v>29</v>
      </c>
      <c r="S2904" t="s">
        <v>30</v>
      </c>
      <c r="T2904">
        <v>1006023129</v>
      </c>
      <c r="U2904" t="s">
        <v>3944</v>
      </c>
      <c r="V2904" t="s">
        <v>3934</v>
      </c>
      <c r="W2904" s="9">
        <f>IF(V2904="pregrado",31,
IF(V2904="posgrados",31,
IF(V2904="rEINTEGROS",7,
IF(V2904="BIT",90,
IF(V2904="OP GRADO - INGLÉS",17,"")))))</f>
        <v>31</v>
      </c>
      <c r="X2904" t="s">
        <v>3982</v>
      </c>
    </row>
    <row r="2905" spans="1:24" ht="15" x14ac:dyDescent="0.35">
      <c r="A2905" s="4">
        <v>46009.68068287037</v>
      </c>
      <c r="B2905">
        <v>20108598</v>
      </c>
      <c r="C2905" s="6" t="s">
        <v>19</v>
      </c>
      <c r="D2905">
        <v>593713</v>
      </c>
      <c r="E2905" t="s">
        <v>20</v>
      </c>
      <c r="F2905">
        <v>1000732283</v>
      </c>
      <c r="G2905" t="s">
        <v>1153</v>
      </c>
      <c r="H2905">
        <v>100239386</v>
      </c>
      <c r="I2905">
        <v>202631</v>
      </c>
      <c r="J2905">
        <v>1010125090</v>
      </c>
      <c r="K2905" t="s">
        <v>23</v>
      </c>
      <c r="L2905" t="s">
        <v>90</v>
      </c>
      <c r="M2905" t="s">
        <v>24</v>
      </c>
      <c r="N2905" t="s">
        <v>38</v>
      </c>
      <c r="O2905" t="s">
        <v>26</v>
      </c>
      <c r="P2905" t="s">
        <v>27</v>
      </c>
      <c r="Q2905" t="s">
        <v>28</v>
      </c>
      <c r="R2905" t="s">
        <v>29</v>
      </c>
      <c r="S2905" t="s">
        <v>30</v>
      </c>
      <c r="T2905">
        <v>10245841021</v>
      </c>
      <c r="U2905" t="s">
        <v>3933</v>
      </c>
      <c r="V2905" t="s">
        <v>3934</v>
      </c>
      <c r="W2905" s="9">
        <f>IF(V2905="pregrado",31,
IF(V2905="posgrados",31,
IF(V2905="rEINTEGROS",7,
IF(V2905="BIT",90,
IF(V2905="OP GRADO - INGLÉS",17,"")))))</f>
        <v>31</v>
      </c>
      <c r="X2905" t="s">
        <v>3987</v>
      </c>
    </row>
    <row r="2906" spans="1:24" ht="15" x14ac:dyDescent="0.35">
      <c r="A2906" s="4">
        <v>46010.402245370373</v>
      </c>
      <c r="B2906">
        <v>20108707</v>
      </c>
      <c r="C2906" s="6" t="s">
        <v>19</v>
      </c>
      <c r="D2906">
        <v>593715</v>
      </c>
      <c r="E2906" t="s">
        <v>20</v>
      </c>
      <c r="F2906">
        <v>1002199583</v>
      </c>
      <c r="G2906" t="s">
        <v>1171</v>
      </c>
      <c r="H2906">
        <v>200074221</v>
      </c>
      <c r="I2906">
        <v>202631</v>
      </c>
      <c r="J2906">
        <v>1002199583</v>
      </c>
      <c r="K2906" t="s">
        <v>23</v>
      </c>
      <c r="L2906" t="s">
        <v>119</v>
      </c>
      <c r="M2906" t="s">
        <v>24</v>
      </c>
      <c r="N2906" t="s">
        <v>35</v>
      </c>
      <c r="O2906" t="s">
        <v>26</v>
      </c>
      <c r="P2906" t="s">
        <v>27</v>
      </c>
      <c r="Q2906" t="s">
        <v>28</v>
      </c>
      <c r="R2906" t="s">
        <v>29</v>
      </c>
      <c r="S2906" t="s">
        <v>30</v>
      </c>
      <c r="T2906">
        <v>1020730718</v>
      </c>
      <c r="U2906" t="s">
        <v>3941</v>
      </c>
      <c r="V2906" t="s">
        <v>3934</v>
      </c>
      <c r="W2906" s="9">
        <f>IF(V2906="pregrado",31,
IF(V2906="posgrados",31,
IF(V2906="rEINTEGROS",7,
IF(V2906="BIT",90,
IF(V2906="OP GRADO - INGLÉS",17,"")))))</f>
        <v>31</v>
      </c>
      <c r="X2906" t="s">
        <v>3952</v>
      </c>
    </row>
    <row r="2907" spans="1:24" ht="15" x14ac:dyDescent="0.35">
      <c r="A2907" s="4">
        <v>46013.37976851852</v>
      </c>
      <c r="B2907">
        <v>20109091</v>
      </c>
      <c r="C2907" s="6" t="s">
        <v>19</v>
      </c>
      <c r="D2907">
        <v>593720</v>
      </c>
      <c r="E2907" t="s">
        <v>20</v>
      </c>
      <c r="F2907">
        <v>13854541</v>
      </c>
      <c r="G2907" t="s">
        <v>1212</v>
      </c>
      <c r="H2907">
        <v>100239400</v>
      </c>
      <c r="I2907">
        <v>202631</v>
      </c>
      <c r="J2907">
        <v>13854541</v>
      </c>
      <c r="K2907" t="s">
        <v>23</v>
      </c>
      <c r="L2907" t="s">
        <v>240</v>
      </c>
      <c r="M2907" t="s">
        <v>24</v>
      </c>
      <c r="N2907" t="s">
        <v>35</v>
      </c>
      <c r="O2907" t="s">
        <v>26</v>
      </c>
      <c r="P2907" t="s">
        <v>27</v>
      </c>
      <c r="Q2907" t="s">
        <v>28</v>
      </c>
      <c r="R2907" t="s">
        <v>29</v>
      </c>
      <c r="S2907" t="s">
        <v>30</v>
      </c>
      <c r="T2907">
        <v>1073692626</v>
      </c>
      <c r="U2907" t="s">
        <v>3965</v>
      </c>
      <c r="V2907" t="s">
        <v>3934</v>
      </c>
      <c r="W2907" s="9">
        <f>IF(V2907="pregrado",31,
IF(V2907="posgrados",31,
IF(V2907="rEINTEGROS",7,
IF(V2907="BIT",90,
IF(V2907="OP GRADO - INGLÉS",17,"")))))</f>
        <v>31</v>
      </c>
      <c r="X2907" t="s">
        <v>4014</v>
      </c>
    </row>
    <row r="2908" spans="1:24" ht="15" x14ac:dyDescent="0.35">
      <c r="A2908" s="4">
        <v>46010.420844907407</v>
      </c>
      <c r="B2908">
        <v>20108720</v>
      </c>
      <c r="C2908" s="6" t="s">
        <v>19</v>
      </c>
      <c r="D2908">
        <v>593728</v>
      </c>
      <c r="E2908" t="s">
        <v>20</v>
      </c>
      <c r="F2908">
        <v>1006514967</v>
      </c>
      <c r="G2908" t="s">
        <v>1172</v>
      </c>
      <c r="H2908">
        <v>100239413</v>
      </c>
      <c r="I2908">
        <v>202611</v>
      </c>
      <c r="J2908">
        <v>1006514967</v>
      </c>
      <c r="K2908" t="s">
        <v>23</v>
      </c>
      <c r="L2908" t="s">
        <v>221</v>
      </c>
      <c r="M2908" t="s">
        <v>24</v>
      </c>
      <c r="N2908" t="s">
        <v>35</v>
      </c>
      <c r="O2908" t="s">
        <v>26</v>
      </c>
      <c r="P2908" t="s">
        <v>27</v>
      </c>
      <c r="Q2908" t="s">
        <v>28</v>
      </c>
      <c r="R2908" t="s">
        <v>29</v>
      </c>
      <c r="S2908" t="s">
        <v>30</v>
      </c>
      <c r="T2908">
        <v>53006215</v>
      </c>
      <c r="U2908" t="s">
        <v>3965</v>
      </c>
      <c r="V2908" t="s">
        <v>3934</v>
      </c>
      <c r="W2908" s="9">
        <f>IF(V2908="pregrado",31,
IF(V2908="posgrados",31,
IF(V2908="rEINTEGROS",7,
IF(V2908="BIT",90,
IF(V2908="OP GRADO - INGLÉS",17,"")))))</f>
        <v>31</v>
      </c>
      <c r="X2908" t="s">
        <v>4042</v>
      </c>
    </row>
    <row r="2909" spans="1:24" ht="15" x14ac:dyDescent="0.35">
      <c r="A2909" s="4">
        <v>46010.513912037037</v>
      </c>
      <c r="B2909">
        <v>20108782</v>
      </c>
      <c r="C2909" s="6" t="s">
        <v>19</v>
      </c>
      <c r="D2909">
        <v>593731</v>
      </c>
      <c r="E2909" t="s">
        <v>20</v>
      </c>
      <c r="F2909">
        <v>11448813</v>
      </c>
      <c r="G2909" t="s">
        <v>1184</v>
      </c>
      <c r="H2909">
        <v>100239416</v>
      </c>
      <c r="I2909">
        <v>202631</v>
      </c>
      <c r="J2909">
        <v>11448813</v>
      </c>
      <c r="K2909" t="s">
        <v>23</v>
      </c>
      <c r="L2909" t="s">
        <v>90</v>
      </c>
      <c r="M2909" t="s">
        <v>24</v>
      </c>
      <c r="N2909" t="s">
        <v>35</v>
      </c>
      <c r="O2909" t="s">
        <v>26</v>
      </c>
      <c r="P2909" t="s">
        <v>27</v>
      </c>
      <c r="Q2909" t="s">
        <v>28</v>
      </c>
      <c r="R2909" t="s">
        <v>29</v>
      </c>
      <c r="S2909" t="s">
        <v>30</v>
      </c>
      <c r="T2909">
        <v>1023921046</v>
      </c>
      <c r="U2909" t="s">
        <v>3933</v>
      </c>
      <c r="V2909" t="s">
        <v>3934</v>
      </c>
      <c r="W2909" s="9">
        <f>IF(V2909="pregrado",31,
IF(V2909="posgrados",31,
IF(V2909="rEINTEGROS",7,
IF(V2909="BIT",90,
IF(V2909="OP GRADO - INGLÉS",17,"")))))</f>
        <v>31</v>
      </c>
      <c r="X2909" t="s">
        <v>4043</v>
      </c>
    </row>
    <row r="2910" spans="1:24" ht="15" x14ac:dyDescent="0.35">
      <c r="A2910" s="4">
        <v>46009.741689814815</v>
      </c>
      <c r="B2910">
        <v>20108629</v>
      </c>
      <c r="C2910" s="6" t="s">
        <v>19</v>
      </c>
      <c r="D2910">
        <v>593737</v>
      </c>
      <c r="E2910" t="s">
        <v>20</v>
      </c>
      <c r="F2910">
        <v>1006290195</v>
      </c>
      <c r="G2910" t="s">
        <v>1160</v>
      </c>
      <c r="H2910">
        <v>200071499</v>
      </c>
      <c r="I2910">
        <v>202631</v>
      </c>
      <c r="J2910">
        <v>1006290195</v>
      </c>
      <c r="K2910" t="s">
        <v>33</v>
      </c>
      <c r="L2910" t="s">
        <v>370</v>
      </c>
      <c r="M2910" t="s">
        <v>24</v>
      </c>
      <c r="N2910" t="s">
        <v>35</v>
      </c>
      <c r="O2910" t="s">
        <v>26</v>
      </c>
      <c r="P2910" t="s">
        <v>27</v>
      </c>
      <c r="Q2910" t="s">
        <v>28</v>
      </c>
      <c r="R2910" t="s">
        <v>29</v>
      </c>
      <c r="S2910" t="s">
        <v>30</v>
      </c>
      <c r="T2910">
        <v>1023367706</v>
      </c>
      <c r="U2910" t="s">
        <v>3963</v>
      </c>
      <c r="V2910" t="s">
        <v>3934</v>
      </c>
      <c r="W2910" s="9">
        <f>IF(V2910="pregrado",31,
IF(V2910="posgrados",31,
IF(V2910="rEINTEGROS",7,
IF(V2910="BIT",90,
IF(V2910="OP GRADO - INGLÉS",17,"")))))</f>
        <v>31</v>
      </c>
      <c r="X2910" t="s">
        <v>4039</v>
      </c>
    </row>
    <row r="2911" spans="1:24" ht="15" x14ac:dyDescent="0.35">
      <c r="A2911" s="4">
        <v>46013.532083333332</v>
      </c>
      <c r="B2911">
        <v>20109181</v>
      </c>
      <c r="C2911" s="6" t="s">
        <v>19</v>
      </c>
      <c r="D2911">
        <v>593742</v>
      </c>
      <c r="E2911" t="s">
        <v>20</v>
      </c>
      <c r="F2911">
        <v>1025535874</v>
      </c>
      <c r="G2911" t="s">
        <v>1222</v>
      </c>
      <c r="H2911">
        <v>100239423</v>
      </c>
      <c r="I2911">
        <v>202631</v>
      </c>
      <c r="J2911">
        <v>1025535874</v>
      </c>
      <c r="K2911" t="s">
        <v>23</v>
      </c>
      <c r="L2911" t="s">
        <v>90</v>
      </c>
      <c r="M2911" t="s">
        <v>24</v>
      </c>
      <c r="N2911" t="s">
        <v>35</v>
      </c>
      <c r="O2911" t="s">
        <v>26</v>
      </c>
      <c r="P2911" t="s">
        <v>27</v>
      </c>
      <c r="Q2911" t="s">
        <v>28</v>
      </c>
      <c r="R2911" t="s">
        <v>29</v>
      </c>
      <c r="S2911" t="s">
        <v>30</v>
      </c>
      <c r="T2911">
        <v>10245841021</v>
      </c>
      <c r="U2911" t="s">
        <v>3933</v>
      </c>
      <c r="V2911" t="s">
        <v>3934</v>
      </c>
      <c r="W2911" s="9">
        <f>IF(V2911="pregrado",31,
IF(V2911="posgrados",31,
IF(V2911="rEINTEGROS",7,
IF(V2911="BIT",90,
IF(V2911="OP GRADO - INGLÉS",17,"")))))</f>
        <v>31</v>
      </c>
      <c r="X2911" t="s">
        <v>3987</v>
      </c>
    </row>
    <row r="2912" spans="1:24" ht="15" x14ac:dyDescent="0.35">
      <c r="A2912" s="4">
        <v>46010.483402777776</v>
      </c>
      <c r="B2912">
        <v>20108760</v>
      </c>
      <c r="C2912" s="6" t="s">
        <v>19</v>
      </c>
      <c r="D2912">
        <v>593759</v>
      </c>
      <c r="E2912" t="s">
        <v>20</v>
      </c>
      <c r="F2912">
        <v>1052395145</v>
      </c>
      <c r="G2912" t="s">
        <v>1180</v>
      </c>
      <c r="H2912">
        <v>100239439</v>
      </c>
      <c r="I2912">
        <v>202631</v>
      </c>
      <c r="J2912">
        <v>1052395145</v>
      </c>
      <c r="K2912" t="s">
        <v>33</v>
      </c>
      <c r="L2912" t="s">
        <v>90</v>
      </c>
      <c r="M2912" t="s">
        <v>24</v>
      </c>
      <c r="N2912" t="s">
        <v>25</v>
      </c>
      <c r="O2912" t="s">
        <v>26</v>
      </c>
      <c r="P2912" t="s">
        <v>27</v>
      </c>
      <c r="Q2912" t="s">
        <v>28</v>
      </c>
      <c r="R2912" t="s">
        <v>29</v>
      </c>
      <c r="S2912" t="s">
        <v>30</v>
      </c>
      <c r="T2912">
        <v>1023370559</v>
      </c>
      <c r="U2912" t="s">
        <v>3933</v>
      </c>
      <c r="V2912" t="s">
        <v>3934</v>
      </c>
      <c r="W2912" s="9">
        <f>IF(V2912="pregrado",31,
IF(V2912="posgrados",31,
IF(V2912="rEINTEGROS",7,
IF(V2912="BIT",90,
IF(V2912="OP GRADO - INGLÉS",17,"")))))</f>
        <v>31</v>
      </c>
      <c r="X2912" t="s">
        <v>4017</v>
      </c>
    </row>
    <row r="2913" spans="1:24" ht="15" x14ac:dyDescent="0.35">
      <c r="A2913" s="4">
        <v>46013.463680555556</v>
      </c>
      <c r="B2913">
        <v>20109136</v>
      </c>
      <c r="C2913" s="6" t="s">
        <v>19</v>
      </c>
      <c r="D2913">
        <v>593771</v>
      </c>
      <c r="E2913" t="s">
        <v>20</v>
      </c>
      <c r="F2913">
        <v>91448384</v>
      </c>
      <c r="G2913" t="s">
        <v>1216</v>
      </c>
      <c r="H2913">
        <v>100239454</v>
      </c>
      <c r="I2913">
        <v>202631</v>
      </c>
      <c r="J2913">
        <v>1096197547</v>
      </c>
      <c r="K2913" t="s">
        <v>23</v>
      </c>
      <c r="L2913" t="s">
        <v>219</v>
      </c>
      <c r="M2913" t="s">
        <v>24</v>
      </c>
      <c r="N2913" t="s">
        <v>35</v>
      </c>
      <c r="O2913" t="s">
        <v>26</v>
      </c>
      <c r="P2913" t="s">
        <v>27</v>
      </c>
      <c r="Q2913" t="s">
        <v>28</v>
      </c>
      <c r="R2913" t="s">
        <v>29</v>
      </c>
      <c r="S2913" t="s">
        <v>30</v>
      </c>
      <c r="T2913">
        <v>53040709</v>
      </c>
      <c r="U2913" t="s">
        <v>3963</v>
      </c>
      <c r="V2913" t="s">
        <v>3934</v>
      </c>
      <c r="W2913" s="9">
        <f>IF(V2913="pregrado",31,
IF(V2913="posgrados",31,
IF(V2913="rEINTEGROS",7,
IF(V2913="BIT",90,
IF(V2913="OP GRADO - INGLÉS",17,"")))))</f>
        <v>31</v>
      </c>
      <c r="X2913" t="s">
        <v>3994</v>
      </c>
    </row>
    <row r="2914" spans="1:24" ht="15" x14ac:dyDescent="0.35">
      <c r="A2914" s="4">
        <v>46077.647916666669</v>
      </c>
      <c r="B2914">
        <v>20126041</v>
      </c>
      <c r="C2914" s="6" t="s">
        <v>19</v>
      </c>
      <c r="D2914">
        <v>593791</v>
      </c>
      <c r="E2914" t="s">
        <v>20</v>
      </c>
      <c r="F2914">
        <v>1003894229</v>
      </c>
      <c r="G2914" t="s">
        <v>3608</v>
      </c>
      <c r="H2914">
        <v>100239483</v>
      </c>
      <c r="I2914">
        <v>202611</v>
      </c>
      <c r="J2914">
        <v>1003894229</v>
      </c>
      <c r="K2914" t="s">
        <v>33</v>
      </c>
      <c r="L2914" t="s">
        <v>204</v>
      </c>
      <c r="M2914" t="s">
        <v>24</v>
      </c>
      <c r="N2914" t="s">
        <v>35</v>
      </c>
      <c r="O2914" t="s">
        <v>26</v>
      </c>
      <c r="P2914" t="s">
        <v>27</v>
      </c>
      <c r="Q2914" t="s">
        <v>28</v>
      </c>
      <c r="R2914" t="s">
        <v>29</v>
      </c>
      <c r="S2914" t="s">
        <v>30</v>
      </c>
      <c r="T2914">
        <v>53178431</v>
      </c>
      <c r="U2914" t="s">
        <v>3941</v>
      </c>
      <c r="V2914" t="s">
        <v>3934</v>
      </c>
      <c r="W2914" s="9">
        <f>IF(V2914="pregrado",31,
IF(V2914="posgrados",31,
IF(V2914="rEINTEGROS",7,
IF(V2914="BIT",90,
IF(V2914="OP GRADO - INGLÉS",17,"")))))</f>
        <v>31</v>
      </c>
      <c r="X2914" t="s">
        <v>3949</v>
      </c>
    </row>
    <row r="2915" spans="1:24" ht="15" x14ac:dyDescent="0.35">
      <c r="A2915" s="4">
        <v>46010.616018518522</v>
      </c>
      <c r="B2915">
        <v>20108854</v>
      </c>
      <c r="C2915" s="6" t="s">
        <v>19</v>
      </c>
      <c r="D2915">
        <v>593804</v>
      </c>
      <c r="E2915" t="s">
        <v>20</v>
      </c>
      <c r="F2915">
        <v>1024593762</v>
      </c>
      <c r="G2915" t="s">
        <v>1190</v>
      </c>
      <c r="H2915">
        <v>100239497</v>
      </c>
      <c r="I2915">
        <v>202610</v>
      </c>
      <c r="J2915">
        <v>1024593762</v>
      </c>
      <c r="K2915" t="s">
        <v>23</v>
      </c>
      <c r="L2915" t="s">
        <v>37</v>
      </c>
      <c r="M2915" t="s">
        <v>24</v>
      </c>
      <c r="N2915" t="s">
        <v>35</v>
      </c>
      <c r="O2915" t="s">
        <v>26</v>
      </c>
      <c r="P2915" t="s">
        <v>27</v>
      </c>
      <c r="Q2915" t="s">
        <v>28</v>
      </c>
      <c r="R2915" t="s">
        <v>29</v>
      </c>
      <c r="S2915" t="s">
        <v>30</v>
      </c>
      <c r="T2915">
        <v>1001192723</v>
      </c>
      <c r="U2915" t="s">
        <v>3941</v>
      </c>
      <c r="V2915" t="s">
        <v>3934</v>
      </c>
      <c r="W2915" s="9">
        <f>IF(V2915="pregrado",31,
IF(V2915="posgrados",31,
IF(V2915="rEINTEGROS",7,
IF(V2915="BIT",90,
IF(V2915="OP GRADO - INGLÉS",17,"")))))</f>
        <v>31</v>
      </c>
      <c r="X2915" t="s">
        <v>3940</v>
      </c>
    </row>
    <row r="2916" spans="1:24" ht="15" x14ac:dyDescent="0.35">
      <c r="A2916" s="4">
        <v>46010.638657407406</v>
      </c>
      <c r="B2916">
        <v>20108873</v>
      </c>
      <c r="C2916" s="6" t="s">
        <v>19</v>
      </c>
      <c r="D2916">
        <v>593808</v>
      </c>
      <c r="E2916" t="s">
        <v>20</v>
      </c>
      <c r="F2916">
        <v>1000694684</v>
      </c>
      <c r="G2916" t="s">
        <v>1191</v>
      </c>
      <c r="H2916">
        <v>100239501</v>
      </c>
      <c r="I2916">
        <v>202611</v>
      </c>
      <c r="J2916">
        <v>1000694684</v>
      </c>
      <c r="K2916" t="s">
        <v>23</v>
      </c>
      <c r="L2916" t="s">
        <v>227</v>
      </c>
      <c r="M2916" t="s">
        <v>24</v>
      </c>
      <c r="N2916" t="s">
        <v>35</v>
      </c>
      <c r="O2916" t="s">
        <v>26</v>
      </c>
      <c r="P2916" t="s">
        <v>27</v>
      </c>
      <c r="Q2916" t="s">
        <v>28</v>
      </c>
      <c r="R2916" t="s">
        <v>29</v>
      </c>
      <c r="S2916" t="s">
        <v>30</v>
      </c>
      <c r="T2916">
        <v>52392617</v>
      </c>
      <c r="U2916" t="s">
        <v>3965</v>
      </c>
      <c r="V2916" t="s">
        <v>3934</v>
      </c>
      <c r="W2916" s="9">
        <f>IF(V2916="pregrado",31,
IF(V2916="posgrados",31,
IF(V2916="rEINTEGROS",7,
IF(V2916="BIT",90,
IF(V2916="OP GRADO - INGLÉS",17,"")))))</f>
        <v>31</v>
      </c>
      <c r="X2916" t="s">
        <v>4053</v>
      </c>
    </row>
    <row r="2917" spans="1:24" ht="15" x14ac:dyDescent="0.35">
      <c r="A2917" s="4">
        <v>46028.435486111113</v>
      </c>
      <c r="B2917">
        <v>20111129</v>
      </c>
      <c r="C2917" s="6" t="s">
        <v>19</v>
      </c>
      <c r="D2917">
        <v>593822</v>
      </c>
      <c r="E2917" t="s">
        <v>20</v>
      </c>
      <c r="F2917">
        <v>1025523171</v>
      </c>
      <c r="G2917" t="s">
        <v>1510</v>
      </c>
      <c r="H2917">
        <v>100239513</v>
      </c>
      <c r="I2917">
        <v>202610</v>
      </c>
      <c r="J2917">
        <v>1025523171</v>
      </c>
      <c r="K2917" t="s">
        <v>33</v>
      </c>
      <c r="L2917" t="s">
        <v>153</v>
      </c>
      <c r="M2917" t="s">
        <v>24</v>
      </c>
      <c r="N2917" t="s">
        <v>35</v>
      </c>
      <c r="O2917" t="s">
        <v>26</v>
      </c>
      <c r="P2917" t="s">
        <v>27</v>
      </c>
      <c r="Q2917" t="s">
        <v>28</v>
      </c>
      <c r="R2917" t="s">
        <v>29</v>
      </c>
      <c r="S2917" t="s">
        <v>30</v>
      </c>
      <c r="T2917">
        <v>53071696</v>
      </c>
      <c r="U2917" t="s">
        <v>3965</v>
      </c>
      <c r="V2917" t="s">
        <v>3934</v>
      </c>
      <c r="W2917" s="9">
        <f>IF(V2917="pregrado",31,
IF(V2917="posgrados",31,
IF(V2917="rEINTEGROS",7,
IF(V2917="BIT",90,
IF(V2917="OP GRADO - INGLÉS",17,"")))))</f>
        <v>31</v>
      </c>
      <c r="X2917" t="s">
        <v>4012</v>
      </c>
    </row>
    <row r="2918" spans="1:24" ht="15" x14ac:dyDescent="0.35">
      <c r="A2918" s="4">
        <v>46020.358981481484</v>
      </c>
      <c r="B2918">
        <v>20110011</v>
      </c>
      <c r="C2918" s="6" t="s">
        <v>19</v>
      </c>
      <c r="D2918">
        <v>593823</v>
      </c>
      <c r="E2918" t="s">
        <v>20</v>
      </c>
      <c r="F2918">
        <v>1036401064</v>
      </c>
      <c r="G2918" t="s">
        <v>1352</v>
      </c>
      <c r="H2918">
        <v>100237747</v>
      </c>
      <c r="I2918">
        <v>202631</v>
      </c>
      <c r="J2918">
        <v>1036401064</v>
      </c>
      <c r="K2918" t="s">
        <v>33</v>
      </c>
      <c r="L2918" t="s">
        <v>127</v>
      </c>
      <c r="M2918" t="s">
        <v>24</v>
      </c>
      <c r="N2918" t="s">
        <v>35</v>
      </c>
      <c r="O2918" t="s">
        <v>26</v>
      </c>
      <c r="P2918" t="s">
        <v>27</v>
      </c>
      <c r="Q2918" t="s">
        <v>28</v>
      </c>
      <c r="R2918" t="s">
        <v>29</v>
      </c>
      <c r="S2918" t="s">
        <v>30</v>
      </c>
      <c r="T2918">
        <v>1025460711</v>
      </c>
      <c r="U2918" t="s">
        <v>3933</v>
      </c>
      <c r="V2918" t="s">
        <v>3934</v>
      </c>
      <c r="W2918" s="9">
        <f>IF(V2918="pregrado",31,
IF(V2918="posgrados",31,
IF(V2918="rEINTEGROS",7,
IF(V2918="BIT",90,
IF(V2918="OP GRADO - INGLÉS",17,"")))))</f>
        <v>31</v>
      </c>
      <c r="X2918" t="s">
        <v>4062</v>
      </c>
    </row>
    <row r="2919" spans="1:24" ht="15" x14ac:dyDescent="0.35">
      <c r="A2919" s="4">
        <v>46014.356192129628</v>
      </c>
      <c r="B2919">
        <v>20109360</v>
      </c>
      <c r="C2919" s="6" t="s">
        <v>19</v>
      </c>
      <c r="D2919">
        <v>593831</v>
      </c>
      <c r="E2919" t="s">
        <v>20</v>
      </c>
      <c r="F2919">
        <v>1000034379</v>
      </c>
      <c r="G2919" t="s">
        <v>1249</v>
      </c>
      <c r="H2919">
        <v>100239518</v>
      </c>
      <c r="I2919">
        <v>202610</v>
      </c>
      <c r="J2919">
        <v>1000034379</v>
      </c>
      <c r="K2919" t="s">
        <v>23</v>
      </c>
      <c r="L2919" t="s">
        <v>62</v>
      </c>
      <c r="M2919" t="s">
        <v>24</v>
      </c>
      <c r="N2919" t="s">
        <v>35</v>
      </c>
      <c r="O2919" t="s">
        <v>26</v>
      </c>
      <c r="P2919" t="s">
        <v>27</v>
      </c>
      <c r="Q2919" t="s">
        <v>28</v>
      </c>
      <c r="R2919" t="s">
        <v>29</v>
      </c>
      <c r="S2919" t="s">
        <v>30</v>
      </c>
      <c r="T2919">
        <v>11001273124</v>
      </c>
      <c r="U2919" t="s">
        <v>3944</v>
      </c>
      <c r="V2919" t="s">
        <v>3934</v>
      </c>
      <c r="W2919" s="9">
        <f>IF(V2919="pregrado",31,
IF(V2919="posgrados",31,
IF(V2919="rEINTEGROS",7,
IF(V2919="BIT",90,
IF(V2919="OP GRADO - INGLÉS",17,"")))))</f>
        <v>31</v>
      </c>
      <c r="X2919" t="s">
        <v>3951</v>
      </c>
    </row>
    <row r="2920" spans="1:24" ht="15" x14ac:dyDescent="0.35">
      <c r="A2920" s="4">
        <v>46011.480821759258</v>
      </c>
      <c r="B2920">
        <v>20109013</v>
      </c>
      <c r="C2920" s="6" t="s">
        <v>19</v>
      </c>
      <c r="D2920">
        <v>593836</v>
      </c>
      <c r="E2920" t="s">
        <v>20</v>
      </c>
      <c r="F2920">
        <v>1000506042</v>
      </c>
      <c r="G2920" t="s">
        <v>1205</v>
      </c>
      <c r="H2920">
        <v>100239521</v>
      </c>
      <c r="I2920">
        <v>202631</v>
      </c>
      <c r="J2920">
        <v>1010048051</v>
      </c>
      <c r="K2920" t="s">
        <v>23</v>
      </c>
      <c r="L2920" t="s">
        <v>65</v>
      </c>
      <c r="M2920" t="s">
        <v>24</v>
      </c>
      <c r="N2920" t="s">
        <v>35</v>
      </c>
      <c r="O2920" t="s">
        <v>26</v>
      </c>
      <c r="P2920" t="s">
        <v>27</v>
      </c>
      <c r="Q2920" t="s">
        <v>28</v>
      </c>
      <c r="R2920" t="s">
        <v>29</v>
      </c>
      <c r="S2920" t="s">
        <v>30</v>
      </c>
      <c r="T2920">
        <v>1010240716</v>
      </c>
      <c r="U2920" t="s">
        <v>3939</v>
      </c>
      <c r="V2920" t="s">
        <v>3934</v>
      </c>
      <c r="W2920" s="9">
        <f>IF(V2920="pregrado",31,
IF(V2920="posgrados",31,
IF(V2920="rEINTEGROS",7,
IF(V2920="BIT",90,
IF(V2920="OP GRADO - INGLÉS",17,"")))))</f>
        <v>31</v>
      </c>
      <c r="X2920" t="s">
        <v>3938</v>
      </c>
    </row>
    <row r="2921" spans="1:24" ht="15" x14ac:dyDescent="0.35">
      <c r="A2921" s="4">
        <v>46010.650277777779</v>
      </c>
      <c r="B2921">
        <v>20108884</v>
      </c>
      <c r="C2921" s="6" t="s">
        <v>19</v>
      </c>
      <c r="D2921">
        <v>593840</v>
      </c>
      <c r="E2921" t="s">
        <v>20</v>
      </c>
      <c r="F2921">
        <v>1193529427</v>
      </c>
      <c r="G2921" t="s">
        <v>1193</v>
      </c>
      <c r="H2921">
        <v>100170982</v>
      </c>
      <c r="I2921">
        <v>202631</v>
      </c>
      <c r="J2921">
        <v>1193529427</v>
      </c>
      <c r="K2921" t="s">
        <v>89</v>
      </c>
      <c r="L2921" t="s">
        <v>90</v>
      </c>
      <c r="M2921" t="s">
        <v>24</v>
      </c>
      <c r="N2921" t="s">
        <v>25</v>
      </c>
      <c r="O2921" t="s">
        <v>26</v>
      </c>
      <c r="P2921" t="s">
        <v>27</v>
      </c>
      <c r="Q2921" t="s">
        <v>28</v>
      </c>
      <c r="R2921" t="s">
        <v>29</v>
      </c>
      <c r="S2921" t="s">
        <v>30</v>
      </c>
      <c r="T2921">
        <v>1023899450</v>
      </c>
      <c r="U2921" t="s">
        <v>3977</v>
      </c>
      <c r="V2921" t="s">
        <v>3970</v>
      </c>
      <c r="W2921" s="9">
        <f>IF(V2921="pregrado",31,
IF(V2921="posgrados",31,
IF(V2921="rEINTEGROS",7,
IF(V2921="BIT",90,
IF(V2921="OP GRADO - INGLÉS",17,"")))))</f>
        <v>7</v>
      </c>
      <c r="X2921" t="s">
        <v>3969</v>
      </c>
    </row>
    <row r="2922" spans="1:24" ht="15" x14ac:dyDescent="0.35">
      <c r="A2922" s="4">
        <v>46014.513842592591</v>
      </c>
      <c r="B2922">
        <v>20109487</v>
      </c>
      <c r="C2922" s="6" t="s">
        <v>19</v>
      </c>
      <c r="D2922">
        <v>593846</v>
      </c>
      <c r="E2922" t="s">
        <v>20</v>
      </c>
      <c r="F2922">
        <v>40397481</v>
      </c>
      <c r="G2922" t="s">
        <v>1265</v>
      </c>
      <c r="H2922">
        <v>100239527</v>
      </c>
      <c r="I2922">
        <v>202631</v>
      </c>
      <c r="J2922">
        <v>1000273604</v>
      </c>
      <c r="K2922" t="s">
        <v>33</v>
      </c>
      <c r="L2922" t="s">
        <v>90</v>
      </c>
      <c r="M2922" t="s">
        <v>24</v>
      </c>
      <c r="N2922" t="s">
        <v>38</v>
      </c>
      <c r="O2922" t="s">
        <v>26</v>
      </c>
      <c r="P2922" t="s">
        <v>27</v>
      </c>
      <c r="Q2922" t="s">
        <v>28</v>
      </c>
      <c r="R2922" t="s">
        <v>29</v>
      </c>
      <c r="S2922" t="s">
        <v>30</v>
      </c>
      <c r="T2922">
        <v>1026299972</v>
      </c>
      <c r="U2922" t="s">
        <v>3933</v>
      </c>
      <c r="V2922" t="s">
        <v>3934</v>
      </c>
      <c r="W2922" s="9">
        <f>IF(V2922="pregrado",31,
IF(V2922="posgrados",31,
IF(V2922="rEINTEGROS",7,
IF(V2922="BIT",90,
IF(V2922="OP GRADO - INGLÉS",17,"")))))</f>
        <v>31</v>
      </c>
      <c r="X2922" t="s">
        <v>4052</v>
      </c>
    </row>
    <row r="2923" spans="1:24" ht="15" x14ac:dyDescent="0.35">
      <c r="A2923" s="4">
        <v>46014.372893518521</v>
      </c>
      <c r="B2923">
        <v>20109370</v>
      </c>
      <c r="C2923" s="6" t="s">
        <v>19</v>
      </c>
      <c r="D2923">
        <v>593850</v>
      </c>
      <c r="E2923" t="s">
        <v>20</v>
      </c>
      <c r="F2923">
        <v>1001348696</v>
      </c>
      <c r="G2923" t="s">
        <v>1251</v>
      </c>
      <c r="H2923">
        <v>100239531</v>
      </c>
      <c r="I2923">
        <v>202631</v>
      </c>
      <c r="J2923">
        <v>1001348696</v>
      </c>
      <c r="K2923" t="s">
        <v>23</v>
      </c>
      <c r="L2923" t="s">
        <v>51</v>
      </c>
      <c r="M2923" t="s">
        <v>24</v>
      </c>
      <c r="N2923" t="s">
        <v>35</v>
      </c>
      <c r="O2923" t="s">
        <v>26</v>
      </c>
      <c r="P2923" t="s">
        <v>27</v>
      </c>
      <c r="Q2923" t="s">
        <v>28</v>
      </c>
      <c r="R2923" t="s">
        <v>29</v>
      </c>
      <c r="S2923" t="s">
        <v>30</v>
      </c>
      <c r="T2923">
        <v>1118531834</v>
      </c>
      <c r="U2923" t="s">
        <v>3941</v>
      </c>
      <c r="V2923" t="s">
        <v>3934</v>
      </c>
      <c r="W2923" s="9">
        <f>IF(V2923="pregrado",31,
IF(V2923="posgrados",31,
IF(V2923="rEINTEGROS",7,
IF(V2923="BIT",90,
IF(V2923="OP GRADO - INGLÉS",17,"")))))</f>
        <v>31</v>
      </c>
      <c r="X2923" t="s">
        <v>3996</v>
      </c>
    </row>
    <row r="2924" spans="1:24" ht="15" x14ac:dyDescent="0.35">
      <c r="A2924" s="4">
        <v>46017.568333333336</v>
      </c>
      <c r="B2924">
        <v>20109863</v>
      </c>
      <c r="C2924" s="6" t="s">
        <v>19</v>
      </c>
      <c r="D2924">
        <v>593851</v>
      </c>
      <c r="E2924" t="s">
        <v>20</v>
      </c>
      <c r="F2924">
        <v>1006029904</v>
      </c>
      <c r="G2924" t="s">
        <v>1325</v>
      </c>
      <c r="H2924">
        <v>100239532</v>
      </c>
      <c r="I2924">
        <v>202631</v>
      </c>
      <c r="J2924">
        <v>1006029904</v>
      </c>
      <c r="K2924" t="s">
        <v>33</v>
      </c>
      <c r="L2924" t="s">
        <v>127</v>
      </c>
      <c r="M2924" t="s">
        <v>24</v>
      </c>
      <c r="N2924" t="s">
        <v>25</v>
      </c>
      <c r="O2924" t="s">
        <v>26</v>
      </c>
      <c r="P2924" t="s">
        <v>27</v>
      </c>
      <c r="Q2924" t="s">
        <v>28</v>
      </c>
      <c r="R2924" t="s">
        <v>29</v>
      </c>
      <c r="S2924" t="s">
        <v>30</v>
      </c>
      <c r="T2924">
        <v>1026299972</v>
      </c>
      <c r="U2924" t="s">
        <v>3933</v>
      </c>
      <c r="V2924" t="s">
        <v>3934</v>
      </c>
      <c r="W2924" s="9">
        <f>IF(V2924="pregrado",31,
IF(V2924="posgrados",31,
IF(V2924="rEINTEGROS",7,
IF(V2924="BIT",90,
IF(V2924="OP GRADO - INGLÉS",17,"")))))</f>
        <v>31</v>
      </c>
      <c r="X2924" t="s">
        <v>4052</v>
      </c>
    </row>
    <row r="2925" spans="1:24" ht="15" x14ac:dyDescent="0.35">
      <c r="A2925" s="4">
        <v>46013.629537037035</v>
      </c>
      <c r="B2925">
        <v>20109227</v>
      </c>
      <c r="C2925" s="6" t="s">
        <v>19</v>
      </c>
      <c r="D2925">
        <v>593853</v>
      </c>
      <c r="E2925" t="s">
        <v>20</v>
      </c>
      <c r="F2925">
        <v>1029141526</v>
      </c>
      <c r="G2925" t="s">
        <v>1230</v>
      </c>
      <c r="H2925">
        <v>100223480</v>
      </c>
      <c r="I2925">
        <v>202631</v>
      </c>
      <c r="J2925">
        <v>1029141526</v>
      </c>
      <c r="K2925" t="s">
        <v>23</v>
      </c>
      <c r="L2925" t="s">
        <v>114</v>
      </c>
      <c r="M2925" t="s">
        <v>24</v>
      </c>
      <c r="N2925" t="s">
        <v>35</v>
      </c>
      <c r="O2925" t="s">
        <v>26</v>
      </c>
      <c r="P2925" t="s">
        <v>27</v>
      </c>
      <c r="Q2925" t="s">
        <v>28</v>
      </c>
      <c r="R2925" t="s">
        <v>29</v>
      </c>
      <c r="S2925" t="s">
        <v>30</v>
      </c>
      <c r="T2925">
        <v>1014283217</v>
      </c>
      <c r="U2925" t="s">
        <v>3963</v>
      </c>
      <c r="V2925" t="s">
        <v>3934</v>
      </c>
      <c r="W2925" s="9">
        <f>IF(V2925="pregrado",31,
IF(V2925="posgrados",31,
IF(V2925="rEINTEGROS",7,
IF(V2925="BIT",90,
IF(V2925="OP GRADO - INGLÉS",17,"")))))</f>
        <v>31</v>
      </c>
      <c r="X2925" t="s">
        <v>4023</v>
      </c>
    </row>
    <row r="2926" spans="1:24" ht="15" x14ac:dyDescent="0.35">
      <c r="A2926" s="4">
        <v>46017.413437499999</v>
      </c>
      <c r="B2926">
        <v>20109801</v>
      </c>
      <c r="C2926" s="6" t="s">
        <v>19</v>
      </c>
      <c r="D2926">
        <v>593863</v>
      </c>
      <c r="E2926" t="s">
        <v>20</v>
      </c>
      <c r="F2926">
        <v>30574797</v>
      </c>
      <c r="G2926" t="s">
        <v>1314</v>
      </c>
      <c r="H2926">
        <v>100039363</v>
      </c>
      <c r="I2926">
        <v>202611</v>
      </c>
      <c r="J2926">
        <v>1069486107</v>
      </c>
      <c r="K2926" t="s">
        <v>46</v>
      </c>
      <c r="L2926" t="s">
        <v>204</v>
      </c>
      <c r="M2926" t="s">
        <v>24</v>
      </c>
      <c r="N2926">
        <v>0</v>
      </c>
      <c r="O2926" t="s">
        <v>26</v>
      </c>
      <c r="P2926" t="s">
        <v>27</v>
      </c>
      <c r="Q2926" t="s">
        <v>28</v>
      </c>
      <c r="R2926" t="s">
        <v>29</v>
      </c>
      <c r="S2926" t="s">
        <v>30</v>
      </c>
      <c r="T2926">
        <v>1019102787</v>
      </c>
      <c r="U2926" t="s">
        <v>3977</v>
      </c>
      <c r="V2926" t="s">
        <v>3970</v>
      </c>
      <c r="W2926" s="9">
        <f>IF(V2926="pregrado",31,
IF(V2926="posgrados",31,
IF(V2926="rEINTEGROS",7,
IF(V2926="BIT",90,
IF(V2926="OP GRADO - INGLÉS",17,"")))))</f>
        <v>7</v>
      </c>
      <c r="X2926" t="s">
        <v>3976</v>
      </c>
    </row>
    <row r="2927" spans="1:24" ht="15" x14ac:dyDescent="0.35">
      <c r="A2927" s="4">
        <v>46015.751527777778</v>
      </c>
      <c r="B2927">
        <v>20109754</v>
      </c>
      <c r="C2927" s="6" t="s">
        <v>19</v>
      </c>
      <c r="D2927">
        <v>593864</v>
      </c>
      <c r="E2927" t="s">
        <v>20</v>
      </c>
      <c r="F2927">
        <v>93344961</v>
      </c>
      <c r="G2927" t="s">
        <v>1306</v>
      </c>
      <c r="H2927">
        <v>100237250</v>
      </c>
      <c r="I2927">
        <v>202631</v>
      </c>
      <c r="J2927">
        <v>93344961</v>
      </c>
      <c r="K2927" t="s">
        <v>23</v>
      </c>
      <c r="L2927" t="s">
        <v>240</v>
      </c>
      <c r="M2927" t="s">
        <v>24</v>
      </c>
      <c r="N2927" t="s">
        <v>35</v>
      </c>
      <c r="O2927" t="s">
        <v>26</v>
      </c>
      <c r="P2927" t="s">
        <v>27</v>
      </c>
      <c r="Q2927" t="s">
        <v>28</v>
      </c>
      <c r="R2927" t="s">
        <v>29</v>
      </c>
      <c r="S2927" t="s">
        <v>30</v>
      </c>
      <c r="T2927">
        <v>45555807</v>
      </c>
      <c r="U2927" t="s">
        <v>3965</v>
      </c>
      <c r="V2927" t="s">
        <v>3934</v>
      </c>
      <c r="W2927" s="9">
        <f>IF(V2927="pregrado",31,
IF(V2927="posgrados",31,
IF(V2927="rEINTEGROS",7,
IF(V2927="BIT",90,
IF(V2927="OP GRADO - INGLÉS",17,"")))))</f>
        <v>31</v>
      </c>
      <c r="X2927" t="s">
        <v>4027</v>
      </c>
    </row>
    <row r="2928" spans="1:24" ht="15" x14ac:dyDescent="0.35">
      <c r="A2928" s="4">
        <v>46014.378483796296</v>
      </c>
      <c r="B2928">
        <v>20109377</v>
      </c>
      <c r="C2928" s="6" t="s">
        <v>19</v>
      </c>
      <c r="D2928">
        <v>593895</v>
      </c>
      <c r="E2928" t="s">
        <v>20</v>
      </c>
      <c r="F2928">
        <v>1012917465</v>
      </c>
      <c r="G2928" t="s">
        <v>1252</v>
      </c>
      <c r="H2928">
        <v>100239570</v>
      </c>
      <c r="I2928">
        <v>202610</v>
      </c>
      <c r="J2928">
        <v>1012917465</v>
      </c>
      <c r="K2928" t="s">
        <v>33</v>
      </c>
      <c r="L2928" t="s">
        <v>40</v>
      </c>
      <c r="M2928" t="s">
        <v>24</v>
      </c>
      <c r="N2928" t="s">
        <v>38</v>
      </c>
      <c r="O2928" t="s">
        <v>26</v>
      </c>
      <c r="P2928" t="s">
        <v>27</v>
      </c>
      <c r="Q2928" t="s">
        <v>28</v>
      </c>
      <c r="R2928" t="s">
        <v>29</v>
      </c>
      <c r="S2928" t="s">
        <v>30</v>
      </c>
      <c r="T2928">
        <v>52182207</v>
      </c>
      <c r="U2928" t="s">
        <v>3941</v>
      </c>
      <c r="V2928" t="s">
        <v>3934</v>
      </c>
      <c r="W2928" s="9">
        <f>IF(V2928="pregrado",31,
IF(V2928="posgrados",31,
IF(V2928="rEINTEGROS",7,
IF(V2928="BIT",90,
IF(V2928="OP GRADO - INGLÉS",17,"")))))</f>
        <v>31</v>
      </c>
      <c r="X2928" t="s">
        <v>3946</v>
      </c>
    </row>
    <row r="2929" spans="1:24" ht="15" x14ac:dyDescent="0.35">
      <c r="A2929" s="4">
        <v>46016.827499999999</v>
      </c>
      <c r="B2929">
        <v>20109777</v>
      </c>
      <c r="C2929" s="6" t="s">
        <v>19</v>
      </c>
      <c r="D2929">
        <v>593904</v>
      </c>
      <c r="E2929" t="s">
        <v>20</v>
      </c>
      <c r="F2929">
        <v>1118201082</v>
      </c>
      <c r="G2929" t="s">
        <v>1311</v>
      </c>
      <c r="H2929">
        <v>100097735</v>
      </c>
      <c r="I2929">
        <v>202631</v>
      </c>
      <c r="J2929">
        <v>1122627308</v>
      </c>
      <c r="K2929" t="s">
        <v>33</v>
      </c>
      <c r="L2929" t="s">
        <v>127</v>
      </c>
      <c r="M2929" t="s">
        <v>24</v>
      </c>
      <c r="N2929" t="s">
        <v>25</v>
      </c>
      <c r="O2929" t="s">
        <v>26</v>
      </c>
      <c r="P2929" t="s">
        <v>27</v>
      </c>
      <c r="Q2929" t="s">
        <v>28</v>
      </c>
      <c r="R2929" t="s">
        <v>29</v>
      </c>
      <c r="S2929" t="s">
        <v>30</v>
      </c>
      <c r="T2929">
        <v>39666517</v>
      </c>
      <c r="U2929" t="s">
        <v>3933</v>
      </c>
      <c r="V2929" t="s">
        <v>3934</v>
      </c>
      <c r="W2929" s="9">
        <f>IF(V2929="pregrado",31,
IF(V2929="posgrados",31,
IF(V2929="rEINTEGROS",7,
IF(V2929="BIT",90,
IF(V2929="OP GRADO - INGLÉS",17,"")))))</f>
        <v>31</v>
      </c>
      <c r="X2929" t="s">
        <v>4025</v>
      </c>
    </row>
    <row r="2930" spans="1:24" ht="15" x14ac:dyDescent="0.35">
      <c r="A2930" s="4">
        <v>46043.737581018519</v>
      </c>
      <c r="B2930">
        <v>20115913</v>
      </c>
      <c r="C2930" s="6" t="s">
        <v>19</v>
      </c>
      <c r="D2930">
        <v>593907</v>
      </c>
      <c r="E2930" t="s">
        <v>20</v>
      </c>
      <c r="F2930">
        <v>78027111</v>
      </c>
      <c r="G2930" t="s">
        <v>2119</v>
      </c>
      <c r="H2930">
        <v>100239580</v>
      </c>
      <c r="I2930">
        <v>202631</v>
      </c>
      <c r="J2930">
        <v>1063281762</v>
      </c>
      <c r="K2930" t="s">
        <v>33</v>
      </c>
      <c r="L2930" t="s">
        <v>42</v>
      </c>
      <c r="M2930" t="s">
        <v>24</v>
      </c>
      <c r="N2930" t="s">
        <v>35</v>
      </c>
      <c r="O2930" t="s">
        <v>26</v>
      </c>
      <c r="P2930" t="s">
        <v>27</v>
      </c>
      <c r="Q2930" t="s">
        <v>28</v>
      </c>
      <c r="R2930" t="s">
        <v>29</v>
      </c>
      <c r="S2930" t="s">
        <v>30</v>
      </c>
      <c r="T2930">
        <v>10123971531</v>
      </c>
      <c r="U2930" t="s">
        <v>3944</v>
      </c>
      <c r="V2930" t="s">
        <v>3934</v>
      </c>
      <c r="W2930" s="9">
        <f>IF(V2930="pregrado",31,
IF(V2930="posgrados",31,
IF(V2930="rEINTEGROS",7,
IF(V2930="BIT",90,
IF(V2930="OP GRADO - INGLÉS",17,"")))))</f>
        <v>31</v>
      </c>
      <c r="X2930" t="s">
        <v>3943</v>
      </c>
    </row>
    <row r="2931" spans="1:24" ht="15" x14ac:dyDescent="0.35">
      <c r="A2931" s="4">
        <v>46011.517268518517</v>
      </c>
      <c r="B2931">
        <v>20109020</v>
      </c>
      <c r="C2931" s="6" t="s">
        <v>19</v>
      </c>
      <c r="D2931">
        <v>593912</v>
      </c>
      <c r="E2931" t="s">
        <v>20</v>
      </c>
      <c r="F2931">
        <v>1019002308</v>
      </c>
      <c r="G2931" t="s">
        <v>1207</v>
      </c>
      <c r="H2931">
        <v>100239583</v>
      </c>
      <c r="I2931">
        <v>202631</v>
      </c>
      <c r="J2931">
        <v>1019002308</v>
      </c>
      <c r="K2931" t="s">
        <v>33</v>
      </c>
      <c r="L2931" t="s">
        <v>207</v>
      </c>
      <c r="M2931" t="s">
        <v>24</v>
      </c>
      <c r="N2931" t="s">
        <v>38</v>
      </c>
      <c r="O2931" t="s">
        <v>26</v>
      </c>
      <c r="P2931" t="s">
        <v>27</v>
      </c>
      <c r="Q2931" t="s">
        <v>28</v>
      </c>
      <c r="R2931" t="s">
        <v>29</v>
      </c>
      <c r="S2931" t="s">
        <v>30</v>
      </c>
      <c r="T2931">
        <v>80021358</v>
      </c>
      <c r="U2931" t="s">
        <v>3986</v>
      </c>
      <c r="V2931" t="s">
        <v>3934</v>
      </c>
      <c r="W2931" s="9">
        <f>IF(V2931="pregrado",31,
IF(V2931="posgrados",31,
IF(V2931="rEINTEGROS",7,
IF(V2931="BIT",90,
IF(V2931="OP GRADO - INGLÉS",17,"")))))</f>
        <v>31</v>
      </c>
      <c r="X2931" t="s">
        <v>3995</v>
      </c>
    </row>
    <row r="2932" spans="1:24" ht="15" x14ac:dyDescent="0.35">
      <c r="A2932" s="4">
        <v>46051.739837962959</v>
      </c>
      <c r="B2932">
        <v>20118689</v>
      </c>
      <c r="C2932" s="6" t="s">
        <v>19</v>
      </c>
      <c r="D2932">
        <v>593924</v>
      </c>
      <c r="E2932" t="s">
        <v>20</v>
      </c>
      <c r="F2932">
        <v>1098801322</v>
      </c>
      <c r="G2932" t="s">
        <v>2520</v>
      </c>
      <c r="H2932">
        <v>100084206</v>
      </c>
      <c r="I2932">
        <v>202631</v>
      </c>
      <c r="J2932">
        <v>1098801322</v>
      </c>
      <c r="K2932" t="s">
        <v>23</v>
      </c>
      <c r="L2932" t="s">
        <v>90</v>
      </c>
      <c r="M2932" t="s">
        <v>24</v>
      </c>
      <c r="N2932" t="s">
        <v>35</v>
      </c>
      <c r="O2932" t="s">
        <v>26</v>
      </c>
      <c r="P2932" t="s">
        <v>27</v>
      </c>
      <c r="Q2932" t="s">
        <v>28</v>
      </c>
      <c r="R2932" t="s">
        <v>29</v>
      </c>
      <c r="S2932" t="s">
        <v>30</v>
      </c>
      <c r="T2932">
        <v>1007473661</v>
      </c>
      <c r="U2932" t="s">
        <v>3933</v>
      </c>
      <c r="V2932" t="s">
        <v>3934</v>
      </c>
      <c r="W2932" s="9">
        <f>IF(V2932="pregrado",31,
IF(V2932="posgrados",31,
IF(V2932="rEINTEGROS",7,
IF(V2932="BIT",90,
IF(V2932="OP GRADO - INGLÉS",17,"")))))</f>
        <v>31</v>
      </c>
      <c r="X2932" t="s">
        <v>4058</v>
      </c>
    </row>
    <row r="2933" spans="1:24" ht="15" x14ac:dyDescent="0.35">
      <c r="A2933" s="4">
        <v>46021.754687499997</v>
      </c>
      <c r="B2933">
        <v>20110510</v>
      </c>
      <c r="C2933" s="6" t="s">
        <v>19</v>
      </c>
      <c r="D2933">
        <v>593925</v>
      </c>
      <c r="E2933" t="s">
        <v>20</v>
      </c>
      <c r="F2933">
        <v>35478747</v>
      </c>
      <c r="G2933" t="s">
        <v>1430</v>
      </c>
      <c r="H2933">
        <v>100239592</v>
      </c>
      <c r="I2933">
        <v>202611</v>
      </c>
      <c r="J2933">
        <v>1072654760</v>
      </c>
      <c r="K2933" t="s">
        <v>23</v>
      </c>
      <c r="L2933" t="s">
        <v>227</v>
      </c>
      <c r="M2933" t="s">
        <v>24</v>
      </c>
      <c r="N2933" t="s">
        <v>35</v>
      </c>
      <c r="O2933" t="s">
        <v>26</v>
      </c>
      <c r="P2933" t="s">
        <v>27</v>
      </c>
      <c r="Q2933" t="s">
        <v>28</v>
      </c>
      <c r="R2933" t="s">
        <v>29</v>
      </c>
      <c r="S2933" t="s">
        <v>30</v>
      </c>
      <c r="T2933">
        <v>1015428862</v>
      </c>
      <c r="U2933" t="s">
        <v>3965</v>
      </c>
      <c r="V2933" t="s">
        <v>3934</v>
      </c>
      <c r="W2933" s="9">
        <f>IF(V2933="pregrado",31,
IF(V2933="posgrados",31,
IF(V2933="rEINTEGROS",7,
IF(V2933="BIT",90,
IF(V2933="OP GRADO - INGLÉS",17,"")))))</f>
        <v>31</v>
      </c>
      <c r="X2933" t="s">
        <v>4048</v>
      </c>
    </row>
    <row r="2934" spans="1:24" ht="15" x14ac:dyDescent="0.35">
      <c r="A2934" s="4">
        <v>46014.740370370368</v>
      </c>
      <c r="B2934">
        <v>20109636</v>
      </c>
      <c r="C2934" s="6" t="s">
        <v>19</v>
      </c>
      <c r="D2934">
        <v>593932</v>
      </c>
      <c r="E2934" t="s">
        <v>20</v>
      </c>
      <c r="F2934">
        <v>1033739844</v>
      </c>
      <c r="G2934" t="s">
        <v>1289</v>
      </c>
      <c r="H2934">
        <v>100239599</v>
      </c>
      <c r="I2934">
        <v>202611</v>
      </c>
      <c r="J2934">
        <v>1033739844</v>
      </c>
      <c r="K2934" t="s">
        <v>23</v>
      </c>
      <c r="L2934" t="s">
        <v>221</v>
      </c>
      <c r="M2934" t="s">
        <v>24</v>
      </c>
      <c r="N2934" t="s">
        <v>35</v>
      </c>
      <c r="O2934" t="s">
        <v>26</v>
      </c>
      <c r="P2934" t="s">
        <v>27</v>
      </c>
      <c r="Q2934" t="s">
        <v>28</v>
      </c>
      <c r="R2934" t="s">
        <v>29</v>
      </c>
      <c r="S2934" t="s">
        <v>30</v>
      </c>
      <c r="T2934">
        <v>1007709034</v>
      </c>
      <c r="U2934" t="s">
        <v>3965</v>
      </c>
      <c r="V2934" t="s">
        <v>3934</v>
      </c>
      <c r="W2934" s="9">
        <f>IF(V2934="pregrado",31,
IF(V2934="posgrados",31,
IF(V2934="rEINTEGROS",7,
IF(V2934="BIT",90,
IF(V2934="OP GRADO - INGLÉS",17,"")))))</f>
        <v>31</v>
      </c>
      <c r="X2934" t="s">
        <v>3964</v>
      </c>
    </row>
    <row r="2935" spans="1:24" ht="15" x14ac:dyDescent="0.35">
      <c r="A2935" s="4">
        <v>46014.461331018516</v>
      </c>
      <c r="B2935">
        <v>20109445</v>
      </c>
      <c r="C2935" s="6" t="s">
        <v>19</v>
      </c>
      <c r="D2935">
        <v>593934</v>
      </c>
      <c r="E2935" t="s">
        <v>20</v>
      </c>
      <c r="F2935">
        <v>1003215581</v>
      </c>
      <c r="G2935" t="s">
        <v>1260</v>
      </c>
      <c r="H2935">
        <v>100239600</v>
      </c>
      <c r="I2935">
        <v>202631</v>
      </c>
      <c r="J2935">
        <v>1003215581</v>
      </c>
      <c r="K2935" t="s">
        <v>33</v>
      </c>
      <c r="L2935" t="s">
        <v>207</v>
      </c>
      <c r="M2935" t="s">
        <v>24</v>
      </c>
      <c r="N2935" t="s">
        <v>25</v>
      </c>
      <c r="O2935" t="s">
        <v>26</v>
      </c>
      <c r="P2935" t="s">
        <v>27</v>
      </c>
      <c r="Q2935" t="s">
        <v>28</v>
      </c>
      <c r="R2935" t="s">
        <v>29</v>
      </c>
      <c r="S2935" t="s">
        <v>30</v>
      </c>
      <c r="T2935">
        <v>1002500634</v>
      </c>
      <c r="U2935" t="s">
        <v>3986</v>
      </c>
      <c r="V2935" t="s">
        <v>3934</v>
      </c>
      <c r="W2935" s="9">
        <f>IF(V2935="pregrado",31,
IF(V2935="posgrados",31,
IF(V2935="rEINTEGROS",7,
IF(V2935="BIT",90,
IF(V2935="OP GRADO - INGLÉS",17,"")))))</f>
        <v>31</v>
      </c>
      <c r="X2935" t="s">
        <v>4026</v>
      </c>
    </row>
    <row r="2936" spans="1:24" ht="15" x14ac:dyDescent="0.35">
      <c r="A2936" s="4">
        <v>46020.467268518521</v>
      </c>
      <c r="B2936">
        <v>20110059</v>
      </c>
      <c r="C2936" s="6" t="s">
        <v>19</v>
      </c>
      <c r="D2936">
        <v>593938</v>
      </c>
      <c r="E2936" t="s">
        <v>20</v>
      </c>
      <c r="F2936">
        <v>1073427149</v>
      </c>
      <c r="G2936" t="s">
        <v>1358</v>
      </c>
      <c r="H2936">
        <v>100239355</v>
      </c>
      <c r="I2936">
        <v>202611</v>
      </c>
      <c r="J2936">
        <v>1073427149</v>
      </c>
      <c r="K2936" t="s">
        <v>23</v>
      </c>
      <c r="L2936" t="s">
        <v>221</v>
      </c>
      <c r="M2936" t="s">
        <v>24</v>
      </c>
      <c r="N2936" t="s">
        <v>35</v>
      </c>
      <c r="O2936" t="s">
        <v>26</v>
      </c>
      <c r="P2936" t="s">
        <v>27</v>
      </c>
      <c r="Q2936" t="s">
        <v>28</v>
      </c>
      <c r="R2936" t="s">
        <v>29</v>
      </c>
      <c r="S2936" t="s">
        <v>30</v>
      </c>
      <c r="T2936">
        <v>1007709034</v>
      </c>
      <c r="U2936" t="s">
        <v>3965</v>
      </c>
      <c r="V2936" t="s">
        <v>3934</v>
      </c>
      <c r="W2936" s="9">
        <f>IF(V2936="pregrado",31,
IF(V2936="posgrados",31,
IF(V2936="rEINTEGROS",7,
IF(V2936="BIT",90,
IF(V2936="OP GRADO - INGLÉS",17,"")))))</f>
        <v>31</v>
      </c>
      <c r="X2936" t="s">
        <v>3964</v>
      </c>
    </row>
    <row r="2937" spans="1:24" ht="15" x14ac:dyDescent="0.35">
      <c r="A2937" s="4">
        <v>46017.549421296295</v>
      </c>
      <c r="B2937">
        <v>20109859</v>
      </c>
      <c r="C2937" s="6" t="s">
        <v>19</v>
      </c>
      <c r="D2937">
        <v>593946</v>
      </c>
      <c r="E2937" t="s">
        <v>20</v>
      </c>
      <c r="F2937">
        <v>56098019</v>
      </c>
      <c r="G2937" t="s">
        <v>1323</v>
      </c>
      <c r="H2937">
        <v>100239612</v>
      </c>
      <c r="I2937">
        <v>202631</v>
      </c>
      <c r="J2937">
        <v>1121330935</v>
      </c>
      <c r="K2937" t="s">
        <v>23</v>
      </c>
      <c r="L2937" t="s">
        <v>370</v>
      </c>
      <c r="M2937" t="s">
        <v>24</v>
      </c>
      <c r="N2937" t="s">
        <v>35</v>
      </c>
      <c r="O2937" t="s">
        <v>26</v>
      </c>
      <c r="P2937" t="s">
        <v>27</v>
      </c>
      <c r="Q2937" t="s">
        <v>28</v>
      </c>
      <c r="R2937" t="s">
        <v>29</v>
      </c>
      <c r="S2937" t="s">
        <v>30</v>
      </c>
      <c r="T2937">
        <v>79635092</v>
      </c>
      <c r="U2937" t="s">
        <v>3963</v>
      </c>
      <c r="V2937" t="s">
        <v>3934</v>
      </c>
      <c r="W2937" s="9">
        <f>IF(V2937="pregrado",31,
IF(V2937="posgrados",31,
IF(V2937="rEINTEGROS",7,
IF(V2937="BIT",90,
IF(V2937="OP GRADO - INGLÉS",17,"")))))</f>
        <v>31</v>
      </c>
      <c r="X2937" t="s">
        <v>4079</v>
      </c>
    </row>
    <row r="2938" spans="1:24" ht="15" x14ac:dyDescent="0.35">
      <c r="A2938" s="4">
        <v>46046.881504629629</v>
      </c>
      <c r="B2938">
        <v>20116912</v>
      </c>
      <c r="C2938" s="6" t="s">
        <v>19</v>
      </c>
      <c r="D2938">
        <v>593949</v>
      </c>
      <c r="E2938" t="s">
        <v>20</v>
      </c>
      <c r="F2938">
        <v>1001061508</v>
      </c>
      <c r="G2938" t="s">
        <v>2267</v>
      </c>
      <c r="H2938">
        <v>100172944</v>
      </c>
      <c r="I2938">
        <v>202631</v>
      </c>
      <c r="J2938">
        <v>1233503285</v>
      </c>
      <c r="K2938" t="s">
        <v>89</v>
      </c>
      <c r="L2938" t="s">
        <v>2268</v>
      </c>
      <c r="M2938" t="s">
        <v>24</v>
      </c>
      <c r="N2938" t="s">
        <v>35</v>
      </c>
      <c r="O2938" t="s">
        <v>26</v>
      </c>
      <c r="P2938" t="s">
        <v>27</v>
      </c>
      <c r="Q2938" t="s">
        <v>28</v>
      </c>
      <c r="R2938" t="s">
        <v>29</v>
      </c>
      <c r="S2938" t="s">
        <v>30</v>
      </c>
      <c r="T2938">
        <v>1019102787</v>
      </c>
      <c r="U2938" t="s">
        <v>3977</v>
      </c>
      <c r="V2938" t="s">
        <v>3970</v>
      </c>
      <c r="W2938" s="9">
        <f>IF(V2938="pregrado",31,
IF(V2938="posgrados",31,
IF(V2938="rEINTEGROS",7,
IF(V2938="BIT",90,
IF(V2938="OP GRADO - INGLÉS",17,"")))))</f>
        <v>7</v>
      </c>
      <c r="X2938" t="s">
        <v>3976</v>
      </c>
    </row>
    <row r="2939" spans="1:24" ht="15" x14ac:dyDescent="0.35">
      <c r="A2939" s="4">
        <v>46065.643194444441</v>
      </c>
      <c r="B2939">
        <v>20122884</v>
      </c>
      <c r="C2939" s="6" t="s">
        <v>19</v>
      </c>
      <c r="D2939">
        <v>593953</v>
      </c>
      <c r="E2939" t="s">
        <v>20</v>
      </c>
      <c r="F2939">
        <v>1110540169</v>
      </c>
      <c r="G2939" t="s">
        <v>3109</v>
      </c>
      <c r="H2939">
        <v>100179247</v>
      </c>
      <c r="I2939">
        <v>202611</v>
      </c>
      <c r="J2939">
        <v>1110540169</v>
      </c>
      <c r="K2939" t="s">
        <v>89</v>
      </c>
      <c r="L2939" t="s">
        <v>133</v>
      </c>
      <c r="M2939" t="s">
        <v>24</v>
      </c>
      <c r="N2939" t="s">
        <v>35</v>
      </c>
      <c r="O2939" t="s">
        <v>26</v>
      </c>
      <c r="P2939" t="s">
        <v>27</v>
      </c>
      <c r="Q2939" t="s">
        <v>28</v>
      </c>
      <c r="R2939" t="s">
        <v>29</v>
      </c>
      <c r="S2939" t="s">
        <v>30</v>
      </c>
      <c r="T2939">
        <v>1019102787</v>
      </c>
      <c r="U2939" t="s">
        <v>3977</v>
      </c>
      <c r="V2939" t="s">
        <v>3970</v>
      </c>
      <c r="W2939" s="9">
        <f>IF(V2939="pregrado",31,
IF(V2939="posgrados",31,
IF(V2939="rEINTEGROS",7,
IF(V2939="BIT",90,
IF(V2939="OP GRADO - INGLÉS",17,"")))))</f>
        <v>7</v>
      </c>
      <c r="X2939" t="s">
        <v>3976</v>
      </c>
    </row>
    <row r="2940" spans="1:24" ht="15" x14ac:dyDescent="0.35">
      <c r="A2940" s="4">
        <v>46013.536666666667</v>
      </c>
      <c r="B2940">
        <v>20109184</v>
      </c>
      <c r="C2940" s="6" t="s">
        <v>19</v>
      </c>
      <c r="D2940">
        <v>593955</v>
      </c>
      <c r="E2940" t="s">
        <v>20</v>
      </c>
      <c r="F2940">
        <v>35545424</v>
      </c>
      <c r="G2940" t="s">
        <v>1223</v>
      </c>
      <c r="H2940">
        <v>100239620</v>
      </c>
      <c r="I2940">
        <v>202611</v>
      </c>
      <c r="J2940">
        <v>35545424</v>
      </c>
      <c r="K2940" t="s">
        <v>23</v>
      </c>
      <c r="L2940" t="s">
        <v>221</v>
      </c>
      <c r="M2940" t="s">
        <v>24</v>
      </c>
      <c r="N2940" t="s">
        <v>35</v>
      </c>
      <c r="O2940" t="s">
        <v>26</v>
      </c>
      <c r="P2940" t="s">
        <v>27</v>
      </c>
      <c r="Q2940" t="s">
        <v>28</v>
      </c>
      <c r="R2940" t="s">
        <v>29</v>
      </c>
      <c r="S2940" t="s">
        <v>30</v>
      </c>
      <c r="T2940">
        <v>1073692626</v>
      </c>
      <c r="U2940" t="s">
        <v>3965</v>
      </c>
      <c r="V2940" t="s">
        <v>3934</v>
      </c>
      <c r="W2940" s="9">
        <f>IF(V2940="pregrado",31,
IF(V2940="posgrados",31,
IF(V2940="rEINTEGROS",7,
IF(V2940="BIT",90,
IF(V2940="OP GRADO - INGLÉS",17,"")))))</f>
        <v>31</v>
      </c>
      <c r="X2940" t="s">
        <v>4014</v>
      </c>
    </row>
    <row r="2941" spans="1:24" ht="15" x14ac:dyDescent="0.35">
      <c r="A2941" s="4">
        <v>46031.877534722225</v>
      </c>
      <c r="B2941">
        <v>20112226</v>
      </c>
      <c r="C2941" s="6" t="s">
        <v>19</v>
      </c>
      <c r="D2941">
        <v>593957</v>
      </c>
      <c r="E2941" t="s">
        <v>20</v>
      </c>
      <c r="F2941">
        <v>1073605192</v>
      </c>
      <c r="G2941" t="s">
        <v>1663</v>
      </c>
      <c r="H2941">
        <v>100165827</v>
      </c>
      <c r="I2941">
        <v>202631</v>
      </c>
      <c r="J2941">
        <v>1073605192</v>
      </c>
      <c r="K2941" t="s">
        <v>89</v>
      </c>
      <c r="L2941" t="s">
        <v>127</v>
      </c>
      <c r="M2941" t="s">
        <v>24</v>
      </c>
      <c r="N2941" t="s">
        <v>25</v>
      </c>
      <c r="O2941" t="s">
        <v>26</v>
      </c>
      <c r="P2941" t="s">
        <v>27</v>
      </c>
      <c r="Q2941" t="s">
        <v>28</v>
      </c>
      <c r="R2941" t="s">
        <v>29</v>
      </c>
      <c r="S2941" t="s">
        <v>30</v>
      </c>
      <c r="T2941">
        <v>1019102787</v>
      </c>
      <c r="U2941" t="s">
        <v>3977</v>
      </c>
      <c r="V2941" t="s">
        <v>3970</v>
      </c>
      <c r="W2941" s="9">
        <f>IF(V2941="pregrado",31,
IF(V2941="posgrados",31,
IF(V2941="rEINTEGROS",7,
IF(V2941="BIT",90,
IF(V2941="OP GRADO - INGLÉS",17,"")))))</f>
        <v>7</v>
      </c>
      <c r="X2941" t="s">
        <v>3976</v>
      </c>
    </row>
    <row r="2942" spans="1:24" ht="15" x14ac:dyDescent="0.35">
      <c r="A2942" s="4">
        <v>46017.668541666666</v>
      </c>
      <c r="B2942">
        <v>20109904</v>
      </c>
      <c r="C2942" s="6" t="s">
        <v>19</v>
      </c>
      <c r="D2942">
        <v>593958</v>
      </c>
      <c r="E2942" t="s">
        <v>20</v>
      </c>
      <c r="F2942">
        <v>1072421007</v>
      </c>
      <c r="G2942" t="s">
        <v>1335</v>
      </c>
      <c r="H2942">
        <v>100164891</v>
      </c>
      <c r="I2942">
        <v>202631</v>
      </c>
      <c r="J2942">
        <v>1072421007</v>
      </c>
      <c r="K2942" t="s">
        <v>89</v>
      </c>
      <c r="L2942" t="s">
        <v>231</v>
      </c>
      <c r="M2942" t="s">
        <v>24</v>
      </c>
      <c r="N2942" t="s">
        <v>35</v>
      </c>
      <c r="O2942" t="s">
        <v>26</v>
      </c>
      <c r="P2942" t="s">
        <v>27</v>
      </c>
      <c r="Q2942" t="s">
        <v>28</v>
      </c>
      <c r="R2942" t="s">
        <v>29</v>
      </c>
      <c r="S2942" t="s">
        <v>30</v>
      </c>
      <c r="T2942">
        <v>1019102787</v>
      </c>
      <c r="U2942" t="s">
        <v>3977</v>
      </c>
      <c r="V2942" t="s">
        <v>3970</v>
      </c>
      <c r="W2942" s="9">
        <f>IF(V2942="pregrado",31,
IF(V2942="posgrados",31,
IF(V2942="rEINTEGROS",7,
IF(V2942="BIT",90,
IF(V2942="OP GRADO - INGLÉS",17,"")))))</f>
        <v>7</v>
      </c>
      <c r="X2942" t="s">
        <v>3976</v>
      </c>
    </row>
    <row r="2943" spans="1:24" ht="15" x14ac:dyDescent="0.35">
      <c r="A2943" s="4">
        <v>46050.684201388889</v>
      </c>
      <c r="B2943">
        <v>20118135</v>
      </c>
      <c r="C2943" s="6" t="s">
        <v>19</v>
      </c>
      <c r="D2943">
        <v>593960</v>
      </c>
      <c r="E2943" t="s">
        <v>20</v>
      </c>
      <c r="F2943">
        <v>1014476592</v>
      </c>
      <c r="G2943" t="s">
        <v>2431</v>
      </c>
      <c r="H2943">
        <v>100182333</v>
      </c>
      <c r="I2943">
        <v>202610</v>
      </c>
      <c r="J2943">
        <v>1014476592</v>
      </c>
      <c r="K2943" t="s">
        <v>89</v>
      </c>
      <c r="L2943" t="s">
        <v>79</v>
      </c>
      <c r="M2943" t="s">
        <v>24</v>
      </c>
      <c r="N2943" t="s">
        <v>35</v>
      </c>
      <c r="O2943" t="s">
        <v>26</v>
      </c>
      <c r="P2943" t="s">
        <v>27</v>
      </c>
      <c r="Q2943" t="s">
        <v>28</v>
      </c>
      <c r="R2943" t="s">
        <v>29</v>
      </c>
      <c r="S2943" t="s">
        <v>30</v>
      </c>
      <c r="T2943">
        <v>1019102787</v>
      </c>
      <c r="U2943" t="s">
        <v>3977</v>
      </c>
      <c r="V2943" t="s">
        <v>3970</v>
      </c>
      <c r="W2943" s="9">
        <f>IF(V2943="pregrado",31,
IF(V2943="posgrados",31,
IF(V2943="rEINTEGROS",7,
IF(V2943="BIT",90,
IF(V2943="OP GRADO - INGLÉS",17,"")))))</f>
        <v>7</v>
      </c>
      <c r="X2943" t="s">
        <v>3976</v>
      </c>
    </row>
    <row r="2944" spans="1:24" ht="15" x14ac:dyDescent="0.35">
      <c r="A2944" s="4">
        <v>46017.396168981482</v>
      </c>
      <c r="B2944">
        <v>20109796</v>
      </c>
      <c r="C2944" s="6" t="s">
        <v>19</v>
      </c>
      <c r="D2944">
        <v>593962</v>
      </c>
      <c r="E2944" t="s">
        <v>20</v>
      </c>
      <c r="F2944">
        <v>1108759896</v>
      </c>
      <c r="G2944" t="s">
        <v>1313</v>
      </c>
      <c r="H2944">
        <v>100239624</v>
      </c>
      <c r="I2944">
        <v>202611</v>
      </c>
      <c r="J2944">
        <v>1108759896</v>
      </c>
      <c r="K2944" t="s">
        <v>33</v>
      </c>
      <c r="L2944" t="s">
        <v>204</v>
      </c>
      <c r="M2944" t="s">
        <v>24</v>
      </c>
      <c r="N2944" t="s">
        <v>25</v>
      </c>
      <c r="O2944" t="s">
        <v>26</v>
      </c>
      <c r="P2944" t="s">
        <v>27</v>
      </c>
      <c r="Q2944" t="s">
        <v>28</v>
      </c>
      <c r="R2944" t="s">
        <v>29</v>
      </c>
      <c r="S2944" t="s">
        <v>30</v>
      </c>
      <c r="T2944">
        <v>1000578914</v>
      </c>
      <c r="U2944" t="s">
        <v>3941</v>
      </c>
      <c r="V2944" t="s">
        <v>3934</v>
      </c>
      <c r="W2944" s="9">
        <f>IF(V2944="pregrado",31,
IF(V2944="posgrados",31,
IF(V2944="rEINTEGROS",7,
IF(V2944="BIT",90,
IF(V2944="OP GRADO - INGLÉS",17,"")))))</f>
        <v>31</v>
      </c>
      <c r="X2944" t="s">
        <v>4060</v>
      </c>
    </row>
    <row r="2945" spans="1:24" ht="15" x14ac:dyDescent="0.35">
      <c r="A2945" s="4">
        <v>46013.888692129629</v>
      </c>
      <c r="B2945">
        <v>20109330</v>
      </c>
      <c r="C2945" s="6" t="s">
        <v>19</v>
      </c>
      <c r="D2945">
        <v>593965</v>
      </c>
      <c r="E2945" t="s">
        <v>20</v>
      </c>
      <c r="F2945">
        <v>1000691502</v>
      </c>
      <c r="G2945" t="s">
        <v>1246</v>
      </c>
      <c r="H2945">
        <v>100179176</v>
      </c>
      <c r="I2945">
        <v>202631</v>
      </c>
      <c r="J2945">
        <v>1000691502</v>
      </c>
      <c r="K2945" t="s">
        <v>23</v>
      </c>
      <c r="L2945" t="s">
        <v>114</v>
      </c>
      <c r="M2945" t="s">
        <v>24</v>
      </c>
      <c r="N2945" t="s">
        <v>35</v>
      </c>
      <c r="O2945" t="s">
        <v>26</v>
      </c>
      <c r="P2945" t="s">
        <v>27</v>
      </c>
      <c r="Q2945" t="s">
        <v>28</v>
      </c>
      <c r="R2945" t="s">
        <v>29</v>
      </c>
      <c r="S2945" t="s">
        <v>30</v>
      </c>
      <c r="T2945">
        <v>1023975276</v>
      </c>
      <c r="U2945" t="s">
        <v>3963</v>
      </c>
      <c r="V2945" t="s">
        <v>3934</v>
      </c>
      <c r="W2945" s="9">
        <f>IF(V2945="pregrado",31,
IF(V2945="posgrados",31,
IF(V2945="rEINTEGROS",7,
IF(V2945="BIT",90,
IF(V2945="OP GRADO - INGLÉS",17,"")))))</f>
        <v>31</v>
      </c>
      <c r="X2945" t="s">
        <v>3962</v>
      </c>
    </row>
    <row r="2946" spans="1:24" ht="15" x14ac:dyDescent="0.35">
      <c r="A2946" s="4">
        <v>46015.515231481484</v>
      </c>
      <c r="B2946">
        <v>20109734</v>
      </c>
      <c r="C2946" s="6" t="s">
        <v>19</v>
      </c>
      <c r="D2946">
        <v>593966</v>
      </c>
      <c r="E2946" t="s">
        <v>20</v>
      </c>
      <c r="F2946">
        <v>1030574528</v>
      </c>
      <c r="G2946" t="s">
        <v>1300</v>
      </c>
      <c r="H2946">
        <v>100239627</v>
      </c>
      <c r="I2946">
        <v>202610</v>
      </c>
      <c r="J2946">
        <v>1019996957</v>
      </c>
      <c r="K2946" t="s">
        <v>23</v>
      </c>
      <c r="L2946" t="s">
        <v>79</v>
      </c>
      <c r="M2946" t="s">
        <v>24</v>
      </c>
      <c r="N2946" t="s">
        <v>25</v>
      </c>
      <c r="O2946" t="s">
        <v>26</v>
      </c>
      <c r="P2946" t="s">
        <v>27</v>
      </c>
      <c r="Q2946" t="s">
        <v>28</v>
      </c>
      <c r="R2946" t="s">
        <v>29</v>
      </c>
      <c r="S2946" t="s">
        <v>30</v>
      </c>
      <c r="T2946">
        <v>45555807</v>
      </c>
      <c r="U2946" t="s">
        <v>3965</v>
      </c>
      <c r="V2946" t="s">
        <v>3934</v>
      </c>
      <c r="W2946" s="9">
        <f>IF(V2946="pregrado",31,
IF(V2946="posgrados",31,
IF(V2946="rEINTEGROS",7,
IF(V2946="BIT",90,
IF(V2946="OP GRADO - INGLÉS",17,"")))))</f>
        <v>31</v>
      </c>
      <c r="X2946" t="s">
        <v>4027</v>
      </c>
    </row>
    <row r="2947" spans="1:24" ht="15" x14ac:dyDescent="0.35">
      <c r="A2947" s="4">
        <v>46041.581689814811</v>
      </c>
      <c r="B2947">
        <v>20114915</v>
      </c>
      <c r="C2947" s="6" t="s">
        <v>19</v>
      </c>
      <c r="D2947">
        <v>593970</v>
      </c>
      <c r="E2947" t="s">
        <v>20</v>
      </c>
      <c r="F2947">
        <v>1004049239</v>
      </c>
      <c r="G2947" t="s">
        <v>1968</v>
      </c>
      <c r="H2947">
        <v>100239631</v>
      </c>
      <c r="I2947">
        <v>202631</v>
      </c>
      <c r="J2947">
        <v>1004049239</v>
      </c>
      <c r="K2947" t="s">
        <v>23</v>
      </c>
      <c r="L2947" t="s">
        <v>207</v>
      </c>
      <c r="M2947" t="s">
        <v>24</v>
      </c>
      <c r="N2947" t="s">
        <v>35</v>
      </c>
      <c r="O2947" t="s">
        <v>26</v>
      </c>
      <c r="P2947" t="s">
        <v>27</v>
      </c>
      <c r="Q2947" t="s">
        <v>28</v>
      </c>
      <c r="R2947" t="s">
        <v>29</v>
      </c>
      <c r="S2947" t="s">
        <v>30</v>
      </c>
      <c r="T2947">
        <v>80021358</v>
      </c>
      <c r="U2947" t="s">
        <v>3986</v>
      </c>
      <c r="V2947" t="s">
        <v>3934</v>
      </c>
      <c r="W2947" s="9">
        <f>IF(V2947="pregrado",31,
IF(V2947="posgrados",31,
IF(V2947="rEINTEGROS",7,
IF(V2947="BIT",90,
IF(V2947="OP GRADO - INGLÉS",17,"")))))</f>
        <v>31</v>
      </c>
      <c r="X2947" t="s">
        <v>3995</v>
      </c>
    </row>
    <row r="2948" spans="1:24" ht="15" x14ac:dyDescent="0.35">
      <c r="A2948" s="4">
        <v>46020.628738425927</v>
      </c>
      <c r="B2948">
        <v>20110139</v>
      </c>
      <c r="C2948" s="6" t="s">
        <v>19</v>
      </c>
      <c r="D2948">
        <v>593983</v>
      </c>
      <c r="E2948" t="s">
        <v>20</v>
      </c>
      <c r="F2948">
        <v>1087115743</v>
      </c>
      <c r="G2948" t="s">
        <v>1371</v>
      </c>
      <c r="H2948">
        <v>100120797</v>
      </c>
      <c r="I2948">
        <v>202631</v>
      </c>
      <c r="J2948">
        <v>1087115743</v>
      </c>
      <c r="K2948" t="s">
        <v>89</v>
      </c>
      <c r="L2948" t="s">
        <v>127</v>
      </c>
      <c r="M2948" t="s">
        <v>24</v>
      </c>
      <c r="N2948" t="s">
        <v>38</v>
      </c>
      <c r="O2948" t="s">
        <v>26</v>
      </c>
      <c r="P2948" t="s">
        <v>27</v>
      </c>
      <c r="Q2948" t="s">
        <v>28</v>
      </c>
      <c r="R2948" t="s">
        <v>29</v>
      </c>
      <c r="S2948" t="s">
        <v>30</v>
      </c>
      <c r="T2948">
        <v>1016110979</v>
      </c>
      <c r="U2948" t="s">
        <v>3977</v>
      </c>
      <c r="V2948" t="s">
        <v>3970</v>
      </c>
      <c r="W2948" s="9">
        <f>IF(V2948="pregrado",31,
IF(V2948="posgrados",31,
IF(V2948="rEINTEGROS",7,
IF(V2948="BIT",90,
IF(V2948="OP GRADO - INGLÉS",17,"")))))</f>
        <v>7</v>
      </c>
      <c r="X2948" t="s">
        <v>4051</v>
      </c>
    </row>
    <row r="2949" spans="1:24" ht="15" x14ac:dyDescent="0.35">
      <c r="A2949" s="4">
        <v>46038.655428240738</v>
      </c>
      <c r="B2949">
        <v>20114413</v>
      </c>
      <c r="C2949" s="6" t="s">
        <v>19</v>
      </c>
      <c r="D2949">
        <v>593985</v>
      </c>
      <c r="E2949" t="s">
        <v>20</v>
      </c>
      <c r="F2949">
        <v>1067160118</v>
      </c>
      <c r="G2949" t="s">
        <v>1916</v>
      </c>
      <c r="H2949">
        <v>100155231</v>
      </c>
      <c r="I2949">
        <v>202611</v>
      </c>
      <c r="J2949">
        <v>1067160118</v>
      </c>
      <c r="K2949" t="s">
        <v>89</v>
      </c>
      <c r="L2949" t="s">
        <v>133</v>
      </c>
      <c r="M2949" t="s">
        <v>24</v>
      </c>
      <c r="N2949" t="s">
        <v>35</v>
      </c>
      <c r="O2949" t="s">
        <v>26</v>
      </c>
      <c r="P2949" t="s">
        <v>27</v>
      </c>
      <c r="Q2949" t="s">
        <v>28</v>
      </c>
      <c r="R2949" t="s">
        <v>29</v>
      </c>
      <c r="S2949" t="s">
        <v>30</v>
      </c>
      <c r="T2949">
        <v>52168054</v>
      </c>
      <c r="U2949" t="s">
        <v>3977</v>
      </c>
      <c r="V2949" t="s">
        <v>3970</v>
      </c>
      <c r="W2949" s="9">
        <f>IF(V2949="pregrado",31,
IF(V2949="posgrados",31,
IF(V2949="rEINTEGROS",7,
IF(V2949="BIT",90,
IF(V2949="OP GRADO - INGLÉS",17,"")))))</f>
        <v>7</v>
      </c>
      <c r="X2949" t="s">
        <v>4057</v>
      </c>
    </row>
    <row r="2950" spans="1:24" ht="15" x14ac:dyDescent="0.35">
      <c r="A2950" s="4">
        <v>46025.546886574077</v>
      </c>
      <c r="B2950">
        <v>20110796</v>
      </c>
      <c r="C2950" s="6" t="s">
        <v>19</v>
      </c>
      <c r="D2950">
        <v>593987</v>
      </c>
      <c r="E2950" t="s">
        <v>20</v>
      </c>
      <c r="F2950">
        <v>1003467633</v>
      </c>
      <c r="G2950" t="s">
        <v>1470</v>
      </c>
      <c r="H2950">
        <v>100138471</v>
      </c>
      <c r="I2950">
        <v>202631</v>
      </c>
      <c r="J2950">
        <v>1003467633</v>
      </c>
      <c r="K2950" t="s">
        <v>89</v>
      </c>
      <c r="L2950" t="s">
        <v>32</v>
      </c>
      <c r="M2950" t="s">
        <v>24</v>
      </c>
      <c r="N2950" t="s">
        <v>35</v>
      </c>
      <c r="O2950" t="s">
        <v>26</v>
      </c>
      <c r="P2950" t="s">
        <v>27</v>
      </c>
      <c r="Q2950" t="s">
        <v>28</v>
      </c>
      <c r="R2950" t="s">
        <v>29</v>
      </c>
      <c r="S2950" t="s">
        <v>30</v>
      </c>
      <c r="T2950">
        <v>1016110979</v>
      </c>
      <c r="U2950" t="s">
        <v>3977</v>
      </c>
      <c r="V2950" t="s">
        <v>3970</v>
      </c>
      <c r="W2950" s="9">
        <f>IF(V2950="pregrado",31,
IF(V2950="posgrados",31,
IF(V2950="rEINTEGROS",7,
IF(V2950="BIT",90,
IF(V2950="OP GRADO - INGLÉS",17,"")))))</f>
        <v>7</v>
      </c>
      <c r="X2950" t="s">
        <v>4051</v>
      </c>
    </row>
    <row r="2951" spans="1:24" ht="15" x14ac:dyDescent="0.35">
      <c r="A2951" s="4">
        <v>46013.524201388886</v>
      </c>
      <c r="B2951">
        <v>20109170</v>
      </c>
      <c r="C2951" s="6" t="s">
        <v>19</v>
      </c>
      <c r="D2951">
        <v>593988</v>
      </c>
      <c r="E2951" t="s">
        <v>20</v>
      </c>
      <c r="F2951">
        <v>1121536609</v>
      </c>
      <c r="G2951" t="s">
        <v>1220</v>
      </c>
      <c r="H2951">
        <v>100236833</v>
      </c>
      <c r="I2951">
        <v>202631</v>
      </c>
      <c r="J2951">
        <v>1121536609</v>
      </c>
      <c r="K2951" t="s">
        <v>33</v>
      </c>
      <c r="L2951" t="s">
        <v>240</v>
      </c>
      <c r="M2951" t="s">
        <v>24</v>
      </c>
      <c r="N2951" t="s">
        <v>35</v>
      </c>
      <c r="O2951" t="s">
        <v>26</v>
      </c>
      <c r="P2951" t="s">
        <v>27</v>
      </c>
      <c r="Q2951" t="s">
        <v>28</v>
      </c>
      <c r="R2951" t="s">
        <v>29</v>
      </c>
      <c r="S2951" t="s">
        <v>30</v>
      </c>
      <c r="T2951">
        <v>10006855461</v>
      </c>
      <c r="U2951" t="s">
        <v>3965</v>
      </c>
      <c r="V2951" t="s">
        <v>3934</v>
      </c>
      <c r="W2951" s="9">
        <f>IF(V2951="pregrado",31,
IF(V2951="posgrados",31,
IF(V2951="rEINTEGROS",7,
IF(V2951="BIT",90,
IF(V2951="OP GRADO - INGLÉS",17,"")))))</f>
        <v>31</v>
      </c>
      <c r="X2951" t="s">
        <v>3993</v>
      </c>
    </row>
    <row r="2952" spans="1:24" ht="15" x14ac:dyDescent="0.35">
      <c r="A2952" s="4">
        <v>46013.595659722225</v>
      </c>
      <c r="B2952">
        <v>20109208</v>
      </c>
      <c r="C2952" s="6" t="s">
        <v>19</v>
      </c>
      <c r="D2952">
        <v>593995</v>
      </c>
      <c r="E2952" t="s">
        <v>20</v>
      </c>
      <c r="F2952">
        <v>1007414898</v>
      </c>
      <c r="G2952" t="s">
        <v>1227</v>
      </c>
      <c r="H2952">
        <v>100239654</v>
      </c>
      <c r="I2952">
        <v>202631</v>
      </c>
      <c r="J2952">
        <v>1007414898</v>
      </c>
      <c r="K2952" t="s">
        <v>23</v>
      </c>
      <c r="L2952" t="s">
        <v>90</v>
      </c>
      <c r="M2952" t="s">
        <v>24</v>
      </c>
      <c r="N2952" t="s">
        <v>35</v>
      </c>
      <c r="O2952" t="s">
        <v>26</v>
      </c>
      <c r="P2952" t="s">
        <v>27</v>
      </c>
      <c r="Q2952" t="s">
        <v>28</v>
      </c>
      <c r="R2952" t="s">
        <v>29</v>
      </c>
      <c r="S2952" t="s">
        <v>30</v>
      </c>
      <c r="T2952">
        <v>1007473661</v>
      </c>
      <c r="U2952" t="s">
        <v>3933</v>
      </c>
      <c r="V2952" t="s">
        <v>3934</v>
      </c>
      <c r="W2952" s="9">
        <f>IF(V2952="pregrado",31,
IF(V2952="posgrados",31,
IF(V2952="rEINTEGROS",7,
IF(V2952="BIT",90,
IF(V2952="OP GRADO - INGLÉS",17,"")))))</f>
        <v>31</v>
      </c>
      <c r="X2952" t="s">
        <v>4058</v>
      </c>
    </row>
    <row r="2953" spans="1:24" ht="15" x14ac:dyDescent="0.35">
      <c r="A2953" s="4">
        <v>46013.867291666669</v>
      </c>
      <c r="B2953">
        <v>20109325</v>
      </c>
      <c r="C2953" s="6" t="s">
        <v>19</v>
      </c>
      <c r="D2953">
        <v>594002</v>
      </c>
      <c r="E2953" t="s">
        <v>20</v>
      </c>
      <c r="F2953">
        <v>79354546</v>
      </c>
      <c r="G2953" t="s">
        <v>1245</v>
      </c>
      <c r="H2953">
        <v>100237969</v>
      </c>
      <c r="I2953">
        <v>202610</v>
      </c>
      <c r="J2953">
        <v>1028866644</v>
      </c>
      <c r="K2953" t="s">
        <v>23</v>
      </c>
      <c r="L2953" t="s">
        <v>40</v>
      </c>
      <c r="M2953" t="s">
        <v>24</v>
      </c>
      <c r="N2953" t="s">
        <v>25</v>
      </c>
      <c r="O2953" t="s">
        <v>26</v>
      </c>
      <c r="P2953" t="s">
        <v>27</v>
      </c>
      <c r="Q2953" t="s">
        <v>28</v>
      </c>
      <c r="R2953" t="s">
        <v>29</v>
      </c>
      <c r="S2953" t="s">
        <v>30</v>
      </c>
      <c r="T2953">
        <v>80219471</v>
      </c>
      <c r="U2953" t="s">
        <v>3941</v>
      </c>
      <c r="V2953" t="s">
        <v>3934</v>
      </c>
      <c r="W2953" s="9">
        <f>IF(V2953="pregrado",31,
IF(V2953="posgrados",31,
IF(V2953="rEINTEGROS",7,
IF(V2953="BIT",90,
IF(V2953="OP GRADO - INGLÉS",17,"")))))</f>
        <v>31</v>
      </c>
      <c r="X2953" t="s">
        <v>4030</v>
      </c>
    </row>
    <row r="2954" spans="1:24" ht="15" x14ac:dyDescent="0.35">
      <c r="A2954" s="4">
        <v>46014.646539351852</v>
      </c>
      <c r="B2954">
        <v>20109574</v>
      </c>
      <c r="C2954" s="6" t="s">
        <v>19</v>
      </c>
      <c r="D2954">
        <v>594004</v>
      </c>
      <c r="E2954" t="s">
        <v>20</v>
      </c>
      <c r="F2954">
        <v>1026284551</v>
      </c>
      <c r="G2954" t="s">
        <v>1276</v>
      </c>
      <c r="H2954">
        <v>100239658</v>
      </c>
      <c r="I2954">
        <v>202611</v>
      </c>
      <c r="J2954">
        <v>1026284551</v>
      </c>
      <c r="K2954" t="s">
        <v>23</v>
      </c>
      <c r="L2954" t="s">
        <v>227</v>
      </c>
      <c r="M2954" t="s">
        <v>24</v>
      </c>
      <c r="N2954" t="s">
        <v>35</v>
      </c>
      <c r="O2954" t="s">
        <v>26</v>
      </c>
      <c r="P2954" t="s">
        <v>27</v>
      </c>
      <c r="Q2954" t="s">
        <v>28</v>
      </c>
      <c r="R2954" t="s">
        <v>29</v>
      </c>
      <c r="S2954" t="s">
        <v>30</v>
      </c>
      <c r="T2954">
        <v>10822473081</v>
      </c>
      <c r="U2954" t="s">
        <v>3965</v>
      </c>
      <c r="V2954" t="s">
        <v>3934</v>
      </c>
      <c r="W2954" s="9">
        <f>IF(V2954="pregrado",31,
IF(V2954="posgrados",31,
IF(V2954="rEINTEGROS",7,
IF(V2954="BIT",90,
IF(V2954="OP GRADO - INGLÉS",17,"")))))</f>
        <v>31</v>
      </c>
      <c r="X2954" t="s">
        <v>4007</v>
      </c>
    </row>
    <row r="2955" spans="1:24" ht="15" x14ac:dyDescent="0.35">
      <c r="A2955" s="4">
        <v>46015.489363425928</v>
      </c>
      <c r="B2955">
        <v>20109730</v>
      </c>
      <c r="C2955" s="6" t="s">
        <v>19</v>
      </c>
      <c r="D2955">
        <v>594008</v>
      </c>
      <c r="E2955" t="s">
        <v>20</v>
      </c>
      <c r="F2955">
        <v>1043638612</v>
      </c>
      <c r="G2955" t="s">
        <v>1298</v>
      </c>
      <c r="H2955">
        <v>100239664</v>
      </c>
      <c r="I2955">
        <v>202611</v>
      </c>
      <c r="J2955">
        <v>1043638612</v>
      </c>
      <c r="K2955" t="s">
        <v>189</v>
      </c>
      <c r="L2955" t="s">
        <v>204</v>
      </c>
      <c r="M2955" t="s">
        <v>24</v>
      </c>
      <c r="N2955" t="s">
        <v>35</v>
      </c>
      <c r="O2955" t="s">
        <v>26</v>
      </c>
      <c r="P2955" t="s">
        <v>27</v>
      </c>
      <c r="Q2955" t="s">
        <v>28</v>
      </c>
      <c r="R2955" t="s">
        <v>29</v>
      </c>
      <c r="S2955" t="s">
        <v>30</v>
      </c>
      <c r="T2955">
        <v>1032394283</v>
      </c>
      <c r="U2955" t="s">
        <v>3941</v>
      </c>
      <c r="V2955" t="s">
        <v>3934</v>
      </c>
      <c r="W2955" s="9">
        <f>IF(V2955="pregrado",31,
IF(V2955="posgrados",31,
IF(V2955="rEINTEGROS",7,
IF(V2955="BIT",90,
IF(V2955="OP GRADO - INGLÉS",17,"")))))</f>
        <v>31</v>
      </c>
      <c r="X2955" t="s">
        <v>4034</v>
      </c>
    </row>
    <row r="2956" spans="1:24" ht="15" x14ac:dyDescent="0.35">
      <c r="A2956" s="4">
        <v>46014.464282407411</v>
      </c>
      <c r="B2956">
        <v>20109452</v>
      </c>
      <c r="C2956" s="6" t="s">
        <v>19</v>
      </c>
      <c r="D2956">
        <v>594011</v>
      </c>
      <c r="E2956" t="s">
        <v>20</v>
      </c>
      <c r="F2956">
        <v>80796324</v>
      </c>
      <c r="G2956" t="s">
        <v>1262</v>
      </c>
      <c r="H2956">
        <v>100124183</v>
      </c>
      <c r="I2956">
        <v>202611</v>
      </c>
      <c r="J2956">
        <v>80796324</v>
      </c>
      <c r="K2956" t="s">
        <v>23</v>
      </c>
      <c r="L2956" t="s">
        <v>227</v>
      </c>
      <c r="M2956" t="s">
        <v>24</v>
      </c>
      <c r="N2956" t="s">
        <v>35</v>
      </c>
      <c r="O2956" t="s">
        <v>26</v>
      </c>
      <c r="P2956" t="s">
        <v>27</v>
      </c>
      <c r="Q2956" t="s">
        <v>28</v>
      </c>
      <c r="R2956" t="s">
        <v>29</v>
      </c>
      <c r="S2956" t="s">
        <v>30</v>
      </c>
      <c r="T2956">
        <v>10306009131</v>
      </c>
      <c r="U2956" t="s">
        <v>3933</v>
      </c>
      <c r="V2956" t="s">
        <v>3934</v>
      </c>
      <c r="W2956" s="9">
        <f>IF(V2956="pregrado",31,
IF(V2956="posgrados",31,
IF(V2956="rEINTEGROS",7,
IF(V2956="BIT",90,
IF(V2956="OP GRADO - INGLÉS",17,"")))))</f>
        <v>31</v>
      </c>
      <c r="X2956" t="s">
        <v>3978</v>
      </c>
    </row>
    <row r="2957" spans="1:24" ht="15" x14ac:dyDescent="0.35">
      <c r="A2957" s="4">
        <v>46014.530057870368</v>
      </c>
      <c r="B2957">
        <v>20109500</v>
      </c>
      <c r="C2957" s="6" t="s">
        <v>19</v>
      </c>
      <c r="D2957">
        <v>594013</v>
      </c>
      <c r="E2957" t="s">
        <v>20</v>
      </c>
      <c r="F2957">
        <v>39802531</v>
      </c>
      <c r="G2957" t="s">
        <v>1267</v>
      </c>
      <c r="H2957">
        <v>100239669</v>
      </c>
      <c r="I2957">
        <v>202631</v>
      </c>
      <c r="J2957">
        <v>1029144139</v>
      </c>
      <c r="K2957" t="s">
        <v>23</v>
      </c>
      <c r="L2957" t="s">
        <v>219</v>
      </c>
      <c r="M2957" t="s">
        <v>24</v>
      </c>
      <c r="N2957" t="s">
        <v>35</v>
      </c>
      <c r="O2957" t="s">
        <v>26</v>
      </c>
      <c r="P2957" t="s">
        <v>27</v>
      </c>
      <c r="Q2957" t="s">
        <v>28</v>
      </c>
      <c r="R2957" t="s">
        <v>29</v>
      </c>
      <c r="S2957" t="s">
        <v>30</v>
      </c>
      <c r="T2957">
        <v>1000350862</v>
      </c>
      <c r="U2957" t="s">
        <v>3963</v>
      </c>
      <c r="V2957" t="s">
        <v>3934</v>
      </c>
      <c r="W2957" s="9">
        <f>IF(V2957="pregrado",31,
IF(V2957="posgrados",31,
IF(V2957="rEINTEGROS",7,
IF(V2957="BIT",90,
IF(V2957="OP GRADO - INGLÉS",17,"")))))</f>
        <v>31</v>
      </c>
      <c r="X2957" t="s">
        <v>4071</v>
      </c>
    </row>
    <row r="2958" spans="1:24" ht="15" x14ac:dyDescent="0.35">
      <c r="A2958" s="4">
        <v>46043.724224537036</v>
      </c>
      <c r="B2958">
        <v>20115902</v>
      </c>
      <c r="C2958" s="6" t="s">
        <v>19</v>
      </c>
      <c r="D2958">
        <v>594014</v>
      </c>
      <c r="E2958" t="s">
        <v>20</v>
      </c>
      <c r="F2958">
        <v>1019603916</v>
      </c>
      <c r="G2958" t="s">
        <v>2118</v>
      </c>
      <c r="H2958">
        <v>100239671</v>
      </c>
      <c r="I2958">
        <v>202610</v>
      </c>
      <c r="J2958">
        <v>1019603916</v>
      </c>
      <c r="K2958" t="s">
        <v>23</v>
      </c>
      <c r="L2958" t="s">
        <v>40</v>
      </c>
      <c r="M2958" t="s">
        <v>24</v>
      </c>
      <c r="N2958" t="s">
        <v>25</v>
      </c>
      <c r="O2958" t="s">
        <v>26</v>
      </c>
      <c r="P2958" t="s">
        <v>27</v>
      </c>
      <c r="Q2958" t="s">
        <v>28</v>
      </c>
      <c r="R2958" t="s">
        <v>29</v>
      </c>
      <c r="S2958" t="s">
        <v>30</v>
      </c>
      <c r="T2958">
        <v>1010081108</v>
      </c>
      <c r="U2958" t="s">
        <v>3941</v>
      </c>
      <c r="V2958" t="s">
        <v>3934</v>
      </c>
      <c r="W2958" s="9">
        <f>IF(V2958="pregrado",31,
IF(V2958="posgrados",31,
IF(V2958="rEINTEGROS",7,
IF(V2958="BIT",90,
IF(V2958="OP GRADO - INGLÉS",17,"")))))</f>
        <v>31</v>
      </c>
      <c r="X2958" t="s">
        <v>4009</v>
      </c>
    </row>
    <row r="2959" spans="1:24" ht="15" x14ac:dyDescent="0.35">
      <c r="A2959" s="4">
        <v>46013.707175925927</v>
      </c>
      <c r="B2959">
        <v>20109273</v>
      </c>
      <c r="C2959" s="6" t="s">
        <v>19</v>
      </c>
      <c r="D2959">
        <v>594020</v>
      </c>
      <c r="E2959" t="s">
        <v>20</v>
      </c>
      <c r="F2959">
        <v>1000157592</v>
      </c>
      <c r="G2959" t="s">
        <v>1239</v>
      </c>
      <c r="H2959">
        <v>100239675</v>
      </c>
      <c r="I2959">
        <v>202631</v>
      </c>
      <c r="J2959">
        <v>1000157592</v>
      </c>
      <c r="K2959" t="s">
        <v>23</v>
      </c>
      <c r="L2959" t="s">
        <v>90</v>
      </c>
      <c r="M2959" t="s">
        <v>24</v>
      </c>
      <c r="N2959" t="s">
        <v>35</v>
      </c>
      <c r="O2959" t="s">
        <v>26</v>
      </c>
      <c r="P2959" t="s">
        <v>27</v>
      </c>
      <c r="Q2959" t="s">
        <v>28</v>
      </c>
      <c r="R2959" t="s">
        <v>29</v>
      </c>
      <c r="S2959" t="s">
        <v>30</v>
      </c>
      <c r="T2959">
        <v>1007473661</v>
      </c>
      <c r="U2959" t="s">
        <v>3933</v>
      </c>
      <c r="V2959" t="s">
        <v>3934</v>
      </c>
      <c r="W2959" s="9">
        <f>IF(V2959="pregrado",31,
IF(V2959="posgrados",31,
IF(V2959="rEINTEGROS",7,
IF(V2959="BIT",90,
IF(V2959="OP GRADO - INGLÉS",17,"")))))</f>
        <v>31</v>
      </c>
      <c r="X2959" t="s">
        <v>4058</v>
      </c>
    </row>
    <row r="2960" spans="1:24" ht="15" x14ac:dyDescent="0.35">
      <c r="A2960" s="4">
        <v>46052.452303240738</v>
      </c>
      <c r="B2960">
        <v>20118836</v>
      </c>
      <c r="C2960" s="6" t="s">
        <v>19</v>
      </c>
      <c r="D2960">
        <v>594024</v>
      </c>
      <c r="E2960" t="s">
        <v>20</v>
      </c>
      <c r="F2960">
        <v>1152715596</v>
      </c>
      <c r="G2960" t="s">
        <v>2546</v>
      </c>
      <c r="H2960">
        <v>100239681</v>
      </c>
      <c r="I2960">
        <v>202631</v>
      </c>
      <c r="J2960">
        <v>1152715596</v>
      </c>
      <c r="K2960" t="s">
        <v>33</v>
      </c>
      <c r="L2960" t="s">
        <v>207</v>
      </c>
      <c r="M2960" t="s">
        <v>24</v>
      </c>
      <c r="N2960" t="s">
        <v>35</v>
      </c>
      <c r="O2960" t="s">
        <v>26</v>
      </c>
      <c r="P2960" t="s">
        <v>27</v>
      </c>
      <c r="Q2960" t="s">
        <v>28</v>
      </c>
      <c r="R2960" t="s">
        <v>29</v>
      </c>
      <c r="S2960" t="s">
        <v>30</v>
      </c>
      <c r="T2960">
        <v>1018455773</v>
      </c>
      <c r="U2960" t="s">
        <v>3986</v>
      </c>
      <c r="V2960" t="s">
        <v>3934</v>
      </c>
      <c r="W2960" s="9">
        <f>IF(V2960="pregrado",31,
IF(V2960="posgrados",31,
IF(V2960="rEINTEGROS",7,
IF(V2960="BIT",90,
IF(V2960="OP GRADO - INGLÉS",17,"")))))</f>
        <v>31</v>
      </c>
      <c r="X2960" t="s">
        <v>4101</v>
      </c>
    </row>
    <row r="2961" spans="1:24" ht="15" x14ac:dyDescent="0.35">
      <c r="A2961" s="4">
        <v>46013.726527777777</v>
      </c>
      <c r="B2961">
        <v>20109285</v>
      </c>
      <c r="C2961" s="6" t="s">
        <v>19</v>
      </c>
      <c r="D2961">
        <v>594025</v>
      </c>
      <c r="E2961" t="s">
        <v>20</v>
      </c>
      <c r="F2961">
        <v>1106948861</v>
      </c>
      <c r="G2961" t="s">
        <v>1244</v>
      </c>
      <c r="H2961">
        <v>100236722</v>
      </c>
      <c r="I2961">
        <v>202631</v>
      </c>
      <c r="J2961">
        <v>1106948861</v>
      </c>
      <c r="K2961" t="s">
        <v>33</v>
      </c>
      <c r="L2961" t="s">
        <v>231</v>
      </c>
      <c r="M2961" t="s">
        <v>24</v>
      </c>
      <c r="N2961" t="s">
        <v>35</v>
      </c>
      <c r="O2961" t="s">
        <v>26</v>
      </c>
      <c r="P2961" t="s">
        <v>27</v>
      </c>
      <c r="Q2961" t="s">
        <v>28</v>
      </c>
      <c r="R2961" t="s">
        <v>29</v>
      </c>
      <c r="S2961" t="s">
        <v>30</v>
      </c>
      <c r="T2961">
        <v>1000625316</v>
      </c>
      <c r="U2961" t="s">
        <v>3944</v>
      </c>
      <c r="V2961" t="s">
        <v>3934</v>
      </c>
      <c r="W2961" s="9">
        <f>IF(V2961="pregrado",31,
IF(V2961="posgrados",31,
IF(V2961="rEINTEGROS",7,
IF(V2961="BIT",90,
IF(V2961="OP GRADO - INGLÉS",17,"")))))</f>
        <v>31</v>
      </c>
      <c r="X2961" t="s">
        <v>3980</v>
      </c>
    </row>
    <row r="2962" spans="1:24" ht="15" x14ac:dyDescent="0.35">
      <c r="A2962" s="4">
        <v>46022.47216435185</v>
      </c>
      <c r="B2962">
        <v>20110585</v>
      </c>
      <c r="C2962" s="6" t="s">
        <v>19</v>
      </c>
      <c r="D2962">
        <v>594036</v>
      </c>
      <c r="E2962" t="s">
        <v>20</v>
      </c>
      <c r="F2962">
        <v>87216076</v>
      </c>
      <c r="G2962" t="s">
        <v>1443</v>
      </c>
      <c r="H2962">
        <v>100239690</v>
      </c>
      <c r="I2962">
        <v>202611</v>
      </c>
      <c r="J2962">
        <v>87216076</v>
      </c>
      <c r="K2962" t="s">
        <v>23</v>
      </c>
      <c r="L2962" t="s">
        <v>227</v>
      </c>
      <c r="M2962" t="s">
        <v>24</v>
      </c>
      <c r="N2962" t="s">
        <v>35</v>
      </c>
      <c r="O2962" t="s">
        <v>26</v>
      </c>
      <c r="P2962" t="s">
        <v>27</v>
      </c>
      <c r="Q2962" t="s">
        <v>28</v>
      </c>
      <c r="R2962" t="s">
        <v>29</v>
      </c>
      <c r="S2962" t="s">
        <v>30</v>
      </c>
      <c r="T2962">
        <v>1073692626</v>
      </c>
      <c r="U2962" t="s">
        <v>3965</v>
      </c>
      <c r="V2962" t="s">
        <v>3934</v>
      </c>
      <c r="W2962" s="9">
        <f>IF(V2962="pregrado",31,
IF(V2962="posgrados",31,
IF(V2962="rEINTEGROS",7,
IF(V2962="BIT",90,
IF(V2962="OP GRADO - INGLÉS",17,"")))))</f>
        <v>31</v>
      </c>
      <c r="X2962" t="s">
        <v>4014</v>
      </c>
    </row>
    <row r="2963" spans="1:24" ht="15" x14ac:dyDescent="0.35">
      <c r="A2963" s="4">
        <v>46014.530706018515</v>
      </c>
      <c r="B2963">
        <v>20109501</v>
      </c>
      <c r="C2963" s="6" t="s">
        <v>19</v>
      </c>
      <c r="D2963">
        <v>594042</v>
      </c>
      <c r="E2963" t="s">
        <v>20</v>
      </c>
      <c r="F2963">
        <v>1013581944</v>
      </c>
      <c r="G2963" t="s">
        <v>1268</v>
      </c>
      <c r="H2963">
        <v>100239448</v>
      </c>
      <c r="I2963">
        <v>202610</v>
      </c>
      <c r="J2963">
        <v>1140918107</v>
      </c>
      <c r="K2963" t="s">
        <v>23</v>
      </c>
      <c r="L2963" t="s">
        <v>194</v>
      </c>
      <c r="M2963" t="s">
        <v>24</v>
      </c>
      <c r="N2963" t="s">
        <v>35</v>
      </c>
      <c r="O2963" t="s">
        <v>26</v>
      </c>
      <c r="P2963" t="s">
        <v>27</v>
      </c>
      <c r="Q2963" t="s">
        <v>28</v>
      </c>
      <c r="R2963" t="s">
        <v>29</v>
      </c>
      <c r="S2963" t="s">
        <v>30</v>
      </c>
      <c r="T2963">
        <v>1000973717</v>
      </c>
      <c r="U2963" t="s">
        <v>3963</v>
      </c>
      <c r="V2963" t="s">
        <v>3934</v>
      </c>
      <c r="W2963" s="9">
        <f>IF(V2963="pregrado",31,
IF(V2963="posgrados",31,
IF(V2963="rEINTEGROS",7,
IF(V2963="BIT",90,
IF(V2963="OP GRADO - INGLÉS",17,"")))))</f>
        <v>31</v>
      </c>
      <c r="X2963" t="s">
        <v>4073</v>
      </c>
    </row>
    <row r="2964" spans="1:24" ht="15" x14ac:dyDescent="0.35">
      <c r="A2964" s="4">
        <v>46027.762013888889</v>
      </c>
      <c r="B2964">
        <v>20111060</v>
      </c>
      <c r="C2964" s="6" t="s">
        <v>19</v>
      </c>
      <c r="D2964">
        <v>594043</v>
      </c>
      <c r="E2964" t="s">
        <v>20</v>
      </c>
      <c r="F2964">
        <v>1016113205</v>
      </c>
      <c r="G2964" t="s">
        <v>1498</v>
      </c>
      <c r="H2964">
        <v>100238384</v>
      </c>
      <c r="I2964">
        <v>202631</v>
      </c>
      <c r="J2964">
        <v>1016113205</v>
      </c>
      <c r="K2964" t="s">
        <v>33</v>
      </c>
      <c r="L2964" t="s">
        <v>207</v>
      </c>
      <c r="M2964" t="s">
        <v>24</v>
      </c>
      <c r="N2964" t="s">
        <v>35</v>
      </c>
      <c r="O2964" t="s">
        <v>26</v>
      </c>
      <c r="P2964" t="s">
        <v>27</v>
      </c>
      <c r="Q2964" t="s">
        <v>28</v>
      </c>
      <c r="R2964" t="s">
        <v>29</v>
      </c>
      <c r="S2964" t="s">
        <v>30</v>
      </c>
      <c r="T2964">
        <v>1000777598</v>
      </c>
      <c r="U2964" t="s">
        <v>3986</v>
      </c>
      <c r="V2964" t="s">
        <v>3934</v>
      </c>
      <c r="W2964" s="9">
        <f>IF(V2964="pregrado",31,
IF(V2964="posgrados",31,
IF(V2964="rEINTEGROS",7,
IF(V2964="BIT",90,
IF(V2964="OP GRADO - INGLÉS",17,"")))))</f>
        <v>31</v>
      </c>
      <c r="X2964" t="s">
        <v>4103</v>
      </c>
    </row>
    <row r="2965" spans="1:24" ht="15" x14ac:dyDescent="0.35">
      <c r="A2965" s="4">
        <v>46014.688356481478</v>
      </c>
      <c r="B2965">
        <v>20109614</v>
      </c>
      <c r="C2965" s="6" t="s">
        <v>19</v>
      </c>
      <c r="D2965">
        <v>594049</v>
      </c>
      <c r="E2965" t="s">
        <v>20</v>
      </c>
      <c r="F2965">
        <v>1043027681</v>
      </c>
      <c r="G2965" t="s">
        <v>1285</v>
      </c>
      <c r="H2965">
        <v>100239699</v>
      </c>
      <c r="I2965">
        <v>202631</v>
      </c>
      <c r="J2965">
        <v>1043027681</v>
      </c>
      <c r="K2965" t="s">
        <v>23</v>
      </c>
      <c r="L2965" t="s">
        <v>32</v>
      </c>
      <c r="M2965" t="s">
        <v>24</v>
      </c>
      <c r="N2965" t="s">
        <v>35</v>
      </c>
      <c r="O2965" t="s">
        <v>26</v>
      </c>
      <c r="P2965" t="s">
        <v>27</v>
      </c>
      <c r="Q2965" t="s">
        <v>28</v>
      </c>
      <c r="R2965" t="s">
        <v>29</v>
      </c>
      <c r="S2965" t="s">
        <v>30</v>
      </c>
      <c r="T2965">
        <v>1015407851</v>
      </c>
      <c r="U2965" t="s">
        <v>3944</v>
      </c>
      <c r="V2965" t="s">
        <v>3934</v>
      </c>
      <c r="W2965" s="9">
        <f>IF(V2965="pregrado",31,
IF(V2965="posgrados",31,
IF(V2965="rEINTEGROS",7,
IF(V2965="BIT",90,
IF(V2965="OP GRADO - INGLÉS",17,"")))))</f>
        <v>31</v>
      </c>
      <c r="X2965" t="s">
        <v>4102</v>
      </c>
    </row>
    <row r="2966" spans="1:24" ht="15" x14ac:dyDescent="0.35">
      <c r="A2966" s="4">
        <v>46015.507118055553</v>
      </c>
      <c r="B2966">
        <v>20109732</v>
      </c>
      <c r="C2966" s="6" t="s">
        <v>19</v>
      </c>
      <c r="D2966">
        <v>594069</v>
      </c>
      <c r="E2966" t="s">
        <v>20</v>
      </c>
      <c r="F2966">
        <v>1063972830</v>
      </c>
      <c r="G2966" t="s">
        <v>1299</v>
      </c>
      <c r="H2966">
        <v>100237874</v>
      </c>
      <c r="I2966">
        <v>202631</v>
      </c>
      <c r="J2966">
        <v>1063972830</v>
      </c>
      <c r="K2966" t="s">
        <v>23</v>
      </c>
      <c r="L2966" t="s">
        <v>119</v>
      </c>
      <c r="M2966" t="s">
        <v>24</v>
      </c>
      <c r="N2966" t="s">
        <v>35</v>
      </c>
      <c r="O2966" t="s">
        <v>26</v>
      </c>
      <c r="P2966" t="s">
        <v>27</v>
      </c>
      <c r="Q2966" t="s">
        <v>28</v>
      </c>
      <c r="R2966" t="s">
        <v>29</v>
      </c>
      <c r="S2966" t="s">
        <v>30</v>
      </c>
      <c r="T2966">
        <v>53040709</v>
      </c>
      <c r="U2966" t="s">
        <v>3963</v>
      </c>
      <c r="V2966" t="s">
        <v>3934</v>
      </c>
      <c r="W2966" s="9">
        <f>IF(V2966="pregrado",31,
IF(V2966="posgrados",31,
IF(V2966="rEINTEGROS",7,
IF(V2966="BIT",90,
IF(V2966="OP GRADO - INGLÉS",17,"")))))</f>
        <v>31</v>
      </c>
      <c r="X2966" t="s">
        <v>3994</v>
      </c>
    </row>
    <row r="2967" spans="1:24" ht="15" x14ac:dyDescent="0.35">
      <c r="A2967" s="4">
        <v>46014.542638888888</v>
      </c>
      <c r="B2967">
        <v>20109518</v>
      </c>
      <c r="C2967" s="6" t="s">
        <v>19</v>
      </c>
      <c r="D2967">
        <v>594071</v>
      </c>
      <c r="E2967" t="s">
        <v>20</v>
      </c>
      <c r="F2967">
        <v>1022942789</v>
      </c>
      <c r="G2967" t="s">
        <v>1271</v>
      </c>
      <c r="H2967">
        <v>200066984</v>
      </c>
      <c r="I2967">
        <v>202631</v>
      </c>
      <c r="J2967">
        <v>1023036856</v>
      </c>
      <c r="K2967" t="s">
        <v>74</v>
      </c>
      <c r="L2967" t="s">
        <v>119</v>
      </c>
      <c r="M2967" t="s">
        <v>24</v>
      </c>
      <c r="N2967" t="s">
        <v>35</v>
      </c>
      <c r="O2967" t="s">
        <v>26</v>
      </c>
      <c r="P2967" t="s">
        <v>27</v>
      </c>
      <c r="Q2967" t="s">
        <v>28</v>
      </c>
      <c r="R2967" t="s">
        <v>29</v>
      </c>
      <c r="S2967" t="s">
        <v>30</v>
      </c>
      <c r="T2967">
        <v>1077967131</v>
      </c>
      <c r="U2967" t="s">
        <v>3963</v>
      </c>
      <c r="V2967" t="s">
        <v>3934</v>
      </c>
      <c r="W2967" s="9">
        <f>IF(V2967="pregrado",31,
IF(V2967="posgrados",31,
IF(V2967="rEINTEGROS",7,
IF(V2967="BIT",90,
IF(V2967="OP GRADO - INGLÉS",17,"")))))</f>
        <v>31</v>
      </c>
      <c r="X2967" t="s">
        <v>4011</v>
      </c>
    </row>
    <row r="2968" spans="1:24" ht="15" x14ac:dyDescent="0.35">
      <c r="A2968" s="4">
        <v>46021.569247685184</v>
      </c>
      <c r="B2968">
        <v>20110389</v>
      </c>
      <c r="C2968" s="6" t="s">
        <v>19</v>
      </c>
      <c r="D2968">
        <v>594081</v>
      </c>
      <c r="E2968" t="s">
        <v>20</v>
      </c>
      <c r="F2968">
        <v>1032413010</v>
      </c>
      <c r="G2968" t="s">
        <v>1408</v>
      </c>
      <c r="H2968">
        <v>100210488</v>
      </c>
      <c r="I2968">
        <v>202610</v>
      </c>
      <c r="J2968">
        <v>1012329502</v>
      </c>
      <c r="K2968" t="s">
        <v>46</v>
      </c>
      <c r="L2968" t="s">
        <v>153</v>
      </c>
      <c r="M2968" t="s">
        <v>24</v>
      </c>
      <c r="N2968" t="s">
        <v>35</v>
      </c>
      <c r="O2968" t="s">
        <v>26</v>
      </c>
      <c r="P2968" t="s">
        <v>27</v>
      </c>
      <c r="Q2968" t="s">
        <v>28</v>
      </c>
      <c r="R2968" t="s">
        <v>29</v>
      </c>
      <c r="S2968" t="s">
        <v>30</v>
      </c>
      <c r="T2968">
        <v>1013687925</v>
      </c>
      <c r="U2968" t="s">
        <v>3933</v>
      </c>
      <c r="V2968" t="s">
        <v>3934</v>
      </c>
      <c r="W2968" s="9">
        <f>IF(V2968="pregrado",31,
IF(V2968="posgrados",31,
IF(V2968="rEINTEGROS",7,
IF(V2968="BIT",90,
IF(V2968="OP GRADO - INGLÉS",17,"")))))</f>
        <v>31</v>
      </c>
      <c r="X2968" t="s">
        <v>3959</v>
      </c>
    </row>
    <row r="2969" spans="1:24" ht="15" x14ac:dyDescent="0.35">
      <c r="A2969" s="4">
        <v>46017.630428240744</v>
      </c>
      <c r="B2969">
        <v>20109882</v>
      </c>
      <c r="C2969" s="6" t="s">
        <v>19</v>
      </c>
      <c r="D2969">
        <v>594082</v>
      </c>
      <c r="E2969" t="s">
        <v>20</v>
      </c>
      <c r="F2969">
        <v>1063161828</v>
      </c>
      <c r="G2969" t="s">
        <v>1330</v>
      </c>
      <c r="H2969">
        <v>100239731</v>
      </c>
      <c r="I2969">
        <v>202631</v>
      </c>
      <c r="J2969">
        <v>1063161828</v>
      </c>
      <c r="K2969" t="s">
        <v>33</v>
      </c>
      <c r="L2969" t="s">
        <v>42</v>
      </c>
      <c r="M2969" t="s">
        <v>24</v>
      </c>
      <c r="N2969" t="s">
        <v>35</v>
      </c>
      <c r="O2969" t="s">
        <v>26</v>
      </c>
      <c r="P2969" t="s">
        <v>27</v>
      </c>
      <c r="Q2969" t="s">
        <v>28</v>
      </c>
      <c r="R2969" t="s">
        <v>29</v>
      </c>
      <c r="S2969" t="s">
        <v>30</v>
      </c>
      <c r="T2969">
        <v>1015478965</v>
      </c>
      <c r="U2969" t="s">
        <v>3944</v>
      </c>
      <c r="V2969" t="s">
        <v>3934</v>
      </c>
      <c r="W2969" s="9">
        <f>IF(V2969="pregrado",31,
IF(V2969="posgrados",31,
IF(V2969="rEINTEGROS",7,
IF(V2969="BIT",90,
IF(V2969="OP GRADO - INGLÉS",17,"")))))</f>
        <v>31</v>
      </c>
      <c r="X2969" t="s">
        <v>3979</v>
      </c>
    </row>
    <row r="2970" spans="1:24" ht="15" x14ac:dyDescent="0.35">
      <c r="A2970" s="4">
        <v>46016.785162037035</v>
      </c>
      <c r="B2970">
        <v>20109774</v>
      </c>
      <c r="C2970" s="6" t="s">
        <v>19</v>
      </c>
      <c r="D2970">
        <v>594085</v>
      </c>
      <c r="E2970" t="s">
        <v>20</v>
      </c>
      <c r="F2970">
        <v>1002958383</v>
      </c>
      <c r="G2970" t="s">
        <v>1310</v>
      </c>
      <c r="H2970">
        <v>100239732</v>
      </c>
      <c r="I2970">
        <v>202631</v>
      </c>
      <c r="J2970">
        <v>1002958383</v>
      </c>
      <c r="K2970" t="s">
        <v>33</v>
      </c>
      <c r="L2970" t="s">
        <v>127</v>
      </c>
      <c r="M2970" t="s">
        <v>24</v>
      </c>
      <c r="N2970" t="s">
        <v>25</v>
      </c>
      <c r="O2970" t="s">
        <v>26</v>
      </c>
      <c r="P2970" t="s">
        <v>27</v>
      </c>
      <c r="Q2970" t="s">
        <v>28</v>
      </c>
      <c r="R2970" t="s">
        <v>29</v>
      </c>
      <c r="S2970" t="s">
        <v>30</v>
      </c>
      <c r="T2970">
        <v>39666517</v>
      </c>
      <c r="U2970" t="s">
        <v>3933</v>
      </c>
      <c r="V2970" t="s">
        <v>3934</v>
      </c>
      <c r="W2970" s="9">
        <f>IF(V2970="pregrado",31,
IF(V2970="posgrados",31,
IF(V2970="rEINTEGROS",7,
IF(V2970="BIT",90,
IF(V2970="OP GRADO - INGLÉS",17,"")))))</f>
        <v>31</v>
      </c>
      <c r="X2970" t="s">
        <v>4025</v>
      </c>
    </row>
    <row r="2971" spans="1:24" ht="15" x14ac:dyDescent="0.35">
      <c r="A2971" s="4">
        <v>46014.564953703702</v>
      </c>
      <c r="B2971">
        <v>20109530</v>
      </c>
      <c r="C2971" s="6" t="s">
        <v>19</v>
      </c>
      <c r="D2971">
        <v>594087</v>
      </c>
      <c r="E2971" t="s">
        <v>20</v>
      </c>
      <c r="F2971">
        <v>1030140075</v>
      </c>
      <c r="G2971" t="s">
        <v>1273</v>
      </c>
      <c r="H2971">
        <v>100239734</v>
      </c>
      <c r="I2971">
        <v>202631</v>
      </c>
      <c r="J2971">
        <v>1030140075</v>
      </c>
      <c r="K2971" t="s">
        <v>33</v>
      </c>
      <c r="L2971" t="s">
        <v>90</v>
      </c>
      <c r="M2971" t="s">
        <v>24</v>
      </c>
      <c r="N2971" t="s">
        <v>25</v>
      </c>
      <c r="O2971" t="s">
        <v>26</v>
      </c>
      <c r="P2971" t="s">
        <v>27</v>
      </c>
      <c r="Q2971" t="s">
        <v>28</v>
      </c>
      <c r="R2971" t="s">
        <v>29</v>
      </c>
      <c r="S2971" t="s">
        <v>30</v>
      </c>
      <c r="T2971">
        <v>1014273794</v>
      </c>
      <c r="U2971" t="s">
        <v>3939</v>
      </c>
      <c r="V2971" t="s">
        <v>3934</v>
      </c>
      <c r="W2971" s="9">
        <f>IF(V2971="pregrado",31,
IF(V2971="posgrados",31,
IF(V2971="rEINTEGROS",7,
IF(V2971="BIT",90,
IF(V2971="OP GRADO - INGLÉS",17,"")))))</f>
        <v>31</v>
      </c>
      <c r="X2971" t="s">
        <v>4004</v>
      </c>
    </row>
    <row r="2972" spans="1:24" ht="15" x14ac:dyDescent="0.35">
      <c r="A2972" s="4">
        <v>46014.539490740739</v>
      </c>
      <c r="B2972">
        <v>20109514</v>
      </c>
      <c r="C2972" s="6" t="s">
        <v>19</v>
      </c>
      <c r="D2972">
        <v>594091</v>
      </c>
      <c r="E2972" t="s">
        <v>20</v>
      </c>
      <c r="F2972">
        <v>1019029267</v>
      </c>
      <c r="G2972" t="s">
        <v>1270</v>
      </c>
      <c r="H2972">
        <v>100166252</v>
      </c>
      <c r="I2972">
        <v>202631</v>
      </c>
      <c r="J2972">
        <v>1019029267</v>
      </c>
      <c r="K2972" t="s">
        <v>89</v>
      </c>
      <c r="L2972" t="s">
        <v>42</v>
      </c>
      <c r="M2972" t="s">
        <v>24</v>
      </c>
      <c r="N2972" t="s">
        <v>25</v>
      </c>
      <c r="O2972" t="s">
        <v>26</v>
      </c>
      <c r="P2972" t="s">
        <v>27</v>
      </c>
      <c r="Q2972" t="s">
        <v>28</v>
      </c>
      <c r="R2972" t="s">
        <v>29</v>
      </c>
      <c r="S2972" t="s">
        <v>30</v>
      </c>
      <c r="T2972">
        <v>1000934874</v>
      </c>
      <c r="U2972" t="s">
        <v>3977</v>
      </c>
      <c r="V2972" t="s">
        <v>3970</v>
      </c>
      <c r="W2972" s="9">
        <f>IF(V2972="pregrado",31,
IF(V2972="posgrados",31,
IF(V2972="rEINTEGROS",7,
IF(V2972="BIT",90,
IF(V2972="OP GRADO - INGLÉS",17,"")))))</f>
        <v>7</v>
      </c>
      <c r="X2972" t="s">
        <v>3999</v>
      </c>
    </row>
    <row r="2973" spans="1:24" ht="15" x14ac:dyDescent="0.35">
      <c r="A2973" s="4">
        <v>46030.551817129628</v>
      </c>
      <c r="B2973">
        <v>20111729</v>
      </c>
      <c r="C2973" s="6" t="s">
        <v>19</v>
      </c>
      <c r="D2973">
        <v>594093</v>
      </c>
      <c r="E2973" t="s">
        <v>20</v>
      </c>
      <c r="F2973">
        <v>1083692173</v>
      </c>
      <c r="G2973" t="s">
        <v>1587</v>
      </c>
      <c r="H2973">
        <v>100188309</v>
      </c>
      <c r="I2973">
        <v>202610</v>
      </c>
      <c r="J2973">
        <v>1050457131</v>
      </c>
      <c r="K2973" t="s">
        <v>89</v>
      </c>
      <c r="L2973" t="s">
        <v>37</v>
      </c>
      <c r="M2973" t="s">
        <v>24</v>
      </c>
      <c r="N2973" t="s">
        <v>38</v>
      </c>
      <c r="O2973" t="s">
        <v>26</v>
      </c>
      <c r="P2973" t="s">
        <v>27</v>
      </c>
      <c r="Q2973" t="s">
        <v>28</v>
      </c>
      <c r="R2973" t="s">
        <v>29</v>
      </c>
      <c r="S2973" t="s">
        <v>30</v>
      </c>
      <c r="T2973">
        <v>1000934874</v>
      </c>
      <c r="U2973" t="s">
        <v>3977</v>
      </c>
      <c r="V2973" t="s">
        <v>3970</v>
      </c>
      <c r="W2973" s="9">
        <f>IF(V2973="pregrado",31,
IF(V2973="posgrados",31,
IF(V2973="rEINTEGROS",7,
IF(V2973="BIT",90,
IF(V2973="OP GRADO - INGLÉS",17,"")))))</f>
        <v>7</v>
      </c>
      <c r="X2973" t="s">
        <v>3999</v>
      </c>
    </row>
    <row r="2974" spans="1:24" ht="15" x14ac:dyDescent="0.35">
      <c r="A2974" s="4">
        <v>46014.528182870374</v>
      </c>
      <c r="B2974">
        <v>20109498</v>
      </c>
      <c r="C2974" s="6" t="s">
        <v>19</v>
      </c>
      <c r="D2974">
        <v>594096</v>
      </c>
      <c r="E2974" t="s">
        <v>20</v>
      </c>
      <c r="F2974">
        <v>1019003634</v>
      </c>
      <c r="G2974" t="s">
        <v>1266</v>
      </c>
      <c r="H2974">
        <v>100238123</v>
      </c>
      <c r="I2974">
        <v>202631</v>
      </c>
      <c r="J2974">
        <v>1019003634</v>
      </c>
      <c r="K2974" t="s">
        <v>23</v>
      </c>
      <c r="L2974" t="s">
        <v>114</v>
      </c>
      <c r="M2974" t="s">
        <v>24</v>
      </c>
      <c r="N2974" t="s">
        <v>35</v>
      </c>
      <c r="O2974" t="s">
        <v>26</v>
      </c>
      <c r="P2974" t="s">
        <v>27</v>
      </c>
      <c r="Q2974" t="s">
        <v>28</v>
      </c>
      <c r="R2974" t="s">
        <v>29</v>
      </c>
      <c r="S2974" t="s">
        <v>30</v>
      </c>
      <c r="T2974">
        <v>1000973717</v>
      </c>
      <c r="U2974" t="s">
        <v>3963</v>
      </c>
      <c r="V2974" t="s">
        <v>3934</v>
      </c>
      <c r="W2974" s="9">
        <f>IF(V2974="pregrado",31,
IF(V2974="posgrados",31,
IF(V2974="rEINTEGROS",7,
IF(V2974="BIT",90,
IF(V2974="OP GRADO - INGLÉS",17,"")))))</f>
        <v>31</v>
      </c>
      <c r="X2974" t="s">
        <v>4073</v>
      </c>
    </row>
    <row r="2975" spans="1:24" ht="15" x14ac:dyDescent="0.35">
      <c r="A2975" s="4">
        <v>46014.625694444447</v>
      </c>
      <c r="B2975">
        <v>20109562</v>
      </c>
      <c r="C2975" s="6" t="s">
        <v>19</v>
      </c>
      <c r="D2975">
        <v>594104</v>
      </c>
      <c r="E2975" t="s">
        <v>20</v>
      </c>
      <c r="F2975">
        <v>51912543</v>
      </c>
      <c r="G2975" t="s">
        <v>1274</v>
      </c>
      <c r="H2975">
        <v>100239742</v>
      </c>
      <c r="I2975">
        <v>202631</v>
      </c>
      <c r="J2975">
        <v>1116553924</v>
      </c>
      <c r="K2975" t="s">
        <v>33</v>
      </c>
      <c r="L2975" t="s">
        <v>42</v>
      </c>
      <c r="M2975" t="s">
        <v>24</v>
      </c>
      <c r="N2975" t="s">
        <v>35</v>
      </c>
      <c r="O2975" t="s">
        <v>26</v>
      </c>
      <c r="P2975" t="s">
        <v>27</v>
      </c>
      <c r="Q2975" t="s">
        <v>28</v>
      </c>
      <c r="R2975" t="s">
        <v>29</v>
      </c>
      <c r="S2975" t="s">
        <v>30</v>
      </c>
      <c r="T2975">
        <v>1000625316</v>
      </c>
      <c r="U2975" t="s">
        <v>3944</v>
      </c>
      <c r="V2975" t="s">
        <v>3934</v>
      </c>
      <c r="W2975" s="9">
        <f>IF(V2975="pregrado",31,
IF(V2975="posgrados",31,
IF(V2975="rEINTEGROS",7,
IF(V2975="BIT",90,
IF(V2975="OP GRADO - INGLÉS",17,"")))))</f>
        <v>31</v>
      </c>
      <c r="X2975" t="s">
        <v>3980</v>
      </c>
    </row>
    <row r="2976" spans="1:24" ht="15" x14ac:dyDescent="0.35">
      <c r="A2976" s="4">
        <v>46015.529722222222</v>
      </c>
      <c r="B2976">
        <v>20109736</v>
      </c>
      <c r="C2976" s="6" t="s">
        <v>19</v>
      </c>
      <c r="D2976">
        <v>594113</v>
      </c>
      <c r="E2976" t="s">
        <v>20</v>
      </c>
      <c r="F2976">
        <v>80851664</v>
      </c>
      <c r="G2976" t="s">
        <v>1301</v>
      </c>
      <c r="H2976">
        <v>100239749</v>
      </c>
      <c r="I2976">
        <v>202610</v>
      </c>
      <c r="J2976">
        <v>1025145006</v>
      </c>
      <c r="K2976" t="s">
        <v>23</v>
      </c>
      <c r="L2976" t="s">
        <v>79</v>
      </c>
      <c r="M2976" t="s">
        <v>24</v>
      </c>
      <c r="N2976" t="s">
        <v>35</v>
      </c>
      <c r="O2976" t="s">
        <v>26</v>
      </c>
      <c r="P2976" t="s">
        <v>27</v>
      </c>
      <c r="Q2976" t="s">
        <v>28</v>
      </c>
      <c r="R2976" t="s">
        <v>29</v>
      </c>
      <c r="S2976" t="s">
        <v>30</v>
      </c>
      <c r="T2976">
        <v>1013662799</v>
      </c>
      <c r="U2976" t="s">
        <v>3965</v>
      </c>
      <c r="V2976" t="s">
        <v>3934</v>
      </c>
      <c r="W2976" s="9">
        <f>IF(V2976="pregrado",31,
IF(V2976="posgrados",31,
IF(V2976="rEINTEGROS",7,
IF(V2976="BIT",90,
IF(V2976="OP GRADO - INGLÉS",17,"")))))</f>
        <v>31</v>
      </c>
      <c r="X2976" t="s">
        <v>4021</v>
      </c>
    </row>
    <row r="2977" spans="1:24" ht="15" x14ac:dyDescent="0.35">
      <c r="A2977" s="4">
        <v>46015.392523148148</v>
      </c>
      <c r="B2977">
        <v>20109699</v>
      </c>
      <c r="C2977" s="6" t="s">
        <v>19</v>
      </c>
      <c r="D2977">
        <v>594147</v>
      </c>
      <c r="E2977" t="s">
        <v>20</v>
      </c>
      <c r="F2977">
        <v>11615996</v>
      </c>
      <c r="G2977" t="s">
        <v>1291</v>
      </c>
      <c r="H2977">
        <v>100239772</v>
      </c>
      <c r="I2977">
        <v>202610</v>
      </c>
      <c r="J2977">
        <v>1122677486</v>
      </c>
      <c r="K2977" t="s">
        <v>23</v>
      </c>
      <c r="L2977" t="s">
        <v>37</v>
      </c>
      <c r="M2977" t="s">
        <v>24</v>
      </c>
      <c r="N2977" t="s">
        <v>25</v>
      </c>
      <c r="O2977" t="s">
        <v>26</v>
      </c>
      <c r="P2977" t="s">
        <v>27</v>
      </c>
      <c r="Q2977" t="s">
        <v>28</v>
      </c>
      <c r="R2977" t="s">
        <v>29</v>
      </c>
      <c r="S2977" t="s">
        <v>30</v>
      </c>
      <c r="T2977">
        <v>80219471</v>
      </c>
      <c r="U2977" t="s">
        <v>3941</v>
      </c>
      <c r="V2977" t="s">
        <v>3934</v>
      </c>
      <c r="W2977" s="9">
        <f>IF(V2977="pregrado",31,
IF(V2977="posgrados",31,
IF(V2977="rEINTEGROS",7,
IF(V2977="BIT",90,
IF(V2977="OP GRADO - INGLÉS",17,"")))))</f>
        <v>31</v>
      </c>
      <c r="X2977" t="s">
        <v>4030</v>
      </c>
    </row>
    <row r="2978" spans="1:24" ht="15" x14ac:dyDescent="0.35">
      <c r="A2978" s="4">
        <v>46017.744062500002</v>
      </c>
      <c r="B2978">
        <v>20109937</v>
      </c>
      <c r="C2978" s="6" t="s">
        <v>19</v>
      </c>
      <c r="D2978">
        <v>594157</v>
      </c>
      <c r="E2978" t="s">
        <v>20</v>
      </c>
      <c r="F2978">
        <v>1073150678</v>
      </c>
      <c r="G2978" t="s">
        <v>1341</v>
      </c>
      <c r="H2978">
        <v>100239803</v>
      </c>
      <c r="I2978">
        <v>202610</v>
      </c>
      <c r="J2978">
        <v>1021513868</v>
      </c>
      <c r="K2978" t="s">
        <v>23</v>
      </c>
      <c r="L2978" t="s">
        <v>79</v>
      </c>
      <c r="M2978" t="s">
        <v>24</v>
      </c>
      <c r="N2978" t="s">
        <v>35</v>
      </c>
      <c r="O2978" t="s">
        <v>26</v>
      </c>
      <c r="P2978" t="s">
        <v>27</v>
      </c>
      <c r="Q2978" t="s">
        <v>28</v>
      </c>
      <c r="R2978" t="s">
        <v>29</v>
      </c>
      <c r="S2978" t="s">
        <v>30</v>
      </c>
      <c r="T2978">
        <v>1032678391</v>
      </c>
      <c r="U2978" t="s">
        <v>3965</v>
      </c>
      <c r="V2978" t="s">
        <v>3934</v>
      </c>
      <c r="W2978" s="9">
        <f>IF(V2978="pregrado",31,
IF(V2978="posgrados",31,
IF(V2978="rEINTEGROS",7,
IF(V2978="BIT",90,
IF(V2978="OP GRADO - INGLÉS",17,"")))))</f>
        <v>31</v>
      </c>
      <c r="X2978" t="s">
        <v>4098</v>
      </c>
    </row>
    <row r="2979" spans="1:24" ht="15" x14ac:dyDescent="0.35">
      <c r="A2979" s="4">
        <v>46015.452766203707</v>
      </c>
      <c r="B2979">
        <v>20109716</v>
      </c>
      <c r="C2979" s="6" t="s">
        <v>19</v>
      </c>
      <c r="D2979">
        <v>594164</v>
      </c>
      <c r="E2979" t="s">
        <v>20</v>
      </c>
      <c r="F2979">
        <v>1028862320</v>
      </c>
      <c r="G2979" t="s">
        <v>1294</v>
      </c>
      <c r="H2979">
        <v>100239817</v>
      </c>
      <c r="I2979">
        <v>202611</v>
      </c>
      <c r="J2979">
        <v>1028862320</v>
      </c>
      <c r="K2979" t="s">
        <v>23</v>
      </c>
      <c r="L2979" t="s">
        <v>204</v>
      </c>
      <c r="M2979" t="s">
        <v>24</v>
      </c>
      <c r="N2979" t="s">
        <v>35</v>
      </c>
      <c r="O2979" t="s">
        <v>26</v>
      </c>
      <c r="P2979" t="s">
        <v>27</v>
      </c>
      <c r="Q2979" t="s">
        <v>28</v>
      </c>
      <c r="R2979" t="s">
        <v>29</v>
      </c>
      <c r="S2979" t="s">
        <v>30</v>
      </c>
      <c r="T2979">
        <v>52182207</v>
      </c>
      <c r="U2979" t="s">
        <v>3941</v>
      </c>
      <c r="V2979" t="s">
        <v>3934</v>
      </c>
      <c r="W2979" s="9">
        <f>IF(V2979="pregrado",31,
IF(V2979="posgrados",31,
IF(V2979="rEINTEGROS",7,
IF(V2979="BIT",90,
IF(V2979="OP GRADO - INGLÉS",17,"")))))</f>
        <v>31</v>
      </c>
      <c r="X2979" t="s">
        <v>3946</v>
      </c>
    </row>
    <row r="2980" spans="1:24" ht="15" x14ac:dyDescent="0.35">
      <c r="A2980" s="4">
        <v>46044.550856481481</v>
      </c>
      <c r="B2980">
        <v>20116168</v>
      </c>
      <c r="C2980" s="6" t="s">
        <v>19</v>
      </c>
      <c r="D2980">
        <v>594171</v>
      </c>
      <c r="E2980" t="s">
        <v>20</v>
      </c>
      <c r="F2980">
        <v>78695613</v>
      </c>
      <c r="G2980" t="s">
        <v>2167</v>
      </c>
      <c r="H2980">
        <v>100239822</v>
      </c>
      <c r="I2980">
        <v>202631</v>
      </c>
      <c r="J2980">
        <v>1192811449</v>
      </c>
      <c r="K2980" t="s">
        <v>23</v>
      </c>
      <c r="L2980" t="s">
        <v>219</v>
      </c>
      <c r="M2980" t="s">
        <v>24</v>
      </c>
      <c r="N2980" t="s">
        <v>35</v>
      </c>
      <c r="O2980" t="s">
        <v>26</v>
      </c>
      <c r="P2980" t="s">
        <v>27</v>
      </c>
      <c r="Q2980" t="s">
        <v>28</v>
      </c>
      <c r="R2980" t="s">
        <v>29</v>
      </c>
      <c r="S2980" t="s">
        <v>30</v>
      </c>
      <c r="T2980">
        <v>53040709</v>
      </c>
      <c r="U2980" t="s">
        <v>3963</v>
      </c>
      <c r="V2980" t="s">
        <v>3934</v>
      </c>
      <c r="W2980" s="9">
        <f>IF(V2980="pregrado",31,
IF(V2980="posgrados",31,
IF(V2980="rEINTEGROS",7,
IF(V2980="BIT",90,
IF(V2980="OP GRADO - INGLÉS",17,"")))))</f>
        <v>31</v>
      </c>
      <c r="X2980" t="s">
        <v>3994</v>
      </c>
    </row>
    <row r="2981" spans="1:24" ht="15" x14ac:dyDescent="0.35">
      <c r="A2981" s="4">
        <v>46015.402696759258</v>
      </c>
      <c r="B2981">
        <v>20109703</v>
      </c>
      <c r="C2981" s="6" t="s">
        <v>19</v>
      </c>
      <c r="D2981">
        <v>594173</v>
      </c>
      <c r="E2981" t="s">
        <v>20</v>
      </c>
      <c r="F2981">
        <v>1005271773</v>
      </c>
      <c r="G2981" t="s">
        <v>1292</v>
      </c>
      <c r="H2981">
        <v>100239823</v>
      </c>
      <c r="I2981">
        <v>202631</v>
      </c>
      <c r="J2981">
        <v>1005271773</v>
      </c>
      <c r="K2981" t="s">
        <v>23</v>
      </c>
      <c r="L2981" t="s">
        <v>42</v>
      </c>
      <c r="M2981" t="s">
        <v>24</v>
      </c>
      <c r="N2981" t="s">
        <v>35</v>
      </c>
      <c r="O2981" t="s">
        <v>26</v>
      </c>
      <c r="P2981" t="s">
        <v>27</v>
      </c>
      <c r="Q2981" t="s">
        <v>28</v>
      </c>
      <c r="R2981" t="s">
        <v>29</v>
      </c>
      <c r="S2981" t="s">
        <v>30</v>
      </c>
      <c r="T2981">
        <v>1006023129</v>
      </c>
      <c r="U2981" t="s">
        <v>3944</v>
      </c>
      <c r="V2981" t="s">
        <v>3934</v>
      </c>
      <c r="W2981" s="9">
        <f>IF(V2981="pregrado",31,
IF(V2981="posgrados",31,
IF(V2981="rEINTEGROS",7,
IF(V2981="BIT",90,
IF(V2981="OP GRADO - INGLÉS",17,"")))))</f>
        <v>31</v>
      </c>
      <c r="X2981" t="s">
        <v>3982</v>
      </c>
    </row>
    <row r="2982" spans="1:24" ht="15" x14ac:dyDescent="0.35">
      <c r="A2982" s="4">
        <v>46024.571689814817</v>
      </c>
      <c r="B2982">
        <v>20110698</v>
      </c>
      <c r="C2982" s="6" t="s">
        <v>19</v>
      </c>
      <c r="D2982">
        <v>594174</v>
      </c>
      <c r="E2982" t="s">
        <v>20</v>
      </c>
      <c r="F2982">
        <v>1007709578</v>
      </c>
      <c r="G2982" t="s">
        <v>1459</v>
      </c>
      <c r="H2982">
        <v>100239824</v>
      </c>
      <c r="I2982">
        <v>202611</v>
      </c>
      <c r="J2982">
        <v>1007709578</v>
      </c>
      <c r="K2982" t="s">
        <v>23</v>
      </c>
      <c r="L2982" t="s">
        <v>227</v>
      </c>
      <c r="M2982" t="s">
        <v>24</v>
      </c>
      <c r="N2982" t="s">
        <v>25</v>
      </c>
      <c r="O2982" t="s">
        <v>26</v>
      </c>
      <c r="P2982" t="s">
        <v>27</v>
      </c>
      <c r="Q2982" t="s">
        <v>28</v>
      </c>
      <c r="R2982" t="s">
        <v>29</v>
      </c>
      <c r="S2982" t="s">
        <v>30</v>
      </c>
      <c r="T2982">
        <v>1015428862</v>
      </c>
      <c r="U2982" t="s">
        <v>3965</v>
      </c>
      <c r="V2982" t="s">
        <v>3934</v>
      </c>
      <c r="W2982" s="9">
        <f>IF(V2982="pregrado",31,
IF(V2982="posgrados",31,
IF(V2982="rEINTEGROS",7,
IF(V2982="BIT",90,
IF(V2982="OP GRADO - INGLÉS",17,"")))))</f>
        <v>31</v>
      </c>
      <c r="X2982" t="s">
        <v>4048</v>
      </c>
    </row>
    <row r="2983" spans="1:24" ht="15" x14ac:dyDescent="0.35">
      <c r="A2983" s="4">
        <v>46021.595717592594</v>
      </c>
      <c r="B2983">
        <v>20110404</v>
      </c>
      <c r="C2983" s="6" t="s">
        <v>19</v>
      </c>
      <c r="D2983">
        <v>594197</v>
      </c>
      <c r="E2983" t="s">
        <v>20</v>
      </c>
      <c r="F2983">
        <v>8051267</v>
      </c>
      <c r="G2983" t="s">
        <v>1412</v>
      </c>
      <c r="H2983">
        <v>100169648</v>
      </c>
      <c r="I2983">
        <v>202631</v>
      </c>
      <c r="J2983">
        <v>8051267</v>
      </c>
      <c r="K2983" t="s">
        <v>33</v>
      </c>
      <c r="L2983" t="s">
        <v>77</v>
      </c>
      <c r="M2983" t="s">
        <v>24</v>
      </c>
      <c r="N2983" t="s">
        <v>35</v>
      </c>
      <c r="O2983" t="s">
        <v>26</v>
      </c>
      <c r="P2983" t="s">
        <v>27</v>
      </c>
      <c r="Q2983" t="s">
        <v>28</v>
      </c>
      <c r="R2983" t="s">
        <v>29</v>
      </c>
      <c r="S2983" t="s">
        <v>30</v>
      </c>
      <c r="T2983">
        <v>1020820287</v>
      </c>
      <c r="U2983" t="s">
        <v>3963</v>
      </c>
      <c r="V2983" t="s">
        <v>3934</v>
      </c>
      <c r="W2983" s="9">
        <f>IF(V2983="pregrado",31,
IF(V2983="posgrados",31,
IF(V2983="rEINTEGROS",7,
IF(V2983="BIT",90,
IF(V2983="OP GRADO - INGLÉS",17,"")))))</f>
        <v>31</v>
      </c>
      <c r="X2983" t="s">
        <v>4044</v>
      </c>
    </row>
    <row r="2984" spans="1:24" ht="15" x14ac:dyDescent="0.35">
      <c r="A2984" s="4">
        <v>46031.548726851855</v>
      </c>
      <c r="B2984">
        <v>20112063</v>
      </c>
      <c r="C2984" s="6" t="s">
        <v>19</v>
      </c>
      <c r="D2984">
        <v>594200</v>
      </c>
      <c r="E2984" t="s">
        <v>20</v>
      </c>
      <c r="F2984">
        <v>71763102</v>
      </c>
      <c r="G2984" t="s">
        <v>1641</v>
      </c>
      <c r="H2984">
        <v>100239850</v>
      </c>
      <c r="I2984">
        <v>202631</v>
      </c>
      <c r="J2984">
        <v>71763102</v>
      </c>
      <c r="K2984" t="s">
        <v>23</v>
      </c>
      <c r="L2984" t="s">
        <v>114</v>
      </c>
      <c r="M2984" t="s">
        <v>24</v>
      </c>
      <c r="N2984" t="s">
        <v>35</v>
      </c>
      <c r="O2984" t="s">
        <v>26</v>
      </c>
      <c r="P2984" t="s">
        <v>27</v>
      </c>
      <c r="Q2984" t="s">
        <v>28</v>
      </c>
      <c r="R2984" t="s">
        <v>29</v>
      </c>
      <c r="S2984" t="s">
        <v>30</v>
      </c>
      <c r="T2984">
        <v>79635092</v>
      </c>
      <c r="U2984" t="s">
        <v>3963</v>
      </c>
      <c r="V2984" t="s">
        <v>3934</v>
      </c>
      <c r="W2984" s="9">
        <f>IF(V2984="pregrado",31,
IF(V2984="posgrados",31,
IF(V2984="rEINTEGROS",7,
IF(V2984="BIT",90,
IF(V2984="OP GRADO - INGLÉS",17,"")))))</f>
        <v>31</v>
      </c>
      <c r="X2984" t="s">
        <v>4079</v>
      </c>
    </row>
    <row r="2985" spans="1:24" ht="15" x14ac:dyDescent="0.35">
      <c r="A2985" s="4">
        <v>46021.474548611113</v>
      </c>
      <c r="B2985">
        <v>20110329</v>
      </c>
      <c r="C2985" s="6" t="s">
        <v>19</v>
      </c>
      <c r="D2985">
        <v>594202</v>
      </c>
      <c r="E2985" t="s">
        <v>20</v>
      </c>
      <c r="F2985">
        <v>12753853</v>
      </c>
      <c r="G2985" t="s">
        <v>1398</v>
      </c>
      <c r="H2985">
        <v>100239852</v>
      </c>
      <c r="I2985">
        <v>202631</v>
      </c>
      <c r="J2985">
        <v>12753853</v>
      </c>
      <c r="K2985" t="s">
        <v>33</v>
      </c>
      <c r="L2985" t="s">
        <v>207</v>
      </c>
      <c r="M2985" t="s">
        <v>24</v>
      </c>
      <c r="N2985" t="s">
        <v>25</v>
      </c>
      <c r="O2985" t="s">
        <v>26</v>
      </c>
      <c r="P2985" t="s">
        <v>27</v>
      </c>
      <c r="Q2985" t="s">
        <v>28</v>
      </c>
      <c r="R2985" t="s">
        <v>29</v>
      </c>
      <c r="S2985" t="s">
        <v>30</v>
      </c>
      <c r="T2985">
        <v>80021358</v>
      </c>
      <c r="U2985" t="s">
        <v>3986</v>
      </c>
      <c r="V2985" t="s">
        <v>3934</v>
      </c>
      <c r="W2985" s="9">
        <f>IF(V2985="pregrado",31,
IF(V2985="posgrados",31,
IF(V2985="rEINTEGROS",7,
IF(V2985="BIT",90,
IF(V2985="OP GRADO - INGLÉS",17,"")))))</f>
        <v>31</v>
      </c>
      <c r="X2985" t="s">
        <v>3995</v>
      </c>
    </row>
    <row r="2986" spans="1:24" ht="15" x14ac:dyDescent="0.35">
      <c r="A2986" s="4">
        <v>46016.290567129632</v>
      </c>
      <c r="B2986">
        <v>20109761</v>
      </c>
      <c r="C2986" s="6" t="s">
        <v>19</v>
      </c>
      <c r="D2986">
        <v>594216</v>
      </c>
      <c r="E2986" t="s">
        <v>20</v>
      </c>
      <c r="F2986">
        <v>1014310364</v>
      </c>
      <c r="G2986" t="s">
        <v>1307</v>
      </c>
      <c r="H2986">
        <v>100239849</v>
      </c>
      <c r="I2986">
        <v>202611</v>
      </c>
      <c r="J2986">
        <v>1014310364</v>
      </c>
      <c r="K2986" t="s">
        <v>23</v>
      </c>
      <c r="L2986" t="s">
        <v>227</v>
      </c>
      <c r="M2986" t="s">
        <v>24</v>
      </c>
      <c r="N2986" t="s">
        <v>35</v>
      </c>
      <c r="O2986" t="s">
        <v>26</v>
      </c>
      <c r="P2986" t="s">
        <v>27</v>
      </c>
      <c r="Q2986" t="s">
        <v>28</v>
      </c>
      <c r="R2986" t="s">
        <v>29</v>
      </c>
      <c r="S2986" t="s">
        <v>30</v>
      </c>
      <c r="T2986">
        <v>1015428862</v>
      </c>
      <c r="U2986" t="s">
        <v>3965</v>
      </c>
      <c r="V2986" t="s">
        <v>3934</v>
      </c>
      <c r="W2986" s="9">
        <f>IF(V2986="pregrado",31,
IF(V2986="posgrados",31,
IF(V2986="rEINTEGROS",7,
IF(V2986="BIT",90,
IF(V2986="OP GRADO - INGLÉS",17,"")))))</f>
        <v>31</v>
      </c>
      <c r="X2986" t="s">
        <v>4048</v>
      </c>
    </row>
    <row r="2987" spans="1:24" ht="15" x14ac:dyDescent="0.35">
      <c r="A2987" s="4">
        <v>46073.449560185189</v>
      </c>
      <c r="B2987">
        <v>20125173</v>
      </c>
      <c r="C2987" s="6" t="s">
        <v>19</v>
      </c>
      <c r="D2987">
        <v>594218</v>
      </c>
      <c r="E2987" t="s">
        <v>20</v>
      </c>
      <c r="F2987">
        <v>1006165974</v>
      </c>
      <c r="G2987" t="s">
        <v>3462</v>
      </c>
      <c r="H2987">
        <v>100239866</v>
      </c>
      <c r="I2987">
        <v>202611</v>
      </c>
      <c r="J2987">
        <v>1006165974</v>
      </c>
      <c r="K2987" t="s">
        <v>33</v>
      </c>
      <c r="L2987" t="s">
        <v>204</v>
      </c>
      <c r="M2987" t="s">
        <v>24</v>
      </c>
      <c r="N2987" t="s">
        <v>25</v>
      </c>
      <c r="O2987" t="s">
        <v>26</v>
      </c>
      <c r="P2987" t="s">
        <v>27</v>
      </c>
      <c r="Q2987" t="s">
        <v>28</v>
      </c>
      <c r="R2987" t="s">
        <v>29</v>
      </c>
      <c r="S2987" t="s">
        <v>30</v>
      </c>
      <c r="T2987">
        <v>53178431</v>
      </c>
      <c r="U2987" t="s">
        <v>3941</v>
      </c>
      <c r="V2987" t="s">
        <v>3934</v>
      </c>
      <c r="W2987" s="9">
        <f>IF(V2987="pregrado",31,
IF(V2987="posgrados",31,
IF(V2987="rEINTEGROS",7,
IF(V2987="BIT",90,
IF(V2987="OP GRADO - INGLÉS",17,"")))))</f>
        <v>31</v>
      </c>
      <c r="X2987" t="s">
        <v>3949</v>
      </c>
    </row>
    <row r="2988" spans="1:24" ht="15" x14ac:dyDescent="0.35">
      <c r="A2988" s="4">
        <v>46021.676712962966</v>
      </c>
      <c r="B2988">
        <v>20110456</v>
      </c>
      <c r="C2988" s="6" t="s">
        <v>19</v>
      </c>
      <c r="D2988">
        <v>594230</v>
      </c>
      <c r="E2988" t="s">
        <v>20</v>
      </c>
      <c r="F2988">
        <v>1022421612</v>
      </c>
      <c r="G2988" t="s">
        <v>1419</v>
      </c>
      <c r="H2988">
        <v>100131262</v>
      </c>
      <c r="I2988">
        <v>202611</v>
      </c>
      <c r="J2988">
        <v>1022421612</v>
      </c>
      <c r="K2988" t="s">
        <v>89</v>
      </c>
      <c r="L2988" t="s">
        <v>133</v>
      </c>
      <c r="M2988" t="s">
        <v>24</v>
      </c>
      <c r="N2988" t="s">
        <v>35</v>
      </c>
      <c r="O2988" t="s">
        <v>26</v>
      </c>
      <c r="P2988" t="s">
        <v>27</v>
      </c>
      <c r="Q2988" t="s">
        <v>28</v>
      </c>
      <c r="R2988" t="s">
        <v>29</v>
      </c>
      <c r="S2988" t="s">
        <v>30</v>
      </c>
      <c r="T2988">
        <v>1016110979</v>
      </c>
      <c r="U2988" t="s">
        <v>3977</v>
      </c>
      <c r="V2988" t="s">
        <v>3970</v>
      </c>
      <c r="W2988" s="9">
        <f>IF(V2988="pregrado",31,
IF(V2988="posgrados",31,
IF(V2988="rEINTEGROS",7,
IF(V2988="BIT",90,
IF(V2988="OP GRADO - INGLÉS",17,"")))))</f>
        <v>7</v>
      </c>
      <c r="X2988" t="s">
        <v>4051</v>
      </c>
    </row>
    <row r="2989" spans="1:24" ht="15" x14ac:dyDescent="0.35">
      <c r="A2989" s="4">
        <v>46020.476967592593</v>
      </c>
      <c r="B2989">
        <v>20110069</v>
      </c>
      <c r="C2989" s="6" t="s">
        <v>19</v>
      </c>
      <c r="D2989">
        <v>594237</v>
      </c>
      <c r="E2989" t="s">
        <v>20</v>
      </c>
      <c r="F2989">
        <v>1066865014</v>
      </c>
      <c r="G2989" t="s">
        <v>1359</v>
      </c>
      <c r="H2989">
        <v>200075695</v>
      </c>
      <c r="I2989">
        <v>202631</v>
      </c>
      <c r="J2989">
        <v>1066865014</v>
      </c>
      <c r="K2989" t="s">
        <v>33</v>
      </c>
      <c r="L2989" t="s">
        <v>22</v>
      </c>
      <c r="M2989" t="s">
        <v>24</v>
      </c>
      <c r="N2989" t="s">
        <v>25</v>
      </c>
      <c r="O2989" t="s">
        <v>26</v>
      </c>
      <c r="P2989" t="s">
        <v>27</v>
      </c>
      <c r="Q2989" t="s">
        <v>28</v>
      </c>
      <c r="R2989" t="s">
        <v>29</v>
      </c>
      <c r="S2989" t="s">
        <v>30</v>
      </c>
      <c r="T2989">
        <v>1070815435</v>
      </c>
      <c r="U2989" t="s">
        <v>3986</v>
      </c>
      <c r="V2989" t="s">
        <v>3934</v>
      </c>
      <c r="W2989" s="9">
        <f>IF(V2989="pregrado",31,
IF(V2989="posgrados",31,
IF(V2989="rEINTEGROS",7,
IF(V2989="BIT",90,
IF(V2989="OP GRADO - INGLÉS",17,"")))))</f>
        <v>31</v>
      </c>
      <c r="X2989" t="s">
        <v>4038</v>
      </c>
    </row>
    <row r="2990" spans="1:24" ht="15" x14ac:dyDescent="0.35">
      <c r="A2990" s="4">
        <v>46021.690138888887</v>
      </c>
      <c r="B2990">
        <v>20110471</v>
      </c>
      <c r="C2990" s="6" t="s">
        <v>19</v>
      </c>
      <c r="D2990">
        <v>594570</v>
      </c>
      <c r="E2990" t="s">
        <v>20</v>
      </c>
      <c r="F2990">
        <v>1030560540</v>
      </c>
      <c r="G2990" t="s">
        <v>1421</v>
      </c>
      <c r="H2990">
        <v>100144691</v>
      </c>
      <c r="I2990">
        <v>202611</v>
      </c>
      <c r="J2990">
        <v>1030560540</v>
      </c>
      <c r="K2990" t="s">
        <v>89</v>
      </c>
      <c r="L2990" t="s">
        <v>204</v>
      </c>
      <c r="M2990" t="s">
        <v>24</v>
      </c>
      <c r="N2990" t="s">
        <v>38</v>
      </c>
      <c r="O2990" t="s">
        <v>26</v>
      </c>
      <c r="P2990" t="s">
        <v>27</v>
      </c>
      <c r="Q2990" t="s">
        <v>28</v>
      </c>
      <c r="R2990" t="s">
        <v>29</v>
      </c>
      <c r="S2990" t="s">
        <v>30</v>
      </c>
      <c r="T2990">
        <v>1000934874</v>
      </c>
      <c r="U2990" t="s">
        <v>3977</v>
      </c>
      <c r="V2990" t="s">
        <v>3970</v>
      </c>
      <c r="W2990" s="9">
        <f>IF(V2990="pregrado",31,
IF(V2990="posgrados",31,
IF(V2990="rEINTEGROS",7,
IF(V2990="BIT",90,
IF(V2990="OP GRADO - INGLÉS",17,"")))))</f>
        <v>7</v>
      </c>
      <c r="X2990" t="s">
        <v>3999</v>
      </c>
    </row>
    <row r="2991" spans="1:24" ht="15" x14ac:dyDescent="0.35">
      <c r="A2991" s="4">
        <v>46021.412858796299</v>
      </c>
      <c r="B2991">
        <v>20110288</v>
      </c>
      <c r="C2991" s="6" t="s">
        <v>19</v>
      </c>
      <c r="D2991">
        <v>594787</v>
      </c>
      <c r="E2991" t="s">
        <v>20</v>
      </c>
      <c r="F2991">
        <v>1019047344</v>
      </c>
      <c r="G2991" t="s">
        <v>1393</v>
      </c>
      <c r="H2991">
        <v>100198134</v>
      </c>
      <c r="I2991">
        <v>202611</v>
      </c>
      <c r="J2991">
        <v>1019047344</v>
      </c>
      <c r="K2991" t="s">
        <v>89</v>
      </c>
      <c r="L2991" t="s">
        <v>204</v>
      </c>
      <c r="M2991" t="s">
        <v>24</v>
      </c>
      <c r="N2991" t="s">
        <v>35</v>
      </c>
      <c r="O2991" t="s">
        <v>26</v>
      </c>
      <c r="P2991" t="s">
        <v>27</v>
      </c>
      <c r="Q2991" t="s">
        <v>28</v>
      </c>
      <c r="R2991" t="s">
        <v>29</v>
      </c>
      <c r="S2991" t="s">
        <v>30</v>
      </c>
      <c r="T2991">
        <v>1000934874</v>
      </c>
      <c r="U2991" t="s">
        <v>3977</v>
      </c>
      <c r="V2991" t="s">
        <v>3970</v>
      </c>
      <c r="W2991" s="9">
        <f>IF(V2991="pregrado",31,
IF(V2991="posgrados",31,
IF(V2991="rEINTEGROS",7,
IF(V2991="BIT",90,
IF(V2991="OP GRADO - INGLÉS",17,"")))))</f>
        <v>7</v>
      </c>
      <c r="X2991" t="s">
        <v>3999</v>
      </c>
    </row>
    <row r="2992" spans="1:24" ht="15" x14ac:dyDescent="0.35">
      <c r="A2992" s="4">
        <v>46050.673506944448</v>
      </c>
      <c r="B2992">
        <v>20118116</v>
      </c>
      <c r="C2992" s="6" t="s">
        <v>19</v>
      </c>
      <c r="D2992">
        <v>595206</v>
      </c>
      <c r="E2992" t="s">
        <v>20</v>
      </c>
      <c r="F2992">
        <v>1042435822</v>
      </c>
      <c r="G2992" t="s">
        <v>2428</v>
      </c>
      <c r="H2992">
        <v>100175132</v>
      </c>
      <c r="I2992">
        <v>202631</v>
      </c>
      <c r="J2992">
        <v>1042435822</v>
      </c>
      <c r="K2992" t="s">
        <v>89</v>
      </c>
      <c r="L2992" t="s">
        <v>119</v>
      </c>
      <c r="M2992" t="s">
        <v>24</v>
      </c>
      <c r="N2992" t="s">
        <v>35</v>
      </c>
      <c r="O2992" t="s">
        <v>26</v>
      </c>
      <c r="P2992" t="s">
        <v>27</v>
      </c>
      <c r="Q2992" t="s">
        <v>28</v>
      </c>
      <c r="R2992" t="s">
        <v>29</v>
      </c>
      <c r="S2992" t="s">
        <v>30</v>
      </c>
      <c r="T2992">
        <v>1019102787</v>
      </c>
      <c r="U2992" t="s">
        <v>3977</v>
      </c>
      <c r="V2992" t="s">
        <v>3970</v>
      </c>
      <c r="W2992" s="9">
        <f>IF(V2992="pregrado",31,
IF(V2992="posgrados",31,
IF(V2992="rEINTEGROS",7,
IF(V2992="BIT",90,
IF(V2992="OP GRADO - INGLÉS",17,"")))))</f>
        <v>7</v>
      </c>
      <c r="X2992" t="s">
        <v>3976</v>
      </c>
    </row>
    <row r="2993" spans="1:24" ht="15" x14ac:dyDescent="0.35">
      <c r="A2993" s="4">
        <v>46084.630694444444</v>
      </c>
      <c r="B2993">
        <v>20127461</v>
      </c>
      <c r="C2993" s="6" t="s">
        <v>19</v>
      </c>
      <c r="D2993">
        <v>595361</v>
      </c>
      <c r="E2993" t="s">
        <v>20</v>
      </c>
      <c r="F2993">
        <v>1003375089</v>
      </c>
      <c r="G2993" t="s">
        <v>3797</v>
      </c>
      <c r="H2993">
        <v>100108350</v>
      </c>
      <c r="I2993">
        <v>202631</v>
      </c>
      <c r="J2993">
        <v>1003375089</v>
      </c>
      <c r="K2993" t="s">
        <v>89</v>
      </c>
      <c r="L2993" t="s">
        <v>77</v>
      </c>
      <c r="M2993" t="s">
        <v>24</v>
      </c>
      <c r="N2993" t="s">
        <v>35</v>
      </c>
      <c r="O2993" t="s">
        <v>26</v>
      </c>
      <c r="P2993" t="s">
        <v>27</v>
      </c>
      <c r="Q2993" t="s">
        <v>28</v>
      </c>
      <c r="R2993" t="s">
        <v>29</v>
      </c>
      <c r="S2993" t="s">
        <v>30</v>
      </c>
      <c r="T2993">
        <v>52168054</v>
      </c>
      <c r="U2993" t="s">
        <v>3977</v>
      </c>
      <c r="V2993" t="s">
        <v>3970</v>
      </c>
      <c r="W2993" s="9">
        <f>IF(V2993="pregrado",31,
IF(V2993="posgrados",31,
IF(V2993="rEINTEGROS",7,
IF(V2993="BIT",90,
IF(V2993="OP GRADO - INGLÉS",17,"")))))</f>
        <v>7</v>
      </c>
      <c r="X2993" t="s">
        <v>4057</v>
      </c>
    </row>
    <row r="2994" spans="1:24" ht="15" x14ac:dyDescent="0.35">
      <c r="A2994" s="4">
        <v>46037.480011574073</v>
      </c>
      <c r="B2994">
        <v>20113527</v>
      </c>
      <c r="C2994" s="6" t="s">
        <v>19</v>
      </c>
      <c r="D2994">
        <v>596049</v>
      </c>
      <c r="E2994" t="s">
        <v>20</v>
      </c>
      <c r="F2994">
        <v>1118569691</v>
      </c>
      <c r="G2994" t="s">
        <v>1827</v>
      </c>
      <c r="H2994">
        <v>100092366</v>
      </c>
      <c r="I2994">
        <v>202611</v>
      </c>
      <c r="J2994">
        <v>1022983373</v>
      </c>
      <c r="K2994" t="s">
        <v>89</v>
      </c>
      <c r="L2994" t="s">
        <v>133</v>
      </c>
      <c r="M2994" t="s">
        <v>24</v>
      </c>
      <c r="N2994" t="s">
        <v>25</v>
      </c>
      <c r="O2994" t="s">
        <v>26</v>
      </c>
      <c r="P2994" t="s">
        <v>27</v>
      </c>
      <c r="Q2994" t="s">
        <v>28</v>
      </c>
      <c r="R2994" t="s">
        <v>29</v>
      </c>
      <c r="S2994" t="s">
        <v>30</v>
      </c>
      <c r="T2994">
        <v>1023899450</v>
      </c>
      <c r="U2994" t="s">
        <v>3977</v>
      </c>
      <c r="V2994" t="s">
        <v>3970</v>
      </c>
      <c r="W2994" s="9">
        <f>IF(V2994="pregrado",31,
IF(V2994="posgrados",31,
IF(V2994="rEINTEGROS",7,
IF(V2994="BIT",90,
IF(V2994="OP GRADO - INGLÉS",17,"")))))</f>
        <v>7</v>
      </c>
      <c r="X2994" t="s">
        <v>3969</v>
      </c>
    </row>
    <row r="2995" spans="1:24" ht="15" x14ac:dyDescent="0.35">
      <c r="A2995" s="4">
        <v>46020.695509259262</v>
      </c>
      <c r="B2995">
        <v>20110175</v>
      </c>
      <c r="C2995" s="6" t="s">
        <v>19</v>
      </c>
      <c r="D2995">
        <v>600435</v>
      </c>
      <c r="E2995" t="s">
        <v>20</v>
      </c>
      <c r="F2995">
        <v>1120364917</v>
      </c>
      <c r="G2995" t="s">
        <v>1378</v>
      </c>
      <c r="H2995">
        <v>100235605</v>
      </c>
      <c r="I2995">
        <v>202631</v>
      </c>
      <c r="J2995">
        <v>1120364917</v>
      </c>
      <c r="K2995" t="s">
        <v>23</v>
      </c>
      <c r="L2995" t="s">
        <v>119</v>
      </c>
      <c r="M2995" t="s">
        <v>24</v>
      </c>
      <c r="N2995" t="s">
        <v>35</v>
      </c>
      <c r="O2995" t="s">
        <v>26</v>
      </c>
      <c r="P2995" t="s">
        <v>27</v>
      </c>
      <c r="Q2995" t="s">
        <v>28</v>
      </c>
      <c r="R2995" t="s">
        <v>29</v>
      </c>
      <c r="S2995" t="s">
        <v>30</v>
      </c>
      <c r="T2995">
        <v>1015428862</v>
      </c>
      <c r="U2995" t="s">
        <v>3965</v>
      </c>
      <c r="V2995" t="s">
        <v>3934</v>
      </c>
      <c r="W2995" s="9">
        <f>IF(V2995="pregrado",31,
IF(V2995="posgrados",31,
IF(V2995="rEINTEGROS",7,
IF(V2995="BIT",90,
IF(V2995="OP GRADO - INGLÉS",17,"")))))</f>
        <v>31</v>
      </c>
      <c r="X2995" t="s">
        <v>4048</v>
      </c>
    </row>
    <row r="2996" spans="1:24" ht="15" x14ac:dyDescent="0.35">
      <c r="A2996" s="4">
        <v>46028.427546296298</v>
      </c>
      <c r="B2996">
        <v>20111125</v>
      </c>
      <c r="C2996" s="6" t="s">
        <v>19</v>
      </c>
      <c r="D2996">
        <v>600446</v>
      </c>
      <c r="E2996" t="s">
        <v>20</v>
      </c>
      <c r="F2996">
        <v>1012348770</v>
      </c>
      <c r="G2996" t="s">
        <v>1508</v>
      </c>
      <c r="H2996">
        <v>100239901</v>
      </c>
      <c r="I2996">
        <v>202611</v>
      </c>
      <c r="J2996">
        <v>1012348770</v>
      </c>
      <c r="K2996" t="s">
        <v>23</v>
      </c>
      <c r="L2996" t="s">
        <v>227</v>
      </c>
      <c r="M2996" t="s">
        <v>24</v>
      </c>
      <c r="N2996" t="s">
        <v>25</v>
      </c>
      <c r="O2996" t="s">
        <v>26</v>
      </c>
      <c r="P2996" t="s">
        <v>27</v>
      </c>
      <c r="Q2996" t="s">
        <v>28</v>
      </c>
      <c r="R2996" t="s">
        <v>29</v>
      </c>
      <c r="S2996" t="s">
        <v>30</v>
      </c>
      <c r="T2996">
        <v>1013595695</v>
      </c>
      <c r="U2996" t="s">
        <v>3933</v>
      </c>
      <c r="V2996" t="s">
        <v>3934</v>
      </c>
      <c r="W2996" s="9">
        <f>IF(V2996="pregrado",31,
IF(V2996="posgrados",31,
IF(V2996="rEINTEGROS",7,
IF(V2996="BIT",90,
IF(V2996="OP GRADO - INGLÉS",17,"")))))</f>
        <v>31</v>
      </c>
      <c r="X2996" t="s">
        <v>3990</v>
      </c>
    </row>
    <row r="2997" spans="1:24" ht="15" x14ac:dyDescent="0.35">
      <c r="A2997" s="4">
        <v>46017.494641203702</v>
      </c>
      <c r="B2997">
        <v>20109844</v>
      </c>
      <c r="C2997" s="6" t="s">
        <v>19</v>
      </c>
      <c r="D2997">
        <v>600447</v>
      </c>
      <c r="E2997" t="s">
        <v>20</v>
      </c>
      <c r="F2997">
        <v>1077082639</v>
      </c>
      <c r="G2997" t="s">
        <v>1321</v>
      </c>
      <c r="H2997">
        <v>100239898</v>
      </c>
      <c r="I2997">
        <v>202631</v>
      </c>
      <c r="J2997">
        <v>1077082639</v>
      </c>
      <c r="K2997" t="s">
        <v>33</v>
      </c>
      <c r="L2997" t="s">
        <v>127</v>
      </c>
      <c r="M2997" t="s">
        <v>24</v>
      </c>
      <c r="N2997" t="s">
        <v>25</v>
      </c>
      <c r="O2997" t="s">
        <v>26</v>
      </c>
      <c r="P2997" t="s">
        <v>27</v>
      </c>
      <c r="Q2997" t="s">
        <v>28</v>
      </c>
      <c r="R2997" t="s">
        <v>29</v>
      </c>
      <c r="S2997" t="s">
        <v>30</v>
      </c>
      <c r="T2997">
        <v>1001277801</v>
      </c>
      <c r="U2997" t="s">
        <v>3965</v>
      </c>
      <c r="V2997" t="s">
        <v>3934</v>
      </c>
      <c r="W2997" s="9">
        <f>IF(V2997="pregrado",31,
IF(V2997="posgrados",31,
IF(V2997="rEINTEGROS",7,
IF(V2997="BIT",90,
IF(V2997="OP GRADO - INGLÉS",17,"")))))</f>
        <v>31</v>
      </c>
      <c r="X2997" t="s">
        <v>4002</v>
      </c>
    </row>
    <row r="2998" spans="1:24" ht="15" x14ac:dyDescent="0.35">
      <c r="A2998" s="4">
        <v>46057.534409722219</v>
      </c>
      <c r="B2998">
        <v>20120438</v>
      </c>
      <c r="C2998" s="6" t="s">
        <v>19</v>
      </c>
      <c r="D2998">
        <v>600451</v>
      </c>
      <c r="E2998" t="s">
        <v>20</v>
      </c>
      <c r="F2998">
        <v>1024579126</v>
      </c>
      <c r="G2998" t="s">
        <v>2745</v>
      </c>
      <c r="H2998">
        <v>100239905</v>
      </c>
      <c r="I2998">
        <v>202610</v>
      </c>
      <c r="J2998">
        <v>1000625117</v>
      </c>
      <c r="K2998" t="s">
        <v>74</v>
      </c>
      <c r="L2998" t="s">
        <v>37</v>
      </c>
      <c r="M2998" t="s">
        <v>24</v>
      </c>
      <c r="N2998" t="s">
        <v>35</v>
      </c>
      <c r="O2998" t="s">
        <v>26</v>
      </c>
      <c r="P2998" t="s">
        <v>27</v>
      </c>
      <c r="Q2998" t="s">
        <v>28</v>
      </c>
      <c r="R2998" t="s">
        <v>29</v>
      </c>
      <c r="S2998" t="s">
        <v>30</v>
      </c>
      <c r="T2998">
        <v>53178431</v>
      </c>
      <c r="U2998" t="s">
        <v>3941</v>
      </c>
      <c r="V2998" t="s">
        <v>3934</v>
      </c>
      <c r="W2998" s="9">
        <f>IF(V2998="pregrado",31,
IF(V2998="posgrados",31,
IF(V2998="rEINTEGROS",7,
IF(V2998="BIT",90,
IF(V2998="OP GRADO - INGLÉS",17,"")))))</f>
        <v>31</v>
      </c>
      <c r="X2998" t="s">
        <v>3949</v>
      </c>
    </row>
    <row r="2999" spans="1:24" ht="15" x14ac:dyDescent="0.35">
      <c r="A2999" s="4">
        <v>46051.465173611112</v>
      </c>
      <c r="B2999">
        <v>20118418</v>
      </c>
      <c r="C2999" s="6" t="s">
        <v>19</v>
      </c>
      <c r="D2999">
        <v>600458</v>
      </c>
      <c r="E2999" t="s">
        <v>20</v>
      </c>
      <c r="F2999">
        <v>4825440</v>
      </c>
      <c r="G2999" t="s">
        <v>2473</v>
      </c>
      <c r="H2999">
        <v>100239913</v>
      </c>
      <c r="I2999">
        <v>202631</v>
      </c>
      <c r="J2999">
        <v>1077998848</v>
      </c>
      <c r="K2999" t="s">
        <v>33</v>
      </c>
      <c r="L2999" t="s">
        <v>370</v>
      </c>
      <c r="M2999" t="s">
        <v>24</v>
      </c>
      <c r="N2999" t="s">
        <v>35</v>
      </c>
      <c r="O2999" t="s">
        <v>26</v>
      </c>
      <c r="P2999" t="s">
        <v>27</v>
      </c>
      <c r="Q2999" t="s">
        <v>28</v>
      </c>
      <c r="R2999" t="s">
        <v>29</v>
      </c>
      <c r="S2999" t="s">
        <v>30</v>
      </c>
      <c r="T2999">
        <v>1023367706</v>
      </c>
      <c r="U2999" t="s">
        <v>3963</v>
      </c>
      <c r="V2999" t="s">
        <v>3934</v>
      </c>
      <c r="W2999" s="9">
        <f>IF(V2999="pregrado",31,
IF(V2999="posgrados",31,
IF(V2999="rEINTEGROS",7,
IF(V2999="BIT",90,
IF(V2999="OP GRADO - INGLÉS",17,"")))))</f>
        <v>31</v>
      </c>
      <c r="X2999" t="s">
        <v>4039</v>
      </c>
    </row>
    <row r="3000" spans="1:24" ht="15" x14ac:dyDescent="0.35">
      <c r="A3000" s="4">
        <v>46017.684374999997</v>
      </c>
      <c r="B3000">
        <v>20109912</v>
      </c>
      <c r="C3000" s="6" t="s">
        <v>19</v>
      </c>
      <c r="D3000">
        <v>600462</v>
      </c>
      <c r="E3000" t="s">
        <v>20</v>
      </c>
      <c r="F3000">
        <v>1122398998</v>
      </c>
      <c r="G3000" t="s">
        <v>1338</v>
      </c>
      <c r="H3000">
        <v>100239916</v>
      </c>
      <c r="I3000">
        <v>202631</v>
      </c>
      <c r="J3000">
        <v>1122398998</v>
      </c>
      <c r="K3000" t="s">
        <v>33</v>
      </c>
      <c r="L3000" t="s">
        <v>370</v>
      </c>
      <c r="M3000" t="s">
        <v>24</v>
      </c>
      <c r="N3000" t="s">
        <v>35</v>
      </c>
      <c r="O3000" t="s">
        <v>26</v>
      </c>
      <c r="P3000" t="s">
        <v>27</v>
      </c>
      <c r="Q3000" t="s">
        <v>28</v>
      </c>
      <c r="R3000" t="s">
        <v>29</v>
      </c>
      <c r="S3000" t="s">
        <v>30</v>
      </c>
      <c r="T3000">
        <v>1023367706</v>
      </c>
      <c r="U3000" t="s">
        <v>3963</v>
      </c>
      <c r="V3000" t="s">
        <v>3934</v>
      </c>
      <c r="W3000" s="9">
        <f>IF(V3000="pregrado",31,
IF(V3000="posgrados",31,
IF(V3000="rEINTEGROS",7,
IF(V3000="BIT",90,
IF(V3000="OP GRADO - INGLÉS",17,"")))))</f>
        <v>31</v>
      </c>
      <c r="X3000" t="s">
        <v>4039</v>
      </c>
    </row>
    <row r="3001" spans="1:24" ht="15" x14ac:dyDescent="0.35">
      <c r="A3001" s="4">
        <v>46020.523414351854</v>
      </c>
      <c r="B3001">
        <v>20110091</v>
      </c>
      <c r="C3001" s="6" t="s">
        <v>19</v>
      </c>
      <c r="D3001">
        <v>600466</v>
      </c>
      <c r="E3001" t="s">
        <v>20</v>
      </c>
      <c r="F3001">
        <v>1040514330</v>
      </c>
      <c r="G3001" t="s">
        <v>1364</v>
      </c>
      <c r="H3001">
        <v>100239921</v>
      </c>
      <c r="I3001">
        <v>202631</v>
      </c>
      <c r="J3001">
        <v>1040514330</v>
      </c>
      <c r="K3001" t="s">
        <v>33</v>
      </c>
      <c r="L3001" t="s">
        <v>207</v>
      </c>
      <c r="M3001" t="s">
        <v>24</v>
      </c>
      <c r="N3001" t="s">
        <v>25</v>
      </c>
      <c r="O3001" t="s">
        <v>26</v>
      </c>
      <c r="P3001" t="s">
        <v>27</v>
      </c>
      <c r="Q3001" t="s">
        <v>28</v>
      </c>
      <c r="R3001" t="s">
        <v>29</v>
      </c>
      <c r="S3001" t="s">
        <v>30</v>
      </c>
      <c r="T3001">
        <v>1070815435</v>
      </c>
      <c r="U3001" t="s">
        <v>3986</v>
      </c>
      <c r="V3001" t="s">
        <v>3934</v>
      </c>
      <c r="W3001" s="9">
        <f>IF(V3001="pregrado",31,
IF(V3001="posgrados",31,
IF(V3001="rEINTEGROS",7,
IF(V3001="BIT",90,
IF(V3001="OP GRADO - INGLÉS",17,"")))))</f>
        <v>31</v>
      </c>
      <c r="X3001" t="s">
        <v>4038</v>
      </c>
    </row>
    <row r="3002" spans="1:24" ht="15" x14ac:dyDescent="0.35">
      <c r="A3002" s="4">
        <v>46018.424062500002</v>
      </c>
      <c r="B3002">
        <v>20109966</v>
      </c>
      <c r="C3002" s="6" t="s">
        <v>19</v>
      </c>
      <c r="D3002">
        <v>600470</v>
      </c>
      <c r="E3002" t="s">
        <v>20</v>
      </c>
      <c r="F3002">
        <v>1001271420</v>
      </c>
      <c r="G3002" t="s">
        <v>1345</v>
      </c>
      <c r="H3002">
        <v>100239927</v>
      </c>
      <c r="I3002">
        <v>202611</v>
      </c>
      <c r="J3002">
        <v>1001271420</v>
      </c>
      <c r="K3002" t="s">
        <v>23</v>
      </c>
      <c r="L3002" t="s">
        <v>221</v>
      </c>
      <c r="M3002" t="s">
        <v>24</v>
      </c>
      <c r="N3002" t="s">
        <v>35</v>
      </c>
      <c r="O3002" t="s">
        <v>26</v>
      </c>
      <c r="P3002" t="s">
        <v>27</v>
      </c>
      <c r="Q3002" t="s">
        <v>28</v>
      </c>
      <c r="R3002" t="s">
        <v>29</v>
      </c>
      <c r="S3002" t="s">
        <v>30</v>
      </c>
      <c r="T3002">
        <v>1006023129</v>
      </c>
      <c r="U3002" t="s">
        <v>3944</v>
      </c>
      <c r="V3002" t="s">
        <v>3934</v>
      </c>
      <c r="W3002" s="9">
        <f>IF(V3002="pregrado",31,
IF(V3002="posgrados",31,
IF(V3002="rEINTEGROS",7,
IF(V3002="BIT",90,
IF(V3002="OP GRADO - INGLÉS",17,"")))))</f>
        <v>31</v>
      </c>
      <c r="X3002" t="s">
        <v>3982</v>
      </c>
    </row>
    <row r="3003" spans="1:24" ht="15" x14ac:dyDescent="0.35">
      <c r="A3003" s="4">
        <v>46052.431342592594</v>
      </c>
      <c r="B3003">
        <v>20118821</v>
      </c>
      <c r="C3003" s="6" t="s">
        <v>19</v>
      </c>
      <c r="D3003">
        <v>600472</v>
      </c>
      <c r="E3003" t="s">
        <v>20</v>
      </c>
      <c r="F3003">
        <v>64721571</v>
      </c>
      <c r="G3003" t="s">
        <v>2543</v>
      </c>
      <c r="H3003">
        <v>100236687</v>
      </c>
      <c r="I3003">
        <v>202631</v>
      </c>
      <c r="J3003">
        <v>1104259587</v>
      </c>
      <c r="K3003" t="s">
        <v>33</v>
      </c>
      <c r="L3003" t="s">
        <v>370</v>
      </c>
      <c r="M3003" t="s">
        <v>24</v>
      </c>
      <c r="N3003" t="s">
        <v>35</v>
      </c>
      <c r="O3003" t="s">
        <v>26</v>
      </c>
      <c r="P3003" t="s">
        <v>27</v>
      </c>
      <c r="Q3003" t="s">
        <v>28</v>
      </c>
      <c r="R3003" t="s">
        <v>29</v>
      </c>
      <c r="S3003" t="s">
        <v>30</v>
      </c>
      <c r="T3003">
        <v>39658730</v>
      </c>
      <c r="U3003" t="s">
        <v>3963</v>
      </c>
      <c r="V3003" t="s">
        <v>3934</v>
      </c>
      <c r="W3003" s="9">
        <f>IF(V3003="pregrado",31,
IF(V3003="posgrados",31,
IF(V3003="rEINTEGROS",7,
IF(V3003="BIT",90,
IF(V3003="OP GRADO - INGLÉS",17,"")))))</f>
        <v>31</v>
      </c>
      <c r="X3003" t="s">
        <v>4003</v>
      </c>
    </row>
    <row r="3004" spans="1:24" ht="15" x14ac:dyDescent="0.35">
      <c r="A3004" s="4">
        <v>46018.372662037036</v>
      </c>
      <c r="B3004">
        <v>20109963</v>
      </c>
      <c r="C3004" s="6" t="s">
        <v>19</v>
      </c>
      <c r="D3004">
        <v>600474</v>
      </c>
      <c r="E3004" t="s">
        <v>20</v>
      </c>
      <c r="F3004">
        <v>56052221</v>
      </c>
      <c r="G3004" t="s">
        <v>1344</v>
      </c>
      <c r="H3004">
        <v>100239932</v>
      </c>
      <c r="I3004">
        <v>202611</v>
      </c>
      <c r="J3004">
        <v>1029862388</v>
      </c>
      <c r="K3004" t="s">
        <v>23</v>
      </c>
      <c r="L3004" t="s">
        <v>221</v>
      </c>
      <c r="M3004" t="s">
        <v>24</v>
      </c>
      <c r="N3004" t="s">
        <v>35</v>
      </c>
      <c r="O3004" t="s">
        <v>26</v>
      </c>
      <c r="P3004" t="s">
        <v>27</v>
      </c>
      <c r="Q3004" t="s">
        <v>28</v>
      </c>
      <c r="R3004" t="s">
        <v>29</v>
      </c>
      <c r="S3004" t="s">
        <v>30</v>
      </c>
      <c r="T3004">
        <v>1006023129</v>
      </c>
      <c r="U3004" t="s">
        <v>3944</v>
      </c>
      <c r="V3004" t="s">
        <v>3934</v>
      </c>
      <c r="W3004" s="9">
        <f>IF(V3004="pregrado",31,
IF(V3004="posgrados",31,
IF(V3004="rEINTEGROS",7,
IF(V3004="BIT",90,
IF(V3004="OP GRADO - INGLÉS",17,"")))))</f>
        <v>31</v>
      </c>
      <c r="X3004" t="s">
        <v>3982</v>
      </c>
    </row>
    <row r="3005" spans="1:24" ht="15" x14ac:dyDescent="0.35">
      <c r="A3005" s="4">
        <v>46018.853668981479</v>
      </c>
      <c r="B3005">
        <v>20109992</v>
      </c>
      <c r="C3005" s="6" t="s">
        <v>19</v>
      </c>
      <c r="D3005">
        <v>600479</v>
      </c>
      <c r="E3005" t="s">
        <v>20</v>
      </c>
      <c r="F3005">
        <v>1031645508</v>
      </c>
      <c r="G3005" t="s">
        <v>1347</v>
      </c>
      <c r="H3005">
        <v>200062212</v>
      </c>
      <c r="I3005">
        <v>202631</v>
      </c>
      <c r="J3005">
        <v>1031645508</v>
      </c>
      <c r="K3005" t="s">
        <v>23</v>
      </c>
      <c r="L3005" t="s">
        <v>22</v>
      </c>
      <c r="M3005" t="s">
        <v>24</v>
      </c>
      <c r="N3005" t="s">
        <v>35</v>
      </c>
      <c r="O3005" t="s">
        <v>26</v>
      </c>
      <c r="P3005" t="s">
        <v>27</v>
      </c>
      <c r="Q3005" t="s">
        <v>28</v>
      </c>
      <c r="R3005" t="s">
        <v>29</v>
      </c>
      <c r="S3005" t="s">
        <v>30</v>
      </c>
      <c r="T3005">
        <v>1018496066</v>
      </c>
      <c r="U3005" t="s">
        <v>3939</v>
      </c>
      <c r="V3005" t="s">
        <v>3934</v>
      </c>
      <c r="W3005" s="9">
        <f>IF(V3005="pregrado",31,
IF(V3005="posgrados",31,
IF(V3005="rEINTEGROS",7,
IF(V3005="BIT",90,
IF(V3005="OP GRADO - INGLÉS",17,"")))))</f>
        <v>31</v>
      </c>
      <c r="X3005" t="s">
        <v>4006</v>
      </c>
    </row>
    <row r="3006" spans="1:24" ht="15" x14ac:dyDescent="0.35">
      <c r="A3006" s="4">
        <v>46029.495300925926</v>
      </c>
      <c r="B3006">
        <v>20111421</v>
      </c>
      <c r="C3006" s="6" t="s">
        <v>19</v>
      </c>
      <c r="D3006">
        <v>600481</v>
      </c>
      <c r="E3006" t="s">
        <v>20</v>
      </c>
      <c r="F3006">
        <v>1048216890</v>
      </c>
      <c r="G3006" t="s">
        <v>1555</v>
      </c>
      <c r="H3006">
        <v>100239940</v>
      </c>
      <c r="I3006">
        <v>202611</v>
      </c>
      <c r="J3006">
        <v>1048216890</v>
      </c>
      <c r="K3006" t="s">
        <v>23</v>
      </c>
      <c r="L3006" t="s">
        <v>221</v>
      </c>
      <c r="M3006" t="s">
        <v>24</v>
      </c>
      <c r="N3006" t="s">
        <v>35</v>
      </c>
      <c r="O3006" t="s">
        <v>26</v>
      </c>
      <c r="P3006" t="s">
        <v>27</v>
      </c>
      <c r="Q3006" t="s">
        <v>28</v>
      </c>
      <c r="R3006" t="s">
        <v>29</v>
      </c>
      <c r="S3006" t="s">
        <v>30</v>
      </c>
      <c r="T3006">
        <v>10006855461</v>
      </c>
      <c r="U3006" t="s">
        <v>3965</v>
      </c>
      <c r="V3006" t="s">
        <v>3934</v>
      </c>
      <c r="W3006" s="9">
        <f>IF(V3006="pregrado",31,
IF(V3006="posgrados",31,
IF(V3006="rEINTEGROS",7,
IF(V3006="BIT",90,
IF(V3006="OP GRADO - INGLÉS",17,"")))))</f>
        <v>31</v>
      </c>
      <c r="X3006" t="s">
        <v>3993</v>
      </c>
    </row>
    <row r="3007" spans="1:24" ht="15" x14ac:dyDescent="0.35">
      <c r="A3007" s="4">
        <v>46020.684907407405</v>
      </c>
      <c r="B3007">
        <v>20110167</v>
      </c>
      <c r="C3007" s="6" t="s">
        <v>19</v>
      </c>
      <c r="D3007">
        <v>600490</v>
      </c>
      <c r="E3007" t="s">
        <v>20</v>
      </c>
      <c r="F3007">
        <v>1070708887</v>
      </c>
      <c r="G3007" t="s">
        <v>1376</v>
      </c>
      <c r="H3007">
        <v>100239952</v>
      </c>
      <c r="I3007">
        <v>202631</v>
      </c>
      <c r="J3007">
        <v>1070708887</v>
      </c>
      <c r="K3007" t="s">
        <v>23</v>
      </c>
      <c r="L3007" t="s">
        <v>219</v>
      </c>
      <c r="M3007" t="s">
        <v>24</v>
      </c>
      <c r="N3007" t="s">
        <v>25</v>
      </c>
      <c r="O3007" t="s">
        <v>26</v>
      </c>
      <c r="P3007" t="s">
        <v>27</v>
      </c>
      <c r="Q3007" t="s">
        <v>28</v>
      </c>
      <c r="R3007" t="s">
        <v>29</v>
      </c>
      <c r="S3007" t="s">
        <v>30</v>
      </c>
      <c r="T3007">
        <v>53040709</v>
      </c>
      <c r="U3007" t="s">
        <v>3963</v>
      </c>
      <c r="V3007" t="s">
        <v>3934</v>
      </c>
      <c r="W3007" s="9">
        <f>IF(V3007="pregrado",31,
IF(V3007="posgrados",31,
IF(V3007="rEINTEGROS",7,
IF(V3007="BIT",90,
IF(V3007="OP GRADO - INGLÉS",17,"")))))</f>
        <v>31</v>
      </c>
      <c r="X3007" t="s">
        <v>3994</v>
      </c>
    </row>
    <row r="3008" spans="1:24" ht="15" x14ac:dyDescent="0.35">
      <c r="A3008" s="4">
        <v>46020.76766203704</v>
      </c>
      <c r="B3008">
        <v>20110212</v>
      </c>
      <c r="C3008" s="6" t="s">
        <v>19</v>
      </c>
      <c r="D3008">
        <v>600497</v>
      </c>
      <c r="E3008" t="s">
        <v>20</v>
      </c>
      <c r="F3008">
        <v>1042241790</v>
      </c>
      <c r="G3008" t="s">
        <v>1384</v>
      </c>
      <c r="H3008">
        <v>100239957</v>
      </c>
      <c r="I3008">
        <v>202631</v>
      </c>
      <c r="J3008">
        <v>1042241790</v>
      </c>
      <c r="K3008" t="s">
        <v>23</v>
      </c>
      <c r="L3008" t="s">
        <v>219</v>
      </c>
      <c r="M3008" t="s">
        <v>24</v>
      </c>
      <c r="N3008" t="s">
        <v>25</v>
      </c>
      <c r="O3008" t="s">
        <v>26</v>
      </c>
      <c r="P3008" t="s">
        <v>27</v>
      </c>
      <c r="Q3008" t="s">
        <v>28</v>
      </c>
      <c r="R3008" t="s">
        <v>29</v>
      </c>
      <c r="S3008" t="s">
        <v>30</v>
      </c>
      <c r="T3008">
        <v>53040709</v>
      </c>
      <c r="U3008" t="s">
        <v>3963</v>
      </c>
      <c r="V3008" t="s">
        <v>3934</v>
      </c>
      <c r="W3008" s="9">
        <f>IF(V3008="pregrado",31,
IF(V3008="posgrados",31,
IF(V3008="rEINTEGROS",7,
IF(V3008="BIT",90,
IF(V3008="OP GRADO - INGLÉS",17,"")))))</f>
        <v>31</v>
      </c>
      <c r="X3008" t="s">
        <v>3994</v>
      </c>
    </row>
    <row r="3009" spans="1:24" ht="15" x14ac:dyDescent="0.35">
      <c r="A3009" s="4">
        <v>46020.356087962966</v>
      </c>
      <c r="B3009">
        <v>20110008</v>
      </c>
      <c r="C3009" s="6" t="s">
        <v>19</v>
      </c>
      <c r="D3009">
        <v>600508</v>
      </c>
      <c r="E3009" t="s">
        <v>20</v>
      </c>
      <c r="F3009">
        <v>52967118</v>
      </c>
      <c r="G3009" t="s">
        <v>1351</v>
      </c>
      <c r="H3009">
        <v>100239969</v>
      </c>
      <c r="I3009">
        <v>202631</v>
      </c>
      <c r="J3009">
        <v>52967118</v>
      </c>
      <c r="K3009" t="s">
        <v>23</v>
      </c>
      <c r="L3009" t="s">
        <v>240</v>
      </c>
      <c r="M3009" t="s">
        <v>24</v>
      </c>
      <c r="N3009" t="s">
        <v>35</v>
      </c>
      <c r="O3009" t="s">
        <v>26</v>
      </c>
      <c r="P3009" t="s">
        <v>27</v>
      </c>
      <c r="Q3009" t="s">
        <v>28</v>
      </c>
      <c r="R3009" t="s">
        <v>29</v>
      </c>
      <c r="S3009" t="s">
        <v>30</v>
      </c>
      <c r="T3009">
        <v>1030573476</v>
      </c>
      <c r="U3009" t="s">
        <v>3965</v>
      </c>
      <c r="V3009" t="s">
        <v>3934</v>
      </c>
      <c r="W3009" s="9">
        <f>IF(V3009="pregrado",31,
IF(V3009="posgrados",31,
IF(V3009="rEINTEGROS",7,
IF(V3009="BIT",90,
IF(V3009="OP GRADO - INGLÉS",17,"")))))</f>
        <v>31</v>
      </c>
      <c r="X3009" t="s">
        <v>4077</v>
      </c>
    </row>
    <row r="3010" spans="1:24" ht="15" x14ac:dyDescent="0.35">
      <c r="A3010" s="4">
        <v>46020.528611111113</v>
      </c>
      <c r="B3010">
        <v>20110094</v>
      </c>
      <c r="C3010" s="6" t="s">
        <v>19</v>
      </c>
      <c r="D3010">
        <v>600514</v>
      </c>
      <c r="E3010" t="s">
        <v>20</v>
      </c>
      <c r="F3010">
        <v>1123635764</v>
      </c>
      <c r="G3010" t="s">
        <v>1365</v>
      </c>
      <c r="H3010">
        <v>100239974</v>
      </c>
      <c r="I3010">
        <v>202631</v>
      </c>
      <c r="J3010">
        <v>1123635764</v>
      </c>
      <c r="K3010" t="s">
        <v>23</v>
      </c>
      <c r="L3010" t="s">
        <v>65</v>
      </c>
      <c r="M3010" t="s">
        <v>24</v>
      </c>
      <c r="N3010" t="s">
        <v>25</v>
      </c>
      <c r="O3010" t="s">
        <v>26</v>
      </c>
      <c r="P3010" t="s">
        <v>27</v>
      </c>
      <c r="Q3010" t="s">
        <v>28</v>
      </c>
      <c r="R3010" t="s">
        <v>29</v>
      </c>
      <c r="S3010" t="s">
        <v>30</v>
      </c>
      <c r="T3010">
        <v>1023921046</v>
      </c>
      <c r="U3010" t="s">
        <v>3933</v>
      </c>
      <c r="V3010" t="s">
        <v>3934</v>
      </c>
      <c r="W3010" s="9">
        <f>IF(V3010="pregrado",31,
IF(V3010="posgrados",31,
IF(V3010="rEINTEGROS",7,
IF(V3010="BIT",90,
IF(V3010="OP GRADO - INGLÉS",17,"")))))</f>
        <v>31</v>
      </c>
      <c r="X3010" t="s">
        <v>4043</v>
      </c>
    </row>
    <row r="3011" spans="1:24" ht="15" x14ac:dyDescent="0.35">
      <c r="A3011" s="4">
        <v>46021.347129629627</v>
      </c>
      <c r="B3011">
        <v>20110255</v>
      </c>
      <c r="C3011" s="6" t="s">
        <v>19</v>
      </c>
      <c r="D3011">
        <v>600515</v>
      </c>
      <c r="E3011" t="s">
        <v>20</v>
      </c>
      <c r="F3011">
        <v>1061766621</v>
      </c>
      <c r="G3011" t="s">
        <v>1386</v>
      </c>
      <c r="H3011">
        <v>200075240</v>
      </c>
      <c r="I3011">
        <v>202631</v>
      </c>
      <c r="J3011">
        <v>1061766621</v>
      </c>
      <c r="K3011" t="s">
        <v>33</v>
      </c>
      <c r="L3011" t="s">
        <v>119</v>
      </c>
      <c r="M3011" t="s">
        <v>24</v>
      </c>
      <c r="N3011" t="s">
        <v>35</v>
      </c>
      <c r="O3011" t="s">
        <v>26</v>
      </c>
      <c r="P3011" t="s">
        <v>27</v>
      </c>
      <c r="Q3011" t="s">
        <v>28</v>
      </c>
      <c r="R3011" t="s">
        <v>29</v>
      </c>
      <c r="S3011" t="s">
        <v>30</v>
      </c>
      <c r="T3011">
        <v>1000251314</v>
      </c>
      <c r="U3011" t="s">
        <v>3963</v>
      </c>
      <c r="V3011" t="s">
        <v>3934</v>
      </c>
      <c r="W3011" s="9">
        <f>IF(V3011="pregrado",31,
IF(V3011="posgrados",31,
IF(V3011="rEINTEGROS",7,
IF(V3011="BIT",90,
IF(V3011="OP GRADO - INGLÉS",17,"")))))</f>
        <v>31</v>
      </c>
      <c r="X3011" t="s">
        <v>4024</v>
      </c>
    </row>
    <row r="3012" spans="1:24" ht="15" x14ac:dyDescent="0.35">
      <c r="A3012" s="4">
        <v>46020.531701388885</v>
      </c>
      <c r="B3012">
        <v>20110096</v>
      </c>
      <c r="C3012" s="6" t="s">
        <v>19</v>
      </c>
      <c r="D3012">
        <v>600517</v>
      </c>
      <c r="E3012" t="s">
        <v>20</v>
      </c>
      <c r="F3012">
        <v>1091660219</v>
      </c>
      <c r="G3012" t="s">
        <v>1366</v>
      </c>
      <c r="H3012">
        <v>200075161</v>
      </c>
      <c r="I3012">
        <v>202631</v>
      </c>
      <c r="J3012">
        <v>1091660219</v>
      </c>
      <c r="K3012" t="s">
        <v>33</v>
      </c>
      <c r="L3012" t="s">
        <v>77</v>
      </c>
      <c r="M3012" t="s">
        <v>24</v>
      </c>
      <c r="N3012" t="s">
        <v>35</v>
      </c>
      <c r="O3012" t="s">
        <v>26</v>
      </c>
      <c r="P3012" t="s">
        <v>27</v>
      </c>
      <c r="Q3012" t="s">
        <v>28</v>
      </c>
      <c r="R3012" t="s">
        <v>29</v>
      </c>
      <c r="S3012" t="s">
        <v>30</v>
      </c>
      <c r="T3012">
        <v>1020820287</v>
      </c>
      <c r="U3012" t="s">
        <v>3963</v>
      </c>
      <c r="V3012" t="s">
        <v>3934</v>
      </c>
      <c r="W3012" s="9">
        <f>IF(V3012="pregrado",31,
IF(V3012="posgrados",31,
IF(V3012="rEINTEGROS",7,
IF(V3012="BIT",90,
IF(V3012="OP GRADO - INGLÉS",17,"")))))</f>
        <v>31</v>
      </c>
      <c r="X3012" t="s">
        <v>4044</v>
      </c>
    </row>
    <row r="3013" spans="1:24" ht="15" x14ac:dyDescent="0.35">
      <c r="A3013" s="4">
        <v>46026.425335648149</v>
      </c>
      <c r="B3013">
        <v>20110820</v>
      </c>
      <c r="C3013" s="6" t="s">
        <v>19</v>
      </c>
      <c r="D3013">
        <v>600527</v>
      </c>
      <c r="E3013" t="s">
        <v>20</v>
      </c>
      <c r="F3013">
        <v>57407799</v>
      </c>
      <c r="G3013" t="s">
        <v>1471</v>
      </c>
      <c r="H3013">
        <v>100239986</v>
      </c>
      <c r="I3013">
        <v>202611</v>
      </c>
      <c r="J3013">
        <v>1085180452</v>
      </c>
      <c r="K3013" t="s">
        <v>33</v>
      </c>
      <c r="L3013" t="s">
        <v>221</v>
      </c>
      <c r="M3013" t="s">
        <v>24</v>
      </c>
      <c r="N3013" t="s">
        <v>35</v>
      </c>
      <c r="O3013" t="s">
        <v>26</v>
      </c>
      <c r="P3013" t="s">
        <v>27</v>
      </c>
      <c r="Q3013" t="s">
        <v>28</v>
      </c>
      <c r="R3013" t="s">
        <v>29</v>
      </c>
      <c r="S3013" t="s">
        <v>30</v>
      </c>
      <c r="T3013">
        <v>52342867</v>
      </c>
      <c r="U3013" t="s">
        <v>3965</v>
      </c>
      <c r="V3013" t="s">
        <v>3934</v>
      </c>
      <c r="W3013" s="9">
        <f>IF(V3013="pregrado",31,
IF(V3013="posgrados",31,
IF(V3013="rEINTEGROS",7,
IF(V3013="BIT",90,
IF(V3013="OP GRADO - INGLÉS",17,"")))))</f>
        <v>31</v>
      </c>
      <c r="X3013" t="s">
        <v>4047</v>
      </c>
    </row>
    <row r="3014" spans="1:24" ht="15" x14ac:dyDescent="0.35">
      <c r="A3014" s="4">
        <v>46072.553020833337</v>
      </c>
      <c r="B3014">
        <v>20124858</v>
      </c>
      <c r="C3014" s="6" t="s">
        <v>19</v>
      </c>
      <c r="D3014">
        <v>600530</v>
      </c>
      <c r="E3014" t="s">
        <v>20</v>
      </c>
      <c r="F3014">
        <v>1144073107</v>
      </c>
      <c r="G3014" t="s">
        <v>3415</v>
      </c>
      <c r="H3014">
        <v>100239989</v>
      </c>
      <c r="I3014">
        <v>202611</v>
      </c>
      <c r="J3014">
        <v>1144073107</v>
      </c>
      <c r="K3014" t="s">
        <v>23</v>
      </c>
      <c r="L3014" t="s">
        <v>221</v>
      </c>
      <c r="M3014" t="s">
        <v>24</v>
      </c>
      <c r="N3014" t="s">
        <v>35</v>
      </c>
      <c r="O3014" t="s">
        <v>26</v>
      </c>
      <c r="P3014" t="s">
        <v>27</v>
      </c>
      <c r="Q3014" t="s">
        <v>28</v>
      </c>
      <c r="R3014" t="s">
        <v>29</v>
      </c>
      <c r="S3014" t="s">
        <v>30</v>
      </c>
      <c r="T3014">
        <v>52392617</v>
      </c>
      <c r="U3014" t="s">
        <v>3965</v>
      </c>
      <c r="V3014" t="s">
        <v>3934</v>
      </c>
      <c r="W3014" s="9">
        <f>IF(V3014="pregrado",31,
IF(V3014="posgrados",31,
IF(V3014="rEINTEGROS",7,
IF(V3014="BIT",90,
IF(V3014="OP GRADO - INGLÉS",17,"")))))</f>
        <v>31</v>
      </c>
      <c r="X3014" t="s">
        <v>4053</v>
      </c>
    </row>
    <row r="3015" spans="1:24" ht="15" x14ac:dyDescent="0.35">
      <c r="A3015" s="4">
        <v>46020.503981481481</v>
      </c>
      <c r="B3015">
        <v>20110081</v>
      </c>
      <c r="C3015" s="6" t="s">
        <v>19</v>
      </c>
      <c r="D3015">
        <v>600531</v>
      </c>
      <c r="E3015" t="s">
        <v>20</v>
      </c>
      <c r="F3015">
        <v>1033368204</v>
      </c>
      <c r="G3015" t="s">
        <v>1361</v>
      </c>
      <c r="H3015">
        <v>100236681</v>
      </c>
      <c r="I3015">
        <v>202631</v>
      </c>
      <c r="J3015">
        <v>1033368204</v>
      </c>
      <c r="K3015" t="s">
        <v>33</v>
      </c>
      <c r="L3015" t="s">
        <v>119</v>
      </c>
      <c r="M3015" t="s">
        <v>24</v>
      </c>
      <c r="N3015" t="s">
        <v>35</v>
      </c>
      <c r="O3015" t="s">
        <v>26</v>
      </c>
      <c r="P3015" t="s">
        <v>27</v>
      </c>
      <c r="Q3015" t="s">
        <v>28</v>
      </c>
      <c r="R3015" t="s">
        <v>29</v>
      </c>
      <c r="S3015" t="s">
        <v>30</v>
      </c>
      <c r="T3015">
        <v>1000251314</v>
      </c>
      <c r="U3015" t="s">
        <v>3963</v>
      </c>
      <c r="V3015" t="s">
        <v>3934</v>
      </c>
      <c r="W3015" s="9">
        <f>IF(V3015="pregrado",31,
IF(V3015="posgrados",31,
IF(V3015="rEINTEGROS",7,
IF(V3015="BIT",90,
IF(V3015="OP GRADO - INGLÉS",17,"")))))</f>
        <v>31</v>
      </c>
      <c r="X3015" t="s">
        <v>4024</v>
      </c>
    </row>
    <row r="3016" spans="1:24" ht="15" x14ac:dyDescent="0.35">
      <c r="A3016" s="4">
        <v>46038.565949074073</v>
      </c>
      <c r="B3016">
        <v>20114288</v>
      </c>
      <c r="C3016" s="6" t="s">
        <v>19</v>
      </c>
      <c r="D3016">
        <v>600536</v>
      </c>
      <c r="E3016" t="s">
        <v>20</v>
      </c>
      <c r="F3016">
        <v>13069491</v>
      </c>
      <c r="G3016" t="s">
        <v>1904</v>
      </c>
      <c r="H3016">
        <v>100239995</v>
      </c>
      <c r="I3016">
        <v>202631</v>
      </c>
      <c r="J3016">
        <v>1031424268</v>
      </c>
      <c r="K3016" t="s">
        <v>23</v>
      </c>
      <c r="L3016" t="s">
        <v>90</v>
      </c>
      <c r="M3016" t="s">
        <v>24</v>
      </c>
      <c r="N3016" t="s">
        <v>35</v>
      </c>
      <c r="O3016" t="s">
        <v>26</v>
      </c>
      <c r="P3016" t="s">
        <v>27</v>
      </c>
      <c r="Q3016" t="s">
        <v>28</v>
      </c>
      <c r="R3016" t="s">
        <v>29</v>
      </c>
      <c r="S3016" t="s">
        <v>30</v>
      </c>
      <c r="T3016">
        <v>1014273794</v>
      </c>
      <c r="U3016" t="s">
        <v>3939</v>
      </c>
      <c r="V3016" t="s">
        <v>3934</v>
      </c>
      <c r="W3016" s="9">
        <f>IF(V3016="pregrado",31,
IF(V3016="posgrados",31,
IF(V3016="rEINTEGROS",7,
IF(V3016="BIT",90,
IF(V3016="OP GRADO - INGLÉS",17,"")))))</f>
        <v>31</v>
      </c>
      <c r="X3016" t="s">
        <v>4004</v>
      </c>
    </row>
    <row r="3017" spans="1:24" ht="15" x14ac:dyDescent="0.35">
      <c r="A3017" s="4">
        <v>46020.401226851849</v>
      </c>
      <c r="B3017">
        <v>20110036</v>
      </c>
      <c r="C3017" s="6" t="s">
        <v>19</v>
      </c>
      <c r="D3017">
        <v>600539</v>
      </c>
      <c r="E3017" t="s">
        <v>20</v>
      </c>
      <c r="F3017">
        <v>1097781341</v>
      </c>
      <c r="G3017" t="s">
        <v>1354</v>
      </c>
      <c r="H3017">
        <v>100239998</v>
      </c>
      <c r="I3017">
        <v>202631</v>
      </c>
      <c r="J3017">
        <v>1097781341</v>
      </c>
      <c r="K3017" t="s">
        <v>23</v>
      </c>
      <c r="L3017" t="s">
        <v>240</v>
      </c>
      <c r="M3017" t="s">
        <v>24</v>
      </c>
      <c r="N3017" t="s">
        <v>25</v>
      </c>
      <c r="O3017" t="s">
        <v>26</v>
      </c>
      <c r="P3017" t="s">
        <v>27</v>
      </c>
      <c r="Q3017" t="s">
        <v>28</v>
      </c>
      <c r="R3017" t="s">
        <v>29</v>
      </c>
      <c r="S3017" t="s">
        <v>30</v>
      </c>
      <c r="T3017">
        <v>1013662799</v>
      </c>
      <c r="U3017" t="s">
        <v>3965</v>
      </c>
      <c r="V3017" t="s">
        <v>3934</v>
      </c>
      <c r="W3017" s="9">
        <f>IF(V3017="pregrado",31,
IF(V3017="posgrados",31,
IF(V3017="rEINTEGROS",7,
IF(V3017="BIT",90,
IF(V3017="OP GRADO - INGLÉS",17,"")))))</f>
        <v>31</v>
      </c>
      <c r="X3017" t="s">
        <v>4021</v>
      </c>
    </row>
    <row r="3018" spans="1:24" ht="15" x14ac:dyDescent="0.35">
      <c r="A3018" s="4">
        <v>46022.407650462963</v>
      </c>
      <c r="B3018">
        <v>20110560</v>
      </c>
      <c r="C3018" s="6" t="s">
        <v>19</v>
      </c>
      <c r="D3018">
        <v>600543</v>
      </c>
      <c r="E3018" t="s">
        <v>20</v>
      </c>
      <c r="F3018">
        <v>1010007447</v>
      </c>
      <c r="G3018" t="s">
        <v>1436</v>
      </c>
      <c r="H3018">
        <v>100240002</v>
      </c>
      <c r="I3018">
        <v>202631</v>
      </c>
      <c r="J3018">
        <v>1010007447</v>
      </c>
      <c r="K3018" t="s">
        <v>33</v>
      </c>
      <c r="L3018" t="s">
        <v>57</v>
      </c>
      <c r="M3018" t="s">
        <v>24</v>
      </c>
      <c r="N3018" t="s">
        <v>25</v>
      </c>
      <c r="O3018" t="s">
        <v>26</v>
      </c>
      <c r="P3018" t="s">
        <v>27</v>
      </c>
      <c r="Q3018" t="s">
        <v>28</v>
      </c>
      <c r="R3018" t="s">
        <v>29</v>
      </c>
      <c r="S3018" t="s">
        <v>30</v>
      </c>
      <c r="T3018">
        <v>1023000938</v>
      </c>
      <c r="U3018" t="s">
        <v>3941</v>
      </c>
      <c r="V3018" t="s">
        <v>3934</v>
      </c>
      <c r="W3018" s="9">
        <f>IF(V3018="pregrado",31,
IF(V3018="posgrados",31,
IF(V3018="rEINTEGROS",7,
IF(V3018="BIT",90,
IF(V3018="OP GRADO - INGLÉS",17,"")))))</f>
        <v>31</v>
      </c>
      <c r="X3018" t="s">
        <v>3989</v>
      </c>
    </row>
    <row r="3019" spans="1:24" ht="15" x14ac:dyDescent="0.35">
      <c r="A3019" s="4">
        <v>46036.664918981478</v>
      </c>
      <c r="B3019">
        <v>20113202</v>
      </c>
      <c r="C3019" s="6" t="s">
        <v>19</v>
      </c>
      <c r="D3019">
        <v>600544</v>
      </c>
      <c r="E3019" t="s">
        <v>20</v>
      </c>
      <c r="F3019">
        <v>35547143</v>
      </c>
      <c r="G3019" t="s">
        <v>1788</v>
      </c>
      <c r="H3019">
        <v>100240003</v>
      </c>
      <c r="I3019">
        <v>202631</v>
      </c>
      <c r="J3019">
        <v>1030440572</v>
      </c>
      <c r="K3019" t="s">
        <v>23</v>
      </c>
      <c r="L3019" t="s">
        <v>90</v>
      </c>
      <c r="M3019" t="s">
        <v>24</v>
      </c>
      <c r="N3019" t="s">
        <v>35</v>
      </c>
      <c r="O3019" t="s">
        <v>26</v>
      </c>
      <c r="P3019" t="s">
        <v>27</v>
      </c>
      <c r="Q3019" t="s">
        <v>28</v>
      </c>
      <c r="R3019" t="s">
        <v>29</v>
      </c>
      <c r="S3019" t="s">
        <v>30</v>
      </c>
      <c r="T3019">
        <v>1026299972</v>
      </c>
      <c r="U3019" t="s">
        <v>3933</v>
      </c>
      <c r="V3019" t="s">
        <v>3934</v>
      </c>
      <c r="W3019" s="9">
        <f>IF(V3019="pregrado",31,
IF(V3019="posgrados",31,
IF(V3019="rEINTEGROS",7,
IF(V3019="BIT",90,
IF(V3019="OP GRADO - INGLÉS",17,"")))))</f>
        <v>31</v>
      </c>
      <c r="X3019" t="s">
        <v>4052</v>
      </c>
    </row>
    <row r="3020" spans="1:24" ht="15" x14ac:dyDescent="0.35">
      <c r="A3020" s="4">
        <v>46065.531666666669</v>
      </c>
      <c r="B3020">
        <v>20122798</v>
      </c>
      <c r="C3020" s="6" t="s">
        <v>19</v>
      </c>
      <c r="D3020">
        <v>600548</v>
      </c>
      <c r="E3020" t="s">
        <v>20</v>
      </c>
      <c r="F3020">
        <v>1023868801</v>
      </c>
      <c r="G3020" t="s">
        <v>3094</v>
      </c>
      <c r="H3020">
        <v>100240011</v>
      </c>
      <c r="I3020">
        <v>202610</v>
      </c>
      <c r="J3020">
        <v>1023868801</v>
      </c>
      <c r="K3020" t="s">
        <v>33</v>
      </c>
      <c r="L3020" t="s">
        <v>194</v>
      </c>
      <c r="M3020" t="s">
        <v>24</v>
      </c>
      <c r="N3020" t="s">
        <v>25</v>
      </c>
      <c r="O3020" t="s">
        <v>26</v>
      </c>
      <c r="P3020" t="s">
        <v>27</v>
      </c>
      <c r="Q3020" t="s">
        <v>28</v>
      </c>
      <c r="R3020" t="s">
        <v>29</v>
      </c>
      <c r="S3020" t="s">
        <v>30</v>
      </c>
      <c r="T3020">
        <v>1057586591</v>
      </c>
      <c r="U3020" t="s">
        <v>3963</v>
      </c>
      <c r="V3020" t="s">
        <v>3934</v>
      </c>
      <c r="W3020" s="9">
        <f>IF(V3020="pregrado",31,
IF(V3020="posgrados",31,
IF(V3020="rEINTEGROS",7,
IF(V3020="BIT",90,
IF(V3020="OP GRADO - INGLÉS",17,"")))))</f>
        <v>31</v>
      </c>
      <c r="X3020" t="s">
        <v>3988</v>
      </c>
    </row>
    <row r="3021" spans="1:24" ht="15" x14ac:dyDescent="0.35">
      <c r="A3021" s="4">
        <v>46021.707337962966</v>
      </c>
      <c r="B3021">
        <v>20110479</v>
      </c>
      <c r="C3021" s="6" t="s">
        <v>19</v>
      </c>
      <c r="D3021">
        <v>600550</v>
      </c>
      <c r="E3021" t="s">
        <v>20</v>
      </c>
      <c r="F3021">
        <v>12798348</v>
      </c>
      <c r="G3021" t="s">
        <v>1423</v>
      </c>
      <c r="H3021">
        <v>100077809</v>
      </c>
      <c r="I3021">
        <v>202631</v>
      </c>
      <c r="J3021">
        <v>12798348</v>
      </c>
      <c r="K3021" t="s">
        <v>23</v>
      </c>
      <c r="L3021" t="s">
        <v>127</v>
      </c>
      <c r="M3021" t="s">
        <v>24</v>
      </c>
      <c r="N3021" t="s">
        <v>35</v>
      </c>
      <c r="O3021" t="s">
        <v>26</v>
      </c>
      <c r="P3021" t="s">
        <v>27</v>
      </c>
      <c r="Q3021" t="s">
        <v>28</v>
      </c>
      <c r="R3021" t="s">
        <v>29</v>
      </c>
      <c r="S3021" t="s">
        <v>30</v>
      </c>
      <c r="T3021">
        <v>1013595695</v>
      </c>
      <c r="U3021" t="s">
        <v>3933</v>
      </c>
      <c r="V3021" t="s">
        <v>3934</v>
      </c>
      <c r="W3021" s="9">
        <f>IF(V3021="pregrado",31,
IF(V3021="posgrados",31,
IF(V3021="rEINTEGROS",7,
IF(V3021="BIT",90,
IF(V3021="OP GRADO - INGLÉS",17,"")))))</f>
        <v>31</v>
      </c>
      <c r="X3021" t="s">
        <v>3990</v>
      </c>
    </row>
    <row r="3022" spans="1:24" ht="15" x14ac:dyDescent="0.35">
      <c r="A3022" s="4">
        <v>46020.508680555555</v>
      </c>
      <c r="B3022">
        <v>20110083</v>
      </c>
      <c r="C3022" s="6" t="s">
        <v>19</v>
      </c>
      <c r="D3022">
        <v>600553</v>
      </c>
      <c r="E3022" t="s">
        <v>20</v>
      </c>
      <c r="F3022">
        <v>1073968628</v>
      </c>
      <c r="G3022" t="s">
        <v>1362</v>
      </c>
      <c r="H3022">
        <v>100240017</v>
      </c>
      <c r="I3022">
        <v>202611</v>
      </c>
      <c r="J3022">
        <v>1073968628</v>
      </c>
      <c r="K3022" t="s">
        <v>23</v>
      </c>
      <c r="L3022" t="s">
        <v>221</v>
      </c>
      <c r="M3022" t="s">
        <v>24</v>
      </c>
      <c r="N3022" t="s">
        <v>35</v>
      </c>
      <c r="O3022" t="s">
        <v>26</v>
      </c>
      <c r="P3022" t="s">
        <v>27</v>
      </c>
      <c r="Q3022" t="s">
        <v>28</v>
      </c>
      <c r="R3022" t="s">
        <v>29</v>
      </c>
      <c r="S3022" t="s">
        <v>30</v>
      </c>
      <c r="T3022">
        <v>1030570122</v>
      </c>
      <c r="U3022" t="s">
        <v>3965</v>
      </c>
      <c r="V3022" t="s">
        <v>3934</v>
      </c>
      <c r="W3022" s="9">
        <f>IF(V3022="pregrado",31,
IF(V3022="posgrados",31,
IF(V3022="rEINTEGROS",7,
IF(V3022="BIT",90,
IF(V3022="OP GRADO - INGLÉS",17,"")))))</f>
        <v>31</v>
      </c>
      <c r="X3022" t="s">
        <v>4015</v>
      </c>
    </row>
    <row r="3023" spans="1:24" ht="15" x14ac:dyDescent="0.35">
      <c r="A3023" s="4">
        <v>46022.478090277778</v>
      </c>
      <c r="B3023">
        <v>20110586</v>
      </c>
      <c r="C3023" s="6" t="s">
        <v>19</v>
      </c>
      <c r="D3023">
        <v>600560</v>
      </c>
      <c r="E3023" t="s">
        <v>20</v>
      </c>
      <c r="F3023">
        <v>1031801021</v>
      </c>
      <c r="G3023" t="s">
        <v>1444</v>
      </c>
      <c r="H3023">
        <v>100240026</v>
      </c>
      <c r="I3023">
        <v>202611</v>
      </c>
      <c r="J3023">
        <v>1031801021</v>
      </c>
      <c r="K3023" t="s">
        <v>23</v>
      </c>
      <c r="L3023" t="s">
        <v>227</v>
      </c>
      <c r="M3023" t="s">
        <v>24</v>
      </c>
      <c r="N3023" t="s">
        <v>35</v>
      </c>
      <c r="O3023" t="s">
        <v>26</v>
      </c>
      <c r="P3023" t="s">
        <v>27</v>
      </c>
      <c r="Q3023" t="s">
        <v>28</v>
      </c>
      <c r="R3023" t="s">
        <v>29</v>
      </c>
      <c r="S3023" t="s">
        <v>30</v>
      </c>
      <c r="T3023">
        <v>1023000938</v>
      </c>
      <c r="U3023" t="s">
        <v>3941</v>
      </c>
      <c r="V3023" t="s">
        <v>3934</v>
      </c>
      <c r="W3023" s="9">
        <f>IF(V3023="pregrado",31,
IF(V3023="posgrados",31,
IF(V3023="rEINTEGROS",7,
IF(V3023="BIT",90,
IF(V3023="OP GRADO - INGLÉS",17,"")))))</f>
        <v>31</v>
      </c>
      <c r="X3023" t="s">
        <v>3989</v>
      </c>
    </row>
    <row r="3024" spans="1:24" ht="15" x14ac:dyDescent="0.35">
      <c r="A3024" s="4">
        <v>46021.385983796295</v>
      </c>
      <c r="B3024">
        <v>20110271</v>
      </c>
      <c r="C3024" s="6" t="s">
        <v>19</v>
      </c>
      <c r="D3024">
        <v>600563</v>
      </c>
      <c r="E3024" t="s">
        <v>20</v>
      </c>
      <c r="F3024">
        <v>1000857383</v>
      </c>
      <c r="G3024" t="s">
        <v>1390</v>
      </c>
      <c r="H3024">
        <v>100240029</v>
      </c>
      <c r="I3024">
        <v>202631</v>
      </c>
      <c r="J3024">
        <v>1000857383</v>
      </c>
      <c r="K3024" t="s">
        <v>23</v>
      </c>
      <c r="L3024" t="s">
        <v>51</v>
      </c>
      <c r="M3024" t="s">
        <v>24</v>
      </c>
      <c r="N3024" t="s">
        <v>35</v>
      </c>
      <c r="O3024" t="s">
        <v>26</v>
      </c>
      <c r="P3024" t="s">
        <v>27</v>
      </c>
      <c r="Q3024" t="s">
        <v>28</v>
      </c>
      <c r="R3024" t="s">
        <v>29</v>
      </c>
      <c r="S3024" t="s">
        <v>30</v>
      </c>
      <c r="T3024">
        <v>52876433</v>
      </c>
      <c r="U3024" t="s">
        <v>3986</v>
      </c>
      <c r="V3024" t="s">
        <v>3934</v>
      </c>
      <c r="W3024" s="9">
        <f>IF(V3024="pregrado",31,
IF(V3024="posgrados",31,
IF(V3024="rEINTEGROS",7,
IF(V3024="BIT",90,
IF(V3024="OP GRADO - INGLÉS",17,"")))))</f>
        <v>31</v>
      </c>
      <c r="X3024" t="s">
        <v>4078</v>
      </c>
    </row>
    <row r="3025" spans="1:24" ht="15" x14ac:dyDescent="0.35">
      <c r="A3025" s="4">
        <v>46020.520104166666</v>
      </c>
      <c r="B3025">
        <v>20110089</v>
      </c>
      <c r="C3025" s="6" t="s">
        <v>19</v>
      </c>
      <c r="D3025">
        <v>600569</v>
      </c>
      <c r="E3025" t="s">
        <v>20</v>
      </c>
      <c r="F3025">
        <v>1005979343</v>
      </c>
      <c r="G3025" t="s">
        <v>1363</v>
      </c>
      <c r="H3025">
        <v>100224974</v>
      </c>
      <c r="I3025">
        <v>202631</v>
      </c>
      <c r="J3025">
        <v>1005979343</v>
      </c>
      <c r="K3025" t="s">
        <v>33</v>
      </c>
      <c r="L3025" t="s">
        <v>42</v>
      </c>
      <c r="M3025" t="s">
        <v>24</v>
      </c>
      <c r="N3025" t="s">
        <v>35</v>
      </c>
      <c r="O3025" t="s">
        <v>26</v>
      </c>
      <c r="P3025" t="s">
        <v>27</v>
      </c>
      <c r="Q3025" t="s">
        <v>28</v>
      </c>
      <c r="R3025" t="s">
        <v>29</v>
      </c>
      <c r="S3025" t="s">
        <v>30</v>
      </c>
      <c r="T3025">
        <v>79786913</v>
      </c>
      <c r="U3025" t="s">
        <v>3939</v>
      </c>
      <c r="V3025" t="s">
        <v>3934</v>
      </c>
      <c r="W3025" s="9">
        <f>IF(V3025="pregrado",31,
IF(V3025="posgrados",31,
IF(V3025="rEINTEGROS",7,
IF(V3025="BIT",90,
IF(V3025="OP GRADO - INGLÉS",17,"")))))</f>
        <v>31</v>
      </c>
      <c r="X3025" t="s">
        <v>4010</v>
      </c>
    </row>
    <row r="3026" spans="1:24" ht="15" x14ac:dyDescent="0.35">
      <c r="A3026" s="4">
        <v>46021.543333333335</v>
      </c>
      <c r="B3026">
        <v>20110377</v>
      </c>
      <c r="C3026" s="6" t="s">
        <v>19</v>
      </c>
      <c r="D3026">
        <v>600572</v>
      </c>
      <c r="E3026" t="s">
        <v>20</v>
      </c>
      <c r="F3026">
        <v>1023364220</v>
      </c>
      <c r="G3026" t="s">
        <v>1405</v>
      </c>
      <c r="H3026">
        <v>100240041</v>
      </c>
      <c r="I3026">
        <v>202631</v>
      </c>
      <c r="J3026">
        <v>1023364220</v>
      </c>
      <c r="K3026" t="s">
        <v>23</v>
      </c>
      <c r="L3026" t="s">
        <v>207</v>
      </c>
      <c r="M3026" t="s">
        <v>24</v>
      </c>
      <c r="N3026" t="s">
        <v>35</v>
      </c>
      <c r="O3026" t="s">
        <v>26</v>
      </c>
      <c r="P3026" t="s">
        <v>27</v>
      </c>
      <c r="Q3026" t="s">
        <v>28</v>
      </c>
      <c r="R3026" t="s">
        <v>29</v>
      </c>
      <c r="S3026" t="s">
        <v>30</v>
      </c>
      <c r="T3026">
        <v>1023000285</v>
      </c>
      <c r="U3026" t="s">
        <v>3986</v>
      </c>
      <c r="V3026" t="s">
        <v>3934</v>
      </c>
      <c r="W3026" s="9">
        <f>IF(V3026="pregrado",31,
IF(V3026="posgrados",31,
IF(V3026="rEINTEGROS",7,
IF(V3026="BIT",90,
IF(V3026="OP GRADO - INGLÉS",17,"")))))</f>
        <v>31</v>
      </c>
      <c r="X3026" t="s">
        <v>4097</v>
      </c>
    </row>
    <row r="3027" spans="1:24" ht="15" x14ac:dyDescent="0.35">
      <c r="A3027" s="4">
        <v>46020.636412037034</v>
      </c>
      <c r="B3027">
        <v>20110145</v>
      </c>
      <c r="C3027" s="6" t="s">
        <v>19</v>
      </c>
      <c r="D3027">
        <v>600574</v>
      </c>
      <c r="E3027" t="s">
        <v>20</v>
      </c>
      <c r="F3027">
        <v>52799783</v>
      </c>
      <c r="G3027" t="s">
        <v>1373</v>
      </c>
      <c r="H3027">
        <v>100240043</v>
      </c>
      <c r="I3027">
        <v>202611</v>
      </c>
      <c r="J3027">
        <v>1013120691</v>
      </c>
      <c r="K3027" t="s">
        <v>23</v>
      </c>
      <c r="L3027" t="s">
        <v>221</v>
      </c>
      <c r="M3027" t="s">
        <v>24</v>
      </c>
      <c r="N3027" t="s">
        <v>38</v>
      </c>
      <c r="O3027" t="s">
        <v>26</v>
      </c>
      <c r="P3027" t="s">
        <v>27</v>
      </c>
      <c r="Q3027" t="s">
        <v>28</v>
      </c>
      <c r="R3027" t="s">
        <v>29</v>
      </c>
      <c r="S3027" t="s">
        <v>30</v>
      </c>
      <c r="T3027">
        <v>1025460711</v>
      </c>
      <c r="U3027" t="s">
        <v>3933</v>
      </c>
      <c r="V3027" t="s">
        <v>3934</v>
      </c>
      <c r="W3027" s="9">
        <f>IF(V3027="pregrado",31,
IF(V3027="posgrados",31,
IF(V3027="rEINTEGROS",7,
IF(V3027="BIT",90,
IF(V3027="OP GRADO - INGLÉS",17,"")))))</f>
        <v>31</v>
      </c>
      <c r="X3027" t="s">
        <v>4062</v>
      </c>
    </row>
    <row r="3028" spans="1:24" ht="15" x14ac:dyDescent="0.35">
      <c r="A3028" s="4">
        <v>46020.571921296294</v>
      </c>
      <c r="B3028">
        <v>20110110</v>
      </c>
      <c r="C3028" s="6" t="s">
        <v>19</v>
      </c>
      <c r="D3028">
        <v>600577</v>
      </c>
      <c r="E3028" t="s">
        <v>20</v>
      </c>
      <c r="F3028">
        <v>1030617927</v>
      </c>
      <c r="G3028" t="s">
        <v>1367</v>
      </c>
      <c r="H3028">
        <v>100240048</v>
      </c>
      <c r="I3028">
        <v>202611</v>
      </c>
      <c r="J3028">
        <v>1104711282</v>
      </c>
      <c r="K3028" t="s">
        <v>23</v>
      </c>
      <c r="L3028" t="s">
        <v>221</v>
      </c>
      <c r="M3028" t="s">
        <v>24</v>
      </c>
      <c r="N3028" t="s">
        <v>35</v>
      </c>
      <c r="O3028" t="s">
        <v>26</v>
      </c>
      <c r="P3028" t="s">
        <v>27</v>
      </c>
      <c r="Q3028" t="s">
        <v>28</v>
      </c>
      <c r="R3028" t="s">
        <v>29</v>
      </c>
      <c r="S3028" t="s">
        <v>30</v>
      </c>
      <c r="T3028">
        <v>11001273124</v>
      </c>
      <c r="U3028" t="s">
        <v>3944</v>
      </c>
      <c r="V3028" t="s">
        <v>3934</v>
      </c>
      <c r="W3028" s="9">
        <f>IF(V3028="pregrado",31,
IF(V3028="posgrados",31,
IF(V3028="rEINTEGROS",7,
IF(V3028="BIT",90,
IF(V3028="OP GRADO - INGLÉS",17,"")))))</f>
        <v>31</v>
      </c>
      <c r="X3028" t="s">
        <v>3951</v>
      </c>
    </row>
    <row r="3029" spans="1:24" ht="15" x14ac:dyDescent="0.35">
      <c r="A3029" s="4">
        <v>46048.743796296294</v>
      </c>
      <c r="B3029">
        <v>20117331</v>
      </c>
      <c r="C3029" s="6" t="s">
        <v>19</v>
      </c>
      <c r="D3029">
        <v>600583</v>
      </c>
      <c r="E3029" t="s">
        <v>20</v>
      </c>
      <c r="F3029">
        <v>1051064661</v>
      </c>
      <c r="G3029" t="s">
        <v>2314</v>
      </c>
      <c r="H3029">
        <v>100240056</v>
      </c>
      <c r="I3029">
        <v>202631</v>
      </c>
      <c r="J3029">
        <v>1051064661</v>
      </c>
      <c r="K3029" t="s">
        <v>23</v>
      </c>
      <c r="L3029" t="s">
        <v>114</v>
      </c>
      <c r="M3029" t="s">
        <v>24</v>
      </c>
      <c r="N3029" t="s">
        <v>25</v>
      </c>
      <c r="O3029" t="s">
        <v>26</v>
      </c>
      <c r="P3029" t="s">
        <v>27</v>
      </c>
      <c r="Q3029" t="s">
        <v>28</v>
      </c>
      <c r="R3029" t="s">
        <v>29</v>
      </c>
      <c r="S3029" t="s">
        <v>30</v>
      </c>
      <c r="T3029">
        <v>53040709</v>
      </c>
      <c r="U3029" t="s">
        <v>3963</v>
      </c>
      <c r="V3029" t="s">
        <v>3934</v>
      </c>
      <c r="W3029" s="9">
        <f>IF(V3029="pregrado",31,
IF(V3029="posgrados",31,
IF(V3029="rEINTEGROS",7,
IF(V3029="BIT",90,
IF(V3029="OP GRADO - INGLÉS",17,"")))))</f>
        <v>31</v>
      </c>
      <c r="X3029" t="s">
        <v>3994</v>
      </c>
    </row>
    <row r="3030" spans="1:24" ht="15" x14ac:dyDescent="0.35">
      <c r="A3030" s="4">
        <v>46048.772199074076</v>
      </c>
      <c r="B3030">
        <v>20117355</v>
      </c>
      <c r="C3030" s="6" t="s">
        <v>19</v>
      </c>
      <c r="D3030">
        <v>600590</v>
      </c>
      <c r="E3030" t="s">
        <v>20</v>
      </c>
      <c r="F3030">
        <v>52797230</v>
      </c>
      <c r="G3030" t="s">
        <v>2320</v>
      </c>
      <c r="H3030">
        <v>100162612</v>
      </c>
      <c r="I3030">
        <v>202631</v>
      </c>
      <c r="J3030">
        <v>52797230</v>
      </c>
      <c r="K3030" t="s">
        <v>46</v>
      </c>
      <c r="L3030" t="s">
        <v>219</v>
      </c>
      <c r="M3030" t="s">
        <v>24</v>
      </c>
      <c r="N3030" t="s">
        <v>35</v>
      </c>
      <c r="O3030" t="s">
        <v>26</v>
      </c>
      <c r="P3030" t="s">
        <v>27</v>
      </c>
      <c r="Q3030" t="s">
        <v>28</v>
      </c>
      <c r="R3030" t="s">
        <v>29</v>
      </c>
      <c r="S3030" t="s">
        <v>30</v>
      </c>
      <c r="T3030">
        <v>1014283217</v>
      </c>
      <c r="U3030" t="s">
        <v>3963</v>
      </c>
      <c r="V3030" t="s">
        <v>3934</v>
      </c>
      <c r="W3030" s="9">
        <f>IF(V3030="pregrado",31,
IF(V3030="posgrados",31,
IF(V3030="rEINTEGROS",7,
IF(V3030="BIT",90,
IF(V3030="OP GRADO - INGLÉS",17,"")))))</f>
        <v>31</v>
      </c>
      <c r="X3030" t="s">
        <v>4023</v>
      </c>
    </row>
    <row r="3031" spans="1:24" ht="15" x14ac:dyDescent="0.35">
      <c r="A3031" s="4">
        <v>46020.762418981481</v>
      </c>
      <c r="B3031">
        <v>20110210</v>
      </c>
      <c r="C3031" s="6" t="s">
        <v>19</v>
      </c>
      <c r="D3031">
        <v>600597</v>
      </c>
      <c r="E3031" t="s">
        <v>20</v>
      </c>
      <c r="F3031">
        <v>34679097</v>
      </c>
      <c r="G3031" t="s">
        <v>1383</v>
      </c>
      <c r="H3031">
        <v>100240066</v>
      </c>
      <c r="I3031">
        <v>202631</v>
      </c>
      <c r="J3031">
        <v>1111659775</v>
      </c>
      <c r="K3031" t="s">
        <v>33</v>
      </c>
      <c r="L3031" t="s">
        <v>127</v>
      </c>
      <c r="M3031" t="s">
        <v>24</v>
      </c>
      <c r="N3031" t="s">
        <v>25</v>
      </c>
      <c r="O3031" t="s">
        <v>26</v>
      </c>
      <c r="P3031" t="s">
        <v>27</v>
      </c>
      <c r="Q3031" t="s">
        <v>28</v>
      </c>
      <c r="R3031" t="s">
        <v>29</v>
      </c>
      <c r="S3031" t="s">
        <v>30</v>
      </c>
      <c r="T3031">
        <v>1023921046</v>
      </c>
      <c r="U3031" t="s">
        <v>3933</v>
      </c>
      <c r="V3031" t="s">
        <v>3934</v>
      </c>
      <c r="W3031" s="9">
        <f>IF(V3031="pregrado",31,
IF(V3031="posgrados",31,
IF(V3031="rEINTEGROS",7,
IF(V3031="BIT",90,
IF(V3031="OP GRADO - INGLÉS",17,"")))))</f>
        <v>31</v>
      </c>
      <c r="X3031" t="s">
        <v>4043</v>
      </c>
    </row>
    <row r="3032" spans="1:24" ht="15" x14ac:dyDescent="0.35">
      <c r="A3032" s="4">
        <v>46027.530046296299</v>
      </c>
      <c r="B3032">
        <v>20110918</v>
      </c>
      <c r="C3032" s="6" t="s">
        <v>19</v>
      </c>
      <c r="D3032">
        <v>600603</v>
      </c>
      <c r="E3032" t="s">
        <v>20</v>
      </c>
      <c r="F3032">
        <v>1000158408</v>
      </c>
      <c r="G3032" t="s">
        <v>1480</v>
      </c>
      <c r="H3032">
        <v>100180603</v>
      </c>
      <c r="I3032">
        <v>202611</v>
      </c>
      <c r="J3032">
        <v>1000158408</v>
      </c>
      <c r="K3032" t="s">
        <v>89</v>
      </c>
      <c r="L3032" t="s">
        <v>133</v>
      </c>
      <c r="M3032" t="s">
        <v>24</v>
      </c>
      <c r="N3032" t="s">
        <v>35</v>
      </c>
      <c r="O3032" t="s">
        <v>26</v>
      </c>
      <c r="P3032" t="s">
        <v>27</v>
      </c>
      <c r="Q3032" t="s">
        <v>28</v>
      </c>
      <c r="R3032" t="s">
        <v>29</v>
      </c>
      <c r="S3032" t="s">
        <v>30</v>
      </c>
      <c r="T3032">
        <v>1000934874</v>
      </c>
      <c r="U3032" t="s">
        <v>3977</v>
      </c>
      <c r="V3032" t="s">
        <v>3970</v>
      </c>
      <c r="W3032" s="9">
        <f>IF(V3032="pregrado",31,
IF(V3032="posgrados",31,
IF(V3032="rEINTEGROS",7,
IF(V3032="BIT",90,
IF(V3032="OP GRADO - INGLÉS",17,"")))))</f>
        <v>7</v>
      </c>
      <c r="X3032" t="s">
        <v>3999</v>
      </c>
    </row>
    <row r="3033" spans="1:24" ht="15" x14ac:dyDescent="0.35">
      <c r="A3033" s="4">
        <v>46028.690555555557</v>
      </c>
      <c r="B3033">
        <v>20111282</v>
      </c>
      <c r="C3033" s="6" t="s">
        <v>19</v>
      </c>
      <c r="D3033">
        <v>600618</v>
      </c>
      <c r="E3033" t="s">
        <v>20</v>
      </c>
      <c r="F3033">
        <v>1000271726</v>
      </c>
      <c r="G3033" t="s">
        <v>1533</v>
      </c>
      <c r="H3033">
        <v>100166392</v>
      </c>
      <c r="I3033">
        <v>202610</v>
      </c>
      <c r="J3033">
        <v>1000271726</v>
      </c>
      <c r="K3033" t="s">
        <v>89</v>
      </c>
      <c r="L3033" t="s">
        <v>40</v>
      </c>
      <c r="M3033" t="s">
        <v>24</v>
      </c>
      <c r="N3033" t="s">
        <v>35</v>
      </c>
      <c r="O3033" t="s">
        <v>26</v>
      </c>
      <c r="P3033" t="s">
        <v>27</v>
      </c>
      <c r="Q3033" t="s">
        <v>28</v>
      </c>
      <c r="R3033" t="s">
        <v>29</v>
      </c>
      <c r="S3033" t="s">
        <v>30</v>
      </c>
      <c r="T3033">
        <v>1019102787</v>
      </c>
      <c r="U3033" t="s">
        <v>3977</v>
      </c>
      <c r="V3033" t="s">
        <v>3970</v>
      </c>
      <c r="W3033" s="9">
        <f>IF(V3033="pregrado",31,
IF(V3033="posgrados",31,
IF(V3033="rEINTEGROS",7,
IF(V3033="BIT",90,
IF(V3033="OP GRADO - INGLÉS",17,"")))))</f>
        <v>7</v>
      </c>
      <c r="X3033" t="s">
        <v>3976</v>
      </c>
    </row>
    <row r="3034" spans="1:24" ht="15" x14ac:dyDescent="0.35">
      <c r="A3034" s="4">
        <v>46021.750092592592</v>
      </c>
      <c r="B3034">
        <v>20110508</v>
      </c>
      <c r="C3034" s="6" t="s">
        <v>19</v>
      </c>
      <c r="D3034">
        <v>600621</v>
      </c>
      <c r="E3034" t="s">
        <v>20</v>
      </c>
      <c r="F3034">
        <v>1014861916</v>
      </c>
      <c r="G3034" t="s">
        <v>1429</v>
      </c>
      <c r="H3034">
        <v>100240084</v>
      </c>
      <c r="I3034">
        <v>202610</v>
      </c>
      <c r="J3034">
        <v>1014861916</v>
      </c>
      <c r="K3034" t="s">
        <v>33</v>
      </c>
      <c r="L3034" t="s">
        <v>37</v>
      </c>
      <c r="M3034" t="s">
        <v>24</v>
      </c>
      <c r="N3034" t="s">
        <v>25</v>
      </c>
      <c r="O3034" t="s">
        <v>26</v>
      </c>
      <c r="P3034" t="s">
        <v>27</v>
      </c>
      <c r="Q3034" t="s">
        <v>28</v>
      </c>
      <c r="R3034" t="s">
        <v>29</v>
      </c>
      <c r="S3034" t="s">
        <v>30</v>
      </c>
      <c r="T3034">
        <v>53178431</v>
      </c>
      <c r="U3034" t="s">
        <v>3941</v>
      </c>
      <c r="V3034" t="s">
        <v>3934</v>
      </c>
      <c r="W3034" s="9">
        <f>IF(V3034="pregrado",31,
IF(V3034="posgrados",31,
IF(V3034="rEINTEGROS",7,
IF(V3034="BIT",90,
IF(V3034="OP GRADO - INGLÉS",17,"")))))</f>
        <v>31</v>
      </c>
      <c r="X3034" t="s">
        <v>3949</v>
      </c>
    </row>
    <row r="3035" spans="1:24" ht="15" x14ac:dyDescent="0.35">
      <c r="A3035" s="4">
        <v>46020.705787037034</v>
      </c>
      <c r="B3035">
        <v>20110179</v>
      </c>
      <c r="C3035" s="6" t="s">
        <v>19</v>
      </c>
      <c r="D3035">
        <v>600622</v>
      </c>
      <c r="E3035" t="s">
        <v>20</v>
      </c>
      <c r="F3035">
        <v>1018510894</v>
      </c>
      <c r="G3035" t="s">
        <v>1379</v>
      </c>
      <c r="H3035">
        <v>100035334</v>
      </c>
      <c r="I3035">
        <v>202610</v>
      </c>
      <c r="J3035">
        <v>1018510894</v>
      </c>
      <c r="K3035" t="s">
        <v>89</v>
      </c>
      <c r="L3035" t="s">
        <v>79</v>
      </c>
      <c r="M3035" t="s">
        <v>24</v>
      </c>
      <c r="N3035">
        <v>0</v>
      </c>
      <c r="O3035" t="s">
        <v>26</v>
      </c>
      <c r="P3035" t="s">
        <v>27</v>
      </c>
      <c r="Q3035" t="s">
        <v>28</v>
      </c>
      <c r="R3035" t="s">
        <v>29</v>
      </c>
      <c r="S3035" t="s">
        <v>30</v>
      </c>
      <c r="T3035">
        <v>1019102787</v>
      </c>
      <c r="U3035" t="s">
        <v>3977</v>
      </c>
      <c r="V3035" t="s">
        <v>3970</v>
      </c>
      <c r="W3035" s="9">
        <f>IF(V3035="pregrado",31,
IF(V3035="posgrados",31,
IF(V3035="rEINTEGROS",7,
IF(V3035="BIT",90,
IF(V3035="OP GRADO - INGLÉS",17,"")))))</f>
        <v>7</v>
      </c>
      <c r="X3035" t="s">
        <v>3976</v>
      </c>
    </row>
    <row r="3036" spans="1:24" ht="15" x14ac:dyDescent="0.35">
      <c r="A3036" s="4">
        <v>46045.456979166665</v>
      </c>
      <c r="B3036">
        <v>20116495</v>
      </c>
      <c r="C3036" s="6" t="s">
        <v>19</v>
      </c>
      <c r="D3036">
        <v>600633</v>
      </c>
      <c r="E3036" t="s">
        <v>20</v>
      </c>
      <c r="F3036">
        <v>1024567739</v>
      </c>
      <c r="G3036" t="s">
        <v>2225</v>
      </c>
      <c r="H3036">
        <v>200036901</v>
      </c>
      <c r="I3036">
        <v>202631</v>
      </c>
      <c r="J3036">
        <v>1024567739</v>
      </c>
      <c r="K3036" t="s">
        <v>33</v>
      </c>
      <c r="L3036" t="s">
        <v>77</v>
      </c>
      <c r="M3036" t="s">
        <v>24</v>
      </c>
      <c r="N3036" t="s">
        <v>35</v>
      </c>
      <c r="O3036" t="s">
        <v>26</v>
      </c>
      <c r="P3036" t="s">
        <v>27</v>
      </c>
      <c r="Q3036" t="s">
        <v>28</v>
      </c>
      <c r="R3036" t="s">
        <v>29</v>
      </c>
      <c r="S3036" t="s">
        <v>30</v>
      </c>
      <c r="T3036">
        <v>1020820287</v>
      </c>
      <c r="U3036" t="s">
        <v>3963</v>
      </c>
      <c r="V3036" t="s">
        <v>3934</v>
      </c>
      <c r="W3036" s="9">
        <f>IF(V3036="pregrado",31,
IF(V3036="posgrados",31,
IF(V3036="rEINTEGROS",7,
IF(V3036="BIT",90,
IF(V3036="OP GRADO - INGLÉS",17,"")))))</f>
        <v>31</v>
      </c>
      <c r="X3036" t="s">
        <v>4044</v>
      </c>
    </row>
    <row r="3037" spans="1:24" ht="15" x14ac:dyDescent="0.35">
      <c r="A3037" s="4">
        <v>46043.592939814815</v>
      </c>
      <c r="B3037">
        <v>20115790</v>
      </c>
      <c r="C3037" s="6" t="s">
        <v>19</v>
      </c>
      <c r="D3037">
        <v>600635</v>
      </c>
      <c r="E3037" t="s">
        <v>20</v>
      </c>
      <c r="F3037">
        <v>41540376</v>
      </c>
      <c r="G3037" t="s">
        <v>2094</v>
      </c>
      <c r="H3037">
        <v>100238016</v>
      </c>
      <c r="I3037">
        <v>202631</v>
      </c>
      <c r="J3037">
        <v>1001173939</v>
      </c>
      <c r="K3037" t="s">
        <v>33</v>
      </c>
      <c r="L3037" t="s">
        <v>42</v>
      </c>
      <c r="M3037" t="s">
        <v>24</v>
      </c>
      <c r="N3037" t="s">
        <v>35</v>
      </c>
      <c r="O3037" t="s">
        <v>26</v>
      </c>
      <c r="P3037" t="s">
        <v>27</v>
      </c>
      <c r="Q3037" t="s">
        <v>28</v>
      </c>
      <c r="R3037" t="s">
        <v>29</v>
      </c>
      <c r="S3037" t="s">
        <v>30</v>
      </c>
      <c r="T3037">
        <v>1000349074</v>
      </c>
      <c r="U3037" t="s">
        <v>3944</v>
      </c>
      <c r="V3037" t="s">
        <v>3934</v>
      </c>
      <c r="W3037" s="9">
        <f>IF(V3037="pregrado",31,
IF(V3037="posgrados",31,
IF(V3037="rEINTEGROS",7,
IF(V3037="BIT",90,
IF(V3037="OP GRADO - INGLÉS",17,"")))))</f>
        <v>31</v>
      </c>
      <c r="X3037" t="s">
        <v>4036</v>
      </c>
    </row>
    <row r="3038" spans="1:24" ht="15" x14ac:dyDescent="0.35">
      <c r="A3038" s="4">
        <v>46044.397870370369</v>
      </c>
      <c r="B3038">
        <v>20116025</v>
      </c>
      <c r="C3038" s="6" t="s">
        <v>19</v>
      </c>
      <c r="D3038">
        <v>600636</v>
      </c>
      <c r="E3038" t="s">
        <v>20</v>
      </c>
      <c r="F3038">
        <v>50992756</v>
      </c>
      <c r="G3038" t="s">
        <v>2138</v>
      </c>
      <c r="H3038">
        <v>100240097</v>
      </c>
      <c r="I3038">
        <v>202631</v>
      </c>
      <c r="J3038">
        <v>50992756</v>
      </c>
      <c r="K3038" t="s">
        <v>33</v>
      </c>
      <c r="L3038" t="s">
        <v>370</v>
      </c>
      <c r="M3038" t="s">
        <v>24</v>
      </c>
      <c r="N3038" t="s">
        <v>35</v>
      </c>
      <c r="O3038" t="s">
        <v>26</v>
      </c>
      <c r="P3038" t="s">
        <v>27</v>
      </c>
      <c r="Q3038" t="s">
        <v>28</v>
      </c>
      <c r="R3038" t="s">
        <v>29</v>
      </c>
      <c r="S3038" t="s">
        <v>30</v>
      </c>
      <c r="T3038">
        <v>1000973717</v>
      </c>
      <c r="U3038" t="s">
        <v>3963</v>
      </c>
      <c r="V3038" t="s">
        <v>3934</v>
      </c>
      <c r="W3038" s="9">
        <f>IF(V3038="pregrado",31,
IF(V3038="posgrados",31,
IF(V3038="rEINTEGROS",7,
IF(V3038="BIT",90,
IF(V3038="OP GRADO - INGLÉS",17,"")))))</f>
        <v>31</v>
      </c>
      <c r="X3038" t="s">
        <v>4073</v>
      </c>
    </row>
    <row r="3039" spans="1:24" ht="15" x14ac:dyDescent="0.35">
      <c r="A3039" s="4">
        <v>46027.521249999998</v>
      </c>
      <c r="B3039">
        <v>20110911</v>
      </c>
      <c r="C3039" s="6" t="s">
        <v>19</v>
      </c>
      <c r="D3039">
        <v>600651</v>
      </c>
      <c r="E3039" t="s">
        <v>20</v>
      </c>
      <c r="F3039">
        <v>1076657168</v>
      </c>
      <c r="G3039" t="s">
        <v>1479</v>
      </c>
      <c r="H3039">
        <v>200075542</v>
      </c>
      <c r="I3039">
        <v>202631</v>
      </c>
      <c r="J3039">
        <v>1077113341</v>
      </c>
      <c r="K3039" t="s">
        <v>23</v>
      </c>
      <c r="L3039" t="s">
        <v>119</v>
      </c>
      <c r="M3039" t="s">
        <v>24</v>
      </c>
      <c r="N3039" t="s">
        <v>35</v>
      </c>
      <c r="O3039" t="s">
        <v>26</v>
      </c>
      <c r="P3039" t="s">
        <v>27</v>
      </c>
      <c r="Q3039" t="s">
        <v>28</v>
      </c>
      <c r="R3039" t="s">
        <v>29</v>
      </c>
      <c r="S3039" t="s">
        <v>30</v>
      </c>
      <c r="T3039">
        <v>1001277801</v>
      </c>
      <c r="U3039" t="s">
        <v>3965</v>
      </c>
      <c r="V3039" t="s">
        <v>3934</v>
      </c>
      <c r="W3039" s="9">
        <f>IF(V3039="pregrado",31,
IF(V3039="posgrados",31,
IF(V3039="rEINTEGROS",7,
IF(V3039="BIT",90,
IF(V3039="OP GRADO - INGLÉS",17,"")))))</f>
        <v>31</v>
      </c>
      <c r="X3039" t="s">
        <v>4002</v>
      </c>
    </row>
    <row r="3040" spans="1:24" ht="15" x14ac:dyDescent="0.35">
      <c r="A3040" s="4">
        <v>46021.373923611114</v>
      </c>
      <c r="B3040">
        <v>20110263</v>
      </c>
      <c r="C3040" s="6" t="s">
        <v>19</v>
      </c>
      <c r="D3040">
        <v>600652</v>
      </c>
      <c r="E3040" t="s">
        <v>20</v>
      </c>
      <c r="F3040">
        <v>1049658078</v>
      </c>
      <c r="G3040" t="s">
        <v>1388</v>
      </c>
      <c r="H3040">
        <v>100165612</v>
      </c>
      <c r="I3040">
        <v>202641</v>
      </c>
      <c r="J3040">
        <v>1049658078</v>
      </c>
      <c r="K3040" t="s">
        <v>46</v>
      </c>
      <c r="L3040" t="s">
        <v>294</v>
      </c>
      <c r="M3040" t="s">
        <v>47</v>
      </c>
      <c r="N3040" t="s">
        <v>35</v>
      </c>
      <c r="O3040" t="s">
        <v>26</v>
      </c>
      <c r="P3040" t="s">
        <v>27</v>
      </c>
      <c r="Q3040" t="s">
        <v>28</v>
      </c>
      <c r="R3040" t="s">
        <v>29</v>
      </c>
      <c r="S3040" t="s">
        <v>30</v>
      </c>
      <c r="T3040">
        <v>1023899450</v>
      </c>
      <c r="U3040" t="s">
        <v>3977</v>
      </c>
      <c r="V3040" t="s">
        <v>3970</v>
      </c>
      <c r="W3040" s="9">
        <f>IF(V3040="pregrado",31,
IF(V3040="posgrados",31,
IF(V3040="rEINTEGROS",7,
IF(V3040="BIT",90,
IF(V3040="OP GRADO - INGLÉS",17,"")))))</f>
        <v>7</v>
      </c>
      <c r="X3040" t="s">
        <v>3969</v>
      </c>
    </row>
    <row r="3041" spans="1:24" ht="15" x14ac:dyDescent="0.35">
      <c r="A3041" s="4">
        <v>46022.448842592596</v>
      </c>
      <c r="B3041">
        <v>20110574</v>
      </c>
      <c r="C3041" s="6" t="s">
        <v>19</v>
      </c>
      <c r="D3041">
        <v>600653</v>
      </c>
      <c r="E3041" t="s">
        <v>20</v>
      </c>
      <c r="F3041">
        <v>1023927506</v>
      </c>
      <c r="G3041" t="s">
        <v>1440</v>
      </c>
      <c r="H3041">
        <v>200075293</v>
      </c>
      <c r="I3041">
        <v>202631</v>
      </c>
      <c r="J3041">
        <v>1023927506</v>
      </c>
      <c r="K3041" t="s">
        <v>23</v>
      </c>
      <c r="L3041" t="s">
        <v>77</v>
      </c>
      <c r="M3041" t="s">
        <v>24</v>
      </c>
      <c r="N3041" t="s">
        <v>25</v>
      </c>
      <c r="O3041" t="s">
        <v>26</v>
      </c>
      <c r="P3041" t="s">
        <v>27</v>
      </c>
      <c r="Q3041" t="s">
        <v>28</v>
      </c>
      <c r="R3041" t="s">
        <v>29</v>
      </c>
      <c r="S3041" t="s">
        <v>30</v>
      </c>
      <c r="T3041">
        <v>1077967131</v>
      </c>
      <c r="U3041" t="s">
        <v>3963</v>
      </c>
      <c r="V3041" t="s">
        <v>3934</v>
      </c>
      <c r="W3041" s="9">
        <f>IF(V3041="pregrado",31,
IF(V3041="posgrados",31,
IF(V3041="rEINTEGROS",7,
IF(V3041="BIT",90,
IF(V3041="OP GRADO - INGLÉS",17,"")))))</f>
        <v>31</v>
      </c>
      <c r="X3041" t="s">
        <v>4011</v>
      </c>
    </row>
    <row r="3042" spans="1:24" ht="15" x14ac:dyDescent="0.35">
      <c r="A3042" s="4">
        <v>46021.5937037037</v>
      </c>
      <c r="B3042">
        <v>20110403</v>
      </c>
      <c r="C3042" s="6" t="s">
        <v>19</v>
      </c>
      <c r="D3042">
        <v>600654</v>
      </c>
      <c r="E3042" t="s">
        <v>20</v>
      </c>
      <c r="F3042">
        <v>1044391774</v>
      </c>
      <c r="G3042" t="s">
        <v>1411</v>
      </c>
      <c r="H3042">
        <v>100240124</v>
      </c>
      <c r="I3042">
        <v>202611</v>
      </c>
      <c r="J3042">
        <v>1044391774</v>
      </c>
      <c r="K3042" t="s">
        <v>23</v>
      </c>
      <c r="L3042" t="s">
        <v>221</v>
      </c>
      <c r="M3042" t="s">
        <v>24</v>
      </c>
      <c r="N3042" t="s">
        <v>35</v>
      </c>
      <c r="O3042" t="s">
        <v>26</v>
      </c>
      <c r="P3042" t="s">
        <v>27</v>
      </c>
      <c r="Q3042" t="s">
        <v>28</v>
      </c>
      <c r="R3042" t="s">
        <v>29</v>
      </c>
      <c r="S3042" t="s">
        <v>30</v>
      </c>
      <c r="T3042">
        <v>52342867</v>
      </c>
      <c r="U3042" t="s">
        <v>3965</v>
      </c>
      <c r="V3042" t="s">
        <v>3934</v>
      </c>
      <c r="W3042" s="9">
        <f>IF(V3042="pregrado",31,
IF(V3042="posgrados",31,
IF(V3042="rEINTEGROS",7,
IF(V3042="BIT",90,
IF(V3042="OP GRADO - INGLÉS",17,"")))))</f>
        <v>31</v>
      </c>
      <c r="X3042" t="s">
        <v>4047</v>
      </c>
    </row>
    <row r="3043" spans="1:24" ht="15" x14ac:dyDescent="0.35">
      <c r="A3043" s="4">
        <v>46021.470925925925</v>
      </c>
      <c r="B3043">
        <v>20110324</v>
      </c>
      <c r="C3043" s="6" t="s">
        <v>19</v>
      </c>
      <c r="D3043">
        <v>600656</v>
      </c>
      <c r="E3043" t="s">
        <v>20</v>
      </c>
      <c r="F3043">
        <v>1022922705</v>
      </c>
      <c r="G3043" t="s">
        <v>1396</v>
      </c>
      <c r="H3043">
        <v>100240126</v>
      </c>
      <c r="I3043">
        <v>202631</v>
      </c>
      <c r="J3043">
        <v>1022922705</v>
      </c>
      <c r="K3043" t="s">
        <v>23</v>
      </c>
      <c r="L3043" t="s">
        <v>207</v>
      </c>
      <c r="M3043" t="s">
        <v>24</v>
      </c>
      <c r="N3043" t="s">
        <v>35</v>
      </c>
      <c r="O3043" t="s">
        <v>26</v>
      </c>
      <c r="P3043" t="s">
        <v>27</v>
      </c>
      <c r="Q3043" t="s">
        <v>28</v>
      </c>
      <c r="R3043" t="s">
        <v>29</v>
      </c>
      <c r="S3043" t="s">
        <v>30</v>
      </c>
      <c r="T3043">
        <v>1001192723</v>
      </c>
      <c r="U3043" t="s">
        <v>3941</v>
      </c>
      <c r="V3043" t="s">
        <v>3934</v>
      </c>
      <c r="W3043" s="9">
        <f>IF(V3043="pregrado",31,
IF(V3043="posgrados",31,
IF(V3043="rEINTEGROS",7,
IF(V3043="BIT",90,
IF(V3043="OP GRADO - INGLÉS",17,"")))))</f>
        <v>31</v>
      </c>
      <c r="X3043" t="s">
        <v>3940</v>
      </c>
    </row>
    <row r="3044" spans="1:24" ht="15" x14ac:dyDescent="0.35">
      <c r="A3044" s="4">
        <v>46021.715891203705</v>
      </c>
      <c r="B3044">
        <v>20110485</v>
      </c>
      <c r="C3044" s="6" t="s">
        <v>19</v>
      </c>
      <c r="D3044">
        <v>600659</v>
      </c>
      <c r="E3044" t="s">
        <v>20</v>
      </c>
      <c r="F3044">
        <v>1128904772</v>
      </c>
      <c r="G3044" t="s">
        <v>1424</v>
      </c>
      <c r="H3044">
        <v>100240128</v>
      </c>
      <c r="I3044">
        <v>202631</v>
      </c>
      <c r="J3044">
        <v>1128904772</v>
      </c>
      <c r="K3044" t="s">
        <v>33</v>
      </c>
      <c r="L3044" t="s">
        <v>207</v>
      </c>
      <c r="M3044" t="s">
        <v>24</v>
      </c>
      <c r="N3044" t="s">
        <v>25</v>
      </c>
      <c r="O3044" t="s">
        <v>26</v>
      </c>
      <c r="P3044" t="s">
        <v>27</v>
      </c>
      <c r="Q3044" t="s">
        <v>28</v>
      </c>
      <c r="R3044" t="s">
        <v>29</v>
      </c>
      <c r="S3044" t="s">
        <v>30</v>
      </c>
      <c r="T3044">
        <v>1018455773</v>
      </c>
      <c r="U3044" t="s">
        <v>3986</v>
      </c>
      <c r="V3044" t="s">
        <v>3934</v>
      </c>
      <c r="W3044" s="9">
        <f>IF(V3044="pregrado",31,
IF(V3044="posgrados",31,
IF(V3044="rEINTEGROS",7,
IF(V3044="BIT",90,
IF(V3044="OP GRADO - INGLÉS",17,"")))))</f>
        <v>31</v>
      </c>
      <c r="X3044" t="s">
        <v>4101</v>
      </c>
    </row>
    <row r="3045" spans="1:24" ht="15" x14ac:dyDescent="0.35">
      <c r="A3045" s="4">
        <v>46021.472280092596</v>
      </c>
      <c r="B3045">
        <v>20110326</v>
      </c>
      <c r="C3045" s="6" t="s">
        <v>19</v>
      </c>
      <c r="D3045">
        <v>600665</v>
      </c>
      <c r="E3045" t="s">
        <v>20</v>
      </c>
      <c r="F3045">
        <v>1003245740</v>
      </c>
      <c r="G3045" t="s">
        <v>1397</v>
      </c>
      <c r="H3045">
        <v>100240134</v>
      </c>
      <c r="I3045">
        <v>202631</v>
      </c>
      <c r="J3045">
        <v>1003245740</v>
      </c>
      <c r="K3045" t="s">
        <v>23</v>
      </c>
      <c r="L3045" t="s">
        <v>219</v>
      </c>
      <c r="M3045" t="s">
        <v>24</v>
      </c>
      <c r="N3045" t="s">
        <v>35</v>
      </c>
      <c r="O3045" t="s">
        <v>26</v>
      </c>
      <c r="P3045" t="s">
        <v>27</v>
      </c>
      <c r="Q3045" t="s">
        <v>28</v>
      </c>
      <c r="R3045" t="s">
        <v>29</v>
      </c>
      <c r="S3045" t="s">
        <v>30</v>
      </c>
      <c r="T3045">
        <v>1023367706</v>
      </c>
      <c r="U3045" t="s">
        <v>3963</v>
      </c>
      <c r="V3045" t="s">
        <v>3934</v>
      </c>
      <c r="W3045" s="9">
        <f>IF(V3045="pregrado",31,
IF(V3045="posgrados",31,
IF(V3045="rEINTEGROS",7,
IF(V3045="BIT",90,
IF(V3045="OP GRADO - INGLÉS",17,"")))))</f>
        <v>31</v>
      </c>
      <c r="X3045" t="s">
        <v>4039</v>
      </c>
    </row>
    <row r="3046" spans="1:24" ht="15" x14ac:dyDescent="0.35">
      <c r="A3046" s="4">
        <v>46035.575138888889</v>
      </c>
      <c r="B3046">
        <v>20112596</v>
      </c>
      <c r="C3046" s="6" t="s">
        <v>19</v>
      </c>
      <c r="D3046">
        <v>600682</v>
      </c>
      <c r="E3046" t="s">
        <v>20</v>
      </c>
      <c r="F3046">
        <v>1001967710</v>
      </c>
      <c r="G3046" t="s">
        <v>1703</v>
      </c>
      <c r="H3046">
        <v>100237776</v>
      </c>
      <c r="I3046">
        <v>202631</v>
      </c>
      <c r="J3046">
        <v>1001967710</v>
      </c>
      <c r="K3046" t="s">
        <v>23</v>
      </c>
      <c r="L3046" t="s">
        <v>127</v>
      </c>
      <c r="M3046" t="s">
        <v>24</v>
      </c>
      <c r="N3046" t="s">
        <v>35</v>
      </c>
      <c r="O3046" t="s">
        <v>26</v>
      </c>
      <c r="P3046" t="s">
        <v>27</v>
      </c>
      <c r="Q3046" t="s">
        <v>28</v>
      </c>
      <c r="R3046" t="s">
        <v>29</v>
      </c>
      <c r="S3046" t="s">
        <v>30</v>
      </c>
      <c r="T3046">
        <v>1001315142</v>
      </c>
      <c r="U3046" t="s">
        <v>3986</v>
      </c>
      <c r="V3046" t="s">
        <v>3934</v>
      </c>
      <c r="W3046" s="9">
        <f>IF(V3046="pregrado",31,
IF(V3046="posgrados",31,
IF(V3046="rEINTEGROS",7,
IF(V3046="BIT",90,
IF(V3046="OP GRADO - INGLÉS",17,"")))))</f>
        <v>31</v>
      </c>
      <c r="X3046" t="s">
        <v>4064</v>
      </c>
    </row>
    <row r="3047" spans="1:24" ht="15" x14ac:dyDescent="0.35">
      <c r="A3047" s="4">
        <v>46021.566319444442</v>
      </c>
      <c r="B3047">
        <v>20110386</v>
      </c>
      <c r="C3047" s="6" t="s">
        <v>19</v>
      </c>
      <c r="D3047">
        <v>600683</v>
      </c>
      <c r="E3047" t="s">
        <v>20</v>
      </c>
      <c r="F3047">
        <v>1075653104</v>
      </c>
      <c r="G3047" t="s">
        <v>1407</v>
      </c>
      <c r="H3047">
        <v>100240155</v>
      </c>
      <c r="I3047">
        <v>202610</v>
      </c>
      <c r="J3047">
        <v>1075653104</v>
      </c>
      <c r="K3047" t="s">
        <v>23</v>
      </c>
      <c r="L3047" t="s">
        <v>37</v>
      </c>
      <c r="M3047" t="s">
        <v>24</v>
      </c>
      <c r="N3047" t="s">
        <v>35</v>
      </c>
      <c r="O3047" t="s">
        <v>26</v>
      </c>
      <c r="P3047" t="s">
        <v>27</v>
      </c>
      <c r="Q3047" t="s">
        <v>28</v>
      </c>
      <c r="R3047" t="s">
        <v>29</v>
      </c>
      <c r="S3047" t="s">
        <v>30</v>
      </c>
      <c r="T3047">
        <v>53061994</v>
      </c>
      <c r="U3047" t="s">
        <v>3941</v>
      </c>
      <c r="V3047" t="s">
        <v>3934</v>
      </c>
      <c r="W3047" s="9">
        <f>IF(V3047="pregrado",31,
IF(V3047="posgrados",31,
IF(V3047="rEINTEGROS",7,
IF(V3047="BIT",90,
IF(V3047="OP GRADO - INGLÉS",17,"")))))</f>
        <v>31</v>
      </c>
      <c r="X3047" t="s">
        <v>3950</v>
      </c>
    </row>
    <row r="3048" spans="1:24" ht="15" x14ac:dyDescent="0.35">
      <c r="A3048" s="4">
        <v>46021.541516203702</v>
      </c>
      <c r="B3048">
        <v>20110375</v>
      </c>
      <c r="C3048" s="6" t="s">
        <v>19</v>
      </c>
      <c r="D3048">
        <v>600689</v>
      </c>
      <c r="E3048" t="s">
        <v>20</v>
      </c>
      <c r="F3048">
        <v>93449904</v>
      </c>
      <c r="G3048" t="s">
        <v>1404</v>
      </c>
      <c r="H3048">
        <v>200048982</v>
      </c>
      <c r="I3048">
        <v>202631</v>
      </c>
      <c r="J3048">
        <v>93449904</v>
      </c>
      <c r="K3048" t="s">
        <v>23</v>
      </c>
      <c r="L3048" t="s">
        <v>77</v>
      </c>
      <c r="M3048" t="s">
        <v>24</v>
      </c>
      <c r="N3048" t="s">
        <v>35</v>
      </c>
      <c r="O3048" t="s">
        <v>26</v>
      </c>
      <c r="P3048" t="s">
        <v>27</v>
      </c>
      <c r="Q3048" t="s">
        <v>28</v>
      </c>
      <c r="R3048" t="s">
        <v>29</v>
      </c>
      <c r="S3048" t="s">
        <v>30</v>
      </c>
      <c r="T3048">
        <v>52446712</v>
      </c>
      <c r="U3048" t="s">
        <v>3963</v>
      </c>
      <c r="V3048" t="s">
        <v>3934</v>
      </c>
      <c r="W3048" s="9">
        <f>IF(V3048="pregrado",31,
IF(V3048="posgrados",31,
IF(V3048="rEINTEGROS",7,
IF(V3048="BIT",90,
IF(V3048="OP GRADO - INGLÉS",17,"")))))</f>
        <v>31</v>
      </c>
      <c r="X3048" t="s">
        <v>4041</v>
      </c>
    </row>
    <row r="3049" spans="1:24" ht="15" x14ac:dyDescent="0.35">
      <c r="A3049" s="4">
        <v>46022.423414351855</v>
      </c>
      <c r="B3049">
        <v>20110562</v>
      </c>
      <c r="C3049" s="6" t="s">
        <v>19</v>
      </c>
      <c r="D3049">
        <v>600690</v>
      </c>
      <c r="E3049" t="s">
        <v>20</v>
      </c>
      <c r="F3049">
        <v>1067942151</v>
      </c>
      <c r="G3049" t="s">
        <v>1437</v>
      </c>
      <c r="H3049">
        <v>200076400</v>
      </c>
      <c r="I3049">
        <v>202631</v>
      </c>
      <c r="J3049">
        <v>1067942151</v>
      </c>
      <c r="K3049" t="s">
        <v>23</v>
      </c>
      <c r="L3049" t="s">
        <v>77</v>
      </c>
      <c r="M3049" t="s">
        <v>24</v>
      </c>
      <c r="N3049" t="s">
        <v>35</v>
      </c>
      <c r="O3049" t="s">
        <v>26</v>
      </c>
      <c r="P3049" t="s">
        <v>27</v>
      </c>
      <c r="Q3049" t="s">
        <v>28</v>
      </c>
      <c r="R3049" t="s">
        <v>29</v>
      </c>
      <c r="S3049" t="s">
        <v>30</v>
      </c>
      <c r="T3049">
        <v>1000350862</v>
      </c>
      <c r="U3049" t="s">
        <v>3963</v>
      </c>
      <c r="V3049" t="s">
        <v>3934</v>
      </c>
      <c r="W3049" s="9">
        <f>IF(V3049="pregrado",31,
IF(V3049="posgrados",31,
IF(V3049="rEINTEGROS",7,
IF(V3049="BIT",90,
IF(V3049="OP GRADO - INGLÉS",17,"")))))</f>
        <v>31</v>
      </c>
      <c r="X3049" t="s">
        <v>4071</v>
      </c>
    </row>
    <row r="3050" spans="1:24" ht="15" x14ac:dyDescent="0.35">
      <c r="A3050" s="4">
        <v>46041.468194444446</v>
      </c>
      <c r="B3050">
        <v>20114842</v>
      </c>
      <c r="C3050" s="6" t="s">
        <v>19</v>
      </c>
      <c r="D3050">
        <v>600692</v>
      </c>
      <c r="E3050" t="s">
        <v>20</v>
      </c>
      <c r="F3050">
        <v>1121535707</v>
      </c>
      <c r="G3050" t="s">
        <v>1963</v>
      </c>
      <c r="H3050">
        <v>100240158</v>
      </c>
      <c r="I3050">
        <v>202611</v>
      </c>
      <c r="J3050">
        <v>1121535707</v>
      </c>
      <c r="K3050" t="s">
        <v>23</v>
      </c>
      <c r="L3050" t="s">
        <v>221</v>
      </c>
      <c r="M3050" t="s">
        <v>24</v>
      </c>
      <c r="N3050" t="s">
        <v>35</v>
      </c>
      <c r="O3050" t="s">
        <v>26</v>
      </c>
      <c r="P3050" t="s">
        <v>27</v>
      </c>
      <c r="Q3050" t="s">
        <v>28</v>
      </c>
      <c r="R3050" t="s">
        <v>29</v>
      </c>
      <c r="S3050" t="s">
        <v>30</v>
      </c>
      <c r="T3050">
        <v>1015428862</v>
      </c>
      <c r="U3050" t="s">
        <v>3965</v>
      </c>
      <c r="V3050" t="s">
        <v>3934</v>
      </c>
      <c r="W3050" s="9">
        <f>IF(V3050="pregrado",31,
IF(V3050="posgrados",31,
IF(V3050="rEINTEGROS",7,
IF(V3050="BIT",90,
IF(V3050="OP GRADO - INGLÉS",17,"")))))</f>
        <v>31</v>
      </c>
      <c r="X3050" t="s">
        <v>4048</v>
      </c>
    </row>
    <row r="3051" spans="1:24" ht="15" x14ac:dyDescent="0.35">
      <c r="A3051" s="4">
        <v>46022.469282407408</v>
      </c>
      <c r="B3051">
        <v>20110582</v>
      </c>
      <c r="C3051" s="6" t="s">
        <v>19</v>
      </c>
      <c r="D3051">
        <v>600698</v>
      </c>
      <c r="E3051" t="s">
        <v>20</v>
      </c>
      <c r="F3051">
        <v>52286601</v>
      </c>
      <c r="G3051" t="s">
        <v>1442</v>
      </c>
      <c r="H3051">
        <v>100240161</v>
      </c>
      <c r="I3051">
        <v>202610</v>
      </c>
      <c r="J3051">
        <v>1022323517</v>
      </c>
      <c r="K3051" t="s">
        <v>23</v>
      </c>
      <c r="L3051" t="s">
        <v>62</v>
      </c>
      <c r="M3051" t="s">
        <v>24</v>
      </c>
      <c r="N3051" t="s">
        <v>35</v>
      </c>
      <c r="O3051" t="s">
        <v>26</v>
      </c>
      <c r="P3051" t="s">
        <v>27</v>
      </c>
      <c r="Q3051" t="s">
        <v>28</v>
      </c>
      <c r="R3051" t="s">
        <v>29</v>
      </c>
      <c r="S3051" t="s">
        <v>30</v>
      </c>
      <c r="T3051">
        <v>1015482247</v>
      </c>
      <c r="U3051" t="s">
        <v>3944</v>
      </c>
      <c r="V3051" t="s">
        <v>3934</v>
      </c>
      <c r="W3051" s="9">
        <f>IF(V3051="pregrado",31,
IF(V3051="posgrados",31,
IF(V3051="rEINTEGROS",7,
IF(V3051="BIT",90,
IF(V3051="OP GRADO - INGLÉS",17,"")))))</f>
        <v>31</v>
      </c>
      <c r="X3051" t="s">
        <v>3984</v>
      </c>
    </row>
    <row r="3052" spans="1:24" ht="15" x14ac:dyDescent="0.35">
      <c r="A3052" s="4">
        <v>46027.492789351854</v>
      </c>
      <c r="B3052">
        <v>20110900</v>
      </c>
      <c r="C3052" s="6" t="s">
        <v>19</v>
      </c>
      <c r="D3052">
        <v>600701</v>
      </c>
      <c r="E3052" t="s">
        <v>20</v>
      </c>
      <c r="F3052">
        <v>1077456386</v>
      </c>
      <c r="G3052" t="s">
        <v>1478</v>
      </c>
      <c r="H3052">
        <v>100240163</v>
      </c>
      <c r="I3052">
        <v>202611</v>
      </c>
      <c r="J3052">
        <v>1077456386</v>
      </c>
      <c r="K3052" t="s">
        <v>23</v>
      </c>
      <c r="L3052" t="s">
        <v>227</v>
      </c>
      <c r="M3052" t="s">
        <v>24</v>
      </c>
      <c r="N3052" t="s">
        <v>35</v>
      </c>
      <c r="O3052" t="s">
        <v>26</v>
      </c>
      <c r="P3052" t="s">
        <v>27</v>
      </c>
      <c r="Q3052" t="s">
        <v>28</v>
      </c>
      <c r="R3052" t="s">
        <v>29</v>
      </c>
      <c r="S3052" t="s">
        <v>30</v>
      </c>
      <c r="T3052">
        <v>1073692626</v>
      </c>
      <c r="U3052" t="s">
        <v>3965</v>
      </c>
      <c r="V3052" t="s">
        <v>3934</v>
      </c>
      <c r="W3052" s="9">
        <f>IF(V3052="pregrado",31,
IF(V3052="posgrados",31,
IF(V3052="rEINTEGROS",7,
IF(V3052="BIT",90,
IF(V3052="OP GRADO - INGLÉS",17,"")))))</f>
        <v>31</v>
      </c>
      <c r="X3052" t="s">
        <v>4014</v>
      </c>
    </row>
    <row r="3053" spans="1:24" ht="15" x14ac:dyDescent="0.35">
      <c r="A3053" s="4">
        <v>46021.623194444444</v>
      </c>
      <c r="B3053">
        <v>20110423</v>
      </c>
      <c r="C3053" s="6" t="s">
        <v>19</v>
      </c>
      <c r="D3053">
        <v>600706</v>
      </c>
      <c r="E3053" t="s">
        <v>20</v>
      </c>
      <c r="F3053">
        <v>1000586535</v>
      </c>
      <c r="G3053" t="s">
        <v>1415</v>
      </c>
      <c r="H3053">
        <v>100240171</v>
      </c>
      <c r="I3053">
        <v>202631</v>
      </c>
      <c r="J3053">
        <v>1000586535</v>
      </c>
      <c r="K3053" t="s">
        <v>33</v>
      </c>
      <c r="L3053" t="s">
        <v>207</v>
      </c>
      <c r="M3053" t="s">
        <v>24</v>
      </c>
      <c r="N3053" t="s">
        <v>38</v>
      </c>
      <c r="O3053" t="s">
        <v>26</v>
      </c>
      <c r="P3053" t="s">
        <v>27</v>
      </c>
      <c r="Q3053" t="s">
        <v>28</v>
      </c>
      <c r="R3053" t="s">
        <v>29</v>
      </c>
      <c r="S3053" t="s">
        <v>30</v>
      </c>
      <c r="T3053">
        <v>1023970223</v>
      </c>
      <c r="U3053" t="s">
        <v>3933</v>
      </c>
      <c r="V3053" t="s">
        <v>3934</v>
      </c>
      <c r="W3053" s="9">
        <f>IF(V3053="pregrado",31,
IF(V3053="posgrados",31,
IF(V3053="rEINTEGROS",7,
IF(V3053="BIT",90,
IF(V3053="OP GRADO - INGLÉS",17,"")))))</f>
        <v>31</v>
      </c>
      <c r="X3053" t="s">
        <v>4070</v>
      </c>
    </row>
    <row r="3054" spans="1:24" ht="15" x14ac:dyDescent="0.35">
      <c r="A3054" s="4">
        <v>46021.572708333333</v>
      </c>
      <c r="B3054">
        <v>20110392</v>
      </c>
      <c r="C3054" s="6" t="s">
        <v>19</v>
      </c>
      <c r="D3054">
        <v>600712</v>
      </c>
      <c r="E3054" t="s">
        <v>20</v>
      </c>
      <c r="F3054">
        <v>1001287805</v>
      </c>
      <c r="G3054" t="s">
        <v>1409</v>
      </c>
      <c r="H3054">
        <v>100240180</v>
      </c>
      <c r="I3054">
        <v>202631</v>
      </c>
      <c r="J3054">
        <v>1001287805</v>
      </c>
      <c r="K3054" t="s">
        <v>33</v>
      </c>
      <c r="L3054" t="s">
        <v>90</v>
      </c>
      <c r="M3054" t="s">
        <v>24</v>
      </c>
      <c r="N3054" t="s">
        <v>38</v>
      </c>
      <c r="O3054" t="s">
        <v>26</v>
      </c>
      <c r="P3054" t="s">
        <v>27</v>
      </c>
      <c r="Q3054" t="s">
        <v>28</v>
      </c>
      <c r="R3054" t="s">
        <v>29</v>
      </c>
      <c r="S3054" t="s">
        <v>30</v>
      </c>
      <c r="T3054">
        <v>1023921046</v>
      </c>
      <c r="U3054" t="s">
        <v>3933</v>
      </c>
      <c r="V3054" t="s">
        <v>3934</v>
      </c>
      <c r="W3054" s="9">
        <f>IF(V3054="pregrado",31,
IF(V3054="posgrados",31,
IF(V3054="rEINTEGROS",7,
IF(V3054="BIT",90,
IF(V3054="OP GRADO - INGLÉS",17,"")))))</f>
        <v>31</v>
      </c>
      <c r="X3054" t="s">
        <v>4043</v>
      </c>
    </row>
    <row r="3055" spans="1:24" ht="15" x14ac:dyDescent="0.35">
      <c r="A3055" s="4">
        <v>46022.576064814813</v>
      </c>
      <c r="B3055">
        <v>20110610</v>
      </c>
      <c r="C3055" s="6" t="s">
        <v>19</v>
      </c>
      <c r="D3055">
        <v>600715</v>
      </c>
      <c r="E3055" t="s">
        <v>20</v>
      </c>
      <c r="F3055">
        <v>23783411</v>
      </c>
      <c r="G3055" t="s">
        <v>1448</v>
      </c>
      <c r="H3055">
        <v>100240183</v>
      </c>
      <c r="I3055">
        <v>202611</v>
      </c>
      <c r="J3055">
        <v>23783411</v>
      </c>
      <c r="K3055" t="s">
        <v>23</v>
      </c>
      <c r="L3055" t="s">
        <v>221</v>
      </c>
      <c r="M3055" t="s">
        <v>24</v>
      </c>
      <c r="N3055" t="s">
        <v>35</v>
      </c>
      <c r="O3055" t="s">
        <v>26</v>
      </c>
      <c r="P3055" t="s">
        <v>27</v>
      </c>
      <c r="Q3055" t="s">
        <v>28</v>
      </c>
      <c r="R3055" t="s">
        <v>29</v>
      </c>
      <c r="S3055" t="s">
        <v>30</v>
      </c>
      <c r="T3055">
        <v>1013662799</v>
      </c>
      <c r="U3055" t="s">
        <v>3965</v>
      </c>
      <c r="V3055" t="s">
        <v>3934</v>
      </c>
      <c r="W3055" s="9">
        <f>IF(V3055="pregrado",31,
IF(V3055="posgrados",31,
IF(V3055="rEINTEGROS",7,
IF(V3055="BIT",90,
IF(V3055="OP GRADO - INGLÉS",17,"")))))</f>
        <v>31</v>
      </c>
      <c r="X3055" t="s">
        <v>4021</v>
      </c>
    </row>
    <row r="3056" spans="1:24" ht="15" x14ac:dyDescent="0.35">
      <c r="A3056" s="4">
        <v>46073.681250000001</v>
      </c>
      <c r="B3056">
        <v>20125353</v>
      </c>
      <c r="C3056" s="6" t="s">
        <v>19</v>
      </c>
      <c r="D3056">
        <v>600717</v>
      </c>
      <c r="E3056" t="s">
        <v>20</v>
      </c>
      <c r="F3056">
        <v>24370216</v>
      </c>
      <c r="G3056" t="s">
        <v>3488</v>
      </c>
      <c r="H3056">
        <v>100240186</v>
      </c>
      <c r="I3056">
        <v>202631</v>
      </c>
      <c r="J3056">
        <v>1038647877</v>
      </c>
      <c r="K3056" t="s">
        <v>33</v>
      </c>
      <c r="L3056" t="s">
        <v>219</v>
      </c>
      <c r="M3056" t="s">
        <v>24</v>
      </c>
      <c r="N3056" t="s">
        <v>35</v>
      </c>
      <c r="O3056" t="s">
        <v>26</v>
      </c>
      <c r="P3056" t="s">
        <v>27</v>
      </c>
      <c r="Q3056" t="s">
        <v>28</v>
      </c>
      <c r="R3056" t="s">
        <v>29</v>
      </c>
      <c r="S3056" t="s">
        <v>30</v>
      </c>
      <c r="T3056">
        <v>1000350862</v>
      </c>
      <c r="U3056" t="s">
        <v>3963</v>
      </c>
      <c r="V3056" t="s">
        <v>3934</v>
      </c>
      <c r="W3056" s="9">
        <f>IF(V3056="pregrado",31,
IF(V3056="posgrados",31,
IF(V3056="rEINTEGROS",7,
IF(V3056="BIT",90,
IF(V3056="OP GRADO - INGLÉS",17,"")))))</f>
        <v>31</v>
      </c>
      <c r="X3056" t="s">
        <v>4071</v>
      </c>
    </row>
    <row r="3057" spans="1:24" ht="15" x14ac:dyDescent="0.35">
      <c r="A3057" s="4">
        <v>46022.430798611109</v>
      </c>
      <c r="B3057">
        <v>20110569</v>
      </c>
      <c r="C3057" s="6" t="s">
        <v>19</v>
      </c>
      <c r="D3057">
        <v>600718</v>
      </c>
      <c r="E3057" t="s">
        <v>20</v>
      </c>
      <c r="F3057">
        <v>19955125</v>
      </c>
      <c r="G3057" t="s">
        <v>1439</v>
      </c>
      <c r="H3057">
        <v>100057328</v>
      </c>
      <c r="I3057">
        <v>202611</v>
      </c>
      <c r="J3057">
        <v>19955125</v>
      </c>
      <c r="K3057" t="s">
        <v>23</v>
      </c>
      <c r="L3057" t="s">
        <v>227</v>
      </c>
      <c r="M3057" t="s">
        <v>24</v>
      </c>
      <c r="N3057" t="s">
        <v>35</v>
      </c>
      <c r="O3057" t="s">
        <v>26</v>
      </c>
      <c r="P3057" t="s">
        <v>27</v>
      </c>
      <c r="Q3057" t="s">
        <v>28</v>
      </c>
      <c r="R3057" t="s">
        <v>29</v>
      </c>
      <c r="S3057" t="s">
        <v>30</v>
      </c>
      <c r="T3057">
        <v>10006855461</v>
      </c>
      <c r="U3057" t="s">
        <v>3965</v>
      </c>
      <c r="V3057" t="s">
        <v>3934</v>
      </c>
      <c r="W3057" s="9">
        <f>IF(V3057="pregrado",31,
IF(V3057="posgrados",31,
IF(V3057="rEINTEGROS",7,
IF(V3057="BIT",90,
IF(V3057="OP GRADO - INGLÉS",17,"")))))</f>
        <v>31</v>
      </c>
      <c r="X3057" t="s">
        <v>3993</v>
      </c>
    </row>
    <row r="3058" spans="1:24" ht="15" x14ac:dyDescent="0.35">
      <c r="A3058" s="4">
        <v>46029.378159722219</v>
      </c>
      <c r="B3058">
        <v>20111351</v>
      </c>
      <c r="C3058" s="6" t="s">
        <v>19</v>
      </c>
      <c r="D3058">
        <v>600720</v>
      </c>
      <c r="E3058" t="s">
        <v>20</v>
      </c>
      <c r="F3058">
        <v>79717958</v>
      </c>
      <c r="G3058" t="s">
        <v>1543</v>
      </c>
      <c r="H3058">
        <v>100240188</v>
      </c>
      <c r="I3058">
        <v>202631</v>
      </c>
      <c r="J3058">
        <v>1073527211</v>
      </c>
      <c r="K3058" t="s">
        <v>33</v>
      </c>
      <c r="L3058" t="s">
        <v>240</v>
      </c>
      <c r="M3058" t="s">
        <v>24</v>
      </c>
      <c r="N3058" t="s">
        <v>25</v>
      </c>
      <c r="O3058" t="s">
        <v>26</v>
      </c>
      <c r="P3058" t="s">
        <v>27</v>
      </c>
      <c r="Q3058" t="s">
        <v>28</v>
      </c>
      <c r="R3058" t="s">
        <v>29</v>
      </c>
      <c r="S3058" t="s">
        <v>30</v>
      </c>
      <c r="T3058">
        <v>52392617</v>
      </c>
      <c r="U3058" t="s">
        <v>3965</v>
      </c>
      <c r="V3058" t="s">
        <v>3934</v>
      </c>
      <c r="W3058" s="9">
        <f>IF(V3058="pregrado",31,
IF(V3058="posgrados",31,
IF(V3058="rEINTEGROS",7,
IF(V3058="BIT",90,
IF(V3058="OP GRADO - INGLÉS",17,"")))))</f>
        <v>31</v>
      </c>
      <c r="X3058" t="s">
        <v>4053</v>
      </c>
    </row>
    <row r="3059" spans="1:24" ht="15" x14ac:dyDescent="0.35">
      <c r="A3059" s="4">
        <v>46021.641851851855</v>
      </c>
      <c r="B3059">
        <v>20110427</v>
      </c>
      <c r="C3059" s="6" t="s">
        <v>19</v>
      </c>
      <c r="D3059">
        <v>600724</v>
      </c>
      <c r="E3059" t="s">
        <v>20</v>
      </c>
      <c r="F3059">
        <v>1118805209</v>
      </c>
      <c r="G3059" t="s">
        <v>1417</v>
      </c>
      <c r="H3059">
        <v>100240192</v>
      </c>
      <c r="I3059">
        <v>202610</v>
      </c>
      <c r="J3059">
        <v>1118805209</v>
      </c>
      <c r="K3059" t="s">
        <v>189</v>
      </c>
      <c r="L3059" t="s">
        <v>37</v>
      </c>
      <c r="M3059" t="s">
        <v>24</v>
      </c>
      <c r="N3059" t="s">
        <v>25</v>
      </c>
      <c r="O3059" t="s">
        <v>26</v>
      </c>
      <c r="P3059" t="s">
        <v>27</v>
      </c>
      <c r="Q3059" t="s">
        <v>28</v>
      </c>
      <c r="R3059" t="s">
        <v>29</v>
      </c>
      <c r="S3059" t="s">
        <v>30</v>
      </c>
      <c r="T3059">
        <v>1013662799</v>
      </c>
      <c r="U3059" t="s">
        <v>3965</v>
      </c>
      <c r="V3059" t="s">
        <v>3934</v>
      </c>
      <c r="W3059" s="9">
        <f>IF(V3059="pregrado",31,
IF(V3059="posgrados",31,
IF(V3059="rEINTEGROS",7,
IF(V3059="BIT",90,
IF(V3059="OP GRADO - INGLÉS",17,"")))))</f>
        <v>31</v>
      </c>
      <c r="X3059" t="s">
        <v>4021</v>
      </c>
    </row>
    <row r="3060" spans="1:24" ht="15" x14ac:dyDescent="0.35">
      <c r="A3060" s="4">
        <v>46024.40552083333</v>
      </c>
      <c r="B3060">
        <v>20110670</v>
      </c>
      <c r="C3060" s="6" t="s">
        <v>19</v>
      </c>
      <c r="D3060">
        <v>600729</v>
      </c>
      <c r="E3060" t="s">
        <v>20</v>
      </c>
      <c r="F3060">
        <v>52020314</v>
      </c>
      <c r="G3060" t="s">
        <v>1455</v>
      </c>
      <c r="H3060">
        <v>100240199</v>
      </c>
      <c r="I3060">
        <v>202610</v>
      </c>
      <c r="J3060">
        <v>1033817949</v>
      </c>
      <c r="K3060" t="s">
        <v>33</v>
      </c>
      <c r="L3060" t="s">
        <v>37</v>
      </c>
      <c r="M3060" t="s">
        <v>24</v>
      </c>
      <c r="N3060" t="s">
        <v>25</v>
      </c>
      <c r="O3060" t="s">
        <v>26</v>
      </c>
      <c r="P3060" t="s">
        <v>27</v>
      </c>
      <c r="Q3060" t="s">
        <v>28</v>
      </c>
      <c r="R3060" t="s">
        <v>29</v>
      </c>
      <c r="S3060" t="s">
        <v>30</v>
      </c>
      <c r="T3060">
        <v>1118531834</v>
      </c>
      <c r="U3060" t="s">
        <v>3941</v>
      </c>
      <c r="V3060" t="s">
        <v>3934</v>
      </c>
      <c r="W3060" s="9">
        <f>IF(V3060="pregrado",31,
IF(V3060="posgrados",31,
IF(V3060="rEINTEGROS",7,
IF(V3060="BIT",90,
IF(V3060="OP GRADO - INGLÉS",17,"")))))</f>
        <v>31</v>
      </c>
      <c r="X3060" t="s">
        <v>3996</v>
      </c>
    </row>
    <row r="3061" spans="1:24" ht="15" x14ac:dyDescent="0.35">
      <c r="A3061" s="4">
        <v>46022.452060185184</v>
      </c>
      <c r="B3061">
        <v>20110575</v>
      </c>
      <c r="C3061" s="6" t="s">
        <v>19</v>
      </c>
      <c r="D3061">
        <v>600731</v>
      </c>
      <c r="E3061" t="s">
        <v>20</v>
      </c>
      <c r="F3061">
        <v>1073153059</v>
      </c>
      <c r="G3061" t="s">
        <v>1441</v>
      </c>
      <c r="H3061">
        <v>100240202</v>
      </c>
      <c r="I3061">
        <v>202611</v>
      </c>
      <c r="J3061">
        <v>1073237608</v>
      </c>
      <c r="K3061" t="s">
        <v>23</v>
      </c>
      <c r="L3061" t="s">
        <v>227</v>
      </c>
      <c r="M3061" t="s">
        <v>24</v>
      </c>
      <c r="N3061" t="s">
        <v>25</v>
      </c>
      <c r="O3061" t="s">
        <v>26</v>
      </c>
      <c r="P3061" t="s">
        <v>27</v>
      </c>
      <c r="Q3061" t="s">
        <v>28</v>
      </c>
      <c r="R3061" t="s">
        <v>29</v>
      </c>
      <c r="S3061" t="s">
        <v>30</v>
      </c>
      <c r="T3061">
        <v>1073692626</v>
      </c>
      <c r="U3061" t="s">
        <v>3965</v>
      </c>
      <c r="V3061" t="s">
        <v>3934</v>
      </c>
      <c r="W3061" s="9">
        <f>IF(V3061="pregrado",31,
IF(V3061="posgrados",31,
IF(V3061="rEINTEGROS",7,
IF(V3061="BIT",90,
IF(V3061="OP GRADO - INGLÉS",17,"")))))</f>
        <v>31</v>
      </c>
      <c r="X3061" t="s">
        <v>4014</v>
      </c>
    </row>
    <row r="3062" spans="1:24" ht="15" x14ac:dyDescent="0.35">
      <c r="A3062" s="4">
        <v>46038.440428240741</v>
      </c>
      <c r="B3062">
        <v>20114114</v>
      </c>
      <c r="C3062" s="6" t="s">
        <v>19</v>
      </c>
      <c r="D3062">
        <v>600741</v>
      </c>
      <c r="E3062" t="s">
        <v>20</v>
      </c>
      <c r="F3062">
        <v>20851785</v>
      </c>
      <c r="G3062" t="s">
        <v>1885</v>
      </c>
      <c r="H3062">
        <v>100034376</v>
      </c>
      <c r="I3062">
        <v>202631</v>
      </c>
      <c r="J3062">
        <v>20851785</v>
      </c>
      <c r="K3062" t="s">
        <v>33</v>
      </c>
      <c r="L3062" t="s">
        <v>119</v>
      </c>
      <c r="M3062" t="s">
        <v>24</v>
      </c>
      <c r="N3062" t="s">
        <v>35</v>
      </c>
      <c r="O3062" t="s">
        <v>26</v>
      </c>
      <c r="P3062" t="s">
        <v>27</v>
      </c>
      <c r="Q3062" t="s">
        <v>28</v>
      </c>
      <c r="R3062" t="s">
        <v>29</v>
      </c>
      <c r="S3062" t="s">
        <v>30</v>
      </c>
      <c r="T3062">
        <v>52446712</v>
      </c>
      <c r="U3062" t="s">
        <v>3963</v>
      </c>
      <c r="V3062" t="s">
        <v>3934</v>
      </c>
      <c r="W3062" s="9">
        <f>IF(V3062="pregrado",31,
IF(V3062="posgrados",31,
IF(V3062="rEINTEGROS",7,
IF(V3062="BIT",90,
IF(V3062="OP GRADO - INGLÉS",17,"")))))</f>
        <v>31</v>
      </c>
      <c r="X3062" t="s">
        <v>4041</v>
      </c>
    </row>
    <row r="3063" spans="1:24" ht="15" x14ac:dyDescent="0.35">
      <c r="A3063" s="4">
        <v>46028.420081018521</v>
      </c>
      <c r="B3063">
        <v>20111118</v>
      </c>
      <c r="C3063" s="6" t="s">
        <v>19</v>
      </c>
      <c r="D3063">
        <v>600750</v>
      </c>
      <c r="E3063" t="s">
        <v>20</v>
      </c>
      <c r="F3063">
        <v>36095171</v>
      </c>
      <c r="G3063" t="s">
        <v>1506</v>
      </c>
      <c r="H3063">
        <v>100240221</v>
      </c>
      <c r="I3063">
        <v>202610</v>
      </c>
      <c r="J3063">
        <v>1023877684</v>
      </c>
      <c r="K3063" t="s">
        <v>23</v>
      </c>
      <c r="L3063" t="s">
        <v>153</v>
      </c>
      <c r="M3063" t="s">
        <v>24</v>
      </c>
      <c r="N3063" t="s">
        <v>35</v>
      </c>
      <c r="O3063" t="s">
        <v>26</v>
      </c>
      <c r="P3063" t="s">
        <v>27</v>
      </c>
      <c r="Q3063" t="s">
        <v>28</v>
      </c>
      <c r="R3063" t="s">
        <v>29</v>
      </c>
      <c r="S3063" t="s">
        <v>30</v>
      </c>
      <c r="T3063">
        <v>52392617</v>
      </c>
      <c r="U3063" t="s">
        <v>3965</v>
      </c>
      <c r="V3063" t="s">
        <v>3934</v>
      </c>
      <c r="W3063" s="9">
        <f>IF(V3063="pregrado",31,
IF(V3063="posgrados",31,
IF(V3063="rEINTEGROS",7,
IF(V3063="BIT",90,
IF(V3063="OP GRADO - INGLÉS",17,"")))))</f>
        <v>31</v>
      </c>
      <c r="X3063" t="s">
        <v>4053</v>
      </c>
    </row>
    <row r="3064" spans="1:24" ht="15" x14ac:dyDescent="0.35">
      <c r="A3064" s="4">
        <v>46024.366620370369</v>
      </c>
      <c r="B3064">
        <v>20110664</v>
      </c>
      <c r="C3064" s="6" t="s">
        <v>19</v>
      </c>
      <c r="D3064">
        <v>600759</v>
      </c>
      <c r="E3064" t="s">
        <v>20</v>
      </c>
      <c r="F3064">
        <v>1124044168</v>
      </c>
      <c r="G3064" t="s">
        <v>1454</v>
      </c>
      <c r="H3064">
        <v>200077000</v>
      </c>
      <c r="I3064">
        <v>202631</v>
      </c>
      <c r="J3064">
        <v>1124044168</v>
      </c>
      <c r="K3064" t="s">
        <v>23</v>
      </c>
      <c r="L3064" t="s">
        <v>22</v>
      </c>
      <c r="M3064" t="s">
        <v>24</v>
      </c>
      <c r="N3064" t="s">
        <v>35</v>
      </c>
      <c r="O3064" t="s">
        <v>26</v>
      </c>
      <c r="P3064" t="s">
        <v>27</v>
      </c>
      <c r="Q3064" t="s">
        <v>28</v>
      </c>
      <c r="R3064" t="s">
        <v>29</v>
      </c>
      <c r="S3064" t="s">
        <v>30</v>
      </c>
      <c r="T3064">
        <v>1010240716</v>
      </c>
      <c r="U3064" t="s">
        <v>3939</v>
      </c>
      <c r="V3064" t="s">
        <v>3934</v>
      </c>
      <c r="W3064" s="9">
        <f>IF(V3064="pregrado",31,
IF(V3064="posgrados",31,
IF(V3064="rEINTEGROS",7,
IF(V3064="BIT",90,
IF(V3064="OP GRADO - INGLÉS",17,"")))))</f>
        <v>31</v>
      </c>
      <c r="X3064" t="s">
        <v>3938</v>
      </c>
    </row>
    <row r="3065" spans="1:24" ht="15" x14ac:dyDescent="0.35">
      <c r="A3065" s="4">
        <v>46021.727453703701</v>
      </c>
      <c r="B3065">
        <v>20110491</v>
      </c>
      <c r="C3065" s="6" t="s">
        <v>19</v>
      </c>
      <c r="D3065">
        <v>600797</v>
      </c>
      <c r="E3065" t="s">
        <v>20</v>
      </c>
      <c r="F3065">
        <v>1111123882</v>
      </c>
      <c r="G3065" t="s">
        <v>1425</v>
      </c>
      <c r="H3065">
        <v>100235872</v>
      </c>
      <c r="I3065">
        <v>202610</v>
      </c>
      <c r="J3065">
        <v>1111123882</v>
      </c>
      <c r="K3065" t="s">
        <v>33</v>
      </c>
      <c r="L3065" t="s">
        <v>40</v>
      </c>
      <c r="M3065" t="s">
        <v>24</v>
      </c>
      <c r="N3065" t="s">
        <v>25</v>
      </c>
      <c r="O3065" t="s">
        <v>26</v>
      </c>
      <c r="P3065" t="s">
        <v>27</v>
      </c>
      <c r="Q3065" t="s">
        <v>28</v>
      </c>
      <c r="R3065" t="s">
        <v>29</v>
      </c>
      <c r="S3065" t="s">
        <v>30</v>
      </c>
      <c r="T3065">
        <v>1019115186</v>
      </c>
      <c r="U3065" t="s">
        <v>3941</v>
      </c>
      <c r="V3065" t="s">
        <v>3934</v>
      </c>
      <c r="W3065" s="9">
        <f>IF(V3065="pregrado",31,
IF(V3065="posgrados",31,
IF(V3065="rEINTEGROS",7,
IF(V3065="BIT",90,
IF(V3065="OP GRADO - INGLÉS",17,"")))))</f>
        <v>31</v>
      </c>
      <c r="X3065" t="s">
        <v>4005</v>
      </c>
    </row>
    <row r="3066" spans="1:24" ht="15" x14ac:dyDescent="0.35">
      <c r="A3066" s="4">
        <v>46021.796493055554</v>
      </c>
      <c r="B3066">
        <v>20110521</v>
      </c>
      <c r="C3066" s="6" t="s">
        <v>19</v>
      </c>
      <c r="D3066">
        <v>600803</v>
      </c>
      <c r="E3066" t="s">
        <v>20</v>
      </c>
      <c r="F3066">
        <v>52054437</v>
      </c>
      <c r="G3066" t="s">
        <v>1432</v>
      </c>
      <c r="H3066">
        <v>100167176</v>
      </c>
      <c r="I3066">
        <v>202631</v>
      </c>
      <c r="J3066">
        <v>1073165640</v>
      </c>
      <c r="K3066" t="s">
        <v>23</v>
      </c>
      <c r="L3066" t="s">
        <v>86</v>
      </c>
      <c r="M3066" t="s">
        <v>87</v>
      </c>
      <c r="N3066" t="s">
        <v>35</v>
      </c>
      <c r="O3066" t="s">
        <v>26</v>
      </c>
      <c r="P3066" t="s">
        <v>27</v>
      </c>
      <c r="Q3066" t="s">
        <v>28</v>
      </c>
      <c r="R3066" t="s">
        <v>29</v>
      </c>
      <c r="S3066" t="s">
        <v>30</v>
      </c>
      <c r="T3066">
        <v>1018496066</v>
      </c>
      <c r="U3066" t="s">
        <v>3939</v>
      </c>
      <c r="V3066" t="s">
        <v>3934</v>
      </c>
      <c r="W3066" s="9">
        <f>IF(V3066="pregrado",31,
IF(V3066="posgrados",31,
IF(V3066="rEINTEGROS",7,
IF(V3066="BIT",90,
IF(V3066="OP GRADO - INGLÉS",17,"")))))</f>
        <v>31</v>
      </c>
      <c r="X3066" t="s">
        <v>4006</v>
      </c>
    </row>
    <row r="3067" spans="1:24" ht="15" x14ac:dyDescent="0.35">
      <c r="A3067" s="4">
        <v>46022.664305555554</v>
      </c>
      <c r="B3067">
        <v>20110621</v>
      </c>
      <c r="C3067" s="6" t="s">
        <v>19</v>
      </c>
      <c r="D3067">
        <v>600811</v>
      </c>
      <c r="E3067" t="s">
        <v>20</v>
      </c>
      <c r="F3067">
        <v>1034778463</v>
      </c>
      <c r="G3067" t="s">
        <v>1452</v>
      </c>
      <c r="H3067">
        <v>100240232</v>
      </c>
      <c r="I3067">
        <v>202610</v>
      </c>
      <c r="J3067">
        <v>1034778463</v>
      </c>
      <c r="K3067" t="s">
        <v>33</v>
      </c>
      <c r="L3067" t="s">
        <v>37</v>
      </c>
      <c r="M3067" t="s">
        <v>24</v>
      </c>
      <c r="N3067" t="s">
        <v>25</v>
      </c>
      <c r="O3067" t="s">
        <v>26</v>
      </c>
      <c r="P3067" t="s">
        <v>27</v>
      </c>
      <c r="Q3067" t="s">
        <v>28</v>
      </c>
      <c r="R3067" t="s">
        <v>29</v>
      </c>
      <c r="S3067" t="s">
        <v>30</v>
      </c>
      <c r="T3067">
        <v>1019115186</v>
      </c>
      <c r="U3067" t="s">
        <v>3941</v>
      </c>
      <c r="V3067" t="s">
        <v>3934</v>
      </c>
      <c r="W3067" s="9">
        <f>IF(V3067="pregrado",31,
IF(V3067="posgrados",31,
IF(V3067="rEINTEGROS",7,
IF(V3067="BIT",90,
IF(V3067="OP GRADO - INGLÉS",17,"")))))</f>
        <v>31</v>
      </c>
      <c r="X3067" t="s">
        <v>4005</v>
      </c>
    </row>
    <row r="3068" spans="1:24" ht="15" x14ac:dyDescent="0.35">
      <c r="A3068" s="4">
        <v>46028.623483796298</v>
      </c>
      <c r="B3068">
        <v>20111231</v>
      </c>
      <c r="C3068" s="6" t="s">
        <v>19</v>
      </c>
      <c r="D3068">
        <v>600817</v>
      </c>
      <c r="E3068" t="s">
        <v>20</v>
      </c>
      <c r="F3068">
        <v>1069256099</v>
      </c>
      <c r="G3068" t="s">
        <v>1525</v>
      </c>
      <c r="H3068">
        <v>100240241</v>
      </c>
      <c r="I3068">
        <v>202631</v>
      </c>
      <c r="J3068">
        <v>1069256099</v>
      </c>
      <c r="K3068" t="s">
        <v>33</v>
      </c>
      <c r="L3068" t="s">
        <v>127</v>
      </c>
      <c r="M3068" t="s">
        <v>24</v>
      </c>
      <c r="N3068" t="s">
        <v>38</v>
      </c>
      <c r="O3068" t="s">
        <v>26</v>
      </c>
      <c r="P3068" t="s">
        <v>27</v>
      </c>
      <c r="Q3068" t="s">
        <v>28</v>
      </c>
      <c r="R3068" t="s">
        <v>29</v>
      </c>
      <c r="S3068" t="s">
        <v>30</v>
      </c>
      <c r="T3068">
        <v>1023929839</v>
      </c>
      <c r="U3068" t="s">
        <v>3933</v>
      </c>
      <c r="V3068" t="s">
        <v>3934</v>
      </c>
      <c r="W3068" s="9">
        <f>IF(V3068="pregrado",31,
IF(V3068="posgrados",31,
IF(V3068="rEINTEGROS",7,
IF(V3068="BIT",90,
IF(V3068="OP GRADO - INGLÉS",17,"")))))</f>
        <v>31</v>
      </c>
      <c r="X3068" t="s">
        <v>3932</v>
      </c>
    </row>
    <row r="3069" spans="1:24" ht="15" x14ac:dyDescent="0.35">
      <c r="A3069" s="4">
        <v>46028.405115740738</v>
      </c>
      <c r="B3069">
        <v>20111115</v>
      </c>
      <c r="C3069" s="6" t="s">
        <v>19</v>
      </c>
      <c r="D3069">
        <v>600819</v>
      </c>
      <c r="E3069" t="s">
        <v>20</v>
      </c>
      <c r="F3069">
        <v>49796787</v>
      </c>
      <c r="G3069" t="s">
        <v>1504</v>
      </c>
      <c r="H3069">
        <v>100240244</v>
      </c>
      <c r="I3069">
        <v>202611</v>
      </c>
      <c r="J3069">
        <v>49796787</v>
      </c>
      <c r="K3069" t="s">
        <v>33</v>
      </c>
      <c r="L3069" t="s">
        <v>204</v>
      </c>
      <c r="M3069" t="s">
        <v>24</v>
      </c>
      <c r="N3069" t="s">
        <v>25</v>
      </c>
      <c r="O3069" t="s">
        <v>26</v>
      </c>
      <c r="P3069" t="s">
        <v>27</v>
      </c>
      <c r="Q3069" t="s">
        <v>28</v>
      </c>
      <c r="R3069" t="s">
        <v>29</v>
      </c>
      <c r="S3069" t="s">
        <v>30</v>
      </c>
      <c r="T3069">
        <v>1018455773</v>
      </c>
      <c r="U3069" t="s">
        <v>3986</v>
      </c>
      <c r="V3069" t="s">
        <v>3934</v>
      </c>
      <c r="W3069" s="9">
        <f>IF(V3069="pregrado",31,
IF(V3069="posgrados",31,
IF(V3069="rEINTEGROS",7,
IF(V3069="BIT",90,
IF(V3069="OP GRADO - INGLÉS",17,"")))))</f>
        <v>31</v>
      </c>
      <c r="X3069" t="s">
        <v>4101</v>
      </c>
    </row>
    <row r="3070" spans="1:24" ht="15" x14ac:dyDescent="0.35">
      <c r="A3070" s="4">
        <v>46027.668807870374</v>
      </c>
      <c r="B3070">
        <v>20111006</v>
      </c>
      <c r="C3070" s="6" t="s">
        <v>19</v>
      </c>
      <c r="D3070">
        <v>600824</v>
      </c>
      <c r="E3070" t="s">
        <v>20</v>
      </c>
      <c r="F3070">
        <v>1026294569</v>
      </c>
      <c r="G3070" t="s">
        <v>1487</v>
      </c>
      <c r="H3070">
        <v>100240248</v>
      </c>
      <c r="I3070">
        <v>202610</v>
      </c>
      <c r="J3070">
        <v>1141323641</v>
      </c>
      <c r="K3070" t="s">
        <v>23</v>
      </c>
      <c r="L3070" t="s">
        <v>194</v>
      </c>
      <c r="M3070" t="s">
        <v>24</v>
      </c>
      <c r="N3070" t="s">
        <v>35</v>
      </c>
      <c r="O3070" t="s">
        <v>26</v>
      </c>
      <c r="P3070" t="s">
        <v>27</v>
      </c>
      <c r="Q3070" t="s">
        <v>28</v>
      </c>
      <c r="R3070" t="s">
        <v>29</v>
      </c>
      <c r="S3070" t="s">
        <v>30</v>
      </c>
      <c r="T3070">
        <v>53040709</v>
      </c>
      <c r="U3070" t="s">
        <v>3963</v>
      </c>
      <c r="V3070" t="s">
        <v>3934</v>
      </c>
      <c r="W3070" s="9">
        <f>IF(V3070="pregrado",31,
IF(V3070="posgrados",31,
IF(V3070="rEINTEGROS",7,
IF(V3070="BIT",90,
IF(V3070="OP GRADO - INGLÉS",17,"")))))</f>
        <v>31</v>
      </c>
      <c r="X3070" t="s">
        <v>3994</v>
      </c>
    </row>
    <row r="3071" spans="1:24" ht="15" x14ac:dyDescent="0.35">
      <c r="A3071" s="4">
        <v>46027.619328703702</v>
      </c>
      <c r="B3071">
        <v>20110964</v>
      </c>
      <c r="C3071" s="6" t="s">
        <v>19</v>
      </c>
      <c r="D3071">
        <v>600828</v>
      </c>
      <c r="E3071" t="s">
        <v>20</v>
      </c>
      <c r="F3071">
        <v>1070944824</v>
      </c>
      <c r="G3071" t="s">
        <v>1483</v>
      </c>
      <c r="H3071">
        <v>100240252</v>
      </c>
      <c r="I3071">
        <v>202631</v>
      </c>
      <c r="J3071">
        <v>1070944824</v>
      </c>
      <c r="K3071" t="s">
        <v>83</v>
      </c>
      <c r="L3071" t="s">
        <v>207</v>
      </c>
      <c r="M3071" t="s">
        <v>24</v>
      </c>
      <c r="N3071" t="s">
        <v>35</v>
      </c>
      <c r="O3071" t="s">
        <v>26</v>
      </c>
      <c r="P3071" t="s">
        <v>27</v>
      </c>
      <c r="Q3071" t="s">
        <v>28</v>
      </c>
      <c r="R3071" t="s">
        <v>29</v>
      </c>
      <c r="S3071" t="s">
        <v>30</v>
      </c>
      <c r="T3071">
        <v>1023000938</v>
      </c>
      <c r="U3071" t="s">
        <v>3941</v>
      </c>
      <c r="V3071" t="s">
        <v>3934</v>
      </c>
      <c r="W3071" s="9">
        <f>IF(V3071="pregrado",31,
IF(V3071="posgrados",31,
IF(V3071="rEINTEGROS",7,
IF(V3071="BIT",90,
IF(V3071="OP GRADO - INGLÉS",17,"")))))</f>
        <v>31</v>
      </c>
      <c r="X3071" t="s">
        <v>3989</v>
      </c>
    </row>
    <row r="3072" spans="1:24" ht="15" x14ac:dyDescent="0.35">
      <c r="A3072" s="4">
        <v>46024.477708333332</v>
      </c>
      <c r="B3072">
        <v>20110679</v>
      </c>
      <c r="C3072" s="6" t="s">
        <v>19</v>
      </c>
      <c r="D3072">
        <v>600832</v>
      </c>
      <c r="E3072" t="s">
        <v>20</v>
      </c>
      <c r="F3072">
        <v>1004568384</v>
      </c>
      <c r="G3072" t="s">
        <v>1456</v>
      </c>
      <c r="H3072">
        <v>100240255</v>
      </c>
      <c r="I3072">
        <v>202631</v>
      </c>
      <c r="J3072">
        <v>1004568384</v>
      </c>
      <c r="K3072" t="s">
        <v>23</v>
      </c>
      <c r="L3072" t="s">
        <v>42</v>
      </c>
      <c r="M3072" t="s">
        <v>24</v>
      </c>
      <c r="N3072" t="s">
        <v>35</v>
      </c>
      <c r="O3072" t="s">
        <v>26</v>
      </c>
      <c r="P3072" t="s">
        <v>27</v>
      </c>
      <c r="Q3072" t="s">
        <v>28</v>
      </c>
      <c r="R3072" t="s">
        <v>29</v>
      </c>
      <c r="S3072" t="s">
        <v>30</v>
      </c>
      <c r="T3072">
        <v>1000625316</v>
      </c>
      <c r="U3072" t="s">
        <v>3944</v>
      </c>
      <c r="V3072" t="s">
        <v>3934</v>
      </c>
      <c r="W3072" s="9">
        <f>IF(V3072="pregrado",31,
IF(V3072="posgrados",31,
IF(V3072="rEINTEGROS",7,
IF(V3072="BIT",90,
IF(V3072="OP GRADO - INGLÉS",17,"")))))</f>
        <v>31</v>
      </c>
      <c r="X3072" t="s">
        <v>3980</v>
      </c>
    </row>
    <row r="3073" spans="1:24" ht="15" x14ac:dyDescent="0.35">
      <c r="A3073" s="4">
        <v>46022.430185185185</v>
      </c>
      <c r="B3073">
        <v>20110567</v>
      </c>
      <c r="C3073" s="6" t="s">
        <v>19</v>
      </c>
      <c r="D3073">
        <v>600833</v>
      </c>
      <c r="E3073" t="s">
        <v>20</v>
      </c>
      <c r="F3073">
        <v>52292315</v>
      </c>
      <c r="G3073" t="s">
        <v>1438</v>
      </c>
      <c r="H3073">
        <v>100078653</v>
      </c>
      <c r="I3073">
        <v>202631</v>
      </c>
      <c r="J3073">
        <v>1001057442</v>
      </c>
      <c r="K3073" t="s">
        <v>23</v>
      </c>
      <c r="L3073" t="s">
        <v>57</v>
      </c>
      <c r="M3073" t="s">
        <v>24</v>
      </c>
      <c r="N3073" t="s">
        <v>35</v>
      </c>
      <c r="O3073" t="s">
        <v>26</v>
      </c>
      <c r="P3073" t="s">
        <v>27</v>
      </c>
      <c r="Q3073" t="s">
        <v>28</v>
      </c>
      <c r="R3073" t="s">
        <v>29</v>
      </c>
      <c r="S3073" t="s">
        <v>30</v>
      </c>
      <c r="T3073">
        <v>1000578914</v>
      </c>
      <c r="U3073" t="s">
        <v>3941</v>
      </c>
      <c r="V3073" t="s">
        <v>3934</v>
      </c>
      <c r="W3073" s="9">
        <f>IF(V3073="pregrado",31,
IF(V3073="posgrados",31,
IF(V3073="rEINTEGROS",7,
IF(V3073="BIT",90,
IF(V3073="OP GRADO - INGLÉS",17,"")))))</f>
        <v>31</v>
      </c>
      <c r="X3073" t="s">
        <v>4060</v>
      </c>
    </row>
    <row r="3074" spans="1:24" ht="15" x14ac:dyDescent="0.35">
      <c r="A3074" s="4">
        <v>46037.625011574077</v>
      </c>
      <c r="B3074">
        <v>20113696</v>
      </c>
      <c r="C3074" s="6" t="s">
        <v>19</v>
      </c>
      <c r="D3074">
        <v>600848</v>
      </c>
      <c r="E3074" t="s">
        <v>20</v>
      </c>
      <c r="F3074">
        <v>1073232777</v>
      </c>
      <c r="G3074" t="s">
        <v>1835</v>
      </c>
      <c r="H3074">
        <v>100240271</v>
      </c>
      <c r="I3074">
        <v>202631</v>
      </c>
      <c r="J3074">
        <v>1016004258</v>
      </c>
      <c r="K3074" t="s">
        <v>33</v>
      </c>
      <c r="L3074" t="s">
        <v>231</v>
      </c>
      <c r="M3074" t="s">
        <v>24</v>
      </c>
      <c r="N3074" t="s">
        <v>25</v>
      </c>
      <c r="O3074" t="s">
        <v>26</v>
      </c>
      <c r="P3074" t="s">
        <v>27</v>
      </c>
      <c r="Q3074" t="s">
        <v>28</v>
      </c>
      <c r="R3074" t="s">
        <v>29</v>
      </c>
      <c r="S3074" t="s">
        <v>30</v>
      </c>
      <c r="T3074">
        <v>1030570122</v>
      </c>
      <c r="U3074" t="s">
        <v>3965</v>
      </c>
      <c r="V3074" t="s">
        <v>3934</v>
      </c>
      <c r="W3074" s="9">
        <f>IF(V3074="pregrado",31,
IF(V3074="posgrados",31,
IF(V3074="rEINTEGROS",7,
IF(V3074="BIT",90,
IF(V3074="OP GRADO - INGLÉS",17,"")))))</f>
        <v>31</v>
      </c>
      <c r="X3074" t="s">
        <v>4015</v>
      </c>
    </row>
    <row r="3075" spans="1:24" ht="15" x14ac:dyDescent="0.35">
      <c r="A3075" s="4">
        <v>46024.718310185184</v>
      </c>
      <c r="B3075">
        <v>20110741</v>
      </c>
      <c r="C3075" s="6" t="s">
        <v>19</v>
      </c>
      <c r="D3075">
        <v>600857</v>
      </c>
      <c r="E3075" t="s">
        <v>20</v>
      </c>
      <c r="F3075">
        <v>1032505422</v>
      </c>
      <c r="G3075" t="s">
        <v>1462</v>
      </c>
      <c r="H3075">
        <v>100240286</v>
      </c>
      <c r="I3075">
        <v>202631</v>
      </c>
      <c r="J3075">
        <v>1032505422</v>
      </c>
      <c r="K3075" t="s">
        <v>33</v>
      </c>
      <c r="L3075" t="s">
        <v>207</v>
      </c>
      <c r="M3075" t="s">
        <v>24</v>
      </c>
      <c r="N3075" t="s">
        <v>25</v>
      </c>
      <c r="O3075" t="s">
        <v>26</v>
      </c>
      <c r="P3075" t="s">
        <v>27</v>
      </c>
      <c r="Q3075" t="s">
        <v>28</v>
      </c>
      <c r="R3075" t="s">
        <v>29</v>
      </c>
      <c r="S3075" t="s">
        <v>30</v>
      </c>
      <c r="T3075">
        <v>1002500634</v>
      </c>
      <c r="U3075" t="s">
        <v>3986</v>
      </c>
      <c r="V3075" t="s">
        <v>3934</v>
      </c>
      <c r="W3075" s="9">
        <f>IF(V3075="pregrado",31,
IF(V3075="posgrados",31,
IF(V3075="rEINTEGROS",7,
IF(V3075="BIT",90,
IF(V3075="OP GRADO - INGLÉS",17,"")))))</f>
        <v>31</v>
      </c>
      <c r="X3075" t="s">
        <v>4026</v>
      </c>
    </row>
    <row r="3076" spans="1:24" ht="15" x14ac:dyDescent="0.35">
      <c r="A3076" s="4">
        <v>46027.575266203705</v>
      </c>
      <c r="B3076">
        <v>20110940</v>
      </c>
      <c r="C3076" s="6" t="s">
        <v>19</v>
      </c>
      <c r="D3076">
        <v>600881</v>
      </c>
      <c r="E3076" t="s">
        <v>20</v>
      </c>
      <c r="F3076">
        <v>39763287</v>
      </c>
      <c r="G3076" t="s">
        <v>1482</v>
      </c>
      <c r="H3076">
        <v>100239897</v>
      </c>
      <c r="I3076">
        <v>202610</v>
      </c>
      <c r="J3076">
        <v>1034779599</v>
      </c>
      <c r="K3076" t="s">
        <v>23</v>
      </c>
      <c r="L3076" t="s">
        <v>79</v>
      </c>
      <c r="M3076" t="s">
        <v>24</v>
      </c>
      <c r="N3076" t="s">
        <v>38</v>
      </c>
      <c r="O3076" t="s">
        <v>26</v>
      </c>
      <c r="P3076" t="s">
        <v>27</v>
      </c>
      <c r="Q3076" t="s">
        <v>28</v>
      </c>
      <c r="R3076" t="s">
        <v>29</v>
      </c>
      <c r="S3076" t="s">
        <v>30</v>
      </c>
      <c r="T3076">
        <v>45555807</v>
      </c>
      <c r="U3076" t="s">
        <v>3965</v>
      </c>
      <c r="V3076" t="s">
        <v>3934</v>
      </c>
      <c r="W3076" s="9">
        <f>IF(V3076="pregrado",31,
IF(V3076="posgrados",31,
IF(V3076="rEINTEGROS",7,
IF(V3076="BIT",90,
IF(V3076="OP GRADO - INGLÉS",17,"")))))</f>
        <v>31</v>
      </c>
      <c r="X3076" t="s">
        <v>4027</v>
      </c>
    </row>
    <row r="3077" spans="1:24" ht="15" x14ac:dyDescent="0.35">
      <c r="A3077" s="4">
        <v>46024.636956018519</v>
      </c>
      <c r="B3077">
        <v>20110717</v>
      </c>
      <c r="C3077" s="6" t="s">
        <v>19</v>
      </c>
      <c r="D3077">
        <v>600885</v>
      </c>
      <c r="E3077" t="s">
        <v>20</v>
      </c>
      <c r="F3077">
        <v>1010150164</v>
      </c>
      <c r="G3077" t="s">
        <v>1461</v>
      </c>
      <c r="H3077">
        <v>100228408</v>
      </c>
      <c r="I3077">
        <v>202631</v>
      </c>
      <c r="J3077">
        <v>1010150164</v>
      </c>
      <c r="K3077" t="s">
        <v>33</v>
      </c>
      <c r="L3077" t="s">
        <v>90</v>
      </c>
      <c r="M3077" t="s">
        <v>24</v>
      </c>
      <c r="N3077" t="s">
        <v>25</v>
      </c>
      <c r="O3077" t="s">
        <v>26</v>
      </c>
      <c r="P3077" t="s">
        <v>27</v>
      </c>
      <c r="Q3077" t="s">
        <v>28</v>
      </c>
      <c r="R3077" t="s">
        <v>29</v>
      </c>
      <c r="S3077" t="s">
        <v>30</v>
      </c>
      <c r="T3077">
        <v>1015441103</v>
      </c>
      <c r="U3077" t="s">
        <v>3933</v>
      </c>
      <c r="V3077" t="s">
        <v>3934</v>
      </c>
      <c r="W3077" s="9">
        <f>IF(V3077="pregrado",31,
IF(V3077="posgrados",31,
IF(V3077="rEINTEGROS",7,
IF(V3077="BIT",90,
IF(V3077="OP GRADO - INGLÉS",17,"")))))</f>
        <v>31</v>
      </c>
      <c r="X3077" t="s">
        <v>3961</v>
      </c>
    </row>
    <row r="3078" spans="1:24" ht="15" x14ac:dyDescent="0.35">
      <c r="A3078" s="4">
        <v>46024.724282407406</v>
      </c>
      <c r="B3078">
        <v>20110745</v>
      </c>
      <c r="C3078" s="6" t="s">
        <v>19</v>
      </c>
      <c r="D3078">
        <v>600886</v>
      </c>
      <c r="E3078" t="s">
        <v>20</v>
      </c>
      <c r="F3078">
        <v>52122004</v>
      </c>
      <c r="G3078" t="s">
        <v>1463</v>
      </c>
      <c r="H3078">
        <v>100240304</v>
      </c>
      <c r="I3078">
        <v>202610</v>
      </c>
      <c r="J3078">
        <v>1031645345</v>
      </c>
      <c r="K3078" t="s">
        <v>23</v>
      </c>
      <c r="L3078" t="s">
        <v>37</v>
      </c>
      <c r="M3078" t="s">
        <v>24</v>
      </c>
      <c r="N3078" t="s">
        <v>35</v>
      </c>
      <c r="O3078" t="s">
        <v>26</v>
      </c>
      <c r="P3078" t="s">
        <v>27</v>
      </c>
      <c r="Q3078" t="s">
        <v>28</v>
      </c>
      <c r="R3078" t="s">
        <v>29</v>
      </c>
      <c r="S3078" t="s">
        <v>30</v>
      </c>
      <c r="T3078">
        <v>1001192723</v>
      </c>
      <c r="U3078" t="s">
        <v>3941</v>
      </c>
      <c r="V3078" t="s">
        <v>3934</v>
      </c>
      <c r="W3078" s="9">
        <f>IF(V3078="pregrado",31,
IF(V3078="posgrados",31,
IF(V3078="rEINTEGROS",7,
IF(V3078="BIT",90,
IF(V3078="OP GRADO - INGLÉS",17,"")))))</f>
        <v>31</v>
      </c>
      <c r="X3078" t="s">
        <v>3940</v>
      </c>
    </row>
    <row r="3079" spans="1:24" ht="15" x14ac:dyDescent="0.35">
      <c r="A3079" s="4">
        <v>46027.653101851851</v>
      </c>
      <c r="B3079">
        <v>20110998</v>
      </c>
      <c r="C3079" s="6" t="s">
        <v>19</v>
      </c>
      <c r="D3079">
        <v>600887</v>
      </c>
      <c r="E3079" t="s">
        <v>20</v>
      </c>
      <c r="F3079">
        <v>1024493556</v>
      </c>
      <c r="G3079" t="s">
        <v>1486</v>
      </c>
      <c r="H3079">
        <v>100131417</v>
      </c>
      <c r="I3079">
        <v>202611</v>
      </c>
      <c r="J3079">
        <v>1024493556</v>
      </c>
      <c r="K3079" t="s">
        <v>23</v>
      </c>
      <c r="L3079" t="s">
        <v>221</v>
      </c>
      <c r="M3079" t="s">
        <v>24</v>
      </c>
      <c r="N3079" t="s">
        <v>35</v>
      </c>
      <c r="O3079" t="s">
        <v>26</v>
      </c>
      <c r="P3079" t="s">
        <v>27</v>
      </c>
      <c r="Q3079" t="s">
        <v>28</v>
      </c>
      <c r="R3079" t="s">
        <v>29</v>
      </c>
      <c r="S3079" t="s">
        <v>30</v>
      </c>
      <c r="T3079">
        <v>11001273124</v>
      </c>
      <c r="U3079" t="s">
        <v>3944</v>
      </c>
      <c r="V3079" t="s">
        <v>3934</v>
      </c>
      <c r="W3079" s="9">
        <f>IF(V3079="pregrado",31,
IF(V3079="posgrados",31,
IF(V3079="rEINTEGROS",7,
IF(V3079="BIT",90,
IF(V3079="OP GRADO - INGLÉS",17,"")))))</f>
        <v>31</v>
      </c>
      <c r="X3079" t="s">
        <v>3951</v>
      </c>
    </row>
    <row r="3080" spans="1:24" ht="15" x14ac:dyDescent="0.35">
      <c r="A3080" s="4">
        <v>46025.486064814817</v>
      </c>
      <c r="B3080">
        <v>20110790</v>
      </c>
      <c r="C3080" s="6" t="s">
        <v>19</v>
      </c>
      <c r="D3080">
        <v>600891</v>
      </c>
      <c r="E3080" t="s">
        <v>20</v>
      </c>
      <c r="F3080">
        <v>1101753501</v>
      </c>
      <c r="G3080" t="s">
        <v>1467</v>
      </c>
      <c r="H3080">
        <v>100240309</v>
      </c>
      <c r="I3080">
        <v>202631</v>
      </c>
      <c r="J3080">
        <v>1101753501</v>
      </c>
      <c r="K3080" t="s">
        <v>33</v>
      </c>
      <c r="L3080" t="s">
        <v>127</v>
      </c>
      <c r="M3080" t="s">
        <v>24</v>
      </c>
      <c r="N3080" t="s">
        <v>25</v>
      </c>
      <c r="O3080" t="s">
        <v>26</v>
      </c>
      <c r="P3080" t="s">
        <v>27</v>
      </c>
      <c r="Q3080" t="s">
        <v>28</v>
      </c>
      <c r="R3080" t="s">
        <v>29</v>
      </c>
      <c r="S3080" t="s">
        <v>30</v>
      </c>
      <c r="T3080">
        <v>10306009131</v>
      </c>
      <c r="U3080" t="s">
        <v>3933</v>
      </c>
      <c r="V3080" t="s">
        <v>3934</v>
      </c>
      <c r="W3080" s="9">
        <f>IF(V3080="pregrado",31,
IF(V3080="posgrados",31,
IF(V3080="rEINTEGROS",7,
IF(V3080="BIT",90,
IF(V3080="OP GRADO - INGLÉS",17,"")))))</f>
        <v>31</v>
      </c>
      <c r="X3080" t="s">
        <v>3978</v>
      </c>
    </row>
    <row r="3081" spans="1:24" ht="15" x14ac:dyDescent="0.35">
      <c r="A3081" s="4">
        <v>46024.749236111114</v>
      </c>
      <c r="B3081">
        <v>20110753</v>
      </c>
      <c r="C3081" s="6" t="s">
        <v>19</v>
      </c>
      <c r="D3081">
        <v>600896</v>
      </c>
      <c r="E3081" t="s">
        <v>20</v>
      </c>
      <c r="F3081">
        <v>1003587951</v>
      </c>
      <c r="G3081" t="s">
        <v>1464</v>
      </c>
      <c r="H3081">
        <v>100240316</v>
      </c>
      <c r="I3081">
        <v>202611</v>
      </c>
      <c r="J3081">
        <v>1075870145</v>
      </c>
      <c r="K3081" t="s">
        <v>23</v>
      </c>
      <c r="L3081" t="s">
        <v>221</v>
      </c>
      <c r="M3081" t="s">
        <v>24</v>
      </c>
      <c r="N3081" t="s">
        <v>35</v>
      </c>
      <c r="O3081" t="s">
        <v>26</v>
      </c>
      <c r="P3081" t="s">
        <v>27</v>
      </c>
      <c r="Q3081" t="s">
        <v>28</v>
      </c>
      <c r="R3081" t="s">
        <v>29</v>
      </c>
      <c r="S3081" t="s">
        <v>30</v>
      </c>
      <c r="T3081">
        <v>1015428862</v>
      </c>
      <c r="U3081" t="s">
        <v>3965</v>
      </c>
      <c r="V3081" t="s">
        <v>3934</v>
      </c>
      <c r="W3081" s="9">
        <f>IF(V3081="pregrado",31,
IF(V3081="posgrados",31,
IF(V3081="rEINTEGROS",7,
IF(V3081="BIT",90,
IF(V3081="OP GRADO - INGLÉS",17,"")))))</f>
        <v>31</v>
      </c>
      <c r="X3081" t="s">
        <v>4048</v>
      </c>
    </row>
    <row r="3082" spans="1:24" ht="15" x14ac:dyDescent="0.35">
      <c r="A3082" s="4">
        <v>46027.359791666669</v>
      </c>
      <c r="B3082">
        <v>20110847</v>
      </c>
      <c r="C3082" s="6" t="s">
        <v>19</v>
      </c>
      <c r="D3082">
        <v>600900</v>
      </c>
      <c r="E3082" t="s">
        <v>20</v>
      </c>
      <c r="F3082">
        <v>1006697835</v>
      </c>
      <c r="G3082" t="s">
        <v>1472</v>
      </c>
      <c r="H3082">
        <v>100240318</v>
      </c>
      <c r="I3082">
        <v>202611</v>
      </c>
      <c r="J3082">
        <v>1006697835</v>
      </c>
      <c r="K3082" t="s">
        <v>23</v>
      </c>
      <c r="L3082" t="s">
        <v>221</v>
      </c>
      <c r="M3082" t="s">
        <v>24</v>
      </c>
      <c r="N3082" t="s">
        <v>35</v>
      </c>
      <c r="O3082" t="s">
        <v>26</v>
      </c>
      <c r="P3082" t="s">
        <v>27</v>
      </c>
      <c r="Q3082" t="s">
        <v>28</v>
      </c>
      <c r="R3082" t="s">
        <v>29</v>
      </c>
      <c r="S3082" t="s">
        <v>30</v>
      </c>
      <c r="T3082">
        <v>52342867</v>
      </c>
      <c r="U3082" t="s">
        <v>3965</v>
      </c>
      <c r="V3082" t="s">
        <v>3934</v>
      </c>
      <c r="W3082" s="9">
        <f>IF(V3082="pregrado",31,
IF(V3082="posgrados",31,
IF(V3082="rEINTEGROS",7,
IF(V3082="BIT",90,
IF(V3082="OP GRADO - INGLÉS",17,"")))))</f>
        <v>31</v>
      </c>
      <c r="X3082" t="s">
        <v>4047</v>
      </c>
    </row>
    <row r="3083" spans="1:24" ht="15" x14ac:dyDescent="0.35">
      <c r="A3083" s="4">
        <v>46025.506469907406</v>
      </c>
      <c r="B3083">
        <v>20110793</v>
      </c>
      <c r="C3083" s="6" t="s">
        <v>19</v>
      </c>
      <c r="D3083">
        <v>600905</v>
      </c>
      <c r="E3083" t="s">
        <v>20</v>
      </c>
      <c r="F3083">
        <v>1022445863</v>
      </c>
      <c r="G3083" t="s">
        <v>1468</v>
      </c>
      <c r="H3083">
        <v>100240321</v>
      </c>
      <c r="I3083">
        <v>202631</v>
      </c>
      <c r="J3083">
        <v>1022445863</v>
      </c>
      <c r="K3083" t="s">
        <v>23</v>
      </c>
      <c r="L3083" t="s">
        <v>370</v>
      </c>
      <c r="M3083" t="s">
        <v>24</v>
      </c>
      <c r="N3083" t="s">
        <v>35</v>
      </c>
      <c r="O3083" t="s">
        <v>26</v>
      </c>
      <c r="P3083" t="s">
        <v>27</v>
      </c>
      <c r="Q3083" t="s">
        <v>28</v>
      </c>
      <c r="R3083" t="s">
        <v>29</v>
      </c>
      <c r="S3083" t="s">
        <v>30</v>
      </c>
      <c r="T3083">
        <v>1020820287</v>
      </c>
      <c r="U3083" t="s">
        <v>3963</v>
      </c>
      <c r="V3083" t="s">
        <v>3934</v>
      </c>
      <c r="W3083" s="9">
        <f>IF(V3083="pregrado",31,
IF(V3083="posgrados",31,
IF(V3083="rEINTEGROS",7,
IF(V3083="BIT",90,
IF(V3083="OP GRADO - INGLÉS",17,"")))))</f>
        <v>31</v>
      </c>
      <c r="X3083" t="s">
        <v>4044</v>
      </c>
    </row>
    <row r="3084" spans="1:24" ht="15" x14ac:dyDescent="0.35">
      <c r="A3084" s="4">
        <v>46029.812951388885</v>
      </c>
      <c r="B3084">
        <v>20111588</v>
      </c>
      <c r="C3084" s="6" t="s">
        <v>19</v>
      </c>
      <c r="D3084">
        <v>600926</v>
      </c>
      <c r="E3084" t="s">
        <v>20</v>
      </c>
      <c r="F3084">
        <v>1118544869</v>
      </c>
      <c r="G3084" t="s">
        <v>1570</v>
      </c>
      <c r="H3084">
        <v>100240349</v>
      </c>
      <c r="I3084">
        <v>202631</v>
      </c>
      <c r="J3084">
        <v>1118563390</v>
      </c>
      <c r="K3084" t="s">
        <v>23</v>
      </c>
      <c r="L3084" t="s">
        <v>219</v>
      </c>
      <c r="M3084" t="s">
        <v>24</v>
      </c>
      <c r="N3084" t="s">
        <v>35</v>
      </c>
      <c r="O3084" t="s">
        <v>26</v>
      </c>
      <c r="P3084" t="s">
        <v>27</v>
      </c>
      <c r="Q3084" t="s">
        <v>28</v>
      </c>
      <c r="R3084" t="s">
        <v>29</v>
      </c>
      <c r="S3084" t="s">
        <v>30</v>
      </c>
      <c r="T3084">
        <v>1014283217</v>
      </c>
      <c r="U3084" t="s">
        <v>3963</v>
      </c>
      <c r="V3084" t="s">
        <v>3934</v>
      </c>
      <c r="W3084" s="9">
        <f>IF(V3084="pregrado",31,
IF(V3084="posgrados",31,
IF(V3084="rEINTEGROS",7,
IF(V3084="BIT",90,
IF(V3084="OP GRADO - INGLÉS",17,"")))))</f>
        <v>31</v>
      </c>
      <c r="X3084" t="s">
        <v>4023</v>
      </c>
    </row>
    <row r="3085" spans="1:24" ht="15" x14ac:dyDescent="0.35">
      <c r="A3085" s="4">
        <v>46027.412453703706</v>
      </c>
      <c r="B3085">
        <v>20110859</v>
      </c>
      <c r="C3085" s="6" t="s">
        <v>19</v>
      </c>
      <c r="D3085">
        <v>600938</v>
      </c>
      <c r="E3085" t="s">
        <v>20</v>
      </c>
      <c r="F3085">
        <v>1117516238</v>
      </c>
      <c r="G3085" t="s">
        <v>1473</v>
      </c>
      <c r="H3085">
        <v>100240337</v>
      </c>
      <c r="I3085">
        <v>202651</v>
      </c>
      <c r="J3085">
        <v>1117516238</v>
      </c>
      <c r="K3085" t="s">
        <v>23</v>
      </c>
      <c r="L3085" t="s">
        <v>252</v>
      </c>
      <c r="M3085" t="s">
        <v>253</v>
      </c>
      <c r="N3085" t="s">
        <v>35</v>
      </c>
      <c r="O3085" t="s">
        <v>26</v>
      </c>
      <c r="P3085" t="s">
        <v>27</v>
      </c>
      <c r="Q3085" t="s">
        <v>28</v>
      </c>
      <c r="R3085" t="s">
        <v>29</v>
      </c>
      <c r="S3085" t="s">
        <v>30</v>
      </c>
      <c r="T3085">
        <v>1033793185</v>
      </c>
      <c r="U3085" t="s">
        <v>3948</v>
      </c>
      <c r="V3085" t="s">
        <v>3937</v>
      </c>
      <c r="W3085" s="9">
        <f>IF(V3085="pregrado",31,
IF(V3085="posgrados",31,
IF(V3085="rEINTEGROS",7,
IF(V3085="BIT",90,
IF(V3085="OP GRADO - INGLÉS",17,"")))))</f>
        <v>31</v>
      </c>
      <c r="X3085" t="s">
        <v>4082</v>
      </c>
    </row>
    <row r="3086" spans="1:24" ht="15" x14ac:dyDescent="0.35">
      <c r="A3086" s="4">
        <v>46038.53979166667</v>
      </c>
      <c r="B3086">
        <v>20114264</v>
      </c>
      <c r="C3086" s="6" t="s">
        <v>19</v>
      </c>
      <c r="D3086">
        <v>600941</v>
      </c>
      <c r="E3086" t="s">
        <v>20</v>
      </c>
      <c r="F3086">
        <v>47431589</v>
      </c>
      <c r="G3086" t="s">
        <v>1900</v>
      </c>
      <c r="H3086">
        <v>100240367</v>
      </c>
      <c r="I3086">
        <v>202631</v>
      </c>
      <c r="J3086">
        <v>1029661706</v>
      </c>
      <c r="K3086" t="s">
        <v>33</v>
      </c>
      <c r="L3086" t="s">
        <v>32</v>
      </c>
      <c r="M3086" t="s">
        <v>24</v>
      </c>
      <c r="N3086" t="s">
        <v>35</v>
      </c>
      <c r="O3086" t="s">
        <v>26</v>
      </c>
      <c r="P3086" t="s">
        <v>27</v>
      </c>
      <c r="Q3086" t="s">
        <v>28</v>
      </c>
      <c r="R3086" t="s">
        <v>29</v>
      </c>
      <c r="S3086" t="s">
        <v>30</v>
      </c>
      <c r="T3086">
        <v>1015478965</v>
      </c>
      <c r="U3086" t="s">
        <v>3944</v>
      </c>
      <c r="V3086" t="s">
        <v>3934</v>
      </c>
      <c r="W3086" s="9">
        <f>IF(V3086="pregrado",31,
IF(V3086="posgrados",31,
IF(V3086="rEINTEGROS",7,
IF(V3086="BIT",90,
IF(V3086="OP GRADO - INGLÉS",17,"")))))</f>
        <v>31</v>
      </c>
      <c r="X3086" t="s">
        <v>3979</v>
      </c>
    </row>
    <row r="3087" spans="1:24" ht="15" x14ac:dyDescent="0.35">
      <c r="A3087" s="4">
        <v>46056.678657407407</v>
      </c>
      <c r="B3087">
        <v>20120197</v>
      </c>
      <c r="C3087" s="6" t="s">
        <v>19</v>
      </c>
      <c r="D3087">
        <v>600950</v>
      </c>
      <c r="E3087" t="s">
        <v>20</v>
      </c>
      <c r="F3087">
        <v>1143114565</v>
      </c>
      <c r="G3087" t="s">
        <v>2709</v>
      </c>
      <c r="H3087">
        <v>200077744</v>
      </c>
      <c r="I3087">
        <v>202631</v>
      </c>
      <c r="J3087">
        <v>1140845748</v>
      </c>
      <c r="K3087" t="s">
        <v>33</v>
      </c>
      <c r="L3087" t="s">
        <v>119</v>
      </c>
      <c r="M3087" t="s">
        <v>24</v>
      </c>
      <c r="N3087" t="s">
        <v>35</v>
      </c>
      <c r="O3087" t="s">
        <v>26</v>
      </c>
      <c r="P3087" t="s">
        <v>27</v>
      </c>
      <c r="Q3087" t="s">
        <v>28</v>
      </c>
      <c r="R3087" t="s">
        <v>29</v>
      </c>
      <c r="S3087" t="s">
        <v>30</v>
      </c>
      <c r="T3087">
        <v>1023975276</v>
      </c>
      <c r="U3087" t="s">
        <v>3963</v>
      </c>
      <c r="V3087" t="s">
        <v>3934</v>
      </c>
      <c r="W3087" s="9">
        <f>IF(V3087="pregrado",31,
IF(V3087="posgrados",31,
IF(V3087="rEINTEGROS",7,
IF(V3087="BIT",90,
IF(V3087="OP GRADO - INGLÉS",17,"")))))</f>
        <v>31</v>
      </c>
      <c r="X3087" t="s">
        <v>3962</v>
      </c>
    </row>
    <row r="3088" spans="1:24" ht="15" x14ac:dyDescent="0.35">
      <c r="A3088" s="4">
        <v>46070.544722222221</v>
      </c>
      <c r="B3088">
        <v>20124115</v>
      </c>
      <c r="C3088" s="6" t="s">
        <v>19</v>
      </c>
      <c r="D3088">
        <v>600956</v>
      </c>
      <c r="E3088" t="s">
        <v>20</v>
      </c>
      <c r="F3088">
        <v>16507538</v>
      </c>
      <c r="G3088" t="s">
        <v>3300</v>
      </c>
      <c r="H3088">
        <v>200076894</v>
      </c>
      <c r="I3088">
        <v>202631</v>
      </c>
      <c r="J3088">
        <v>16507538</v>
      </c>
      <c r="K3088" t="s">
        <v>23</v>
      </c>
      <c r="L3088" t="s">
        <v>77</v>
      </c>
      <c r="M3088" t="s">
        <v>24</v>
      </c>
      <c r="N3088" t="s">
        <v>35</v>
      </c>
      <c r="O3088" t="s">
        <v>26</v>
      </c>
      <c r="P3088" t="s">
        <v>27</v>
      </c>
      <c r="Q3088" t="s">
        <v>28</v>
      </c>
      <c r="R3088" t="s">
        <v>29</v>
      </c>
      <c r="S3088" t="s">
        <v>30</v>
      </c>
      <c r="T3088">
        <v>1000350862</v>
      </c>
      <c r="U3088" t="s">
        <v>3963</v>
      </c>
      <c r="V3088" t="s">
        <v>3934</v>
      </c>
      <c r="W3088" s="9">
        <f>IF(V3088="pregrado",31,
IF(V3088="posgrados",31,
IF(V3088="rEINTEGROS",7,
IF(V3088="BIT",90,
IF(V3088="OP GRADO - INGLÉS",17,"")))))</f>
        <v>31</v>
      </c>
      <c r="X3088" t="s">
        <v>4071</v>
      </c>
    </row>
    <row r="3089" spans="1:24" ht="15" x14ac:dyDescent="0.35">
      <c r="A3089" s="4">
        <v>46028.665370370371</v>
      </c>
      <c r="B3089">
        <v>20111261</v>
      </c>
      <c r="C3089" s="6" t="s">
        <v>19</v>
      </c>
      <c r="D3089">
        <v>600959</v>
      </c>
      <c r="E3089" t="s">
        <v>20</v>
      </c>
      <c r="F3089">
        <v>51957336</v>
      </c>
      <c r="G3089" t="s">
        <v>1528</v>
      </c>
      <c r="H3089">
        <v>200062690</v>
      </c>
      <c r="I3089">
        <v>202631</v>
      </c>
      <c r="J3089">
        <v>1014596271</v>
      </c>
      <c r="K3089" t="s">
        <v>23</v>
      </c>
      <c r="L3089" t="s">
        <v>119</v>
      </c>
      <c r="M3089" t="s">
        <v>24</v>
      </c>
      <c r="N3089" t="s">
        <v>35</v>
      </c>
      <c r="O3089" t="s">
        <v>26</v>
      </c>
      <c r="P3089" t="s">
        <v>27</v>
      </c>
      <c r="Q3089" t="s">
        <v>28</v>
      </c>
      <c r="R3089" t="s">
        <v>29</v>
      </c>
      <c r="S3089" t="s">
        <v>30</v>
      </c>
      <c r="T3089">
        <v>1000251314</v>
      </c>
      <c r="U3089" t="s">
        <v>3963</v>
      </c>
      <c r="V3089" t="s">
        <v>3934</v>
      </c>
      <c r="W3089" s="9">
        <f>IF(V3089="pregrado",31,
IF(V3089="posgrados",31,
IF(V3089="rEINTEGROS",7,
IF(V3089="BIT",90,
IF(V3089="OP GRADO - INGLÉS",17,"")))))</f>
        <v>31</v>
      </c>
      <c r="X3089" t="s">
        <v>4024</v>
      </c>
    </row>
    <row r="3090" spans="1:24" ht="15" x14ac:dyDescent="0.35">
      <c r="A3090" s="4">
        <v>46051.445196759261</v>
      </c>
      <c r="B3090">
        <v>20118386</v>
      </c>
      <c r="C3090" s="6" t="s">
        <v>19</v>
      </c>
      <c r="D3090">
        <v>600972</v>
      </c>
      <c r="E3090" t="s">
        <v>20</v>
      </c>
      <c r="F3090">
        <v>1111811627</v>
      </c>
      <c r="G3090" t="s">
        <v>2465</v>
      </c>
      <c r="H3090">
        <v>100240384</v>
      </c>
      <c r="I3090">
        <v>202631</v>
      </c>
      <c r="J3090">
        <v>1111742326</v>
      </c>
      <c r="K3090" t="s">
        <v>23</v>
      </c>
      <c r="L3090" t="s">
        <v>231</v>
      </c>
      <c r="M3090" t="s">
        <v>24</v>
      </c>
      <c r="N3090" t="s">
        <v>35</v>
      </c>
      <c r="O3090" t="s">
        <v>26</v>
      </c>
      <c r="P3090" t="s">
        <v>27</v>
      </c>
      <c r="Q3090" t="s">
        <v>28</v>
      </c>
      <c r="R3090" t="s">
        <v>29</v>
      </c>
      <c r="S3090" t="s">
        <v>30</v>
      </c>
      <c r="T3090">
        <v>1000286877</v>
      </c>
      <c r="U3090" t="s">
        <v>3986</v>
      </c>
      <c r="V3090" t="s">
        <v>3934</v>
      </c>
      <c r="W3090" s="9">
        <f>IF(V3090="pregrado",31,
IF(V3090="posgrados",31,
IF(V3090="rEINTEGROS",7,
IF(V3090="BIT",90,
IF(V3090="OP GRADO - INGLÉS",17,"")))))</f>
        <v>31</v>
      </c>
      <c r="X3090" t="s">
        <v>4100</v>
      </c>
    </row>
    <row r="3091" spans="1:24" ht="15" x14ac:dyDescent="0.35">
      <c r="A3091" s="4">
        <v>46027.758750000001</v>
      </c>
      <c r="B3091">
        <v>20111059</v>
      </c>
      <c r="C3091" s="6" t="s">
        <v>19</v>
      </c>
      <c r="D3091">
        <v>600979</v>
      </c>
      <c r="E3091" t="s">
        <v>20</v>
      </c>
      <c r="F3091">
        <v>9021233</v>
      </c>
      <c r="G3091" t="s">
        <v>1497</v>
      </c>
      <c r="H3091">
        <v>100193187</v>
      </c>
      <c r="I3091">
        <v>202631</v>
      </c>
      <c r="J3091">
        <v>1045747617</v>
      </c>
      <c r="K3091" t="s">
        <v>23</v>
      </c>
      <c r="L3091" t="s">
        <v>240</v>
      </c>
      <c r="M3091" t="s">
        <v>24</v>
      </c>
      <c r="N3091" t="s">
        <v>25</v>
      </c>
      <c r="O3091" t="s">
        <v>26</v>
      </c>
      <c r="P3091" t="s">
        <v>27</v>
      </c>
      <c r="Q3091" t="s">
        <v>28</v>
      </c>
      <c r="R3091" t="s">
        <v>29</v>
      </c>
      <c r="S3091" t="s">
        <v>30</v>
      </c>
      <c r="T3091">
        <v>53071696</v>
      </c>
      <c r="U3091" t="s">
        <v>3965</v>
      </c>
      <c r="V3091" t="s">
        <v>3934</v>
      </c>
      <c r="W3091" s="9">
        <f>IF(V3091="pregrado",31,
IF(V3091="posgrados",31,
IF(V3091="rEINTEGROS",7,
IF(V3091="BIT",90,
IF(V3091="OP GRADO - INGLÉS",17,"")))))</f>
        <v>31</v>
      </c>
      <c r="X3091" t="s">
        <v>4012</v>
      </c>
    </row>
    <row r="3092" spans="1:24" ht="15" x14ac:dyDescent="0.35">
      <c r="A3092" s="4">
        <v>46057.671099537038</v>
      </c>
      <c r="B3092">
        <v>20120557</v>
      </c>
      <c r="C3092" s="6" t="s">
        <v>19</v>
      </c>
      <c r="D3092">
        <v>600995</v>
      </c>
      <c r="E3092" t="s">
        <v>20</v>
      </c>
      <c r="F3092">
        <v>4252526</v>
      </c>
      <c r="G3092" t="s">
        <v>2761</v>
      </c>
      <c r="H3092">
        <v>100240409</v>
      </c>
      <c r="I3092">
        <v>202610</v>
      </c>
      <c r="J3092">
        <v>1029663871</v>
      </c>
      <c r="K3092" t="s">
        <v>23</v>
      </c>
      <c r="L3092" t="s">
        <v>153</v>
      </c>
      <c r="M3092" t="s">
        <v>24</v>
      </c>
      <c r="N3092" t="s">
        <v>35</v>
      </c>
      <c r="O3092" t="s">
        <v>26</v>
      </c>
      <c r="P3092" t="s">
        <v>27</v>
      </c>
      <c r="Q3092" t="s">
        <v>28</v>
      </c>
      <c r="R3092" t="s">
        <v>29</v>
      </c>
      <c r="S3092" t="s">
        <v>30</v>
      </c>
      <c r="T3092">
        <v>1018496066</v>
      </c>
      <c r="U3092" t="s">
        <v>3939</v>
      </c>
      <c r="V3092" t="s">
        <v>3934</v>
      </c>
      <c r="W3092" s="9">
        <f>IF(V3092="pregrado",31,
IF(V3092="posgrados",31,
IF(V3092="rEINTEGROS",7,
IF(V3092="BIT",90,
IF(V3092="OP GRADO - INGLÉS",17,"")))))</f>
        <v>31</v>
      </c>
      <c r="X3092" t="s">
        <v>4006</v>
      </c>
    </row>
    <row r="3093" spans="1:24" ht="15" x14ac:dyDescent="0.35">
      <c r="A3093" s="4">
        <v>46027.701909722222</v>
      </c>
      <c r="B3093">
        <v>20111026</v>
      </c>
      <c r="C3093" s="6" t="s">
        <v>19</v>
      </c>
      <c r="D3093">
        <v>601011</v>
      </c>
      <c r="E3093" t="s">
        <v>20</v>
      </c>
      <c r="F3093">
        <v>1003396453</v>
      </c>
      <c r="G3093" t="s">
        <v>1493</v>
      </c>
      <c r="H3093">
        <v>100240430</v>
      </c>
      <c r="I3093">
        <v>202631</v>
      </c>
      <c r="J3093">
        <v>1067849055</v>
      </c>
      <c r="K3093" t="s">
        <v>33</v>
      </c>
      <c r="L3093" t="s">
        <v>90</v>
      </c>
      <c r="M3093" t="s">
        <v>24</v>
      </c>
      <c r="N3093" t="s">
        <v>25</v>
      </c>
      <c r="O3093" t="s">
        <v>26</v>
      </c>
      <c r="P3093" t="s">
        <v>27</v>
      </c>
      <c r="Q3093" t="s">
        <v>28</v>
      </c>
      <c r="R3093" t="s">
        <v>29</v>
      </c>
      <c r="S3093" t="s">
        <v>30</v>
      </c>
      <c r="T3093">
        <v>10245841021</v>
      </c>
      <c r="U3093" t="s">
        <v>3933</v>
      </c>
      <c r="V3093" t="s">
        <v>3934</v>
      </c>
      <c r="W3093" s="9">
        <f>IF(V3093="pregrado",31,
IF(V3093="posgrados",31,
IF(V3093="rEINTEGROS",7,
IF(V3093="BIT",90,
IF(V3093="OP GRADO - INGLÉS",17,"")))))</f>
        <v>31</v>
      </c>
      <c r="X3093" t="s">
        <v>3987</v>
      </c>
    </row>
    <row r="3094" spans="1:24" ht="15" x14ac:dyDescent="0.35">
      <c r="A3094" s="4">
        <v>46028.525555555556</v>
      </c>
      <c r="B3094">
        <v>20111173</v>
      </c>
      <c r="C3094" s="6" t="s">
        <v>19</v>
      </c>
      <c r="D3094">
        <v>601014</v>
      </c>
      <c r="E3094" t="s">
        <v>20</v>
      </c>
      <c r="F3094">
        <v>80252594</v>
      </c>
      <c r="G3094" t="s">
        <v>1516</v>
      </c>
      <c r="H3094">
        <v>100240433</v>
      </c>
      <c r="I3094">
        <v>202610</v>
      </c>
      <c r="J3094">
        <v>1013620632</v>
      </c>
      <c r="K3094" t="s">
        <v>23</v>
      </c>
      <c r="L3094" t="s">
        <v>40</v>
      </c>
      <c r="M3094" t="s">
        <v>24</v>
      </c>
      <c r="N3094" t="s">
        <v>35</v>
      </c>
      <c r="O3094" t="s">
        <v>26</v>
      </c>
      <c r="P3094" t="s">
        <v>27</v>
      </c>
      <c r="Q3094" t="s">
        <v>28</v>
      </c>
      <c r="R3094" t="s">
        <v>29</v>
      </c>
      <c r="S3094" t="s">
        <v>30</v>
      </c>
      <c r="T3094">
        <v>1118531834</v>
      </c>
      <c r="U3094" t="s">
        <v>3941</v>
      </c>
      <c r="V3094" t="s">
        <v>3934</v>
      </c>
      <c r="W3094" s="9">
        <f>IF(V3094="pregrado",31,
IF(V3094="posgrados",31,
IF(V3094="rEINTEGROS",7,
IF(V3094="BIT",90,
IF(V3094="OP GRADO - INGLÉS",17,"")))))</f>
        <v>31</v>
      </c>
      <c r="X3094" t="s">
        <v>3996</v>
      </c>
    </row>
    <row r="3095" spans="1:24" ht="15" x14ac:dyDescent="0.35">
      <c r="A3095" s="4">
        <v>46028.738900462966</v>
      </c>
      <c r="B3095">
        <v>20111300</v>
      </c>
      <c r="C3095" s="6" t="s">
        <v>19</v>
      </c>
      <c r="D3095">
        <v>601026</v>
      </c>
      <c r="E3095" t="s">
        <v>20</v>
      </c>
      <c r="F3095">
        <v>1062091980</v>
      </c>
      <c r="G3095" t="s">
        <v>1535</v>
      </c>
      <c r="H3095">
        <v>100240450</v>
      </c>
      <c r="I3095">
        <v>202631</v>
      </c>
      <c r="J3095">
        <v>1002926484</v>
      </c>
      <c r="K3095" t="s">
        <v>23</v>
      </c>
      <c r="L3095" t="s">
        <v>90</v>
      </c>
      <c r="M3095" t="s">
        <v>24</v>
      </c>
      <c r="N3095" t="s">
        <v>35</v>
      </c>
      <c r="O3095" t="s">
        <v>26</v>
      </c>
      <c r="P3095" t="s">
        <v>27</v>
      </c>
      <c r="Q3095" t="s">
        <v>28</v>
      </c>
      <c r="R3095" t="s">
        <v>29</v>
      </c>
      <c r="S3095" t="s">
        <v>30</v>
      </c>
      <c r="T3095">
        <v>1007473661</v>
      </c>
      <c r="U3095" t="s">
        <v>3933</v>
      </c>
      <c r="V3095" t="s">
        <v>3934</v>
      </c>
      <c r="W3095" s="9">
        <f>IF(V3095="pregrado",31,
IF(V3095="posgrados",31,
IF(V3095="rEINTEGROS",7,
IF(V3095="BIT",90,
IF(V3095="OP GRADO - INGLÉS",17,"")))))</f>
        <v>31</v>
      </c>
      <c r="X3095" t="s">
        <v>4058</v>
      </c>
    </row>
    <row r="3096" spans="1:24" ht="15" x14ac:dyDescent="0.35">
      <c r="A3096" s="4">
        <v>46028.432175925926</v>
      </c>
      <c r="B3096">
        <v>20111126</v>
      </c>
      <c r="C3096" s="6" t="s">
        <v>19</v>
      </c>
      <c r="D3096">
        <v>601029</v>
      </c>
      <c r="E3096" t="s">
        <v>20</v>
      </c>
      <c r="F3096">
        <v>1193149584</v>
      </c>
      <c r="G3096" t="s">
        <v>1509</v>
      </c>
      <c r="H3096">
        <v>100135240</v>
      </c>
      <c r="I3096">
        <v>202631</v>
      </c>
      <c r="J3096">
        <v>1193149584</v>
      </c>
      <c r="K3096" t="s">
        <v>23</v>
      </c>
      <c r="L3096" t="s">
        <v>219</v>
      </c>
      <c r="M3096" t="s">
        <v>24</v>
      </c>
      <c r="N3096" t="s">
        <v>35</v>
      </c>
      <c r="O3096" t="s">
        <v>26</v>
      </c>
      <c r="P3096" t="s">
        <v>27</v>
      </c>
      <c r="Q3096" t="s">
        <v>28</v>
      </c>
      <c r="R3096" t="s">
        <v>29</v>
      </c>
      <c r="S3096" t="s">
        <v>30</v>
      </c>
      <c r="T3096">
        <v>53040709</v>
      </c>
      <c r="U3096" t="s">
        <v>3963</v>
      </c>
      <c r="V3096" t="s">
        <v>3934</v>
      </c>
      <c r="W3096" s="9">
        <f>IF(V3096="pregrado",31,
IF(V3096="posgrados",31,
IF(V3096="rEINTEGROS",7,
IF(V3096="BIT",90,
IF(V3096="OP GRADO - INGLÉS",17,"")))))</f>
        <v>31</v>
      </c>
      <c r="X3096" t="s">
        <v>3994</v>
      </c>
    </row>
    <row r="3097" spans="1:24" ht="15" x14ac:dyDescent="0.35">
      <c r="A3097" s="4">
        <v>46029.455590277779</v>
      </c>
      <c r="B3097">
        <v>20111390</v>
      </c>
      <c r="C3097" s="6" t="s">
        <v>19</v>
      </c>
      <c r="D3097">
        <v>601035</v>
      </c>
      <c r="E3097" t="s">
        <v>20</v>
      </c>
      <c r="F3097">
        <v>1144180564</v>
      </c>
      <c r="G3097" t="s">
        <v>1546</v>
      </c>
      <c r="H3097">
        <v>100240459</v>
      </c>
      <c r="I3097">
        <v>202631</v>
      </c>
      <c r="J3097">
        <v>1144180564</v>
      </c>
      <c r="K3097" t="s">
        <v>33</v>
      </c>
      <c r="L3097" t="s">
        <v>207</v>
      </c>
      <c r="M3097" t="s">
        <v>24</v>
      </c>
      <c r="N3097" t="s">
        <v>25</v>
      </c>
      <c r="O3097" t="s">
        <v>26</v>
      </c>
      <c r="P3097" t="s">
        <v>27</v>
      </c>
      <c r="Q3097" t="s">
        <v>28</v>
      </c>
      <c r="R3097" t="s">
        <v>29</v>
      </c>
      <c r="S3097" t="s">
        <v>30</v>
      </c>
      <c r="T3097">
        <v>1002500634</v>
      </c>
      <c r="U3097" t="s">
        <v>3986</v>
      </c>
      <c r="V3097" t="s">
        <v>3934</v>
      </c>
      <c r="W3097" s="9">
        <f>IF(V3097="pregrado",31,
IF(V3097="posgrados",31,
IF(V3097="rEINTEGROS",7,
IF(V3097="BIT",90,
IF(V3097="OP GRADO - INGLÉS",17,"")))))</f>
        <v>31</v>
      </c>
      <c r="X3097" t="s">
        <v>4026</v>
      </c>
    </row>
    <row r="3098" spans="1:24" ht="15" x14ac:dyDescent="0.35">
      <c r="A3098" s="4">
        <v>46044.653796296298</v>
      </c>
      <c r="B3098">
        <v>20116247</v>
      </c>
      <c r="C3098" s="6" t="s">
        <v>19</v>
      </c>
      <c r="D3098">
        <v>601046</v>
      </c>
      <c r="E3098" t="s">
        <v>20</v>
      </c>
      <c r="F3098">
        <v>1069642406</v>
      </c>
      <c r="G3098" t="s">
        <v>2182</v>
      </c>
      <c r="H3098">
        <v>100240478</v>
      </c>
      <c r="I3098">
        <v>202631</v>
      </c>
      <c r="J3098">
        <v>1069642406</v>
      </c>
      <c r="K3098" t="s">
        <v>23</v>
      </c>
      <c r="L3098" t="s">
        <v>127</v>
      </c>
      <c r="M3098" t="s">
        <v>24</v>
      </c>
      <c r="N3098" t="s">
        <v>35</v>
      </c>
      <c r="O3098" t="s">
        <v>26</v>
      </c>
      <c r="P3098" t="s">
        <v>27</v>
      </c>
      <c r="Q3098" t="s">
        <v>28</v>
      </c>
      <c r="R3098" t="s">
        <v>29</v>
      </c>
      <c r="S3098" t="s">
        <v>30</v>
      </c>
      <c r="T3098">
        <v>1023929839</v>
      </c>
      <c r="U3098" t="s">
        <v>3933</v>
      </c>
      <c r="V3098" t="s">
        <v>3934</v>
      </c>
      <c r="W3098" s="9">
        <f>IF(V3098="pregrado",31,
IF(V3098="posgrados",31,
IF(V3098="rEINTEGROS",7,
IF(V3098="BIT",90,
IF(V3098="OP GRADO - INGLÉS",17,"")))))</f>
        <v>31</v>
      </c>
      <c r="X3098" t="s">
        <v>3932</v>
      </c>
    </row>
    <row r="3099" spans="1:24" ht="15" x14ac:dyDescent="0.35">
      <c r="A3099" s="4">
        <v>46035.549560185187</v>
      </c>
      <c r="B3099">
        <v>20112583</v>
      </c>
      <c r="C3099" s="6" t="s">
        <v>19</v>
      </c>
      <c r="D3099">
        <v>601052</v>
      </c>
      <c r="E3099" t="s">
        <v>20</v>
      </c>
      <c r="F3099">
        <v>1000591318</v>
      </c>
      <c r="G3099" t="s">
        <v>1701</v>
      </c>
      <c r="H3099">
        <v>100240483</v>
      </c>
      <c r="I3099">
        <v>202631</v>
      </c>
      <c r="J3099">
        <v>1000591318</v>
      </c>
      <c r="K3099" t="s">
        <v>33</v>
      </c>
      <c r="L3099" t="s">
        <v>90</v>
      </c>
      <c r="M3099" t="s">
        <v>24</v>
      </c>
      <c r="N3099" t="s">
        <v>25</v>
      </c>
      <c r="O3099" t="s">
        <v>26</v>
      </c>
      <c r="P3099" t="s">
        <v>27</v>
      </c>
      <c r="Q3099" t="s">
        <v>28</v>
      </c>
      <c r="R3099" t="s">
        <v>29</v>
      </c>
      <c r="S3099" t="s">
        <v>30</v>
      </c>
      <c r="T3099">
        <v>1015441103</v>
      </c>
      <c r="U3099" t="s">
        <v>3933</v>
      </c>
      <c r="V3099" t="s">
        <v>3934</v>
      </c>
      <c r="W3099" s="9">
        <f>IF(V3099="pregrado",31,
IF(V3099="posgrados",31,
IF(V3099="rEINTEGROS",7,
IF(V3099="BIT",90,
IF(V3099="OP GRADO - INGLÉS",17,"")))))</f>
        <v>31</v>
      </c>
      <c r="X3099" t="s">
        <v>3961</v>
      </c>
    </row>
    <row r="3100" spans="1:24" ht="15" x14ac:dyDescent="0.35">
      <c r="A3100" s="4">
        <v>46030.725763888891</v>
      </c>
      <c r="B3100">
        <v>20111861</v>
      </c>
      <c r="C3100" s="6" t="s">
        <v>19</v>
      </c>
      <c r="D3100">
        <v>601057</v>
      </c>
      <c r="E3100" t="s">
        <v>20</v>
      </c>
      <c r="F3100">
        <v>1018349963</v>
      </c>
      <c r="G3100" t="s">
        <v>1611</v>
      </c>
      <c r="H3100">
        <v>200078144</v>
      </c>
      <c r="I3100">
        <v>202631</v>
      </c>
      <c r="J3100">
        <v>1005437718</v>
      </c>
      <c r="K3100" t="s">
        <v>23</v>
      </c>
      <c r="L3100" t="s">
        <v>119</v>
      </c>
      <c r="M3100" t="s">
        <v>24</v>
      </c>
      <c r="N3100" t="s">
        <v>35</v>
      </c>
      <c r="O3100" t="s">
        <v>26</v>
      </c>
      <c r="P3100" t="s">
        <v>27</v>
      </c>
      <c r="Q3100" t="s">
        <v>28</v>
      </c>
      <c r="R3100" t="s">
        <v>29</v>
      </c>
      <c r="S3100" t="s">
        <v>30</v>
      </c>
      <c r="T3100">
        <v>39658730</v>
      </c>
      <c r="U3100" t="s">
        <v>3963</v>
      </c>
      <c r="V3100" t="s">
        <v>3934</v>
      </c>
      <c r="W3100" s="9">
        <f>IF(V3100="pregrado",31,
IF(V3100="posgrados",31,
IF(V3100="rEINTEGROS",7,
IF(V3100="BIT",90,
IF(V3100="OP GRADO - INGLÉS",17,"")))))</f>
        <v>31</v>
      </c>
      <c r="X3100" t="s">
        <v>4003</v>
      </c>
    </row>
    <row r="3101" spans="1:24" ht="15" x14ac:dyDescent="0.35">
      <c r="A3101" s="4">
        <v>46028.369537037041</v>
      </c>
      <c r="B3101">
        <v>20111100</v>
      </c>
      <c r="C3101" s="6" t="s">
        <v>19</v>
      </c>
      <c r="D3101">
        <v>601060</v>
      </c>
      <c r="E3101" t="s">
        <v>20</v>
      </c>
      <c r="F3101">
        <v>1007970241</v>
      </c>
      <c r="G3101" t="s">
        <v>1500</v>
      </c>
      <c r="H3101">
        <v>100240490</v>
      </c>
      <c r="I3101">
        <v>202631</v>
      </c>
      <c r="J3101">
        <v>1007970241</v>
      </c>
      <c r="K3101" t="s">
        <v>23</v>
      </c>
      <c r="L3101" t="s">
        <v>207</v>
      </c>
      <c r="M3101" t="s">
        <v>24</v>
      </c>
      <c r="N3101" t="s">
        <v>35</v>
      </c>
      <c r="O3101" t="s">
        <v>26</v>
      </c>
      <c r="P3101" t="s">
        <v>27</v>
      </c>
      <c r="Q3101" t="s">
        <v>28</v>
      </c>
      <c r="R3101" t="s">
        <v>29</v>
      </c>
      <c r="S3101" t="s">
        <v>30</v>
      </c>
      <c r="T3101">
        <v>1006505929</v>
      </c>
      <c r="U3101" t="s">
        <v>3986</v>
      </c>
      <c r="V3101" t="s">
        <v>3934</v>
      </c>
      <c r="W3101" s="9">
        <f>IF(V3101="pregrado",31,
IF(V3101="posgrados",31,
IF(V3101="rEINTEGROS",7,
IF(V3101="BIT",90,
IF(V3101="OP GRADO - INGLÉS",17,"")))))</f>
        <v>31</v>
      </c>
      <c r="X3101" t="s">
        <v>4013</v>
      </c>
    </row>
    <row r="3102" spans="1:24" ht="15" x14ac:dyDescent="0.35">
      <c r="A3102" s="4">
        <v>46037.761562500003</v>
      </c>
      <c r="B3102">
        <v>20113893</v>
      </c>
      <c r="C3102" s="6" t="s">
        <v>19</v>
      </c>
      <c r="D3102">
        <v>601063</v>
      </c>
      <c r="E3102" t="s">
        <v>20</v>
      </c>
      <c r="F3102">
        <v>1056612727</v>
      </c>
      <c r="G3102" t="s">
        <v>1860</v>
      </c>
      <c r="H3102">
        <v>100240493</v>
      </c>
      <c r="I3102">
        <v>202631</v>
      </c>
      <c r="J3102">
        <v>1056612727</v>
      </c>
      <c r="K3102" t="s">
        <v>33</v>
      </c>
      <c r="L3102" t="s">
        <v>207</v>
      </c>
      <c r="M3102" t="s">
        <v>24</v>
      </c>
      <c r="N3102" t="s">
        <v>25</v>
      </c>
      <c r="O3102" t="s">
        <v>26</v>
      </c>
      <c r="P3102" t="s">
        <v>27</v>
      </c>
      <c r="Q3102" t="s">
        <v>28</v>
      </c>
      <c r="R3102" t="s">
        <v>29</v>
      </c>
      <c r="S3102" t="s">
        <v>30</v>
      </c>
      <c r="T3102">
        <v>52876433</v>
      </c>
      <c r="U3102" t="s">
        <v>3986</v>
      </c>
      <c r="V3102" t="s">
        <v>3934</v>
      </c>
      <c r="W3102" s="9">
        <f>IF(V3102="pregrado",31,
IF(V3102="posgrados",31,
IF(V3102="rEINTEGROS",7,
IF(V3102="BIT",90,
IF(V3102="OP GRADO - INGLÉS",17,"")))))</f>
        <v>31</v>
      </c>
      <c r="X3102" t="s">
        <v>4078</v>
      </c>
    </row>
    <row r="3103" spans="1:24" ht="15" x14ac:dyDescent="0.35">
      <c r="A3103" s="4">
        <v>46037.714004629626</v>
      </c>
      <c r="B3103">
        <v>20113839</v>
      </c>
      <c r="C3103" s="6" t="s">
        <v>19</v>
      </c>
      <c r="D3103">
        <v>601065</v>
      </c>
      <c r="E3103" t="s">
        <v>20</v>
      </c>
      <c r="F3103">
        <v>51729122</v>
      </c>
      <c r="G3103" t="s">
        <v>1854</v>
      </c>
      <c r="H3103">
        <v>100240496</v>
      </c>
      <c r="I3103">
        <v>202631</v>
      </c>
      <c r="J3103">
        <v>1021667594</v>
      </c>
      <c r="K3103" t="s">
        <v>33</v>
      </c>
      <c r="L3103" t="s">
        <v>42</v>
      </c>
      <c r="M3103" t="s">
        <v>24</v>
      </c>
      <c r="N3103" t="s">
        <v>35</v>
      </c>
      <c r="O3103" t="s">
        <v>26</v>
      </c>
      <c r="P3103" t="s">
        <v>27</v>
      </c>
      <c r="Q3103" t="s">
        <v>28</v>
      </c>
      <c r="R3103" t="s">
        <v>29</v>
      </c>
      <c r="S3103" t="s">
        <v>30</v>
      </c>
      <c r="T3103">
        <v>10123971531</v>
      </c>
      <c r="U3103" t="s">
        <v>3944</v>
      </c>
      <c r="V3103" t="s">
        <v>3934</v>
      </c>
      <c r="W3103" s="9">
        <f>IF(V3103="pregrado",31,
IF(V3103="posgrados",31,
IF(V3103="rEINTEGROS",7,
IF(V3103="BIT",90,
IF(V3103="OP GRADO - INGLÉS",17,"")))))</f>
        <v>31</v>
      </c>
      <c r="X3103" t="s">
        <v>3943</v>
      </c>
    </row>
    <row r="3104" spans="1:24" ht="15" x14ac:dyDescent="0.35">
      <c r="A3104" s="4">
        <v>46030.671087962961</v>
      </c>
      <c r="B3104">
        <v>20111812</v>
      </c>
      <c r="C3104" s="6" t="s">
        <v>19</v>
      </c>
      <c r="D3104">
        <v>601067</v>
      </c>
      <c r="E3104" t="s">
        <v>20</v>
      </c>
      <c r="F3104">
        <v>1003516300</v>
      </c>
      <c r="G3104" t="s">
        <v>1605</v>
      </c>
      <c r="H3104">
        <v>100240498</v>
      </c>
      <c r="I3104">
        <v>202631</v>
      </c>
      <c r="J3104">
        <v>1021679618</v>
      </c>
      <c r="K3104" t="s">
        <v>23</v>
      </c>
      <c r="L3104" t="s">
        <v>231</v>
      </c>
      <c r="M3104" t="s">
        <v>24</v>
      </c>
      <c r="N3104" t="s">
        <v>35</v>
      </c>
      <c r="O3104" t="s">
        <v>26</v>
      </c>
      <c r="P3104" t="s">
        <v>27</v>
      </c>
      <c r="Q3104" t="s">
        <v>28</v>
      </c>
      <c r="R3104" t="s">
        <v>29</v>
      </c>
      <c r="S3104" t="s">
        <v>30</v>
      </c>
      <c r="T3104">
        <v>1032394283</v>
      </c>
      <c r="U3104" t="s">
        <v>3941</v>
      </c>
      <c r="V3104" t="s">
        <v>3934</v>
      </c>
      <c r="W3104" s="9">
        <f>IF(V3104="pregrado",31,
IF(V3104="posgrados",31,
IF(V3104="rEINTEGROS",7,
IF(V3104="BIT",90,
IF(V3104="OP GRADO - INGLÉS",17,"")))))</f>
        <v>31</v>
      </c>
      <c r="X3104" t="s">
        <v>4034</v>
      </c>
    </row>
    <row r="3105" spans="1:24" ht="15" x14ac:dyDescent="0.35">
      <c r="A3105" s="4">
        <v>46031.414641203701</v>
      </c>
      <c r="B3105">
        <v>20111971</v>
      </c>
      <c r="C3105" s="6" t="s">
        <v>19</v>
      </c>
      <c r="D3105">
        <v>601070</v>
      </c>
      <c r="E3105" t="s">
        <v>20</v>
      </c>
      <c r="F3105">
        <v>1007101238</v>
      </c>
      <c r="G3105" t="s">
        <v>1625</v>
      </c>
      <c r="H3105">
        <v>100099731</v>
      </c>
      <c r="I3105">
        <v>202631</v>
      </c>
      <c r="J3105">
        <v>1007101238</v>
      </c>
      <c r="K3105" t="s">
        <v>89</v>
      </c>
      <c r="L3105" t="s">
        <v>207</v>
      </c>
      <c r="M3105" t="s">
        <v>24</v>
      </c>
      <c r="N3105" t="s">
        <v>38</v>
      </c>
      <c r="O3105" t="s">
        <v>26</v>
      </c>
      <c r="P3105" t="s">
        <v>27</v>
      </c>
      <c r="Q3105" t="s">
        <v>28</v>
      </c>
      <c r="R3105" t="s">
        <v>29</v>
      </c>
      <c r="S3105" t="s">
        <v>30</v>
      </c>
      <c r="T3105">
        <v>1000934874</v>
      </c>
      <c r="U3105" t="s">
        <v>3977</v>
      </c>
      <c r="V3105" t="s">
        <v>3970</v>
      </c>
      <c r="W3105" s="9">
        <f>IF(V3105="pregrado",31,
IF(V3105="posgrados",31,
IF(V3105="rEINTEGROS",7,
IF(V3105="BIT",90,
IF(V3105="OP GRADO - INGLÉS",17,"")))))</f>
        <v>7</v>
      </c>
      <c r="X3105" t="s">
        <v>3999</v>
      </c>
    </row>
    <row r="3106" spans="1:24" ht="15" x14ac:dyDescent="0.35">
      <c r="A3106" s="4">
        <v>46039.38784722222</v>
      </c>
      <c r="B3106">
        <v>20114661</v>
      </c>
      <c r="C3106" s="6" t="s">
        <v>19</v>
      </c>
      <c r="D3106">
        <v>601072</v>
      </c>
      <c r="E3106" t="s">
        <v>20</v>
      </c>
      <c r="F3106">
        <v>1002963715</v>
      </c>
      <c r="G3106" t="s">
        <v>1939</v>
      </c>
      <c r="H3106">
        <v>100240502</v>
      </c>
      <c r="I3106">
        <v>202631</v>
      </c>
      <c r="J3106">
        <v>1002963715</v>
      </c>
      <c r="K3106" t="s">
        <v>33</v>
      </c>
      <c r="L3106" t="s">
        <v>42</v>
      </c>
      <c r="M3106" t="s">
        <v>24</v>
      </c>
      <c r="N3106" t="s">
        <v>25</v>
      </c>
      <c r="O3106" t="s">
        <v>26</v>
      </c>
      <c r="P3106" t="s">
        <v>27</v>
      </c>
      <c r="Q3106" t="s">
        <v>28</v>
      </c>
      <c r="R3106" t="s">
        <v>29</v>
      </c>
      <c r="S3106" t="s">
        <v>30</v>
      </c>
      <c r="T3106">
        <v>1000349074</v>
      </c>
      <c r="U3106" t="s">
        <v>3944</v>
      </c>
      <c r="V3106" t="s">
        <v>3934</v>
      </c>
      <c r="W3106" s="9">
        <f>IF(V3106="pregrado",31,
IF(V3106="posgrados",31,
IF(V3106="rEINTEGROS",7,
IF(V3106="BIT",90,
IF(V3106="OP GRADO - INGLÉS",17,"")))))</f>
        <v>31</v>
      </c>
      <c r="X3106" t="s">
        <v>4036</v>
      </c>
    </row>
    <row r="3107" spans="1:24" ht="15" x14ac:dyDescent="0.35">
      <c r="A3107" s="4">
        <v>46036.387557870374</v>
      </c>
      <c r="B3107">
        <v>20112883</v>
      </c>
      <c r="C3107" s="6" t="s">
        <v>19</v>
      </c>
      <c r="D3107">
        <v>601075</v>
      </c>
      <c r="E3107" t="s">
        <v>20</v>
      </c>
      <c r="F3107">
        <v>1032501426</v>
      </c>
      <c r="G3107" t="s">
        <v>1734</v>
      </c>
      <c r="H3107">
        <v>100185712</v>
      </c>
      <c r="I3107">
        <v>202610</v>
      </c>
      <c r="J3107">
        <v>1032501426</v>
      </c>
      <c r="K3107" t="s">
        <v>89</v>
      </c>
      <c r="L3107" t="s">
        <v>37</v>
      </c>
      <c r="M3107" t="s">
        <v>24</v>
      </c>
      <c r="N3107" t="s">
        <v>38</v>
      </c>
      <c r="O3107" t="s">
        <v>26</v>
      </c>
      <c r="P3107" t="s">
        <v>27</v>
      </c>
      <c r="Q3107" t="s">
        <v>28</v>
      </c>
      <c r="R3107" t="s">
        <v>29</v>
      </c>
      <c r="S3107" t="s">
        <v>30</v>
      </c>
      <c r="T3107">
        <v>1000934874</v>
      </c>
      <c r="U3107" t="s">
        <v>3977</v>
      </c>
      <c r="V3107" t="s">
        <v>3970</v>
      </c>
      <c r="W3107" s="9">
        <f>IF(V3107="pregrado",31,
IF(V3107="posgrados",31,
IF(V3107="rEINTEGROS",7,
IF(V3107="BIT",90,
IF(V3107="OP GRADO - INGLÉS",17,"")))))</f>
        <v>7</v>
      </c>
      <c r="X3107" t="s">
        <v>3999</v>
      </c>
    </row>
    <row r="3108" spans="1:24" ht="15" x14ac:dyDescent="0.35">
      <c r="A3108" s="4">
        <v>46071.692754629628</v>
      </c>
      <c r="B3108">
        <v>20124591</v>
      </c>
      <c r="C3108" s="6" t="s">
        <v>19</v>
      </c>
      <c r="D3108">
        <v>601081</v>
      </c>
      <c r="E3108" t="s">
        <v>20</v>
      </c>
      <c r="F3108">
        <v>26372925</v>
      </c>
      <c r="G3108" t="s">
        <v>3371</v>
      </c>
      <c r="H3108">
        <v>100189369</v>
      </c>
      <c r="I3108">
        <v>202631</v>
      </c>
      <c r="J3108">
        <v>1077174341</v>
      </c>
      <c r="K3108" t="s">
        <v>33</v>
      </c>
      <c r="L3108" t="s">
        <v>370</v>
      </c>
      <c r="M3108" t="s">
        <v>24</v>
      </c>
      <c r="N3108" t="s">
        <v>35</v>
      </c>
      <c r="O3108" t="s">
        <v>26</v>
      </c>
      <c r="P3108" t="s">
        <v>27</v>
      </c>
      <c r="Q3108" t="s">
        <v>28</v>
      </c>
      <c r="R3108" t="s">
        <v>29</v>
      </c>
      <c r="S3108" t="s">
        <v>30</v>
      </c>
      <c r="T3108">
        <v>1077967131</v>
      </c>
      <c r="U3108" t="s">
        <v>3963</v>
      </c>
      <c r="V3108" t="s">
        <v>3934</v>
      </c>
      <c r="W3108" s="9">
        <f>IF(V3108="pregrado",31,
IF(V3108="posgrados",31,
IF(V3108="rEINTEGROS",7,
IF(V3108="BIT",90,
IF(V3108="OP GRADO - INGLÉS",17,"")))))</f>
        <v>31</v>
      </c>
      <c r="X3108" t="s">
        <v>4011</v>
      </c>
    </row>
    <row r="3109" spans="1:24" ht="15" x14ac:dyDescent="0.35">
      <c r="A3109" s="4">
        <v>46030.509745370371</v>
      </c>
      <c r="B3109">
        <v>20111703</v>
      </c>
      <c r="C3109" s="6" t="s">
        <v>19</v>
      </c>
      <c r="D3109">
        <v>601084</v>
      </c>
      <c r="E3109" t="s">
        <v>20</v>
      </c>
      <c r="F3109">
        <v>16209124</v>
      </c>
      <c r="G3109" t="s">
        <v>1582</v>
      </c>
      <c r="H3109">
        <v>100232428</v>
      </c>
      <c r="I3109">
        <v>202611</v>
      </c>
      <c r="J3109">
        <v>1010108067</v>
      </c>
      <c r="K3109" t="s">
        <v>33</v>
      </c>
      <c r="L3109" t="s">
        <v>221</v>
      </c>
      <c r="M3109" t="s">
        <v>24</v>
      </c>
      <c r="N3109" t="s">
        <v>25</v>
      </c>
      <c r="O3109" t="s">
        <v>26</v>
      </c>
      <c r="P3109" t="s">
        <v>27</v>
      </c>
      <c r="Q3109" t="s">
        <v>28</v>
      </c>
      <c r="R3109" t="s">
        <v>29</v>
      </c>
      <c r="S3109" t="s">
        <v>30</v>
      </c>
      <c r="T3109">
        <v>10822473081</v>
      </c>
      <c r="U3109" t="s">
        <v>3965</v>
      </c>
      <c r="V3109" t="s">
        <v>3934</v>
      </c>
      <c r="W3109" s="9">
        <f>IF(V3109="pregrado",31,
IF(V3109="posgrados",31,
IF(V3109="rEINTEGROS",7,
IF(V3109="BIT",90,
IF(V3109="OP GRADO - INGLÉS",17,"")))))</f>
        <v>31</v>
      </c>
      <c r="X3109" t="s">
        <v>4007</v>
      </c>
    </row>
    <row r="3110" spans="1:24" ht="15" x14ac:dyDescent="0.35">
      <c r="A3110" s="4">
        <v>46030.903796296298</v>
      </c>
      <c r="B3110">
        <v>20111911</v>
      </c>
      <c r="C3110" s="6" t="s">
        <v>19</v>
      </c>
      <c r="D3110">
        <v>601085</v>
      </c>
      <c r="E3110" t="s">
        <v>20</v>
      </c>
      <c r="F3110">
        <v>74360962</v>
      </c>
      <c r="G3110" t="s">
        <v>1619</v>
      </c>
      <c r="H3110">
        <v>100063394</v>
      </c>
      <c r="I3110">
        <v>202631</v>
      </c>
      <c r="J3110">
        <v>1020728607</v>
      </c>
      <c r="K3110" t="s">
        <v>89</v>
      </c>
      <c r="L3110" t="s">
        <v>127</v>
      </c>
      <c r="M3110" t="s">
        <v>24</v>
      </c>
      <c r="N3110" t="s">
        <v>25</v>
      </c>
      <c r="O3110" t="s">
        <v>26</v>
      </c>
      <c r="P3110" t="s">
        <v>27</v>
      </c>
      <c r="Q3110" t="s">
        <v>28</v>
      </c>
      <c r="R3110" t="s">
        <v>29</v>
      </c>
      <c r="S3110" t="s">
        <v>30</v>
      </c>
      <c r="T3110">
        <v>1000934874</v>
      </c>
      <c r="U3110" t="s">
        <v>3977</v>
      </c>
      <c r="V3110" t="s">
        <v>3970</v>
      </c>
      <c r="W3110" s="9">
        <f>IF(V3110="pregrado",31,
IF(V3110="posgrados",31,
IF(V3110="rEINTEGROS",7,
IF(V3110="BIT",90,
IF(V3110="OP GRADO - INGLÉS",17,"")))))</f>
        <v>7</v>
      </c>
      <c r="X3110" t="s">
        <v>3999</v>
      </c>
    </row>
    <row r="3111" spans="1:24" ht="15" x14ac:dyDescent="0.35">
      <c r="A3111" s="4">
        <v>46030.6327662037</v>
      </c>
      <c r="B3111">
        <v>20111772</v>
      </c>
      <c r="C3111" s="6" t="s">
        <v>19</v>
      </c>
      <c r="D3111">
        <v>601089</v>
      </c>
      <c r="E3111" t="s">
        <v>20</v>
      </c>
      <c r="F3111">
        <v>60361332</v>
      </c>
      <c r="G3111" t="s">
        <v>1598</v>
      </c>
      <c r="H3111">
        <v>100121019</v>
      </c>
      <c r="I3111">
        <v>202631</v>
      </c>
      <c r="J3111">
        <v>1193087837</v>
      </c>
      <c r="K3111" t="s">
        <v>46</v>
      </c>
      <c r="L3111" t="s">
        <v>51</v>
      </c>
      <c r="M3111" t="s">
        <v>24</v>
      </c>
      <c r="N3111" t="s">
        <v>38</v>
      </c>
      <c r="O3111" t="s">
        <v>26</v>
      </c>
      <c r="P3111" t="s">
        <v>27</v>
      </c>
      <c r="Q3111" t="s">
        <v>28</v>
      </c>
      <c r="R3111" t="s">
        <v>29</v>
      </c>
      <c r="S3111" t="s">
        <v>30</v>
      </c>
      <c r="T3111">
        <v>1016110979</v>
      </c>
      <c r="U3111" t="s">
        <v>3977</v>
      </c>
      <c r="V3111" t="s">
        <v>3970</v>
      </c>
      <c r="W3111" s="9">
        <f>IF(V3111="pregrado",31,
IF(V3111="posgrados",31,
IF(V3111="rEINTEGROS",7,
IF(V3111="BIT",90,
IF(V3111="OP GRADO - INGLÉS",17,"")))))</f>
        <v>7</v>
      </c>
      <c r="X3111" t="s">
        <v>4051</v>
      </c>
    </row>
    <row r="3112" spans="1:24" ht="15" x14ac:dyDescent="0.35">
      <c r="A3112" s="4">
        <v>46028.796597222223</v>
      </c>
      <c r="B3112">
        <v>20111322</v>
      </c>
      <c r="C3112" s="6" t="s">
        <v>19</v>
      </c>
      <c r="D3112">
        <v>601098</v>
      </c>
      <c r="E3112" t="s">
        <v>20</v>
      </c>
      <c r="F3112">
        <v>1049659684</v>
      </c>
      <c r="G3112" t="s">
        <v>1537</v>
      </c>
      <c r="H3112">
        <v>100185646</v>
      </c>
      <c r="I3112">
        <v>202631</v>
      </c>
      <c r="J3112">
        <v>1049659684</v>
      </c>
      <c r="K3112" t="s">
        <v>89</v>
      </c>
      <c r="L3112" t="s">
        <v>90</v>
      </c>
      <c r="M3112" t="s">
        <v>24</v>
      </c>
      <c r="N3112" t="s">
        <v>25</v>
      </c>
      <c r="O3112" t="s">
        <v>26</v>
      </c>
      <c r="P3112" t="s">
        <v>27</v>
      </c>
      <c r="Q3112" t="s">
        <v>28</v>
      </c>
      <c r="R3112" t="s">
        <v>29</v>
      </c>
      <c r="S3112" t="s">
        <v>30</v>
      </c>
      <c r="T3112">
        <v>1000934874</v>
      </c>
      <c r="U3112" t="s">
        <v>3977</v>
      </c>
      <c r="V3112" t="s">
        <v>3970</v>
      </c>
      <c r="W3112" s="9">
        <f>IF(V3112="pregrado",31,
IF(V3112="posgrados",31,
IF(V3112="rEINTEGROS",7,
IF(V3112="BIT",90,
IF(V3112="OP GRADO - INGLÉS",17,"")))))</f>
        <v>7</v>
      </c>
      <c r="X3112" t="s">
        <v>3999</v>
      </c>
    </row>
    <row r="3113" spans="1:24" ht="15" x14ac:dyDescent="0.35">
      <c r="A3113" s="4">
        <v>46043.530034722222</v>
      </c>
      <c r="B3113">
        <v>20115744</v>
      </c>
      <c r="C3113" s="6" t="s">
        <v>19</v>
      </c>
      <c r="D3113">
        <v>601101</v>
      </c>
      <c r="E3113" t="s">
        <v>20</v>
      </c>
      <c r="F3113">
        <v>1004440825</v>
      </c>
      <c r="G3113" t="s">
        <v>2086</v>
      </c>
      <c r="H3113">
        <v>100173122</v>
      </c>
      <c r="I3113">
        <v>202631</v>
      </c>
      <c r="J3113">
        <v>1004440825</v>
      </c>
      <c r="K3113" t="s">
        <v>89</v>
      </c>
      <c r="L3113" t="s">
        <v>231</v>
      </c>
      <c r="M3113" t="s">
        <v>24</v>
      </c>
      <c r="N3113" t="s">
        <v>25</v>
      </c>
      <c r="O3113" t="s">
        <v>26</v>
      </c>
      <c r="P3113" t="s">
        <v>27</v>
      </c>
      <c r="Q3113" t="s">
        <v>28</v>
      </c>
      <c r="R3113" t="s">
        <v>29</v>
      </c>
      <c r="S3113" t="s">
        <v>30</v>
      </c>
      <c r="T3113">
        <v>1023899450</v>
      </c>
      <c r="U3113" t="s">
        <v>3977</v>
      </c>
      <c r="V3113" t="s">
        <v>3970</v>
      </c>
      <c r="W3113" s="9">
        <f>IF(V3113="pregrado",31,
IF(V3113="posgrados",31,
IF(V3113="rEINTEGROS",7,
IF(V3113="BIT",90,
IF(V3113="OP GRADO - INGLÉS",17,"")))))</f>
        <v>7</v>
      </c>
      <c r="X3113" t="s">
        <v>3969</v>
      </c>
    </row>
    <row r="3114" spans="1:24" ht="15" x14ac:dyDescent="0.35">
      <c r="A3114" s="4">
        <v>46028.390127314815</v>
      </c>
      <c r="B3114">
        <v>20111108</v>
      </c>
      <c r="C3114" s="6" t="s">
        <v>19</v>
      </c>
      <c r="D3114">
        <v>601111</v>
      </c>
      <c r="E3114" t="s">
        <v>20</v>
      </c>
      <c r="F3114">
        <v>52465091</v>
      </c>
      <c r="G3114" t="s">
        <v>1503</v>
      </c>
      <c r="H3114">
        <v>100114483</v>
      </c>
      <c r="I3114">
        <v>202611</v>
      </c>
      <c r="J3114">
        <v>52465091</v>
      </c>
      <c r="K3114" t="s">
        <v>89</v>
      </c>
      <c r="L3114" t="s">
        <v>133</v>
      </c>
      <c r="M3114" t="s">
        <v>24</v>
      </c>
      <c r="N3114" t="s">
        <v>25</v>
      </c>
      <c r="O3114" t="s">
        <v>26</v>
      </c>
      <c r="P3114" t="s">
        <v>27</v>
      </c>
      <c r="Q3114" t="s">
        <v>28</v>
      </c>
      <c r="R3114" t="s">
        <v>29</v>
      </c>
      <c r="S3114" t="s">
        <v>30</v>
      </c>
      <c r="T3114">
        <v>1019102787</v>
      </c>
      <c r="U3114" t="s">
        <v>3977</v>
      </c>
      <c r="V3114" t="s">
        <v>3970</v>
      </c>
      <c r="W3114" s="9">
        <f>IF(V3114="pregrado",31,
IF(V3114="posgrados",31,
IF(V3114="rEINTEGROS",7,
IF(V3114="BIT",90,
IF(V3114="OP GRADO - INGLÉS",17,"")))))</f>
        <v>7</v>
      </c>
      <c r="X3114" t="s">
        <v>3976</v>
      </c>
    </row>
    <row r="3115" spans="1:24" ht="15" x14ac:dyDescent="0.35">
      <c r="A3115" s="4">
        <v>46028.798946759256</v>
      </c>
      <c r="B3115">
        <v>20111323</v>
      </c>
      <c r="C3115" s="6" t="s">
        <v>19</v>
      </c>
      <c r="D3115">
        <v>601114</v>
      </c>
      <c r="E3115" t="s">
        <v>20</v>
      </c>
      <c r="F3115">
        <v>1025460435</v>
      </c>
      <c r="G3115" t="s">
        <v>1538</v>
      </c>
      <c r="H3115">
        <v>100181203</v>
      </c>
      <c r="I3115">
        <v>202610</v>
      </c>
      <c r="J3115">
        <v>1025460435</v>
      </c>
      <c r="K3115" t="s">
        <v>89</v>
      </c>
      <c r="L3115" t="s">
        <v>37</v>
      </c>
      <c r="M3115" t="s">
        <v>24</v>
      </c>
      <c r="N3115" t="s">
        <v>25</v>
      </c>
      <c r="O3115" t="s">
        <v>26</v>
      </c>
      <c r="P3115" t="s">
        <v>27</v>
      </c>
      <c r="Q3115" t="s">
        <v>28</v>
      </c>
      <c r="R3115" t="s">
        <v>29</v>
      </c>
      <c r="S3115" t="s">
        <v>30</v>
      </c>
      <c r="T3115">
        <v>1019102787</v>
      </c>
      <c r="U3115" t="s">
        <v>3977</v>
      </c>
      <c r="V3115" t="s">
        <v>3970</v>
      </c>
      <c r="W3115" s="9">
        <f>IF(V3115="pregrado",31,
IF(V3115="posgrados",31,
IF(V3115="rEINTEGROS",7,
IF(V3115="BIT",90,
IF(V3115="OP GRADO - INGLÉS",17,"")))))</f>
        <v>7</v>
      </c>
      <c r="X3115" t="s">
        <v>3976</v>
      </c>
    </row>
    <row r="3116" spans="1:24" ht="15" x14ac:dyDescent="0.35">
      <c r="A3116" s="4">
        <v>46029.502187500002</v>
      </c>
      <c r="B3116">
        <v>20111422</v>
      </c>
      <c r="C3116" s="6" t="s">
        <v>19</v>
      </c>
      <c r="D3116">
        <v>601115</v>
      </c>
      <c r="E3116" t="s">
        <v>20</v>
      </c>
      <c r="F3116">
        <v>1111122210</v>
      </c>
      <c r="G3116" t="s">
        <v>1556</v>
      </c>
      <c r="H3116">
        <v>100167765</v>
      </c>
      <c r="I3116">
        <v>202611</v>
      </c>
      <c r="J3116">
        <v>1111122210</v>
      </c>
      <c r="K3116" t="s">
        <v>89</v>
      </c>
      <c r="L3116" t="s">
        <v>133</v>
      </c>
      <c r="M3116" t="s">
        <v>24</v>
      </c>
      <c r="N3116" t="s">
        <v>25</v>
      </c>
      <c r="O3116" t="s">
        <v>26</v>
      </c>
      <c r="P3116" t="s">
        <v>27</v>
      </c>
      <c r="Q3116" t="s">
        <v>28</v>
      </c>
      <c r="R3116" t="s">
        <v>29</v>
      </c>
      <c r="S3116" t="s">
        <v>30</v>
      </c>
      <c r="T3116">
        <v>1019102787</v>
      </c>
      <c r="U3116" t="s">
        <v>3977</v>
      </c>
      <c r="V3116" t="s">
        <v>3970</v>
      </c>
      <c r="W3116" s="9">
        <f>IF(V3116="pregrado",31,
IF(V3116="posgrados",31,
IF(V3116="rEINTEGROS",7,
IF(V3116="BIT",90,
IF(V3116="OP GRADO - INGLÉS",17,"")))))</f>
        <v>7</v>
      </c>
      <c r="X3116" t="s">
        <v>3976</v>
      </c>
    </row>
    <row r="3117" spans="1:24" ht="15" x14ac:dyDescent="0.35">
      <c r="A3117" s="4">
        <v>46028.409259259257</v>
      </c>
      <c r="B3117">
        <v>20111116</v>
      </c>
      <c r="C3117" s="6" t="s">
        <v>19</v>
      </c>
      <c r="D3117">
        <v>601118</v>
      </c>
      <c r="E3117" t="s">
        <v>20</v>
      </c>
      <c r="F3117">
        <v>1069985427</v>
      </c>
      <c r="G3117" t="s">
        <v>1505</v>
      </c>
      <c r="H3117">
        <v>100155540</v>
      </c>
      <c r="I3117">
        <v>202631</v>
      </c>
      <c r="J3117">
        <v>1069985427</v>
      </c>
      <c r="K3117" t="s">
        <v>89</v>
      </c>
      <c r="L3117" t="s">
        <v>127</v>
      </c>
      <c r="M3117" t="s">
        <v>24</v>
      </c>
      <c r="N3117" t="s">
        <v>25</v>
      </c>
      <c r="O3117" t="s">
        <v>26</v>
      </c>
      <c r="P3117" t="s">
        <v>27</v>
      </c>
      <c r="Q3117" t="s">
        <v>28</v>
      </c>
      <c r="R3117" t="s">
        <v>29</v>
      </c>
      <c r="S3117" t="s">
        <v>30</v>
      </c>
      <c r="T3117">
        <v>1019102787</v>
      </c>
      <c r="U3117" t="s">
        <v>3977</v>
      </c>
      <c r="V3117" t="s">
        <v>3970</v>
      </c>
      <c r="W3117" s="9">
        <f>IF(V3117="pregrado",31,
IF(V3117="posgrados",31,
IF(V3117="rEINTEGROS",7,
IF(V3117="BIT",90,
IF(V3117="OP GRADO - INGLÉS",17,"")))))</f>
        <v>7</v>
      </c>
      <c r="X3117" t="s">
        <v>3976</v>
      </c>
    </row>
    <row r="3118" spans="1:24" ht="15" x14ac:dyDescent="0.35">
      <c r="A3118" s="4">
        <v>46043.462210648147</v>
      </c>
      <c r="B3118">
        <v>20115687</v>
      </c>
      <c r="C3118" s="6" t="s">
        <v>19</v>
      </c>
      <c r="D3118">
        <v>601120</v>
      </c>
      <c r="E3118" t="s">
        <v>20</v>
      </c>
      <c r="F3118">
        <v>1002488582</v>
      </c>
      <c r="G3118" t="s">
        <v>2077</v>
      </c>
      <c r="H3118">
        <v>100127078</v>
      </c>
      <c r="I3118">
        <v>202611</v>
      </c>
      <c r="J3118">
        <v>1002488583</v>
      </c>
      <c r="K3118" t="s">
        <v>89</v>
      </c>
      <c r="L3118" t="s">
        <v>133</v>
      </c>
      <c r="M3118" t="s">
        <v>24</v>
      </c>
      <c r="N3118" t="s">
        <v>35</v>
      </c>
      <c r="O3118" t="s">
        <v>26</v>
      </c>
      <c r="P3118" t="s">
        <v>27</v>
      </c>
      <c r="Q3118" t="s">
        <v>28</v>
      </c>
      <c r="R3118" t="s">
        <v>29</v>
      </c>
      <c r="S3118" t="s">
        <v>30</v>
      </c>
      <c r="T3118">
        <v>52168054</v>
      </c>
      <c r="U3118" t="s">
        <v>3977</v>
      </c>
      <c r="V3118" t="s">
        <v>3970</v>
      </c>
      <c r="W3118" s="9">
        <f>IF(V3118="pregrado",31,
IF(V3118="posgrados",31,
IF(V3118="rEINTEGROS",7,
IF(V3118="BIT",90,
IF(V3118="OP GRADO - INGLÉS",17,"")))))</f>
        <v>7</v>
      </c>
      <c r="X3118" t="s">
        <v>4057</v>
      </c>
    </row>
    <row r="3119" spans="1:24" ht="15" x14ac:dyDescent="0.35">
      <c r="A3119" s="4">
        <v>46028.610300925924</v>
      </c>
      <c r="B3119">
        <v>20111219</v>
      </c>
      <c r="C3119" s="6" t="s">
        <v>19</v>
      </c>
      <c r="D3119">
        <v>601126</v>
      </c>
      <c r="E3119" t="s">
        <v>20</v>
      </c>
      <c r="F3119">
        <v>39704491</v>
      </c>
      <c r="G3119" t="s">
        <v>1522</v>
      </c>
      <c r="H3119">
        <v>100240520</v>
      </c>
      <c r="I3119">
        <v>202631</v>
      </c>
      <c r="J3119">
        <v>1145224163</v>
      </c>
      <c r="K3119" t="s">
        <v>33</v>
      </c>
      <c r="L3119" t="s">
        <v>231</v>
      </c>
      <c r="M3119" t="s">
        <v>24</v>
      </c>
      <c r="N3119" t="s">
        <v>38</v>
      </c>
      <c r="O3119" t="s">
        <v>26</v>
      </c>
      <c r="P3119" t="s">
        <v>27</v>
      </c>
      <c r="Q3119" t="s">
        <v>28</v>
      </c>
      <c r="R3119" t="s">
        <v>29</v>
      </c>
      <c r="S3119" t="s">
        <v>30</v>
      </c>
      <c r="T3119">
        <v>1020730718</v>
      </c>
      <c r="U3119" t="s">
        <v>3941</v>
      </c>
      <c r="V3119" t="s">
        <v>3934</v>
      </c>
      <c r="W3119" s="9">
        <f>IF(V3119="pregrado",31,
IF(V3119="posgrados",31,
IF(V3119="rEINTEGROS",7,
IF(V3119="BIT",90,
IF(V3119="OP GRADO - INGLÉS",17,"")))))</f>
        <v>31</v>
      </c>
      <c r="X3119" t="s">
        <v>3952</v>
      </c>
    </row>
    <row r="3120" spans="1:24" ht="15" x14ac:dyDescent="0.35">
      <c r="A3120" s="4">
        <v>46031.429375</v>
      </c>
      <c r="B3120">
        <v>20111981</v>
      </c>
      <c r="C3120" s="6" t="s">
        <v>19</v>
      </c>
      <c r="D3120">
        <v>601132</v>
      </c>
      <c r="E3120" t="s">
        <v>20</v>
      </c>
      <c r="F3120">
        <v>1030627106</v>
      </c>
      <c r="G3120" t="s">
        <v>1628</v>
      </c>
      <c r="H3120">
        <v>100240534</v>
      </c>
      <c r="I3120">
        <v>202631</v>
      </c>
      <c r="J3120">
        <v>1030627106</v>
      </c>
      <c r="K3120" t="s">
        <v>33</v>
      </c>
      <c r="L3120" t="s">
        <v>90</v>
      </c>
      <c r="M3120" t="s">
        <v>24</v>
      </c>
      <c r="N3120" t="s">
        <v>25</v>
      </c>
      <c r="O3120" t="s">
        <v>26</v>
      </c>
      <c r="P3120" t="s">
        <v>27</v>
      </c>
      <c r="Q3120" t="s">
        <v>28</v>
      </c>
      <c r="R3120" t="s">
        <v>29</v>
      </c>
      <c r="S3120" t="s">
        <v>30</v>
      </c>
      <c r="T3120">
        <v>79786913</v>
      </c>
      <c r="U3120" t="s">
        <v>3939</v>
      </c>
      <c r="V3120" t="s">
        <v>3934</v>
      </c>
      <c r="W3120" s="9">
        <f>IF(V3120="pregrado",31,
IF(V3120="posgrados",31,
IF(V3120="rEINTEGROS",7,
IF(V3120="BIT",90,
IF(V3120="OP GRADO - INGLÉS",17,"")))))</f>
        <v>31</v>
      </c>
      <c r="X3120" t="s">
        <v>4010</v>
      </c>
    </row>
    <row r="3121" spans="1:24" ht="15" x14ac:dyDescent="0.35">
      <c r="A3121" s="4">
        <v>46028.423078703701</v>
      </c>
      <c r="B3121">
        <v>20111121</v>
      </c>
      <c r="C3121" s="6" t="s">
        <v>19</v>
      </c>
      <c r="D3121">
        <v>601135</v>
      </c>
      <c r="E3121" t="s">
        <v>20</v>
      </c>
      <c r="F3121">
        <v>1028940444</v>
      </c>
      <c r="G3121" t="s">
        <v>1507</v>
      </c>
      <c r="H3121">
        <v>100240537</v>
      </c>
      <c r="I3121">
        <v>202631</v>
      </c>
      <c r="J3121">
        <v>1028940444</v>
      </c>
      <c r="K3121" t="s">
        <v>23</v>
      </c>
      <c r="L3121" t="s">
        <v>32</v>
      </c>
      <c r="M3121" t="s">
        <v>24</v>
      </c>
      <c r="N3121" t="s">
        <v>35</v>
      </c>
      <c r="O3121" t="s">
        <v>26</v>
      </c>
      <c r="P3121" t="s">
        <v>27</v>
      </c>
      <c r="Q3121" t="s">
        <v>28</v>
      </c>
      <c r="R3121" t="s">
        <v>29</v>
      </c>
      <c r="S3121" t="s">
        <v>30</v>
      </c>
      <c r="T3121">
        <v>1006023129</v>
      </c>
      <c r="U3121" t="s">
        <v>3944</v>
      </c>
      <c r="V3121" t="s">
        <v>3934</v>
      </c>
      <c r="W3121" s="9">
        <f>IF(V3121="pregrado",31,
IF(V3121="posgrados",31,
IF(V3121="rEINTEGROS",7,
IF(V3121="BIT",90,
IF(V3121="OP GRADO - INGLÉS",17,"")))))</f>
        <v>31</v>
      </c>
      <c r="X3121" t="s">
        <v>3982</v>
      </c>
    </row>
    <row r="3122" spans="1:24" ht="15" x14ac:dyDescent="0.35">
      <c r="A3122" s="4">
        <v>46032.478622685187</v>
      </c>
      <c r="B3122">
        <v>20112283</v>
      </c>
      <c r="C3122" s="6" t="s">
        <v>19</v>
      </c>
      <c r="D3122">
        <v>601136</v>
      </c>
      <c r="E3122" t="s">
        <v>20</v>
      </c>
      <c r="F3122">
        <v>1030523174</v>
      </c>
      <c r="G3122" t="s">
        <v>1674</v>
      </c>
      <c r="H3122">
        <v>100240540</v>
      </c>
      <c r="I3122">
        <v>202610</v>
      </c>
      <c r="J3122">
        <v>1141326707</v>
      </c>
      <c r="K3122" t="s">
        <v>23</v>
      </c>
      <c r="L3122" t="s">
        <v>79</v>
      </c>
      <c r="M3122" t="s">
        <v>24</v>
      </c>
      <c r="N3122" t="s">
        <v>25</v>
      </c>
      <c r="O3122" t="s">
        <v>26</v>
      </c>
      <c r="P3122" t="s">
        <v>27</v>
      </c>
      <c r="Q3122" t="s">
        <v>28</v>
      </c>
      <c r="R3122" t="s">
        <v>29</v>
      </c>
      <c r="S3122" t="s">
        <v>30</v>
      </c>
      <c r="T3122">
        <v>10822473081</v>
      </c>
      <c r="U3122" t="s">
        <v>3965</v>
      </c>
      <c r="V3122" t="s">
        <v>3934</v>
      </c>
      <c r="W3122" s="9">
        <f>IF(V3122="pregrado",31,
IF(V3122="posgrados",31,
IF(V3122="rEINTEGROS",7,
IF(V3122="BIT",90,
IF(V3122="OP GRADO - INGLÉS",17,"")))))</f>
        <v>31</v>
      </c>
      <c r="X3122" t="s">
        <v>4007</v>
      </c>
    </row>
    <row r="3123" spans="1:24" ht="15" x14ac:dyDescent="0.35">
      <c r="A3123" s="4">
        <v>46036.550682870373</v>
      </c>
      <c r="B3123">
        <v>20113078</v>
      </c>
      <c r="C3123" s="6" t="s">
        <v>19</v>
      </c>
      <c r="D3123">
        <v>601137</v>
      </c>
      <c r="E3123" t="s">
        <v>20</v>
      </c>
      <c r="F3123">
        <v>1121957155</v>
      </c>
      <c r="G3123" t="s">
        <v>1766</v>
      </c>
      <c r="H3123">
        <v>100240541</v>
      </c>
      <c r="I3123">
        <v>202631</v>
      </c>
      <c r="J3123">
        <v>1121957155</v>
      </c>
      <c r="K3123" t="s">
        <v>23</v>
      </c>
      <c r="L3123" t="s">
        <v>240</v>
      </c>
      <c r="M3123" t="s">
        <v>24</v>
      </c>
      <c r="N3123" t="s">
        <v>35</v>
      </c>
      <c r="O3123" t="s">
        <v>26</v>
      </c>
      <c r="P3123" t="s">
        <v>27</v>
      </c>
      <c r="Q3123" t="s">
        <v>28</v>
      </c>
      <c r="R3123" t="s">
        <v>29</v>
      </c>
      <c r="S3123" t="s">
        <v>30</v>
      </c>
      <c r="T3123">
        <v>1026298522</v>
      </c>
      <c r="U3123" t="s">
        <v>3965</v>
      </c>
      <c r="V3123" t="s">
        <v>3934</v>
      </c>
      <c r="W3123" s="9">
        <f>IF(V3123="pregrado",31,
IF(V3123="posgrados",31,
IF(V3123="rEINTEGROS",7,
IF(V3123="BIT",90,
IF(V3123="OP GRADO - INGLÉS",17,"")))))</f>
        <v>31</v>
      </c>
      <c r="X3123" t="s">
        <v>4040</v>
      </c>
    </row>
    <row r="3124" spans="1:24" ht="15" x14ac:dyDescent="0.35">
      <c r="A3124" s="4">
        <v>46028.676898148151</v>
      </c>
      <c r="B3124">
        <v>20111267</v>
      </c>
      <c r="C3124" s="6" t="s">
        <v>19</v>
      </c>
      <c r="D3124">
        <v>601138</v>
      </c>
      <c r="E3124" t="s">
        <v>20</v>
      </c>
      <c r="F3124">
        <v>1117487534</v>
      </c>
      <c r="G3124" t="s">
        <v>1530</v>
      </c>
      <c r="H3124">
        <v>200049976</v>
      </c>
      <c r="I3124">
        <v>202631</v>
      </c>
      <c r="J3124">
        <v>1117487534</v>
      </c>
      <c r="K3124" t="s">
        <v>33</v>
      </c>
      <c r="L3124" t="s">
        <v>119</v>
      </c>
      <c r="M3124" t="s">
        <v>24</v>
      </c>
      <c r="N3124" t="s">
        <v>35</v>
      </c>
      <c r="O3124" t="s">
        <v>26</v>
      </c>
      <c r="P3124" t="s">
        <v>27</v>
      </c>
      <c r="Q3124" t="s">
        <v>28</v>
      </c>
      <c r="R3124" t="s">
        <v>29</v>
      </c>
      <c r="S3124" t="s">
        <v>30</v>
      </c>
      <c r="T3124">
        <v>1057586591</v>
      </c>
      <c r="U3124" t="s">
        <v>3963</v>
      </c>
      <c r="V3124" t="s">
        <v>3934</v>
      </c>
      <c r="W3124" s="9">
        <f>IF(V3124="pregrado",31,
IF(V3124="posgrados",31,
IF(V3124="rEINTEGROS",7,
IF(V3124="BIT",90,
IF(V3124="OP GRADO - INGLÉS",17,"")))))</f>
        <v>31</v>
      </c>
      <c r="X3124" t="s">
        <v>3988</v>
      </c>
    </row>
    <row r="3125" spans="1:24" ht="15" x14ac:dyDescent="0.35">
      <c r="A3125" s="4">
        <v>46028.565081018518</v>
      </c>
      <c r="B3125">
        <v>20111203</v>
      </c>
      <c r="C3125" s="6" t="s">
        <v>19</v>
      </c>
      <c r="D3125">
        <v>601152</v>
      </c>
      <c r="E3125" t="s">
        <v>20</v>
      </c>
      <c r="F3125">
        <v>1031645806</v>
      </c>
      <c r="G3125" t="s">
        <v>1519</v>
      </c>
      <c r="H3125">
        <v>100147815</v>
      </c>
      <c r="I3125">
        <v>202631</v>
      </c>
      <c r="J3125">
        <v>1014859308</v>
      </c>
      <c r="K3125" t="s">
        <v>33</v>
      </c>
      <c r="L3125" t="s">
        <v>90</v>
      </c>
      <c r="M3125" t="s">
        <v>24</v>
      </c>
      <c r="N3125" t="s">
        <v>35</v>
      </c>
      <c r="O3125" t="s">
        <v>26</v>
      </c>
      <c r="P3125" t="s">
        <v>27</v>
      </c>
      <c r="Q3125" t="s">
        <v>28</v>
      </c>
      <c r="R3125" t="s">
        <v>29</v>
      </c>
      <c r="S3125" t="s">
        <v>30</v>
      </c>
      <c r="T3125">
        <v>1007473661</v>
      </c>
      <c r="U3125" t="s">
        <v>3933</v>
      </c>
      <c r="V3125" t="s">
        <v>3934</v>
      </c>
      <c r="W3125" s="9">
        <f>IF(V3125="pregrado",31,
IF(V3125="posgrados",31,
IF(V3125="rEINTEGROS",7,
IF(V3125="BIT",90,
IF(V3125="OP GRADO - INGLÉS",17,"")))))</f>
        <v>31</v>
      </c>
      <c r="X3125" t="s">
        <v>4058</v>
      </c>
    </row>
    <row r="3126" spans="1:24" ht="15" x14ac:dyDescent="0.35">
      <c r="A3126" s="4">
        <v>46030.472997685189</v>
      </c>
      <c r="B3126">
        <v>20111678</v>
      </c>
      <c r="C3126" s="6" t="s">
        <v>19</v>
      </c>
      <c r="D3126">
        <v>601162</v>
      </c>
      <c r="E3126" t="s">
        <v>20</v>
      </c>
      <c r="F3126">
        <v>1011200626</v>
      </c>
      <c r="G3126" t="s">
        <v>1578</v>
      </c>
      <c r="H3126">
        <v>100240570</v>
      </c>
      <c r="I3126">
        <v>202610</v>
      </c>
      <c r="J3126">
        <v>1011203331</v>
      </c>
      <c r="K3126" t="s">
        <v>23</v>
      </c>
      <c r="L3126" t="s">
        <v>79</v>
      </c>
      <c r="M3126" t="s">
        <v>24</v>
      </c>
      <c r="N3126" t="s">
        <v>35</v>
      </c>
      <c r="O3126" t="s">
        <v>26</v>
      </c>
      <c r="P3126" t="s">
        <v>27</v>
      </c>
      <c r="Q3126" t="s">
        <v>28</v>
      </c>
      <c r="R3126" t="s">
        <v>29</v>
      </c>
      <c r="S3126" t="s">
        <v>30</v>
      </c>
      <c r="T3126">
        <v>52342867</v>
      </c>
      <c r="U3126" t="s">
        <v>3965</v>
      </c>
      <c r="V3126" t="s">
        <v>3934</v>
      </c>
      <c r="W3126" s="9">
        <f>IF(V3126="pregrado",31,
IF(V3126="posgrados",31,
IF(V3126="rEINTEGROS",7,
IF(V3126="BIT",90,
IF(V3126="OP GRADO - INGLÉS",17,"")))))</f>
        <v>31</v>
      </c>
      <c r="X3126" t="s">
        <v>4047</v>
      </c>
    </row>
    <row r="3127" spans="1:24" ht="15" x14ac:dyDescent="0.35">
      <c r="A3127" s="4">
        <v>46028.614756944444</v>
      </c>
      <c r="B3127">
        <v>20111224</v>
      </c>
      <c r="C3127" s="6" t="s">
        <v>19</v>
      </c>
      <c r="D3127">
        <v>601163</v>
      </c>
      <c r="E3127" t="s">
        <v>20</v>
      </c>
      <c r="F3127">
        <v>1032361970</v>
      </c>
      <c r="G3127" t="s">
        <v>1523</v>
      </c>
      <c r="H3127">
        <v>100240572</v>
      </c>
      <c r="I3127">
        <v>202631</v>
      </c>
      <c r="J3127">
        <v>1032361970</v>
      </c>
      <c r="K3127" t="s">
        <v>23</v>
      </c>
      <c r="L3127" t="s">
        <v>90</v>
      </c>
      <c r="M3127" t="s">
        <v>24</v>
      </c>
      <c r="N3127" t="s">
        <v>35</v>
      </c>
      <c r="O3127" t="s">
        <v>26</v>
      </c>
      <c r="P3127" t="s">
        <v>27</v>
      </c>
      <c r="Q3127" t="s">
        <v>28</v>
      </c>
      <c r="R3127" t="s">
        <v>29</v>
      </c>
      <c r="S3127" t="s">
        <v>30</v>
      </c>
      <c r="T3127">
        <v>39666517</v>
      </c>
      <c r="U3127" t="s">
        <v>3933</v>
      </c>
      <c r="V3127" t="s">
        <v>3934</v>
      </c>
      <c r="W3127" s="9">
        <f>IF(V3127="pregrado",31,
IF(V3127="posgrados",31,
IF(V3127="rEINTEGROS",7,
IF(V3127="BIT",90,
IF(V3127="OP GRADO - INGLÉS",17,"")))))</f>
        <v>31</v>
      </c>
      <c r="X3127" t="s">
        <v>4025</v>
      </c>
    </row>
    <row r="3128" spans="1:24" ht="15" x14ac:dyDescent="0.35">
      <c r="A3128" s="4">
        <v>46036.501122685186</v>
      </c>
      <c r="B3128">
        <v>20113013</v>
      </c>
      <c r="C3128" s="6" t="s">
        <v>19</v>
      </c>
      <c r="D3128">
        <v>601170</v>
      </c>
      <c r="E3128" t="s">
        <v>20</v>
      </c>
      <c r="F3128">
        <v>1003047711</v>
      </c>
      <c r="G3128" t="s">
        <v>1755</v>
      </c>
      <c r="H3128">
        <v>200078457</v>
      </c>
      <c r="I3128">
        <v>202631</v>
      </c>
      <c r="J3128">
        <v>1003047711</v>
      </c>
      <c r="K3128" t="s">
        <v>33</v>
      </c>
      <c r="L3128" t="s">
        <v>119</v>
      </c>
      <c r="M3128" t="s">
        <v>24</v>
      </c>
      <c r="N3128" t="s">
        <v>35</v>
      </c>
      <c r="O3128" t="s">
        <v>26</v>
      </c>
      <c r="P3128" t="s">
        <v>27</v>
      </c>
      <c r="Q3128" t="s">
        <v>28</v>
      </c>
      <c r="R3128" t="s">
        <v>29</v>
      </c>
      <c r="S3128" t="s">
        <v>30</v>
      </c>
      <c r="T3128">
        <v>1014283217</v>
      </c>
      <c r="U3128" t="s">
        <v>3963</v>
      </c>
      <c r="V3128" t="s">
        <v>3934</v>
      </c>
      <c r="W3128" s="9">
        <f>IF(V3128="pregrado",31,
IF(V3128="posgrados",31,
IF(V3128="rEINTEGROS",7,
IF(V3128="BIT",90,
IF(V3128="OP GRADO - INGLÉS",17,"")))))</f>
        <v>31</v>
      </c>
      <c r="X3128" t="s">
        <v>4023</v>
      </c>
    </row>
    <row r="3129" spans="1:24" ht="15" x14ac:dyDescent="0.35">
      <c r="A3129" s="4">
        <v>46057.677777777775</v>
      </c>
      <c r="B3129">
        <v>20120562</v>
      </c>
      <c r="C3129" s="6" t="s">
        <v>19</v>
      </c>
      <c r="D3129">
        <v>601174</v>
      </c>
      <c r="E3129" t="s">
        <v>20</v>
      </c>
      <c r="F3129">
        <v>8865568</v>
      </c>
      <c r="G3129" t="s">
        <v>2763</v>
      </c>
      <c r="H3129">
        <v>100240586</v>
      </c>
      <c r="I3129">
        <v>202631</v>
      </c>
      <c r="J3129">
        <v>1052949478</v>
      </c>
      <c r="K3129" t="s">
        <v>33</v>
      </c>
      <c r="L3129" t="s">
        <v>370</v>
      </c>
      <c r="M3129" t="s">
        <v>24</v>
      </c>
      <c r="N3129" t="s">
        <v>35</v>
      </c>
      <c r="O3129" t="s">
        <v>26</v>
      </c>
      <c r="P3129" t="s">
        <v>27</v>
      </c>
      <c r="Q3129" t="s">
        <v>28</v>
      </c>
      <c r="R3129" t="s">
        <v>29</v>
      </c>
      <c r="S3129" t="s">
        <v>30</v>
      </c>
      <c r="T3129">
        <v>1077967131</v>
      </c>
      <c r="U3129" t="s">
        <v>3963</v>
      </c>
      <c r="V3129" t="s">
        <v>3934</v>
      </c>
      <c r="W3129" s="9">
        <f>IF(V3129="pregrado",31,
IF(V3129="posgrados",31,
IF(V3129="rEINTEGROS",7,
IF(V3129="BIT",90,
IF(V3129="OP GRADO - INGLÉS",17,"")))))</f>
        <v>31</v>
      </c>
      <c r="X3129" t="s">
        <v>4011</v>
      </c>
    </row>
    <row r="3130" spans="1:24" ht="15" x14ac:dyDescent="0.35">
      <c r="A3130" s="4">
        <v>46029.435914351852</v>
      </c>
      <c r="B3130">
        <v>20111382</v>
      </c>
      <c r="C3130" s="6" t="s">
        <v>19</v>
      </c>
      <c r="D3130">
        <v>601183</v>
      </c>
      <c r="E3130" t="s">
        <v>20</v>
      </c>
      <c r="F3130">
        <v>53098132</v>
      </c>
      <c r="G3130" t="s">
        <v>1545</v>
      </c>
      <c r="H3130">
        <v>100240598</v>
      </c>
      <c r="I3130">
        <v>202631</v>
      </c>
      <c r="J3130">
        <v>1021681762</v>
      </c>
      <c r="K3130" t="s">
        <v>23</v>
      </c>
      <c r="L3130" t="s">
        <v>51</v>
      </c>
      <c r="M3130" t="s">
        <v>24</v>
      </c>
      <c r="N3130" t="s">
        <v>35</v>
      </c>
      <c r="O3130" t="s">
        <v>26</v>
      </c>
      <c r="P3130" t="s">
        <v>27</v>
      </c>
      <c r="Q3130" t="s">
        <v>28</v>
      </c>
      <c r="R3130" t="s">
        <v>29</v>
      </c>
      <c r="S3130" t="s">
        <v>30</v>
      </c>
      <c r="T3130">
        <v>1023000285</v>
      </c>
      <c r="U3130" t="s">
        <v>3986</v>
      </c>
      <c r="V3130" t="s">
        <v>3934</v>
      </c>
      <c r="W3130" s="9">
        <f>IF(V3130="pregrado",31,
IF(V3130="posgrados",31,
IF(V3130="rEINTEGROS",7,
IF(V3130="BIT",90,
IF(V3130="OP GRADO - INGLÉS",17,"")))))</f>
        <v>31</v>
      </c>
      <c r="X3130" t="s">
        <v>4097</v>
      </c>
    </row>
    <row r="3131" spans="1:24" ht="15" x14ac:dyDescent="0.35">
      <c r="A3131" s="4">
        <v>46050.837569444448</v>
      </c>
      <c r="B3131">
        <v>20118255</v>
      </c>
      <c r="C3131" s="6" t="s">
        <v>19</v>
      </c>
      <c r="D3131">
        <v>601184</v>
      </c>
      <c r="E3131" t="s">
        <v>20</v>
      </c>
      <c r="F3131">
        <v>52154067</v>
      </c>
      <c r="G3131" t="s">
        <v>2444</v>
      </c>
      <c r="H3131">
        <v>100240599</v>
      </c>
      <c r="I3131">
        <v>202631</v>
      </c>
      <c r="J3131">
        <v>1001282628</v>
      </c>
      <c r="K3131" t="s">
        <v>33</v>
      </c>
      <c r="L3131" t="s">
        <v>231</v>
      </c>
      <c r="M3131" t="s">
        <v>24</v>
      </c>
      <c r="N3131" t="s">
        <v>35</v>
      </c>
      <c r="O3131" t="s">
        <v>26</v>
      </c>
      <c r="P3131" t="s">
        <v>27</v>
      </c>
      <c r="Q3131" t="s">
        <v>28</v>
      </c>
      <c r="R3131" t="s">
        <v>29</v>
      </c>
      <c r="S3131" t="s">
        <v>30</v>
      </c>
      <c r="T3131">
        <v>53061994</v>
      </c>
      <c r="U3131" t="s">
        <v>3941</v>
      </c>
      <c r="V3131" t="s">
        <v>3934</v>
      </c>
      <c r="W3131" s="9">
        <f>IF(V3131="pregrado",31,
IF(V3131="posgrados",31,
IF(V3131="rEINTEGROS",7,
IF(V3131="BIT",90,
IF(V3131="OP GRADO - INGLÉS",17,"")))))</f>
        <v>31</v>
      </c>
      <c r="X3131" t="s">
        <v>3950</v>
      </c>
    </row>
    <row r="3132" spans="1:24" ht="15" x14ac:dyDescent="0.35">
      <c r="A3132" s="4">
        <v>46029.392256944448</v>
      </c>
      <c r="B3132">
        <v>20111359</v>
      </c>
      <c r="C3132" s="6" t="s">
        <v>19</v>
      </c>
      <c r="D3132">
        <v>601185</v>
      </c>
      <c r="E3132" t="s">
        <v>20</v>
      </c>
      <c r="F3132">
        <v>1006439861</v>
      </c>
      <c r="G3132" t="s">
        <v>1544</v>
      </c>
      <c r="H3132">
        <v>100240488</v>
      </c>
      <c r="I3132">
        <v>202611</v>
      </c>
      <c r="J3132">
        <v>1116496749</v>
      </c>
      <c r="K3132" t="s">
        <v>23</v>
      </c>
      <c r="L3132" t="s">
        <v>227</v>
      </c>
      <c r="M3132" t="s">
        <v>24</v>
      </c>
      <c r="N3132" t="s">
        <v>35</v>
      </c>
      <c r="O3132" t="s">
        <v>26</v>
      </c>
      <c r="P3132" t="s">
        <v>27</v>
      </c>
      <c r="Q3132" t="s">
        <v>28</v>
      </c>
      <c r="R3132" t="s">
        <v>29</v>
      </c>
      <c r="S3132" t="s">
        <v>30</v>
      </c>
      <c r="T3132">
        <v>1026298522</v>
      </c>
      <c r="U3132" t="s">
        <v>3965</v>
      </c>
      <c r="V3132" t="s">
        <v>3934</v>
      </c>
      <c r="W3132" s="9">
        <f>IF(V3132="pregrado",31,
IF(V3132="posgrados",31,
IF(V3132="rEINTEGROS",7,
IF(V3132="BIT",90,
IF(V3132="OP GRADO - INGLÉS",17,"")))))</f>
        <v>31</v>
      </c>
      <c r="X3132" t="s">
        <v>4040</v>
      </c>
    </row>
    <row r="3133" spans="1:24" ht="15" x14ac:dyDescent="0.35">
      <c r="A3133" s="4">
        <v>46036.405150462961</v>
      </c>
      <c r="B3133">
        <v>20112897</v>
      </c>
      <c r="C3133" s="6" t="s">
        <v>19</v>
      </c>
      <c r="D3133">
        <v>601200</v>
      </c>
      <c r="E3133" t="s">
        <v>20</v>
      </c>
      <c r="F3133">
        <v>5868353</v>
      </c>
      <c r="G3133" t="s">
        <v>1735</v>
      </c>
      <c r="H3133">
        <v>100188170</v>
      </c>
      <c r="I3133">
        <v>202610</v>
      </c>
      <c r="J3133">
        <v>1033809239</v>
      </c>
      <c r="K3133" t="s">
        <v>89</v>
      </c>
      <c r="L3133" t="s">
        <v>37</v>
      </c>
      <c r="M3133" t="s">
        <v>24</v>
      </c>
      <c r="N3133" t="s">
        <v>38</v>
      </c>
      <c r="O3133" t="s">
        <v>26</v>
      </c>
      <c r="P3133" t="s">
        <v>27</v>
      </c>
      <c r="Q3133" t="s">
        <v>28</v>
      </c>
      <c r="R3133" t="s">
        <v>29</v>
      </c>
      <c r="S3133" t="s">
        <v>30</v>
      </c>
      <c r="T3133">
        <v>1016110979</v>
      </c>
      <c r="U3133" t="s">
        <v>3977</v>
      </c>
      <c r="V3133" t="s">
        <v>3970</v>
      </c>
      <c r="W3133" s="9">
        <f>IF(V3133="pregrado",31,
IF(V3133="posgrados",31,
IF(V3133="rEINTEGROS",7,
IF(V3133="BIT",90,
IF(V3133="OP GRADO - INGLÉS",17,"")))))</f>
        <v>7</v>
      </c>
      <c r="X3133" t="s">
        <v>4051</v>
      </c>
    </row>
    <row r="3134" spans="1:24" ht="15" x14ac:dyDescent="0.35">
      <c r="A3134" s="4">
        <v>46035.754606481481</v>
      </c>
      <c r="B3134">
        <v>20112770</v>
      </c>
      <c r="C3134" s="6" t="s">
        <v>19</v>
      </c>
      <c r="D3134">
        <v>601212</v>
      </c>
      <c r="E3134" t="s">
        <v>20</v>
      </c>
      <c r="F3134">
        <v>1028662323</v>
      </c>
      <c r="G3134" t="s">
        <v>1721</v>
      </c>
      <c r="H3134">
        <v>100240625</v>
      </c>
      <c r="I3134">
        <v>202610</v>
      </c>
      <c r="J3134">
        <v>1141315752</v>
      </c>
      <c r="K3134" t="s">
        <v>33</v>
      </c>
      <c r="L3134" t="s">
        <v>79</v>
      </c>
      <c r="M3134" t="s">
        <v>24</v>
      </c>
      <c r="N3134" t="s">
        <v>25</v>
      </c>
      <c r="O3134" t="s">
        <v>26</v>
      </c>
      <c r="P3134" t="s">
        <v>27</v>
      </c>
      <c r="Q3134" t="s">
        <v>28</v>
      </c>
      <c r="R3134" t="s">
        <v>29</v>
      </c>
      <c r="S3134" t="s">
        <v>30</v>
      </c>
      <c r="T3134">
        <v>1032678391</v>
      </c>
      <c r="U3134" t="s">
        <v>3965</v>
      </c>
      <c r="V3134" t="s">
        <v>3934</v>
      </c>
      <c r="W3134" s="9">
        <f>IF(V3134="pregrado",31,
IF(V3134="posgrados",31,
IF(V3134="rEINTEGROS",7,
IF(V3134="BIT",90,
IF(V3134="OP GRADO - INGLÉS",17,"")))))</f>
        <v>31</v>
      </c>
      <c r="X3134" t="s">
        <v>4098</v>
      </c>
    </row>
    <row r="3135" spans="1:24" ht="15" x14ac:dyDescent="0.35">
      <c r="A3135" s="4">
        <v>46029.607708333337</v>
      </c>
      <c r="B3135">
        <v>20111488</v>
      </c>
      <c r="C3135" s="6" t="s">
        <v>19</v>
      </c>
      <c r="D3135">
        <v>601235</v>
      </c>
      <c r="E3135" t="s">
        <v>20</v>
      </c>
      <c r="F3135">
        <v>1114456998</v>
      </c>
      <c r="G3135" t="s">
        <v>1561</v>
      </c>
      <c r="H3135">
        <v>100240647</v>
      </c>
      <c r="I3135">
        <v>202631</v>
      </c>
      <c r="J3135">
        <v>1114456998</v>
      </c>
      <c r="K3135" t="s">
        <v>23</v>
      </c>
      <c r="L3135" t="s">
        <v>240</v>
      </c>
      <c r="M3135" t="s">
        <v>24</v>
      </c>
      <c r="N3135" t="s">
        <v>35</v>
      </c>
      <c r="O3135" t="s">
        <v>26</v>
      </c>
      <c r="P3135" t="s">
        <v>27</v>
      </c>
      <c r="Q3135" t="s">
        <v>28</v>
      </c>
      <c r="R3135" t="s">
        <v>29</v>
      </c>
      <c r="S3135" t="s">
        <v>30</v>
      </c>
      <c r="T3135">
        <v>1013662799</v>
      </c>
      <c r="U3135" t="s">
        <v>3965</v>
      </c>
      <c r="V3135" t="s">
        <v>3934</v>
      </c>
      <c r="W3135" s="9">
        <f>IF(V3135="pregrado",31,
IF(V3135="posgrados",31,
IF(V3135="rEINTEGROS",7,
IF(V3135="BIT",90,
IF(V3135="OP GRADO - INGLÉS",17,"")))))</f>
        <v>31</v>
      </c>
      <c r="X3135" t="s">
        <v>4021</v>
      </c>
    </row>
    <row r="3136" spans="1:24" ht="15" x14ac:dyDescent="0.35">
      <c r="A3136" s="4">
        <v>46029.362685185188</v>
      </c>
      <c r="B3136">
        <v>20111347</v>
      </c>
      <c r="C3136" s="6" t="s">
        <v>19</v>
      </c>
      <c r="D3136">
        <v>601247</v>
      </c>
      <c r="E3136" t="s">
        <v>20</v>
      </c>
      <c r="F3136">
        <v>1095806127</v>
      </c>
      <c r="G3136" t="s">
        <v>1541</v>
      </c>
      <c r="H3136">
        <v>100240662</v>
      </c>
      <c r="I3136">
        <v>202631</v>
      </c>
      <c r="J3136">
        <v>1097102287</v>
      </c>
      <c r="K3136" t="s">
        <v>23</v>
      </c>
      <c r="L3136" t="s">
        <v>240</v>
      </c>
      <c r="M3136" t="s">
        <v>24</v>
      </c>
      <c r="N3136" t="s">
        <v>25</v>
      </c>
      <c r="O3136" t="s">
        <v>26</v>
      </c>
      <c r="P3136" t="s">
        <v>27</v>
      </c>
      <c r="Q3136" t="s">
        <v>28</v>
      </c>
      <c r="R3136" t="s">
        <v>29</v>
      </c>
      <c r="S3136" t="s">
        <v>30</v>
      </c>
      <c r="T3136">
        <v>10822473081</v>
      </c>
      <c r="U3136" t="s">
        <v>3965</v>
      </c>
      <c r="V3136" t="s">
        <v>3934</v>
      </c>
      <c r="W3136" s="9">
        <f>IF(V3136="pregrado",31,
IF(V3136="posgrados",31,
IF(V3136="rEINTEGROS",7,
IF(V3136="BIT",90,
IF(V3136="OP GRADO - INGLÉS",17,"")))))</f>
        <v>31</v>
      </c>
      <c r="X3136" t="s">
        <v>4007</v>
      </c>
    </row>
    <row r="3137" spans="1:24" ht="15" x14ac:dyDescent="0.35">
      <c r="A3137" s="4">
        <v>46032.620833333334</v>
      </c>
      <c r="B3137">
        <v>20112311</v>
      </c>
      <c r="C3137" s="6" t="s">
        <v>19</v>
      </c>
      <c r="D3137">
        <v>601250</v>
      </c>
      <c r="E3137" t="s">
        <v>20</v>
      </c>
      <c r="F3137">
        <v>1089796030</v>
      </c>
      <c r="G3137" t="s">
        <v>1680</v>
      </c>
      <c r="H3137">
        <v>100240482</v>
      </c>
      <c r="I3137">
        <v>202631</v>
      </c>
      <c r="J3137">
        <v>1089796030</v>
      </c>
      <c r="K3137" t="s">
        <v>33</v>
      </c>
      <c r="L3137" t="s">
        <v>231</v>
      </c>
      <c r="M3137" t="s">
        <v>24</v>
      </c>
      <c r="N3137" t="s">
        <v>25</v>
      </c>
      <c r="O3137" t="s">
        <v>26</v>
      </c>
      <c r="P3137" t="s">
        <v>27</v>
      </c>
      <c r="Q3137" t="s">
        <v>28</v>
      </c>
      <c r="R3137" t="s">
        <v>29</v>
      </c>
      <c r="S3137" t="s">
        <v>30</v>
      </c>
      <c r="T3137">
        <v>1025460711</v>
      </c>
      <c r="U3137" t="s">
        <v>3933</v>
      </c>
      <c r="V3137" t="s">
        <v>3934</v>
      </c>
      <c r="W3137" s="9">
        <f>IF(V3137="pregrado",31,
IF(V3137="posgrados",31,
IF(V3137="rEINTEGROS",7,
IF(V3137="BIT",90,
IF(V3137="OP GRADO - INGLÉS",17,"")))))</f>
        <v>31</v>
      </c>
      <c r="X3137" t="s">
        <v>4062</v>
      </c>
    </row>
    <row r="3138" spans="1:24" ht="15" x14ac:dyDescent="0.35">
      <c r="A3138" s="4">
        <v>46030.601203703707</v>
      </c>
      <c r="B3138">
        <v>20111754</v>
      </c>
      <c r="C3138" s="6" t="s">
        <v>19</v>
      </c>
      <c r="D3138">
        <v>601254</v>
      </c>
      <c r="E3138" t="s">
        <v>20</v>
      </c>
      <c r="F3138">
        <v>1112779224</v>
      </c>
      <c r="G3138" t="s">
        <v>1593</v>
      </c>
      <c r="H3138">
        <v>100240673</v>
      </c>
      <c r="I3138">
        <v>202631</v>
      </c>
      <c r="J3138">
        <v>1112779224</v>
      </c>
      <c r="K3138" t="s">
        <v>23</v>
      </c>
      <c r="L3138" t="s">
        <v>65</v>
      </c>
      <c r="M3138" t="s">
        <v>24</v>
      </c>
      <c r="N3138" t="s">
        <v>35</v>
      </c>
      <c r="O3138" t="s">
        <v>26</v>
      </c>
      <c r="P3138" t="s">
        <v>27</v>
      </c>
      <c r="Q3138" t="s">
        <v>28</v>
      </c>
      <c r="R3138" t="s">
        <v>29</v>
      </c>
      <c r="S3138" t="s">
        <v>30</v>
      </c>
      <c r="T3138">
        <v>1000183349</v>
      </c>
      <c r="U3138" t="s">
        <v>3939</v>
      </c>
      <c r="V3138" t="s">
        <v>3934</v>
      </c>
      <c r="W3138" s="9">
        <f>IF(V3138="pregrado",31,
IF(V3138="posgrados",31,
IF(V3138="rEINTEGROS",7,
IF(V3138="BIT",90,
IF(V3138="OP GRADO - INGLÉS",17,"")))))</f>
        <v>31</v>
      </c>
      <c r="X3138" t="s">
        <v>4083</v>
      </c>
    </row>
    <row r="3139" spans="1:24" ht="15" x14ac:dyDescent="0.35">
      <c r="A3139" s="4">
        <v>46029.479803240742</v>
      </c>
      <c r="B3139">
        <v>20111407</v>
      </c>
      <c r="C3139" s="6" t="s">
        <v>19</v>
      </c>
      <c r="D3139">
        <v>601255</v>
      </c>
      <c r="E3139" t="s">
        <v>20</v>
      </c>
      <c r="F3139">
        <v>1057978219</v>
      </c>
      <c r="G3139" t="s">
        <v>1549</v>
      </c>
      <c r="H3139">
        <v>100240674</v>
      </c>
      <c r="I3139">
        <v>202611</v>
      </c>
      <c r="J3139">
        <v>1057978219</v>
      </c>
      <c r="K3139" t="s">
        <v>33</v>
      </c>
      <c r="L3139" t="s">
        <v>204</v>
      </c>
      <c r="M3139" t="s">
        <v>24</v>
      </c>
      <c r="N3139" t="s">
        <v>25</v>
      </c>
      <c r="O3139" t="s">
        <v>26</v>
      </c>
      <c r="P3139" t="s">
        <v>27</v>
      </c>
      <c r="Q3139" t="s">
        <v>28</v>
      </c>
      <c r="R3139" t="s">
        <v>29</v>
      </c>
      <c r="S3139" t="s">
        <v>30</v>
      </c>
      <c r="T3139">
        <v>80219471</v>
      </c>
      <c r="U3139" t="s">
        <v>3941</v>
      </c>
      <c r="V3139" t="s">
        <v>3934</v>
      </c>
      <c r="W3139" s="9">
        <f>IF(V3139="pregrado",31,
IF(V3139="posgrados",31,
IF(V3139="rEINTEGROS",7,
IF(V3139="BIT",90,
IF(V3139="OP GRADO - INGLÉS",17,"")))))</f>
        <v>31</v>
      </c>
      <c r="X3139" t="s">
        <v>4030</v>
      </c>
    </row>
    <row r="3140" spans="1:24" ht="15" x14ac:dyDescent="0.35">
      <c r="A3140" s="4">
        <v>46028.723773148151</v>
      </c>
      <c r="B3140">
        <v>20111297</v>
      </c>
      <c r="C3140" s="6" t="s">
        <v>19</v>
      </c>
      <c r="D3140">
        <v>601263</v>
      </c>
      <c r="E3140" t="s">
        <v>20</v>
      </c>
      <c r="F3140">
        <v>65829452</v>
      </c>
      <c r="G3140" t="s">
        <v>1534</v>
      </c>
      <c r="H3140">
        <v>200078837</v>
      </c>
      <c r="I3140">
        <v>202631</v>
      </c>
      <c r="J3140">
        <v>1033105525</v>
      </c>
      <c r="K3140" t="s">
        <v>23</v>
      </c>
      <c r="L3140" t="s">
        <v>22</v>
      </c>
      <c r="M3140" t="s">
        <v>24</v>
      </c>
      <c r="N3140" t="s">
        <v>35</v>
      </c>
      <c r="O3140" t="s">
        <v>26</v>
      </c>
      <c r="P3140" t="s">
        <v>27</v>
      </c>
      <c r="Q3140" t="s">
        <v>28</v>
      </c>
      <c r="R3140" t="s">
        <v>29</v>
      </c>
      <c r="S3140" t="s">
        <v>30</v>
      </c>
      <c r="T3140">
        <v>1007473661</v>
      </c>
      <c r="U3140" t="s">
        <v>3933</v>
      </c>
      <c r="V3140" t="s">
        <v>3934</v>
      </c>
      <c r="W3140" s="9">
        <f>IF(V3140="pregrado",31,
IF(V3140="posgrados",31,
IF(V3140="rEINTEGROS",7,
IF(V3140="BIT",90,
IF(V3140="OP GRADO - INGLÉS",17,"")))))</f>
        <v>31</v>
      </c>
      <c r="X3140" t="s">
        <v>4058</v>
      </c>
    </row>
    <row r="3141" spans="1:24" ht="15" x14ac:dyDescent="0.35">
      <c r="A3141" s="4">
        <v>46066.640069444446</v>
      </c>
      <c r="B3141">
        <v>20123249</v>
      </c>
      <c r="C3141" s="6" t="s">
        <v>19</v>
      </c>
      <c r="D3141">
        <v>601265</v>
      </c>
      <c r="E3141" t="s">
        <v>20</v>
      </c>
      <c r="F3141">
        <v>1071428111</v>
      </c>
      <c r="G3141" t="s">
        <v>3174</v>
      </c>
      <c r="H3141">
        <v>100240681</v>
      </c>
      <c r="I3141">
        <v>202631</v>
      </c>
      <c r="J3141">
        <v>1071428111</v>
      </c>
      <c r="K3141" t="s">
        <v>33</v>
      </c>
      <c r="L3141" t="s">
        <v>370</v>
      </c>
      <c r="M3141" t="s">
        <v>24</v>
      </c>
      <c r="N3141" t="s">
        <v>35</v>
      </c>
      <c r="O3141" t="s">
        <v>26</v>
      </c>
      <c r="P3141" t="s">
        <v>27</v>
      </c>
      <c r="Q3141" t="s">
        <v>28</v>
      </c>
      <c r="R3141" t="s">
        <v>29</v>
      </c>
      <c r="S3141" t="s">
        <v>30</v>
      </c>
      <c r="T3141">
        <v>1014283217</v>
      </c>
      <c r="U3141" t="s">
        <v>3963</v>
      </c>
      <c r="V3141" t="s">
        <v>3934</v>
      </c>
      <c r="W3141" s="9">
        <f>IF(V3141="pregrado",31,
IF(V3141="posgrados",31,
IF(V3141="rEINTEGROS",7,
IF(V3141="BIT",90,
IF(V3141="OP GRADO - INGLÉS",17,"")))))</f>
        <v>31</v>
      </c>
      <c r="X3141" t="s">
        <v>4023</v>
      </c>
    </row>
    <row r="3142" spans="1:24" ht="15" x14ac:dyDescent="0.35">
      <c r="A3142" s="4">
        <v>46030.370243055557</v>
      </c>
      <c r="B3142">
        <v>20111626</v>
      </c>
      <c r="C3142" s="6" t="s">
        <v>19</v>
      </c>
      <c r="D3142">
        <v>601271</v>
      </c>
      <c r="E3142" t="s">
        <v>20</v>
      </c>
      <c r="F3142">
        <v>1046908587</v>
      </c>
      <c r="G3142" t="s">
        <v>1572</v>
      </c>
      <c r="H3142">
        <v>100240699</v>
      </c>
      <c r="I3142">
        <v>202631</v>
      </c>
      <c r="J3142">
        <v>1046908587</v>
      </c>
      <c r="K3142" t="s">
        <v>23</v>
      </c>
      <c r="L3142" t="s">
        <v>240</v>
      </c>
      <c r="M3142" t="s">
        <v>24</v>
      </c>
      <c r="N3142" t="s">
        <v>35</v>
      </c>
      <c r="O3142" t="s">
        <v>26</v>
      </c>
      <c r="P3142" t="s">
        <v>27</v>
      </c>
      <c r="Q3142" t="s">
        <v>28</v>
      </c>
      <c r="R3142" t="s">
        <v>29</v>
      </c>
      <c r="S3142" t="s">
        <v>30</v>
      </c>
      <c r="T3142">
        <v>1013662799</v>
      </c>
      <c r="U3142" t="s">
        <v>3965</v>
      </c>
      <c r="V3142" t="s">
        <v>3934</v>
      </c>
      <c r="W3142" s="9">
        <f>IF(V3142="pregrado",31,
IF(V3142="posgrados",31,
IF(V3142="rEINTEGROS",7,
IF(V3142="BIT",90,
IF(V3142="OP GRADO - INGLÉS",17,"")))))</f>
        <v>31</v>
      </c>
      <c r="X3142" t="s">
        <v>4021</v>
      </c>
    </row>
    <row r="3143" spans="1:24" ht="15" x14ac:dyDescent="0.35">
      <c r="A3143" s="4">
        <v>46029.45579861111</v>
      </c>
      <c r="B3143">
        <v>20111391</v>
      </c>
      <c r="C3143" s="6" t="s">
        <v>19</v>
      </c>
      <c r="D3143">
        <v>601293</v>
      </c>
      <c r="E3143" t="s">
        <v>20</v>
      </c>
      <c r="F3143">
        <v>1031807640</v>
      </c>
      <c r="G3143" t="s">
        <v>1547</v>
      </c>
      <c r="H3143">
        <v>100240723</v>
      </c>
      <c r="I3143">
        <v>202611</v>
      </c>
      <c r="J3143">
        <v>1031807640</v>
      </c>
      <c r="K3143" t="s">
        <v>33</v>
      </c>
      <c r="L3143" t="s">
        <v>204</v>
      </c>
      <c r="M3143" t="s">
        <v>24</v>
      </c>
      <c r="N3143" t="s">
        <v>25</v>
      </c>
      <c r="O3143" t="s">
        <v>26</v>
      </c>
      <c r="P3143" t="s">
        <v>27</v>
      </c>
      <c r="Q3143" t="s">
        <v>28</v>
      </c>
      <c r="R3143" t="s">
        <v>29</v>
      </c>
      <c r="S3143" t="s">
        <v>30</v>
      </c>
      <c r="T3143">
        <v>1002500634</v>
      </c>
      <c r="U3143" t="s">
        <v>3986</v>
      </c>
      <c r="V3143" t="s">
        <v>3934</v>
      </c>
      <c r="W3143" s="9">
        <f>IF(V3143="pregrado",31,
IF(V3143="posgrados",31,
IF(V3143="rEINTEGROS",7,
IF(V3143="BIT",90,
IF(V3143="OP GRADO - INGLÉS",17,"")))))</f>
        <v>31</v>
      </c>
      <c r="X3143" t="s">
        <v>4026</v>
      </c>
    </row>
    <row r="3144" spans="1:24" ht="15" x14ac:dyDescent="0.35">
      <c r="A3144" s="4">
        <v>46030.614062499997</v>
      </c>
      <c r="B3144">
        <v>20111760</v>
      </c>
      <c r="C3144" s="6" t="s">
        <v>19</v>
      </c>
      <c r="D3144">
        <v>601308</v>
      </c>
      <c r="E3144" t="s">
        <v>20</v>
      </c>
      <c r="F3144">
        <v>1070384392</v>
      </c>
      <c r="G3144" t="s">
        <v>1595</v>
      </c>
      <c r="H3144">
        <v>100240740</v>
      </c>
      <c r="I3144">
        <v>202631</v>
      </c>
      <c r="J3144">
        <v>1070384392</v>
      </c>
      <c r="K3144" t="s">
        <v>23</v>
      </c>
      <c r="L3144" t="s">
        <v>231</v>
      </c>
      <c r="M3144" t="s">
        <v>24</v>
      </c>
      <c r="N3144" t="s">
        <v>35</v>
      </c>
      <c r="O3144" t="s">
        <v>26</v>
      </c>
      <c r="P3144" t="s">
        <v>27</v>
      </c>
      <c r="Q3144" t="s">
        <v>28</v>
      </c>
      <c r="R3144" t="s">
        <v>29</v>
      </c>
      <c r="S3144" t="s">
        <v>30</v>
      </c>
      <c r="T3144">
        <v>1000578914</v>
      </c>
      <c r="U3144" t="s">
        <v>3941</v>
      </c>
      <c r="V3144" t="s">
        <v>3934</v>
      </c>
      <c r="W3144" s="9">
        <f>IF(V3144="pregrado",31,
IF(V3144="posgrados",31,
IF(V3144="rEINTEGROS",7,
IF(V3144="BIT",90,
IF(V3144="OP GRADO - INGLÉS",17,"")))))</f>
        <v>31</v>
      </c>
      <c r="X3144" t="s">
        <v>4060</v>
      </c>
    </row>
    <row r="3145" spans="1:24" ht="15" x14ac:dyDescent="0.35">
      <c r="A3145" s="4">
        <v>46029.677094907405</v>
      </c>
      <c r="B3145">
        <v>20111534</v>
      </c>
      <c r="C3145" s="6" t="s">
        <v>19</v>
      </c>
      <c r="D3145">
        <v>601310</v>
      </c>
      <c r="E3145" t="s">
        <v>20</v>
      </c>
      <c r="F3145">
        <v>1064189306</v>
      </c>
      <c r="G3145" t="s">
        <v>1567</v>
      </c>
      <c r="H3145">
        <v>100240743</v>
      </c>
      <c r="I3145">
        <v>202631</v>
      </c>
      <c r="J3145">
        <v>1064189306</v>
      </c>
      <c r="K3145" t="s">
        <v>23</v>
      </c>
      <c r="L3145" t="s">
        <v>207</v>
      </c>
      <c r="M3145" t="s">
        <v>24</v>
      </c>
      <c r="N3145" t="s">
        <v>35</v>
      </c>
      <c r="O3145" t="s">
        <v>26</v>
      </c>
      <c r="P3145" t="s">
        <v>27</v>
      </c>
      <c r="Q3145" t="s">
        <v>28</v>
      </c>
      <c r="R3145" t="s">
        <v>29</v>
      </c>
      <c r="S3145" t="s">
        <v>30</v>
      </c>
      <c r="T3145">
        <v>1023000285</v>
      </c>
      <c r="U3145" t="s">
        <v>3986</v>
      </c>
      <c r="V3145" t="s">
        <v>3934</v>
      </c>
      <c r="W3145" s="9">
        <f>IF(V3145="pregrado",31,
IF(V3145="posgrados",31,
IF(V3145="rEINTEGROS",7,
IF(V3145="BIT",90,
IF(V3145="OP GRADO - INGLÉS",17,"")))))</f>
        <v>31</v>
      </c>
      <c r="X3145" t="s">
        <v>4097</v>
      </c>
    </row>
    <row r="3146" spans="1:24" ht="15" x14ac:dyDescent="0.35">
      <c r="A3146" s="4">
        <v>46030.44872685185</v>
      </c>
      <c r="B3146">
        <v>20111659</v>
      </c>
      <c r="C3146" s="6" t="s">
        <v>19</v>
      </c>
      <c r="D3146">
        <v>601311</v>
      </c>
      <c r="E3146" t="s">
        <v>20</v>
      </c>
      <c r="F3146">
        <v>1000440872</v>
      </c>
      <c r="G3146" t="s">
        <v>1574</v>
      </c>
      <c r="H3146">
        <v>100240744</v>
      </c>
      <c r="I3146">
        <v>202631</v>
      </c>
      <c r="J3146">
        <v>1000440872</v>
      </c>
      <c r="K3146" t="s">
        <v>33</v>
      </c>
      <c r="L3146" t="s">
        <v>207</v>
      </c>
      <c r="M3146" t="s">
        <v>24</v>
      </c>
      <c r="N3146" t="s">
        <v>25</v>
      </c>
      <c r="O3146" t="s">
        <v>26</v>
      </c>
      <c r="P3146" t="s">
        <v>27</v>
      </c>
      <c r="Q3146" t="s">
        <v>28</v>
      </c>
      <c r="R3146" t="s">
        <v>29</v>
      </c>
      <c r="S3146" t="s">
        <v>30</v>
      </c>
      <c r="T3146">
        <v>1006459732</v>
      </c>
      <c r="U3146" t="s">
        <v>3986</v>
      </c>
      <c r="V3146" t="s">
        <v>3934</v>
      </c>
      <c r="W3146" s="9">
        <f>IF(V3146="pregrado",31,
IF(V3146="posgrados",31,
IF(V3146="rEINTEGROS",7,
IF(V3146="BIT",90,
IF(V3146="OP GRADO - INGLÉS",17,"")))))</f>
        <v>31</v>
      </c>
      <c r="X3146" t="s">
        <v>4099</v>
      </c>
    </row>
    <row r="3147" spans="1:24" ht="15" x14ac:dyDescent="0.35">
      <c r="A3147" s="4">
        <v>46029.56753472222</v>
      </c>
      <c r="B3147">
        <v>20111469</v>
      </c>
      <c r="C3147" s="6" t="s">
        <v>19</v>
      </c>
      <c r="D3147">
        <v>601338</v>
      </c>
      <c r="E3147" t="s">
        <v>20</v>
      </c>
      <c r="F3147">
        <v>29682513</v>
      </c>
      <c r="G3147" t="s">
        <v>1559</v>
      </c>
      <c r="H3147">
        <v>100240772</v>
      </c>
      <c r="I3147">
        <v>202631</v>
      </c>
      <c r="J3147">
        <v>29682513</v>
      </c>
      <c r="K3147" t="s">
        <v>33</v>
      </c>
      <c r="L3147" t="s">
        <v>207</v>
      </c>
      <c r="M3147" t="s">
        <v>24</v>
      </c>
      <c r="N3147" t="s">
        <v>25</v>
      </c>
      <c r="O3147" t="s">
        <v>26</v>
      </c>
      <c r="P3147" t="s">
        <v>27</v>
      </c>
      <c r="Q3147" t="s">
        <v>28</v>
      </c>
      <c r="R3147" t="s">
        <v>29</v>
      </c>
      <c r="S3147" t="s">
        <v>30</v>
      </c>
      <c r="T3147">
        <v>1018455773</v>
      </c>
      <c r="U3147" t="s">
        <v>3986</v>
      </c>
      <c r="V3147" t="s">
        <v>3934</v>
      </c>
      <c r="W3147" s="9">
        <f>IF(V3147="pregrado",31,
IF(V3147="posgrados",31,
IF(V3147="rEINTEGROS",7,
IF(V3147="BIT",90,
IF(V3147="OP GRADO - INGLÉS",17,"")))))</f>
        <v>31</v>
      </c>
      <c r="X3147" t="s">
        <v>4101</v>
      </c>
    </row>
    <row r="3148" spans="1:24" ht="15" x14ac:dyDescent="0.35">
      <c r="A3148" s="4">
        <v>46037.450729166667</v>
      </c>
      <c r="B3148">
        <v>20113495</v>
      </c>
      <c r="C3148" s="6" t="s">
        <v>19</v>
      </c>
      <c r="D3148">
        <v>601345</v>
      </c>
      <c r="E3148" t="s">
        <v>20</v>
      </c>
      <c r="F3148">
        <v>1022353118</v>
      </c>
      <c r="G3148" t="s">
        <v>1824</v>
      </c>
      <c r="H3148">
        <v>100240783</v>
      </c>
      <c r="I3148">
        <v>202610</v>
      </c>
      <c r="J3148">
        <v>1022353118</v>
      </c>
      <c r="K3148" t="s">
        <v>23</v>
      </c>
      <c r="L3148" t="s">
        <v>79</v>
      </c>
      <c r="M3148" t="s">
        <v>24</v>
      </c>
      <c r="N3148" t="s">
        <v>38</v>
      </c>
      <c r="O3148" t="s">
        <v>26</v>
      </c>
      <c r="P3148" t="s">
        <v>27</v>
      </c>
      <c r="Q3148" t="s">
        <v>28</v>
      </c>
      <c r="R3148" t="s">
        <v>29</v>
      </c>
      <c r="S3148" t="s">
        <v>30</v>
      </c>
      <c r="T3148">
        <v>52392617</v>
      </c>
      <c r="U3148" t="s">
        <v>3965</v>
      </c>
      <c r="V3148" t="s">
        <v>3934</v>
      </c>
      <c r="W3148" s="9">
        <f>IF(V3148="pregrado",31,
IF(V3148="posgrados",31,
IF(V3148="rEINTEGROS",7,
IF(V3148="BIT",90,
IF(V3148="OP GRADO - INGLÉS",17,"")))))</f>
        <v>31</v>
      </c>
      <c r="X3148" t="s">
        <v>4053</v>
      </c>
    </row>
    <row r="3149" spans="1:24" ht="15" x14ac:dyDescent="0.35">
      <c r="A3149" s="4">
        <v>46029.54283564815</v>
      </c>
      <c r="B3149">
        <v>20111456</v>
      </c>
      <c r="C3149" s="6" t="s">
        <v>19</v>
      </c>
      <c r="D3149">
        <v>601348</v>
      </c>
      <c r="E3149" t="s">
        <v>20</v>
      </c>
      <c r="F3149">
        <v>52130726</v>
      </c>
      <c r="G3149" t="s">
        <v>1558</v>
      </c>
      <c r="H3149">
        <v>100240787</v>
      </c>
      <c r="I3149">
        <v>202610</v>
      </c>
      <c r="J3149">
        <v>1016716038</v>
      </c>
      <c r="K3149" t="s">
        <v>23</v>
      </c>
      <c r="L3149" t="s">
        <v>40</v>
      </c>
      <c r="M3149" t="s">
        <v>24</v>
      </c>
      <c r="N3149" t="s">
        <v>35</v>
      </c>
      <c r="O3149" t="s">
        <v>26</v>
      </c>
      <c r="P3149" t="s">
        <v>27</v>
      </c>
      <c r="Q3149" t="s">
        <v>28</v>
      </c>
      <c r="R3149" t="s">
        <v>29</v>
      </c>
      <c r="S3149" t="s">
        <v>30</v>
      </c>
      <c r="T3149">
        <v>1019115186</v>
      </c>
      <c r="U3149" t="s">
        <v>3941</v>
      </c>
      <c r="V3149" t="s">
        <v>3934</v>
      </c>
      <c r="W3149" s="9">
        <f>IF(V3149="pregrado",31,
IF(V3149="posgrados",31,
IF(V3149="rEINTEGROS",7,
IF(V3149="BIT",90,
IF(V3149="OP GRADO - INGLÉS",17,"")))))</f>
        <v>31</v>
      </c>
      <c r="X3149" t="s">
        <v>4005</v>
      </c>
    </row>
    <row r="3150" spans="1:24" ht="15" x14ac:dyDescent="0.35">
      <c r="A3150" s="4">
        <v>46035.859953703701</v>
      </c>
      <c r="B3150">
        <v>20112801</v>
      </c>
      <c r="C3150" s="6" t="s">
        <v>19</v>
      </c>
      <c r="D3150">
        <v>601350</v>
      </c>
      <c r="E3150" t="s">
        <v>20</v>
      </c>
      <c r="F3150">
        <v>51791015</v>
      </c>
      <c r="G3150" t="s">
        <v>1728</v>
      </c>
      <c r="H3150">
        <v>100240687</v>
      </c>
      <c r="I3150">
        <v>202631</v>
      </c>
      <c r="J3150">
        <v>1028863764</v>
      </c>
      <c r="K3150" t="s">
        <v>33</v>
      </c>
      <c r="L3150" t="s">
        <v>57</v>
      </c>
      <c r="M3150" t="s">
        <v>24</v>
      </c>
      <c r="N3150" t="s">
        <v>25</v>
      </c>
      <c r="O3150" t="s">
        <v>26</v>
      </c>
      <c r="P3150" t="s">
        <v>27</v>
      </c>
      <c r="Q3150" t="s">
        <v>28</v>
      </c>
      <c r="R3150" t="s">
        <v>29</v>
      </c>
      <c r="S3150" t="s">
        <v>30</v>
      </c>
      <c r="T3150">
        <v>80219471</v>
      </c>
      <c r="U3150" t="s">
        <v>3941</v>
      </c>
      <c r="V3150" t="s">
        <v>3934</v>
      </c>
      <c r="W3150" s="9">
        <f>IF(V3150="pregrado",31,
IF(V3150="posgrados",31,
IF(V3150="rEINTEGROS",7,
IF(V3150="BIT",90,
IF(V3150="OP GRADO - INGLÉS",17,"")))))</f>
        <v>31</v>
      </c>
      <c r="X3150" t="s">
        <v>4030</v>
      </c>
    </row>
    <row r="3151" spans="1:24" ht="15" x14ac:dyDescent="0.35">
      <c r="A3151" s="4">
        <v>46031.545034722221</v>
      </c>
      <c r="B3151">
        <v>20112058</v>
      </c>
      <c r="C3151" s="6" t="s">
        <v>19</v>
      </c>
      <c r="D3151">
        <v>601352</v>
      </c>
      <c r="E3151" t="s">
        <v>20</v>
      </c>
      <c r="F3151">
        <v>1077469681</v>
      </c>
      <c r="G3151" t="s">
        <v>1640</v>
      </c>
      <c r="H3151">
        <v>100062477</v>
      </c>
      <c r="I3151">
        <v>202631</v>
      </c>
      <c r="J3151">
        <v>1077476803</v>
      </c>
      <c r="K3151" t="s">
        <v>23</v>
      </c>
      <c r="L3151" t="s">
        <v>42</v>
      </c>
      <c r="M3151" t="s">
        <v>24</v>
      </c>
      <c r="N3151" t="s">
        <v>35</v>
      </c>
      <c r="O3151" t="s">
        <v>26</v>
      </c>
      <c r="P3151" t="s">
        <v>27</v>
      </c>
      <c r="Q3151" t="s">
        <v>28</v>
      </c>
      <c r="R3151" t="s">
        <v>29</v>
      </c>
      <c r="S3151" t="s">
        <v>30</v>
      </c>
      <c r="T3151">
        <v>1006023129</v>
      </c>
      <c r="U3151" t="s">
        <v>3944</v>
      </c>
      <c r="V3151" t="s">
        <v>3934</v>
      </c>
      <c r="W3151" s="9">
        <f>IF(V3151="pregrado",31,
IF(V3151="posgrados",31,
IF(V3151="rEINTEGROS",7,
IF(V3151="BIT",90,
IF(V3151="OP GRADO - INGLÉS",17,"")))))</f>
        <v>31</v>
      </c>
      <c r="X3151" t="s">
        <v>3982</v>
      </c>
    </row>
    <row r="3152" spans="1:24" ht="15" x14ac:dyDescent="0.35">
      <c r="A3152" s="4">
        <v>46052.809560185182</v>
      </c>
      <c r="B3152">
        <v>20119167</v>
      </c>
      <c r="C3152" s="6" t="s">
        <v>19</v>
      </c>
      <c r="D3152">
        <v>601353</v>
      </c>
      <c r="E3152" t="s">
        <v>20</v>
      </c>
      <c r="F3152">
        <v>1065373867</v>
      </c>
      <c r="G3152" t="s">
        <v>2600</v>
      </c>
      <c r="H3152">
        <v>100240791</v>
      </c>
      <c r="I3152">
        <v>202631</v>
      </c>
      <c r="J3152">
        <v>1065372986</v>
      </c>
      <c r="K3152" t="s">
        <v>33</v>
      </c>
      <c r="L3152" t="s">
        <v>219</v>
      </c>
      <c r="M3152" t="s">
        <v>24</v>
      </c>
      <c r="N3152" t="s">
        <v>35</v>
      </c>
      <c r="O3152" t="s">
        <v>26</v>
      </c>
      <c r="P3152" t="s">
        <v>27</v>
      </c>
      <c r="Q3152" t="s">
        <v>28</v>
      </c>
      <c r="R3152" t="s">
        <v>29</v>
      </c>
      <c r="S3152" t="s">
        <v>30</v>
      </c>
      <c r="T3152">
        <v>1014283217</v>
      </c>
      <c r="U3152" t="s">
        <v>3963</v>
      </c>
      <c r="V3152" t="s">
        <v>3934</v>
      </c>
      <c r="W3152" s="9">
        <f>IF(V3152="pregrado",31,
IF(V3152="posgrados",31,
IF(V3152="rEINTEGROS",7,
IF(V3152="BIT",90,
IF(V3152="OP GRADO - INGLÉS",17,"")))))</f>
        <v>31</v>
      </c>
      <c r="X3152" t="s">
        <v>4023</v>
      </c>
    </row>
    <row r="3153" spans="1:24" ht="15" x14ac:dyDescent="0.35">
      <c r="A3153" s="4">
        <v>46037.425983796296</v>
      </c>
      <c r="B3153">
        <v>20113468</v>
      </c>
      <c r="C3153" s="6" t="s">
        <v>19</v>
      </c>
      <c r="D3153">
        <v>601364</v>
      </c>
      <c r="E3153" t="s">
        <v>20</v>
      </c>
      <c r="F3153">
        <v>1075210543</v>
      </c>
      <c r="G3153" t="s">
        <v>1819</v>
      </c>
      <c r="H3153">
        <v>100240803</v>
      </c>
      <c r="I3153">
        <v>202631</v>
      </c>
      <c r="J3153">
        <v>1075794315</v>
      </c>
      <c r="K3153" t="s">
        <v>23</v>
      </c>
      <c r="L3153" t="s">
        <v>219</v>
      </c>
      <c r="M3153" t="s">
        <v>24</v>
      </c>
      <c r="N3153" t="s">
        <v>35</v>
      </c>
      <c r="O3153" t="s">
        <v>26</v>
      </c>
      <c r="P3153" t="s">
        <v>27</v>
      </c>
      <c r="Q3153" t="s">
        <v>28</v>
      </c>
      <c r="R3153" t="s">
        <v>29</v>
      </c>
      <c r="S3153" t="s">
        <v>30</v>
      </c>
      <c r="T3153">
        <v>79635092</v>
      </c>
      <c r="U3153" t="s">
        <v>3963</v>
      </c>
      <c r="V3153" t="s">
        <v>3934</v>
      </c>
      <c r="W3153" s="9">
        <f>IF(V3153="pregrado",31,
IF(V3153="posgrados",31,
IF(V3153="rEINTEGROS",7,
IF(V3153="BIT",90,
IF(V3153="OP GRADO - INGLÉS",17,"")))))</f>
        <v>31</v>
      </c>
      <c r="X3153" t="s">
        <v>4079</v>
      </c>
    </row>
    <row r="3154" spans="1:24" ht="15" x14ac:dyDescent="0.35">
      <c r="A3154" s="4">
        <v>46052.616435185184</v>
      </c>
      <c r="B3154">
        <v>20118991</v>
      </c>
      <c r="C3154" s="6" t="s">
        <v>19</v>
      </c>
      <c r="D3154">
        <v>601370</v>
      </c>
      <c r="E3154" t="s">
        <v>20</v>
      </c>
      <c r="F3154">
        <v>52359593</v>
      </c>
      <c r="G3154" t="s">
        <v>2567</v>
      </c>
      <c r="H3154">
        <v>100240810</v>
      </c>
      <c r="I3154">
        <v>202631</v>
      </c>
      <c r="J3154">
        <v>52359593</v>
      </c>
      <c r="K3154" t="s">
        <v>33</v>
      </c>
      <c r="L3154" t="s">
        <v>370</v>
      </c>
      <c r="M3154" t="s">
        <v>24</v>
      </c>
      <c r="N3154" t="s">
        <v>35</v>
      </c>
      <c r="O3154" t="s">
        <v>26</v>
      </c>
      <c r="P3154" t="s">
        <v>27</v>
      </c>
      <c r="Q3154" t="s">
        <v>28</v>
      </c>
      <c r="R3154" t="s">
        <v>29</v>
      </c>
      <c r="S3154" t="s">
        <v>30</v>
      </c>
      <c r="T3154">
        <v>1023974716</v>
      </c>
      <c r="U3154" t="s">
        <v>3963</v>
      </c>
      <c r="V3154" t="s">
        <v>3934</v>
      </c>
      <c r="W3154" s="9">
        <f>IF(V3154="pregrado",31,
IF(V3154="posgrados",31,
IF(V3154="rEINTEGROS",7,
IF(V3154="BIT",90,
IF(V3154="OP GRADO - INGLÉS",17,"")))))</f>
        <v>31</v>
      </c>
      <c r="X3154" t="s">
        <v>4016</v>
      </c>
    </row>
    <row r="3155" spans="1:24" ht="15" x14ac:dyDescent="0.35">
      <c r="A3155" s="4">
        <v>46030.470462962963</v>
      </c>
      <c r="B3155">
        <v>20111674</v>
      </c>
      <c r="C3155" s="6" t="s">
        <v>19</v>
      </c>
      <c r="D3155">
        <v>601374</v>
      </c>
      <c r="E3155" t="s">
        <v>20</v>
      </c>
      <c r="F3155">
        <v>1000145701</v>
      </c>
      <c r="G3155" t="s">
        <v>1577</v>
      </c>
      <c r="H3155">
        <v>100240813</v>
      </c>
      <c r="I3155">
        <v>202610</v>
      </c>
      <c r="J3155">
        <v>1023303696</v>
      </c>
      <c r="K3155" t="s">
        <v>23</v>
      </c>
      <c r="L3155" t="s">
        <v>62</v>
      </c>
      <c r="M3155" t="s">
        <v>24</v>
      </c>
      <c r="N3155" t="s">
        <v>35</v>
      </c>
      <c r="O3155" t="s">
        <v>26</v>
      </c>
      <c r="P3155" t="s">
        <v>27</v>
      </c>
      <c r="Q3155" t="s">
        <v>28</v>
      </c>
      <c r="R3155" t="s">
        <v>29</v>
      </c>
      <c r="S3155" t="s">
        <v>30</v>
      </c>
      <c r="T3155">
        <v>1000625316</v>
      </c>
      <c r="U3155" t="s">
        <v>3944</v>
      </c>
      <c r="V3155" t="s">
        <v>3934</v>
      </c>
      <c r="W3155" s="9">
        <f>IF(V3155="pregrado",31,
IF(V3155="posgrados",31,
IF(V3155="rEINTEGROS",7,
IF(V3155="BIT",90,
IF(V3155="OP GRADO - INGLÉS",17,"")))))</f>
        <v>31</v>
      </c>
      <c r="X3155" t="s">
        <v>3980</v>
      </c>
    </row>
    <row r="3156" spans="1:24" ht="15" x14ac:dyDescent="0.35">
      <c r="A3156" s="4">
        <v>46030.462372685186</v>
      </c>
      <c r="B3156">
        <v>20111667</v>
      </c>
      <c r="C3156" s="6" t="s">
        <v>19</v>
      </c>
      <c r="D3156">
        <v>601375</v>
      </c>
      <c r="E3156" t="s">
        <v>20</v>
      </c>
      <c r="F3156">
        <v>1007820068</v>
      </c>
      <c r="G3156" t="s">
        <v>1575</v>
      </c>
      <c r="H3156">
        <v>100240814</v>
      </c>
      <c r="I3156">
        <v>202631</v>
      </c>
      <c r="J3156">
        <v>1007820068</v>
      </c>
      <c r="K3156" t="s">
        <v>23</v>
      </c>
      <c r="L3156" t="s">
        <v>65</v>
      </c>
      <c r="M3156" t="s">
        <v>24</v>
      </c>
      <c r="N3156" t="s">
        <v>35</v>
      </c>
      <c r="O3156" t="s">
        <v>26</v>
      </c>
      <c r="P3156" t="s">
        <v>27</v>
      </c>
      <c r="Q3156" t="s">
        <v>28</v>
      </c>
      <c r="R3156" t="s">
        <v>29</v>
      </c>
      <c r="S3156" t="s">
        <v>30</v>
      </c>
      <c r="T3156">
        <v>1000183349</v>
      </c>
      <c r="U3156" t="s">
        <v>3939</v>
      </c>
      <c r="V3156" t="s">
        <v>3934</v>
      </c>
      <c r="W3156" s="9">
        <f>IF(V3156="pregrado",31,
IF(V3156="posgrados",31,
IF(V3156="rEINTEGROS",7,
IF(V3156="BIT",90,
IF(V3156="OP GRADO - INGLÉS",17,"")))))</f>
        <v>31</v>
      </c>
      <c r="X3156" t="s">
        <v>4083</v>
      </c>
    </row>
    <row r="3157" spans="1:24" ht="15" x14ac:dyDescent="0.35">
      <c r="A3157" s="4">
        <v>46029.687326388892</v>
      </c>
      <c r="B3157">
        <v>20111543</v>
      </c>
      <c r="C3157" s="6" t="s">
        <v>19</v>
      </c>
      <c r="D3157">
        <v>601383</v>
      </c>
      <c r="E3157" t="s">
        <v>20</v>
      </c>
      <c r="F3157">
        <v>1044987188</v>
      </c>
      <c r="G3157" t="s">
        <v>1568</v>
      </c>
      <c r="H3157">
        <v>100240820</v>
      </c>
      <c r="I3157">
        <v>202631</v>
      </c>
      <c r="J3157">
        <v>1044987188</v>
      </c>
      <c r="K3157" t="s">
        <v>33</v>
      </c>
      <c r="L3157" t="s">
        <v>207</v>
      </c>
      <c r="M3157" t="s">
        <v>24</v>
      </c>
      <c r="N3157" t="s">
        <v>25</v>
      </c>
      <c r="O3157" t="s">
        <v>26</v>
      </c>
      <c r="P3157" t="s">
        <v>27</v>
      </c>
      <c r="Q3157" t="s">
        <v>28</v>
      </c>
      <c r="R3157" t="s">
        <v>29</v>
      </c>
      <c r="S3157" t="s">
        <v>30</v>
      </c>
      <c r="T3157">
        <v>1018455773</v>
      </c>
      <c r="U3157" t="s">
        <v>3986</v>
      </c>
      <c r="V3157" t="s">
        <v>3934</v>
      </c>
      <c r="W3157" s="9">
        <f>IF(V3157="pregrado",31,
IF(V3157="posgrados",31,
IF(V3157="rEINTEGROS",7,
IF(V3157="BIT",90,
IF(V3157="OP GRADO - INGLÉS",17,"")))))</f>
        <v>31</v>
      </c>
      <c r="X3157" t="s">
        <v>4101</v>
      </c>
    </row>
    <row r="3158" spans="1:24" ht="15" x14ac:dyDescent="0.35">
      <c r="A3158" s="4">
        <v>46031.4296875</v>
      </c>
      <c r="B3158">
        <v>20111983</v>
      </c>
      <c r="C3158" s="6" t="s">
        <v>19</v>
      </c>
      <c r="D3158">
        <v>601388</v>
      </c>
      <c r="E3158" t="s">
        <v>20</v>
      </c>
      <c r="F3158">
        <v>1114621340</v>
      </c>
      <c r="G3158" t="s">
        <v>1630</v>
      </c>
      <c r="H3158">
        <v>100240831</v>
      </c>
      <c r="I3158">
        <v>202611</v>
      </c>
      <c r="J3158">
        <v>1114623894</v>
      </c>
      <c r="K3158" t="s">
        <v>33</v>
      </c>
      <c r="L3158" t="s">
        <v>204</v>
      </c>
      <c r="M3158" t="s">
        <v>24</v>
      </c>
      <c r="N3158" t="s">
        <v>25</v>
      </c>
      <c r="O3158" t="s">
        <v>26</v>
      </c>
      <c r="P3158" t="s">
        <v>27</v>
      </c>
      <c r="Q3158" t="s">
        <v>28</v>
      </c>
      <c r="R3158" t="s">
        <v>29</v>
      </c>
      <c r="S3158" t="s">
        <v>30</v>
      </c>
      <c r="T3158">
        <v>80219471</v>
      </c>
      <c r="U3158" t="s">
        <v>3941</v>
      </c>
      <c r="V3158" t="s">
        <v>3934</v>
      </c>
      <c r="W3158" s="9">
        <f>IF(V3158="pregrado",31,
IF(V3158="posgrados",31,
IF(V3158="rEINTEGROS",7,
IF(V3158="BIT",90,
IF(V3158="OP GRADO - INGLÉS",17,"")))))</f>
        <v>31</v>
      </c>
      <c r="X3158" t="s">
        <v>4030</v>
      </c>
    </row>
    <row r="3159" spans="1:24" ht="15" x14ac:dyDescent="0.35">
      <c r="A3159" s="4">
        <v>46064.663969907408</v>
      </c>
      <c r="B3159">
        <v>20122497</v>
      </c>
      <c r="C3159" s="6" t="s">
        <v>19</v>
      </c>
      <c r="D3159">
        <v>601389</v>
      </c>
      <c r="E3159" t="s">
        <v>20</v>
      </c>
      <c r="F3159">
        <v>1083014814</v>
      </c>
      <c r="G3159" t="s">
        <v>3040</v>
      </c>
      <c r="H3159">
        <v>100240832</v>
      </c>
      <c r="I3159">
        <v>202631</v>
      </c>
      <c r="J3159">
        <v>1083014814</v>
      </c>
      <c r="K3159" t="s">
        <v>33</v>
      </c>
      <c r="L3159" t="s">
        <v>240</v>
      </c>
      <c r="M3159" t="s">
        <v>24</v>
      </c>
      <c r="N3159" t="s">
        <v>605</v>
      </c>
      <c r="O3159" t="s">
        <v>26</v>
      </c>
      <c r="P3159" t="s">
        <v>27</v>
      </c>
      <c r="Q3159" t="s">
        <v>28</v>
      </c>
      <c r="R3159" t="s">
        <v>29</v>
      </c>
      <c r="S3159" t="s">
        <v>30</v>
      </c>
      <c r="T3159">
        <v>10822473081</v>
      </c>
      <c r="U3159" t="s">
        <v>3965</v>
      </c>
      <c r="V3159" t="s">
        <v>3934</v>
      </c>
      <c r="W3159" s="9">
        <f>IF(V3159="pregrado",31,
IF(V3159="posgrados",31,
IF(V3159="rEINTEGROS",7,
IF(V3159="BIT",90,
IF(V3159="OP GRADO - INGLÉS",17,"")))))</f>
        <v>31</v>
      </c>
      <c r="X3159" t="s">
        <v>4007</v>
      </c>
    </row>
    <row r="3160" spans="1:24" ht="15" x14ac:dyDescent="0.35">
      <c r="A3160" s="4">
        <v>46029.661979166667</v>
      </c>
      <c r="B3160">
        <v>20111524</v>
      </c>
      <c r="C3160" s="6" t="s">
        <v>19</v>
      </c>
      <c r="D3160">
        <v>601392</v>
      </c>
      <c r="E3160" t="s">
        <v>20</v>
      </c>
      <c r="F3160">
        <v>1006426988</v>
      </c>
      <c r="G3160" t="s">
        <v>1566</v>
      </c>
      <c r="H3160">
        <v>200077928</v>
      </c>
      <c r="I3160">
        <v>202631</v>
      </c>
      <c r="J3160">
        <v>1116449235</v>
      </c>
      <c r="K3160" t="s">
        <v>23</v>
      </c>
      <c r="L3160" t="s">
        <v>22</v>
      </c>
      <c r="M3160" t="s">
        <v>24</v>
      </c>
      <c r="N3160" t="s">
        <v>35</v>
      </c>
      <c r="O3160" t="s">
        <v>26</v>
      </c>
      <c r="P3160" t="s">
        <v>27</v>
      </c>
      <c r="Q3160" t="s">
        <v>28</v>
      </c>
      <c r="R3160" t="s">
        <v>29</v>
      </c>
      <c r="S3160" t="s">
        <v>30</v>
      </c>
      <c r="T3160">
        <v>1010240716</v>
      </c>
      <c r="U3160" t="s">
        <v>3939</v>
      </c>
      <c r="V3160" t="s">
        <v>3934</v>
      </c>
      <c r="W3160" s="9">
        <f>IF(V3160="pregrado",31,
IF(V3160="posgrados",31,
IF(V3160="rEINTEGROS",7,
IF(V3160="BIT",90,
IF(V3160="OP GRADO - INGLÉS",17,"")))))</f>
        <v>31</v>
      </c>
      <c r="X3160" t="s">
        <v>3938</v>
      </c>
    </row>
    <row r="3161" spans="1:24" ht="15" x14ac:dyDescent="0.35">
      <c r="A3161" s="4">
        <v>46030.467430555553</v>
      </c>
      <c r="B3161">
        <v>20111672</v>
      </c>
      <c r="C3161" s="6" t="s">
        <v>19</v>
      </c>
      <c r="D3161">
        <v>601393</v>
      </c>
      <c r="E3161" t="s">
        <v>20</v>
      </c>
      <c r="F3161">
        <v>10967576</v>
      </c>
      <c r="G3161" t="s">
        <v>1576</v>
      </c>
      <c r="H3161">
        <v>200078870</v>
      </c>
      <c r="I3161">
        <v>202631</v>
      </c>
      <c r="J3161">
        <v>10967576</v>
      </c>
      <c r="K3161" t="s">
        <v>23</v>
      </c>
      <c r="L3161" t="s">
        <v>77</v>
      </c>
      <c r="M3161" t="s">
        <v>24</v>
      </c>
      <c r="N3161" t="s">
        <v>35</v>
      </c>
      <c r="O3161" t="s">
        <v>26</v>
      </c>
      <c r="P3161" t="s">
        <v>27</v>
      </c>
      <c r="Q3161" t="s">
        <v>28</v>
      </c>
      <c r="R3161" t="s">
        <v>29</v>
      </c>
      <c r="S3161" t="s">
        <v>30</v>
      </c>
      <c r="T3161">
        <v>1000350862</v>
      </c>
      <c r="U3161" t="s">
        <v>3963</v>
      </c>
      <c r="V3161" t="s">
        <v>3934</v>
      </c>
      <c r="W3161" s="9">
        <f>IF(V3161="pregrado",31,
IF(V3161="posgrados",31,
IF(V3161="rEINTEGROS",7,
IF(V3161="BIT",90,
IF(V3161="OP GRADO - INGLÉS",17,"")))))</f>
        <v>31</v>
      </c>
      <c r="X3161" t="s">
        <v>4071</v>
      </c>
    </row>
    <row r="3162" spans="1:24" ht="15" x14ac:dyDescent="0.35">
      <c r="A3162" s="4">
        <v>46031.417511574073</v>
      </c>
      <c r="B3162">
        <v>20111972</v>
      </c>
      <c r="C3162" s="6" t="s">
        <v>19</v>
      </c>
      <c r="D3162">
        <v>601396</v>
      </c>
      <c r="E3162" t="s">
        <v>20</v>
      </c>
      <c r="F3162">
        <v>1007627583</v>
      </c>
      <c r="G3162" t="s">
        <v>1626</v>
      </c>
      <c r="H3162">
        <v>200079228</v>
      </c>
      <c r="I3162">
        <v>202631</v>
      </c>
      <c r="J3162">
        <v>1007627583</v>
      </c>
      <c r="K3162" t="s">
        <v>23</v>
      </c>
      <c r="L3162" t="s">
        <v>119</v>
      </c>
      <c r="M3162" t="s">
        <v>24</v>
      </c>
      <c r="N3162" t="s">
        <v>35</v>
      </c>
      <c r="O3162" t="s">
        <v>26</v>
      </c>
      <c r="P3162" t="s">
        <v>27</v>
      </c>
      <c r="Q3162" t="s">
        <v>28</v>
      </c>
      <c r="R3162" t="s">
        <v>29</v>
      </c>
      <c r="S3162" t="s">
        <v>30</v>
      </c>
      <c r="T3162">
        <v>1020820287</v>
      </c>
      <c r="U3162" t="s">
        <v>3963</v>
      </c>
      <c r="V3162" t="s">
        <v>3934</v>
      </c>
      <c r="W3162" s="9">
        <f>IF(V3162="pregrado",31,
IF(V3162="posgrados",31,
IF(V3162="rEINTEGROS",7,
IF(V3162="BIT",90,
IF(V3162="OP GRADO - INGLÉS",17,"")))))</f>
        <v>31</v>
      </c>
      <c r="X3162" t="s">
        <v>4044</v>
      </c>
    </row>
    <row r="3163" spans="1:24" ht="15" x14ac:dyDescent="0.35">
      <c r="A3163" s="4">
        <v>46031.500335648147</v>
      </c>
      <c r="B3163">
        <v>20112029</v>
      </c>
      <c r="C3163" s="6" t="s">
        <v>19</v>
      </c>
      <c r="D3163">
        <v>601400</v>
      </c>
      <c r="E3163" t="s">
        <v>20</v>
      </c>
      <c r="F3163">
        <v>1064114908</v>
      </c>
      <c r="G3163" t="s">
        <v>1636</v>
      </c>
      <c r="H3163">
        <v>100240840</v>
      </c>
      <c r="I3163">
        <v>202631</v>
      </c>
      <c r="J3163">
        <v>1064112040</v>
      </c>
      <c r="K3163" t="s">
        <v>23</v>
      </c>
      <c r="L3163" t="s">
        <v>219</v>
      </c>
      <c r="M3163" t="s">
        <v>24</v>
      </c>
      <c r="N3163" t="s">
        <v>25</v>
      </c>
      <c r="O3163" t="s">
        <v>26</v>
      </c>
      <c r="P3163" t="s">
        <v>27</v>
      </c>
      <c r="Q3163" t="s">
        <v>28</v>
      </c>
      <c r="R3163" t="s">
        <v>29</v>
      </c>
      <c r="S3163" t="s">
        <v>30</v>
      </c>
      <c r="T3163">
        <v>1077967131</v>
      </c>
      <c r="U3163" t="s">
        <v>3963</v>
      </c>
      <c r="V3163" t="s">
        <v>3934</v>
      </c>
      <c r="W3163" s="9">
        <f>IF(V3163="pregrado",31,
IF(V3163="posgrados",31,
IF(V3163="rEINTEGROS",7,
IF(V3163="BIT",90,
IF(V3163="OP GRADO - INGLÉS",17,"")))))</f>
        <v>31</v>
      </c>
      <c r="X3163" t="s">
        <v>4011</v>
      </c>
    </row>
    <row r="3164" spans="1:24" ht="15" x14ac:dyDescent="0.35">
      <c r="A3164" s="4">
        <v>46029.657395833332</v>
      </c>
      <c r="B3164">
        <v>20111521</v>
      </c>
      <c r="C3164" s="6" t="s">
        <v>19</v>
      </c>
      <c r="D3164">
        <v>601403</v>
      </c>
      <c r="E3164" t="s">
        <v>20</v>
      </c>
      <c r="F3164">
        <v>80258606</v>
      </c>
      <c r="G3164" t="s">
        <v>1565</v>
      </c>
      <c r="H3164">
        <v>100240839</v>
      </c>
      <c r="I3164">
        <v>202631</v>
      </c>
      <c r="J3164">
        <v>80258606</v>
      </c>
      <c r="K3164" t="s">
        <v>23</v>
      </c>
      <c r="L3164" t="s">
        <v>240</v>
      </c>
      <c r="M3164" t="s">
        <v>24</v>
      </c>
      <c r="N3164" t="s">
        <v>605</v>
      </c>
      <c r="O3164" t="s">
        <v>26</v>
      </c>
      <c r="P3164" t="s">
        <v>27</v>
      </c>
      <c r="Q3164" t="s">
        <v>28</v>
      </c>
      <c r="R3164" t="s">
        <v>29</v>
      </c>
      <c r="S3164" t="s">
        <v>30</v>
      </c>
      <c r="T3164">
        <v>10006855461</v>
      </c>
      <c r="U3164" t="s">
        <v>3965</v>
      </c>
      <c r="V3164" t="s">
        <v>3934</v>
      </c>
      <c r="W3164" s="9">
        <f>IF(V3164="pregrado",31,
IF(V3164="posgrados",31,
IF(V3164="rEINTEGROS",7,
IF(V3164="BIT",90,
IF(V3164="OP GRADO - INGLÉS",17,"")))))</f>
        <v>31</v>
      </c>
      <c r="X3164" t="s">
        <v>3993</v>
      </c>
    </row>
    <row r="3165" spans="1:24" ht="15" x14ac:dyDescent="0.35">
      <c r="A3165" s="4">
        <v>46033.704699074071</v>
      </c>
      <c r="B3165">
        <v>20112342</v>
      </c>
      <c r="C3165" s="6" t="s">
        <v>19</v>
      </c>
      <c r="D3165">
        <v>601421</v>
      </c>
      <c r="E3165" t="s">
        <v>20</v>
      </c>
      <c r="F3165">
        <v>52859707</v>
      </c>
      <c r="G3165" t="s">
        <v>1683</v>
      </c>
      <c r="H3165">
        <v>100240862</v>
      </c>
      <c r="I3165">
        <v>202631</v>
      </c>
      <c r="J3165">
        <v>1019995238</v>
      </c>
      <c r="K3165" t="s">
        <v>23</v>
      </c>
      <c r="L3165" t="s">
        <v>231</v>
      </c>
      <c r="M3165" t="s">
        <v>24</v>
      </c>
      <c r="N3165" t="s">
        <v>35</v>
      </c>
      <c r="O3165" t="s">
        <v>26</v>
      </c>
      <c r="P3165" t="s">
        <v>27</v>
      </c>
      <c r="Q3165" t="s">
        <v>28</v>
      </c>
      <c r="R3165" t="s">
        <v>29</v>
      </c>
      <c r="S3165" t="s">
        <v>30</v>
      </c>
      <c r="T3165">
        <v>80219471</v>
      </c>
      <c r="U3165" t="s">
        <v>3941</v>
      </c>
      <c r="V3165" t="s">
        <v>3934</v>
      </c>
      <c r="W3165" s="9">
        <f>IF(V3165="pregrado",31,
IF(V3165="posgrados",31,
IF(V3165="rEINTEGROS",7,
IF(V3165="BIT",90,
IF(V3165="OP GRADO - INGLÉS",17,"")))))</f>
        <v>31</v>
      </c>
      <c r="X3165" t="s">
        <v>4030</v>
      </c>
    </row>
    <row r="3166" spans="1:24" ht="15" x14ac:dyDescent="0.35">
      <c r="A3166" s="4">
        <v>46051.676423611112</v>
      </c>
      <c r="B3166">
        <v>20118624</v>
      </c>
      <c r="C3166" s="6" t="s">
        <v>19</v>
      </c>
      <c r="D3166">
        <v>601425</v>
      </c>
      <c r="E3166" t="s">
        <v>20</v>
      </c>
      <c r="F3166">
        <v>81735288</v>
      </c>
      <c r="G3166" t="s">
        <v>2510</v>
      </c>
      <c r="H3166">
        <v>100240865</v>
      </c>
      <c r="I3166">
        <v>202610</v>
      </c>
      <c r="J3166">
        <v>1010961890</v>
      </c>
      <c r="K3166" t="s">
        <v>23</v>
      </c>
      <c r="L3166" t="s">
        <v>153</v>
      </c>
      <c r="M3166" t="s">
        <v>24</v>
      </c>
      <c r="N3166" t="s">
        <v>35</v>
      </c>
      <c r="O3166" t="s">
        <v>26</v>
      </c>
      <c r="P3166" t="s">
        <v>27</v>
      </c>
      <c r="Q3166" t="s">
        <v>28</v>
      </c>
      <c r="R3166" t="s">
        <v>29</v>
      </c>
      <c r="S3166" t="s">
        <v>30</v>
      </c>
      <c r="T3166">
        <v>1015428862</v>
      </c>
      <c r="U3166" t="s">
        <v>3965</v>
      </c>
      <c r="V3166" t="s">
        <v>3934</v>
      </c>
      <c r="W3166" s="9">
        <f>IF(V3166="pregrado",31,
IF(V3166="posgrados",31,
IF(V3166="rEINTEGROS",7,
IF(V3166="BIT",90,
IF(V3166="OP GRADO - INGLÉS",17,"")))))</f>
        <v>31</v>
      </c>
      <c r="X3166" t="s">
        <v>4048</v>
      </c>
    </row>
    <row r="3167" spans="1:24" ht="15" x14ac:dyDescent="0.35">
      <c r="A3167" s="4">
        <v>46035.672824074078</v>
      </c>
      <c r="B3167">
        <v>20112696</v>
      </c>
      <c r="C3167" s="6" t="s">
        <v>19</v>
      </c>
      <c r="D3167">
        <v>601440</v>
      </c>
      <c r="E3167" t="s">
        <v>20</v>
      </c>
      <c r="F3167">
        <v>1001444796</v>
      </c>
      <c r="G3167" t="s">
        <v>1708</v>
      </c>
      <c r="H3167">
        <v>100240877</v>
      </c>
      <c r="I3167">
        <v>202631</v>
      </c>
      <c r="J3167">
        <v>1001444796</v>
      </c>
      <c r="K3167" t="s">
        <v>33</v>
      </c>
      <c r="L3167" t="s">
        <v>127</v>
      </c>
      <c r="M3167" t="s">
        <v>24</v>
      </c>
      <c r="N3167" t="s">
        <v>25</v>
      </c>
      <c r="O3167" t="s">
        <v>26</v>
      </c>
      <c r="P3167" t="s">
        <v>27</v>
      </c>
      <c r="Q3167" t="s">
        <v>28</v>
      </c>
      <c r="R3167" t="s">
        <v>29</v>
      </c>
      <c r="S3167" t="s">
        <v>30</v>
      </c>
      <c r="T3167">
        <v>1023370559</v>
      </c>
      <c r="U3167" t="s">
        <v>3933</v>
      </c>
      <c r="V3167" t="s">
        <v>3934</v>
      </c>
      <c r="W3167" s="9">
        <f>IF(V3167="pregrado",31,
IF(V3167="posgrados",31,
IF(V3167="rEINTEGROS",7,
IF(V3167="BIT",90,
IF(V3167="OP GRADO - INGLÉS",17,"")))))</f>
        <v>31</v>
      </c>
      <c r="X3167" t="s">
        <v>4017</v>
      </c>
    </row>
    <row r="3168" spans="1:24" ht="15" x14ac:dyDescent="0.35">
      <c r="A3168" s="4">
        <v>46030.51221064815</v>
      </c>
      <c r="B3168">
        <v>20111709</v>
      </c>
      <c r="C3168" s="6" t="s">
        <v>19</v>
      </c>
      <c r="D3168">
        <v>601445</v>
      </c>
      <c r="E3168" t="s">
        <v>20</v>
      </c>
      <c r="F3168">
        <v>20576836</v>
      </c>
      <c r="G3168" t="s">
        <v>1583</v>
      </c>
      <c r="H3168">
        <v>100240882</v>
      </c>
      <c r="I3168">
        <v>202631</v>
      </c>
      <c r="J3168">
        <v>1003844897</v>
      </c>
      <c r="K3168" t="s">
        <v>33</v>
      </c>
      <c r="L3168" t="s">
        <v>240</v>
      </c>
      <c r="M3168" t="s">
        <v>24</v>
      </c>
      <c r="N3168" t="s">
        <v>25</v>
      </c>
      <c r="O3168" t="s">
        <v>26</v>
      </c>
      <c r="P3168" t="s">
        <v>27</v>
      </c>
      <c r="Q3168" t="s">
        <v>28</v>
      </c>
      <c r="R3168" t="s">
        <v>29</v>
      </c>
      <c r="S3168" t="s">
        <v>30</v>
      </c>
      <c r="T3168">
        <v>1073692626</v>
      </c>
      <c r="U3168" t="s">
        <v>3965</v>
      </c>
      <c r="V3168" t="s">
        <v>3934</v>
      </c>
      <c r="W3168" s="9">
        <f>IF(V3168="pregrado",31,
IF(V3168="posgrados",31,
IF(V3168="rEINTEGROS",7,
IF(V3168="BIT",90,
IF(V3168="OP GRADO - INGLÉS",17,"")))))</f>
        <v>31</v>
      </c>
      <c r="X3168" t="s">
        <v>4014</v>
      </c>
    </row>
    <row r="3169" spans="1:24" ht="15" x14ac:dyDescent="0.35">
      <c r="A3169" s="4">
        <v>46031.384236111109</v>
      </c>
      <c r="B3169">
        <v>20111947</v>
      </c>
      <c r="C3169" s="6" t="s">
        <v>19</v>
      </c>
      <c r="D3169">
        <v>601449</v>
      </c>
      <c r="E3169" t="s">
        <v>20</v>
      </c>
      <c r="F3169">
        <v>1193033726</v>
      </c>
      <c r="G3169" t="s">
        <v>1621</v>
      </c>
      <c r="H3169">
        <v>200077961</v>
      </c>
      <c r="I3169">
        <v>202631</v>
      </c>
      <c r="J3169">
        <v>1193033726</v>
      </c>
      <c r="K3169" t="s">
        <v>33</v>
      </c>
      <c r="L3169" t="s">
        <v>77</v>
      </c>
      <c r="M3169" t="s">
        <v>24</v>
      </c>
      <c r="N3169" t="s">
        <v>35</v>
      </c>
      <c r="O3169" t="s">
        <v>26</v>
      </c>
      <c r="P3169" t="s">
        <v>27</v>
      </c>
      <c r="Q3169" t="s">
        <v>28</v>
      </c>
      <c r="R3169" t="s">
        <v>29</v>
      </c>
      <c r="S3169" t="s">
        <v>30</v>
      </c>
      <c r="T3169">
        <v>52446712</v>
      </c>
      <c r="U3169" t="s">
        <v>3963</v>
      </c>
      <c r="V3169" t="s">
        <v>3934</v>
      </c>
      <c r="W3169" s="9">
        <f>IF(V3169="pregrado",31,
IF(V3169="posgrados",31,
IF(V3169="rEINTEGROS",7,
IF(V3169="BIT",90,
IF(V3169="OP GRADO - INGLÉS",17,"")))))</f>
        <v>31</v>
      </c>
      <c r="X3169" t="s">
        <v>4041</v>
      </c>
    </row>
    <row r="3170" spans="1:24" ht="15" x14ac:dyDescent="0.35">
      <c r="A3170" s="4">
        <v>46031.480729166666</v>
      </c>
      <c r="B3170">
        <v>20112016</v>
      </c>
      <c r="C3170" s="6" t="s">
        <v>19</v>
      </c>
      <c r="D3170">
        <v>601458</v>
      </c>
      <c r="E3170" t="s">
        <v>20</v>
      </c>
      <c r="F3170">
        <v>1088242416</v>
      </c>
      <c r="G3170" t="s">
        <v>1633</v>
      </c>
      <c r="H3170">
        <v>100073625</v>
      </c>
      <c r="I3170">
        <v>202611</v>
      </c>
      <c r="J3170">
        <v>1088242416</v>
      </c>
      <c r="K3170" t="s">
        <v>23</v>
      </c>
      <c r="L3170" t="s">
        <v>204</v>
      </c>
      <c r="M3170" t="s">
        <v>24</v>
      </c>
      <c r="N3170" t="s">
        <v>35</v>
      </c>
      <c r="O3170" t="s">
        <v>26</v>
      </c>
      <c r="P3170" t="s">
        <v>27</v>
      </c>
      <c r="Q3170" t="s">
        <v>28</v>
      </c>
      <c r="R3170" t="s">
        <v>29</v>
      </c>
      <c r="S3170" t="s">
        <v>30</v>
      </c>
      <c r="T3170">
        <v>52876433</v>
      </c>
      <c r="U3170" t="s">
        <v>3986</v>
      </c>
      <c r="V3170" t="s">
        <v>3934</v>
      </c>
      <c r="W3170" s="9">
        <f>IF(V3170="pregrado",31,
IF(V3170="posgrados",31,
IF(V3170="rEINTEGROS",7,
IF(V3170="BIT",90,
IF(V3170="OP GRADO - INGLÉS",17,"")))))</f>
        <v>31</v>
      </c>
      <c r="X3170" t="s">
        <v>4078</v>
      </c>
    </row>
    <row r="3171" spans="1:24" ht="15" x14ac:dyDescent="0.35">
      <c r="A3171" s="4">
        <v>46030.638611111113</v>
      </c>
      <c r="B3171">
        <v>20111777</v>
      </c>
      <c r="C3171" s="6" t="s">
        <v>19</v>
      </c>
      <c r="D3171">
        <v>601472</v>
      </c>
      <c r="E3171" t="s">
        <v>20</v>
      </c>
      <c r="F3171">
        <v>20390448</v>
      </c>
      <c r="G3171" t="s">
        <v>1599</v>
      </c>
      <c r="H3171">
        <v>100063125</v>
      </c>
      <c r="I3171">
        <v>202631</v>
      </c>
      <c r="J3171">
        <v>1018433161</v>
      </c>
      <c r="K3171" t="s">
        <v>23</v>
      </c>
      <c r="L3171" t="s">
        <v>219</v>
      </c>
      <c r="M3171" t="s">
        <v>24</v>
      </c>
      <c r="N3171" t="s">
        <v>38</v>
      </c>
      <c r="O3171" t="s">
        <v>26</v>
      </c>
      <c r="P3171" t="s">
        <v>27</v>
      </c>
      <c r="Q3171" t="s">
        <v>28</v>
      </c>
      <c r="R3171" t="s">
        <v>29</v>
      </c>
      <c r="S3171" t="s">
        <v>30</v>
      </c>
      <c r="T3171">
        <v>1023974716</v>
      </c>
      <c r="U3171" t="s">
        <v>3963</v>
      </c>
      <c r="V3171" t="s">
        <v>3934</v>
      </c>
      <c r="W3171" s="9">
        <f>IF(V3171="pregrado",31,
IF(V3171="posgrados",31,
IF(V3171="rEINTEGROS",7,
IF(V3171="BIT",90,
IF(V3171="OP GRADO - INGLÉS",17,"")))))</f>
        <v>31</v>
      </c>
      <c r="X3171" t="s">
        <v>4016</v>
      </c>
    </row>
    <row r="3172" spans="1:24" ht="15" x14ac:dyDescent="0.35">
      <c r="A3172" s="4">
        <v>46035.514363425929</v>
      </c>
      <c r="B3172">
        <v>20112551</v>
      </c>
      <c r="C3172" s="6" t="s">
        <v>19</v>
      </c>
      <c r="D3172">
        <v>601474</v>
      </c>
      <c r="E3172" t="s">
        <v>20</v>
      </c>
      <c r="F3172">
        <v>52179341</v>
      </c>
      <c r="G3172" t="s">
        <v>1698</v>
      </c>
      <c r="H3172">
        <v>100217631</v>
      </c>
      <c r="I3172">
        <v>202631</v>
      </c>
      <c r="J3172">
        <v>1030549387</v>
      </c>
      <c r="K3172" t="s">
        <v>23</v>
      </c>
      <c r="L3172" t="s">
        <v>42</v>
      </c>
      <c r="M3172" t="s">
        <v>24</v>
      </c>
      <c r="N3172" t="s">
        <v>35</v>
      </c>
      <c r="O3172" t="s">
        <v>26</v>
      </c>
      <c r="P3172" t="s">
        <v>27</v>
      </c>
      <c r="Q3172" t="s">
        <v>28</v>
      </c>
      <c r="R3172" t="s">
        <v>29</v>
      </c>
      <c r="S3172" t="s">
        <v>30</v>
      </c>
      <c r="T3172">
        <v>1000625316</v>
      </c>
      <c r="U3172" t="s">
        <v>3944</v>
      </c>
      <c r="V3172" t="s">
        <v>3934</v>
      </c>
      <c r="W3172" s="9">
        <f>IF(V3172="pregrado",31,
IF(V3172="posgrados",31,
IF(V3172="rEINTEGROS",7,
IF(V3172="BIT",90,
IF(V3172="OP GRADO - INGLÉS",17,"")))))</f>
        <v>31</v>
      </c>
      <c r="X3172" t="s">
        <v>3980</v>
      </c>
    </row>
    <row r="3173" spans="1:24" ht="15" x14ac:dyDescent="0.35">
      <c r="A3173" s="4">
        <v>46053.509467592594</v>
      </c>
      <c r="B3173">
        <v>20119288</v>
      </c>
      <c r="C3173" s="6" t="s">
        <v>19</v>
      </c>
      <c r="D3173">
        <v>601477</v>
      </c>
      <c r="E3173" t="s">
        <v>20</v>
      </c>
      <c r="F3173">
        <v>85462998</v>
      </c>
      <c r="G3173" t="s">
        <v>2628</v>
      </c>
      <c r="H3173">
        <v>100240902</v>
      </c>
      <c r="I3173">
        <v>202631</v>
      </c>
      <c r="J3173">
        <v>85462998</v>
      </c>
      <c r="K3173" t="s">
        <v>23</v>
      </c>
      <c r="L3173" t="s">
        <v>90</v>
      </c>
      <c r="M3173" t="s">
        <v>24</v>
      </c>
      <c r="N3173" t="s">
        <v>35</v>
      </c>
      <c r="O3173" t="s">
        <v>26</v>
      </c>
      <c r="P3173" t="s">
        <v>27</v>
      </c>
      <c r="Q3173" t="s">
        <v>28</v>
      </c>
      <c r="R3173" t="s">
        <v>29</v>
      </c>
      <c r="S3173" t="s">
        <v>30</v>
      </c>
      <c r="T3173">
        <v>1023929839</v>
      </c>
      <c r="U3173" t="s">
        <v>3933</v>
      </c>
      <c r="V3173" t="s">
        <v>3934</v>
      </c>
      <c r="W3173" s="9">
        <f>IF(V3173="pregrado",31,
IF(V3173="posgrados",31,
IF(V3173="rEINTEGROS",7,
IF(V3173="BIT",90,
IF(V3173="OP GRADO - INGLÉS",17,"")))))</f>
        <v>31</v>
      </c>
      <c r="X3173" t="s">
        <v>3932</v>
      </c>
    </row>
    <row r="3174" spans="1:24" ht="15" x14ac:dyDescent="0.35">
      <c r="A3174" s="4">
        <v>46030.395266203705</v>
      </c>
      <c r="B3174">
        <v>20111631</v>
      </c>
      <c r="C3174" s="6" t="s">
        <v>19</v>
      </c>
      <c r="D3174">
        <v>601483</v>
      </c>
      <c r="E3174" t="s">
        <v>20</v>
      </c>
      <c r="F3174">
        <v>1105896127</v>
      </c>
      <c r="G3174" t="s">
        <v>1573</v>
      </c>
      <c r="H3174">
        <v>100227457</v>
      </c>
      <c r="I3174">
        <v>202631</v>
      </c>
      <c r="J3174">
        <v>1105896127</v>
      </c>
      <c r="K3174" t="s">
        <v>33</v>
      </c>
      <c r="L3174" t="s">
        <v>231</v>
      </c>
      <c r="M3174" t="s">
        <v>24</v>
      </c>
      <c r="N3174" t="s">
        <v>35</v>
      </c>
      <c r="O3174" t="s">
        <v>26</v>
      </c>
      <c r="P3174" t="s">
        <v>27</v>
      </c>
      <c r="Q3174" t="s">
        <v>28</v>
      </c>
      <c r="R3174" t="s">
        <v>29</v>
      </c>
      <c r="S3174" t="s">
        <v>30</v>
      </c>
      <c r="T3174">
        <v>52182207</v>
      </c>
      <c r="U3174" t="s">
        <v>3941</v>
      </c>
      <c r="V3174" t="s">
        <v>3934</v>
      </c>
      <c r="W3174" s="9">
        <f>IF(V3174="pregrado",31,
IF(V3174="posgrados",31,
IF(V3174="rEINTEGROS",7,
IF(V3174="BIT",90,
IF(V3174="OP GRADO - INGLÉS",17,"")))))</f>
        <v>31</v>
      </c>
      <c r="X3174" t="s">
        <v>3946</v>
      </c>
    </row>
    <row r="3175" spans="1:24" ht="15" x14ac:dyDescent="0.35">
      <c r="A3175" s="4">
        <v>46038.625150462962</v>
      </c>
      <c r="B3175">
        <v>20114367</v>
      </c>
      <c r="C3175" s="6" t="s">
        <v>19</v>
      </c>
      <c r="D3175">
        <v>601496</v>
      </c>
      <c r="E3175" t="s">
        <v>20</v>
      </c>
      <c r="F3175">
        <v>11811532</v>
      </c>
      <c r="G3175" t="s">
        <v>1907</v>
      </c>
      <c r="H3175">
        <v>100084828</v>
      </c>
      <c r="I3175">
        <v>202631</v>
      </c>
      <c r="J3175">
        <v>1077423920</v>
      </c>
      <c r="K3175" t="s">
        <v>23</v>
      </c>
      <c r="L3175" t="s">
        <v>119</v>
      </c>
      <c r="M3175" t="s">
        <v>24</v>
      </c>
      <c r="N3175" t="s">
        <v>35</v>
      </c>
      <c r="O3175" t="s">
        <v>26</v>
      </c>
      <c r="P3175" t="s">
        <v>27</v>
      </c>
      <c r="Q3175" t="s">
        <v>28</v>
      </c>
      <c r="R3175" t="s">
        <v>29</v>
      </c>
      <c r="S3175" t="s">
        <v>30</v>
      </c>
      <c r="T3175">
        <v>1000251314</v>
      </c>
      <c r="U3175" t="s">
        <v>3963</v>
      </c>
      <c r="V3175" t="s">
        <v>3934</v>
      </c>
      <c r="W3175" s="9">
        <f>IF(V3175="pregrado",31,
IF(V3175="posgrados",31,
IF(V3175="rEINTEGROS",7,
IF(V3175="BIT",90,
IF(V3175="OP GRADO - INGLÉS",17,"")))))</f>
        <v>31</v>
      </c>
      <c r="X3175" t="s">
        <v>4024</v>
      </c>
    </row>
    <row r="3176" spans="1:24" ht="15" x14ac:dyDescent="0.35">
      <c r="A3176" s="4">
        <v>46030.705972222226</v>
      </c>
      <c r="B3176">
        <v>20111841</v>
      </c>
      <c r="C3176" s="6" t="s">
        <v>19</v>
      </c>
      <c r="D3176">
        <v>601513</v>
      </c>
      <c r="E3176" t="s">
        <v>20</v>
      </c>
      <c r="F3176">
        <v>1092364078</v>
      </c>
      <c r="G3176" t="s">
        <v>1610</v>
      </c>
      <c r="H3176">
        <v>100240684</v>
      </c>
      <c r="I3176">
        <v>202631</v>
      </c>
      <c r="J3176">
        <v>1092364078</v>
      </c>
      <c r="K3176" t="s">
        <v>33</v>
      </c>
      <c r="L3176" t="s">
        <v>219</v>
      </c>
      <c r="M3176" t="s">
        <v>24</v>
      </c>
      <c r="N3176" t="s">
        <v>35</v>
      </c>
      <c r="O3176" t="s">
        <v>26</v>
      </c>
      <c r="P3176" t="s">
        <v>27</v>
      </c>
      <c r="Q3176" t="s">
        <v>28</v>
      </c>
      <c r="R3176" t="s">
        <v>29</v>
      </c>
      <c r="S3176" t="s">
        <v>30</v>
      </c>
      <c r="T3176">
        <v>79635092</v>
      </c>
      <c r="U3176" t="s">
        <v>3963</v>
      </c>
      <c r="V3176" t="s">
        <v>3934</v>
      </c>
      <c r="W3176" s="9">
        <f>IF(V3176="pregrado",31,
IF(V3176="posgrados",31,
IF(V3176="rEINTEGROS",7,
IF(V3176="BIT",90,
IF(V3176="OP GRADO - INGLÉS",17,"")))))</f>
        <v>31</v>
      </c>
      <c r="X3176" t="s">
        <v>4079</v>
      </c>
    </row>
    <row r="3177" spans="1:24" ht="15" x14ac:dyDescent="0.35">
      <c r="A3177" s="4">
        <v>46030.491643518515</v>
      </c>
      <c r="B3177">
        <v>20111687</v>
      </c>
      <c r="C3177" s="6" t="s">
        <v>19</v>
      </c>
      <c r="D3177">
        <v>601515</v>
      </c>
      <c r="E3177" t="s">
        <v>20</v>
      </c>
      <c r="F3177">
        <v>40342834</v>
      </c>
      <c r="G3177" t="s">
        <v>1579</v>
      </c>
      <c r="H3177">
        <v>100240941</v>
      </c>
      <c r="I3177">
        <v>202611</v>
      </c>
      <c r="J3177">
        <v>40342834</v>
      </c>
      <c r="K3177" t="s">
        <v>23</v>
      </c>
      <c r="L3177" t="s">
        <v>221</v>
      </c>
      <c r="M3177" t="s">
        <v>24</v>
      </c>
      <c r="N3177" t="s">
        <v>35</v>
      </c>
      <c r="O3177" t="s">
        <v>26</v>
      </c>
      <c r="P3177" t="s">
        <v>27</v>
      </c>
      <c r="Q3177" t="s">
        <v>28</v>
      </c>
      <c r="R3177" t="s">
        <v>29</v>
      </c>
      <c r="S3177" t="s">
        <v>30</v>
      </c>
      <c r="T3177">
        <v>1023970223</v>
      </c>
      <c r="U3177" t="s">
        <v>3933</v>
      </c>
      <c r="V3177" t="s">
        <v>3934</v>
      </c>
      <c r="W3177" s="9">
        <f>IF(V3177="pregrado",31,
IF(V3177="posgrados",31,
IF(V3177="rEINTEGROS",7,
IF(V3177="BIT",90,
IF(V3177="OP GRADO - INGLÉS",17,"")))))</f>
        <v>31</v>
      </c>
      <c r="X3177" t="s">
        <v>4070</v>
      </c>
    </row>
    <row r="3178" spans="1:24" ht="15" x14ac:dyDescent="0.35">
      <c r="A3178" s="4">
        <v>46030.693101851852</v>
      </c>
      <c r="B3178">
        <v>20111833</v>
      </c>
      <c r="C3178" s="6" t="s">
        <v>19</v>
      </c>
      <c r="D3178">
        <v>601519</v>
      </c>
      <c r="E3178" t="s">
        <v>20</v>
      </c>
      <c r="F3178">
        <v>1013670811</v>
      </c>
      <c r="G3178" t="s">
        <v>1607</v>
      </c>
      <c r="H3178">
        <v>100240945</v>
      </c>
      <c r="I3178">
        <v>202631</v>
      </c>
      <c r="J3178">
        <v>1013670811</v>
      </c>
      <c r="K3178" t="s">
        <v>23</v>
      </c>
      <c r="L3178" t="s">
        <v>90</v>
      </c>
      <c r="M3178" t="s">
        <v>24</v>
      </c>
      <c r="N3178" t="s">
        <v>38</v>
      </c>
      <c r="O3178" t="s">
        <v>26</v>
      </c>
      <c r="P3178" t="s">
        <v>27</v>
      </c>
      <c r="Q3178" t="s">
        <v>28</v>
      </c>
      <c r="R3178" t="s">
        <v>29</v>
      </c>
      <c r="S3178" t="s">
        <v>30</v>
      </c>
      <c r="T3178">
        <v>1023921046</v>
      </c>
      <c r="U3178" t="s">
        <v>3933</v>
      </c>
      <c r="V3178" t="s">
        <v>3934</v>
      </c>
      <c r="W3178" s="9">
        <f>IF(V3178="pregrado",31,
IF(V3178="posgrados",31,
IF(V3178="rEINTEGROS",7,
IF(V3178="BIT",90,
IF(V3178="OP GRADO - INGLÉS",17,"")))))</f>
        <v>31</v>
      </c>
      <c r="X3178" t="s">
        <v>4043</v>
      </c>
    </row>
    <row r="3179" spans="1:24" ht="15" x14ac:dyDescent="0.35">
      <c r="A3179" s="4">
        <v>46031.575057870374</v>
      </c>
      <c r="B3179">
        <v>20112075</v>
      </c>
      <c r="C3179" s="6" t="s">
        <v>19</v>
      </c>
      <c r="D3179">
        <v>601520</v>
      </c>
      <c r="E3179" t="s">
        <v>20</v>
      </c>
      <c r="F3179">
        <v>6566768</v>
      </c>
      <c r="G3179" t="s">
        <v>1643</v>
      </c>
      <c r="H3179">
        <v>100240947</v>
      </c>
      <c r="I3179">
        <v>202611</v>
      </c>
      <c r="J3179">
        <v>1121223288</v>
      </c>
      <c r="K3179" t="s">
        <v>23</v>
      </c>
      <c r="L3179" t="s">
        <v>221</v>
      </c>
      <c r="M3179" t="s">
        <v>24</v>
      </c>
      <c r="N3179" t="s">
        <v>35</v>
      </c>
      <c r="O3179" t="s">
        <v>26</v>
      </c>
      <c r="P3179" t="s">
        <v>27</v>
      </c>
      <c r="Q3179" t="s">
        <v>28</v>
      </c>
      <c r="R3179" t="s">
        <v>29</v>
      </c>
      <c r="S3179" t="s">
        <v>30</v>
      </c>
      <c r="T3179">
        <v>1000001980</v>
      </c>
      <c r="U3179" t="s">
        <v>3944</v>
      </c>
      <c r="V3179" t="s">
        <v>3934</v>
      </c>
      <c r="W3179" s="9">
        <f>IF(V3179="pregrado",31,
IF(V3179="posgrados",31,
IF(V3179="rEINTEGROS",7,
IF(V3179="BIT",90,
IF(V3179="OP GRADO - INGLÉS",17,"")))))</f>
        <v>31</v>
      </c>
      <c r="X3179" t="s">
        <v>3968</v>
      </c>
    </row>
    <row r="3180" spans="1:24" ht="15" x14ac:dyDescent="0.35">
      <c r="A3180" s="4">
        <v>46030.514560185184</v>
      </c>
      <c r="B3180">
        <v>20111712</v>
      </c>
      <c r="C3180" s="6" t="s">
        <v>19</v>
      </c>
      <c r="D3180">
        <v>601522</v>
      </c>
      <c r="E3180" t="s">
        <v>20</v>
      </c>
      <c r="F3180">
        <v>1034658713</v>
      </c>
      <c r="G3180" t="s">
        <v>1584</v>
      </c>
      <c r="H3180">
        <v>100240694</v>
      </c>
      <c r="I3180">
        <v>202631</v>
      </c>
      <c r="J3180">
        <v>1034658713</v>
      </c>
      <c r="K3180" t="s">
        <v>33</v>
      </c>
      <c r="L3180" t="s">
        <v>127</v>
      </c>
      <c r="M3180" t="s">
        <v>24</v>
      </c>
      <c r="N3180" t="s">
        <v>38</v>
      </c>
      <c r="O3180" t="s">
        <v>26</v>
      </c>
      <c r="P3180" t="s">
        <v>27</v>
      </c>
      <c r="Q3180" t="s">
        <v>28</v>
      </c>
      <c r="R3180" t="s">
        <v>29</v>
      </c>
      <c r="S3180" t="s">
        <v>30</v>
      </c>
      <c r="T3180">
        <v>1025460711</v>
      </c>
      <c r="U3180" t="s">
        <v>3933</v>
      </c>
      <c r="V3180" t="s">
        <v>3934</v>
      </c>
      <c r="W3180" s="9">
        <f>IF(V3180="pregrado",31,
IF(V3180="posgrados",31,
IF(V3180="rEINTEGROS",7,
IF(V3180="BIT",90,
IF(V3180="OP GRADO - INGLÉS",17,"")))))</f>
        <v>31</v>
      </c>
      <c r="X3180" t="s">
        <v>4062</v>
      </c>
    </row>
    <row r="3181" spans="1:24" ht="15" x14ac:dyDescent="0.35">
      <c r="A3181" s="4">
        <v>46030.653680555559</v>
      </c>
      <c r="B3181">
        <v>20111795</v>
      </c>
      <c r="C3181" s="6" t="s">
        <v>19</v>
      </c>
      <c r="D3181">
        <v>601523</v>
      </c>
      <c r="E3181" t="s">
        <v>20</v>
      </c>
      <c r="F3181">
        <v>1032468784</v>
      </c>
      <c r="G3181" t="s">
        <v>1602</v>
      </c>
      <c r="H3181">
        <v>100053537</v>
      </c>
      <c r="I3181">
        <v>202610</v>
      </c>
      <c r="J3181">
        <v>1032468784</v>
      </c>
      <c r="K3181" t="s">
        <v>89</v>
      </c>
      <c r="L3181" t="s">
        <v>62</v>
      </c>
      <c r="M3181" t="s">
        <v>24</v>
      </c>
      <c r="N3181" t="s">
        <v>25</v>
      </c>
      <c r="O3181" t="s">
        <v>26</v>
      </c>
      <c r="P3181" t="s">
        <v>27</v>
      </c>
      <c r="Q3181" t="s">
        <v>28</v>
      </c>
      <c r="R3181" t="s">
        <v>29</v>
      </c>
      <c r="S3181" t="s">
        <v>30</v>
      </c>
      <c r="T3181">
        <v>1019102787</v>
      </c>
      <c r="U3181" t="s">
        <v>3977</v>
      </c>
      <c r="V3181" t="s">
        <v>3970</v>
      </c>
      <c r="W3181" s="9">
        <f>IF(V3181="pregrado",31,
IF(V3181="posgrados",31,
IF(V3181="rEINTEGROS",7,
IF(V3181="BIT",90,
IF(V3181="OP GRADO - INGLÉS",17,"")))))</f>
        <v>7</v>
      </c>
      <c r="X3181" t="s">
        <v>3976</v>
      </c>
    </row>
    <row r="3182" spans="1:24" ht="15" x14ac:dyDescent="0.35">
      <c r="A3182" s="4">
        <v>46030.537245370368</v>
      </c>
      <c r="B3182">
        <v>20111720</v>
      </c>
      <c r="C3182" s="6" t="s">
        <v>19</v>
      </c>
      <c r="D3182">
        <v>601525</v>
      </c>
      <c r="E3182" t="s">
        <v>20</v>
      </c>
      <c r="F3182">
        <v>1112148336</v>
      </c>
      <c r="G3182" t="s">
        <v>1585</v>
      </c>
      <c r="H3182">
        <v>100240956</v>
      </c>
      <c r="I3182">
        <v>202631</v>
      </c>
      <c r="J3182">
        <v>1112148336</v>
      </c>
      <c r="K3182" t="s">
        <v>33</v>
      </c>
      <c r="L3182" t="s">
        <v>51</v>
      </c>
      <c r="M3182" t="s">
        <v>24</v>
      </c>
      <c r="N3182" t="s">
        <v>25</v>
      </c>
      <c r="O3182" t="s">
        <v>26</v>
      </c>
      <c r="P3182" t="s">
        <v>27</v>
      </c>
      <c r="Q3182" t="s">
        <v>28</v>
      </c>
      <c r="R3182" t="s">
        <v>29</v>
      </c>
      <c r="S3182" t="s">
        <v>30</v>
      </c>
      <c r="T3182">
        <v>52876433</v>
      </c>
      <c r="U3182" t="s">
        <v>3986</v>
      </c>
      <c r="V3182" t="s">
        <v>3934</v>
      </c>
      <c r="W3182" s="9">
        <f>IF(V3182="pregrado",31,
IF(V3182="posgrados",31,
IF(V3182="rEINTEGROS",7,
IF(V3182="BIT",90,
IF(V3182="OP GRADO - INGLÉS",17,"")))))</f>
        <v>31</v>
      </c>
      <c r="X3182" t="s">
        <v>4078</v>
      </c>
    </row>
    <row r="3183" spans="1:24" ht="15" x14ac:dyDescent="0.35">
      <c r="A3183" s="4">
        <v>46069.531446759262</v>
      </c>
      <c r="B3183">
        <v>20123681</v>
      </c>
      <c r="C3183" s="6" t="s">
        <v>19</v>
      </c>
      <c r="D3183">
        <v>601529</v>
      </c>
      <c r="E3183" t="s">
        <v>20</v>
      </c>
      <c r="F3183">
        <v>9098363</v>
      </c>
      <c r="G3183" t="s">
        <v>3237</v>
      </c>
      <c r="H3183">
        <v>100183288</v>
      </c>
      <c r="I3183">
        <v>202631</v>
      </c>
      <c r="J3183">
        <v>1192743396</v>
      </c>
      <c r="K3183" t="s">
        <v>89</v>
      </c>
      <c r="L3183" t="s">
        <v>51</v>
      </c>
      <c r="M3183" t="s">
        <v>24</v>
      </c>
      <c r="N3183" t="s">
        <v>35</v>
      </c>
      <c r="O3183" t="s">
        <v>26</v>
      </c>
      <c r="P3183" t="s">
        <v>27</v>
      </c>
      <c r="Q3183" t="s">
        <v>28</v>
      </c>
      <c r="R3183" t="s">
        <v>29</v>
      </c>
      <c r="S3183" t="s">
        <v>30</v>
      </c>
      <c r="T3183">
        <v>52168054</v>
      </c>
      <c r="U3183" t="s">
        <v>3977</v>
      </c>
      <c r="V3183" t="s">
        <v>3970</v>
      </c>
      <c r="W3183" s="9">
        <f>IF(V3183="pregrado",31,
IF(V3183="posgrados",31,
IF(V3183="rEINTEGROS",7,
IF(V3183="BIT",90,
IF(V3183="OP GRADO - INGLÉS",17,"")))))</f>
        <v>7</v>
      </c>
      <c r="X3183" t="s">
        <v>4057</v>
      </c>
    </row>
    <row r="3184" spans="1:24" ht="15" x14ac:dyDescent="0.35">
      <c r="A3184" s="4">
        <v>46031.447372685187</v>
      </c>
      <c r="B3184">
        <v>20111994</v>
      </c>
      <c r="C3184" s="6" t="s">
        <v>19</v>
      </c>
      <c r="D3184">
        <v>601548</v>
      </c>
      <c r="E3184" t="s">
        <v>20</v>
      </c>
      <c r="F3184">
        <v>31384958</v>
      </c>
      <c r="G3184" t="s">
        <v>1632</v>
      </c>
      <c r="H3184">
        <v>100240997</v>
      </c>
      <c r="I3184">
        <v>202610</v>
      </c>
      <c r="J3184">
        <v>31384958</v>
      </c>
      <c r="K3184" t="s">
        <v>74</v>
      </c>
      <c r="L3184" t="s">
        <v>153</v>
      </c>
      <c r="M3184" t="s">
        <v>24</v>
      </c>
      <c r="N3184" t="s">
        <v>35</v>
      </c>
      <c r="O3184" t="s">
        <v>26</v>
      </c>
      <c r="P3184" t="s">
        <v>27</v>
      </c>
      <c r="Q3184" t="s">
        <v>28</v>
      </c>
      <c r="R3184" t="s">
        <v>29</v>
      </c>
      <c r="S3184" t="s">
        <v>30</v>
      </c>
      <c r="T3184">
        <v>1032678391</v>
      </c>
      <c r="U3184" t="s">
        <v>3965</v>
      </c>
      <c r="V3184" t="s">
        <v>3934</v>
      </c>
      <c r="W3184" s="9">
        <f>IF(V3184="pregrado",31,
IF(V3184="posgrados",31,
IF(V3184="rEINTEGROS",7,
IF(V3184="BIT",90,
IF(V3184="OP GRADO - INGLÉS",17,"")))))</f>
        <v>31</v>
      </c>
      <c r="X3184" t="s">
        <v>4098</v>
      </c>
    </row>
    <row r="3185" spans="1:24" ht="15" x14ac:dyDescent="0.35">
      <c r="A3185" s="4">
        <v>46037.789259259262</v>
      </c>
      <c r="B3185">
        <v>20113911</v>
      </c>
      <c r="C3185" s="6" t="s">
        <v>19</v>
      </c>
      <c r="D3185">
        <v>601555</v>
      </c>
      <c r="E3185" t="s">
        <v>20</v>
      </c>
      <c r="F3185">
        <v>56089207</v>
      </c>
      <c r="G3185" t="s">
        <v>1863</v>
      </c>
      <c r="H3185">
        <v>100229386</v>
      </c>
      <c r="I3185">
        <v>202611</v>
      </c>
      <c r="J3185">
        <v>1031652117</v>
      </c>
      <c r="K3185" t="s">
        <v>33</v>
      </c>
      <c r="L3185" t="s">
        <v>204</v>
      </c>
      <c r="M3185" t="s">
        <v>24</v>
      </c>
      <c r="N3185" t="s">
        <v>38</v>
      </c>
      <c r="O3185" t="s">
        <v>26</v>
      </c>
      <c r="P3185" t="s">
        <v>27</v>
      </c>
      <c r="Q3185" t="s">
        <v>28</v>
      </c>
      <c r="R3185" t="s">
        <v>29</v>
      </c>
      <c r="S3185" t="s">
        <v>30</v>
      </c>
      <c r="T3185">
        <v>53178431</v>
      </c>
      <c r="U3185" t="s">
        <v>3941</v>
      </c>
      <c r="V3185" t="s">
        <v>3934</v>
      </c>
      <c r="W3185" s="9">
        <f>IF(V3185="pregrado",31,
IF(V3185="posgrados",31,
IF(V3185="rEINTEGROS",7,
IF(V3185="BIT",90,
IF(V3185="OP GRADO - INGLÉS",17,"")))))</f>
        <v>31</v>
      </c>
      <c r="X3185" t="s">
        <v>3949</v>
      </c>
    </row>
    <row r="3186" spans="1:24" ht="15" x14ac:dyDescent="0.35">
      <c r="A3186" s="4">
        <v>46030.773344907408</v>
      </c>
      <c r="B3186">
        <v>20111887</v>
      </c>
      <c r="C3186" s="6" t="s">
        <v>19</v>
      </c>
      <c r="D3186">
        <v>601556</v>
      </c>
      <c r="E3186" t="s">
        <v>20</v>
      </c>
      <c r="F3186">
        <v>1107525883</v>
      </c>
      <c r="G3186" t="s">
        <v>1617</v>
      </c>
      <c r="H3186">
        <v>100241010</v>
      </c>
      <c r="I3186">
        <v>202631</v>
      </c>
      <c r="J3186">
        <v>1107525883</v>
      </c>
      <c r="K3186" t="s">
        <v>23</v>
      </c>
      <c r="L3186" t="s">
        <v>65</v>
      </c>
      <c r="M3186" t="s">
        <v>24</v>
      </c>
      <c r="N3186" t="s">
        <v>35</v>
      </c>
      <c r="O3186" t="s">
        <v>26</v>
      </c>
      <c r="P3186" t="s">
        <v>27</v>
      </c>
      <c r="Q3186" t="s">
        <v>28</v>
      </c>
      <c r="R3186" t="s">
        <v>29</v>
      </c>
      <c r="S3186" t="s">
        <v>30</v>
      </c>
      <c r="T3186">
        <v>1018496066</v>
      </c>
      <c r="U3186" t="s">
        <v>3939</v>
      </c>
      <c r="V3186" t="s">
        <v>3934</v>
      </c>
      <c r="W3186" s="9">
        <f>IF(V3186="pregrado",31,
IF(V3186="posgrados",31,
IF(V3186="rEINTEGROS",7,
IF(V3186="BIT",90,
IF(V3186="OP GRADO - INGLÉS",17,"")))))</f>
        <v>31</v>
      </c>
      <c r="X3186" t="s">
        <v>4006</v>
      </c>
    </row>
    <row r="3187" spans="1:24" ht="15" x14ac:dyDescent="0.35">
      <c r="A3187" s="4">
        <v>46031.684953703705</v>
      </c>
      <c r="B3187">
        <v>20112155</v>
      </c>
      <c r="C3187" s="6" t="s">
        <v>19</v>
      </c>
      <c r="D3187">
        <v>601557</v>
      </c>
      <c r="E3187" t="s">
        <v>20</v>
      </c>
      <c r="F3187">
        <v>36382049</v>
      </c>
      <c r="G3187" t="s">
        <v>1655</v>
      </c>
      <c r="H3187">
        <v>100240749</v>
      </c>
      <c r="I3187">
        <v>202610</v>
      </c>
      <c r="J3187">
        <v>1031806197</v>
      </c>
      <c r="K3187" t="s">
        <v>23</v>
      </c>
      <c r="L3187" t="s">
        <v>49</v>
      </c>
      <c r="M3187" t="s">
        <v>24</v>
      </c>
      <c r="N3187" t="s">
        <v>35</v>
      </c>
      <c r="O3187" t="s">
        <v>26</v>
      </c>
      <c r="P3187" t="s">
        <v>27</v>
      </c>
      <c r="Q3187" t="s">
        <v>28</v>
      </c>
      <c r="R3187" t="s">
        <v>29</v>
      </c>
      <c r="S3187" t="s">
        <v>30</v>
      </c>
      <c r="T3187">
        <v>1000001980</v>
      </c>
      <c r="U3187" t="s">
        <v>3944</v>
      </c>
      <c r="V3187" t="s">
        <v>3934</v>
      </c>
      <c r="W3187" s="9">
        <f>IF(V3187="pregrado",31,
IF(V3187="posgrados",31,
IF(V3187="rEINTEGROS",7,
IF(V3187="BIT",90,
IF(V3187="OP GRADO - INGLÉS",17,"")))))</f>
        <v>31</v>
      </c>
      <c r="X3187" t="s">
        <v>3968</v>
      </c>
    </row>
    <row r="3188" spans="1:24" ht="15" x14ac:dyDescent="0.35">
      <c r="A3188" s="4">
        <v>46036.424768518518</v>
      </c>
      <c r="B3188">
        <v>20112918</v>
      </c>
      <c r="C3188" s="6" t="s">
        <v>19</v>
      </c>
      <c r="D3188">
        <v>601571</v>
      </c>
      <c r="E3188" t="s">
        <v>20</v>
      </c>
      <c r="F3188">
        <v>1012459181</v>
      </c>
      <c r="G3188" t="s">
        <v>1738</v>
      </c>
      <c r="H3188">
        <v>200078524</v>
      </c>
      <c r="I3188">
        <v>202631</v>
      </c>
      <c r="J3188">
        <v>1014736838</v>
      </c>
      <c r="K3188" t="s">
        <v>33</v>
      </c>
      <c r="L3188" t="s">
        <v>22</v>
      </c>
      <c r="M3188" t="s">
        <v>24</v>
      </c>
      <c r="N3188" t="s">
        <v>25</v>
      </c>
      <c r="O3188" t="s">
        <v>26</v>
      </c>
      <c r="P3188" t="s">
        <v>27</v>
      </c>
      <c r="Q3188" t="s">
        <v>28</v>
      </c>
      <c r="R3188" t="s">
        <v>29</v>
      </c>
      <c r="S3188" t="s">
        <v>30</v>
      </c>
      <c r="T3188">
        <v>1018496066</v>
      </c>
      <c r="U3188" t="s">
        <v>3939</v>
      </c>
      <c r="V3188" t="s">
        <v>3934</v>
      </c>
      <c r="W3188" s="9">
        <f>IF(V3188="pregrado",31,
IF(V3188="posgrados",31,
IF(V3188="rEINTEGROS",7,
IF(V3188="BIT",90,
IF(V3188="OP GRADO - INGLÉS",17,"")))))</f>
        <v>31</v>
      </c>
      <c r="X3188" t="s">
        <v>4006</v>
      </c>
    </row>
    <row r="3189" spans="1:24" ht="15" x14ac:dyDescent="0.35">
      <c r="A3189" s="4">
        <v>46031.429490740738</v>
      </c>
      <c r="B3189">
        <v>20111982</v>
      </c>
      <c r="C3189" s="6" t="s">
        <v>19</v>
      </c>
      <c r="D3189">
        <v>601578</v>
      </c>
      <c r="E3189" t="s">
        <v>20</v>
      </c>
      <c r="F3189">
        <v>1019126276</v>
      </c>
      <c r="G3189" t="s">
        <v>1629</v>
      </c>
      <c r="H3189">
        <v>100241034</v>
      </c>
      <c r="I3189">
        <v>202611</v>
      </c>
      <c r="J3189">
        <v>1019126276</v>
      </c>
      <c r="K3189" t="s">
        <v>33</v>
      </c>
      <c r="L3189" t="s">
        <v>204</v>
      </c>
      <c r="M3189" t="s">
        <v>24</v>
      </c>
      <c r="N3189" t="s">
        <v>25</v>
      </c>
      <c r="O3189" t="s">
        <v>26</v>
      </c>
      <c r="P3189" t="s">
        <v>27</v>
      </c>
      <c r="Q3189" t="s">
        <v>28</v>
      </c>
      <c r="R3189" t="s">
        <v>29</v>
      </c>
      <c r="S3189" t="s">
        <v>30</v>
      </c>
      <c r="T3189">
        <v>80219471</v>
      </c>
      <c r="U3189" t="s">
        <v>3941</v>
      </c>
      <c r="V3189" t="s">
        <v>3934</v>
      </c>
      <c r="W3189" s="9">
        <f>IF(V3189="pregrado",31,
IF(V3189="posgrados",31,
IF(V3189="rEINTEGROS",7,
IF(V3189="BIT",90,
IF(V3189="OP GRADO - INGLÉS",17,"")))))</f>
        <v>31</v>
      </c>
      <c r="X3189" t="s">
        <v>4030</v>
      </c>
    </row>
    <row r="3190" spans="1:24" ht="15" x14ac:dyDescent="0.35">
      <c r="A3190" s="4">
        <v>46062.701956018522</v>
      </c>
      <c r="B3190">
        <v>20121808</v>
      </c>
      <c r="C3190" s="6" t="s">
        <v>19</v>
      </c>
      <c r="D3190">
        <v>601585</v>
      </c>
      <c r="E3190" t="s">
        <v>20</v>
      </c>
      <c r="F3190">
        <v>1072252061</v>
      </c>
      <c r="G3190" t="s">
        <v>2946</v>
      </c>
      <c r="H3190">
        <v>100241041</v>
      </c>
      <c r="I3190">
        <v>202631</v>
      </c>
      <c r="J3190">
        <v>1072252061</v>
      </c>
      <c r="K3190" t="s">
        <v>33</v>
      </c>
      <c r="L3190" t="s">
        <v>119</v>
      </c>
      <c r="M3190" t="s">
        <v>24</v>
      </c>
      <c r="N3190" t="s">
        <v>35</v>
      </c>
      <c r="O3190" t="s">
        <v>26</v>
      </c>
      <c r="P3190" t="s">
        <v>27</v>
      </c>
      <c r="Q3190" t="s">
        <v>28</v>
      </c>
      <c r="R3190" t="s">
        <v>29</v>
      </c>
      <c r="S3190" t="s">
        <v>30</v>
      </c>
      <c r="T3190">
        <v>53040709</v>
      </c>
      <c r="U3190" t="s">
        <v>3963</v>
      </c>
      <c r="V3190" t="s">
        <v>3934</v>
      </c>
      <c r="W3190" s="9">
        <f>IF(V3190="pregrado",31,
IF(V3190="posgrados",31,
IF(V3190="rEINTEGROS",7,
IF(V3190="BIT",90,
IF(V3190="OP GRADO - INGLÉS",17,"")))))</f>
        <v>31</v>
      </c>
      <c r="X3190" t="s">
        <v>3994</v>
      </c>
    </row>
    <row r="3191" spans="1:24" ht="15" x14ac:dyDescent="0.35">
      <c r="A3191" s="4">
        <v>46031.377534722225</v>
      </c>
      <c r="B3191">
        <v>20111935</v>
      </c>
      <c r="C3191" s="6" t="s">
        <v>19</v>
      </c>
      <c r="D3191">
        <v>601588</v>
      </c>
      <c r="E3191" t="s">
        <v>20</v>
      </c>
      <c r="F3191">
        <v>1090537157</v>
      </c>
      <c r="G3191" t="s">
        <v>1620</v>
      </c>
      <c r="H3191">
        <v>100241044</v>
      </c>
      <c r="I3191">
        <v>202611</v>
      </c>
      <c r="J3191">
        <v>1090537157</v>
      </c>
      <c r="K3191" t="s">
        <v>23</v>
      </c>
      <c r="L3191" t="s">
        <v>221</v>
      </c>
      <c r="M3191" t="s">
        <v>24</v>
      </c>
      <c r="N3191" t="s">
        <v>605</v>
      </c>
      <c r="O3191" t="s">
        <v>26</v>
      </c>
      <c r="P3191" t="s">
        <v>27</v>
      </c>
      <c r="Q3191" t="s">
        <v>28</v>
      </c>
      <c r="R3191" t="s">
        <v>29</v>
      </c>
      <c r="S3191" t="s">
        <v>30</v>
      </c>
      <c r="T3191">
        <v>1073692626</v>
      </c>
      <c r="U3191" t="s">
        <v>3965</v>
      </c>
      <c r="V3191" t="s">
        <v>3934</v>
      </c>
      <c r="W3191" s="9">
        <f>IF(V3191="pregrado",31,
IF(V3191="posgrados",31,
IF(V3191="rEINTEGROS",7,
IF(V3191="BIT",90,
IF(V3191="OP GRADO - INGLÉS",17,"")))))</f>
        <v>31</v>
      </c>
      <c r="X3191" t="s">
        <v>4014</v>
      </c>
    </row>
    <row r="3192" spans="1:24" ht="15" x14ac:dyDescent="0.35">
      <c r="A3192" s="4">
        <v>46031.497858796298</v>
      </c>
      <c r="B3192">
        <v>20112025</v>
      </c>
      <c r="C3192" s="6" t="s">
        <v>19</v>
      </c>
      <c r="D3192">
        <v>601593</v>
      </c>
      <c r="E3192" t="s">
        <v>20</v>
      </c>
      <c r="F3192">
        <v>51615257</v>
      </c>
      <c r="G3192" t="s">
        <v>1635</v>
      </c>
      <c r="H3192">
        <v>100241047</v>
      </c>
      <c r="I3192">
        <v>202631</v>
      </c>
      <c r="J3192">
        <v>1001087131</v>
      </c>
      <c r="K3192" t="s">
        <v>33</v>
      </c>
      <c r="L3192" t="s">
        <v>207</v>
      </c>
      <c r="M3192" t="s">
        <v>24</v>
      </c>
      <c r="N3192" t="s">
        <v>25</v>
      </c>
      <c r="O3192" t="s">
        <v>26</v>
      </c>
      <c r="P3192" t="s">
        <v>27</v>
      </c>
      <c r="Q3192" t="s">
        <v>28</v>
      </c>
      <c r="R3192" t="s">
        <v>29</v>
      </c>
      <c r="S3192" t="s">
        <v>30</v>
      </c>
      <c r="T3192">
        <v>1000286877</v>
      </c>
      <c r="U3192" t="s">
        <v>3986</v>
      </c>
      <c r="V3192" t="s">
        <v>3934</v>
      </c>
      <c r="W3192" s="9">
        <f>IF(V3192="pregrado",31,
IF(V3192="posgrados",31,
IF(V3192="rEINTEGROS",7,
IF(V3192="BIT",90,
IF(V3192="OP GRADO - INGLÉS",17,"")))))</f>
        <v>31</v>
      </c>
      <c r="X3192" t="s">
        <v>4100</v>
      </c>
    </row>
    <row r="3193" spans="1:24" ht="15" x14ac:dyDescent="0.35">
      <c r="A3193" s="4">
        <v>46064.410902777781</v>
      </c>
      <c r="B3193">
        <v>20122331</v>
      </c>
      <c r="C3193" s="6" t="s">
        <v>19</v>
      </c>
      <c r="D3193">
        <v>601599</v>
      </c>
      <c r="E3193" t="s">
        <v>20</v>
      </c>
      <c r="F3193">
        <v>1075870820</v>
      </c>
      <c r="G3193" t="s">
        <v>3020</v>
      </c>
      <c r="H3193">
        <v>100241054</v>
      </c>
      <c r="I3193">
        <v>202610</v>
      </c>
      <c r="J3193">
        <v>1075870820</v>
      </c>
      <c r="K3193" t="s">
        <v>33</v>
      </c>
      <c r="L3193" t="s">
        <v>194</v>
      </c>
      <c r="M3193" t="s">
        <v>24</v>
      </c>
      <c r="N3193" t="s">
        <v>25</v>
      </c>
      <c r="O3193" t="s">
        <v>26</v>
      </c>
      <c r="P3193" t="s">
        <v>27</v>
      </c>
      <c r="Q3193" t="s">
        <v>28</v>
      </c>
      <c r="R3193" t="s">
        <v>29</v>
      </c>
      <c r="S3193" t="s">
        <v>30</v>
      </c>
      <c r="T3193">
        <v>1077967131</v>
      </c>
      <c r="U3193" t="s">
        <v>3963</v>
      </c>
      <c r="V3193" t="s">
        <v>3934</v>
      </c>
      <c r="W3193" s="9">
        <f>IF(V3193="pregrado",31,
IF(V3193="posgrados",31,
IF(V3193="rEINTEGROS",7,
IF(V3193="BIT",90,
IF(V3193="OP GRADO - INGLÉS",17,"")))))</f>
        <v>31</v>
      </c>
      <c r="X3193" t="s">
        <v>4011</v>
      </c>
    </row>
    <row r="3194" spans="1:24" ht="15" x14ac:dyDescent="0.35">
      <c r="A3194" s="4">
        <v>46035.497523148151</v>
      </c>
      <c r="B3194">
        <v>20112532</v>
      </c>
      <c r="C3194" s="6" t="s">
        <v>19</v>
      </c>
      <c r="D3194">
        <v>601600</v>
      </c>
      <c r="E3194" t="s">
        <v>20</v>
      </c>
      <c r="F3194">
        <v>1113303904</v>
      </c>
      <c r="G3194" t="s">
        <v>1693</v>
      </c>
      <c r="H3194">
        <v>200045350</v>
      </c>
      <c r="I3194">
        <v>202631</v>
      </c>
      <c r="J3194">
        <v>1113314146</v>
      </c>
      <c r="K3194" t="s">
        <v>33</v>
      </c>
      <c r="L3194" t="s">
        <v>119</v>
      </c>
      <c r="M3194" t="s">
        <v>24</v>
      </c>
      <c r="N3194" t="s">
        <v>35</v>
      </c>
      <c r="O3194" t="s">
        <v>26</v>
      </c>
      <c r="P3194" t="s">
        <v>27</v>
      </c>
      <c r="Q3194" t="s">
        <v>28</v>
      </c>
      <c r="R3194" t="s">
        <v>29</v>
      </c>
      <c r="S3194" t="s">
        <v>30</v>
      </c>
      <c r="T3194">
        <v>1023974716</v>
      </c>
      <c r="U3194" t="s">
        <v>3963</v>
      </c>
      <c r="V3194" t="s">
        <v>3934</v>
      </c>
      <c r="W3194" s="9">
        <f>IF(V3194="pregrado",31,
IF(V3194="posgrados",31,
IF(V3194="rEINTEGROS",7,
IF(V3194="BIT",90,
IF(V3194="OP GRADO - INGLÉS",17,"")))))</f>
        <v>31</v>
      </c>
      <c r="X3194" t="s">
        <v>4016</v>
      </c>
    </row>
    <row r="3195" spans="1:24" ht="15" x14ac:dyDescent="0.35">
      <c r="A3195" s="4">
        <v>46037.685219907406</v>
      </c>
      <c r="B3195">
        <v>20113807</v>
      </c>
      <c r="C3195" s="6" t="s">
        <v>19</v>
      </c>
      <c r="D3195">
        <v>601620</v>
      </c>
      <c r="E3195" t="s">
        <v>20</v>
      </c>
      <c r="F3195">
        <v>1025527750</v>
      </c>
      <c r="G3195" t="s">
        <v>1851</v>
      </c>
      <c r="H3195">
        <v>100232818</v>
      </c>
      <c r="I3195">
        <v>202610</v>
      </c>
      <c r="J3195">
        <v>1025527750</v>
      </c>
      <c r="K3195" t="s">
        <v>23</v>
      </c>
      <c r="L3195" t="s">
        <v>40</v>
      </c>
      <c r="M3195" t="s">
        <v>24</v>
      </c>
      <c r="N3195" t="s">
        <v>35</v>
      </c>
      <c r="O3195" t="s">
        <v>26</v>
      </c>
      <c r="P3195" t="s">
        <v>27</v>
      </c>
      <c r="Q3195" t="s">
        <v>28</v>
      </c>
      <c r="R3195" t="s">
        <v>29</v>
      </c>
      <c r="S3195" t="s">
        <v>30</v>
      </c>
      <c r="T3195">
        <v>1118531834</v>
      </c>
      <c r="U3195" t="s">
        <v>3941</v>
      </c>
      <c r="V3195" t="s">
        <v>3934</v>
      </c>
      <c r="W3195" s="9">
        <f>IF(V3195="pregrado",31,
IF(V3195="posgrados",31,
IF(V3195="rEINTEGROS",7,
IF(V3195="BIT",90,
IF(V3195="OP GRADO - INGLÉS",17,"")))))</f>
        <v>31</v>
      </c>
      <c r="X3195" t="s">
        <v>3996</v>
      </c>
    </row>
    <row r="3196" spans="1:24" ht="15" x14ac:dyDescent="0.35">
      <c r="A3196" s="4">
        <v>46044.684004629627</v>
      </c>
      <c r="B3196">
        <v>20116285</v>
      </c>
      <c r="C3196" s="6" t="s">
        <v>19</v>
      </c>
      <c r="D3196">
        <v>601622</v>
      </c>
      <c r="E3196" t="s">
        <v>20</v>
      </c>
      <c r="F3196">
        <v>1094241503</v>
      </c>
      <c r="G3196" t="s">
        <v>2189</v>
      </c>
      <c r="H3196">
        <v>100241102</v>
      </c>
      <c r="I3196">
        <v>202611</v>
      </c>
      <c r="J3196">
        <v>1094241503</v>
      </c>
      <c r="K3196" t="s">
        <v>74</v>
      </c>
      <c r="L3196" t="s">
        <v>221</v>
      </c>
      <c r="M3196" t="s">
        <v>24</v>
      </c>
      <c r="N3196" t="s">
        <v>35</v>
      </c>
      <c r="O3196" t="s">
        <v>26</v>
      </c>
      <c r="P3196" t="s">
        <v>27</v>
      </c>
      <c r="Q3196" t="s">
        <v>28</v>
      </c>
      <c r="R3196" t="s">
        <v>29</v>
      </c>
      <c r="S3196" t="s">
        <v>30</v>
      </c>
      <c r="T3196">
        <v>1013662799</v>
      </c>
      <c r="U3196" t="s">
        <v>3965</v>
      </c>
      <c r="V3196" t="s">
        <v>3934</v>
      </c>
      <c r="W3196" s="9">
        <f>IF(V3196="pregrado",31,
IF(V3196="posgrados",31,
IF(V3196="rEINTEGROS",7,
IF(V3196="BIT",90,
IF(V3196="OP GRADO - INGLÉS",17,"")))))</f>
        <v>31</v>
      </c>
      <c r="X3196" t="s">
        <v>4021</v>
      </c>
    </row>
    <row r="3197" spans="1:24" ht="15" x14ac:dyDescent="0.35">
      <c r="A3197" s="4">
        <v>46045.527326388888</v>
      </c>
      <c r="B3197">
        <v>20116566</v>
      </c>
      <c r="C3197" s="6" t="s">
        <v>19</v>
      </c>
      <c r="D3197">
        <v>601641</v>
      </c>
      <c r="E3197" t="s">
        <v>20</v>
      </c>
      <c r="F3197">
        <v>1014314288</v>
      </c>
      <c r="G3197" t="s">
        <v>2232</v>
      </c>
      <c r="H3197">
        <v>100241118</v>
      </c>
      <c r="I3197">
        <v>202610</v>
      </c>
      <c r="J3197">
        <v>1014314288</v>
      </c>
      <c r="K3197" t="s">
        <v>23</v>
      </c>
      <c r="L3197" t="s">
        <v>79</v>
      </c>
      <c r="M3197" t="s">
        <v>24</v>
      </c>
      <c r="N3197" t="s">
        <v>35</v>
      </c>
      <c r="O3197" t="s">
        <v>26</v>
      </c>
      <c r="P3197" t="s">
        <v>27</v>
      </c>
      <c r="Q3197" t="s">
        <v>28</v>
      </c>
      <c r="R3197" t="s">
        <v>29</v>
      </c>
      <c r="S3197" t="s">
        <v>30</v>
      </c>
      <c r="T3197">
        <v>52392617</v>
      </c>
      <c r="U3197" t="s">
        <v>3965</v>
      </c>
      <c r="V3197" t="s">
        <v>3934</v>
      </c>
      <c r="W3197" s="9">
        <f>IF(V3197="pregrado",31,
IF(V3197="posgrados",31,
IF(V3197="rEINTEGROS",7,
IF(V3197="BIT",90,
IF(V3197="OP GRADO - INGLÉS",17,"")))))</f>
        <v>31</v>
      </c>
      <c r="X3197" t="s">
        <v>4053</v>
      </c>
    </row>
    <row r="3198" spans="1:24" ht="15" x14ac:dyDescent="0.35">
      <c r="A3198" s="4">
        <v>46045.544166666667</v>
      </c>
      <c r="B3198">
        <v>20116576</v>
      </c>
      <c r="C3198" s="6" t="s">
        <v>19</v>
      </c>
      <c r="D3198">
        <v>601646</v>
      </c>
      <c r="E3198" t="s">
        <v>20</v>
      </c>
      <c r="F3198">
        <v>23799509</v>
      </c>
      <c r="G3198" t="s">
        <v>2235</v>
      </c>
      <c r="H3198">
        <v>100226608</v>
      </c>
      <c r="I3198">
        <v>202610</v>
      </c>
      <c r="J3198">
        <v>1025528969</v>
      </c>
      <c r="K3198" t="s">
        <v>23</v>
      </c>
      <c r="L3198" t="s">
        <v>40</v>
      </c>
      <c r="M3198" t="s">
        <v>24</v>
      </c>
      <c r="N3198" t="s">
        <v>35</v>
      </c>
      <c r="O3198" t="s">
        <v>26</v>
      </c>
      <c r="P3198" t="s">
        <v>27</v>
      </c>
      <c r="Q3198" t="s">
        <v>28</v>
      </c>
      <c r="R3198" t="s">
        <v>29</v>
      </c>
      <c r="S3198" t="s">
        <v>30</v>
      </c>
      <c r="T3198">
        <v>53178431</v>
      </c>
      <c r="U3198" t="s">
        <v>3941</v>
      </c>
      <c r="V3198" t="s">
        <v>3934</v>
      </c>
      <c r="W3198" s="9">
        <f>IF(V3198="pregrado",31,
IF(V3198="posgrados",31,
IF(V3198="rEINTEGROS",7,
IF(V3198="BIT",90,
IF(V3198="OP GRADO - INGLÉS",17,"")))))</f>
        <v>31</v>
      </c>
      <c r="X3198" t="s">
        <v>3949</v>
      </c>
    </row>
    <row r="3199" spans="1:24" ht="15" x14ac:dyDescent="0.35">
      <c r="A3199" s="4">
        <v>46031.420057870368</v>
      </c>
      <c r="B3199">
        <v>20111974</v>
      </c>
      <c r="C3199" s="6" t="s">
        <v>19</v>
      </c>
      <c r="D3199">
        <v>601652</v>
      </c>
      <c r="E3199" t="s">
        <v>20</v>
      </c>
      <c r="F3199">
        <v>1140915596</v>
      </c>
      <c r="G3199" t="s">
        <v>1627</v>
      </c>
      <c r="H3199">
        <v>100241131</v>
      </c>
      <c r="I3199">
        <v>202631</v>
      </c>
      <c r="J3199">
        <v>1140915596</v>
      </c>
      <c r="K3199" t="s">
        <v>23</v>
      </c>
      <c r="L3199" t="s">
        <v>127</v>
      </c>
      <c r="M3199" t="s">
        <v>24</v>
      </c>
      <c r="N3199" t="s">
        <v>35</v>
      </c>
      <c r="O3199" t="s">
        <v>26</v>
      </c>
      <c r="P3199" t="s">
        <v>27</v>
      </c>
      <c r="Q3199" t="s">
        <v>28</v>
      </c>
      <c r="R3199" t="s">
        <v>29</v>
      </c>
      <c r="S3199" t="s">
        <v>30</v>
      </c>
      <c r="T3199">
        <v>1023970223</v>
      </c>
      <c r="U3199" t="s">
        <v>3933</v>
      </c>
      <c r="V3199" t="s">
        <v>3934</v>
      </c>
      <c r="W3199" s="9">
        <f>IF(V3199="pregrado",31,
IF(V3199="posgrados",31,
IF(V3199="rEINTEGROS",7,
IF(V3199="BIT",90,
IF(V3199="OP GRADO - INGLÉS",17,"")))))</f>
        <v>31</v>
      </c>
      <c r="X3199" t="s">
        <v>4070</v>
      </c>
    </row>
    <row r="3200" spans="1:24" ht="15" x14ac:dyDescent="0.35">
      <c r="A3200" s="4">
        <v>46039.469456018516</v>
      </c>
      <c r="B3200">
        <v>20114690</v>
      </c>
      <c r="C3200" s="6" t="s">
        <v>19</v>
      </c>
      <c r="D3200">
        <v>601654</v>
      </c>
      <c r="E3200" t="s">
        <v>20</v>
      </c>
      <c r="F3200">
        <v>1013681880</v>
      </c>
      <c r="G3200" t="s">
        <v>1952</v>
      </c>
      <c r="H3200">
        <v>100241146</v>
      </c>
      <c r="I3200">
        <v>202631</v>
      </c>
      <c r="J3200">
        <v>1013681880</v>
      </c>
      <c r="K3200" t="s">
        <v>23</v>
      </c>
      <c r="L3200" t="s">
        <v>119</v>
      </c>
      <c r="M3200" t="s">
        <v>24</v>
      </c>
      <c r="N3200" t="s">
        <v>38</v>
      </c>
      <c r="O3200" t="s">
        <v>26</v>
      </c>
      <c r="P3200" t="s">
        <v>27</v>
      </c>
      <c r="Q3200" t="s">
        <v>28</v>
      </c>
      <c r="R3200" t="s">
        <v>29</v>
      </c>
      <c r="S3200" t="s">
        <v>30</v>
      </c>
      <c r="T3200">
        <v>53040709</v>
      </c>
      <c r="U3200" t="s">
        <v>3963</v>
      </c>
      <c r="V3200" t="s">
        <v>3934</v>
      </c>
      <c r="W3200" s="9">
        <f>IF(V3200="pregrado",31,
IF(V3200="posgrados",31,
IF(V3200="rEINTEGROS",7,
IF(V3200="BIT",90,
IF(V3200="OP GRADO - INGLÉS",17,"")))))</f>
        <v>31</v>
      </c>
      <c r="X3200" t="s">
        <v>3994</v>
      </c>
    </row>
    <row r="3201" spans="1:24" ht="15" x14ac:dyDescent="0.35">
      <c r="A3201" s="4">
        <v>46032.362534722219</v>
      </c>
      <c r="B3201">
        <v>20112241</v>
      </c>
      <c r="C3201" s="6" t="s">
        <v>19</v>
      </c>
      <c r="D3201">
        <v>601655</v>
      </c>
      <c r="E3201" t="s">
        <v>20</v>
      </c>
      <c r="F3201">
        <v>1007292136</v>
      </c>
      <c r="G3201" t="s">
        <v>1664</v>
      </c>
      <c r="H3201">
        <v>100241147</v>
      </c>
      <c r="I3201">
        <v>202631</v>
      </c>
      <c r="J3201">
        <v>1007292136</v>
      </c>
      <c r="K3201" t="s">
        <v>33</v>
      </c>
      <c r="L3201" t="s">
        <v>65</v>
      </c>
      <c r="M3201" t="s">
        <v>24</v>
      </c>
      <c r="N3201" t="s">
        <v>25</v>
      </c>
      <c r="O3201" t="s">
        <v>26</v>
      </c>
      <c r="P3201" t="s">
        <v>27</v>
      </c>
      <c r="Q3201" t="s">
        <v>28</v>
      </c>
      <c r="R3201" t="s">
        <v>29</v>
      </c>
      <c r="S3201" t="s">
        <v>30</v>
      </c>
      <c r="T3201">
        <v>1000183349</v>
      </c>
      <c r="U3201" t="s">
        <v>3939</v>
      </c>
      <c r="V3201" t="s">
        <v>3934</v>
      </c>
      <c r="W3201" s="9">
        <f>IF(V3201="pregrado",31,
IF(V3201="posgrados",31,
IF(V3201="rEINTEGROS",7,
IF(V3201="BIT",90,
IF(V3201="OP GRADO - INGLÉS",17,"")))))</f>
        <v>31</v>
      </c>
      <c r="X3201" t="s">
        <v>4083</v>
      </c>
    </row>
    <row r="3202" spans="1:24" ht="15" x14ac:dyDescent="0.35">
      <c r="A3202" s="4">
        <v>46032.476979166669</v>
      </c>
      <c r="B3202">
        <v>20112281</v>
      </c>
      <c r="C3202" s="6" t="s">
        <v>19</v>
      </c>
      <c r="D3202">
        <v>601657</v>
      </c>
      <c r="E3202" t="s">
        <v>20</v>
      </c>
      <c r="F3202">
        <v>1141115414</v>
      </c>
      <c r="G3202" t="s">
        <v>1672</v>
      </c>
      <c r="H3202">
        <v>100241149</v>
      </c>
      <c r="I3202">
        <v>202610</v>
      </c>
      <c r="J3202">
        <v>1000707436</v>
      </c>
      <c r="K3202" t="s">
        <v>23</v>
      </c>
      <c r="L3202" t="s">
        <v>40</v>
      </c>
      <c r="M3202" t="s">
        <v>24</v>
      </c>
      <c r="N3202" t="s">
        <v>35</v>
      </c>
      <c r="O3202" t="s">
        <v>26</v>
      </c>
      <c r="P3202" t="s">
        <v>27</v>
      </c>
      <c r="Q3202" t="s">
        <v>28</v>
      </c>
      <c r="R3202" t="s">
        <v>29</v>
      </c>
      <c r="S3202" t="s">
        <v>30</v>
      </c>
      <c r="T3202">
        <v>1007473661</v>
      </c>
      <c r="U3202" t="s">
        <v>3933</v>
      </c>
      <c r="V3202" t="s">
        <v>3934</v>
      </c>
      <c r="W3202" s="9">
        <f>IF(V3202="pregrado",31,
IF(V3202="posgrados",31,
IF(V3202="rEINTEGROS",7,
IF(V3202="BIT",90,
IF(V3202="OP GRADO - INGLÉS",17,"")))))</f>
        <v>31</v>
      </c>
      <c r="X3202" t="s">
        <v>4058</v>
      </c>
    </row>
    <row r="3203" spans="1:24" ht="15" x14ac:dyDescent="0.35">
      <c r="A3203" s="4">
        <v>46032.384687500002</v>
      </c>
      <c r="B3203">
        <v>20112246</v>
      </c>
      <c r="C3203" s="6" t="s">
        <v>19</v>
      </c>
      <c r="D3203">
        <v>601663</v>
      </c>
      <c r="E3203" t="s">
        <v>20</v>
      </c>
      <c r="F3203">
        <v>52270269</v>
      </c>
      <c r="G3203" t="s">
        <v>1667</v>
      </c>
      <c r="H3203">
        <v>100240690</v>
      </c>
      <c r="I3203">
        <v>202611</v>
      </c>
      <c r="J3203">
        <v>1010024936</v>
      </c>
      <c r="K3203" t="s">
        <v>23</v>
      </c>
      <c r="L3203" t="s">
        <v>227</v>
      </c>
      <c r="M3203" t="s">
        <v>24</v>
      </c>
      <c r="N3203" t="s">
        <v>25</v>
      </c>
      <c r="O3203" t="s">
        <v>26</v>
      </c>
      <c r="P3203" t="s">
        <v>27</v>
      </c>
      <c r="Q3203" t="s">
        <v>28</v>
      </c>
      <c r="R3203" t="s">
        <v>29</v>
      </c>
      <c r="S3203" t="s">
        <v>30</v>
      </c>
      <c r="T3203">
        <v>1030525993</v>
      </c>
      <c r="U3203" t="s">
        <v>3933</v>
      </c>
      <c r="V3203" t="s">
        <v>3934</v>
      </c>
      <c r="W3203" s="9">
        <f>IF(V3203="pregrado",31,
IF(V3203="posgrados",31,
IF(V3203="rEINTEGROS",7,
IF(V3203="BIT",90,
IF(V3203="OP GRADO - INGLÉS",17,"")))))</f>
        <v>31</v>
      </c>
      <c r="X3203" t="s">
        <v>3956</v>
      </c>
    </row>
    <row r="3204" spans="1:24" ht="15" x14ac:dyDescent="0.35">
      <c r="A3204" s="4">
        <v>46031.628287037034</v>
      </c>
      <c r="B3204">
        <v>20112110</v>
      </c>
      <c r="C3204" s="6" t="s">
        <v>19</v>
      </c>
      <c r="D3204">
        <v>601670</v>
      </c>
      <c r="E3204" t="s">
        <v>20</v>
      </c>
      <c r="F3204">
        <v>80031217</v>
      </c>
      <c r="G3204" t="s">
        <v>1649</v>
      </c>
      <c r="H3204">
        <v>100241159</v>
      </c>
      <c r="I3204">
        <v>202610</v>
      </c>
      <c r="J3204">
        <v>1019036318</v>
      </c>
      <c r="K3204" t="s">
        <v>23</v>
      </c>
      <c r="L3204" t="s">
        <v>40</v>
      </c>
      <c r="M3204" t="s">
        <v>24</v>
      </c>
      <c r="N3204" t="s">
        <v>35</v>
      </c>
      <c r="O3204" t="s">
        <v>26</v>
      </c>
      <c r="P3204" t="s">
        <v>27</v>
      </c>
      <c r="Q3204" t="s">
        <v>28</v>
      </c>
      <c r="R3204" t="s">
        <v>29</v>
      </c>
      <c r="S3204" t="s">
        <v>30</v>
      </c>
      <c r="T3204">
        <v>1023000938</v>
      </c>
      <c r="U3204" t="s">
        <v>3941</v>
      </c>
      <c r="V3204" t="s">
        <v>3934</v>
      </c>
      <c r="W3204" s="9">
        <f>IF(V3204="pregrado",31,
IF(V3204="posgrados",31,
IF(V3204="rEINTEGROS",7,
IF(V3204="BIT",90,
IF(V3204="OP GRADO - INGLÉS",17,"")))))</f>
        <v>31</v>
      </c>
      <c r="X3204" t="s">
        <v>3989</v>
      </c>
    </row>
    <row r="3205" spans="1:24" ht="15" x14ac:dyDescent="0.35">
      <c r="A3205" s="4">
        <v>46031.716817129629</v>
      </c>
      <c r="B3205">
        <v>20112177</v>
      </c>
      <c r="C3205" s="6" t="s">
        <v>19</v>
      </c>
      <c r="D3205">
        <v>601675</v>
      </c>
      <c r="E3205" t="s">
        <v>20</v>
      </c>
      <c r="F3205">
        <v>1119891587</v>
      </c>
      <c r="G3205" t="s">
        <v>1657</v>
      </c>
      <c r="H3205">
        <v>100147678</v>
      </c>
      <c r="I3205">
        <v>202631</v>
      </c>
      <c r="J3205">
        <v>1119891587</v>
      </c>
      <c r="K3205" t="s">
        <v>23</v>
      </c>
      <c r="L3205" t="s">
        <v>207</v>
      </c>
      <c r="M3205" t="s">
        <v>24</v>
      </c>
      <c r="N3205" t="s">
        <v>35</v>
      </c>
      <c r="O3205" t="s">
        <v>26</v>
      </c>
      <c r="P3205" t="s">
        <v>27</v>
      </c>
      <c r="Q3205" t="s">
        <v>28</v>
      </c>
      <c r="R3205" t="s">
        <v>29</v>
      </c>
      <c r="S3205" t="s">
        <v>30</v>
      </c>
      <c r="T3205">
        <v>1000777598</v>
      </c>
      <c r="U3205" t="s">
        <v>3986</v>
      </c>
      <c r="V3205" t="s">
        <v>3934</v>
      </c>
      <c r="W3205" s="9">
        <f>IF(V3205="pregrado",31,
IF(V3205="posgrados",31,
IF(V3205="rEINTEGROS",7,
IF(V3205="BIT",90,
IF(V3205="OP GRADO - INGLÉS",17,"")))))</f>
        <v>31</v>
      </c>
      <c r="X3205" t="s">
        <v>4103</v>
      </c>
    </row>
    <row r="3206" spans="1:24" ht="15" x14ac:dyDescent="0.35">
      <c r="A3206" s="4">
        <v>46031.643148148149</v>
      </c>
      <c r="B3206">
        <v>20112120</v>
      </c>
      <c r="C3206" s="6" t="s">
        <v>19</v>
      </c>
      <c r="D3206">
        <v>601682</v>
      </c>
      <c r="E3206" t="s">
        <v>20</v>
      </c>
      <c r="F3206">
        <v>1114736868</v>
      </c>
      <c r="G3206" t="s">
        <v>1651</v>
      </c>
      <c r="H3206">
        <v>100241171</v>
      </c>
      <c r="I3206">
        <v>202631</v>
      </c>
      <c r="J3206">
        <v>1114736868</v>
      </c>
      <c r="K3206" t="s">
        <v>33</v>
      </c>
      <c r="L3206" t="s">
        <v>127</v>
      </c>
      <c r="M3206" t="s">
        <v>24</v>
      </c>
      <c r="N3206" t="s">
        <v>25</v>
      </c>
      <c r="O3206" t="s">
        <v>26</v>
      </c>
      <c r="P3206" t="s">
        <v>27</v>
      </c>
      <c r="Q3206" t="s">
        <v>28</v>
      </c>
      <c r="R3206" t="s">
        <v>29</v>
      </c>
      <c r="S3206" t="s">
        <v>30</v>
      </c>
      <c r="T3206">
        <v>1013595695</v>
      </c>
      <c r="U3206" t="s">
        <v>3933</v>
      </c>
      <c r="V3206" t="s">
        <v>3934</v>
      </c>
      <c r="W3206" s="9">
        <f>IF(V3206="pregrado",31,
IF(V3206="posgrados",31,
IF(V3206="rEINTEGROS",7,
IF(V3206="BIT",90,
IF(V3206="OP GRADO - INGLÉS",17,"")))))</f>
        <v>31</v>
      </c>
      <c r="X3206" t="s">
        <v>3990</v>
      </c>
    </row>
    <row r="3207" spans="1:24" ht="15" x14ac:dyDescent="0.35">
      <c r="A3207" s="4">
        <v>46032.478356481479</v>
      </c>
      <c r="B3207">
        <v>20112282</v>
      </c>
      <c r="C3207" s="6" t="s">
        <v>19</v>
      </c>
      <c r="D3207">
        <v>601684</v>
      </c>
      <c r="E3207" t="s">
        <v>20</v>
      </c>
      <c r="F3207">
        <v>1010077247</v>
      </c>
      <c r="G3207" t="s">
        <v>1673</v>
      </c>
      <c r="H3207">
        <v>100241172</v>
      </c>
      <c r="I3207">
        <v>202631</v>
      </c>
      <c r="J3207">
        <v>1010077247</v>
      </c>
      <c r="K3207" t="s">
        <v>23</v>
      </c>
      <c r="L3207" t="s">
        <v>207</v>
      </c>
      <c r="M3207" t="s">
        <v>24</v>
      </c>
      <c r="N3207" t="s">
        <v>38</v>
      </c>
      <c r="O3207" t="s">
        <v>26</v>
      </c>
      <c r="P3207" t="s">
        <v>27</v>
      </c>
      <c r="Q3207" t="s">
        <v>28</v>
      </c>
      <c r="R3207" t="s">
        <v>29</v>
      </c>
      <c r="S3207" t="s">
        <v>30</v>
      </c>
      <c r="T3207">
        <v>53178431</v>
      </c>
      <c r="U3207" t="s">
        <v>3941</v>
      </c>
      <c r="V3207" t="s">
        <v>3934</v>
      </c>
      <c r="W3207" s="9">
        <f>IF(V3207="pregrado",31,
IF(V3207="posgrados",31,
IF(V3207="rEINTEGROS",7,
IF(V3207="BIT",90,
IF(V3207="OP GRADO - INGLÉS",17,"")))))</f>
        <v>31</v>
      </c>
      <c r="X3207" t="s">
        <v>3949</v>
      </c>
    </row>
    <row r="3208" spans="1:24" ht="15" x14ac:dyDescent="0.35">
      <c r="A3208" s="4">
        <v>46036.695925925924</v>
      </c>
      <c r="B3208">
        <v>20113235</v>
      </c>
      <c r="C3208" s="6" t="s">
        <v>19</v>
      </c>
      <c r="D3208">
        <v>601690</v>
      </c>
      <c r="E3208" t="s">
        <v>20</v>
      </c>
      <c r="F3208">
        <v>1085048703</v>
      </c>
      <c r="G3208" t="s">
        <v>1793</v>
      </c>
      <c r="H3208">
        <v>100241179</v>
      </c>
      <c r="I3208">
        <v>202610</v>
      </c>
      <c r="J3208">
        <v>1085049547</v>
      </c>
      <c r="K3208" t="s">
        <v>23</v>
      </c>
      <c r="L3208" t="s">
        <v>194</v>
      </c>
      <c r="M3208" t="s">
        <v>24</v>
      </c>
      <c r="N3208" t="s">
        <v>35</v>
      </c>
      <c r="O3208" t="s">
        <v>26</v>
      </c>
      <c r="P3208" t="s">
        <v>27</v>
      </c>
      <c r="Q3208" t="s">
        <v>28</v>
      </c>
      <c r="R3208" t="s">
        <v>29</v>
      </c>
      <c r="S3208" t="s">
        <v>30</v>
      </c>
      <c r="T3208">
        <v>1000251314</v>
      </c>
      <c r="U3208" t="s">
        <v>3963</v>
      </c>
      <c r="V3208" t="s">
        <v>3934</v>
      </c>
      <c r="W3208" s="9">
        <f>IF(V3208="pregrado",31,
IF(V3208="posgrados",31,
IF(V3208="rEINTEGROS",7,
IF(V3208="BIT",90,
IF(V3208="OP GRADO - INGLÉS",17,"")))))</f>
        <v>31</v>
      </c>
      <c r="X3208" t="s">
        <v>4024</v>
      </c>
    </row>
    <row r="3209" spans="1:24" ht="15" x14ac:dyDescent="0.35">
      <c r="A3209" s="4">
        <v>46035.789722222224</v>
      </c>
      <c r="B3209">
        <v>20112783</v>
      </c>
      <c r="C3209" s="6" t="s">
        <v>19</v>
      </c>
      <c r="D3209">
        <v>601698</v>
      </c>
      <c r="E3209" t="s">
        <v>20</v>
      </c>
      <c r="F3209">
        <v>1033684530</v>
      </c>
      <c r="G3209" t="s">
        <v>1725</v>
      </c>
      <c r="H3209">
        <v>200079201</v>
      </c>
      <c r="I3209">
        <v>202631</v>
      </c>
      <c r="J3209">
        <v>1033684530</v>
      </c>
      <c r="K3209" t="s">
        <v>33</v>
      </c>
      <c r="L3209" t="s">
        <v>77</v>
      </c>
      <c r="M3209" t="s">
        <v>24</v>
      </c>
      <c r="N3209" t="s">
        <v>35</v>
      </c>
      <c r="O3209" t="s">
        <v>26</v>
      </c>
      <c r="P3209" t="s">
        <v>27</v>
      </c>
      <c r="Q3209" t="s">
        <v>28</v>
      </c>
      <c r="R3209" t="s">
        <v>29</v>
      </c>
      <c r="S3209" t="s">
        <v>30</v>
      </c>
      <c r="T3209">
        <v>52446712</v>
      </c>
      <c r="U3209" t="s">
        <v>3963</v>
      </c>
      <c r="V3209" t="s">
        <v>3934</v>
      </c>
      <c r="W3209" s="9">
        <f>IF(V3209="pregrado",31,
IF(V3209="posgrados",31,
IF(V3209="rEINTEGROS",7,
IF(V3209="BIT",90,
IF(V3209="OP GRADO - INGLÉS",17,"")))))</f>
        <v>31</v>
      </c>
      <c r="X3209" t="s">
        <v>4041</v>
      </c>
    </row>
    <row r="3210" spans="1:24" ht="15" x14ac:dyDescent="0.35">
      <c r="A3210" s="4">
        <v>46031.635729166665</v>
      </c>
      <c r="B3210">
        <v>20112114</v>
      </c>
      <c r="C3210" s="6" t="s">
        <v>19</v>
      </c>
      <c r="D3210">
        <v>601704</v>
      </c>
      <c r="E3210" t="s">
        <v>20</v>
      </c>
      <c r="F3210">
        <v>1031648609</v>
      </c>
      <c r="G3210" t="s">
        <v>1650</v>
      </c>
      <c r="H3210">
        <v>100241190</v>
      </c>
      <c r="I3210">
        <v>202631</v>
      </c>
      <c r="J3210">
        <v>1031648609</v>
      </c>
      <c r="K3210" t="s">
        <v>23</v>
      </c>
      <c r="L3210" t="s">
        <v>32</v>
      </c>
      <c r="M3210" t="s">
        <v>24</v>
      </c>
      <c r="N3210" t="s">
        <v>35</v>
      </c>
      <c r="O3210" t="s">
        <v>26</v>
      </c>
      <c r="P3210" t="s">
        <v>27</v>
      </c>
      <c r="Q3210" t="s">
        <v>28</v>
      </c>
      <c r="R3210" t="s">
        <v>29</v>
      </c>
      <c r="S3210" t="s">
        <v>30</v>
      </c>
      <c r="T3210">
        <v>1007473661</v>
      </c>
      <c r="U3210" t="s">
        <v>3933</v>
      </c>
      <c r="V3210" t="s">
        <v>3934</v>
      </c>
      <c r="W3210" s="9">
        <f>IF(V3210="pregrado",31,
IF(V3210="posgrados",31,
IF(V3210="rEINTEGROS",7,
IF(V3210="BIT",90,
IF(V3210="OP GRADO - INGLÉS",17,"")))))</f>
        <v>31</v>
      </c>
      <c r="X3210" t="s">
        <v>4058</v>
      </c>
    </row>
    <row r="3211" spans="1:24" ht="15" x14ac:dyDescent="0.35">
      <c r="A3211" s="4">
        <v>46031.587048611109</v>
      </c>
      <c r="B3211">
        <v>20112083</v>
      </c>
      <c r="C3211" s="6" t="s">
        <v>19</v>
      </c>
      <c r="D3211">
        <v>601707</v>
      </c>
      <c r="E3211" t="s">
        <v>20</v>
      </c>
      <c r="F3211">
        <v>1134449749</v>
      </c>
      <c r="G3211" t="s">
        <v>1645</v>
      </c>
      <c r="H3211">
        <v>100241194</v>
      </c>
      <c r="I3211">
        <v>202631</v>
      </c>
      <c r="J3211">
        <v>1134449749</v>
      </c>
      <c r="K3211" t="s">
        <v>33</v>
      </c>
      <c r="L3211" t="s">
        <v>127</v>
      </c>
      <c r="M3211" t="s">
        <v>24</v>
      </c>
      <c r="N3211" t="s">
        <v>25</v>
      </c>
      <c r="O3211" t="s">
        <v>26</v>
      </c>
      <c r="P3211" t="s">
        <v>27</v>
      </c>
      <c r="Q3211" t="s">
        <v>28</v>
      </c>
      <c r="R3211" t="s">
        <v>29</v>
      </c>
      <c r="S3211" t="s">
        <v>30</v>
      </c>
      <c r="T3211">
        <v>1023370559</v>
      </c>
      <c r="U3211" t="s">
        <v>3933</v>
      </c>
      <c r="V3211" t="s">
        <v>3934</v>
      </c>
      <c r="W3211" s="9">
        <f>IF(V3211="pregrado",31,
IF(V3211="posgrados",31,
IF(V3211="rEINTEGROS",7,
IF(V3211="BIT",90,
IF(V3211="OP GRADO - INGLÉS",17,"")))))</f>
        <v>31</v>
      </c>
      <c r="X3211" t="s">
        <v>4017</v>
      </c>
    </row>
    <row r="3212" spans="1:24" ht="15" x14ac:dyDescent="0.35">
      <c r="A3212" s="4">
        <v>46031.693541666667</v>
      </c>
      <c r="B3212">
        <v>20112165</v>
      </c>
      <c r="C3212" s="6" t="s">
        <v>19</v>
      </c>
      <c r="D3212">
        <v>601715</v>
      </c>
      <c r="E3212" t="s">
        <v>20</v>
      </c>
      <c r="F3212">
        <v>23508972</v>
      </c>
      <c r="G3212" t="s">
        <v>1656</v>
      </c>
      <c r="H3212">
        <v>100241144</v>
      </c>
      <c r="I3212">
        <v>202610</v>
      </c>
      <c r="J3212">
        <v>1013269602</v>
      </c>
      <c r="K3212" t="s">
        <v>23</v>
      </c>
      <c r="L3212" t="s">
        <v>40</v>
      </c>
      <c r="M3212" t="s">
        <v>24</v>
      </c>
      <c r="N3212" t="s">
        <v>35</v>
      </c>
      <c r="O3212" t="s">
        <v>26</v>
      </c>
      <c r="P3212" t="s">
        <v>27</v>
      </c>
      <c r="Q3212" t="s">
        <v>28</v>
      </c>
      <c r="R3212" t="s">
        <v>29</v>
      </c>
      <c r="S3212" t="s">
        <v>30</v>
      </c>
      <c r="T3212">
        <v>80219471</v>
      </c>
      <c r="U3212" t="s">
        <v>3941</v>
      </c>
      <c r="V3212" t="s">
        <v>3934</v>
      </c>
      <c r="W3212" s="9">
        <f>IF(V3212="pregrado",31,
IF(V3212="posgrados",31,
IF(V3212="rEINTEGROS",7,
IF(V3212="BIT",90,
IF(V3212="OP GRADO - INGLÉS",17,"")))))</f>
        <v>31</v>
      </c>
      <c r="X3212" t="s">
        <v>4030</v>
      </c>
    </row>
    <row r="3213" spans="1:24" ht="15" x14ac:dyDescent="0.35">
      <c r="A3213" s="4">
        <v>46036.642870370371</v>
      </c>
      <c r="B3213">
        <v>20113172</v>
      </c>
      <c r="C3213" s="6" t="s">
        <v>19</v>
      </c>
      <c r="D3213">
        <v>601722</v>
      </c>
      <c r="E3213" t="s">
        <v>20</v>
      </c>
      <c r="F3213">
        <v>1117544076</v>
      </c>
      <c r="G3213" t="s">
        <v>1777</v>
      </c>
      <c r="H3213">
        <v>100241208</v>
      </c>
      <c r="I3213">
        <v>202631</v>
      </c>
      <c r="J3213">
        <v>1117544076</v>
      </c>
      <c r="K3213" t="s">
        <v>23</v>
      </c>
      <c r="L3213" t="s">
        <v>240</v>
      </c>
      <c r="M3213" t="s">
        <v>24</v>
      </c>
      <c r="N3213" t="s">
        <v>35</v>
      </c>
      <c r="O3213" t="s">
        <v>26</v>
      </c>
      <c r="P3213" t="s">
        <v>27</v>
      </c>
      <c r="Q3213" t="s">
        <v>28</v>
      </c>
      <c r="R3213" t="s">
        <v>29</v>
      </c>
      <c r="S3213" t="s">
        <v>30</v>
      </c>
      <c r="T3213">
        <v>52392617</v>
      </c>
      <c r="U3213" t="s">
        <v>3965</v>
      </c>
      <c r="V3213" t="s">
        <v>3934</v>
      </c>
      <c r="W3213" s="9">
        <f>IF(V3213="pregrado",31,
IF(V3213="posgrados",31,
IF(V3213="rEINTEGROS",7,
IF(V3213="BIT",90,
IF(V3213="OP GRADO - INGLÉS",17,"")))))</f>
        <v>31</v>
      </c>
      <c r="X3213" t="s">
        <v>4053</v>
      </c>
    </row>
    <row r="3214" spans="1:24" ht="15" x14ac:dyDescent="0.35">
      <c r="A3214" s="4">
        <v>46035.476238425923</v>
      </c>
      <c r="B3214">
        <v>20112512</v>
      </c>
      <c r="C3214" s="6" t="s">
        <v>19</v>
      </c>
      <c r="D3214">
        <v>601727</v>
      </c>
      <c r="E3214" t="s">
        <v>20</v>
      </c>
      <c r="F3214">
        <v>1014856092</v>
      </c>
      <c r="G3214" t="s">
        <v>1691</v>
      </c>
      <c r="H3214">
        <v>100241210</v>
      </c>
      <c r="I3214">
        <v>202631</v>
      </c>
      <c r="J3214">
        <v>1014856092</v>
      </c>
      <c r="K3214" t="s">
        <v>23</v>
      </c>
      <c r="L3214" t="s">
        <v>90</v>
      </c>
      <c r="M3214" t="s">
        <v>24</v>
      </c>
      <c r="N3214" t="s">
        <v>25</v>
      </c>
      <c r="O3214" t="s">
        <v>26</v>
      </c>
      <c r="P3214" t="s">
        <v>27</v>
      </c>
      <c r="Q3214" t="s">
        <v>28</v>
      </c>
      <c r="R3214" t="s">
        <v>29</v>
      </c>
      <c r="S3214" t="s">
        <v>30</v>
      </c>
      <c r="T3214">
        <v>1013595695</v>
      </c>
      <c r="U3214" t="s">
        <v>3933</v>
      </c>
      <c r="V3214" t="s">
        <v>3934</v>
      </c>
      <c r="W3214" s="9">
        <f>IF(V3214="pregrado",31,
IF(V3214="posgrados",31,
IF(V3214="rEINTEGROS",7,
IF(V3214="BIT",90,
IF(V3214="OP GRADO - INGLÉS",17,"")))))</f>
        <v>31</v>
      </c>
      <c r="X3214" t="s">
        <v>3990</v>
      </c>
    </row>
    <row r="3215" spans="1:24" ht="15" x14ac:dyDescent="0.35">
      <c r="A3215" s="4">
        <v>46038.436249999999</v>
      </c>
      <c r="B3215">
        <v>20114108</v>
      </c>
      <c r="C3215" s="6" t="s">
        <v>19</v>
      </c>
      <c r="D3215">
        <v>601730</v>
      </c>
      <c r="E3215" t="s">
        <v>20</v>
      </c>
      <c r="F3215">
        <v>1117544954</v>
      </c>
      <c r="G3215" t="s">
        <v>1884</v>
      </c>
      <c r="H3215">
        <v>100241213</v>
      </c>
      <c r="I3215">
        <v>202631</v>
      </c>
      <c r="J3215">
        <v>1117544954</v>
      </c>
      <c r="K3215" t="s">
        <v>23</v>
      </c>
      <c r="L3215" t="s">
        <v>65</v>
      </c>
      <c r="M3215" t="s">
        <v>24</v>
      </c>
      <c r="N3215" t="s">
        <v>35</v>
      </c>
      <c r="O3215" t="s">
        <v>26</v>
      </c>
      <c r="P3215" t="s">
        <v>27</v>
      </c>
      <c r="Q3215" t="s">
        <v>28</v>
      </c>
      <c r="R3215" t="s">
        <v>29</v>
      </c>
      <c r="S3215" t="s">
        <v>30</v>
      </c>
      <c r="T3215">
        <v>1013102684</v>
      </c>
      <c r="U3215" t="s">
        <v>3939</v>
      </c>
      <c r="V3215" t="s">
        <v>3934</v>
      </c>
      <c r="W3215" s="9">
        <f>IF(V3215="pregrado",31,
IF(V3215="posgrados",31,
IF(V3215="rEINTEGROS",7,
IF(V3215="BIT",90,
IF(V3215="OP GRADO - INGLÉS",17,"")))))</f>
        <v>31</v>
      </c>
      <c r="X3215" t="s">
        <v>4050</v>
      </c>
    </row>
    <row r="3216" spans="1:24" ht="15" x14ac:dyDescent="0.35">
      <c r="A3216" s="4">
        <v>46035.379062499997</v>
      </c>
      <c r="B3216">
        <v>20112416</v>
      </c>
      <c r="C3216" s="6" t="s">
        <v>19</v>
      </c>
      <c r="D3216">
        <v>601741</v>
      </c>
      <c r="E3216" t="s">
        <v>20</v>
      </c>
      <c r="F3216">
        <v>1061989596</v>
      </c>
      <c r="G3216" t="s">
        <v>1685</v>
      </c>
      <c r="H3216">
        <v>100241232</v>
      </c>
      <c r="I3216">
        <v>202631</v>
      </c>
      <c r="J3216">
        <v>1130630993</v>
      </c>
      <c r="K3216" t="s">
        <v>33</v>
      </c>
      <c r="L3216" t="s">
        <v>370</v>
      </c>
      <c r="M3216" t="s">
        <v>24</v>
      </c>
      <c r="N3216" t="s">
        <v>35</v>
      </c>
      <c r="O3216" t="s">
        <v>26</v>
      </c>
      <c r="P3216" t="s">
        <v>27</v>
      </c>
      <c r="Q3216" t="s">
        <v>28</v>
      </c>
      <c r="R3216" t="s">
        <v>29</v>
      </c>
      <c r="S3216" t="s">
        <v>30</v>
      </c>
      <c r="T3216">
        <v>1023975276</v>
      </c>
      <c r="U3216" t="s">
        <v>3963</v>
      </c>
      <c r="V3216" t="s">
        <v>3934</v>
      </c>
      <c r="W3216" s="9">
        <f>IF(V3216="pregrado",31,
IF(V3216="posgrados",31,
IF(V3216="rEINTEGROS",7,
IF(V3216="BIT",90,
IF(V3216="OP GRADO - INGLÉS",17,"")))))</f>
        <v>31</v>
      </c>
      <c r="X3216" t="s">
        <v>3962</v>
      </c>
    </row>
    <row r="3217" spans="1:24" ht="15" x14ac:dyDescent="0.35">
      <c r="A3217" s="4">
        <v>46036.525625000002</v>
      </c>
      <c r="B3217">
        <v>20113044</v>
      </c>
      <c r="C3217" s="6" t="s">
        <v>19</v>
      </c>
      <c r="D3217">
        <v>601750</v>
      </c>
      <c r="E3217" t="s">
        <v>20</v>
      </c>
      <c r="F3217">
        <v>1050396992</v>
      </c>
      <c r="G3217" t="s">
        <v>1758</v>
      </c>
      <c r="H3217">
        <v>100241246</v>
      </c>
      <c r="I3217">
        <v>202631</v>
      </c>
      <c r="J3217">
        <v>1050396992</v>
      </c>
      <c r="K3217" t="s">
        <v>23</v>
      </c>
      <c r="L3217" t="s">
        <v>240</v>
      </c>
      <c r="M3217" t="s">
        <v>24</v>
      </c>
      <c r="N3217" t="s">
        <v>35</v>
      </c>
      <c r="O3217" t="s">
        <v>26</v>
      </c>
      <c r="P3217" t="s">
        <v>27</v>
      </c>
      <c r="Q3217" t="s">
        <v>28</v>
      </c>
      <c r="R3217" t="s">
        <v>29</v>
      </c>
      <c r="S3217" t="s">
        <v>30</v>
      </c>
      <c r="T3217">
        <v>1023974716</v>
      </c>
      <c r="U3217" t="s">
        <v>3963</v>
      </c>
      <c r="V3217" t="s">
        <v>3934</v>
      </c>
      <c r="W3217" s="9">
        <f>IF(V3217="pregrado",31,
IF(V3217="posgrados",31,
IF(V3217="rEINTEGROS",7,
IF(V3217="BIT",90,
IF(V3217="OP GRADO - INGLÉS",17,"")))))</f>
        <v>31</v>
      </c>
      <c r="X3217" t="s">
        <v>4016</v>
      </c>
    </row>
    <row r="3218" spans="1:24" ht="15" x14ac:dyDescent="0.35">
      <c r="A3218" s="4">
        <v>46032.368807870371</v>
      </c>
      <c r="B3218">
        <v>20112242</v>
      </c>
      <c r="C3218" s="6" t="s">
        <v>19</v>
      </c>
      <c r="D3218">
        <v>601751</v>
      </c>
      <c r="E3218" t="s">
        <v>20</v>
      </c>
      <c r="F3218">
        <v>1030553033</v>
      </c>
      <c r="G3218" t="s">
        <v>1665</v>
      </c>
      <c r="H3218">
        <v>100240335</v>
      </c>
      <c r="I3218">
        <v>202631</v>
      </c>
      <c r="J3218">
        <v>1030553033</v>
      </c>
      <c r="K3218" t="s">
        <v>23</v>
      </c>
      <c r="L3218" t="s">
        <v>219</v>
      </c>
      <c r="M3218" t="s">
        <v>24</v>
      </c>
      <c r="N3218" t="s">
        <v>35</v>
      </c>
      <c r="O3218" t="s">
        <v>26</v>
      </c>
      <c r="P3218" t="s">
        <v>27</v>
      </c>
      <c r="Q3218" t="s">
        <v>28</v>
      </c>
      <c r="R3218" t="s">
        <v>29</v>
      </c>
      <c r="S3218" t="s">
        <v>30</v>
      </c>
      <c r="T3218">
        <v>1057586591</v>
      </c>
      <c r="U3218" t="s">
        <v>3963</v>
      </c>
      <c r="V3218" t="s">
        <v>3934</v>
      </c>
      <c r="W3218" s="9">
        <f>IF(V3218="pregrado",31,
IF(V3218="posgrados",31,
IF(V3218="rEINTEGROS",7,
IF(V3218="BIT",90,
IF(V3218="OP GRADO - INGLÉS",17,"")))))</f>
        <v>31</v>
      </c>
      <c r="X3218" t="s">
        <v>3988</v>
      </c>
    </row>
    <row r="3219" spans="1:24" ht="15" x14ac:dyDescent="0.35">
      <c r="A3219" s="4">
        <v>46036.622557870367</v>
      </c>
      <c r="B3219">
        <v>20113144</v>
      </c>
      <c r="C3219" s="6" t="s">
        <v>19</v>
      </c>
      <c r="D3219">
        <v>601764</v>
      </c>
      <c r="E3219" t="s">
        <v>20</v>
      </c>
      <c r="F3219">
        <v>1065373467</v>
      </c>
      <c r="G3219" t="s">
        <v>1774</v>
      </c>
      <c r="H3219">
        <v>200079705</v>
      </c>
      <c r="I3219">
        <v>202631</v>
      </c>
      <c r="J3219">
        <v>1064608070</v>
      </c>
      <c r="K3219" t="s">
        <v>23</v>
      </c>
      <c r="L3219" t="s">
        <v>119</v>
      </c>
      <c r="M3219" t="s">
        <v>24</v>
      </c>
      <c r="N3219" t="s">
        <v>25</v>
      </c>
      <c r="O3219" t="s">
        <v>26</v>
      </c>
      <c r="P3219" t="s">
        <v>27</v>
      </c>
      <c r="Q3219" t="s">
        <v>28</v>
      </c>
      <c r="R3219" t="s">
        <v>29</v>
      </c>
      <c r="S3219" t="s">
        <v>30</v>
      </c>
      <c r="T3219">
        <v>1077967131</v>
      </c>
      <c r="U3219" t="s">
        <v>3963</v>
      </c>
      <c r="V3219" t="s">
        <v>3934</v>
      </c>
      <c r="W3219" s="9">
        <f>IF(V3219="pregrado",31,
IF(V3219="posgrados",31,
IF(V3219="rEINTEGROS",7,
IF(V3219="BIT",90,
IF(V3219="OP GRADO - INGLÉS",17,"")))))</f>
        <v>31</v>
      </c>
      <c r="X3219" t="s">
        <v>4011</v>
      </c>
    </row>
    <row r="3220" spans="1:24" ht="15" x14ac:dyDescent="0.35">
      <c r="A3220" s="4">
        <v>46035.441886574074</v>
      </c>
      <c r="B3220">
        <v>20112467</v>
      </c>
      <c r="C3220" s="6" t="s">
        <v>19</v>
      </c>
      <c r="D3220">
        <v>601768</v>
      </c>
      <c r="E3220" t="s">
        <v>20</v>
      </c>
      <c r="F3220">
        <v>35532214</v>
      </c>
      <c r="G3220" t="s">
        <v>1689</v>
      </c>
      <c r="H3220">
        <v>200080087</v>
      </c>
      <c r="I3220">
        <v>202631</v>
      </c>
      <c r="J3220">
        <v>35532214</v>
      </c>
      <c r="K3220" t="s">
        <v>33</v>
      </c>
      <c r="L3220" t="s">
        <v>77</v>
      </c>
      <c r="M3220" t="s">
        <v>24</v>
      </c>
      <c r="N3220" t="s">
        <v>35</v>
      </c>
      <c r="O3220" t="s">
        <v>26</v>
      </c>
      <c r="P3220" t="s">
        <v>27</v>
      </c>
      <c r="Q3220" t="s">
        <v>28</v>
      </c>
      <c r="R3220" t="s">
        <v>29</v>
      </c>
      <c r="S3220" t="s">
        <v>30</v>
      </c>
      <c r="T3220">
        <v>1023975276</v>
      </c>
      <c r="U3220" t="s">
        <v>3963</v>
      </c>
      <c r="V3220" t="s">
        <v>3934</v>
      </c>
      <c r="W3220" s="9">
        <f>IF(V3220="pregrado",31,
IF(V3220="posgrados",31,
IF(V3220="rEINTEGROS",7,
IF(V3220="BIT",90,
IF(V3220="OP GRADO - INGLÉS",17,"")))))</f>
        <v>31</v>
      </c>
      <c r="X3220" t="s">
        <v>3962</v>
      </c>
    </row>
    <row r="3221" spans="1:24" ht="15" x14ac:dyDescent="0.35">
      <c r="A3221" s="4">
        <v>46032.511250000003</v>
      </c>
      <c r="B3221">
        <v>20112296</v>
      </c>
      <c r="C3221" s="6" t="s">
        <v>19</v>
      </c>
      <c r="D3221">
        <v>601777</v>
      </c>
      <c r="E3221" t="s">
        <v>20</v>
      </c>
      <c r="F3221">
        <v>1002496329</v>
      </c>
      <c r="G3221" t="s">
        <v>1676</v>
      </c>
      <c r="H3221">
        <v>200078139</v>
      </c>
      <c r="I3221">
        <v>202631</v>
      </c>
      <c r="J3221">
        <v>1002496329</v>
      </c>
      <c r="K3221" t="s">
        <v>23</v>
      </c>
      <c r="L3221" t="s">
        <v>119</v>
      </c>
      <c r="M3221" t="s">
        <v>24</v>
      </c>
      <c r="N3221" t="s">
        <v>35</v>
      </c>
      <c r="O3221" t="s">
        <v>26</v>
      </c>
      <c r="P3221" t="s">
        <v>27</v>
      </c>
      <c r="Q3221" t="s">
        <v>28</v>
      </c>
      <c r="R3221" t="s">
        <v>29</v>
      </c>
      <c r="S3221" t="s">
        <v>30</v>
      </c>
      <c r="T3221">
        <v>39658730</v>
      </c>
      <c r="U3221" t="s">
        <v>3963</v>
      </c>
      <c r="V3221" t="s">
        <v>3934</v>
      </c>
      <c r="W3221" s="9">
        <f>IF(V3221="pregrado",31,
IF(V3221="posgrados",31,
IF(V3221="rEINTEGROS",7,
IF(V3221="BIT",90,
IF(V3221="OP GRADO - INGLÉS",17,"")))))</f>
        <v>31</v>
      </c>
      <c r="X3221" t="s">
        <v>4003</v>
      </c>
    </row>
    <row r="3222" spans="1:24" ht="15" x14ac:dyDescent="0.35">
      <c r="A3222" s="4">
        <v>46037.764409722222</v>
      </c>
      <c r="B3222">
        <v>20113896</v>
      </c>
      <c r="C3222" s="6" t="s">
        <v>19</v>
      </c>
      <c r="D3222">
        <v>601778</v>
      </c>
      <c r="E3222" t="s">
        <v>20</v>
      </c>
      <c r="F3222">
        <v>1007161161</v>
      </c>
      <c r="G3222" t="s">
        <v>1861</v>
      </c>
      <c r="H3222">
        <v>100241266</v>
      </c>
      <c r="I3222">
        <v>202631</v>
      </c>
      <c r="J3222">
        <v>1007161161</v>
      </c>
      <c r="K3222" t="s">
        <v>33</v>
      </c>
      <c r="L3222" t="s">
        <v>42</v>
      </c>
      <c r="M3222" t="s">
        <v>24</v>
      </c>
      <c r="N3222" t="s">
        <v>25</v>
      </c>
      <c r="O3222" t="s">
        <v>26</v>
      </c>
      <c r="P3222" t="s">
        <v>27</v>
      </c>
      <c r="Q3222" t="s">
        <v>28</v>
      </c>
      <c r="R3222" t="s">
        <v>29</v>
      </c>
      <c r="S3222" t="s">
        <v>30</v>
      </c>
      <c r="T3222">
        <v>1000349074</v>
      </c>
      <c r="U3222" t="s">
        <v>3944</v>
      </c>
      <c r="V3222" t="s">
        <v>3934</v>
      </c>
      <c r="W3222" s="9">
        <f>IF(V3222="pregrado",31,
IF(V3222="posgrados",31,
IF(V3222="rEINTEGROS",7,
IF(V3222="BIT",90,
IF(V3222="OP GRADO - INGLÉS",17,"")))))</f>
        <v>31</v>
      </c>
      <c r="X3222" t="s">
        <v>4036</v>
      </c>
    </row>
    <row r="3223" spans="1:24" ht="15" x14ac:dyDescent="0.35">
      <c r="A3223" s="4">
        <v>46031.739374999997</v>
      </c>
      <c r="B3223">
        <v>20112198</v>
      </c>
      <c r="C3223" s="6" t="s">
        <v>19</v>
      </c>
      <c r="D3223">
        <v>601781</v>
      </c>
      <c r="E3223" t="s">
        <v>20</v>
      </c>
      <c r="F3223">
        <v>52167183</v>
      </c>
      <c r="G3223" t="s">
        <v>1660</v>
      </c>
      <c r="H3223">
        <v>100238359</v>
      </c>
      <c r="I3223">
        <v>202631</v>
      </c>
      <c r="J3223">
        <v>1014212590</v>
      </c>
      <c r="K3223" t="s">
        <v>33</v>
      </c>
      <c r="L3223" t="s">
        <v>90</v>
      </c>
      <c r="M3223" t="s">
        <v>24</v>
      </c>
      <c r="N3223" t="s">
        <v>25</v>
      </c>
      <c r="O3223" t="s">
        <v>26</v>
      </c>
      <c r="P3223" t="s">
        <v>27</v>
      </c>
      <c r="Q3223" t="s">
        <v>28</v>
      </c>
      <c r="R3223" t="s">
        <v>29</v>
      </c>
      <c r="S3223" t="s">
        <v>30</v>
      </c>
      <c r="T3223">
        <v>10245841021</v>
      </c>
      <c r="U3223" t="s">
        <v>3933</v>
      </c>
      <c r="V3223" t="s">
        <v>3934</v>
      </c>
      <c r="W3223" s="9">
        <f>IF(V3223="pregrado",31,
IF(V3223="posgrados",31,
IF(V3223="rEINTEGROS",7,
IF(V3223="BIT",90,
IF(V3223="OP GRADO - INGLÉS",17,"")))))</f>
        <v>31</v>
      </c>
      <c r="X3223" t="s">
        <v>3987</v>
      </c>
    </row>
    <row r="3224" spans="1:24" ht="15" x14ac:dyDescent="0.35">
      <c r="A3224" s="4">
        <v>46035.554768518516</v>
      </c>
      <c r="B3224">
        <v>20112587</v>
      </c>
      <c r="C3224" s="6" t="s">
        <v>19</v>
      </c>
      <c r="D3224">
        <v>601782</v>
      </c>
      <c r="E3224" t="s">
        <v>20</v>
      </c>
      <c r="F3224">
        <v>1038815926</v>
      </c>
      <c r="G3224" t="s">
        <v>1702</v>
      </c>
      <c r="H3224">
        <v>100241271</v>
      </c>
      <c r="I3224">
        <v>202631</v>
      </c>
      <c r="J3224">
        <v>1038815926</v>
      </c>
      <c r="K3224" t="s">
        <v>33</v>
      </c>
      <c r="L3224" t="s">
        <v>207</v>
      </c>
      <c r="M3224" t="s">
        <v>24</v>
      </c>
      <c r="N3224" t="s">
        <v>25</v>
      </c>
      <c r="O3224" t="s">
        <v>26</v>
      </c>
      <c r="P3224" t="s">
        <v>27</v>
      </c>
      <c r="Q3224" t="s">
        <v>28</v>
      </c>
      <c r="R3224" t="s">
        <v>29</v>
      </c>
      <c r="S3224" t="s">
        <v>30</v>
      </c>
      <c r="T3224">
        <v>1018455773</v>
      </c>
      <c r="U3224" t="s">
        <v>3986</v>
      </c>
      <c r="V3224" t="s">
        <v>3934</v>
      </c>
      <c r="W3224" s="9">
        <f>IF(V3224="pregrado",31,
IF(V3224="posgrados",31,
IF(V3224="rEINTEGROS",7,
IF(V3224="BIT",90,
IF(V3224="OP GRADO - INGLÉS",17,"")))))</f>
        <v>31</v>
      </c>
      <c r="X3224" t="s">
        <v>4101</v>
      </c>
    </row>
    <row r="3225" spans="1:24" ht="15" x14ac:dyDescent="0.35">
      <c r="A3225" s="4">
        <v>46045.716851851852</v>
      </c>
      <c r="B3225">
        <v>20116723</v>
      </c>
      <c r="C3225" s="6" t="s">
        <v>19</v>
      </c>
      <c r="D3225">
        <v>601785</v>
      </c>
      <c r="E3225" t="s">
        <v>20</v>
      </c>
      <c r="F3225">
        <v>1064790392</v>
      </c>
      <c r="G3225" t="s">
        <v>2249</v>
      </c>
      <c r="H3225">
        <v>100241274</v>
      </c>
      <c r="I3225">
        <v>202631</v>
      </c>
      <c r="J3225">
        <v>1096219552</v>
      </c>
      <c r="K3225" t="s">
        <v>33</v>
      </c>
      <c r="L3225" t="s">
        <v>370</v>
      </c>
      <c r="M3225" t="s">
        <v>24</v>
      </c>
      <c r="N3225" t="s">
        <v>35</v>
      </c>
      <c r="O3225" t="s">
        <v>26</v>
      </c>
      <c r="P3225" t="s">
        <v>27</v>
      </c>
      <c r="Q3225" t="s">
        <v>28</v>
      </c>
      <c r="R3225" t="s">
        <v>29</v>
      </c>
      <c r="S3225" t="s">
        <v>30</v>
      </c>
      <c r="T3225">
        <v>1023975276</v>
      </c>
      <c r="U3225" t="s">
        <v>3963</v>
      </c>
      <c r="V3225" t="s">
        <v>3934</v>
      </c>
      <c r="W3225" s="9">
        <f>IF(V3225="pregrado",31,
IF(V3225="posgrados",31,
IF(V3225="rEINTEGROS",7,
IF(V3225="BIT",90,
IF(V3225="OP GRADO - INGLÉS",17,"")))))</f>
        <v>31</v>
      </c>
      <c r="X3225" t="s">
        <v>3962</v>
      </c>
    </row>
    <row r="3226" spans="1:24" ht="15" x14ac:dyDescent="0.35">
      <c r="A3226" s="4">
        <v>46035.743217592593</v>
      </c>
      <c r="B3226">
        <v>20112759</v>
      </c>
      <c r="C3226" s="6" t="s">
        <v>19</v>
      </c>
      <c r="D3226">
        <v>601786</v>
      </c>
      <c r="E3226" t="s">
        <v>20</v>
      </c>
      <c r="F3226">
        <v>1116782788</v>
      </c>
      <c r="G3226" t="s">
        <v>1718</v>
      </c>
      <c r="H3226">
        <v>100241275</v>
      </c>
      <c r="I3226">
        <v>202631</v>
      </c>
      <c r="J3226">
        <v>1120867171</v>
      </c>
      <c r="K3226" t="s">
        <v>23</v>
      </c>
      <c r="L3226" t="s">
        <v>32</v>
      </c>
      <c r="M3226" t="s">
        <v>24</v>
      </c>
      <c r="N3226" t="s">
        <v>35</v>
      </c>
      <c r="O3226" t="s">
        <v>26</v>
      </c>
      <c r="P3226" t="s">
        <v>27</v>
      </c>
      <c r="Q3226" t="s">
        <v>28</v>
      </c>
      <c r="R3226" t="s">
        <v>29</v>
      </c>
      <c r="S3226" t="s">
        <v>30</v>
      </c>
      <c r="T3226">
        <v>53139409</v>
      </c>
      <c r="U3226" t="s">
        <v>3944</v>
      </c>
      <c r="V3226" t="s">
        <v>3934</v>
      </c>
      <c r="W3226" s="9">
        <f>IF(V3226="pregrado",31,
IF(V3226="posgrados",31,
IF(V3226="rEINTEGROS",7,
IF(V3226="BIT",90,
IF(V3226="OP GRADO - INGLÉS",17,"")))))</f>
        <v>31</v>
      </c>
      <c r="X3226" t="s">
        <v>3955</v>
      </c>
    </row>
    <row r="3227" spans="1:24" ht="15" x14ac:dyDescent="0.35">
      <c r="A3227" s="4">
        <v>46035.522893518515</v>
      </c>
      <c r="B3227">
        <v>20112559</v>
      </c>
      <c r="C3227" s="6" t="s">
        <v>19</v>
      </c>
      <c r="D3227">
        <v>601788</v>
      </c>
      <c r="E3227" t="s">
        <v>20</v>
      </c>
      <c r="F3227">
        <v>1014309716</v>
      </c>
      <c r="G3227" t="s">
        <v>1699</v>
      </c>
      <c r="H3227">
        <v>100241278</v>
      </c>
      <c r="I3227">
        <v>202631</v>
      </c>
      <c r="J3227">
        <v>1014309716</v>
      </c>
      <c r="K3227" t="s">
        <v>23</v>
      </c>
      <c r="L3227" t="s">
        <v>51</v>
      </c>
      <c r="M3227" t="s">
        <v>24</v>
      </c>
      <c r="N3227" t="s">
        <v>35</v>
      </c>
      <c r="O3227" t="s">
        <v>26</v>
      </c>
      <c r="P3227" t="s">
        <v>27</v>
      </c>
      <c r="Q3227" t="s">
        <v>28</v>
      </c>
      <c r="R3227" t="s">
        <v>29</v>
      </c>
      <c r="S3227" t="s">
        <v>30</v>
      </c>
      <c r="T3227">
        <v>1018455773</v>
      </c>
      <c r="U3227" t="s">
        <v>3986</v>
      </c>
      <c r="V3227" t="s">
        <v>3934</v>
      </c>
      <c r="W3227" s="9">
        <f>IF(V3227="pregrado",31,
IF(V3227="posgrados",31,
IF(V3227="rEINTEGROS",7,
IF(V3227="BIT",90,
IF(V3227="OP GRADO - INGLÉS",17,"")))))</f>
        <v>31</v>
      </c>
      <c r="X3227" t="s">
        <v>4101</v>
      </c>
    </row>
    <row r="3228" spans="1:24" ht="15" x14ac:dyDescent="0.35">
      <c r="A3228" s="4">
        <v>46035.498900462961</v>
      </c>
      <c r="B3228">
        <v>20112535</v>
      </c>
      <c r="C3228" s="6" t="s">
        <v>19</v>
      </c>
      <c r="D3228">
        <v>601797</v>
      </c>
      <c r="E3228" t="s">
        <v>20</v>
      </c>
      <c r="F3228">
        <v>1011081733</v>
      </c>
      <c r="G3228" t="s">
        <v>1694</v>
      </c>
      <c r="H3228">
        <v>100241276</v>
      </c>
      <c r="I3228">
        <v>202631</v>
      </c>
      <c r="J3228">
        <v>1022440067</v>
      </c>
      <c r="K3228" t="s">
        <v>23</v>
      </c>
      <c r="L3228" t="s">
        <v>90</v>
      </c>
      <c r="M3228" t="s">
        <v>24</v>
      </c>
      <c r="N3228" t="s">
        <v>35</v>
      </c>
      <c r="O3228" t="s">
        <v>26</v>
      </c>
      <c r="P3228" t="s">
        <v>27</v>
      </c>
      <c r="Q3228" t="s">
        <v>28</v>
      </c>
      <c r="R3228" t="s">
        <v>29</v>
      </c>
      <c r="S3228" t="s">
        <v>30</v>
      </c>
      <c r="T3228">
        <v>1023921046</v>
      </c>
      <c r="U3228" t="s">
        <v>3933</v>
      </c>
      <c r="V3228" t="s">
        <v>3934</v>
      </c>
      <c r="W3228" s="9">
        <f>IF(V3228="pregrado",31,
IF(V3228="posgrados",31,
IF(V3228="rEINTEGROS",7,
IF(V3228="BIT",90,
IF(V3228="OP GRADO - INGLÉS",17,"")))))</f>
        <v>31</v>
      </c>
      <c r="X3228" t="s">
        <v>4043</v>
      </c>
    </row>
    <row r="3229" spans="1:24" ht="15" x14ac:dyDescent="0.35">
      <c r="A3229" s="4">
        <v>46070.509270833332</v>
      </c>
      <c r="B3229">
        <v>20124091</v>
      </c>
      <c r="C3229" s="6" t="s">
        <v>19</v>
      </c>
      <c r="D3229">
        <v>601798</v>
      </c>
      <c r="E3229" t="s">
        <v>20</v>
      </c>
      <c r="F3229">
        <v>1033804088</v>
      </c>
      <c r="G3229" t="s">
        <v>3292</v>
      </c>
      <c r="H3229">
        <v>100241287</v>
      </c>
      <c r="I3229">
        <v>202631</v>
      </c>
      <c r="J3229">
        <v>1033804088</v>
      </c>
      <c r="K3229" t="s">
        <v>33</v>
      </c>
      <c r="L3229" t="s">
        <v>90</v>
      </c>
      <c r="M3229" t="s">
        <v>24</v>
      </c>
      <c r="N3229" t="s">
        <v>35</v>
      </c>
      <c r="O3229" t="s">
        <v>26</v>
      </c>
      <c r="P3229" t="s">
        <v>27</v>
      </c>
      <c r="Q3229" t="s">
        <v>28</v>
      </c>
      <c r="R3229" t="s">
        <v>29</v>
      </c>
      <c r="S3229" t="s">
        <v>30</v>
      </c>
      <c r="T3229">
        <v>1007473661</v>
      </c>
      <c r="U3229" t="s">
        <v>3933</v>
      </c>
      <c r="V3229" t="s">
        <v>3934</v>
      </c>
      <c r="W3229" s="9">
        <f>IF(V3229="pregrado",31,
IF(V3229="posgrados",31,
IF(V3229="rEINTEGROS",7,
IF(V3229="BIT",90,
IF(V3229="OP GRADO - INGLÉS",17,"")))))</f>
        <v>31</v>
      </c>
      <c r="X3229" t="s">
        <v>4058</v>
      </c>
    </row>
    <row r="3230" spans="1:24" ht="15" x14ac:dyDescent="0.35">
      <c r="A3230" s="4">
        <v>46037.476585648146</v>
      </c>
      <c r="B3230">
        <v>20113523</v>
      </c>
      <c r="C3230" s="6" t="s">
        <v>19</v>
      </c>
      <c r="D3230">
        <v>601804</v>
      </c>
      <c r="E3230" t="s">
        <v>20</v>
      </c>
      <c r="F3230">
        <v>1115743233</v>
      </c>
      <c r="G3230" t="s">
        <v>1826</v>
      </c>
      <c r="H3230">
        <v>100241299</v>
      </c>
      <c r="I3230">
        <v>202611</v>
      </c>
      <c r="J3230">
        <v>1115743233</v>
      </c>
      <c r="K3230" t="s">
        <v>33</v>
      </c>
      <c r="L3230" t="s">
        <v>221</v>
      </c>
      <c r="M3230" t="s">
        <v>24</v>
      </c>
      <c r="N3230" t="s">
        <v>35</v>
      </c>
      <c r="O3230" t="s">
        <v>26</v>
      </c>
      <c r="P3230" t="s">
        <v>27</v>
      </c>
      <c r="Q3230" t="s">
        <v>28</v>
      </c>
      <c r="R3230" t="s">
        <v>29</v>
      </c>
      <c r="S3230" t="s">
        <v>30</v>
      </c>
      <c r="T3230">
        <v>1006023129</v>
      </c>
      <c r="U3230" t="s">
        <v>3944</v>
      </c>
      <c r="V3230" t="s">
        <v>3934</v>
      </c>
      <c r="W3230" s="9">
        <f>IF(V3230="pregrado",31,
IF(V3230="posgrados",31,
IF(V3230="rEINTEGROS",7,
IF(V3230="BIT",90,
IF(V3230="OP GRADO - INGLÉS",17,"")))))</f>
        <v>31</v>
      </c>
      <c r="X3230" t="s">
        <v>3982</v>
      </c>
    </row>
    <row r="3231" spans="1:24" ht="15" x14ac:dyDescent="0.35">
      <c r="A3231" s="4">
        <v>46058.460821759261</v>
      </c>
      <c r="B3231">
        <v>20120794</v>
      </c>
      <c r="C3231" s="6" t="s">
        <v>19</v>
      </c>
      <c r="D3231">
        <v>601805</v>
      </c>
      <c r="E3231" t="s">
        <v>20</v>
      </c>
      <c r="F3231">
        <v>43000173</v>
      </c>
      <c r="G3231" t="s">
        <v>2794</v>
      </c>
      <c r="H3231">
        <v>100241300</v>
      </c>
      <c r="I3231">
        <v>202631</v>
      </c>
      <c r="J3231">
        <v>1017154003</v>
      </c>
      <c r="K3231" t="s">
        <v>33</v>
      </c>
      <c r="L3231" t="s">
        <v>32</v>
      </c>
      <c r="M3231" t="s">
        <v>24</v>
      </c>
      <c r="N3231" t="s">
        <v>25</v>
      </c>
      <c r="O3231" t="s">
        <v>26</v>
      </c>
      <c r="P3231" t="s">
        <v>27</v>
      </c>
      <c r="Q3231" t="s">
        <v>28</v>
      </c>
      <c r="R3231" t="s">
        <v>29</v>
      </c>
      <c r="S3231" t="s">
        <v>30</v>
      </c>
      <c r="T3231">
        <v>1015407851</v>
      </c>
      <c r="U3231" t="s">
        <v>3944</v>
      </c>
      <c r="V3231" t="s">
        <v>3934</v>
      </c>
      <c r="W3231" s="9">
        <f>IF(V3231="pregrado",31,
IF(V3231="posgrados",31,
IF(V3231="rEINTEGROS",7,
IF(V3231="BIT",90,
IF(V3231="OP GRADO - INGLÉS",17,"")))))</f>
        <v>31</v>
      </c>
      <c r="X3231" t="s">
        <v>4102</v>
      </c>
    </row>
    <row r="3232" spans="1:24" ht="15" x14ac:dyDescent="0.35">
      <c r="A3232" s="4">
        <v>46041.679444444446</v>
      </c>
      <c r="B3232">
        <v>20115004</v>
      </c>
      <c r="C3232" s="6" t="s">
        <v>19</v>
      </c>
      <c r="D3232">
        <v>601809</v>
      </c>
      <c r="E3232" t="s">
        <v>20</v>
      </c>
      <c r="F3232">
        <v>1044609921</v>
      </c>
      <c r="G3232" t="s">
        <v>1977</v>
      </c>
      <c r="H3232">
        <v>100241304</v>
      </c>
      <c r="I3232">
        <v>202631</v>
      </c>
      <c r="J3232">
        <v>1044609921</v>
      </c>
      <c r="K3232" t="s">
        <v>33</v>
      </c>
      <c r="L3232" t="s">
        <v>57</v>
      </c>
      <c r="M3232" t="s">
        <v>24</v>
      </c>
      <c r="N3232" t="s">
        <v>25</v>
      </c>
      <c r="O3232" t="s">
        <v>26</v>
      </c>
      <c r="P3232" t="s">
        <v>27</v>
      </c>
      <c r="Q3232" t="s">
        <v>28</v>
      </c>
      <c r="R3232" t="s">
        <v>29</v>
      </c>
      <c r="S3232" t="s">
        <v>30</v>
      </c>
      <c r="T3232">
        <v>1019115186</v>
      </c>
      <c r="U3232" t="s">
        <v>3941</v>
      </c>
      <c r="V3232" t="s">
        <v>3934</v>
      </c>
      <c r="W3232" s="9">
        <f>IF(V3232="pregrado",31,
IF(V3232="posgrados",31,
IF(V3232="rEINTEGROS",7,
IF(V3232="BIT",90,
IF(V3232="OP GRADO - INGLÉS",17,"")))))</f>
        <v>31</v>
      </c>
      <c r="X3232" t="s">
        <v>4005</v>
      </c>
    </row>
    <row r="3233" spans="1:24" ht="15" x14ac:dyDescent="0.35">
      <c r="A3233" s="4">
        <v>46035.622002314813</v>
      </c>
      <c r="B3233">
        <v>20112633</v>
      </c>
      <c r="C3233" s="6" t="s">
        <v>19</v>
      </c>
      <c r="D3233">
        <v>601816</v>
      </c>
      <c r="E3233" t="s">
        <v>20</v>
      </c>
      <c r="F3233">
        <v>1019147793</v>
      </c>
      <c r="G3233" t="s">
        <v>1706</v>
      </c>
      <c r="H3233">
        <v>100241316</v>
      </c>
      <c r="I3233">
        <v>202631</v>
      </c>
      <c r="J3233">
        <v>1019147793</v>
      </c>
      <c r="K3233" t="s">
        <v>23</v>
      </c>
      <c r="L3233" t="s">
        <v>22</v>
      </c>
      <c r="M3233" t="s">
        <v>24</v>
      </c>
      <c r="N3233" t="s">
        <v>35</v>
      </c>
      <c r="O3233" t="s">
        <v>26</v>
      </c>
      <c r="P3233" t="s">
        <v>27</v>
      </c>
      <c r="Q3233" t="s">
        <v>28</v>
      </c>
      <c r="R3233" t="s">
        <v>29</v>
      </c>
      <c r="S3233" t="s">
        <v>30</v>
      </c>
      <c r="T3233">
        <v>1003690112</v>
      </c>
      <c r="U3233" t="s">
        <v>3933</v>
      </c>
      <c r="V3233" t="s">
        <v>3934</v>
      </c>
      <c r="W3233" s="9">
        <f>IF(V3233="pregrado",31,
IF(V3233="posgrados",31,
IF(V3233="rEINTEGROS",7,
IF(V3233="BIT",90,
IF(V3233="OP GRADO - INGLÉS",17,"")))))</f>
        <v>31</v>
      </c>
      <c r="X3233" t="s">
        <v>4061</v>
      </c>
    </row>
    <row r="3234" spans="1:24" ht="15" x14ac:dyDescent="0.35">
      <c r="A3234" s="4">
        <v>46035.673784722225</v>
      </c>
      <c r="B3234">
        <v>20112698</v>
      </c>
      <c r="C3234" s="6" t="s">
        <v>19</v>
      </c>
      <c r="D3234">
        <v>601819</v>
      </c>
      <c r="E3234" t="s">
        <v>20</v>
      </c>
      <c r="F3234">
        <v>1022337528</v>
      </c>
      <c r="G3234" t="s">
        <v>1709</v>
      </c>
      <c r="H3234">
        <v>100241320</v>
      </c>
      <c r="I3234">
        <v>202610</v>
      </c>
      <c r="J3234">
        <v>1022337528</v>
      </c>
      <c r="K3234" t="s">
        <v>23</v>
      </c>
      <c r="L3234" t="s">
        <v>40</v>
      </c>
      <c r="M3234" t="s">
        <v>24</v>
      </c>
      <c r="N3234" t="s">
        <v>35</v>
      </c>
      <c r="O3234" t="s">
        <v>26</v>
      </c>
      <c r="P3234" t="s">
        <v>27</v>
      </c>
      <c r="Q3234" t="s">
        <v>28</v>
      </c>
      <c r="R3234" t="s">
        <v>29</v>
      </c>
      <c r="S3234" t="s">
        <v>30</v>
      </c>
      <c r="T3234">
        <v>53061994</v>
      </c>
      <c r="U3234" t="s">
        <v>3941</v>
      </c>
      <c r="V3234" t="s">
        <v>3934</v>
      </c>
      <c r="W3234" s="9">
        <f>IF(V3234="pregrado",31,
IF(V3234="posgrados",31,
IF(V3234="rEINTEGROS",7,
IF(V3234="BIT",90,
IF(V3234="OP GRADO - INGLÉS",17,"")))))</f>
        <v>31</v>
      </c>
      <c r="X3234" t="s">
        <v>3950</v>
      </c>
    </row>
    <row r="3235" spans="1:24" ht="15" x14ac:dyDescent="0.35">
      <c r="A3235" s="4">
        <v>46036.791076388887</v>
      </c>
      <c r="B3235">
        <v>20113302</v>
      </c>
      <c r="C3235" s="6" t="s">
        <v>19</v>
      </c>
      <c r="D3235">
        <v>601824</v>
      </c>
      <c r="E3235" t="s">
        <v>20</v>
      </c>
      <c r="F3235">
        <v>1027952035</v>
      </c>
      <c r="G3235" t="s">
        <v>1804</v>
      </c>
      <c r="H3235">
        <v>100241330</v>
      </c>
      <c r="I3235">
        <v>202611</v>
      </c>
      <c r="J3235">
        <v>1027952035</v>
      </c>
      <c r="K3235" t="s">
        <v>33</v>
      </c>
      <c r="L3235" t="s">
        <v>204</v>
      </c>
      <c r="M3235" t="s">
        <v>24</v>
      </c>
      <c r="N3235" t="s">
        <v>25</v>
      </c>
      <c r="O3235" t="s">
        <v>26</v>
      </c>
      <c r="P3235" t="s">
        <v>27</v>
      </c>
      <c r="Q3235" t="s">
        <v>28</v>
      </c>
      <c r="R3235" t="s">
        <v>29</v>
      </c>
      <c r="S3235" t="s">
        <v>30</v>
      </c>
      <c r="T3235">
        <v>1032394283</v>
      </c>
      <c r="U3235" t="s">
        <v>3941</v>
      </c>
      <c r="V3235" t="s">
        <v>3934</v>
      </c>
      <c r="W3235" s="9">
        <f>IF(V3235="pregrado",31,
IF(V3235="posgrados",31,
IF(V3235="rEINTEGROS",7,
IF(V3235="BIT",90,
IF(V3235="OP GRADO - INGLÉS",17,"")))))</f>
        <v>31</v>
      </c>
      <c r="X3235" t="s">
        <v>4034</v>
      </c>
    </row>
    <row r="3236" spans="1:24" ht="15" x14ac:dyDescent="0.35">
      <c r="A3236" s="4">
        <v>46032.494467592594</v>
      </c>
      <c r="B3236">
        <v>20112292</v>
      </c>
      <c r="C3236" s="6" t="s">
        <v>19</v>
      </c>
      <c r="D3236">
        <v>601829</v>
      </c>
      <c r="E3236" t="s">
        <v>20</v>
      </c>
      <c r="F3236">
        <v>1083032603</v>
      </c>
      <c r="G3236" t="s">
        <v>1675</v>
      </c>
      <c r="H3236">
        <v>100241333</v>
      </c>
      <c r="I3236">
        <v>202631</v>
      </c>
      <c r="J3236">
        <v>1003198604</v>
      </c>
      <c r="K3236" t="s">
        <v>23</v>
      </c>
      <c r="L3236" t="s">
        <v>32</v>
      </c>
      <c r="M3236" t="s">
        <v>24</v>
      </c>
      <c r="N3236" t="s">
        <v>35</v>
      </c>
      <c r="O3236" t="s">
        <v>26</v>
      </c>
      <c r="P3236" t="s">
        <v>27</v>
      </c>
      <c r="Q3236" t="s">
        <v>28</v>
      </c>
      <c r="R3236" t="s">
        <v>29</v>
      </c>
      <c r="S3236" t="s">
        <v>30</v>
      </c>
      <c r="T3236">
        <v>10123971531</v>
      </c>
      <c r="U3236" t="s">
        <v>3944</v>
      </c>
      <c r="V3236" t="s">
        <v>3934</v>
      </c>
      <c r="W3236" s="9">
        <f>IF(V3236="pregrado",31,
IF(V3236="posgrados",31,
IF(V3236="rEINTEGROS",7,
IF(V3236="BIT",90,
IF(V3236="OP GRADO - INGLÉS",17,"")))))</f>
        <v>31</v>
      </c>
      <c r="X3236" t="s">
        <v>3943</v>
      </c>
    </row>
    <row r="3237" spans="1:24" ht="15" x14ac:dyDescent="0.35">
      <c r="A3237" s="4">
        <v>46035.701886574076</v>
      </c>
      <c r="B3237">
        <v>20112723</v>
      </c>
      <c r="C3237" s="6" t="s">
        <v>19</v>
      </c>
      <c r="D3237">
        <v>601831</v>
      </c>
      <c r="E3237" t="s">
        <v>20</v>
      </c>
      <c r="F3237">
        <v>1026551194</v>
      </c>
      <c r="G3237" t="s">
        <v>1713</v>
      </c>
      <c r="H3237">
        <v>100241335</v>
      </c>
      <c r="I3237">
        <v>202611</v>
      </c>
      <c r="J3237">
        <v>1026551194</v>
      </c>
      <c r="K3237" t="s">
        <v>33</v>
      </c>
      <c r="L3237" t="s">
        <v>204</v>
      </c>
      <c r="M3237" t="s">
        <v>24</v>
      </c>
      <c r="N3237" t="s">
        <v>38</v>
      </c>
      <c r="O3237" t="s">
        <v>26</v>
      </c>
      <c r="P3237" t="s">
        <v>27</v>
      </c>
      <c r="Q3237" t="s">
        <v>28</v>
      </c>
      <c r="R3237" t="s">
        <v>29</v>
      </c>
      <c r="S3237" t="s">
        <v>30</v>
      </c>
      <c r="T3237">
        <v>52182207</v>
      </c>
      <c r="U3237" t="s">
        <v>3941</v>
      </c>
      <c r="V3237" t="s">
        <v>3934</v>
      </c>
      <c r="W3237" s="9">
        <f>IF(V3237="pregrado",31,
IF(V3237="posgrados",31,
IF(V3237="rEINTEGROS",7,
IF(V3237="BIT",90,
IF(V3237="OP GRADO - INGLÉS",17,"")))))</f>
        <v>31</v>
      </c>
      <c r="X3237" t="s">
        <v>3946</v>
      </c>
    </row>
    <row r="3238" spans="1:24" ht="15" x14ac:dyDescent="0.35">
      <c r="A3238" s="4">
        <v>46036.445983796293</v>
      </c>
      <c r="B3238">
        <v>20112945</v>
      </c>
      <c r="C3238" s="6" t="s">
        <v>19</v>
      </c>
      <c r="D3238">
        <v>601832</v>
      </c>
      <c r="E3238" t="s">
        <v>20</v>
      </c>
      <c r="F3238">
        <v>1106901520</v>
      </c>
      <c r="G3238" t="s">
        <v>1742</v>
      </c>
      <c r="H3238">
        <v>100241336</v>
      </c>
      <c r="I3238">
        <v>202631</v>
      </c>
      <c r="J3238">
        <v>1106901520</v>
      </c>
      <c r="K3238" t="s">
        <v>23</v>
      </c>
      <c r="L3238" t="s">
        <v>207</v>
      </c>
      <c r="M3238" t="s">
        <v>24</v>
      </c>
      <c r="N3238" t="s">
        <v>35</v>
      </c>
      <c r="O3238" t="s">
        <v>26</v>
      </c>
      <c r="P3238" t="s">
        <v>27</v>
      </c>
      <c r="Q3238" t="s">
        <v>28</v>
      </c>
      <c r="R3238" t="s">
        <v>29</v>
      </c>
      <c r="S3238" t="s">
        <v>30</v>
      </c>
      <c r="T3238">
        <v>1023000285</v>
      </c>
      <c r="U3238" t="s">
        <v>3986</v>
      </c>
      <c r="V3238" t="s">
        <v>3934</v>
      </c>
      <c r="W3238" s="9">
        <f>IF(V3238="pregrado",31,
IF(V3238="posgrados",31,
IF(V3238="rEINTEGROS",7,
IF(V3238="BIT",90,
IF(V3238="OP GRADO - INGLÉS",17,"")))))</f>
        <v>31</v>
      </c>
      <c r="X3238" t="s">
        <v>4097</v>
      </c>
    </row>
    <row r="3239" spans="1:24" ht="15" x14ac:dyDescent="0.35">
      <c r="A3239" s="4">
        <v>46073.339837962965</v>
      </c>
      <c r="B3239">
        <v>20125083</v>
      </c>
      <c r="C3239" s="6" t="s">
        <v>19</v>
      </c>
      <c r="D3239">
        <v>601845</v>
      </c>
      <c r="E3239" t="s">
        <v>20</v>
      </c>
      <c r="F3239">
        <v>80133057</v>
      </c>
      <c r="G3239" t="s">
        <v>3452</v>
      </c>
      <c r="H3239">
        <v>100241356</v>
      </c>
      <c r="I3239">
        <v>202610</v>
      </c>
      <c r="J3239">
        <v>1023368905</v>
      </c>
      <c r="K3239" t="s">
        <v>23</v>
      </c>
      <c r="L3239" t="s">
        <v>40</v>
      </c>
      <c r="M3239" t="s">
        <v>24</v>
      </c>
      <c r="N3239" t="s">
        <v>35</v>
      </c>
      <c r="O3239" t="s">
        <v>26</v>
      </c>
      <c r="P3239" t="s">
        <v>27</v>
      </c>
      <c r="Q3239" t="s">
        <v>28</v>
      </c>
      <c r="R3239" t="s">
        <v>29</v>
      </c>
      <c r="S3239" t="s">
        <v>30</v>
      </c>
      <c r="T3239">
        <v>1010081108</v>
      </c>
      <c r="U3239" t="s">
        <v>3941</v>
      </c>
      <c r="V3239" t="s">
        <v>3934</v>
      </c>
      <c r="W3239" s="9">
        <f>IF(V3239="pregrado",31,
IF(V3239="posgrados",31,
IF(V3239="rEINTEGROS",7,
IF(V3239="BIT",90,
IF(V3239="OP GRADO - INGLÉS",17,"")))))</f>
        <v>31</v>
      </c>
      <c r="X3239" t="s">
        <v>4009</v>
      </c>
    </row>
    <row r="3240" spans="1:24" ht="15" x14ac:dyDescent="0.35">
      <c r="A3240" s="4">
        <v>46044.473773148151</v>
      </c>
      <c r="B3240">
        <v>20116100</v>
      </c>
      <c r="C3240" s="6" t="s">
        <v>19</v>
      </c>
      <c r="D3240">
        <v>601848</v>
      </c>
      <c r="E3240" t="s">
        <v>20</v>
      </c>
      <c r="F3240">
        <v>57296029</v>
      </c>
      <c r="G3240" t="s">
        <v>2155</v>
      </c>
      <c r="H3240">
        <v>100241360</v>
      </c>
      <c r="I3240">
        <v>202610</v>
      </c>
      <c r="J3240">
        <v>1082918768</v>
      </c>
      <c r="K3240" t="s">
        <v>23</v>
      </c>
      <c r="L3240" t="s">
        <v>79</v>
      </c>
      <c r="M3240" t="s">
        <v>24</v>
      </c>
      <c r="N3240" t="s">
        <v>35</v>
      </c>
      <c r="O3240" t="s">
        <v>26</v>
      </c>
      <c r="P3240" t="s">
        <v>27</v>
      </c>
      <c r="Q3240" t="s">
        <v>28</v>
      </c>
      <c r="R3240" t="s">
        <v>29</v>
      </c>
      <c r="S3240" t="s">
        <v>30</v>
      </c>
      <c r="T3240">
        <v>53071696</v>
      </c>
      <c r="U3240" t="s">
        <v>3965</v>
      </c>
      <c r="V3240" t="s">
        <v>3934</v>
      </c>
      <c r="W3240" s="9">
        <f>IF(V3240="pregrado",31,
IF(V3240="posgrados",31,
IF(V3240="rEINTEGROS",7,
IF(V3240="BIT",90,
IF(V3240="OP GRADO - INGLÉS",17,"")))))</f>
        <v>31</v>
      </c>
      <c r="X3240" t="s">
        <v>4012</v>
      </c>
    </row>
    <row r="3241" spans="1:24" ht="15" x14ac:dyDescent="0.35">
      <c r="A3241" s="4">
        <v>46035.721689814818</v>
      </c>
      <c r="B3241">
        <v>20112736</v>
      </c>
      <c r="C3241" s="6" t="s">
        <v>19</v>
      </c>
      <c r="D3241">
        <v>601849</v>
      </c>
      <c r="E3241" t="s">
        <v>20</v>
      </c>
      <c r="F3241">
        <v>1010209063</v>
      </c>
      <c r="G3241" t="s">
        <v>1714</v>
      </c>
      <c r="H3241">
        <v>100179150</v>
      </c>
      <c r="I3241">
        <v>202611</v>
      </c>
      <c r="J3241">
        <v>1010209063</v>
      </c>
      <c r="K3241" t="s">
        <v>23</v>
      </c>
      <c r="L3241" t="s">
        <v>227</v>
      </c>
      <c r="M3241" t="s">
        <v>24</v>
      </c>
      <c r="N3241" t="s">
        <v>25</v>
      </c>
      <c r="O3241" t="s">
        <v>26</v>
      </c>
      <c r="P3241" t="s">
        <v>27</v>
      </c>
      <c r="Q3241" t="s">
        <v>28</v>
      </c>
      <c r="R3241" t="s">
        <v>29</v>
      </c>
      <c r="S3241" t="s">
        <v>30</v>
      </c>
      <c r="T3241">
        <v>10006855461</v>
      </c>
      <c r="U3241" t="s">
        <v>3965</v>
      </c>
      <c r="V3241" t="s">
        <v>3934</v>
      </c>
      <c r="W3241" s="9">
        <f>IF(V3241="pregrado",31,
IF(V3241="posgrados",31,
IF(V3241="rEINTEGROS",7,
IF(V3241="BIT",90,
IF(V3241="OP GRADO - INGLÉS",17,"")))))</f>
        <v>31</v>
      </c>
      <c r="X3241" t="s">
        <v>3993</v>
      </c>
    </row>
    <row r="3242" spans="1:24" ht="15" x14ac:dyDescent="0.35">
      <c r="A3242" s="4">
        <v>46045.45039351852</v>
      </c>
      <c r="B3242">
        <v>20116492</v>
      </c>
      <c r="C3242" s="6" t="s">
        <v>19</v>
      </c>
      <c r="D3242">
        <v>601852</v>
      </c>
      <c r="E3242" t="s">
        <v>20</v>
      </c>
      <c r="F3242">
        <v>1076383426</v>
      </c>
      <c r="G3242" t="s">
        <v>2224</v>
      </c>
      <c r="H3242">
        <v>100241363</v>
      </c>
      <c r="I3242">
        <v>202611</v>
      </c>
      <c r="J3242">
        <v>1076383426</v>
      </c>
      <c r="K3242" t="s">
        <v>33</v>
      </c>
      <c r="L3242" t="s">
        <v>221</v>
      </c>
      <c r="M3242" t="s">
        <v>24</v>
      </c>
      <c r="N3242" t="s">
        <v>25</v>
      </c>
      <c r="O3242" t="s">
        <v>26</v>
      </c>
      <c r="P3242" t="s">
        <v>27</v>
      </c>
      <c r="Q3242" t="s">
        <v>28</v>
      </c>
      <c r="R3242" t="s">
        <v>29</v>
      </c>
      <c r="S3242" t="s">
        <v>30</v>
      </c>
      <c r="T3242">
        <v>1015428862</v>
      </c>
      <c r="U3242" t="s">
        <v>3965</v>
      </c>
      <c r="V3242" t="s">
        <v>3934</v>
      </c>
      <c r="W3242" s="9">
        <f>IF(V3242="pregrado",31,
IF(V3242="posgrados",31,
IF(V3242="rEINTEGROS",7,
IF(V3242="BIT",90,
IF(V3242="OP GRADO - INGLÉS",17,"")))))</f>
        <v>31</v>
      </c>
      <c r="X3242" t="s">
        <v>4048</v>
      </c>
    </row>
    <row r="3243" spans="1:24" ht="15" x14ac:dyDescent="0.35">
      <c r="A3243" s="4">
        <v>46036.492256944446</v>
      </c>
      <c r="B3243">
        <v>20113000</v>
      </c>
      <c r="C3243" s="6" t="s">
        <v>19</v>
      </c>
      <c r="D3243">
        <v>601866</v>
      </c>
      <c r="E3243" t="s">
        <v>20</v>
      </c>
      <c r="F3243">
        <v>1121816469</v>
      </c>
      <c r="G3243" t="s">
        <v>1752</v>
      </c>
      <c r="H3243">
        <v>100241375</v>
      </c>
      <c r="I3243">
        <v>202631</v>
      </c>
      <c r="J3243">
        <v>1121816469</v>
      </c>
      <c r="K3243" t="s">
        <v>33</v>
      </c>
      <c r="L3243" t="s">
        <v>127</v>
      </c>
      <c r="M3243" t="s">
        <v>24</v>
      </c>
      <c r="N3243" t="s">
        <v>25</v>
      </c>
      <c r="O3243" t="s">
        <v>26</v>
      </c>
      <c r="P3243" t="s">
        <v>27</v>
      </c>
      <c r="Q3243" t="s">
        <v>28</v>
      </c>
      <c r="R3243" t="s">
        <v>29</v>
      </c>
      <c r="S3243" t="s">
        <v>30</v>
      </c>
      <c r="T3243">
        <v>10306009131</v>
      </c>
      <c r="U3243" t="s">
        <v>3933</v>
      </c>
      <c r="V3243" t="s">
        <v>3934</v>
      </c>
      <c r="W3243" s="9">
        <f>IF(V3243="pregrado",31,
IF(V3243="posgrados",31,
IF(V3243="rEINTEGROS",7,
IF(V3243="BIT",90,
IF(V3243="OP GRADO - INGLÉS",17,"")))))</f>
        <v>31</v>
      </c>
      <c r="X3243" t="s">
        <v>3978</v>
      </c>
    </row>
    <row r="3244" spans="1:24" ht="15" x14ac:dyDescent="0.35">
      <c r="A3244" s="4">
        <v>46037.545312499999</v>
      </c>
      <c r="B3244">
        <v>20113608</v>
      </c>
      <c r="C3244" s="6" t="s">
        <v>19</v>
      </c>
      <c r="D3244">
        <v>601901</v>
      </c>
      <c r="E3244" t="s">
        <v>20</v>
      </c>
      <c r="F3244">
        <v>1065579248</v>
      </c>
      <c r="G3244" t="s">
        <v>1831</v>
      </c>
      <c r="H3244">
        <v>100241418</v>
      </c>
      <c r="I3244">
        <v>202631</v>
      </c>
      <c r="J3244">
        <v>1065206422</v>
      </c>
      <c r="K3244" t="s">
        <v>33</v>
      </c>
      <c r="L3244" t="s">
        <v>32</v>
      </c>
      <c r="M3244" t="s">
        <v>24</v>
      </c>
      <c r="N3244" t="s">
        <v>25</v>
      </c>
      <c r="O3244" t="s">
        <v>26</v>
      </c>
      <c r="P3244" t="s">
        <v>27</v>
      </c>
      <c r="Q3244" t="s">
        <v>28</v>
      </c>
      <c r="R3244" t="s">
        <v>29</v>
      </c>
      <c r="S3244" t="s">
        <v>30</v>
      </c>
      <c r="T3244">
        <v>10123971531</v>
      </c>
      <c r="U3244" t="s">
        <v>3944</v>
      </c>
      <c r="V3244" t="s">
        <v>3934</v>
      </c>
      <c r="W3244" s="9">
        <f>IF(V3244="pregrado",31,
IF(V3244="posgrados",31,
IF(V3244="rEINTEGROS",7,
IF(V3244="BIT",90,
IF(V3244="OP GRADO - INGLÉS",17,"")))))</f>
        <v>31</v>
      </c>
      <c r="X3244" t="s">
        <v>3943</v>
      </c>
    </row>
    <row r="3245" spans="1:24" ht="15" x14ac:dyDescent="0.35">
      <c r="A3245" s="4">
        <v>46036.429710648146</v>
      </c>
      <c r="B3245">
        <v>20112923</v>
      </c>
      <c r="C3245" s="6" t="s">
        <v>19</v>
      </c>
      <c r="D3245">
        <v>601902</v>
      </c>
      <c r="E3245" t="s">
        <v>20</v>
      </c>
      <c r="F3245">
        <v>1023028329</v>
      </c>
      <c r="G3245" t="s">
        <v>1740</v>
      </c>
      <c r="H3245">
        <v>100241419</v>
      </c>
      <c r="I3245">
        <v>202631</v>
      </c>
      <c r="J3245">
        <v>1023028329</v>
      </c>
      <c r="K3245" t="s">
        <v>23</v>
      </c>
      <c r="L3245" t="s">
        <v>231</v>
      </c>
      <c r="M3245" t="s">
        <v>24</v>
      </c>
      <c r="N3245" t="s">
        <v>35</v>
      </c>
      <c r="O3245" t="s">
        <v>26</v>
      </c>
      <c r="P3245" t="s">
        <v>27</v>
      </c>
      <c r="Q3245" t="s">
        <v>28</v>
      </c>
      <c r="R3245" t="s">
        <v>29</v>
      </c>
      <c r="S3245" t="s">
        <v>30</v>
      </c>
      <c r="T3245">
        <v>1010081108</v>
      </c>
      <c r="U3245" t="s">
        <v>3941</v>
      </c>
      <c r="V3245" t="s">
        <v>3934</v>
      </c>
      <c r="W3245" s="9">
        <f>IF(V3245="pregrado",31,
IF(V3245="posgrados",31,
IF(V3245="rEINTEGROS",7,
IF(V3245="BIT",90,
IF(V3245="OP GRADO - INGLÉS",17,"")))))</f>
        <v>31</v>
      </c>
      <c r="X3245" t="s">
        <v>4009</v>
      </c>
    </row>
    <row r="3246" spans="1:24" ht="15" x14ac:dyDescent="0.35">
      <c r="A3246" s="4">
        <v>46035.501064814816</v>
      </c>
      <c r="B3246">
        <v>20112538</v>
      </c>
      <c r="C3246" s="6" t="s">
        <v>19</v>
      </c>
      <c r="D3246">
        <v>601905</v>
      </c>
      <c r="E3246" t="s">
        <v>20</v>
      </c>
      <c r="F3246">
        <v>1047336639</v>
      </c>
      <c r="G3246" t="s">
        <v>1695</v>
      </c>
      <c r="H3246">
        <v>100241422</v>
      </c>
      <c r="I3246">
        <v>202631</v>
      </c>
      <c r="J3246">
        <v>1047336639</v>
      </c>
      <c r="K3246" t="s">
        <v>33</v>
      </c>
      <c r="L3246" t="s">
        <v>127</v>
      </c>
      <c r="M3246" t="s">
        <v>24</v>
      </c>
      <c r="N3246" t="s">
        <v>25</v>
      </c>
      <c r="O3246" t="s">
        <v>26</v>
      </c>
      <c r="P3246" t="s">
        <v>27</v>
      </c>
      <c r="Q3246" t="s">
        <v>28</v>
      </c>
      <c r="R3246" t="s">
        <v>29</v>
      </c>
      <c r="S3246" t="s">
        <v>30</v>
      </c>
      <c r="T3246">
        <v>1023970223</v>
      </c>
      <c r="U3246" t="s">
        <v>3933</v>
      </c>
      <c r="V3246" t="s">
        <v>3934</v>
      </c>
      <c r="W3246" s="9">
        <f>IF(V3246="pregrado",31,
IF(V3246="posgrados",31,
IF(V3246="rEINTEGROS",7,
IF(V3246="BIT",90,
IF(V3246="OP GRADO - INGLÉS",17,"")))))</f>
        <v>31</v>
      </c>
      <c r="X3246" t="s">
        <v>4070</v>
      </c>
    </row>
    <row r="3247" spans="1:24" ht="15" x14ac:dyDescent="0.35">
      <c r="A3247" s="4">
        <v>46035.811863425923</v>
      </c>
      <c r="B3247">
        <v>20112790</v>
      </c>
      <c r="C3247" s="6" t="s">
        <v>19</v>
      </c>
      <c r="D3247">
        <v>601906</v>
      </c>
      <c r="E3247" t="s">
        <v>20</v>
      </c>
      <c r="F3247">
        <v>1023947955</v>
      </c>
      <c r="G3247" t="s">
        <v>1726</v>
      </c>
      <c r="H3247">
        <v>100214686</v>
      </c>
      <c r="I3247">
        <v>202611</v>
      </c>
      <c r="J3247">
        <v>1023947955</v>
      </c>
      <c r="K3247" t="s">
        <v>23</v>
      </c>
      <c r="L3247" t="s">
        <v>227</v>
      </c>
      <c r="M3247" t="s">
        <v>24</v>
      </c>
      <c r="N3247" t="s">
        <v>25</v>
      </c>
      <c r="O3247" t="s">
        <v>26</v>
      </c>
      <c r="P3247" t="s">
        <v>27</v>
      </c>
      <c r="Q3247" t="s">
        <v>28</v>
      </c>
      <c r="R3247" t="s">
        <v>29</v>
      </c>
      <c r="S3247" t="s">
        <v>30</v>
      </c>
      <c r="T3247">
        <v>1001277801</v>
      </c>
      <c r="U3247" t="s">
        <v>3965</v>
      </c>
      <c r="V3247" t="s">
        <v>3934</v>
      </c>
      <c r="W3247" s="9">
        <f>IF(V3247="pregrado",31,
IF(V3247="posgrados",31,
IF(V3247="rEINTEGROS",7,
IF(V3247="BIT",90,
IF(V3247="OP GRADO - INGLÉS",17,"")))))</f>
        <v>31</v>
      </c>
      <c r="X3247" t="s">
        <v>4002</v>
      </c>
    </row>
    <row r="3248" spans="1:24" ht="15" x14ac:dyDescent="0.35">
      <c r="A3248" s="4">
        <v>46038.48027777778</v>
      </c>
      <c r="B3248">
        <v>20114168</v>
      </c>
      <c r="C3248" s="6" t="s">
        <v>19</v>
      </c>
      <c r="D3248">
        <v>601909</v>
      </c>
      <c r="E3248" t="s">
        <v>20</v>
      </c>
      <c r="F3248">
        <v>32938957</v>
      </c>
      <c r="G3248" t="s">
        <v>1891</v>
      </c>
      <c r="H3248">
        <v>100241424</v>
      </c>
      <c r="I3248">
        <v>202631</v>
      </c>
      <c r="J3248">
        <v>32938957</v>
      </c>
      <c r="K3248" t="s">
        <v>33</v>
      </c>
      <c r="L3248" t="s">
        <v>219</v>
      </c>
      <c r="M3248" t="s">
        <v>24</v>
      </c>
      <c r="N3248" t="s">
        <v>35</v>
      </c>
      <c r="O3248" t="s">
        <v>26</v>
      </c>
      <c r="P3248" t="s">
        <v>27</v>
      </c>
      <c r="Q3248" t="s">
        <v>28</v>
      </c>
      <c r="R3248" t="s">
        <v>29</v>
      </c>
      <c r="S3248" t="s">
        <v>30</v>
      </c>
      <c r="T3248">
        <v>1000973717</v>
      </c>
      <c r="U3248" t="s">
        <v>3963</v>
      </c>
      <c r="V3248" t="s">
        <v>3934</v>
      </c>
      <c r="W3248" s="9">
        <f>IF(V3248="pregrado",31,
IF(V3248="posgrados",31,
IF(V3248="rEINTEGROS",7,
IF(V3248="BIT",90,
IF(V3248="OP GRADO - INGLÉS",17,"")))))</f>
        <v>31</v>
      </c>
      <c r="X3248" t="s">
        <v>4073</v>
      </c>
    </row>
    <row r="3249" spans="1:24" ht="15" x14ac:dyDescent="0.35">
      <c r="A3249" s="4">
        <v>46036.462500000001</v>
      </c>
      <c r="B3249">
        <v>20112971</v>
      </c>
      <c r="C3249" s="6" t="s">
        <v>19</v>
      </c>
      <c r="D3249">
        <v>601912</v>
      </c>
      <c r="E3249" t="s">
        <v>20</v>
      </c>
      <c r="F3249">
        <v>1063484650</v>
      </c>
      <c r="G3249" t="s">
        <v>1749</v>
      </c>
      <c r="H3249">
        <v>100241427</v>
      </c>
      <c r="I3249">
        <v>202631</v>
      </c>
      <c r="J3249">
        <v>1063484650</v>
      </c>
      <c r="K3249" t="s">
        <v>23</v>
      </c>
      <c r="L3249" t="s">
        <v>90</v>
      </c>
      <c r="M3249" t="s">
        <v>24</v>
      </c>
      <c r="N3249" t="s">
        <v>35</v>
      </c>
      <c r="O3249" t="s">
        <v>26</v>
      </c>
      <c r="P3249" t="s">
        <v>27</v>
      </c>
      <c r="Q3249" t="s">
        <v>28</v>
      </c>
      <c r="R3249" t="s">
        <v>29</v>
      </c>
      <c r="S3249" t="s">
        <v>30</v>
      </c>
      <c r="T3249">
        <v>1003690112</v>
      </c>
      <c r="U3249" t="s">
        <v>3933</v>
      </c>
      <c r="V3249" t="s">
        <v>3934</v>
      </c>
      <c r="W3249" s="9">
        <f>IF(V3249="pregrado",31,
IF(V3249="posgrados",31,
IF(V3249="rEINTEGROS",7,
IF(V3249="BIT",90,
IF(V3249="OP GRADO - INGLÉS",17,"")))))</f>
        <v>31</v>
      </c>
      <c r="X3249" t="s">
        <v>4061</v>
      </c>
    </row>
    <row r="3250" spans="1:24" ht="15" x14ac:dyDescent="0.35">
      <c r="A3250" s="4">
        <v>46035.529907407406</v>
      </c>
      <c r="B3250">
        <v>20112570</v>
      </c>
      <c r="C3250" s="6" t="s">
        <v>19</v>
      </c>
      <c r="D3250">
        <v>601922</v>
      </c>
      <c r="E3250" t="s">
        <v>20</v>
      </c>
      <c r="F3250">
        <v>1000250533</v>
      </c>
      <c r="G3250" t="s">
        <v>1700</v>
      </c>
      <c r="H3250">
        <v>100241439</v>
      </c>
      <c r="I3250">
        <v>202631</v>
      </c>
      <c r="J3250">
        <v>1000250533</v>
      </c>
      <c r="K3250" t="s">
        <v>23</v>
      </c>
      <c r="L3250" t="s">
        <v>240</v>
      </c>
      <c r="M3250" t="s">
        <v>24</v>
      </c>
      <c r="N3250" t="s">
        <v>38</v>
      </c>
      <c r="O3250" t="s">
        <v>26</v>
      </c>
      <c r="P3250" t="s">
        <v>27</v>
      </c>
      <c r="Q3250" t="s">
        <v>28</v>
      </c>
      <c r="R3250" t="s">
        <v>29</v>
      </c>
      <c r="S3250" t="s">
        <v>30</v>
      </c>
      <c r="T3250">
        <v>1015441103</v>
      </c>
      <c r="U3250" t="s">
        <v>3933</v>
      </c>
      <c r="V3250" t="s">
        <v>3934</v>
      </c>
      <c r="W3250" s="9">
        <f>IF(V3250="pregrado",31,
IF(V3250="posgrados",31,
IF(V3250="rEINTEGROS",7,
IF(V3250="BIT",90,
IF(V3250="OP GRADO - INGLÉS",17,"")))))</f>
        <v>31</v>
      </c>
      <c r="X3250" t="s">
        <v>3961</v>
      </c>
    </row>
    <row r="3251" spans="1:24" ht="15" x14ac:dyDescent="0.35">
      <c r="A3251" s="4">
        <v>46035.453703703701</v>
      </c>
      <c r="B3251">
        <v>20112477</v>
      </c>
      <c r="C3251" s="6" t="s">
        <v>19</v>
      </c>
      <c r="D3251">
        <v>601926</v>
      </c>
      <c r="E3251" t="s">
        <v>20</v>
      </c>
      <c r="F3251">
        <v>1043965024</v>
      </c>
      <c r="G3251" t="s">
        <v>1690</v>
      </c>
      <c r="H3251">
        <v>100178071</v>
      </c>
      <c r="I3251">
        <v>202631</v>
      </c>
      <c r="J3251">
        <v>1043965024</v>
      </c>
      <c r="K3251" t="s">
        <v>33</v>
      </c>
      <c r="L3251" t="s">
        <v>101</v>
      </c>
      <c r="M3251" t="s">
        <v>24</v>
      </c>
      <c r="N3251" t="s">
        <v>35</v>
      </c>
      <c r="O3251" t="s">
        <v>26</v>
      </c>
      <c r="P3251" t="s">
        <v>27</v>
      </c>
      <c r="Q3251" t="s">
        <v>28</v>
      </c>
      <c r="R3251" t="s">
        <v>29</v>
      </c>
      <c r="S3251" t="s">
        <v>30</v>
      </c>
      <c r="T3251">
        <v>1000973717</v>
      </c>
      <c r="U3251" t="s">
        <v>3963</v>
      </c>
      <c r="V3251" t="s">
        <v>3934</v>
      </c>
      <c r="W3251" s="9">
        <f>IF(V3251="pregrado",31,
IF(V3251="posgrados",31,
IF(V3251="rEINTEGROS",7,
IF(V3251="BIT",90,
IF(V3251="OP GRADO - INGLÉS",17,"")))))</f>
        <v>31</v>
      </c>
      <c r="X3251" t="s">
        <v>4073</v>
      </c>
    </row>
    <row r="3252" spans="1:24" ht="15" x14ac:dyDescent="0.35">
      <c r="A3252" s="4">
        <v>46036.457789351851</v>
      </c>
      <c r="B3252">
        <v>20112961</v>
      </c>
      <c r="C3252" s="6" t="s">
        <v>19</v>
      </c>
      <c r="D3252">
        <v>601929</v>
      </c>
      <c r="E3252" t="s">
        <v>20</v>
      </c>
      <c r="F3252">
        <v>17841928</v>
      </c>
      <c r="G3252" t="s">
        <v>1745</v>
      </c>
      <c r="H3252">
        <v>100241448</v>
      </c>
      <c r="I3252">
        <v>202631</v>
      </c>
      <c r="J3252">
        <v>1124050678</v>
      </c>
      <c r="K3252" t="s">
        <v>23</v>
      </c>
      <c r="L3252" t="s">
        <v>240</v>
      </c>
      <c r="M3252" t="s">
        <v>24</v>
      </c>
      <c r="N3252" t="s">
        <v>35</v>
      </c>
      <c r="O3252" t="s">
        <v>26</v>
      </c>
      <c r="P3252" t="s">
        <v>27</v>
      </c>
      <c r="Q3252" t="s">
        <v>28</v>
      </c>
      <c r="R3252" t="s">
        <v>29</v>
      </c>
      <c r="S3252" t="s">
        <v>30</v>
      </c>
      <c r="T3252">
        <v>1030570122</v>
      </c>
      <c r="U3252" t="s">
        <v>3965</v>
      </c>
      <c r="V3252" t="s">
        <v>3934</v>
      </c>
      <c r="W3252" s="9">
        <f>IF(V3252="pregrado",31,
IF(V3252="posgrados",31,
IF(V3252="rEINTEGROS",7,
IF(V3252="BIT",90,
IF(V3252="OP GRADO - INGLÉS",17,"")))))</f>
        <v>31</v>
      </c>
      <c r="X3252" t="s">
        <v>4015</v>
      </c>
    </row>
    <row r="3253" spans="1:24" ht="15" x14ac:dyDescent="0.35">
      <c r="A3253" s="4">
        <v>46036.772499999999</v>
      </c>
      <c r="B3253">
        <v>20113291</v>
      </c>
      <c r="C3253" s="6" t="s">
        <v>19</v>
      </c>
      <c r="D3253">
        <v>601935</v>
      </c>
      <c r="E3253" t="s">
        <v>20</v>
      </c>
      <c r="F3253">
        <v>59826046</v>
      </c>
      <c r="G3253" t="s">
        <v>1801</v>
      </c>
      <c r="H3253">
        <v>200031155</v>
      </c>
      <c r="I3253">
        <v>202631</v>
      </c>
      <c r="J3253">
        <v>1080040617</v>
      </c>
      <c r="K3253" t="s">
        <v>23</v>
      </c>
      <c r="L3253" t="s">
        <v>22</v>
      </c>
      <c r="M3253" t="s">
        <v>24</v>
      </c>
      <c r="N3253" t="s">
        <v>25</v>
      </c>
      <c r="O3253" t="s">
        <v>26</v>
      </c>
      <c r="P3253" t="s">
        <v>27</v>
      </c>
      <c r="Q3253" t="s">
        <v>28</v>
      </c>
      <c r="R3253" t="s">
        <v>29</v>
      </c>
      <c r="S3253" t="s">
        <v>30</v>
      </c>
      <c r="T3253">
        <v>1018496066</v>
      </c>
      <c r="U3253" t="s">
        <v>3939</v>
      </c>
      <c r="V3253" t="s">
        <v>3934</v>
      </c>
      <c r="W3253" s="9">
        <f>IF(V3253="pregrado",31,
IF(V3253="posgrados",31,
IF(V3253="rEINTEGROS",7,
IF(V3253="BIT",90,
IF(V3253="OP GRADO - INGLÉS",17,"")))))</f>
        <v>31</v>
      </c>
      <c r="X3253" t="s">
        <v>4006</v>
      </c>
    </row>
    <row r="3254" spans="1:24" ht="15" x14ac:dyDescent="0.35">
      <c r="A3254" s="4">
        <v>46036.461238425924</v>
      </c>
      <c r="B3254">
        <v>20112966</v>
      </c>
      <c r="C3254" s="6" t="s">
        <v>19</v>
      </c>
      <c r="D3254">
        <v>601937</v>
      </c>
      <c r="E3254" t="s">
        <v>20</v>
      </c>
      <c r="F3254">
        <v>1022330900</v>
      </c>
      <c r="G3254" t="s">
        <v>1747</v>
      </c>
      <c r="H3254">
        <v>100241455</v>
      </c>
      <c r="I3254">
        <v>202611</v>
      </c>
      <c r="J3254">
        <v>1023917495</v>
      </c>
      <c r="K3254" t="s">
        <v>23</v>
      </c>
      <c r="L3254" t="s">
        <v>227</v>
      </c>
      <c r="M3254" t="s">
        <v>24</v>
      </c>
      <c r="N3254" t="s">
        <v>25</v>
      </c>
      <c r="O3254" t="s">
        <v>26</v>
      </c>
      <c r="P3254" t="s">
        <v>27</v>
      </c>
      <c r="Q3254" t="s">
        <v>28</v>
      </c>
      <c r="R3254" t="s">
        <v>29</v>
      </c>
      <c r="S3254" t="s">
        <v>30</v>
      </c>
      <c r="T3254">
        <v>1073692626</v>
      </c>
      <c r="U3254" t="s">
        <v>3965</v>
      </c>
      <c r="V3254" t="s">
        <v>3934</v>
      </c>
      <c r="W3254" s="9">
        <f>IF(V3254="pregrado",31,
IF(V3254="posgrados",31,
IF(V3254="rEINTEGROS",7,
IF(V3254="BIT",90,
IF(V3254="OP GRADO - INGLÉS",17,"")))))</f>
        <v>31</v>
      </c>
      <c r="X3254" t="s">
        <v>4014</v>
      </c>
    </row>
    <row r="3255" spans="1:24" ht="15" x14ac:dyDescent="0.35">
      <c r="A3255" s="4">
        <v>46036.648576388892</v>
      </c>
      <c r="B3255">
        <v>20113179</v>
      </c>
      <c r="C3255" s="6" t="s">
        <v>19</v>
      </c>
      <c r="D3255">
        <v>601953</v>
      </c>
      <c r="E3255" t="s">
        <v>20</v>
      </c>
      <c r="F3255">
        <v>1098821179</v>
      </c>
      <c r="G3255" t="s">
        <v>1778</v>
      </c>
      <c r="H3255">
        <v>100241474</v>
      </c>
      <c r="I3255">
        <v>202631</v>
      </c>
      <c r="J3255">
        <v>1098821179</v>
      </c>
      <c r="K3255" t="s">
        <v>33</v>
      </c>
      <c r="L3255" t="s">
        <v>127</v>
      </c>
      <c r="M3255" t="s">
        <v>24</v>
      </c>
      <c r="N3255" t="s">
        <v>25</v>
      </c>
      <c r="O3255" t="s">
        <v>26</v>
      </c>
      <c r="P3255" t="s">
        <v>27</v>
      </c>
      <c r="Q3255" t="s">
        <v>28</v>
      </c>
      <c r="R3255" t="s">
        <v>29</v>
      </c>
      <c r="S3255" t="s">
        <v>30</v>
      </c>
      <c r="T3255">
        <v>10306009131</v>
      </c>
      <c r="U3255" t="s">
        <v>3933</v>
      </c>
      <c r="V3255" t="s">
        <v>3934</v>
      </c>
      <c r="W3255" s="9">
        <f>IF(V3255="pregrado",31,
IF(V3255="posgrados",31,
IF(V3255="rEINTEGROS",7,
IF(V3255="BIT",90,
IF(V3255="OP GRADO - INGLÉS",17,"")))))</f>
        <v>31</v>
      </c>
      <c r="X3255" t="s">
        <v>3978</v>
      </c>
    </row>
    <row r="3256" spans="1:24" ht="15" x14ac:dyDescent="0.35">
      <c r="A3256" s="4">
        <v>46037.342303240737</v>
      </c>
      <c r="B3256">
        <v>20113377</v>
      </c>
      <c r="C3256" s="6" t="s">
        <v>19</v>
      </c>
      <c r="D3256">
        <v>601956</v>
      </c>
      <c r="E3256" t="s">
        <v>20</v>
      </c>
      <c r="F3256">
        <v>1004342773</v>
      </c>
      <c r="G3256" t="s">
        <v>1808</v>
      </c>
      <c r="H3256">
        <v>100241477</v>
      </c>
      <c r="I3256">
        <v>202611</v>
      </c>
      <c r="J3256">
        <v>1004342773</v>
      </c>
      <c r="K3256" t="s">
        <v>23</v>
      </c>
      <c r="L3256" t="s">
        <v>221</v>
      </c>
      <c r="M3256" t="s">
        <v>24</v>
      </c>
      <c r="N3256" t="s">
        <v>605</v>
      </c>
      <c r="O3256" t="s">
        <v>26</v>
      </c>
      <c r="P3256" t="s">
        <v>27</v>
      </c>
      <c r="Q3256" t="s">
        <v>28</v>
      </c>
      <c r="R3256" t="s">
        <v>29</v>
      </c>
      <c r="S3256" t="s">
        <v>30</v>
      </c>
      <c r="T3256">
        <v>53006215</v>
      </c>
      <c r="U3256" t="s">
        <v>3965</v>
      </c>
      <c r="V3256" t="s">
        <v>3934</v>
      </c>
      <c r="W3256" s="9">
        <f>IF(V3256="pregrado",31,
IF(V3256="posgrados",31,
IF(V3256="rEINTEGROS",7,
IF(V3256="BIT",90,
IF(V3256="OP GRADO - INGLÉS",17,"")))))</f>
        <v>31</v>
      </c>
      <c r="X3256" t="s">
        <v>4042</v>
      </c>
    </row>
    <row r="3257" spans="1:24" ht="15" x14ac:dyDescent="0.35">
      <c r="A3257" s="4">
        <v>46036.459768518522</v>
      </c>
      <c r="B3257">
        <v>20112964</v>
      </c>
      <c r="C3257" s="6" t="s">
        <v>19</v>
      </c>
      <c r="D3257">
        <v>601960</v>
      </c>
      <c r="E3257" t="s">
        <v>20</v>
      </c>
      <c r="F3257">
        <v>1000160069</v>
      </c>
      <c r="G3257" t="s">
        <v>1746</v>
      </c>
      <c r="H3257">
        <v>100241481</v>
      </c>
      <c r="I3257">
        <v>202610</v>
      </c>
      <c r="J3257">
        <v>1140916256</v>
      </c>
      <c r="K3257" t="s">
        <v>33</v>
      </c>
      <c r="L3257" t="s">
        <v>40</v>
      </c>
      <c r="M3257" t="s">
        <v>24</v>
      </c>
      <c r="N3257" t="s">
        <v>38</v>
      </c>
      <c r="O3257" t="s">
        <v>26</v>
      </c>
      <c r="P3257" t="s">
        <v>27</v>
      </c>
      <c r="Q3257" t="s">
        <v>28</v>
      </c>
      <c r="R3257" t="s">
        <v>29</v>
      </c>
      <c r="S3257" t="s">
        <v>30</v>
      </c>
      <c r="T3257">
        <v>11001273124</v>
      </c>
      <c r="U3257" t="s">
        <v>3944</v>
      </c>
      <c r="V3257" t="s">
        <v>3934</v>
      </c>
      <c r="W3257" s="9">
        <f>IF(V3257="pregrado",31,
IF(V3257="posgrados",31,
IF(V3257="rEINTEGROS",7,
IF(V3257="BIT",90,
IF(V3257="OP GRADO - INGLÉS",17,"")))))</f>
        <v>31</v>
      </c>
      <c r="X3257" t="s">
        <v>3951</v>
      </c>
    </row>
    <row r="3258" spans="1:24" ht="15" x14ac:dyDescent="0.35">
      <c r="A3258" s="4">
        <v>46044.682928240742</v>
      </c>
      <c r="B3258">
        <v>20116283</v>
      </c>
      <c r="C3258" s="6" t="s">
        <v>19</v>
      </c>
      <c r="D3258">
        <v>601969</v>
      </c>
      <c r="E3258" t="s">
        <v>20</v>
      </c>
      <c r="F3258">
        <v>1071304234</v>
      </c>
      <c r="G3258" t="s">
        <v>2188</v>
      </c>
      <c r="H3258">
        <v>200080093</v>
      </c>
      <c r="I3258">
        <v>202631</v>
      </c>
      <c r="J3258">
        <v>1071304234</v>
      </c>
      <c r="K3258" t="s">
        <v>33</v>
      </c>
      <c r="L3258" t="s">
        <v>77</v>
      </c>
      <c r="M3258" t="s">
        <v>24</v>
      </c>
      <c r="N3258" t="s">
        <v>35</v>
      </c>
      <c r="O3258" t="s">
        <v>26</v>
      </c>
      <c r="P3258" t="s">
        <v>27</v>
      </c>
      <c r="Q3258" t="s">
        <v>28</v>
      </c>
      <c r="R3258" t="s">
        <v>29</v>
      </c>
      <c r="S3258" t="s">
        <v>30</v>
      </c>
      <c r="T3258">
        <v>52446712</v>
      </c>
      <c r="U3258" t="s">
        <v>3963</v>
      </c>
      <c r="V3258" t="s">
        <v>3934</v>
      </c>
      <c r="W3258" s="9">
        <f>IF(V3258="pregrado",31,
IF(V3258="posgrados",31,
IF(V3258="rEINTEGROS",7,
IF(V3258="BIT",90,
IF(V3258="OP GRADO - INGLÉS",17,"")))))</f>
        <v>31</v>
      </c>
      <c r="X3258" t="s">
        <v>4041</v>
      </c>
    </row>
    <row r="3259" spans="1:24" ht="15" x14ac:dyDescent="0.35">
      <c r="A3259" s="4">
        <v>46035.754293981481</v>
      </c>
      <c r="B3259">
        <v>20112769</v>
      </c>
      <c r="C3259" s="6" t="s">
        <v>19</v>
      </c>
      <c r="D3259">
        <v>601982</v>
      </c>
      <c r="E3259" t="s">
        <v>20</v>
      </c>
      <c r="F3259">
        <v>1038332072</v>
      </c>
      <c r="G3259" t="s">
        <v>1720</v>
      </c>
      <c r="H3259">
        <v>100241506</v>
      </c>
      <c r="I3259">
        <v>202611</v>
      </c>
      <c r="J3259">
        <v>1038339232</v>
      </c>
      <c r="K3259" t="s">
        <v>23</v>
      </c>
      <c r="L3259" t="s">
        <v>221</v>
      </c>
      <c r="M3259" t="s">
        <v>24</v>
      </c>
      <c r="N3259" t="s">
        <v>25</v>
      </c>
      <c r="O3259" t="s">
        <v>26</v>
      </c>
      <c r="P3259" t="s">
        <v>27</v>
      </c>
      <c r="Q3259" t="s">
        <v>28</v>
      </c>
      <c r="R3259" t="s">
        <v>29</v>
      </c>
      <c r="S3259" t="s">
        <v>30</v>
      </c>
      <c r="T3259">
        <v>11001273124</v>
      </c>
      <c r="U3259" t="s">
        <v>3944</v>
      </c>
      <c r="V3259" t="s">
        <v>3934</v>
      </c>
      <c r="W3259" s="9">
        <f>IF(V3259="pregrado",31,
IF(V3259="posgrados",31,
IF(V3259="rEINTEGROS",7,
IF(V3259="BIT",90,
IF(V3259="OP GRADO - INGLÉS",17,"")))))</f>
        <v>31</v>
      </c>
      <c r="X3259" t="s">
        <v>3951</v>
      </c>
    </row>
    <row r="3260" spans="1:24" ht="15" x14ac:dyDescent="0.35">
      <c r="A3260" s="4">
        <v>46037.636736111112</v>
      </c>
      <c r="B3260">
        <v>20113717</v>
      </c>
      <c r="C3260" s="6" t="s">
        <v>19</v>
      </c>
      <c r="D3260">
        <v>601987</v>
      </c>
      <c r="E3260" t="s">
        <v>20</v>
      </c>
      <c r="F3260">
        <v>1080180837</v>
      </c>
      <c r="G3260" t="s">
        <v>1837</v>
      </c>
      <c r="H3260">
        <v>100226685</v>
      </c>
      <c r="I3260">
        <v>202631</v>
      </c>
      <c r="J3260">
        <v>1080180837</v>
      </c>
      <c r="K3260" t="s">
        <v>33</v>
      </c>
      <c r="L3260" t="s">
        <v>22</v>
      </c>
      <c r="M3260" t="s">
        <v>24</v>
      </c>
      <c r="N3260" t="s">
        <v>25</v>
      </c>
      <c r="O3260" t="s">
        <v>26</v>
      </c>
      <c r="P3260" t="s">
        <v>27</v>
      </c>
      <c r="Q3260" t="s">
        <v>28</v>
      </c>
      <c r="R3260" t="s">
        <v>29</v>
      </c>
      <c r="S3260" t="s">
        <v>30</v>
      </c>
      <c r="T3260">
        <v>79786913</v>
      </c>
      <c r="U3260" t="s">
        <v>3939</v>
      </c>
      <c r="V3260" t="s">
        <v>3934</v>
      </c>
      <c r="W3260" s="9">
        <f>IF(V3260="pregrado",31,
IF(V3260="posgrados",31,
IF(V3260="rEINTEGROS",7,
IF(V3260="BIT",90,
IF(V3260="OP GRADO - INGLÉS",17,"")))))</f>
        <v>31</v>
      </c>
      <c r="X3260" t="s">
        <v>4010</v>
      </c>
    </row>
    <row r="3261" spans="1:24" ht="15" x14ac:dyDescent="0.35">
      <c r="A3261" s="4">
        <v>46036.725335648145</v>
      </c>
      <c r="B3261">
        <v>20113258</v>
      </c>
      <c r="C3261" s="6" t="s">
        <v>19</v>
      </c>
      <c r="D3261">
        <v>601994</v>
      </c>
      <c r="E3261" t="s">
        <v>20</v>
      </c>
      <c r="F3261">
        <v>10239143</v>
      </c>
      <c r="G3261" t="s">
        <v>1796</v>
      </c>
      <c r="H3261">
        <v>100241517</v>
      </c>
      <c r="I3261">
        <v>202631</v>
      </c>
      <c r="J3261">
        <v>1109661278</v>
      </c>
      <c r="K3261" t="s">
        <v>33</v>
      </c>
      <c r="L3261" t="s">
        <v>90</v>
      </c>
      <c r="M3261" t="s">
        <v>24</v>
      </c>
      <c r="N3261" t="s">
        <v>25</v>
      </c>
      <c r="O3261" t="s">
        <v>26</v>
      </c>
      <c r="P3261" t="s">
        <v>27</v>
      </c>
      <c r="Q3261" t="s">
        <v>28</v>
      </c>
      <c r="R3261" t="s">
        <v>29</v>
      </c>
      <c r="S3261" t="s">
        <v>30</v>
      </c>
      <c r="T3261">
        <v>1013595695</v>
      </c>
      <c r="U3261" t="s">
        <v>3933</v>
      </c>
      <c r="V3261" t="s">
        <v>3934</v>
      </c>
      <c r="W3261" s="9">
        <f>IF(V3261="pregrado",31,
IF(V3261="posgrados",31,
IF(V3261="rEINTEGROS",7,
IF(V3261="BIT",90,
IF(V3261="OP GRADO - INGLÉS",17,"")))))</f>
        <v>31</v>
      </c>
      <c r="X3261" t="s">
        <v>3990</v>
      </c>
    </row>
    <row r="3262" spans="1:24" ht="15" x14ac:dyDescent="0.35">
      <c r="A3262" s="4">
        <v>46044.549733796295</v>
      </c>
      <c r="B3262">
        <v>20116166</v>
      </c>
      <c r="C3262" s="6" t="s">
        <v>19</v>
      </c>
      <c r="D3262">
        <v>602005</v>
      </c>
      <c r="E3262" t="s">
        <v>20</v>
      </c>
      <c r="F3262">
        <v>1069733206</v>
      </c>
      <c r="G3262" t="s">
        <v>2166</v>
      </c>
      <c r="H3262">
        <v>100241526</v>
      </c>
      <c r="I3262">
        <v>202631</v>
      </c>
      <c r="J3262">
        <v>1069733206</v>
      </c>
      <c r="K3262" t="s">
        <v>23</v>
      </c>
      <c r="L3262" t="s">
        <v>240</v>
      </c>
      <c r="M3262" t="s">
        <v>24</v>
      </c>
      <c r="N3262" t="s">
        <v>35</v>
      </c>
      <c r="O3262" t="s">
        <v>26</v>
      </c>
      <c r="P3262" t="s">
        <v>27</v>
      </c>
      <c r="Q3262" t="s">
        <v>28</v>
      </c>
      <c r="R3262" t="s">
        <v>29</v>
      </c>
      <c r="S3262" t="s">
        <v>30</v>
      </c>
      <c r="T3262">
        <v>10006855461</v>
      </c>
      <c r="U3262" t="s">
        <v>3965</v>
      </c>
      <c r="V3262" t="s">
        <v>3934</v>
      </c>
      <c r="W3262" s="9">
        <f>IF(V3262="pregrado",31,
IF(V3262="posgrados",31,
IF(V3262="rEINTEGROS",7,
IF(V3262="BIT",90,
IF(V3262="OP GRADO - INGLÉS",17,"")))))</f>
        <v>31</v>
      </c>
      <c r="X3262" t="s">
        <v>3993</v>
      </c>
    </row>
    <row r="3263" spans="1:24" ht="15" x14ac:dyDescent="0.35">
      <c r="A3263" s="4">
        <v>46036.359652777777</v>
      </c>
      <c r="B3263">
        <v>20112860</v>
      </c>
      <c r="C3263" s="6" t="s">
        <v>19</v>
      </c>
      <c r="D3263">
        <v>602007</v>
      </c>
      <c r="E3263" t="s">
        <v>20</v>
      </c>
      <c r="F3263">
        <v>1113858356</v>
      </c>
      <c r="G3263" t="s">
        <v>1730</v>
      </c>
      <c r="H3263">
        <v>100241527</v>
      </c>
      <c r="I3263">
        <v>202631</v>
      </c>
      <c r="J3263">
        <v>1113858356</v>
      </c>
      <c r="K3263" t="s">
        <v>33</v>
      </c>
      <c r="L3263" t="s">
        <v>127</v>
      </c>
      <c r="M3263" t="s">
        <v>24</v>
      </c>
      <c r="N3263" t="s">
        <v>25</v>
      </c>
      <c r="O3263" t="s">
        <v>26</v>
      </c>
      <c r="P3263" t="s">
        <v>27</v>
      </c>
      <c r="Q3263" t="s">
        <v>28</v>
      </c>
      <c r="R3263" t="s">
        <v>29</v>
      </c>
      <c r="S3263" t="s">
        <v>30</v>
      </c>
      <c r="T3263">
        <v>10306009131</v>
      </c>
      <c r="U3263" t="s">
        <v>3933</v>
      </c>
      <c r="V3263" t="s">
        <v>3934</v>
      </c>
      <c r="W3263" s="9">
        <f>IF(V3263="pregrado",31,
IF(V3263="posgrados",31,
IF(V3263="rEINTEGROS",7,
IF(V3263="BIT",90,
IF(V3263="OP GRADO - INGLÉS",17,"")))))</f>
        <v>31</v>
      </c>
      <c r="X3263" t="s">
        <v>3978</v>
      </c>
    </row>
    <row r="3264" spans="1:24" ht="15" x14ac:dyDescent="0.35">
      <c r="A3264" s="4">
        <v>46035.746018518519</v>
      </c>
      <c r="B3264">
        <v>20112761</v>
      </c>
      <c r="C3264" s="6" t="s">
        <v>19</v>
      </c>
      <c r="D3264">
        <v>602015</v>
      </c>
      <c r="E3264" t="s">
        <v>20</v>
      </c>
      <c r="F3264">
        <v>1097400215</v>
      </c>
      <c r="G3264" t="s">
        <v>1719</v>
      </c>
      <c r="H3264">
        <v>100241536</v>
      </c>
      <c r="I3264">
        <v>202631</v>
      </c>
      <c r="J3264">
        <v>1097400215</v>
      </c>
      <c r="K3264" t="s">
        <v>23</v>
      </c>
      <c r="L3264" t="s">
        <v>207</v>
      </c>
      <c r="M3264" t="s">
        <v>24</v>
      </c>
      <c r="N3264" t="s">
        <v>35</v>
      </c>
      <c r="O3264" t="s">
        <v>26</v>
      </c>
      <c r="P3264" t="s">
        <v>27</v>
      </c>
      <c r="Q3264" t="s">
        <v>28</v>
      </c>
      <c r="R3264" t="s">
        <v>29</v>
      </c>
      <c r="S3264" t="s">
        <v>30</v>
      </c>
      <c r="T3264">
        <v>1000286877</v>
      </c>
      <c r="U3264" t="s">
        <v>3986</v>
      </c>
      <c r="V3264" t="s">
        <v>3934</v>
      </c>
      <c r="W3264" s="9">
        <f>IF(V3264="pregrado",31,
IF(V3264="posgrados",31,
IF(V3264="rEINTEGROS",7,
IF(V3264="BIT",90,
IF(V3264="OP GRADO - INGLÉS",17,"")))))</f>
        <v>31</v>
      </c>
      <c r="X3264" t="s">
        <v>4100</v>
      </c>
    </row>
    <row r="3265" spans="1:24" ht="15" x14ac:dyDescent="0.35">
      <c r="A3265" s="4">
        <v>46036.424976851849</v>
      </c>
      <c r="B3265">
        <v>20112920</v>
      </c>
      <c r="C3265" s="6" t="s">
        <v>19</v>
      </c>
      <c r="D3265">
        <v>602016</v>
      </c>
      <c r="E3265" t="s">
        <v>20</v>
      </c>
      <c r="F3265">
        <v>65588053</v>
      </c>
      <c r="G3265" t="s">
        <v>1739</v>
      </c>
      <c r="H3265">
        <v>100241537</v>
      </c>
      <c r="I3265">
        <v>202610</v>
      </c>
      <c r="J3265">
        <v>1070590095</v>
      </c>
      <c r="K3265" t="s">
        <v>33</v>
      </c>
      <c r="L3265" t="s">
        <v>40</v>
      </c>
      <c r="M3265" t="s">
        <v>24</v>
      </c>
      <c r="N3265" t="s">
        <v>25</v>
      </c>
      <c r="O3265" t="s">
        <v>26</v>
      </c>
      <c r="P3265" t="s">
        <v>27</v>
      </c>
      <c r="Q3265" t="s">
        <v>28</v>
      </c>
      <c r="R3265" t="s">
        <v>29</v>
      </c>
      <c r="S3265" t="s">
        <v>30</v>
      </c>
      <c r="T3265">
        <v>52182207</v>
      </c>
      <c r="U3265" t="s">
        <v>3941</v>
      </c>
      <c r="V3265" t="s">
        <v>3934</v>
      </c>
      <c r="W3265" s="9">
        <f>IF(V3265="pregrado",31,
IF(V3265="posgrados",31,
IF(V3265="rEINTEGROS",7,
IF(V3265="BIT",90,
IF(V3265="OP GRADO - INGLÉS",17,"")))))</f>
        <v>31</v>
      </c>
      <c r="X3265" t="s">
        <v>3946</v>
      </c>
    </row>
    <row r="3266" spans="1:24" ht="15" x14ac:dyDescent="0.35">
      <c r="A3266" s="4">
        <v>46036.616099537037</v>
      </c>
      <c r="B3266">
        <v>20113137</v>
      </c>
      <c r="C3266" s="6" t="s">
        <v>19</v>
      </c>
      <c r="D3266">
        <v>602020</v>
      </c>
      <c r="E3266" t="s">
        <v>20</v>
      </c>
      <c r="F3266">
        <v>71264382</v>
      </c>
      <c r="G3266" t="s">
        <v>1771</v>
      </c>
      <c r="H3266">
        <v>100241541</v>
      </c>
      <c r="I3266">
        <v>202631</v>
      </c>
      <c r="J3266">
        <v>71264382</v>
      </c>
      <c r="K3266" t="s">
        <v>23</v>
      </c>
      <c r="L3266" t="s">
        <v>231</v>
      </c>
      <c r="M3266" t="s">
        <v>24</v>
      </c>
      <c r="N3266" t="s">
        <v>35</v>
      </c>
      <c r="O3266" t="s">
        <v>26</v>
      </c>
      <c r="P3266" t="s">
        <v>27</v>
      </c>
      <c r="Q3266" t="s">
        <v>28</v>
      </c>
      <c r="R3266" t="s">
        <v>29</v>
      </c>
      <c r="S3266" t="s">
        <v>30</v>
      </c>
      <c r="T3266">
        <v>52876433</v>
      </c>
      <c r="U3266" t="s">
        <v>3986</v>
      </c>
      <c r="V3266" t="s">
        <v>3934</v>
      </c>
      <c r="W3266" s="9">
        <f>IF(V3266="pregrado",31,
IF(V3266="posgrados",31,
IF(V3266="rEINTEGROS",7,
IF(V3266="BIT",90,
IF(V3266="OP GRADO - INGLÉS",17,"")))))</f>
        <v>31</v>
      </c>
      <c r="X3266" t="s">
        <v>4078</v>
      </c>
    </row>
    <row r="3267" spans="1:24" ht="15" x14ac:dyDescent="0.35">
      <c r="A3267" s="4">
        <v>46036.371319444443</v>
      </c>
      <c r="B3267">
        <v>20112872</v>
      </c>
      <c r="C3267" s="6" t="s">
        <v>19</v>
      </c>
      <c r="D3267">
        <v>602028</v>
      </c>
      <c r="E3267" t="s">
        <v>20</v>
      </c>
      <c r="F3267">
        <v>41457992</v>
      </c>
      <c r="G3267" t="s">
        <v>1733</v>
      </c>
      <c r="H3267">
        <v>100241550</v>
      </c>
      <c r="I3267">
        <v>202631</v>
      </c>
      <c r="J3267">
        <v>1120841899</v>
      </c>
      <c r="K3267" t="s">
        <v>23</v>
      </c>
      <c r="L3267" t="s">
        <v>90</v>
      </c>
      <c r="M3267" t="s">
        <v>24</v>
      </c>
      <c r="N3267" t="s">
        <v>35</v>
      </c>
      <c r="O3267" t="s">
        <v>26</v>
      </c>
      <c r="P3267" t="s">
        <v>27</v>
      </c>
      <c r="Q3267" t="s">
        <v>28</v>
      </c>
      <c r="R3267" t="s">
        <v>29</v>
      </c>
      <c r="S3267" t="s">
        <v>30</v>
      </c>
      <c r="T3267">
        <v>10245841021</v>
      </c>
      <c r="U3267" t="s">
        <v>3933</v>
      </c>
      <c r="V3267" t="s">
        <v>3934</v>
      </c>
      <c r="W3267" s="9">
        <f>IF(V3267="pregrado",31,
IF(V3267="posgrados",31,
IF(V3267="rEINTEGROS",7,
IF(V3267="BIT",90,
IF(V3267="OP GRADO - INGLÉS",17,"")))))</f>
        <v>31</v>
      </c>
      <c r="X3267" t="s">
        <v>3987</v>
      </c>
    </row>
    <row r="3268" spans="1:24" ht="15" x14ac:dyDescent="0.35">
      <c r="A3268" s="4">
        <v>46042.812916666669</v>
      </c>
      <c r="B3268">
        <v>20115530</v>
      </c>
      <c r="C3268" s="6" t="s">
        <v>19</v>
      </c>
      <c r="D3268">
        <v>602030</v>
      </c>
      <c r="E3268" t="s">
        <v>20</v>
      </c>
      <c r="F3268">
        <v>1000626300</v>
      </c>
      <c r="G3268" t="s">
        <v>2052</v>
      </c>
      <c r="H3268">
        <v>100241553</v>
      </c>
      <c r="I3268">
        <v>202631</v>
      </c>
      <c r="J3268">
        <v>1000626300</v>
      </c>
      <c r="K3268" t="s">
        <v>33</v>
      </c>
      <c r="L3268" t="s">
        <v>51</v>
      </c>
      <c r="M3268" t="s">
        <v>24</v>
      </c>
      <c r="N3268" t="s">
        <v>38</v>
      </c>
      <c r="O3268" t="s">
        <v>26</v>
      </c>
      <c r="P3268" t="s">
        <v>27</v>
      </c>
      <c r="Q3268" t="s">
        <v>28</v>
      </c>
      <c r="R3268" t="s">
        <v>29</v>
      </c>
      <c r="S3268" t="s">
        <v>30</v>
      </c>
      <c r="T3268">
        <v>52876433</v>
      </c>
      <c r="U3268" t="s">
        <v>3986</v>
      </c>
      <c r="V3268" t="s">
        <v>3934</v>
      </c>
      <c r="W3268" s="9">
        <f>IF(V3268="pregrado",31,
IF(V3268="posgrados",31,
IF(V3268="rEINTEGROS",7,
IF(V3268="BIT",90,
IF(V3268="OP GRADO - INGLÉS",17,"")))))</f>
        <v>31</v>
      </c>
      <c r="X3268" t="s">
        <v>4078</v>
      </c>
    </row>
    <row r="3269" spans="1:24" ht="15" x14ac:dyDescent="0.35">
      <c r="A3269" s="4">
        <v>46052.698935185188</v>
      </c>
      <c r="B3269">
        <v>20119088</v>
      </c>
      <c r="C3269" s="6" t="s">
        <v>19</v>
      </c>
      <c r="D3269">
        <v>602033</v>
      </c>
      <c r="E3269" t="s">
        <v>20</v>
      </c>
      <c r="F3269">
        <v>1000284069</v>
      </c>
      <c r="G3269" t="s">
        <v>2586</v>
      </c>
      <c r="H3269">
        <v>100241563</v>
      </c>
      <c r="I3269">
        <v>202611</v>
      </c>
      <c r="J3269">
        <v>1000284069</v>
      </c>
      <c r="K3269" t="s">
        <v>33</v>
      </c>
      <c r="L3269" t="s">
        <v>204</v>
      </c>
      <c r="M3269" t="s">
        <v>24</v>
      </c>
      <c r="N3269" t="s">
        <v>25</v>
      </c>
      <c r="O3269" t="s">
        <v>26</v>
      </c>
      <c r="P3269" t="s">
        <v>27</v>
      </c>
      <c r="Q3269" t="s">
        <v>28</v>
      </c>
      <c r="R3269" t="s">
        <v>29</v>
      </c>
      <c r="S3269" t="s">
        <v>30</v>
      </c>
      <c r="T3269">
        <v>53178431</v>
      </c>
      <c r="U3269" t="s">
        <v>3941</v>
      </c>
      <c r="V3269" t="s">
        <v>3934</v>
      </c>
      <c r="W3269" s="9">
        <f>IF(V3269="pregrado",31,
IF(V3269="posgrados",31,
IF(V3269="rEINTEGROS",7,
IF(V3269="BIT",90,
IF(V3269="OP GRADO - INGLÉS",17,"")))))</f>
        <v>31</v>
      </c>
      <c r="X3269" t="s">
        <v>3949</v>
      </c>
    </row>
    <row r="3270" spans="1:24" ht="15" x14ac:dyDescent="0.35">
      <c r="A3270" s="4">
        <v>46037.429131944446</v>
      </c>
      <c r="B3270">
        <v>20113475</v>
      </c>
      <c r="C3270" s="6" t="s">
        <v>19</v>
      </c>
      <c r="D3270">
        <v>602040</v>
      </c>
      <c r="E3270" t="s">
        <v>20</v>
      </c>
      <c r="F3270">
        <v>1113512231</v>
      </c>
      <c r="G3270" t="s">
        <v>1821</v>
      </c>
      <c r="H3270">
        <v>100241510</v>
      </c>
      <c r="I3270">
        <v>202631</v>
      </c>
      <c r="J3270">
        <v>94041342</v>
      </c>
      <c r="K3270" t="s">
        <v>23</v>
      </c>
      <c r="L3270" t="s">
        <v>240</v>
      </c>
      <c r="M3270" t="s">
        <v>24</v>
      </c>
      <c r="N3270" t="s">
        <v>35</v>
      </c>
      <c r="O3270" t="s">
        <v>26</v>
      </c>
      <c r="P3270" t="s">
        <v>27</v>
      </c>
      <c r="Q3270" t="s">
        <v>28</v>
      </c>
      <c r="R3270" t="s">
        <v>29</v>
      </c>
      <c r="S3270" t="s">
        <v>30</v>
      </c>
      <c r="T3270">
        <v>1073692626</v>
      </c>
      <c r="U3270" t="s">
        <v>3965</v>
      </c>
      <c r="V3270" t="s">
        <v>3934</v>
      </c>
      <c r="W3270" s="9">
        <f>IF(V3270="pregrado",31,
IF(V3270="posgrados",31,
IF(V3270="rEINTEGROS",7,
IF(V3270="BIT",90,
IF(V3270="OP GRADO - INGLÉS",17,"")))))</f>
        <v>31</v>
      </c>
      <c r="X3270" t="s">
        <v>4014</v>
      </c>
    </row>
    <row r="3271" spans="1:24" ht="15" x14ac:dyDescent="0.35">
      <c r="A3271" s="4">
        <v>46037.569108796299</v>
      </c>
      <c r="B3271">
        <v>20113621</v>
      </c>
      <c r="C3271" s="6" t="s">
        <v>19</v>
      </c>
      <c r="D3271">
        <v>602044</v>
      </c>
      <c r="E3271" t="s">
        <v>20</v>
      </c>
      <c r="F3271">
        <v>79952858</v>
      </c>
      <c r="G3271" t="s">
        <v>1832</v>
      </c>
      <c r="H3271">
        <v>100241569</v>
      </c>
      <c r="I3271">
        <v>202610</v>
      </c>
      <c r="J3271">
        <v>1141320982</v>
      </c>
      <c r="K3271" t="s">
        <v>23</v>
      </c>
      <c r="L3271" t="s">
        <v>79</v>
      </c>
      <c r="M3271" t="s">
        <v>24</v>
      </c>
      <c r="N3271" t="s">
        <v>35</v>
      </c>
      <c r="O3271" t="s">
        <v>26</v>
      </c>
      <c r="P3271" t="s">
        <v>27</v>
      </c>
      <c r="Q3271" t="s">
        <v>28</v>
      </c>
      <c r="R3271" t="s">
        <v>29</v>
      </c>
      <c r="S3271" t="s">
        <v>30</v>
      </c>
      <c r="T3271">
        <v>52342867</v>
      </c>
      <c r="U3271" t="s">
        <v>3965</v>
      </c>
      <c r="V3271" t="s">
        <v>3934</v>
      </c>
      <c r="W3271" s="9">
        <f>IF(V3271="pregrado",31,
IF(V3271="posgrados",31,
IF(V3271="rEINTEGROS",7,
IF(V3271="BIT",90,
IF(V3271="OP GRADO - INGLÉS",17,"")))))</f>
        <v>31</v>
      </c>
      <c r="X3271" t="s">
        <v>4047</v>
      </c>
    </row>
    <row r="3272" spans="1:24" ht="15" x14ac:dyDescent="0.35">
      <c r="A3272" s="4">
        <v>46038.685127314813</v>
      </c>
      <c r="B3272">
        <v>20114464</v>
      </c>
      <c r="C3272" s="6" t="s">
        <v>19</v>
      </c>
      <c r="D3272">
        <v>602045</v>
      </c>
      <c r="E3272" t="s">
        <v>20</v>
      </c>
      <c r="F3272">
        <v>1073507769</v>
      </c>
      <c r="G3272" t="s">
        <v>1924</v>
      </c>
      <c r="H3272">
        <v>200076362</v>
      </c>
      <c r="I3272">
        <v>202631</v>
      </c>
      <c r="J3272">
        <v>1016014991</v>
      </c>
      <c r="K3272" t="s">
        <v>23</v>
      </c>
      <c r="L3272" t="s">
        <v>22</v>
      </c>
      <c r="M3272" t="s">
        <v>24</v>
      </c>
      <c r="N3272" t="s">
        <v>25</v>
      </c>
      <c r="O3272" t="s">
        <v>26</v>
      </c>
      <c r="P3272" t="s">
        <v>27</v>
      </c>
      <c r="Q3272" t="s">
        <v>28</v>
      </c>
      <c r="R3272" t="s">
        <v>29</v>
      </c>
      <c r="S3272" t="s">
        <v>30</v>
      </c>
      <c r="T3272">
        <v>1010240716</v>
      </c>
      <c r="U3272" t="s">
        <v>3939</v>
      </c>
      <c r="V3272" t="s">
        <v>3934</v>
      </c>
      <c r="W3272" s="9">
        <f>IF(V3272="pregrado",31,
IF(V3272="posgrados",31,
IF(V3272="rEINTEGROS",7,
IF(V3272="BIT",90,
IF(V3272="OP GRADO - INGLÉS",17,"")))))</f>
        <v>31</v>
      </c>
      <c r="X3272" t="s">
        <v>3938</v>
      </c>
    </row>
    <row r="3273" spans="1:24" ht="15" x14ac:dyDescent="0.35">
      <c r="A3273" s="4">
        <v>46036.549224537041</v>
      </c>
      <c r="B3273">
        <v>20113076</v>
      </c>
      <c r="C3273" s="6" t="s">
        <v>19</v>
      </c>
      <c r="D3273">
        <v>602048</v>
      </c>
      <c r="E3273" t="s">
        <v>20</v>
      </c>
      <c r="F3273">
        <v>1043670199</v>
      </c>
      <c r="G3273" t="s">
        <v>1764</v>
      </c>
      <c r="H3273">
        <v>200080767</v>
      </c>
      <c r="I3273">
        <v>202631</v>
      </c>
      <c r="J3273">
        <v>1043670199</v>
      </c>
      <c r="K3273" t="s">
        <v>23</v>
      </c>
      <c r="L3273" t="s">
        <v>22</v>
      </c>
      <c r="M3273" t="s">
        <v>24</v>
      </c>
      <c r="N3273" t="s">
        <v>35</v>
      </c>
      <c r="O3273" t="s">
        <v>26</v>
      </c>
      <c r="P3273" t="s">
        <v>27</v>
      </c>
      <c r="Q3273" t="s">
        <v>28</v>
      </c>
      <c r="R3273" t="s">
        <v>29</v>
      </c>
      <c r="S3273" t="s">
        <v>30</v>
      </c>
      <c r="T3273">
        <v>1010240716</v>
      </c>
      <c r="U3273" t="s">
        <v>3939</v>
      </c>
      <c r="V3273" t="s">
        <v>3934</v>
      </c>
      <c r="W3273" s="9">
        <f>IF(V3273="pregrado",31,
IF(V3273="posgrados",31,
IF(V3273="rEINTEGROS",7,
IF(V3273="BIT",90,
IF(V3273="OP GRADO - INGLÉS",17,"")))))</f>
        <v>31</v>
      </c>
      <c r="X3273" t="s">
        <v>3938</v>
      </c>
    </row>
    <row r="3274" spans="1:24" ht="15" x14ac:dyDescent="0.35">
      <c r="A3274" s="4">
        <v>46036.649965277778</v>
      </c>
      <c r="B3274">
        <v>20113184</v>
      </c>
      <c r="C3274" s="6" t="s">
        <v>19</v>
      </c>
      <c r="D3274">
        <v>602051</v>
      </c>
      <c r="E3274" t="s">
        <v>20</v>
      </c>
      <c r="F3274">
        <v>1007728071</v>
      </c>
      <c r="G3274" t="s">
        <v>1782</v>
      </c>
      <c r="H3274">
        <v>100241574</v>
      </c>
      <c r="I3274">
        <v>202631</v>
      </c>
      <c r="J3274">
        <v>1007728071</v>
      </c>
      <c r="K3274" t="s">
        <v>33</v>
      </c>
      <c r="L3274" t="s">
        <v>127</v>
      </c>
      <c r="M3274" t="s">
        <v>24</v>
      </c>
      <c r="N3274" t="s">
        <v>25</v>
      </c>
      <c r="O3274" t="s">
        <v>26</v>
      </c>
      <c r="P3274" t="s">
        <v>27</v>
      </c>
      <c r="Q3274" t="s">
        <v>28</v>
      </c>
      <c r="R3274" t="s">
        <v>29</v>
      </c>
      <c r="S3274" t="s">
        <v>30</v>
      </c>
      <c r="T3274">
        <v>1030525993</v>
      </c>
      <c r="U3274" t="s">
        <v>3933</v>
      </c>
      <c r="V3274" t="s">
        <v>3934</v>
      </c>
      <c r="W3274" s="9">
        <f>IF(V3274="pregrado",31,
IF(V3274="posgrados",31,
IF(V3274="rEINTEGROS",7,
IF(V3274="BIT",90,
IF(V3274="OP GRADO - INGLÉS",17,"")))))</f>
        <v>31</v>
      </c>
      <c r="X3274" t="s">
        <v>3956</v>
      </c>
    </row>
    <row r="3275" spans="1:24" ht="15" x14ac:dyDescent="0.35">
      <c r="A3275" s="4">
        <v>46064.592245370368</v>
      </c>
      <c r="B3275">
        <v>20122420</v>
      </c>
      <c r="C3275" s="6" t="s">
        <v>19</v>
      </c>
      <c r="D3275">
        <v>602053</v>
      </c>
      <c r="E3275" t="s">
        <v>20</v>
      </c>
      <c r="F3275">
        <v>33700724</v>
      </c>
      <c r="G3275" t="s">
        <v>3031</v>
      </c>
      <c r="H3275">
        <v>100241577</v>
      </c>
      <c r="I3275">
        <v>202610</v>
      </c>
      <c r="J3275">
        <v>1147486334</v>
      </c>
      <c r="K3275" t="s">
        <v>23</v>
      </c>
      <c r="L3275" t="s">
        <v>40</v>
      </c>
      <c r="M3275" t="s">
        <v>24</v>
      </c>
      <c r="N3275" t="s">
        <v>25</v>
      </c>
      <c r="O3275" t="s">
        <v>26</v>
      </c>
      <c r="P3275" t="s">
        <v>27</v>
      </c>
      <c r="Q3275" t="s">
        <v>28</v>
      </c>
      <c r="R3275" t="s">
        <v>29</v>
      </c>
      <c r="S3275" t="s">
        <v>30</v>
      </c>
      <c r="T3275">
        <v>1032394283</v>
      </c>
      <c r="U3275" t="s">
        <v>3941</v>
      </c>
      <c r="V3275" t="s">
        <v>3934</v>
      </c>
      <c r="W3275" s="9">
        <f>IF(V3275="pregrado",31,
IF(V3275="posgrados",31,
IF(V3275="rEINTEGROS",7,
IF(V3275="BIT",90,
IF(V3275="OP GRADO - INGLÉS",17,"")))))</f>
        <v>31</v>
      </c>
      <c r="X3275" t="s">
        <v>4034</v>
      </c>
    </row>
    <row r="3276" spans="1:24" ht="15" x14ac:dyDescent="0.35">
      <c r="A3276" s="4">
        <v>46037.668935185182</v>
      </c>
      <c r="B3276">
        <v>20113777</v>
      </c>
      <c r="C3276" s="6" t="s">
        <v>19</v>
      </c>
      <c r="D3276">
        <v>602054</v>
      </c>
      <c r="E3276" t="s">
        <v>20</v>
      </c>
      <c r="F3276">
        <v>51749410</v>
      </c>
      <c r="G3276" t="s">
        <v>1846</v>
      </c>
      <c r="H3276">
        <v>100241579</v>
      </c>
      <c r="I3276">
        <v>202610</v>
      </c>
      <c r="J3276">
        <v>1012374037</v>
      </c>
      <c r="K3276" t="s">
        <v>23</v>
      </c>
      <c r="L3276" t="s">
        <v>62</v>
      </c>
      <c r="M3276" t="s">
        <v>24</v>
      </c>
      <c r="N3276" t="s">
        <v>35</v>
      </c>
      <c r="O3276" t="s">
        <v>26</v>
      </c>
      <c r="P3276" t="s">
        <v>27</v>
      </c>
      <c r="Q3276" t="s">
        <v>28</v>
      </c>
      <c r="R3276" t="s">
        <v>29</v>
      </c>
      <c r="S3276" t="s">
        <v>30</v>
      </c>
      <c r="T3276">
        <v>1000625316</v>
      </c>
      <c r="U3276" t="s">
        <v>3944</v>
      </c>
      <c r="V3276" t="s">
        <v>3934</v>
      </c>
      <c r="W3276" s="9">
        <f>IF(V3276="pregrado",31,
IF(V3276="posgrados",31,
IF(V3276="rEINTEGROS",7,
IF(V3276="BIT",90,
IF(V3276="OP GRADO - INGLÉS",17,"")))))</f>
        <v>31</v>
      </c>
      <c r="X3276" t="s">
        <v>3980</v>
      </c>
    </row>
    <row r="3277" spans="1:24" ht="15" x14ac:dyDescent="0.35">
      <c r="A3277" s="4">
        <v>46036.79724537037</v>
      </c>
      <c r="B3277">
        <v>20113306</v>
      </c>
      <c r="C3277" s="6" t="s">
        <v>19</v>
      </c>
      <c r="D3277">
        <v>602056</v>
      </c>
      <c r="E3277" t="s">
        <v>20</v>
      </c>
      <c r="F3277">
        <v>52395125</v>
      </c>
      <c r="G3277" t="s">
        <v>1806</v>
      </c>
      <c r="H3277">
        <v>100241581</v>
      </c>
      <c r="I3277">
        <v>202610</v>
      </c>
      <c r="J3277">
        <v>1028482482</v>
      </c>
      <c r="K3277" t="s">
        <v>23</v>
      </c>
      <c r="L3277" t="s">
        <v>79</v>
      </c>
      <c r="M3277" t="s">
        <v>24</v>
      </c>
      <c r="N3277" t="s">
        <v>35</v>
      </c>
      <c r="O3277" t="s">
        <v>26</v>
      </c>
      <c r="P3277" t="s">
        <v>27</v>
      </c>
      <c r="Q3277" t="s">
        <v>28</v>
      </c>
      <c r="R3277" t="s">
        <v>29</v>
      </c>
      <c r="S3277" t="s">
        <v>30</v>
      </c>
      <c r="T3277">
        <v>1007709034</v>
      </c>
      <c r="U3277" t="s">
        <v>3965</v>
      </c>
      <c r="V3277" t="s">
        <v>3934</v>
      </c>
      <c r="W3277" s="9">
        <f>IF(V3277="pregrado",31,
IF(V3277="posgrados",31,
IF(V3277="rEINTEGROS",7,
IF(V3277="BIT",90,
IF(V3277="OP GRADO - INGLÉS",17,"")))))</f>
        <v>31</v>
      </c>
      <c r="X3277" t="s">
        <v>3964</v>
      </c>
    </row>
    <row r="3278" spans="1:24" ht="15" x14ac:dyDescent="0.35">
      <c r="A3278" s="4">
        <v>46036.670381944445</v>
      </c>
      <c r="B3278">
        <v>20113208</v>
      </c>
      <c r="C3278" s="6" t="s">
        <v>19</v>
      </c>
      <c r="D3278">
        <v>602063</v>
      </c>
      <c r="E3278" t="s">
        <v>20</v>
      </c>
      <c r="F3278">
        <v>63544047</v>
      </c>
      <c r="G3278" t="s">
        <v>1789</v>
      </c>
      <c r="H3278">
        <v>100241586</v>
      </c>
      <c r="I3278">
        <v>202631</v>
      </c>
      <c r="J3278">
        <v>1096800646</v>
      </c>
      <c r="K3278" t="s">
        <v>33</v>
      </c>
      <c r="L3278" t="s">
        <v>127</v>
      </c>
      <c r="M3278" t="s">
        <v>24</v>
      </c>
      <c r="N3278" t="s">
        <v>25</v>
      </c>
      <c r="O3278" t="s">
        <v>26</v>
      </c>
      <c r="P3278" t="s">
        <v>27</v>
      </c>
      <c r="Q3278" t="s">
        <v>28</v>
      </c>
      <c r="R3278" t="s">
        <v>29</v>
      </c>
      <c r="S3278" t="s">
        <v>30</v>
      </c>
      <c r="T3278">
        <v>39666517</v>
      </c>
      <c r="U3278" t="s">
        <v>3933</v>
      </c>
      <c r="V3278" t="s">
        <v>3934</v>
      </c>
      <c r="W3278" s="9">
        <f>IF(V3278="pregrado",31,
IF(V3278="posgrados",31,
IF(V3278="rEINTEGROS",7,
IF(V3278="BIT",90,
IF(V3278="OP GRADO - INGLÉS",17,"")))))</f>
        <v>31</v>
      </c>
      <c r="X3278" t="s">
        <v>4025</v>
      </c>
    </row>
    <row r="3279" spans="1:24" ht="15" x14ac:dyDescent="0.35">
      <c r="A3279" s="4">
        <v>46036.736585648148</v>
      </c>
      <c r="B3279">
        <v>20113268</v>
      </c>
      <c r="C3279" s="6" t="s">
        <v>19</v>
      </c>
      <c r="D3279">
        <v>602081</v>
      </c>
      <c r="E3279" t="s">
        <v>20</v>
      </c>
      <c r="F3279">
        <v>1068926716</v>
      </c>
      <c r="G3279" t="s">
        <v>1797</v>
      </c>
      <c r="H3279">
        <v>100241602</v>
      </c>
      <c r="I3279">
        <v>202631</v>
      </c>
      <c r="J3279">
        <v>1068926716</v>
      </c>
      <c r="K3279" t="s">
        <v>23</v>
      </c>
      <c r="L3279" t="s">
        <v>240</v>
      </c>
      <c r="M3279" t="s">
        <v>24</v>
      </c>
      <c r="N3279" t="s">
        <v>35</v>
      </c>
      <c r="O3279" t="s">
        <v>26</v>
      </c>
      <c r="P3279" t="s">
        <v>27</v>
      </c>
      <c r="Q3279" t="s">
        <v>28</v>
      </c>
      <c r="R3279" t="s">
        <v>29</v>
      </c>
      <c r="S3279" t="s">
        <v>30</v>
      </c>
      <c r="T3279">
        <v>1030573476</v>
      </c>
      <c r="U3279" t="s">
        <v>3965</v>
      </c>
      <c r="V3279" t="s">
        <v>3934</v>
      </c>
      <c r="W3279" s="9">
        <f>IF(V3279="pregrado",31,
IF(V3279="posgrados",31,
IF(V3279="rEINTEGROS",7,
IF(V3279="BIT",90,
IF(V3279="OP GRADO - INGLÉS",17,"")))))</f>
        <v>31</v>
      </c>
      <c r="X3279" t="s">
        <v>4077</v>
      </c>
    </row>
    <row r="3280" spans="1:24" ht="15" x14ac:dyDescent="0.35">
      <c r="A3280" s="4">
        <v>46037.464131944442</v>
      </c>
      <c r="B3280">
        <v>20113507</v>
      </c>
      <c r="C3280" s="6" t="s">
        <v>19</v>
      </c>
      <c r="D3280">
        <v>602082</v>
      </c>
      <c r="E3280" t="s">
        <v>20</v>
      </c>
      <c r="F3280">
        <v>1116773967</v>
      </c>
      <c r="G3280" t="s">
        <v>1825</v>
      </c>
      <c r="H3280">
        <v>100241603</v>
      </c>
      <c r="I3280">
        <v>202631</v>
      </c>
      <c r="J3280">
        <v>1116773999</v>
      </c>
      <c r="K3280" t="s">
        <v>33</v>
      </c>
      <c r="L3280" t="s">
        <v>90</v>
      </c>
      <c r="M3280" t="s">
        <v>24</v>
      </c>
      <c r="N3280" t="s">
        <v>25</v>
      </c>
      <c r="O3280" t="s">
        <v>26</v>
      </c>
      <c r="P3280" t="s">
        <v>27</v>
      </c>
      <c r="Q3280" t="s">
        <v>28</v>
      </c>
      <c r="R3280" t="s">
        <v>29</v>
      </c>
      <c r="S3280" t="s">
        <v>30</v>
      </c>
      <c r="T3280">
        <v>10245841021</v>
      </c>
      <c r="U3280" t="s">
        <v>3933</v>
      </c>
      <c r="V3280" t="s">
        <v>3934</v>
      </c>
      <c r="W3280" s="9">
        <f>IF(V3280="pregrado",31,
IF(V3280="posgrados",31,
IF(V3280="rEINTEGROS",7,
IF(V3280="BIT",90,
IF(V3280="OP GRADO - INGLÉS",17,"")))))</f>
        <v>31</v>
      </c>
      <c r="X3280" t="s">
        <v>3987</v>
      </c>
    </row>
    <row r="3281" spans="1:24" ht="15" x14ac:dyDescent="0.35">
      <c r="A3281" s="4">
        <v>46036.557592592595</v>
      </c>
      <c r="B3281">
        <v>20113085</v>
      </c>
      <c r="C3281" s="6" t="s">
        <v>19</v>
      </c>
      <c r="D3281">
        <v>602093</v>
      </c>
      <c r="E3281" t="s">
        <v>20</v>
      </c>
      <c r="F3281">
        <v>1020421272</v>
      </c>
      <c r="G3281" t="s">
        <v>1767</v>
      </c>
      <c r="H3281">
        <v>100241615</v>
      </c>
      <c r="I3281">
        <v>202631</v>
      </c>
      <c r="J3281">
        <v>1020421272</v>
      </c>
      <c r="K3281" t="s">
        <v>23</v>
      </c>
      <c r="L3281" t="s">
        <v>86</v>
      </c>
      <c r="M3281" t="s">
        <v>87</v>
      </c>
      <c r="N3281" t="s">
        <v>35</v>
      </c>
      <c r="O3281" t="s">
        <v>26</v>
      </c>
      <c r="P3281" t="s">
        <v>27</v>
      </c>
      <c r="Q3281" t="s">
        <v>28</v>
      </c>
      <c r="R3281" t="s">
        <v>29</v>
      </c>
      <c r="S3281" t="s">
        <v>30</v>
      </c>
      <c r="T3281">
        <v>1015441103</v>
      </c>
      <c r="U3281" t="s">
        <v>3933</v>
      </c>
      <c r="V3281" t="s">
        <v>3934</v>
      </c>
      <c r="W3281" s="9">
        <f>IF(V3281="pregrado",31,
IF(V3281="posgrados",31,
IF(V3281="rEINTEGROS",7,
IF(V3281="BIT",90,
IF(V3281="OP GRADO - INGLÉS",17,"")))))</f>
        <v>31</v>
      </c>
      <c r="X3281" t="s">
        <v>3961</v>
      </c>
    </row>
    <row r="3282" spans="1:24" ht="15" x14ac:dyDescent="0.35">
      <c r="A3282" s="4">
        <v>46039.439027777778</v>
      </c>
      <c r="B3282">
        <v>20114676</v>
      </c>
      <c r="C3282" s="6" t="s">
        <v>19</v>
      </c>
      <c r="D3282">
        <v>602098</v>
      </c>
      <c r="E3282" t="s">
        <v>20</v>
      </c>
      <c r="F3282">
        <v>1033689362</v>
      </c>
      <c r="G3282" t="s">
        <v>1944</v>
      </c>
      <c r="H3282">
        <v>100241622</v>
      </c>
      <c r="I3282">
        <v>202631</v>
      </c>
      <c r="J3282">
        <v>1033689362</v>
      </c>
      <c r="K3282" t="s">
        <v>33</v>
      </c>
      <c r="L3282" t="s">
        <v>42</v>
      </c>
      <c r="M3282" t="s">
        <v>24</v>
      </c>
      <c r="N3282" t="s">
        <v>38</v>
      </c>
      <c r="O3282" t="s">
        <v>26</v>
      </c>
      <c r="P3282" t="s">
        <v>27</v>
      </c>
      <c r="Q3282" t="s">
        <v>28</v>
      </c>
      <c r="R3282" t="s">
        <v>29</v>
      </c>
      <c r="S3282" t="s">
        <v>30</v>
      </c>
      <c r="T3282">
        <v>53139409</v>
      </c>
      <c r="U3282" t="s">
        <v>3944</v>
      </c>
      <c r="V3282" t="s">
        <v>3934</v>
      </c>
      <c r="W3282" s="9">
        <f>IF(V3282="pregrado",31,
IF(V3282="posgrados",31,
IF(V3282="rEINTEGROS",7,
IF(V3282="BIT",90,
IF(V3282="OP GRADO - INGLÉS",17,"")))))</f>
        <v>31</v>
      </c>
      <c r="X3282" t="s">
        <v>3955</v>
      </c>
    </row>
    <row r="3283" spans="1:24" ht="15" x14ac:dyDescent="0.35">
      <c r="A3283" s="4">
        <v>46037.585324074076</v>
      </c>
      <c r="B3283">
        <v>20113636</v>
      </c>
      <c r="C3283" s="6" t="s">
        <v>19</v>
      </c>
      <c r="D3283">
        <v>602108</v>
      </c>
      <c r="E3283" t="s">
        <v>20</v>
      </c>
      <c r="F3283">
        <v>1234097421</v>
      </c>
      <c r="G3283" t="s">
        <v>1833</v>
      </c>
      <c r="H3283">
        <v>200081295</v>
      </c>
      <c r="I3283">
        <v>202631</v>
      </c>
      <c r="J3283">
        <v>1042254158</v>
      </c>
      <c r="K3283" t="s">
        <v>23</v>
      </c>
      <c r="L3283" t="s">
        <v>22</v>
      </c>
      <c r="M3283" t="s">
        <v>24</v>
      </c>
      <c r="N3283" t="s">
        <v>35</v>
      </c>
      <c r="O3283" t="s">
        <v>26</v>
      </c>
      <c r="P3283" t="s">
        <v>27</v>
      </c>
      <c r="Q3283" t="s">
        <v>28</v>
      </c>
      <c r="R3283" t="s">
        <v>29</v>
      </c>
      <c r="S3283" t="s">
        <v>30</v>
      </c>
      <c r="T3283">
        <v>1014273794</v>
      </c>
      <c r="U3283" t="s">
        <v>3939</v>
      </c>
      <c r="V3283" t="s">
        <v>3934</v>
      </c>
      <c r="W3283" s="9">
        <f>IF(V3283="pregrado",31,
IF(V3283="posgrados",31,
IF(V3283="rEINTEGROS",7,
IF(V3283="BIT",90,
IF(V3283="OP GRADO - INGLÉS",17,"")))))</f>
        <v>31</v>
      </c>
      <c r="X3283" t="s">
        <v>4004</v>
      </c>
    </row>
    <row r="3284" spans="1:24" ht="15" x14ac:dyDescent="0.35">
      <c r="A3284" s="4">
        <v>46036.619293981479</v>
      </c>
      <c r="B3284">
        <v>20113141</v>
      </c>
      <c r="C3284" s="6" t="s">
        <v>19</v>
      </c>
      <c r="D3284">
        <v>602114</v>
      </c>
      <c r="E3284" t="s">
        <v>20</v>
      </c>
      <c r="F3284">
        <v>1102861367</v>
      </c>
      <c r="G3284" t="s">
        <v>1773</v>
      </c>
      <c r="H3284">
        <v>100241647</v>
      </c>
      <c r="I3284">
        <v>202631</v>
      </c>
      <c r="J3284">
        <v>1102861367</v>
      </c>
      <c r="K3284" t="s">
        <v>23</v>
      </c>
      <c r="L3284" t="s">
        <v>219</v>
      </c>
      <c r="M3284" t="s">
        <v>24</v>
      </c>
      <c r="N3284" t="s">
        <v>35</v>
      </c>
      <c r="O3284" t="s">
        <v>26</v>
      </c>
      <c r="P3284" t="s">
        <v>27</v>
      </c>
      <c r="Q3284" t="s">
        <v>28</v>
      </c>
      <c r="R3284" t="s">
        <v>29</v>
      </c>
      <c r="S3284" t="s">
        <v>30</v>
      </c>
      <c r="T3284">
        <v>79635092</v>
      </c>
      <c r="U3284" t="s">
        <v>3963</v>
      </c>
      <c r="V3284" t="s">
        <v>3934</v>
      </c>
      <c r="W3284" s="9">
        <f>IF(V3284="pregrado",31,
IF(V3284="posgrados",31,
IF(V3284="rEINTEGROS",7,
IF(V3284="BIT",90,
IF(V3284="OP GRADO - INGLÉS",17,"")))))</f>
        <v>31</v>
      </c>
      <c r="X3284" t="s">
        <v>4079</v>
      </c>
    </row>
    <row r="3285" spans="1:24" ht="15" x14ac:dyDescent="0.35">
      <c r="A3285" s="4">
        <v>46036.475081018521</v>
      </c>
      <c r="B3285">
        <v>20112984</v>
      </c>
      <c r="C3285" s="6" t="s">
        <v>19</v>
      </c>
      <c r="D3285">
        <v>602115</v>
      </c>
      <c r="E3285" t="s">
        <v>20</v>
      </c>
      <c r="F3285">
        <v>1116856355</v>
      </c>
      <c r="G3285" t="s">
        <v>1751</v>
      </c>
      <c r="H3285">
        <v>100241648</v>
      </c>
      <c r="I3285">
        <v>202631</v>
      </c>
      <c r="J3285">
        <v>1116856355</v>
      </c>
      <c r="K3285" t="s">
        <v>23</v>
      </c>
      <c r="L3285" t="s">
        <v>57</v>
      </c>
      <c r="M3285" t="s">
        <v>24</v>
      </c>
      <c r="N3285" t="s">
        <v>35</v>
      </c>
      <c r="O3285" t="s">
        <v>26</v>
      </c>
      <c r="P3285" t="s">
        <v>27</v>
      </c>
      <c r="Q3285" t="s">
        <v>28</v>
      </c>
      <c r="R3285" t="s">
        <v>29</v>
      </c>
      <c r="S3285" t="s">
        <v>30</v>
      </c>
      <c r="T3285">
        <v>1001192723</v>
      </c>
      <c r="U3285" t="s">
        <v>3941</v>
      </c>
      <c r="V3285" t="s">
        <v>3934</v>
      </c>
      <c r="W3285" s="9">
        <f>IF(V3285="pregrado",31,
IF(V3285="posgrados",31,
IF(V3285="rEINTEGROS",7,
IF(V3285="BIT",90,
IF(V3285="OP GRADO - INGLÉS",17,"")))))</f>
        <v>31</v>
      </c>
      <c r="X3285" t="s">
        <v>3940</v>
      </c>
    </row>
    <row r="3286" spans="1:24" ht="15" x14ac:dyDescent="0.35">
      <c r="A3286" s="4">
        <v>46036.549467592595</v>
      </c>
      <c r="B3286">
        <v>20113077</v>
      </c>
      <c r="C3286" s="6" t="s">
        <v>19</v>
      </c>
      <c r="D3286">
        <v>602117</v>
      </c>
      <c r="E3286" t="s">
        <v>20</v>
      </c>
      <c r="F3286">
        <v>1121903601</v>
      </c>
      <c r="G3286" t="s">
        <v>1765</v>
      </c>
      <c r="H3286">
        <v>100241651</v>
      </c>
      <c r="I3286">
        <v>202631</v>
      </c>
      <c r="J3286">
        <v>1098692612</v>
      </c>
      <c r="K3286" t="s">
        <v>33</v>
      </c>
      <c r="L3286" t="s">
        <v>127</v>
      </c>
      <c r="M3286" t="s">
        <v>24</v>
      </c>
      <c r="N3286" t="s">
        <v>25</v>
      </c>
      <c r="O3286" t="s">
        <v>26</v>
      </c>
      <c r="P3286" t="s">
        <v>27</v>
      </c>
      <c r="Q3286" t="s">
        <v>28</v>
      </c>
      <c r="R3286" t="s">
        <v>29</v>
      </c>
      <c r="S3286" t="s">
        <v>30</v>
      </c>
      <c r="T3286">
        <v>1023970223</v>
      </c>
      <c r="U3286" t="s">
        <v>3933</v>
      </c>
      <c r="V3286" t="s">
        <v>3934</v>
      </c>
      <c r="W3286" s="9">
        <f>IF(V3286="pregrado",31,
IF(V3286="posgrados",31,
IF(V3286="rEINTEGROS",7,
IF(V3286="BIT",90,
IF(V3286="OP GRADO - INGLÉS",17,"")))))</f>
        <v>31</v>
      </c>
      <c r="X3286" t="s">
        <v>4070</v>
      </c>
    </row>
    <row r="3287" spans="1:24" ht="15" x14ac:dyDescent="0.35">
      <c r="A3287" s="4">
        <v>46037.684467592589</v>
      </c>
      <c r="B3287">
        <v>20113805</v>
      </c>
      <c r="C3287" s="6" t="s">
        <v>19</v>
      </c>
      <c r="D3287">
        <v>602120</v>
      </c>
      <c r="E3287" t="s">
        <v>20</v>
      </c>
      <c r="F3287">
        <v>21449417</v>
      </c>
      <c r="G3287" t="s">
        <v>1850</v>
      </c>
      <c r="H3287">
        <v>100241654</v>
      </c>
      <c r="I3287">
        <v>202631</v>
      </c>
      <c r="J3287">
        <v>1092536297</v>
      </c>
      <c r="K3287" t="s">
        <v>23</v>
      </c>
      <c r="L3287" t="s">
        <v>32</v>
      </c>
      <c r="M3287" t="s">
        <v>24</v>
      </c>
      <c r="N3287" t="s">
        <v>35</v>
      </c>
      <c r="O3287" t="s">
        <v>26</v>
      </c>
      <c r="P3287" t="s">
        <v>27</v>
      </c>
      <c r="Q3287" t="s">
        <v>28</v>
      </c>
      <c r="R3287" t="s">
        <v>29</v>
      </c>
      <c r="S3287" t="s">
        <v>30</v>
      </c>
      <c r="T3287">
        <v>53139409</v>
      </c>
      <c r="U3287" t="s">
        <v>3944</v>
      </c>
      <c r="V3287" t="s">
        <v>3934</v>
      </c>
      <c r="W3287" s="9">
        <f>IF(V3287="pregrado",31,
IF(V3287="posgrados",31,
IF(V3287="rEINTEGROS",7,
IF(V3287="BIT",90,
IF(V3287="OP GRADO - INGLÉS",17,"")))))</f>
        <v>31</v>
      </c>
      <c r="X3287" t="s">
        <v>3955</v>
      </c>
    </row>
    <row r="3288" spans="1:24" ht="15" x14ac:dyDescent="0.35">
      <c r="A3288" s="4">
        <v>46043.38077546296</v>
      </c>
      <c r="B3288">
        <v>20115607</v>
      </c>
      <c r="C3288" s="6" t="s">
        <v>19</v>
      </c>
      <c r="D3288">
        <v>602123</v>
      </c>
      <c r="E3288" t="s">
        <v>20</v>
      </c>
      <c r="F3288">
        <v>93408131</v>
      </c>
      <c r="G3288" t="s">
        <v>2064</v>
      </c>
      <c r="H3288">
        <v>100107502</v>
      </c>
      <c r="I3288">
        <v>202631</v>
      </c>
      <c r="J3288">
        <v>93408131</v>
      </c>
      <c r="K3288" t="s">
        <v>89</v>
      </c>
      <c r="L3288" t="s">
        <v>90</v>
      </c>
      <c r="M3288" t="s">
        <v>24</v>
      </c>
      <c r="N3288" t="s">
        <v>25</v>
      </c>
      <c r="O3288" t="s">
        <v>26</v>
      </c>
      <c r="P3288" t="s">
        <v>27</v>
      </c>
      <c r="Q3288" t="s">
        <v>28</v>
      </c>
      <c r="R3288" t="s">
        <v>29</v>
      </c>
      <c r="S3288" t="s">
        <v>30</v>
      </c>
      <c r="T3288">
        <v>1019102787</v>
      </c>
      <c r="U3288" t="s">
        <v>3977</v>
      </c>
      <c r="V3288" t="s">
        <v>3970</v>
      </c>
      <c r="W3288" s="9">
        <f>IF(V3288="pregrado",31,
IF(V3288="posgrados",31,
IF(V3288="rEINTEGROS",7,
IF(V3288="BIT",90,
IF(V3288="OP GRADO - INGLÉS",17,"")))))</f>
        <v>7</v>
      </c>
      <c r="X3288" t="s">
        <v>3976</v>
      </c>
    </row>
    <row r="3289" spans="1:24" ht="15" x14ac:dyDescent="0.35">
      <c r="A3289" s="4">
        <v>46038.458402777775</v>
      </c>
      <c r="B3289">
        <v>20114140</v>
      </c>
      <c r="C3289" s="6" t="s">
        <v>19</v>
      </c>
      <c r="D3289">
        <v>602128</v>
      </c>
      <c r="E3289" t="s">
        <v>20</v>
      </c>
      <c r="F3289">
        <v>52287896</v>
      </c>
      <c r="G3289" t="s">
        <v>1887</v>
      </c>
      <c r="H3289">
        <v>100206181</v>
      </c>
      <c r="I3289">
        <v>202611</v>
      </c>
      <c r="J3289">
        <v>1000695176</v>
      </c>
      <c r="K3289" t="s">
        <v>33</v>
      </c>
      <c r="L3289" t="s">
        <v>204</v>
      </c>
      <c r="M3289" t="s">
        <v>24</v>
      </c>
      <c r="N3289" t="s">
        <v>38</v>
      </c>
      <c r="O3289" t="s">
        <v>26</v>
      </c>
      <c r="P3289" t="s">
        <v>27</v>
      </c>
      <c r="Q3289" t="s">
        <v>28</v>
      </c>
      <c r="R3289" t="s">
        <v>29</v>
      </c>
      <c r="S3289" t="s">
        <v>30</v>
      </c>
      <c r="T3289">
        <v>53061994</v>
      </c>
      <c r="U3289" t="s">
        <v>3941</v>
      </c>
      <c r="V3289" t="s">
        <v>3934</v>
      </c>
      <c r="W3289" s="9">
        <f>IF(V3289="pregrado",31,
IF(V3289="posgrados",31,
IF(V3289="rEINTEGROS",7,
IF(V3289="BIT",90,
IF(V3289="OP GRADO - INGLÉS",17,"")))))</f>
        <v>31</v>
      </c>
      <c r="X3289" t="s">
        <v>3950</v>
      </c>
    </row>
    <row r="3290" spans="1:24" ht="15" x14ac:dyDescent="0.35">
      <c r="A3290" s="4">
        <v>46038.609155092592</v>
      </c>
      <c r="B3290">
        <v>20114337</v>
      </c>
      <c r="C3290" s="6" t="s">
        <v>19</v>
      </c>
      <c r="D3290">
        <v>602129</v>
      </c>
      <c r="E3290" t="s">
        <v>20</v>
      </c>
      <c r="F3290">
        <v>21449417</v>
      </c>
      <c r="G3290" t="s">
        <v>1850</v>
      </c>
      <c r="H3290">
        <v>100241658</v>
      </c>
      <c r="I3290">
        <v>202631</v>
      </c>
      <c r="J3290">
        <v>43924956</v>
      </c>
      <c r="K3290" t="s">
        <v>23</v>
      </c>
      <c r="L3290" t="s">
        <v>32</v>
      </c>
      <c r="M3290" t="s">
        <v>24</v>
      </c>
      <c r="N3290" t="s">
        <v>35</v>
      </c>
      <c r="O3290" t="s">
        <v>26</v>
      </c>
      <c r="P3290" t="s">
        <v>27</v>
      </c>
      <c r="Q3290" t="s">
        <v>28</v>
      </c>
      <c r="R3290" t="s">
        <v>29</v>
      </c>
      <c r="S3290" t="s">
        <v>30</v>
      </c>
      <c r="T3290">
        <v>53139409</v>
      </c>
      <c r="U3290" t="s">
        <v>3944</v>
      </c>
      <c r="V3290" t="s">
        <v>3934</v>
      </c>
      <c r="W3290" s="9">
        <f>IF(V3290="pregrado",31,
IF(V3290="posgrados",31,
IF(V3290="rEINTEGROS",7,
IF(V3290="BIT",90,
IF(V3290="OP GRADO - INGLÉS",17,"")))))</f>
        <v>31</v>
      </c>
      <c r="X3290" t="s">
        <v>3955</v>
      </c>
    </row>
    <row r="3291" spans="1:24" ht="15" x14ac:dyDescent="0.35">
      <c r="A3291" s="4">
        <v>46036.6559837963</v>
      </c>
      <c r="B3291">
        <v>20113196</v>
      </c>
      <c r="C3291" s="6" t="s">
        <v>19</v>
      </c>
      <c r="D3291">
        <v>602131</v>
      </c>
      <c r="E3291" t="s">
        <v>20</v>
      </c>
      <c r="F3291">
        <v>60390616</v>
      </c>
      <c r="G3291" t="s">
        <v>1786</v>
      </c>
      <c r="H3291">
        <v>100241660</v>
      </c>
      <c r="I3291">
        <v>202631</v>
      </c>
      <c r="J3291">
        <v>1094168596</v>
      </c>
      <c r="K3291" t="s">
        <v>23</v>
      </c>
      <c r="L3291" t="s">
        <v>86</v>
      </c>
      <c r="M3291" t="s">
        <v>87</v>
      </c>
      <c r="N3291" t="s">
        <v>35</v>
      </c>
      <c r="O3291" t="s">
        <v>26</v>
      </c>
      <c r="P3291" t="s">
        <v>27</v>
      </c>
      <c r="Q3291" t="s">
        <v>28</v>
      </c>
      <c r="R3291" t="s">
        <v>29</v>
      </c>
      <c r="S3291" t="s">
        <v>30</v>
      </c>
      <c r="T3291">
        <v>1010240716</v>
      </c>
      <c r="U3291" t="s">
        <v>3939</v>
      </c>
      <c r="V3291" t="s">
        <v>3934</v>
      </c>
      <c r="W3291" s="9">
        <f>IF(V3291="pregrado",31,
IF(V3291="posgrados",31,
IF(V3291="rEINTEGROS",7,
IF(V3291="BIT",90,
IF(V3291="OP GRADO - INGLÉS",17,"")))))</f>
        <v>31</v>
      </c>
      <c r="X3291" t="s">
        <v>3938</v>
      </c>
    </row>
    <row r="3292" spans="1:24" ht="15" x14ac:dyDescent="0.35">
      <c r="A3292" s="4">
        <v>46058.544895833336</v>
      </c>
      <c r="B3292">
        <v>20120842</v>
      </c>
      <c r="C3292" s="6" t="s">
        <v>19</v>
      </c>
      <c r="D3292">
        <v>602132</v>
      </c>
      <c r="E3292" t="s">
        <v>20</v>
      </c>
      <c r="F3292">
        <v>1055226273</v>
      </c>
      <c r="G3292" t="s">
        <v>2806</v>
      </c>
      <c r="H3292">
        <v>100241661</v>
      </c>
      <c r="I3292">
        <v>202611</v>
      </c>
      <c r="J3292">
        <v>1055226273</v>
      </c>
      <c r="K3292" t="s">
        <v>83</v>
      </c>
      <c r="L3292" t="s">
        <v>221</v>
      </c>
      <c r="M3292" t="s">
        <v>24</v>
      </c>
      <c r="N3292" t="s">
        <v>35</v>
      </c>
      <c r="O3292" t="s">
        <v>26</v>
      </c>
      <c r="P3292" t="s">
        <v>27</v>
      </c>
      <c r="Q3292" t="s">
        <v>28</v>
      </c>
      <c r="R3292" t="s">
        <v>29</v>
      </c>
      <c r="S3292" t="s">
        <v>30</v>
      </c>
      <c r="T3292">
        <v>52392617</v>
      </c>
      <c r="U3292" t="s">
        <v>3965</v>
      </c>
      <c r="V3292" t="s">
        <v>3934</v>
      </c>
      <c r="W3292" s="9">
        <f>IF(V3292="pregrado",31,
IF(V3292="posgrados",31,
IF(V3292="rEINTEGROS",7,
IF(V3292="BIT",90,
IF(V3292="OP GRADO - INGLÉS",17,"")))))</f>
        <v>31</v>
      </c>
      <c r="X3292" t="s">
        <v>4053</v>
      </c>
    </row>
    <row r="3293" spans="1:24" ht="15" x14ac:dyDescent="0.35">
      <c r="A3293" s="4">
        <v>46037.659988425927</v>
      </c>
      <c r="B3293">
        <v>20113761</v>
      </c>
      <c r="C3293" s="6" t="s">
        <v>19</v>
      </c>
      <c r="D3293">
        <v>602133</v>
      </c>
      <c r="E3293" t="s">
        <v>20</v>
      </c>
      <c r="F3293">
        <v>1123324492</v>
      </c>
      <c r="G3293" t="s">
        <v>1845</v>
      </c>
      <c r="H3293">
        <v>100241662</v>
      </c>
      <c r="I3293">
        <v>202631</v>
      </c>
      <c r="J3293">
        <v>1085332053</v>
      </c>
      <c r="K3293" t="s">
        <v>23</v>
      </c>
      <c r="L3293" t="s">
        <v>127</v>
      </c>
      <c r="M3293" t="s">
        <v>24</v>
      </c>
      <c r="N3293" t="s">
        <v>35</v>
      </c>
      <c r="O3293" t="s">
        <v>26</v>
      </c>
      <c r="P3293" t="s">
        <v>27</v>
      </c>
      <c r="Q3293" t="s">
        <v>28</v>
      </c>
      <c r="R3293" t="s">
        <v>29</v>
      </c>
      <c r="S3293" t="s">
        <v>30</v>
      </c>
      <c r="T3293">
        <v>1023921046</v>
      </c>
      <c r="U3293" t="s">
        <v>3933</v>
      </c>
      <c r="V3293" t="s">
        <v>3934</v>
      </c>
      <c r="W3293" s="9">
        <f>IF(V3293="pregrado",31,
IF(V3293="posgrados",31,
IF(V3293="rEINTEGROS",7,
IF(V3293="BIT",90,
IF(V3293="OP GRADO - INGLÉS",17,"")))))</f>
        <v>31</v>
      </c>
      <c r="X3293" t="s">
        <v>4043</v>
      </c>
    </row>
    <row r="3294" spans="1:24" ht="15" x14ac:dyDescent="0.35">
      <c r="A3294" s="4">
        <v>46037.772731481484</v>
      </c>
      <c r="B3294">
        <v>20113900</v>
      </c>
      <c r="C3294" s="6" t="s">
        <v>19</v>
      </c>
      <c r="D3294">
        <v>602140</v>
      </c>
      <c r="E3294" t="s">
        <v>20</v>
      </c>
      <c r="F3294">
        <v>1014200851</v>
      </c>
      <c r="G3294" t="s">
        <v>1862</v>
      </c>
      <c r="H3294">
        <v>100241667</v>
      </c>
      <c r="I3294">
        <v>202611</v>
      </c>
      <c r="J3294">
        <v>1014856331</v>
      </c>
      <c r="K3294" t="s">
        <v>23</v>
      </c>
      <c r="L3294" t="s">
        <v>227</v>
      </c>
      <c r="M3294" t="s">
        <v>24</v>
      </c>
      <c r="N3294" t="s">
        <v>25</v>
      </c>
      <c r="O3294" t="s">
        <v>26</v>
      </c>
      <c r="P3294" t="s">
        <v>27</v>
      </c>
      <c r="Q3294" t="s">
        <v>28</v>
      </c>
      <c r="R3294" t="s">
        <v>29</v>
      </c>
      <c r="S3294" t="s">
        <v>30</v>
      </c>
      <c r="T3294">
        <v>1073692626</v>
      </c>
      <c r="U3294" t="s">
        <v>3965</v>
      </c>
      <c r="V3294" t="s">
        <v>3934</v>
      </c>
      <c r="W3294" s="9">
        <f>IF(V3294="pregrado",31,
IF(V3294="posgrados",31,
IF(V3294="rEINTEGROS",7,
IF(V3294="BIT",90,
IF(V3294="OP GRADO - INGLÉS",17,"")))))</f>
        <v>31</v>
      </c>
      <c r="X3294" t="s">
        <v>4014</v>
      </c>
    </row>
    <row r="3295" spans="1:24" ht="15" x14ac:dyDescent="0.35">
      <c r="A3295" s="4">
        <v>46038.414340277777</v>
      </c>
      <c r="B3295">
        <v>20114076</v>
      </c>
      <c r="C3295" s="6" t="s">
        <v>19</v>
      </c>
      <c r="D3295">
        <v>602149</v>
      </c>
      <c r="E3295" t="s">
        <v>20</v>
      </c>
      <c r="F3295">
        <v>1007416198</v>
      </c>
      <c r="G3295" t="s">
        <v>1878</v>
      </c>
      <c r="H3295">
        <v>100241677</v>
      </c>
      <c r="I3295">
        <v>202611</v>
      </c>
      <c r="J3295">
        <v>1007416198</v>
      </c>
      <c r="K3295" t="s">
        <v>23</v>
      </c>
      <c r="L3295" t="s">
        <v>221</v>
      </c>
      <c r="M3295" t="s">
        <v>24</v>
      </c>
      <c r="N3295" t="s">
        <v>35</v>
      </c>
      <c r="O3295" t="s">
        <v>26</v>
      </c>
      <c r="P3295" t="s">
        <v>27</v>
      </c>
      <c r="Q3295" t="s">
        <v>28</v>
      </c>
      <c r="R3295" t="s">
        <v>29</v>
      </c>
      <c r="S3295" t="s">
        <v>30</v>
      </c>
      <c r="T3295">
        <v>1073692626</v>
      </c>
      <c r="U3295" t="s">
        <v>3965</v>
      </c>
      <c r="V3295" t="s">
        <v>3934</v>
      </c>
      <c r="W3295" s="9">
        <f>IF(V3295="pregrado",31,
IF(V3295="posgrados",31,
IF(V3295="rEINTEGROS",7,
IF(V3295="BIT",90,
IF(V3295="OP GRADO - INGLÉS",17,"")))))</f>
        <v>31</v>
      </c>
      <c r="X3295" t="s">
        <v>4014</v>
      </c>
    </row>
    <row r="3296" spans="1:24" ht="15" x14ac:dyDescent="0.35">
      <c r="A3296" s="4">
        <v>46058.450810185182</v>
      </c>
      <c r="B3296">
        <v>20120782</v>
      </c>
      <c r="C3296" s="6" t="s">
        <v>19</v>
      </c>
      <c r="D3296">
        <v>602153</v>
      </c>
      <c r="E3296" t="s">
        <v>20</v>
      </c>
      <c r="F3296">
        <v>1093793979</v>
      </c>
      <c r="G3296" t="s">
        <v>2791</v>
      </c>
      <c r="H3296">
        <v>100241686</v>
      </c>
      <c r="I3296">
        <v>202611</v>
      </c>
      <c r="J3296">
        <v>1093793979</v>
      </c>
      <c r="K3296" t="s">
        <v>33</v>
      </c>
      <c r="L3296" t="s">
        <v>221</v>
      </c>
      <c r="M3296" t="s">
        <v>24</v>
      </c>
      <c r="N3296" t="s">
        <v>25</v>
      </c>
      <c r="O3296" t="s">
        <v>26</v>
      </c>
      <c r="P3296" t="s">
        <v>27</v>
      </c>
      <c r="Q3296" t="s">
        <v>28</v>
      </c>
      <c r="R3296" t="s">
        <v>29</v>
      </c>
      <c r="S3296" t="s">
        <v>30</v>
      </c>
      <c r="T3296">
        <v>10822473081</v>
      </c>
      <c r="U3296" t="s">
        <v>3965</v>
      </c>
      <c r="V3296" t="s">
        <v>3934</v>
      </c>
      <c r="W3296" s="9">
        <f>IF(V3296="pregrado",31,
IF(V3296="posgrados",31,
IF(V3296="rEINTEGROS",7,
IF(V3296="BIT",90,
IF(V3296="OP GRADO - INGLÉS",17,"")))))</f>
        <v>31</v>
      </c>
      <c r="X3296" t="s">
        <v>4007</v>
      </c>
    </row>
    <row r="3297" spans="1:24" ht="15" x14ac:dyDescent="0.35">
      <c r="A3297" s="4">
        <v>46044.617534722223</v>
      </c>
      <c r="B3297">
        <v>20116214</v>
      </c>
      <c r="C3297" s="6" t="s">
        <v>19</v>
      </c>
      <c r="D3297">
        <v>602155</v>
      </c>
      <c r="E3297" t="s">
        <v>20</v>
      </c>
      <c r="F3297">
        <v>1096064621</v>
      </c>
      <c r="G3297" t="s">
        <v>2175</v>
      </c>
      <c r="H3297">
        <v>100241688</v>
      </c>
      <c r="I3297">
        <v>202631</v>
      </c>
      <c r="J3297">
        <v>1096064621</v>
      </c>
      <c r="K3297" t="s">
        <v>23</v>
      </c>
      <c r="L3297" t="s">
        <v>32</v>
      </c>
      <c r="M3297" t="s">
        <v>24</v>
      </c>
      <c r="N3297" t="s">
        <v>35</v>
      </c>
      <c r="O3297" t="s">
        <v>26</v>
      </c>
      <c r="P3297" t="s">
        <v>27</v>
      </c>
      <c r="Q3297" t="s">
        <v>28</v>
      </c>
      <c r="R3297" t="s">
        <v>29</v>
      </c>
      <c r="S3297" t="s">
        <v>30</v>
      </c>
      <c r="T3297">
        <v>1000001980</v>
      </c>
      <c r="U3297" t="s">
        <v>3944</v>
      </c>
      <c r="V3297" t="s">
        <v>3934</v>
      </c>
      <c r="W3297" s="9">
        <f>IF(V3297="pregrado",31,
IF(V3297="posgrados",31,
IF(V3297="rEINTEGROS",7,
IF(V3297="BIT",90,
IF(V3297="OP GRADO - INGLÉS",17,"")))))</f>
        <v>31</v>
      </c>
      <c r="X3297" t="s">
        <v>3968</v>
      </c>
    </row>
    <row r="3298" spans="1:24" ht="15" x14ac:dyDescent="0.35">
      <c r="A3298" s="4">
        <v>46038.484849537039</v>
      </c>
      <c r="B3298">
        <v>20114176</v>
      </c>
      <c r="C3298" s="6" t="s">
        <v>19</v>
      </c>
      <c r="D3298">
        <v>602160</v>
      </c>
      <c r="E3298" t="s">
        <v>20</v>
      </c>
      <c r="F3298">
        <v>1031179016</v>
      </c>
      <c r="G3298" t="s">
        <v>1893</v>
      </c>
      <c r="H3298">
        <v>100241694</v>
      </c>
      <c r="I3298">
        <v>202611</v>
      </c>
      <c r="J3298">
        <v>1000730680</v>
      </c>
      <c r="K3298" t="s">
        <v>23</v>
      </c>
      <c r="L3298" t="s">
        <v>227</v>
      </c>
      <c r="M3298" t="s">
        <v>24</v>
      </c>
      <c r="N3298" t="s">
        <v>38</v>
      </c>
      <c r="O3298" t="s">
        <v>26</v>
      </c>
      <c r="P3298" t="s">
        <v>27</v>
      </c>
      <c r="Q3298" t="s">
        <v>28</v>
      </c>
      <c r="R3298" t="s">
        <v>29</v>
      </c>
      <c r="S3298" t="s">
        <v>30</v>
      </c>
      <c r="T3298">
        <v>1015428862</v>
      </c>
      <c r="U3298" t="s">
        <v>3965</v>
      </c>
      <c r="V3298" t="s">
        <v>3934</v>
      </c>
      <c r="W3298" s="9">
        <f>IF(V3298="pregrado",31,
IF(V3298="posgrados",31,
IF(V3298="rEINTEGROS",7,
IF(V3298="BIT",90,
IF(V3298="OP GRADO - INGLÉS",17,"")))))</f>
        <v>31</v>
      </c>
      <c r="X3298" t="s">
        <v>4048</v>
      </c>
    </row>
    <row r="3299" spans="1:24" ht="15" x14ac:dyDescent="0.35">
      <c r="A3299" s="4">
        <v>46036.590439814812</v>
      </c>
      <c r="B3299">
        <v>20113108</v>
      </c>
      <c r="C3299" s="6" t="s">
        <v>19</v>
      </c>
      <c r="D3299">
        <v>602161</v>
      </c>
      <c r="E3299" t="s">
        <v>20</v>
      </c>
      <c r="F3299">
        <v>1013258326</v>
      </c>
      <c r="G3299" t="s">
        <v>1768</v>
      </c>
      <c r="H3299">
        <v>100241431</v>
      </c>
      <c r="I3299">
        <v>202610</v>
      </c>
      <c r="J3299">
        <v>1013258326</v>
      </c>
      <c r="K3299" t="s">
        <v>23</v>
      </c>
      <c r="L3299" t="s">
        <v>49</v>
      </c>
      <c r="M3299" t="s">
        <v>24</v>
      </c>
      <c r="N3299" t="s">
        <v>35</v>
      </c>
      <c r="O3299" t="s">
        <v>26</v>
      </c>
      <c r="P3299" t="s">
        <v>27</v>
      </c>
      <c r="Q3299" t="s">
        <v>28</v>
      </c>
      <c r="R3299" t="s">
        <v>29</v>
      </c>
      <c r="S3299" t="s">
        <v>30</v>
      </c>
      <c r="T3299">
        <v>1000349074</v>
      </c>
      <c r="U3299" t="s">
        <v>3944</v>
      </c>
      <c r="V3299" t="s">
        <v>3934</v>
      </c>
      <c r="W3299" s="9">
        <f>IF(V3299="pregrado",31,
IF(V3299="posgrados",31,
IF(V3299="rEINTEGROS",7,
IF(V3299="BIT",90,
IF(V3299="OP GRADO - INGLÉS",17,"")))))</f>
        <v>31</v>
      </c>
      <c r="X3299" t="s">
        <v>4036</v>
      </c>
    </row>
    <row r="3300" spans="1:24" ht="15" x14ac:dyDescent="0.35">
      <c r="A3300" s="4">
        <v>46036.648935185185</v>
      </c>
      <c r="B3300">
        <v>20113181</v>
      </c>
      <c r="C3300" s="6" t="s">
        <v>19</v>
      </c>
      <c r="D3300">
        <v>602162</v>
      </c>
      <c r="E3300" t="s">
        <v>20</v>
      </c>
      <c r="F3300">
        <v>1076323479</v>
      </c>
      <c r="G3300" t="s">
        <v>1780</v>
      </c>
      <c r="H3300">
        <v>100241697</v>
      </c>
      <c r="I3300">
        <v>202631</v>
      </c>
      <c r="J3300">
        <v>1076323479</v>
      </c>
      <c r="K3300" t="s">
        <v>33</v>
      </c>
      <c r="L3300" t="s">
        <v>370</v>
      </c>
      <c r="M3300" t="s">
        <v>24</v>
      </c>
      <c r="N3300" t="s">
        <v>35</v>
      </c>
      <c r="O3300" t="s">
        <v>26</v>
      </c>
      <c r="P3300" t="s">
        <v>27</v>
      </c>
      <c r="Q3300" t="s">
        <v>28</v>
      </c>
      <c r="R3300" t="s">
        <v>29</v>
      </c>
      <c r="S3300" t="s">
        <v>30</v>
      </c>
      <c r="T3300">
        <v>79635092</v>
      </c>
      <c r="U3300" t="s">
        <v>3963</v>
      </c>
      <c r="V3300" t="s">
        <v>3934</v>
      </c>
      <c r="W3300" s="9">
        <f>IF(V3300="pregrado",31,
IF(V3300="posgrados",31,
IF(V3300="rEINTEGROS",7,
IF(V3300="BIT",90,
IF(V3300="OP GRADO - INGLÉS",17,"")))))</f>
        <v>31</v>
      </c>
      <c r="X3300" t="s">
        <v>4079</v>
      </c>
    </row>
    <row r="3301" spans="1:24" ht="15" x14ac:dyDescent="0.35">
      <c r="A3301" s="4">
        <v>46036.649236111109</v>
      </c>
      <c r="B3301">
        <v>20113183</v>
      </c>
      <c r="C3301" s="6" t="s">
        <v>19</v>
      </c>
      <c r="D3301">
        <v>602164</v>
      </c>
      <c r="E3301" t="s">
        <v>20</v>
      </c>
      <c r="F3301">
        <v>1050039550</v>
      </c>
      <c r="G3301" t="s">
        <v>1781</v>
      </c>
      <c r="H3301">
        <v>100241699</v>
      </c>
      <c r="I3301">
        <v>202631</v>
      </c>
      <c r="J3301">
        <v>1050040062</v>
      </c>
      <c r="K3301" t="s">
        <v>23</v>
      </c>
      <c r="L3301" t="s">
        <v>101</v>
      </c>
      <c r="M3301" t="s">
        <v>24</v>
      </c>
      <c r="N3301" t="s">
        <v>35</v>
      </c>
      <c r="O3301" t="s">
        <v>26</v>
      </c>
      <c r="P3301" t="s">
        <v>27</v>
      </c>
      <c r="Q3301" t="s">
        <v>28</v>
      </c>
      <c r="R3301" t="s">
        <v>29</v>
      </c>
      <c r="S3301" t="s">
        <v>30</v>
      </c>
      <c r="T3301">
        <v>1023975276</v>
      </c>
      <c r="U3301" t="s">
        <v>3963</v>
      </c>
      <c r="V3301" t="s">
        <v>3934</v>
      </c>
      <c r="W3301" s="9">
        <f>IF(V3301="pregrado",31,
IF(V3301="posgrados",31,
IF(V3301="rEINTEGROS",7,
IF(V3301="BIT",90,
IF(V3301="OP GRADO - INGLÉS",17,"")))))</f>
        <v>31</v>
      </c>
      <c r="X3301" t="s">
        <v>3962</v>
      </c>
    </row>
    <row r="3302" spans="1:24" ht="15" x14ac:dyDescent="0.35">
      <c r="A3302" s="4">
        <v>46043.403217592589</v>
      </c>
      <c r="B3302">
        <v>20115632</v>
      </c>
      <c r="C3302" s="6" t="s">
        <v>19</v>
      </c>
      <c r="D3302">
        <v>602175</v>
      </c>
      <c r="E3302" t="s">
        <v>20</v>
      </c>
      <c r="F3302">
        <v>1012341953</v>
      </c>
      <c r="G3302" t="s">
        <v>2068</v>
      </c>
      <c r="H3302">
        <v>100241721</v>
      </c>
      <c r="I3302">
        <v>202610</v>
      </c>
      <c r="J3302">
        <v>1025539313</v>
      </c>
      <c r="K3302" t="s">
        <v>23</v>
      </c>
      <c r="L3302" t="s">
        <v>153</v>
      </c>
      <c r="M3302" t="s">
        <v>24</v>
      </c>
      <c r="N3302" t="s">
        <v>35</v>
      </c>
      <c r="O3302" t="s">
        <v>26</v>
      </c>
      <c r="P3302" t="s">
        <v>27</v>
      </c>
      <c r="Q3302" t="s">
        <v>28</v>
      </c>
      <c r="R3302" t="s">
        <v>29</v>
      </c>
      <c r="S3302" t="s">
        <v>30</v>
      </c>
      <c r="T3302">
        <v>1030573476</v>
      </c>
      <c r="U3302" t="s">
        <v>3965</v>
      </c>
      <c r="V3302" t="s">
        <v>3934</v>
      </c>
      <c r="W3302" s="9">
        <f>IF(V3302="pregrado",31,
IF(V3302="posgrados",31,
IF(V3302="rEINTEGROS",7,
IF(V3302="BIT",90,
IF(V3302="OP GRADO - INGLÉS",17,"")))))</f>
        <v>31</v>
      </c>
      <c r="X3302" t="s">
        <v>4077</v>
      </c>
    </row>
    <row r="3303" spans="1:24" ht="15" x14ac:dyDescent="0.35">
      <c r="A3303" s="4">
        <v>46070.611064814817</v>
      </c>
      <c r="B3303">
        <v>20124142</v>
      </c>
      <c r="C3303" s="6" t="s">
        <v>19</v>
      </c>
      <c r="D3303">
        <v>602183</v>
      </c>
      <c r="E3303" t="s">
        <v>20</v>
      </c>
      <c r="F3303">
        <v>1022440453</v>
      </c>
      <c r="G3303" t="s">
        <v>3304</v>
      </c>
      <c r="H3303">
        <v>200079955</v>
      </c>
      <c r="I3303">
        <v>202631</v>
      </c>
      <c r="J3303">
        <v>1022440453</v>
      </c>
      <c r="K3303" t="s">
        <v>33</v>
      </c>
      <c r="L3303" t="s">
        <v>119</v>
      </c>
      <c r="M3303" t="s">
        <v>24</v>
      </c>
      <c r="N3303" t="s">
        <v>35</v>
      </c>
      <c r="O3303" t="s">
        <v>26</v>
      </c>
      <c r="P3303" t="s">
        <v>27</v>
      </c>
      <c r="Q3303" t="s">
        <v>28</v>
      </c>
      <c r="R3303" t="s">
        <v>29</v>
      </c>
      <c r="S3303" t="s">
        <v>30</v>
      </c>
      <c r="T3303">
        <v>1000251314</v>
      </c>
      <c r="U3303" t="s">
        <v>3963</v>
      </c>
      <c r="V3303" t="s">
        <v>3934</v>
      </c>
      <c r="W3303" s="9">
        <f>IF(V3303="pregrado",31,
IF(V3303="posgrados",31,
IF(V3303="rEINTEGROS",7,
IF(V3303="BIT",90,
IF(V3303="OP GRADO - INGLÉS",17,"")))))</f>
        <v>31</v>
      </c>
      <c r="X3303" t="s">
        <v>4024</v>
      </c>
    </row>
    <row r="3304" spans="1:24" ht="15" x14ac:dyDescent="0.35">
      <c r="A3304" s="4">
        <v>46051.465081018519</v>
      </c>
      <c r="B3304">
        <v>20118417</v>
      </c>
      <c r="C3304" s="6" t="s">
        <v>19</v>
      </c>
      <c r="D3304">
        <v>602191</v>
      </c>
      <c r="E3304" t="s">
        <v>20</v>
      </c>
      <c r="F3304">
        <v>1000760918</v>
      </c>
      <c r="G3304" t="s">
        <v>2472</v>
      </c>
      <c r="H3304">
        <v>100241738</v>
      </c>
      <c r="I3304">
        <v>202611</v>
      </c>
      <c r="J3304">
        <v>1000760918</v>
      </c>
      <c r="K3304" t="s">
        <v>33</v>
      </c>
      <c r="L3304" t="s">
        <v>204</v>
      </c>
      <c r="M3304" t="s">
        <v>24</v>
      </c>
      <c r="N3304" t="s">
        <v>35</v>
      </c>
      <c r="O3304" t="s">
        <v>26</v>
      </c>
      <c r="P3304" t="s">
        <v>27</v>
      </c>
      <c r="Q3304" t="s">
        <v>28</v>
      </c>
      <c r="R3304" t="s">
        <v>29</v>
      </c>
      <c r="S3304" t="s">
        <v>30</v>
      </c>
      <c r="T3304">
        <v>1032394283</v>
      </c>
      <c r="U3304" t="s">
        <v>3941</v>
      </c>
      <c r="V3304" t="s">
        <v>3934</v>
      </c>
      <c r="W3304" s="9">
        <f>IF(V3304="pregrado",31,
IF(V3304="posgrados",31,
IF(V3304="rEINTEGROS",7,
IF(V3304="BIT",90,
IF(V3304="OP GRADO - INGLÉS",17,"")))))</f>
        <v>31</v>
      </c>
      <c r="X3304" t="s">
        <v>4034</v>
      </c>
    </row>
    <row r="3305" spans="1:24" ht="15" x14ac:dyDescent="0.35">
      <c r="A3305" s="4">
        <v>46037.899317129632</v>
      </c>
      <c r="B3305">
        <v>20113985</v>
      </c>
      <c r="C3305" s="6" t="s">
        <v>19</v>
      </c>
      <c r="D3305">
        <v>602192</v>
      </c>
      <c r="E3305" t="s">
        <v>20</v>
      </c>
      <c r="F3305">
        <v>1072640771</v>
      </c>
      <c r="G3305" t="s">
        <v>1869</v>
      </c>
      <c r="H3305">
        <v>100116070</v>
      </c>
      <c r="I3305">
        <v>202631</v>
      </c>
      <c r="J3305">
        <v>1072640771</v>
      </c>
      <c r="K3305" t="s">
        <v>89</v>
      </c>
      <c r="L3305" t="s">
        <v>127</v>
      </c>
      <c r="M3305" t="s">
        <v>24</v>
      </c>
      <c r="N3305" t="s">
        <v>25</v>
      </c>
      <c r="O3305" t="s">
        <v>26</v>
      </c>
      <c r="P3305" t="s">
        <v>27</v>
      </c>
      <c r="Q3305" t="s">
        <v>28</v>
      </c>
      <c r="R3305" t="s">
        <v>29</v>
      </c>
      <c r="S3305" t="s">
        <v>30</v>
      </c>
      <c r="T3305">
        <v>1000934874</v>
      </c>
      <c r="U3305" t="s">
        <v>3977</v>
      </c>
      <c r="V3305" t="s">
        <v>3970</v>
      </c>
      <c r="W3305" s="9">
        <f>IF(V3305="pregrado",31,
IF(V3305="posgrados",31,
IF(V3305="rEINTEGROS",7,
IF(V3305="BIT",90,
IF(V3305="OP GRADO - INGLÉS",17,"")))))</f>
        <v>7</v>
      </c>
      <c r="X3305" t="s">
        <v>3999</v>
      </c>
    </row>
    <row r="3306" spans="1:24" ht="15" x14ac:dyDescent="0.35">
      <c r="A3306" s="4">
        <v>46036.792939814812</v>
      </c>
      <c r="B3306">
        <v>20113303</v>
      </c>
      <c r="C3306" s="6" t="s">
        <v>19</v>
      </c>
      <c r="D3306">
        <v>602208</v>
      </c>
      <c r="E3306" t="s">
        <v>20</v>
      </c>
      <c r="F3306">
        <v>1063170766</v>
      </c>
      <c r="G3306" t="s">
        <v>1805</v>
      </c>
      <c r="H3306">
        <v>100241748</v>
      </c>
      <c r="I3306">
        <v>202631</v>
      </c>
      <c r="J3306">
        <v>1003293062</v>
      </c>
      <c r="K3306" t="s">
        <v>33</v>
      </c>
      <c r="L3306" t="s">
        <v>127</v>
      </c>
      <c r="M3306" t="s">
        <v>24</v>
      </c>
      <c r="N3306" t="s">
        <v>25</v>
      </c>
      <c r="O3306" t="s">
        <v>26</v>
      </c>
      <c r="P3306" t="s">
        <v>27</v>
      </c>
      <c r="Q3306" t="s">
        <v>28</v>
      </c>
      <c r="R3306" t="s">
        <v>29</v>
      </c>
      <c r="S3306" t="s">
        <v>30</v>
      </c>
      <c r="T3306">
        <v>1013595695</v>
      </c>
      <c r="U3306" t="s">
        <v>3933</v>
      </c>
      <c r="V3306" t="s">
        <v>3934</v>
      </c>
      <c r="W3306" s="9">
        <f>IF(V3306="pregrado",31,
IF(V3306="posgrados",31,
IF(V3306="rEINTEGROS",7,
IF(V3306="BIT",90,
IF(V3306="OP GRADO - INGLÉS",17,"")))))</f>
        <v>31</v>
      </c>
      <c r="X3306" t="s">
        <v>3990</v>
      </c>
    </row>
    <row r="3307" spans="1:24" ht="15" x14ac:dyDescent="0.35">
      <c r="A3307" s="4">
        <v>46037.823564814818</v>
      </c>
      <c r="B3307">
        <v>20113945</v>
      </c>
      <c r="C3307" s="6" t="s">
        <v>19</v>
      </c>
      <c r="D3307">
        <v>602213</v>
      </c>
      <c r="E3307" t="s">
        <v>20</v>
      </c>
      <c r="F3307">
        <v>52588796</v>
      </c>
      <c r="G3307" t="s">
        <v>1865</v>
      </c>
      <c r="H3307">
        <v>100088726</v>
      </c>
      <c r="I3307">
        <v>202611</v>
      </c>
      <c r="J3307">
        <v>1019129909</v>
      </c>
      <c r="K3307" t="s">
        <v>89</v>
      </c>
      <c r="L3307" t="s">
        <v>133</v>
      </c>
      <c r="M3307" t="s">
        <v>24</v>
      </c>
      <c r="N3307" t="s">
        <v>38</v>
      </c>
      <c r="O3307" t="s">
        <v>26</v>
      </c>
      <c r="P3307" t="s">
        <v>27</v>
      </c>
      <c r="Q3307" t="s">
        <v>28</v>
      </c>
      <c r="R3307" t="s">
        <v>29</v>
      </c>
      <c r="S3307" t="s">
        <v>30</v>
      </c>
      <c r="T3307">
        <v>1000934874</v>
      </c>
      <c r="U3307" t="s">
        <v>3977</v>
      </c>
      <c r="V3307" t="s">
        <v>3970</v>
      </c>
      <c r="W3307" s="9">
        <f>IF(V3307="pregrado",31,
IF(V3307="posgrados",31,
IF(V3307="rEINTEGROS",7,
IF(V3307="BIT",90,
IF(V3307="OP GRADO - INGLÉS",17,"")))))</f>
        <v>7</v>
      </c>
      <c r="X3307" t="s">
        <v>3999</v>
      </c>
    </row>
    <row r="3308" spans="1:24" ht="15" x14ac:dyDescent="0.35">
      <c r="A3308" s="4">
        <v>46036.654317129629</v>
      </c>
      <c r="B3308">
        <v>20113191</v>
      </c>
      <c r="C3308" s="6" t="s">
        <v>19</v>
      </c>
      <c r="D3308">
        <v>602223</v>
      </c>
      <c r="E3308" t="s">
        <v>20</v>
      </c>
      <c r="F3308">
        <v>1042442160</v>
      </c>
      <c r="G3308" t="s">
        <v>1785</v>
      </c>
      <c r="H3308">
        <v>100212311</v>
      </c>
      <c r="I3308">
        <v>202611</v>
      </c>
      <c r="J3308">
        <v>1042442160</v>
      </c>
      <c r="K3308" t="s">
        <v>33</v>
      </c>
      <c r="L3308" t="s">
        <v>221</v>
      </c>
      <c r="M3308" t="s">
        <v>24</v>
      </c>
      <c r="N3308" t="s">
        <v>25</v>
      </c>
      <c r="O3308" t="s">
        <v>26</v>
      </c>
      <c r="P3308" t="s">
        <v>27</v>
      </c>
      <c r="Q3308" t="s">
        <v>28</v>
      </c>
      <c r="R3308" t="s">
        <v>29</v>
      </c>
      <c r="S3308" t="s">
        <v>30</v>
      </c>
      <c r="T3308">
        <v>1001277801</v>
      </c>
      <c r="U3308" t="s">
        <v>3965</v>
      </c>
      <c r="V3308" t="s">
        <v>3934</v>
      </c>
      <c r="W3308" s="9">
        <f>IF(V3308="pregrado",31,
IF(V3308="posgrados",31,
IF(V3308="rEINTEGROS",7,
IF(V3308="BIT",90,
IF(V3308="OP GRADO - INGLÉS",17,"")))))</f>
        <v>31</v>
      </c>
      <c r="X3308" t="s">
        <v>4002</v>
      </c>
    </row>
    <row r="3309" spans="1:24" ht="15" x14ac:dyDescent="0.35">
      <c r="A3309" s="4">
        <v>46037.601863425924</v>
      </c>
      <c r="B3309">
        <v>20113650</v>
      </c>
      <c r="C3309" s="6" t="s">
        <v>19</v>
      </c>
      <c r="D3309">
        <v>602226</v>
      </c>
      <c r="E3309" t="s">
        <v>20</v>
      </c>
      <c r="F3309">
        <v>18001179</v>
      </c>
      <c r="G3309" t="s">
        <v>1834</v>
      </c>
      <c r="H3309">
        <v>200081729</v>
      </c>
      <c r="I3309">
        <v>202631</v>
      </c>
      <c r="J3309">
        <v>1123636857</v>
      </c>
      <c r="K3309" t="s">
        <v>33</v>
      </c>
      <c r="L3309" t="s">
        <v>22</v>
      </c>
      <c r="M3309" t="s">
        <v>24</v>
      </c>
      <c r="N3309" t="s">
        <v>38</v>
      </c>
      <c r="O3309" t="s">
        <v>26</v>
      </c>
      <c r="P3309" t="s">
        <v>27</v>
      </c>
      <c r="Q3309" t="s">
        <v>28</v>
      </c>
      <c r="R3309" t="s">
        <v>29</v>
      </c>
      <c r="S3309" t="s">
        <v>30</v>
      </c>
      <c r="T3309">
        <v>1010240716</v>
      </c>
      <c r="U3309" t="s">
        <v>3939</v>
      </c>
      <c r="V3309" t="s">
        <v>3934</v>
      </c>
      <c r="W3309" s="9">
        <f>IF(V3309="pregrado",31,
IF(V3309="posgrados",31,
IF(V3309="rEINTEGROS",7,
IF(V3309="BIT",90,
IF(V3309="OP GRADO - INGLÉS",17,"")))))</f>
        <v>31</v>
      </c>
      <c r="X3309" t="s">
        <v>3938</v>
      </c>
    </row>
    <row r="3310" spans="1:24" ht="15" x14ac:dyDescent="0.35">
      <c r="A3310" s="4">
        <v>46037.755104166667</v>
      </c>
      <c r="B3310">
        <v>20113887</v>
      </c>
      <c r="C3310" s="6" t="s">
        <v>19</v>
      </c>
      <c r="D3310">
        <v>602239</v>
      </c>
      <c r="E3310" t="s">
        <v>20</v>
      </c>
      <c r="F3310">
        <v>1003066384</v>
      </c>
      <c r="G3310" t="s">
        <v>1859</v>
      </c>
      <c r="H3310">
        <v>100241768</v>
      </c>
      <c r="I3310">
        <v>202611</v>
      </c>
      <c r="J3310">
        <v>1047427416</v>
      </c>
      <c r="K3310" t="s">
        <v>189</v>
      </c>
      <c r="L3310" t="s">
        <v>227</v>
      </c>
      <c r="M3310" t="s">
        <v>24</v>
      </c>
      <c r="N3310" t="s">
        <v>35</v>
      </c>
      <c r="O3310" t="s">
        <v>26</v>
      </c>
      <c r="P3310" t="s">
        <v>27</v>
      </c>
      <c r="Q3310" t="s">
        <v>28</v>
      </c>
      <c r="R3310" t="s">
        <v>29</v>
      </c>
      <c r="S3310" t="s">
        <v>30</v>
      </c>
      <c r="T3310">
        <v>10006855461</v>
      </c>
      <c r="U3310" t="s">
        <v>3965</v>
      </c>
      <c r="V3310" t="s">
        <v>3934</v>
      </c>
      <c r="W3310" s="9">
        <f>IF(V3310="pregrado",31,
IF(V3310="posgrados",31,
IF(V3310="rEINTEGROS",7,
IF(V3310="BIT",90,
IF(V3310="OP GRADO - INGLÉS",17,"")))))</f>
        <v>31</v>
      </c>
      <c r="X3310" t="s">
        <v>3993</v>
      </c>
    </row>
    <row r="3311" spans="1:24" ht="15" x14ac:dyDescent="0.35">
      <c r="A3311" s="4">
        <v>46036.671979166669</v>
      </c>
      <c r="B3311">
        <v>20113213</v>
      </c>
      <c r="C3311" s="6" t="s">
        <v>19</v>
      </c>
      <c r="D3311">
        <v>602240</v>
      </c>
      <c r="E3311" t="s">
        <v>20</v>
      </c>
      <c r="F3311">
        <v>1007977595</v>
      </c>
      <c r="G3311" t="s">
        <v>1790</v>
      </c>
      <c r="H3311">
        <v>100235754</v>
      </c>
      <c r="I3311">
        <v>202610</v>
      </c>
      <c r="J3311">
        <v>1007977595</v>
      </c>
      <c r="K3311" t="s">
        <v>23</v>
      </c>
      <c r="L3311" t="s">
        <v>40</v>
      </c>
      <c r="M3311" t="s">
        <v>24</v>
      </c>
      <c r="N3311" t="s">
        <v>35</v>
      </c>
      <c r="O3311" t="s">
        <v>26</v>
      </c>
      <c r="P3311" t="s">
        <v>27</v>
      </c>
      <c r="Q3311" t="s">
        <v>28</v>
      </c>
      <c r="R3311" t="s">
        <v>29</v>
      </c>
      <c r="S3311" t="s">
        <v>30</v>
      </c>
      <c r="T3311">
        <v>1000625316</v>
      </c>
      <c r="U3311" t="s">
        <v>3944</v>
      </c>
      <c r="V3311" t="s">
        <v>3934</v>
      </c>
      <c r="W3311" s="9">
        <f>IF(V3311="pregrado",31,
IF(V3311="posgrados",31,
IF(V3311="rEINTEGROS",7,
IF(V3311="BIT",90,
IF(V3311="OP GRADO - INGLÉS",17,"")))))</f>
        <v>31</v>
      </c>
      <c r="X3311" t="s">
        <v>3980</v>
      </c>
    </row>
    <row r="3312" spans="1:24" ht="15" x14ac:dyDescent="0.35">
      <c r="A3312" s="4">
        <v>46064.405763888892</v>
      </c>
      <c r="B3312">
        <v>20122327</v>
      </c>
      <c r="C3312" s="6" t="s">
        <v>19</v>
      </c>
      <c r="D3312">
        <v>602248</v>
      </c>
      <c r="E3312" t="s">
        <v>20</v>
      </c>
      <c r="F3312">
        <v>1001047609</v>
      </c>
      <c r="G3312" t="s">
        <v>3018</v>
      </c>
      <c r="H3312">
        <v>100158470</v>
      </c>
      <c r="I3312">
        <v>202611</v>
      </c>
      <c r="J3312">
        <v>1001047609</v>
      </c>
      <c r="K3312" t="s">
        <v>89</v>
      </c>
      <c r="L3312" t="s">
        <v>133</v>
      </c>
      <c r="M3312" t="s">
        <v>24</v>
      </c>
      <c r="N3312" t="s">
        <v>35</v>
      </c>
      <c r="O3312" t="s">
        <v>26</v>
      </c>
      <c r="P3312" t="s">
        <v>27</v>
      </c>
      <c r="Q3312" t="s">
        <v>28</v>
      </c>
      <c r="R3312" t="s">
        <v>29</v>
      </c>
      <c r="S3312" t="s">
        <v>30</v>
      </c>
      <c r="T3312">
        <v>52168054</v>
      </c>
      <c r="U3312" t="s">
        <v>3977</v>
      </c>
      <c r="V3312" t="s">
        <v>3970</v>
      </c>
      <c r="W3312" s="9">
        <f>IF(V3312="pregrado",31,
IF(V3312="posgrados",31,
IF(V3312="rEINTEGROS",7,
IF(V3312="BIT",90,
IF(V3312="OP GRADO - INGLÉS",17,"")))))</f>
        <v>7</v>
      </c>
      <c r="X3312" t="s">
        <v>4057</v>
      </c>
    </row>
    <row r="3313" spans="1:24" ht="15" x14ac:dyDescent="0.35">
      <c r="A3313" s="4">
        <v>46037.411562499998</v>
      </c>
      <c r="B3313">
        <v>20113452</v>
      </c>
      <c r="C3313" s="6" t="s">
        <v>19</v>
      </c>
      <c r="D3313">
        <v>602249</v>
      </c>
      <c r="E3313" t="s">
        <v>20</v>
      </c>
      <c r="F3313">
        <v>53013113</v>
      </c>
      <c r="G3313" t="s">
        <v>1815</v>
      </c>
      <c r="H3313">
        <v>100157873</v>
      </c>
      <c r="I3313">
        <v>202610</v>
      </c>
      <c r="J3313">
        <v>1034779002</v>
      </c>
      <c r="K3313" t="s">
        <v>89</v>
      </c>
      <c r="L3313" t="s">
        <v>40</v>
      </c>
      <c r="M3313" t="s">
        <v>24</v>
      </c>
      <c r="N3313" t="s">
        <v>35</v>
      </c>
      <c r="O3313" t="s">
        <v>26</v>
      </c>
      <c r="P3313" t="s">
        <v>27</v>
      </c>
      <c r="Q3313" t="s">
        <v>28</v>
      </c>
      <c r="R3313" t="s">
        <v>29</v>
      </c>
      <c r="S3313" t="s">
        <v>30</v>
      </c>
      <c r="T3313">
        <v>52168054</v>
      </c>
      <c r="U3313" t="s">
        <v>3977</v>
      </c>
      <c r="V3313" t="s">
        <v>3970</v>
      </c>
      <c r="W3313" s="9">
        <f>IF(V3313="pregrado",31,
IF(V3313="posgrados",31,
IF(V3313="rEINTEGROS",7,
IF(V3313="BIT",90,
IF(V3313="OP GRADO - INGLÉS",17,"")))))</f>
        <v>7</v>
      </c>
      <c r="X3313" t="s">
        <v>4057</v>
      </c>
    </row>
    <row r="3314" spans="1:24" ht="15" x14ac:dyDescent="0.35">
      <c r="A3314" s="4">
        <v>46037.725740740738</v>
      </c>
      <c r="B3314">
        <v>20113855</v>
      </c>
      <c r="C3314" s="6" t="s">
        <v>19</v>
      </c>
      <c r="D3314">
        <v>602252</v>
      </c>
      <c r="E3314" t="s">
        <v>20</v>
      </c>
      <c r="F3314">
        <v>1012323754</v>
      </c>
      <c r="G3314" t="s">
        <v>1856</v>
      </c>
      <c r="H3314">
        <v>100241778</v>
      </c>
      <c r="I3314">
        <v>202611</v>
      </c>
      <c r="J3314">
        <v>1110494952</v>
      </c>
      <c r="K3314" t="s">
        <v>23</v>
      </c>
      <c r="L3314" t="s">
        <v>221</v>
      </c>
      <c r="M3314" t="s">
        <v>24</v>
      </c>
      <c r="N3314" t="s">
        <v>25</v>
      </c>
      <c r="O3314" t="s">
        <v>26</v>
      </c>
      <c r="P3314" t="s">
        <v>27</v>
      </c>
      <c r="Q3314" t="s">
        <v>28</v>
      </c>
      <c r="R3314" t="s">
        <v>29</v>
      </c>
      <c r="S3314" t="s">
        <v>30</v>
      </c>
      <c r="T3314">
        <v>1025460711</v>
      </c>
      <c r="U3314" t="s">
        <v>3933</v>
      </c>
      <c r="V3314" t="s">
        <v>3934</v>
      </c>
      <c r="W3314" s="9">
        <f>IF(V3314="pregrado",31,
IF(V3314="posgrados",31,
IF(V3314="rEINTEGROS",7,
IF(V3314="BIT",90,
IF(V3314="OP GRADO - INGLÉS",17,"")))))</f>
        <v>31</v>
      </c>
      <c r="X3314" t="s">
        <v>4062</v>
      </c>
    </row>
    <row r="3315" spans="1:24" ht="15" x14ac:dyDescent="0.35">
      <c r="A3315" s="4">
        <v>46043.676099537035</v>
      </c>
      <c r="B3315">
        <v>20115869</v>
      </c>
      <c r="C3315" s="6" t="s">
        <v>19</v>
      </c>
      <c r="D3315">
        <v>602259</v>
      </c>
      <c r="E3315" t="s">
        <v>20</v>
      </c>
      <c r="F3315">
        <v>1001059707</v>
      </c>
      <c r="G3315" t="s">
        <v>2110</v>
      </c>
      <c r="H3315">
        <v>100065018</v>
      </c>
      <c r="I3315">
        <v>202631</v>
      </c>
      <c r="J3315">
        <v>1007413363</v>
      </c>
      <c r="K3315" t="s">
        <v>46</v>
      </c>
      <c r="L3315" t="s">
        <v>90</v>
      </c>
      <c r="M3315" t="s">
        <v>24</v>
      </c>
      <c r="N3315" t="s">
        <v>35</v>
      </c>
      <c r="O3315" t="s">
        <v>26</v>
      </c>
      <c r="P3315" t="s">
        <v>27</v>
      </c>
      <c r="Q3315" t="s">
        <v>28</v>
      </c>
      <c r="R3315" t="s">
        <v>29</v>
      </c>
      <c r="S3315" t="s">
        <v>30</v>
      </c>
      <c r="T3315">
        <v>1000578914</v>
      </c>
      <c r="U3315" t="s">
        <v>3941</v>
      </c>
      <c r="V3315" t="s">
        <v>3934</v>
      </c>
      <c r="W3315" s="9">
        <f>IF(V3315="pregrado",31,
IF(V3315="posgrados",31,
IF(V3315="rEINTEGROS",7,
IF(V3315="BIT",90,
IF(V3315="OP GRADO - INGLÉS",17,"")))))</f>
        <v>31</v>
      </c>
      <c r="X3315" t="s">
        <v>4060</v>
      </c>
    </row>
    <row r="3316" spans="1:24" ht="15" x14ac:dyDescent="0.35">
      <c r="A3316" s="4">
        <v>46042.896608796298</v>
      </c>
      <c r="B3316">
        <v>20115555</v>
      </c>
      <c r="C3316" s="6" t="s">
        <v>19</v>
      </c>
      <c r="D3316">
        <v>602264</v>
      </c>
      <c r="E3316" t="s">
        <v>20</v>
      </c>
      <c r="F3316">
        <v>4228442</v>
      </c>
      <c r="G3316" t="s">
        <v>2053</v>
      </c>
      <c r="H3316">
        <v>100183174</v>
      </c>
      <c r="I3316">
        <v>202631</v>
      </c>
      <c r="J3316">
        <v>1095551457</v>
      </c>
      <c r="K3316" t="s">
        <v>89</v>
      </c>
      <c r="L3316" t="s">
        <v>65</v>
      </c>
      <c r="M3316" t="s">
        <v>24</v>
      </c>
      <c r="N3316" t="s">
        <v>25</v>
      </c>
      <c r="O3316" t="s">
        <v>26</v>
      </c>
      <c r="P3316" t="s">
        <v>27</v>
      </c>
      <c r="Q3316" t="s">
        <v>28</v>
      </c>
      <c r="R3316" t="s">
        <v>29</v>
      </c>
      <c r="S3316" t="s">
        <v>30</v>
      </c>
      <c r="T3316">
        <v>52168054</v>
      </c>
      <c r="U3316" t="s">
        <v>3977</v>
      </c>
      <c r="V3316" t="s">
        <v>3970</v>
      </c>
      <c r="W3316" s="9">
        <f>IF(V3316="pregrado",31,
IF(V3316="posgrados",31,
IF(V3316="rEINTEGROS",7,
IF(V3316="BIT",90,
IF(V3316="OP GRADO - INGLÉS",17,"")))))</f>
        <v>7</v>
      </c>
      <c r="X3316" t="s">
        <v>4057</v>
      </c>
    </row>
    <row r="3317" spans="1:24" ht="15" x14ac:dyDescent="0.35">
      <c r="A3317" s="4">
        <v>46036.74145833333</v>
      </c>
      <c r="B3317">
        <v>20113275</v>
      </c>
      <c r="C3317" s="6" t="s">
        <v>19</v>
      </c>
      <c r="D3317">
        <v>602269</v>
      </c>
      <c r="E3317" t="s">
        <v>20</v>
      </c>
      <c r="F3317">
        <v>53119165</v>
      </c>
      <c r="G3317" t="s">
        <v>1799</v>
      </c>
      <c r="H3317">
        <v>100241790</v>
      </c>
      <c r="I3317">
        <v>202631</v>
      </c>
      <c r="J3317">
        <v>53119165</v>
      </c>
      <c r="K3317" t="s">
        <v>23</v>
      </c>
      <c r="L3317" t="s">
        <v>240</v>
      </c>
      <c r="M3317" t="s">
        <v>24</v>
      </c>
      <c r="N3317" t="s">
        <v>35</v>
      </c>
      <c r="O3317" t="s">
        <v>26</v>
      </c>
      <c r="P3317" t="s">
        <v>27</v>
      </c>
      <c r="Q3317" t="s">
        <v>28</v>
      </c>
      <c r="R3317" t="s">
        <v>29</v>
      </c>
      <c r="S3317" t="s">
        <v>30</v>
      </c>
      <c r="T3317">
        <v>1001277801</v>
      </c>
      <c r="U3317" t="s">
        <v>3965</v>
      </c>
      <c r="V3317" t="s">
        <v>3934</v>
      </c>
      <c r="W3317" s="9">
        <f>IF(V3317="pregrado",31,
IF(V3317="posgrados",31,
IF(V3317="rEINTEGROS",7,
IF(V3317="BIT",90,
IF(V3317="OP GRADO - INGLÉS",17,"")))))</f>
        <v>31</v>
      </c>
      <c r="X3317" t="s">
        <v>4002</v>
      </c>
    </row>
    <row r="3318" spans="1:24" ht="15" x14ac:dyDescent="0.35">
      <c r="A3318" s="4">
        <v>46065.610601851855</v>
      </c>
      <c r="B3318">
        <v>20122851</v>
      </c>
      <c r="C3318" s="6" t="s">
        <v>19</v>
      </c>
      <c r="D3318">
        <v>602289</v>
      </c>
      <c r="E3318" t="s">
        <v>20</v>
      </c>
      <c r="F3318">
        <v>1060801464</v>
      </c>
      <c r="G3318" t="s">
        <v>3104</v>
      </c>
      <c r="H3318">
        <v>100241802</v>
      </c>
      <c r="I3318">
        <v>202631</v>
      </c>
      <c r="J3318">
        <v>1010130049</v>
      </c>
      <c r="K3318" t="s">
        <v>33</v>
      </c>
      <c r="L3318" t="s">
        <v>240</v>
      </c>
      <c r="M3318" t="s">
        <v>24</v>
      </c>
      <c r="N3318" t="s">
        <v>605</v>
      </c>
      <c r="O3318" t="s">
        <v>26</v>
      </c>
      <c r="P3318" t="s">
        <v>27</v>
      </c>
      <c r="Q3318" t="s">
        <v>28</v>
      </c>
      <c r="R3318" t="s">
        <v>29</v>
      </c>
      <c r="S3318" t="s">
        <v>30</v>
      </c>
      <c r="T3318">
        <v>10822473081</v>
      </c>
      <c r="U3318" t="s">
        <v>3965</v>
      </c>
      <c r="V3318" t="s">
        <v>3934</v>
      </c>
      <c r="W3318" s="9">
        <f>IF(V3318="pregrado",31,
IF(V3318="posgrados",31,
IF(V3318="rEINTEGROS",7,
IF(V3318="BIT",90,
IF(V3318="OP GRADO - INGLÉS",17,"")))))</f>
        <v>31</v>
      </c>
      <c r="X3318" t="s">
        <v>4007</v>
      </c>
    </row>
    <row r="3319" spans="1:24" ht="15" x14ac:dyDescent="0.35">
      <c r="A3319" s="4">
        <v>46043.692256944443</v>
      </c>
      <c r="B3319">
        <v>20115882</v>
      </c>
      <c r="C3319" s="6" t="s">
        <v>19</v>
      </c>
      <c r="D3319">
        <v>602299</v>
      </c>
      <c r="E3319" t="s">
        <v>20</v>
      </c>
      <c r="F3319">
        <v>1005231084</v>
      </c>
      <c r="G3319" t="s">
        <v>2114</v>
      </c>
      <c r="H3319">
        <v>100241813</v>
      </c>
      <c r="I3319">
        <v>202631</v>
      </c>
      <c r="J3319">
        <v>1005231084</v>
      </c>
      <c r="K3319" t="s">
        <v>33</v>
      </c>
      <c r="L3319" t="s">
        <v>127</v>
      </c>
      <c r="M3319" t="s">
        <v>24</v>
      </c>
      <c r="N3319" t="s">
        <v>25</v>
      </c>
      <c r="O3319" t="s">
        <v>26</v>
      </c>
      <c r="P3319" t="s">
        <v>27</v>
      </c>
      <c r="Q3319" t="s">
        <v>28</v>
      </c>
      <c r="R3319" t="s">
        <v>29</v>
      </c>
      <c r="S3319" t="s">
        <v>30</v>
      </c>
      <c r="T3319">
        <v>1015441103</v>
      </c>
      <c r="U3319" t="s">
        <v>3933</v>
      </c>
      <c r="V3319" t="s">
        <v>3934</v>
      </c>
      <c r="W3319" s="9">
        <f>IF(V3319="pregrado",31,
IF(V3319="posgrados",31,
IF(V3319="rEINTEGROS",7,
IF(V3319="BIT",90,
IF(V3319="OP GRADO - INGLÉS",17,"")))))</f>
        <v>31</v>
      </c>
      <c r="X3319" t="s">
        <v>3961</v>
      </c>
    </row>
    <row r="3320" spans="1:24" ht="15" x14ac:dyDescent="0.35">
      <c r="A3320" s="4">
        <v>46038.693576388891</v>
      </c>
      <c r="B3320">
        <v>20114479</v>
      </c>
      <c r="C3320" s="6" t="s">
        <v>19</v>
      </c>
      <c r="D3320">
        <v>602303</v>
      </c>
      <c r="E3320" t="s">
        <v>20</v>
      </c>
      <c r="F3320">
        <v>4633417</v>
      </c>
      <c r="G3320" t="s">
        <v>1925</v>
      </c>
      <c r="H3320">
        <v>100241816</v>
      </c>
      <c r="I3320">
        <v>202631</v>
      </c>
      <c r="J3320">
        <v>1002958510</v>
      </c>
      <c r="K3320" t="s">
        <v>23</v>
      </c>
      <c r="L3320" t="s">
        <v>219</v>
      </c>
      <c r="M3320" t="s">
        <v>24</v>
      </c>
      <c r="N3320" t="s">
        <v>25</v>
      </c>
      <c r="O3320" t="s">
        <v>26</v>
      </c>
      <c r="P3320" t="s">
        <v>27</v>
      </c>
      <c r="Q3320" t="s">
        <v>28</v>
      </c>
      <c r="R3320" t="s">
        <v>29</v>
      </c>
      <c r="S3320" t="s">
        <v>30</v>
      </c>
      <c r="T3320">
        <v>1077967131</v>
      </c>
      <c r="U3320" t="s">
        <v>3963</v>
      </c>
      <c r="V3320" t="s">
        <v>3934</v>
      </c>
      <c r="W3320" s="9">
        <f>IF(V3320="pregrado",31,
IF(V3320="posgrados",31,
IF(V3320="rEINTEGROS",7,
IF(V3320="BIT",90,
IF(V3320="OP GRADO - INGLÉS",17,"")))))</f>
        <v>31</v>
      </c>
      <c r="X3320" t="s">
        <v>4011</v>
      </c>
    </row>
    <row r="3321" spans="1:24" ht="15" x14ac:dyDescent="0.35">
      <c r="A3321" s="4">
        <v>46037.523020833331</v>
      </c>
      <c r="B3321">
        <v>20113576</v>
      </c>
      <c r="C3321" s="6" t="s">
        <v>19</v>
      </c>
      <c r="D3321">
        <v>602308</v>
      </c>
      <c r="E3321" t="s">
        <v>20</v>
      </c>
      <c r="F3321">
        <v>93130904</v>
      </c>
      <c r="G3321" t="s">
        <v>1830</v>
      </c>
      <c r="H3321">
        <v>100241820</v>
      </c>
      <c r="I3321">
        <v>202631</v>
      </c>
      <c r="J3321">
        <v>1025533470</v>
      </c>
      <c r="K3321" t="s">
        <v>23</v>
      </c>
      <c r="L3321" t="s">
        <v>90</v>
      </c>
      <c r="M3321" t="s">
        <v>24</v>
      </c>
      <c r="N3321" t="s">
        <v>35</v>
      </c>
      <c r="O3321" t="s">
        <v>26</v>
      </c>
      <c r="P3321" t="s">
        <v>27</v>
      </c>
      <c r="Q3321" t="s">
        <v>28</v>
      </c>
      <c r="R3321" t="s">
        <v>29</v>
      </c>
      <c r="S3321" t="s">
        <v>30</v>
      </c>
      <c r="T3321">
        <v>1007473661</v>
      </c>
      <c r="U3321" t="s">
        <v>3933</v>
      </c>
      <c r="V3321" t="s">
        <v>3934</v>
      </c>
      <c r="W3321" s="9">
        <f>IF(V3321="pregrado",31,
IF(V3321="posgrados",31,
IF(V3321="rEINTEGROS",7,
IF(V3321="BIT",90,
IF(V3321="OP GRADO - INGLÉS",17,"")))))</f>
        <v>31</v>
      </c>
      <c r="X3321" t="s">
        <v>4058</v>
      </c>
    </row>
    <row r="3322" spans="1:24" ht="15" x14ac:dyDescent="0.35">
      <c r="A3322" s="4">
        <v>46037.63318287037</v>
      </c>
      <c r="B3322">
        <v>20113709</v>
      </c>
      <c r="C3322" s="6" t="s">
        <v>19</v>
      </c>
      <c r="D3322">
        <v>602309</v>
      </c>
      <c r="E3322" t="s">
        <v>20</v>
      </c>
      <c r="F3322">
        <v>1053605651</v>
      </c>
      <c r="G3322" t="s">
        <v>1836</v>
      </c>
      <c r="H3322">
        <v>100241822</v>
      </c>
      <c r="I3322">
        <v>202631</v>
      </c>
      <c r="J3322">
        <v>1053605651</v>
      </c>
      <c r="K3322" t="s">
        <v>33</v>
      </c>
      <c r="L3322" t="s">
        <v>231</v>
      </c>
      <c r="M3322" t="s">
        <v>24</v>
      </c>
      <c r="N3322" t="s">
        <v>25</v>
      </c>
      <c r="O3322" t="s">
        <v>26</v>
      </c>
      <c r="P3322" t="s">
        <v>27</v>
      </c>
      <c r="Q3322" t="s">
        <v>28</v>
      </c>
      <c r="R3322" t="s">
        <v>29</v>
      </c>
      <c r="S3322" t="s">
        <v>30</v>
      </c>
      <c r="T3322">
        <v>80219471</v>
      </c>
      <c r="U3322" t="s">
        <v>3941</v>
      </c>
      <c r="V3322" t="s">
        <v>3934</v>
      </c>
      <c r="W3322" s="9">
        <f>IF(V3322="pregrado",31,
IF(V3322="posgrados",31,
IF(V3322="rEINTEGROS",7,
IF(V3322="BIT",90,
IF(V3322="OP GRADO - INGLÉS",17,"")))))</f>
        <v>31</v>
      </c>
      <c r="X3322" t="s">
        <v>4030</v>
      </c>
    </row>
    <row r="3323" spans="1:24" ht="15" x14ac:dyDescent="0.35">
      <c r="A3323" s="4">
        <v>46037.345057870371</v>
      </c>
      <c r="B3323">
        <v>20113381</v>
      </c>
      <c r="C3323" s="6" t="s">
        <v>19</v>
      </c>
      <c r="D3323">
        <v>602312</v>
      </c>
      <c r="E3323" t="s">
        <v>20</v>
      </c>
      <c r="F3323">
        <v>1120871334</v>
      </c>
      <c r="G3323" t="s">
        <v>1810</v>
      </c>
      <c r="H3323">
        <v>100241824</v>
      </c>
      <c r="I3323">
        <v>202611</v>
      </c>
      <c r="J3323">
        <v>1120871334</v>
      </c>
      <c r="K3323" t="s">
        <v>23</v>
      </c>
      <c r="L3323" t="s">
        <v>221</v>
      </c>
      <c r="M3323" t="s">
        <v>24</v>
      </c>
      <c r="N3323" t="s">
        <v>25</v>
      </c>
      <c r="O3323" t="s">
        <v>26</v>
      </c>
      <c r="P3323" t="s">
        <v>27</v>
      </c>
      <c r="Q3323" t="s">
        <v>28</v>
      </c>
      <c r="R3323" t="s">
        <v>29</v>
      </c>
      <c r="S3323" t="s">
        <v>30</v>
      </c>
      <c r="T3323">
        <v>10822473081</v>
      </c>
      <c r="U3323" t="s">
        <v>3965</v>
      </c>
      <c r="V3323" t="s">
        <v>3934</v>
      </c>
      <c r="W3323" s="9">
        <f>IF(V3323="pregrado",31,
IF(V3323="posgrados",31,
IF(V3323="rEINTEGROS",7,
IF(V3323="BIT",90,
IF(V3323="OP GRADO - INGLÉS",17,"")))))</f>
        <v>31</v>
      </c>
      <c r="X3323" t="s">
        <v>4007</v>
      </c>
    </row>
    <row r="3324" spans="1:24" ht="15" x14ac:dyDescent="0.35">
      <c r="A3324" s="4">
        <v>46037.677094907405</v>
      </c>
      <c r="B3324">
        <v>20113790</v>
      </c>
      <c r="C3324" s="6" t="s">
        <v>19</v>
      </c>
      <c r="D3324">
        <v>602324</v>
      </c>
      <c r="E3324" t="s">
        <v>20</v>
      </c>
      <c r="F3324">
        <v>35402681</v>
      </c>
      <c r="G3324" t="s">
        <v>1848</v>
      </c>
      <c r="H3324">
        <v>100241839</v>
      </c>
      <c r="I3324">
        <v>202631</v>
      </c>
      <c r="J3324">
        <v>1076739200</v>
      </c>
      <c r="K3324" t="s">
        <v>23</v>
      </c>
      <c r="L3324" t="s">
        <v>65</v>
      </c>
      <c r="M3324" t="s">
        <v>24</v>
      </c>
      <c r="N3324" t="s">
        <v>35</v>
      </c>
      <c r="O3324" t="s">
        <v>26</v>
      </c>
      <c r="P3324" t="s">
        <v>27</v>
      </c>
      <c r="Q3324" t="s">
        <v>28</v>
      </c>
      <c r="R3324" t="s">
        <v>29</v>
      </c>
      <c r="S3324" t="s">
        <v>30</v>
      </c>
      <c r="T3324">
        <v>1003690112</v>
      </c>
      <c r="U3324" t="s">
        <v>3933</v>
      </c>
      <c r="V3324" t="s">
        <v>3934</v>
      </c>
      <c r="W3324" s="9">
        <f>IF(V3324="pregrado",31,
IF(V3324="posgrados",31,
IF(V3324="rEINTEGROS",7,
IF(V3324="BIT",90,
IF(V3324="OP GRADO - INGLÉS",17,"")))))</f>
        <v>31</v>
      </c>
      <c r="X3324" t="s">
        <v>4061</v>
      </c>
    </row>
    <row r="3325" spans="1:24" ht="15" x14ac:dyDescent="0.35">
      <c r="A3325" s="4">
        <v>46037.446770833332</v>
      </c>
      <c r="B3325">
        <v>20113492</v>
      </c>
      <c r="C3325" s="6" t="s">
        <v>19</v>
      </c>
      <c r="D3325">
        <v>602331</v>
      </c>
      <c r="E3325" t="s">
        <v>20</v>
      </c>
      <c r="F3325">
        <v>1093741993</v>
      </c>
      <c r="G3325" t="s">
        <v>1823</v>
      </c>
      <c r="H3325">
        <v>100241847</v>
      </c>
      <c r="I3325">
        <v>202631</v>
      </c>
      <c r="J3325">
        <v>1093741993</v>
      </c>
      <c r="K3325" t="s">
        <v>23</v>
      </c>
      <c r="L3325" t="s">
        <v>51</v>
      </c>
      <c r="M3325" t="s">
        <v>24</v>
      </c>
      <c r="N3325" t="s">
        <v>25</v>
      </c>
      <c r="O3325" t="s">
        <v>26</v>
      </c>
      <c r="P3325" t="s">
        <v>27</v>
      </c>
      <c r="Q3325" t="s">
        <v>28</v>
      </c>
      <c r="R3325" t="s">
        <v>29</v>
      </c>
      <c r="S3325" t="s">
        <v>30</v>
      </c>
      <c r="T3325">
        <v>10006855461</v>
      </c>
      <c r="U3325" t="s">
        <v>3965</v>
      </c>
      <c r="V3325" t="s">
        <v>3934</v>
      </c>
      <c r="W3325" s="9">
        <f>IF(V3325="pregrado",31,
IF(V3325="posgrados",31,
IF(V3325="rEINTEGROS",7,
IF(V3325="BIT",90,
IF(V3325="OP GRADO - INGLÉS",17,"")))))</f>
        <v>31</v>
      </c>
      <c r="X3325" t="s">
        <v>3993</v>
      </c>
    </row>
    <row r="3326" spans="1:24" ht="15" x14ac:dyDescent="0.35">
      <c r="A3326" s="4">
        <v>46038.43141203704</v>
      </c>
      <c r="B3326">
        <v>20114101</v>
      </c>
      <c r="C3326" s="6" t="s">
        <v>19</v>
      </c>
      <c r="D3326">
        <v>602332</v>
      </c>
      <c r="E3326" t="s">
        <v>20</v>
      </c>
      <c r="F3326">
        <v>52796445</v>
      </c>
      <c r="G3326" t="s">
        <v>1883</v>
      </c>
      <c r="H3326">
        <v>200081402</v>
      </c>
      <c r="I3326">
        <v>202631</v>
      </c>
      <c r="J3326">
        <v>1000335544</v>
      </c>
      <c r="K3326" t="s">
        <v>23</v>
      </c>
      <c r="L3326" t="s">
        <v>22</v>
      </c>
      <c r="M3326" t="s">
        <v>24</v>
      </c>
      <c r="N3326" t="s">
        <v>35</v>
      </c>
      <c r="O3326" t="s">
        <v>26</v>
      </c>
      <c r="P3326" t="s">
        <v>27</v>
      </c>
      <c r="Q3326" t="s">
        <v>28</v>
      </c>
      <c r="R3326" t="s">
        <v>29</v>
      </c>
      <c r="S3326" t="s">
        <v>30</v>
      </c>
      <c r="T3326">
        <v>1077967131</v>
      </c>
      <c r="U3326" t="s">
        <v>3963</v>
      </c>
      <c r="V3326" t="s">
        <v>3934</v>
      </c>
      <c r="W3326" s="9">
        <f>IF(V3326="pregrado",31,
IF(V3326="posgrados",31,
IF(V3326="rEINTEGROS",7,
IF(V3326="BIT",90,
IF(V3326="OP GRADO - INGLÉS",17,"")))))</f>
        <v>31</v>
      </c>
      <c r="X3326" t="s">
        <v>4011</v>
      </c>
    </row>
    <row r="3327" spans="1:24" ht="15" x14ac:dyDescent="0.35">
      <c r="A3327" s="4">
        <v>46039.395185185182</v>
      </c>
      <c r="B3327">
        <v>20114665</v>
      </c>
      <c r="C3327" s="6" t="s">
        <v>19</v>
      </c>
      <c r="D3327">
        <v>602345</v>
      </c>
      <c r="E3327" t="s">
        <v>20</v>
      </c>
      <c r="F3327">
        <v>1014196007</v>
      </c>
      <c r="G3327" t="s">
        <v>1941</v>
      </c>
      <c r="H3327">
        <v>100241279</v>
      </c>
      <c r="I3327">
        <v>202610</v>
      </c>
      <c r="J3327">
        <v>1014196127</v>
      </c>
      <c r="K3327" t="s">
        <v>23</v>
      </c>
      <c r="L3327" t="s">
        <v>79</v>
      </c>
      <c r="M3327" t="s">
        <v>24</v>
      </c>
      <c r="N3327" t="s">
        <v>35</v>
      </c>
      <c r="O3327" t="s">
        <v>26</v>
      </c>
      <c r="P3327" t="s">
        <v>27</v>
      </c>
      <c r="Q3327" t="s">
        <v>28</v>
      </c>
      <c r="R3327" t="s">
        <v>29</v>
      </c>
      <c r="S3327" t="s">
        <v>30</v>
      </c>
      <c r="T3327">
        <v>1030573476</v>
      </c>
      <c r="U3327" t="s">
        <v>3965</v>
      </c>
      <c r="V3327" t="s">
        <v>3934</v>
      </c>
      <c r="W3327" s="9">
        <f>IF(V3327="pregrado",31,
IF(V3327="posgrados",31,
IF(V3327="rEINTEGROS",7,
IF(V3327="BIT",90,
IF(V3327="OP GRADO - INGLÉS",17,"")))))</f>
        <v>31</v>
      </c>
      <c r="X3327" t="s">
        <v>4077</v>
      </c>
    </row>
    <row r="3328" spans="1:24" ht="15" x14ac:dyDescent="0.35">
      <c r="A3328" s="4">
        <v>46037.685439814813</v>
      </c>
      <c r="B3328">
        <v>20113808</v>
      </c>
      <c r="C3328" s="6" t="s">
        <v>19</v>
      </c>
      <c r="D3328">
        <v>602347</v>
      </c>
      <c r="E3328" t="s">
        <v>20</v>
      </c>
      <c r="F3328">
        <v>1006189322</v>
      </c>
      <c r="G3328" t="s">
        <v>1852</v>
      </c>
      <c r="H3328">
        <v>100241871</v>
      </c>
      <c r="I3328">
        <v>202631</v>
      </c>
      <c r="J3328">
        <v>1006189322</v>
      </c>
      <c r="K3328" t="s">
        <v>74</v>
      </c>
      <c r="L3328" t="s">
        <v>90</v>
      </c>
      <c r="M3328" t="s">
        <v>24</v>
      </c>
      <c r="N3328" t="s">
        <v>35</v>
      </c>
      <c r="O3328" t="s">
        <v>26</v>
      </c>
      <c r="P3328" t="s">
        <v>27</v>
      </c>
      <c r="Q3328" t="s">
        <v>28</v>
      </c>
      <c r="R3328" t="s">
        <v>29</v>
      </c>
      <c r="S3328" t="s">
        <v>30</v>
      </c>
      <c r="T3328">
        <v>1018496066</v>
      </c>
      <c r="U3328" t="s">
        <v>3939</v>
      </c>
      <c r="V3328" t="s">
        <v>3934</v>
      </c>
      <c r="W3328" s="9">
        <f>IF(V3328="pregrado",31,
IF(V3328="posgrados",31,
IF(V3328="rEINTEGROS",7,
IF(V3328="BIT",90,
IF(V3328="OP GRADO - INGLÉS",17,"")))))</f>
        <v>31</v>
      </c>
      <c r="X3328" t="s">
        <v>4006</v>
      </c>
    </row>
    <row r="3329" spans="1:24" ht="15" x14ac:dyDescent="0.35">
      <c r="A3329" s="4">
        <v>46043.609918981485</v>
      </c>
      <c r="B3329">
        <v>20115805</v>
      </c>
      <c r="C3329" s="6" t="s">
        <v>19</v>
      </c>
      <c r="D3329">
        <v>602354</v>
      </c>
      <c r="E3329" t="s">
        <v>20</v>
      </c>
      <c r="F3329">
        <v>1032504517</v>
      </c>
      <c r="G3329" t="s">
        <v>2097</v>
      </c>
      <c r="H3329">
        <v>100241875</v>
      </c>
      <c r="I3329">
        <v>202631</v>
      </c>
      <c r="J3329">
        <v>1032504517</v>
      </c>
      <c r="K3329" t="s">
        <v>33</v>
      </c>
      <c r="L3329" t="s">
        <v>207</v>
      </c>
      <c r="M3329" t="s">
        <v>24</v>
      </c>
      <c r="N3329" t="s">
        <v>25</v>
      </c>
      <c r="O3329" t="s">
        <v>26</v>
      </c>
      <c r="P3329" t="s">
        <v>27</v>
      </c>
      <c r="Q3329" t="s">
        <v>28</v>
      </c>
      <c r="R3329" t="s">
        <v>29</v>
      </c>
      <c r="S3329" t="s">
        <v>30</v>
      </c>
      <c r="T3329">
        <v>1070815435</v>
      </c>
      <c r="U3329" t="s">
        <v>3986</v>
      </c>
      <c r="V3329" t="s">
        <v>3934</v>
      </c>
      <c r="W3329" s="9">
        <f>IF(V3329="pregrado",31,
IF(V3329="posgrados",31,
IF(V3329="rEINTEGROS",7,
IF(V3329="BIT",90,
IF(V3329="OP GRADO - INGLÉS",17,"")))))</f>
        <v>31</v>
      </c>
      <c r="X3329" t="s">
        <v>4038</v>
      </c>
    </row>
    <row r="3330" spans="1:24" ht="15" x14ac:dyDescent="0.35">
      <c r="A3330" s="4">
        <v>46041.647685185184</v>
      </c>
      <c r="B3330">
        <v>20114964</v>
      </c>
      <c r="C3330" s="6" t="s">
        <v>19</v>
      </c>
      <c r="D3330">
        <v>602356</v>
      </c>
      <c r="E3330" t="s">
        <v>20</v>
      </c>
      <c r="F3330">
        <v>1000227540</v>
      </c>
      <c r="G3330" t="s">
        <v>1971</v>
      </c>
      <c r="H3330">
        <v>100241878</v>
      </c>
      <c r="I3330">
        <v>202631</v>
      </c>
      <c r="J3330">
        <v>1000227540</v>
      </c>
      <c r="K3330" t="s">
        <v>33</v>
      </c>
      <c r="L3330" t="s">
        <v>127</v>
      </c>
      <c r="M3330" t="s">
        <v>24</v>
      </c>
      <c r="N3330" t="s">
        <v>25</v>
      </c>
      <c r="O3330" t="s">
        <v>26</v>
      </c>
      <c r="P3330" t="s">
        <v>27</v>
      </c>
      <c r="Q3330" t="s">
        <v>28</v>
      </c>
      <c r="R3330" t="s">
        <v>29</v>
      </c>
      <c r="S3330" t="s">
        <v>30</v>
      </c>
      <c r="T3330">
        <v>10306009131</v>
      </c>
      <c r="U3330" t="s">
        <v>3933</v>
      </c>
      <c r="V3330" t="s">
        <v>3934</v>
      </c>
      <c r="W3330" s="9">
        <f>IF(V3330="pregrado",31,
IF(V3330="posgrados",31,
IF(V3330="rEINTEGROS",7,
IF(V3330="BIT",90,
IF(V3330="OP GRADO - INGLÉS",17,"")))))</f>
        <v>31</v>
      </c>
      <c r="X3330" t="s">
        <v>3978</v>
      </c>
    </row>
    <row r="3331" spans="1:24" ht="15" x14ac:dyDescent="0.35">
      <c r="A3331" s="4">
        <v>46038.462361111109</v>
      </c>
      <c r="B3331">
        <v>20114144</v>
      </c>
      <c r="C3331" s="6" t="s">
        <v>19</v>
      </c>
      <c r="D3331">
        <v>602361</v>
      </c>
      <c r="E3331" t="s">
        <v>20</v>
      </c>
      <c r="F3331">
        <v>1050399897</v>
      </c>
      <c r="G3331" t="s">
        <v>1888</v>
      </c>
      <c r="H3331">
        <v>100241881</v>
      </c>
      <c r="I3331">
        <v>202631</v>
      </c>
      <c r="J3331">
        <v>1050399897</v>
      </c>
      <c r="K3331" t="s">
        <v>23</v>
      </c>
      <c r="L3331" t="s">
        <v>207</v>
      </c>
      <c r="M3331" t="s">
        <v>24</v>
      </c>
      <c r="N3331" t="s">
        <v>35</v>
      </c>
      <c r="O3331" t="s">
        <v>26</v>
      </c>
      <c r="P3331" t="s">
        <v>27</v>
      </c>
      <c r="Q3331" t="s">
        <v>28</v>
      </c>
      <c r="R3331" t="s">
        <v>29</v>
      </c>
      <c r="S3331" t="s">
        <v>30</v>
      </c>
      <c r="T3331">
        <v>1000777598</v>
      </c>
      <c r="U3331" t="s">
        <v>3986</v>
      </c>
      <c r="V3331" t="s">
        <v>3934</v>
      </c>
      <c r="W3331" s="9">
        <f>IF(V3331="pregrado",31,
IF(V3331="posgrados",31,
IF(V3331="rEINTEGROS",7,
IF(V3331="BIT",90,
IF(V3331="OP GRADO - INGLÉS",17,"")))))</f>
        <v>31</v>
      </c>
      <c r="X3331" t="s">
        <v>4103</v>
      </c>
    </row>
    <row r="3332" spans="1:24" ht="15" x14ac:dyDescent="0.35">
      <c r="A3332" s="4">
        <v>46039.58421296296</v>
      </c>
      <c r="B3332">
        <v>20114716</v>
      </c>
      <c r="C3332" s="6" t="s">
        <v>19</v>
      </c>
      <c r="D3332">
        <v>602372</v>
      </c>
      <c r="E3332" t="s">
        <v>20</v>
      </c>
      <c r="F3332">
        <v>1027524622</v>
      </c>
      <c r="G3332" t="s">
        <v>1956</v>
      </c>
      <c r="H3332">
        <v>100241893</v>
      </c>
      <c r="I3332">
        <v>202631</v>
      </c>
      <c r="J3332">
        <v>1027524622</v>
      </c>
      <c r="K3332" t="s">
        <v>33</v>
      </c>
      <c r="L3332" t="s">
        <v>207</v>
      </c>
      <c r="M3332" t="s">
        <v>24</v>
      </c>
      <c r="N3332" t="s">
        <v>38</v>
      </c>
      <c r="O3332" t="s">
        <v>26</v>
      </c>
      <c r="P3332" t="s">
        <v>27</v>
      </c>
      <c r="Q3332" t="s">
        <v>28</v>
      </c>
      <c r="R3332" t="s">
        <v>29</v>
      </c>
      <c r="S3332" t="s">
        <v>30</v>
      </c>
      <c r="T3332">
        <v>80021358</v>
      </c>
      <c r="U3332" t="s">
        <v>3986</v>
      </c>
      <c r="V3332" t="s">
        <v>3934</v>
      </c>
      <c r="W3332" s="9">
        <f>IF(V3332="pregrado",31,
IF(V3332="posgrados",31,
IF(V3332="rEINTEGROS",7,
IF(V3332="BIT",90,
IF(V3332="OP GRADO - INGLÉS",17,"")))))</f>
        <v>31</v>
      </c>
      <c r="X3332" t="s">
        <v>3995</v>
      </c>
    </row>
    <row r="3333" spans="1:24" ht="15" x14ac:dyDescent="0.35">
      <c r="A3333" s="4">
        <v>46037.65152777778</v>
      </c>
      <c r="B3333">
        <v>20113740</v>
      </c>
      <c r="C3333" s="6" t="s">
        <v>19</v>
      </c>
      <c r="D3333">
        <v>602373</v>
      </c>
      <c r="E3333" t="s">
        <v>20</v>
      </c>
      <c r="F3333">
        <v>1016046483</v>
      </c>
      <c r="G3333" t="s">
        <v>1842</v>
      </c>
      <c r="H3333">
        <v>100241894</v>
      </c>
      <c r="I3333">
        <v>202631</v>
      </c>
      <c r="J3333">
        <v>1000620245</v>
      </c>
      <c r="K3333" t="s">
        <v>23</v>
      </c>
      <c r="L3333" t="s">
        <v>219</v>
      </c>
      <c r="M3333" t="s">
        <v>24</v>
      </c>
      <c r="N3333" t="s">
        <v>25</v>
      </c>
      <c r="O3333" t="s">
        <v>26</v>
      </c>
      <c r="P3333" t="s">
        <v>27</v>
      </c>
      <c r="Q3333" t="s">
        <v>28</v>
      </c>
      <c r="R3333" t="s">
        <v>29</v>
      </c>
      <c r="S3333" t="s">
        <v>30</v>
      </c>
      <c r="T3333">
        <v>1000973717</v>
      </c>
      <c r="U3333" t="s">
        <v>3963</v>
      </c>
      <c r="V3333" t="s">
        <v>3934</v>
      </c>
      <c r="W3333" s="9">
        <f>IF(V3333="pregrado",31,
IF(V3333="posgrados",31,
IF(V3333="rEINTEGROS",7,
IF(V3333="BIT",90,
IF(V3333="OP GRADO - INGLÉS",17,"")))))</f>
        <v>31</v>
      </c>
      <c r="X3333" t="s">
        <v>4073</v>
      </c>
    </row>
    <row r="3334" spans="1:24" ht="15" x14ac:dyDescent="0.35">
      <c r="A3334" s="4">
        <v>46044.365787037037</v>
      </c>
      <c r="B3334">
        <v>20115998</v>
      </c>
      <c r="C3334" s="6" t="s">
        <v>19</v>
      </c>
      <c r="D3334">
        <v>602374</v>
      </c>
      <c r="E3334" t="s">
        <v>20</v>
      </c>
      <c r="F3334">
        <v>1004235189</v>
      </c>
      <c r="G3334" t="s">
        <v>2130</v>
      </c>
      <c r="H3334">
        <v>100222444</v>
      </c>
      <c r="I3334">
        <v>202631</v>
      </c>
      <c r="J3334">
        <v>1004235189</v>
      </c>
      <c r="K3334" t="s">
        <v>33</v>
      </c>
      <c r="L3334" t="s">
        <v>231</v>
      </c>
      <c r="M3334" t="s">
        <v>24</v>
      </c>
      <c r="N3334" t="s">
        <v>25</v>
      </c>
      <c r="O3334" t="s">
        <v>26</v>
      </c>
      <c r="P3334" t="s">
        <v>27</v>
      </c>
      <c r="Q3334" t="s">
        <v>28</v>
      </c>
      <c r="R3334" t="s">
        <v>29</v>
      </c>
      <c r="S3334" t="s">
        <v>30</v>
      </c>
      <c r="T3334">
        <v>1000777598</v>
      </c>
      <c r="U3334" t="s">
        <v>3986</v>
      </c>
      <c r="V3334" t="s">
        <v>3934</v>
      </c>
      <c r="W3334" s="9">
        <f>IF(V3334="pregrado",31,
IF(V3334="posgrados",31,
IF(V3334="rEINTEGROS",7,
IF(V3334="BIT",90,
IF(V3334="OP GRADO - INGLÉS",17,"")))))</f>
        <v>31</v>
      </c>
      <c r="X3334" t="s">
        <v>4103</v>
      </c>
    </row>
    <row r="3335" spans="1:24" ht="15" x14ac:dyDescent="0.35">
      <c r="A3335" s="4">
        <v>46037.501238425924</v>
      </c>
      <c r="B3335">
        <v>20113556</v>
      </c>
      <c r="C3335" s="6" t="s">
        <v>19</v>
      </c>
      <c r="D3335">
        <v>602376</v>
      </c>
      <c r="E3335" t="s">
        <v>20</v>
      </c>
      <c r="F3335">
        <v>1116543535</v>
      </c>
      <c r="G3335" t="s">
        <v>1829</v>
      </c>
      <c r="H3335">
        <v>100241897</v>
      </c>
      <c r="I3335">
        <v>202611</v>
      </c>
      <c r="J3335">
        <v>1029650223</v>
      </c>
      <c r="K3335" t="s">
        <v>23</v>
      </c>
      <c r="L3335" t="s">
        <v>221</v>
      </c>
      <c r="M3335" t="s">
        <v>24</v>
      </c>
      <c r="N3335" t="s">
        <v>35</v>
      </c>
      <c r="O3335" t="s">
        <v>26</v>
      </c>
      <c r="P3335" t="s">
        <v>27</v>
      </c>
      <c r="Q3335" t="s">
        <v>28</v>
      </c>
      <c r="R3335" t="s">
        <v>29</v>
      </c>
      <c r="S3335" t="s">
        <v>30</v>
      </c>
      <c r="T3335">
        <v>1073692626</v>
      </c>
      <c r="U3335" t="s">
        <v>3965</v>
      </c>
      <c r="V3335" t="s">
        <v>3934</v>
      </c>
      <c r="W3335" s="9">
        <f>IF(V3335="pregrado",31,
IF(V3335="posgrados",31,
IF(V3335="rEINTEGROS",7,
IF(V3335="BIT",90,
IF(V3335="OP GRADO - INGLÉS",17,"")))))</f>
        <v>31</v>
      </c>
      <c r="X3335" t="s">
        <v>4014</v>
      </c>
    </row>
    <row r="3336" spans="1:24" ht="15" x14ac:dyDescent="0.35">
      <c r="A3336" s="4">
        <v>46037.684305555558</v>
      </c>
      <c r="B3336">
        <v>20113804</v>
      </c>
      <c r="C3336" s="6" t="s">
        <v>19</v>
      </c>
      <c r="D3336">
        <v>602379</v>
      </c>
      <c r="E3336" t="s">
        <v>20</v>
      </c>
      <c r="F3336">
        <v>33207425</v>
      </c>
      <c r="G3336" t="s">
        <v>1849</v>
      </c>
      <c r="H3336">
        <v>100241900</v>
      </c>
      <c r="I3336">
        <v>202611</v>
      </c>
      <c r="J3336">
        <v>1050845727</v>
      </c>
      <c r="K3336" t="s">
        <v>23</v>
      </c>
      <c r="L3336" t="s">
        <v>227</v>
      </c>
      <c r="M3336" t="s">
        <v>24</v>
      </c>
      <c r="N3336" t="s">
        <v>35</v>
      </c>
      <c r="O3336" t="s">
        <v>26</v>
      </c>
      <c r="P3336" t="s">
        <v>27</v>
      </c>
      <c r="Q3336" t="s">
        <v>28</v>
      </c>
      <c r="R3336" t="s">
        <v>29</v>
      </c>
      <c r="S3336" t="s">
        <v>30</v>
      </c>
      <c r="T3336">
        <v>1015428862</v>
      </c>
      <c r="U3336" t="s">
        <v>3965</v>
      </c>
      <c r="V3336" t="s">
        <v>3934</v>
      </c>
      <c r="W3336" s="9">
        <f>IF(V3336="pregrado",31,
IF(V3336="posgrados",31,
IF(V3336="rEINTEGROS",7,
IF(V3336="BIT",90,
IF(V3336="OP GRADO - INGLÉS",17,"")))))</f>
        <v>31</v>
      </c>
      <c r="X3336" t="s">
        <v>4048</v>
      </c>
    </row>
    <row r="3337" spans="1:24" ht="15" x14ac:dyDescent="0.35">
      <c r="A3337" s="4">
        <v>46041.721064814818</v>
      </c>
      <c r="B3337">
        <v>20115052</v>
      </c>
      <c r="C3337" s="6" t="s">
        <v>19</v>
      </c>
      <c r="D3337">
        <v>602391</v>
      </c>
      <c r="E3337" t="s">
        <v>20</v>
      </c>
      <c r="F3337">
        <v>1116551667</v>
      </c>
      <c r="G3337" t="s">
        <v>1985</v>
      </c>
      <c r="H3337">
        <v>100159184</v>
      </c>
      <c r="I3337">
        <v>202631</v>
      </c>
      <c r="J3337">
        <v>1116551667</v>
      </c>
      <c r="K3337" t="s">
        <v>89</v>
      </c>
      <c r="L3337" t="s">
        <v>127</v>
      </c>
      <c r="M3337" t="s">
        <v>24</v>
      </c>
      <c r="N3337" t="s">
        <v>25</v>
      </c>
      <c r="O3337" t="s">
        <v>26</v>
      </c>
      <c r="P3337" t="s">
        <v>27</v>
      </c>
      <c r="Q3337" t="s">
        <v>28</v>
      </c>
      <c r="R3337" t="s">
        <v>29</v>
      </c>
      <c r="S3337" t="s">
        <v>30</v>
      </c>
      <c r="T3337">
        <v>1023899450</v>
      </c>
      <c r="U3337" t="s">
        <v>3977</v>
      </c>
      <c r="V3337" t="s">
        <v>3970</v>
      </c>
      <c r="W3337" s="9">
        <f>IF(V3337="pregrado",31,
IF(V3337="posgrados",31,
IF(V3337="rEINTEGROS",7,
IF(V3337="BIT",90,
IF(V3337="OP GRADO - INGLÉS",17,"")))))</f>
        <v>7</v>
      </c>
      <c r="X3337" t="s">
        <v>3969</v>
      </c>
    </row>
    <row r="3338" spans="1:24" ht="15" x14ac:dyDescent="0.35">
      <c r="A3338" s="4">
        <v>46038.652071759258</v>
      </c>
      <c r="B3338">
        <v>20114406</v>
      </c>
      <c r="C3338" s="6" t="s">
        <v>19</v>
      </c>
      <c r="D3338">
        <v>602395</v>
      </c>
      <c r="E3338" t="s">
        <v>20</v>
      </c>
      <c r="F3338">
        <v>1085291693</v>
      </c>
      <c r="G3338" t="s">
        <v>1913</v>
      </c>
      <c r="H3338">
        <v>100241916</v>
      </c>
      <c r="I3338">
        <v>202631</v>
      </c>
      <c r="J3338">
        <v>1085291693</v>
      </c>
      <c r="K3338" t="s">
        <v>23</v>
      </c>
      <c r="L3338" t="s">
        <v>370</v>
      </c>
      <c r="M3338" t="s">
        <v>24</v>
      </c>
      <c r="N3338" t="s">
        <v>35</v>
      </c>
      <c r="O3338" t="s">
        <v>26</v>
      </c>
      <c r="P3338" t="s">
        <v>27</v>
      </c>
      <c r="Q3338" t="s">
        <v>28</v>
      </c>
      <c r="R3338" t="s">
        <v>29</v>
      </c>
      <c r="S3338" t="s">
        <v>30</v>
      </c>
      <c r="T3338">
        <v>1000350862</v>
      </c>
      <c r="U3338" t="s">
        <v>3963</v>
      </c>
      <c r="V3338" t="s">
        <v>3934</v>
      </c>
      <c r="W3338" s="9">
        <f>IF(V3338="pregrado",31,
IF(V3338="posgrados",31,
IF(V3338="rEINTEGROS",7,
IF(V3338="BIT",90,
IF(V3338="OP GRADO - INGLÉS",17,"")))))</f>
        <v>31</v>
      </c>
      <c r="X3338" t="s">
        <v>4071</v>
      </c>
    </row>
    <row r="3339" spans="1:24" ht="15" x14ac:dyDescent="0.35">
      <c r="A3339" s="4">
        <v>46042.744479166664</v>
      </c>
      <c r="B3339">
        <v>20115502</v>
      </c>
      <c r="C3339" s="6" t="s">
        <v>19</v>
      </c>
      <c r="D3339">
        <v>602396</v>
      </c>
      <c r="E3339" t="s">
        <v>20</v>
      </c>
      <c r="F3339">
        <v>1072655847</v>
      </c>
      <c r="G3339" t="s">
        <v>2046</v>
      </c>
      <c r="H3339">
        <v>100195486</v>
      </c>
      <c r="I3339">
        <v>202611</v>
      </c>
      <c r="J3339">
        <v>1072655847</v>
      </c>
      <c r="K3339" t="s">
        <v>89</v>
      </c>
      <c r="L3339" t="s">
        <v>133</v>
      </c>
      <c r="M3339" t="s">
        <v>24</v>
      </c>
      <c r="N3339" t="s">
        <v>38</v>
      </c>
      <c r="O3339" t="s">
        <v>26</v>
      </c>
      <c r="P3339" t="s">
        <v>27</v>
      </c>
      <c r="Q3339" t="s">
        <v>28</v>
      </c>
      <c r="R3339" t="s">
        <v>29</v>
      </c>
      <c r="S3339" t="s">
        <v>30</v>
      </c>
      <c r="T3339">
        <v>52168054</v>
      </c>
      <c r="U3339" t="s">
        <v>3977</v>
      </c>
      <c r="V3339" t="s">
        <v>3970</v>
      </c>
      <c r="W3339" s="9">
        <f>IF(V3339="pregrado",31,
IF(V3339="posgrados",31,
IF(V3339="rEINTEGROS",7,
IF(V3339="BIT",90,
IF(V3339="OP GRADO - INGLÉS",17,"")))))</f>
        <v>7</v>
      </c>
      <c r="X3339" t="s">
        <v>4057</v>
      </c>
    </row>
    <row r="3340" spans="1:24" ht="15" x14ac:dyDescent="0.35">
      <c r="A3340" s="4">
        <v>46038.413969907408</v>
      </c>
      <c r="B3340">
        <v>20114074</v>
      </c>
      <c r="C3340" s="6" t="s">
        <v>19</v>
      </c>
      <c r="D3340">
        <v>602412</v>
      </c>
      <c r="E3340" t="s">
        <v>20</v>
      </c>
      <c r="F3340">
        <v>79047565</v>
      </c>
      <c r="G3340" t="s">
        <v>1877</v>
      </c>
      <c r="H3340">
        <v>100241936</v>
      </c>
      <c r="I3340">
        <v>202631</v>
      </c>
      <c r="J3340">
        <v>1122145838</v>
      </c>
      <c r="K3340" t="s">
        <v>33</v>
      </c>
      <c r="L3340" t="s">
        <v>370</v>
      </c>
      <c r="M3340" t="s">
        <v>24</v>
      </c>
      <c r="N3340" t="s">
        <v>25</v>
      </c>
      <c r="O3340" t="s">
        <v>26</v>
      </c>
      <c r="P3340" t="s">
        <v>27</v>
      </c>
      <c r="Q3340" t="s">
        <v>28</v>
      </c>
      <c r="R3340" t="s">
        <v>29</v>
      </c>
      <c r="S3340" t="s">
        <v>30</v>
      </c>
      <c r="T3340">
        <v>1077967131</v>
      </c>
      <c r="U3340" t="s">
        <v>3963</v>
      </c>
      <c r="V3340" t="s">
        <v>3934</v>
      </c>
      <c r="W3340" s="9">
        <f>IF(V3340="pregrado",31,
IF(V3340="posgrados",31,
IF(V3340="rEINTEGROS",7,
IF(V3340="BIT",90,
IF(V3340="OP GRADO - INGLÉS",17,"")))))</f>
        <v>31</v>
      </c>
      <c r="X3340" t="s">
        <v>4011</v>
      </c>
    </row>
    <row r="3341" spans="1:24" ht="15" x14ac:dyDescent="0.35">
      <c r="A3341" s="4">
        <v>46037.670949074076</v>
      </c>
      <c r="B3341">
        <v>20113781</v>
      </c>
      <c r="C3341" s="6" t="s">
        <v>19</v>
      </c>
      <c r="D3341">
        <v>602415</v>
      </c>
      <c r="E3341" t="s">
        <v>20</v>
      </c>
      <c r="F3341">
        <v>1077082442</v>
      </c>
      <c r="G3341" t="s">
        <v>1847</v>
      </c>
      <c r="H3341">
        <v>100196477</v>
      </c>
      <c r="I3341">
        <v>202631</v>
      </c>
      <c r="J3341">
        <v>1077082442</v>
      </c>
      <c r="K3341" t="s">
        <v>33</v>
      </c>
      <c r="L3341" t="s">
        <v>231</v>
      </c>
      <c r="M3341" t="s">
        <v>24</v>
      </c>
      <c r="N3341" t="s">
        <v>25</v>
      </c>
      <c r="O3341" t="s">
        <v>26</v>
      </c>
      <c r="P3341" t="s">
        <v>27</v>
      </c>
      <c r="Q3341" t="s">
        <v>28</v>
      </c>
      <c r="R3341" t="s">
        <v>29</v>
      </c>
      <c r="S3341" t="s">
        <v>30</v>
      </c>
      <c r="T3341">
        <v>53139409</v>
      </c>
      <c r="U3341" t="s">
        <v>3944</v>
      </c>
      <c r="V3341" t="s">
        <v>3934</v>
      </c>
      <c r="W3341" s="9">
        <f>IF(V3341="pregrado",31,
IF(V3341="posgrados",31,
IF(V3341="rEINTEGROS",7,
IF(V3341="BIT",90,
IF(V3341="OP GRADO - INGLÉS",17,"")))))</f>
        <v>31</v>
      </c>
      <c r="X3341" t="s">
        <v>3955</v>
      </c>
    </row>
    <row r="3342" spans="1:24" ht="15" x14ac:dyDescent="0.35">
      <c r="A3342" s="4">
        <v>46048.744270833333</v>
      </c>
      <c r="B3342">
        <v>20117332</v>
      </c>
      <c r="C3342" s="6" t="s">
        <v>19</v>
      </c>
      <c r="D3342">
        <v>602418</v>
      </c>
      <c r="E3342" t="s">
        <v>20</v>
      </c>
      <c r="F3342">
        <v>1075231110</v>
      </c>
      <c r="G3342" t="s">
        <v>2315</v>
      </c>
      <c r="H3342">
        <v>100241944</v>
      </c>
      <c r="I3342">
        <v>202631</v>
      </c>
      <c r="J3342">
        <v>1075231110</v>
      </c>
      <c r="K3342" t="s">
        <v>83</v>
      </c>
      <c r="L3342" t="s">
        <v>90</v>
      </c>
      <c r="M3342" t="s">
        <v>24</v>
      </c>
      <c r="N3342" t="s">
        <v>25</v>
      </c>
      <c r="O3342" t="s">
        <v>26</v>
      </c>
      <c r="P3342" t="s">
        <v>27</v>
      </c>
      <c r="Q3342" t="s">
        <v>28</v>
      </c>
      <c r="R3342" t="s">
        <v>29</v>
      </c>
      <c r="S3342" t="s">
        <v>30</v>
      </c>
      <c r="T3342">
        <v>1014273794</v>
      </c>
      <c r="U3342" t="s">
        <v>3939</v>
      </c>
      <c r="V3342" t="s">
        <v>3934</v>
      </c>
      <c r="W3342" s="9">
        <f>IF(V3342="pregrado",31,
IF(V3342="posgrados",31,
IF(V3342="rEINTEGROS",7,
IF(V3342="BIT",90,
IF(V3342="OP GRADO - INGLÉS",17,"")))))</f>
        <v>31</v>
      </c>
      <c r="X3342" t="s">
        <v>4004</v>
      </c>
    </row>
    <row r="3343" spans="1:24" ht="15" x14ac:dyDescent="0.35">
      <c r="A3343" s="4">
        <v>46050.479895833334</v>
      </c>
      <c r="B3343">
        <v>20117924</v>
      </c>
      <c r="C3343" s="6" t="s">
        <v>19</v>
      </c>
      <c r="D3343">
        <v>602421</v>
      </c>
      <c r="E3343" t="s">
        <v>20</v>
      </c>
      <c r="F3343">
        <v>1000623684</v>
      </c>
      <c r="G3343" t="s">
        <v>2401</v>
      </c>
      <c r="H3343">
        <v>100241945</v>
      </c>
      <c r="I3343">
        <v>202631</v>
      </c>
      <c r="J3343">
        <v>1000623684</v>
      </c>
      <c r="K3343" t="s">
        <v>33</v>
      </c>
      <c r="L3343" t="s">
        <v>90</v>
      </c>
      <c r="M3343" t="s">
        <v>24</v>
      </c>
      <c r="N3343" t="s">
        <v>25</v>
      </c>
      <c r="O3343" t="s">
        <v>26</v>
      </c>
      <c r="P3343" t="s">
        <v>27</v>
      </c>
      <c r="Q3343" t="s">
        <v>28</v>
      </c>
      <c r="R3343" t="s">
        <v>29</v>
      </c>
      <c r="S3343" t="s">
        <v>30</v>
      </c>
      <c r="T3343">
        <v>10306009131</v>
      </c>
      <c r="U3343" t="s">
        <v>3933</v>
      </c>
      <c r="V3343" t="s">
        <v>3934</v>
      </c>
      <c r="W3343" s="9">
        <f>IF(V3343="pregrado",31,
IF(V3343="posgrados",31,
IF(V3343="rEINTEGROS",7,
IF(V3343="BIT",90,
IF(V3343="OP GRADO - INGLÉS",17,"")))))</f>
        <v>31</v>
      </c>
      <c r="X3343" t="s">
        <v>3978</v>
      </c>
    </row>
    <row r="3344" spans="1:24" ht="15" x14ac:dyDescent="0.35">
      <c r="A3344" s="4">
        <v>46042.404988425929</v>
      </c>
      <c r="B3344">
        <v>20115188</v>
      </c>
      <c r="C3344" s="6" t="s">
        <v>19</v>
      </c>
      <c r="D3344">
        <v>602437</v>
      </c>
      <c r="E3344" t="s">
        <v>20</v>
      </c>
      <c r="F3344">
        <v>38667829</v>
      </c>
      <c r="G3344" t="s">
        <v>2002</v>
      </c>
      <c r="H3344">
        <v>100241976</v>
      </c>
      <c r="I3344">
        <v>202610</v>
      </c>
      <c r="J3344">
        <v>1112467586</v>
      </c>
      <c r="K3344" t="s">
        <v>23</v>
      </c>
      <c r="L3344" t="s">
        <v>62</v>
      </c>
      <c r="M3344" t="s">
        <v>24</v>
      </c>
      <c r="N3344" t="s">
        <v>35</v>
      </c>
      <c r="O3344" t="s">
        <v>26</v>
      </c>
      <c r="P3344" t="s">
        <v>27</v>
      </c>
      <c r="Q3344" t="s">
        <v>28</v>
      </c>
      <c r="R3344" t="s">
        <v>29</v>
      </c>
      <c r="S3344" t="s">
        <v>30</v>
      </c>
      <c r="T3344">
        <v>1000349074</v>
      </c>
      <c r="U3344" t="s">
        <v>3944</v>
      </c>
      <c r="V3344" t="s">
        <v>3934</v>
      </c>
      <c r="W3344" s="9">
        <f>IF(V3344="pregrado",31,
IF(V3344="posgrados",31,
IF(V3344="rEINTEGROS",7,
IF(V3344="BIT",90,
IF(V3344="OP GRADO - INGLÉS",17,"")))))</f>
        <v>31</v>
      </c>
      <c r="X3344" t="s">
        <v>4036</v>
      </c>
    </row>
    <row r="3345" spans="1:24" ht="15" x14ac:dyDescent="0.35">
      <c r="A3345" s="4">
        <v>46048.402719907404</v>
      </c>
      <c r="B3345">
        <v>20116993</v>
      </c>
      <c r="C3345" s="6" t="s">
        <v>19</v>
      </c>
      <c r="D3345">
        <v>602441</v>
      </c>
      <c r="E3345" t="s">
        <v>20</v>
      </c>
      <c r="F3345">
        <v>1004690716</v>
      </c>
      <c r="G3345" t="s">
        <v>2276</v>
      </c>
      <c r="H3345">
        <v>100228988</v>
      </c>
      <c r="I3345">
        <v>202631</v>
      </c>
      <c r="J3345">
        <v>1004690716</v>
      </c>
      <c r="K3345" t="s">
        <v>33</v>
      </c>
      <c r="L3345" t="s">
        <v>127</v>
      </c>
      <c r="M3345" t="s">
        <v>24</v>
      </c>
      <c r="N3345" t="s">
        <v>25</v>
      </c>
      <c r="O3345" t="s">
        <v>26</v>
      </c>
      <c r="P3345" t="s">
        <v>27</v>
      </c>
      <c r="Q3345" t="s">
        <v>28</v>
      </c>
      <c r="R3345" t="s">
        <v>29</v>
      </c>
      <c r="S3345" t="s">
        <v>30</v>
      </c>
      <c r="T3345">
        <v>1023929839</v>
      </c>
      <c r="U3345" t="s">
        <v>3933</v>
      </c>
      <c r="V3345" t="s">
        <v>3934</v>
      </c>
      <c r="W3345" s="9">
        <f>IF(V3345="pregrado",31,
IF(V3345="posgrados",31,
IF(V3345="rEINTEGROS",7,
IF(V3345="BIT",90,
IF(V3345="OP GRADO - INGLÉS",17,"")))))</f>
        <v>31</v>
      </c>
      <c r="X3345" t="s">
        <v>3932</v>
      </c>
    </row>
    <row r="3346" spans="1:24" ht="15" x14ac:dyDescent="0.35">
      <c r="A3346" s="4">
        <v>46037.825023148151</v>
      </c>
      <c r="B3346">
        <v>20113946</v>
      </c>
      <c r="C3346" s="6" t="s">
        <v>19</v>
      </c>
      <c r="D3346">
        <v>602444</v>
      </c>
      <c r="E3346" t="s">
        <v>20</v>
      </c>
      <c r="F3346">
        <v>1007769677</v>
      </c>
      <c r="G3346" t="s">
        <v>1866</v>
      </c>
      <c r="H3346">
        <v>100241983</v>
      </c>
      <c r="I3346">
        <v>202631</v>
      </c>
      <c r="J3346">
        <v>1005220886</v>
      </c>
      <c r="K3346" t="s">
        <v>23</v>
      </c>
      <c r="L3346" t="s">
        <v>127</v>
      </c>
      <c r="M3346" t="s">
        <v>24</v>
      </c>
      <c r="N3346" t="s">
        <v>35</v>
      </c>
      <c r="O3346" t="s">
        <v>26</v>
      </c>
      <c r="P3346" t="s">
        <v>27</v>
      </c>
      <c r="Q3346" t="s">
        <v>28</v>
      </c>
      <c r="R3346" t="s">
        <v>29</v>
      </c>
      <c r="S3346" t="s">
        <v>30</v>
      </c>
      <c r="T3346">
        <v>1007473661</v>
      </c>
      <c r="U3346" t="s">
        <v>3933</v>
      </c>
      <c r="V3346" t="s">
        <v>3934</v>
      </c>
      <c r="W3346" s="9">
        <f>IF(V3346="pregrado",31,
IF(V3346="posgrados",31,
IF(V3346="rEINTEGROS",7,
IF(V3346="BIT",90,
IF(V3346="OP GRADO - INGLÉS",17,"")))))</f>
        <v>31</v>
      </c>
      <c r="X3346" t="s">
        <v>4058</v>
      </c>
    </row>
    <row r="3347" spans="1:24" ht="15" x14ac:dyDescent="0.35">
      <c r="A3347" s="4">
        <v>46039.447523148148</v>
      </c>
      <c r="B3347">
        <v>20114680</v>
      </c>
      <c r="C3347" s="6" t="s">
        <v>19</v>
      </c>
      <c r="D3347">
        <v>602446</v>
      </c>
      <c r="E3347" t="s">
        <v>20</v>
      </c>
      <c r="F3347">
        <v>1233691265</v>
      </c>
      <c r="G3347" t="s">
        <v>1946</v>
      </c>
      <c r="H3347">
        <v>100241985</v>
      </c>
      <c r="I3347">
        <v>202631</v>
      </c>
      <c r="J3347">
        <v>1111762217</v>
      </c>
      <c r="K3347" t="s">
        <v>23</v>
      </c>
      <c r="L3347" t="s">
        <v>90</v>
      </c>
      <c r="M3347" t="s">
        <v>24</v>
      </c>
      <c r="N3347" t="s">
        <v>35</v>
      </c>
      <c r="O3347" t="s">
        <v>26</v>
      </c>
      <c r="P3347" t="s">
        <v>27</v>
      </c>
      <c r="Q3347" t="s">
        <v>28</v>
      </c>
      <c r="R3347" t="s">
        <v>29</v>
      </c>
      <c r="S3347" t="s">
        <v>30</v>
      </c>
      <c r="T3347">
        <v>1018496066</v>
      </c>
      <c r="U3347" t="s">
        <v>3939</v>
      </c>
      <c r="V3347" t="s">
        <v>3934</v>
      </c>
      <c r="W3347" s="9">
        <f>IF(V3347="pregrado",31,
IF(V3347="posgrados",31,
IF(V3347="rEINTEGROS",7,
IF(V3347="BIT",90,
IF(V3347="OP GRADO - INGLÉS",17,"")))))</f>
        <v>31</v>
      </c>
      <c r="X3347" t="s">
        <v>4006</v>
      </c>
    </row>
    <row r="3348" spans="1:24" ht="15" x14ac:dyDescent="0.35">
      <c r="A3348" s="4">
        <v>46038.416875000003</v>
      </c>
      <c r="B3348">
        <v>20114080</v>
      </c>
      <c r="C3348" s="6" t="s">
        <v>19</v>
      </c>
      <c r="D3348">
        <v>602449</v>
      </c>
      <c r="E3348" t="s">
        <v>20</v>
      </c>
      <c r="F3348">
        <v>3196397</v>
      </c>
      <c r="G3348" t="s">
        <v>1879</v>
      </c>
      <c r="H3348">
        <v>100241987</v>
      </c>
      <c r="I3348">
        <v>202610</v>
      </c>
      <c r="J3348">
        <v>1077294840</v>
      </c>
      <c r="K3348" t="s">
        <v>23</v>
      </c>
      <c r="L3348" t="s">
        <v>40</v>
      </c>
      <c r="M3348" t="s">
        <v>24</v>
      </c>
      <c r="N3348" t="s">
        <v>35</v>
      </c>
      <c r="O3348" t="s">
        <v>26</v>
      </c>
      <c r="P3348" t="s">
        <v>27</v>
      </c>
      <c r="Q3348" t="s">
        <v>28</v>
      </c>
      <c r="R3348" t="s">
        <v>29</v>
      </c>
      <c r="S3348" t="s">
        <v>30</v>
      </c>
      <c r="T3348">
        <v>1006459732</v>
      </c>
      <c r="U3348" t="s">
        <v>3986</v>
      </c>
      <c r="V3348" t="s">
        <v>3934</v>
      </c>
      <c r="W3348" s="9">
        <f>IF(V3348="pregrado",31,
IF(V3348="posgrados",31,
IF(V3348="rEINTEGROS",7,
IF(V3348="BIT",90,
IF(V3348="OP GRADO - INGLÉS",17,"")))))</f>
        <v>31</v>
      </c>
      <c r="X3348" t="s">
        <v>4099</v>
      </c>
    </row>
    <row r="3349" spans="1:24" ht="15" x14ac:dyDescent="0.35">
      <c r="A3349" s="4">
        <v>46042.479629629626</v>
      </c>
      <c r="B3349">
        <v>20115245</v>
      </c>
      <c r="C3349" s="6" t="s">
        <v>19</v>
      </c>
      <c r="D3349">
        <v>602450</v>
      </c>
      <c r="E3349" t="s">
        <v>20</v>
      </c>
      <c r="F3349">
        <v>6407982</v>
      </c>
      <c r="G3349" t="s">
        <v>2011</v>
      </c>
      <c r="H3349">
        <v>100241988</v>
      </c>
      <c r="I3349">
        <v>202631</v>
      </c>
      <c r="J3349">
        <v>6407982</v>
      </c>
      <c r="K3349" t="s">
        <v>83</v>
      </c>
      <c r="L3349" t="s">
        <v>207</v>
      </c>
      <c r="M3349" t="s">
        <v>24</v>
      </c>
      <c r="N3349" t="s">
        <v>605</v>
      </c>
      <c r="O3349" t="s">
        <v>26</v>
      </c>
      <c r="P3349" t="s">
        <v>27</v>
      </c>
      <c r="Q3349" t="s">
        <v>28</v>
      </c>
      <c r="R3349" t="s">
        <v>29</v>
      </c>
      <c r="S3349" t="s">
        <v>30</v>
      </c>
      <c r="T3349">
        <v>1002500634</v>
      </c>
      <c r="U3349" t="s">
        <v>3986</v>
      </c>
      <c r="V3349" t="s">
        <v>3934</v>
      </c>
      <c r="W3349" s="9">
        <f>IF(V3349="pregrado",31,
IF(V3349="posgrados",31,
IF(V3349="rEINTEGROS",7,
IF(V3349="BIT",90,
IF(V3349="OP GRADO - INGLÉS",17,"")))))</f>
        <v>31</v>
      </c>
      <c r="X3349" t="s">
        <v>4026</v>
      </c>
    </row>
    <row r="3350" spans="1:24" ht="15" x14ac:dyDescent="0.35">
      <c r="A3350" s="4">
        <v>46039.471550925926</v>
      </c>
      <c r="B3350">
        <v>20114692</v>
      </c>
      <c r="C3350" s="6" t="s">
        <v>19</v>
      </c>
      <c r="D3350">
        <v>602454</v>
      </c>
      <c r="E3350" t="s">
        <v>20</v>
      </c>
      <c r="F3350">
        <v>1004809993</v>
      </c>
      <c r="G3350" t="s">
        <v>1953</v>
      </c>
      <c r="H3350">
        <v>200083412</v>
      </c>
      <c r="I3350">
        <v>202631</v>
      </c>
      <c r="J3350">
        <v>1004809993</v>
      </c>
      <c r="K3350" t="s">
        <v>33</v>
      </c>
      <c r="L3350" t="s">
        <v>119</v>
      </c>
      <c r="M3350" t="s">
        <v>24</v>
      </c>
      <c r="N3350" t="s">
        <v>25</v>
      </c>
      <c r="O3350" t="s">
        <v>26</v>
      </c>
      <c r="P3350" t="s">
        <v>27</v>
      </c>
      <c r="Q3350" t="s">
        <v>28</v>
      </c>
      <c r="R3350" t="s">
        <v>29</v>
      </c>
      <c r="S3350" t="s">
        <v>30</v>
      </c>
      <c r="T3350">
        <v>1072716186</v>
      </c>
      <c r="U3350" t="s">
        <v>3963</v>
      </c>
      <c r="V3350" t="s">
        <v>3934</v>
      </c>
      <c r="W3350" s="9">
        <f>IF(V3350="pregrado",31,
IF(V3350="posgrados",31,
IF(V3350="rEINTEGROS",7,
IF(V3350="BIT",90,
IF(V3350="OP GRADO - INGLÉS",17,"")))))</f>
        <v>31</v>
      </c>
      <c r="X3350" t="s">
        <v>4084</v>
      </c>
    </row>
    <row r="3351" spans="1:24" ht="15" x14ac:dyDescent="0.35">
      <c r="A3351" s="4">
        <v>46037.854560185187</v>
      </c>
      <c r="B3351">
        <v>20113970</v>
      </c>
      <c r="C3351" s="6" t="s">
        <v>19</v>
      </c>
      <c r="D3351">
        <v>602775</v>
      </c>
      <c r="E3351" t="s">
        <v>20</v>
      </c>
      <c r="F3351">
        <v>1076385233</v>
      </c>
      <c r="G3351" t="s">
        <v>1868</v>
      </c>
      <c r="H3351">
        <v>100110151</v>
      </c>
      <c r="I3351">
        <v>202611</v>
      </c>
      <c r="J3351">
        <v>1076385233</v>
      </c>
      <c r="K3351" t="s">
        <v>89</v>
      </c>
      <c r="L3351" t="s">
        <v>133</v>
      </c>
      <c r="M3351" t="s">
        <v>24</v>
      </c>
      <c r="N3351" t="s">
        <v>35</v>
      </c>
      <c r="O3351" t="s">
        <v>26</v>
      </c>
      <c r="P3351" t="s">
        <v>27</v>
      </c>
      <c r="Q3351" t="s">
        <v>28</v>
      </c>
      <c r="R3351" t="s">
        <v>29</v>
      </c>
      <c r="S3351" t="s">
        <v>30</v>
      </c>
      <c r="T3351">
        <v>1019102787</v>
      </c>
      <c r="U3351" t="s">
        <v>3977</v>
      </c>
      <c r="V3351" t="s">
        <v>3970</v>
      </c>
      <c r="W3351" s="9">
        <f>IF(V3351="pregrado",31,
IF(V3351="posgrados",31,
IF(V3351="rEINTEGROS",7,
IF(V3351="BIT",90,
IF(V3351="OP GRADO - INGLÉS",17,"")))))</f>
        <v>7</v>
      </c>
      <c r="X3351" t="s">
        <v>3976</v>
      </c>
    </row>
    <row r="3352" spans="1:24" ht="15" x14ac:dyDescent="0.35">
      <c r="A3352" s="4">
        <v>46037.736898148149</v>
      </c>
      <c r="B3352">
        <v>20113861</v>
      </c>
      <c r="C3352" s="6" t="s">
        <v>19</v>
      </c>
      <c r="D3352">
        <v>602896</v>
      </c>
      <c r="E3352" t="s">
        <v>20</v>
      </c>
      <c r="F3352">
        <v>1041850241</v>
      </c>
      <c r="G3352" t="s">
        <v>1857</v>
      </c>
      <c r="H3352">
        <v>100242018</v>
      </c>
      <c r="I3352">
        <v>202631</v>
      </c>
      <c r="J3352">
        <v>1041850241</v>
      </c>
      <c r="K3352" t="s">
        <v>33</v>
      </c>
      <c r="L3352" t="s">
        <v>127</v>
      </c>
      <c r="M3352" t="s">
        <v>24</v>
      </c>
      <c r="N3352" t="s">
        <v>25</v>
      </c>
      <c r="O3352" t="s">
        <v>26</v>
      </c>
      <c r="P3352" t="s">
        <v>27</v>
      </c>
      <c r="Q3352" t="s">
        <v>28</v>
      </c>
      <c r="R3352" t="s">
        <v>29</v>
      </c>
      <c r="S3352" t="s">
        <v>30</v>
      </c>
      <c r="T3352">
        <v>1023370559</v>
      </c>
      <c r="U3352" t="s">
        <v>3933</v>
      </c>
      <c r="V3352" t="s">
        <v>3934</v>
      </c>
      <c r="W3352" s="9">
        <f>IF(V3352="pregrado",31,
IF(V3352="posgrados",31,
IF(V3352="rEINTEGROS",7,
IF(V3352="BIT",90,
IF(V3352="OP GRADO - INGLÉS",17,"")))))</f>
        <v>31</v>
      </c>
      <c r="X3352" t="s">
        <v>4017</v>
      </c>
    </row>
    <row r="3353" spans="1:24" ht="15" x14ac:dyDescent="0.35">
      <c r="A3353" s="4">
        <v>46038.379282407404</v>
      </c>
      <c r="B3353">
        <v>20114036</v>
      </c>
      <c r="C3353" s="6" t="s">
        <v>19</v>
      </c>
      <c r="D3353">
        <v>602897</v>
      </c>
      <c r="E3353" t="s">
        <v>20</v>
      </c>
      <c r="F3353">
        <v>1007246047</v>
      </c>
      <c r="G3353" t="s">
        <v>1872</v>
      </c>
      <c r="H3353">
        <v>100225241</v>
      </c>
      <c r="I3353">
        <v>202611</v>
      </c>
      <c r="J3353">
        <v>1007246047</v>
      </c>
      <c r="K3353" t="s">
        <v>33</v>
      </c>
      <c r="L3353" t="s">
        <v>204</v>
      </c>
      <c r="M3353" t="s">
        <v>24</v>
      </c>
      <c r="N3353" t="s">
        <v>35</v>
      </c>
      <c r="O3353" t="s">
        <v>26</v>
      </c>
      <c r="P3353" t="s">
        <v>27</v>
      </c>
      <c r="Q3353" t="s">
        <v>28</v>
      </c>
      <c r="R3353" t="s">
        <v>29</v>
      </c>
      <c r="S3353" t="s">
        <v>30</v>
      </c>
      <c r="T3353">
        <v>80219471</v>
      </c>
      <c r="U3353" t="s">
        <v>3941</v>
      </c>
      <c r="V3353" t="s">
        <v>3934</v>
      </c>
      <c r="W3353" s="9">
        <f>IF(V3353="pregrado",31,
IF(V3353="posgrados",31,
IF(V3353="rEINTEGROS",7,
IF(V3353="BIT",90,
IF(V3353="OP GRADO - INGLÉS",17,"")))))</f>
        <v>31</v>
      </c>
      <c r="X3353" t="s">
        <v>4030</v>
      </c>
    </row>
    <row r="3354" spans="1:24" ht="15" x14ac:dyDescent="0.35">
      <c r="A3354" s="4">
        <v>46038.521585648145</v>
      </c>
      <c r="B3354">
        <v>20114236</v>
      </c>
      <c r="C3354" s="6" t="s">
        <v>19</v>
      </c>
      <c r="D3354">
        <v>603146</v>
      </c>
      <c r="E3354" t="s">
        <v>20</v>
      </c>
      <c r="F3354">
        <v>1066528260</v>
      </c>
      <c r="G3354" t="s">
        <v>1898</v>
      </c>
      <c r="H3354">
        <v>100242025</v>
      </c>
      <c r="I3354">
        <v>202631</v>
      </c>
      <c r="J3354">
        <v>1066525162</v>
      </c>
      <c r="K3354" t="s">
        <v>23</v>
      </c>
      <c r="L3354" t="s">
        <v>219</v>
      </c>
      <c r="M3354" t="s">
        <v>24</v>
      </c>
      <c r="N3354" t="s">
        <v>35</v>
      </c>
      <c r="O3354" t="s">
        <v>26</v>
      </c>
      <c r="P3354" t="s">
        <v>27</v>
      </c>
      <c r="Q3354" t="s">
        <v>28</v>
      </c>
      <c r="R3354" t="s">
        <v>29</v>
      </c>
      <c r="S3354" t="s">
        <v>30</v>
      </c>
      <c r="T3354">
        <v>1000973717</v>
      </c>
      <c r="U3354" t="s">
        <v>3963</v>
      </c>
      <c r="V3354" t="s">
        <v>3934</v>
      </c>
      <c r="W3354" s="9">
        <f>IF(V3354="pregrado",31,
IF(V3354="posgrados",31,
IF(V3354="rEINTEGROS",7,
IF(V3354="BIT",90,
IF(V3354="OP GRADO - INGLÉS",17,"")))))</f>
        <v>31</v>
      </c>
      <c r="X3354" t="s">
        <v>4073</v>
      </c>
    </row>
    <row r="3355" spans="1:24" ht="15" x14ac:dyDescent="0.35">
      <c r="A3355" s="4">
        <v>46063.686921296299</v>
      </c>
      <c r="B3355">
        <v>20122156</v>
      </c>
      <c r="C3355" s="6" t="s">
        <v>19</v>
      </c>
      <c r="D3355">
        <v>603153</v>
      </c>
      <c r="E3355" t="s">
        <v>20</v>
      </c>
      <c r="F3355">
        <v>52269000</v>
      </c>
      <c r="G3355" t="s">
        <v>3001</v>
      </c>
      <c r="H3355">
        <v>100049989</v>
      </c>
      <c r="I3355">
        <v>202611</v>
      </c>
      <c r="J3355">
        <v>1018486967</v>
      </c>
      <c r="K3355" t="s">
        <v>89</v>
      </c>
      <c r="L3355" t="s">
        <v>204</v>
      </c>
      <c r="M3355" t="s">
        <v>24</v>
      </c>
      <c r="N3355">
        <v>0</v>
      </c>
      <c r="O3355" t="s">
        <v>26</v>
      </c>
      <c r="P3355" t="s">
        <v>27</v>
      </c>
      <c r="Q3355" t="s">
        <v>28</v>
      </c>
      <c r="R3355" t="s">
        <v>29</v>
      </c>
      <c r="S3355" t="s">
        <v>30</v>
      </c>
      <c r="T3355">
        <v>1023899450</v>
      </c>
      <c r="U3355" t="s">
        <v>3977</v>
      </c>
      <c r="V3355" t="s">
        <v>3970</v>
      </c>
      <c r="W3355" s="9">
        <f>IF(V3355="pregrado",31,
IF(V3355="posgrados",31,
IF(V3355="rEINTEGROS",7,
IF(V3355="BIT",90,
IF(V3355="OP GRADO - INGLÉS",17,"")))))</f>
        <v>7</v>
      </c>
      <c r="X3355" t="s">
        <v>3969</v>
      </c>
    </row>
    <row r="3356" spans="1:24" ht="15" x14ac:dyDescent="0.35">
      <c r="A3356" s="4">
        <v>46038.508090277777</v>
      </c>
      <c r="B3356">
        <v>20114213</v>
      </c>
      <c r="C3356" s="6" t="s">
        <v>19</v>
      </c>
      <c r="D3356">
        <v>603156</v>
      </c>
      <c r="E3356" t="s">
        <v>20</v>
      </c>
      <c r="F3356">
        <v>1193544943</v>
      </c>
      <c r="G3356" t="s">
        <v>1895</v>
      </c>
      <c r="H3356">
        <v>100242034</v>
      </c>
      <c r="I3356">
        <v>202631</v>
      </c>
      <c r="J3356">
        <v>1193544943</v>
      </c>
      <c r="K3356" t="s">
        <v>23</v>
      </c>
      <c r="L3356" t="s">
        <v>231</v>
      </c>
      <c r="M3356" t="s">
        <v>24</v>
      </c>
      <c r="N3356" t="s">
        <v>35</v>
      </c>
      <c r="O3356" t="s">
        <v>26</v>
      </c>
      <c r="P3356" t="s">
        <v>27</v>
      </c>
      <c r="Q3356" t="s">
        <v>28</v>
      </c>
      <c r="R3356" t="s">
        <v>29</v>
      </c>
      <c r="S3356" t="s">
        <v>30</v>
      </c>
      <c r="T3356">
        <v>53061994</v>
      </c>
      <c r="U3356" t="s">
        <v>3941</v>
      </c>
      <c r="V3356" t="s">
        <v>3934</v>
      </c>
      <c r="W3356" s="9">
        <f>IF(V3356="pregrado",31,
IF(V3356="posgrados",31,
IF(V3356="rEINTEGROS",7,
IF(V3356="BIT",90,
IF(V3356="OP GRADO - INGLÉS",17,"")))))</f>
        <v>31</v>
      </c>
      <c r="X3356" t="s">
        <v>3950</v>
      </c>
    </row>
    <row r="3357" spans="1:24" ht="15" x14ac:dyDescent="0.35">
      <c r="A3357" s="4">
        <v>46038.859780092593</v>
      </c>
      <c r="B3357">
        <v>20114622</v>
      </c>
      <c r="C3357" s="6" t="s">
        <v>19</v>
      </c>
      <c r="D3357">
        <v>603157</v>
      </c>
      <c r="E3357" t="s">
        <v>20</v>
      </c>
      <c r="F3357">
        <v>1003213894</v>
      </c>
      <c r="G3357" t="s">
        <v>1938</v>
      </c>
      <c r="H3357">
        <v>100242036</v>
      </c>
      <c r="I3357">
        <v>202631</v>
      </c>
      <c r="J3357">
        <v>1003213894</v>
      </c>
      <c r="K3357" t="s">
        <v>23</v>
      </c>
      <c r="L3357" t="s">
        <v>231</v>
      </c>
      <c r="M3357" t="s">
        <v>24</v>
      </c>
      <c r="N3357" t="s">
        <v>35</v>
      </c>
      <c r="O3357" t="s">
        <v>26</v>
      </c>
      <c r="P3357" t="s">
        <v>27</v>
      </c>
      <c r="Q3357" t="s">
        <v>28</v>
      </c>
      <c r="R3357" t="s">
        <v>29</v>
      </c>
      <c r="S3357" t="s">
        <v>30</v>
      </c>
      <c r="T3357">
        <v>1000578914</v>
      </c>
      <c r="U3357" t="s">
        <v>3941</v>
      </c>
      <c r="V3357" t="s">
        <v>3934</v>
      </c>
      <c r="W3357" s="9">
        <f>IF(V3357="pregrado",31,
IF(V3357="posgrados",31,
IF(V3357="rEINTEGROS",7,
IF(V3357="BIT",90,
IF(V3357="OP GRADO - INGLÉS",17,"")))))</f>
        <v>31</v>
      </c>
      <c r="X3357" t="s">
        <v>4060</v>
      </c>
    </row>
    <row r="3358" spans="1:24" ht="15" x14ac:dyDescent="0.35">
      <c r="A3358" s="4">
        <v>46066.504236111112</v>
      </c>
      <c r="B3358">
        <v>20123170</v>
      </c>
      <c r="C3358" s="6" t="s">
        <v>19</v>
      </c>
      <c r="D3358">
        <v>603707</v>
      </c>
      <c r="E3358" t="s">
        <v>20</v>
      </c>
      <c r="F3358">
        <v>1018500261</v>
      </c>
      <c r="G3358" t="s">
        <v>3159</v>
      </c>
      <c r="H3358">
        <v>100091379</v>
      </c>
      <c r="I3358">
        <v>202631</v>
      </c>
      <c r="J3358">
        <v>1018500261</v>
      </c>
      <c r="K3358" t="s">
        <v>89</v>
      </c>
      <c r="L3358" t="s">
        <v>127</v>
      </c>
      <c r="M3358" t="s">
        <v>24</v>
      </c>
      <c r="N3358" t="s">
        <v>38</v>
      </c>
      <c r="O3358" t="s">
        <v>26</v>
      </c>
      <c r="P3358" t="s">
        <v>27</v>
      </c>
      <c r="Q3358" t="s">
        <v>28</v>
      </c>
      <c r="R3358" t="s">
        <v>29</v>
      </c>
      <c r="S3358" t="s">
        <v>30</v>
      </c>
      <c r="T3358">
        <v>1019102787</v>
      </c>
      <c r="U3358" t="s">
        <v>3977</v>
      </c>
      <c r="V3358" t="s">
        <v>3970</v>
      </c>
      <c r="W3358" s="9">
        <f>IF(V3358="pregrado",31,
IF(V3358="posgrados",31,
IF(V3358="rEINTEGROS",7,
IF(V3358="BIT",90,
IF(V3358="OP GRADO - INGLÉS",17,"")))))</f>
        <v>7</v>
      </c>
      <c r="X3358" t="s">
        <v>3976</v>
      </c>
    </row>
    <row r="3359" spans="1:24" ht="15" x14ac:dyDescent="0.35">
      <c r="A3359" s="4">
        <v>46044.411030092589</v>
      </c>
      <c r="B3359">
        <v>20116035</v>
      </c>
      <c r="C3359" s="6" t="s">
        <v>19</v>
      </c>
      <c r="D3359">
        <v>604865</v>
      </c>
      <c r="E3359" t="s">
        <v>20</v>
      </c>
      <c r="F3359">
        <v>1021512926</v>
      </c>
      <c r="G3359" t="s">
        <v>2142</v>
      </c>
      <c r="H3359">
        <v>100148092</v>
      </c>
      <c r="I3359">
        <v>202610</v>
      </c>
      <c r="J3359">
        <v>1021512926</v>
      </c>
      <c r="K3359" t="s">
        <v>89</v>
      </c>
      <c r="L3359" t="s">
        <v>79</v>
      </c>
      <c r="M3359" t="s">
        <v>24</v>
      </c>
      <c r="N3359" t="s">
        <v>35</v>
      </c>
      <c r="O3359" t="s">
        <v>26</v>
      </c>
      <c r="P3359" t="s">
        <v>27</v>
      </c>
      <c r="Q3359" t="s">
        <v>28</v>
      </c>
      <c r="R3359" t="s">
        <v>29</v>
      </c>
      <c r="S3359" t="s">
        <v>30</v>
      </c>
      <c r="T3359">
        <v>1019102787</v>
      </c>
      <c r="U3359" t="s">
        <v>3977</v>
      </c>
      <c r="V3359" t="s">
        <v>3970</v>
      </c>
      <c r="W3359" s="9">
        <f>IF(V3359="pregrado",31,
IF(V3359="posgrados",31,
IF(V3359="rEINTEGROS",7,
IF(V3359="BIT",90,
IF(V3359="OP GRADO - INGLÉS",17,"")))))</f>
        <v>7</v>
      </c>
      <c r="X3359" t="s">
        <v>3976</v>
      </c>
    </row>
    <row r="3360" spans="1:24" ht="15" x14ac:dyDescent="0.35">
      <c r="A3360" s="4">
        <v>46038.427337962959</v>
      </c>
      <c r="B3360">
        <v>20114097</v>
      </c>
      <c r="C3360" s="6" t="s">
        <v>19</v>
      </c>
      <c r="D3360">
        <v>605089</v>
      </c>
      <c r="E3360" t="s">
        <v>20</v>
      </c>
      <c r="F3360">
        <v>35195714</v>
      </c>
      <c r="G3360" t="s">
        <v>1882</v>
      </c>
      <c r="H3360">
        <v>100242055</v>
      </c>
      <c r="I3360">
        <v>202631</v>
      </c>
      <c r="J3360">
        <v>1003529191</v>
      </c>
      <c r="K3360" t="s">
        <v>23</v>
      </c>
      <c r="L3360" t="s">
        <v>42</v>
      </c>
      <c r="M3360" t="s">
        <v>24</v>
      </c>
      <c r="N3360" t="s">
        <v>35</v>
      </c>
      <c r="O3360" t="s">
        <v>26</v>
      </c>
      <c r="P3360" t="s">
        <v>27</v>
      </c>
      <c r="Q3360" t="s">
        <v>28</v>
      </c>
      <c r="R3360" t="s">
        <v>29</v>
      </c>
      <c r="S3360" t="s">
        <v>30</v>
      </c>
      <c r="T3360">
        <v>11001273124</v>
      </c>
      <c r="U3360" t="s">
        <v>3944</v>
      </c>
      <c r="V3360" t="s">
        <v>3934</v>
      </c>
      <c r="W3360" s="9">
        <f>IF(V3360="pregrado",31,
IF(V3360="posgrados",31,
IF(V3360="rEINTEGROS",7,
IF(V3360="BIT",90,
IF(V3360="OP GRADO - INGLÉS",17,"")))))</f>
        <v>31</v>
      </c>
      <c r="X3360" t="s">
        <v>3951</v>
      </c>
    </row>
    <row r="3361" spans="1:24" ht="15" x14ac:dyDescent="0.35">
      <c r="A3361" s="4">
        <v>46045.625810185185</v>
      </c>
      <c r="B3361">
        <v>20116652</v>
      </c>
      <c r="C3361" s="6" t="s">
        <v>19</v>
      </c>
      <c r="D3361">
        <v>605098</v>
      </c>
      <c r="E3361" t="s">
        <v>20</v>
      </c>
      <c r="F3361">
        <v>1010083016</v>
      </c>
      <c r="G3361" t="s">
        <v>2242</v>
      </c>
      <c r="H3361">
        <v>100242064</v>
      </c>
      <c r="I3361">
        <v>202611</v>
      </c>
      <c r="J3361">
        <v>1010083016</v>
      </c>
      <c r="K3361" t="s">
        <v>23</v>
      </c>
      <c r="L3361" t="s">
        <v>227</v>
      </c>
      <c r="M3361" t="s">
        <v>24</v>
      </c>
      <c r="N3361" t="s">
        <v>25</v>
      </c>
      <c r="O3361" t="s">
        <v>26</v>
      </c>
      <c r="P3361" t="s">
        <v>27</v>
      </c>
      <c r="Q3361" t="s">
        <v>28</v>
      </c>
      <c r="R3361" t="s">
        <v>29</v>
      </c>
      <c r="S3361" t="s">
        <v>30</v>
      </c>
      <c r="T3361">
        <v>1003690112</v>
      </c>
      <c r="U3361" t="s">
        <v>3933</v>
      </c>
      <c r="V3361" t="s">
        <v>3934</v>
      </c>
      <c r="W3361" s="9">
        <f>IF(V3361="pregrado",31,
IF(V3361="posgrados",31,
IF(V3361="rEINTEGROS",7,
IF(V3361="BIT",90,
IF(V3361="OP GRADO - INGLÉS",17,"")))))</f>
        <v>31</v>
      </c>
      <c r="X3361" t="s">
        <v>4061</v>
      </c>
    </row>
    <row r="3362" spans="1:24" ht="15" x14ac:dyDescent="0.35">
      <c r="A3362" s="4">
        <v>46041.701261574075</v>
      </c>
      <c r="B3362">
        <v>20115024</v>
      </c>
      <c r="C3362" s="6" t="s">
        <v>19</v>
      </c>
      <c r="D3362">
        <v>605108</v>
      </c>
      <c r="E3362" t="s">
        <v>20</v>
      </c>
      <c r="F3362">
        <v>1085104060</v>
      </c>
      <c r="G3362" t="s">
        <v>1982</v>
      </c>
      <c r="H3362">
        <v>200081205</v>
      </c>
      <c r="I3362">
        <v>202631</v>
      </c>
      <c r="J3362">
        <v>1081795669</v>
      </c>
      <c r="K3362" t="s">
        <v>83</v>
      </c>
      <c r="L3362" t="s">
        <v>119</v>
      </c>
      <c r="M3362" t="s">
        <v>24</v>
      </c>
      <c r="N3362" t="s">
        <v>35</v>
      </c>
      <c r="O3362" t="s">
        <v>26</v>
      </c>
      <c r="P3362" t="s">
        <v>27</v>
      </c>
      <c r="Q3362" t="s">
        <v>28</v>
      </c>
      <c r="R3362" t="s">
        <v>29</v>
      </c>
      <c r="S3362" t="s">
        <v>30</v>
      </c>
      <c r="T3362">
        <v>1014283217</v>
      </c>
      <c r="U3362" t="s">
        <v>3963</v>
      </c>
      <c r="V3362" t="s">
        <v>3934</v>
      </c>
      <c r="W3362" s="9">
        <f>IF(V3362="pregrado",31,
IF(V3362="posgrados",31,
IF(V3362="rEINTEGROS",7,
IF(V3362="BIT",90,
IF(V3362="OP GRADO - INGLÉS",17,"")))))</f>
        <v>31</v>
      </c>
      <c r="X3362" t="s">
        <v>4023</v>
      </c>
    </row>
    <row r="3363" spans="1:24" ht="15" x14ac:dyDescent="0.35">
      <c r="A3363" s="4">
        <v>46042.476990740739</v>
      </c>
      <c r="B3363">
        <v>20115241</v>
      </c>
      <c r="C3363" s="6" t="s">
        <v>19</v>
      </c>
      <c r="D3363">
        <v>605109</v>
      </c>
      <c r="E3363" t="s">
        <v>20</v>
      </c>
      <c r="F3363">
        <v>18398659</v>
      </c>
      <c r="G3363" t="s">
        <v>2010</v>
      </c>
      <c r="H3363">
        <v>100242085</v>
      </c>
      <c r="I3363">
        <v>202631</v>
      </c>
      <c r="J3363">
        <v>18398659</v>
      </c>
      <c r="K3363" t="s">
        <v>23</v>
      </c>
      <c r="L3363" t="s">
        <v>240</v>
      </c>
      <c r="M3363" t="s">
        <v>24</v>
      </c>
      <c r="N3363" t="s">
        <v>35</v>
      </c>
      <c r="O3363" t="s">
        <v>26</v>
      </c>
      <c r="P3363" t="s">
        <v>27</v>
      </c>
      <c r="Q3363" t="s">
        <v>28</v>
      </c>
      <c r="R3363" t="s">
        <v>29</v>
      </c>
      <c r="S3363" t="s">
        <v>30</v>
      </c>
      <c r="T3363">
        <v>1007709034</v>
      </c>
      <c r="U3363" t="s">
        <v>3965</v>
      </c>
      <c r="V3363" t="s">
        <v>3934</v>
      </c>
      <c r="W3363" s="9">
        <f>IF(V3363="pregrado",31,
IF(V3363="posgrados",31,
IF(V3363="rEINTEGROS",7,
IF(V3363="BIT",90,
IF(V3363="OP GRADO - INGLÉS",17,"")))))</f>
        <v>31</v>
      </c>
      <c r="X3363" t="s">
        <v>3964</v>
      </c>
    </row>
    <row r="3364" spans="1:24" ht="15" x14ac:dyDescent="0.35">
      <c r="A3364" s="4">
        <v>46038.47619212963</v>
      </c>
      <c r="B3364">
        <v>20114163</v>
      </c>
      <c r="C3364" s="6" t="s">
        <v>19</v>
      </c>
      <c r="D3364">
        <v>605119</v>
      </c>
      <c r="E3364" t="s">
        <v>20</v>
      </c>
      <c r="F3364">
        <v>20666813</v>
      </c>
      <c r="G3364" t="s">
        <v>1890</v>
      </c>
      <c r="H3364">
        <v>100242091</v>
      </c>
      <c r="I3364">
        <v>202631</v>
      </c>
      <c r="J3364">
        <v>1003704157</v>
      </c>
      <c r="K3364" t="s">
        <v>23</v>
      </c>
      <c r="L3364" t="s">
        <v>127</v>
      </c>
      <c r="M3364" t="s">
        <v>24</v>
      </c>
      <c r="N3364" t="s">
        <v>35</v>
      </c>
      <c r="O3364" t="s">
        <v>26</v>
      </c>
      <c r="P3364" t="s">
        <v>27</v>
      </c>
      <c r="Q3364" t="s">
        <v>28</v>
      </c>
      <c r="R3364" t="s">
        <v>29</v>
      </c>
      <c r="S3364" t="s">
        <v>30</v>
      </c>
      <c r="T3364">
        <v>1007473661</v>
      </c>
      <c r="U3364" t="s">
        <v>3933</v>
      </c>
      <c r="V3364" t="s">
        <v>3934</v>
      </c>
      <c r="W3364" s="9">
        <f>IF(V3364="pregrado",31,
IF(V3364="posgrados",31,
IF(V3364="rEINTEGROS",7,
IF(V3364="BIT",90,
IF(V3364="OP GRADO - INGLÉS",17,"")))))</f>
        <v>31</v>
      </c>
      <c r="X3364" t="s">
        <v>4058</v>
      </c>
    </row>
    <row r="3365" spans="1:24" ht="15" x14ac:dyDescent="0.35">
      <c r="A3365" s="4">
        <v>46042.727916666663</v>
      </c>
      <c r="B3365">
        <v>20115487</v>
      </c>
      <c r="C3365" s="6" t="s">
        <v>19</v>
      </c>
      <c r="D3365">
        <v>605123</v>
      </c>
      <c r="E3365" t="s">
        <v>20</v>
      </c>
      <c r="F3365">
        <v>3170660</v>
      </c>
      <c r="G3365" t="s">
        <v>2043</v>
      </c>
      <c r="H3365">
        <v>100242096</v>
      </c>
      <c r="I3365">
        <v>202631</v>
      </c>
      <c r="J3365">
        <v>1070609980</v>
      </c>
      <c r="K3365" t="s">
        <v>33</v>
      </c>
      <c r="L3365" t="s">
        <v>240</v>
      </c>
      <c r="M3365" t="s">
        <v>24</v>
      </c>
      <c r="N3365" t="s">
        <v>25</v>
      </c>
      <c r="O3365" t="s">
        <v>26</v>
      </c>
      <c r="P3365" t="s">
        <v>27</v>
      </c>
      <c r="Q3365" t="s">
        <v>28</v>
      </c>
      <c r="R3365" t="s">
        <v>29</v>
      </c>
      <c r="S3365" t="s">
        <v>30</v>
      </c>
      <c r="T3365">
        <v>45555807</v>
      </c>
      <c r="U3365" t="s">
        <v>3965</v>
      </c>
      <c r="V3365" t="s">
        <v>3934</v>
      </c>
      <c r="W3365" s="9">
        <f>IF(V3365="pregrado",31,
IF(V3365="posgrados",31,
IF(V3365="rEINTEGROS",7,
IF(V3365="BIT",90,
IF(V3365="OP GRADO - INGLÉS",17,"")))))</f>
        <v>31</v>
      </c>
      <c r="X3365" t="s">
        <v>4027</v>
      </c>
    </row>
    <row r="3366" spans="1:24" ht="15" x14ac:dyDescent="0.35">
      <c r="A3366" s="4">
        <v>46041.417060185187</v>
      </c>
      <c r="B3366">
        <v>20114793</v>
      </c>
      <c r="C3366" s="6" t="s">
        <v>19</v>
      </c>
      <c r="D3366">
        <v>605139</v>
      </c>
      <c r="E3366" t="s">
        <v>20</v>
      </c>
      <c r="F3366">
        <v>1235245619</v>
      </c>
      <c r="G3366" t="s">
        <v>1961</v>
      </c>
      <c r="H3366">
        <v>100242117</v>
      </c>
      <c r="I3366">
        <v>202610</v>
      </c>
      <c r="J3366">
        <v>1124050308</v>
      </c>
      <c r="K3366" t="s">
        <v>23</v>
      </c>
      <c r="L3366" t="s">
        <v>40</v>
      </c>
      <c r="M3366" t="s">
        <v>24</v>
      </c>
      <c r="N3366" t="s">
        <v>35</v>
      </c>
      <c r="O3366" t="s">
        <v>26</v>
      </c>
      <c r="P3366" t="s">
        <v>27</v>
      </c>
      <c r="Q3366" t="s">
        <v>28</v>
      </c>
      <c r="R3366" t="s">
        <v>29</v>
      </c>
      <c r="S3366" t="s">
        <v>30</v>
      </c>
      <c r="T3366">
        <v>1010081108</v>
      </c>
      <c r="U3366" t="s">
        <v>3941</v>
      </c>
      <c r="V3366" t="s">
        <v>3934</v>
      </c>
      <c r="W3366" s="9">
        <f>IF(V3366="pregrado",31,
IF(V3366="posgrados",31,
IF(V3366="rEINTEGROS",7,
IF(V3366="BIT",90,
IF(V3366="OP GRADO - INGLÉS",17,"")))))</f>
        <v>31</v>
      </c>
      <c r="X3366" t="s">
        <v>4009</v>
      </c>
    </row>
    <row r="3367" spans="1:24" ht="15" x14ac:dyDescent="0.35">
      <c r="A3367" s="4">
        <v>46071.667928240742</v>
      </c>
      <c r="B3367">
        <v>20124562</v>
      </c>
      <c r="C3367" s="6" t="s">
        <v>19</v>
      </c>
      <c r="D3367">
        <v>605151</v>
      </c>
      <c r="E3367" t="s">
        <v>20</v>
      </c>
      <c r="F3367">
        <v>1091353117</v>
      </c>
      <c r="G3367" t="s">
        <v>3364</v>
      </c>
      <c r="H3367">
        <v>100242125</v>
      </c>
      <c r="I3367">
        <v>202611</v>
      </c>
      <c r="J3367">
        <v>1091353117</v>
      </c>
      <c r="K3367" t="s">
        <v>33</v>
      </c>
      <c r="L3367" t="s">
        <v>204</v>
      </c>
      <c r="M3367" t="s">
        <v>24</v>
      </c>
      <c r="N3367" t="s">
        <v>25</v>
      </c>
      <c r="O3367" t="s">
        <v>26</v>
      </c>
      <c r="P3367" t="s">
        <v>27</v>
      </c>
      <c r="Q3367" t="s">
        <v>28</v>
      </c>
      <c r="R3367" t="s">
        <v>29</v>
      </c>
      <c r="S3367" t="s">
        <v>30</v>
      </c>
      <c r="T3367">
        <v>53178431</v>
      </c>
      <c r="U3367" t="s">
        <v>3941</v>
      </c>
      <c r="V3367" t="s">
        <v>3934</v>
      </c>
      <c r="W3367" s="9">
        <f>IF(V3367="pregrado",31,
IF(V3367="posgrados",31,
IF(V3367="rEINTEGROS",7,
IF(V3367="BIT",90,
IF(V3367="OP GRADO - INGLÉS",17,"")))))</f>
        <v>31</v>
      </c>
      <c r="X3367" t="s">
        <v>3949</v>
      </c>
    </row>
    <row r="3368" spans="1:24" ht="15" x14ac:dyDescent="0.35">
      <c r="A3368" s="4">
        <v>46057.343078703707</v>
      </c>
      <c r="B3368">
        <v>20120284</v>
      </c>
      <c r="C3368" s="6" t="s">
        <v>19</v>
      </c>
      <c r="D3368">
        <v>605158</v>
      </c>
      <c r="E3368" t="s">
        <v>20</v>
      </c>
      <c r="F3368">
        <v>1052572507</v>
      </c>
      <c r="G3368" t="s">
        <v>2718</v>
      </c>
      <c r="H3368">
        <v>100203300</v>
      </c>
      <c r="I3368">
        <v>202631</v>
      </c>
      <c r="J3368">
        <v>1052572507</v>
      </c>
      <c r="K3368" t="s">
        <v>33</v>
      </c>
      <c r="L3368" t="s">
        <v>101</v>
      </c>
      <c r="M3368" t="s">
        <v>24</v>
      </c>
      <c r="N3368" t="s">
        <v>35</v>
      </c>
      <c r="O3368" t="s">
        <v>26</v>
      </c>
      <c r="P3368" t="s">
        <v>27</v>
      </c>
      <c r="Q3368" t="s">
        <v>28</v>
      </c>
      <c r="R3368" t="s">
        <v>29</v>
      </c>
      <c r="S3368" t="s">
        <v>30</v>
      </c>
      <c r="T3368">
        <v>1015407851</v>
      </c>
      <c r="U3368" t="s">
        <v>3944</v>
      </c>
      <c r="V3368" t="s">
        <v>3934</v>
      </c>
      <c r="W3368" s="9">
        <f>IF(V3368="pregrado",31,
IF(V3368="posgrados",31,
IF(V3368="rEINTEGROS",7,
IF(V3368="BIT",90,
IF(V3368="OP GRADO - INGLÉS",17,"")))))</f>
        <v>31</v>
      </c>
      <c r="X3368" t="s">
        <v>4102</v>
      </c>
    </row>
    <row r="3369" spans="1:24" ht="15" x14ac:dyDescent="0.35">
      <c r="A3369" s="4">
        <v>46038.669641203705</v>
      </c>
      <c r="B3369">
        <v>20114434</v>
      </c>
      <c r="C3369" s="6" t="s">
        <v>19</v>
      </c>
      <c r="D3369">
        <v>605164</v>
      </c>
      <c r="E3369" t="s">
        <v>20</v>
      </c>
      <c r="F3369">
        <v>1070621236</v>
      </c>
      <c r="G3369" t="s">
        <v>1919</v>
      </c>
      <c r="H3369">
        <v>100242142</v>
      </c>
      <c r="I3369">
        <v>202611</v>
      </c>
      <c r="J3369">
        <v>1070621236</v>
      </c>
      <c r="K3369" t="s">
        <v>23</v>
      </c>
      <c r="L3369" t="s">
        <v>227</v>
      </c>
      <c r="M3369" t="s">
        <v>24</v>
      </c>
      <c r="N3369" t="s">
        <v>25</v>
      </c>
      <c r="O3369" t="s">
        <v>26</v>
      </c>
      <c r="P3369" t="s">
        <v>27</v>
      </c>
      <c r="Q3369" t="s">
        <v>28</v>
      </c>
      <c r="R3369" t="s">
        <v>29</v>
      </c>
      <c r="S3369" t="s">
        <v>30</v>
      </c>
      <c r="T3369">
        <v>1003652550</v>
      </c>
      <c r="U3369" t="s">
        <v>3965</v>
      </c>
      <c r="V3369" t="s">
        <v>3934</v>
      </c>
      <c r="W3369" s="9">
        <f>IF(V3369="pregrado",31,
IF(V3369="posgrados",31,
IF(V3369="rEINTEGROS",7,
IF(V3369="BIT",90,
IF(V3369="OP GRADO - INGLÉS",17,"")))))</f>
        <v>31</v>
      </c>
      <c r="X3369" t="s">
        <v>4059</v>
      </c>
    </row>
    <row r="3370" spans="1:24" ht="15" x14ac:dyDescent="0.35">
      <c r="A3370" s="4">
        <v>46042.601504629631</v>
      </c>
      <c r="B3370">
        <v>20115331</v>
      </c>
      <c r="C3370" s="6" t="s">
        <v>19</v>
      </c>
      <c r="D3370">
        <v>605165</v>
      </c>
      <c r="E3370" t="s">
        <v>20</v>
      </c>
      <c r="F3370">
        <v>1085663872</v>
      </c>
      <c r="G3370" t="s">
        <v>2022</v>
      </c>
      <c r="H3370">
        <v>100242167</v>
      </c>
      <c r="I3370">
        <v>202611</v>
      </c>
      <c r="J3370">
        <v>1085663872</v>
      </c>
      <c r="K3370" t="s">
        <v>23</v>
      </c>
      <c r="L3370" t="s">
        <v>221</v>
      </c>
      <c r="M3370" t="s">
        <v>24</v>
      </c>
      <c r="N3370" t="s">
        <v>35</v>
      </c>
      <c r="O3370" t="s">
        <v>26</v>
      </c>
      <c r="P3370" t="s">
        <v>27</v>
      </c>
      <c r="Q3370" t="s">
        <v>28</v>
      </c>
      <c r="R3370" t="s">
        <v>29</v>
      </c>
      <c r="S3370" t="s">
        <v>30</v>
      </c>
      <c r="T3370">
        <v>1032678391</v>
      </c>
      <c r="U3370" t="s">
        <v>3965</v>
      </c>
      <c r="V3370" t="s">
        <v>3934</v>
      </c>
      <c r="W3370" s="9">
        <f>IF(V3370="pregrado",31,
IF(V3370="posgrados",31,
IF(V3370="rEINTEGROS",7,
IF(V3370="BIT",90,
IF(V3370="OP GRADO - INGLÉS",17,"")))))</f>
        <v>31</v>
      </c>
      <c r="X3370" t="s">
        <v>4098</v>
      </c>
    </row>
    <row r="3371" spans="1:24" ht="15" x14ac:dyDescent="0.35">
      <c r="A3371" s="4">
        <v>46041.50571759259</v>
      </c>
      <c r="B3371">
        <v>20114875</v>
      </c>
      <c r="C3371" s="6" t="s">
        <v>19</v>
      </c>
      <c r="D3371">
        <v>605166</v>
      </c>
      <c r="E3371" t="s">
        <v>20</v>
      </c>
      <c r="F3371">
        <v>5470261</v>
      </c>
      <c r="G3371" t="s">
        <v>1966</v>
      </c>
      <c r="H3371">
        <v>100241710</v>
      </c>
      <c r="I3371">
        <v>202611</v>
      </c>
      <c r="J3371">
        <v>1091671015</v>
      </c>
      <c r="K3371" t="s">
        <v>23</v>
      </c>
      <c r="L3371" t="s">
        <v>221</v>
      </c>
      <c r="M3371" t="s">
        <v>24</v>
      </c>
      <c r="N3371" t="s">
        <v>35</v>
      </c>
      <c r="O3371" t="s">
        <v>26</v>
      </c>
      <c r="P3371" t="s">
        <v>27</v>
      </c>
      <c r="Q3371" t="s">
        <v>28</v>
      </c>
      <c r="R3371" t="s">
        <v>29</v>
      </c>
      <c r="S3371" t="s">
        <v>30</v>
      </c>
      <c r="T3371">
        <v>1000625316</v>
      </c>
      <c r="U3371" t="s">
        <v>3944</v>
      </c>
      <c r="V3371" t="s">
        <v>3934</v>
      </c>
      <c r="W3371" s="9">
        <f>IF(V3371="pregrado",31,
IF(V3371="posgrados",31,
IF(V3371="rEINTEGROS",7,
IF(V3371="BIT",90,
IF(V3371="OP GRADO - INGLÉS",17,"")))))</f>
        <v>31</v>
      </c>
      <c r="X3371" t="s">
        <v>3980</v>
      </c>
    </row>
    <row r="3372" spans="1:24" ht="15" x14ac:dyDescent="0.35">
      <c r="A3372" s="4">
        <v>46038.622523148151</v>
      </c>
      <c r="B3372">
        <v>20114360</v>
      </c>
      <c r="C3372" s="6" t="s">
        <v>19</v>
      </c>
      <c r="D3372">
        <v>605175</v>
      </c>
      <c r="E3372" t="s">
        <v>20</v>
      </c>
      <c r="F3372">
        <v>1045714470</v>
      </c>
      <c r="G3372" t="s">
        <v>1906</v>
      </c>
      <c r="H3372">
        <v>100242141</v>
      </c>
      <c r="I3372">
        <v>202631</v>
      </c>
      <c r="J3372">
        <v>1045714470</v>
      </c>
      <c r="K3372" t="s">
        <v>23</v>
      </c>
      <c r="L3372" t="s">
        <v>90</v>
      </c>
      <c r="M3372" t="s">
        <v>24</v>
      </c>
      <c r="N3372" t="s">
        <v>38</v>
      </c>
      <c r="O3372" t="s">
        <v>26</v>
      </c>
      <c r="P3372" t="s">
        <v>27</v>
      </c>
      <c r="Q3372" t="s">
        <v>28</v>
      </c>
      <c r="R3372" t="s">
        <v>29</v>
      </c>
      <c r="S3372" t="s">
        <v>30</v>
      </c>
      <c r="T3372">
        <v>10245841021</v>
      </c>
      <c r="U3372" t="s">
        <v>3933</v>
      </c>
      <c r="V3372" t="s">
        <v>3934</v>
      </c>
      <c r="W3372" s="9">
        <f>IF(V3372="pregrado",31,
IF(V3372="posgrados",31,
IF(V3372="rEINTEGROS",7,
IF(V3372="BIT",90,
IF(V3372="OP GRADO - INGLÉS",17,"")))))</f>
        <v>31</v>
      </c>
      <c r="X3372" t="s">
        <v>3987</v>
      </c>
    </row>
    <row r="3373" spans="1:24" ht="15" x14ac:dyDescent="0.35">
      <c r="A3373" s="4">
        <v>46043.365254629629</v>
      </c>
      <c r="B3373">
        <v>20115591</v>
      </c>
      <c r="C3373" s="6" t="s">
        <v>19</v>
      </c>
      <c r="D3373">
        <v>605178</v>
      </c>
      <c r="E3373" t="s">
        <v>20</v>
      </c>
      <c r="F3373">
        <v>1068137168</v>
      </c>
      <c r="G3373" t="s">
        <v>2056</v>
      </c>
      <c r="H3373">
        <v>100242176</v>
      </c>
      <c r="I3373">
        <v>202631</v>
      </c>
      <c r="J3373">
        <v>1068137168</v>
      </c>
      <c r="K3373" t="s">
        <v>23</v>
      </c>
      <c r="L3373" t="s">
        <v>207</v>
      </c>
      <c r="M3373" t="s">
        <v>24</v>
      </c>
      <c r="N3373" t="s">
        <v>35</v>
      </c>
      <c r="O3373" t="s">
        <v>26</v>
      </c>
      <c r="P3373" t="s">
        <v>27</v>
      </c>
      <c r="Q3373" t="s">
        <v>28</v>
      </c>
      <c r="R3373" t="s">
        <v>29</v>
      </c>
      <c r="S3373" t="s">
        <v>30</v>
      </c>
      <c r="T3373">
        <v>1001315142</v>
      </c>
      <c r="U3373" t="s">
        <v>3986</v>
      </c>
      <c r="V3373" t="s">
        <v>3934</v>
      </c>
      <c r="W3373" s="9">
        <f>IF(V3373="pregrado",31,
IF(V3373="posgrados",31,
IF(V3373="rEINTEGROS",7,
IF(V3373="BIT",90,
IF(V3373="OP GRADO - INGLÉS",17,"")))))</f>
        <v>31</v>
      </c>
      <c r="X3373" t="s">
        <v>4064</v>
      </c>
    </row>
    <row r="3374" spans="1:24" ht="15" x14ac:dyDescent="0.35">
      <c r="A3374" s="4">
        <v>46038.719236111108</v>
      </c>
      <c r="B3374">
        <v>20114517</v>
      </c>
      <c r="C3374" s="6" t="s">
        <v>19</v>
      </c>
      <c r="D3374">
        <v>605181</v>
      </c>
      <c r="E3374" t="s">
        <v>20</v>
      </c>
      <c r="F3374">
        <v>1053443211</v>
      </c>
      <c r="G3374" t="s">
        <v>1932</v>
      </c>
      <c r="H3374">
        <v>100242159</v>
      </c>
      <c r="I3374">
        <v>202631</v>
      </c>
      <c r="J3374">
        <v>1053443211</v>
      </c>
      <c r="K3374" t="s">
        <v>33</v>
      </c>
      <c r="L3374" t="s">
        <v>127</v>
      </c>
      <c r="M3374" t="s">
        <v>24</v>
      </c>
      <c r="N3374" t="s">
        <v>25</v>
      </c>
      <c r="O3374" t="s">
        <v>26</v>
      </c>
      <c r="P3374" t="s">
        <v>27</v>
      </c>
      <c r="Q3374" t="s">
        <v>28</v>
      </c>
      <c r="R3374" t="s">
        <v>29</v>
      </c>
      <c r="S3374" t="s">
        <v>30</v>
      </c>
      <c r="T3374">
        <v>1015441103</v>
      </c>
      <c r="U3374" t="s">
        <v>3933</v>
      </c>
      <c r="V3374" t="s">
        <v>3934</v>
      </c>
      <c r="W3374" s="9">
        <f>IF(V3374="pregrado",31,
IF(V3374="posgrados",31,
IF(V3374="rEINTEGROS",7,
IF(V3374="BIT",90,
IF(V3374="OP GRADO - INGLÉS",17,"")))))</f>
        <v>31</v>
      </c>
      <c r="X3374" t="s">
        <v>3961</v>
      </c>
    </row>
    <row r="3375" spans="1:24" ht="15" x14ac:dyDescent="0.35">
      <c r="A3375" s="4">
        <v>46058.510138888887</v>
      </c>
      <c r="B3375">
        <v>20120823</v>
      </c>
      <c r="C3375" s="6" t="s">
        <v>19</v>
      </c>
      <c r="D3375">
        <v>605191</v>
      </c>
      <c r="E3375" t="s">
        <v>20</v>
      </c>
      <c r="F3375">
        <v>1010840522</v>
      </c>
      <c r="G3375" t="s">
        <v>2800</v>
      </c>
      <c r="H3375">
        <v>100241673</v>
      </c>
      <c r="I3375">
        <v>202610</v>
      </c>
      <c r="J3375">
        <v>1071433061</v>
      </c>
      <c r="K3375" t="s">
        <v>33</v>
      </c>
      <c r="L3375" t="s">
        <v>49</v>
      </c>
      <c r="M3375" t="s">
        <v>24</v>
      </c>
      <c r="N3375" t="s">
        <v>35</v>
      </c>
      <c r="O3375" t="s">
        <v>26</v>
      </c>
      <c r="P3375" t="s">
        <v>27</v>
      </c>
      <c r="Q3375" t="s">
        <v>28</v>
      </c>
      <c r="R3375" t="s">
        <v>29</v>
      </c>
      <c r="S3375" t="s">
        <v>30</v>
      </c>
      <c r="T3375">
        <v>53139409</v>
      </c>
      <c r="U3375" t="s">
        <v>3944</v>
      </c>
      <c r="V3375" t="s">
        <v>3934</v>
      </c>
      <c r="W3375" s="9">
        <f>IF(V3375="pregrado",31,
IF(V3375="posgrados",31,
IF(V3375="rEINTEGROS",7,
IF(V3375="BIT",90,
IF(V3375="OP GRADO - INGLÉS",17,"")))))</f>
        <v>31</v>
      </c>
      <c r="X3375" t="s">
        <v>3955</v>
      </c>
    </row>
    <row r="3376" spans="1:24" ht="15" x14ac:dyDescent="0.35">
      <c r="A3376" s="4">
        <v>46039.509340277778</v>
      </c>
      <c r="B3376">
        <v>20114708</v>
      </c>
      <c r="C3376" s="6" t="s">
        <v>19</v>
      </c>
      <c r="D3376">
        <v>605192</v>
      </c>
      <c r="E3376" t="s">
        <v>20</v>
      </c>
      <c r="F3376">
        <v>69020582</v>
      </c>
      <c r="G3376" t="s">
        <v>1954</v>
      </c>
      <c r="H3376">
        <v>100242154</v>
      </c>
      <c r="I3376">
        <v>202611</v>
      </c>
      <c r="J3376">
        <v>1120098865</v>
      </c>
      <c r="K3376" t="s">
        <v>23</v>
      </c>
      <c r="L3376" t="s">
        <v>221</v>
      </c>
      <c r="M3376" t="s">
        <v>24</v>
      </c>
      <c r="N3376" t="s">
        <v>25</v>
      </c>
      <c r="O3376" t="s">
        <v>26</v>
      </c>
      <c r="P3376" t="s">
        <v>27</v>
      </c>
      <c r="Q3376" t="s">
        <v>28</v>
      </c>
      <c r="R3376" t="s">
        <v>29</v>
      </c>
      <c r="S3376" t="s">
        <v>30</v>
      </c>
      <c r="T3376">
        <v>10123971531</v>
      </c>
      <c r="U3376" t="s">
        <v>3944</v>
      </c>
      <c r="V3376" t="s">
        <v>3934</v>
      </c>
      <c r="W3376" s="9">
        <f>IF(V3376="pregrado",31,
IF(V3376="posgrados",31,
IF(V3376="rEINTEGROS",7,
IF(V3376="BIT",90,
IF(V3376="OP GRADO - INGLÉS",17,"")))))</f>
        <v>31</v>
      </c>
      <c r="X3376" t="s">
        <v>3943</v>
      </c>
    </row>
    <row r="3377" spans="1:24" ht="15" x14ac:dyDescent="0.35">
      <c r="A3377" s="4">
        <v>46059.637199074074</v>
      </c>
      <c r="B3377">
        <v>20121224</v>
      </c>
      <c r="C3377" s="6" t="s">
        <v>19</v>
      </c>
      <c r="D3377">
        <v>605193</v>
      </c>
      <c r="E3377" t="s">
        <v>20</v>
      </c>
      <c r="F3377">
        <v>1003258259</v>
      </c>
      <c r="G3377" t="s">
        <v>2866</v>
      </c>
      <c r="H3377">
        <v>100242198</v>
      </c>
      <c r="I3377">
        <v>202631</v>
      </c>
      <c r="J3377">
        <v>1003258259</v>
      </c>
      <c r="K3377" t="s">
        <v>33</v>
      </c>
      <c r="L3377" t="s">
        <v>370</v>
      </c>
      <c r="M3377" t="s">
        <v>24</v>
      </c>
      <c r="N3377" t="s">
        <v>35</v>
      </c>
      <c r="O3377" t="s">
        <v>26</v>
      </c>
      <c r="P3377" t="s">
        <v>27</v>
      </c>
      <c r="Q3377" t="s">
        <v>28</v>
      </c>
      <c r="R3377" t="s">
        <v>29</v>
      </c>
      <c r="S3377" t="s">
        <v>30</v>
      </c>
      <c r="T3377">
        <v>1014273794</v>
      </c>
      <c r="U3377" t="s">
        <v>3939</v>
      </c>
      <c r="V3377" t="s">
        <v>3934</v>
      </c>
      <c r="W3377" s="9">
        <f>IF(V3377="pregrado",31,
IF(V3377="posgrados",31,
IF(V3377="rEINTEGROS",7,
IF(V3377="BIT",90,
IF(V3377="OP GRADO - INGLÉS",17,"")))))</f>
        <v>31</v>
      </c>
      <c r="X3377" t="s">
        <v>4004</v>
      </c>
    </row>
    <row r="3378" spans="1:24" ht="15" x14ac:dyDescent="0.35">
      <c r="A3378" s="4">
        <v>46042.643611111111</v>
      </c>
      <c r="B3378">
        <v>20115380</v>
      </c>
      <c r="C3378" s="6" t="s">
        <v>19</v>
      </c>
      <c r="D3378">
        <v>605194</v>
      </c>
      <c r="E3378" t="s">
        <v>20</v>
      </c>
      <c r="F3378">
        <v>1006156573</v>
      </c>
      <c r="G3378" t="s">
        <v>2029</v>
      </c>
      <c r="H3378">
        <v>200083764</v>
      </c>
      <c r="I3378">
        <v>202631</v>
      </c>
      <c r="J3378">
        <v>1006156573</v>
      </c>
      <c r="K3378" t="s">
        <v>33</v>
      </c>
      <c r="L3378" t="s">
        <v>119</v>
      </c>
      <c r="M3378" t="s">
        <v>24</v>
      </c>
      <c r="N3378" t="s">
        <v>35</v>
      </c>
      <c r="O3378" t="s">
        <v>26</v>
      </c>
      <c r="P3378" t="s">
        <v>27</v>
      </c>
      <c r="Q3378" t="s">
        <v>28</v>
      </c>
      <c r="R3378" t="s">
        <v>29</v>
      </c>
      <c r="S3378" t="s">
        <v>30</v>
      </c>
      <c r="T3378">
        <v>52446712</v>
      </c>
      <c r="U3378" t="s">
        <v>3963</v>
      </c>
      <c r="V3378" t="s">
        <v>3934</v>
      </c>
      <c r="W3378" s="9">
        <f>IF(V3378="pregrado",31,
IF(V3378="posgrados",31,
IF(V3378="rEINTEGROS",7,
IF(V3378="BIT",90,
IF(V3378="OP GRADO - INGLÉS",17,"")))))</f>
        <v>31</v>
      </c>
      <c r="X3378" t="s">
        <v>4041</v>
      </c>
    </row>
    <row r="3379" spans="1:24" ht="15" x14ac:dyDescent="0.35">
      <c r="A3379" s="4">
        <v>46039.389791666668</v>
      </c>
      <c r="B3379">
        <v>20114662</v>
      </c>
      <c r="C3379" s="6" t="s">
        <v>19</v>
      </c>
      <c r="D3379">
        <v>605195</v>
      </c>
      <c r="E3379" t="s">
        <v>20</v>
      </c>
      <c r="F3379">
        <v>41781678</v>
      </c>
      <c r="G3379" t="s">
        <v>1940</v>
      </c>
      <c r="H3379">
        <v>100058490</v>
      </c>
      <c r="I3379">
        <v>202611</v>
      </c>
      <c r="J3379">
        <v>1014294903</v>
      </c>
      <c r="K3379" t="s">
        <v>23</v>
      </c>
      <c r="L3379" t="s">
        <v>221</v>
      </c>
      <c r="M3379" t="s">
        <v>24</v>
      </c>
      <c r="N3379" t="s">
        <v>35</v>
      </c>
      <c r="O3379" t="s">
        <v>26</v>
      </c>
      <c r="P3379" t="s">
        <v>27</v>
      </c>
      <c r="Q3379" t="s">
        <v>28</v>
      </c>
      <c r="R3379" t="s">
        <v>29</v>
      </c>
      <c r="S3379" t="s">
        <v>30</v>
      </c>
      <c r="T3379">
        <v>1003652550</v>
      </c>
      <c r="U3379" t="s">
        <v>3965</v>
      </c>
      <c r="V3379" t="s">
        <v>3934</v>
      </c>
      <c r="W3379" s="9">
        <f>IF(V3379="pregrado",31,
IF(V3379="posgrados",31,
IF(V3379="rEINTEGROS",7,
IF(V3379="BIT",90,
IF(V3379="OP GRADO - INGLÉS",17,"")))))</f>
        <v>31</v>
      </c>
      <c r="X3379" t="s">
        <v>4059</v>
      </c>
    </row>
    <row r="3380" spans="1:24" ht="15" x14ac:dyDescent="0.35">
      <c r="A3380" s="4">
        <v>46065.713773148149</v>
      </c>
      <c r="B3380">
        <v>20122961</v>
      </c>
      <c r="C3380" s="6" t="s">
        <v>19</v>
      </c>
      <c r="D3380">
        <v>605197</v>
      </c>
      <c r="E3380" t="s">
        <v>20</v>
      </c>
      <c r="F3380">
        <v>1098720947</v>
      </c>
      <c r="G3380" t="s">
        <v>3119</v>
      </c>
      <c r="H3380">
        <v>100242201</v>
      </c>
      <c r="I3380">
        <v>202611</v>
      </c>
      <c r="J3380">
        <v>1098720947</v>
      </c>
      <c r="K3380" t="s">
        <v>23</v>
      </c>
      <c r="L3380" t="s">
        <v>221</v>
      </c>
      <c r="M3380" t="s">
        <v>24</v>
      </c>
      <c r="N3380" t="s">
        <v>605</v>
      </c>
      <c r="O3380" t="s">
        <v>26</v>
      </c>
      <c r="P3380" t="s">
        <v>27</v>
      </c>
      <c r="Q3380" t="s">
        <v>28</v>
      </c>
      <c r="R3380" t="s">
        <v>29</v>
      </c>
      <c r="S3380" t="s">
        <v>30</v>
      </c>
      <c r="T3380">
        <v>1026298522</v>
      </c>
      <c r="U3380" t="s">
        <v>3965</v>
      </c>
      <c r="V3380" t="s">
        <v>3934</v>
      </c>
      <c r="W3380" s="9">
        <f>IF(V3380="pregrado",31,
IF(V3380="posgrados",31,
IF(V3380="rEINTEGROS",7,
IF(V3380="BIT",90,
IF(V3380="OP GRADO - INGLÉS",17,"")))))</f>
        <v>31</v>
      </c>
      <c r="X3380" t="s">
        <v>4040</v>
      </c>
    </row>
    <row r="3381" spans="1:24" ht="15" x14ac:dyDescent="0.35">
      <c r="A3381" s="4">
        <v>46041.354166666664</v>
      </c>
      <c r="B3381">
        <v>20114740</v>
      </c>
      <c r="C3381" s="6" t="s">
        <v>19</v>
      </c>
      <c r="D3381">
        <v>605199</v>
      </c>
      <c r="E3381" t="s">
        <v>20</v>
      </c>
      <c r="F3381">
        <v>79297575</v>
      </c>
      <c r="G3381" t="s">
        <v>1960</v>
      </c>
      <c r="H3381">
        <v>100242203</v>
      </c>
      <c r="I3381">
        <v>202631</v>
      </c>
      <c r="J3381">
        <v>1018477769</v>
      </c>
      <c r="K3381" t="s">
        <v>83</v>
      </c>
      <c r="L3381" t="s">
        <v>90</v>
      </c>
      <c r="M3381" t="s">
        <v>24</v>
      </c>
      <c r="N3381" t="s">
        <v>38</v>
      </c>
      <c r="O3381" t="s">
        <v>26</v>
      </c>
      <c r="P3381" t="s">
        <v>27</v>
      </c>
      <c r="Q3381" t="s">
        <v>28</v>
      </c>
      <c r="R3381" t="s">
        <v>29</v>
      </c>
      <c r="S3381" t="s">
        <v>30</v>
      </c>
      <c r="T3381">
        <v>1023370559</v>
      </c>
      <c r="U3381" t="s">
        <v>3933</v>
      </c>
      <c r="V3381" t="s">
        <v>3934</v>
      </c>
      <c r="W3381" s="9">
        <f>IF(V3381="pregrado",31,
IF(V3381="posgrados",31,
IF(V3381="rEINTEGROS",7,
IF(V3381="BIT",90,
IF(V3381="OP GRADO - INGLÉS",17,"")))))</f>
        <v>31</v>
      </c>
      <c r="X3381" t="s">
        <v>4017</v>
      </c>
    </row>
    <row r="3382" spans="1:24" ht="15" x14ac:dyDescent="0.35">
      <c r="A3382" s="4">
        <v>46045.773831018516</v>
      </c>
      <c r="B3382">
        <v>20116756</v>
      </c>
      <c r="C3382" s="6" t="s">
        <v>19</v>
      </c>
      <c r="D3382">
        <v>605200</v>
      </c>
      <c r="E3382" t="s">
        <v>20</v>
      </c>
      <c r="F3382">
        <v>1081785848</v>
      </c>
      <c r="G3382" t="s">
        <v>2255</v>
      </c>
      <c r="H3382">
        <v>100242205</v>
      </c>
      <c r="I3382">
        <v>202631</v>
      </c>
      <c r="J3382">
        <v>1081785848</v>
      </c>
      <c r="K3382" t="s">
        <v>23</v>
      </c>
      <c r="L3382" t="s">
        <v>101</v>
      </c>
      <c r="M3382" t="s">
        <v>24</v>
      </c>
      <c r="N3382" t="s">
        <v>35</v>
      </c>
      <c r="O3382" t="s">
        <v>26</v>
      </c>
      <c r="P3382" t="s">
        <v>27</v>
      </c>
      <c r="Q3382" t="s">
        <v>28</v>
      </c>
      <c r="R3382" t="s">
        <v>29</v>
      </c>
      <c r="S3382" t="s">
        <v>30</v>
      </c>
      <c r="T3382">
        <v>1077967131</v>
      </c>
      <c r="U3382" t="s">
        <v>3963</v>
      </c>
      <c r="V3382" t="s">
        <v>3934</v>
      </c>
      <c r="W3382" s="9">
        <f>IF(V3382="pregrado",31,
IF(V3382="posgrados",31,
IF(V3382="rEINTEGROS",7,
IF(V3382="BIT",90,
IF(V3382="OP GRADO - INGLÉS",17,"")))))</f>
        <v>31</v>
      </c>
      <c r="X3382" t="s">
        <v>4011</v>
      </c>
    </row>
    <row r="3383" spans="1:24" ht="15" x14ac:dyDescent="0.35">
      <c r="A3383" s="4">
        <v>46039.431030092594</v>
      </c>
      <c r="B3383">
        <v>20114675</v>
      </c>
      <c r="C3383" s="6" t="s">
        <v>19</v>
      </c>
      <c r="D3383">
        <v>605217</v>
      </c>
      <c r="E3383" t="s">
        <v>20</v>
      </c>
      <c r="F3383">
        <v>1024533517</v>
      </c>
      <c r="G3383" t="s">
        <v>1943</v>
      </c>
      <c r="H3383">
        <v>100242218</v>
      </c>
      <c r="I3383">
        <v>202611</v>
      </c>
      <c r="J3383">
        <v>1024533517</v>
      </c>
      <c r="K3383" t="s">
        <v>23</v>
      </c>
      <c r="L3383" t="s">
        <v>204</v>
      </c>
      <c r="M3383" t="s">
        <v>24</v>
      </c>
      <c r="N3383" t="s">
        <v>25</v>
      </c>
      <c r="O3383" t="s">
        <v>26</v>
      </c>
      <c r="P3383" t="s">
        <v>27</v>
      </c>
      <c r="Q3383" t="s">
        <v>28</v>
      </c>
      <c r="R3383" t="s">
        <v>29</v>
      </c>
      <c r="S3383" t="s">
        <v>30</v>
      </c>
      <c r="T3383">
        <v>1019115186</v>
      </c>
      <c r="U3383" t="s">
        <v>3941</v>
      </c>
      <c r="V3383" t="s">
        <v>3934</v>
      </c>
      <c r="W3383" s="9">
        <f>IF(V3383="pregrado",31,
IF(V3383="posgrados",31,
IF(V3383="rEINTEGROS",7,
IF(V3383="BIT",90,
IF(V3383="OP GRADO - INGLÉS",17,"")))))</f>
        <v>31</v>
      </c>
      <c r="X3383" t="s">
        <v>4005</v>
      </c>
    </row>
    <row r="3384" spans="1:24" ht="15" x14ac:dyDescent="0.35">
      <c r="A3384" s="4">
        <v>46039.441423611112</v>
      </c>
      <c r="B3384">
        <v>20114678</v>
      </c>
      <c r="C3384" s="6" t="s">
        <v>19</v>
      </c>
      <c r="D3384">
        <v>605219</v>
      </c>
      <c r="E3384" t="s">
        <v>20</v>
      </c>
      <c r="F3384">
        <v>20485817</v>
      </c>
      <c r="G3384" t="s">
        <v>1945</v>
      </c>
      <c r="H3384">
        <v>100242221</v>
      </c>
      <c r="I3384">
        <v>202631</v>
      </c>
      <c r="J3384">
        <v>1069728020</v>
      </c>
      <c r="K3384" t="s">
        <v>23</v>
      </c>
      <c r="L3384" t="s">
        <v>240</v>
      </c>
      <c r="M3384" t="s">
        <v>24</v>
      </c>
      <c r="N3384" t="s">
        <v>35</v>
      </c>
      <c r="O3384" t="s">
        <v>26</v>
      </c>
      <c r="P3384" t="s">
        <v>27</v>
      </c>
      <c r="Q3384" t="s">
        <v>28</v>
      </c>
      <c r="R3384" t="s">
        <v>29</v>
      </c>
      <c r="S3384" t="s">
        <v>30</v>
      </c>
      <c r="T3384">
        <v>1013662799</v>
      </c>
      <c r="U3384" t="s">
        <v>3965</v>
      </c>
      <c r="V3384" t="s">
        <v>3934</v>
      </c>
      <c r="W3384" s="9">
        <f>IF(V3384="pregrado",31,
IF(V3384="posgrados",31,
IF(V3384="rEINTEGROS",7,
IF(V3384="BIT",90,
IF(V3384="OP GRADO - INGLÉS",17,"")))))</f>
        <v>31</v>
      </c>
      <c r="X3384" t="s">
        <v>4021</v>
      </c>
    </row>
    <row r="3385" spans="1:24" ht="15" x14ac:dyDescent="0.35">
      <c r="A3385" s="4">
        <v>46042.612187500003</v>
      </c>
      <c r="B3385">
        <v>20115348</v>
      </c>
      <c r="C3385" s="6" t="s">
        <v>19</v>
      </c>
      <c r="D3385">
        <v>605224</v>
      </c>
      <c r="E3385" t="s">
        <v>20</v>
      </c>
      <c r="F3385">
        <v>1124075977</v>
      </c>
      <c r="G3385" t="s">
        <v>2025</v>
      </c>
      <c r="H3385">
        <v>100242228</v>
      </c>
      <c r="I3385">
        <v>202631</v>
      </c>
      <c r="J3385">
        <v>1124075977</v>
      </c>
      <c r="K3385" t="s">
        <v>33</v>
      </c>
      <c r="L3385" t="s">
        <v>57</v>
      </c>
      <c r="M3385" t="s">
        <v>24</v>
      </c>
      <c r="N3385" t="s">
        <v>25</v>
      </c>
      <c r="O3385" t="s">
        <v>26</v>
      </c>
      <c r="P3385" t="s">
        <v>27</v>
      </c>
      <c r="Q3385" t="s">
        <v>28</v>
      </c>
      <c r="R3385" t="s">
        <v>29</v>
      </c>
      <c r="S3385" t="s">
        <v>30</v>
      </c>
      <c r="T3385">
        <v>1020820287</v>
      </c>
      <c r="U3385" t="s">
        <v>3963</v>
      </c>
      <c r="V3385" t="s">
        <v>3934</v>
      </c>
      <c r="W3385" s="9">
        <f>IF(V3385="pregrado",31,
IF(V3385="posgrados",31,
IF(V3385="rEINTEGROS",7,
IF(V3385="BIT",90,
IF(V3385="OP GRADO - INGLÉS",17,"")))))</f>
        <v>31</v>
      </c>
      <c r="X3385" t="s">
        <v>4044</v>
      </c>
    </row>
    <row r="3386" spans="1:24" ht="15" x14ac:dyDescent="0.35">
      <c r="A3386" s="4">
        <v>46043.775856481479</v>
      </c>
      <c r="B3386">
        <v>20115933</v>
      </c>
      <c r="C3386" s="6" t="s">
        <v>19</v>
      </c>
      <c r="D3386">
        <v>605226</v>
      </c>
      <c r="E3386" t="s">
        <v>20</v>
      </c>
      <c r="F3386">
        <v>1005241167</v>
      </c>
      <c r="G3386" t="s">
        <v>2121</v>
      </c>
      <c r="H3386">
        <v>100242163</v>
      </c>
      <c r="I3386">
        <v>202631</v>
      </c>
      <c r="J3386">
        <v>1005241167</v>
      </c>
      <c r="K3386" t="s">
        <v>33</v>
      </c>
      <c r="L3386" t="s">
        <v>207</v>
      </c>
      <c r="M3386" t="s">
        <v>24</v>
      </c>
      <c r="N3386" t="s">
        <v>25</v>
      </c>
      <c r="O3386" t="s">
        <v>26</v>
      </c>
      <c r="P3386" t="s">
        <v>27</v>
      </c>
      <c r="Q3386" t="s">
        <v>28</v>
      </c>
      <c r="R3386" t="s">
        <v>29</v>
      </c>
      <c r="S3386" t="s">
        <v>30</v>
      </c>
      <c r="T3386">
        <v>39666517</v>
      </c>
      <c r="U3386" t="s">
        <v>3933</v>
      </c>
      <c r="V3386" t="s">
        <v>3934</v>
      </c>
      <c r="W3386" s="9">
        <f>IF(V3386="pregrado",31,
IF(V3386="posgrados",31,
IF(V3386="rEINTEGROS",7,
IF(V3386="BIT",90,
IF(V3386="OP GRADO - INGLÉS",17,"")))))</f>
        <v>31</v>
      </c>
      <c r="X3386" t="s">
        <v>4025</v>
      </c>
    </row>
    <row r="3387" spans="1:24" ht="15" x14ac:dyDescent="0.35">
      <c r="A3387" s="4">
        <v>46041.614907407406</v>
      </c>
      <c r="B3387">
        <v>20114935</v>
      </c>
      <c r="C3387" s="6" t="s">
        <v>19</v>
      </c>
      <c r="D3387">
        <v>605227</v>
      </c>
      <c r="E3387" t="s">
        <v>20</v>
      </c>
      <c r="F3387">
        <v>50861310</v>
      </c>
      <c r="G3387" t="s">
        <v>1970</v>
      </c>
      <c r="H3387">
        <v>100242232</v>
      </c>
      <c r="I3387">
        <v>202631</v>
      </c>
      <c r="J3387">
        <v>1003561555</v>
      </c>
      <c r="K3387" t="s">
        <v>23</v>
      </c>
      <c r="L3387" t="s">
        <v>127</v>
      </c>
      <c r="M3387" t="s">
        <v>24</v>
      </c>
      <c r="N3387" t="s">
        <v>38</v>
      </c>
      <c r="O3387" t="s">
        <v>26</v>
      </c>
      <c r="P3387" t="s">
        <v>27</v>
      </c>
      <c r="Q3387" t="s">
        <v>28</v>
      </c>
      <c r="R3387" t="s">
        <v>29</v>
      </c>
      <c r="S3387" t="s">
        <v>30</v>
      </c>
      <c r="T3387">
        <v>1023921046</v>
      </c>
      <c r="U3387" t="s">
        <v>3933</v>
      </c>
      <c r="V3387" t="s">
        <v>3934</v>
      </c>
      <c r="W3387" s="9">
        <f>IF(V3387="pregrado",31,
IF(V3387="posgrados",31,
IF(V3387="rEINTEGROS",7,
IF(V3387="BIT",90,
IF(V3387="OP GRADO - INGLÉS",17,"")))))</f>
        <v>31</v>
      </c>
      <c r="X3387" t="s">
        <v>4043</v>
      </c>
    </row>
    <row r="3388" spans="1:24" ht="15" x14ac:dyDescent="0.35">
      <c r="A3388" s="4">
        <v>46041.669907407406</v>
      </c>
      <c r="B3388">
        <v>20114990</v>
      </c>
      <c r="C3388" s="6" t="s">
        <v>19</v>
      </c>
      <c r="D3388">
        <v>605232</v>
      </c>
      <c r="E3388" t="s">
        <v>20</v>
      </c>
      <c r="F3388">
        <v>1045439361</v>
      </c>
      <c r="G3388" t="s">
        <v>1974</v>
      </c>
      <c r="H3388">
        <v>100242238</v>
      </c>
      <c r="I3388">
        <v>202631</v>
      </c>
      <c r="J3388">
        <v>1068810047</v>
      </c>
      <c r="K3388" t="s">
        <v>33</v>
      </c>
      <c r="L3388" t="s">
        <v>231</v>
      </c>
      <c r="M3388" t="s">
        <v>24</v>
      </c>
      <c r="N3388" t="s">
        <v>25</v>
      </c>
      <c r="O3388" t="s">
        <v>26</v>
      </c>
      <c r="P3388" t="s">
        <v>27</v>
      </c>
      <c r="Q3388" t="s">
        <v>28</v>
      </c>
      <c r="R3388" t="s">
        <v>29</v>
      </c>
      <c r="S3388" t="s">
        <v>30</v>
      </c>
      <c r="T3388">
        <v>53061994</v>
      </c>
      <c r="U3388" t="s">
        <v>3941</v>
      </c>
      <c r="V3388" t="s">
        <v>3934</v>
      </c>
      <c r="W3388" s="9">
        <f>IF(V3388="pregrado",31,
IF(V3388="posgrados",31,
IF(V3388="rEINTEGROS",7,
IF(V3388="BIT",90,
IF(V3388="OP GRADO - INGLÉS",17,"")))))</f>
        <v>31</v>
      </c>
      <c r="X3388" t="s">
        <v>3950</v>
      </c>
    </row>
    <row r="3389" spans="1:24" ht="15" x14ac:dyDescent="0.35">
      <c r="A3389" s="4">
        <v>46044.375925925924</v>
      </c>
      <c r="B3389">
        <v>20116003</v>
      </c>
      <c r="C3389" s="6" t="s">
        <v>19</v>
      </c>
      <c r="D3389">
        <v>605233</v>
      </c>
      <c r="E3389" t="s">
        <v>20</v>
      </c>
      <c r="F3389">
        <v>1002980651</v>
      </c>
      <c r="G3389" t="s">
        <v>2131</v>
      </c>
      <c r="H3389">
        <v>200079752</v>
      </c>
      <c r="I3389">
        <v>202631</v>
      </c>
      <c r="J3389">
        <v>1002980651</v>
      </c>
      <c r="K3389" t="s">
        <v>33</v>
      </c>
      <c r="L3389" t="s">
        <v>119</v>
      </c>
      <c r="M3389" t="s">
        <v>24</v>
      </c>
      <c r="N3389" t="s">
        <v>35</v>
      </c>
      <c r="O3389" t="s">
        <v>26</v>
      </c>
      <c r="P3389" t="s">
        <v>27</v>
      </c>
      <c r="Q3389" t="s">
        <v>28</v>
      </c>
      <c r="R3389" t="s">
        <v>29</v>
      </c>
      <c r="S3389" t="s">
        <v>30</v>
      </c>
      <c r="T3389">
        <v>52446712</v>
      </c>
      <c r="U3389" t="s">
        <v>3963</v>
      </c>
      <c r="V3389" t="s">
        <v>3934</v>
      </c>
      <c r="W3389" s="9">
        <f>IF(V3389="pregrado",31,
IF(V3389="posgrados",31,
IF(V3389="rEINTEGROS",7,
IF(V3389="BIT",90,
IF(V3389="OP GRADO - INGLÉS",17,"")))))</f>
        <v>31</v>
      </c>
      <c r="X3389" t="s">
        <v>4041</v>
      </c>
    </row>
    <row r="3390" spans="1:24" ht="15" x14ac:dyDescent="0.35">
      <c r="A3390" s="4">
        <v>46043.570833333331</v>
      </c>
      <c r="B3390">
        <v>20115775</v>
      </c>
      <c r="C3390" s="6" t="s">
        <v>19</v>
      </c>
      <c r="D3390">
        <v>605236</v>
      </c>
      <c r="E3390" t="s">
        <v>20</v>
      </c>
      <c r="F3390">
        <v>1004695046</v>
      </c>
      <c r="G3390" t="s">
        <v>2089</v>
      </c>
      <c r="H3390">
        <v>100242241</v>
      </c>
      <c r="I3390">
        <v>202631</v>
      </c>
      <c r="J3390">
        <v>1004695046</v>
      </c>
      <c r="K3390" t="s">
        <v>23</v>
      </c>
      <c r="L3390" t="s">
        <v>370</v>
      </c>
      <c r="M3390" t="s">
        <v>24</v>
      </c>
      <c r="N3390" t="s">
        <v>35</v>
      </c>
      <c r="O3390" t="s">
        <v>26</v>
      </c>
      <c r="P3390" t="s">
        <v>27</v>
      </c>
      <c r="Q3390" t="s">
        <v>28</v>
      </c>
      <c r="R3390" t="s">
        <v>29</v>
      </c>
      <c r="S3390" t="s">
        <v>30</v>
      </c>
      <c r="T3390">
        <v>53040709</v>
      </c>
      <c r="U3390" t="s">
        <v>3963</v>
      </c>
      <c r="V3390" t="s">
        <v>3934</v>
      </c>
      <c r="W3390" s="9">
        <f>IF(V3390="pregrado",31,
IF(V3390="posgrados",31,
IF(V3390="rEINTEGROS",7,
IF(V3390="BIT",90,
IF(V3390="OP GRADO - INGLÉS",17,"")))))</f>
        <v>31</v>
      </c>
      <c r="X3390" t="s">
        <v>3994</v>
      </c>
    </row>
    <row r="3391" spans="1:24" ht="15" x14ac:dyDescent="0.35">
      <c r="A3391" s="4">
        <v>46039.584027777775</v>
      </c>
      <c r="B3391">
        <v>20114715</v>
      </c>
      <c r="C3391" s="6" t="s">
        <v>19</v>
      </c>
      <c r="D3391">
        <v>605247</v>
      </c>
      <c r="E3391" t="s">
        <v>20</v>
      </c>
      <c r="F3391">
        <v>1084450187</v>
      </c>
      <c r="G3391" t="s">
        <v>1955</v>
      </c>
      <c r="H3391">
        <v>100242254</v>
      </c>
      <c r="I3391">
        <v>202631</v>
      </c>
      <c r="J3391">
        <v>1084450187</v>
      </c>
      <c r="K3391" t="s">
        <v>23</v>
      </c>
      <c r="L3391" t="s">
        <v>240</v>
      </c>
      <c r="M3391" t="s">
        <v>24</v>
      </c>
      <c r="N3391" t="s">
        <v>35</v>
      </c>
      <c r="O3391" t="s">
        <v>26</v>
      </c>
      <c r="P3391" t="s">
        <v>27</v>
      </c>
      <c r="Q3391" t="s">
        <v>28</v>
      </c>
      <c r="R3391" t="s">
        <v>29</v>
      </c>
      <c r="S3391" t="s">
        <v>30</v>
      </c>
      <c r="T3391">
        <v>1007709034</v>
      </c>
      <c r="U3391" t="s">
        <v>3965</v>
      </c>
      <c r="V3391" t="s">
        <v>3934</v>
      </c>
      <c r="W3391" s="9">
        <f>IF(V3391="pregrado",31,
IF(V3391="posgrados",31,
IF(V3391="rEINTEGROS",7,
IF(V3391="BIT",90,
IF(V3391="OP GRADO - INGLÉS",17,"")))))</f>
        <v>31</v>
      </c>
      <c r="X3391" t="s">
        <v>3964</v>
      </c>
    </row>
    <row r="3392" spans="1:24" ht="15" x14ac:dyDescent="0.35">
      <c r="A3392" s="4">
        <v>46043.37568287037</v>
      </c>
      <c r="B3392">
        <v>20115605</v>
      </c>
      <c r="C3392" s="6" t="s">
        <v>19</v>
      </c>
      <c r="D3392">
        <v>605256</v>
      </c>
      <c r="E3392" t="s">
        <v>20</v>
      </c>
      <c r="F3392">
        <v>1097639249</v>
      </c>
      <c r="G3392" t="s">
        <v>2063</v>
      </c>
      <c r="H3392">
        <v>100242273</v>
      </c>
      <c r="I3392">
        <v>202631</v>
      </c>
      <c r="J3392">
        <v>1097638657</v>
      </c>
      <c r="K3392" t="s">
        <v>23</v>
      </c>
      <c r="L3392" t="s">
        <v>240</v>
      </c>
      <c r="M3392" t="s">
        <v>24</v>
      </c>
      <c r="N3392" t="s">
        <v>35</v>
      </c>
      <c r="O3392" t="s">
        <v>26</v>
      </c>
      <c r="P3392" t="s">
        <v>27</v>
      </c>
      <c r="Q3392" t="s">
        <v>28</v>
      </c>
      <c r="R3392" t="s">
        <v>29</v>
      </c>
      <c r="S3392" t="s">
        <v>30</v>
      </c>
      <c r="T3392">
        <v>53006215</v>
      </c>
      <c r="U3392" t="s">
        <v>3965</v>
      </c>
      <c r="V3392" t="s">
        <v>3934</v>
      </c>
      <c r="W3392" s="9">
        <f>IF(V3392="pregrado",31,
IF(V3392="posgrados",31,
IF(V3392="rEINTEGROS",7,
IF(V3392="BIT",90,
IF(V3392="OP GRADO - INGLÉS",17,"")))))</f>
        <v>31</v>
      </c>
      <c r="X3392" t="s">
        <v>4042</v>
      </c>
    </row>
    <row r="3393" spans="1:24" ht="15" x14ac:dyDescent="0.35">
      <c r="A3393" s="4">
        <v>46041.704895833333</v>
      </c>
      <c r="B3393">
        <v>20115028</v>
      </c>
      <c r="C3393" s="6" t="s">
        <v>19</v>
      </c>
      <c r="D3393">
        <v>605285</v>
      </c>
      <c r="E3393" t="s">
        <v>20</v>
      </c>
      <c r="F3393">
        <v>1022997252</v>
      </c>
      <c r="G3393" t="s">
        <v>1983</v>
      </c>
      <c r="H3393">
        <v>100233960</v>
      </c>
      <c r="I3393">
        <v>202610</v>
      </c>
      <c r="J3393">
        <v>1022962923</v>
      </c>
      <c r="K3393" t="s">
        <v>23</v>
      </c>
      <c r="L3393" t="s">
        <v>79</v>
      </c>
      <c r="M3393" t="s">
        <v>24</v>
      </c>
      <c r="N3393" t="s">
        <v>35</v>
      </c>
      <c r="O3393" t="s">
        <v>26</v>
      </c>
      <c r="P3393" t="s">
        <v>27</v>
      </c>
      <c r="Q3393" t="s">
        <v>28</v>
      </c>
      <c r="R3393" t="s">
        <v>29</v>
      </c>
      <c r="S3393" t="s">
        <v>30</v>
      </c>
      <c r="T3393">
        <v>1030573476</v>
      </c>
      <c r="U3393" t="s">
        <v>3965</v>
      </c>
      <c r="V3393" t="s">
        <v>3934</v>
      </c>
      <c r="W3393" s="9">
        <f>IF(V3393="pregrado",31,
IF(V3393="posgrados",31,
IF(V3393="rEINTEGROS",7,
IF(V3393="BIT",90,
IF(V3393="OP GRADO - INGLÉS",17,"")))))</f>
        <v>31</v>
      </c>
      <c r="X3393" t="s">
        <v>4077</v>
      </c>
    </row>
    <row r="3394" spans="1:24" ht="15" x14ac:dyDescent="0.35">
      <c r="A3394" s="4">
        <v>46042.369340277779</v>
      </c>
      <c r="B3394">
        <v>20115165</v>
      </c>
      <c r="C3394" s="6" t="s">
        <v>19</v>
      </c>
      <c r="D3394">
        <v>605290</v>
      </c>
      <c r="E3394" t="s">
        <v>20</v>
      </c>
      <c r="F3394">
        <v>1143374362</v>
      </c>
      <c r="G3394" t="s">
        <v>1996</v>
      </c>
      <c r="H3394">
        <v>100242308</v>
      </c>
      <c r="I3394">
        <v>202611</v>
      </c>
      <c r="J3394">
        <v>1002060372</v>
      </c>
      <c r="K3394" t="s">
        <v>23</v>
      </c>
      <c r="L3394" t="s">
        <v>221</v>
      </c>
      <c r="M3394" t="s">
        <v>24</v>
      </c>
      <c r="N3394" t="s">
        <v>35</v>
      </c>
      <c r="O3394" t="s">
        <v>26</v>
      </c>
      <c r="P3394" t="s">
        <v>27</v>
      </c>
      <c r="Q3394" t="s">
        <v>28</v>
      </c>
      <c r="R3394" t="s">
        <v>29</v>
      </c>
      <c r="S3394" t="s">
        <v>30</v>
      </c>
      <c r="T3394">
        <v>10822473081</v>
      </c>
      <c r="U3394" t="s">
        <v>3965</v>
      </c>
      <c r="V3394" t="s">
        <v>3934</v>
      </c>
      <c r="W3394" s="9">
        <f>IF(V3394="pregrado",31,
IF(V3394="posgrados",31,
IF(V3394="rEINTEGROS",7,
IF(V3394="BIT",90,
IF(V3394="OP GRADO - INGLÉS",17,"")))))</f>
        <v>31</v>
      </c>
      <c r="X3394" t="s">
        <v>4007</v>
      </c>
    </row>
    <row r="3395" spans="1:24" ht="15" x14ac:dyDescent="0.35">
      <c r="A3395" s="4">
        <v>46044.707511574074</v>
      </c>
      <c r="B3395">
        <v>20116308</v>
      </c>
      <c r="C3395" s="6" t="s">
        <v>19</v>
      </c>
      <c r="D3395">
        <v>605318</v>
      </c>
      <c r="E3395" t="s">
        <v>20</v>
      </c>
      <c r="F3395">
        <v>1000733594</v>
      </c>
      <c r="G3395" t="s">
        <v>2195</v>
      </c>
      <c r="H3395">
        <v>100092512</v>
      </c>
      <c r="I3395">
        <v>202610</v>
      </c>
      <c r="J3395">
        <v>1000733594</v>
      </c>
      <c r="K3395" t="s">
        <v>23</v>
      </c>
      <c r="L3395" t="s">
        <v>79</v>
      </c>
      <c r="M3395" t="s">
        <v>24</v>
      </c>
      <c r="N3395" t="s">
        <v>35</v>
      </c>
      <c r="O3395" t="s">
        <v>26</v>
      </c>
      <c r="P3395" t="s">
        <v>27</v>
      </c>
      <c r="Q3395" t="s">
        <v>28</v>
      </c>
      <c r="R3395" t="s">
        <v>29</v>
      </c>
      <c r="S3395" t="s">
        <v>30</v>
      </c>
      <c r="T3395">
        <v>52342867</v>
      </c>
      <c r="U3395" t="s">
        <v>3965</v>
      </c>
      <c r="V3395" t="s">
        <v>3934</v>
      </c>
      <c r="W3395" s="9">
        <f>IF(V3395="pregrado",31,
IF(V3395="posgrados",31,
IF(V3395="rEINTEGROS",7,
IF(V3395="BIT",90,
IF(V3395="OP GRADO - INGLÉS",17,"")))))</f>
        <v>31</v>
      </c>
      <c r="X3395" t="s">
        <v>4047</v>
      </c>
    </row>
    <row r="3396" spans="1:24" ht="15" x14ac:dyDescent="0.35">
      <c r="A3396" s="4">
        <v>46041.541701388887</v>
      </c>
      <c r="B3396">
        <v>20114894</v>
      </c>
      <c r="C3396" s="6" t="s">
        <v>19</v>
      </c>
      <c r="D3396">
        <v>605330</v>
      </c>
      <c r="E3396" t="s">
        <v>20</v>
      </c>
      <c r="F3396">
        <v>1000089055</v>
      </c>
      <c r="G3396" t="s">
        <v>1967</v>
      </c>
      <c r="H3396">
        <v>100242365</v>
      </c>
      <c r="I3396">
        <v>202611</v>
      </c>
      <c r="J3396">
        <v>1000089055</v>
      </c>
      <c r="K3396" t="s">
        <v>23</v>
      </c>
      <c r="L3396" t="s">
        <v>221</v>
      </c>
      <c r="M3396" t="s">
        <v>24</v>
      </c>
      <c r="N3396" t="s">
        <v>35</v>
      </c>
      <c r="O3396" t="s">
        <v>26</v>
      </c>
      <c r="P3396" t="s">
        <v>27</v>
      </c>
      <c r="Q3396" t="s">
        <v>28</v>
      </c>
      <c r="R3396" t="s">
        <v>29</v>
      </c>
      <c r="S3396" t="s">
        <v>30</v>
      </c>
      <c r="T3396">
        <v>53006215</v>
      </c>
      <c r="U3396" t="s">
        <v>3965</v>
      </c>
      <c r="V3396" t="s">
        <v>3934</v>
      </c>
      <c r="W3396" s="9">
        <f>IF(V3396="pregrado",31,
IF(V3396="posgrados",31,
IF(V3396="rEINTEGROS",7,
IF(V3396="BIT",90,
IF(V3396="OP GRADO - INGLÉS",17,"")))))</f>
        <v>31</v>
      </c>
      <c r="X3396" t="s">
        <v>4042</v>
      </c>
    </row>
    <row r="3397" spans="1:24" ht="15" x14ac:dyDescent="0.35">
      <c r="A3397" s="4">
        <v>46041.656886574077</v>
      </c>
      <c r="B3397">
        <v>20114973</v>
      </c>
      <c r="C3397" s="6" t="s">
        <v>19</v>
      </c>
      <c r="D3397">
        <v>605335</v>
      </c>
      <c r="E3397" t="s">
        <v>20</v>
      </c>
      <c r="F3397">
        <v>1122921781</v>
      </c>
      <c r="G3397" t="s">
        <v>1973</v>
      </c>
      <c r="H3397">
        <v>200079123</v>
      </c>
      <c r="I3397">
        <v>202610</v>
      </c>
      <c r="J3397">
        <v>1122921781</v>
      </c>
      <c r="K3397" t="s">
        <v>23</v>
      </c>
      <c r="L3397" t="s">
        <v>69</v>
      </c>
      <c r="M3397" t="s">
        <v>24</v>
      </c>
      <c r="N3397" t="s">
        <v>35</v>
      </c>
      <c r="O3397" t="s">
        <v>26</v>
      </c>
      <c r="P3397" t="s">
        <v>27</v>
      </c>
      <c r="Q3397" t="s">
        <v>28</v>
      </c>
      <c r="R3397" t="s">
        <v>29</v>
      </c>
      <c r="S3397" t="s">
        <v>30</v>
      </c>
      <c r="T3397">
        <v>80021358</v>
      </c>
      <c r="U3397" t="s">
        <v>3986</v>
      </c>
      <c r="V3397" t="s">
        <v>3934</v>
      </c>
      <c r="W3397" s="9">
        <f>IF(V3397="pregrado",31,
IF(V3397="posgrados",31,
IF(V3397="rEINTEGROS",7,
IF(V3397="BIT",90,
IF(V3397="OP GRADO - INGLÉS",17,"")))))</f>
        <v>31</v>
      </c>
      <c r="X3397" t="s">
        <v>3995</v>
      </c>
    </row>
    <row r="3398" spans="1:24" ht="15" x14ac:dyDescent="0.35">
      <c r="A3398" s="4">
        <v>46043.449108796296</v>
      </c>
      <c r="B3398">
        <v>20115675</v>
      </c>
      <c r="C3398" s="6" t="s">
        <v>19</v>
      </c>
      <c r="D3398">
        <v>605353</v>
      </c>
      <c r="E3398" t="s">
        <v>20</v>
      </c>
      <c r="F3398">
        <v>1192751624</v>
      </c>
      <c r="G3398" t="s">
        <v>2075</v>
      </c>
      <c r="H3398">
        <v>100216063</v>
      </c>
      <c r="I3398">
        <v>202631</v>
      </c>
      <c r="J3398">
        <v>1192751624</v>
      </c>
      <c r="K3398" t="s">
        <v>33</v>
      </c>
      <c r="L3398" t="s">
        <v>119</v>
      </c>
      <c r="M3398" t="s">
        <v>24</v>
      </c>
      <c r="N3398" t="s">
        <v>35</v>
      </c>
      <c r="O3398" t="s">
        <v>26</v>
      </c>
      <c r="P3398" t="s">
        <v>27</v>
      </c>
      <c r="Q3398" t="s">
        <v>28</v>
      </c>
      <c r="R3398" t="s">
        <v>29</v>
      </c>
      <c r="S3398" t="s">
        <v>30</v>
      </c>
      <c r="T3398">
        <v>1023975276</v>
      </c>
      <c r="U3398" t="s">
        <v>3963</v>
      </c>
      <c r="V3398" t="s">
        <v>3934</v>
      </c>
      <c r="W3398" s="9">
        <f>IF(V3398="pregrado",31,
IF(V3398="posgrados",31,
IF(V3398="rEINTEGROS",7,
IF(V3398="BIT",90,
IF(V3398="OP GRADO - INGLÉS",17,"")))))</f>
        <v>31</v>
      </c>
      <c r="X3398" t="s">
        <v>3962</v>
      </c>
    </row>
    <row r="3399" spans="1:24" ht="15" x14ac:dyDescent="0.35">
      <c r="A3399" s="4">
        <v>46052.690138888887</v>
      </c>
      <c r="B3399">
        <v>20119075</v>
      </c>
      <c r="C3399" s="6" t="s">
        <v>19</v>
      </c>
      <c r="D3399">
        <v>605378</v>
      </c>
      <c r="E3399" t="s">
        <v>20</v>
      </c>
      <c r="F3399">
        <v>1072492442</v>
      </c>
      <c r="G3399" t="s">
        <v>2582</v>
      </c>
      <c r="H3399">
        <v>100242413</v>
      </c>
      <c r="I3399">
        <v>202631</v>
      </c>
      <c r="J3399">
        <v>1072492442</v>
      </c>
      <c r="K3399" t="s">
        <v>33</v>
      </c>
      <c r="L3399" t="s">
        <v>57</v>
      </c>
      <c r="M3399" t="s">
        <v>24</v>
      </c>
      <c r="N3399" t="s">
        <v>35</v>
      </c>
      <c r="O3399" t="s">
        <v>26</v>
      </c>
      <c r="P3399" t="s">
        <v>27</v>
      </c>
      <c r="Q3399" t="s">
        <v>28</v>
      </c>
      <c r="R3399" t="s">
        <v>29</v>
      </c>
      <c r="S3399" t="s">
        <v>30</v>
      </c>
      <c r="T3399">
        <v>53178431</v>
      </c>
      <c r="U3399" t="s">
        <v>3941</v>
      </c>
      <c r="V3399" t="s">
        <v>3934</v>
      </c>
      <c r="W3399" s="9">
        <f>IF(V3399="pregrado",31,
IF(V3399="posgrados",31,
IF(V3399="rEINTEGROS",7,
IF(V3399="BIT",90,
IF(V3399="OP GRADO - INGLÉS",17,"")))))</f>
        <v>31</v>
      </c>
      <c r="X3399" t="s">
        <v>3949</v>
      </c>
    </row>
    <row r="3400" spans="1:24" ht="15" x14ac:dyDescent="0.35">
      <c r="A3400" s="4">
        <v>46042.348657407405</v>
      </c>
      <c r="B3400">
        <v>20115150</v>
      </c>
      <c r="C3400" s="6" t="s">
        <v>19</v>
      </c>
      <c r="D3400">
        <v>605380</v>
      </c>
      <c r="E3400" t="s">
        <v>20</v>
      </c>
      <c r="F3400">
        <v>1114059495</v>
      </c>
      <c r="G3400" t="s">
        <v>1995</v>
      </c>
      <c r="H3400">
        <v>100242415</v>
      </c>
      <c r="I3400">
        <v>202611</v>
      </c>
      <c r="J3400">
        <v>1114059495</v>
      </c>
      <c r="K3400" t="s">
        <v>23</v>
      </c>
      <c r="L3400" t="s">
        <v>227</v>
      </c>
      <c r="M3400" t="s">
        <v>24</v>
      </c>
      <c r="N3400" t="s">
        <v>605</v>
      </c>
      <c r="O3400" t="s">
        <v>26</v>
      </c>
      <c r="P3400" t="s">
        <v>27</v>
      </c>
      <c r="Q3400" t="s">
        <v>28</v>
      </c>
      <c r="R3400" t="s">
        <v>29</v>
      </c>
      <c r="S3400" t="s">
        <v>30</v>
      </c>
      <c r="T3400">
        <v>53006215</v>
      </c>
      <c r="U3400" t="s">
        <v>3965</v>
      </c>
      <c r="V3400" t="s">
        <v>3934</v>
      </c>
      <c r="W3400" s="9">
        <f>IF(V3400="pregrado",31,
IF(V3400="posgrados",31,
IF(V3400="rEINTEGROS",7,
IF(V3400="BIT",90,
IF(V3400="OP GRADO - INGLÉS",17,"")))))</f>
        <v>31</v>
      </c>
      <c r="X3400" t="s">
        <v>4042</v>
      </c>
    </row>
    <row r="3401" spans="1:24" ht="15" x14ac:dyDescent="0.35">
      <c r="A3401" s="4">
        <v>46043.409571759257</v>
      </c>
      <c r="B3401">
        <v>20115638</v>
      </c>
      <c r="C3401" s="6" t="s">
        <v>19</v>
      </c>
      <c r="D3401">
        <v>605386</v>
      </c>
      <c r="E3401" t="s">
        <v>20</v>
      </c>
      <c r="F3401">
        <v>1010119949</v>
      </c>
      <c r="G3401" t="s">
        <v>2069</v>
      </c>
      <c r="H3401">
        <v>100182318</v>
      </c>
      <c r="I3401">
        <v>202611</v>
      </c>
      <c r="J3401">
        <v>1010119949</v>
      </c>
      <c r="K3401" t="s">
        <v>89</v>
      </c>
      <c r="L3401" t="s">
        <v>133</v>
      </c>
      <c r="M3401" t="s">
        <v>24</v>
      </c>
      <c r="N3401" t="s">
        <v>25</v>
      </c>
      <c r="O3401" t="s">
        <v>26</v>
      </c>
      <c r="P3401" t="s">
        <v>27</v>
      </c>
      <c r="Q3401" t="s">
        <v>28</v>
      </c>
      <c r="R3401" t="s">
        <v>29</v>
      </c>
      <c r="S3401" t="s">
        <v>30</v>
      </c>
      <c r="T3401">
        <v>1023899450</v>
      </c>
      <c r="U3401" t="s">
        <v>3977</v>
      </c>
      <c r="V3401" t="s">
        <v>3970</v>
      </c>
      <c r="W3401" s="9">
        <f>IF(V3401="pregrado",31,
IF(V3401="posgrados",31,
IF(V3401="rEINTEGROS",7,
IF(V3401="BIT",90,
IF(V3401="OP GRADO - INGLÉS",17,"")))))</f>
        <v>7</v>
      </c>
      <c r="X3401" t="s">
        <v>3969</v>
      </c>
    </row>
    <row r="3402" spans="1:24" ht="15" x14ac:dyDescent="0.35">
      <c r="A3402" s="4">
        <v>46041.672256944446</v>
      </c>
      <c r="B3402">
        <v>20114991</v>
      </c>
      <c r="C3402" s="6" t="s">
        <v>19</v>
      </c>
      <c r="D3402">
        <v>605389</v>
      </c>
      <c r="E3402" t="s">
        <v>20</v>
      </c>
      <c r="F3402">
        <v>1005086649</v>
      </c>
      <c r="G3402" t="s">
        <v>1975</v>
      </c>
      <c r="H3402">
        <v>100226293</v>
      </c>
      <c r="I3402">
        <v>202610</v>
      </c>
      <c r="J3402">
        <v>1005086649</v>
      </c>
      <c r="K3402" t="s">
        <v>23</v>
      </c>
      <c r="L3402" t="s">
        <v>49</v>
      </c>
      <c r="M3402" t="s">
        <v>24</v>
      </c>
      <c r="N3402" t="s">
        <v>35</v>
      </c>
      <c r="O3402" t="s">
        <v>26</v>
      </c>
      <c r="P3402" t="s">
        <v>27</v>
      </c>
      <c r="Q3402" t="s">
        <v>28</v>
      </c>
      <c r="R3402" t="s">
        <v>29</v>
      </c>
      <c r="S3402" t="s">
        <v>30</v>
      </c>
      <c r="T3402">
        <v>1015478965</v>
      </c>
      <c r="U3402" t="s">
        <v>3944</v>
      </c>
      <c r="V3402" t="s">
        <v>3934</v>
      </c>
      <c r="W3402" s="9">
        <f>IF(V3402="pregrado",31,
IF(V3402="posgrados",31,
IF(V3402="rEINTEGROS",7,
IF(V3402="BIT",90,
IF(V3402="OP GRADO - INGLÉS",17,"")))))</f>
        <v>31</v>
      </c>
      <c r="X3402" t="s">
        <v>3979</v>
      </c>
    </row>
    <row r="3403" spans="1:24" ht="15" x14ac:dyDescent="0.35">
      <c r="A3403" s="4">
        <v>46044.319861111115</v>
      </c>
      <c r="B3403">
        <v>20115977</v>
      </c>
      <c r="C3403" s="6" t="s">
        <v>19</v>
      </c>
      <c r="D3403">
        <v>605390</v>
      </c>
      <c r="E3403" t="s">
        <v>20</v>
      </c>
      <c r="F3403">
        <v>1023370368</v>
      </c>
      <c r="G3403" t="s">
        <v>2126</v>
      </c>
      <c r="H3403">
        <v>100242429</v>
      </c>
      <c r="I3403">
        <v>202631</v>
      </c>
      <c r="J3403">
        <v>1023370368</v>
      </c>
      <c r="K3403" t="s">
        <v>23</v>
      </c>
      <c r="L3403" t="s">
        <v>231</v>
      </c>
      <c r="M3403" t="s">
        <v>24</v>
      </c>
      <c r="N3403" t="s">
        <v>35</v>
      </c>
      <c r="O3403" t="s">
        <v>26</v>
      </c>
      <c r="P3403" t="s">
        <v>27</v>
      </c>
      <c r="Q3403" t="s">
        <v>28</v>
      </c>
      <c r="R3403" t="s">
        <v>29</v>
      </c>
      <c r="S3403" t="s">
        <v>30</v>
      </c>
      <c r="T3403">
        <v>52182207</v>
      </c>
      <c r="U3403" t="s">
        <v>3941</v>
      </c>
      <c r="V3403" t="s">
        <v>3934</v>
      </c>
      <c r="W3403" s="9">
        <f>IF(V3403="pregrado",31,
IF(V3403="posgrados",31,
IF(V3403="rEINTEGROS",7,
IF(V3403="BIT",90,
IF(V3403="OP GRADO - INGLÉS",17,"")))))</f>
        <v>31</v>
      </c>
      <c r="X3403" t="s">
        <v>3946</v>
      </c>
    </row>
    <row r="3404" spans="1:24" ht="15" x14ac:dyDescent="0.35">
      <c r="A3404" s="4">
        <v>46043.655682870369</v>
      </c>
      <c r="B3404">
        <v>20115853</v>
      </c>
      <c r="C3404" s="6" t="s">
        <v>19</v>
      </c>
      <c r="D3404">
        <v>605395</v>
      </c>
      <c r="E3404" t="s">
        <v>20</v>
      </c>
      <c r="F3404">
        <v>1097332588</v>
      </c>
      <c r="G3404" t="s">
        <v>2106</v>
      </c>
      <c r="H3404">
        <v>100242436</v>
      </c>
      <c r="I3404">
        <v>202611</v>
      </c>
      <c r="J3404">
        <v>1097332588</v>
      </c>
      <c r="K3404" t="s">
        <v>23</v>
      </c>
      <c r="L3404" t="s">
        <v>221</v>
      </c>
      <c r="M3404" t="s">
        <v>24</v>
      </c>
      <c r="N3404" t="s">
        <v>35</v>
      </c>
      <c r="O3404" t="s">
        <v>26</v>
      </c>
      <c r="P3404" t="s">
        <v>27</v>
      </c>
      <c r="Q3404" t="s">
        <v>28</v>
      </c>
      <c r="R3404" t="s">
        <v>29</v>
      </c>
      <c r="S3404" t="s">
        <v>30</v>
      </c>
      <c r="T3404">
        <v>52392617</v>
      </c>
      <c r="U3404" t="s">
        <v>3965</v>
      </c>
      <c r="V3404" t="s">
        <v>3934</v>
      </c>
      <c r="W3404" s="9">
        <f>IF(V3404="pregrado",31,
IF(V3404="posgrados",31,
IF(V3404="rEINTEGROS",7,
IF(V3404="BIT",90,
IF(V3404="OP GRADO - INGLÉS",17,"")))))</f>
        <v>31</v>
      </c>
      <c r="X3404" t="s">
        <v>4053</v>
      </c>
    </row>
    <row r="3405" spans="1:24" ht="15" x14ac:dyDescent="0.35">
      <c r="A3405" s="4">
        <v>46042.411527777775</v>
      </c>
      <c r="B3405">
        <v>20115196</v>
      </c>
      <c r="C3405" s="6" t="s">
        <v>19</v>
      </c>
      <c r="D3405">
        <v>605401</v>
      </c>
      <c r="E3405" t="s">
        <v>20</v>
      </c>
      <c r="F3405">
        <v>65741129</v>
      </c>
      <c r="G3405" t="s">
        <v>2004</v>
      </c>
      <c r="H3405">
        <v>100242446</v>
      </c>
      <c r="I3405">
        <v>202631</v>
      </c>
      <c r="J3405">
        <v>1016947554</v>
      </c>
      <c r="K3405" t="s">
        <v>23</v>
      </c>
      <c r="L3405" t="s">
        <v>240</v>
      </c>
      <c r="M3405" t="s">
        <v>24</v>
      </c>
      <c r="N3405" t="s">
        <v>35</v>
      </c>
      <c r="O3405" t="s">
        <v>26</v>
      </c>
      <c r="P3405" t="s">
        <v>27</v>
      </c>
      <c r="Q3405" t="s">
        <v>28</v>
      </c>
      <c r="R3405" t="s">
        <v>29</v>
      </c>
      <c r="S3405" t="s">
        <v>30</v>
      </c>
      <c r="T3405">
        <v>53006215</v>
      </c>
      <c r="U3405" t="s">
        <v>3965</v>
      </c>
      <c r="V3405" t="s">
        <v>3934</v>
      </c>
      <c r="W3405" s="9">
        <f>IF(V3405="pregrado",31,
IF(V3405="posgrados",31,
IF(V3405="rEINTEGROS",7,
IF(V3405="BIT",90,
IF(V3405="OP GRADO - INGLÉS",17,"")))))</f>
        <v>31</v>
      </c>
      <c r="X3405" t="s">
        <v>4042</v>
      </c>
    </row>
    <row r="3406" spans="1:24" ht="15" x14ac:dyDescent="0.35">
      <c r="A3406" s="4">
        <v>46073.443819444445</v>
      </c>
      <c r="B3406">
        <v>20125161</v>
      </c>
      <c r="C3406" s="6" t="s">
        <v>19</v>
      </c>
      <c r="D3406">
        <v>605411</v>
      </c>
      <c r="E3406" t="s">
        <v>20</v>
      </c>
      <c r="F3406">
        <v>1007619891</v>
      </c>
      <c r="G3406" t="s">
        <v>3461</v>
      </c>
      <c r="H3406">
        <v>100242464</v>
      </c>
      <c r="I3406">
        <v>202611</v>
      </c>
      <c r="J3406">
        <v>1007619891</v>
      </c>
      <c r="K3406" t="s">
        <v>33</v>
      </c>
      <c r="L3406" t="s">
        <v>221</v>
      </c>
      <c r="M3406" t="s">
        <v>24</v>
      </c>
      <c r="N3406" t="s">
        <v>35</v>
      </c>
      <c r="O3406" t="s">
        <v>26</v>
      </c>
      <c r="P3406" t="s">
        <v>27</v>
      </c>
      <c r="Q3406" t="s">
        <v>28</v>
      </c>
      <c r="R3406" t="s">
        <v>29</v>
      </c>
      <c r="S3406" t="s">
        <v>30</v>
      </c>
      <c r="T3406">
        <v>53071696</v>
      </c>
      <c r="U3406" t="s">
        <v>3965</v>
      </c>
      <c r="V3406" t="s">
        <v>3934</v>
      </c>
      <c r="W3406" s="9">
        <f>IF(V3406="pregrado",31,
IF(V3406="posgrados",31,
IF(V3406="rEINTEGROS",7,
IF(V3406="BIT",90,
IF(V3406="OP GRADO - INGLÉS",17,"")))))</f>
        <v>31</v>
      </c>
      <c r="X3406" t="s">
        <v>4012</v>
      </c>
    </row>
    <row r="3407" spans="1:24" ht="15" x14ac:dyDescent="0.35">
      <c r="A3407" s="4">
        <v>46043.658449074072</v>
      </c>
      <c r="B3407">
        <v>20115855</v>
      </c>
      <c r="C3407" s="6" t="s">
        <v>19</v>
      </c>
      <c r="D3407">
        <v>605412</v>
      </c>
      <c r="E3407" t="s">
        <v>20</v>
      </c>
      <c r="F3407">
        <v>1053342504</v>
      </c>
      <c r="G3407" t="s">
        <v>2107</v>
      </c>
      <c r="H3407">
        <v>100242466</v>
      </c>
      <c r="I3407">
        <v>202631</v>
      </c>
      <c r="J3407">
        <v>1053342504</v>
      </c>
      <c r="K3407" t="s">
        <v>33</v>
      </c>
      <c r="L3407" t="s">
        <v>240</v>
      </c>
      <c r="M3407" t="s">
        <v>24</v>
      </c>
      <c r="N3407" t="s">
        <v>605</v>
      </c>
      <c r="O3407" t="s">
        <v>26</v>
      </c>
      <c r="P3407" t="s">
        <v>27</v>
      </c>
      <c r="Q3407" t="s">
        <v>28</v>
      </c>
      <c r="R3407" t="s">
        <v>29</v>
      </c>
      <c r="S3407" t="s">
        <v>30</v>
      </c>
      <c r="T3407">
        <v>1001277801</v>
      </c>
      <c r="U3407" t="s">
        <v>3965</v>
      </c>
      <c r="V3407" t="s">
        <v>3934</v>
      </c>
      <c r="W3407" s="9">
        <f>IF(V3407="pregrado",31,
IF(V3407="posgrados",31,
IF(V3407="rEINTEGROS",7,
IF(V3407="BIT",90,
IF(V3407="OP GRADO - INGLÉS",17,"")))))</f>
        <v>31</v>
      </c>
      <c r="X3407" t="s">
        <v>4002</v>
      </c>
    </row>
    <row r="3408" spans="1:24" ht="15" x14ac:dyDescent="0.35">
      <c r="A3408" s="4">
        <v>46048.392523148148</v>
      </c>
      <c r="B3408">
        <v>20116985</v>
      </c>
      <c r="C3408" s="6" t="s">
        <v>19</v>
      </c>
      <c r="D3408">
        <v>605413</v>
      </c>
      <c r="E3408" t="s">
        <v>20</v>
      </c>
      <c r="F3408">
        <v>53066364</v>
      </c>
      <c r="G3408" t="s">
        <v>2275</v>
      </c>
      <c r="H3408">
        <v>100233794</v>
      </c>
      <c r="I3408">
        <v>202631</v>
      </c>
      <c r="J3408">
        <v>1000943717</v>
      </c>
      <c r="K3408" t="s">
        <v>33</v>
      </c>
      <c r="L3408" t="s">
        <v>42</v>
      </c>
      <c r="M3408" t="s">
        <v>24</v>
      </c>
      <c r="N3408" t="s">
        <v>35</v>
      </c>
      <c r="O3408" t="s">
        <v>26</v>
      </c>
      <c r="P3408" t="s">
        <v>27</v>
      </c>
      <c r="Q3408" t="s">
        <v>28</v>
      </c>
      <c r="R3408" t="s">
        <v>29</v>
      </c>
      <c r="S3408" t="s">
        <v>30</v>
      </c>
      <c r="T3408">
        <v>1000349074</v>
      </c>
      <c r="U3408" t="s">
        <v>3944</v>
      </c>
      <c r="V3408" t="s">
        <v>3934</v>
      </c>
      <c r="W3408" s="9">
        <f>IF(V3408="pregrado",31,
IF(V3408="posgrados",31,
IF(V3408="rEINTEGROS",7,
IF(V3408="BIT",90,
IF(V3408="OP GRADO - INGLÉS",17,"")))))</f>
        <v>31</v>
      </c>
      <c r="X3408" t="s">
        <v>4036</v>
      </c>
    </row>
    <row r="3409" spans="1:24" ht="15" x14ac:dyDescent="0.35">
      <c r="A3409" s="4">
        <v>46045.432395833333</v>
      </c>
      <c r="B3409">
        <v>20116470</v>
      </c>
      <c r="C3409" s="6" t="s">
        <v>19</v>
      </c>
      <c r="D3409">
        <v>605417</v>
      </c>
      <c r="E3409" t="s">
        <v>20</v>
      </c>
      <c r="F3409">
        <v>1033813095</v>
      </c>
      <c r="G3409" t="s">
        <v>2223</v>
      </c>
      <c r="H3409">
        <v>100203343</v>
      </c>
      <c r="I3409">
        <v>202611</v>
      </c>
      <c r="J3409">
        <v>1033813095</v>
      </c>
      <c r="K3409" t="s">
        <v>23</v>
      </c>
      <c r="L3409" t="s">
        <v>227</v>
      </c>
      <c r="M3409" t="s">
        <v>24</v>
      </c>
      <c r="N3409" t="s">
        <v>25</v>
      </c>
      <c r="O3409" t="s">
        <v>26</v>
      </c>
      <c r="P3409" t="s">
        <v>27</v>
      </c>
      <c r="Q3409" t="s">
        <v>28</v>
      </c>
      <c r="R3409" t="s">
        <v>29</v>
      </c>
      <c r="S3409" t="s">
        <v>30</v>
      </c>
      <c r="T3409">
        <v>1032678391</v>
      </c>
      <c r="U3409" t="s">
        <v>3965</v>
      </c>
      <c r="V3409" t="s">
        <v>3934</v>
      </c>
      <c r="W3409" s="9">
        <f>IF(V3409="pregrado",31,
IF(V3409="posgrados",31,
IF(V3409="rEINTEGROS",7,
IF(V3409="BIT",90,
IF(V3409="OP GRADO - INGLÉS",17,"")))))</f>
        <v>31</v>
      </c>
      <c r="X3409" t="s">
        <v>4098</v>
      </c>
    </row>
    <row r="3410" spans="1:24" ht="15" x14ac:dyDescent="0.35">
      <c r="A3410" s="4">
        <v>46042.710543981484</v>
      </c>
      <c r="B3410">
        <v>20115471</v>
      </c>
      <c r="C3410" s="6" t="s">
        <v>19</v>
      </c>
      <c r="D3410">
        <v>605420</v>
      </c>
      <c r="E3410" t="s">
        <v>20</v>
      </c>
      <c r="F3410">
        <v>1143127462</v>
      </c>
      <c r="G3410" t="s">
        <v>2041</v>
      </c>
      <c r="H3410">
        <v>900013879</v>
      </c>
      <c r="I3410">
        <v>202611</v>
      </c>
      <c r="J3410">
        <v>1143127462</v>
      </c>
      <c r="K3410" t="s">
        <v>23</v>
      </c>
      <c r="L3410" t="s">
        <v>221</v>
      </c>
      <c r="M3410" t="s">
        <v>24</v>
      </c>
      <c r="N3410" t="s">
        <v>35</v>
      </c>
      <c r="O3410" t="s">
        <v>26</v>
      </c>
      <c r="P3410" t="s">
        <v>27</v>
      </c>
      <c r="Q3410" t="s">
        <v>28</v>
      </c>
      <c r="R3410" t="s">
        <v>29</v>
      </c>
      <c r="S3410" t="s">
        <v>30</v>
      </c>
      <c r="T3410">
        <v>1030570122</v>
      </c>
      <c r="U3410" t="s">
        <v>3965</v>
      </c>
      <c r="V3410" t="s">
        <v>3934</v>
      </c>
      <c r="W3410" s="9">
        <f>IF(V3410="pregrado",31,
IF(V3410="posgrados",31,
IF(V3410="rEINTEGROS",7,
IF(V3410="BIT",90,
IF(V3410="OP GRADO - INGLÉS",17,"")))))</f>
        <v>31</v>
      </c>
      <c r="X3410" t="s">
        <v>4015</v>
      </c>
    </row>
    <row r="3411" spans="1:24" ht="15" x14ac:dyDescent="0.35">
      <c r="A3411" s="4">
        <v>46041.69054398148</v>
      </c>
      <c r="B3411">
        <v>20115013</v>
      </c>
      <c r="C3411" s="6" t="s">
        <v>19</v>
      </c>
      <c r="D3411">
        <v>605426</v>
      </c>
      <c r="E3411" t="s">
        <v>20</v>
      </c>
      <c r="F3411">
        <v>1121835320</v>
      </c>
      <c r="G3411" t="s">
        <v>1980</v>
      </c>
      <c r="H3411">
        <v>100242480</v>
      </c>
      <c r="I3411">
        <v>202631</v>
      </c>
      <c r="J3411">
        <v>1121835320</v>
      </c>
      <c r="K3411" t="s">
        <v>33</v>
      </c>
      <c r="L3411" t="s">
        <v>127</v>
      </c>
      <c r="M3411" t="s">
        <v>24</v>
      </c>
      <c r="N3411" t="s">
        <v>25</v>
      </c>
      <c r="O3411" t="s">
        <v>26</v>
      </c>
      <c r="P3411" t="s">
        <v>27</v>
      </c>
      <c r="Q3411" t="s">
        <v>28</v>
      </c>
      <c r="R3411" t="s">
        <v>29</v>
      </c>
      <c r="S3411" t="s">
        <v>30</v>
      </c>
      <c r="T3411">
        <v>1023370559</v>
      </c>
      <c r="U3411" t="s">
        <v>3933</v>
      </c>
      <c r="V3411" t="s">
        <v>3934</v>
      </c>
      <c r="W3411" s="9">
        <f>IF(V3411="pregrado",31,
IF(V3411="posgrados",31,
IF(V3411="rEINTEGROS",7,
IF(V3411="BIT",90,
IF(V3411="OP GRADO - INGLÉS",17,"")))))</f>
        <v>31</v>
      </c>
      <c r="X3411" t="s">
        <v>4017</v>
      </c>
    </row>
    <row r="3412" spans="1:24" ht="15" x14ac:dyDescent="0.35">
      <c r="A3412" s="4">
        <v>46049.429166666669</v>
      </c>
      <c r="B3412">
        <v>20117456</v>
      </c>
      <c r="C3412" s="6" t="s">
        <v>19</v>
      </c>
      <c r="D3412">
        <v>605429</v>
      </c>
      <c r="E3412" t="s">
        <v>20</v>
      </c>
      <c r="F3412">
        <v>1102844250</v>
      </c>
      <c r="G3412" t="s">
        <v>2333</v>
      </c>
      <c r="H3412">
        <v>100242483</v>
      </c>
      <c r="I3412">
        <v>202611</v>
      </c>
      <c r="J3412">
        <v>1102844250</v>
      </c>
      <c r="K3412" t="s">
        <v>23</v>
      </c>
      <c r="L3412" t="s">
        <v>221</v>
      </c>
      <c r="M3412" t="s">
        <v>24</v>
      </c>
      <c r="N3412" t="s">
        <v>25</v>
      </c>
      <c r="O3412" t="s">
        <v>26</v>
      </c>
      <c r="P3412" t="s">
        <v>27</v>
      </c>
      <c r="Q3412" t="s">
        <v>28</v>
      </c>
      <c r="R3412" t="s">
        <v>29</v>
      </c>
      <c r="S3412" t="s">
        <v>30</v>
      </c>
      <c r="T3412">
        <v>1007709034</v>
      </c>
      <c r="U3412" t="s">
        <v>3965</v>
      </c>
      <c r="V3412" t="s">
        <v>3934</v>
      </c>
      <c r="W3412" s="9">
        <f>IF(V3412="pregrado",31,
IF(V3412="posgrados",31,
IF(V3412="rEINTEGROS",7,
IF(V3412="BIT",90,
IF(V3412="OP GRADO - INGLÉS",17,"")))))</f>
        <v>31</v>
      </c>
      <c r="X3412" t="s">
        <v>3964</v>
      </c>
    </row>
    <row r="3413" spans="1:24" ht="15" x14ac:dyDescent="0.35">
      <c r="A3413" s="4">
        <v>46041.845370370371</v>
      </c>
      <c r="B3413">
        <v>20115121</v>
      </c>
      <c r="C3413" s="6" t="s">
        <v>19</v>
      </c>
      <c r="D3413">
        <v>605434</v>
      </c>
      <c r="E3413" t="s">
        <v>20</v>
      </c>
      <c r="F3413">
        <v>1021312637</v>
      </c>
      <c r="G3413" t="s">
        <v>1993</v>
      </c>
      <c r="H3413">
        <v>100217405</v>
      </c>
      <c r="I3413">
        <v>202631</v>
      </c>
      <c r="J3413">
        <v>1021312637</v>
      </c>
      <c r="K3413" t="s">
        <v>33</v>
      </c>
      <c r="L3413" t="s">
        <v>207</v>
      </c>
      <c r="M3413" t="s">
        <v>24</v>
      </c>
      <c r="N3413" t="s">
        <v>38</v>
      </c>
      <c r="O3413" t="s">
        <v>26</v>
      </c>
      <c r="P3413" t="s">
        <v>27</v>
      </c>
      <c r="Q3413" t="s">
        <v>28</v>
      </c>
      <c r="R3413" t="s">
        <v>29</v>
      </c>
      <c r="S3413" t="s">
        <v>30</v>
      </c>
      <c r="T3413">
        <v>52876433</v>
      </c>
      <c r="U3413" t="s">
        <v>3986</v>
      </c>
      <c r="V3413" t="s">
        <v>3934</v>
      </c>
      <c r="W3413" s="9">
        <f>IF(V3413="pregrado",31,
IF(V3413="posgrados",31,
IF(V3413="rEINTEGROS",7,
IF(V3413="BIT",90,
IF(V3413="OP GRADO - INGLÉS",17,"")))))</f>
        <v>31</v>
      </c>
      <c r="X3413" t="s">
        <v>4078</v>
      </c>
    </row>
    <row r="3414" spans="1:24" ht="15" x14ac:dyDescent="0.35">
      <c r="A3414" s="4">
        <v>46069.879826388889</v>
      </c>
      <c r="B3414">
        <v>20123942</v>
      </c>
      <c r="C3414" s="6" t="s">
        <v>19</v>
      </c>
      <c r="D3414">
        <v>605435</v>
      </c>
      <c r="E3414" t="s">
        <v>20</v>
      </c>
      <c r="F3414">
        <v>25470328</v>
      </c>
      <c r="G3414" t="s">
        <v>3274</v>
      </c>
      <c r="H3414">
        <v>100242487</v>
      </c>
      <c r="I3414">
        <v>202631</v>
      </c>
      <c r="J3414">
        <v>1061503040</v>
      </c>
      <c r="K3414" t="s">
        <v>23</v>
      </c>
      <c r="L3414" t="s">
        <v>42</v>
      </c>
      <c r="M3414" t="s">
        <v>24</v>
      </c>
      <c r="N3414" t="s">
        <v>35</v>
      </c>
      <c r="O3414" t="s">
        <v>26</v>
      </c>
      <c r="P3414" t="s">
        <v>27</v>
      </c>
      <c r="Q3414" t="s">
        <v>28</v>
      </c>
      <c r="R3414" t="s">
        <v>29</v>
      </c>
      <c r="S3414" t="s">
        <v>30</v>
      </c>
      <c r="T3414">
        <v>39666517</v>
      </c>
      <c r="U3414" t="s">
        <v>3933</v>
      </c>
      <c r="V3414" t="s">
        <v>3934</v>
      </c>
      <c r="W3414" s="9">
        <f>IF(V3414="pregrado",31,
IF(V3414="posgrados",31,
IF(V3414="rEINTEGROS",7,
IF(V3414="BIT",90,
IF(V3414="OP GRADO - INGLÉS",17,"")))))</f>
        <v>31</v>
      </c>
      <c r="X3414" t="s">
        <v>4025</v>
      </c>
    </row>
    <row r="3415" spans="1:24" ht="15" x14ac:dyDescent="0.35">
      <c r="A3415" s="4">
        <v>46042.370428240742</v>
      </c>
      <c r="B3415">
        <v>20115166</v>
      </c>
      <c r="C3415" s="6" t="s">
        <v>19</v>
      </c>
      <c r="D3415">
        <v>605444</v>
      </c>
      <c r="E3415" t="s">
        <v>20</v>
      </c>
      <c r="F3415">
        <v>1000131442</v>
      </c>
      <c r="G3415" t="s">
        <v>1997</v>
      </c>
      <c r="H3415">
        <v>100242503</v>
      </c>
      <c r="I3415">
        <v>202631</v>
      </c>
      <c r="J3415">
        <v>1000131442</v>
      </c>
      <c r="K3415" t="s">
        <v>23</v>
      </c>
      <c r="L3415" t="s">
        <v>65</v>
      </c>
      <c r="M3415" t="s">
        <v>24</v>
      </c>
      <c r="N3415" t="s">
        <v>35</v>
      </c>
      <c r="O3415" t="s">
        <v>26</v>
      </c>
      <c r="P3415" t="s">
        <v>27</v>
      </c>
      <c r="Q3415" t="s">
        <v>28</v>
      </c>
      <c r="R3415" t="s">
        <v>29</v>
      </c>
      <c r="S3415" t="s">
        <v>30</v>
      </c>
      <c r="T3415">
        <v>1000183349</v>
      </c>
      <c r="U3415" t="s">
        <v>3939</v>
      </c>
      <c r="V3415" t="s">
        <v>3934</v>
      </c>
      <c r="W3415" s="9">
        <f>IF(V3415="pregrado",31,
IF(V3415="posgrados",31,
IF(V3415="rEINTEGROS",7,
IF(V3415="BIT",90,
IF(V3415="OP GRADO - INGLÉS",17,"")))))</f>
        <v>31</v>
      </c>
      <c r="X3415" t="s">
        <v>4083</v>
      </c>
    </row>
    <row r="3416" spans="1:24" ht="15" x14ac:dyDescent="0.35">
      <c r="A3416" s="4">
        <v>46050.694108796299</v>
      </c>
      <c r="B3416">
        <v>20118150</v>
      </c>
      <c r="C3416" s="6" t="s">
        <v>19</v>
      </c>
      <c r="D3416">
        <v>605445</v>
      </c>
      <c r="E3416" t="s">
        <v>20</v>
      </c>
      <c r="F3416">
        <v>12490744</v>
      </c>
      <c r="G3416" t="s">
        <v>2434</v>
      </c>
      <c r="H3416">
        <v>100229251</v>
      </c>
      <c r="I3416">
        <v>202631</v>
      </c>
      <c r="J3416">
        <v>1003232971</v>
      </c>
      <c r="K3416" t="s">
        <v>23</v>
      </c>
      <c r="L3416" t="s">
        <v>219</v>
      </c>
      <c r="M3416" t="s">
        <v>24</v>
      </c>
      <c r="N3416" t="s">
        <v>35</v>
      </c>
      <c r="O3416" t="s">
        <v>26</v>
      </c>
      <c r="P3416" t="s">
        <v>27</v>
      </c>
      <c r="Q3416" t="s">
        <v>28</v>
      </c>
      <c r="R3416" t="s">
        <v>29</v>
      </c>
      <c r="S3416" t="s">
        <v>30</v>
      </c>
      <c r="T3416">
        <v>1015407851</v>
      </c>
      <c r="U3416" t="s">
        <v>3944</v>
      </c>
      <c r="V3416" t="s">
        <v>3934</v>
      </c>
      <c r="W3416" s="9">
        <f>IF(V3416="pregrado",31,
IF(V3416="posgrados",31,
IF(V3416="rEINTEGROS",7,
IF(V3416="BIT",90,
IF(V3416="OP GRADO - INGLÉS",17,"")))))</f>
        <v>31</v>
      </c>
      <c r="X3416" t="s">
        <v>4102</v>
      </c>
    </row>
    <row r="3417" spans="1:24" ht="15" x14ac:dyDescent="0.35">
      <c r="A3417" s="4">
        <v>46043.587268518517</v>
      </c>
      <c r="B3417">
        <v>20115787</v>
      </c>
      <c r="C3417" s="6" t="s">
        <v>19</v>
      </c>
      <c r="D3417">
        <v>605450</v>
      </c>
      <c r="E3417" t="s">
        <v>20</v>
      </c>
      <c r="F3417">
        <v>16535679</v>
      </c>
      <c r="G3417" t="s">
        <v>2093</v>
      </c>
      <c r="H3417">
        <v>100242518</v>
      </c>
      <c r="I3417">
        <v>202631</v>
      </c>
      <c r="J3417">
        <v>16535679</v>
      </c>
      <c r="K3417" t="s">
        <v>23</v>
      </c>
      <c r="L3417" t="s">
        <v>86</v>
      </c>
      <c r="M3417" t="s">
        <v>87</v>
      </c>
      <c r="N3417" t="s">
        <v>35</v>
      </c>
      <c r="O3417" t="s">
        <v>26</v>
      </c>
      <c r="P3417" t="s">
        <v>27</v>
      </c>
      <c r="Q3417" t="s">
        <v>28</v>
      </c>
      <c r="R3417" t="s">
        <v>29</v>
      </c>
      <c r="S3417" t="s">
        <v>30</v>
      </c>
      <c r="T3417">
        <v>1013102684</v>
      </c>
      <c r="U3417" t="s">
        <v>3939</v>
      </c>
      <c r="V3417" t="s">
        <v>3934</v>
      </c>
      <c r="W3417" s="9">
        <f>IF(V3417="pregrado",31,
IF(V3417="posgrados",31,
IF(V3417="rEINTEGROS",7,
IF(V3417="BIT",90,
IF(V3417="OP GRADO - INGLÉS",17,"")))))</f>
        <v>31</v>
      </c>
      <c r="X3417" t="s">
        <v>4050</v>
      </c>
    </row>
    <row r="3418" spans="1:24" ht="15" x14ac:dyDescent="0.35">
      <c r="A3418" s="4">
        <v>46050.362523148149</v>
      </c>
      <c r="B3418">
        <v>20117825</v>
      </c>
      <c r="C3418" s="6" t="s">
        <v>19</v>
      </c>
      <c r="D3418">
        <v>605455</v>
      </c>
      <c r="E3418" t="s">
        <v>20</v>
      </c>
      <c r="F3418">
        <v>1233507714</v>
      </c>
      <c r="G3418" t="s">
        <v>2386</v>
      </c>
      <c r="H3418">
        <v>100118525</v>
      </c>
      <c r="I3418">
        <v>202631</v>
      </c>
      <c r="J3418">
        <v>1030520872</v>
      </c>
      <c r="K3418" t="s">
        <v>33</v>
      </c>
      <c r="L3418" t="s">
        <v>207</v>
      </c>
      <c r="M3418" t="s">
        <v>24</v>
      </c>
      <c r="N3418" t="s">
        <v>38</v>
      </c>
      <c r="O3418" t="s">
        <v>26</v>
      </c>
      <c r="P3418" t="s">
        <v>27</v>
      </c>
      <c r="Q3418" t="s">
        <v>28</v>
      </c>
      <c r="R3418" t="s">
        <v>29</v>
      </c>
      <c r="S3418" t="s">
        <v>30</v>
      </c>
      <c r="T3418">
        <v>52876433</v>
      </c>
      <c r="U3418" t="s">
        <v>3986</v>
      </c>
      <c r="V3418" t="s">
        <v>3934</v>
      </c>
      <c r="W3418" s="9">
        <f>IF(V3418="pregrado",31,
IF(V3418="posgrados",31,
IF(V3418="rEINTEGROS",7,
IF(V3418="BIT",90,
IF(V3418="OP GRADO - INGLÉS",17,"")))))</f>
        <v>31</v>
      </c>
      <c r="X3418" t="s">
        <v>4078</v>
      </c>
    </row>
    <row r="3419" spans="1:24" ht="15" x14ac:dyDescent="0.35">
      <c r="A3419" s="4">
        <v>46062.669016203705</v>
      </c>
      <c r="B3419">
        <v>20121765</v>
      </c>
      <c r="C3419" s="6" t="s">
        <v>19</v>
      </c>
      <c r="D3419">
        <v>605470</v>
      </c>
      <c r="E3419" t="s">
        <v>20</v>
      </c>
      <c r="F3419">
        <v>52956611</v>
      </c>
      <c r="G3419" t="s">
        <v>2941</v>
      </c>
      <c r="H3419">
        <v>100242529</v>
      </c>
      <c r="I3419">
        <v>202631</v>
      </c>
      <c r="J3419">
        <v>80009591</v>
      </c>
      <c r="K3419" t="s">
        <v>23</v>
      </c>
      <c r="L3419" t="s">
        <v>240</v>
      </c>
      <c r="M3419" t="s">
        <v>24</v>
      </c>
      <c r="N3419" t="s">
        <v>605</v>
      </c>
      <c r="O3419" t="s">
        <v>26</v>
      </c>
      <c r="P3419" t="s">
        <v>27</v>
      </c>
      <c r="Q3419" t="s">
        <v>28</v>
      </c>
      <c r="R3419" t="s">
        <v>29</v>
      </c>
      <c r="S3419" t="s">
        <v>30</v>
      </c>
      <c r="T3419">
        <v>1030570122</v>
      </c>
      <c r="U3419" t="s">
        <v>3965</v>
      </c>
      <c r="V3419" t="s">
        <v>3934</v>
      </c>
      <c r="W3419" s="9">
        <f>IF(V3419="pregrado",31,
IF(V3419="posgrados",31,
IF(V3419="rEINTEGROS",7,
IF(V3419="BIT",90,
IF(V3419="OP GRADO - INGLÉS",17,"")))))</f>
        <v>31</v>
      </c>
      <c r="X3419" t="s">
        <v>4015</v>
      </c>
    </row>
    <row r="3420" spans="1:24" ht="15" x14ac:dyDescent="0.35">
      <c r="A3420" s="4">
        <v>46042.649618055555</v>
      </c>
      <c r="B3420">
        <v>20115392</v>
      </c>
      <c r="C3420" s="6" t="s">
        <v>19</v>
      </c>
      <c r="D3420">
        <v>605475</v>
      </c>
      <c r="E3420" t="s">
        <v>20</v>
      </c>
      <c r="F3420">
        <v>1061741905</v>
      </c>
      <c r="G3420" t="s">
        <v>2030</v>
      </c>
      <c r="H3420">
        <v>100242534</v>
      </c>
      <c r="I3420">
        <v>202631</v>
      </c>
      <c r="J3420">
        <v>1002979572</v>
      </c>
      <c r="K3420" t="s">
        <v>23</v>
      </c>
      <c r="L3420" t="s">
        <v>32</v>
      </c>
      <c r="M3420" t="s">
        <v>24</v>
      </c>
      <c r="N3420" t="s">
        <v>35</v>
      </c>
      <c r="O3420" t="s">
        <v>26</v>
      </c>
      <c r="P3420" t="s">
        <v>27</v>
      </c>
      <c r="Q3420" t="s">
        <v>28</v>
      </c>
      <c r="R3420" t="s">
        <v>29</v>
      </c>
      <c r="S3420" t="s">
        <v>30</v>
      </c>
      <c r="T3420">
        <v>1000625316</v>
      </c>
      <c r="U3420" t="s">
        <v>3944</v>
      </c>
      <c r="V3420" t="s">
        <v>3934</v>
      </c>
      <c r="W3420" s="9">
        <f>IF(V3420="pregrado",31,
IF(V3420="posgrados",31,
IF(V3420="rEINTEGROS",7,
IF(V3420="BIT",90,
IF(V3420="OP GRADO - INGLÉS",17,"")))))</f>
        <v>31</v>
      </c>
      <c r="X3420" t="s">
        <v>3980</v>
      </c>
    </row>
    <row r="3421" spans="1:24" ht="15" x14ac:dyDescent="0.35">
      <c r="A3421" s="4">
        <v>46044.383773148147</v>
      </c>
      <c r="B3421">
        <v>20116012</v>
      </c>
      <c r="C3421" s="6" t="s">
        <v>19</v>
      </c>
      <c r="D3421">
        <v>605480</v>
      </c>
      <c r="E3421" t="s">
        <v>20</v>
      </c>
      <c r="F3421">
        <v>1076660064</v>
      </c>
      <c r="G3421" t="s">
        <v>2134</v>
      </c>
      <c r="H3421">
        <v>100242536</v>
      </c>
      <c r="I3421">
        <v>202631</v>
      </c>
      <c r="J3421">
        <v>1076660064</v>
      </c>
      <c r="K3421" t="s">
        <v>33</v>
      </c>
      <c r="L3421" t="s">
        <v>370</v>
      </c>
      <c r="M3421" t="s">
        <v>24</v>
      </c>
      <c r="N3421" t="s">
        <v>35</v>
      </c>
      <c r="O3421" t="s">
        <v>26</v>
      </c>
      <c r="P3421" t="s">
        <v>27</v>
      </c>
      <c r="Q3421" t="s">
        <v>28</v>
      </c>
      <c r="R3421" t="s">
        <v>29</v>
      </c>
      <c r="S3421" t="s">
        <v>30</v>
      </c>
      <c r="T3421">
        <v>79635092</v>
      </c>
      <c r="U3421" t="s">
        <v>3963</v>
      </c>
      <c r="V3421" t="s">
        <v>3934</v>
      </c>
      <c r="W3421" s="9">
        <f>IF(V3421="pregrado",31,
IF(V3421="posgrados",31,
IF(V3421="rEINTEGROS",7,
IF(V3421="BIT",90,
IF(V3421="OP GRADO - INGLÉS",17,"")))))</f>
        <v>31</v>
      </c>
      <c r="X3421" t="s">
        <v>4079</v>
      </c>
    </row>
    <row r="3422" spans="1:24" ht="15" x14ac:dyDescent="0.35">
      <c r="A3422" s="4">
        <v>46044.823784722219</v>
      </c>
      <c r="B3422">
        <v>20116374</v>
      </c>
      <c r="C3422" s="6" t="s">
        <v>19</v>
      </c>
      <c r="D3422">
        <v>605483</v>
      </c>
      <c r="E3422" t="s">
        <v>20</v>
      </c>
      <c r="F3422">
        <v>1003699164</v>
      </c>
      <c r="G3422" t="s">
        <v>2214</v>
      </c>
      <c r="H3422">
        <v>100242540</v>
      </c>
      <c r="I3422">
        <v>202631</v>
      </c>
      <c r="J3422">
        <v>1073381171</v>
      </c>
      <c r="K3422" t="s">
        <v>33</v>
      </c>
      <c r="L3422" t="s">
        <v>127</v>
      </c>
      <c r="M3422" t="s">
        <v>24</v>
      </c>
      <c r="N3422" t="s">
        <v>25</v>
      </c>
      <c r="O3422" t="s">
        <v>26</v>
      </c>
      <c r="P3422" t="s">
        <v>27</v>
      </c>
      <c r="Q3422" t="s">
        <v>28</v>
      </c>
      <c r="R3422" t="s">
        <v>29</v>
      </c>
      <c r="S3422" t="s">
        <v>30</v>
      </c>
      <c r="T3422">
        <v>1015441103</v>
      </c>
      <c r="U3422" t="s">
        <v>3933</v>
      </c>
      <c r="V3422" t="s">
        <v>3934</v>
      </c>
      <c r="W3422" s="9">
        <f>IF(V3422="pregrado",31,
IF(V3422="posgrados",31,
IF(V3422="rEINTEGROS",7,
IF(V3422="BIT",90,
IF(V3422="OP GRADO - INGLÉS",17,"")))))</f>
        <v>31</v>
      </c>
      <c r="X3422" t="s">
        <v>3961</v>
      </c>
    </row>
    <row r="3423" spans="1:24" ht="15" x14ac:dyDescent="0.35">
      <c r="A3423" s="4">
        <v>46043.653275462966</v>
      </c>
      <c r="B3423">
        <v>20115850</v>
      </c>
      <c r="C3423" s="6" t="s">
        <v>19</v>
      </c>
      <c r="D3423">
        <v>605486</v>
      </c>
      <c r="E3423" t="s">
        <v>20</v>
      </c>
      <c r="F3423">
        <v>1021670368</v>
      </c>
      <c r="G3423" t="s">
        <v>2105</v>
      </c>
      <c r="H3423">
        <v>100242543</v>
      </c>
      <c r="I3423">
        <v>202610</v>
      </c>
      <c r="J3423">
        <v>1021670368</v>
      </c>
      <c r="K3423" t="s">
        <v>33</v>
      </c>
      <c r="L3423" t="s">
        <v>79</v>
      </c>
      <c r="M3423" t="s">
        <v>24</v>
      </c>
      <c r="N3423" t="s">
        <v>38</v>
      </c>
      <c r="O3423" t="s">
        <v>26</v>
      </c>
      <c r="P3423" t="s">
        <v>27</v>
      </c>
      <c r="Q3423" t="s">
        <v>28</v>
      </c>
      <c r="R3423" t="s">
        <v>29</v>
      </c>
      <c r="S3423" t="s">
        <v>30</v>
      </c>
      <c r="T3423">
        <v>1013662799</v>
      </c>
      <c r="U3423" t="s">
        <v>3965</v>
      </c>
      <c r="V3423" t="s">
        <v>3934</v>
      </c>
      <c r="W3423" s="9">
        <f>IF(V3423="pregrado",31,
IF(V3423="posgrados",31,
IF(V3423="rEINTEGROS",7,
IF(V3423="BIT",90,
IF(V3423="OP GRADO - INGLÉS",17,"")))))</f>
        <v>31</v>
      </c>
      <c r="X3423" t="s">
        <v>4021</v>
      </c>
    </row>
    <row r="3424" spans="1:24" ht="15" x14ac:dyDescent="0.35">
      <c r="A3424" s="4">
        <v>46042.576631944445</v>
      </c>
      <c r="B3424">
        <v>20115322</v>
      </c>
      <c r="C3424" s="6" t="s">
        <v>19</v>
      </c>
      <c r="D3424">
        <v>605498</v>
      </c>
      <c r="E3424" t="s">
        <v>20</v>
      </c>
      <c r="F3424">
        <v>1007973378</v>
      </c>
      <c r="G3424" t="s">
        <v>2021</v>
      </c>
      <c r="H3424">
        <v>100242549</v>
      </c>
      <c r="I3424">
        <v>202631</v>
      </c>
      <c r="J3424">
        <v>1043634904</v>
      </c>
      <c r="K3424" t="s">
        <v>33</v>
      </c>
      <c r="L3424" t="s">
        <v>90</v>
      </c>
      <c r="M3424" t="s">
        <v>24</v>
      </c>
      <c r="N3424" t="s">
        <v>25</v>
      </c>
      <c r="O3424" t="s">
        <v>26</v>
      </c>
      <c r="P3424" t="s">
        <v>27</v>
      </c>
      <c r="Q3424" t="s">
        <v>28</v>
      </c>
      <c r="R3424" t="s">
        <v>29</v>
      </c>
      <c r="S3424" t="s">
        <v>30</v>
      </c>
      <c r="T3424">
        <v>1010240716</v>
      </c>
      <c r="U3424" t="s">
        <v>3939</v>
      </c>
      <c r="V3424" t="s">
        <v>3934</v>
      </c>
      <c r="W3424" s="9">
        <f>IF(V3424="pregrado",31,
IF(V3424="posgrados",31,
IF(V3424="rEINTEGROS",7,
IF(V3424="BIT",90,
IF(V3424="OP GRADO - INGLÉS",17,"")))))</f>
        <v>31</v>
      </c>
      <c r="X3424" t="s">
        <v>3938</v>
      </c>
    </row>
    <row r="3425" spans="1:24" ht="15" x14ac:dyDescent="0.35">
      <c r="A3425" s="4">
        <v>46042.398321759261</v>
      </c>
      <c r="B3425">
        <v>20115182</v>
      </c>
      <c r="C3425" s="6" t="s">
        <v>19</v>
      </c>
      <c r="D3425">
        <v>605519</v>
      </c>
      <c r="E3425" t="s">
        <v>20</v>
      </c>
      <c r="F3425">
        <v>21246107</v>
      </c>
      <c r="G3425" t="s">
        <v>2001</v>
      </c>
      <c r="H3425">
        <v>100167728</v>
      </c>
      <c r="I3425">
        <v>202631</v>
      </c>
      <c r="J3425">
        <v>1121892607</v>
      </c>
      <c r="K3425" t="s">
        <v>33</v>
      </c>
      <c r="L3425" t="s">
        <v>32</v>
      </c>
      <c r="M3425" t="s">
        <v>24</v>
      </c>
      <c r="N3425" t="s">
        <v>25</v>
      </c>
      <c r="O3425" t="s">
        <v>26</v>
      </c>
      <c r="P3425" t="s">
        <v>27</v>
      </c>
      <c r="Q3425" t="s">
        <v>28</v>
      </c>
      <c r="R3425" t="s">
        <v>29</v>
      </c>
      <c r="S3425" t="s">
        <v>30</v>
      </c>
      <c r="T3425">
        <v>11001273124</v>
      </c>
      <c r="U3425" t="s">
        <v>3944</v>
      </c>
      <c r="V3425" t="s">
        <v>3934</v>
      </c>
      <c r="W3425" s="9">
        <f>IF(V3425="pregrado",31,
IF(V3425="posgrados",31,
IF(V3425="rEINTEGROS",7,
IF(V3425="BIT",90,
IF(V3425="OP GRADO - INGLÉS",17,"")))))</f>
        <v>31</v>
      </c>
      <c r="X3425" t="s">
        <v>3951</v>
      </c>
    </row>
    <row r="3426" spans="1:24" ht="15" x14ac:dyDescent="0.35">
      <c r="A3426" s="4">
        <v>46043.368310185186</v>
      </c>
      <c r="B3426">
        <v>20115597</v>
      </c>
      <c r="C3426" s="6" t="s">
        <v>19</v>
      </c>
      <c r="D3426">
        <v>605529</v>
      </c>
      <c r="E3426" t="s">
        <v>20</v>
      </c>
      <c r="F3426">
        <v>29818712</v>
      </c>
      <c r="G3426" t="s">
        <v>2059</v>
      </c>
      <c r="H3426">
        <v>100242572</v>
      </c>
      <c r="I3426">
        <v>202611</v>
      </c>
      <c r="J3426">
        <v>1107507927</v>
      </c>
      <c r="K3426" t="s">
        <v>23</v>
      </c>
      <c r="L3426" t="s">
        <v>227</v>
      </c>
      <c r="M3426" t="s">
        <v>24</v>
      </c>
      <c r="N3426" t="s">
        <v>605</v>
      </c>
      <c r="O3426" t="s">
        <v>26</v>
      </c>
      <c r="P3426" t="s">
        <v>27</v>
      </c>
      <c r="Q3426" t="s">
        <v>28</v>
      </c>
      <c r="R3426" t="s">
        <v>29</v>
      </c>
      <c r="S3426" t="s">
        <v>30</v>
      </c>
      <c r="T3426">
        <v>1013662799</v>
      </c>
      <c r="U3426" t="s">
        <v>3965</v>
      </c>
      <c r="V3426" t="s">
        <v>3934</v>
      </c>
      <c r="W3426" s="9">
        <f>IF(V3426="pregrado",31,
IF(V3426="posgrados",31,
IF(V3426="rEINTEGROS",7,
IF(V3426="BIT",90,
IF(V3426="OP GRADO - INGLÉS",17,"")))))</f>
        <v>31</v>
      </c>
      <c r="X3426" t="s">
        <v>4021</v>
      </c>
    </row>
    <row r="3427" spans="1:24" ht="15" x14ac:dyDescent="0.35">
      <c r="A3427" s="4">
        <v>46047.806840277779</v>
      </c>
      <c r="B3427">
        <v>20116940</v>
      </c>
      <c r="C3427" s="6" t="s">
        <v>19</v>
      </c>
      <c r="D3427">
        <v>605535</v>
      </c>
      <c r="E3427" t="s">
        <v>20</v>
      </c>
      <c r="F3427">
        <v>1002404130</v>
      </c>
      <c r="G3427" t="s">
        <v>2269</v>
      </c>
      <c r="H3427">
        <v>100242576</v>
      </c>
      <c r="I3427">
        <v>202631</v>
      </c>
      <c r="J3427">
        <v>1002404130</v>
      </c>
      <c r="K3427" t="s">
        <v>23</v>
      </c>
      <c r="L3427" t="s">
        <v>127</v>
      </c>
      <c r="M3427" t="s">
        <v>24</v>
      </c>
      <c r="N3427" t="s">
        <v>35</v>
      </c>
      <c r="O3427" t="s">
        <v>26</v>
      </c>
      <c r="P3427" t="s">
        <v>27</v>
      </c>
      <c r="Q3427" t="s">
        <v>28</v>
      </c>
      <c r="R3427" t="s">
        <v>29</v>
      </c>
      <c r="S3427" t="s">
        <v>30</v>
      </c>
      <c r="T3427">
        <v>1023921046</v>
      </c>
      <c r="U3427" t="s">
        <v>3933</v>
      </c>
      <c r="V3427" t="s">
        <v>3934</v>
      </c>
      <c r="W3427" s="9">
        <f>IF(V3427="pregrado",31,
IF(V3427="posgrados",31,
IF(V3427="rEINTEGROS",7,
IF(V3427="BIT",90,
IF(V3427="OP GRADO - INGLÉS",17,"")))))</f>
        <v>31</v>
      </c>
      <c r="X3427" t="s">
        <v>4043</v>
      </c>
    </row>
    <row r="3428" spans="1:24" ht="15" x14ac:dyDescent="0.35">
      <c r="A3428" s="4">
        <v>46048.81349537037</v>
      </c>
      <c r="B3428">
        <v>20117368</v>
      </c>
      <c r="C3428" s="6" t="s">
        <v>19</v>
      </c>
      <c r="D3428">
        <v>605544</v>
      </c>
      <c r="E3428" t="s">
        <v>20</v>
      </c>
      <c r="F3428">
        <v>1000950381</v>
      </c>
      <c r="G3428" t="s">
        <v>2321</v>
      </c>
      <c r="H3428">
        <v>100223347</v>
      </c>
      <c r="I3428">
        <v>202631</v>
      </c>
      <c r="J3428">
        <v>1013684189</v>
      </c>
      <c r="K3428" t="s">
        <v>33</v>
      </c>
      <c r="L3428" t="s">
        <v>231</v>
      </c>
      <c r="M3428" t="s">
        <v>24</v>
      </c>
      <c r="N3428" t="s">
        <v>25</v>
      </c>
      <c r="O3428" t="s">
        <v>26</v>
      </c>
      <c r="P3428" t="s">
        <v>27</v>
      </c>
      <c r="Q3428" t="s">
        <v>28</v>
      </c>
      <c r="R3428" t="s">
        <v>29</v>
      </c>
      <c r="S3428" t="s">
        <v>30</v>
      </c>
      <c r="T3428">
        <v>52182207</v>
      </c>
      <c r="U3428" t="s">
        <v>3941</v>
      </c>
      <c r="V3428" t="s">
        <v>3934</v>
      </c>
      <c r="W3428" s="9">
        <f>IF(V3428="pregrado",31,
IF(V3428="posgrados",31,
IF(V3428="rEINTEGROS",7,
IF(V3428="BIT",90,
IF(V3428="OP GRADO - INGLÉS",17,"")))))</f>
        <v>31</v>
      </c>
      <c r="X3428" t="s">
        <v>3946</v>
      </c>
    </row>
    <row r="3429" spans="1:24" ht="15" x14ac:dyDescent="0.35">
      <c r="A3429" s="4">
        <v>46053.55190972222</v>
      </c>
      <c r="B3429">
        <v>20119302</v>
      </c>
      <c r="C3429" s="6" t="s">
        <v>19</v>
      </c>
      <c r="D3429">
        <v>605577</v>
      </c>
      <c r="E3429" t="s">
        <v>20</v>
      </c>
      <c r="F3429">
        <v>36573078</v>
      </c>
      <c r="G3429" t="s">
        <v>2631</v>
      </c>
      <c r="H3429">
        <v>100232935</v>
      </c>
      <c r="I3429">
        <v>202611</v>
      </c>
      <c r="J3429">
        <v>1065575379</v>
      </c>
      <c r="K3429" t="s">
        <v>23</v>
      </c>
      <c r="L3429" t="s">
        <v>221</v>
      </c>
      <c r="M3429" t="s">
        <v>24</v>
      </c>
      <c r="N3429" t="s">
        <v>35</v>
      </c>
      <c r="O3429" t="s">
        <v>26</v>
      </c>
      <c r="P3429" t="s">
        <v>27</v>
      </c>
      <c r="Q3429" t="s">
        <v>28</v>
      </c>
      <c r="R3429" t="s">
        <v>29</v>
      </c>
      <c r="S3429" t="s">
        <v>30</v>
      </c>
      <c r="T3429">
        <v>1015428862</v>
      </c>
      <c r="U3429" t="s">
        <v>3965</v>
      </c>
      <c r="V3429" t="s">
        <v>3934</v>
      </c>
      <c r="W3429" s="9">
        <f>IF(V3429="pregrado",31,
IF(V3429="posgrados",31,
IF(V3429="rEINTEGROS",7,
IF(V3429="BIT",90,
IF(V3429="OP GRADO - INGLÉS",17,"")))))</f>
        <v>31</v>
      </c>
      <c r="X3429" t="s">
        <v>4048</v>
      </c>
    </row>
    <row r="3430" spans="1:24" ht="15" x14ac:dyDescent="0.35">
      <c r="A3430" s="4">
        <v>46070.512754629628</v>
      </c>
      <c r="B3430">
        <v>20124093</v>
      </c>
      <c r="C3430" s="6" t="s">
        <v>19</v>
      </c>
      <c r="D3430">
        <v>605579</v>
      </c>
      <c r="E3430" t="s">
        <v>20</v>
      </c>
      <c r="F3430">
        <v>1121949578</v>
      </c>
      <c r="G3430" t="s">
        <v>3293</v>
      </c>
      <c r="H3430">
        <v>100241955</v>
      </c>
      <c r="I3430">
        <v>202611</v>
      </c>
      <c r="J3430">
        <v>1121949578</v>
      </c>
      <c r="K3430" t="s">
        <v>33</v>
      </c>
      <c r="L3430" t="s">
        <v>221</v>
      </c>
      <c r="M3430" t="s">
        <v>24</v>
      </c>
      <c r="N3430" t="s">
        <v>35</v>
      </c>
      <c r="O3430" t="s">
        <v>26</v>
      </c>
      <c r="P3430" t="s">
        <v>27</v>
      </c>
      <c r="Q3430" t="s">
        <v>28</v>
      </c>
      <c r="R3430" t="s">
        <v>29</v>
      </c>
      <c r="S3430" t="s">
        <v>30</v>
      </c>
      <c r="T3430">
        <v>1015482247</v>
      </c>
      <c r="U3430" t="s">
        <v>3944</v>
      </c>
      <c r="V3430" t="s">
        <v>3934</v>
      </c>
      <c r="W3430" s="9">
        <f>IF(V3430="pregrado",31,
IF(V3430="posgrados",31,
IF(V3430="rEINTEGROS",7,
IF(V3430="BIT",90,
IF(V3430="OP GRADO - INGLÉS",17,"")))))</f>
        <v>31</v>
      </c>
      <c r="X3430" t="s">
        <v>3984</v>
      </c>
    </row>
    <row r="3431" spans="1:24" ht="15" x14ac:dyDescent="0.35">
      <c r="A3431" s="4">
        <v>46043.37332175926</v>
      </c>
      <c r="B3431">
        <v>20115602</v>
      </c>
      <c r="C3431" s="6" t="s">
        <v>19</v>
      </c>
      <c r="D3431">
        <v>605595</v>
      </c>
      <c r="E3431" t="s">
        <v>20</v>
      </c>
      <c r="F3431">
        <v>1065866026</v>
      </c>
      <c r="G3431" t="s">
        <v>2062</v>
      </c>
      <c r="H3431">
        <v>200085023</v>
      </c>
      <c r="I3431">
        <v>202631</v>
      </c>
      <c r="J3431">
        <v>1065866026</v>
      </c>
      <c r="K3431" t="s">
        <v>23</v>
      </c>
      <c r="L3431" t="s">
        <v>22</v>
      </c>
      <c r="M3431" t="s">
        <v>24</v>
      </c>
      <c r="N3431" t="s">
        <v>35</v>
      </c>
      <c r="O3431" t="s">
        <v>26</v>
      </c>
      <c r="P3431" t="s">
        <v>27</v>
      </c>
      <c r="Q3431" t="s">
        <v>28</v>
      </c>
      <c r="R3431" t="s">
        <v>29</v>
      </c>
      <c r="S3431" t="s">
        <v>30</v>
      </c>
      <c r="T3431">
        <v>1013102684</v>
      </c>
      <c r="U3431" t="s">
        <v>3939</v>
      </c>
      <c r="V3431" t="s">
        <v>3934</v>
      </c>
      <c r="W3431" s="9">
        <f>IF(V3431="pregrado",31,
IF(V3431="posgrados",31,
IF(V3431="rEINTEGROS",7,
IF(V3431="BIT",90,
IF(V3431="OP GRADO - INGLÉS",17,"")))))</f>
        <v>31</v>
      </c>
      <c r="X3431" t="s">
        <v>4050</v>
      </c>
    </row>
    <row r="3432" spans="1:24" ht="15" x14ac:dyDescent="0.35">
      <c r="A3432" s="4">
        <v>46045.367939814816</v>
      </c>
      <c r="B3432">
        <v>20116418</v>
      </c>
      <c r="C3432" s="6" t="s">
        <v>19</v>
      </c>
      <c r="D3432">
        <v>605602</v>
      </c>
      <c r="E3432" t="s">
        <v>20</v>
      </c>
      <c r="F3432">
        <v>1104405279</v>
      </c>
      <c r="G3432" t="s">
        <v>2220</v>
      </c>
      <c r="H3432">
        <v>100227596</v>
      </c>
      <c r="I3432">
        <v>202631</v>
      </c>
      <c r="J3432">
        <v>1069475009</v>
      </c>
      <c r="K3432" t="s">
        <v>33</v>
      </c>
      <c r="L3432" t="s">
        <v>119</v>
      </c>
      <c r="M3432" t="s">
        <v>24</v>
      </c>
      <c r="N3432" t="s">
        <v>35</v>
      </c>
      <c r="O3432" t="s">
        <v>26</v>
      </c>
      <c r="P3432" t="s">
        <v>27</v>
      </c>
      <c r="Q3432" t="s">
        <v>28</v>
      </c>
      <c r="R3432" t="s">
        <v>29</v>
      </c>
      <c r="S3432" t="s">
        <v>30</v>
      </c>
      <c r="T3432">
        <v>1000251314</v>
      </c>
      <c r="U3432" t="s">
        <v>3963</v>
      </c>
      <c r="V3432" t="s">
        <v>3934</v>
      </c>
      <c r="W3432" s="9">
        <f>IF(V3432="pregrado",31,
IF(V3432="posgrados",31,
IF(V3432="rEINTEGROS",7,
IF(V3432="BIT",90,
IF(V3432="OP GRADO - INGLÉS",17,"")))))</f>
        <v>31</v>
      </c>
      <c r="X3432" t="s">
        <v>4024</v>
      </c>
    </row>
    <row r="3433" spans="1:24" ht="15" x14ac:dyDescent="0.35">
      <c r="A3433" s="4">
        <v>46052.6094212963</v>
      </c>
      <c r="B3433">
        <v>20118984</v>
      </c>
      <c r="C3433" s="6" t="s">
        <v>19</v>
      </c>
      <c r="D3433">
        <v>605604</v>
      </c>
      <c r="E3433" t="s">
        <v>20</v>
      </c>
      <c r="F3433">
        <v>1000119054</v>
      </c>
      <c r="G3433" t="s">
        <v>2566</v>
      </c>
      <c r="H3433">
        <v>100216471</v>
      </c>
      <c r="I3433">
        <v>202610</v>
      </c>
      <c r="J3433">
        <v>1000119054</v>
      </c>
      <c r="K3433" t="s">
        <v>33</v>
      </c>
      <c r="L3433" t="s">
        <v>79</v>
      </c>
      <c r="M3433" t="s">
        <v>24</v>
      </c>
      <c r="N3433" t="s">
        <v>25</v>
      </c>
      <c r="O3433" t="s">
        <v>26</v>
      </c>
      <c r="P3433" t="s">
        <v>27</v>
      </c>
      <c r="Q3433" t="s">
        <v>28</v>
      </c>
      <c r="R3433" t="s">
        <v>29</v>
      </c>
      <c r="S3433" t="s">
        <v>30</v>
      </c>
      <c r="T3433">
        <v>45555807</v>
      </c>
      <c r="U3433" t="s">
        <v>3965</v>
      </c>
      <c r="V3433" t="s">
        <v>3934</v>
      </c>
      <c r="W3433" s="9">
        <f>IF(V3433="pregrado",31,
IF(V3433="posgrados",31,
IF(V3433="rEINTEGROS",7,
IF(V3433="BIT",90,
IF(V3433="OP GRADO - INGLÉS",17,"")))))</f>
        <v>31</v>
      </c>
      <c r="X3433" t="s">
        <v>4027</v>
      </c>
    </row>
    <row r="3434" spans="1:24" ht="15" x14ac:dyDescent="0.35">
      <c r="A3434" s="4">
        <v>46043.477430555555</v>
      </c>
      <c r="B3434">
        <v>20115705</v>
      </c>
      <c r="C3434" s="6" t="s">
        <v>19</v>
      </c>
      <c r="D3434">
        <v>605605</v>
      </c>
      <c r="E3434" t="s">
        <v>20</v>
      </c>
      <c r="F3434">
        <v>1049022005</v>
      </c>
      <c r="G3434" t="s">
        <v>2080</v>
      </c>
      <c r="H3434">
        <v>100242614</v>
      </c>
      <c r="I3434">
        <v>202631</v>
      </c>
      <c r="J3434">
        <v>1049022005</v>
      </c>
      <c r="K3434" t="s">
        <v>23</v>
      </c>
      <c r="L3434" t="s">
        <v>207</v>
      </c>
      <c r="M3434" t="s">
        <v>24</v>
      </c>
      <c r="N3434" t="s">
        <v>35</v>
      </c>
      <c r="O3434" t="s">
        <v>26</v>
      </c>
      <c r="P3434" t="s">
        <v>27</v>
      </c>
      <c r="Q3434" t="s">
        <v>28</v>
      </c>
      <c r="R3434" t="s">
        <v>29</v>
      </c>
      <c r="S3434" t="s">
        <v>30</v>
      </c>
      <c r="T3434">
        <v>1020730718</v>
      </c>
      <c r="U3434" t="s">
        <v>3941</v>
      </c>
      <c r="V3434" t="s">
        <v>3934</v>
      </c>
      <c r="W3434" s="9">
        <f>IF(V3434="pregrado",31,
IF(V3434="posgrados",31,
IF(V3434="rEINTEGROS",7,
IF(V3434="BIT",90,
IF(V3434="OP GRADO - INGLÉS",17,"")))))</f>
        <v>31</v>
      </c>
      <c r="X3434" t="s">
        <v>3952</v>
      </c>
    </row>
    <row r="3435" spans="1:24" ht="15" x14ac:dyDescent="0.35">
      <c r="A3435" s="4">
        <v>46042.637071759258</v>
      </c>
      <c r="B3435">
        <v>20115370</v>
      </c>
      <c r="C3435" s="6" t="s">
        <v>19</v>
      </c>
      <c r="D3435">
        <v>605622</v>
      </c>
      <c r="E3435" t="s">
        <v>20</v>
      </c>
      <c r="F3435">
        <v>39792085</v>
      </c>
      <c r="G3435" t="s">
        <v>2028</v>
      </c>
      <c r="H3435">
        <v>100242638</v>
      </c>
      <c r="I3435">
        <v>202631</v>
      </c>
      <c r="J3435">
        <v>1048710401</v>
      </c>
      <c r="K3435" t="s">
        <v>23</v>
      </c>
      <c r="L3435" t="s">
        <v>90</v>
      </c>
      <c r="M3435" t="s">
        <v>24</v>
      </c>
      <c r="N3435" t="s">
        <v>35</v>
      </c>
      <c r="O3435" t="s">
        <v>26</v>
      </c>
      <c r="P3435" t="s">
        <v>27</v>
      </c>
      <c r="Q3435" t="s">
        <v>28</v>
      </c>
      <c r="R3435" t="s">
        <v>29</v>
      </c>
      <c r="S3435" t="s">
        <v>30</v>
      </c>
      <c r="T3435">
        <v>1000286877</v>
      </c>
      <c r="U3435" t="s">
        <v>3986</v>
      </c>
      <c r="V3435" t="s">
        <v>3934</v>
      </c>
      <c r="W3435" s="9">
        <f>IF(V3435="pregrado",31,
IF(V3435="posgrados",31,
IF(V3435="rEINTEGROS",7,
IF(V3435="BIT",90,
IF(V3435="OP GRADO - INGLÉS",17,"")))))</f>
        <v>31</v>
      </c>
      <c r="X3435" t="s">
        <v>4100</v>
      </c>
    </row>
    <row r="3436" spans="1:24" ht="15" x14ac:dyDescent="0.35">
      <c r="A3436" s="4">
        <v>46042.7033912037</v>
      </c>
      <c r="B3436">
        <v>20115459</v>
      </c>
      <c r="C3436" s="6" t="s">
        <v>19</v>
      </c>
      <c r="D3436">
        <v>605627</v>
      </c>
      <c r="E3436" t="s">
        <v>20</v>
      </c>
      <c r="F3436">
        <v>1002679318</v>
      </c>
      <c r="G3436" t="s">
        <v>2038</v>
      </c>
      <c r="H3436">
        <v>100242641</v>
      </c>
      <c r="I3436">
        <v>202631</v>
      </c>
      <c r="J3436">
        <v>1002679318</v>
      </c>
      <c r="K3436" t="s">
        <v>33</v>
      </c>
      <c r="L3436" t="s">
        <v>127</v>
      </c>
      <c r="M3436" t="s">
        <v>24</v>
      </c>
      <c r="N3436" t="s">
        <v>25</v>
      </c>
      <c r="O3436" t="s">
        <v>26</v>
      </c>
      <c r="P3436" t="s">
        <v>27</v>
      </c>
      <c r="Q3436" t="s">
        <v>28</v>
      </c>
      <c r="R3436" t="s">
        <v>29</v>
      </c>
      <c r="S3436" t="s">
        <v>30</v>
      </c>
      <c r="T3436">
        <v>1023370559</v>
      </c>
      <c r="U3436" t="s">
        <v>3933</v>
      </c>
      <c r="V3436" t="s">
        <v>3934</v>
      </c>
      <c r="W3436" s="9">
        <f>IF(V3436="pregrado",31,
IF(V3436="posgrados",31,
IF(V3436="rEINTEGROS",7,
IF(V3436="BIT",90,
IF(V3436="OP GRADO - INGLÉS",17,"")))))</f>
        <v>31</v>
      </c>
      <c r="X3436" t="s">
        <v>4017</v>
      </c>
    </row>
    <row r="3437" spans="1:24" ht="15" x14ac:dyDescent="0.35">
      <c r="A3437" s="4">
        <v>46042.759293981479</v>
      </c>
      <c r="B3437">
        <v>20115515</v>
      </c>
      <c r="C3437" s="6" t="s">
        <v>19</v>
      </c>
      <c r="D3437">
        <v>605635</v>
      </c>
      <c r="E3437" t="s">
        <v>20</v>
      </c>
      <c r="F3437">
        <v>40381246</v>
      </c>
      <c r="G3437" t="s">
        <v>2047</v>
      </c>
      <c r="H3437">
        <v>100242526</v>
      </c>
      <c r="I3437">
        <v>202611</v>
      </c>
      <c r="J3437">
        <v>1117458307</v>
      </c>
      <c r="K3437" t="s">
        <v>23</v>
      </c>
      <c r="L3437" t="s">
        <v>221</v>
      </c>
      <c r="M3437" t="s">
        <v>24</v>
      </c>
      <c r="N3437" t="s">
        <v>35</v>
      </c>
      <c r="O3437" t="s">
        <v>26</v>
      </c>
      <c r="P3437" t="s">
        <v>27</v>
      </c>
      <c r="Q3437" t="s">
        <v>28</v>
      </c>
      <c r="R3437" t="s">
        <v>29</v>
      </c>
      <c r="S3437" t="s">
        <v>30</v>
      </c>
      <c r="T3437">
        <v>53006215</v>
      </c>
      <c r="U3437" t="s">
        <v>3965</v>
      </c>
      <c r="V3437" t="s">
        <v>3934</v>
      </c>
      <c r="W3437" s="9">
        <f>IF(V3437="pregrado",31,
IF(V3437="posgrados",31,
IF(V3437="rEINTEGROS",7,
IF(V3437="BIT",90,
IF(V3437="OP GRADO - INGLÉS",17,"")))))</f>
        <v>31</v>
      </c>
      <c r="X3437" t="s">
        <v>4042</v>
      </c>
    </row>
    <row r="3438" spans="1:24" ht="15" x14ac:dyDescent="0.35">
      <c r="A3438" s="4">
        <v>46043.683761574073</v>
      </c>
      <c r="B3438">
        <v>20115873</v>
      </c>
      <c r="C3438" s="6" t="s">
        <v>19</v>
      </c>
      <c r="D3438">
        <v>605639</v>
      </c>
      <c r="E3438" t="s">
        <v>20</v>
      </c>
      <c r="F3438">
        <v>1073511101</v>
      </c>
      <c r="G3438" t="s">
        <v>2111</v>
      </c>
      <c r="H3438">
        <v>100241920</v>
      </c>
      <c r="I3438">
        <v>202610</v>
      </c>
      <c r="J3438">
        <v>1069433697</v>
      </c>
      <c r="K3438" t="s">
        <v>23</v>
      </c>
      <c r="L3438" t="s">
        <v>79</v>
      </c>
      <c r="M3438" t="s">
        <v>24</v>
      </c>
      <c r="N3438" t="s">
        <v>25</v>
      </c>
      <c r="O3438" t="s">
        <v>26</v>
      </c>
      <c r="P3438" t="s">
        <v>27</v>
      </c>
      <c r="Q3438" t="s">
        <v>28</v>
      </c>
      <c r="R3438" t="s">
        <v>29</v>
      </c>
      <c r="S3438" t="s">
        <v>30</v>
      </c>
      <c r="T3438">
        <v>1073692626</v>
      </c>
      <c r="U3438" t="s">
        <v>3965</v>
      </c>
      <c r="V3438" t="s">
        <v>3934</v>
      </c>
      <c r="W3438" s="9">
        <f>IF(V3438="pregrado",31,
IF(V3438="posgrados",31,
IF(V3438="rEINTEGROS",7,
IF(V3438="BIT",90,
IF(V3438="OP GRADO - INGLÉS",17,"")))))</f>
        <v>31</v>
      </c>
      <c r="X3438" t="s">
        <v>4014</v>
      </c>
    </row>
    <row r="3439" spans="1:24" ht="15" x14ac:dyDescent="0.35">
      <c r="A3439" s="4">
        <v>46048.674756944441</v>
      </c>
      <c r="B3439">
        <v>20117273</v>
      </c>
      <c r="C3439" s="6" t="s">
        <v>19</v>
      </c>
      <c r="D3439">
        <v>605642</v>
      </c>
      <c r="E3439" t="s">
        <v>20</v>
      </c>
      <c r="F3439">
        <v>1007126297</v>
      </c>
      <c r="G3439" t="s">
        <v>2301</v>
      </c>
      <c r="H3439">
        <v>100242663</v>
      </c>
      <c r="I3439">
        <v>202631</v>
      </c>
      <c r="J3439">
        <v>1007126297</v>
      </c>
      <c r="K3439" t="s">
        <v>23</v>
      </c>
      <c r="L3439" t="s">
        <v>101</v>
      </c>
      <c r="M3439" t="s">
        <v>24</v>
      </c>
      <c r="N3439" t="s">
        <v>35</v>
      </c>
      <c r="O3439" t="s">
        <v>26</v>
      </c>
      <c r="P3439" t="s">
        <v>27</v>
      </c>
      <c r="Q3439" t="s">
        <v>28</v>
      </c>
      <c r="R3439" t="s">
        <v>29</v>
      </c>
      <c r="S3439" t="s">
        <v>30</v>
      </c>
      <c r="T3439">
        <v>79635092</v>
      </c>
      <c r="U3439" t="s">
        <v>3963</v>
      </c>
      <c r="V3439" t="s">
        <v>3934</v>
      </c>
      <c r="W3439" s="9">
        <f>IF(V3439="pregrado",31,
IF(V3439="posgrados",31,
IF(V3439="rEINTEGROS",7,
IF(V3439="BIT",90,
IF(V3439="OP GRADO - INGLÉS",17,"")))))</f>
        <v>31</v>
      </c>
      <c r="X3439" t="s">
        <v>4079</v>
      </c>
    </row>
    <row r="3440" spans="1:24" ht="15" x14ac:dyDescent="0.35">
      <c r="A3440" s="4">
        <v>46042.711504629631</v>
      </c>
      <c r="B3440">
        <v>20115473</v>
      </c>
      <c r="C3440" s="6" t="s">
        <v>19</v>
      </c>
      <c r="D3440">
        <v>605647</v>
      </c>
      <c r="E3440" t="s">
        <v>20</v>
      </c>
      <c r="F3440">
        <v>1010220843</v>
      </c>
      <c r="G3440" t="s">
        <v>2042</v>
      </c>
      <c r="H3440">
        <v>100242670</v>
      </c>
      <c r="I3440">
        <v>202611</v>
      </c>
      <c r="J3440">
        <v>1000730423</v>
      </c>
      <c r="K3440" t="s">
        <v>74</v>
      </c>
      <c r="L3440" t="s">
        <v>221</v>
      </c>
      <c r="M3440" t="s">
        <v>24</v>
      </c>
      <c r="N3440" t="s">
        <v>35</v>
      </c>
      <c r="O3440" t="s">
        <v>26</v>
      </c>
      <c r="P3440" t="s">
        <v>27</v>
      </c>
      <c r="Q3440" t="s">
        <v>28</v>
      </c>
      <c r="R3440" t="s">
        <v>29</v>
      </c>
      <c r="S3440" t="s">
        <v>30</v>
      </c>
      <c r="T3440">
        <v>1030651078</v>
      </c>
      <c r="U3440" t="s">
        <v>3965</v>
      </c>
      <c r="V3440" t="s">
        <v>3934</v>
      </c>
      <c r="W3440" s="9">
        <f>IF(V3440="pregrado",31,
IF(V3440="posgrados",31,
IF(V3440="rEINTEGROS",7,
IF(V3440="BIT",90,
IF(V3440="OP GRADO - INGLÉS",17,"")))))</f>
        <v>31</v>
      </c>
      <c r="X3440" t="s">
        <v>4085</v>
      </c>
    </row>
    <row r="3441" spans="1:24" ht="15" x14ac:dyDescent="0.35">
      <c r="A3441" s="4">
        <v>46043.688946759263</v>
      </c>
      <c r="B3441">
        <v>20115880</v>
      </c>
      <c r="C3441" s="6" t="s">
        <v>19</v>
      </c>
      <c r="D3441">
        <v>605649</v>
      </c>
      <c r="E3441" t="s">
        <v>20</v>
      </c>
      <c r="F3441">
        <v>1108455911</v>
      </c>
      <c r="G3441" t="s">
        <v>2113</v>
      </c>
      <c r="H3441">
        <v>100242671</v>
      </c>
      <c r="I3441">
        <v>202631</v>
      </c>
      <c r="J3441">
        <v>1108455911</v>
      </c>
      <c r="K3441" t="s">
        <v>23</v>
      </c>
      <c r="L3441" t="s">
        <v>240</v>
      </c>
      <c r="M3441" t="s">
        <v>24</v>
      </c>
      <c r="N3441" t="s">
        <v>35</v>
      </c>
      <c r="O3441" t="s">
        <v>26</v>
      </c>
      <c r="P3441" t="s">
        <v>27</v>
      </c>
      <c r="Q3441" t="s">
        <v>28</v>
      </c>
      <c r="R3441" t="s">
        <v>29</v>
      </c>
      <c r="S3441" t="s">
        <v>30</v>
      </c>
      <c r="T3441">
        <v>45555807</v>
      </c>
      <c r="U3441" t="s">
        <v>3965</v>
      </c>
      <c r="V3441" t="s">
        <v>3934</v>
      </c>
      <c r="W3441" s="9">
        <f>IF(V3441="pregrado",31,
IF(V3441="posgrados",31,
IF(V3441="rEINTEGROS",7,
IF(V3441="BIT",90,
IF(V3441="OP GRADO - INGLÉS",17,"")))))</f>
        <v>31</v>
      </c>
      <c r="X3441" t="s">
        <v>4027</v>
      </c>
    </row>
    <row r="3442" spans="1:24" ht="15" x14ac:dyDescent="0.35">
      <c r="A3442" s="4">
        <v>46042.535185185188</v>
      </c>
      <c r="B3442">
        <v>20115285</v>
      </c>
      <c r="C3442" s="6" t="s">
        <v>19</v>
      </c>
      <c r="D3442">
        <v>605651</v>
      </c>
      <c r="E3442" t="s">
        <v>20</v>
      </c>
      <c r="F3442">
        <v>52147127</v>
      </c>
      <c r="G3442" t="s">
        <v>2019</v>
      </c>
      <c r="H3442">
        <v>100162353</v>
      </c>
      <c r="I3442">
        <v>202610</v>
      </c>
      <c r="J3442">
        <v>52147127</v>
      </c>
      <c r="K3442" t="s">
        <v>33</v>
      </c>
      <c r="L3442" t="s">
        <v>62</v>
      </c>
      <c r="M3442" t="s">
        <v>24</v>
      </c>
      <c r="N3442" t="s">
        <v>35</v>
      </c>
      <c r="O3442" t="s">
        <v>26</v>
      </c>
      <c r="P3442" t="s">
        <v>27</v>
      </c>
      <c r="Q3442" t="s">
        <v>28</v>
      </c>
      <c r="R3442" t="s">
        <v>29</v>
      </c>
      <c r="S3442" t="s">
        <v>30</v>
      </c>
      <c r="T3442">
        <v>1015482247</v>
      </c>
      <c r="U3442" t="s">
        <v>3944</v>
      </c>
      <c r="V3442" t="s">
        <v>3934</v>
      </c>
      <c r="W3442" s="9">
        <f>IF(V3442="pregrado",31,
IF(V3442="posgrados",31,
IF(V3442="rEINTEGROS",7,
IF(V3442="BIT",90,
IF(V3442="OP GRADO - INGLÉS",17,"")))))</f>
        <v>31</v>
      </c>
      <c r="X3442" t="s">
        <v>3984</v>
      </c>
    </row>
    <row r="3443" spans="1:24" ht="15" x14ac:dyDescent="0.35">
      <c r="A3443" s="4">
        <v>46044.386562500003</v>
      </c>
      <c r="B3443">
        <v>20116016</v>
      </c>
      <c r="C3443" s="6" t="s">
        <v>19</v>
      </c>
      <c r="D3443">
        <v>605675</v>
      </c>
      <c r="E3443" t="s">
        <v>20</v>
      </c>
      <c r="F3443">
        <v>52710866</v>
      </c>
      <c r="G3443" t="s">
        <v>2135</v>
      </c>
      <c r="H3443">
        <v>100242691</v>
      </c>
      <c r="I3443">
        <v>202610</v>
      </c>
      <c r="J3443">
        <v>1019605985</v>
      </c>
      <c r="K3443" t="s">
        <v>33</v>
      </c>
      <c r="L3443" t="s">
        <v>153</v>
      </c>
      <c r="M3443" t="s">
        <v>24</v>
      </c>
      <c r="N3443" t="s">
        <v>25</v>
      </c>
      <c r="O3443" t="s">
        <v>26</v>
      </c>
      <c r="P3443" t="s">
        <v>27</v>
      </c>
      <c r="Q3443" t="s">
        <v>28</v>
      </c>
      <c r="R3443" t="s">
        <v>29</v>
      </c>
      <c r="S3443" t="s">
        <v>30</v>
      </c>
      <c r="T3443">
        <v>53006215</v>
      </c>
      <c r="U3443" t="s">
        <v>3965</v>
      </c>
      <c r="V3443" t="s">
        <v>3934</v>
      </c>
      <c r="W3443" s="9">
        <f>IF(V3443="pregrado",31,
IF(V3443="posgrados",31,
IF(V3443="rEINTEGROS",7,
IF(V3443="BIT",90,
IF(V3443="OP GRADO - INGLÉS",17,"")))))</f>
        <v>31</v>
      </c>
      <c r="X3443" t="s">
        <v>4042</v>
      </c>
    </row>
    <row r="3444" spans="1:24" ht="15" x14ac:dyDescent="0.35">
      <c r="A3444" s="4">
        <v>46042.706574074073</v>
      </c>
      <c r="B3444">
        <v>20115465</v>
      </c>
      <c r="C3444" s="6" t="s">
        <v>19</v>
      </c>
      <c r="D3444">
        <v>605677</v>
      </c>
      <c r="E3444" t="s">
        <v>20</v>
      </c>
      <c r="F3444">
        <v>7164636</v>
      </c>
      <c r="G3444" t="s">
        <v>2039</v>
      </c>
      <c r="H3444">
        <v>100182379</v>
      </c>
      <c r="I3444">
        <v>202631</v>
      </c>
      <c r="J3444">
        <v>1049634972</v>
      </c>
      <c r="K3444" t="s">
        <v>23</v>
      </c>
      <c r="L3444" t="s">
        <v>231</v>
      </c>
      <c r="M3444" t="s">
        <v>24</v>
      </c>
      <c r="N3444" t="s">
        <v>35</v>
      </c>
      <c r="O3444" t="s">
        <v>26</v>
      </c>
      <c r="P3444" t="s">
        <v>27</v>
      </c>
      <c r="Q3444" t="s">
        <v>28</v>
      </c>
      <c r="R3444" t="s">
        <v>29</v>
      </c>
      <c r="S3444" t="s">
        <v>30</v>
      </c>
      <c r="T3444">
        <v>1013595695</v>
      </c>
      <c r="U3444" t="s">
        <v>3933</v>
      </c>
      <c r="V3444" t="s">
        <v>3934</v>
      </c>
      <c r="W3444" s="9">
        <f>IF(V3444="pregrado",31,
IF(V3444="posgrados",31,
IF(V3444="rEINTEGROS",7,
IF(V3444="BIT",90,
IF(V3444="OP GRADO - INGLÉS",17,"")))))</f>
        <v>31</v>
      </c>
      <c r="X3444" t="s">
        <v>3990</v>
      </c>
    </row>
    <row r="3445" spans="1:24" ht="15" x14ac:dyDescent="0.35">
      <c r="A3445" s="4">
        <v>46043.583460648151</v>
      </c>
      <c r="B3445">
        <v>20115784</v>
      </c>
      <c r="C3445" s="6" t="s">
        <v>19</v>
      </c>
      <c r="D3445">
        <v>605685</v>
      </c>
      <c r="E3445" t="s">
        <v>20</v>
      </c>
      <c r="F3445">
        <v>1010014780</v>
      </c>
      <c r="G3445" t="s">
        <v>2092</v>
      </c>
      <c r="H3445">
        <v>100242703</v>
      </c>
      <c r="I3445">
        <v>202631</v>
      </c>
      <c r="J3445">
        <v>1010014780</v>
      </c>
      <c r="K3445" t="s">
        <v>33</v>
      </c>
      <c r="L3445" t="s">
        <v>51</v>
      </c>
      <c r="M3445" t="s">
        <v>24</v>
      </c>
      <c r="N3445" t="s">
        <v>25</v>
      </c>
      <c r="O3445" t="s">
        <v>26</v>
      </c>
      <c r="P3445" t="s">
        <v>27</v>
      </c>
      <c r="Q3445" t="s">
        <v>28</v>
      </c>
      <c r="R3445" t="s">
        <v>29</v>
      </c>
      <c r="S3445" t="s">
        <v>30</v>
      </c>
      <c r="T3445">
        <v>80021358</v>
      </c>
      <c r="U3445" t="s">
        <v>3986</v>
      </c>
      <c r="V3445" t="s">
        <v>3934</v>
      </c>
      <c r="W3445" s="9">
        <f>IF(V3445="pregrado",31,
IF(V3445="posgrados",31,
IF(V3445="rEINTEGROS",7,
IF(V3445="BIT",90,
IF(V3445="OP GRADO - INGLÉS",17,"")))))</f>
        <v>31</v>
      </c>
      <c r="X3445" t="s">
        <v>3995</v>
      </c>
    </row>
    <row r="3446" spans="1:24" ht="15" x14ac:dyDescent="0.35">
      <c r="A3446" s="4">
        <v>46043.370428240742</v>
      </c>
      <c r="B3446">
        <v>20115600</v>
      </c>
      <c r="C3446" s="6" t="s">
        <v>19</v>
      </c>
      <c r="D3446">
        <v>605686</v>
      </c>
      <c r="E3446" t="s">
        <v>20</v>
      </c>
      <c r="F3446">
        <v>1023944828</v>
      </c>
      <c r="G3446" t="s">
        <v>2061</v>
      </c>
      <c r="H3446">
        <v>100242706</v>
      </c>
      <c r="I3446">
        <v>202610</v>
      </c>
      <c r="J3446">
        <v>548412</v>
      </c>
      <c r="K3446" t="s">
        <v>23</v>
      </c>
      <c r="L3446" t="s">
        <v>153</v>
      </c>
      <c r="M3446" t="s">
        <v>24</v>
      </c>
      <c r="N3446" t="s">
        <v>35</v>
      </c>
      <c r="O3446" t="s">
        <v>26</v>
      </c>
      <c r="P3446" t="s">
        <v>27</v>
      </c>
      <c r="Q3446" t="s">
        <v>28</v>
      </c>
      <c r="R3446" t="s">
        <v>29</v>
      </c>
      <c r="S3446" t="s">
        <v>30</v>
      </c>
      <c r="T3446">
        <v>1030570122</v>
      </c>
      <c r="U3446" t="s">
        <v>3965</v>
      </c>
      <c r="V3446" t="s">
        <v>3934</v>
      </c>
      <c r="W3446" s="9">
        <f>IF(V3446="pregrado",31,
IF(V3446="posgrados",31,
IF(V3446="rEINTEGROS",7,
IF(V3446="BIT",90,
IF(V3446="OP GRADO - INGLÉS",17,"")))))</f>
        <v>31</v>
      </c>
      <c r="X3446" t="s">
        <v>4015</v>
      </c>
    </row>
    <row r="3447" spans="1:24" ht="15" x14ac:dyDescent="0.35">
      <c r="A3447" s="4">
        <v>46044.437175925923</v>
      </c>
      <c r="B3447">
        <v>20116057</v>
      </c>
      <c r="C3447" s="6" t="s">
        <v>19</v>
      </c>
      <c r="D3447">
        <v>605690</v>
      </c>
      <c r="E3447" t="s">
        <v>20</v>
      </c>
      <c r="F3447">
        <v>1090984381</v>
      </c>
      <c r="G3447" t="s">
        <v>2147</v>
      </c>
      <c r="H3447">
        <v>100242711</v>
      </c>
      <c r="I3447">
        <v>202631</v>
      </c>
      <c r="J3447">
        <v>1090983672</v>
      </c>
      <c r="K3447" t="s">
        <v>33</v>
      </c>
      <c r="L3447" t="s">
        <v>101</v>
      </c>
      <c r="M3447" t="s">
        <v>24</v>
      </c>
      <c r="N3447" t="s">
        <v>35</v>
      </c>
      <c r="O3447" t="s">
        <v>26</v>
      </c>
      <c r="P3447" t="s">
        <v>27</v>
      </c>
      <c r="Q3447" t="s">
        <v>28</v>
      </c>
      <c r="R3447" t="s">
        <v>29</v>
      </c>
      <c r="S3447" t="s">
        <v>30</v>
      </c>
      <c r="T3447">
        <v>1013687925</v>
      </c>
      <c r="U3447" t="s">
        <v>3933</v>
      </c>
      <c r="V3447" t="s">
        <v>3934</v>
      </c>
      <c r="W3447" s="9">
        <f>IF(V3447="pregrado",31,
IF(V3447="posgrados",31,
IF(V3447="rEINTEGROS",7,
IF(V3447="BIT",90,
IF(V3447="OP GRADO - INGLÉS",17,"")))))</f>
        <v>31</v>
      </c>
      <c r="X3447" t="s">
        <v>3959</v>
      </c>
    </row>
    <row r="3448" spans="1:24" ht="15" x14ac:dyDescent="0.35">
      <c r="A3448" s="4">
        <v>46043.423090277778</v>
      </c>
      <c r="B3448">
        <v>20115653</v>
      </c>
      <c r="C3448" s="6" t="s">
        <v>19</v>
      </c>
      <c r="D3448">
        <v>605692</v>
      </c>
      <c r="E3448" t="s">
        <v>20</v>
      </c>
      <c r="F3448">
        <v>27093726</v>
      </c>
      <c r="G3448" t="s">
        <v>2071</v>
      </c>
      <c r="H3448">
        <v>200083596</v>
      </c>
      <c r="I3448">
        <v>202631</v>
      </c>
      <c r="J3448">
        <v>1004193486</v>
      </c>
      <c r="K3448" t="s">
        <v>23</v>
      </c>
      <c r="L3448" t="s">
        <v>119</v>
      </c>
      <c r="M3448" t="s">
        <v>24</v>
      </c>
      <c r="N3448" t="s">
        <v>35</v>
      </c>
      <c r="O3448" t="s">
        <v>26</v>
      </c>
      <c r="P3448" t="s">
        <v>27</v>
      </c>
      <c r="Q3448" t="s">
        <v>28</v>
      </c>
      <c r="R3448" t="s">
        <v>29</v>
      </c>
      <c r="S3448" t="s">
        <v>30</v>
      </c>
      <c r="T3448">
        <v>1023975276</v>
      </c>
      <c r="U3448" t="s">
        <v>3963</v>
      </c>
      <c r="V3448" t="s">
        <v>3934</v>
      </c>
      <c r="W3448" s="9">
        <f>IF(V3448="pregrado",31,
IF(V3448="posgrados",31,
IF(V3448="rEINTEGROS",7,
IF(V3448="BIT",90,
IF(V3448="OP GRADO - INGLÉS",17,"")))))</f>
        <v>31</v>
      </c>
      <c r="X3448" t="s">
        <v>3962</v>
      </c>
    </row>
    <row r="3449" spans="1:24" ht="15" x14ac:dyDescent="0.35">
      <c r="A3449" s="4">
        <v>46048.66609953704</v>
      </c>
      <c r="B3449">
        <v>20117267</v>
      </c>
      <c r="C3449" s="6" t="s">
        <v>19</v>
      </c>
      <c r="D3449">
        <v>605699</v>
      </c>
      <c r="E3449" t="s">
        <v>20</v>
      </c>
      <c r="F3449">
        <v>5184975</v>
      </c>
      <c r="G3449" t="s">
        <v>2299</v>
      </c>
      <c r="H3449">
        <v>200084128</v>
      </c>
      <c r="I3449">
        <v>202631</v>
      </c>
      <c r="J3449">
        <v>40820728</v>
      </c>
      <c r="K3449" t="s">
        <v>33</v>
      </c>
      <c r="L3449" t="s">
        <v>119</v>
      </c>
      <c r="M3449" t="s">
        <v>24</v>
      </c>
      <c r="N3449" t="s">
        <v>35</v>
      </c>
      <c r="O3449" t="s">
        <v>26</v>
      </c>
      <c r="P3449" t="s">
        <v>27</v>
      </c>
      <c r="Q3449" t="s">
        <v>28</v>
      </c>
      <c r="R3449" t="s">
        <v>29</v>
      </c>
      <c r="S3449" t="s">
        <v>30</v>
      </c>
      <c r="T3449">
        <v>1023975276</v>
      </c>
      <c r="U3449" t="s">
        <v>3963</v>
      </c>
      <c r="V3449" t="s">
        <v>3934</v>
      </c>
      <c r="W3449" s="9">
        <f>IF(V3449="pregrado",31,
IF(V3449="posgrados",31,
IF(V3449="rEINTEGROS",7,
IF(V3449="BIT",90,
IF(V3449="OP GRADO - INGLÉS",17,"")))))</f>
        <v>31</v>
      </c>
      <c r="X3449" t="s">
        <v>3962</v>
      </c>
    </row>
    <row r="3450" spans="1:24" ht="15" x14ac:dyDescent="0.35">
      <c r="A3450" s="4">
        <v>46042.657916666663</v>
      </c>
      <c r="B3450">
        <v>20115396</v>
      </c>
      <c r="C3450" s="6" t="s">
        <v>19</v>
      </c>
      <c r="D3450">
        <v>605703</v>
      </c>
      <c r="E3450" t="s">
        <v>20</v>
      </c>
      <c r="F3450">
        <v>1106712534</v>
      </c>
      <c r="G3450" t="s">
        <v>2031</v>
      </c>
      <c r="H3450">
        <v>100242721</v>
      </c>
      <c r="I3450">
        <v>202631</v>
      </c>
      <c r="J3450">
        <v>1119947884</v>
      </c>
      <c r="K3450" t="s">
        <v>33</v>
      </c>
      <c r="L3450" t="s">
        <v>127</v>
      </c>
      <c r="M3450" t="s">
        <v>24</v>
      </c>
      <c r="N3450" t="s">
        <v>25</v>
      </c>
      <c r="O3450" t="s">
        <v>26</v>
      </c>
      <c r="P3450" t="s">
        <v>27</v>
      </c>
      <c r="Q3450" t="s">
        <v>28</v>
      </c>
      <c r="R3450" t="s">
        <v>29</v>
      </c>
      <c r="S3450" t="s">
        <v>30</v>
      </c>
      <c r="T3450">
        <v>1023970223</v>
      </c>
      <c r="U3450" t="s">
        <v>3933</v>
      </c>
      <c r="V3450" t="s">
        <v>3934</v>
      </c>
      <c r="W3450" s="9">
        <f>IF(V3450="pregrado",31,
IF(V3450="posgrados",31,
IF(V3450="rEINTEGROS",7,
IF(V3450="BIT",90,
IF(V3450="OP GRADO - INGLÉS",17,"")))))</f>
        <v>31</v>
      </c>
      <c r="X3450" t="s">
        <v>4070</v>
      </c>
    </row>
    <row r="3451" spans="1:24" ht="15" x14ac:dyDescent="0.35">
      <c r="A3451" s="4">
        <v>46043.4844212963</v>
      </c>
      <c r="B3451">
        <v>20115710</v>
      </c>
      <c r="C3451" s="6" t="s">
        <v>19</v>
      </c>
      <c r="D3451">
        <v>605705</v>
      </c>
      <c r="E3451" t="s">
        <v>20</v>
      </c>
      <c r="F3451">
        <v>70907672</v>
      </c>
      <c r="G3451" t="s">
        <v>2081</v>
      </c>
      <c r="H3451">
        <v>100242723</v>
      </c>
      <c r="I3451">
        <v>202631</v>
      </c>
      <c r="J3451">
        <v>1037973846</v>
      </c>
      <c r="K3451" t="s">
        <v>23</v>
      </c>
      <c r="L3451" t="s">
        <v>219</v>
      </c>
      <c r="M3451" t="s">
        <v>24</v>
      </c>
      <c r="N3451" t="s">
        <v>35</v>
      </c>
      <c r="O3451" t="s">
        <v>26</v>
      </c>
      <c r="P3451" t="s">
        <v>27</v>
      </c>
      <c r="Q3451" t="s">
        <v>28</v>
      </c>
      <c r="R3451" t="s">
        <v>29</v>
      </c>
      <c r="S3451" t="s">
        <v>30</v>
      </c>
      <c r="T3451">
        <v>79635092</v>
      </c>
      <c r="U3451" t="s">
        <v>3963</v>
      </c>
      <c r="V3451" t="s">
        <v>3934</v>
      </c>
      <c r="W3451" s="9">
        <f>IF(V3451="pregrado",31,
IF(V3451="posgrados",31,
IF(V3451="rEINTEGROS",7,
IF(V3451="BIT",90,
IF(V3451="OP GRADO - INGLÉS",17,"")))))</f>
        <v>31</v>
      </c>
      <c r="X3451" t="s">
        <v>4079</v>
      </c>
    </row>
    <row r="3452" spans="1:24" ht="15" x14ac:dyDescent="0.35">
      <c r="A3452" s="4">
        <v>46043.617129629631</v>
      </c>
      <c r="B3452">
        <v>20115811</v>
      </c>
      <c r="C3452" s="6" t="s">
        <v>19</v>
      </c>
      <c r="D3452">
        <v>605706</v>
      </c>
      <c r="E3452" t="s">
        <v>20</v>
      </c>
      <c r="F3452">
        <v>1003151234</v>
      </c>
      <c r="G3452" t="s">
        <v>2098</v>
      </c>
      <c r="H3452">
        <v>100242724</v>
      </c>
      <c r="I3452">
        <v>202611</v>
      </c>
      <c r="J3452">
        <v>1003151234</v>
      </c>
      <c r="K3452" t="s">
        <v>33</v>
      </c>
      <c r="L3452" t="s">
        <v>204</v>
      </c>
      <c r="M3452" t="s">
        <v>24</v>
      </c>
      <c r="N3452" t="s">
        <v>25</v>
      </c>
      <c r="O3452" t="s">
        <v>26</v>
      </c>
      <c r="P3452" t="s">
        <v>27</v>
      </c>
      <c r="Q3452" t="s">
        <v>28</v>
      </c>
      <c r="R3452" t="s">
        <v>29</v>
      </c>
      <c r="S3452" t="s">
        <v>30</v>
      </c>
      <c r="T3452">
        <v>1118531834</v>
      </c>
      <c r="U3452" t="s">
        <v>3941</v>
      </c>
      <c r="V3452" t="s">
        <v>3934</v>
      </c>
      <c r="W3452" s="9">
        <f>IF(V3452="pregrado",31,
IF(V3452="posgrados",31,
IF(V3452="rEINTEGROS",7,
IF(V3452="BIT",90,
IF(V3452="OP GRADO - INGLÉS",17,"")))))</f>
        <v>31</v>
      </c>
      <c r="X3452" t="s">
        <v>3996</v>
      </c>
    </row>
    <row r="3453" spans="1:24" ht="15" x14ac:dyDescent="0.35">
      <c r="A3453" s="4">
        <v>46043.528298611112</v>
      </c>
      <c r="B3453">
        <v>20115742</v>
      </c>
      <c r="C3453" s="6" t="s">
        <v>19</v>
      </c>
      <c r="D3453">
        <v>605709</v>
      </c>
      <c r="E3453" t="s">
        <v>20</v>
      </c>
      <c r="F3453">
        <v>1048434682</v>
      </c>
      <c r="G3453" t="s">
        <v>2085</v>
      </c>
      <c r="H3453">
        <v>200084976</v>
      </c>
      <c r="I3453">
        <v>202631</v>
      </c>
      <c r="J3453">
        <v>1048434682</v>
      </c>
      <c r="K3453" t="s">
        <v>23</v>
      </c>
      <c r="L3453" t="s">
        <v>119</v>
      </c>
      <c r="M3453" t="s">
        <v>24</v>
      </c>
      <c r="N3453" t="s">
        <v>35</v>
      </c>
      <c r="O3453" t="s">
        <v>26</v>
      </c>
      <c r="P3453" t="s">
        <v>27</v>
      </c>
      <c r="Q3453" t="s">
        <v>28</v>
      </c>
      <c r="R3453" t="s">
        <v>29</v>
      </c>
      <c r="S3453" t="s">
        <v>30</v>
      </c>
      <c r="T3453">
        <v>1118531834</v>
      </c>
      <c r="U3453" t="s">
        <v>3941</v>
      </c>
      <c r="V3453" t="s">
        <v>3934</v>
      </c>
      <c r="W3453" s="9">
        <f>IF(V3453="pregrado",31,
IF(V3453="posgrados",31,
IF(V3453="rEINTEGROS",7,
IF(V3453="BIT",90,
IF(V3453="OP GRADO - INGLÉS",17,"")))))</f>
        <v>31</v>
      </c>
      <c r="X3453" t="s">
        <v>3996</v>
      </c>
    </row>
    <row r="3454" spans="1:24" ht="15" x14ac:dyDescent="0.35">
      <c r="A3454" s="4">
        <v>46045.763877314814</v>
      </c>
      <c r="B3454">
        <v>20116752</v>
      </c>
      <c r="C3454" s="6" t="s">
        <v>19</v>
      </c>
      <c r="D3454">
        <v>605722</v>
      </c>
      <c r="E3454" t="s">
        <v>20</v>
      </c>
      <c r="F3454">
        <v>1015477653</v>
      </c>
      <c r="G3454" t="s">
        <v>2253</v>
      </c>
      <c r="H3454">
        <v>100242736</v>
      </c>
      <c r="I3454">
        <v>202610</v>
      </c>
      <c r="J3454">
        <v>1015477653</v>
      </c>
      <c r="K3454" t="s">
        <v>23</v>
      </c>
      <c r="L3454" t="s">
        <v>40</v>
      </c>
      <c r="M3454" t="s">
        <v>24</v>
      </c>
      <c r="N3454" t="s">
        <v>35</v>
      </c>
      <c r="O3454" t="s">
        <v>26</v>
      </c>
      <c r="P3454" t="s">
        <v>27</v>
      </c>
      <c r="Q3454" t="s">
        <v>28</v>
      </c>
      <c r="R3454" t="s">
        <v>29</v>
      </c>
      <c r="S3454" t="s">
        <v>30</v>
      </c>
      <c r="T3454">
        <v>1001192723</v>
      </c>
      <c r="U3454" t="s">
        <v>3941</v>
      </c>
      <c r="V3454" t="s">
        <v>3934</v>
      </c>
      <c r="W3454" s="9">
        <f>IF(V3454="pregrado",31,
IF(V3454="posgrados",31,
IF(V3454="rEINTEGROS",7,
IF(V3454="BIT",90,
IF(V3454="OP GRADO - INGLÉS",17,"")))))</f>
        <v>31</v>
      </c>
      <c r="X3454" t="s">
        <v>3940</v>
      </c>
    </row>
    <row r="3455" spans="1:24" ht="15" x14ac:dyDescent="0.35">
      <c r="A3455" s="4">
        <v>46043.575868055559</v>
      </c>
      <c r="B3455">
        <v>20115782</v>
      </c>
      <c r="C3455" s="6" t="s">
        <v>19</v>
      </c>
      <c r="D3455">
        <v>605742</v>
      </c>
      <c r="E3455" t="s">
        <v>20</v>
      </c>
      <c r="F3455">
        <v>1000993364</v>
      </c>
      <c r="G3455" t="s">
        <v>2091</v>
      </c>
      <c r="H3455">
        <v>100192170</v>
      </c>
      <c r="I3455">
        <v>202611</v>
      </c>
      <c r="J3455">
        <v>1000993364</v>
      </c>
      <c r="K3455" t="s">
        <v>89</v>
      </c>
      <c r="L3455" t="s">
        <v>204</v>
      </c>
      <c r="M3455" t="s">
        <v>24</v>
      </c>
      <c r="N3455" t="s">
        <v>35</v>
      </c>
      <c r="O3455" t="s">
        <v>26</v>
      </c>
      <c r="P3455" t="s">
        <v>27</v>
      </c>
      <c r="Q3455" t="s">
        <v>28</v>
      </c>
      <c r="R3455" t="s">
        <v>29</v>
      </c>
      <c r="S3455" t="s">
        <v>30</v>
      </c>
      <c r="T3455">
        <v>1019102787</v>
      </c>
      <c r="U3455" t="s">
        <v>3977</v>
      </c>
      <c r="V3455" t="s">
        <v>3970</v>
      </c>
      <c r="W3455" s="9">
        <f>IF(V3455="pregrado",31,
IF(V3455="posgrados",31,
IF(V3455="rEINTEGROS",7,
IF(V3455="BIT",90,
IF(V3455="OP GRADO - INGLÉS",17,"")))))</f>
        <v>7</v>
      </c>
      <c r="X3455" t="s">
        <v>3976</v>
      </c>
    </row>
    <row r="3456" spans="1:24" ht="15" x14ac:dyDescent="0.35">
      <c r="A3456" s="4">
        <v>46045.605844907404</v>
      </c>
      <c r="B3456">
        <v>20116629</v>
      </c>
      <c r="C3456" s="6" t="s">
        <v>19</v>
      </c>
      <c r="D3456">
        <v>605822</v>
      </c>
      <c r="E3456" t="s">
        <v>20</v>
      </c>
      <c r="F3456">
        <v>52823437</v>
      </c>
      <c r="G3456" t="s">
        <v>2241</v>
      </c>
      <c r="H3456">
        <v>100242709</v>
      </c>
      <c r="I3456">
        <v>202610</v>
      </c>
      <c r="J3456">
        <v>1028862888</v>
      </c>
      <c r="K3456" t="s">
        <v>23</v>
      </c>
      <c r="L3456" t="s">
        <v>194</v>
      </c>
      <c r="M3456" t="s">
        <v>24</v>
      </c>
      <c r="N3456" t="s">
        <v>35</v>
      </c>
      <c r="O3456" t="s">
        <v>26</v>
      </c>
      <c r="P3456" t="s">
        <v>27</v>
      </c>
      <c r="Q3456" t="s">
        <v>28</v>
      </c>
      <c r="R3456" t="s">
        <v>29</v>
      </c>
      <c r="S3456" t="s">
        <v>30</v>
      </c>
      <c r="T3456">
        <v>1023975276</v>
      </c>
      <c r="U3456" t="s">
        <v>3963</v>
      </c>
      <c r="V3456" t="s">
        <v>3934</v>
      </c>
      <c r="W3456" s="9">
        <f>IF(V3456="pregrado",31,
IF(V3456="posgrados",31,
IF(V3456="rEINTEGROS",7,
IF(V3456="BIT",90,
IF(V3456="OP GRADO - INGLÉS",17,"")))))</f>
        <v>31</v>
      </c>
      <c r="X3456" t="s">
        <v>3962</v>
      </c>
    </row>
    <row r="3457" spans="1:24" ht="15" x14ac:dyDescent="0.35">
      <c r="A3457" s="4">
        <v>46051.551886574074</v>
      </c>
      <c r="B3457">
        <v>20118482</v>
      </c>
      <c r="C3457" s="6" t="s">
        <v>19</v>
      </c>
      <c r="D3457">
        <v>605823</v>
      </c>
      <c r="E3457" t="s">
        <v>20</v>
      </c>
      <c r="F3457">
        <v>1006205748</v>
      </c>
      <c r="G3457" t="s">
        <v>2486</v>
      </c>
      <c r="H3457">
        <v>100231648</v>
      </c>
      <c r="I3457">
        <v>202631</v>
      </c>
      <c r="J3457">
        <v>1006205748</v>
      </c>
      <c r="K3457" t="s">
        <v>33</v>
      </c>
      <c r="L3457" t="s">
        <v>32</v>
      </c>
      <c r="M3457" t="s">
        <v>24</v>
      </c>
      <c r="N3457" t="s">
        <v>25</v>
      </c>
      <c r="O3457" t="s">
        <v>26</v>
      </c>
      <c r="P3457" t="s">
        <v>27</v>
      </c>
      <c r="Q3457" t="s">
        <v>28</v>
      </c>
      <c r="R3457" t="s">
        <v>29</v>
      </c>
      <c r="S3457" t="s">
        <v>30</v>
      </c>
      <c r="T3457">
        <v>1015407851</v>
      </c>
      <c r="U3457" t="s">
        <v>3944</v>
      </c>
      <c r="V3457" t="s">
        <v>3934</v>
      </c>
      <c r="W3457" s="9">
        <f>IF(V3457="pregrado",31,
IF(V3457="posgrados",31,
IF(V3457="rEINTEGROS",7,
IF(V3457="BIT",90,
IF(V3457="OP GRADO - INGLÉS",17,"")))))</f>
        <v>31</v>
      </c>
      <c r="X3457" t="s">
        <v>4102</v>
      </c>
    </row>
    <row r="3458" spans="1:24" ht="15" x14ac:dyDescent="0.35">
      <c r="A3458" s="4">
        <v>46052.652685185189</v>
      </c>
      <c r="B3458">
        <v>20119029</v>
      </c>
      <c r="C3458" s="6" t="s">
        <v>19</v>
      </c>
      <c r="D3458">
        <v>605839</v>
      </c>
      <c r="E3458" t="s">
        <v>20</v>
      </c>
      <c r="F3458">
        <v>1073668174</v>
      </c>
      <c r="G3458" t="s">
        <v>2570</v>
      </c>
      <c r="H3458">
        <v>100242755</v>
      </c>
      <c r="I3458">
        <v>202631</v>
      </c>
      <c r="J3458">
        <v>1073668174</v>
      </c>
      <c r="K3458" t="s">
        <v>33</v>
      </c>
      <c r="L3458" t="s">
        <v>32</v>
      </c>
      <c r="M3458" t="s">
        <v>24</v>
      </c>
      <c r="N3458" t="s">
        <v>25</v>
      </c>
      <c r="O3458" t="s">
        <v>26</v>
      </c>
      <c r="P3458" t="s">
        <v>27</v>
      </c>
      <c r="Q3458" t="s">
        <v>28</v>
      </c>
      <c r="R3458" t="s">
        <v>29</v>
      </c>
      <c r="S3458" t="s">
        <v>30</v>
      </c>
      <c r="T3458">
        <v>1006023129</v>
      </c>
      <c r="U3458" t="s">
        <v>3944</v>
      </c>
      <c r="V3458" t="s">
        <v>3934</v>
      </c>
      <c r="W3458" s="9">
        <f>IF(V3458="pregrado",31,
IF(V3458="posgrados",31,
IF(V3458="rEINTEGROS",7,
IF(V3458="BIT",90,
IF(V3458="OP GRADO - INGLÉS",17,"")))))</f>
        <v>31</v>
      </c>
      <c r="X3458" t="s">
        <v>3982</v>
      </c>
    </row>
    <row r="3459" spans="1:24" ht="15" x14ac:dyDescent="0.35">
      <c r="A3459" s="4">
        <v>46056.663495370369</v>
      </c>
      <c r="B3459">
        <v>20120182</v>
      </c>
      <c r="C3459" s="6" t="s">
        <v>19</v>
      </c>
      <c r="D3459">
        <v>605841</v>
      </c>
      <c r="E3459" t="s">
        <v>20</v>
      </c>
      <c r="F3459">
        <v>25470532</v>
      </c>
      <c r="G3459" t="s">
        <v>2707</v>
      </c>
      <c r="H3459">
        <v>100242756</v>
      </c>
      <c r="I3459">
        <v>202611</v>
      </c>
      <c r="J3459">
        <v>25470532</v>
      </c>
      <c r="K3459" t="s">
        <v>23</v>
      </c>
      <c r="L3459" t="s">
        <v>221</v>
      </c>
      <c r="M3459" t="s">
        <v>24</v>
      </c>
      <c r="N3459" t="s">
        <v>35</v>
      </c>
      <c r="O3459" t="s">
        <v>26</v>
      </c>
      <c r="P3459" t="s">
        <v>27</v>
      </c>
      <c r="Q3459" t="s">
        <v>28</v>
      </c>
      <c r="R3459" t="s">
        <v>29</v>
      </c>
      <c r="S3459" t="s">
        <v>30</v>
      </c>
      <c r="T3459">
        <v>1026299972</v>
      </c>
      <c r="U3459" t="s">
        <v>3933</v>
      </c>
      <c r="V3459" t="s">
        <v>3934</v>
      </c>
      <c r="W3459" s="9">
        <f>IF(V3459="pregrado",31,
IF(V3459="posgrados",31,
IF(V3459="rEINTEGROS",7,
IF(V3459="BIT",90,
IF(V3459="OP GRADO - INGLÉS",17,"")))))</f>
        <v>31</v>
      </c>
      <c r="X3459" t="s">
        <v>4052</v>
      </c>
    </row>
    <row r="3460" spans="1:24" ht="15" x14ac:dyDescent="0.35">
      <c r="A3460" s="4">
        <v>46042.68068287037</v>
      </c>
      <c r="B3460">
        <v>20115428</v>
      </c>
      <c r="C3460" s="6" t="s">
        <v>19</v>
      </c>
      <c r="D3460">
        <v>605848</v>
      </c>
      <c r="E3460" t="s">
        <v>20</v>
      </c>
      <c r="F3460">
        <v>1140914642</v>
      </c>
      <c r="G3460" t="s">
        <v>2035</v>
      </c>
      <c r="H3460">
        <v>100242489</v>
      </c>
      <c r="I3460">
        <v>202610</v>
      </c>
      <c r="J3460">
        <v>1140914642</v>
      </c>
      <c r="K3460" t="s">
        <v>23</v>
      </c>
      <c r="L3460" t="s">
        <v>79</v>
      </c>
      <c r="M3460" t="s">
        <v>24</v>
      </c>
      <c r="N3460" t="s">
        <v>25</v>
      </c>
      <c r="O3460" t="s">
        <v>26</v>
      </c>
      <c r="P3460" t="s">
        <v>27</v>
      </c>
      <c r="Q3460" t="s">
        <v>28</v>
      </c>
      <c r="R3460" t="s">
        <v>29</v>
      </c>
      <c r="S3460" t="s">
        <v>30</v>
      </c>
      <c r="T3460">
        <v>1013662799</v>
      </c>
      <c r="U3460" t="s">
        <v>3965</v>
      </c>
      <c r="V3460" t="s">
        <v>3934</v>
      </c>
      <c r="W3460" s="9">
        <f>IF(V3460="pregrado",31,
IF(V3460="posgrados",31,
IF(V3460="rEINTEGROS",7,
IF(V3460="BIT",90,
IF(V3460="OP GRADO - INGLÉS",17,"")))))</f>
        <v>31</v>
      </c>
      <c r="X3460" t="s">
        <v>4021</v>
      </c>
    </row>
    <row r="3461" spans="1:24" ht="15" x14ac:dyDescent="0.35">
      <c r="A3461" s="4">
        <v>46043.647488425922</v>
      </c>
      <c r="B3461">
        <v>20115846</v>
      </c>
      <c r="C3461" s="6" t="s">
        <v>19</v>
      </c>
      <c r="D3461">
        <v>605851</v>
      </c>
      <c r="E3461" t="s">
        <v>20</v>
      </c>
      <c r="F3461">
        <v>92130962</v>
      </c>
      <c r="G3461" t="s">
        <v>2103</v>
      </c>
      <c r="H3461">
        <v>100242765</v>
      </c>
      <c r="I3461">
        <v>202631</v>
      </c>
      <c r="J3461">
        <v>1104379505</v>
      </c>
      <c r="K3461" t="s">
        <v>23</v>
      </c>
      <c r="L3461" t="s">
        <v>219</v>
      </c>
      <c r="M3461" t="s">
        <v>24</v>
      </c>
      <c r="N3461" t="s">
        <v>35</v>
      </c>
      <c r="O3461" t="s">
        <v>26</v>
      </c>
      <c r="P3461" t="s">
        <v>27</v>
      </c>
      <c r="Q3461" t="s">
        <v>28</v>
      </c>
      <c r="R3461" t="s">
        <v>29</v>
      </c>
      <c r="S3461" t="s">
        <v>30</v>
      </c>
      <c r="T3461">
        <v>1072716186</v>
      </c>
      <c r="U3461" t="s">
        <v>3963</v>
      </c>
      <c r="V3461" t="s">
        <v>3934</v>
      </c>
      <c r="W3461" s="9">
        <f>IF(V3461="pregrado",31,
IF(V3461="posgrados",31,
IF(V3461="rEINTEGROS",7,
IF(V3461="BIT",90,
IF(V3461="OP GRADO - INGLÉS",17,"")))))</f>
        <v>31</v>
      </c>
      <c r="X3461" t="s">
        <v>4084</v>
      </c>
    </row>
    <row r="3462" spans="1:24" ht="15" x14ac:dyDescent="0.35">
      <c r="A3462" s="4">
        <v>46044.67359953704</v>
      </c>
      <c r="B3462">
        <v>20116269</v>
      </c>
      <c r="C3462" s="6" t="s">
        <v>19</v>
      </c>
      <c r="D3462">
        <v>605859</v>
      </c>
      <c r="E3462" t="s">
        <v>20</v>
      </c>
      <c r="F3462">
        <v>80654396</v>
      </c>
      <c r="G3462" t="s">
        <v>2185</v>
      </c>
      <c r="H3462">
        <v>100242772</v>
      </c>
      <c r="I3462">
        <v>202631</v>
      </c>
      <c r="J3462">
        <v>1019985789</v>
      </c>
      <c r="K3462" t="s">
        <v>33</v>
      </c>
      <c r="L3462" t="s">
        <v>127</v>
      </c>
      <c r="M3462" t="s">
        <v>24</v>
      </c>
      <c r="N3462" t="s">
        <v>25</v>
      </c>
      <c r="O3462" t="s">
        <v>26</v>
      </c>
      <c r="P3462" t="s">
        <v>27</v>
      </c>
      <c r="Q3462" t="s">
        <v>28</v>
      </c>
      <c r="R3462" t="s">
        <v>29</v>
      </c>
      <c r="S3462" t="s">
        <v>30</v>
      </c>
      <c r="T3462">
        <v>1013687925</v>
      </c>
      <c r="U3462" t="s">
        <v>3933</v>
      </c>
      <c r="V3462" t="s">
        <v>3934</v>
      </c>
      <c r="W3462" s="9">
        <f>IF(V3462="pregrado",31,
IF(V3462="posgrados",31,
IF(V3462="rEINTEGROS",7,
IF(V3462="BIT",90,
IF(V3462="OP GRADO - INGLÉS",17,"")))))</f>
        <v>31</v>
      </c>
      <c r="X3462" t="s">
        <v>3959</v>
      </c>
    </row>
    <row r="3463" spans="1:24" ht="15" x14ac:dyDescent="0.35">
      <c r="A3463" s="4">
        <v>46043.647060185183</v>
      </c>
      <c r="B3463">
        <v>20115845</v>
      </c>
      <c r="C3463" s="6" t="s">
        <v>19</v>
      </c>
      <c r="D3463">
        <v>605871</v>
      </c>
      <c r="E3463" t="s">
        <v>20</v>
      </c>
      <c r="F3463">
        <v>39693245</v>
      </c>
      <c r="G3463" t="s">
        <v>2102</v>
      </c>
      <c r="H3463">
        <v>100242564</v>
      </c>
      <c r="I3463">
        <v>202610</v>
      </c>
      <c r="J3463">
        <v>1021634726</v>
      </c>
      <c r="K3463" t="s">
        <v>23</v>
      </c>
      <c r="L3463" t="s">
        <v>79</v>
      </c>
      <c r="M3463" t="s">
        <v>24</v>
      </c>
      <c r="N3463" t="s">
        <v>35</v>
      </c>
      <c r="O3463" t="s">
        <v>26</v>
      </c>
      <c r="P3463" t="s">
        <v>27</v>
      </c>
      <c r="Q3463" t="s">
        <v>28</v>
      </c>
      <c r="R3463" t="s">
        <v>29</v>
      </c>
      <c r="S3463" t="s">
        <v>30</v>
      </c>
      <c r="T3463">
        <v>1013662799</v>
      </c>
      <c r="U3463" t="s">
        <v>3965</v>
      </c>
      <c r="V3463" t="s">
        <v>3934</v>
      </c>
      <c r="W3463" s="9">
        <f>IF(V3463="pregrado",31,
IF(V3463="posgrados",31,
IF(V3463="rEINTEGROS",7,
IF(V3463="BIT",90,
IF(V3463="OP GRADO - INGLÉS",17,"")))))</f>
        <v>31</v>
      </c>
      <c r="X3463" t="s">
        <v>4021</v>
      </c>
    </row>
    <row r="3464" spans="1:24" ht="15" x14ac:dyDescent="0.35">
      <c r="A3464" s="4">
        <v>46044.363298611112</v>
      </c>
      <c r="B3464">
        <v>20115994</v>
      </c>
      <c r="C3464" s="6" t="s">
        <v>19</v>
      </c>
      <c r="D3464">
        <v>605881</v>
      </c>
      <c r="E3464" t="s">
        <v>20</v>
      </c>
      <c r="F3464">
        <v>1072423890</v>
      </c>
      <c r="G3464" t="s">
        <v>2128</v>
      </c>
      <c r="H3464">
        <v>100242794</v>
      </c>
      <c r="I3464">
        <v>202611</v>
      </c>
      <c r="J3464">
        <v>1072423890</v>
      </c>
      <c r="K3464" t="s">
        <v>23</v>
      </c>
      <c r="L3464" t="s">
        <v>227</v>
      </c>
      <c r="M3464" t="s">
        <v>24</v>
      </c>
      <c r="N3464" t="s">
        <v>25</v>
      </c>
      <c r="O3464" t="s">
        <v>26</v>
      </c>
      <c r="P3464" t="s">
        <v>27</v>
      </c>
      <c r="Q3464" t="s">
        <v>28</v>
      </c>
      <c r="R3464" t="s">
        <v>29</v>
      </c>
      <c r="S3464" t="s">
        <v>30</v>
      </c>
      <c r="T3464">
        <v>1032678391</v>
      </c>
      <c r="U3464" t="s">
        <v>3965</v>
      </c>
      <c r="V3464" t="s">
        <v>3934</v>
      </c>
      <c r="W3464" s="9">
        <f>IF(V3464="pregrado",31,
IF(V3464="posgrados",31,
IF(V3464="rEINTEGROS",7,
IF(V3464="BIT",90,
IF(V3464="OP GRADO - INGLÉS",17,"")))))</f>
        <v>31</v>
      </c>
      <c r="X3464" t="s">
        <v>4098</v>
      </c>
    </row>
    <row r="3465" spans="1:24" ht="15" x14ac:dyDescent="0.35">
      <c r="A3465" s="4">
        <v>46044.492731481485</v>
      </c>
      <c r="B3465">
        <v>20116121</v>
      </c>
      <c r="C3465" s="6" t="s">
        <v>19</v>
      </c>
      <c r="D3465">
        <v>605887</v>
      </c>
      <c r="E3465" t="s">
        <v>20</v>
      </c>
      <c r="F3465">
        <v>1013607428</v>
      </c>
      <c r="G3465" t="s">
        <v>2159</v>
      </c>
      <c r="H3465">
        <v>100242800</v>
      </c>
      <c r="I3465">
        <v>202631</v>
      </c>
      <c r="J3465">
        <v>1013607428</v>
      </c>
      <c r="K3465" t="s">
        <v>23</v>
      </c>
      <c r="L3465" t="s">
        <v>51</v>
      </c>
      <c r="M3465" t="s">
        <v>24</v>
      </c>
      <c r="N3465" t="s">
        <v>35</v>
      </c>
      <c r="O3465" t="s">
        <v>26</v>
      </c>
      <c r="P3465" t="s">
        <v>27</v>
      </c>
      <c r="Q3465" t="s">
        <v>28</v>
      </c>
      <c r="R3465" t="s">
        <v>29</v>
      </c>
      <c r="S3465" t="s">
        <v>30</v>
      </c>
      <c r="T3465">
        <v>1015478965</v>
      </c>
      <c r="U3465" t="s">
        <v>3944</v>
      </c>
      <c r="V3465" t="s">
        <v>3934</v>
      </c>
      <c r="W3465" s="9">
        <f>IF(V3465="pregrado",31,
IF(V3465="posgrados",31,
IF(V3465="rEINTEGROS",7,
IF(V3465="BIT",90,
IF(V3465="OP GRADO - INGLÉS",17,"")))))</f>
        <v>31</v>
      </c>
      <c r="X3465" t="s">
        <v>3979</v>
      </c>
    </row>
    <row r="3466" spans="1:24" ht="15" x14ac:dyDescent="0.35">
      <c r="A3466" s="4">
        <v>46049.353078703702</v>
      </c>
      <c r="B3466">
        <v>20117395</v>
      </c>
      <c r="C3466" s="6" t="s">
        <v>19</v>
      </c>
      <c r="D3466">
        <v>605888</v>
      </c>
      <c r="E3466" t="s">
        <v>20</v>
      </c>
      <c r="F3466">
        <v>1053122223</v>
      </c>
      <c r="G3466" t="s">
        <v>2324</v>
      </c>
      <c r="H3466">
        <v>200062791</v>
      </c>
      <c r="I3466">
        <v>202631</v>
      </c>
      <c r="J3466">
        <v>1053122223</v>
      </c>
      <c r="K3466" t="s">
        <v>33</v>
      </c>
      <c r="L3466" t="s">
        <v>119</v>
      </c>
      <c r="M3466" t="s">
        <v>24</v>
      </c>
      <c r="N3466" t="s">
        <v>35</v>
      </c>
      <c r="O3466" t="s">
        <v>26</v>
      </c>
      <c r="P3466" t="s">
        <v>27</v>
      </c>
      <c r="Q3466" t="s">
        <v>28</v>
      </c>
      <c r="R3466" t="s">
        <v>29</v>
      </c>
      <c r="S3466" t="s">
        <v>30</v>
      </c>
      <c r="T3466">
        <v>1000251314</v>
      </c>
      <c r="U3466" t="s">
        <v>3963</v>
      </c>
      <c r="V3466" t="s">
        <v>3934</v>
      </c>
      <c r="W3466" s="9">
        <f>IF(V3466="pregrado",31,
IF(V3466="posgrados",31,
IF(V3466="rEINTEGROS",7,
IF(V3466="BIT",90,
IF(V3466="OP GRADO - INGLÉS",17,"")))))</f>
        <v>31</v>
      </c>
      <c r="X3466" t="s">
        <v>4024</v>
      </c>
    </row>
    <row r="3467" spans="1:24" ht="15" x14ac:dyDescent="0.35">
      <c r="A3467" s="4">
        <v>46044.422534722224</v>
      </c>
      <c r="B3467">
        <v>20116039</v>
      </c>
      <c r="C3467" s="6" t="s">
        <v>19</v>
      </c>
      <c r="D3467">
        <v>605890</v>
      </c>
      <c r="E3467" t="s">
        <v>20</v>
      </c>
      <c r="F3467">
        <v>1005777925</v>
      </c>
      <c r="G3467" t="s">
        <v>2144</v>
      </c>
      <c r="H3467">
        <v>100149242</v>
      </c>
      <c r="I3467">
        <v>202611</v>
      </c>
      <c r="J3467">
        <v>1005777925</v>
      </c>
      <c r="K3467" t="s">
        <v>89</v>
      </c>
      <c r="L3467" t="s">
        <v>133</v>
      </c>
      <c r="M3467" t="s">
        <v>24</v>
      </c>
      <c r="N3467" t="s">
        <v>35</v>
      </c>
      <c r="O3467" t="s">
        <v>26</v>
      </c>
      <c r="P3467" t="s">
        <v>27</v>
      </c>
      <c r="Q3467" t="s">
        <v>28</v>
      </c>
      <c r="R3467" t="s">
        <v>29</v>
      </c>
      <c r="S3467" t="s">
        <v>30</v>
      </c>
      <c r="T3467">
        <v>52168054</v>
      </c>
      <c r="U3467" t="s">
        <v>3977</v>
      </c>
      <c r="V3467" t="s">
        <v>3970</v>
      </c>
      <c r="W3467" s="9">
        <f>IF(V3467="pregrado",31,
IF(V3467="posgrados",31,
IF(V3467="rEINTEGROS",7,
IF(V3467="BIT",90,
IF(V3467="OP GRADO - INGLÉS",17,"")))))</f>
        <v>7</v>
      </c>
      <c r="X3467" t="s">
        <v>4057</v>
      </c>
    </row>
    <row r="3468" spans="1:24" ht="15" x14ac:dyDescent="0.35">
      <c r="A3468" s="4">
        <v>46044.356793981482</v>
      </c>
      <c r="B3468">
        <v>20115990</v>
      </c>
      <c r="C3468" s="6" t="s">
        <v>19</v>
      </c>
      <c r="D3468">
        <v>605895</v>
      </c>
      <c r="E3468" t="s">
        <v>20</v>
      </c>
      <c r="F3468">
        <v>1000338497</v>
      </c>
      <c r="G3468" t="s">
        <v>2127</v>
      </c>
      <c r="H3468">
        <v>100072422</v>
      </c>
      <c r="I3468">
        <v>202631</v>
      </c>
      <c r="J3468">
        <v>1071164160</v>
      </c>
      <c r="K3468" t="s">
        <v>89</v>
      </c>
      <c r="L3468" t="s">
        <v>127</v>
      </c>
      <c r="M3468" t="s">
        <v>24</v>
      </c>
      <c r="N3468" t="s">
        <v>38</v>
      </c>
      <c r="O3468" t="s">
        <v>26</v>
      </c>
      <c r="P3468" t="s">
        <v>27</v>
      </c>
      <c r="Q3468" t="s">
        <v>28</v>
      </c>
      <c r="R3468" t="s">
        <v>29</v>
      </c>
      <c r="S3468" t="s">
        <v>30</v>
      </c>
      <c r="T3468">
        <v>1023899450</v>
      </c>
      <c r="U3468" t="s">
        <v>3977</v>
      </c>
      <c r="V3468" t="s">
        <v>3970</v>
      </c>
      <c r="W3468" s="9">
        <f>IF(V3468="pregrado",31,
IF(V3468="posgrados",31,
IF(V3468="rEINTEGROS",7,
IF(V3468="BIT",90,
IF(V3468="OP GRADO - INGLÉS",17,"")))))</f>
        <v>7</v>
      </c>
      <c r="X3468" t="s">
        <v>3969</v>
      </c>
    </row>
    <row r="3469" spans="1:24" ht="15" x14ac:dyDescent="0.35">
      <c r="A3469" s="4">
        <v>46043.366527777776</v>
      </c>
      <c r="B3469">
        <v>20115594</v>
      </c>
      <c r="C3469" s="6" t="s">
        <v>19</v>
      </c>
      <c r="D3469">
        <v>605896</v>
      </c>
      <c r="E3469" t="s">
        <v>20</v>
      </c>
      <c r="F3469">
        <v>1080187445</v>
      </c>
      <c r="G3469" t="s">
        <v>2057</v>
      </c>
      <c r="H3469">
        <v>100212720</v>
      </c>
      <c r="I3469">
        <v>202631</v>
      </c>
      <c r="J3469">
        <v>1080187445</v>
      </c>
      <c r="K3469" t="s">
        <v>23</v>
      </c>
      <c r="L3469" t="s">
        <v>42</v>
      </c>
      <c r="M3469" t="s">
        <v>24</v>
      </c>
      <c r="N3469" t="s">
        <v>35</v>
      </c>
      <c r="O3469" t="s">
        <v>26</v>
      </c>
      <c r="P3469" t="s">
        <v>27</v>
      </c>
      <c r="Q3469" t="s">
        <v>28</v>
      </c>
      <c r="R3469" t="s">
        <v>29</v>
      </c>
      <c r="S3469" t="s">
        <v>30</v>
      </c>
      <c r="T3469">
        <v>53139409</v>
      </c>
      <c r="U3469" t="s">
        <v>3944</v>
      </c>
      <c r="V3469" t="s">
        <v>3934</v>
      </c>
      <c r="W3469" s="9">
        <f>IF(V3469="pregrado",31,
IF(V3469="posgrados",31,
IF(V3469="rEINTEGROS",7,
IF(V3469="BIT",90,
IF(V3469="OP GRADO - INGLÉS",17,"")))))</f>
        <v>31</v>
      </c>
      <c r="X3469" t="s">
        <v>3955</v>
      </c>
    </row>
    <row r="3470" spans="1:24" ht="15" x14ac:dyDescent="0.35">
      <c r="A3470" s="4">
        <v>46042.778715277775</v>
      </c>
      <c r="B3470">
        <v>20115522</v>
      </c>
      <c r="C3470" s="6" t="s">
        <v>19</v>
      </c>
      <c r="D3470">
        <v>605901</v>
      </c>
      <c r="E3470" t="s">
        <v>20</v>
      </c>
      <c r="F3470">
        <v>1007958838</v>
      </c>
      <c r="G3470" t="s">
        <v>2050</v>
      </c>
      <c r="H3470">
        <v>100139410</v>
      </c>
      <c r="I3470">
        <v>202611</v>
      </c>
      <c r="J3470">
        <v>1007958838</v>
      </c>
      <c r="K3470" t="s">
        <v>89</v>
      </c>
      <c r="L3470" t="s">
        <v>133</v>
      </c>
      <c r="M3470" t="s">
        <v>24</v>
      </c>
      <c r="N3470" t="s">
        <v>38</v>
      </c>
      <c r="O3470" t="s">
        <v>26</v>
      </c>
      <c r="P3470" t="s">
        <v>27</v>
      </c>
      <c r="Q3470" t="s">
        <v>28</v>
      </c>
      <c r="R3470" t="s">
        <v>29</v>
      </c>
      <c r="S3470" t="s">
        <v>30</v>
      </c>
      <c r="T3470">
        <v>1016110979</v>
      </c>
      <c r="U3470" t="s">
        <v>3977</v>
      </c>
      <c r="V3470" t="s">
        <v>3970</v>
      </c>
      <c r="W3470" s="9">
        <f>IF(V3470="pregrado",31,
IF(V3470="posgrados",31,
IF(V3470="rEINTEGROS",7,
IF(V3470="BIT",90,
IF(V3470="OP GRADO - INGLÉS",17,"")))))</f>
        <v>7</v>
      </c>
      <c r="X3470" t="s">
        <v>4051</v>
      </c>
    </row>
    <row r="3471" spans="1:24" ht="15" x14ac:dyDescent="0.35">
      <c r="A3471" s="4">
        <v>46049.46607638889</v>
      </c>
      <c r="B3471">
        <v>20117483</v>
      </c>
      <c r="C3471" s="6" t="s">
        <v>19</v>
      </c>
      <c r="D3471">
        <v>605906</v>
      </c>
      <c r="E3471" t="s">
        <v>20</v>
      </c>
      <c r="F3471">
        <v>1023628799</v>
      </c>
      <c r="G3471" t="s">
        <v>2335</v>
      </c>
      <c r="H3471">
        <v>200054410</v>
      </c>
      <c r="I3471">
        <v>202631</v>
      </c>
      <c r="J3471">
        <v>1023628799</v>
      </c>
      <c r="K3471" t="s">
        <v>23</v>
      </c>
      <c r="L3471" t="s">
        <v>119</v>
      </c>
      <c r="M3471" t="s">
        <v>24</v>
      </c>
      <c r="N3471" t="s">
        <v>35</v>
      </c>
      <c r="O3471" t="s">
        <v>26</v>
      </c>
      <c r="P3471" t="s">
        <v>27</v>
      </c>
      <c r="Q3471" t="s">
        <v>28</v>
      </c>
      <c r="R3471" t="s">
        <v>29</v>
      </c>
      <c r="S3471" t="s">
        <v>30</v>
      </c>
      <c r="T3471">
        <v>1020820287</v>
      </c>
      <c r="U3471" t="s">
        <v>3963</v>
      </c>
      <c r="V3471" t="s">
        <v>3934</v>
      </c>
      <c r="W3471" s="9">
        <f>IF(V3471="pregrado",31,
IF(V3471="posgrados",31,
IF(V3471="rEINTEGROS",7,
IF(V3471="BIT",90,
IF(V3471="OP GRADO - INGLÉS",17,"")))))</f>
        <v>31</v>
      </c>
      <c r="X3471" t="s">
        <v>4044</v>
      </c>
    </row>
    <row r="3472" spans="1:24" ht="15" x14ac:dyDescent="0.35">
      <c r="A3472" s="4">
        <v>46072.526539351849</v>
      </c>
      <c r="B3472">
        <v>20124849</v>
      </c>
      <c r="C3472" s="6" t="s">
        <v>19</v>
      </c>
      <c r="D3472">
        <v>605907</v>
      </c>
      <c r="E3472" t="s">
        <v>20</v>
      </c>
      <c r="F3472">
        <v>1147686866</v>
      </c>
      <c r="G3472" t="s">
        <v>3414</v>
      </c>
      <c r="H3472">
        <v>100242816</v>
      </c>
      <c r="I3472">
        <v>202631</v>
      </c>
      <c r="J3472">
        <v>1115794436</v>
      </c>
      <c r="K3472" t="s">
        <v>33</v>
      </c>
      <c r="L3472" t="s">
        <v>101</v>
      </c>
      <c r="M3472" t="s">
        <v>24</v>
      </c>
      <c r="N3472" t="s">
        <v>35</v>
      </c>
      <c r="O3472" t="s">
        <v>26</v>
      </c>
      <c r="P3472" t="s">
        <v>27</v>
      </c>
      <c r="Q3472" t="s">
        <v>28</v>
      </c>
      <c r="R3472" t="s">
        <v>29</v>
      </c>
      <c r="S3472" t="s">
        <v>30</v>
      </c>
      <c r="T3472">
        <v>1023975276</v>
      </c>
      <c r="U3472" t="s">
        <v>3963</v>
      </c>
      <c r="V3472" t="s">
        <v>3934</v>
      </c>
      <c r="W3472" s="9">
        <f>IF(V3472="pregrado",31,
IF(V3472="posgrados",31,
IF(V3472="rEINTEGROS",7,
IF(V3472="BIT",90,
IF(V3472="OP GRADO - INGLÉS",17,"")))))</f>
        <v>31</v>
      </c>
      <c r="X3472" t="s">
        <v>3962</v>
      </c>
    </row>
    <row r="3473" spans="1:24" ht="15" x14ac:dyDescent="0.35">
      <c r="A3473" s="4">
        <v>46044.559687499997</v>
      </c>
      <c r="B3473">
        <v>20116171</v>
      </c>
      <c r="C3473" s="6" t="s">
        <v>19</v>
      </c>
      <c r="D3473">
        <v>605913</v>
      </c>
      <c r="E3473" t="s">
        <v>20</v>
      </c>
      <c r="F3473">
        <v>1111662618</v>
      </c>
      <c r="G3473" t="s">
        <v>2168</v>
      </c>
      <c r="H3473">
        <v>100242824</v>
      </c>
      <c r="I3473">
        <v>202611</v>
      </c>
      <c r="J3473">
        <v>1111662618</v>
      </c>
      <c r="K3473" t="s">
        <v>33</v>
      </c>
      <c r="L3473" t="s">
        <v>204</v>
      </c>
      <c r="M3473" t="s">
        <v>24</v>
      </c>
      <c r="N3473" t="s">
        <v>25</v>
      </c>
      <c r="O3473" t="s">
        <v>26</v>
      </c>
      <c r="P3473" t="s">
        <v>27</v>
      </c>
      <c r="Q3473" t="s">
        <v>28</v>
      </c>
      <c r="R3473" t="s">
        <v>29</v>
      </c>
      <c r="S3473" t="s">
        <v>30</v>
      </c>
      <c r="T3473">
        <v>53061994</v>
      </c>
      <c r="U3473" t="s">
        <v>3941</v>
      </c>
      <c r="V3473" t="s">
        <v>3934</v>
      </c>
      <c r="W3473" s="9">
        <f>IF(V3473="pregrado",31,
IF(V3473="posgrados",31,
IF(V3473="rEINTEGROS",7,
IF(V3473="BIT",90,
IF(V3473="OP GRADO - INGLÉS",17,"")))))</f>
        <v>31</v>
      </c>
      <c r="X3473" t="s">
        <v>3950</v>
      </c>
    </row>
    <row r="3474" spans="1:24" ht="15" x14ac:dyDescent="0.35">
      <c r="A3474" s="4">
        <v>46043.472638888888</v>
      </c>
      <c r="B3474">
        <v>20115698</v>
      </c>
      <c r="C3474" s="6" t="s">
        <v>19</v>
      </c>
      <c r="D3474">
        <v>605922</v>
      </c>
      <c r="E3474" t="s">
        <v>20</v>
      </c>
      <c r="F3474">
        <v>1045758309</v>
      </c>
      <c r="G3474" t="s">
        <v>2079</v>
      </c>
      <c r="H3474">
        <v>100196635</v>
      </c>
      <c r="I3474">
        <v>202631</v>
      </c>
      <c r="J3474">
        <v>1045758309</v>
      </c>
      <c r="K3474" t="s">
        <v>23</v>
      </c>
      <c r="L3474" t="s">
        <v>240</v>
      </c>
      <c r="M3474" t="s">
        <v>24</v>
      </c>
      <c r="N3474" t="s">
        <v>35</v>
      </c>
      <c r="O3474" t="s">
        <v>26</v>
      </c>
      <c r="P3474" t="s">
        <v>27</v>
      </c>
      <c r="Q3474" t="s">
        <v>28</v>
      </c>
      <c r="R3474" t="s">
        <v>29</v>
      </c>
      <c r="S3474" t="s">
        <v>30</v>
      </c>
      <c r="T3474">
        <v>1013662799</v>
      </c>
      <c r="U3474" t="s">
        <v>3965</v>
      </c>
      <c r="V3474" t="s">
        <v>3934</v>
      </c>
      <c r="W3474" s="9">
        <f>IF(V3474="pregrado",31,
IF(V3474="posgrados",31,
IF(V3474="rEINTEGROS",7,
IF(V3474="BIT",90,
IF(V3474="OP GRADO - INGLÉS",17,"")))))</f>
        <v>31</v>
      </c>
      <c r="X3474" t="s">
        <v>4021</v>
      </c>
    </row>
    <row r="3475" spans="1:24" ht="15" x14ac:dyDescent="0.35">
      <c r="A3475" s="4">
        <v>46043.663356481484</v>
      </c>
      <c r="B3475">
        <v>20115859</v>
      </c>
      <c r="C3475" s="6" t="s">
        <v>19</v>
      </c>
      <c r="D3475">
        <v>605934</v>
      </c>
      <c r="E3475" t="s">
        <v>20</v>
      </c>
      <c r="F3475">
        <v>1026305568</v>
      </c>
      <c r="G3475" t="s">
        <v>2108</v>
      </c>
      <c r="H3475">
        <v>100242847</v>
      </c>
      <c r="I3475">
        <v>202631</v>
      </c>
      <c r="J3475">
        <v>1026305568</v>
      </c>
      <c r="K3475" t="s">
        <v>83</v>
      </c>
      <c r="L3475" t="s">
        <v>127</v>
      </c>
      <c r="M3475" t="s">
        <v>24</v>
      </c>
      <c r="N3475" t="s">
        <v>38</v>
      </c>
      <c r="O3475" t="s">
        <v>26</v>
      </c>
      <c r="P3475" t="s">
        <v>27</v>
      </c>
      <c r="Q3475" t="s">
        <v>28</v>
      </c>
      <c r="R3475" t="s">
        <v>29</v>
      </c>
      <c r="S3475" t="s">
        <v>30</v>
      </c>
      <c r="T3475">
        <v>10306009131</v>
      </c>
      <c r="U3475" t="s">
        <v>3933</v>
      </c>
      <c r="V3475" t="s">
        <v>3934</v>
      </c>
      <c r="W3475" s="9">
        <f>IF(V3475="pregrado",31,
IF(V3475="posgrados",31,
IF(V3475="rEINTEGROS",7,
IF(V3475="BIT",90,
IF(V3475="OP GRADO - INGLÉS",17,"")))))</f>
        <v>31</v>
      </c>
      <c r="X3475" t="s">
        <v>3978</v>
      </c>
    </row>
    <row r="3476" spans="1:24" ht="15" x14ac:dyDescent="0.35">
      <c r="A3476" s="4">
        <v>46064.754317129627</v>
      </c>
      <c r="B3476">
        <v>20122585</v>
      </c>
      <c r="C3476" s="6" t="s">
        <v>19</v>
      </c>
      <c r="D3476">
        <v>605946</v>
      </c>
      <c r="E3476" t="s">
        <v>20</v>
      </c>
      <c r="F3476">
        <v>10236910</v>
      </c>
      <c r="G3476" t="s">
        <v>3054</v>
      </c>
      <c r="H3476">
        <v>100242858</v>
      </c>
      <c r="I3476">
        <v>202631</v>
      </c>
      <c r="J3476">
        <v>1060652615</v>
      </c>
      <c r="K3476" t="s">
        <v>33</v>
      </c>
      <c r="L3476" t="s">
        <v>51</v>
      </c>
      <c r="M3476" t="s">
        <v>24</v>
      </c>
      <c r="N3476" t="s">
        <v>25</v>
      </c>
      <c r="O3476" t="s">
        <v>26</v>
      </c>
      <c r="P3476" t="s">
        <v>27</v>
      </c>
      <c r="Q3476" t="s">
        <v>28</v>
      </c>
      <c r="R3476" t="s">
        <v>29</v>
      </c>
      <c r="S3476" t="s">
        <v>30</v>
      </c>
      <c r="T3476">
        <v>80021358</v>
      </c>
      <c r="U3476" t="s">
        <v>3986</v>
      </c>
      <c r="V3476" t="s">
        <v>3934</v>
      </c>
      <c r="W3476" s="9">
        <f>IF(V3476="pregrado",31,
IF(V3476="posgrados",31,
IF(V3476="rEINTEGROS",7,
IF(V3476="BIT",90,
IF(V3476="OP GRADO - INGLÉS",17,"")))))</f>
        <v>31</v>
      </c>
      <c r="X3476" t="s">
        <v>3995</v>
      </c>
    </row>
    <row r="3477" spans="1:24" ht="15" x14ac:dyDescent="0.35">
      <c r="A3477" s="4">
        <v>46046.40902777778</v>
      </c>
      <c r="B3477">
        <v>20116812</v>
      </c>
      <c r="C3477" s="6" t="s">
        <v>19</v>
      </c>
      <c r="D3477">
        <v>605954</v>
      </c>
      <c r="E3477" t="s">
        <v>20</v>
      </c>
      <c r="F3477">
        <v>52953319</v>
      </c>
      <c r="G3477" t="s">
        <v>2260</v>
      </c>
      <c r="H3477">
        <v>200085507</v>
      </c>
      <c r="I3477">
        <v>202631</v>
      </c>
      <c r="J3477">
        <v>1027282798</v>
      </c>
      <c r="K3477" t="s">
        <v>23</v>
      </c>
      <c r="L3477" t="s">
        <v>119</v>
      </c>
      <c r="M3477" t="s">
        <v>24</v>
      </c>
      <c r="N3477" t="s">
        <v>25</v>
      </c>
      <c r="O3477" t="s">
        <v>26</v>
      </c>
      <c r="P3477" t="s">
        <v>27</v>
      </c>
      <c r="Q3477" t="s">
        <v>28</v>
      </c>
      <c r="R3477" t="s">
        <v>29</v>
      </c>
      <c r="S3477" t="s">
        <v>30</v>
      </c>
      <c r="T3477">
        <v>52446712</v>
      </c>
      <c r="U3477" t="s">
        <v>3963</v>
      </c>
      <c r="V3477" t="s">
        <v>3934</v>
      </c>
      <c r="W3477" s="9">
        <f>IF(V3477="pregrado",31,
IF(V3477="posgrados",31,
IF(V3477="rEINTEGROS",7,
IF(V3477="BIT",90,
IF(V3477="OP GRADO - INGLÉS",17,"")))))</f>
        <v>31</v>
      </c>
      <c r="X3477" t="s">
        <v>4041</v>
      </c>
    </row>
    <row r="3478" spans="1:24" ht="15" x14ac:dyDescent="0.35">
      <c r="A3478" s="4">
        <v>46049.692604166667</v>
      </c>
      <c r="B3478">
        <v>20117701</v>
      </c>
      <c r="C3478" s="6" t="s">
        <v>19</v>
      </c>
      <c r="D3478">
        <v>605955</v>
      </c>
      <c r="E3478" t="s">
        <v>20</v>
      </c>
      <c r="F3478">
        <v>51829603</v>
      </c>
      <c r="G3478" t="s">
        <v>2367</v>
      </c>
      <c r="H3478">
        <v>100242869</v>
      </c>
      <c r="I3478">
        <v>202631</v>
      </c>
      <c r="J3478">
        <v>51829603</v>
      </c>
      <c r="K3478" t="s">
        <v>23</v>
      </c>
      <c r="L3478" t="s">
        <v>219</v>
      </c>
      <c r="M3478" t="s">
        <v>24</v>
      </c>
      <c r="N3478" t="s">
        <v>35</v>
      </c>
      <c r="O3478" t="s">
        <v>26</v>
      </c>
      <c r="P3478" t="s">
        <v>27</v>
      </c>
      <c r="Q3478" t="s">
        <v>28</v>
      </c>
      <c r="R3478" t="s">
        <v>29</v>
      </c>
      <c r="S3478" t="s">
        <v>30</v>
      </c>
      <c r="T3478">
        <v>1077967131</v>
      </c>
      <c r="U3478" t="s">
        <v>3963</v>
      </c>
      <c r="V3478" t="s">
        <v>3934</v>
      </c>
      <c r="W3478" s="9">
        <f>IF(V3478="pregrado",31,
IF(V3478="posgrados",31,
IF(V3478="rEINTEGROS",7,
IF(V3478="BIT",90,
IF(V3478="OP GRADO - INGLÉS",17,"")))))</f>
        <v>31</v>
      </c>
      <c r="X3478" t="s">
        <v>4011</v>
      </c>
    </row>
    <row r="3479" spans="1:24" ht="15" x14ac:dyDescent="0.35">
      <c r="A3479" s="4">
        <v>46045.367812500001</v>
      </c>
      <c r="B3479">
        <v>20116417</v>
      </c>
      <c r="C3479" s="6" t="s">
        <v>19</v>
      </c>
      <c r="D3479">
        <v>605956</v>
      </c>
      <c r="E3479" t="s">
        <v>20</v>
      </c>
      <c r="F3479">
        <v>1011200088</v>
      </c>
      <c r="G3479" t="s">
        <v>2219</v>
      </c>
      <c r="H3479">
        <v>100242870</v>
      </c>
      <c r="I3479">
        <v>202610</v>
      </c>
      <c r="J3479">
        <v>1011200088</v>
      </c>
      <c r="K3479" t="s">
        <v>33</v>
      </c>
      <c r="L3479" t="s">
        <v>153</v>
      </c>
      <c r="M3479" t="s">
        <v>24</v>
      </c>
      <c r="N3479" t="s">
        <v>38</v>
      </c>
      <c r="O3479" t="s">
        <v>26</v>
      </c>
      <c r="P3479" t="s">
        <v>27</v>
      </c>
      <c r="Q3479" t="s">
        <v>28</v>
      </c>
      <c r="R3479" t="s">
        <v>29</v>
      </c>
      <c r="S3479" t="s">
        <v>30</v>
      </c>
      <c r="T3479">
        <v>45555807</v>
      </c>
      <c r="U3479" t="s">
        <v>3965</v>
      </c>
      <c r="V3479" t="s">
        <v>3934</v>
      </c>
      <c r="W3479" s="9">
        <f>IF(V3479="pregrado",31,
IF(V3479="posgrados",31,
IF(V3479="rEINTEGROS",7,
IF(V3479="BIT",90,
IF(V3479="OP GRADO - INGLÉS",17,"")))))</f>
        <v>31</v>
      </c>
      <c r="X3479" t="s">
        <v>4027</v>
      </c>
    </row>
    <row r="3480" spans="1:24" ht="15" x14ac:dyDescent="0.35">
      <c r="A3480" s="4">
        <v>46044.470254629632</v>
      </c>
      <c r="B3480">
        <v>20116098</v>
      </c>
      <c r="C3480" s="6" t="s">
        <v>19</v>
      </c>
      <c r="D3480">
        <v>605957</v>
      </c>
      <c r="E3480" t="s">
        <v>20</v>
      </c>
      <c r="F3480">
        <v>1121905769</v>
      </c>
      <c r="G3480" t="s">
        <v>2153</v>
      </c>
      <c r="H3480">
        <v>100242872</v>
      </c>
      <c r="I3480">
        <v>202631</v>
      </c>
      <c r="J3480">
        <v>1121954951</v>
      </c>
      <c r="K3480" t="s">
        <v>33</v>
      </c>
      <c r="L3480" t="s">
        <v>127</v>
      </c>
      <c r="M3480" t="s">
        <v>24</v>
      </c>
      <c r="N3480" t="s">
        <v>25</v>
      </c>
      <c r="O3480" t="s">
        <v>26</v>
      </c>
      <c r="P3480" t="s">
        <v>27</v>
      </c>
      <c r="Q3480" t="s">
        <v>28</v>
      </c>
      <c r="R3480" t="s">
        <v>29</v>
      </c>
      <c r="S3480" t="s">
        <v>30</v>
      </c>
      <c r="T3480">
        <v>10306009131</v>
      </c>
      <c r="U3480" t="s">
        <v>3933</v>
      </c>
      <c r="V3480" t="s">
        <v>3934</v>
      </c>
      <c r="W3480" s="9">
        <f>IF(V3480="pregrado",31,
IF(V3480="posgrados",31,
IF(V3480="rEINTEGROS",7,
IF(V3480="BIT",90,
IF(V3480="OP GRADO - INGLÉS",17,"")))))</f>
        <v>31</v>
      </c>
      <c r="X3480" t="s">
        <v>3978</v>
      </c>
    </row>
    <row r="3481" spans="1:24" ht="15" x14ac:dyDescent="0.35">
      <c r="A3481" s="4">
        <v>46045.513298611113</v>
      </c>
      <c r="B3481">
        <v>20116551</v>
      </c>
      <c r="C3481" s="6" t="s">
        <v>19</v>
      </c>
      <c r="D3481">
        <v>605973</v>
      </c>
      <c r="E3481" t="s">
        <v>20</v>
      </c>
      <c r="F3481">
        <v>1003400174</v>
      </c>
      <c r="G3481" t="s">
        <v>2230</v>
      </c>
      <c r="H3481">
        <v>100242888</v>
      </c>
      <c r="I3481">
        <v>202611</v>
      </c>
      <c r="J3481">
        <v>1003400174</v>
      </c>
      <c r="K3481" t="s">
        <v>33</v>
      </c>
      <c r="L3481" t="s">
        <v>221</v>
      </c>
      <c r="M3481" t="s">
        <v>24</v>
      </c>
      <c r="N3481" t="s">
        <v>35</v>
      </c>
      <c r="O3481" t="s">
        <v>26</v>
      </c>
      <c r="P3481" t="s">
        <v>27</v>
      </c>
      <c r="Q3481" t="s">
        <v>28</v>
      </c>
      <c r="R3481" t="s">
        <v>29</v>
      </c>
      <c r="S3481" t="s">
        <v>30</v>
      </c>
      <c r="T3481">
        <v>45555807</v>
      </c>
      <c r="U3481" t="s">
        <v>3965</v>
      </c>
      <c r="V3481" t="s">
        <v>3934</v>
      </c>
      <c r="W3481" s="9">
        <f>IF(V3481="pregrado",31,
IF(V3481="posgrados",31,
IF(V3481="rEINTEGROS",7,
IF(V3481="BIT",90,
IF(V3481="OP GRADO - INGLÉS",17,"")))))</f>
        <v>31</v>
      </c>
      <c r="X3481" t="s">
        <v>4027</v>
      </c>
    </row>
    <row r="3482" spans="1:24" ht="15" x14ac:dyDescent="0.35">
      <c r="A3482" s="4">
        <v>46051.655393518522</v>
      </c>
      <c r="B3482">
        <v>20118591</v>
      </c>
      <c r="C3482" s="6" t="s">
        <v>19</v>
      </c>
      <c r="D3482">
        <v>605984</v>
      </c>
      <c r="E3482" t="s">
        <v>20</v>
      </c>
      <c r="F3482">
        <v>1073707124</v>
      </c>
      <c r="G3482" t="s">
        <v>2498</v>
      </c>
      <c r="H3482">
        <v>100242898</v>
      </c>
      <c r="I3482">
        <v>202631</v>
      </c>
      <c r="J3482">
        <v>1073707124</v>
      </c>
      <c r="K3482" t="s">
        <v>23</v>
      </c>
      <c r="L3482" t="s">
        <v>42</v>
      </c>
      <c r="M3482" t="s">
        <v>24</v>
      </c>
      <c r="N3482" t="s">
        <v>35</v>
      </c>
      <c r="O3482" t="s">
        <v>26</v>
      </c>
      <c r="P3482" t="s">
        <v>27</v>
      </c>
      <c r="Q3482" t="s">
        <v>28</v>
      </c>
      <c r="R3482" t="s">
        <v>29</v>
      </c>
      <c r="S3482" t="s">
        <v>30</v>
      </c>
      <c r="T3482">
        <v>1001192723</v>
      </c>
      <c r="U3482" t="s">
        <v>3941</v>
      </c>
      <c r="V3482" t="s">
        <v>3934</v>
      </c>
      <c r="W3482" s="9">
        <f>IF(V3482="pregrado",31,
IF(V3482="posgrados",31,
IF(V3482="rEINTEGROS",7,
IF(V3482="BIT",90,
IF(V3482="OP GRADO - INGLÉS",17,"")))))</f>
        <v>31</v>
      </c>
      <c r="X3482" t="s">
        <v>3940</v>
      </c>
    </row>
    <row r="3483" spans="1:24" ht="15" x14ac:dyDescent="0.35">
      <c r="A3483" s="4">
        <v>46044.478391203702</v>
      </c>
      <c r="B3483">
        <v>20116105</v>
      </c>
      <c r="C3483" s="6" t="s">
        <v>19</v>
      </c>
      <c r="D3483">
        <v>605985</v>
      </c>
      <c r="E3483" t="s">
        <v>20</v>
      </c>
      <c r="F3483">
        <v>1013611603</v>
      </c>
      <c r="G3483" t="s">
        <v>2156</v>
      </c>
      <c r="H3483">
        <v>100242899</v>
      </c>
      <c r="I3483">
        <v>202631</v>
      </c>
      <c r="J3483">
        <v>1013611603</v>
      </c>
      <c r="K3483" t="s">
        <v>23</v>
      </c>
      <c r="L3483" t="s">
        <v>240</v>
      </c>
      <c r="M3483" t="s">
        <v>24</v>
      </c>
      <c r="N3483" t="s">
        <v>35</v>
      </c>
      <c r="O3483" t="s">
        <v>26</v>
      </c>
      <c r="P3483" t="s">
        <v>27</v>
      </c>
      <c r="Q3483" t="s">
        <v>28</v>
      </c>
      <c r="R3483" t="s">
        <v>29</v>
      </c>
      <c r="S3483" t="s">
        <v>30</v>
      </c>
      <c r="T3483">
        <v>1030570122</v>
      </c>
      <c r="U3483" t="s">
        <v>3965</v>
      </c>
      <c r="V3483" t="s">
        <v>3934</v>
      </c>
      <c r="W3483" s="9">
        <f>IF(V3483="pregrado",31,
IF(V3483="posgrados",31,
IF(V3483="rEINTEGROS",7,
IF(V3483="BIT",90,
IF(V3483="OP GRADO - INGLÉS",17,"")))))</f>
        <v>31</v>
      </c>
      <c r="X3483" t="s">
        <v>4015</v>
      </c>
    </row>
    <row r="3484" spans="1:24" ht="15" x14ac:dyDescent="0.35">
      <c r="A3484" s="4">
        <v>46043.527314814812</v>
      </c>
      <c r="B3484">
        <v>20115741</v>
      </c>
      <c r="C3484" s="6" t="s">
        <v>19</v>
      </c>
      <c r="D3484">
        <v>605987</v>
      </c>
      <c r="E3484" t="s">
        <v>20</v>
      </c>
      <c r="F3484">
        <v>1005713969</v>
      </c>
      <c r="G3484" t="s">
        <v>2084</v>
      </c>
      <c r="H3484">
        <v>100240102</v>
      </c>
      <c r="I3484">
        <v>202631</v>
      </c>
      <c r="J3484">
        <v>1005713969</v>
      </c>
      <c r="K3484" t="s">
        <v>23</v>
      </c>
      <c r="L3484" t="s">
        <v>370</v>
      </c>
      <c r="M3484" t="s">
        <v>24</v>
      </c>
      <c r="N3484" t="s">
        <v>35</v>
      </c>
      <c r="O3484" t="s">
        <v>26</v>
      </c>
      <c r="P3484" t="s">
        <v>27</v>
      </c>
      <c r="Q3484" t="s">
        <v>28</v>
      </c>
      <c r="R3484" t="s">
        <v>29</v>
      </c>
      <c r="S3484" t="s">
        <v>30</v>
      </c>
      <c r="T3484">
        <v>1000973717</v>
      </c>
      <c r="U3484" t="s">
        <v>3963</v>
      </c>
      <c r="V3484" t="s">
        <v>3934</v>
      </c>
      <c r="W3484" s="9">
        <f>IF(V3484="pregrado",31,
IF(V3484="posgrados",31,
IF(V3484="rEINTEGROS",7,
IF(V3484="BIT",90,
IF(V3484="OP GRADO - INGLÉS",17,"")))))</f>
        <v>31</v>
      </c>
      <c r="X3484" t="s">
        <v>4073</v>
      </c>
    </row>
    <row r="3485" spans="1:24" ht="15" x14ac:dyDescent="0.35">
      <c r="A3485" s="4">
        <v>46044.455821759257</v>
      </c>
      <c r="B3485">
        <v>20116084</v>
      </c>
      <c r="C3485" s="6" t="s">
        <v>19</v>
      </c>
      <c r="D3485">
        <v>605992</v>
      </c>
      <c r="E3485" t="s">
        <v>20</v>
      </c>
      <c r="F3485">
        <v>1002670460</v>
      </c>
      <c r="G3485" t="s">
        <v>2150</v>
      </c>
      <c r="H3485">
        <v>100193892</v>
      </c>
      <c r="I3485">
        <v>202631</v>
      </c>
      <c r="J3485">
        <v>1002670460</v>
      </c>
      <c r="K3485" t="s">
        <v>23</v>
      </c>
      <c r="L3485" t="s">
        <v>240</v>
      </c>
      <c r="M3485" t="s">
        <v>24</v>
      </c>
      <c r="N3485" t="s">
        <v>35</v>
      </c>
      <c r="O3485" t="s">
        <v>26</v>
      </c>
      <c r="P3485" t="s">
        <v>27</v>
      </c>
      <c r="Q3485" t="s">
        <v>28</v>
      </c>
      <c r="R3485" t="s">
        <v>29</v>
      </c>
      <c r="S3485" t="s">
        <v>30</v>
      </c>
      <c r="T3485">
        <v>1073692626</v>
      </c>
      <c r="U3485" t="s">
        <v>3965</v>
      </c>
      <c r="V3485" t="s">
        <v>3934</v>
      </c>
      <c r="W3485" s="9">
        <f>IF(V3485="pregrado",31,
IF(V3485="posgrados",31,
IF(V3485="rEINTEGROS",7,
IF(V3485="BIT",90,
IF(V3485="OP GRADO - INGLÉS",17,"")))))</f>
        <v>31</v>
      </c>
      <c r="X3485" t="s">
        <v>4014</v>
      </c>
    </row>
    <row r="3486" spans="1:24" ht="15" x14ac:dyDescent="0.35">
      <c r="A3486" s="4">
        <v>46049.554340277777</v>
      </c>
      <c r="B3486">
        <v>20117551</v>
      </c>
      <c r="C3486" s="6" t="s">
        <v>19</v>
      </c>
      <c r="D3486">
        <v>605995</v>
      </c>
      <c r="E3486" t="s">
        <v>20</v>
      </c>
      <c r="F3486">
        <v>26367181</v>
      </c>
      <c r="G3486" t="s">
        <v>2342</v>
      </c>
      <c r="H3486">
        <v>100242912</v>
      </c>
      <c r="I3486">
        <v>202631</v>
      </c>
      <c r="J3486">
        <v>1077173495</v>
      </c>
      <c r="K3486" t="s">
        <v>23</v>
      </c>
      <c r="L3486" t="s">
        <v>370</v>
      </c>
      <c r="M3486" t="s">
        <v>24</v>
      </c>
      <c r="N3486" t="s">
        <v>35</v>
      </c>
      <c r="O3486" t="s">
        <v>26</v>
      </c>
      <c r="P3486" t="s">
        <v>27</v>
      </c>
      <c r="Q3486" t="s">
        <v>28</v>
      </c>
      <c r="R3486" t="s">
        <v>29</v>
      </c>
      <c r="S3486" t="s">
        <v>30</v>
      </c>
      <c r="T3486">
        <v>1000973717</v>
      </c>
      <c r="U3486" t="s">
        <v>3963</v>
      </c>
      <c r="V3486" t="s">
        <v>3934</v>
      </c>
      <c r="W3486" s="9">
        <f>IF(V3486="pregrado",31,
IF(V3486="posgrados",31,
IF(V3486="rEINTEGROS",7,
IF(V3486="BIT",90,
IF(V3486="OP GRADO - INGLÉS",17,"")))))</f>
        <v>31</v>
      </c>
      <c r="X3486" t="s">
        <v>4073</v>
      </c>
    </row>
    <row r="3487" spans="1:24" ht="15" x14ac:dyDescent="0.35">
      <c r="A3487" s="4">
        <v>46043.635416666664</v>
      </c>
      <c r="B3487">
        <v>20115829</v>
      </c>
      <c r="C3487" s="6" t="s">
        <v>19</v>
      </c>
      <c r="D3487">
        <v>605998</v>
      </c>
      <c r="E3487" t="s">
        <v>20</v>
      </c>
      <c r="F3487">
        <v>1032453474</v>
      </c>
      <c r="G3487" t="s">
        <v>2100</v>
      </c>
      <c r="H3487">
        <v>100111469</v>
      </c>
      <c r="I3487">
        <v>202631</v>
      </c>
      <c r="J3487">
        <v>1032453474</v>
      </c>
      <c r="K3487" t="s">
        <v>23</v>
      </c>
      <c r="L3487" t="s">
        <v>51</v>
      </c>
      <c r="M3487" t="s">
        <v>24</v>
      </c>
      <c r="N3487" t="s">
        <v>35</v>
      </c>
      <c r="O3487" t="s">
        <v>26</v>
      </c>
      <c r="P3487" t="s">
        <v>27</v>
      </c>
      <c r="Q3487" t="s">
        <v>28</v>
      </c>
      <c r="R3487" t="s">
        <v>29</v>
      </c>
      <c r="S3487" t="s">
        <v>30</v>
      </c>
      <c r="T3487">
        <v>1000286877</v>
      </c>
      <c r="U3487" t="s">
        <v>3986</v>
      </c>
      <c r="V3487" t="s">
        <v>3934</v>
      </c>
      <c r="W3487" s="9">
        <f>IF(V3487="pregrado",31,
IF(V3487="posgrados",31,
IF(V3487="rEINTEGROS",7,
IF(V3487="BIT",90,
IF(V3487="OP GRADO - INGLÉS",17,"")))))</f>
        <v>31</v>
      </c>
      <c r="X3487" t="s">
        <v>4100</v>
      </c>
    </row>
    <row r="3488" spans="1:24" ht="15" x14ac:dyDescent="0.35">
      <c r="A3488" s="4">
        <v>46048.508391203701</v>
      </c>
      <c r="B3488">
        <v>20117077</v>
      </c>
      <c r="C3488" s="6" t="s">
        <v>19</v>
      </c>
      <c r="D3488">
        <v>606005</v>
      </c>
      <c r="E3488" t="s">
        <v>20</v>
      </c>
      <c r="F3488">
        <v>79220453</v>
      </c>
      <c r="G3488" t="s">
        <v>2287</v>
      </c>
      <c r="H3488">
        <v>100242921</v>
      </c>
      <c r="I3488">
        <v>202631</v>
      </c>
      <c r="J3488">
        <v>40278736</v>
      </c>
      <c r="K3488" t="s">
        <v>74</v>
      </c>
      <c r="L3488" t="s">
        <v>42</v>
      </c>
      <c r="M3488" t="s">
        <v>24</v>
      </c>
      <c r="N3488" t="s">
        <v>35</v>
      </c>
      <c r="O3488" t="s">
        <v>26</v>
      </c>
      <c r="P3488" t="s">
        <v>27</v>
      </c>
      <c r="Q3488" t="s">
        <v>28</v>
      </c>
      <c r="R3488" t="s">
        <v>29</v>
      </c>
      <c r="S3488" t="s">
        <v>30</v>
      </c>
      <c r="T3488">
        <v>53139409</v>
      </c>
      <c r="U3488" t="s">
        <v>3944</v>
      </c>
      <c r="V3488" t="s">
        <v>3934</v>
      </c>
      <c r="W3488" s="9">
        <f>IF(V3488="pregrado",31,
IF(V3488="posgrados",31,
IF(V3488="rEINTEGROS",7,
IF(V3488="BIT",90,
IF(V3488="OP GRADO - INGLÉS",17,"")))))</f>
        <v>31</v>
      </c>
      <c r="X3488" t="s">
        <v>3955</v>
      </c>
    </row>
    <row r="3489" spans="1:24" ht="15" x14ac:dyDescent="0.35">
      <c r="A3489" s="4">
        <v>46046.706053240741</v>
      </c>
      <c r="B3489">
        <v>20116902</v>
      </c>
      <c r="C3489" s="6" t="s">
        <v>19</v>
      </c>
      <c r="D3489">
        <v>606007</v>
      </c>
      <c r="E3489" t="s">
        <v>20</v>
      </c>
      <c r="F3489">
        <v>1000000378</v>
      </c>
      <c r="G3489" t="s">
        <v>2265</v>
      </c>
      <c r="H3489">
        <v>200085667</v>
      </c>
      <c r="I3489">
        <v>202631</v>
      </c>
      <c r="J3489">
        <v>1026299419</v>
      </c>
      <c r="K3489" t="s">
        <v>23</v>
      </c>
      <c r="L3489" t="s">
        <v>22</v>
      </c>
      <c r="M3489" t="s">
        <v>24</v>
      </c>
      <c r="N3489" t="s">
        <v>35</v>
      </c>
      <c r="O3489" t="s">
        <v>26</v>
      </c>
      <c r="P3489" t="s">
        <v>27</v>
      </c>
      <c r="Q3489" t="s">
        <v>28</v>
      </c>
      <c r="R3489" t="s">
        <v>29</v>
      </c>
      <c r="S3489" t="s">
        <v>30</v>
      </c>
      <c r="T3489">
        <v>79786913</v>
      </c>
      <c r="U3489" t="s">
        <v>3939</v>
      </c>
      <c r="V3489" t="s">
        <v>3934</v>
      </c>
      <c r="W3489" s="9">
        <f>IF(V3489="pregrado",31,
IF(V3489="posgrados",31,
IF(V3489="rEINTEGROS",7,
IF(V3489="BIT",90,
IF(V3489="OP GRADO - INGLÉS",17,"")))))</f>
        <v>31</v>
      </c>
      <c r="X3489" t="s">
        <v>4010</v>
      </c>
    </row>
    <row r="3490" spans="1:24" ht="15" x14ac:dyDescent="0.35">
      <c r="A3490" s="4">
        <v>46062.60800925926</v>
      </c>
      <c r="B3490">
        <v>20121702</v>
      </c>
      <c r="C3490" s="6" t="s">
        <v>19</v>
      </c>
      <c r="D3490">
        <v>606026</v>
      </c>
      <c r="E3490" t="s">
        <v>20</v>
      </c>
      <c r="F3490">
        <v>57302501</v>
      </c>
      <c r="G3490" t="s">
        <v>2929</v>
      </c>
      <c r="H3490">
        <v>100242945</v>
      </c>
      <c r="I3490">
        <v>202631</v>
      </c>
      <c r="J3490">
        <v>1079940592</v>
      </c>
      <c r="K3490" t="s">
        <v>33</v>
      </c>
      <c r="L3490" t="s">
        <v>370</v>
      </c>
      <c r="M3490" t="s">
        <v>24</v>
      </c>
      <c r="N3490" t="s">
        <v>35</v>
      </c>
      <c r="O3490" t="s">
        <v>26</v>
      </c>
      <c r="P3490" t="s">
        <v>27</v>
      </c>
      <c r="Q3490" t="s">
        <v>28</v>
      </c>
      <c r="R3490" t="s">
        <v>29</v>
      </c>
      <c r="S3490" t="s">
        <v>30</v>
      </c>
      <c r="T3490">
        <v>1023975276</v>
      </c>
      <c r="U3490" t="s">
        <v>3963</v>
      </c>
      <c r="V3490" t="s">
        <v>3934</v>
      </c>
      <c r="W3490" s="9">
        <f>IF(V3490="pregrado",31,
IF(V3490="posgrados",31,
IF(V3490="rEINTEGROS",7,
IF(V3490="BIT",90,
IF(V3490="OP GRADO - INGLÉS",17,"")))))</f>
        <v>31</v>
      </c>
      <c r="X3490" t="s">
        <v>3962</v>
      </c>
    </row>
    <row r="3491" spans="1:24" ht="15" x14ac:dyDescent="0.35">
      <c r="A3491" s="4">
        <v>46044.771412037036</v>
      </c>
      <c r="B3491">
        <v>20116360</v>
      </c>
      <c r="C3491" s="6" t="s">
        <v>19</v>
      </c>
      <c r="D3491">
        <v>606029</v>
      </c>
      <c r="E3491" t="s">
        <v>20</v>
      </c>
      <c r="F3491">
        <v>1193593229</v>
      </c>
      <c r="G3491" t="s">
        <v>2208</v>
      </c>
      <c r="H3491">
        <v>100242947</v>
      </c>
      <c r="I3491">
        <v>202631</v>
      </c>
      <c r="J3491">
        <v>1193593229</v>
      </c>
      <c r="K3491" t="s">
        <v>33</v>
      </c>
      <c r="L3491" t="s">
        <v>240</v>
      </c>
      <c r="M3491" t="s">
        <v>24</v>
      </c>
      <c r="N3491" t="s">
        <v>605</v>
      </c>
      <c r="O3491" t="s">
        <v>26</v>
      </c>
      <c r="P3491" t="s">
        <v>27</v>
      </c>
      <c r="Q3491" t="s">
        <v>28</v>
      </c>
      <c r="R3491" t="s">
        <v>29</v>
      </c>
      <c r="S3491" t="s">
        <v>30</v>
      </c>
      <c r="T3491">
        <v>45555807</v>
      </c>
      <c r="U3491" t="s">
        <v>3965</v>
      </c>
      <c r="V3491" t="s">
        <v>3934</v>
      </c>
      <c r="W3491" s="9">
        <f>IF(V3491="pregrado",31,
IF(V3491="posgrados",31,
IF(V3491="rEINTEGROS",7,
IF(V3491="BIT",90,
IF(V3491="OP GRADO - INGLÉS",17,"")))))</f>
        <v>31</v>
      </c>
      <c r="X3491" t="s">
        <v>4027</v>
      </c>
    </row>
    <row r="3492" spans="1:24" ht="15" x14ac:dyDescent="0.35">
      <c r="A3492" s="4">
        <v>46044.600104166668</v>
      </c>
      <c r="B3492">
        <v>20116197</v>
      </c>
      <c r="C3492" s="6" t="s">
        <v>19</v>
      </c>
      <c r="D3492">
        <v>606030</v>
      </c>
      <c r="E3492" t="s">
        <v>20</v>
      </c>
      <c r="F3492">
        <v>1082891958</v>
      </c>
      <c r="G3492" t="s">
        <v>2174</v>
      </c>
      <c r="H3492">
        <v>200067301</v>
      </c>
      <c r="I3492">
        <v>202631</v>
      </c>
      <c r="J3492">
        <v>1082891958</v>
      </c>
      <c r="K3492" t="s">
        <v>33</v>
      </c>
      <c r="L3492" t="s">
        <v>22</v>
      </c>
      <c r="M3492" t="s">
        <v>24</v>
      </c>
      <c r="N3492" t="s">
        <v>25</v>
      </c>
      <c r="O3492" t="s">
        <v>26</v>
      </c>
      <c r="P3492" t="s">
        <v>27</v>
      </c>
      <c r="Q3492" t="s">
        <v>28</v>
      </c>
      <c r="R3492" t="s">
        <v>29</v>
      </c>
      <c r="S3492" t="s">
        <v>30</v>
      </c>
      <c r="T3492">
        <v>1018496066</v>
      </c>
      <c r="U3492" t="s">
        <v>3939</v>
      </c>
      <c r="V3492" t="s">
        <v>3934</v>
      </c>
      <c r="W3492" s="9">
        <f>IF(V3492="pregrado",31,
IF(V3492="posgrados",31,
IF(V3492="rEINTEGROS",7,
IF(V3492="BIT",90,
IF(V3492="OP GRADO - INGLÉS",17,"")))))</f>
        <v>31</v>
      </c>
      <c r="X3492" t="s">
        <v>4006</v>
      </c>
    </row>
    <row r="3493" spans="1:24" ht="15" x14ac:dyDescent="0.35">
      <c r="A3493" s="4">
        <v>46051.551631944443</v>
      </c>
      <c r="B3493">
        <v>20118481</v>
      </c>
      <c r="C3493" s="6" t="s">
        <v>19</v>
      </c>
      <c r="D3493">
        <v>606031</v>
      </c>
      <c r="E3493" t="s">
        <v>20</v>
      </c>
      <c r="F3493">
        <v>34446078</v>
      </c>
      <c r="G3493" t="s">
        <v>2485</v>
      </c>
      <c r="H3493">
        <v>100242948</v>
      </c>
      <c r="I3493">
        <v>202631</v>
      </c>
      <c r="J3493">
        <v>1002927138</v>
      </c>
      <c r="K3493" t="s">
        <v>33</v>
      </c>
      <c r="L3493" t="s">
        <v>370</v>
      </c>
      <c r="M3493" t="s">
        <v>24</v>
      </c>
      <c r="N3493" t="s">
        <v>35</v>
      </c>
      <c r="O3493" t="s">
        <v>26</v>
      </c>
      <c r="P3493" t="s">
        <v>27</v>
      </c>
      <c r="Q3493" t="s">
        <v>28</v>
      </c>
      <c r="R3493" t="s">
        <v>29</v>
      </c>
      <c r="S3493" t="s">
        <v>30</v>
      </c>
      <c r="T3493">
        <v>1023974716</v>
      </c>
      <c r="U3493" t="s">
        <v>3963</v>
      </c>
      <c r="V3493" t="s">
        <v>3934</v>
      </c>
      <c r="W3493" s="9">
        <f>IF(V3493="pregrado",31,
IF(V3493="posgrados",31,
IF(V3493="rEINTEGROS",7,
IF(V3493="BIT",90,
IF(V3493="OP GRADO - INGLÉS",17,"")))))</f>
        <v>31</v>
      </c>
      <c r="X3493" t="s">
        <v>4016</v>
      </c>
    </row>
    <row r="3494" spans="1:24" ht="15" x14ac:dyDescent="0.35">
      <c r="A3494" s="4">
        <v>46044.363761574074</v>
      </c>
      <c r="B3494">
        <v>20115995</v>
      </c>
      <c r="C3494" s="6" t="s">
        <v>19</v>
      </c>
      <c r="D3494">
        <v>606035</v>
      </c>
      <c r="E3494" t="s">
        <v>20</v>
      </c>
      <c r="F3494">
        <v>1121898529</v>
      </c>
      <c r="G3494" t="s">
        <v>2129</v>
      </c>
      <c r="H3494">
        <v>100199710</v>
      </c>
      <c r="I3494">
        <v>202631</v>
      </c>
      <c r="J3494">
        <v>1121898529</v>
      </c>
      <c r="K3494" t="s">
        <v>33</v>
      </c>
      <c r="L3494" t="s">
        <v>207</v>
      </c>
      <c r="M3494" t="s">
        <v>24</v>
      </c>
      <c r="N3494" t="s">
        <v>25</v>
      </c>
      <c r="O3494" t="s">
        <v>26</v>
      </c>
      <c r="P3494" t="s">
        <v>27</v>
      </c>
      <c r="Q3494" t="s">
        <v>28</v>
      </c>
      <c r="R3494" t="s">
        <v>29</v>
      </c>
      <c r="S3494" t="s">
        <v>30</v>
      </c>
      <c r="T3494">
        <v>52182207</v>
      </c>
      <c r="U3494" t="s">
        <v>3941</v>
      </c>
      <c r="V3494" t="s">
        <v>3934</v>
      </c>
      <c r="W3494" s="9">
        <f>IF(V3494="pregrado",31,
IF(V3494="posgrados",31,
IF(V3494="rEINTEGROS",7,
IF(V3494="BIT",90,
IF(V3494="OP GRADO - INGLÉS",17,"")))))</f>
        <v>31</v>
      </c>
      <c r="X3494" t="s">
        <v>3946</v>
      </c>
    </row>
    <row r="3495" spans="1:24" ht="15" x14ac:dyDescent="0.35">
      <c r="A3495" s="4">
        <v>46050.682835648149</v>
      </c>
      <c r="B3495">
        <v>20118131</v>
      </c>
      <c r="C3495" s="6" t="s">
        <v>19</v>
      </c>
      <c r="D3495">
        <v>606044</v>
      </c>
      <c r="E3495" t="s">
        <v>20</v>
      </c>
      <c r="F3495">
        <v>1007248375</v>
      </c>
      <c r="G3495" t="s">
        <v>2430</v>
      </c>
      <c r="H3495">
        <v>100242961</v>
      </c>
      <c r="I3495">
        <v>202610</v>
      </c>
      <c r="J3495">
        <v>1007248375</v>
      </c>
      <c r="K3495" t="s">
        <v>74</v>
      </c>
      <c r="L3495" t="s">
        <v>40</v>
      </c>
      <c r="M3495" t="s">
        <v>24</v>
      </c>
      <c r="N3495" t="s">
        <v>35</v>
      </c>
      <c r="O3495" t="s">
        <v>26</v>
      </c>
      <c r="P3495" t="s">
        <v>27</v>
      </c>
      <c r="Q3495" t="s">
        <v>28</v>
      </c>
      <c r="R3495" t="s">
        <v>29</v>
      </c>
      <c r="S3495" t="s">
        <v>30</v>
      </c>
      <c r="T3495">
        <v>1000578914</v>
      </c>
      <c r="U3495" t="s">
        <v>3941</v>
      </c>
      <c r="V3495" t="s">
        <v>3934</v>
      </c>
      <c r="W3495" s="9">
        <f>IF(V3495="pregrado",31,
IF(V3495="posgrados",31,
IF(V3495="rEINTEGROS",7,
IF(V3495="BIT",90,
IF(V3495="OP GRADO - INGLÉS",17,"")))))</f>
        <v>31</v>
      </c>
      <c r="X3495" t="s">
        <v>4060</v>
      </c>
    </row>
    <row r="3496" spans="1:24" ht="15" x14ac:dyDescent="0.35">
      <c r="A3496" s="4">
        <v>46069.355034722219</v>
      </c>
      <c r="B3496">
        <v>20123570</v>
      </c>
      <c r="C3496" s="6" t="s">
        <v>19</v>
      </c>
      <c r="D3496">
        <v>606049</v>
      </c>
      <c r="E3496" t="s">
        <v>20</v>
      </c>
      <c r="F3496">
        <v>1128844745</v>
      </c>
      <c r="G3496" t="s">
        <v>3221</v>
      </c>
      <c r="H3496">
        <v>100166800</v>
      </c>
      <c r="I3496">
        <v>202631</v>
      </c>
      <c r="J3496">
        <v>1128844745</v>
      </c>
      <c r="K3496" t="s">
        <v>89</v>
      </c>
      <c r="L3496" t="s">
        <v>90</v>
      </c>
      <c r="M3496" t="s">
        <v>24</v>
      </c>
      <c r="N3496" t="s">
        <v>25</v>
      </c>
      <c r="O3496" t="s">
        <v>26</v>
      </c>
      <c r="P3496" t="s">
        <v>27</v>
      </c>
      <c r="Q3496" t="s">
        <v>28</v>
      </c>
      <c r="R3496" t="s">
        <v>29</v>
      </c>
      <c r="S3496" t="s">
        <v>30</v>
      </c>
      <c r="T3496">
        <v>1019102787</v>
      </c>
      <c r="U3496" t="s">
        <v>3977</v>
      </c>
      <c r="V3496" t="s">
        <v>3970</v>
      </c>
      <c r="W3496" s="9">
        <f>IF(V3496="pregrado",31,
IF(V3496="posgrados",31,
IF(V3496="rEINTEGROS",7,
IF(V3496="BIT",90,
IF(V3496="OP GRADO - INGLÉS",17,"")))))</f>
        <v>7</v>
      </c>
      <c r="X3496" t="s">
        <v>3976</v>
      </c>
    </row>
    <row r="3497" spans="1:24" ht="15" x14ac:dyDescent="0.35">
      <c r="A3497" s="4">
        <v>46043.710625</v>
      </c>
      <c r="B3497">
        <v>20115893</v>
      </c>
      <c r="C3497" s="6" t="s">
        <v>19</v>
      </c>
      <c r="D3497">
        <v>606052</v>
      </c>
      <c r="E3497" t="s">
        <v>20</v>
      </c>
      <c r="F3497">
        <v>53090988</v>
      </c>
      <c r="G3497" t="s">
        <v>2115</v>
      </c>
      <c r="H3497">
        <v>100242966</v>
      </c>
      <c r="I3497">
        <v>202631</v>
      </c>
      <c r="J3497">
        <v>1013123038</v>
      </c>
      <c r="K3497" t="s">
        <v>23</v>
      </c>
      <c r="L3497" t="s">
        <v>240</v>
      </c>
      <c r="M3497" t="s">
        <v>24</v>
      </c>
      <c r="N3497" t="s">
        <v>35</v>
      </c>
      <c r="O3497" t="s">
        <v>26</v>
      </c>
      <c r="P3497" t="s">
        <v>27</v>
      </c>
      <c r="Q3497" t="s">
        <v>28</v>
      </c>
      <c r="R3497" t="s">
        <v>29</v>
      </c>
      <c r="S3497" t="s">
        <v>30</v>
      </c>
      <c r="T3497">
        <v>1003652550</v>
      </c>
      <c r="U3497" t="s">
        <v>3965</v>
      </c>
      <c r="V3497" t="s">
        <v>3934</v>
      </c>
      <c r="W3497" s="9">
        <f>IF(V3497="pregrado",31,
IF(V3497="posgrados",31,
IF(V3497="rEINTEGROS",7,
IF(V3497="BIT",90,
IF(V3497="OP GRADO - INGLÉS",17,"")))))</f>
        <v>31</v>
      </c>
      <c r="X3497" t="s">
        <v>4059</v>
      </c>
    </row>
    <row r="3498" spans="1:24" ht="15" x14ac:dyDescent="0.35">
      <c r="A3498" s="4">
        <v>46049.873506944445</v>
      </c>
      <c r="B3498">
        <v>20117791</v>
      </c>
      <c r="C3498" s="6" t="s">
        <v>19</v>
      </c>
      <c r="D3498">
        <v>606057</v>
      </c>
      <c r="E3498" t="s">
        <v>20</v>
      </c>
      <c r="F3498">
        <v>1005604449</v>
      </c>
      <c r="G3498" t="s">
        <v>2380</v>
      </c>
      <c r="H3498">
        <v>100242970</v>
      </c>
      <c r="I3498">
        <v>202631</v>
      </c>
      <c r="J3498">
        <v>1104258052</v>
      </c>
      <c r="K3498" t="s">
        <v>33</v>
      </c>
      <c r="L3498" t="s">
        <v>101</v>
      </c>
      <c r="M3498" t="s">
        <v>24</v>
      </c>
      <c r="N3498" t="s">
        <v>35</v>
      </c>
      <c r="O3498" t="s">
        <v>26</v>
      </c>
      <c r="P3498" t="s">
        <v>27</v>
      </c>
      <c r="Q3498" t="s">
        <v>28</v>
      </c>
      <c r="R3498" t="s">
        <v>29</v>
      </c>
      <c r="S3498" t="s">
        <v>30</v>
      </c>
      <c r="T3498">
        <v>1014283217</v>
      </c>
      <c r="U3498" t="s">
        <v>3963</v>
      </c>
      <c r="V3498" t="s">
        <v>3934</v>
      </c>
      <c r="W3498" s="9">
        <f>IF(V3498="pregrado",31,
IF(V3498="posgrados",31,
IF(V3498="rEINTEGROS",7,
IF(V3498="BIT",90,
IF(V3498="OP GRADO - INGLÉS",17,"")))))</f>
        <v>31</v>
      </c>
      <c r="X3498" t="s">
        <v>4023</v>
      </c>
    </row>
    <row r="3499" spans="1:24" ht="15" x14ac:dyDescent="0.35">
      <c r="A3499" s="4">
        <v>46046.034282407411</v>
      </c>
      <c r="B3499">
        <v>20116781</v>
      </c>
      <c r="C3499" s="6" t="s">
        <v>19</v>
      </c>
      <c r="D3499">
        <v>606062</v>
      </c>
      <c r="E3499" t="s">
        <v>20</v>
      </c>
      <c r="F3499">
        <v>1016015410</v>
      </c>
      <c r="G3499" t="s">
        <v>2257</v>
      </c>
      <c r="H3499">
        <v>100117295</v>
      </c>
      <c r="I3499">
        <v>202610</v>
      </c>
      <c r="J3499">
        <v>1057516507</v>
      </c>
      <c r="K3499" t="s">
        <v>89</v>
      </c>
      <c r="L3499" t="s">
        <v>79</v>
      </c>
      <c r="M3499" t="s">
        <v>24</v>
      </c>
      <c r="N3499" t="s">
        <v>35</v>
      </c>
      <c r="O3499" t="s">
        <v>26</v>
      </c>
      <c r="P3499" t="s">
        <v>27</v>
      </c>
      <c r="Q3499" t="s">
        <v>28</v>
      </c>
      <c r="R3499" t="s">
        <v>29</v>
      </c>
      <c r="S3499" t="s">
        <v>30</v>
      </c>
      <c r="T3499">
        <v>1019102787</v>
      </c>
      <c r="U3499" t="s">
        <v>3977</v>
      </c>
      <c r="V3499" t="s">
        <v>3970</v>
      </c>
      <c r="W3499" s="9">
        <f>IF(V3499="pregrado",31,
IF(V3499="posgrados",31,
IF(V3499="rEINTEGROS",7,
IF(V3499="BIT",90,
IF(V3499="OP GRADO - INGLÉS",17,"")))))</f>
        <v>7</v>
      </c>
      <c r="X3499" t="s">
        <v>3976</v>
      </c>
    </row>
    <row r="3500" spans="1:24" ht="15" x14ac:dyDescent="0.35">
      <c r="A3500" s="4">
        <v>46044.136377314811</v>
      </c>
      <c r="B3500">
        <v>20115974</v>
      </c>
      <c r="C3500" s="6" t="s">
        <v>19</v>
      </c>
      <c r="D3500">
        <v>606064</v>
      </c>
      <c r="E3500" t="s">
        <v>20</v>
      </c>
      <c r="F3500">
        <v>1063485335</v>
      </c>
      <c r="G3500" t="s">
        <v>2124</v>
      </c>
      <c r="H3500">
        <v>100174519</v>
      </c>
      <c r="I3500">
        <v>202611</v>
      </c>
      <c r="J3500">
        <v>1063485335</v>
      </c>
      <c r="K3500" t="s">
        <v>89</v>
      </c>
      <c r="L3500" t="s">
        <v>133</v>
      </c>
      <c r="M3500" t="s">
        <v>24</v>
      </c>
      <c r="N3500" t="s">
        <v>38</v>
      </c>
      <c r="O3500" t="s">
        <v>26</v>
      </c>
      <c r="P3500" t="s">
        <v>27</v>
      </c>
      <c r="Q3500" t="s">
        <v>28</v>
      </c>
      <c r="R3500" t="s">
        <v>29</v>
      </c>
      <c r="S3500" t="s">
        <v>30</v>
      </c>
      <c r="T3500">
        <v>1019102787</v>
      </c>
      <c r="U3500" t="s">
        <v>3977</v>
      </c>
      <c r="V3500" t="s">
        <v>3970</v>
      </c>
      <c r="W3500" s="9">
        <f>IF(V3500="pregrado",31,
IF(V3500="posgrados",31,
IF(V3500="rEINTEGROS",7,
IF(V3500="BIT",90,
IF(V3500="OP GRADO - INGLÉS",17,"")))))</f>
        <v>7</v>
      </c>
      <c r="X3500" t="s">
        <v>3976</v>
      </c>
    </row>
    <row r="3501" spans="1:24" ht="15" x14ac:dyDescent="0.35">
      <c r="A3501" s="4">
        <v>46057.411539351851</v>
      </c>
      <c r="B3501">
        <v>20120339</v>
      </c>
      <c r="C3501" s="6" t="s">
        <v>19</v>
      </c>
      <c r="D3501">
        <v>606066</v>
      </c>
      <c r="E3501" t="s">
        <v>20</v>
      </c>
      <c r="F3501">
        <v>1069306331</v>
      </c>
      <c r="G3501" t="s">
        <v>2726</v>
      </c>
      <c r="H3501">
        <v>100216340</v>
      </c>
      <c r="I3501">
        <v>202611</v>
      </c>
      <c r="J3501">
        <v>1069306331</v>
      </c>
      <c r="K3501" t="s">
        <v>89</v>
      </c>
      <c r="L3501" t="s">
        <v>133</v>
      </c>
      <c r="M3501" t="s">
        <v>24</v>
      </c>
      <c r="N3501" t="s">
        <v>25</v>
      </c>
      <c r="O3501" t="s">
        <v>26</v>
      </c>
      <c r="P3501" t="s">
        <v>27</v>
      </c>
      <c r="Q3501" t="s">
        <v>28</v>
      </c>
      <c r="R3501" t="s">
        <v>29</v>
      </c>
      <c r="S3501" t="s">
        <v>30</v>
      </c>
      <c r="T3501">
        <v>1019102787</v>
      </c>
      <c r="U3501" t="s">
        <v>3977</v>
      </c>
      <c r="V3501" t="s">
        <v>3970</v>
      </c>
      <c r="W3501" s="9">
        <f>IF(V3501="pregrado",31,
IF(V3501="posgrados",31,
IF(V3501="rEINTEGROS",7,
IF(V3501="BIT",90,
IF(V3501="OP GRADO - INGLÉS",17,"")))))</f>
        <v>7</v>
      </c>
      <c r="X3501" t="s">
        <v>3976</v>
      </c>
    </row>
    <row r="3502" spans="1:24" ht="15" x14ac:dyDescent="0.35">
      <c r="A3502" s="4">
        <v>46048.583009259259</v>
      </c>
      <c r="B3502">
        <v>20117130</v>
      </c>
      <c r="C3502" s="6" t="s">
        <v>19</v>
      </c>
      <c r="D3502">
        <v>606073</v>
      </c>
      <c r="E3502" t="s">
        <v>20</v>
      </c>
      <c r="F3502">
        <v>1003826482</v>
      </c>
      <c r="G3502" t="s">
        <v>2292</v>
      </c>
      <c r="H3502">
        <v>100122916</v>
      </c>
      <c r="I3502">
        <v>202631</v>
      </c>
      <c r="J3502">
        <v>1003826482</v>
      </c>
      <c r="K3502" t="s">
        <v>89</v>
      </c>
      <c r="L3502" t="s">
        <v>127</v>
      </c>
      <c r="M3502" t="s">
        <v>24</v>
      </c>
      <c r="N3502" t="s">
        <v>35</v>
      </c>
      <c r="O3502" t="s">
        <v>26</v>
      </c>
      <c r="P3502" t="s">
        <v>27</v>
      </c>
      <c r="Q3502" t="s">
        <v>28</v>
      </c>
      <c r="R3502" t="s">
        <v>29</v>
      </c>
      <c r="S3502" t="s">
        <v>30</v>
      </c>
      <c r="T3502">
        <v>1023899450</v>
      </c>
      <c r="U3502" t="s">
        <v>3977</v>
      </c>
      <c r="V3502" t="s">
        <v>3970</v>
      </c>
      <c r="W3502" s="9">
        <f>IF(V3502="pregrado",31,
IF(V3502="posgrados",31,
IF(V3502="rEINTEGROS",7,
IF(V3502="BIT",90,
IF(V3502="OP GRADO - INGLÉS",17,"")))))</f>
        <v>7</v>
      </c>
      <c r="X3502" t="s">
        <v>3969</v>
      </c>
    </row>
    <row r="3503" spans="1:24" ht="15" x14ac:dyDescent="0.35">
      <c r="A3503" s="4">
        <v>46044.507407407407</v>
      </c>
      <c r="B3503">
        <v>20116139</v>
      </c>
      <c r="C3503" s="6" t="s">
        <v>19</v>
      </c>
      <c r="D3503">
        <v>606075</v>
      </c>
      <c r="E3503" t="s">
        <v>20</v>
      </c>
      <c r="F3503">
        <v>1006415884</v>
      </c>
      <c r="G3503" t="s">
        <v>2162</v>
      </c>
      <c r="H3503">
        <v>100188323</v>
      </c>
      <c r="I3503">
        <v>202631</v>
      </c>
      <c r="J3503">
        <v>1006415884</v>
      </c>
      <c r="K3503" t="s">
        <v>33</v>
      </c>
      <c r="L3503" t="s">
        <v>127</v>
      </c>
      <c r="M3503" t="s">
        <v>24</v>
      </c>
      <c r="N3503" t="s">
        <v>25</v>
      </c>
      <c r="O3503" t="s">
        <v>26</v>
      </c>
      <c r="P3503" t="s">
        <v>27</v>
      </c>
      <c r="Q3503" t="s">
        <v>28</v>
      </c>
      <c r="R3503" t="s">
        <v>29</v>
      </c>
      <c r="S3503" t="s">
        <v>30</v>
      </c>
      <c r="T3503">
        <v>10245841021</v>
      </c>
      <c r="U3503" t="s">
        <v>3933</v>
      </c>
      <c r="V3503" t="s">
        <v>3934</v>
      </c>
      <c r="W3503" s="9">
        <f>IF(V3503="pregrado",31,
IF(V3503="posgrados",31,
IF(V3503="rEINTEGROS",7,
IF(V3503="BIT",90,
IF(V3503="OP GRADO - INGLÉS",17,"")))))</f>
        <v>31</v>
      </c>
      <c r="X3503" t="s">
        <v>3987</v>
      </c>
    </row>
    <row r="3504" spans="1:24" ht="15" x14ac:dyDescent="0.35">
      <c r="A3504" s="4">
        <v>46044.684062499997</v>
      </c>
      <c r="B3504">
        <v>20116286</v>
      </c>
      <c r="C3504" s="6" t="s">
        <v>19</v>
      </c>
      <c r="D3504">
        <v>606078</v>
      </c>
      <c r="E3504" t="s">
        <v>20</v>
      </c>
      <c r="F3504">
        <v>1003237542</v>
      </c>
      <c r="G3504" t="s">
        <v>2190</v>
      </c>
      <c r="H3504">
        <v>100212294</v>
      </c>
      <c r="I3504">
        <v>202611</v>
      </c>
      <c r="J3504">
        <v>1003237542</v>
      </c>
      <c r="K3504" t="s">
        <v>89</v>
      </c>
      <c r="L3504" t="s">
        <v>133</v>
      </c>
      <c r="M3504" t="s">
        <v>24</v>
      </c>
      <c r="N3504" t="s">
        <v>35</v>
      </c>
      <c r="O3504" t="s">
        <v>26</v>
      </c>
      <c r="P3504" t="s">
        <v>27</v>
      </c>
      <c r="Q3504" t="s">
        <v>28</v>
      </c>
      <c r="R3504" t="s">
        <v>29</v>
      </c>
      <c r="S3504" t="s">
        <v>30</v>
      </c>
      <c r="T3504">
        <v>1000934874</v>
      </c>
      <c r="U3504" t="s">
        <v>3977</v>
      </c>
      <c r="V3504" t="s">
        <v>3970</v>
      </c>
      <c r="W3504" s="9">
        <f>IF(V3504="pregrado",31,
IF(V3504="posgrados",31,
IF(V3504="rEINTEGROS",7,
IF(V3504="BIT",90,
IF(V3504="OP GRADO - INGLÉS",17,"")))))</f>
        <v>7</v>
      </c>
      <c r="X3504" t="s">
        <v>3999</v>
      </c>
    </row>
    <row r="3505" spans="1:24" ht="15" x14ac:dyDescent="0.35">
      <c r="A3505" s="4">
        <v>46049.494016203702</v>
      </c>
      <c r="B3505">
        <v>20117492</v>
      </c>
      <c r="C3505" s="6" t="s">
        <v>19</v>
      </c>
      <c r="D3505">
        <v>606091</v>
      </c>
      <c r="E3505" t="s">
        <v>20</v>
      </c>
      <c r="F3505">
        <v>1064676353</v>
      </c>
      <c r="G3505" t="s">
        <v>2337</v>
      </c>
      <c r="H3505">
        <v>100243003</v>
      </c>
      <c r="I3505">
        <v>202631</v>
      </c>
      <c r="J3505">
        <v>1064676353</v>
      </c>
      <c r="K3505" t="s">
        <v>33</v>
      </c>
      <c r="L3505" t="s">
        <v>42</v>
      </c>
      <c r="M3505" t="s">
        <v>24</v>
      </c>
      <c r="N3505" t="s">
        <v>25</v>
      </c>
      <c r="O3505" t="s">
        <v>26</v>
      </c>
      <c r="P3505" t="s">
        <v>27</v>
      </c>
      <c r="Q3505" t="s">
        <v>28</v>
      </c>
      <c r="R3505" t="s">
        <v>29</v>
      </c>
      <c r="S3505" t="s">
        <v>30</v>
      </c>
      <c r="T3505">
        <v>1015478965</v>
      </c>
      <c r="U3505" t="s">
        <v>3944</v>
      </c>
      <c r="V3505" t="s">
        <v>3934</v>
      </c>
      <c r="W3505" s="9">
        <f>IF(V3505="pregrado",31,
IF(V3505="posgrados",31,
IF(V3505="rEINTEGROS",7,
IF(V3505="BIT",90,
IF(V3505="OP GRADO - INGLÉS",17,"")))))</f>
        <v>31</v>
      </c>
      <c r="X3505" t="s">
        <v>3979</v>
      </c>
    </row>
    <row r="3506" spans="1:24" ht="15" x14ac:dyDescent="0.35">
      <c r="A3506" s="4">
        <v>46044.713935185187</v>
      </c>
      <c r="B3506">
        <v>20116309</v>
      </c>
      <c r="C3506" s="6" t="s">
        <v>19</v>
      </c>
      <c r="D3506">
        <v>606106</v>
      </c>
      <c r="E3506" t="s">
        <v>20</v>
      </c>
      <c r="F3506">
        <v>1073251844</v>
      </c>
      <c r="G3506" t="s">
        <v>2196</v>
      </c>
      <c r="H3506">
        <v>100243020</v>
      </c>
      <c r="I3506">
        <v>202611</v>
      </c>
      <c r="J3506">
        <v>1073251844</v>
      </c>
      <c r="K3506" t="s">
        <v>74</v>
      </c>
      <c r="L3506" t="s">
        <v>204</v>
      </c>
      <c r="M3506" t="s">
        <v>24</v>
      </c>
      <c r="N3506" t="s">
        <v>35</v>
      </c>
      <c r="O3506" t="s">
        <v>26</v>
      </c>
      <c r="P3506" t="s">
        <v>27</v>
      </c>
      <c r="Q3506" t="s">
        <v>28</v>
      </c>
      <c r="R3506" t="s">
        <v>29</v>
      </c>
      <c r="S3506" t="s">
        <v>30</v>
      </c>
      <c r="T3506">
        <v>1032394283</v>
      </c>
      <c r="U3506" t="s">
        <v>3941</v>
      </c>
      <c r="V3506" t="s">
        <v>3934</v>
      </c>
      <c r="W3506" s="9">
        <f>IF(V3506="pregrado",31,
IF(V3506="posgrados",31,
IF(V3506="rEINTEGROS",7,
IF(V3506="BIT",90,
IF(V3506="OP GRADO - INGLÉS",17,"")))))</f>
        <v>31</v>
      </c>
      <c r="X3506" t="s">
        <v>4034</v>
      </c>
    </row>
    <row r="3507" spans="1:24" ht="15" x14ac:dyDescent="0.35">
      <c r="A3507" s="4">
        <v>46044.442800925928</v>
      </c>
      <c r="B3507">
        <v>20116069</v>
      </c>
      <c r="C3507" s="6" t="s">
        <v>19</v>
      </c>
      <c r="D3507">
        <v>606113</v>
      </c>
      <c r="E3507" t="s">
        <v>20</v>
      </c>
      <c r="F3507">
        <v>28845862</v>
      </c>
      <c r="G3507" t="s">
        <v>2148</v>
      </c>
      <c r="H3507">
        <v>100243029</v>
      </c>
      <c r="I3507">
        <v>202631</v>
      </c>
      <c r="J3507">
        <v>1106897229</v>
      </c>
      <c r="K3507" t="s">
        <v>33</v>
      </c>
      <c r="L3507" t="s">
        <v>42</v>
      </c>
      <c r="M3507" t="s">
        <v>24</v>
      </c>
      <c r="N3507" t="s">
        <v>25</v>
      </c>
      <c r="O3507" t="s">
        <v>26</v>
      </c>
      <c r="P3507" t="s">
        <v>27</v>
      </c>
      <c r="Q3507" t="s">
        <v>28</v>
      </c>
      <c r="R3507" t="s">
        <v>29</v>
      </c>
      <c r="S3507" t="s">
        <v>30</v>
      </c>
      <c r="T3507">
        <v>11001273124</v>
      </c>
      <c r="U3507" t="s">
        <v>3944</v>
      </c>
      <c r="V3507" t="s">
        <v>3934</v>
      </c>
      <c r="W3507" s="9">
        <f>IF(V3507="pregrado",31,
IF(V3507="posgrados",31,
IF(V3507="rEINTEGROS",7,
IF(V3507="BIT",90,
IF(V3507="OP GRADO - INGLÉS",17,"")))))</f>
        <v>31</v>
      </c>
      <c r="X3507" t="s">
        <v>3951</v>
      </c>
    </row>
    <row r="3508" spans="1:24" ht="15" x14ac:dyDescent="0.35">
      <c r="A3508" s="4">
        <v>46050.37358796296</v>
      </c>
      <c r="B3508">
        <v>20117833</v>
      </c>
      <c r="C3508" s="6" t="s">
        <v>19</v>
      </c>
      <c r="D3508">
        <v>606114</v>
      </c>
      <c r="E3508" t="s">
        <v>20</v>
      </c>
      <c r="F3508">
        <v>1010179104</v>
      </c>
      <c r="G3508" t="s">
        <v>2388</v>
      </c>
      <c r="H3508">
        <v>100243030</v>
      </c>
      <c r="I3508">
        <v>202611</v>
      </c>
      <c r="J3508">
        <v>1010179104</v>
      </c>
      <c r="K3508" t="s">
        <v>23</v>
      </c>
      <c r="L3508" t="s">
        <v>227</v>
      </c>
      <c r="M3508" t="s">
        <v>24</v>
      </c>
      <c r="N3508" t="s">
        <v>35</v>
      </c>
      <c r="O3508" t="s">
        <v>26</v>
      </c>
      <c r="P3508" t="s">
        <v>27</v>
      </c>
      <c r="Q3508" t="s">
        <v>28</v>
      </c>
      <c r="R3508" t="s">
        <v>29</v>
      </c>
      <c r="S3508" t="s">
        <v>30</v>
      </c>
      <c r="T3508">
        <v>10006855461</v>
      </c>
      <c r="U3508" t="s">
        <v>3965</v>
      </c>
      <c r="V3508" t="s">
        <v>3934</v>
      </c>
      <c r="W3508" s="9">
        <f>IF(V3508="pregrado",31,
IF(V3508="posgrados",31,
IF(V3508="rEINTEGROS",7,
IF(V3508="BIT",90,
IF(V3508="OP GRADO - INGLÉS",17,"")))))</f>
        <v>31</v>
      </c>
      <c r="X3508" t="s">
        <v>3993</v>
      </c>
    </row>
    <row r="3509" spans="1:24" ht="15" x14ac:dyDescent="0.35">
      <c r="A3509" s="4">
        <v>46044.687222222223</v>
      </c>
      <c r="B3509">
        <v>20116288</v>
      </c>
      <c r="C3509" s="6" t="s">
        <v>19</v>
      </c>
      <c r="D3509">
        <v>606139</v>
      </c>
      <c r="E3509" t="s">
        <v>20</v>
      </c>
      <c r="F3509">
        <v>1041086289</v>
      </c>
      <c r="G3509" t="s">
        <v>2191</v>
      </c>
      <c r="H3509">
        <v>100243046</v>
      </c>
      <c r="I3509">
        <v>202610</v>
      </c>
      <c r="J3509">
        <v>1007824340</v>
      </c>
      <c r="K3509" t="s">
        <v>23</v>
      </c>
      <c r="L3509" t="s">
        <v>40</v>
      </c>
      <c r="M3509" t="s">
        <v>24</v>
      </c>
      <c r="N3509" t="s">
        <v>35</v>
      </c>
      <c r="O3509" t="s">
        <v>26</v>
      </c>
      <c r="P3509" t="s">
        <v>27</v>
      </c>
      <c r="Q3509" t="s">
        <v>28</v>
      </c>
      <c r="R3509" t="s">
        <v>29</v>
      </c>
      <c r="S3509" t="s">
        <v>30</v>
      </c>
      <c r="T3509">
        <v>1010081108</v>
      </c>
      <c r="U3509" t="s">
        <v>3941</v>
      </c>
      <c r="V3509" t="s">
        <v>3934</v>
      </c>
      <c r="W3509" s="9">
        <f>IF(V3509="pregrado",31,
IF(V3509="posgrados",31,
IF(V3509="rEINTEGROS",7,
IF(V3509="BIT",90,
IF(V3509="OP GRADO - INGLÉS",17,"")))))</f>
        <v>31</v>
      </c>
      <c r="X3509" t="s">
        <v>4009</v>
      </c>
    </row>
    <row r="3510" spans="1:24" ht="15" x14ac:dyDescent="0.35">
      <c r="A3510" s="4">
        <v>46055.544374999998</v>
      </c>
      <c r="B3510">
        <v>20119613</v>
      </c>
      <c r="C3510" s="6" t="s">
        <v>19</v>
      </c>
      <c r="D3510">
        <v>606142</v>
      </c>
      <c r="E3510" t="s">
        <v>20</v>
      </c>
      <c r="F3510">
        <v>1005198782</v>
      </c>
      <c r="G3510" t="s">
        <v>2651</v>
      </c>
      <c r="H3510">
        <v>100140487</v>
      </c>
      <c r="I3510">
        <v>202631</v>
      </c>
      <c r="J3510">
        <v>1005198782</v>
      </c>
      <c r="K3510" t="s">
        <v>23</v>
      </c>
      <c r="L3510" t="s">
        <v>207</v>
      </c>
      <c r="M3510" t="s">
        <v>24</v>
      </c>
      <c r="N3510" t="s">
        <v>35</v>
      </c>
      <c r="O3510" t="s">
        <v>26</v>
      </c>
      <c r="P3510" t="s">
        <v>27</v>
      </c>
      <c r="Q3510" t="s">
        <v>28</v>
      </c>
      <c r="R3510" t="s">
        <v>29</v>
      </c>
      <c r="S3510" t="s">
        <v>30</v>
      </c>
      <c r="T3510">
        <v>1018455773</v>
      </c>
      <c r="U3510" t="s">
        <v>3986</v>
      </c>
      <c r="V3510" t="s">
        <v>3934</v>
      </c>
      <c r="W3510" s="9">
        <f>IF(V3510="pregrado",31,
IF(V3510="posgrados",31,
IF(V3510="rEINTEGROS",7,
IF(V3510="BIT",90,
IF(V3510="OP GRADO - INGLÉS",17,"")))))</f>
        <v>31</v>
      </c>
      <c r="X3510" t="s">
        <v>4101</v>
      </c>
    </row>
    <row r="3511" spans="1:24" ht="15" x14ac:dyDescent="0.35">
      <c r="A3511" s="4">
        <v>46051.769050925926</v>
      </c>
      <c r="B3511">
        <v>20118709</v>
      </c>
      <c r="C3511" s="6" t="s">
        <v>19</v>
      </c>
      <c r="D3511">
        <v>606148</v>
      </c>
      <c r="E3511" t="s">
        <v>20</v>
      </c>
      <c r="F3511">
        <v>1099342964</v>
      </c>
      <c r="G3511" t="s">
        <v>2522</v>
      </c>
      <c r="H3511">
        <v>100243054</v>
      </c>
      <c r="I3511">
        <v>202611</v>
      </c>
      <c r="J3511">
        <v>1026576185</v>
      </c>
      <c r="K3511" t="s">
        <v>23</v>
      </c>
      <c r="L3511" t="s">
        <v>221</v>
      </c>
      <c r="M3511" t="s">
        <v>24</v>
      </c>
      <c r="N3511" t="s">
        <v>35</v>
      </c>
      <c r="O3511" t="s">
        <v>26</v>
      </c>
      <c r="P3511" t="s">
        <v>27</v>
      </c>
      <c r="Q3511" t="s">
        <v>28</v>
      </c>
      <c r="R3511" t="s">
        <v>29</v>
      </c>
      <c r="S3511" t="s">
        <v>30</v>
      </c>
      <c r="T3511">
        <v>1000001980</v>
      </c>
      <c r="U3511" t="s">
        <v>3944</v>
      </c>
      <c r="V3511" t="s">
        <v>3934</v>
      </c>
      <c r="W3511" s="9">
        <f>IF(V3511="pregrado",31,
IF(V3511="posgrados",31,
IF(V3511="rEINTEGROS",7,
IF(V3511="BIT",90,
IF(V3511="OP GRADO - INGLÉS",17,"")))))</f>
        <v>31</v>
      </c>
      <c r="X3511" t="s">
        <v>3968</v>
      </c>
    </row>
    <row r="3512" spans="1:24" ht="15" x14ac:dyDescent="0.35">
      <c r="A3512" s="4">
        <v>46044.443206018521</v>
      </c>
      <c r="B3512">
        <v>20116070</v>
      </c>
      <c r="C3512" s="6" t="s">
        <v>19</v>
      </c>
      <c r="D3512">
        <v>606151</v>
      </c>
      <c r="E3512" t="s">
        <v>20</v>
      </c>
      <c r="F3512">
        <v>1000133394</v>
      </c>
      <c r="G3512" t="s">
        <v>2149</v>
      </c>
      <c r="H3512">
        <v>100243057</v>
      </c>
      <c r="I3512">
        <v>202611</v>
      </c>
      <c r="J3512">
        <v>1000133394</v>
      </c>
      <c r="K3512" t="s">
        <v>23</v>
      </c>
      <c r="L3512" t="s">
        <v>221</v>
      </c>
      <c r="M3512" t="s">
        <v>24</v>
      </c>
      <c r="N3512" t="s">
        <v>38</v>
      </c>
      <c r="O3512" t="s">
        <v>26</v>
      </c>
      <c r="P3512" t="s">
        <v>27</v>
      </c>
      <c r="Q3512" t="s">
        <v>28</v>
      </c>
      <c r="R3512" t="s">
        <v>29</v>
      </c>
      <c r="S3512" t="s">
        <v>30</v>
      </c>
      <c r="T3512">
        <v>1013662799</v>
      </c>
      <c r="U3512" t="s">
        <v>3965</v>
      </c>
      <c r="V3512" t="s">
        <v>3934</v>
      </c>
      <c r="W3512" s="9">
        <f>IF(V3512="pregrado",31,
IF(V3512="posgrados",31,
IF(V3512="rEINTEGROS",7,
IF(V3512="BIT",90,
IF(V3512="OP GRADO - INGLÉS",17,"")))))</f>
        <v>31</v>
      </c>
      <c r="X3512" t="s">
        <v>4021</v>
      </c>
    </row>
    <row r="3513" spans="1:24" ht="15" x14ac:dyDescent="0.35">
      <c r="A3513" s="4">
        <v>46057.736597222225</v>
      </c>
      <c r="B3513">
        <v>20120627</v>
      </c>
      <c r="C3513" s="6" t="s">
        <v>19</v>
      </c>
      <c r="D3513">
        <v>606159</v>
      </c>
      <c r="E3513" t="s">
        <v>20</v>
      </c>
      <c r="F3513">
        <v>1116612665</v>
      </c>
      <c r="G3513" t="s">
        <v>2770</v>
      </c>
      <c r="H3513">
        <v>100243065</v>
      </c>
      <c r="I3513">
        <v>202611</v>
      </c>
      <c r="J3513">
        <v>1116612665</v>
      </c>
      <c r="K3513" t="s">
        <v>23</v>
      </c>
      <c r="L3513" t="s">
        <v>221</v>
      </c>
      <c r="M3513" t="s">
        <v>24</v>
      </c>
      <c r="N3513" t="s">
        <v>35</v>
      </c>
      <c r="O3513" t="s">
        <v>26</v>
      </c>
      <c r="P3513" t="s">
        <v>27</v>
      </c>
      <c r="Q3513" t="s">
        <v>28</v>
      </c>
      <c r="R3513" t="s">
        <v>29</v>
      </c>
      <c r="S3513" t="s">
        <v>30</v>
      </c>
      <c r="T3513">
        <v>10006855461</v>
      </c>
      <c r="U3513" t="s">
        <v>3965</v>
      </c>
      <c r="V3513" t="s">
        <v>3934</v>
      </c>
      <c r="W3513" s="9">
        <f>IF(V3513="pregrado",31,
IF(V3513="posgrados",31,
IF(V3513="rEINTEGROS",7,
IF(V3513="BIT",90,
IF(V3513="OP GRADO - INGLÉS",17,"")))))</f>
        <v>31</v>
      </c>
      <c r="X3513" t="s">
        <v>3993</v>
      </c>
    </row>
    <row r="3514" spans="1:24" ht="15" x14ac:dyDescent="0.35">
      <c r="A3514" s="4">
        <v>46057.338807870372</v>
      </c>
      <c r="B3514">
        <v>20120279</v>
      </c>
      <c r="C3514" s="6" t="s">
        <v>19</v>
      </c>
      <c r="D3514">
        <v>606170</v>
      </c>
      <c r="E3514" t="s">
        <v>20</v>
      </c>
      <c r="F3514">
        <v>1010216645</v>
      </c>
      <c r="G3514" t="s">
        <v>2717</v>
      </c>
      <c r="H3514">
        <v>100243077</v>
      </c>
      <c r="I3514">
        <v>202611</v>
      </c>
      <c r="J3514">
        <v>1012411147</v>
      </c>
      <c r="K3514" t="s">
        <v>23</v>
      </c>
      <c r="L3514" t="s">
        <v>221</v>
      </c>
      <c r="M3514" t="s">
        <v>24</v>
      </c>
      <c r="N3514" t="s">
        <v>35</v>
      </c>
      <c r="O3514" t="s">
        <v>26</v>
      </c>
      <c r="P3514" t="s">
        <v>27</v>
      </c>
      <c r="Q3514" t="s">
        <v>28</v>
      </c>
      <c r="R3514" t="s">
        <v>29</v>
      </c>
      <c r="S3514" t="s">
        <v>30</v>
      </c>
      <c r="T3514">
        <v>1026298522</v>
      </c>
      <c r="U3514" t="s">
        <v>3965</v>
      </c>
      <c r="V3514" t="s">
        <v>3934</v>
      </c>
      <c r="W3514" s="9">
        <f>IF(V3514="pregrado",31,
IF(V3514="posgrados",31,
IF(V3514="rEINTEGROS",7,
IF(V3514="BIT",90,
IF(V3514="OP GRADO - INGLÉS",17,"")))))</f>
        <v>31</v>
      </c>
      <c r="X3514" t="s">
        <v>4040</v>
      </c>
    </row>
    <row r="3515" spans="1:24" ht="15" x14ac:dyDescent="0.35">
      <c r="A3515" s="4">
        <v>46044.743090277778</v>
      </c>
      <c r="B3515">
        <v>20116345</v>
      </c>
      <c r="C3515" s="6" t="s">
        <v>19</v>
      </c>
      <c r="D3515">
        <v>606178</v>
      </c>
      <c r="E3515" t="s">
        <v>20</v>
      </c>
      <c r="F3515">
        <v>52714170</v>
      </c>
      <c r="G3515" t="s">
        <v>2203</v>
      </c>
      <c r="H3515">
        <v>100243085</v>
      </c>
      <c r="I3515">
        <v>202610</v>
      </c>
      <c r="J3515">
        <v>1021675172</v>
      </c>
      <c r="K3515" t="s">
        <v>23</v>
      </c>
      <c r="L3515" t="s">
        <v>40</v>
      </c>
      <c r="M3515" t="s">
        <v>24</v>
      </c>
      <c r="N3515" t="s">
        <v>35</v>
      </c>
      <c r="O3515" t="s">
        <v>26</v>
      </c>
      <c r="P3515" t="s">
        <v>27</v>
      </c>
      <c r="Q3515" t="s">
        <v>28</v>
      </c>
      <c r="R3515" t="s">
        <v>29</v>
      </c>
      <c r="S3515" t="s">
        <v>30</v>
      </c>
      <c r="T3515">
        <v>1010081108</v>
      </c>
      <c r="U3515" t="s">
        <v>3941</v>
      </c>
      <c r="V3515" t="s">
        <v>3934</v>
      </c>
      <c r="W3515" s="9">
        <f>IF(V3515="pregrado",31,
IF(V3515="posgrados",31,
IF(V3515="rEINTEGROS",7,
IF(V3515="BIT",90,
IF(V3515="OP GRADO - INGLÉS",17,"")))))</f>
        <v>31</v>
      </c>
      <c r="X3515" t="s">
        <v>4009</v>
      </c>
    </row>
    <row r="3516" spans="1:24" ht="15" x14ac:dyDescent="0.35">
      <c r="A3516" s="4">
        <v>46044.573067129626</v>
      </c>
      <c r="B3516">
        <v>20116181</v>
      </c>
      <c r="C3516" s="6" t="s">
        <v>19</v>
      </c>
      <c r="D3516">
        <v>606183</v>
      </c>
      <c r="E3516" t="s">
        <v>20</v>
      </c>
      <c r="F3516">
        <v>1193080232</v>
      </c>
      <c r="G3516" t="s">
        <v>2169</v>
      </c>
      <c r="H3516">
        <v>100180525</v>
      </c>
      <c r="I3516">
        <v>202631</v>
      </c>
      <c r="J3516">
        <v>1193080232</v>
      </c>
      <c r="K3516" t="s">
        <v>89</v>
      </c>
      <c r="L3516" t="s">
        <v>90</v>
      </c>
      <c r="M3516" t="s">
        <v>24</v>
      </c>
      <c r="N3516" t="s">
        <v>35</v>
      </c>
      <c r="O3516" t="s">
        <v>26</v>
      </c>
      <c r="P3516" t="s">
        <v>27</v>
      </c>
      <c r="Q3516" t="s">
        <v>28</v>
      </c>
      <c r="R3516" t="s">
        <v>29</v>
      </c>
      <c r="S3516" t="s">
        <v>30</v>
      </c>
      <c r="T3516">
        <v>1000934874</v>
      </c>
      <c r="U3516" t="s">
        <v>3977</v>
      </c>
      <c r="V3516" t="s">
        <v>3970</v>
      </c>
      <c r="W3516" s="9">
        <f>IF(V3516="pregrado",31,
IF(V3516="posgrados",31,
IF(V3516="rEINTEGROS",7,
IF(V3516="BIT",90,
IF(V3516="OP GRADO - INGLÉS",17,"")))))</f>
        <v>7</v>
      </c>
      <c r="X3516" t="s">
        <v>3999</v>
      </c>
    </row>
    <row r="3517" spans="1:24" ht="15" x14ac:dyDescent="0.35">
      <c r="A3517" s="4">
        <v>46058.908333333333</v>
      </c>
      <c r="B3517">
        <v>20121046</v>
      </c>
      <c r="C3517" s="6" t="s">
        <v>19</v>
      </c>
      <c r="D3517">
        <v>606198</v>
      </c>
      <c r="E3517" t="s">
        <v>20</v>
      </c>
      <c r="F3517">
        <v>1030566721</v>
      </c>
      <c r="G3517" t="s">
        <v>2845</v>
      </c>
      <c r="H3517">
        <v>100243099</v>
      </c>
      <c r="I3517">
        <v>202610</v>
      </c>
      <c r="J3517">
        <v>1016028353</v>
      </c>
      <c r="K3517" t="s">
        <v>23</v>
      </c>
      <c r="L3517" t="s">
        <v>153</v>
      </c>
      <c r="M3517" t="s">
        <v>24</v>
      </c>
      <c r="N3517" t="s">
        <v>35</v>
      </c>
      <c r="O3517" t="s">
        <v>26</v>
      </c>
      <c r="P3517" t="s">
        <v>27</v>
      </c>
      <c r="Q3517" t="s">
        <v>28</v>
      </c>
      <c r="R3517" t="s">
        <v>29</v>
      </c>
      <c r="S3517" t="s">
        <v>30</v>
      </c>
      <c r="T3517">
        <v>1015428862</v>
      </c>
      <c r="U3517" t="s">
        <v>3965</v>
      </c>
      <c r="V3517" t="s">
        <v>3934</v>
      </c>
      <c r="W3517" s="9">
        <f>IF(V3517="pregrado",31,
IF(V3517="posgrados",31,
IF(V3517="rEINTEGROS",7,
IF(V3517="BIT",90,
IF(V3517="OP GRADO - INGLÉS",17,"")))))</f>
        <v>31</v>
      </c>
      <c r="X3517" t="s">
        <v>4048</v>
      </c>
    </row>
    <row r="3518" spans="1:24" ht="15" x14ac:dyDescent="0.35">
      <c r="A3518" s="4">
        <v>46044.535543981481</v>
      </c>
      <c r="B3518">
        <v>20116155</v>
      </c>
      <c r="C3518" s="6" t="s">
        <v>19</v>
      </c>
      <c r="D3518">
        <v>606202</v>
      </c>
      <c r="E3518" t="s">
        <v>20</v>
      </c>
      <c r="F3518">
        <v>1000707263</v>
      </c>
      <c r="G3518" t="s">
        <v>2164</v>
      </c>
      <c r="H3518">
        <v>100243102</v>
      </c>
      <c r="I3518">
        <v>202631</v>
      </c>
      <c r="J3518">
        <v>1000707263</v>
      </c>
      <c r="K3518" t="s">
        <v>23</v>
      </c>
      <c r="L3518" t="s">
        <v>51</v>
      </c>
      <c r="M3518" t="s">
        <v>24</v>
      </c>
      <c r="N3518" t="s">
        <v>35</v>
      </c>
      <c r="O3518" t="s">
        <v>26</v>
      </c>
      <c r="P3518" t="s">
        <v>27</v>
      </c>
      <c r="Q3518" t="s">
        <v>28</v>
      </c>
      <c r="R3518" t="s">
        <v>29</v>
      </c>
      <c r="S3518" t="s">
        <v>30</v>
      </c>
      <c r="T3518">
        <v>1002500634</v>
      </c>
      <c r="U3518" t="s">
        <v>3986</v>
      </c>
      <c r="V3518" t="s">
        <v>3934</v>
      </c>
      <c r="W3518" s="9">
        <f>IF(V3518="pregrado",31,
IF(V3518="posgrados",31,
IF(V3518="rEINTEGROS",7,
IF(V3518="BIT",90,
IF(V3518="OP GRADO - INGLÉS",17,"")))))</f>
        <v>31</v>
      </c>
      <c r="X3518" t="s">
        <v>4026</v>
      </c>
    </row>
    <row r="3519" spans="1:24" ht="15" x14ac:dyDescent="0.35">
      <c r="A3519" s="4">
        <v>46050.544861111113</v>
      </c>
      <c r="B3519">
        <v>20117979</v>
      </c>
      <c r="C3519" s="6" t="s">
        <v>19</v>
      </c>
      <c r="D3519">
        <v>606204</v>
      </c>
      <c r="E3519" t="s">
        <v>20</v>
      </c>
      <c r="F3519">
        <v>1051668316</v>
      </c>
      <c r="G3519" t="s">
        <v>2414</v>
      </c>
      <c r="H3519">
        <v>100049618</v>
      </c>
      <c r="I3519">
        <v>202610</v>
      </c>
      <c r="J3519">
        <v>1051668316</v>
      </c>
      <c r="K3519" t="s">
        <v>89</v>
      </c>
      <c r="L3519" t="s">
        <v>37</v>
      </c>
      <c r="M3519" t="s">
        <v>24</v>
      </c>
      <c r="N3519">
        <v>0</v>
      </c>
      <c r="O3519" t="s">
        <v>26</v>
      </c>
      <c r="P3519" t="s">
        <v>27</v>
      </c>
      <c r="Q3519" t="s">
        <v>28</v>
      </c>
      <c r="R3519" t="s">
        <v>29</v>
      </c>
      <c r="S3519" t="s">
        <v>30</v>
      </c>
      <c r="T3519">
        <v>52168054</v>
      </c>
      <c r="U3519" t="s">
        <v>3977</v>
      </c>
      <c r="V3519" t="s">
        <v>3970</v>
      </c>
      <c r="W3519" s="9">
        <f>IF(V3519="pregrado",31,
IF(V3519="posgrados",31,
IF(V3519="rEINTEGROS",7,
IF(V3519="BIT",90,
IF(V3519="OP GRADO - INGLÉS",17,"")))))</f>
        <v>7</v>
      </c>
      <c r="X3519" t="s">
        <v>4057</v>
      </c>
    </row>
    <row r="3520" spans="1:24" ht="15" x14ac:dyDescent="0.35">
      <c r="A3520" s="4">
        <v>46052.704050925924</v>
      </c>
      <c r="B3520">
        <v>20119099</v>
      </c>
      <c r="C3520" s="6" t="s">
        <v>19</v>
      </c>
      <c r="D3520">
        <v>606210</v>
      </c>
      <c r="E3520" t="s">
        <v>20</v>
      </c>
      <c r="F3520">
        <v>1076646026</v>
      </c>
      <c r="G3520" t="s">
        <v>2589</v>
      </c>
      <c r="H3520">
        <v>100109802</v>
      </c>
      <c r="I3520">
        <v>202631</v>
      </c>
      <c r="J3520">
        <v>1076646026</v>
      </c>
      <c r="K3520" t="s">
        <v>89</v>
      </c>
      <c r="L3520" t="s">
        <v>127</v>
      </c>
      <c r="M3520" t="s">
        <v>24</v>
      </c>
      <c r="N3520">
        <v>0</v>
      </c>
      <c r="O3520" t="s">
        <v>26</v>
      </c>
      <c r="P3520" t="s">
        <v>27</v>
      </c>
      <c r="Q3520" t="s">
        <v>28</v>
      </c>
      <c r="R3520" t="s">
        <v>29</v>
      </c>
      <c r="S3520" t="s">
        <v>30</v>
      </c>
      <c r="T3520">
        <v>52168054</v>
      </c>
      <c r="U3520" t="s">
        <v>3977</v>
      </c>
      <c r="V3520" t="s">
        <v>3970</v>
      </c>
      <c r="W3520" s="9">
        <f>IF(V3520="pregrado",31,
IF(V3520="posgrados",31,
IF(V3520="rEINTEGROS",7,
IF(V3520="BIT",90,
IF(V3520="OP GRADO - INGLÉS",17,"")))))</f>
        <v>7</v>
      </c>
      <c r="X3520" t="s">
        <v>4057</v>
      </c>
    </row>
    <row r="3521" spans="1:24" ht="15" x14ac:dyDescent="0.35">
      <c r="A3521" s="4">
        <v>46053.419340277775</v>
      </c>
      <c r="B3521">
        <v>20119237</v>
      </c>
      <c r="C3521" s="6" t="s">
        <v>19</v>
      </c>
      <c r="D3521">
        <v>606213</v>
      </c>
      <c r="E3521" t="s">
        <v>20</v>
      </c>
      <c r="F3521">
        <v>51892973</v>
      </c>
      <c r="G3521" t="s">
        <v>2614</v>
      </c>
      <c r="H3521">
        <v>100243108</v>
      </c>
      <c r="I3521">
        <v>202631</v>
      </c>
      <c r="J3521">
        <v>1024469261</v>
      </c>
      <c r="K3521" t="s">
        <v>33</v>
      </c>
      <c r="L3521" t="s">
        <v>207</v>
      </c>
      <c r="M3521" t="s">
        <v>24</v>
      </c>
      <c r="N3521" t="s">
        <v>25</v>
      </c>
      <c r="O3521" t="s">
        <v>26</v>
      </c>
      <c r="P3521" t="s">
        <v>27</v>
      </c>
      <c r="Q3521" t="s">
        <v>28</v>
      </c>
      <c r="R3521" t="s">
        <v>29</v>
      </c>
      <c r="S3521" t="s">
        <v>30</v>
      </c>
      <c r="T3521">
        <v>1018455773</v>
      </c>
      <c r="U3521" t="s">
        <v>3986</v>
      </c>
      <c r="V3521" t="s">
        <v>3934</v>
      </c>
      <c r="W3521" s="9">
        <f>IF(V3521="pregrado",31,
IF(V3521="posgrados",31,
IF(V3521="rEINTEGROS",7,
IF(V3521="BIT",90,
IF(V3521="OP GRADO - INGLÉS",17,"")))))</f>
        <v>31</v>
      </c>
      <c r="X3521" t="s">
        <v>4101</v>
      </c>
    </row>
    <row r="3522" spans="1:24" ht="15" x14ac:dyDescent="0.35">
      <c r="A3522" s="4">
        <v>46052.480000000003</v>
      </c>
      <c r="B3522">
        <v>20118869</v>
      </c>
      <c r="C3522" s="6" t="s">
        <v>19</v>
      </c>
      <c r="D3522">
        <v>606226</v>
      </c>
      <c r="E3522" t="s">
        <v>20</v>
      </c>
      <c r="F3522">
        <v>1233506146</v>
      </c>
      <c r="G3522" t="s">
        <v>2549</v>
      </c>
      <c r="H3522">
        <v>100243128</v>
      </c>
      <c r="I3522">
        <v>202610</v>
      </c>
      <c r="J3522">
        <v>1028866819</v>
      </c>
      <c r="K3522" t="s">
        <v>23</v>
      </c>
      <c r="L3522" t="s">
        <v>79</v>
      </c>
      <c r="M3522" t="s">
        <v>24</v>
      </c>
      <c r="N3522" t="s">
        <v>35</v>
      </c>
      <c r="O3522" t="s">
        <v>26</v>
      </c>
      <c r="P3522" t="s">
        <v>27</v>
      </c>
      <c r="Q3522" t="s">
        <v>28</v>
      </c>
      <c r="R3522" t="s">
        <v>29</v>
      </c>
      <c r="S3522" t="s">
        <v>30</v>
      </c>
      <c r="T3522">
        <v>1030570122</v>
      </c>
      <c r="U3522" t="s">
        <v>3965</v>
      </c>
      <c r="V3522" t="s">
        <v>3934</v>
      </c>
      <c r="W3522" s="9">
        <f>IF(V3522="pregrado",31,
IF(V3522="posgrados",31,
IF(V3522="rEINTEGROS",7,
IF(V3522="BIT",90,
IF(V3522="OP GRADO - INGLÉS",17,"")))))</f>
        <v>31</v>
      </c>
      <c r="X3522" t="s">
        <v>4015</v>
      </c>
    </row>
    <row r="3523" spans="1:24" ht="15" x14ac:dyDescent="0.35">
      <c r="A3523" s="4">
        <v>46049.625208333331</v>
      </c>
      <c r="B3523">
        <v>20117604</v>
      </c>
      <c r="C3523" s="6" t="s">
        <v>19</v>
      </c>
      <c r="D3523">
        <v>606244</v>
      </c>
      <c r="E3523" t="s">
        <v>20</v>
      </c>
      <c r="F3523">
        <v>1140855955</v>
      </c>
      <c r="G3523" t="s">
        <v>2352</v>
      </c>
      <c r="H3523">
        <v>100243146</v>
      </c>
      <c r="I3523">
        <v>202631</v>
      </c>
      <c r="J3523">
        <v>1001853214</v>
      </c>
      <c r="K3523" t="s">
        <v>23</v>
      </c>
      <c r="L3523" t="s">
        <v>90</v>
      </c>
      <c r="M3523" t="s">
        <v>24</v>
      </c>
      <c r="N3523" t="s">
        <v>25</v>
      </c>
      <c r="O3523" t="s">
        <v>26</v>
      </c>
      <c r="P3523" t="s">
        <v>27</v>
      </c>
      <c r="Q3523" t="s">
        <v>28</v>
      </c>
      <c r="R3523" t="s">
        <v>29</v>
      </c>
      <c r="S3523" t="s">
        <v>30</v>
      </c>
      <c r="T3523">
        <v>1023370559</v>
      </c>
      <c r="U3523" t="s">
        <v>3933</v>
      </c>
      <c r="V3523" t="s">
        <v>3934</v>
      </c>
      <c r="W3523" s="9">
        <f>IF(V3523="pregrado",31,
IF(V3523="posgrados",31,
IF(V3523="rEINTEGROS",7,
IF(V3523="BIT",90,
IF(V3523="OP GRADO - INGLÉS",17,"")))))</f>
        <v>31</v>
      </c>
      <c r="X3523" t="s">
        <v>4017</v>
      </c>
    </row>
    <row r="3524" spans="1:24" ht="15" x14ac:dyDescent="0.35">
      <c r="A3524" s="4">
        <v>46064.782766203702</v>
      </c>
      <c r="B3524">
        <v>20122598</v>
      </c>
      <c r="C3524" s="6" t="s">
        <v>19</v>
      </c>
      <c r="D3524">
        <v>606252</v>
      </c>
      <c r="E3524" t="s">
        <v>20</v>
      </c>
      <c r="F3524">
        <v>57408047</v>
      </c>
      <c r="G3524" t="s">
        <v>3057</v>
      </c>
      <c r="H3524">
        <v>100243150</v>
      </c>
      <c r="I3524">
        <v>202631</v>
      </c>
      <c r="J3524">
        <v>1075311523</v>
      </c>
      <c r="K3524" t="s">
        <v>33</v>
      </c>
      <c r="L3524" t="s">
        <v>219</v>
      </c>
      <c r="M3524" t="s">
        <v>24</v>
      </c>
      <c r="N3524" t="s">
        <v>35</v>
      </c>
      <c r="O3524" t="s">
        <v>26</v>
      </c>
      <c r="P3524" t="s">
        <v>27</v>
      </c>
      <c r="Q3524" t="s">
        <v>28</v>
      </c>
      <c r="R3524" t="s">
        <v>29</v>
      </c>
      <c r="S3524" t="s">
        <v>30</v>
      </c>
      <c r="T3524">
        <v>1072716186</v>
      </c>
      <c r="U3524" t="s">
        <v>3963</v>
      </c>
      <c r="V3524" t="s">
        <v>3934</v>
      </c>
      <c r="W3524" s="9">
        <f>IF(V3524="pregrado",31,
IF(V3524="posgrados",31,
IF(V3524="rEINTEGROS",7,
IF(V3524="BIT",90,
IF(V3524="OP GRADO - INGLÉS",17,"")))))</f>
        <v>31</v>
      </c>
      <c r="X3524" t="s">
        <v>4084</v>
      </c>
    </row>
    <row r="3525" spans="1:24" ht="15" x14ac:dyDescent="0.35">
      <c r="A3525" s="4">
        <v>46049.696203703701</v>
      </c>
      <c r="B3525">
        <v>20117705</v>
      </c>
      <c r="C3525" s="6" t="s">
        <v>19</v>
      </c>
      <c r="D3525">
        <v>606257</v>
      </c>
      <c r="E3525" t="s">
        <v>20</v>
      </c>
      <c r="F3525">
        <v>52974840</v>
      </c>
      <c r="G3525" t="s">
        <v>2368</v>
      </c>
      <c r="H3525">
        <v>100243160</v>
      </c>
      <c r="I3525">
        <v>202610</v>
      </c>
      <c r="J3525">
        <v>1013117604</v>
      </c>
      <c r="K3525" t="s">
        <v>33</v>
      </c>
      <c r="L3525" t="s">
        <v>40</v>
      </c>
      <c r="M3525" t="s">
        <v>24</v>
      </c>
      <c r="N3525" t="s">
        <v>38</v>
      </c>
      <c r="O3525" t="s">
        <v>26</v>
      </c>
      <c r="P3525" t="s">
        <v>27</v>
      </c>
      <c r="Q3525" t="s">
        <v>28</v>
      </c>
      <c r="R3525" t="s">
        <v>29</v>
      </c>
      <c r="S3525" t="s">
        <v>30</v>
      </c>
      <c r="T3525">
        <v>1032394283</v>
      </c>
      <c r="U3525" t="s">
        <v>3941</v>
      </c>
      <c r="V3525" t="s">
        <v>3934</v>
      </c>
      <c r="W3525" s="9">
        <f>IF(V3525="pregrado",31,
IF(V3525="posgrados",31,
IF(V3525="rEINTEGROS",7,
IF(V3525="BIT",90,
IF(V3525="OP GRADO - INGLÉS",17,"")))))</f>
        <v>31</v>
      </c>
      <c r="X3525" t="s">
        <v>4034</v>
      </c>
    </row>
    <row r="3526" spans="1:24" ht="15" x14ac:dyDescent="0.35">
      <c r="A3526" s="4">
        <v>46045.861226851855</v>
      </c>
      <c r="B3526">
        <v>20116771</v>
      </c>
      <c r="C3526" s="6" t="s">
        <v>19</v>
      </c>
      <c r="D3526">
        <v>606260</v>
      </c>
      <c r="E3526" t="s">
        <v>20</v>
      </c>
      <c r="F3526">
        <v>1014858502</v>
      </c>
      <c r="G3526" t="s">
        <v>2256</v>
      </c>
      <c r="H3526">
        <v>100243166</v>
      </c>
      <c r="I3526">
        <v>202631</v>
      </c>
      <c r="J3526">
        <v>1014858502</v>
      </c>
      <c r="K3526" t="s">
        <v>33</v>
      </c>
      <c r="L3526" t="s">
        <v>207</v>
      </c>
      <c r="M3526" t="s">
        <v>24</v>
      </c>
      <c r="N3526" t="s">
        <v>38</v>
      </c>
      <c r="O3526" t="s">
        <v>26</v>
      </c>
      <c r="P3526" t="s">
        <v>27</v>
      </c>
      <c r="Q3526" t="s">
        <v>28</v>
      </c>
      <c r="R3526" t="s">
        <v>29</v>
      </c>
      <c r="S3526" t="s">
        <v>30</v>
      </c>
      <c r="T3526">
        <v>1023000285</v>
      </c>
      <c r="U3526" t="s">
        <v>3986</v>
      </c>
      <c r="V3526" t="s">
        <v>3934</v>
      </c>
      <c r="W3526" s="9">
        <f>IF(V3526="pregrado",31,
IF(V3526="posgrados",31,
IF(V3526="rEINTEGROS",7,
IF(V3526="BIT",90,
IF(V3526="OP GRADO - INGLÉS",17,"")))))</f>
        <v>31</v>
      </c>
      <c r="X3526" t="s">
        <v>4097</v>
      </c>
    </row>
    <row r="3527" spans="1:24" ht="15" x14ac:dyDescent="0.35">
      <c r="A3527" s="4">
        <v>46044.78224537037</v>
      </c>
      <c r="B3527">
        <v>20116362</v>
      </c>
      <c r="C3527" s="6" t="s">
        <v>19</v>
      </c>
      <c r="D3527">
        <v>606269</v>
      </c>
      <c r="E3527" t="s">
        <v>20</v>
      </c>
      <c r="F3527">
        <v>1031806470</v>
      </c>
      <c r="G3527" t="s">
        <v>2209</v>
      </c>
      <c r="H3527">
        <v>200085708</v>
      </c>
      <c r="I3527">
        <v>202631</v>
      </c>
      <c r="J3527">
        <v>1031806470</v>
      </c>
      <c r="K3527" t="s">
        <v>189</v>
      </c>
      <c r="L3527" t="s">
        <v>22</v>
      </c>
      <c r="M3527" t="s">
        <v>24</v>
      </c>
      <c r="N3527" t="s">
        <v>35</v>
      </c>
      <c r="O3527" t="s">
        <v>26</v>
      </c>
      <c r="P3527" t="s">
        <v>27</v>
      </c>
      <c r="Q3527" t="s">
        <v>28</v>
      </c>
      <c r="R3527" t="s">
        <v>29</v>
      </c>
      <c r="S3527" t="s">
        <v>30</v>
      </c>
      <c r="T3527">
        <v>1023929839</v>
      </c>
      <c r="U3527" t="s">
        <v>3933</v>
      </c>
      <c r="V3527" t="s">
        <v>3934</v>
      </c>
      <c r="W3527" s="9">
        <f>IF(V3527="pregrado",31,
IF(V3527="posgrados",31,
IF(V3527="rEINTEGROS",7,
IF(V3527="BIT",90,
IF(V3527="OP GRADO - INGLÉS",17,"")))))</f>
        <v>31</v>
      </c>
      <c r="X3527" t="s">
        <v>3932</v>
      </c>
    </row>
    <row r="3528" spans="1:24" ht="15" x14ac:dyDescent="0.35">
      <c r="A3528" s="4">
        <v>46049.629710648151</v>
      </c>
      <c r="B3528">
        <v>20117614</v>
      </c>
      <c r="C3528" s="6" t="s">
        <v>19</v>
      </c>
      <c r="D3528">
        <v>606270</v>
      </c>
      <c r="E3528" t="s">
        <v>20</v>
      </c>
      <c r="F3528">
        <v>1102880752</v>
      </c>
      <c r="G3528" t="s">
        <v>2353</v>
      </c>
      <c r="H3528">
        <v>100243112</v>
      </c>
      <c r="I3528">
        <v>202631</v>
      </c>
      <c r="J3528">
        <v>1103497016</v>
      </c>
      <c r="K3528" t="s">
        <v>33</v>
      </c>
      <c r="L3528" t="s">
        <v>101</v>
      </c>
      <c r="M3528" t="s">
        <v>24</v>
      </c>
      <c r="N3528" t="s">
        <v>35</v>
      </c>
      <c r="O3528" t="s">
        <v>26</v>
      </c>
      <c r="P3528" t="s">
        <v>27</v>
      </c>
      <c r="Q3528" t="s">
        <v>28</v>
      </c>
      <c r="R3528" t="s">
        <v>29</v>
      </c>
      <c r="S3528" t="s">
        <v>30</v>
      </c>
      <c r="T3528">
        <v>1014283217</v>
      </c>
      <c r="U3528" t="s">
        <v>3963</v>
      </c>
      <c r="V3528" t="s">
        <v>3934</v>
      </c>
      <c r="W3528" s="9">
        <f>IF(V3528="pregrado",31,
IF(V3528="posgrados",31,
IF(V3528="rEINTEGROS",7,
IF(V3528="BIT",90,
IF(V3528="OP GRADO - INGLÉS",17,"")))))</f>
        <v>31</v>
      </c>
      <c r="X3528" t="s">
        <v>4023</v>
      </c>
    </row>
    <row r="3529" spans="1:24" ht="15" x14ac:dyDescent="0.35">
      <c r="A3529" s="4">
        <v>46045.530509259261</v>
      </c>
      <c r="B3529">
        <v>20116569</v>
      </c>
      <c r="C3529" s="6" t="s">
        <v>19</v>
      </c>
      <c r="D3529">
        <v>606273</v>
      </c>
      <c r="E3529" t="s">
        <v>20</v>
      </c>
      <c r="F3529">
        <v>1058059063</v>
      </c>
      <c r="G3529" t="s">
        <v>2233</v>
      </c>
      <c r="H3529">
        <v>100243176</v>
      </c>
      <c r="I3529">
        <v>202631</v>
      </c>
      <c r="J3529">
        <v>1002773609</v>
      </c>
      <c r="K3529" t="s">
        <v>23</v>
      </c>
      <c r="L3529" t="s">
        <v>90</v>
      </c>
      <c r="M3529" t="s">
        <v>24</v>
      </c>
      <c r="N3529" t="s">
        <v>25</v>
      </c>
      <c r="O3529" t="s">
        <v>26</v>
      </c>
      <c r="P3529" t="s">
        <v>27</v>
      </c>
      <c r="Q3529" t="s">
        <v>28</v>
      </c>
      <c r="R3529" t="s">
        <v>29</v>
      </c>
      <c r="S3529" t="s">
        <v>30</v>
      </c>
      <c r="T3529">
        <v>1015441103</v>
      </c>
      <c r="U3529" t="s">
        <v>3933</v>
      </c>
      <c r="V3529" t="s">
        <v>3934</v>
      </c>
      <c r="W3529" s="9">
        <f>IF(V3529="pregrado",31,
IF(V3529="posgrados",31,
IF(V3529="rEINTEGROS",7,
IF(V3529="BIT",90,
IF(V3529="OP GRADO - INGLÉS",17,"")))))</f>
        <v>31</v>
      </c>
      <c r="X3529" t="s">
        <v>3961</v>
      </c>
    </row>
    <row r="3530" spans="1:24" ht="15" x14ac:dyDescent="0.35">
      <c r="A3530" s="4">
        <v>46044.787002314813</v>
      </c>
      <c r="B3530">
        <v>20116364</v>
      </c>
      <c r="C3530" s="6" t="s">
        <v>19</v>
      </c>
      <c r="D3530">
        <v>606279</v>
      </c>
      <c r="E3530" t="s">
        <v>20</v>
      </c>
      <c r="F3530">
        <v>1024597859</v>
      </c>
      <c r="G3530" t="s">
        <v>2210</v>
      </c>
      <c r="H3530">
        <v>100087719</v>
      </c>
      <c r="I3530">
        <v>202604</v>
      </c>
      <c r="J3530">
        <v>1024597859</v>
      </c>
      <c r="K3530" t="s">
        <v>270</v>
      </c>
      <c r="L3530" t="s">
        <v>336</v>
      </c>
      <c r="M3530" t="s">
        <v>271</v>
      </c>
      <c r="N3530" t="s">
        <v>35</v>
      </c>
      <c r="O3530" t="s">
        <v>26</v>
      </c>
      <c r="P3530" t="s">
        <v>27</v>
      </c>
      <c r="Q3530" t="s">
        <v>28</v>
      </c>
      <c r="R3530" t="s">
        <v>29</v>
      </c>
      <c r="S3530" t="s">
        <v>30</v>
      </c>
      <c r="T3530">
        <v>60345453</v>
      </c>
      <c r="U3530" t="s">
        <v>4019</v>
      </c>
      <c r="V3530" t="s">
        <v>4020</v>
      </c>
      <c r="W3530" s="9">
        <f>IF(V3530="pregrado",31,
IF(V3530="posgrados",31,
IF(V3530="rEINTEGROS",7,
IF(V3530="BIT",90,
IF(V3530="OP GRADO - INGLÉS",17,"")))))</f>
        <v>17</v>
      </c>
      <c r="X3530" t="s">
        <v>4063</v>
      </c>
    </row>
    <row r="3531" spans="1:24" ht="15" x14ac:dyDescent="0.35">
      <c r="A3531" s="4">
        <v>46048.441388888888</v>
      </c>
      <c r="B3531">
        <v>20117025</v>
      </c>
      <c r="C3531" s="6" t="s">
        <v>19</v>
      </c>
      <c r="D3531">
        <v>606293</v>
      </c>
      <c r="E3531" t="s">
        <v>20</v>
      </c>
      <c r="F3531">
        <v>3167435</v>
      </c>
      <c r="G3531" t="s">
        <v>2280</v>
      </c>
      <c r="H3531">
        <v>100243199</v>
      </c>
      <c r="I3531">
        <v>202611</v>
      </c>
      <c r="J3531">
        <v>1070780829</v>
      </c>
      <c r="K3531" t="s">
        <v>23</v>
      </c>
      <c r="L3531" t="s">
        <v>227</v>
      </c>
      <c r="M3531" t="s">
        <v>24</v>
      </c>
      <c r="N3531" t="s">
        <v>25</v>
      </c>
      <c r="O3531" t="s">
        <v>26</v>
      </c>
      <c r="P3531" t="s">
        <v>27</v>
      </c>
      <c r="Q3531" t="s">
        <v>28</v>
      </c>
      <c r="R3531" t="s">
        <v>29</v>
      </c>
      <c r="S3531" t="s">
        <v>30</v>
      </c>
      <c r="T3531">
        <v>53071696</v>
      </c>
      <c r="U3531" t="s">
        <v>3965</v>
      </c>
      <c r="V3531" t="s">
        <v>3934</v>
      </c>
      <c r="W3531" s="9">
        <f>IF(V3531="pregrado",31,
IF(V3531="posgrados",31,
IF(V3531="rEINTEGROS",7,
IF(V3531="BIT",90,
IF(V3531="OP GRADO - INGLÉS",17,"")))))</f>
        <v>31</v>
      </c>
      <c r="X3531" t="s">
        <v>4012</v>
      </c>
    </row>
    <row r="3532" spans="1:24" ht="15" x14ac:dyDescent="0.35">
      <c r="A3532" s="4">
        <v>46045.634409722225</v>
      </c>
      <c r="B3532">
        <v>20116663</v>
      </c>
      <c r="C3532" s="6" t="s">
        <v>19</v>
      </c>
      <c r="D3532">
        <v>606294</v>
      </c>
      <c r="E3532" t="s">
        <v>20</v>
      </c>
      <c r="F3532">
        <v>1124036719</v>
      </c>
      <c r="G3532" t="s">
        <v>2243</v>
      </c>
      <c r="H3532">
        <v>100243200</v>
      </c>
      <c r="I3532">
        <v>202611</v>
      </c>
      <c r="J3532">
        <v>1121536703</v>
      </c>
      <c r="K3532" t="s">
        <v>23</v>
      </c>
      <c r="L3532" t="s">
        <v>221</v>
      </c>
      <c r="M3532" t="s">
        <v>24</v>
      </c>
      <c r="N3532" t="s">
        <v>35</v>
      </c>
      <c r="O3532" t="s">
        <v>26</v>
      </c>
      <c r="P3532" t="s">
        <v>27</v>
      </c>
      <c r="Q3532" t="s">
        <v>28</v>
      </c>
      <c r="R3532" t="s">
        <v>29</v>
      </c>
      <c r="S3532" t="s">
        <v>30</v>
      </c>
      <c r="T3532">
        <v>1013662799</v>
      </c>
      <c r="U3532" t="s">
        <v>3965</v>
      </c>
      <c r="V3532" t="s">
        <v>3934</v>
      </c>
      <c r="W3532" s="9">
        <f>IF(V3532="pregrado",31,
IF(V3532="posgrados",31,
IF(V3532="rEINTEGROS",7,
IF(V3532="BIT",90,
IF(V3532="OP GRADO - INGLÉS",17,"")))))</f>
        <v>31</v>
      </c>
      <c r="X3532" t="s">
        <v>4021</v>
      </c>
    </row>
    <row r="3533" spans="1:24" ht="15" x14ac:dyDescent="0.35">
      <c r="A3533" s="4">
        <v>46049.38685185185</v>
      </c>
      <c r="B3533">
        <v>20117419</v>
      </c>
      <c r="C3533" s="6" t="s">
        <v>19</v>
      </c>
      <c r="D3533">
        <v>606295</v>
      </c>
      <c r="E3533" t="s">
        <v>20</v>
      </c>
      <c r="F3533">
        <v>1038404338</v>
      </c>
      <c r="G3533" t="s">
        <v>2328</v>
      </c>
      <c r="H3533">
        <v>100243202</v>
      </c>
      <c r="I3533">
        <v>202611</v>
      </c>
      <c r="J3533">
        <v>1038404338</v>
      </c>
      <c r="K3533" t="s">
        <v>23</v>
      </c>
      <c r="L3533" t="s">
        <v>221</v>
      </c>
      <c r="M3533" t="s">
        <v>24</v>
      </c>
      <c r="N3533" t="s">
        <v>35</v>
      </c>
      <c r="O3533" t="s">
        <v>26</v>
      </c>
      <c r="P3533" t="s">
        <v>27</v>
      </c>
      <c r="Q3533" t="s">
        <v>28</v>
      </c>
      <c r="R3533" t="s">
        <v>29</v>
      </c>
      <c r="S3533" t="s">
        <v>30</v>
      </c>
      <c r="T3533">
        <v>1013662799</v>
      </c>
      <c r="U3533" t="s">
        <v>3965</v>
      </c>
      <c r="V3533" t="s">
        <v>3934</v>
      </c>
      <c r="W3533" s="9">
        <f>IF(V3533="pregrado",31,
IF(V3533="posgrados",31,
IF(V3533="rEINTEGROS",7,
IF(V3533="BIT",90,
IF(V3533="OP GRADO - INGLÉS",17,"")))))</f>
        <v>31</v>
      </c>
      <c r="X3533" t="s">
        <v>4021</v>
      </c>
    </row>
    <row r="3534" spans="1:24" ht="15" x14ac:dyDescent="0.35">
      <c r="A3534" s="4">
        <v>46044.761250000003</v>
      </c>
      <c r="B3534">
        <v>20116354</v>
      </c>
      <c r="C3534" s="6" t="s">
        <v>19</v>
      </c>
      <c r="D3534">
        <v>606298</v>
      </c>
      <c r="E3534" t="s">
        <v>20</v>
      </c>
      <c r="F3534">
        <v>59665615</v>
      </c>
      <c r="G3534" t="s">
        <v>2207</v>
      </c>
      <c r="H3534">
        <v>100243154</v>
      </c>
      <c r="I3534">
        <v>202611</v>
      </c>
      <c r="J3534">
        <v>1061805147</v>
      </c>
      <c r="K3534" t="s">
        <v>23</v>
      </c>
      <c r="L3534" t="s">
        <v>221</v>
      </c>
      <c r="M3534" t="s">
        <v>24</v>
      </c>
      <c r="N3534" t="s">
        <v>35</v>
      </c>
      <c r="O3534" t="s">
        <v>26</v>
      </c>
      <c r="P3534" t="s">
        <v>27</v>
      </c>
      <c r="Q3534" t="s">
        <v>28</v>
      </c>
      <c r="R3534" t="s">
        <v>29</v>
      </c>
      <c r="S3534" t="s">
        <v>30</v>
      </c>
      <c r="T3534">
        <v>1023970223</v>
      </c>
      <c r="U3534" t="s">
        <v>3933</v>
      </c>
      <c r="V3534" t="s">
        <v>3934</v>
      </c>
      <c r="W3534" s="9">
        <f>IF(V3534="pregrado",31,
IF(V3534="posgrados",31,
IF(V3534="rEINTEGROS",7,
IF(V3534="BIT",90,
IF(V3534="OP GRADO - INGLÉS",17,"")))))</f>
        <v>31</v>
      </c>
      <c r="X3534" t="s">
        <v>4070</v>
      </c>
    </row>
    <row r="3535" spans="1:24" ht="15" x14ac:dyDescent="0.35">
      <c r="A3535" s="4">
        <v>46045.579861111109</v>
      </c>
      <c r="B3535">
        <v>20116609</v>
      </c>
      <c r="C3535" s="6" t="s">
        <v>19</v>
      </c>
      <c r="D3535">
        <v>606303</v>
      </c>
      <c r="E3535" t="s">
        <v>20</v>
      </c>
      <c r="F3535">
        <v>1050840111</v>
      </c>
      <c r="G3535" t="s">
        <v>2239</v>
      </c>
      <c r="H3535">
        <v>100165323</v>
      </c>
      <c r="I3535">
        <v>202631</v>
      </c>
      <c r="J3535">
        <v>1050840111</v>
      </c>
      <c r="K3535" t="s">
        <v>33</v>
      </c>
      <c r="L3535" t="s">
        <v>57</v>
      </c>
      <c r="M3535" t="s">
        <v>24</v>
      </c>
      <c r="N3535" t="s">
        <v>25</v>
      </c>
      <c r="O3535" t="s">
        <v>26</v>
      </c>
      <c r="P3535" t="s">
        <v>27</v>
      </c>
      <c r="Q3535" t="s">
        <v>28</v>
      </c>
      <c r="R3535" t="s">
        <v>29</v>
      </c>
      <c r="S3535" t="s">
        <v>30</v>
      </c>
      <c r="T3535">
        <v>1019115186</v>
      </c>
      <c r="U3535" t="s">
        <v>3941</v>
      </c>
      <c r="V3535" t="s">
        <v>3934</v>
      </c>
      <c r="W3535" s="9">
        <f>IF(V3535="pregrado",31,
IF(V3535="posgrados",31,
IF(V3535="rEINTEGROS",7,
IF(V3535="BIT",90,
IF(V3535="OP GRADO - INGLÉS",17,"")))))</f>
        <v>31</v>
      </c>
      <c r="X3535" t="s">
        <v>4005</v>
      </c>
    </row>
    <row r="3536" spans="1:24" ht="15" x14ac:dyDescent="0.35">
      <c r="A3536" s="4">
        <v>46045.576747685183</v>
      </c>
      <c r="B3536">
        <v>20116606</v>
      </c>
      <c r="C3536" s="6" t="s">
        <v>19</v>
      </c>
      <c r="D3536">
        <v>606314</v>
      </c>
      <c r="E3536" t="s">
        <v>20</v>
      </c>
      <c r="F3536">
        <v>1010037180</v>
      </c>
      <c r="G3536" t="s">
        <v>2237</v>
      </c>
      <c r="H3536">
        <v>100243217</v>
      </c>
      <c r="I3536">
        <v>202611</v>
      </c>
      <c r="J3536">
        <v>1010037180</v>
      </c>
      <c r="K3536" t="s">
        <v>23</v>
      </c>
      <c r="L3536" t="s">
        <v>227</v>
      </c>
      <c r="M3536" t="s">
        <v>24</v>
      </c>
      <c r="N3536" t="s">
        <v>35</v>
      </c>
      <c r="O3536" t="s">
        <v>26</v>
      </c>
      <c r="P3536" t="s">
        <v>27</v>
      </c>
      <c r="Q3536" t="s">
        <v>28</v>
      </c>
      <c r="R3536" t="s">
        <v>29</v>
      </c>
      <c r="S3536" t="s">
        <v>30</v>
      </c>
      <c r="T3536">
        <v>1073692626</v>
      </c>
      <c r="U3536" t="s">
        <v>3965</v>
      </c>
      <c r="V3536" t="s">
        <v>3934</v>
      </c>
      <c r="W3536" s="9">
        <f>IF(V3536="pregrado",31,
IF(V3536="posgrados",31,
IF(V3536="rEINTEGROS",7,
IF(V3536="BIT",90,
IF(V3536="OP GRADO - INGLÉS",17,"")))))</f>
        <v>31</v>
      </c>
      <c r="X3536" t="s">
        <v>4014</v>
      </c>
    </row>
    <row r="3537" spans="1:24" ht="15" x14ac:dyDescent="0.35">
      <c r="A3537" s="4">
        <v>46045.522326388891</v>
      </c>
      <c r="B3537">
        <v>20116559</v>
      </c>
      <c r="C3537" s="6" t="s">
        <v>19</v>
      </c>
      <c r="D3537">
        <v>606328</v>
      </c>
      <c r="E3537" t="s">
        <v>20</v>
      </c>
      <c r="F3537">
        <v>85472742</v>
      </c>
      <c r="G3537" t="s">
        <v>2231</v>
      </c>
      <c r="H3537">
        <v>100232120</v>
      </c>
      <c r="I3537">
        <v>202631</v>
      </c>
      <c r="J3537">
        <v>1065125901</v>
      </c>
      <c r="K3537" t="s">
        <v>23</v>
      </c>
      <c r="L3537" t="s">
        <v>219</v>
      </c>
      <c r="M3537" t="s">
        <v>24</v>
      </c>
      <c r="N3537" t="s">
        <v>35</v>
      </c>
      <c r="O3537" t="s">
        <v>26</v>
      </c>
      <c r="P3537" t="s">
        <v>27</v>
      </c>
      <c r="Q3537" t="s">
        <v>28</v>
      </c>
      <c r="R3537" t="s">
        <v>29</v>
      </c>
      <c r="S3537" t="s">
        <v>30</v>
      </c>
      <c r="T3537">
        <v>52446712</v>
      </c>
      <c r="U3537" t="s">
        <v>3963</v>
      </c>
      <c r="V3537" t="s">
        <v>3934</v>
      </c>
      <c r="W3537" s="9">
        <f>IF(V3537="pregrado",31,
IF(V3537="posgrados",31,
IF(V3537="rEINTEGROS",7,
IF(V3537="BIT",90,
IF(V3537="OP GRADO - INGLÉS",17,"")))))</f>
        <v>31</v>
      </c>
      <c r="X3537" t="s">
        <v>4041</v>
      </c>
    </row>
    <row r="3538" spans="1:24" ht="15" x14ac:dyDescent="0.35">
      <c r="A3538" s="4">
        <v>46045.484282407408</v>
      </c>
      <c r="B3538">
        <v>20116525</v>
      </c>
      <c r="C3538" s="6" t="s">
        <v>19</v>
      </c>
      <c r="D3538">
        <v>606332</v>
      </c>
      <c r="E3538" t="s">
        <v>20</v>
      </c>
      <c r="F3538">
        <v>66929982</v>
      </c>
      <c r="G3538" t="s">
        <v>2227</v>
      </c>
      <c r="H3538">
        <v>100243264</v>
      </c>
      <c r="I3538">
        <v>202631</v>
      </c>
      <c r="J3538">
        <v>1113676507</v>
      </c>
      <c r="K3538" t="s">
        <v>33</v>
      </c>
      <c r="L3538" t="s">
        <v>207</v>
      </c>
      <c r="M3538" t="s">
        <v>24</v>
      </c>
      <c r="N3538" t="s">
        <v>25</v>
      </c>
      <c r="O3538" t="s">
        <v>26</v>
      </c>
      <c r="P3538" t="s">
        <v>27</v>
      </c>
      <c r="Q3538" t="s">
        <v>28</v>
      </c>
      <c r="R3538" t="s">
        <v>29</v>
      </c>
      <c r="S3538" t="s">
        <v>30</v>
      </c>
      <c r="T3538">
        <v>1001315142</v>
      </c>
      <c r="U3538" t="s">
        <v>3986</v>
      </c>
      <c r="V3538" t="s">
        <v>3934</v>
      </c>
      <c r="W3538" s="9">
        <f>IF(V3538="pregrado",31,
IF(V3538="posgrados",31,
IF(V3538="rEINTEGROS",7,
IF(V3538="BIT",90,
IF(V3538="OP GRADO - INGLÉS",17,"")))))</f>
        <v>31</v>
      </c>
      <c r="X3538" t="s">
        <v>4064</v>
      </c>
    </row>
    <row r="3539" spans="1:24" ht="15" x14ac:dyDescent="0.35">
      <c r="A3539" s="4">
        <v>46080.402361111112</v>
      </c>
      <c r="B3539">
        <v>20126769</v>
      </c>
      <c r="C3539" s="6" t="s">
        <v>19</v>
      </c>
      <c r="D3539">
        <v>606333</v>
      </c>
      <c r="E3539" t="s">
        <v>20</v>
      </c>
      <c r="F3539">
        <v>1041086947</v>
      </c>
      <c r="G3539" t="s">
        <v>3715</v>
      </c>
      <c r="H3539">
        <v>100243265</v>
      </c>
      <c r="I3539">
        <v>202631</v>
      </c>
      <c r="J3539">
        <v>1041086947</v>
      </c>
      <c r="K3539" t="s">
        <v>23</v>
      </c>
      <c r="L3539" t="s">
        <v>219</v>
      </c>
      <c r="M3539" t="s">
        <v>24</v>
      </c>
      <c r="N3539" t="s">
        <v>35</v>
      </c>
      <c r="O3539" t="s">
        <v>26</v>
      </c>
      <c r="P3539" t="s">
        <v>27</v>
      </c>
      <c r="Q3539" t="s">
        <v>28</v>
      </c>
      <c r="R3539" t="s">
        <v>29</v>
      </c>
      <c r="S3539" t="s">
        <v>30</v>
      </c>
      <c r="T3539">
        <v>1014283217</v>
      </c>
      <c r="U3539" t="s">
        <v>3963</v>
      </c>
      <c r="V3539" t="s">
        <v>3934</v>
      </c>
      <c r="W3539" s="9">
        <f>IF(V3539="pregrado",31,
IF(V3539="posgrados",31,
IF(V3539="rEINTEGROS",7,
IF(V3539="BIT",90,
IF(V3539="OP GRADO - INGLÉS",17,"")))))</f>
        <v>31</v>
      </c>
      <c r="X3539" t="s">
        <v>4023</v>
      </c>
    </row>
    <row r="3540" spans="1:24" ht="15" x14ac:dyDescent="0.35">
      <c r="A3540" s="4">
        <v>46048.757511574076</v>
      </c>
      <c r="B3540">
        <v>20117339</v>
      </c>
      <c r="C3540" s="6" t="s">
        <v>19</v>
      </c>
      <c r="D3540">
        <v>606338</v>
      </c>
      <c r="E3540" t="s">
        <v>20</v>
      </c>
      <c r="F3540">
        <v>52782782</v>
      </c>
      <c r="G3540" t="s">
        <v>2317</v>
      </c>
      <c r="H3540">
        <v>100243274</v>
      </c>
      <c r="I3540">
        <v>202631</v>
      </c>
      <c r="J3540">
        <v>1000331682</v>
      </c>
      <c r="K3540" t="s">
        <v>23</v>
      </c>
      <c r="L3540" t="s">
        <v>127</v>
      </c>
      <c r="M3540" t="s">
        <v>24</v>
      </c>
      <c r="N3540" t="s">
        <v>38</v>
      </c>
      <c r="O3540" t="s">
        <v>26</v>
      </c>
      <c r="P3540" t="s">
        <v>27</v>
      </c>
      <c r="Q3540" t="s">
        <v>28</v>
      </c>
      <c r="R3540" t="s">
        <v>29</v>
      </c>
      <c r="S3540" t="s">
        <v>30</v>
      </c>
      <c r="T3540">
        <v>10245841021</v>
      </c>
      <c r="U3540" t="s">
        <v>3933</v>
      </c>
      <c r="V3540" t="s">
        <v>3934</v>
      </c>
      <c r="W3540" s="9">
        <f>IF(V3540="pregrado",31,
IF(V3540="posgrados",31,
IF(V3540="rEINTEGROS",7,
IF(V3540="BIT",90,
IF(V3540="OP GRADO - INGLÉS",17,"")))))</f>
        <v>31</v>
      </c>
      <c r="X3540" t="s">
        <v>3987</v>
      </c>
    </row>
    <row r="3541" spans="1:24" ht="15" x14ac:dyDescent="0.35">
      <c r="A3541" s="4">
        <v>46048.404583333337</v>
      </c>
      <c r="B3541">
        <v>20116996</v>
      </c>
      <c r="C3541" s="6" t="s">
        <v>19</v>
      </c>
      <c r="D3541">
        <v>606339</v>
      </c>
      <c r="E3541" t="s">
        <v>20</v>
      </c>
      <c r="F3541">
        <v>30316307</v>
      </c>
      <c r="G3541" t="s">
        <v>2277</v>
      </c>
      <c r="H3541">
        <v>100243276</v>
      </c>
      <c r="I3541">
        <v>202631</v>
      </c>
      <c r="J3541">
        <v>1055752413</v>
      </c>
      <c r="K3541" t="s">
        <v>23</v>
      </c>
      <c r="L3541" t="s">
        <v>219</v>
      </c>
      <c r="M3541" t="s">
        <v>24</v>
      </c>
      <c r="N3541" t="s">
        <v>35</v>
      </c>
      <c r="O3541" t="s">
        <v>26</v>
      </c>
      <c r="P3541" t="s">
        <v>27</v>
      </c>
      <c r="Q3541" t="s">
        <v>28</v>
      </c>
      <c r="R3541" t="s">
        <v>29</v>
      </c>
      <c r="S3541" t="s">
        <v>30</v>
      </c>
      <c r="T3541">
        <v>1001066645</v>
      </c>
      <c r="U3541" t="s">
        <v>3963</v>
      </c>
      <c r="V3541" t="s">
        <v>3934</v>
      </c>
      <c r="W3541" s="9">
        <f>IF(V3541="pregrado",31,
IF(V3541="posgrados",31,
IF(V3541="rEINTEGROS",7,
IF(V3541="BIT",90,
IF(V3541="OP GRADO - INGLÉS",17,"")))))</f>
        <v>31</v>
      </c>
      <c r="X3541" t="s">
        <v>4086</v>
      </c>
    </row>
    <row r="3542" spans="1:24" ht="15" x14ac:dyDescent="0.35">
      <c r="A3542" s="4">
        <v>46050.584699074076</v>
      </c>
      <c r="B3542">
        <v>20118013</v>
      </c>
      <c r="C3542" s="6" t="s">
        <v>19</v>
      </c>
      <c r="D3542">
        <v>606341</v>
      </c>
      <c r="E3542" t="s">
        <v>20</v>
      </c>
      <c r="F3542">
        <v>1012324865</v>
      </c>
      <c r="G3542" t="s">
        <v>2418</v>
      </c>
      <c r="H3542">
        <v>100243279</v>
      </c>
      <c r="I3542">
        <v>202610</v>
      </c>
      <c r="J3542">
        <v>1012324865</v>
      </c>
      <c r="K3542" t="s">
        <v>23</v>
      </c>
      <c r="L3542" t="s">
        <v>40</v>
      </c>
      <c r="M3542" t="s">
        <v>24</v>
      </c>
      <c r="N3542" t="s">
        <v>25</v>
      </c>
      <c r="O3542" t="s">
        <v>26</v>
      </c>
      <c r="P3542" t="s">
        <v>27</v>
      </c>
      <c r="Q3542" t="s">
        <v>28</v>
      </c>
      <c r="R3542" t="s">
        <v>29</v>
      </c>
      <c r="S3542" t="s">
        <v>30</v>
      </c>
      <c r="T3542">
        <v>53178431</v>
      </c>
      <c r="U3542" t="s">
        <v>3941</v>
      </c>
      <c r="V3542" t="s">
        <v>3934</v>
      </c>
      <c r="W3542" s="9">
        <f>IF(V3542="pregrado",31,
IF(V3542="posgrados",31,
IF(V3542="rEINTEGROS",7,
IF(V3542="BIT",90,
IF(V3542="OP GRADO - INGLÉS",17,"")))))</f>
        <v>31</v>
      </c>
      <c r="X3542" t="s">
        <v>3949</v>
      </c>
    </row>
    <row r="3543" spans="1:24" ht="15" x14ac:dyDescent="0.35">
      <c r="A3543" s="4">
        <v>46051.449456018519</v>
      </c>
      <c r="B3543">
        <v>20118395</v>
      </c>
      <c r="C3543" s="6" t="s">
        <v>19</v>
      </c>
      <c r="D3543">
        <v>606342</v>
      </c>
      <c r="E3543" t="s">
        <v>20</v>
      </c>
      <c r="F3543">
        <v>28798119</v>
      </c>
      <c r="G3543" t="s">
        <v>2468</v>
      </c>
      <c r="H3543">
        <v>100231789</v>
      </c>
      <c r="I3543">
        <v>202631</v>
      </c>
      <c r="J3543">
        <v>1007606269</v>
      </c>
      <c r="K3543" t="s">
        <v>23</v>
      </c>
      <c r="L3543" t="s">
        <v>42</v>
      </c>
      <c r="M3543" t="s">
        <v>24</v>
      </c>
      <c r="N3543" t="s">
        <v>35</v>
      </c>
      <c r="O3543" t="s">
        <v>26</v>
      </c>
      <c r="P3543" t="s">
        <v>27</v>
      </c>
      <c r="Q3543" t="s">
        <v>28</v>
      </c>
      <c r="R3543" t="s">
        <v>29</v>
      </c>
      <c r="S3543" t="s">
        <v>30</v>
      </c>
      <c r="T3543">
        <v>1000625316</v>
      </c>
      <c r="U3543" t="s">
        <v>3944</v>
      </c>
      <c r="V3543" t="s">
        <v>3934</v>
      </c>
      <c r="W3543" s="9">
        <f>IF(V3543="pregrado",31,
IF(V3543="posgrados",31,
IF(V3543="rEINTEGROS",7,
IF(V3543="BIT",90,
IF(V3543="OP GRADO - INGLÉS",17,"")))))</f>
        <v>31</v>
      </c>
      <c r="X3543" t="s">
        <v>3980</v>
      </c>
    </row>
    <row r="3544" spans="1:24" ht="15" x14ac:dyDescent="0.35">
      <c r="A3544" s="4">
        <v>46055.728958333333</v>
      </c>
      <c r="B3544">
        <v>20119831</v>
      </c>
      <c r="C3544" s="6" t="s">
        <v>19</v>
      </c>
      <c r="D3544">
        <v>606344</v>
      </c>
      <c r="E3544" t="s">
        <v>20</v>
      </c>
      <c r="F3544">
        <v>1007148525</v>
      </c>
      <c r="G3544" t="s">
        <v>2664</v>
      </c>
      <c r="H3544">
        <v>100243283</v>
      </c>
      <c r="I3544">
        <v>202631</v>
      </c>
      <c r="J3544">
        <v>1007148525</v>
      </c>
      <c r="K3544" t="s">
        <v>33</v>
      </c>
      <c r="L3544" t="s">
        <v>207</v>
      </c>
      <c r="M3544" t="s">
        <v>24</v>
      </c>
      <c r="N3544" t="s">
        <v>25</v>
      </c>
      <c r="O3544" t="s">
        <v>26</v>
      </c>
      <c r="P3544" t="s">
        <v>27</v>
      </c>
      <c r="Q3544" t="s">
        <v>28</v>
      </c>
      <c r="R3544" t="s">
        <v>29</v>
      </c>
      <c r="S3544" t="s">
        <v>30</v>
      </c>
      <c r="T3544">
        <v>1018455773</v>
      </c>
      <c r="U3544" t="s">
        <v>3986</v>
      </c>
      <c r="V3544" t="s">
        <v>3934</v>
      </c>
      <c r="W3544" s="9">
        <f>IF(V3544="pregrado",31,
IF(V3544="posgrados",31,
IF(V3544="rEINTEGROS",7,
IF(V3544="BIT",90,
IF(V3544="OP GRADO - INGLÉS",17,"")))))</f>
        <v>31</v>
      </c>
      <c r="X3544" t="s">
        <v>4101</v>
      </c>
    </row>
    <row r="3545" spans="1:24" ht="15" x14ac:dyDescent="0.35">
      <c r="A3545" s="4">
        <v>46078.715104166666</v>
      </c>
      <c r="B3545">
        <v>20126336</v>
      </c>
      <c r="C3545" s="6" t="s">
        <v>19</v>
      </c>
      <c r="D3545">
        <v>606348</v>
      </c>
      <c r="E3545" t="s">
        <v>20</v>
      </c>
      <c r="F3545">
        <v>1054539800</v>
      </c>
      <c r="G3545" t="s">
        <v>3639</v>
      </c>
      <c r="H3545">
        <v>100243110</v>
      </c>
      <c r="I3545">
        <v>202611</v>
      </c>
      <c r="J3545">
        <v>1013624533</v>
      </c>
      <c r="K3545" t="s">
        <v>74</v>
      </c>
      <c r="L3545" t="s">
        <v>221</v>
      </c>
      <c r="M3545" t="s">
        <v>24</v>
      </c>
      <c r="N3545" t="s">
        <v>35</v>
      </c>
      <c r="O3545" t="s">
        <v>26</v>
      </c>
      <c r="P3545" t="s">
        <v>27</v>
      </c>
      <c r="Q3545" t="s">
        <v>28</v>
      </c>
      <c r="R3545" t="s">
        <v>29</v>
      </c>
      <c r="S3545" t="s">
        <v>30</v>
      </c>
      <c r="T3545">
        <v>1007709034</v>
      </c>
      <c r="U3545" t="s">
        <v>3965</v>
      </c>
      <c r="V3545" t="s">
        <v>3934</v>
      </c>
      <c r="W3545" s="9">
        <f>IF(V3545="pregrado",31,
IF(V3545="posgrados",31,
IF(V3545="rEINTEGROS",7,
IF(V3545="BIT",90,
IF(V3545="OP GRADO - INGLÉS",17,"")))))</f>
        <v>31</v>
      </c>
      <c r="X3545" t="s">
        <v>3964</v>
      </c>
    </row>
    <row r="3546" spans="1:24" ht="15" x14ac:dyDescent="0.35">
      <c r="A3546" s="4">
        <v>46050.794456018521</v>
      </c>
      <c r="B3546">
        <v>20118237</v>
      </c>
      <c r="C3546" s="6" t="s">
        <v>19</v>
      </c>
      <c r="D3546">
        <v>606353</v>
      </c>
      <c r="E3546" t="s">
        <v>20</v>
      </c>
      <c r="F3546">
        <v>1069722070</v>
      </c>
      <c r="G3546" t="s">
        <v>2443</v>
      </c>
      <c r="H3546">
        <v>100243291</v>
      </c>
      <c r="I3546">
        <v>202631</v>
      </c>
      <c r="J3546">
        <v>1069722070</v>
      </c>
      <c r="K3546" t="s">
        <v>33</v>
      </c>
      <c r="L3546" t="s">
        <v>207</v>
      </c>
      <c r="M3546" t="s">
        <v>24</v>
      </c>
      <c r="N3546" t="s">
        <v>25</v>
      </c>
      <c r="O3546" t="s">
        <v>26</v>
      </c>
      <c r="P3546" t="s">
        <v>27</v>
      </c>
      <c r="Q3546" t="s">
        <v>28</v>
      </c>
      <c r="R3546" t="s">
        <v>29</v>
      </c>
      <c r="S3546" t="s">
        <v>30</v>
      </c>
      <c r="T3546">
        <v>1000777598</v>
      </c>
      <c r="U3546" t="s">
        <v>3986</v>
      </c>
      <c r="V3546" t="s">
        <v>3934</v>
      </c>
      <c r="W3546" s="9">
        <f>IF(V3546="pregrado",31,
IF(V3546="posgrados",31,
IF(V3546="rEINTEGROS",7,
IF(V3546="BIT",90,
IF(V3546="OP GRADO - INGLÉS",17,"")))))</f>
        <v>31</v>
      </c>
      <c r="X3546" t="s">
        <v>4103</v>
      </c>
    </row>
    <row r="3547" spans="1:24" ht="15" x14ac:dyDescent="0.35">
      <c r="A3547" s="4">
        <v>46049.414386574077</v>
      </c>
      <c r="B3547">
        <v>20117446</v>
      </c>
      <c r="C3547" s="6" t="s">
        <v>19</v>
      </c>
      <c r="D3547">
        <v>606364</v>
      </c>
      <c r="E3547" t="s">
        <v>20</v>
      </c>
      <c r="F3547">
        <v>94515547</v>
      </c>
      <c r="G3547" t="s">
        <v>2330</v>
      </c>
      <c r="H3547">
        <v>100237265</v>
      </c>
      <c r="I3547">
        <v>202631</v>
      </c>
      <c r="J3547">
        <v>1023367540</v>
      </c>
      <c r="K3547" t="s">
        <v>74</v>
      </c>
      <c r="L3547" t="s">
        <v>240</v>
      </c>
      <c r="M3547" t="s">
        <v>24</v>
      </c>
      <c r="N3547" t="s">
        <v>35</v>
      </c>
      <c r="O3547" t="s">
        <v>26</v>
      </c>
      <c r="P3547" t="s">
        <v>27</v>
      </c>
      <c r="Q3547" t="s">
        <v>28</v>
      </c>
      <c r="R3547" t="s">
        <v>29</v>
      </c>
      <c r="S3547" t="s">
        <v>30</v>
      </c>
      <c r="T3547">
        <v>1000578914</v>
      </c>
      <c r="U3547" t="s">
        <v>3941</v>
      </c>
      <c r="V3547" t="s">
        <v>3934</v>
      </c>
      <c r="W3547" s="9">
        <f>IF(V3547="pregrado",31,
IF(V3547="posgrados",31,
IF(V3547="rEINTEGROS",7,
IF(V3547="BIT",90,
IF(V3547="OP GRADO - INGLÉS",17,"")))))</f>
        <v>31</v>
      </c>
      <c r="X3547" t="s">
        <v>4060</v>
      </c>
    </row>
    <row r="3548" spans="1:24" ht="15" x14ac:dyDescent="0.35">
      <c r="A3548" s="4">
        <v>46049.56622685185</v>
      </c>
      <c r="B3548">
        <v>20117561</v>
      </c>
      <c r="C3548" s="6" t="s">
        <v>19</v>
      </c>
      <c r="D3548">
        <v>606369</v>
      </c>
      <c r="E3548" t="s">
        <v>20</v>
      </c>
      <c r="F3548">
        <v>11281381</v>
      </c>
      <c r="G3548" t="s">
        <v>2343</v>
      </c>
      <c r="H3548">
        <v>200084966</v>
      </c>
      <c r="I3548">
        <v>202631</v>
      </c>
      <c r="J3548">
        <v>1129244505</v>
      </c>
      <c r="K3548" t="s">
        <v>23</v>
      </c>
      <c r="L3548" t="s">
        <v>90</v>
      </c>
      <c r="M3548" t="s">
        <v>24</v>
      </c>
      <c r="N3548" t="s">
        <v>35</v>
      </c>
      <c r="O3548" t="s">
        <v>26</v>
      </c>
      <c r="P3548" t="s">
        <v>27</v>
      </c>
      <c r="Q3548" t="s">
        <v>28</v>
      </c>
      <c r="R3548" t="s">
        <v>29</v>
      </c>
      <c r="S3548" t="s">
        <v>30</v>
      </c>
      <c r="T3548">
        <v>1014273794</v>
      </c>
      <c r="U3548" t="s">
        <v>3939</v>
      </c>
      <c r="V3548" t="s">
        <v>3934</v>
      </c>
      <c r="W3548" s="9">
        <f>IF(V3548="pregrado",31,
IF(V3548="posgrados",31,
IF(V3548="rEINTEGROS",7,
IF(V3548="BIT",90,
IF(V3548="OP GRADO - INGLÉS",17,"")))))</f>
        <v>31</v>
      </c>
      <c r="X3548" t="s">
        <v>4004</v>
      </c>
    </row>
    <row r="3549" spans="1:24" ht="15" x14ac:dyDescent="0.35">
      <c r="A3549" s="4">
        <v>46055.346122685187</v>
      </c>
      <c r="B3549">
        <v>20119440</v>
      </c>
      <c r="C3549" s="6" t="s">
        <v>19</v>
      </c>
      <c r="D3549">
        <v>606390</v>
      </c>
      <c r="E3549" t="s">
        <v>20</v>
      </c>
      <c r="F3549">
        <v>1143983977</v>
      </c>
      <c r="G3549" t="s">
        <v>2640</v>
      </c>
      <c r="H3549">
        <v>100243338</v>
      </c>
      <c r="I3549">
        <v>202631</v>
      </c>
      <c r="J3549">
        <v>1143983977</v>
      </c>
      <c r="K3549" t="s">
        <v>83</v>
      </c>
      <c r="L3549" t="s">
        <v>127</v>
      </c>
      <c r="M3549" t="s">
        <v>24</v>
      </c>
      <c r="N3549" t="s">
        <v>35</v>
      </c>
      <c r="O3549" t="s">
        <v>26</v>
      </c>
      <c r="P3549" t="s">
        <v>27</v>
      </c>
      <c r="Q3549" t="s">
        <v>28</v>
      </c>
      <c r="R3549" t="s">
        <v>29</v>
      </c>
      <c r="S3549" t="s">
        <v>30</v>
      </c>
      <c r="T3549">
        <v>10245841021</v>
      </c>
      <c r="U3549" t="s">
        <v>3933</v>
      </c>
      <c r="V3549" t="s">
        <v>3934</v>
      </c>
      <c r="W3549" s="9">
        <f>IF(V3549="pregrado",31,
IF(V3549="posgrados",31,
IF(V3549="rEINTEGROS",7,
IF(V3549="BIT",90,
IF(V3549="OP GRADO - INGLÉS",17,"")))))</f>
        <v>31</v>
      </c>
      <c r="X3549" t="s">
        <v>3987</v>
      </c>
    </row>
    <row r="3550" spans="1:24" ht="15" x14ac:dyDescent="0.35">
      <c r="A3550" s="4">
        <v>46045.682847222219</v>
      </c>
      <c r="B3550">
        <v>20116699</v>
      </c>
      <c r="C3550" s="6" t="s">
        <v>19</v>
      </c>
      <c r="D3550">
        <v>606391</v>
      </c>
      <c r="E3550" t="s">
        <v>20</v>
      </c>
      <c r="F3550">
        <v>1052395873</v>
      </c>
      <c r="G3550" t="s">
        <v>2248</v>
      </c>
      <c r="H3550">
        <v>100183933</v>
      </c>
      <c r="I3550">
        <v>202631</v>
      </c>
      <c r="J3550">
        <v>1052395873</v>
      </c>
      <c r="K3550" t="s">
        <v>33</v>
      </c>
      <c r="L3550" t="s">
        <v>207</v>
      </c>
      <c r="M3550" t="s">
        <v>24</v>
      </c>
      <c r="N3550" t="s">
        <v>25</v>
      </c>
      <c r="O3550" t="s">
        <v>26</v>
      </c>
      <c r="P3550" t="s">
        <v>27</v>
      </c>
      <c r="Q3550" t="s">
        <v>28</v>
      </c>
      <c r="R3550" t="s">
        <v>29</v>
      </c>
      <c r="S3550" t="s">
        <v>30</v>
      </c>
      <c r="T3550">
        <v>1023000938</v>
      </c>
      <c r="U3550" t="s">
        <v>3941</v>
      </c>
      <c r="V3550" t="s">
        <v>3934</v>
      </c>
      <c r="W3550" s="9">
        <f>IF(V3550="pregrado",31,
IF(V3550="posgrados",31,
IF(V3550="rEINTEGROS",7,
IF(V3550="BIT",90,
IF(V3550="OP GRADO - INGLÉS",17,"")))))</f>
        <v>31</v>
      </c>
      <c r="X3550" t="s">
        <v>3989</v>
      </c>
    </row>
    <row r="3551" spans="1:24" ht="15" x14ac:dyDescent="0.35">
      <c r="A3551" s="4">
        <v>46051.635671296295</v>
      </c>
      <c r="B3551">
        <v>20118552</v>
      </c>
      <c r="C3551" s="6" t="s">
        <v>19</v>
      </c>
      <c r="D3551">
        <v>606394</v>
      </c>
      <c r="E3551" t="s">
        <v>20</v>
      </c>
      <c r="F3551">
        <v>9135982</v>
      </c>
      <c r="G3551" t="s">
        <v>2491</v>
      </c>
      <c r="H3551">
        <v>200086001</v>
      </c>
      <c r="I3551">
        <v>202631</v>
      </c>
      <c r="J3551">
        <v>1050721958</v>
      </c>
      <c r="K3551" t="s">
        <v>33</v>
      </c>
      <c r="L3551" t="s">
        <v>119</v>
      </c>
      <c r="M3551" t="s">
        <v>24</v>
      </c>
      <c r="N3551" t="s">
        <v>35</v>
      </c>
      <c r="O3551" t="s">
        <v>26</v>
      </c>
      <c r="P3551" t="s">
        <v>27</v>
      </c>
      <c r="Q3551" t="s">
        <v>28</v>
      </c>
      <c r="R3551" t="s">
        <v>29</v>
      </c>
      <c r="S3551" t="s">
        <v>30</v>
      </c>
      <c r="T3551">
        <v>1000350862</v>
      </c>
      <c r="U3551" t="s">
        <v>3963</v>
      </c>
      <c r="V3551" t="s">
        <v>3934</v>
      </c>
      <c r="W3551" s="9">
        <f>IF(V3551="pregrado",31,
IF(V3551="posgrados",31,
IF(V3551="rEINTEGROS",7,
IF(V3551="BIT",90,
IF(V3551="OP GRADO - INGLÉS",17,"")))))</f>
        <v>31</v>
      </c>
      <c r="X3551" t="s">
        <v>4071</v>
      </c>
    </row>
    <row r="3552" spans="1:24" ht="15" x14ac:dyDescent="0.35">
      <c r="A3552" s="4">
        <v>46048.390833333331</v>
      </c>
      <c r="B3552">
        <v>20116984</v>
      </c>
      <c r="C3552" s="6" t="s">
        <v>19</v>
      </c>
      <c r="D3552">
        <v>606397</v>
      </c>
      <c r="E3552" t="s">
        <v>20</v>
      </c>
      <c r="F3552">
        <v>4816331</v>
      </c>
      <c r="G3552" t="s">
        <v>2274</v>
      </c>
      <c r="H3552">
        <v>200085847</v>
      </c>
      <c r="I3552">
        <v>202631</v>
      </c>
      <c r="J3552">
        <v>1006189572</v>
      </c>
      <c r="K3552" t="s">
        <v>33</v>
      </c>
      <c r="L3552" t="s">
        <v>119</v>
      </c>
      <c r="M3552" t="s">
        <v>24</v>
      </c>
      <c r="N3552" t="s">
        <v>35</v>
      </c>
      <c r="O3552" t="s">
        <v>26</v>
      </c>
      <c r="P3552" t="s">
        <v>27</v>
      </c>
      <c r="Q3552" t="s">
        <v>28</v>
      </c>
      <c r="R3552" t="s">
        <v>29</v>
      </c>
      <c r="S3552" t="s">
        <v>30</v>
      </c>
      <c r="T3552">
        <v>1023367706</v>
      </c>
      <c r="U3552" t="s">
        <v>3963</v>
      </c>
      <c r="V3552" t="s">
        <v>3934</v>
      </c>
      <c r="W3552" s="9">
        <f>IF(V3552="pregrado",31,
IF(V3552="posgrados",31,
IF(V3552="rEINTEGROS",7,
IF(V3552="BIT",90,
IF(V3552="OP GRADO - INGLÉS",17,"")))))</f>
        <v>31</v>
      </c>
      <c r="X3552" t="s">
        <v>4039</v>
      </c>
    </row>
    <row r="3553" spans="1:24" ht="15" x14ac:dyDescent="0.35">
      <c r="A3553" s="4">
        <v>46050.665277777778</v>
      </c>
      <c r="B3553">
        <v>20118104</v>
      </c>
      <c r="C3553" s="6" t="s">
        <v>19</v>
      </c>
      <c r="D3553">
        <v>606398</v>
      </c>
      <c r="E3553" t="s">
        <v>20</v>
      </c>
      <c r="F3553">
        <v>1193147376</v>
      </c>
      <c r="G3553" t="s">
        <v>2426</v>
      </c>
      <c r="H3553">
        <v>100243345</v>
      </c>
      <c r="I3553">
        <v>202611</v>
      </c>
      <c r="J3553">
        <v>53931517</v>
      </c>
      <c r="K3553" t="s">
        <v>23</v>
      </c>
      <c r="L3553" t="s">
        <v>221</v>
      </c>
      <c r="M3553" t="s">
        <v>24</v>
      </c>
      <c r="N3553" t="s">
        <v>25</v>
      </c>
      <c r="O3553" t="s">
        <v>26</v>
      </c>
      <c r="P3553" t="s">
        <v>27</v>
      </c>
      <c r="Q3553" t="s">
        <v>28</v>
      </c>
      <c r="R3553" t="s">
        <v>29</v>
      </c>
      <c r="S3553" t="s">
        <v>30</v>
      </c>
      <c r="T3553">
        <v>52342867</v>
      </c>
      <c r="U3553" t="s">
        <v>3965</v>
      </c>
      <c r="V3553" t="s">
        <v>3934</v>
      </c>
      <c r="W3553" s="9">
        <f>IF(V3553="pregrado",31,
IF(V3553="posgrados",31,
IF(V3553="rEINTEGROS",7,
IF(V3553="BIT",90,
IF(V3553="OP GRADO - INGLÉS",17,"")))))</f>
        <v>31</v>
      </c>
      <c r="X3553" t="s">
        <v>4047</v>
      </c>
    </row>
    <row r="3554" spans="1:24" ht="15" x14ac:dyDescent="0.35">
      <c r="A3554" s="4">
        <v>46049.847974537035</v>
      </c>
      <c r="B3554">
        <v>20117782</v>
      </c>
      <c r="C3554" s="6" t="s">
        <v>19</v>
      </c>
      <c r="D3554">
        <v>606399</v>
      </c>
      <c r="E3554" t="s">
        <v>20</v>
      </c>
      <c r="F3554">
        <v>1000085452</v>
      </c>
      <c r="G3554" t="s">
        <v>2379</v>
      </c>
      <c r="H3554">
        <v>100243347</v>
      </c>
      <c r="I3554">
        <v>202631</v>
      </c>
      <c r="J3554">
        <v>1000085452</v>
      </c>
      <c r="K3554" t="s">
        <v>33</v>
      </c>
      <c r="L3554" t="s">
        <v>370</v>
      </c>
      <c r="M3554" t="s">
        <v>24</v>
      </c>
      <c r="N3554" t="s">
        <v>35</v>
      </c>
      <c r="O3554" t="s">
        <v>26</v>
      </c>
      <c r="P3554" t="s">
        <v>27</v>
      </c>
      <c r="Q3554" t="s">
        <v>28</v>
      </c>
      <c r="R3554" t="s">
        <v>29</v>
      </c>
      <c r="S3554" t="s">
        <v>30</v>
      </c>
      <c r="T3554">
        <v>1000973717</v>
      </c>
      <c r="U3554" t="s">
        <v>3963</v>
      </c>
      <c r="V3554" t="s">
        <v>3934</v>
      </c>
      <c r="W3554" s="9">
        <f>IF(V3554="pregrado",31,
IF(V3554="posgrados",31,
IF(V3554="rEINTEGROS",7,
IF(V3554="BIT",90,
IF(V3554="OP GRADO - INGLÉS",17,"")))))</f>
        <v>31</v>
      </c>
      <c r="X3554" t="s">
        <v>4073</v>
      </c>
    </row>
    <row r="3555" spans="1:24" ht="15" x14ac:dyDescent="0.35">
      <c r="A3555" s="4">
        <v>46046.473680555559</v>
      </c>
      <c r="B3555">
        <v>20116849</v>
      </c>
      <c r="C3555" s="6" t="s">
        <v>19</v>
      </c>
      <c r="D3555">
        <v>606410</v>
      </c>
      <c r="E3555" t="s">
        <v>20</v>
      </c>
      <c r="F3555">
        <v>1000347282</v>
      </c>
      <c r="G3555" t="s">
        <v>2261</v>
      </c>
      <c r="H3555">
        <v>200086322</v>
      </c>
      <c r="I3555">
        <v>202631</v>
      </c>
      <c r="J3555">
        <v>1000347282</v>
      </c>
      <c r="K3555" t="s">
        <v>23</v>
      </c>
      <c r="L3555" t="s">
        <v>22</v>
      </c>
      <c r="M3555" t="s">
        <v>24</v>
      </c>
      <c r="N3555" t="s">
        <v>35</v>
      </c>
      <c r="O3555" t="s">
        <v>26</v>
      </c>
      <c r="P3555" t="s">
        <v>27</v>
      </c>
      <c r="Q3555" t="s">
        <v>28</v>
      </c>
      <c r="R3555" t="s">
        <v>29</v>
      </c>
      <c r="S3555" t="s">
        <v>30</v>
      </c>
      <c r="T3555">
        <v>53061994</v>
      </c>
      <c r="U3555" t="s">
        <v>3941</v>
      </c>
      <c r="V3555" t="s">
        <v>3934</v>
      </c>
      <c r="W3555" s="9">
        <f>IF(V3555="pregrado",31,
IF(V3555="posgrados",31,
IF(V3555="rEINTEGROS",7,
IF(V3555="BIT",90,
IF(V3555="OP GRADO - INGLÉS",17,"")))))</f>
        <v>31</v>
      </c>
      <c r="X3555" t="s">
        <v>3950</v>
      </c>
    </row>
    <row r="3556" spans="1:24" ht="15" x14ac:dyDescent="0.35">
      <c r="A3556" s="4">
        <v>46050.446458333332</v>
      </c>
      <c r="B3556">
        <v>20117891</v>
      </c>
      <c r="C3556" s="6" t="s">
        <v>19</v>
      </c>
      <c r="D3556">
        <v>606413</v>
      </c>
      <c r="E3556" t="s">
        <v>20</v>
      </c>
      <c r="F3556">
        <v>1007566329</v>
      </c>
      <c r="G3556" t="s">
        <v>2395</v>
      </c>
      <c r="H3556">
        <v>100243367</v>
      </c>
      <c r="I3556">
        <v>202631</v>
      </c>
      <c r="J3556">
        <v>1007566329</v>
      </c>
      <c r="K3556" t="s">
        <v>23</v>
      </c>
      <c r="L3556" t="s">
        <v>207</v>
      </c>
      <c r="M3556" t="s">
        <v>24</v>
      </c>
      <c r="N3556" t="s">
        <v>35</v>
      </c>
      <c r="O3556" t="s">
        <v>26</v>
      </c>
      <c r="P3556" t="s">
        <v>27</v>
      </c>
      <c r="Q3556" t="s">
        <v>28</v>
      </c>
      <c r="R3556" t="s">
        <v>29</v>
      </c>
      <c r="S3556" t="s">
        <v>30</v>
      </c>
      <c r="T3556">
        <v>1000286877</v>
      </c>
      <c r="U3556" t="s">
        <v>3986</v>
      </c>
      <c r="V3556" t="s">
        <v>3934</v>
      </c>
      <c r="W3556" s="9">
        <f>IF(V3556="pregrado",31,
IF(V3556="posgrados",31,
IF(V3556="rEINTEGROS",7,
IF(V3556="BIT",90,
IF(V3556="OP GRADO - INGLÉS",17,"")))))</f>
        <v>31</v>
      </c>
      <c r="X3556" t="s">
        <v>4100</v>
      </c>
    </row>
    <row r="3557" spans="1:24" ht="15" x14ac:dyDescent="0.35">
      <c r="A3557" s="4">
        <v>46048.63071759259</v>
      </c>
      <c r="B3557">
        <v>20117220</v>
      </c>
      <c r="C3557" s="6" t="s">
        <v>19</v>
      </c>
      <c r="D3557">
        <v>606414</v>
      </c>
      <c r="E3557" t="s">
        <v>20</v>
      </c>
      <c r="F3557">
        <v>79312652</v>
      </c>
      <c r="G3557" t="s">
        <v>2297</v>
      </c>
      <c r="H3557">
        <v>100243371</v>
      </c>
      <c r="I3557">
        <v>202610</v>
      </c>
      <c r="J3557">
        <v>1070466305</v>
      </c>
      <c r="K3557" t="s">
        <v>33</v>
      </c>
      <c r="L3557" t="s">
        <v>37</v>
      </c>
      <c r="M3557" t="s">
        <v>24</v>
      </c>
      <c r="N3557" t="s">
        <v>38</v>
      </c>
      <c r="O3557" t="s">
        <v>26</v>
      </c>
      <c r="P3557" t="s">
        <v>27</v>
      </c>
      <c r="Q3557" t="s">
        <v>28</v>
      </c>
      <c r="R3557" t="s">
        <v>29</v>
      </c>
      <c r="S3557" t="s">
        <v>30</v>
      </c>
      <c r="T3557">
        <v>63501040</v>
      </c>
      <c r="U3557" t="s">
        <v>3941</v>
      </c>
      <c r="V3557" t="s">
        <v>3934</v>
      </c>
      <c r="W3557" s="9">
        <f>IF(V3557="pregrado",31,
IF(V3557="posgrados",31,
IF(V3557="rEINTEGROS",7,
IF(V3557="BIT",90,
IF(V3557="OP GRADO - INGLÉS",17,"")))))</f>
        <v>31</v>
      </c>
      <c r="X3557" t="s">
        <v>4087</v>
      </c>
    </row>
    <row r="3558" spans="1:24" ht="15" x14ac:dyDescent="0.35">
      <c r="A3558" s="4">
        <v>46051.474456018521</v>
      </c>
      <c r="B3558">
        <v>20118428</v>
      </c>
      <c r="C3558" s="6" t="s">
        <v>19</v>
      </c>
      <c r="D3558">
        <v>606419</v>
      </c>
      <c r="E3558" t="s">
        <v>20</v>
      </c>
      <c r="F3558">
        <v>1140165595</v>
      </c>
      <c r="G3558" t="s">
        <v>2475</v>
      </c>
      <c r="H3558">
        <v>100243378</v>
      </c>
      <c r="I3558">
        <v>202610</v>
      </c>
      <c r="J3558">
        <v>1140165595</v>
      </c>
      <c r="K3558" t="s">
        <v>33</v>
      </c>
      <c r="L3558" t="s">
        <v>40</v>
      </c>
      <c r="M3558" t="s">
        <v>24</v>
      </c>
      <c r="N3558" t="s">
        <v>25</v>
      </c>
      <c r="O3558" t="s">
        <v>26</v>
      </c>
      <c r="P3558" t="s">
        <v>27</v>
      </c>
      <c r="Q3558" t="s">
        <v>28</v>
      </c>
      <c r="R3558" t="s">
        <v>29</v>
      </c>
      <c r="S3558" t="s">
        <v>30</v>
      </c>
      <c r="T3558">
        <v>1023000938</v>
      </c>
      <c r="U3558" t="s">
        <v>3941</v>
      </c>
      <c r="V3558" t="s">
        <v>3934</v>
      </c>
      <c r="W3558" s="9">
        <f>IF(V3558="pregrado",31,
IF(V3558="posgrados",31,
IF(V3558="rEINTEGROS",7,
IF(V3558="BIT",90,
IF(V3558="OP GRADO - INGLÉS",17,"")))))</f>
        <v>31</v>
      </c>
      <c r="X3558" t="s">
        <v>3989</v>
      </c>
    </row>
    <row r="3559" spans="1:24" ht="15" x14ac:dyDescent="0.35">
      <c r="A3559" s="4">
        <v>46049.444733796299</v>
      </c>
      <c r="B3559">
        <v>20117471</v>
      </c>
      <c r="C3559" s="6" t="s">
        <v>19</v>
      </c>
      <c r="D3559">
        <v>606429</v>
      </c>
      <c r="E3559" t="s">
        <v>20</v>
      </c>
      <c r="F3559">
        <v>1233906941</v>
      </c>
      <c r="G3559" t="s">
        <v>2334</v>
      </c>
      <c r="H3559">
        <v>100243390</v>
      </c>
      <c r="I3559">
        <v>202610</v>
      </c>
      <c r="J3559">
        <v>1233906941</v>
      </c>
      <c r="K3559" t="s">
        <v>33</v>
      </c>
      <c r="L3559" t="s">
        <v>79</v>
      </c>
      <c r="M3559" t="s">
        <v>24</v>
      </c>
      <c r="N3559" t="s">
        <v>38</v>
      </c>
      <c r="O3559" t="s">
        <v>26</v>
      </c>
      <c r="P3559" t="s">
        <v>27</v>
      </c>
      <c r="Q3559" t="s">
        <v>28</v>
      </c>
      <c r="R3559" t="s">
        <v>29</v>
      </c>
      <c r="S3559" t="s">
        <v>30</v>
      </c>
      <c r="T3559">
        <v>10822473081</v>
      </c>
      <c r="U3559" t="s">
        <v>3965</v>
      </c>
      <c r="V3559" t="s">
        <v>3934</v>
      </c>
      <c r="W3559" s="9">
        <f>IF(V3559="pregrado",31,
IF(V3559="posgrados",31,
IF(V3559="rEINTEGROS",7,
IF(V3559="BIT",90,
IF(V3559="OP GRADO - INGLÉS",17,"")))))</f>
        <v>31</v>
      </c>
      <c r="X3559" t="s">
        <v>4007</v>
      </c>
    </row>
    <row r="3560" spans="1:24" ht="15" x14ac:dyDescent="0.35">
      <c r="A3560" s="4">
        <v>46048.736550925925</v>
      </c>
      <c r="B3560">
        <v>20117325</v>
      </c>
      <c r="C3560" s="6" t="s">
        <v>19</v>
      </c>
      <c r="D3560">
        <v>606439</v>
      </c>
      <c r="E3560" t="s">
        <v>20</v>
      </c>
      <c r="F3560">
        <v>1003908002</v>
      </c>
      <c r="G3560" t="s">
        <v>2311</v>
      </c>
      <c r="H3560">
        <v>100243403</v>
      </c>
      <c r="I3560">
        <v>202631</v>
      </c>
      <c r="J3560">
        <v>1003908002</v>
      </c>
      <c r="K3560" t="s">
        <v>33</v>
      </c>
      <c r="L3560" t="s">
        <v>207</v>
      </c>
      <c r="M3560" t="s">
        <v>24</v>
      </c>
      <c r="N3560" t="s">
        <v>25</v>
      </c>
      <c r="O3560" t="s">
        <v>26</v>
      </c>
      <c r="P3560" t="s">
        <v>27</v>
      </c>
      <c r="Q3560" t="s">
        <v>28</v>
      </c>
      <c r="R3560" t="s">
        <v>29</v>
      </c>
      <c r="S3560" t="s">
        <v>30</v>
      </c>
      <c r="T3560">
        <v>1023000285</v>
      </c>
      <c r="U3560" t="s">
        <v>3986</v>
      </c>
      <c r="V3560" t="s">
        <v>3934</v>
      </c>
      <c r="W3560" s="9">
        <f>IF(V3560="pregrado",31,
IF(V3560="posgrados",31,
IF(V3560="rEINTEGROS",7,
IF(V3560="BIT",90,
IF(V3560="OP GRADO - INGLÉS",17,"")))))</f>
        <v>31</v>
      </c>
      <c r="X3560" t="s">
        <v>4097</v>
      </c>
    </row>
    <row r="3561" spans="1:24" ht="15" x14ac:dyDescent="0.35">
      <c r="A3561" s="4">
        <v>46048.681817129633</v>
      </c>
      <c r="B3561">
        <v>20117277</v>
      </c>
      <c r="C3561" s="6" t="s">
        <v>19</v>
      </c>
      <c r="D3561">
        <v>606440</v>
      </c>
      <c r="E3561" t="s">
        <v>20</v>
      </c>
      <c r="F3561">
        <v>83227208</v>
      </c>
      <c r="G3561" t="s">
        <v>2302</v>
      </c>
      <c r="H3561">
        <v>100243404</v>
      </c>
      <c r="I3561">
        <v>202610</v>
      </c>
      <c r="J3561">
        <v>1078750432</v>
      </c>
      <c r="K3561" t="s">
        <v>23</v>
      </c>
      <c r="L3561" t="s">
        <v>153</v>
      </c>
      <c r="M3561" t="s">
        <v>24</v>
      </c>
      <c r="N3561" t="s">
        <v>35</v>
      </c>
      <c r="O3561" t="s">
        <v>26</v>
      </c>
      <c r="P3561" t="s">
        <v>27</v>
      </c>
      <c r="Q3561" t="s">
        <v>28</v>
      </c>
      <c r="R3561" t="s">
        <v>29</v>
      </c>
      <c r="S3561" t="s">
        <v>30</v>
      </c>
      <c r="T3561">
        <v>45555807</v>
      </c>
      <c r="U3561" t="s">
        <v>3965</v>
      </c>
      <c r="V3561" t="s">
        <v>3934</v>
      </c>
      <c r="W3561" s="9">
        <f>IF(V3561="pregrado",31,
IF(V3561="posgrados",31,
IF(V3561="rEINTEGROS",7,
IF(V3561="BIT",90,
IF(V3561="OP GRADO - INGLÉS",17,"")))))</f>
        <v>31</v>
      </c>
      <c r="X3561" t="s">
        <v>4027</v>
      </c>
    </row>
    <row r="3562" spans="1:24" ht="15" x14ac:dyDescent="0.35">
      <c r="A3562" s="4">
        <v>46050.500150462962</v>
      </c>
      <c r="B3562">
        <v>20117946</v>
      </c>
      <c r="C3562" s="6" t="s">
        <v>19</v>
      </c>
      <c r="D3562">
        <v>606444</v>
      </c>
      <c r="E3562" t="s">
        <v>20</v>
      </c>
      <c r="F3562">
        <v>1037975920</v>
      </c>
      <c r="G3562" t="s">
        <v>2405</v>
      </c>
      <c r="H3562">
        <v>100243411</v>
      </c>
      <c r="I3562">
        <v>202611</v>
      </c>
      <c r="J3562">
        <v>1037616409</v>
      </c>
      <c r="K3562" t="s">
        <v>23</v>
      </c>
      <c r="L3562" t="s">
        <v>221</v>
      </c>
      <c r="M3562" t="s">
        <v>24</v>
      </c>
      <c r="N3562" t="s">
        <v>25</v>
      </c>
      <c r="O3562" t="s">
        <v>26</v>
      </c>
      <c r="P3562" t="s">
        <v>27</v>
      </c>
      <c r="Q3562" t="s">
        <v>28</v>
      </c>
      <c r="R3562" t="s">
        <v>29</v>
      </c>
      <c r="S3562" t="s">
        <v>30</v>
      </c>
      <c r="T3562">
        <v>1015428862</v>
      </c>
      <c r="U3562" t="s">
        <v>3965</v>
      </c>
      <c r="V3562" t="s">
        <v>3934</v>
      </c>
      <c r="W3562" s="9">
        <f>IF(V3562="pregrado",31,
IF(V3562="posgrados",31,
IF(V3562="rEINTEGROS",7,
IF(V3562="BIT",90,
IF(V3562="OP GRADO - INGLÉS",17,"")))))</f>
        <v>31</v>
      </c>
      <c r="X3562" t="s">
        <v>4048</v>
      </c>
    </row>
    <row r="3563" spans="1:24" ht="15" x14ac:dyDescent="0.35">
      <c r="A3563" s="4">
        <v>46048.378171296295</v>
      </c>
      <c r="B3563">
        <v>20116970</v>
      </c>
      <c r="C3563" s="6" t="s">
        <v>19</v>
      </c>
      <c r="D3563">
        <v>606456</v>
      </c>
      <c r="E3563" t="s">
        <v>20</v>
      </c>
      <c r="F3563">
        <v>1012328343</v>
      </c>
      <c r="G3563" t="s">
        <v>2272</v>
      </c>
      <c r="H3563">
        <v>100243422</v>
      </c>
      <c r="I3563">
        <v>202631</v>
      </c>
      <c r="J3563">
        <v>1012336975</v>
      </c>
      <c r="K3563" t="s">
        <v>23</v>
      </c>
      <c r="L3563" t="s">
        <v>65</v>
      </c>
      <c r="M3563" t="s">
        <v>24</v>
      </c>
      <c r="N3563" t="s">
        <v>35</v>
      </c>
      <c r="O3563" t="s">
        <v>26</v>
      </c>
      <c r="P3563" t="s">
        <v>27</v>
      </c>
      <c r="Q3563" t="s">
        <v>28</v>
      </c>
      <c r="R3563" t="s">
        <v>29</v>
      </c>
      <c r="S3563" t="s">
        <v>30</v>
      </c>
      <c r="T3563">
        <v>1018496066</v>
      </c>
      <c r="U3563" t="s">
        <v>3939</v>
      </c>
      <c r="V3563" t="s">
        <v>3934</v>
      </c>
      <c r="W3563" s="9">
        <f>IF(V3563="pregrado",31,
IF(V3563="posgrados",31,
IF(V3563="rEINTEGROS",7,
IF(V3563="BIT",90,
IF(V3563="OP GRADO - INGLÉS",17,"")))))</f>
        <v>31</v>
      </c>
      <c r="X3563" t="s">
        <v>4006</v>
      </c>
    </row>
    <row r="3564" spans="1:24" ht="15" x14ac:dyDescent="0.35">
      <c r="A3564" s="4">
        <v>46048.480717592596</v>
      </c>
      <c r="B3564">
        <v>20117054</v>
      </c>
      <c r="C3564" s="6" t="s">
        <v>19</v>
      </c>
      <c r="D3564">
        <v>606457</v>
      </c>
      <c r="E3564" t="s">
        <v>20</v>
      </c>
      <c r="F3564">
        <v>1097992101</v>
      </c>
      <c r="G3564" t="s">
        <v>2283</v>
      </c>
      <c r="H3564">
        <v>100243424</v>
      </c>
      <c r="I3564">
        <v>202631</v>
      </c>
      <c r="J3564">
        <v>1097992101</v>
      </c>
      <c r="K3564" t="s">
        <v>23</v>
      </c>
      <c r="L3564" t="s">
        <v>90</v>
      </c>
      <c r="M3564" t="s">
        <v>24</v>
      </c>
      <c r="N3564" t="s">
        <v>35</v>
      </c>
      <c r="O3564" t="s">
        <v>26</v>
      </c>
      <c r="P3564" t="s">
        <v>27</v>
      </c>
      <c r="Q3564" t="s">
        <v>28</v>
      </c>
      <c r="R3564" t="s">
        <v>29</v>
      </c>
      <c r="S3564" t="s">
        <v>30</v>
      </c>
      <c r="T3564">
        <v>1007473661</v>
      </c>
      <c r="U3564" t="s">
        <v>3933</v>
      </c>
      <c r="V3564" t="s">
        <v>3934</v>
      </c>
      <c r="W3564" s="9">
        <f>IF(V3564="pregrado",31,
IF(V3564="posgrados",31,
IF(V3564="rEINTEGROS",7,
IF(V3564="BIT",90,
IF(V3564="OP GRADO - INGLÉS",17,"")))))</f>
        <v>31</v>
      </c>
      <c r="X3564" t="s">
        <v>4058</v>
      </c>
    </row>
    <row r="3565" spans="1:24" ht="15" x14ac:dyDescent="0.35">
      <c r="A3565" s="4">
        <v>46049.802569444444</v>
      </c>
      <c r="B3565">
        <v>20117771</v>
      </c>
      <c r="C3565" s="6" t="s">
        <v>19</v>
      </c>
      <c r="D3565">
        <v>606463</v>
      </c>
      <c r="E3565" t="s">
        <v>20</v>
      </c>
      <c r="F3565">
        <v>1032490852</v>
      </c>
      <c r="G3565" t="s">
        <v>2378</v>
      </c>
      <c r="H3565">
        <v>100243429</v>
      </c>
      <c r="I3565">
        <v>202631</v>
      </c>
      <c r="J3565">
        <v>1000859127</v>
      </c>
      <c r="K3565" t="s">
        <v>33</v>
      </c>
      <c r="L3565" t="s">
        <v>231</v>
      </c>
      <c r="M3565" t="s">
        <v>24</v>
      </c>
      <c r="N3565" t="s">
        <v>25</v>
      </c>
      <c r="O3565" t="s">
        <v>26</v>
      </c>
      <c r="P3565" t="s">
        <v>27</v>
      </c>
      <c r="Q3565" t="s">
        <v>28</v>
      </c>
      <c r="R3565" t="s">
        <v>29</v>
      </c>
      <c r="S3565" t="s">
        <v>30</v>
      </c>
      <c r="T3565">
        <v>1000286877</v>
      </c>
      <c r="U3565" t="s">
        <v>3986</v>
      </c>
      <c r="V3565" t="s">
        <v>3934</v>
      </c>
      <c r="W3565" s="9">
        <f>IF(V3565="pregrado",31,
IF(V3565="posgrados",31,
IF(V3565="rEINTEGROS",7,
IF(V3565="BIT",90,
IF(V3565="OP GRADO - INGLÉS",17,"")))))</f>
        <v>31</v>
      </c>
      <c r="X3565" t="s">
        <v>4100</v>
      </c>
    </row>
    <row r="3566" spans="1:24" ht="15" x14ac:dyDescent="0.35">
      <c r="A3566" s="4">
        <v>46048.576793981483</v>
      </c>
      <c r="B3566">
        <v>20117124</v>
      </c>
      <c r="C3566" s="6" t="s">
        <v>19</v>
      </c>
      <c r="D3566">
        <v>606464</v>
      </c>
      <c r="E3566" t="s">
        <v>20</v>
      </c>
      <c r="F3566">
        <v>1004520531</v>
      </c>
      <c r="G3566" t="s">
        <v>2290</v>
      </c>
      <c r="H3566">
        <v>100243430</v>
      </c>
      <c r="I3566">
        <v>202631</v>
      </c>
      <c r="J3566">
        <v>1004520531</v>
      </c>
      <c r="K3566" t="s">
        <v>23</v>
      </c>
      <c r="L3566" t="s">
        <v>207</v>
      </c>
      <c r="M3566" t="s">
        <v>24</v>
      </c>
      <c r="N3566" t="s">
        <v>35</v>
      </c>
      <c r="O3566" t="s">
        <v>26</v>
      </c>
      <c r="P3566" t="s">
        <v>27</v>
      </c>
      <c r="Q3566" t="s">
        <v>28</v>
      </c>
      <c r="R3566" t="s">
        <v>29</v>
      </c>
      <c r="S3566" t="s">
        <v>30</v>
      </c>
      <c r="T3566">
        <v>1002500634</v>
      </c>
      <c r="U3566" t="s">
        <v>3986</v>
      </c>
      <c r="V3566" t="s">
        <v>3934</v>
      </c>
      <c r="W3566" s="9">
        <f>IF(V3566="pregrado",31,
IF(V3566="posgrados",31,
IF(V3566="rEINTEGROS",7,
IF(V3566="BIT",90,
IF(V3566="OP GRADO - INGLÉS",17,"")))))</f>
        <v>31</v>
      </c>
      <c r="X3566" t="s">
        <v>4026</v>
      </c>
    </row>
    <row r="3567" spans="1:24" ht="15" x14ac:dyDescent="0.35">
      <c r="A3567" s="4">
        <v>46051.673587962963</v>
      </c>
      <c r="B3567">
        <v>20118619</v>
      </c>
      <c r="C3567" s="6" t="s">
        <v>19</v>
      </c>
      <c r="D3567">
        <v>606476</v>
      </c>
      <c r="E3567" t="s">
        <v>20</v>
      </c>
      <c r="F3567">
        <v>37939897</v>
      </c>
      <c r="G3567" t="s">
        <v>2508</v>
      </c>
      <c r="H3567">
        <v>100243447</v>
      </c>
      <c r="I3567">
        <v>202631</v>
      </c>
      <c r="J3567">
        <v>1097183559</v>
      </c>
      <c r="K3567" t="s">
        <v>33</v>
      </c>
      <c r="L3567" t="s">
        <v>370</v>
      </c>
      <c r="M3567" t="s">
        <v>24</v>
      </c>
      <c r="N3567" t="s">
        <v>35</v>
      </c>
      <c r="O3567" t="s">
        <v>26</v>
      </c>
      <c r="P3567" t="s">
        <v>27</v>
      </c>
      <c r="Q3567" t="s">
        <v>28</v>
      </c>
      <c r="R3567" t="s">
        <v>29</v>
      </c>
      <c r="S3567" t="s">
        <v>30</v>
      </c>
      <c r="T3567">
        <v>1023974716</v>
      </c>
      <c r="U3567" t="s">
        <v>3963</v>
      </c>
      <c r="V3567" t="s">
        <v>3934</v>
      </c>
      <c r="W3567" s="9">
        <f>IF(V3567="pregrado",31,
IF(V3567="posgrados",31,
IF(V3567="rEINTEGROS",7,
IF(V3567="BIT",90,
IF(V3567="OP GRADO - INGLÉS",17,"")))))</f>
        <v>31</v>
      </c>
      <c r="X3567" t="s">
        <v>4016</v>
      </c>
    </row>
    <row r="3568" spans="1:24" ht="15" x14ac:dyDescent="0.35">
      <c r="A3568" s="4">
        <v>46048.501817129632</v>
      </c>
      <c r="B3568">
        <v>20117072</v>
      </c>
      <c r="C3568" s="6" t="s">
        <v>19</v>
      </c>
      <c r="D3568">
        <v>606480</v>
      </c>
      <c r="E3568" t="s">
        <v>20</v>
      </c>
      <c r="F3568">
        <v>1012339511</v>
      </c>
      <c r="G3568" t="s">
        <v>2286</v>
      </c>
      <c r="H3568">
        <v>100243451</v>
      </c>
      <c r="I3568">
        <v>202611</v>
      </c>
      <c r="J3568">
        <v>1012388636</v>
      </c>
      <c r="K3568" t="s">
        <v>23</v>
      </c>
      <c r="L3568" t="s">
        <v>204</v>
      </c>
      <c r="M3568" t="s">
        <v>24</v>
      </c>
      <c r="N3568" t="s">
        <v>35</v>
      </c>
      <c r="O3568" t="s">
        <v>26</v>
      </c>
      <c r="P3568" t="s">
        <v>27</v>
      </c>
      <c r="Q3568" t="s">
        <v>28</v>
      </c>
      <c r="R3568" t="s">
        <v>29</v>
      </c>
      <c r="S3568" t="s">
        <v>30</v>
      </c>
      <c r="T3568">
        <v>1020730718</v>
      </c>
      <c r="U3568" t="s">
        <v>3941</v>
      </c>
      <c r="V3568" t="s">
        <v>3934</v>
      </c>
      <c r="W3568" s="9">
        <f>IF(V3568="pregrado",31,
IF(V3568="posgrados",31,
IF(V3568="rEINTEGROS",7,
IF(V3568="BIT",90,
IF(V3568="OP GRADO - INGLÉS",17,"")))))</f>
        <v>31</v>
      </c>
      <c r="X3568" t="s">
        <v>3952</v>
      </c>
    </row>
    <row r="3569" spans="1:24" ht="15" x14ac:dyDescent="0.35">
      <c r="A3569" s="4">
        <v>46050.76153935185</v>
      </c>
      <c r="B3569">
        <v>20118224</v>
      </c>
      <c r="C3569" s="6" t="s">
        <v>19</v>
      </c>
      <c r="D3569">
        <v>606487</v>
      </c>
      <c r="E3569" t="s">
        <v>20</v>
      </c>
      <c r="F3569">
        <v>1126446458</v>
      </c>
      <c r="G3569" t="s">
        <v>2441</v>
      </c>
      <c r="H3569">
        <v>100243457</v>
      </c>
      <c r="I3569">
        <v>202611</v>
      </c>
      <c r="J3569">
        <v>1126446458</v>
      </c>
      <c r="K3569" t="s">
        <v>33</v>
      </c>
      <c r="L3569" t="s">
        <v>204</v>
      </c>
      <c r="M3569" t="s">
        <v>24</v>
      </c>
      <c r="N3569" t="s">
        <v>25</v>
      </c>
      <c r="O3569" t="s">
        <v>26</v>
      </c>
      <c r="P3569" t="s">
        <v>27</v>
      </c>
      <c r="Q3569" t="s">
        <v>28</v>
      </c>
      <c r="R3569" t="s">
        <v>29</v>
      </c>
      <c r="S3569" t="s">
        <v>30</v>
      </c>
      <c r="T3569">
        <v>1000578914</v>
      </c>
      <c r="U3569" t="s">
        <v>3941</v>
      </c>
      <c r="V3569" t="s">
        <v>3934</v>
      </c>
      <c r="W3569" s="9">
        <f>IF(V3569="pregrado",31,
IF(V3569="posgrados",31,
IF(V3569="rEINTEGROS",7,
IF(V3569="BIT",90,
IF(V3569="OP GRADO - INGLÉS",17,"")))))</f>
        <v>31</v>
      </c>
      <c r="X3569" t="s">
        <v>4060</v>
      </c>
    </row>
    <row r="3570" spans="1:24" ht="15" x14ac:dyDescent="0.35">
      <c r="A3570" s="4">
        <v>46049.373263888891</v>
      </c>
      <c r="B3570">
        <v>20117407</v>
      </c>
      <c r="C3570" s="6" t="s">
        <v>19</v>
      </c>
      <c r="D3570">
        <v>606544</v>
      </c>
      <c r="E3570" t="s">
        <v>20</v>
      </c>
      <c r="F3570">
        <v>1102891363</v>
      </c>
      <c r="G3570" t="s">
        <v>2326</v>
      </c>
      <c r="H3570">
        <v>200074345</v>
      </c>
      <c r="I3570">
        <v>202631</v>
      </c>
      <c r="J3570">
        <v>1102891363</v>
      </c>
      <c r="K3570" t="s">
        <v>33</v>
      </c>
      <c r="L3570" t="s">
        <v>119</v>
      </c>
      <c r="M3570" t="s">
        <v>24</v>
      </c>
      <c r="N3570" t="s">
        <v>35</v>
      </c>
      <c r="O3570" t="s">
        <v>26</v>
      </c>
      <c r="P3570" t="s">
        <v>27</v>
      </c>
      <c r="Q3570" t="s">
        <v>28</v>
      </c>
      <c r="R3570" t="s">
        <v>29</v>
      </c>
      <c r="S3570" t="s">
        <v>30</v>
      </c>
      <c r="T3570">
        <v>1000350862</v>
      </c>
      <c r="U3570" t="s">
        <v>3963</v>
      </c>
      <c r="V3570" t="s">
        <v>3934</v>
      </c>
      <c r="W3570" s="9">
        <f>IF(V3570="pregrado",31,
IF(V3570="posgrados",31,
IF(V3570="rEINTEGROS",7,
IF(V3570="BIT",90,
IF(V3570="OP GRADO - INGLÉS",17,"")))))</f>
        <v>31</v>
      </c>
      <c r="X3570" t="s">
        <v>4071</v>
      </c>
    </row>
    <row r="3571" spans="1:24" ht="15" x14ac:dyDescent="0.35">
      <c r="A3571" s="4">
        <v>46048.742743055554</v>
      </c>
      <c r="B3571">
        <v>20117330</v>
      </c>
      <c r="C3571" s="6" t="s">
        <v>19</v>
      </c>
      <c r="D3571">
        <v>606567</v>
      </c>
      <c r="E3571" t="s">
        <v>20</v>
      </c>
      <c r="F3571">
        <v>1013109191</v>
      </c>
      <c r="G3571" t="s">
        <v>2313</v>
      </c>
      <c r="H3571">
        <v>100243578</v>
      </c>
      <c r="I3571">
        <v>202611</v>
      </c>
      <c r="J3571">
        <v>1013109191</v>
      </c>
      <c r="K3571" t="s">
        <v>83</v>
      </c>
      <c r="L3571" t="s">
        <v>204</v>
      </c>
      <c r="M3571" t="s">
        <v>24</v>
      </c>
      <c r="N3571" t="s">
        <v>25</v>
      </c>
      <c r="O3571" t="s">
        <v>26</v>
      </c>
      <c r="P3571" t="s">
        <v>27</v>
      </c>
      <c r="Q3571" t="s">
        <v>28</v>
      </c>
      <c r="R3571" t="s">
        <v>29</v>
      </c>
      <c r="S3571" t="s">
        <v>30</v>
      </c>
      <c r="T3571">
        <v>1019115186</v>
      </c>
      <c r="U3571" t="s">
        <v>3941</v>
      </c>
      <c r="V3571" t="s">
        <v>3934</v>
      </c>
      <c r="W3571" s="9">
        <f>IF(V3571="pregrado",31,
IF(V3571="posgrados",31,
IF(V3571="rEINTEGROS",7,
IF(V3571="BIT",90,
IF(V3571="OP GRADO - INGLÉS",17,"")))))</f>
        <v>31</v>
      </c>
      <c r="X3571" t="s">
        <v>4005</v>
      </c>
    </row>
    <row r="3572" spans="1:24" ht="15" x14ac:dyDescent="0.35">
      <c r="A3572" s="4">
        <v>46052.484826388885</v>
      </c>
      <c r="B3572">
        <v>20118873</v>
      </c>
      <c r="C3572" s="6" t="s">
        <v>19</v>
      </c>
      <c r="D3572">
        <v>606572</v>
      </c>
      <c r="E3572" t="s">
        <v>20</v>
      </c>
      <c r="F3572">
        <v>1017256461</v>
      </c>
      <c r="G3572" t="s">
        <v>2550</v>
      </c>
      <c r="H3572">
        <v>100243586</v>
      </c>
      <c r="I3572">
        <v>202631</v>
      </c>
      <c r="J3572">
        <v>1017256461</v>
      </c>
      <c r="K3572" t="s">
        <v>23</v>
      </c>
      <c r="L3572" t="s">
        <v>207</v>
      </c>
      <c r="M3572" t="s">
        <v>24</v>
      </c>
      <c r="N3572" t="s">
        <v>35</v>
      </c>
      <c r="O3572" t="s">
        <v>26</v>
      </c>
      <c r="P3572" t="s">
        <v>27</v>
      </c>
      <c r="Q3572" t="s">
        <v>28</v>
      </c>
      <c r="R3572" t="s">
        <v>29</v>
      </c>
      <c r="S3572" t="s">
        <v>30</v>
      </c>
      <c r="T3572">
        <v>1118531834</v>
      </c>
      <c r="U3572" t="s">
        <v>3941</v>
      </c>
      <c r="V3572" t="s">
        <v>3934</v>
      </c>
      <c r="W3572" s="9">
        <f>IF(V3572="pregrado",31,
IF(V3572="posgrados",31,
IF(V3572="rEINTEGROS",7,
IF(V3572="BIT",90,
IF(V3572="OP GRADO - INGLÉS",17,"")))))</f>
        <v>31</v>
      </c>
      <c r="X3572" t="s">
        <v>3996</v>
      </c>
    </row>
    <row r="3573" spans="1:24" ht="15" x14ac:dyDescent="0.35">
      <c r="A3573" s="4">
        <v>46050.412048611113</v>
      </c>
      <c r="B3573">
        <v>20117860</v>
      </c>
      <c r="C3573" s="6" t="s">
        <v>19</v>
      </c>
      <c r="D3573">
        <v>606586</v>
      </c>
      <c r="E3573" t="s">
        <v>20</v>
      </c>
      <c r="F3573">
        <v>1004006734</v>
      </c>
      <c r="G3573" t="s">
        <v>2390</v>
      </c>
      <c r="H3573">
        <v>100243604</v>
      </c>
      <c r="I3573">
        <v>202631</v>
      </c>
      <c r="J3573">
        <v>1004006734</v>
      </c>
      <c r="K3573" t="s">
        <v>33</v>
      </c>
      <c r="L3573" t="s">
        <v>101</v>
      </c>
      <c r="M3573" t="s">
        <v>24</v>
      </c>
      <c r="N3573" t="s">
        <v>35</v>
      </c>
      <c r="O3573" t="s">
        <v>26</v>
      </c>
      <c r="P3573" t="s">
        <v>27</v>
      </c>
      <c r="Q3573" t="s">
        <v>28</v>
      </c>
      <c r="R3573" t="s">
        <v>29</v>
      </c>
      <c r="S3573" t="s">
        <v>30</v>
      </c>
      <c r="T3573">
        <v>1023975276</v>
      </c>
      <c r="U3573" t="s">
        <v>3963</v>
      </c>
      <c r="V3573" t="s">
        <v>3934</v>
      </c>
      <c r="W3573" s="9">
        <f>IF(V3573="pregrado",31,
IF(V3573="posgrados",31,
IF(V3573="rEINTEGROS",7,
IF(V3573="BIT",90,
IF(V3573="OP GRADO - INGLÉS",17,"")))))</f>
        <v>31</v>
      </c>
      <c r="X3573" t="s">
        <v>3962</v>
      </c>
    </row>
    <row r="3574" spans="1:24" ht="15" x14ac:dyDescent="0.35">
      <c r="A3574" s="4">
        <v>46050.854756944442</v>
      </c>
      <c r="B3574">
        <v>20118262</v>
      </c>
      <c r="C3574" s="6" t="s">
        <v>19</v>
      </c>
      <c r="D3574">
        <v>606587</v>
      </c>
      <c r="E3574" t="s">
        <v>20</v>
      </c>
      <c r="F3574">
        <v>52189652</v>
      </c>
      <c r="G3574" t="s">
        <v>2445</v>
      </c>
      <c r="H3574">
        <v>100193894</v>
      </c>
      <c r="I3574">
        <v>202631</v>
      </c>
      <c r="J3574">
        <v>1000851950</v>
      </c>
      <c r="K3574" t="s">
        <v>46</v>
      </c>
      <c r="L3574" t="s">
        <v>127</v>
      </c>
      <c r="M3574" t="s">
        <v>24</v>
      </c>
      <c r="N3574" t="s">
        <v>25</v>
      </c>
      <c r="O3574" t="s">
        <v>26</v>
      </c>
      <c r="P3574" t="s">
        <v>27</v>
      </c>
      <c r="Q3574" t="s">
        <v>28</v>
      </c>
      <c r="R3574" t="s">
        <v>29</v>
      </c>
      <c r="S3574" t="s">
        <v>30</v>
      </c>
      <c r="T3574">
        <v>1019102787</v>
      </c>
      <c r="U3574" t="s">
        <v>3977</v>
      </c>
      <c r="V3574" t="s">
        <v>3970</v>
      </c>
      <c r="W3574" s="9">
        <f>IF(V3574="pregrado",31,
IF(V3574="posgrados",31,
IF(V3574="rEINTEGROS",7,
IF(V3574="BIT",90,
IF(V3574="OP GRADO - INGLÉS",17,"")))))</f>
        <v>7</v>
      </c>
      <c r="X3574" t="s">
        <v>3976</v>
      </c>
    </row>
    <row r="3575" spans="1:24" ht="15" x14ac:dyDescent="0.35">
      <c r="A3575" s="4">
        <v>46049.616597222222</v>
      </c>
      <c r="B3575">
        <v>20117591</v>
      </c>
      <c r="C3575" s="6" t="s">
        <v>19</v>
      </c>
      <c r="D3575">
        <v>606591</v>
      </c>
      <c r="E3575" t="s">
        <v>20</v>
      </c>
      <c r="F3575">
        <v>1140892788</v>
      </c>
      <c r="G3575" t="s">
        <v>2349</v>
      </c>
      <c r="H3575">
        <v>100243612</v>
      </c>
      <c r="I3575">
        <v>202611</v>
      </c>
      <c r="J3575">
        <v>1140892788</v>
      </c>
      <c r="K3575" t="s">
        <v>23</v>
      </c>
      <c r="L3575" t="s">
        <v>227</v>
      </c>
      <c r="M3575" t="s">
        <v>24</v>
      </c>
      <c r="N3575" t="s">
        <v>35</v>
      </c>
      <c r="O3575" t="s">
        <v>26</v>
      </c>
      <c r="P3575" t="s">
        <v>27</v>
      </c>
      <c r="Q3575" t="s">
        <v>28</v>
      </c>
      <c r="R3575" t="s">
        <v>29</v>
      </c>
      <c r="S3575" t="s">
        <v>30</v>
      </c>
      <c r="T3575">
        <v>1030651078</v>
      </c>
      <c r="U3575" t="s">
        <v>3965</v>
      </c>
      <c r="V3575" t="s">
        <v>3934</v>
      </c>
      <c r="W3575" s="9">
        <f>IF(V3575="pregrado",31,
IF(V3575="posgrados",31,
IF(V3575="rEINTEGROS",7,
IF(V3575="BIT",90,
IF(V3575="OP GRADO - INGLÉS",17,"")))))</f>
        <v>31</v>
      </c>
      <c r="X3575" t="s">
        <v>4085</v>
      </c>
    </row>
    <row r="3576" spans="1:24" ht="15" x14ac:dyDescent="0.35">
      <c r="A3576" s="4">
        <v>46048.74181712963</v>
      </c>
      <c r="B3576">
        <v>20117328</v>
      </c>
      <c r="C3576" s="6" t="s">
        <v>19</v>
      </c>
      <c r="D3576">
        <v>606602</v>
      </c>
      <c r="E3576" t="s">
        <v>20</v>
      </c>
      <c r="F3576">
        <v>1016006942</v>
      </c>
      <c r="G3576" t="s">
        <v>2312</v>
      </c>
      <c r="H3576">
        <v>100243619</v>
      </c>
      <c r="I3576">
        <v>202631</v>
      </c>
      <c r="J3576">
        <v>1016006942</v>
      </c>
      <c r="K3576" t="s">
        <v>83</v>
      </c>
      <c r="L3576" t="s">
        <v>90</v>
      </c>
      <c r="M3576" t="s">
        <v>24</v>
      </c>
      <c r="N3576" t="s">
        <v>38</v>
      </c>
      <c r="O3576" t="s">
        <v>26</v>
      </c>
      <c r="P3576" t="s">
        <v>27</v>
      </c>
      <c r="Q3576" t="s">
        <v>28</v>
      </c>
      <c r="R3576" t="s">
        <v>29</v>
      </c>
      <c r="S3576" t="s">
        <v>30</v>
      </c>
      <c r="T3576">
        <v>1023970223</v>
      </c>
      <c r="U3576" t="s">
        <v>3933</v>
      </c>
      <c r="V3576" t="s">
        <v>3934</v>
      </c>
      <c r="W3576" s="9">
        <f>IF(V3576="pregrado",31,
IF(V3576="posgrados",31,
IF(V3576="rEINTEGROS",7,
IF(V3576="BIT",90,
IF(V3576="OP GRADO - INGLÉS",17,"")))))</f>
        <v>31</v>
      </c>
      <c r="X3576" t="s">
        <v>4070</v>
      </c>
    </row>
    <row r="3577" spans="1:24" ht="15" x14ac:dyDescent="0.35">
      <c r="A3577" s="4">
        <v>46080.690451388888</v>
      </c>
      <c r="B3577">
        <v>20126932</v>
      </c>
      <c r="C3577" s="6" t="s">
        <v>19</v>
      </c>
      <c r="D3577">
        <v>606612</v>
      </c>
      <c r="E3577" t="s">
        <v>20</v>
      </c>
      <c r="F3577">
        <v>30874524</v>
      </c>
      <c r="G3577" t="s">
        <v>3741</v>
      </c>
      <c r="H3577">
        <v>100243626</v>
      </c>
      <c r="I3577">
        <v>202631</v>
      </c>
      <c r="J3577">
        <v>1103096070</v>
      </c>
      <c r="K3577" t="s">
        <v>83</v>
      </c>
      <c r="L3577" t="s">
        <v>370</v>
      </c>
      <c r="M3577" t="s">
        <v>24</v>
      </c>
      <c r="N3577" t="s">
        <v>35</v>
      </c>
      <c r="O3577" t="s">
        <v>26</v>
      </c>
      <c r="P3577" t="s">
        <v>27</v>
      </c>
      <c r="Q3577" t="s">
        <v>28</v>
      </c>
      <c r="R3577" t="s">
        <v>29</v>
      </c>
      <c r="S3577" t="s">
        <v>30</v>
      </c>
      <c r="T3577">
        <v>1023975276</v>
      </c>
      <c r="U3577" t="s">
        <v>3963</v>
      </c>
      <c r="V3577" t="s">
        <v>3934</v>
      </c>
      <c r="W3577" s="9">
        <f>IF(V3577="pregrado",31,
IF(V3577="posgrados",31,
IF(V3577="rEINTEGROS",7,
IF(V3577="BIT",90,
IF(V3577="OP GRADO - INGLÉS",17,"")))))</f>
        <v>31</v>
      </c>
      <c r="X3577" t="s">
        <v>3962</v>
      </c>
    </row>
    <row r="3578" spans="1:24" ht="15" x14ac:dyDescent="0.35">
      <c r="A3578" s="4">
        <v>46049.660509259258</v>
      </c>
      <c r="B3578">
        <v>20117654</v>
      </c>
      <c r="C3578" s="6" t="s">
        <v>19</v>
      </c>
      <c r="D3578">
        <v>606622</v>
      </c>
      <c r="E3578" t="s">
        <v>20</v>
      </c>
      <c r="F3578">
        <v>26948297</v>
      </c>
      <c r="G3578" t="s">
        <v>2357</v>
      </c>
      <c r="H3578">
        <v>200086623</v>
      </c>
      <c r="I3578">
        <v>202631</v>
      </c>
      <c r="J3578">
        <v>1074813186</v>
      </c>
      <c r="K3578" t="s">
        <v>23</v>
      </c>
      <c r="L3578" t="s">
        <v>22</v>
      </c>
      <c r="M3578" t="s">
        <v>24</v>
      </c>
      <c r="N3578" t="s">
        <v>35</v>
      </c>
      <c r="O3578" t="s">
        <v>26</v>
      </c>
      <c r="P3578" t="s">
        <v>27</v>
      </c>
      <c r="Q3578" t="s">
        <v>28</v>
      </c>
      <c r="R3578" t="s">
        <v>29</v>
      </c>
      <c r="S3578" t="s">
        <v>30</v>
      </c>
      <c r="T3578">
        <v>1025460711</v>
      </c>
      <c r="U3578" t="s">
        <v>3933</v>
      </c>
      <c r="V3578" t="s">
        <v>3934</v>
      </c>
      <c r="W3578" s="9">
        <f>IF(V3578="pregrado",31,
IF(V3578="posgrados",31,
IF(V3578="rEINTEGROS",7,
IF(V3578="BIT",90,
IF(V3578="OP GRADO - INGLÉS",17,"")))))</f>
        <v>31</v>
      </c>
      <c r="X3578" t="s">
        <v>4062</v>
      </c>
    </row>
    <row r="3579" spans="1:24" ht="15" x14ac:dyDescent="0.35">
      <c r="A3579" s="4">
        <v>46048.724965277775</v>
      </c>
      <c r="B3579">
        <v>20117315</v>
      </c>
      <c r="C3579" s="6" t="s">
        <v>19</v>
      </c>
      <c r="D3579">
        <v>606624</v>
      </c>
      <c r="E3579" t="s">
        <v>20</v>
      </c>
      <c r="F3579">
        <v>1071428435</v>
      </c>
      <c r="G3579" t="s">
        <v>2308</v>
      </c>
      <c r="H3579">
        <v>200087174</v>
      </c>
      <c r="I3579">
        <v>202631</v>
      </c>
      <c r="J3579">
        <v>1071435157</v>
      </c>
      <c r="K3579" t="s">
        <v>23</v>
      </c>
      <c r="L3579" t="s">
        <v>22</v>
      </c>
      <c r="M3579" t="s">
        <v>24</v>
      </c>
      <c r="N3579" t="s">
        <v>35</v>
      </c>
      <c r="O3579" t="s">
        <v>26</v>
      </c>
      <c r="P3579" t="s">
        <v>27</v>
      </c>
      <c r="Q3579" t="s">
        <v>28</v>
      </c>
      <c r="R3579" t="s">
        <v>29</v>
      </c>
      <c r="S3579" t="s">
        <v>30</v>
      </c>
      <c r="T3579">
        <v>1030525993</v>
      </c>
      <c r="U3579" t="s">
        <v>3933</v>
      </c>
      <c r="V3579" t="s">
        <v>3934</v>
      </c>
      <c r="W3579" s="9">
        <f>IF(V3579="pregrado",31,
IF(V3579="posgrados",31,
IF(V3579="rEINTEGROS",7,
IF(V3579="BIT",90,
IF(V3579="OP GRADO - INGLÉS",17,"")))))</f>
        <v>31</v>
      </c>
      <c r="X3579" t="s">
        <v>3956</v>
      </c>
    </row>
    <row r="3580" spans="1:24" ht="15" x14ac:dyDescent="0.35">
      <c r="A3580" s="4">
        <v>46048.729016203702</v>
      </c>
      <c r="B3580">
        <v>20117319</v>
      </c>
      <c r="C3580" s="6" t="s">
        <v>19</v>
      </c>
      <c r="D3580">
        <v>606642</v>
      </c>
      <c r="E3580" t="s">
        <v>20</v>
      </c>
      <c r="F3580">
        <v>1000046416</v>
      </c>
      <c r="G3580" t="s">
        <v>2309</v>
      </c>
      <c r="H3580">
        <v>100137512</v>
      </c>
      <c r="I3580">
        <v>202631</v>
      </c>
      <c r="J3580">
        <v>1000046416</v>
      </c>
      <c r="K3580" t="s">
        <v>89</v>
      </c>
      <c r="L3580" t="s">
        <v>90</v>
      </c>
      <c r="M3580" t="s">
        <v>24</v>
      </c>
      <c r="N3580" t="s">
        <v>38</v>
      </c>
      <c r="O3580" t="s">
        <v>26</v>
      </c>
      <c r="P3580" t="s">
        <v>27</v>
      </c>
      <c r="Q3580" t="s">
        <v>28</v>
      </c>
      <c r="R3580" t="s">
        <v>29</v>
      </c>
      <c r="S3580" t="s">
        <v>30</v>
      </c>
      <c r="T3580">
        <v>52168054</v>
      </c>
      <c r="U3580" t="s">
        <v>3977</v>
      </c>
      <c r="V3580" t="s">
        <v>3970</v>
      </c>
      <c r="W3580" s="9">
        <f>IF(V3580="pregrado",31,
IF(V3580="posgrados",31,
IF(V3580="rEINTEGROS",7,
IF(V3580="BIT",90,
IF(V3580="OP GRADO - INGLÉS",17,"")))))</f>
        <v>7</v>
      </c>
      <c r="X3580" t="s">
        <v>4057</v>
      </c>
    </row>
    <row r="3581" spans="1:24" ht="15" x14ac:dyDescent="0.35">
      <c r="A3581" s="4">
        <v>46058.636250000003</v>
      </c>
      <c r="B3581">
        <v>20120906</v>
      </c>
      <c r="C3581" s="6" t="s">
        <v>19</v>
      </c>
      <c r="D3581">
        <v>606652</v>
      </c>
      <c r="E3581" t="s">
        <v>20</v>
      </c>
      <c r="F3581">
        <v>80170765</v>
      </c>
      <c r="G3581" t="s">
        <v>2821</v>
      </c>
      <c r="H3581">
        <v>100243654</v>
      </c>
      <c r="I3581">
        <v>202610</v>
      </c>
      <c r="J3581">
        <v>1031646500</v>
      </c>
      <c r="K3581" t="s">
        <v>23</v>
      </c>
      <c r="L3581" t="s">
        <v>40</v>
      </c>
      <c r="M3581" t="s">
        <v>24</v>
      </c>
      <c r="N3581" t="s">
        <v>35</v>
      </c>
      <c r="O3581" t="s">
        <v>26</v>
      </c>
      <c r="P3581" t="s">
        <v>27</v>
      </c>
      <c r="Q3581" t="s">
        <v>28</v>
      </c>
      <c r="R3581" t="s">
        <v>29</v>
      </c>
      <c r="S3581" t="s">
        <v>30</v>
      </c>
      <c r="T3581">
        <v>1032394283</v>
      </c>
      <c r="U3581" t="s">
        <v>3941</v>
      </c>
      <c r="V3581" t="s">
        <v>3934</v>
      </c>
      <c r="W3581" s="9">
        <f>IF(V3581="pregrado",31,
IF(V3581="posgrados",31,
IF(V3581="rEINTEGROS",7,
IF(V3581="BIT",90,
IF(V3581="OP GRADO - INGLÉS",17,"")))))</f>
        <v>31</v>
      </c>
      <c r="X3581" t="s">
        <v>4034</v>
      </c>
    </row>
    <row r="3582" spans="1:24" ht="15" x14ac:dyDescent="0.35">
      <c r="A3582" s="4">
        <v>46051.430706018517</v>
      </c>
      <c r="B3582">
        <v>20118368</v>
      </c>
      <c r="C3582" s="6" t="s">
        <v>19</v>
      </c>
      <c r="D3582">
        <v>606657</v>
      </c>
      <c r="E3582" t="s">
        <v>20</v>
      </c>
      <c r="F3582">
        <v>1075208855</v>
      </c>
      <c r="G3582" t="s">
        <v>2458</v>
      </c>
      <c r="H3582">
        <v>100243657</v>
      </c>
      <c r="I3582">
        <v>202631</v>
      </c>
      <c r="J3582">
        <v>1077229485</v>
      </c>
      <c r="K3582" t="s">
        <v>23</v>
      </c>
      <c r="L3582" t="s">
        <v>90</v>
      </c>
      <c r="M3582" t="s">
        <v>24</v>
      </c>
      <c r="N3582" t="s">
        <v>35</v>
      </c>
      <c r="O3582" t="s">
        <v>26</v>
      </c>
      <c r="P3582" t="s">
        <v>27</v>
      </c>
      <c r="Q3582" t="s">
        <v>28</v>
      </c>
      <c r="R3582" t="s">
        <v>29</v>
      </c>
      <c r="S3582" t="s">
        <v>30</v>
      </c>
      <c r="T3582">
        <v>1025460711</v>
      </c>
      <c r="U3582" t="s">
        <v>3933</v>
      </c>
      <c r="V3582" t="s">
        <v>3934</v>
      </c>
      <c r="W3582" s="9">
        <f>IF(V3582="pregrado",31,
IF(V3582="posgrados",31,
IF(V3582="rEINTEGROS",7,
IF(V3582="BIT",90,
IF(V3582="OP GRADO - INGLÉS",17,"")))))</f>
        <v>31</v>
      </c>
      <c r="X3582" t="s">
        <v>4062</v>
      </c>
    </row>
    <row r="3583" spans="1:24" ht="15" x14ac:dyDescent="0.35">
      <c r="A3583" s="4">
        <v>46050.365844907406</v>
      </c>
      <c r="B3583">
        <v>20117829</v>
      </c>
      <c r="C3583" s="6" t="s">
        <v>19</v>
      </c>
      <c r="D3583">
        <v>606663</v>
      </c>
      <c r="E3583" t="s">
        <v>20</v>
      </c>
      <c r="F3583">
        <v>1193646620</v>
      </c>
      <c r="G3583" t="s">
        <v>2387</v>
      </c>
      <c r="H3583">
        <v>100243661</v>
      </c>
      <c r="I3583">
        <v>202631</v>
      </c>
      <c r="J3583">
        <v>1193646620</v>
      </c>
      <c r="K3583" t="s">
        <v>23</v>
      </c>
      <c r="L3583" t="s">
        <v>90</v>
      </c>
      <c r="M3583" t="s">
        <v>24</v>
      </c>
      <c r="N3583" t="s">
        <v>35</v>
      </c>
      <c r="O3583" t="s">
        <v>26</v>
      </c>
      <c r="P3583" t="s">
        <v>27</v>
      </c>
      <c r="Q3583" t="s">
        <v>28</v>
      </c>
      <c r="R3583" t="s">
        <v>29</v>
      </c>
      <c r="S3583" t="s">
        <v>30</v>
      </c>
      <c r="T3583">
        <v>1030525993</v>
      </c>
      <c r="U3583" t="s">
        <v>3933</v>
      </c>
      <c r="V3583" t="s">
        <v>3934</v>
      </c>
      <c r="W3583" s="9">
        <f>IF(V3583="pregrado",31,
IF(V3583="posgrados",31,
IF(V3583="rEINTEGROS",7,
IF(V3583="BIT",90,
IF(V3583="OP GRADO - INGLÉS",17,"")))))</f>
        <v>31</v>
      </c>
      <c r="X3583" t="s">
        <v>3956</v>
      </c>
    </row>
    <row r="3584" spans="1:24" ht="15" x14ac:dyDescent="0.35">
      <c r="A3584" s="4">
        <v>46049.893854166665</v>
      </c>
      <c r="B3584">
        <v>20117797</v>
      </c>
      <c r="C3584" s="6" t="s">
        <v>19</v>
      </c>
      <c r="D3584">
        <v>606671</v>
      </c>
      <c r="E3584" t="s">
        <v>20</v>
      </c>
      <c r="F3584">
        <v>10166796</v>
      </c>
      <c r="G3584" t="s">
        <v>2382</v>
      </c>
      <c r="H3584">
        <v>100243672</v>
      </c>
      <c r="I3584">
        <v>202631</v>
      </c>
      <c r="J3584">
        <v>1001345987</v>
      </c>
      <c r="K3584" t="s">
        <v>33</v>
      </c>
      <c r="L3584" t="s">
        <v>127</v>
      </c>
      <c r="M3584" t="s">
        <v>24</v>
      </c>
      <c r="N3584" t="s">
        <v>25</v>
      </c>
      <c r="O3584" t="s">
        <v>26</v>
      </c>
      <c r="P3584" t="s">
        <v>27</v>
      </c>
      <c r="Q3584" t="s">
        <v>28</v>
      </c>
      <c r="R3584" t="s">
        <v>29</v>
      </c>
      <c r="S3584" t="s">
        <v>30</v>
      </c>
      <c r="T3584">
        <v>1023370559</v>
      </c>
      <c r="U3584" t="s">
        <v>3933</v>
      </c>
      <c r="V3584" t="s">
        <v>3934</v>
      </c>
      <c r="W3584" s="9">
        <f>IF(V3584="pregrado",31,
IF(V3584="posgrados",31,
IF(V3584="rEINTEGROS",7,
IF(V3584="BIT",90,
IF(V3584="OP GRADO - INGLÉS",17,"")))))</f>
        <v>31</v>
      </c>
      <c r="X3584" t="s">
        <v>4017</v>
      </c>
    </row>
    <row r="3585" spans="1:24" ht="15" x14ac:dyDescent="0.35">
      <c r="A3585" s="4">
        <v>46050.618298611109</v>
      </c>
      <c r="B3585">
        <v>20118050</v>
      </c>
      <c r="C3585" s="6" t="s">
        <v>19</v>
      </c>
      <c r="D3585">
        <v>606677</v>
      </c>
      <c r="E3585" t="s">
        <v>20</v>
      </c>
      <c r="F3585">
        <v>1193040775</v>
      </c>
      <c r="G3585" t="s">
        <v>2420</v>
      </c>
      <c r="H3585">
        <v>200083363</v>
      </c>
      <c r="I3585">
        <v>202631</v>
      </c>
      <c r="J3585">
        <v>1193040775</v>
      </c>
      <c r="K3585" t="s">
        <v>33</v>
      </c>
      <c r="L3585" t="s">
        <v>119</v>
      </c>
      <c r="M3585" t="s">
        <v>24</v>
      </c>
      <c r="N3585" t="s">
        <v>25</v>
      </c>
      <c r="O3585" t="s">
        <v>26</v>
      </c>
      <c r="P3585" t="s">
        <v>27</v>
      </c>
      <c r="Q3585" t="s">
        <v>28</v>
      </c>
      <c r="R3585" t="s">
        <v>29</v>
      </c>
      <c r="S3585" t="s">
        <v>30</v>
      </c>
      <c r="T3585">
        <v>1023367706</v>
      </c>
      <c r="U3585" t="s">
        <v>3963</v>
      </c>
      <c r="V3585" t="s">
        <v>3934</v>
      </c>
      <c r="W3585" s="9">
        <f>IF(V3585="pregrado",31,
IF(V3585="posgrados",31,
IF(V3585="rEINTEGROS",7,
IF(V3585="BIT",90,
IF(V3585="OP GRADO - INGLÉS",17,"")))))</f>
        <v>31</v>
      </c>
      <c r="X3585" t="s">
        <v>4039</v>
      </c>
    </row>
    <row r="3586" spans="1:24" ht="15" x14ac:dyDescent="0.35">
      <c r="A3586" s="4">
        <v>46049.551249999997</v>
      </c>
      <c r="B3586">
        <v>20117547</v>
      </c>
      <c r="C3586" s="6" t="s">
        <v>19</v>
      </c>
      <c r="D3586">
        <v>606680</v>
      </c>
      <c r="E3586" t="s">
        <v>20</v>
      </c>
      <c r="F3586">
        <v>1061749926</v>
      </c>
      <c r="G3586" t="s">
        <v>2341</v>
      </c>
      <c r="H3586">
        <v>100225451</v>
      </c>
      <c r="I3586">
        <v>202631</v>
      </c>
      <c r="J3586">
        <v>1061749926</v>
      </c>
      <c r="K3586" t="s">
        <v>23</v>
      </c>
      <c r="L3586" t="s">
        <v>219</v>
      </c>
      <c r="M3586" t="s">
        <v>24</v>
      </c>
      <c r="N3586" t="s">
        <v>35</v>
      </c>
      <c r="O3586" t="s">
        <v>26</v>
      </c>
      <c r="P3586" t="s">
        <v>27</v>
      </c>
      <c r="Q3586" t="s">
        <v>28</v>
      </c>
      <c r="R3586" t="s">
        <v>29</v>
      </c>
      <c r="S3586" t="s">
        <v>30</v>
      </c>
      <c r="T3586">
        <v>79635092</v>
      </c>
      <c r="U3586" t="s">
        <v>3963</v>
      </c>
      <c r="V3586" t="s">
        <v>3934</v>
      </c>
      <c r="W3586" s="9">
        <f>IF(V3586="pregrado",31,
IF(V3586="posgrados",31,
IF(V3586="rEINTEGROS",7,
IF(V3586="BIT",90,
IF(V3586="OP GRADO - INGLÉS",17,"")))))</f>
        <v>31</v>
      </c>
      <c r="X3586" t="s">
        <v>4079</v>
      </c>
    </row>
    <row r="3587" spans="1:24" ht="15" x14ac:dyDescent="0.35">
      <c r="A3587" s="4">
        <v>46049.739259259259</v>
      </c>
      <c r="B3587">
        <v>20117747</v>
      </c>
      <c r="C3587" s="6" t="s">
        <v>19</v>
      </c>
      <c r="D3587">
        <v>606682</v>
      </c>
      <c r="E3587" t="s">
        <v>20</v>
      </c>
      <c r="F3587">
        <v>52070091</v>
      </c>
      <c r="G3587" t="s">
        <v>2375</v>
      </c>
      <c r="H3587">
        <v>100243688</v>
      </c>
      <c r="I3587">
        <v>202631</v>
      </c>
      <c r="J3587">
        <v>1101685883</v>
      </c>
      <c r="K3587" t="s">
        <v>33</v>
      </c>
      <c r="L3587" t="s">
        <v>207</v>
      </c>
      <c r="M3587" t="s">
        <v>24</v>
      </c>
      <c r="N3587" t="s">
        <v>38</v>
      </c>
      <c r="O3587" t="s">
        <v>26</v>
      </c>
      <c r="P3587" t="s">
        <v>27</v>
      </c>
      <c r="Q3587" t="s">
        <v>28</v>
      </c>
      <c r="R3587" t="s">
        <v>29</v>
      </c>
      <c r="S3587" t="s">
        <v>30</v>
      </c>
      <c r="T3587">
        <v>1006459732</v>
      </c>
      <c r="U3587" t="s">
        <v>3986</v>
      </c>
      <c r="V3587" t="s">
        <v>3934</v>
      </c>
      <c r="W3587" s="9">
        <f>IF(V3587="pregrado",31,
IF(V3587="posgrados",31,
IF(V3587="rEINTEGROS",7,
IF(V3587="BIT",90,
IF(V3587="OP GRADO - INGLÉS",17,"")))))</f>
        <v>31</v>
      </c>
      <c r="X3587" t="s">
        <v>4099</v>
      </c>
    </row>
    <row r="3588" spans="1:24" ht="15" x14ac:dyDescent="0.35">
      <c r="A3588" s="4">
        <v>46048.736527777779</v>
      </c>
      <c r="B3588">
        <v>20117324</v>
      </c>
      <c r="C3588" s="6" t="s">
        <v>19</v>
      </c>
      <c r="D3588">
        <v>606683</v>
      </c>
      <c r="E3588" t="s">
        <v>20</v>
      </c>
      <c r="F3588">
        <v>53012088</v>
      </c>
      <c r="G3588" t="s">
        <v>2310</v>
      </c>
      <c r="H3588">
        <v>100243689</v>
      </c>
      <c r="I3588">
        <v>202631</v>
      </c>
      <c r="J3588">
        <v>53012088</v>
      </c>
      <c r="K3588" t="s">
        <v>23</v>
      </c>
      <c r="L3588" t="s">
        <v>240</v>
      </c>
      <c r="M3588" t="s">
        <v>24</v>
      </c>
      <c r="N3588" t="s">
        <v>38</v>
      </c>
      <c r="O3588" t="s">
        <v>26</v>
      </c>
      <c r="P3588" t="s">
        <v>27</v>
      </c>
      <c r="Q3588" t="s">
        <v>28</v>
      </c>
      <c r="R3588" t="s">
        <v>29</v>
      </c>
      <c r="S3588" t="s">
        <v>30</v>
      </c>
      <c r="T3588">
        <v>53006215</v>
      </c>
      <c r="U3588" t="s">
        <v>3965</v>
      </c>
      <c r="V3588" t="s">
        <v>3934</v>
      </c>
      <c r="W3588" s="9">
        <f>IF(V3588="pregrado",31,
IF(V3588="posgrados",31,
IF(V3588="rEINTEGROS",7,
IF(V3588="BIT",90,
IF(V3588="OP GRADO - INGLÉS",17,"")))))</f>
        <v>31</v>
      </c>
      <c r="X3588" t="s">
        <v>4042</v>
      </c>
    </row>
    <row r="3589" spans="1:24" ht="15" x14ac:dyDescent="0.35">
      <c r="A3589" s="4">
        <v>46050.517974537041</v>
      </c>
      <c r="B3589">
        <v>20117966</v>
      </c>
      <c r="C3589" s="6" t="s">
        <v>19</v>
      </c>
      <c r="D3589">
        <v>606691</v>
      </c>
      <c r="E3589" t="s">
        <v>20</v>
      </c>
      <c r="F3589">
        <v>31446027</v>
      </c>
      <c r="G3589" t="s">
        <v>2411</v>
      </c>
      <c r="H3589">
        <v>100243699</v>
      </c>
      <c r="I3589">
        <v>202631</v>
      </c>
      <c r="J3589">
        <v>1081277139</v>
      </c>
      <c r="K3589" t="s">
        <v>33</v>
      </c>
      <c r="L3589" t="s">
        <v>127</v>
      </c>
      <c r="M3589" t="s">
        <v>24</v>
      </c>
      <c r="N3589" t="s">
        <v>25</v>
      </c>
      <c r="O3589" t="s">
        <v>26</v>
      </c>
      <c r="P3589" t="s">
        <v>27</v>
      </c>
      <c r="Q3589" t="s">
        <v>28</v>
      </c>
      <c r="R3589" t="s">
        <v>29</v>
      </c>
      <c r="S3589" t="s">
        <v>30</v>
      </c>
      <c r="T3589">
        <v>10306009131</v>
      </c>
      <c r="U3589" t="s">
        <v>3933</v>
      </c>
      <c r="V3589" t="s">
        <v>3934</v>
      </c>
      <c r="W3589" s="9">
        <f>IF(V3589="pregrado",31,
IF(V3589="posgrados",31,
IF(V3589="rEINTEGROS",7,
IF(V3589="BIT",90,
IF(V3589="OP GRADO - INGLÉS",17,"")))))</f>
        <v>31</v>
      </c>
      <c r="X3589" t="s">
        <v>3978</v>
      </c>
    </row>
    <row r="3590" spans="1:24" ht="15" x14ac:dyDescent="0.35">
      <c r="A3590" s="4">
        <v>46057.337627314817</v>
      </c>
      <c r="B3590">
        <v>20120278</v>
      </c>
      <c r="C3590" s="6" t="s">
        <v>19</v>
      </c>
      <c r="D3590">
        <v>606694</v>
      </c>
      <c r="E3590" t="s">
        <v>20</v>
      </c>
      <c r="F3590">
        <v>1065204785</v>
      </c>
      <c r="G3590" t="s">
        <v>2716</v>
      </c>
      <c r="H3590">
        <v>100231781</v>
      </c>
      <c r="I3590">
        <v>202631</v>
      </c>
      <c r="J3590">
        <v>1065204785</v>
      </c>
      <c r="K3590" t="s">
        <v>33</v>
      </c>
      <c r="L3590" t="s">
        <v>101</v>
      </c>
      <c r="M3590" t="s">
        <v>24</v>
      </c>
      <c r="N3590" t="s">
        <v>35</v>
      </c>
      <c r="O3590" t="s">
        <v>26</v>
      </c>
      <c r="P3590" t="s">
        <v>27</v>
      </c>
      <c r="Q3590" t="s">
        <v>28</v>
      </c>
      <c r="R3590" t="s">
        <v>29</v>
      </c>
      <c r="S3590" t="s">
        <v>30</v>
      </c>
      <c r="T3590">
        <v>52446712</v>
      </c>
      <c r="U3590" t="s">
        <v>3963</v>
      </c>
      <c r="V3590" t="s">
        <v>3934</v>
      </c>
      <c r="W3590" s="9">
        <f>IF(V3590="pregrado",31,
IF(V3590="posgrados",31,
IF(V3590="rEINTEGROS",7,
IF(V3590="BIT",90,
IF(V3590="OP GRADO - INGLÉS",17,"")))))</f>
        <v>31</v>
      </c>
      <c r="X3590" t="s">
        <v>4041</v>
      </c>
    </row>
    <row r="3591" spans="1:24" ht="15" x14ac:dyDescent="0.35">
      <c r="A3591" s="4">
        <v>46049.665567129632</v>
      </c>
      <c r="B3591">
        <v>20117665</v>
      </c>
      <c r="C3591" s="6" t="s">
        <v>19</v>
      </c>
      <c r="D3591">
        <v>606706</v>
      </c>
      <c r="E3591" t="s">
        <v>20</v>
      </c>
      <c r="F3591">
        <v>1112389595</v>
      </c>
      <c r="G3591" t="s">
        <v>2361</v>
      </c>
      <c r="H3591">
        <v>100243716</v>
      </c>
      <c r="I3591">
        <v>202631</v>
      </c>
      <c r="J3591">
        <v>1112389595</v>
      </c>
      <c r="K3591" t="s">
        <v>33</v>
      </c>
      <c r="L3591" t="s">
        <v>127</v>
      </c>
      <c r="M3591" t="s">
        <v>24</v>
      </c>
      <c r="N3591" t="s">
        <v>25</v>
      </c>
      <c r="O3591" t="s">
        <v>26</v>
      </c>
      <c r="P3591" t="s">
        <v>27</v>
      </c>
      <c r="Q3591" t="s">
        <v>28</v>
      </c>
      <c r="R3591" t="s">
        <v>29</v>
      </c>
      <c r="S3591" t="s">
        <v>30</v>
      </c>
      <c r="T3591">
        <v>10245841021</v>
      </c>
      <c r="U3591" t="s">
        <v>3933</v>
      </c>
      <c r="V3591" t="s">
        <v>3934</v>
      </c>
      <c r="W3591" s="9">
        <f>IF(V3591="pregrado",31,
IF(V3591="posgrados",31,
IF(V3591="rEINTEGROS",7,
IF(V3591="BIT",90,
IF(V3591="OP GRADO - INGLÉS",17,"")))))</f>
        <v>31</v>
      </c>
      <c r="X3591" t="s">
        <v>3987</v>
      </c>
    </row>
    <row r="3592" spans="1:24" ht="15" x14ac:dyDescent="0.35">
      <c r="A3592" s="4">
        <v>46049.714699074073</v>
      </c>
      <c r="B3592">
        <v>20117720</v>
      </c>
      <c r="C3592" s="6" t="s">
        <v>19</v>
      </c>
      <c r="D3592">
        <v>606709</v>
      </c>
      <c r="E3592" t="s">
        <v>20</v>
      </c>
      <c r="F3592">
        <v>65770174</v>
      </c>
      <c r="G3592" t="s">
        <v>2372</v>
      </c>
      <c r="H3592">
        <v>100107749</v>
      </c>
      <c r="I3592">
        <v>202631</v>
      </c>
      <c r="J3592">
        <v>1005464609</v>
      </c>
      <c r="K3592" t="s">
        <v>89</v>
      </c>
      <c r="L3592" t="s">
        <v>119</v>
      </c>
      <c r="M3592" t="s">
        <v>24</v>
      </c>
      <c r="N3592" t="s">
        <v>35</v>
      </c>
      <c r="O3592" t="s">
        <v>26</v>
      </c>
      <c r="P3592" t="s">
        <v>27</v>
      </c>
      <c r="Q3592" t="s">
        <v>28</v>
      </c>
      <c r="R3592" t="s">
        <v>29</v>
      </c>
      <c r="S3592" t="s">
        <v>30</v>
      </c>
      <c r="T3592">
        <v>1019102787</v>
      </c>
      <c r="U3592" t="s">
        <v>3977</v>
      </c>
      <c r="V3592" t="s">
        <v>3970</v>
      </c>
      <c r="W3592" s="9">
        <f>IF(V3592="pregrado",31,
IF(V3592="posgrados",31,
IF(V3592="rEINTEGROS",7,
IF(V3592="BIT",90,
IF(V3592="OP GRADO - INGLÉS",17,"")))))</f>
        <v>7</v>
      </c>
      <c r="X3592" t="s">
        <v>3976</v>
      </c>
    </row>
    <row r="3593" spans="1:24" ht="15" x14ac:dyDescent="0.35">
      <c r="A3593" s="4">
        <v>46048.718668981484</v>
      </c>
      <c r="B3593">
        <v>20117311</v>
      </c>
      <c r="C3593" s="6" t="s">
        <v>19</v>
      </c>
      <c r="D3593">
        <v>606715</v>
      </c>
      <c r="E3593" t="s">
        <v>20</v>
      </c>
      <c r="F3593">
        <v>1053606980</v>
      </c>
      <c r="G3593" t="s">
        <v>2307</v>
      </c>
      <c r="H3593">
        <v>100243645</v>
      </c>
      <c r="I3593">
        <v>202631</v>
      </c>
      <c r="J3593">
        <v>1053606980</v>
      </c>
      <c r="K3593" t="s">
        <v>23</v>
      </c>
      <c r="L3593" t="s">
        <v>240</v>
      </c>
      <c r="M3593" t="s">
        <v>24</v>
      </c>
      <c r="N3593" t="s">
        <v>35</v>
      </c>
      <c r="O3593" t="s">
        <v>26</v>
      </c>
      <c r="P3593" t="s">
        <v>27</v>
      </c>
      <c r="Q3593" t="s">
        <v>28</v>
      </c>
      <c r="R3593" t="s">
        <v>29</v>
      </c>
      <c r="S3593" t="s">
        <v>30</v>
      </c>
      <c r="T3593">
        <v>52392617</v>
      </c>
      <c r="U3593" t="s">
        <v>3965</v>
      </c>
      <c r="V3593" t="s">
        <v>3934</v>
      </c>
      <c r="W3593" s="9">
        <f>IF(V3593="pregrado",31,
IF(V3593="posgrados",31,
IF(V3593="rEINTEGROS",7,
IF(V3593="BIT",90,
IF(V3593="OP GRADO - INGLÉS",17,"")))))</f>
        <v>31</v>
      </c>
      <c r="X3593" t="s">
        <v>4053</v>
      </c>
    </row>
    <row r="3594" spans="1:24" ht="15" x14ac:dyDescent="0.35">
      <c r="A3594" s="4">
        <v>46049.400729166664</v>
      </c>
      <c r="B3594">
        <v>20117433</v>
      </c>
      <c r="C3594" s="6" t="s">
        <v>19</v>
      </c>
      <c r="D3594">
        <v>606725</v>
      </c>
      <c r="E3594" t="s">
        <v>20</v>
      </c>
      <c r="F3594">
        <v>79769998</v>
      </c>
      <c r="G3594" t="s">
        <v>2329</v>
      </c>
      <c r="H3594">
        <v>100126511</v>
      </c>
      <c r="I3594">
        <v>202631</v>
      </c>
      <c r="J3594">
        <v>1000227008</v>
      </c>
      <c r="K3594" t="s">
        <v>23</v>
      </c>
      <c r="L3594" t="s">
        <v>42</v>
      </c>
      <c r="M3594" t="s">
        <v>24</v>
      </c>
      <c r="N3594" t="s">
        <v>35</v>
      </c>
      <c r="O3594" t="s">
        <v>26</v>
      </c>
      <c r="P3594" t="s">
        <v>27</v>
      </c>
      <c r="Q3594" t="s">
        <v>28</v>
      </c>
      <c r="R3594" t="s">
        <v>29</v>
      </c>
      <c r="S3594" t="s">
        <v>30</v>
      </c>
      <c r="T3594">
        <v>52342867</v>
      </c>
      <c r="U3594" t="s">
        <v>3965</v>
      </c>
      <c r="V3594" t="s">
        <v>3934</v>
      </c>
      <c r="W3594" s="9">
        <f>IF(V3594="pregrado",31,
IF(V3594="posgrados",31,
IF(V3594="rEINTEGROS",7,
IF(V3594="BIT",90,
IF(V3594="OP GRADO - INGLÉS",17,"")))))</f>
        <v>31</v>
      </c>
      <c r="X3594" t="s">
        <v>4047</v>
      </c>
    </row>
    <row r="3595" spans="1:24" ht="15" x14ac:dyDescent="0.35">
      <c r="A3595" s="4">
        <v>46051.709120370368</v>
      </c>
      <c r="B3595">
        <v>20118667</v>
      </c>
      <c r="C3595" s="6" t="s">
        <v>19</v>
      </c>
      <c r="D3595">
        <v>606736</v>
      </c>
      <c r="E3595" t="s">
        <v>20</v>
      </c>
      <c r="F3595">
        <v>1049609246</v>
      </c>
      <c r="G3595" t="s">
        <v>2514</v>
      </c>
      <c r="H3595">
        <v>100185404</v>
      </c>
      <c r="I3595">
        <v>202631</v>
      </c>
      <c r="J3595">
        <v>1049607041</v>
      </c>
      <c r="K3595" t="s">
        <v>23</v>
      </c>
      <c r="L3595" t="s">
        <v>240</v>
      </c>
      <c r="M3595" t="s">
        <v>24</v>
      </c>
      <c r="N3595" t="s">
        <v>35</v>
      </c>
      <c r="O3595" t="s">
        <v>26</v>
      </c>
      <c r="P3595" t="s">
        <v>27</v>
      </c>
      <c r="Q3595" t="s">
        <v>28</v>
      </c>
      <c r="R3595" t="s">
        <v>29</v>
      </c>
      <c r="S3595" t="s">
        <v>30</v>
      </c>
      <c r="T3595">
        <v>1073692626</v>
      </c>
      <c r="U3595" t="s">
        <v>3965</v>
      </c>
      <c r="V3595" t="s">
        <v>3934</v>
      </c>
      <c r="W3595" s="9">
        <f>IF(V3595="pregrado",31,
IF(V3595="posgrados",31,
IF(V3595="rEINTEGROS",7,
IF(V3595="BIT",90,
IF(V3595="OP GRADO - INGLÉS",17,"")))))</f>
        <v>31</v>
      </c>
      <c r="X3595" t="s">
        <v>4014</v>
      </c>
    </row>
    <row r="3596" spans="1:24" ht="15" x14ac:dyDescent="0.35">
      <c r="A3596" s="4">
        <v>46049.576365740744</v>
      </c>
      <c r="B3596">
        <v>20117568</v>
      </c>
      <c r="C3596" s="6" t="s">
        <v>19</v>
      </c>
      <c r="D3596">
        <v>606748</v>
      </c>
      <c r="E3596" t="s">
        <v>20</v>
      </c>
      <c r="F3596">
        <v>1061689177</v>
      </c>
      <c r="G3596" t="s">
        <v>2345</v>
      </c>
      <c r="H3596">
        <v>100243748</v>
      </c>
      <c r="I3596">
        <v>202631</v>
      </c>
      <c r="J3596">
        <v>1061689177</v>
      </c>
      <c r="K3596" t="s">
        <v>23</v>
      </c>
      <c r="L3596" t="s">
        <v>240</v>
      </c>
      <c r="M3596" t="s">
        <v>24</v>
      </c>
      <c r="N3596" t="s">
        <v>25</v>
      </c>
      <c r="O3596" t="s">
        <v>26</v>
      </c>
      <c r="P3596" t="s">
        <v>27</v>
      </c>
      <c r="Q3596" t="s">
        <v>28</v>
      </c>
      <c r="R3596" t="s">
        <v>29</v>
      </c>
      <c r="S3596" t="s">
        <v>30</v>
      </c>
      <c r="T3596">
        <v>45555807</v>
      </c>
      <c r="U3596" t="s">
        <v>3965</v>
      </c>
      <c r="V3596" t="s">
        <v>3934</v>
      </c>
      <c r="W3596" s="9">
        <f>IF(V3596="pregrado",31,
IF(V3596="posgrados",31,
IF(V3596="rEINTEGROS",7,
IF(V3596="BIT",90,
IF(V3596="OP GRADO - INGLÉS",17,"")))))</f>
        <v>31</v>
      </c>
      <c r="X3596" t="s">
        <v>4027</v>
      </c>
    </row>
    <row r="3597" spans="1:24" ht="15" x14ac:dyDescent="0.35">
      <c r="A3597" s="4">
        <v>46049.520219907405</v>
      </c>
      <c r="B3597">
        <v>20117516</v>
      </c>
      <c r="C3597" s="6" t="s">
        <v>19</v>
      </c>
      <c r="D3597">
        <v>606752</v>
      </c>
      <c r="E3597" t="s">
        <v>20</v>
      </c>
      <c r="F3597">
        <v>1026302074</v>
      </c>
      <c r="G3597" t="s">
        <v>2339</v>
      </c>
      <c r="H3597">
        <v>100182146</v>
      </c>
      <c r="I3597">
        <v>202631</v>
      </c>
      <c r="J3597">
        <v>1026302074</v>
      </c>
      <c r="K3597" t="s">
        <v>33</v>
      </c>
      <c r="L3597" t="s">
        <v>207</v>
      </c>
      <c r="M3597" t="s">
        <v>24</v>
      </c>
      <c r="N3597" t="s">
        <v>38</v>
      </c>
      <c r="O3597" t="s">
        <v>26</v>
      </c>
      <c r="P3597" t="s">
        <v>27</v>
      </c>
      <c r="Q3597" t="s">
        <v>28</v>
      </c>
      <c r="R3597" t="s">
        <v>29</v>
      </c>
      <c r="S3597" t="s">
        <v>30</v>
      </c>
      <c r="T3597">
        <v>1000286877</v>
      </c>
      <c r="U3597" t="s">
        <v>3986</v>
      </c>
      <c r="V3597" t="s">
        <v>3934</v>
      </c>
      <c r="W3597" s="9">
        <f>IF(V3597="pregrado",31,
IF(V3597="posgrados",31,
IF(V3597="rEINTEGROS",7,
IF(V3597="BIT",90,
IF(V3597="OP GRADO - INGLÉS",17,"")))))</f>
        <v>31</v>
      </c>
      <c r="X3597" t="s">
        <v>4100</v>
      </c>
    </row>
    <row r="3598" spans="1:24" ht="15" x14ac:dyDescent="0.35">
      <c r="A3598" s="4">
        <v>46051.666643518518</v>
      </c>
      <c r="B3598">
        <v>20118605</v>
      </c>
      <c r="C3598" s="6" t="s">
        <v>19</v>
      </c>
      <c r="D3598">
        <v>606755</v>
      </c>
      <c r="E3598" t="s">
        <v>20</v>
      </c>
      <c r="F3598">
        <v>1098813031</v>
      </c>
      <c r="G3598" t="s">
        <v>2503</v>
      </c>
      <c r="H3598">
        <v>100243754</v>
      </c>
      <c r="I3598">
        <v>202631</v>
      </c>
      <c r="J3598">
        <v>1098813031</v>
      </c>
      <c r="K3598" t="s">
        <v>33</v>
      </c>
      <c r="L3598" t="s">
        <v>42</v>
      </c>
      <c r="M3598" t="s">
        <v>24</v>
      </c>
      <c r="N3598" t="s">
        <v>35</v>
      </c>
      <c r="O3598" t="s">
        <v>26</v>
      </c>
      <c r="P3598" t="s">
        <v>27</v>
      </c>
      <c r="Q3598" t="s">
        <v>28</v>
      </c>
      <c r="R3598" t="s">
        <v>29</v>
      </c>
      <c r="S3598" t="s">
        <v>30</v>
      </c>
      <c r="T3598">
        <v>1023921046</v>
      </c>
      <c r="U3598" t="s">
        <v>3933</v>
      </c>
      <c r="V3598" t="s">
        <v>3934</v>
      </c>
      <c r="W3598" s="9">
        <f>IF(V3598="pregrado",31,
IF(V3598="posgrados",31,
IF(V3598="rEINTEGROS",7,
IF(V3598="BIT",90,
IF(V3598="OP GRADO - INGLÉS",17,"")))))</f>
        <v>31</v>
      </c>
      <c r="X3598" t="s">
        <v>4043</v>
      </c>
    </row>
    <row r="3599" spans="1:24" ht="15" x14ac:dyDescent="0.35">
      <c r="A3599" s="4">
        <v>46050.503993055558</v>
      </c>
      <c r="B3599">
        <v>20117952</v>
      </c>
      <c r="C3599" s="6" t="s">
        <v>19</v>
      </c>
      <c r="D3599">
        <v>606760</v>
      </c>
      <c r="E3599" t="s">
        <v>20</v>
      </c>
      <c r="F3599">
        <v>1005331124</v>
      </c>
      <c r="G3599" t="s">
        <v>2407</v>
      </c>
      <c r="H3599">
        <v>100243760</v>
      </c>
      <c r="I3599">
        <v>202631</v>
      </c>
      <c r="J3599">
        <v>1005331124</v>
      </c>
      <c r="K3599" t="s">
        <v>33</v>
      </c>
      <c r="L3599" t="s">
        <v>42</v>
      </c>
      <c r="M3599" t="s">
        <v>24</v>
      </c>
      <c r="N3599" t="s">
        <v>25</v>
      </c>
      <c r="O3599" t="s">
        <v>26</v>
      </c>
      <c r="P3599" t="s">
        <v>27</v>
      </c>
      <c r="Q3599" t="s">
        <v>28</v>
      </c>
      <c r="R3599" t="s">
        <v>29</v>
      </c>
      <c r="S3599" t="s">
        <v>30</v>
      </c>
      <c r="T3599">
        <v>1015407851</v>
      </c>
      <c r="U3599" t="s">
        <v>3944</v>
      </c>
      <c r="V3599" t="s">
        <v>3934</v>
      </c>
      <c r="W3599" s="9">
        <f>IF(V3599="pregrado",31,
IF(V3599="posgrados",31,
IF(V3599="rEINTEGROS",7,
IF(V3599="BIT",90,
IF(V3599="OP GRADO - INGLÉS",17,"")))))</f>
        <v>31</v>
      </c>
      <c r="X3599" t="s">
        <v>4102</v>
      </c>
    </row>
    <row r="3600" spans="1:24" ht="15" x14ac:dyDescent="0.35">
      <c r="A3600" s="4">
        <v>46052.281956018516</v>
      </c>
      <c r="B3600">
        <v>20118739</v>
      </c>
      <c r="C3600" s="6" t="s">
        <v>19</v>
      </c>
      <c r="D3600">
        <v>606761</v>
      </c>
      <c r="E3600" t="s">
        <v>20</v>
      </c>
      <c r="F3600">
        <v>1023947242</v>
      </c>
      <c r="G3600" t="s">
        <v>2527</v>
      </c>
      <c r="H3600">
        <v>100243761</v>
      </c>
      <c r="I3600">
        <v>202631</v>
      </c>
      <c r="J3600">
        <v>1023947242</v>
      </c>
      <c r="K3600" t="s">
        <v>33</v>
      </c>
      <c r="L3600" t="s">
        <v>51</v>
      </c>
      <c r="M3600" t="s">
        <v>24</v>
      </c>
      <c r="N3600" t="s">
        <v>38</v>
      </c>
      <c r="O3600" t="s">
        <v>26</v>
      </c>
      <c r="P3600" t="s">
        <v>27</v>
      </c>
      <c r="Q3600" t="s">
        <v>28</v>
      </c>
      <c r="R3600" t="s">
        <v>29</v>
      </c>
      <c r="S3600" t="s">
        <v>30</v>
      </c>
      <c r="T3600">
        <v>1023000285</v>
      </c>
      <c r="U3600" t="s">
        <v>3986</v>
      </c>
      <c r="V3600" t="s">
        <v>3934</v>
      </c>
      <c r="W3600" s="9">
        <f>IF(V3600="pregrado",31,
IF(V3600="posgrados",31,
IF(V3600="rEINTEGROS",7,
IF(V3600="BIT",90,
IF(V3600="OP GRADO - INGLÉS",17,"")))))</f>
        <v>31</v>
      </c>
      <c r="X3600" t="s">
        <v>4097</v>
      </c>
    </row>
    <row r="3601" spans="1:24" ht="15" x14ac:dyDescent="0.35">
      <c r="A3601" s="4">
        <v>46055.707025462965</v>
      </c>
      <c r="B3601">
        <v>20119802</v>
      </c>
      <c r="C3601" s="6" t="s">
        <v>19</v>
      </c>
      <c r="D3601">
        <v>607018</v>
      </c>
      <c r="E3601" t="s">
        <v>20</v>
      </c>
      <c r="F3601">
        <v>1032938158</v>
      </c>
      <c r="G3601" t="s">
        <v>2661</v>
      </c>
      <c r="H3601">
        <v>100243804</v>
      </c>
      <c r="I3601">
        <v>202631</v>
      </c>
      <c r="J3601">
        <v>1032938158</v>
      </c>
      <c r="K3601" t="s">
        <v>33</v>
      </c>
      <c r="L3601" t="s">
        <v>90</v>
      </c>
      <c r="M3601" t="s">
        <v>24</v>
      </c>
      <c r="N3601" t="s">
        <v>38</v>
      </c>
      <c r="O3601" t="s">
        <v>26</v>
      </c>
      <c r="P3601" t="s">
        <v>27</v>
      </c>
      <c r="Q3601" t="s">
        <v>28</v>
      </c>
      <c r="R3601" t="s">
        <v>29</v>
      </c>
      <c r="S3601" t="s">
        <v>30</v>
      </c>
      <c r="T3601">
        <v>1016110979</v>
      </c>
      <c r="U3601" t="s">
        <v>3977</v>
      </c>
      <c r="V3601" t="s">
        <v>3970</v>
      </c>
      <c r="W3601" s="9">
        <f>IF(V3601="pregrado",31,
IF(V3601="posgrados",31,
IF(V3601="rEINTEGROS",7,
IF(V3601="BIT",90,
IF(V3601="OP GRADO - INGLÉS",17,"")))))</f>
        <v>7</v>
      </c>
      <c r="X3601" t="s">
        <v>4051</v>
      </c>
    </row>
    <row r="3602" spans="1:24" ht="15" x14ac:dyDescent="0.35">
      <c r="A3602" s="4">
        <v>46053.444525462961</v>
      </c>
      <c r="B3602">
        <v>20119249</v>
      </c>
      <c r="C3602" s="6" t="s">
        <v>19</v>
      </c>
      <c r="D3602">
        <v>607025</v>
      </c>
      <c r="E3602" t="s">
        <v>20</v>
      </c>
      <c r="F3602">
        <v>1122920730</v>
      </c>
      <c r="G3602" t="s">
        <v>2619</v>
      </c>
      <c r="H3602">
        <v>200078595</v>
      </c>
      <c r="I3602">
        <v>202631</v>
      </c>
      <c r="J3602">
        <v>1122920730</v>
      </c>
      <c r="K3602" t="s">
        <v>33</v>
      </c>
      <c r="L3602" t="s">
        <v>77</v>
      </c>
      <c r="M3602" t="s">
        <v>24</v>
      </c>
      <c r="N3602" t="s">
        <v>35</v>
      </c>
      <c r="O3602" t="s">
        <v>26</v>
      </c>
      <c r="P3602" t="s">
        <v>27</v>
      </c>
      <c r="Q3602" t="s">
        <v>28</v>
      </c>
      <c r="R3602" t="s">
        <v>29</v>
      </c>
      <c r="S3602" t="s">
        <v>30</v>
      </c>
      <c r="T3602">
        <v>1010081108</v>
      </c>
      <c r="U3602" t="s">
        <v>3941</v>
      </c>
      <c r="V3602" t="s">
        <v>3934</v>
      </c>
      <c r="W3602" s="9">
        <f>IF(V3602="pregrado",31,
IF(V3602="posgrados",31,
IF(V3602="rEINTEGROS",7,
IF(V3602="BIT",90,
IF(V3602="OP GRADO - INGLÉS",17,"")))))</f>
        <v>31</v>
      </c>
      <c r="X3602" t="s">
        <v>4009</v>
      </c>
    </row>
    <row r="3603" spans="1:24" ht="15" x14ac:dyDescent="0.35">
      <c r="A3603" s="4">
        <v>46049.678553240738</v>
      </c>
      <c r="B3603">
        <v>20117684</v>
      </c>
      <c r="C3603" s="6" t="s">
        <v>19</v>
      </c>
      <c r="D3603">
        <v>607029</v>
      </c>
      <c r="E3603" t="s">
        <v>20</v>
      </c>
      <c r="F3603">
        <v>1073174188</v>
      </c>
      <c r="G3603" t="s">
        <v>2363</v>
      </c>
      <c r="H3603">
        <v>100243815</v>
      </c>
      <c r="I3603">
        <v>202631</v>
      </c>
      <c r="J3603">
        <v>1073174188</v>
      </c>
      <c r="K3603" t="s">
        <v>23</v>
      </c>
      <c r="L3603" t="s">
        <v>127</v>
      </c>
      <c r="M3603" t="s">
        <v>24</v>
      </c>
      <c r="N3603" t="s">
        <v>35</v>
      </c>
      <c r="O3603" t="s">
        <v>26</v>
      </c>
      <c r="P3603" t="s">
        <v>27</v>
      </c>
      <c r="Q3603" t="s">
        <v>28</v>
      </c>
      <c r="R3603" t="s">
        <v>29</v>
      </c>
      <c r="S3603" t="s">
        <v>30</v>
      </c>
      <c r="T3603">
        <v>1013595695</v>
      </c>
      <c r="U3603" t="s">
        <v>3933</v>
      </c>
      <c r="V3603" t="s">
        <v>3934</v>
      </c>
      <c r="W3603" s="9">
        <f>IF(V3603="pregrado",31,
IF(V3603="posgrados",31,
IF(V3603="rEINTEGROS",7,
IF(V3603="BIT",90,
IF(V3603="OP GRADO - INGLÉS",17,"")))))</f>
        <v>31</v>
      </c>
      <c r="X3603" t="s">
        <v>3990</v>
      </c>
    </row>
    <row r="3604" spans="1:24" ht="15" x14ac:dyDescent="0.35">
      <c r="A3604" s="4">
        <v>46050.884328703702</v>
      </c>
      <c r="B3604">
        <v>20118273</v>
      </c>
      <c r="C3604" s="6" t="s">
        <v>19</v>
      </c>
      <c r="D3604">
        <v>607037</v>
      </c>
      <c r="E3604" t="s">
        <v>20</v>
      </c>
      <c r="F3604">
        <v>1036639026</v>
      </c>
      <c r="G3604" t="s">
        <v>2449</v>
      </c>
      <c r="H3604">
        <v>100243821</v>
      </c>
      <c r="I3604">
        <v>202631</v>
      </c>
      <c r="J3604">
        <v>1048215241</v>
      </c>
      <c r="K3604" t="s">
        <v>33</v>
      </c>
      <c r="L3604" t="s">
        <v>32</v>
      </c>
      <c r="M3604" t="s">
        <v>24</v>
      </c>
      <c r="N3604" t="s">
        <v>25</v>
      </c>
      <c r="O3604" t="s">
        <v>26</v>
      </c>
      <c r="P3604" t="s">
        <v>27</v>
      </c>
      <c r="Q3604" t="s">
        <v>28</v>
      </c>
      <c r="R3604" t="s">
        <v>29</v>
      </c>
      <c r="S3604" t="s">
        <v>30</v>
      </c>
      <c r="T3604">
        <v>1000578914</v>
      </c>
      <c r="U3604" t="s">
        <v>3941</v>
      </c>
      <c r="V3604" t="s">
        <v>3934</v>
      </c>
      <c r="W3604" s="9">
        <f>IF(V3604="pregrado",31,
IF(V3604="posgrados",31,
IF(V3604="rEINTEGROS",7,
IF(V3604="BIT",90,
IF(V3604="OP GRADO - INGLÉS",17,"")))))</f>
        <v>31</v>
      </c>
      <c r="X3604" t="s">
        <v>4060</v>
      </c>
    </row>
    <row r="3605" spans="1:24" ht="15" x14ac:dyDescent="0.35">
      <c r="A3605" s="4">
        <v>46057.456689814811</v>
      </c>
      <c r="B3605">
        <v>20120385</v>
      </c>
      <c r="C3605" s="6" t="s">
        <v>19</v>
      </c>
      <c r="D3605">
        <v>607039</v>
      </c>
      <c r="E3605" t="s">
        <v>20</v>
      </c>
      <c r="F3605">
        <v>10952179</v>
      </c>
      <c r="G3605" t="s">
        <v>2735</v>
      </c>
      <c r="H3605">
        <v>100243824</v>
      </c>
      <c r="I3605">
        <v>202631</v>
      </c>
      <c r="J3605">
        <v>1007388199</v>
      </c>
      <c r="K3605" t="s">
        <v>23</v>
      </c>
      <c r="L3605" t="s">
        <v>207</v>
      </c>
      <c r="M3605" t="s">
        <v>24</v>
      </c>
      <c r="N3605" t="s">
        <v>35</v>
      </c>
      <c r="O3605" t="s">
        <v>26</v>
      </c>
      <c r="P3605" t="s">
        <v>27</v>
      </c>
      <c r="Q3605" t="s">
        <v>28</v>
      </c>
      <c r="R3605" t="s">
        <v>29</v>
      </c>
      <c r="S3605" t="s">
        <v>30</v>
      </c>
      <c r="T3605">
        <v>1022392610</v>
      </c>
      <c r="U3605" t="s">
        <v>3941</v>
      </c>
      <c r="V3605" t="s">
        <v>3934</v>
      </c>
      <c r="W3605" s="9">
        <f>IF(V3605="pregrado",31,
IF(V3605="posgrados",31,
IF(V3605="rEINTEGROS",7,
IF(V3605="BIT",90,
IF(V3605="OP GRADO - INGLÉS",17,"")))))</f>
        <v>31</v>
      </c>
      <c r="X3605" t="s">
        <v>4028</v>
      </c>
    </row>
    <row r="3606" spans="1:24" ht="15" x14ac:dyDescent="0.35">
      <c r="A3606" s="4">
        <v>46051.427372685182</v>
      </c>
      <c r="B3606">
        <v>20118365</v>
      </c>
      <c r="C3606" s="6" t="s">
        <v>19</v>
      </c>
      <c r="D3606">
        <v>607040</v>
      </c>
      <c r="E3606" t="s">
        <v>20</v>
      </c>
      <c r="F3606">
        <v>23217633</v>
      </c>
      <c r="G3606" t="s">
        <v>2457</v>
      </c>
      <c r="H3606">
        <v>100243826</v>
      </c>
      <c r="I3606">
        <v>202631</v>
      </c>
      <c r="J3606">
        <v>23217633</v>
      </c>
      <c r="K3606" t="s">
        <v>83</v>
      </c>
      <c r="L3606" t="s">
        <v>101</v>
      </c>
      <c r="M3606" t="s">
        <v>24</v>
      </c>
      <c r="N3606" t="s">
        <v>35</v>
      </c>
      <c r="O3606" t="s">
        <v>26</v>
      </c>
      <c r="P3606" t="s">
        <v>27</v>
      </c>
      <c r="Q3606" t="s">
        <v>28</v>
      </c>
      <c r="R3606" t="s">
        <v>29</v>
      </c>
      <c r="S3606" t="s">
        <v>30</v>
      </c>
      <c r="T3606">
        <v>1023367706</v>
      </c>
      <c r="U3606" t="s">
        <v>3963</v>
      </c>
      <c r="V3606" t="s">
        <v>3934</v>
      </c>
      <c r="W3606" s="9">
        <f>IF(V3606="pregrado",31,
IF(V3606="posgrados",31,
IF(V3606="rEINTEGROS",7,
IF(V3606="BIT",90,
IF(V3606="OP GRADO - INGLÉS",17,"")))))</f>
        <v>31</v>
      </c>
      <c r="X3606" t="s">
        <v>4039</v>
      </c>
    </row>
    <row r="3607" spans="1:24" ht="15" x14ac:dyDescent="0.35">
      <c r="A3607" s="4">
        <v>46050.402256944442</v>
      </c>
      <c r="B3607">
        <v>20117854</v>
      </c>
      <c r="C3607" s="6" t="s">
        <v>19</v>
      </c>
      <c r="D3607">
        <v>607048</v>
      </c>
      <c r="E3607" t="s">
        <v>20</v>
      </c>
      <c r="F3607">
        <v>79342294</v>
      </c>
      <c r="G3607" t="s">
        <v>2389</v>
      </c>
      <c r="H3607">
        <v>100243847</v>
      </c>
      <c r="I3607">
        <v>202631</v>
      </c>
      <c r="J3607">
        <v>1032505540</v>
      </c>
      <c r="K3607" t="s">
        <v>23</v>
      </c>
      <c r="L3607" t="s">
        <v>32</v>
      </c>
      <c r="M3607" t="s">
        <v>24</v>
      </c>
      <c r="N3607" t="s">
        <v>35</v>
      </c>
      <c r="O3607" t="s">
        <v>26</v>
      </c>
      <c r="P3607" t="s">
        <v>27</v>
      </c>
      <c r="Q3607" t="s">
        <v>28</v>
      </c>
      <c r="R3607" t="s">
        <v>29</v>
      </c>
      <c r="S3607" t="s">
        <v>30</v>
      </c>
      <c r="T3607">
        <v>1000349074</v>
      </c>
      <c r="U3607" t="s">
        <v>3944</v>
      </c>
      <c r="V3607" t="s">
        <v>3934</v>
      </c>
      <c r="W3607" s="9">
        <f>IF(V3607="pregrado",31,
IF(V3607="posgrados",31,
IF(V3607="rEINTEGROS",7,
IF(V3607="BIT",90,
IF(V3607="OP GRADO - INGLÉS",17,"")))))</f>
        <v>31</v>
      </c>
      <c r="X3607" t="s">
        <v>4036</v>
      </c>
    </row>
    <row r="3608" spans="1:24" ht="15" x14ac:dyDescent="0.35">
      <c r="A3608" s="4">
        <v>46050.467731481483</v>
      </c>
      <c r="B3608">
        <v>20117913</v>
      </c>
      <c r="C3608" s="6" t="s">
        <v>19</v>
      </c>
      <c r="D3608">
        <v>607061</v>
      </c>
      <c r="E3608" t="s">
        <v>20</v>
      </c>
      <c r="F3608">
        <v>20652597</v>
      </c>
      <c r="G3608" t="s">
        <v>2399</v>
      </c>
      <c r="H3608">
        <v>100062889</v>
      </c>
      <c r="I3608">
        <v>202631</v>
      </c>
      <c r="J3608">
        <v>20652597</v>
      </c>
      <c r="K3608" t="s">
        <v>33</v>
      </c>
      <c r="L3608" t="s">
        <v>127</v>
      </c>
      <c r="M3608" t="s">
        <v>24</v>
      </c>
      <c r="N3608" t="s">
        <v>35</v>
      </c>
      <c r="O3608" t="s">
        <v>26</v>
      </c>
      <c r="P3608" t="s">
        <v>27</v>
      </c>
      <c r="Q3608" t="s">
        <v>28</v>
      </c>
      <c r="R3608" t="s">
        <v>29</v>
      </c>
      <c r="S3608" t="s">
        <v>30</v>
      </c>
      <c r="T3608">
        <v>1023970223</v>
      </c>
      <c r="U3608" t="s">
        <v>3933</v>
      </c>
      <c r="V3608" t="s">
        <v>3934</v>
      </c>
      <c r="W3608" s="9">
        <f>IF(V3608="pregrado",31,
IF(V3608="posgrados",31,
IF(V3608="rEINTEGROS",7,
IF(V3608="BIT",90,
IF(V3608="OP GRADO - INGLÉS",17,"")))))</f>
        <v>31</v>
      </c>
      <c r="X3608" t="s">
        <v>4070</v>
      </c>
    </row>
    <row r="3609" spans="1:24" ht="15" x14ac:dyDescent="0.35">
      <c r="A3609" s="4">
        <v>46049.763564814813</v>
      </c>
      <c r="B3609">
        <v>20117757</v>
      </c>
      <c r="C3609" s="6" t="s">
        <v>19</v>
      </c>
      <c r="D3609">
        <v>607064</v>
      </c>
      <c r="E3609" t="s">
        <v>20</v>
      </c>
      <c r="F3609">
        <v>52293585</v>
      </c>
      <c r="G3609" t="s">
        <v>2377</v>
      </c>
      <c r="H3609">
        <v>100243837</v>
      </c>
      <c r="I3609">
        <v>202610</v>
      </c>
      <c r="J3609">
        <v>1023369629</v>
      </c>
      <c r="K3609" t="s">
        <v>23</v>
      </c>
      <c r="L3609" t="s">
        <v>37</v>
      </c>
      <c r="M3609" t="s">
        <v>24</v>
      </c>
      <c r="N3609" t="s">
        <v>35</v>
      </c>
      <c r="O3609" t="s">
        <v>26</v>
      </c>
      <c r="P3609" t="s">
        <v>27</v>
      </c>
      <c r="Q3609" t="s">
        <v>28</v>
      </c>
      <c r="R3609" t="s">
        <v>29</v>
      </c>
      <c r="S3609" t="s">
        <v>30</v>
      </c>
      <c r="T3609">
        <v>1019115186</v>
      </c>
      <c r="U3609" t="s">
        <v>3941</v>
      </c>
      <c r="V3609" t="s">
        <v>3934</v>
      </c>
      <c r="W3609" s="9">
        <f>IF(V3609="pregrado",31,
IF(V3609="posgrados",31,
IF(V3609="rEINTEGROS",7,
IF(V3609="BIT",90,
IF(V3609="OP GRADO - INGLÉS",17,"")))))</f>
        <v>31</v>
      </c>
      <c r="X3609" t="s">
        <v>4005</v>
      </c>
    </row>
    <row r="3610" spans="1:24" ht="15" x14ac:dyDescent="0.35">
      <c r="A3610" s="4">
        <v>46052.775069444448</v>
      </c>
      <c r="B3610">
        <v>20119161</v>
      </c>
      <c r="C3610" s="6" t="s">
        <v>19</v>
      </c>
      <c r="D3610">
        <v>607067</v>
      </c>
      <c r="E3610" t="s">
        <v>20</v>
      </c>
      <c r="F3610">
        <v>1010760946</v>
      </c>
      <c r="G3610" t="s">
        <v>2598</v>
      </c>
      <c r="H3610">
        <v>100218092</v>
      </c>
      <c r="I3610">
        <v>202610</v>
      </c>
      <c r="J3610">
        <v>1010760946</v>
      </c>
      <c r="K3610" t="s">
        <v>33</v>
      </c>
      <c r="L3610" t="s">
        <v>37</v>
      </c>
      <c r="M3610" t="s">
        <v>24</v>
      </c>
      <c r="N3610" t="s">
        <v>38</v>
      </c>
      <c r="O3610" t="s">
        <v>26</v>
      </c>
      <c r="P3610" t="s">
        <v>27</v>
      </c>
      <c r="Q3610" t="s">
        <v>28</v>
      </c>
      <c r="R3610" t="s">
        <v>29</v>
      </c>
      <c r="S3610" t="s">
        <v>30</v>
      </c>
      <c r="T3610">
        <v>1030651078</v>
      </c>
      <c r="U3610" t="s">
        <v>3965</v>
      </c>
      <c r="V3610" t="s">
        <v>3934</v>
      </c>
      <c r="W3610" s="9">
        <f>IF(V3610="pregrado",31,
IF(V3610="posgrados",31,
IF(V3610="rEINTEGROS",7,
IF(V3610="BIT",90,
IF(V3610="OP GRADO - INGLÉS",17,"")))))</f>
        <v>31</v>
      </c>
      <c r="X3610" t="s">
        <v>4085</v>
      </c>
    </row>
    <row r="3611" spans="1:24" ht="15" x14ac:dyDescent="0.35">
      <c r="A3611" s="4">
        <v>46050.688009259262</v>
      </c>
      <c r="B3611">
        <v>20118139</v>
      </c>
      <c r="C3611" s="6" t="s">
        <v>19</v>
      </c>
      <c r="D3611">
        <v>607070</v>
      </c>
      <c r="E3611" t="s">
        <v>20</v>
      </c>
      <c r="F3611">
        <v>79151254</v>
      </c>
      <c r="G3611" t="s">
        <v>2432</v>
      </c>
      <c r="H3611">
        <v>100068116</v>
      </c>
      <c r="I3611">
        <v>202631</v>
      </c>
      <c r="J3611">
        <v>1032469807</v>
      </c>
      <c r="K3611" t="s">
        <v>23</v>
      </c>
      <c r="L3611" t="s">
        <v>219</v>
      </c>
      <c r="M3611" t="s">
        <v>24</v>
      </c>
      <c r="N3611" t="s">
        <v>35</v>
      </c>
      <c r="O3611" t="s">
        <v>26</v>
      </c>
      <c r="P3611" t="s">
        <v>27</v>
      </c>
      <c r="Q3611" t="s">
        <v>28</v>
      </c>
      <c r="R3611" t="s">
        <v>29</v>
      </c>
      <c r="S3611" t="s">
        <v>30</v>
      </c>
      <c r="T3611">
        <v>53040709</v>
      </c>
      <c r="U3611" t="s">
        <v>3963</v>
      </c>
      <c r="V3611" t="s">
        <v>3934</v>
      </c>
      <c r="W3611" s="9">
        <f>IF(V3611="pregrado",31,
IF(V3611="posgrados",31,
IF(V3611="rEINTEGROS",7,
IF(V3611="BIT",90,
IF(V3611="OP GRADO - INGLÉS",17,"")))))</f>
        <v>31</v>
      </c>
      <c r="X3611" t="s">
        <v>3994</v>
      </c>
    </row>
    <row r="3612" spans="1:24" ht="15" x14ac:dyDescent="0.35">
      <c r="A3612" s="4">
        <v>46050.720150462963</v>
      </c>
      <c r="B3612">
        <v>20118189</v>
      </c>
      <c r="C3612" s="6" t="s">
        <v>19</v>
      </c>
      <c r="D3612">
        <v>607071</v>
      </c>
      <c r="E3612" t="s">
        <v>20</v>
      </c>
      <c r="F3612">
        <v>45692575</v>
      </c>
      <c r="G3612" t="s">
        <v>2437</v>
      </c>
      <c r="H3612">
        <v>100243863</v>
      </c>
      <c r="I3612">
        <v>202610</v>
      </c>
      <c r="J3612">
        <v>1043656723</v>
      </c>
      <c r="K3612" t="s">
        <v>23</v>
      </c>
      <c r="L3612" t="s">
        <v>194</v>
      </c>
      <c r="M3612" t="s">
        <v>24</v>
      </c>
      <c r="N3612" t="s">
        <v>35</v>
      </c>
      <c r="O3612" t="s">
        <v>26</v>
      </c>
      <c r="P3612" t="s">
        <v>27</v>
      </c>
      <c r="Q3612" t="s">
        <v>28</v>
      </c>
      <c r="R3612" t="s">
        <v>29</v>
      </c>
      <c r="S3612" t="s">
        <v>30</v>
      </c>
      <c r="T3612">
        <v>1001066645</v>
      </c>
      <c r="U3612" t="s">
        <v>3963</v>
      </c>
      <c r="V3612" t="s">
        <v>3934</v>
      </c>
      <c r="W3612" s="9">
        <f>IF(V3612="pregrado",31,
IF(V3612="posgrados",31,
IF(V3612="rEINTEGROS",7,
IF(V3612="BIT",90,
IF(V3612="OP GRADO - INGLÉS",17,"")))))</f>
        <v>31</v>
      </c>
      <c r="X3612" t="s">
        <v>4086</v>
      </c>
    </row>
    <row r="3613" spans="1:24" ht="15" x14ac:dyDescent="0.35">
      <c r="A3613" s="4">
        <v>46051.684074074074</v>
      </c>
      <c r="B3613">
        <v>20118639</v>
      </c>
      <c r="C3613" s="6" t="s">
        <v>19</v>
      </c>
      <c r="D3613">
        <v>607074</v>
      </c>
      <c r="E3613" t="s">
        <v>20</v>
      </c>
      <c r="F3613">
        <v>15571445</v>
      </c>
      <c r="G3613" t="s">
        <v>2513</v>
      </c>
      <c r="H3613">
        <v>100243865</v>
      </c>
      <c r="I3613">
        <v>202611</v>
      </c>
      <c r="J3613">
        <v>1125412028</v>
      </c>
      <c r="K3613" t="s">
        <v>23</v>
      </c>
      <c r="L3613" t="s">
        <v>221</v>
      </c>
      <c r="M3613" t="s">
        <v>24</v>
      </c>
      <c r="N3613" t="s">
        <v>35</v>
      </c>
      <c r="O3613" t="s">
        <v>26</v>
      </c>
      <c r="P3613" t="s">
        <v>27</v>
      </c>
      <c r="Q3613" t="s">
        <v>28</v>
      </c>
      <c r="R3613" t="s">
        <v>29</v>
      </c>
      <c r="S3613" t="s">
        <v>30</v>
      </c>
      <c r="T3613">
        <v>1030651078</v>
      </c>
      <c r="U3613" t="s">
        <v>3965</v>
      </c>
      <c r="V3613" t="s">
        <v>3934</v>
      </c>
      <c r="W3613" s="9">
        <f>IF(V3613="pregrado",31,
IF(V3613="posgrados",31,
IF(V3613="rEINTEGROS",7,
IF(V3613="BIT",90,
IF(V3613="OP GRADO - INGLÉS",17,"")))))</f>
        <v>31</v>
      </c>
      <c r="X3613" t="s">
        <v>4085</v>
      </c>
    </row>
    <row r="3614" spans="1:24" ht="15" x14ac:dyDescent="0.35">
      <c r="A3614" s="4">
        <v>46066.511435185188</v>
      </c>
      <c r="B3614">
        <v>20123174</v>
      </c>
      <c r="C3614" s="6" t="s">
        <v>19</v>
      </c>
      <c r="D3614">
        <v>607076</v>
      </c>
      <c r="E3614" t="s">
        <v>20</v>
      </c>
      <c r="F3614">
        <v>40384408</v>
      </c>
      <c r="G3614" t="s">
        <v>3162</v>
      </c>
      <c r="H3614">
        <v>100243866</v>
      </c>
      <c r="I3614">
        <v>202631</v>
      </c>
      <c r="J3614">
        <v>1121925616</v>
      </c>
      <c r="K3614" t="s">
        <v>74</v>
      </c>
      <c r="L3614" t="s">
        <v>240</v>
      </c>
      <c r="M3614" t="s">
        <v>24</v>
      </c>
      <c r="N3614" t="s">
        <v>35</v>
      </c>
      <c r="O3614" t="s">
        <v>26</v>
      </c>
      <c r="P3614" t="s">
        <v>27</v>
      </c>
      <c r="Q3614" t="s">
        <v>28</v>
      </c>
      <c r="R3614" t="s">
        <v>29</v>
      </c>
      <c r="S3614" t="s">
        <v>30</v>
      </c>
      <c r="T3614">
        <v>52392617</v>
      </c>
      <c r="U3614" t="s">
        <v>3965</v>
      </c>
      <c r="V3614" t="s">
        <v>3934</v>
      </c>
      <c r="W3614" s="9">
        <f>IF(V3614="pregrado",31,
IF(V3614="posgrados",31,
IF(V3614="rEINTEGROS",7,
IF(V3614="BIT",90,
IF(V3614="OP GRADO - INGLÉS",17,"")))))</f>
        <v>31</v>
      </c>
      <c r="X3614" t="s">
        <v>4053</v>
      </c>
    </row>
    <row r="3615" spans="1:24" ht="15" x14ac:dyDescent="0.35">
      <c r="A3615" s="4">
        <v>46051.435150462959</v>
      </c>
      <c r="B3615">
        <v>20118372</v>
      </c>
      <c r="C3615" s="6" t="s">
        <v>19</v>
      </c>
      <c r="D3615">
        <v>607077</v>
      </c>
      <c r="E3615" t="s">
        <v>20</v>
      </c>
      <c r="F3615">
        <v>1060656402</v>
      </c>
      <c r="G3615" t="s">
        <v>2463</v>
      </c>
      <c r="H3615">
        <v>100243867</v>
      </c>
      <c r="I3615">
        <v>202631</v>
      </c>
      <c r="J3615">
        <v>1060656402</v>
      </c>
      <c r="K3615" t="s">
        <v>33</v>
      </c>
      <c r="L3615" t="s">
        <v>32</v>
      </c>
      <c r="M3615" t="s">
        <v>24</v>
      </c>
      <c r="N3615" t="s">
        <v>25</v>
      </c>
      <c r="O3615" t="s">
        <v>26</v>
      </c>
      <c r="P3615" t="s">
        <v>27</v>
      </c>
      <c r="Q3615" t="s">
        <v>28</v>
      </c>
      <c r="R3615" t="s">
        <v>29</v>
      </c>
      <c r="S3615" t="s">
        <v>30</v>
      </c>
      <c r="T3615">
        <v>10123971531</v>
      </c>
      <c r="U3615" t="s">
        <v>3944</v>
      </c>
      <c r="V3615" t="s">
        <v>3934</v>
      </c>
      <c r="W3615" s="9">
        <f>IF(V3615="pregrado",31,
IF(V3615="posgrados",31,
IF(V3615="rEINTEGROS",7,
IF(V3615="BIT",90,
IF(V3615="OP GRADO - INGLÉS",17,"")))))</f>
        <v>31</v>
      </c>
      <c r="X3615" t="s">
        <v>3943</v>
      </c>
    </row>
    <row r="3616" spans="1:24" ht="15" x14ac:dyDescent="0.35">
      <c r="A3616" s="4">
        <v>46049.682523148149</v>
      </c>
      <c r="B3616">
        <v>20117688</v>
      </c>
      <c r="C3616" s="6" t="s">
        <v>19</v>
      </c>
      <c r="D3616">
        <v>607081</v>
      </c>
      <c r="E3616" t="s">
        <v>20</v>
      </c>
      <c r="F3616">
        <v>72282656</v>
      </c>
      <c r="G3616" t="s">
        <v>2364</v>
      </c>
      <c r="H3616">
        <v>100243871</v>
      </c>
      <c r="I3616">
        <v>202631</v>
      </c>
      <c r="J3616">
        <v>1043128739</v>
      </c>
      <c r="K3616" t="s">
        <v>23</v>
      </c>
      <c r="L3616" t="s">
        <v>57</v>
      </c>
      <c r="M3616" t="s">
        <v>24</v>
      </c>
      <c r="N3616" t="s">
        <v>35</v>
      </c>
      <c r="O3616" t="s">
        <v>26</v>
      </c>
      <c r="P3616" t="s">
        <v>27</v>
      </c>
      <c r="Q3616" t="s">
        <v>28</v>
      </c>
      <c r="R3616" t="s">
        <v>29</v>
      </c>
      <c r="S3616" t="s">
        <v>30</v>
      </c>
      <c r="T3616">
        <v>1019115186</v>
      </c>
      <c r="U3616" t="s">
        <v>3941</v>
      </c>
      <c r="V3616" t="s">
        <v>3934</v>
      </c>
      <c r="W3616" s="9">
        <f>IF(V3616="pregrado",31,
IF(V3616="posgrados",31,
IF(V3616="rEINTEGROS",7,
IF(V3616="BIT",90,
IF(V3616="OP GRADO - INGLÉS",17,"")))))</f>
        <v>31</v>
      </c>
      <c r="X3616" t="s">
        <v>4005</v>
      </c>
    </row>
    <row r="3617" spans="1:24" ht="15" x14ac:dyDescent="0.35">
      <c r="A3617" s="4">
        <v>46051.449108796296</v>
      </c>
      <c r="B3617">
        <v>20118394</v>
      </c>
      <c r="C3617" s="6" t="s">
        <v>19</v>
      </c>
      <c r="D3617">
        <v>607094</v>
      </c>
      <c r="E3617" t="s">
        <v>20</v>
      </c>
      <c r="F3617">
        <v>79863910</v>
      </c>
      <c r="G3617" t="s">
        <v>2467</v>
      </c>
      <c r="H3617">
        <v>100243879</v>
      </c>
      <c r="I3617">
        <v>202631</v>
      </c>
      <c r="J3617">
        <v>1028492052</v>
      </c>
      <c r="K3617" t="s">
        <v>33</v>
      </c>
      <c r="L3617" t="s">
        <v>90</v>
      </c>
      <c r="M3617" t="s">
        <v>24</v>
      </c>
      <c r="N3617" t="s">
        <v>25</v>
      </c>
      <c r="O3617" t="s">
        <v>26</v>
      </c>
      <c r="P3617" t="s">
        <v>27</v>
      </c>
      <c r="Q3617" t="s">
        <v>28</v>
      </c>
      <c r="R3617" t="s">
        <v>29</v>
      </c>
      <c r="S3617" t="s">
        <v>30</v>
      </c>
      <c r="T3617">
        <v>1003690112</v>
      </c>
      <c r="U3617" t="s">
        <v>3933</v>
      </c>
      <c r="V3617" t="s">
        <v>3934</v>
      </c>
      <c r="W3617" s="9">
        <f>IF(V3617="pregrado",31,
IF(V3617="posgrados",31,
IF(V3617="rEINTEGROS",7,
IF(V3617="BIT",90,
IF(V3617="OP GRADO - INGLÉS",17,"")))))</f>
        <v>31</v>
      </c>
      <c r="X3617" t="s">
        <v>4061</v>
      </c>
    </row>
    <row r="3618" spans="1:24" ht="15" x14ac:dyDescent="0.35">
      <c r="A3618" s="4">
        <v>46050.570231481484</v>
      </c>
      <c r="B3618">
        <v>20117999</v>
      </c>
      <c r="C3618" s="6" t="s">
        <v>19</v>
      </c>
      <c r="D3618">
        <v>607105</v>
      </c>
      <c r="E3618" t="s">
        <v>20</v>
      </c>
      <c r="F3618">
        <v>19190561</v>
      </c>
      <c r="G3618" t="s">
        <v>2416</v>
      </c>
      <c r="H3618">
        <v>100243887</v>
      </c>
      <c r="I3618">
        <v>202611</v>
      </c>
      <c r="J3618">
        <v>1014997286</v>
      </c>
      <c r="K3618" t="s">
        <v>23</v>
      </c>
      <c r="L3618" t="s">
        <v>204</v>
      </c>
      <c r="M3618" t="s">
        <v>24</v>
      </c>
      <c r="N3618" t="s">
        <v>25</v>
      </c>
      <c r="O3618" t="s">
        <v>26</v>
      </c>
      <c r="P3618" t="s">
        <v>27</v>
      </c>
      <c r="Q3618" t="s">
        <v>28</v>
      </c>
      <c r="R3618" t="s">
        <v>29</v>
      </c>
      <c r="S3618" t="s">
        <v>30</v>
      </c>
      <c r="T3618">
        <v>53061994</v>
      </c>
      <c r="U3618" t="s">
        <v>3941</v>
      </c>
      <c r="V3618" t="s">
        <v>3934</v>
      </c>
      <c r="W3618" s="9">
        <f>IF(V3618="pregrado",31,
IF(V3618="posgrados",31,
IF(V3618="rEINTEGROS",7,
IF(V3618="BIT",90,
IF(V3618="OP GRADO - INGLÉS",17,"")))))</f>
        <v>31</v>
      </c>
      <c r="X3618" t="s">
        <v>3950</v>
      </c>
    </row>
    <row r="3619" spans="1:24" ht="15" x14ac:dyDescent="0.35">
      <c r="A3619" s="4">
        <v>46050.548449074071</v>
      </c>
      <c r="B3619">
        <v>20117983</v>
      </c>
      <c r="C3619" s="6" t="s">
        <v>19</v>
      </c>
      <c r="D3619">
        <v>607108</v>
      </c>
      <c r="E3619" t="s">
        <v>20</v>
      </c>
      <c r="F3619">
        <v>1001324065</v>
      </c>
      <c r="G3619" t="s">
        <v>2415</v>
      </c>
      <c r="H3619">
        <v>100243889</v>
      </c>
      <c r="I3619">
        <v>202631</v>
      </c>
      <c r="J3619">
        <v>1001324065</v>
      </c>
      <c r="K3619" t="s">
        <v>23</v>
      </c>
      <c r="L3619" t="s">
        <v>57</v>
      </c>
      <c r="M3619" t="s">
        <v>24</v>
      </c>
      <c r="N3619" t="s">
        <v>35</v>
      </c>
      <c r="O3619" t="s">
        <v>26</v>
      </c>
      <c r="P3619" t="s">
        <v>27</v>
      </c>
      <c r="Q3619" t="s">
        <v>28</v>
      </c>
      <c r="R3619" t="s">
        <v>29</v>
      </c>
      <c r="S3619" t="s">
        <v>30</v>
      </c>
      <c r="T3619">
        <v>1019115186</v>
      </c>
      <c r="U3619" t="s">
        <v>3941</v>
      </c>
      <c r="V3619" t="s">
        <v>3934</v>
      </c>
      <c r="W3619" s="9">
        <f>IF(V3619="pregrado",31,
IF(V3619="posgrados",31,
IF(V3619="rEINTEGROS",7,
IF(V3619="BIT",90,
IF(V3619="OP GRADO - INGLÉS",17,"")))))</f>
        <v>31</v>
      </c>
      <c r="X3619" t="s">
        <v>4005</v>
      </c>
    </row>
    <row r="3620" spans="1:24" ht="15" x14ac:dyDescent="0.35">
      <c r="A3620" s="4">
        <v>46051.668912037036</v>
      </c>
      <c r="B3620">
        <v>20118609</v>
      </c>
      <c r="C3620" s="6" t="s">
        <v>19</v>
      </c>
      <c r="D3620">
        <v>607114</v>
      </c>
      <c r="E3620" t="s">
        <v>20</v>
      </c>
      <c r="F3620">
        <v>33067784</v>
      </c>
      <c r="G3620" t="s">
        <v>2505</v>
      </c>
      <c r="H3620">
        <v>100243895</v>
      </c>
      <c r="I3620">
        <v>202610</v>
      </c>
      <c r="J3620">
        <v>1052968005</v>
      </c>
      <c r="K3620" t="s">
        <v>83</v>
      </c>
      <c r="L3620" t="s">
        <v>79</v>
      </c>
      <c r="M3620" t="s">
        <v>24</v>
      </c>
      <c r="N3620" t="s">
        <v>25</v>
      </c>
      <c r="O3620" t="s">
        <v>26</v>
      </c>
      <c r="P3620" t="s">
        <v>27</v>
      </c>
      <c r="Q3620" t="s">
        <v>28</v>
      </c>
      <c r="R3620" t="s">
        <v>29</v>
      </c>
      <c r="S3620" t="s">
        <v>30</v>
      </c>
      <c r="T3620">
        <v>10822473081</v>
      </c>
      <c r="U3620" t="s">
        <v>3965</v>
      </c>
      <c r="V3620" t="s">
        <v>3934</v>
      </c>
      <c r="W3620" s="9">
        <f>IF(V3620="pregrado",31,
IF(V3620="posgrados",31,
IF(V3620="rEINTEGROS",7,
IF(V3620="BIT",90,
IF(V3620="OP GRADO - INGLÉS",17,"")))))</f>
        <v>31</v>
      </c>
      <c r="X3620" t="s">
        <v>4007</v>
      </c>
    </row>
    <row r="3621" spans="1:24" ht="15" x14ac:dyDescent="0.35">
      <c r="A3621" s="4">
        <v>46050.525451388887</v>
      </c>
      <c r="B3621">
        <v>20117972</v>
      </c>
      <c r="C3621" s="6" t="s">
        <v>19</v>
      </c>
      <c r="D3621">
        <v>607125</v>
      </c>
      <c r="E3621" t="s">
        <v>20</v>
      </c>
      <c r="F3621">
        <v>71055244</v>
      </c>
      <c r="G3621" t="s">
        <v>2412</v>
      </c>
      <c r="H3621">
        <v>100243903</v>
      </c>
      <c r="I3621">
        <v>202611</v>
      </c>
      <c r="J3621">
        <v>1015332872</v>
      </c>
      <c r="K3621" t="s">
        <v>23</v>
      </c>
      <c r="L3621" t="s">
        <v>204</v>
      </c>
      <c r="M3621" t="s">
        <v>24</v>
      </c>
      <c r="N3621" t="s">
        <v>35</v>
      </c>
      <c r="O3621" t="s">
        <v>26</v>
      </c>
      <c r="P3621" t="s">
        <v>27</v>
      </c>
      <c r="Q3621" t="s">
        <v>28</v>
      </c>
      <c r="R3621" t="s">
        <v>29</v>
      </c>
      <c r="S3621" t="s">
        <v>30</v>
      </c>
      <c r="T3621">
        <v>80219471</v>
      </c>
      <c r="U3621" t="s">
        <v>3941</v>
      </c>
      <c r="V3621" t="s">
        <v>3934</v>
      </c>
      <c r="W3621" s="9">
        <f>IF(V3621="pregrado",31,
IF(V3621="posgrados",31,
IF(V3621="rEINTEGROS",7,
IF(V3621="BIT",90,
IF(V3621="OP GRADO - INGLÉS",17,"")))))</f>
        <v>31</v>
      </c>
      <c r="X3621" t="s">
        <v>4030</v>
      </c>
    </row>
    <row r="3622" spans="1:24" ht="15" x14ac:dyDescent="0.35">
      <c r="A3622" s="4">
        <v>46063.668217592596</v>
      </c>
      <c r="B3622">
        <v>20122142</v>
      </c>
      <c r="C3622" s="6" t="s">
        <v>19</v>
      </c>
      <c r="D3622">
        <v>607148</v>
      </c>
      <c r="E3622" t="s">
        <v>20</v>
      </c>
      <c r="F3622">
        <v>1117547601</v>
      </c>
      <c r="G3622" t="s">
        <v>3000</v>
      </c>
      <c r="H3622">
        <v>100206696</v>
      </c>
      <c r="I3622">
        <v>202631</v>
      </c>
      <c r="J3622">
        <v>1117547601</v>
      </c>
      <c r="K3622" t="s">
        <v>33</v>
      </c>
      <c r="L3622" t="s">
        <v>32</v>
      </c>
      <c r="M3622" t="s">
        <v>24</v>
      </c>
      <c r="N3622" t="s">
        <v>25</v>
      </c>
      <c r="O3622" t="s">
        <v>26</v>
      </c>
      <c r="P3622" t="s">
        <v>27</v>
      </c>
      <c r="Q3622" t="s">
        <v>28</v>
      </c>
      <c r="R3622" t="s">
        <v>29</v>
      </c>
      <c r="S3622" t="s">
        <v>30</v>
      </c>
      <c r="T3622">
        <v>10123971531</v>
      </c>
      <c r="U3622" t="s">
        <v>3944</v>
      </c>
      <c r="V3622" t="s">
        <v>3934</v>
      </c>
      <c r="W3622" s="9">
        <f>IF(V3622="pregrado",31,
IF(V3622="posgrados",31,
IF(V3622="rEINTEGROS",7,
IF(V3622="BIT",90,
IF(V3622="OP GRADO - INGLÉS",17,"")))))</f>
        <v>31</v>
      </c>
      <c r="X3622" t="s">
        <v>3943</v>
      </c>
    </row>
    <row r="3623" spans="1:24" ht="15" x14ac:dyDescent="0.35">
      <c r="A3623" s="4">
        <v>46052.524699074071</v>
      </c>
      <c r="B3623">
        <v>20118919</v>
      </c>
      <c r="C3623" s="6" t="s">
        <v>19</v>
      </c>
      <c r="D3623">
        <v>607159</v>
      </c>
      <c r="E3623" t="s">
        <v>20</v>
      </c>
      <c r="F3623">
        <v>1148697316</v>
      </c>
      <c r="G3623" t="s">
        <v>2557</v>
      </c>
      <c r="H3623">
        <v>100243938</v>
      </c>
      <c r="I3623">
        <v>202631</v>
      </c>
      <c r="J3623">
        <v>1148697316</v>
      </c>
      <c r="K3623" t="s">
        <v>23</v>
      </c>
      <c r="L3623" t="s">
        <v>90</v>
      </c>
      <c r="M3623" t="s">
        <v>24</v>
      </c>
      <c r="N3623" t="s">
        <v>35</v>
      </c>
      <c r="O3623" t="s">
        <v>26</v>
      </c>
      <c r="P3623" t="s">
        <v>27</v>
      </c>
      <c r="Q3623" t="s">
        <v>28</v>
      </c>
      <c r="R3623" t="s">
        <v>29</v>
      </c>
      <c r="S3623" t="s">
        <v>30</v>
      </c>
      <c r="T3623">
        <v>1013595695</v>
      </c>
      <c r="U3623" t="s">
        <v>3933</v>
      </c>
      <c r="V3623" t="s">
        <v>3934</v>
      </c>
      <c r="W3623" s="9">
        <f>IF(V3623="pregrado",31,
IF(V3623="posgrados",31,
IF(V3623="rEINTEGROS",7,
IF(V3623="BIT",90,
IF(V3623="OP GRADO - INGLÉS",17,"")))))</f>
        <v>31</v>
      </c>
      <c r="X3623" t="s">
        <v>3990</v>
      </c>
    </row>
    <row r="3624" spans="1:24" ht="15" x14ac:dyDescent="0.35">
      <c r="A3624" s="4">
        <v>46050.443715277775</v>
      </c>
      <c r="B3624">
        <v>20117890</v>
      </c>
      <c r="C3624" s="6" t="s">
        <v>19</v>
      </c>
      <c r="D3624">
        <v>607167</v>
      </c>
      <c r="E3624" t="s">
        <v>20</v>
      </c>
      <c r="F3624">
        <v>53147366</v>
      </c>
      <c r="G3624" t="s">
        <v>2394</v>
      </c>
      <c r="H3624">
        <v>100243943</v>
      </c>
      <c r="I3624">
        <v>202631</v>
      </c>
      <c r="J3624">
        <v>53147366</v>
      </c>
      <c r="K3624" t="s">
        <v>74</v>
      </c>
      <c r="L3624" t="s">
        <v>240</v>
      </c>
      <c r="M3624" t="s">
        <v>24</v>
      </c>
      <c r="N3624" t="s">
        <v>35</v>
      </c>
      <c r="O3624" t="s">
        <v>26</v>
      </c>
      <c r="P3624" t="s">
        <v>27</v>
      </c>
      <c r="Q3624" t="s">
        <v>28</v>
      </c>
      <c r="R3624" t="s">
        <v>29</v>
      </c>
      <c r="S3624" t="s">
        <v>30</v>
      </c>
      <c r="T3624">
        <v>10822473081</v>
      </c>
      <c r="U3624" t="s">
        <v>3965</v>
      </c>
      <c r="V3624" t="s">
        <v>3934</v>
      </c>
      <c r="W3624" s="9">
        <f>IF(V3624="pregrado",31,
IF(V3624="posgrados",31,
IF(V3624="rEINTEGROS",7,
IF(V3624="BIT",90,
IF(V3624="OP GRADO - INGLÉS",17,"")))))</f>
        <v>31</v>
      </c>
      <c r="X3624" t="s">
        <v>4007</v>
      </c>
    </row>
    <row r="3625" spans="1:24" ht="15" x14ac:dyDescent="0.35">
      <c r="A3625" s="4">
        <v>46066.561759259261</v>
      </c>
      <c r="B3625">
        <v>20123199</v>
      </c>
      <c r="C3625" s="6" t="s">
        <v>19</v>
      </c>
      <c r="D3625">
        <v>607170</v>
      </c>
      <c r="E3625" t="s">
        <v>20</v>
      </c>
      <c r="F3625">
        <v>1033702893</v>
      </c>
      <c r="G3625" t="s">
        <v>3165</v>
      </c>
      <c r="H3625">
        <v>100243947</v>
      </c>
      <c r="I3625">
        <v>202631</v>
      </c>
      <c r="J3625">
        <v>1033702893</v>
      </c>
      <c r="K3625" t="s">
        <v>33</v>
      </c>
      <c r="L3625" t="s">
        <v>240</v>
      </c>
      <c r="M3625" t="s">
        <v>24</v>
      </c>
      <c r="N3625" t="s">
        <v>605</v>
      </c>
      <c r="O3625" t="s">
        <v>26</v>
      </c>
      <c r="P3625" t="s">
        <v>27</v>
      </c>
      <c r="Q3625" t="s">
        <v>28</v>
      </c>
      <c r="R3625" t="s">
        <v>29</v>
      </c>
      <c r="S3625" t="s">
        <v>30</v>
      </c>
      <c r="T3625">
        <v>10822473081</v>
      </c>
      <c r="U3625" t="s">
        <v>3965</v>
      </c>
      <c r="V3625" t="s">
        <v>3934</v>
      </c>
      <c r="W3625" s="9">
        <f>IF(V3625="pregrado",31,
IF(V3625="posgrados",31,
IF(V3625="rEINTEGROS",7,
IF(V3625="BIT",90,
IF(V3625="OP GRADO - INGLÉS",17,"")))))</f>
        <v>31</v>
      </c>
      <c r="X3625" t="s">
        <v>4007</v>
      </c>
    </row>
    <row r="3626" spans="1:24" ht="15" x14ac:dyDescent="0.35">
      <c r="A3626" s="4">
        <v>46050.494953703703</v>
      </c>
      <c r="B3626">
        <v>20117936</v>
      </c>
      <c r="C3626" s="6" t="s">
        <v>19</v>
      </c>
      <c r="D3626">
        <v>607184</v>
      </c>
      <c r="E3626" t="s">
        <v>20</v>
      </c>
      <c r="F3626">
        <v>1002848090</v>
      </c>
      <c r="G3626" t="s">
        <v>2403</v>
      </c>
      <c r="H3626">
        <v>100243967</v>
      </c>
      <c r="I3626">
        <v>202631</v>
      </c>
      <c r="J3626">
        <v>1002848090</v>
      </c>
      <c r="K3626" t="s">
        <v>33</v>
      </c>
      <c r="L3626" t="s">
        <v>127</v>
      </c>
      <c r="M3626" t="s">
        <v>24</v>
      </c>
      <c r="N3626" t="s">
        <v>25</v>
      </c>
      <c r="O3626" t="s">
        <v>26</v>
      </c>
      <c r="P3626" t="s">
        <v>27</v>
      </c>
      <c r="Q3626" t="s">
        <v>28</v>
      </c>
      <c r="R3626" t="s">
        <v>29</v>
      </c>
      <c r="S3626" t="s">
        <v>30</v>
      </c>
      <c r="T3626">
        <v>1007473661</v>
      </c>
      <c r="U3626" t="s">
        <v>3933</v>
      </c>
      <c r="V3626" t="s">
        <v>3934</v>
      </c>
      <c r="W3626" s="9">
        <f>IF(V3626="pregrado",31,
IF(V3626="posgrados",31,
IF(V3626="rEINTEGROS",7,
IF(V3626="BIT",90,
IF(V3626="OP GRADO - INGLÉS",17,"")))))</f>
        <v>31</v>
      </c>
      <c r="X3626" t="s">
        <v>4058</v>
      </c>
    </row>
    <row r="3627" spans="1:24" ht="15" x14ac:dyDescent="0.35">
      <c r="A3627" s="4">
        <v>46050.478807870371</v>
      </c>
      <c r="B3627">
        <v>20117923</v>
      </c>
      <c r="C3627" s="6" t="s">
        <v>19</v>
      </c>
      <c r="D3627">
        <v>607191</v>
      </c>
      <c r="E3627" t="s">
        <v>20</v>
      </c>
      <c r="F3627">
        <v>52880377</v>
      </c>
      <c r="G3627" t="s">
        <v>2400</v>
      </c>
      <c r="H3627">
        <v>100243975</v>
      </c>
      <c r="I3627">
        <v>202631</v>
      </c>
      <c r="J3627">
        <v>1013124959</v>
      </c>
      <c r="K3627" t="s">
        <v>23</v>
      </c>
      <c r="L3627" t="s">
        <v>219</v>
      </c>
      <c r="M3627" t="s">
        <v>24</v>
      </c>
      <c r="N3627" t="s">
        <v>35</v>
      </c>
      <c r="O3627" t="s">
        <v>26</v>
      </c>
      <c r="P3627" t="s">
        <v>27</v>
      </c>
      <c r="Q3627" t="s">
        <v>28</v>
      </c>
      <c r="R3627" t="s">
        <v>29</v>
      </c>
      <c r="S3627" t="s">
        <v>30</v>
      </c>
      <c r="T3627">
        <v>1014273794</v>
      </c>
      <c r="U3627" t="s">
        <v>3939</v>
      </c>
      <c r="V3627" t="s">
        <v>3934</v>
      </c>
      <c r="W3627" s="9">
        <f>IF(V3627="pregrado",31,
IF(V3627="posgrados",31,
IF(V3627="rEINTEGROS",7,
IF(V3627="BIT",90,
IF(V3627="OP GRADO - INGLÉS",17,"")))))</f>
        <v>31</v>
      </c>
      <c r="X3627" t="s">
        <v>4004</v>
      </c>
    </row>
    <row r="3628" spans="1:24" ht="15" x14ac:dyDescent="0.35">
      <c r="A3628" s="4">
        <v>46055.459409722222</v>
      </c>
      <c r="B3628">
        <v>20119540</v>
      </c>
      <c r="C3628" s="6" t="s">
        <v>19</v>
      </c>
      <c r="D3628">
        <v>607200</v>
      </c>
      <c r="E3628" t="s">
        <v>20</v>
      </c>
      <c r="F3628">
        <v>1005778006</v>
      </c>
      <c r="G3628" t="s">
        <v>2646</v>
      </c>
      <c r="H3628">
        <v>100243986</v>
      </c>
      <c r="I3628">
        <v>202631</v>
      </c>
      <c r="J3628">
        <v>1106307223</v>
      </c>
      <c r="K3628" t="s">
        <v>23</v>
      </c>
      <c r="L3628" t="s">
        <v>51</v>
      </c>
      <c r="M3628" t="s">
        <v>24</v>
      </c>
      <c r="N3628" t="s">
        <v>25</v>
      </c>
      <c r="O3628" t="s">
        <v>26</v>
      </c>
      <c r="P3628" t="s">
        <v>27</v>
      </c>
      <c r="Q3628" t="s">
        <v>28</v>
      </c>
      <c r="R3628" t="s">
        <v>29</v>
      </c>
      <c r="S3628" t="s">
        <v>30</v>
      </c>
      <c r="T3628">
        <v>1013662799</v>
      </c>
      <c r="U3628" t="s">
        <v>3965</v>
      </c>
      <c r="V3628" t="s">
        <v>3934</v>
      </c>
      <c r="W3628" s="9">
        <f>IF(V3628="pregrado",31,
IF(V3628="posgrados",31,
IF(V3628="rEINTEGROS",7,
IF(V3628="BIT",90,
IF(V3628="OP GRADO - INGLÉS",17,"")))))</f>
        <v>31</v>
      </c>
      <c r="X3628" t="s">
        <v>4021</v>
      </c>
    </row>
    <row r="3629" spans="1:24" ht="15" x14ac:dyDescent="0.35">
      <c r="A3629" s="4">
        <v>46050.50273148148</v>
      </c>
      <c r="B3629">
        <v>20117949</v>
      </c>
      <c r="C3629" s="6" t="s">
        <v>19</v>
      </c>
      <c r="D3629">
        <v>607210</v>
      </c>
      <c r="E3629" t="s">
        <v>20</v>
      </c>
      <c r="F3629">
        <v>80145452</v>
      </c>
      <c r="G3629" t="s">
        <v>2406</v>
      </c>
      <c r="H3629">
        <v>100243992</v>
      </c>
      <c r="I3629">
        <v>202631</v>
      </c>
      <c r="J3629">
        <v>80145452</v>
      </c>
      <c r="K3629" t="s">
        <v>23</v>
      </c>
      <c r="L3629" t="s">
        <v>127</v>
      </c>
      <c r="M3629" t="s">
        <v>24</v>
      </c>
      <c r="N3629" t="s">
        <v>35</v>
      </c>
      <c r="O3629" t="s">
        <v>26</v>
      </c>
      <c r="P3629" t="s">
        <v>27</v>
      </c>
      <c r="Q3629" t="s">
        <v>28</v>
      </c>
      <c r="R3629" t="s">
        <v>29</v>
      </c>
      <c r="S3629" t="s">
        <v>30</v>
      </c>
      <c r="T3629">
        <v>1007473661</v>
      </c>
      <c r="U3629" t="s">
        <v>3933</v>
      </c>
      <c r="V3629" t="s">
        <v>3934</v>
      </c>
      <c r="W3629" s="9">
        <f>IF(V3629="pregrado",31,
IF(V3629="posgrados",31,
IF(V3629="rEINTEGROS",7,
IF(V3629="BIT",90,
IF(V3629="OP GRADO - INGLÉS",17,"")))))</f>
        <v>31</v>
      </c>
      <c r="X3629" t="s">
        <v>4058</v>
      </c>
    </row>
    <row r="3630" spans="1:24" ht="15" x14ac:dyDescent="0.35">
      <c r="A3630" s="4">
        <v>46051.579733796294</v>
      </c>
      <c r="B3630">
        <v>20118498</v>
      </c>
      <c r="C3630" s="6" t="s">
        <v>19</v>
      </c>
      <c r="D3630">
        <v>607212</v>
      </c>
      <c r="E3630" t="s">
        <v>20</v>
      </c>
      <c r="F3630">
        <v>1123635153</v>
      </c>
      <c r="G3630" t="s">
        <v>2488</v>
      </c>
      <c r="H3630">
        <v>100243994</v>
      </c>
      <c r="I3630">
        <v>202631</v>
      </c>
      <c r="J3630">
        <v>1123635153</v>
      </c>
      <c r="K3630" t="s">
        <v>23</v>
      </c>
      <c r="L3630" t="s">
        <v>65</v>
      </c>
      <c r="M3630" t="s">
        <v>24</v>
      </c>
      <c r="N3630" t="s">
        <v>25</v>
      </c>
      <c r="O3630" t="s">
        <v>26</v>
      </c>
      <c r="P3630" t="s">
        <v>27</v>
      </c>
      <c r="Q3630" t="s">
        <v>28</v>
      </c>
      <c r="R3630" t="s">
        <v>29</v>
      </c>
      <c r="S3630" t="s">
        <v>30</v>
      </c>
      <c r="T3630">
        <v>1015441103</v>
      </c>
      <c r="U3630" t="s">
        <v>3933</v>
      </c>
      <c r="V3630" t="s">
        <v>3934</v>
      </c>
      <c r="W3630" s="9">
        <f>IF(V3630="pregrado",31,
IF(V3630="posgrados",31,
IF(V3630="rEINTEGROS",7,
IF(V3630="BIT",90,
IF(V3630="OP GRADO - INGLÉS",17,"")))))</f>
        <v>31</v>
      </c>
      <c r="X3630" t="s">
        <v>3961</v>
      </c>
    </row>
    <row r="3631" spans="1:24" ht="15" x14ac:dyDescent="0.35">
      <c r="A3631" s="4">
        <v>46055.49523148148</v>
      </c>
      <c r="B3631">
        <v>20119571</v>
      </c>
      <c r="C3631" s="6" t="s">
        <v>19</v>
      </c>
      <c r="D3631">
        <v>607224</v>
      </c>
      <c r="E3631" t="s">
        <v>20</v>
      </c>
      <c r="F3631">
        <v>52440268</v>
      </c>
      <c r="G3631" t="s">
        <v>2648</v>
      </c>
      <c r="H3631">
        <v>100244010</v>
      </c>
      <c r="I3631">
        <v>202610</v>
      </c>
      <c r="J3631">
        <v>1028783873</v>
      </c>
      <c r="K3631" t="s">
        <v>23</v>
      </c>
      <c r="L3631" t="s">
        <v>40</v>
      </c>
      <c r="M3631" t="s">
        <v>24</v>
      </c>
      <c r="N3631" t="s">
        <v>38</v>
      </c>
      <c r="O3631" t="s">
        <v>26</v>
      </c>
      <c r="P3631" t="s">
        <v>27</v>
      </c>
      <c r="Q3631" t="s">
        <v>28</v>
      </c>
      <c r="R3631" t="s">
        <v>29</v>
      </c>
      <c r="S3631" t="s">
        <v>30</v>
      </c>
      <c r="T3631">
        <v>1010081108</v>
      </c>
      <c r="U3631" t="s">
        <v>3941</v>
      </c>
      <c r="V3631" t="s">
        <v>3934</v>
      </c>
      <c r="W3631" s="9">
        <f>IF(V3631="pregrado",31,
IF(V3631="posgrados",31,
IF(V3631="rEINTEGROS",7,
IF(V3631="BIT",90,
IF(V3631="OP GRADO - INGLÉS",17,"")))))</f>
        <v>31</v>
      </c>
      <c r="X3631" t="s">
        <v>4009</v>
      </c>
    </row>
    <row r="3632" spans="1:24" ht="15" x14ac:dyDescent="0.35">
      <c r="A3632" s="4">
        <v>46052.666759259257</v>
      </c>
      <c r="B3632">
        <v>20119044</v>
      </c>
      <c r="C3632" s="6" t="s">
        <v>19</v>
      </c>
      <c r="D3632">
        <v>607240</v>
      </c>
      <c r="E3632" t="s">
        <v>20</v>
      </c>
      <c r="F3632">
        <v>1010064327</v>
      </c>
      <c r="G3632" t="s">
        <v>2572</v>
      </c>
      <c r="H3632">
        <v>100244033</v>
      </c>
      <c r="I3632">
        <v>202631</v>
      </c>
      <c r="J3632">
        <v>1010064327</v>
      </c>
      <c r="K3632" t="s">
        <v>33</v>
      </c>
      <c r="L3632" t="s">
        <v>32</v>
      </c>
      <c r="M3632" t="s">
        <v>24</v>
      </c>
      <c r="N3632" t="s">
        <v>35</v>
      </c>
      <c r="O3632" t="s">
        <v>26</v>
      </c>
      <c r="P3632" t="s">
        <v>27</v>
      </c>
      <c r="Q3632" t="s">
        <v>28</v>
      </c>
      <c r="R3632" t="s">
        <v>29</v>
      </c>
      <c r="S3632" t="s">
        <v>30</v>
      </c>
      <c r="T3632">
        <v>1015482247</v>
      </c>
      <c r="U3632" t="s">
        <v>3944</v>
      </c>
      <c r="V3632" t="s">
        <v>3934</v>
      </c>
      <c r="W3632" s="9">
        <f>IF(V3632="pregrado",31,
IF(V3632="posgrados",31,
IF(V3632="rEINTEGROS",7,
IF(V3632="BIT",90,
IF(V3632="OP GRADO - INGLÉS",17,"")))))</f>
        <v>31</v>
      </c>
      <c r="X3632" t="s">
        <v>3984</v>
      </c>
    </row>
    <row r="3633" spans="1:24" ht="15" x14ac:dyDescent="0.35">
      <c r="A3633" s="4">
        <v>46050.706006944441</v>
      </c>
      <c r="B3633">
        <v>20118166</v>
      </c>
      <c r="C3633" s="6" t="s">
        <v>19</v>
      </c>
      <c r="D3633">
        <v>607244</v>
      </c>
      <c r="E3633" t="s">
        <v>20</v>
      </c>
      <c r="F3633">
        <v>1014194871</v>
      </c>
      <c r="G3633" t="s">
        <v>2436</v>
      </c>
      <c r="H3633">
        <v>100244038</v>
      </c>
      <c r="I3633">
        <v>202610</v>
      </c>
      <c r="J3633">
        <v>1014194871</v>
      </c>
      <c r="K3633" t="s">
        <v>23</v>
      </c>
      <c r="L3633" t="s">
        <v>40</v>
      </c>
      <c r="M3633" t="s">
        <v>24</v>
      </c>
      <c r="N3633" t="s">
        <v>35</v>
      </c>
      <c r="O3633" t="s">
        <v>26</v>
      </c>
      <c r="P3633" t="s">
        <v>27</v>
      </c>
      <c r="Q3633" t="s">
        <v>28</v>
      </c>
      <c r="R3633" t="s">
        <v>29</v>
      </c>
      <c r="S3633" t="s">
        <v>30</v>
      </c>
      <c r="T3633">
        <v>1023000938</v>
      </c>
      <c r="U3633" t="s">
        <v>3941</v>
      </c>
      <c r="V3633" t="s">
        <v>3934</v>
      </c>
      <c r="W3633" s="9">
        <f>IF(V3633="pregrado",31,
IF(V3633="posgrados",31,
IF(V3633="rEINTEGROS",7,
IF(V3633="BIT",90,
IF(V3633="OP GRADO - INGLÉS",17,"")))))</f>
        <v>31</v>
      </c>
      <c r="X3633" t="s">
        <v>3989</v>
      </c>
    </row>
    <row r="3634" spans="1:24" ht="15" x14ac:dyDescent="0.35">
      <c r="A3634" s="4">
        <v>46050.663553240738</v>
      </c>
      <c r="B3634">
        <v>20118103</v>
      </c>
      <c r="C3634" s="6" t="s">
        <v>19</v>
      </c>
      <c r="D3634">
        <v>607245</v>
      </c>
      <c r="E3634" t="s">
        <v>20</v>
      </c>
      <c r="F3634">
        <v>40765669</v>
      </c>
      <c r="G3634" t="s">
        <v>2425</v>
      </c>
      <c r="H3634">
        <v>100244039</v>
      </c>
      <c r="I3634">
        <v>202631</v>
      </c>
      <c r="J3634">
        <v>1006539266</v>
      </c>
      <c r="K3634" t="s">
        <v>23</v>
      </c>
      <c r="L3634" t="s">
        <v>240</v>
      </c>
      <c r="M3634" t="s">
        <v>24</v>
      </c>
      <c r="N3634" t="s">
        <v>35</v>
      </c>
      <c r="O3634" t="s">
        <v>26</v>
      </c>
      <c r="P3634" t="s">
        <v>27</v>
      </c>
      <c r="Q3634" t="s">
        <v>28</v>
      </c>
      <c r="R3634" t="s">
        <v>29</v>
      </c>
      <c r="S3634" t="s">
        <v>30</v>
      </c>
      <c r="T3634">
        <v>53006215</v>
      </c>
      <c r="U3634" t="s">
        <v>3965</v>
      </c>
      <c r="V3634" t="s">
        <v>3934</v>
      </c>
      <c r="W3634" s="9">
        <f>IF(V3634="pregrado",31,
IF(V3634="posgrados",31,
IF(V3634="rEINTEGROS",7,
IF(V3634="BIT",90,
IF(V3634="OP GRADO - INGLÉS",17,"")))))</f>
        <v>31</v>
      </c>
      <c r="X3634" t="s">
        <v>4042</v>
      </c>
    </row>
    <row r="3635" spans="1:24" ht="15" x14ac:dyDescent="0.35">
      <c r="A3635" s="4">
        <v>46050.614074074074</v>
      </c>
      <c r="B3635">
        <v>20118042</v>
      </c>
      <c r="C3635" s="6" t="s">
        <v>19</v>
      </c>
      <c r="D3635">
        <v>607246</v>
      </c>
      <c r="E3635" t="s">
        <v>20</v>
      </c>
      <c r="F3635">
        <v>1001158786</v>
      </c>
      <c r="G3635" t="s">
        <v>2419</v>
      </c>
      <c r="H3635">
        <v>100054051</v>
      </c>
      <c r="I3635">
        <v>202631</v>
      </c>
      <c r="J3635">
        <v>1001158786</v>
      </c>
      <c r="K3635" t="s">
        <v>33</v>
      </c>
      <c r="L3635" t="s">
        <v>101</v>
      </c>
      <c r="M3635" t="s">
        <v>24</v>
      </c>
      <c r="N3635" t="s">
        <v>35</v>
      </c>
      <c r="O3635" t="s">
        <v>26</v>
      </c>
      <c r="P3635" t="s">
        <v>27</v>
      </c>
      <c r="Q3635" t="s">
        <v>28</v>
      </c>
      <c r="R3635" t="s">
        <v>29</v>
      </c>
      <c r="S3635" t="s">
        <v>30</v>
      </c>
      <c r="T3635">
        <v>79635092</v>
      </c>
      <c r="U3635" t="s">
        <v>3963</v>
      </c>
      <c r="V3635" t="s">
        <v>3934</v>
      </c>
      <c r="W3635" s="9">
        <f>IF(V3635="pregrado",31,
IF(V3635="posgrados",31,
IF(V3635="rEINTEGROS",7,
IF(V3635="BIT",90,
IF(V3635="OP GRADO - INGLÉS",17,"")))))</f>
        <v>31</v>
      </c>
      <c r="X3635" t="s">
        <v>4079</v>
      </c>
    </row>
    <row r="3636" spans="1:24" ht="15" x14ac:dyDescent="0.35">
      <c r="A3636" s="4">
        <v>46050.786585648151</v>
      </c>
      <c r="B3636">
        <v>20118234</v>
      </c>
      <c r="C3636" s="6" t="s">
        <v>19</v>
      </c>
      <c r="D3636">
        <v>607251</v>
      </c>
      <c r="E3636" t="s">
        <v>20</v>
      </c>
      <c r="F3636">
        <v>1007790485</v>
      </c>
      <c r="G3636" t="s">
        <v>2442</v>
      </c>
      <c r="H3636">
        <v>100244043</v>
      </c>
      <c r="I3636">
        <v>202611</v>
      </c>
      <c r="J3636">
        <v>1007790485</v>
      </c>
      <c r="K3636" t="s">
        <v>23</v>
      </c>
      <c r="L3636" t="s">
        <v>204</v>
      </c>
      <c r="M3636" t="s">
        <v>24</v>
      </c>
      <c r="N3636" t="s">
        <v>35</v>
      </c>
      <c r="O3636" t="s">
        <v>26</v>
      </c>
      <c r="P3636" t="s">
        <v>27</v>
      </c>
      <c r="Q3636" t="s">
        <v>28</v>
      </c>
      <c r="R3636" t="s">
        <v>29</v>
      </c>
      <c r="S3636" t="s">
        <v>30</v>
      </c>
      <c r="T3636">
        <v>1010081108</v>
      </c>
      <c r="U3636" t="s">
        <v>3941</v>
      </c>
      <c r="V3636" t="s">
        <v>3934</v>
      </c>
      <c r="W3636" s="9">
        <f>IF(V3636="pregrado",31,
IF(V3636="posgrados",31,
IF(V3636="rEINTEGROS",7,
IF(V3636="BIT",90,
IF(V3636="OP GRADO - INGLÉS",17,"")))))</f>
        <v>31</v>
      </c>
      <c r="X3636" t="s">
        <v>4009</v>
      </c>
    </row>
    <row r="3637" spans="1:24" ht="15" x14ac:dyDescent="0.35">
      <c r="A3637" s="4">
        <v>46052.37903935185</v>
      </c>
      <c r="B3637">
        <v>20118770</v>
      </c>
      <c r="C3637" s="6" t="s">
        <v>19</v>
      </c>
      <c r="D3637">
        <v>607256</v>
      </c>
      <c r="E3637" t="s">
        <v>20</v>
      </c>
      <c r="F3637">
        <v>1141114827</v>
      </c>
      <c r="G3637" t="s">
        <v>2533</v>
      </c>
      <c r="H3637">
        <v>100220867</v>
      </c>
      <c r="I3637">
        <v>202631</v>
      </c>
      <c r="J3637">
        <v>1141114827</v>
      </c>
      <c r="K3637" t="s">
        <v>23</v>
      </c>
      <c r="L3637" t="s">
        <v>231</v>
      </c>
      <c r="M3637" t="s">
        <v>24</v>
      </c>
      <c r="N3637" t="s">
        <v>35</v>
      </c>
      <c r="O3637" t="s">
        <v>26</v>
      </c>
      <c r="P3637" t="s">
        <v>27</v>
      </c>
      <c r="Q3637" t="s">
        <v>28</v>
      </c>
      <c r="R3637" t="s">
        <v>29</v>
      </c>
      <c r="S3637" t="s">
        <v>30</v>
      </c>
      <c r="T3637">
        <v>1070815435</v>
      </c>
      <c r="U3637" t="s">
        <v>3986</v>
      </c>
      <c r="V3637" t="s">
        <v>3934</v>
      </c>
      <c r="W3637" s="9">
        <f>IF(V3637="pregrado",31,
IF(V3637="posgrados",31,
IF(V3637="rEINTEGROS",7,
IF(V3637="BIT",90,
IF(V3637="OP GRADO - INGLÉS",17,"")))))</f>
        <v>31</v>
      </c>
      <c r="X3637" t="s">
        <v>4038</v>
      </c>
    </row>
    <row r="3638" spans="1:24" ht="15" x14ac:dyDescent="0.35">
      <c r="A3638" s="4">
        <v>46065.521539351852</v>
      </c>
      <c r="B3638">
        <v>20122790</v>
      </c>
      <c r="C3638" s="6" t="s">
        <v>19</v>
      </c>
      <c r="D3638">
        <v>607268</v>
      </c>
      <c r="E3638" t="s">
        <v>20</v>
      </c>
      <c r="F3638">
        <v>1113696145</v>
      </c>
      <c r="G3638" t="s">
        <v>3090</v>
      </c>
      <c r="H3638">
        <v>100244052</v>
      </c>
      <c r="I3638">
        <v>202631</v>
      </c>
      <c r="J3638">
        <v>1113696145</v>
      </c>
      <c r="K3638" t="s">
        <v>33</v>
      </c>
      <c r="L3638" t="s">
        <v>127</v>
      </c>
      <c r="M3638" t="s">
        <v>24</v>
      </c>
      <c r="N3638" t="s">
        <v>25</v>
      </c>
      <c r="O3638" t="s">
        <v>26</v>
      </c>
      <c r="P3638" t="s">
        <v>27</v>
      </c>
      <c r="Q3638" t="s">
        <v>28</v>
      </c>
      <c r="R3638" t="s">
        <v>29</v>
      </c>
      <c r="S3638" t="s">
        <v>30</v>
      </c>
      <c r="T3638">
        <v>1026299972</v>
      </c>
      <c r="U3638" t="s">
        <v>3933</v>
      </c>
      <c r="V3638" t="s">
        <v>3934</v>
      </c>
      <c r="W3638" s="9">
        <f>IF(V3638="pregrado",31,
IF(V3638="posgrados",31,
IF(V3638="rEINTEGROS",7,
IF(V3638="BIT",90,
IF(V3638="OP GRADO - INGLÉS",17,"")))))</f>
        <v>31</v>
      </c>
      <c r="X3638" t="s">
        <v>4052</v>
      </c>
    </row>
    <row r="3639" spans="1:24" ht="15" x14ac:dyDescent="0.35">
      <c r="A3639" s="4">
        <v>46051.521793981483</v>
      </c>
      <c r="B3639">
        <v>20118470</v>
      </c>
      <c r="C3639" s="6" t="s">
        <v>19</v>
      </c>
      <c r="D3639">
        <v>607271</v>
      </c>
      <c r="E3639" t="s">
        <v>20</v>
      </c>
      <c r="F3639">
        <v>1085040613</v>
      </c>
      <c r="G3639" t="s">
        <v>2483</v>
      </c>
      <c r="H3639">
        <v>200086537</v>
      </c>
      <c r="I3639">
        <v>202631</v>
      </c>
      <c r="J3639">
        <v>1050396592</v>
      </c>
      <c r="K3639" t="s">
        <v>23</v>
      </c>
      <c r="L3639" t="s">
        <v>22</v>
      </c>
      <c r="M3639" t="s">
        <v>24</v>
      </c>
      <c r="N3639" t="s">
        <v>35</v>
      </c>
      <c r="O3639" t="s">
        <v>26</v>
      </c>
      <c r="P3639" t="s">
        <v>27</v>
      </c>
      <c r="Q3639" t="s">
        <v>28</v>
      </c>
      <c r="R3639" t="s">
        <v>29</v>
      </c>
      <c r="S3639" t="s">
        <v>30</v>
      </c>
      <c r="T3639">
        <v>1010240716</v>
      </c>
      <c r="U3639" t="s">
        <v>3939</v>
      </c>
      <c r="V3639" t="s">
        <v>3934</v>
      </c>
      <c r="W3639" s="9">
        <f>IF(V3639="pregrado",31,
IF(V3639="posgrados",31,
IF(V3639="rEINTEGROS",7,
IF(V3639="BIT",90,
IF(V3639="OP GRADO - INGLÉS",17,"")))))</f>
        <v>31</v>
      </c>
      <c r="X3639" t="s">
        <v>3938</v>
      </c>
    </row>
    <row r="3640" spans="1:24" ht="15" x14ac:dyDescent="0.35">
      <c r="A3640" s="4">
        <v>46052.441608796296</v>
      </c>
      <c r="B3640">
        <v>20118831</v>
      </c>
      <c r="C3640" s="6" t="s">
        <v>19</v>
      </c>
      <c r="D3640">
        <v>607277</v>
      </c>
      <c r="E3640" t="s">
        <v>20</v>
      </c>
      <c r="F3640">
        <v>79793792</v>
      </c>
      <c r="G3640" t="s">
        <v>2545</v>
      </c>
      <c r="H3640">
        <v>100243362</v>
      </c>
      <c r="I3640">
        <v>202610</v>
      </c>
      <c r="J3640">
        <v>1012453820</v>
      </c>
      <c r="K3640" t="s">
        <v>23</v>
      </c>
      <c r="L3640" t="s">
        <v>49</v>
      </c>
      <c r="M3640" t="s">
        <v>24</v>
      </c>
      <c r="N3640" t="s">
        <v>35</v>
      </c>
      <c r="O3640" t="s">
        <v>26</v>
      </c>
      <c r="P3640" t="s">
        <v>27</v>
      </c>
      <c r="Q3640" t="s">
        <v>28</v>
      </c>
      <c r="R3640" t="s">
        <v>29</v>
      </c>
      <c r="S3640" t="s">
        <v>30</v>
      </c>
      <c r="T3640">
        <v>11001273124</v>
      </c>
      <c r="U3640" t="s">
        <v>3944</v>
      </c>
      <c r="V3640" t="s">
        <v>3934</v>
      </c>
      <c r="W3640" s="9">
        <f>IF(V3640="pregrado",31,
IF(V3640="posgrados",31,
IF(V3640="rEINTEGROS",7,
IF(V3640="BIT",90,
IF(V3640="OP GRADO - INGLÉS",17,"")))))</f>
        <v>31</v>
      </c>
      <c r="X3640" t="s">
        <v>3951</v>
      </c>
    </row>
    <row r="3641" spans="1:24" ht="15" x14ac:dyDescent="0.35">
      <c r="A3641" s="4">
        <v>46051.593252314815</v>
      </c>
      <c r="B3641">
        <v>20118507</v>
      </c>
      <c r="C3641" s="6" t="s">
        <v>19</v>
      </c>
      <c r="D3641">
        <v>607287</v>
      </c>
      <c r="E3641" t="s">
        <v>20</v>
      </c>
      <c r="F3641">
        <v>1000180725</v>
      </c>
      <c r="G3641" t="s">
        <v>2489</v>
      </c>
      <c r="H3641">
        <v>100244067</v>
      </c>
      <c r="I3641">
        <v>202611</v>
      </c>
      <c r="J3641">
        <v>1000180725</v>
      </c>
      <c r="K3641" t="s">
        <v>33</v>
      </c>
      <c r="L3641" t="s">
        <v>204</v>
      </c>
      <c r="M3641" t="s">
        <v>24</v>
      </c>
      <c r="N3641" t="s">
        <v>38</v>
      </c>
      <c r="O3641" t="s">
        <v>26</v>
      </c>
      <c r="P3641" t="s">
        <v>27</v>
      </c>
      <c r="Q3641" t="s">
        <v>28</v>
      </c>
      <c r="R3641" t="s">
        <v>29</v>
      </c>
      <c r="S3641" t="s">
        <v>30</v>
      </c>
      <c r="T3641">
        <v>63501040</v>
      </c>
      <c r="U3641" t="s">
        <v>3941</v>
      </c>
      <c r="V3641" t="s">
        <v>3934</v>
      </c>
      <c r="W3641" s="9">
        <f>IF(V3641="pregrado",31,
IF(V3641="posgrados",31,
IF(V3641="rEINTEGROS",7,
IF(V3641="BIT",90,
IF(V3641="OP GRADO - INGLÉS",17,"")))))</f>
        <v>31</v>
      </c>
      <c r="X3641" t="s">
        <v>4087</v>
      </c>
    </row>
    <row r="3642" spans="1:24" ht="15" x14ac:dyDescent="0.35">
      <c r="A3642" s="4">
        <v>46053.384074074071</v>
      </c>
      <c r="B3642">
        <v>20119212</v>
      </c>
      <c r="C3642" s="6" t="s">
        <v>19</v>
      </c>
      <c r="D3642">
        <v>607290</v>
      </c>
      <c r="E3642" t="s">
        <v>20</v>
      </c>
      <c r="F3642">
        <v>1061985194</v>
      </c>
      <c r="G3642" t="s">
        <v>2609</v>
      </c>
      <c r="H3642">
        <v>100244069</v>
      </c>
      <c r="I3642">
        <v>202631</v>
      </c>
      <c r="J3642">
        <v>1061985194</v>
      </c>
      <c r="K3642" t="s">
        <v>33</v>
      </c>
      <c r="L3642" t="s">
        <v>370</v>
      </c>
      <c r="M3642" t="s">
        <v>24</v>
      </c>
      <c r="N3642" t="s">
        <v>35</v>
      </c>
      <c r="O3642" t="s">
        <v>26</v>
      </c>
      <c r="P3642" t="s">
        <v>27</v>
      </c>
      <c r="Q3642" t="s">
        <v>28</v>
      </c>
      <c r="R3642" t="s">
        <v>29</v>
      </c>
      <c r="S3642" t="s">
        <v>30</v>
      </c>
      <c r="T3642">
        <v>1023975276</v>
      </c>
      <c r="U3642" t="s">
        <v>3963</v>
      </c>
      <c r="V3642" t="s">
        <v>3934</v>
      </c>
      <c r="W3642" s="9">
        <f>IF(V3642="pregrado",31,
IF(V3642="posgrados",31,
IF(V3642="rEINTEGROS",7,
IF(V3642="BIT",90,
IF(V3642="OP GRADO - INGLÉS",17,"")))))</f>
        <v>31</v>
      </c>
      <c r="X3642" t="s">
        <v>3962</v>
      </c>
    </row>
    <row r="3643" spans="1:24" ht="15" x14ac:dyDescent="0.35">
      <c r="A3643" s="4">
        <v>46051.471516203703</v>
      </c>
      <c r="B3643">
        <v>20118425</v>
      </c>
      <c r="C3643" s="6" t="s">
        <v>19</v>
      </c>
      <c r="D3643">
        <v>607297</v>
      </c>
      <c r="E3643" t="s">
        <v>20</v>
      </c>
      <c r="F3643">
        <v>1233193814</v>
      </c>
      <c r="G3643" t="s">
        <v>2474</v>
      </c>
      <c r="H3643">
        <v>100244076</v>
      </c>
      <c r="I3643">
        <v>202611</v>
      </c>
      <c r="J3643">
        <v>1233193814</v>
      </c>
      <c r="K3643" t="s">
        <v>23</v>
      </c>
      <c r="L3643" t="s">
        <v>221</v>
      </c>
      <c r="M3643" t="s">
        <v>24</v>
      </c>
      <c r="N3643" t="s">
        <v>35</v>
      </c>
      <c r="O3643" t="s">
        <v>26</v>
      </c>
      <c r="P3643" t="s">
        <v>27</v>
      </c>
      <c r="Q3643" t="s">
        <v>28</v>
      </c>
      <c r="R3643" t="s">
        <v>29</v>
      </c>
      <c r="S3643" t="s">
        <v>30</v>
      </c>
      <c r="T3643">
        <v>10006855461</v>
      </c>
      <c r="U3643" t="s">
        <v>3965</v>
      </c>
      <c r="V3643" t="s">
        <v>3934</v>
      </c>
      <c r="W3643" s="9">
        <f>IF(V3643="pregrado",31,
IF(V3643="posgrados",31,
IF(V3643="rEINTEGROS",7,
IF(V3643="BIT",90,
IF(V3643="OP GRADO - INGLÉS",17,"")))))</f>
        <v>31</v>
      </c>
      <c r="X3643" t="s">
        <v>3993</v>
      </c>
    </row>
    <row r="3644" spans="1:24" ht="15" x14ac:dyDescent="0.35">
      <c r="A3644" s="4">
        <v>46050.674224537041</v>
      </c>
      <c r="B3644">
        <v>20118117</v>
      </c>
      <c r="C3644" s="6" t="s">
        <v>19</v>
      </c>
      <c r="D3644">
        <v>607299</v>
      </c>
      <c r="E3644" t="s">
        <v>20</v>
      </c>
      <c r="F3644">
        <v>52029204</v>
      </c>
      <c r="G3644" t="s">
        <v>2429</v>
      </c>
      <c r="H3644">
        <v>100109572</v>
      </c>
      <c r="I3644">
        <v>202631</v>
      </c>
      <c r="J3644">
        <v>1193541339</v>
      </c>
      <c r="K3644" t="s">
        <v>23</v>
      </c>
      <c r="L3644" t="s">
        <v>22</v>
      </c>
      <c r="M3644" t="s">
        <v>24</v>
      </c>
      <c r="N3644" t="s">
        <v>35</v>
      </c>
      <c r="O3644" t="s">
        <v>26</v>
      </c>
      <c r="P3644" t="s">
        <v>27</v>
      </c>
      <c r="Q3644" t="s">
        <v>28</v>
      </c>
      <c r="R3644" t="s">
        <v>29</v>
      </c>
      <c r="S3644" t="s">
        <v>30</v>
      </c>
      <c r="T3644">
        <v>1018496066</v>
      </c>
      <c r="U3644" t="s">
        <v>3939</v>
      </c>
      <c r="V3644" t="s">
        <v>3934</v>
      </c>
      <c r="W3644" s="9">
        <f>IF(V3644="pregrado",31,
IF(V3644="posgrados",31,
IF(V3644="rEINTEGROS",7,
IF(V3644="BIT",90,
IF(V3644="OP GRADO - INGLÉS",17,"")))))</f>
        <v>31</v>
      </c>
      <c r="X3644" t="s">
        <v>4006</v>
      </c>
    </row>
    <row r="3645" spans="1:24" ht="15" x14ac:dyDescent="0.35">
      <c r="A3645" s="4">
        <v>46084.694618055553</v>
      </c>
      <c r="B3645">
        <v>20127497</v>
      </c>
      <c r="C3645" s="6" t="s">
        <v>19</v>
      </c>
      <c r="D3645">
        <v>607303</v>
      </c>
      <c r="E3645" t="s">
        <v>20</v>
      </c>
      <c r="F3645">
        <v>1068928400</v>
      </c>
      <c r="G3645" t="s">
        <v>3806</v>
      </c>
      <c r="H3645">
        <v>100244081</v>
      </c>
      <c r="I3645">
        <v>202631</v>
      </c>
      <c r="J3645">
        <v>1068928400</v>
      </c>
      <c r="K3645" t="s">
        <v>33</v>
      </c>
      <c r="L3645" t="s">
        <v>42</v>
      </c>
      <c r="M3645" t="s">
        <v>24</v>
      </c>
      <c r="N3645" t="s">
        <v>35</v>
      </c>
      <c r="O3645" t="s">
        <v>26</v>
      </c>
      <c r="P3645" t="s">
        <v>27</v>
      </c>
      <c r="Q3645" t="s">
        <v>28</v>
      </c>
      <c r="R3645" t="s">
        <v>29</v>
      </c>
      <c r="S3645" t="s">
        <v>30</v>
      </c>
      <c r="T3645">
        <v>1006023129</v>
      </c>
      <c r="U3645" t="s">
        <v>3944</v>
      </c>
      <c r="V3645" t="s">
        <v>3934</v>
      </c>
      <c r="W3645" s="9">
        <f>IF(V3645="pregrado",31,
IF(V3645="posgrados",31,
IF(V3645="rEINTEGROS",7,
IF(V3645="BIT",90,
IF(V3645="OP GRADO - INGLÉS",17,"")))))</f>
        <v>31</v>
      </c>
      <c r="X3645" t="s">
        <v>3982</v>
      </c>
    </row>
    <row r="3646" spans="1:24" ht="15" x14ac:dyDescent="0.35">
      <c r="A3646" s="4">
        <v>46065.381689814814</v>
      </c>
      <c r="B3646">
        <v>20122670</v>
      </c>
      <c r="C3646" s="6" t="s">
        <v>19</v>
      </c>
      <c r="D3646">
        <v>607304</v>
      </c>
      <c r="E3646" t="s">
        <v>20</v>
      </c>
      <c r="F3646">
        <v>36952392</v>
      </c>
      <c r="G3646" t="s">
        <v>3069</v>
      </c>
      <c r="H3646">
        <v>100244082</v>
      </c>
      <c r="I3646">
        <v>202631</v>
      </c>
      <c r="J3646">
        <v>1004232481</v>
      </c>
      <c r="K3646" t="s">
        <v>33</v>
      </c>
      <c r="L3646" t="s">
        <v>32</v>
      </c>
      <c r="M3646" t="s">
        <v>24</v>
      </c>
      <c r="N3646" t="s">
        <v>35</v>
      </c>
      <c r="O3646" t="s">
        <v>26</v>
      </c>
      <c r="P3646" t="s">
        <v>27</v>
      </c>
      <c r="Q3646" t="s">
        <v>28</v>
      </c>
      <c r="R3646" t="s">
        <v>29</v>
      </c>
      <c r="S3646" t="s">
        <v>30</v>
      </c>
      <c r="T3646">
        <v>10006855461</v>
      </c>
      <c r="U3646" t="s">
        <v>3965</v>
      </c>
      <c r="V3646" t="s">
        <v>3934</v>
      </c>
      <c r="W3646" s="9">
        <f>IF(V3646="pregrado",31,
IF(V3646="posgrados",31,
IF(V3646="rEINTEGROS",7,
IF(V3646="BIT",90,
IF(V3646="OP GRADO - INGLÉS",17,"")))))</f>
        <v>31</v>
      </c>
      <c r="X3646" t="s">
        <v>3993</v>
      </c>
    </row>
    <row r="3647" spans="1:24" ht="15" x14ac:dyDescent="0.35">
      <c r="A3647" s="4">
        <v>46051.457604166666</v>
      </c>
      <c r="B3647">
        <v>20118405</v>
      </c>
      <c r="C3647" s="6" t="s">
        <v>19</v>
      </c>
      <c r="D3647">
        <v>607309</v>
      </c>
      <c r="E3647" t="s">
        <v>20</v>
      </c>
      <c r="F3647">
        <v>1006946887</v>
      </c>
      <c r="G3647" t="s">
        <v>2471</v>
      </c>
      <c r="H3647">
        <v>100244087</v>
      </c>
      <c r="I3647">
        <v>202631</v>
      </c>
      <c r="J3647">
        <v>1006946887</v>
      </c>
      <c r="K3647" t="s">
        <v>33</v>
      </c>
      <c r="L3647" t="s">
        <v>127</v>
      </c>
      <c r="M3647" t="s">
        <v>24</v>
      </c>
      <c r="N3647" t="s">
        <v>25</v>
      </c>
      <c r="O3647" t="s">
        <v>26</v>
      </c>
      <c r="P3647" t="s">
        <v>27</v>
      </c>
      <c r="Q3647" t="s">
        <v>28</v>
      </c>
      <c r="R3647" t="s">
        <v>29</v>
      </c>
      <c r="S3647" t="s">
        <v>30</v>
      </c>
      <c r="T3647">
        <v>1001315142</v>
      </c>
      <c r="U3647" t="s">
        <v>3986</v>
      </c>
      <c r="V3647" t="s">
        <v>3934</v>
      </c>
      <c r="W3647" s="9">
        <f>IF(V3647="pregrado",31,
IF(V3647="posgrados",31,
IF(V3647="rEINTEGROS",7,
IF(V3647="BIT",90,
IF(V3647="OP GRADO - INGLÉS",17,"")))))</f>
        <v>31</v>
      </c>
      <c r="X3647" t="s">
        <v>4064</v>
      </c>
    </row>
    <row r="3648" spans="1:24" ht="15" x14ac:dyDescent="0.35">
      <c r="A3648" s="4">
        <v>46057.686851851853</v>
      </c>
      <c r="B3648">
        <v>20120574</v>
      </c>
      <c r="C3648" s="6" t="s">
        <v>19</v>
      </c>
      <c r="D3648">
        <v>607313</v>
      </c>
      <c r="E3648" t="s">
        <v>20</v>
      </c>
      <c r="F3648">
        <v>40088577</v>
      </c>
      <c r="G3648" t="s">
        <v>2764</v>
      </c>
      <c r="H3648">
        <v>100244090</v>
      </c>
      <c r="I3648">
        <v>202631</v>
      </c>
      <c r="J3648">
        <v>1117486989</v>
      </c>
      <c r="K3648" t="s">
        <v>23</v>
      </c>
      <c r="L3648" t="s">
        <v>207</v>
      </c>
      <c r="M3648" t="s">
        <v>24</v>
      </c>
      <c r="N3648" t="s">
        <v>25</v>
      </c>
      <c r="O3648" t="s">
        <v>26</v>
      </c>
      <c r="P3648" t="s">
        <v>27</v>
      </c>
      <c r="Q3648" t="s">
        <v>28</v>
      </c>
      <c r="R3648" t="s">
        <v>29</v>
      </c>
      <c r="S3648" t="s">
        <v>30</v>
      </c>
      <c r="T3648">
        <v>1077967131</v>
      </c>
      <c r="U3648" t="s">
        <v>3963</v>
      </c>
      <c r="V3648" t="s">
        <v>3934</v>
      </c>
      <c r="W3648" s="9">
        <f>IF(V3648="pregrado",31,
IF(V3648="posgrados",31,
IF(V3648="rEINTEGROS",7,
IF(V3648="BIT",90,
IF(V3648="OP GRADO - INGLÉS",17,"")))))</f>
        <v>31</v>
      </c>
      <c r="X3648" t="s">
        <v>4011</v>
      </c>
    </row>
    <row r="3649" spans="1:24" ht="15" x14ac:dyDescent="0.35">
      <c r="A3649" s="4">
        <v>46051.401018518518</v>
      </c>
      <c r="B3649">
        <v>20118349</v>
      </c>
      <c r="C3649" s="6" t="s">
        <v>19</v>
      </c>
      <c r="D3649">
        <v>607315</v>
      </c>
      <c r="E3649" t="s">
        <v>20</v>
      </c>
      <c r="F3649">
        <v>1124863296</v>
      </c>
      <c r="G3649" t="s">
        <v>2455</v>
      </c>
      <c r="H3649">
        <v>100244093</v>
      </c>
      <c r="I3649">
        <v>202631</v>
      </c>
      <c r="J3649">
        <v>1123323355</v>
      </c>
      <c r="K3649" t="s">
        <v>23</v>
      </c>
      <c r="L3649" t="s">
        <v>101</v>
      </c>
      <c r="M3649" t="s">
        <v>24</v>
      </c>
      <c r="N3649" t="s">
        <v>35</v>
      </c>
      <c r="O3649" t="s">
        <v>26</v>
      </c>
      <c r="P3649" t="s">
        <v>27</v>
      </c>
      <c r="Q3649" t="s">
        <v>28</v>
      </c>
      <c r="R3649" t="s">
        <v>29</v>
      </c>
      <c r="S3649" t="s">
        <v>30</v>
      </c>
      <c r="T3649">
        <v>1000251314</v>
      </c>
      <c r="U3649" t="s">
        <v>3963</v>
      </c>
      <c r="V3649" t="s">
        <v>3934</v>
      </c>
      <c r="W3649" s="9">
        <f>IF(V3649="pregrado",31,
IF(V3649="posgrados",31,
IF(V3649="rEINTEGROS",7,
IF(V3649="BIT",90,
IF(V3649="OP GRADO - INGLÉS",17,"")))))</f>
        <v>31</v>
      </c>
      <c r="X3649" t="s">
        <v>4024</v>
      </c>
    </row>
    <row r="3650" spans="1:24" ht="15" x14ac:dyDescent="0.35">
      <c r="A3650" s="4">
        <v>46076.650081018517</v>
      </c>
      <c r="B3650">
        <v>20125732</v>
      </c>
      <c r="C3650" s="6" t="s">
        <v>19</v>
      </c>
      <c r="D3650">
        <v>607318</v>
      </c>
      <c r="E3650" t="s">
        <v>20</v>
      </c>
      <c r="F3650">
        <v>1065864410</v>
      </c>
      <c r="G3650" t="s">
        <v>3552</v>
      </c>
      <c r="H3650">
        <v>100116344</v>
      </c>
      <c r="I3650">
        <v>202631</v>
      </c>
      <c r="J3650">
        <v>1065864410</v>
      </c>
      <c r="K3650" t="s">
        <v>89</v>
      </c>
      <c r="L3650" t="s">
        <v>119</v>
      </c>
      <c r="M3650" t="s">
        <v>24</v>
      </c>
      <c r="N3650">
        <v>0</v>
      </c>
      <c r="O3650" t="s">
        <v>26</v>
      </c>
      <c r="P3650" t="s">
        <v>27</v>
      </c>
      <c r="Q3650" t="s">
        <v>28</v>
      </c>
      <c r="R3650" t="s">
        <v>29</v>
      </c>
      <c r="S3650" t="s">
        <v>30</v>
      </c>
      <c r="T3650">
        <v>1019102787</v>
      </c>
      <c r="U3650" t="s">
        <v>3977</v>
      </c>
      <c r="V3650" t="s">
        <v>3970</v>
      </c>
      <c r="W3650" s="9">
        <f>IF(V3650="pregrado",31,
IF(V3650="posgrados",31,
IF(V3650="rEINTEGROS",7,
IF(V3650="BIT",90,
IF(V3650="OP GRADO - INGLÉS",17,"")))))</f>
        <v>7</v>
      </c>
      <c r="X3650" t="s">
        <v>3976</v>
      </c>
    </row>
    <row r="3651" spans="1:24" ht="15" x14ac:dyDescent="0.35">
      <c r="A3651" s="4">
        <v>46070.451643518521</v>
      </c>
      <c r="B3651">
        <v>20124050</v>
      </c>
      <c r="C3651" s="6" t="s">
        <v>19</v>
      </c>
      <c r="D3651">
        <v>607325</v>
      </c>
      <c r="E3651" t="s">
        <v>20</v>
      </c>
      <c r="F3651">
        <v>1214463313</v>
      </c>
      <c r="G3651" t="s">
        <v>3285</v>
      </c>
      <c r="H3651">
        <v>100189614</v>
      </c>
      <c r="I3651">
        <v>202631</v>
      </c>
      <c r="J3651">
        <v>1214463313</v>
      </c>
      <c r="K3651" t="s">
        <v>89</v>
      </c>
      <c r="L3651" t="s">
        <v>119</v>
      </c>
      <c r="M3651" t="s">
        <v>24</v>
      </c>
      <c r="N3651" t="s">
        <v>35</v>
      </c>
      <c r="O3651" t="s">
        <v>26</v>
      </c>
      <c r="P3651" t="s">
        <v>27</v>
      </c>
      <c r="Q3651" t="s">
        <v>28</v>
      </c>
      <c r="R3651" t="s">
        <v>29</v>
      </c>
      <c r="S3651" t="s">
        <v>30</v>
      </c>
      <c r="T3651">
        <v>52168054</v>
      </c>
      <c r="U3651" t="s">
        <v>3977</v>
      </c>
      <c r="V3651" t="s">
        <v>3970</v>
      </c>
      <c r="W3651" s="9">
        <f>IF(V3651="pregrado",31,
IF(V3651="posgrados",31,
IF(V3651="rEINTEGROS",7,
IF(V3651="BIT",90,
IF(V3651="OP GRADO - INGLÉS",17,"")))))</f>
        <v>7</v>
      </c>
      <c r="X3651" t="s">
        <v>4057</v>
      </c>
    </row>
    <row r="3652" spans="1:24" ht="15" x14ac:dyDescent="0.35">
      <c r="A3652" s="4">
        <v>46057.519004629627</v>
      </c>
      <c r="B3652">
        <v>20120429</v>
      </c>
      <c r="C3652" s="6" t="s">
        <v>19</v>
      </c>
      <c r="D3652">
        <v>607328</v>
      </c>
      <c r="E3652" t="s">
        <v>20</v>
      </c>
      <c r="F3652">
        <v>52805678</v>
      </c>
      <c r="G3652" t="s">
        <v>2744</v>
      </c>
      <c r="H3652">
        <v>100188193</v>
      </c>
      <c r="I3652">
        <v>202611</v>
      </c>
      <c r="J3652">
        <v>52805678</v>
      </c>
      <c r="K3652" t="s">
        <v>89</v>
      </c>
      <c r="L3652" t="s">
        <v>133</v>
      </c>
      <c r="M3652" t="s">
        <v>24</v>
      </c>
      <c r="N3652" t="s">
        <v>35</v>
      </c>
      <c r="O3652" t="s">
        <v>26</v>
      </c>
      <c r="P3652" t="s">
        <v>27</v>
      </c>
      <c r="Q3652" t="s">
        <v>28</v>
      </c>
      <c r="R3652" t="s">
        <v>29</v>
      </c>
      <c r="S3652" t="s">
        <v>30</v>
      </c>
      <c r="T3652">
        <v>1023899450</v>
      </c>
      <c r="U3652" t="s">
        <v>3977</v>
      </c>
      <c r="V3652" t="s">
        <v>3970</v>
      </c>
      <c r="W3652" s="9">
        <f>IF(V3652="pregrado",31,
IF(V3652="posgrados",31,
IF(V3652="rEINTEGROS",7,
IF(V3652="BIT",90,
IF(V3652="OP GRADO - INGLÉS",17,"")))))</f>
        <v>7</v>
      </c>
      <c r="X3652" t="s">
        <v>3969</v>
      </c>
    </row>
    <row r="3653" spans="1:24" ht="15" x14ac:dyDescent="0.35">
      <c r="A3653" s="4">
        <v>46051.404699074075</v>
      </c>
      <c r="B3653">
        <v>20118350</v>
      </c>
      <c r="C3653" s="6" t="s">
        <v>19</v>
      </c>
      <c r="D3653">
        <v>607330</v>
      </c>
      <c r="E3653" t="s">
        <v>20</v>
      </c>
      <c r="F3653">
        <v>79872530</v>
      </c>
      <c r="G3653" t="s">
        <v>2456</v>
      </c>
      <c r="H3653">
        <v>100244102</v>
      </c>
      <c r="I3653">
        <v>202610</v>
      </c>
      <c r="J3653">
        <v>1031814554</v>
      </c>
      <c r="K3653" t="s">
        <v>23</v>
      </c>
      <c r="L3653" t="s">
        <v>107</v>
      </c>
      <c r="M3653" t="s">
        <v>24</v>
      </c>
      <c r="N3653" t="s">
        <v>35</v>
      </c>
      <c r="O3653" t="s">
        <v>26</v>
      </c>
      <c r="P3653" t="s">
        <v>27</v>
      </c>
      <c r="Q3653" t="s">
        <v>28</v>
      </c>
      <c r="R3653" t="s">
        <v>29</v>
      </c>
      <c r="S3653" t="s">
        <v>30</v>
      </c>
      <c r="T3653">
        <v>1000286877</v>
      </c>
      <c r="U3653" t="s">
        <v>3986</v>
      </c>
      <c r="V3653" t="s">
        <v>3934</v>
      </c>
      <c r="W3653" s="9">
        <f>IF(V3653="pregrado",31,
IF(V3653="posgrados",31,
IF(V3653="rEINTEGROS",7,
IF(V3653="BIT",90,
IF(V3653="OP GRADO - INGLÉS",17,"")))))</f>
        <v>31</v>
      </c>
      <c r="X3653" t="s">
        <v>4100</v>
      </c>
    </row>
    <row r="3654" spans="1:24" ht="15" x14ac:dyDescent="0.35">
      <c r="A3654" s="4">
        <v>46051.650127314817</v>
      </c>
      <c r="B3654">
        <v>20118581</v>
      </c>
      <c r="C3654" s="6" t="s">
        <v>19</v>
      </c>
      <c r="D3654">
        <v>607331</v>
      </c>
      <c r="E3654" t="s">
        <v>20</v>
      </c>
      <c r="F3654">
        <v>1000335826</v>
      </c>
      <c r="G3654" t="s">
        <v>2496</v>
      </c>
      <c r="H3654">
        <v>100244105</v>
      </c>
      <c r="I3654">
        <v>202611</v>
      </c>
      <c r="J3654">
        <v>1000335826</v>
      </c>
      <c r="K3654" t="s">
        <v>23</v>
      </c>
      <c r="L3654" t="s">
        <v>227</v>
      </c>
      <c r="M3654" t="s">
        <v>24</v>
      </c>
      <c r="N3654" t="s">
        <v>38</v>
      </c>
      <c r="O3654" t="s">
        <v>26</v>
      </c>
      <c r="P3654" t="s">
        <v>27</v>
      </c>
      <c r="Q3654" t="s">
        <v>28</v>
      </c>
      <c r="R3654" t="s">
        <v>29</v>
      </c>
      <c r="S3654" t="s">
        <v>30</v>
      </c>
      <c r="T3654">
        <v>52392617</v>
      </c>
      <c r="U3654" t="s">
        <v>3965</v>
      </c>
      <c r="V3654" t="s">
        <v>3934</v>
      </c>
      <c r="W3654" s="9">
        <f>IF(V3654="pregrado",31,
IF(V3654="posgrados",31,
IF(V3654="rEINTEGROS",7,
IF(V3654="BIT",90,
IF(V3654="OP GRADO - INGLÉS",17,"")))))</f>
        <v>31</v>
      </c>
      <c r="X3654" t="s">
        <v>4053</v>
      </c>
    </row>
    <row r="3655" spans="1:24" ht="15" x14ac:dyDescent="0.35">
      <c r="A3655" s="4">
        <v>46051.62909722222</v>
      </c>
      <c r="B3655">
        <v>20118543</v>
      </c>
      <c r="C3655" s="6" t="s">
        <v>19</v>
      </c>
      <c r="D3655">
        <v>607336</v>
      </c>
      <c r="E3655" t="s">
        <v>20</v>
      </c>
      <c r="F3655">
        <v>1028880556</v>
      </c>
      <c r="G3655" t="s">
        <v>2490</v>
      </c>
      <c r="H3655">
        <v>100244107</v>
      </c>
      <c r="I3655">
        <v>202631</v>
      </c>
      <c r="J3655">
        <v>1028880556</v>
      </c>
      <c r="K3655" t="s">
        <v>23</v>
      </c>
      <c r="L3655" t="s">
        <v>86</v>
      </c>
      <c r="M3655" t="s">
        <v>87</v>
      </c>
      <c r="N3655" t="s">
        <v>25</v>
      </c>
      <c r="O3655" t="s">
        <v>26</v>
      </c>
      <c r="P3655" t="s">
        <v>27</v>
      </c>
      <c r="Q3655" t="s">
        <v>28</v>
      </c>
      <c r="R3655" t="s">
        <v>29</v>
      </c>
      <c r="S3655" t="s">
        <v>30</v>
      </c>
      <c r="T3655">
        <v>1015441103</v>
      </c>
      <c r="U3655" t="s">
        <v>3933</v>
      </c>
      <c r="V3655" t="s">
        <v>3934</v>
      </c>
      <c r="W3655" s="9">
        <f>IF(V3655="pregrado",31,
IF(V3655="posgrados",31,
IF(V3655="rEINTEGROS",7,
IF(V3655="BIT",90,
IF(V3655="OP GRADO - INGLÉS",17,"")))))</f>
        <v>31</v>
      </c>
      <c r="X3655" t="s">
        <v>3961</v>
      </c>
    </row>
    <row r="3656" spans="1:24" ht="15" x14ac:dyDescent="0.35">
      <c r="A3656" s="4">
        <v>46052.423321759263</v>
      </c>
      <c r="B3656">
        <v>20118812</v>
      </c>
      <c r="C3656" s="6" t="s">
        <v>19</v>
      </c>
      <c r="D3656">
        <v>607342</v>
      </c>
      <c r="E3656" t="s">
        <v>20</v>
      </c>
      <c r="F3656">
        <v>1117232293</v>
      </c>
      <c r="G3656" t="s">
        <v>2542</v>
      </c>
      <c r="H3656">
        <v>100244113</v>
      </c>
      <c r="I3656">
        <v>202611</v>
      </c>
      <c r="J3656">
        <v>1117232293</v>
      </c>
      <c r="K3656" t="s">
        <v>23</v>
      </c>
      <c r="L3656" t="s">
        <v>221</v>
      </c>
      <c r="M3656" t="s">
        <v>24</v>
      </c>
      <c r="N3656" t="s">
        <v>35</v>
      </c>
      <c r="O3656" t="s">
        <v>26</v>
      </c>
      <c r="P3656" t="s">
        <v>27</v>
      </c>
      <c r="Q3656" t="s">
        <v>28</v>
      </c>
      <c r="R3656" t="s">
        <v>29</v>
      </c>
      <c r="S3656" t="s">
        <v>30</v>
      </c>
      <c r="T3656">
        <v>1073692626</v>
      </c>
      <c r="U3656" t="s">
        <v>3965</v>
      </c>
      <c r="V3656" t="s">
        <v>3934</v>
      </c>
      <c r="W3656" s="9">
        <f>IF(V3656="pregrado",31,
IF(V3656="posgrados",31,
IF(V3656="rEINTEGROS",7,
IF(V3656="BIT",90,
IF(V3656="OP GRADO - INGLÉS",17,"")))))</f>
        <v>31</v>
      </c>
      <c r="X3656" t="s">
        <v>4014</v>
      </c>
    </row>
    <row r="3657" spans="1:24" ht="15" x14ac:dyDescent="0.35">
      <c r="A3657" s="4">
        <v>46065.544502314813</v>
      </c>
      <c r="B3657">
        <v>20122810</v>
      </c>
      <c r="C3657" s="6" t="s">
        <v>19</v>
      </c>
      <c r="D3657">
        <v>607352</v>
      </c>
      <c r="E3657" t="s">
        <v>20</v>
      </c>
      <c r="F3657">
        <v>25785192</v>
      </c>
      <c r="G3657" t="s">
        <v>3097</v>
      </c>
      <c r="H3657">
        <v>200037264</v>
      </c>
      <c r="I3657">
        <v>202631</v>
      </c>
      <c r="J3657">
        <v>1067884181</v>
      </c>
      <c r="K3657" t="s">
        <v>33</v>
      </c>
      <c r="L3657" t="s">
        <v>77</v>
      </c>
      <c r="M3657" t="s">
        <v>24</v>
      </c>
      <c r="N3657" t="s">
        <v>35</v>
      </c>
      <c r="O3657" t="s">
        <v>26</v>
      </c>
      <c r="P3657" t="s">
        <v>27</v>
      </c>
      <c r="Q3657" t="s">
        <v>28</v>
      </c>
      <c r="R3657" t="s">
        <v>29</v>
      </c>
      <c r="S3657" t="s">
        <v>30</v>
      </c>
      <c r="T3657">
        <v>1023974716</v>
      </c>
      <c r="U3657" t="s">
        <v>3963</v>
      </c>
      <c r="V3657" t="s">
        <v>3934</v>
      </c>
      <c r="W3657" s="9">
        <f>IF(V3657="pregrado",31,
IF(V3657="posgrados",31,
IF(V3657="rEINTEGROS",7,
IF(V3657="BIT",90,
IF(V3657="OP GRADO - INGLÉS",17,"")))))</f>
        <v>31</v>
      </c>
      <c r="X3657" t="s">
        <v>4016</v>
      </c>
    </row>
    <row r="3658" spans="1:24" ht="15" x14ac:dyDescent="0.35">
      <c r="A3658" s="4">
        <v>46050.891180555554</v>
      </c>
      <c r="B3658">
        <v>20118274</v>
      </c>
      <c r="C3658" s="6" t="s">
        <v>19</v>
      </c>
      <c r="D3658">
        <v>607354</v>
      </c>
      <c r="E3658" t="s">
        <v>20</v>
      </c>
      <c r="F3658">
        <v>39579135</v>
      </c>
      <c r="G3658" t="s">
        <v>2450</v>
      </c>
      <c r="H3658">
        <v>100244129</v>
      </c>
      <c r="I3658">
        <v>202631</v>
      </c>
      <c r="J3658">
        <v>39579135</v>
      </c>
      <c r="K3658" t="s">
        <v>23</v>
      </c>
      <c r="L3658" t="s">
        <v>240</v>
      </c>
      <c r="M3658" t="s">
        <v>24</v>
      </c>
      <c r="N3658" t="s">
        <v>25</v>
      </c>
      <c r="O3658" t="s">
        <v>26</v>
      </c>
      <c r="P3658" t="s">
        <v>27</v>
      </c>
      <c r="Q3658" t="s">
        <v>28</v>
      </c>
      <c r="R3658" t="s">
        <v>29</v>
      </c>
      <c r="S3658" t="s">
        <v>30</v>
      </c>
      <c r="T3658">
        <v>45555807</v>
      </c>
      <c r="U3658" t="s">
        <v>3965</v>
      </c>
      <c r="V3658" t="s">
        <v>3934</v>
      </c>
      <c r="W3658" s="9">
        <f>IF(V3658="pregrado",31,
IF(V3658="posgrados",31,
IF(V3658="rEINTEGROS",7,
IF(V3658="BIT",90,
IF(V3658="OP GRADO - INGLÉS",17,"")))))</f>
        <v>31</v>
      </c>
      <c r="X3658" t="s">
        <v>4027</v>
      </c>
    </row>
    <row r="3659" spans="1:24" ht="15" x14ac:dyDescent="0.35">
      <c r="A3659" s="4">
        <v>46051.444189814814</v>
      </c>
      <c r="B3659">
        <v>20118383</v>
      </c>
      <c r="C3659" s="6" t="s">
        <v>19</v>
      </c>
      <c r="D3659">
        <v>607364</v>
      </c>
      <c r="E3659" t="s">
        <v>20</v>
      </c>
      <c r="F3659">
        <v>13507233</v>
      </c>
      <c r="G3659" t="s">
        <v>2464</v>
      </c>
      <c r="H3659">
        <v>100085662</v>
      </c>
      <c r="I3659">
        <v>202611</v>
      </c>
      <c r="J3659">
        <v>13507233</v>
      </c>
      <c r="K3659" t="s">
        <v>89</v>
      </c>
      <c r="L3659" t="s">
        <v>133</v>
      </c>
      <c r="M3659" t="s">
        <v>24</v>
      </c>
      <c r="N3659" t="s">
        <v>35</v>
      </c>
      <c r="O3659" t="s">
        <v>26</v>
      </c>
      <c r="P3659" t="s">
        <v>27</v>
      </c>
      <c r="Q3659" t="s">
        <v>28</v>
      </c>
      <c r="R3659" t="s">
        <v>29</v>
      </c>
      <c r="S3659" t="s">
        <v>30</v>
      </c>
      <c r="T3659">
        <v>1019102787</v>
      </c>
      <c r="U3659" t="s">
        <v>3977</v>
      </c>
      <c r="V3659" t="s">
        <v>3970</v>
      </c>
      <c r="W3659" s="9">
        <f>IF(V3659="pregrado",31,
IF(V3659="posgrados",31,
IF(V3659="rEINTEGROS",7,
IF(V3659="BIT",90,
IF(V3659="OP GRADO - INGLÉS",17,"")))))</f>
        <v>7</v>
      </c>
      <c r="X3659" t="s">
        <v>3976</v>
      </c>
    </row>
    <row r="3660" spans="1:24" ht="15" x14ac:dyDescent="0.35">
      <c r="A3660" s="4">
        <v>46051.395740740743</v>
      </c>
      <c r="B3660">
        <v>20118343</v>
      </c>
      <c r="C3660" s="6" t="s">
        <v>19</v>
      </c>
      <c r="D3660">
        <v>607368</v>
      </c>
      <c r="E3660" t="s">
        <v>20</v>
      </c>
      <c r="F3660">
        <v>23754703</v>
      </c>
      <c r="G3660" t="s">
        <v>2454</v>
      </c>
      <c r="H3660">
        <v>100215315</v>
      </c>
      <c r="I3660">
        <v>202611</v>
      </c>
      <c r="J3660">
        <v>1020817981</v>
      </c>
      <c r="K3660" t="s">
        <v>89</v>
      </c>
      <c r="L3660" t="s">
        <v>133</v>
      </c>
      <c r="M3660" t="s">
        <v>24</v>
      </c>
      <c r="N3660" t="s">
        <v>35</v>
      </c>
      <c r="O3660" t="s">
        <v>26</v>
      </c>
      <c r="P3660" t="s">
        <v>27</v>
      </c>
      <c r="Q3660" t="s">
        <v>28</v>
      </c>
      <c r="R3660" t="s">
        <v>29</v>
      </c>
      <c r="S3660" t="s">
        <v>30</v>
      </c>
      <c r="T3660">
        <v>1023899450</v>
      </c>
      <c r="U3660" t="s">
        <v>3977</v>
      </c>
      <c r="V3660" t="s">
        <v>3970</v>
      </c>
      <c r="W3660" s="9">
        <f>IF(V3660="pregrado",31,
IF(V3660="posgrados",31,
IF(V3660="rEINTEGROS",7,
IF(V3660="BIT",90,
IF(V3660="OP GRADO - INGLÉS",17,"")))))</f>
        <v>7</v>
      </c>
      <c r="X3660" t="s">
        <v>3969</v>
      </c>
    </row>
    <row r="3661" spans="1:24" ht="15" x14ac:dyDescent="0.35">
      <c r="A3661" s="4">
        <v>46056.459270833337</v>
      </c>
      <c r="B3661">
        <v>20120036</v>
      </c>
      <c r="C3661" s="6" t="s">
        <v>19</v>
      </c>
      <c r="D3661">
        <v>607369</v>
      </c>
      <c r="E3661" t="s">
        <v>20</v>
      </c>
      <c r="F3661">
        <v>42937976</v>
      </c>
      <c r="G3661" t="s">
        <v>2688</v>
      </c>
      <c r="H3661">
        <v>100244151</v>
      </c>
      <c r="I3661">
        <v>202611</v>
      </c>
      <c r="J3661">
        <v>1192742198</v>
      </c>
      <c r="K3661" t="s">
        <v>23</v>
      </c>
      <c r="L3661" t="s">
        <v>221</v>
      </c>
      <c r="M3661" t="s">
        <v>24</v>
      </c>
      <c r="N3661" t="s">
        <v>25</v>
      </c>
      <c r="O3661" t="s">
        <v>26</v>
      </c>
      <c r="P3661" t="s">
        <v>27</v>
      </c>
      <c r="Q3661" t="s">
        <v>28</v>
      </c>
      <c r="R3661" t="s">
        <v>29</v>
      </c>
      <c r="S3661" t="s">
        <v>30</v>
      </c>
      <c r="T3661">
        <v>1030573476</v>
      </c>
      <c r="U3661" t="s">
        <v>3965</v>
      </c>
      <c r="V3661" t="s">
        <v>3934</v>
      </c>
      <c r="W3661" s="9">
        <f>IF(V3661="pregrado",31,
IF(V3661="posgrados",31,
IF(V3661="rEINTEGROS",7,
IF(V3661="BIT",90,
IF(V3661="OP GRADO - INGLÉS",17,"")))))</f>
        <v>31</v>
      </c>
      <c r="X3661" t="s">
        <v>4077</v>
      </c>
    </row>
    <row r="3662" spans="1:24" ht="15" x14ac:dyDescent="0.35">
      <c r="A3662" s="4">
        <v>46051.638344907406</v>
      </c>
      <c r="B3662">
        <v>20118556</v>
      </c>
      <c r="C3662" s="6" t="s">
        <v>19</v>
      </c>
      <c r="D3662">
        <v>607370</v>
      </c>
      <c r="E3662" t="s">
        <v>20</v>
      </c>
      <c r="F3662">
        <v>53010524</v>
      </c>
      <c r="G3662" t="s">
        <v>2492</v>
      </c>
      <c r="H3662">
        <v>100244153</v>
      </c>
      <c r="I3662">
        <v>202610</v>
      </c>
      <c r="J3662">
        <v>1000494280</v>
      </c>
      <c r="K3662" t="s">
        <v>23</v>
      </c>
      <c r="L3662" t="s">
        <v>40</v>
      </c>
      <c r="M3662" t="s">
        <v>24</v>
      </c>
      <c r="N3662" t="s">
        <v>35</v>
      </c>
      <c r="O3662" t="s">
        <v>26</v>
      </c>
      <c r="P3662" t="s">
        <v>27</v>
      </c>
      <c r="Q3662" t="s">
        <v>28</v>
      </c>
      <c r="R3662" t="s">
        <v>29</v>
      </c>
      <c r="S3662" t="s">
        <v>30</v>
      </c>
      <c r="T3662">
        <v>80219471</v>
      </c>
      <c r="U3662" t="s">
        <v>3941</v>
      </c>
      <c r="V3662" t="s">
        <v>3934</v>
      </c>
      <c r="W3662" s="9">
        <f>IF(V3662="pregrado",31,
IF(V3662="posgrados",31,
IF(V3662="rEINTEGROS",7,
IF(V3662="BIT",90,
IF(V3662="OP GRADO - INGLÉS",17,"")))))</f>
        <v>31</v>
      </c>
      <c r="X3662" t="s">
        <v>4030</v>
      </c>
    </row>
    <row r="3663" spans="1:24" ht="15" x14ac:dyDescent="0.35">
      <c r="A3663" s="4">
        <v>46052.420578703706</v>
      </c>
      <c r="B3663">
        <v>20118806</v>
      </c>
      <c r="C3663" s="6" t="s">
        <v>19</v>
      </c>
      <c r="D3663">
        <v>607384</v>
      </c>
      <c r="E3663" t="s">
        <v>20</v>
      </c>
      <c r="F3663">
        <v>1062436427</v>
      </c>
      <c r="G3663" t="s">
        <v>2539</v>
      </c>
      <c r="H3663">
        <v>100242784</v>
      </c>
      <c r="I3663">
        <v>202610</v>
      </c>
      <c r="J3663">
        <v>1062436427</v>
      </c>
      <c r="K3663" t="s">
        <v>74</v>
      </c>
      <c r="L3663" t="s">
        <v>49</v>
      </c>
      <c r="M3663" t="s">
        <v>24</v>
      </c>
      <c r="N3663" t="s">
        <v>35</v>
      </c>
      <c r="O3663" t="s">
        <v>26</v>
      </c>
      <c r="P3663" t="s">
        <v>27</v>
      </c>
      <c r="Q3663" t="s">
        <v>28</v>
      </c>
      <c r="R3663" t="s">
        <v>29</v>
      </c>
      <c r="S3663" t="s">
        <v>30</v>
      </c>
      <c r="T3663">
        <v>53139409</v>
      </c>
      <c r="U3663" t="s">
        <v>3944</v>
      </c>
      <c r="V3663" t="s">
        <v>3934</v>
      </c>
      <c r="W3663" s="9">
        <f>IF(V3663="pregrado",31,
IF(V3663="posgrados",31,
IF(V3663="rEINTEGROS",7,
IF(V3663="BIT",90,
IF(V3663="OP GRADO - INGLÉS",17,"")))))</f>
        <v>31</v>
      </c>
      <c r="X3663" t="s">
        <v>3955</v>
      </c>
    </row>
    <row r="3664" spans="1:24" ht="15" x14ac:dyDescent="0.35">
      <c r="A3664" s="4">
        <v>46063.61645833333</v>
      </c>
      <c r="B3664">
        <v>20122101</v>
      </c>
      <c r="C3664" s="6" t="s">
        <v>19</v>
      </c>
      <c r="D3664">
        <v>607389</v>
      </c>
      <c r="E3664" t="s">
        <v>20</v>
      </c>
      <c r="F3664">
        <v>1070985821</v>
      </c>
      <c r="G3664" t="s">
        <v>2994</v>
      </c>
      <c r="H3664">
        <v>200087107</v>
      </c>
      <c r="I3664">
        <v>202631</v>
      </c>
      <c r="J3664">
        <v>1070985821</v>
      </c>
      <c r="K3664" t="s">
        <v>33</v>
      </c>
      <c r="L3664" t="s">
        <v>119</v>
      </c>
      <c r="M3664" t="s">
        <v>24</v>
      </c>
      <c r="N3664" t="s">
        <v>35</v>
      </c>
      <c r="O3664" t="s">
        <v>26</v>
      </c>
      <c r="P3664" t="s">
        <v>27</v>
      </c>
      <c r="Q3664" t="s">
        <v>28</v>
      </c>
      <c r="R3664" t="s">
        <v>29</v>
      </c>
      <c r="S3664" t="s">
        <v>30</v>
      </c>
      <c r="T3664">
        <v>1070973852</v>
      </c>
      <c r="U3664" t="s">
        <v>3936</v>
      </c>
      <c r="V3664" t="s">
        <v>3937</v>
      </c>
      <c r="W3664" s="9">
        <f>IF(V3664="pregrado",31,
IF(V3664="posgrados",31,
IF(V3664="rEINTEGROS",7,
IF(V3664="BIT",90,
IF(V3664="OP GRADO - INGLÉS",17,"")))))</f>
        <v>31</v>
      </c>
      <c r="X3664" t="s">
        <v>3957</v>
      </c>
    </row>
    <row r="3665" spans="1:24" ht="15" x14ac:dyDescent="0.35">
      <c r="A3665" s="4">
        <v>46052.684976851851</v>
      </c>
      <c r="B3665">
        <v>20119069</v>
      </c>
      <c r="C3665" s="6" t="s">
        <v>19</v>
      </c>
      <c r="D3665">
        <v>607394</v>
      </c>
      <c r="E3665" t="s">
        <v>20</v>
      </c>
      <c r="F3665">
        <v>1098790749</v>
      </c>
      <c r="G3665" t="s">
        <v>2580</v>
      </c>
      <c r="H3665">
        <v>200067965</v>
      </c>
      <c r="I3665">
        <v>202631</v>
      </c>
      <c r="J3665">
        <v>1098790749</v>
      </c>
      <c r="K3665" t="s">
        <v>23</v>
      </c>
      <c r="L3665" t="s">
        <v>119</v>
      </c>
      <c r="M3665" t="s">
        <v>24</v>
      </c>
      <c r="N3665" t="s">
        <v>25</v>
      </c>
      <c r="O3665" t="s">
        <v>26</v>
      </c>
      <c r="P3665" t="s">
        <v>27</v>
      </c>
      <c r="Q3665" t="s">
        <v>28</v>
      </c>
      <c r="R3665" t="s">
        <v>29</v>
      </c>
      <c r="S3665" t="s">
        <v>30</v>
      </c>
      <c r="T3665">
        <v>53040709</v>
      </c>
      <c r="U3665" t="s">
        <v>3963</v>
      </c>
      <c r="V3665" t="s">
        <v>3934</v>
      </c>
      <c r="W3665" s="9">
        <f>IF(V3665="pregrado",31,
IF(V3665="posgrados",31,
IF(V3665="rEINTEGROS",7,
IF(V3665="BIT",90,
IF(V3665="OP GRADO - INGLÉS",17,"")))))</f>
        <v>31</v>
      </c>
      <c r="X3665" t="s">
        <v>3994</v>
      </c>
    </row>
    <row r="3666" spans="1:24" ht="15" x14ac:dyDescent="0.35">
      <c r="A3666" s="4">
        <v>46059.664803240739</v>
      </c>
      <c r="B3666">
        <v>20121261</v>
      </c>
      <c r="C3666" s="6" t="s">
        <v>19</v>
      </c>
      <c r="D3666">
        <v>607395</v>
      </c>
      <c r="E3666" t="s">
        <v>20</v>
      </c>
      <c r="F3666">
        <v>1010002872</v>
      </c>
      <c r="G3666" t="s">
        <v>2875</v>
      </c>
      <c r="H3666">
        <v>100233515</v>
      </c>
      <c r="I3666">
        <v>202610</v>
      </c>
      <c r="J3666">
        <v>1019606981</v>
      </c>
      <c r="K3666" t="s">
        <v>33</v>
      </c>
      <c r="L3666" t="s">
        <v>79</v>
      </c>
      <c r="M3666" t="s">
        <v>24</v>
      </c>
      <c r="N3666" t="s">
        <v>38</v>
      </c>
      <c r="O3666" t="s">
        <v>26</v>
      </c>
      <c r="P3666" t="s">
        <v>27</v>
      </c>
      <c r="Q3666" t="s">
        <v>28</v>
      </c>
      <c r="R3666" t="s">
        <v>29</v>
      </c>
      <c r="S3666" t="s">
        <v>30</v>
      </c>
      <c r="T3666">
        <v>53139409</v>
      </c>
      <c r="U3666" t="s">
        <v>3944</v>
      </c>
      <c r="V3666" t="s">
        <v>3934</v>
      </c>
      <c r="W3666" s="9">
        <f>IF(V3666="pregrado",31,
IF(V3666="posgrados",31,
IF(V3666="rEINTEGROS",7,
IF(V3666="BIT",90,
IF(V3666="OP GRADO - INGLÉS",17,"")))))</f>
        <v>31</v>
      </c>
      <c r="X3666" t="s">
        <v>3955</v>
      </c>
    </row>
    <row r="3667" spans="1:24" ht="15" x14ac:dyDescent="0.35">
      <c r="A3667" s="4">
        <v>46052.705555555556</v>
      </c>
      <c r="B3667">
        <v>20119102</v>
      </c>
      <c r="C3667" s="6" t="s">
        <v>19</v>
      </c>
      <c r="D3667">
        <v>607409</v>
      </c>
      <c r="E3667" t="s">
        <v>20</v>
      </c>
      <c r="F3667">
        <v>71252067</v>
      </c>
      <c r="G3667" t="s">
        <v>2590</v>
      </c>
      <c r="H3667">
        <v>100205075</v>
      </c>
      <c r="I3667">
        <v>202631</v>
      </c>
      <c r="J3667">
        <v>71252067</v>
      </c>
      <c r="K3667" t="s">
        <v>23</v>
      </c>
      <c r="L3667" t="s">
        <v>240</v>
      </c>
      <c r="M3667" t="s">
        <v>24</v>
      </c>
      <c r="N3667" t="s">
        <v>35</v>
      </c>
      <c r="O3667" t="s">
        <v>26</v>
      </c>
      <c r="P3667" t="s">
        <v>27</v>
      </c>
      <c r="Q3667" t="s">
        <v>28</v>
      </c>
      <c r="R3667" t="s">
        <v>29</v>
      </c>
      <c r="S3667" t="s">
        <v>30</v>
      </c>
      <c r="T3667">
        <v>1073692626</v>
      </c>
      <c r="U3667" t="s">
        <v>3965</v>
      </c>
      <c r="V3667" t="s">
        <v>3934</v>
      </c>
      <c r="W3667" s="9">
        <f>IF(V3667="pregrado",31,
IF(V3667="posgrados",31,
IF(V3667="rEINTEGROS",7,
IF(V3667="BIT",90,
IF(V3667="OP GRADO - INGLÉS",17,"")))))</f>
        <v>31</v>
      </c>
      <c r="X3667" t="s">
        <v>4014</v>
      </c>
    </row>
    <row r="3668" spans="1:24" ht="15" x14ac:dyDescent="0.35">
      <c r="A3668" s="4">
        <v>46051.45417824074</v>
      </c>
      <c r="B3668">
        <v>20118399</v>
      </c>
      <c r="C3668" s="6" t="s">
        <v>19</v>
      </c>
      <c r="D3668">
        <v>607411</v>
      </c>
      <c r="E3668" t="s">
        <v>20</v>
      </c>
      <c r="F3668">
        <v>80144601</v>
      </c>
      <c r="G3668" t="s">
        <v>2470</v>
      </c>
      <c r="H3668">
        <v>100064310</v>
      </c>
      <c r="I3668">
        <v>202631</v>
      </c>
      <c r="J3668">
        <v>80144601</v>
      </c>
      <c r="K3668" t="s">
        <v>33</v>
      </c>
      <c r="L3668" t="s">
        <v>22</v>
      </c>
      <c r="M3668" t="s">
        <v>24</v>
      </c>
      <c r="N3668" t="s">
        <v>38</v>
      </c>
      <c r="O3668" t="s">
        <v>26</v>
      </c>
      <c r="P3668" t="s">
        <v>27</v>
      </c>
      <c r="Q3668" t="s">
        <v>28</v>
      </c>
      <c r="R3668" t="s">
        <v>29</v>
      </c>
      <c r="S3668" t="s">
        <v>30</v>
      </c>
      <c r="T3668">
        <v>1010081108</v>
      </c>
      <c r="U3668" t="s">
        <v>3941</v>
      </c>
      <c r="V3668" t="s">
        <v>3934</v>
      </c>
      <c r="W3668" s="9">
        <f>IF(V3668="pregrado",31,
IF(V3668="posgrados",31,
IF(V3668="rEINTEGROS",7,
IF(V3668="BIT",90,
IF(V3668="OP GRADO - INGLÉS",17,"")))))</f>
        <v>31</v>
      </c>
      <c r="X3668" t="s">
        <v>4009</v>
      </c>
    </row>
    <row r="3669" spans="1:24" ht="15" x14ac:dyDescent="0.35">
      <c r="A3669" s="4">
        <v>46052.399710648147</v>
      </c>
      <c r="B3669">
        <v>20118784</v>
      </c>
      <c r="C3669" s="6" t="s">
        <v>19</v>
      </c>
      <c r="D3669">
        <v>607420</v>
      </c>
      <c r="E3669" t="s">
        <v>20</v>
      </c>
      <c r="F3669">
        <v>1116258678</v>
      </c>
      <c r="G3669" t="s">
        <v>2536</v>
      </c>
      <c r="H3669">
        <v>100244226</v>
      </c>
      <c r="I3669">
        <v>202631</v>
      </c>
      <c r="J3669">
        <v>1116258678</v>
      </c>
      <c r="K3669" t="s">
        <v>33</v>
      </c>
      <c r="L3669" t="s">
        <v>57</v>
      </c>
      <c r="M3669" t="s">
        <v>24</v>
      </c>
      <c r="N3669" t="s">
        <v>25</v>
      </c>
      <c r="O3669" t="s">
        <v>26</v>
      </c>
      <c r="P3669" t="s">
        <v>27</v>
      </c>
      <c r="Q3669" t="s">
        <v>28</v>
      </c>
      <c r="R3669" t="s">
        <v>29</v>
      </c>
      <c r="S3669" t="s">
        <v>30</v>
      </c>
      <c r="T3669">
        <v>1019115186</v>
      </c>
      <c r="U3669" t="s">
        <v>3941</v>
      </c>
      <c r="V3669" t="s">
        <v>3934</v>
      </c>
      <c r="W3669" s="9">
        <f>IF(V3669="pregrado",31,
IF(V3669="posgrados",31,
IF(V3669="rEINTEGROS",7,
IF(V3669="BIT",90,
IF(V3669="OP GRADO - INGLÉS",17,"")))))</f>
        <v>31</v>
      </c>
      <c r="X3669" t="s">
        <v>4005</v>
      </c>
    </row>
    <row r="3670" spans="1:24" ht="15" x14ac:dyDescent="0.35">
      <c r="A3670" s="4">
        <v>46084.759016203701</v>
      </c>
      <c r="B3670">
        <v>20127521</v>
      </c>
      <c r="C3670" s="6" t="s">
        <v>19</v>
      </c>
      <c r="D3670">
        <v>607427</v>
      </c>
      <c r="E3670" t="s">
        <v>20</v>
      </c>
      <c r="F3670">
        <v>1006491618</v>
      </c>
      <c r="G3670" t="s">
        <v>3810</v>
      </c>
      <c r="H3670">
        <v>100134885</v>
      </c>
      <c r="I3670">
        <v>202631</v>
      </c>
      <c r="J3670">
        <v>1006491618</v>
      </c>
      <c r="K3670" t="s">
        <v>46</v>
      </c>
      <c r="L3670" t="s">
        <v>219</v>
      </c>
      <c r="M3670" t="s">
        <v>24</v>
      </c>
      <c r="N3670" t="s">
        <v>25</v>
      </c>
      <c r="O3670" t="s">
        <v>26</v>
      </c>
      <c r="P3670" t="s">
        <v>27</v>
      </c>
      <c r="Q3670" t="s">
        <v>28</v>
      </c>
      <c r="R3670" t="s">
        <v>29</v>
      </c>
      <c r="S3670" t="s">
        <v>30</v>
      </c>
      <c r="T3670">
        <v>52168054</v>
      </c>
      <c r="U3670" t="s">
        <v>3977</v>
      </c>
      <c r="V3670" t="s">
        <v>3970</v>
      </c>
      <c r="W3670" s="9">
        <f>IF(V3670="pregrado",31,
IF(V3670="posgrados",31,
IF(V3670="rEINTEGROS",7,
IF(V3670="BIT",90,
IF(V3670="OP GRADO - INGLÉS",17,"")))))</f>
        <v>7</v>
      </c>
      <c r="X3670" t="s">
        <v>4057</v>
      </c>
    </row>
    <row r="3671" spans="1:24" ht="15" x14ac:dyDescent="0.35">
      <c r="A3671" s="4">
        <v>46053.668055555558</v>
      </c>
      <c r="B3671">
        <v>20119326</v>
      </c>
      <c r="C3671" s="6" t="s">
        <v>19</v>
      </c>
      <c r="D3671">
        <v>607429</v>
      </c>
      <c r="E3671" t="s">
        <v>20</v>
      </c>
      <c r="F3671">
        <v>68293858</v>
      </c>
      <c r="G3671" t="s">
        <v>2633</v>
      </c>
      <c r="H3671">
        <v>200085793</v>
      </c>
      <c r="I3671">
        <v>202631</v>
      </c>
      <c r="J3671">
        <v>1118196416</v>
      </c>
      <c r="K3671" t="s">
        <v>33</v>
      </c>
      <c r="L3671" t="s">
        <v>22</v>
      </c>
      <c r="M3671" t="s">
        <v>24</v>
      </c>
      <c r="N3671" t="s">
        <v>25</v>
      </c>
      <c r="O3671" t="s">
        <v>26</v>
      </c>
      <c r="P3671" t="s">
        <v>27</v>
      </c>
      <c r="Q3671" t="s">
        <v>28</v>
      </c>
      <c r="R3671" t="s">
        <v>29</v>
      </c>
      <c r="S3671" t="s">
        <v>30</v>
      </c>
      <c r="T3671">
        <v>79786913</v>
      </c>
      <c r="U3671" t="s">
        <v>3939</v>
      </c>
      <c r="V3671" t="s">
        <v>3934</v>
      </c>
      <c r="W3671" s="9">
        <f>IF(V3671="pregrado",31,
IF(V3671="posgrados",31,
IF(V3671="rEINTEGROS",7,
IF(V3671="BIT",90,
IF(V3671="OP GRADO - INGLÉS",17,"")))))</f>
        <v>31</v>
      </c>
      <c r="X3671" t="s">
        <v>4010</v>
      </c>
    </row>
    <row r="3672" spans="1:24" ht="15" x14ac:dyDescent="0.35">
      <c r="A3672" s="4">
        <v>46063.419432870367</v>
      </c>
      <c r="B3672">
        <v>20121964</v>
      </c>
      <c r="C3672" s="6" t="s">
        <v>19</v>
      </c>
      <c r="D3672">
        <v>607432</v>
      </c>
      <c r="E3672" t="s">
        <v>20</v>
      </c>
      <c r="F3672">
        <v>1030552315</v>
      </c>
      <c r="G3672" t="s">
        <v>2970</v>
      </c>
      <c r="H3672">
        <v>100244235</v>
      </c>
      <c r="I3672">
        <v>202610</v>
      </c>
      <c r="J3672">
        <v>1024507067</v>
      </c>
      <c r="K3672" t="s">
        <v>23</v>
      </c>
      <c r="L3672" t="s">
        <v>40</v>
      </c>
      <c r="M3672" t="s">
        <v>24</v>
      </c>
      <c r="N3672" t="s">
        <v>25</v>
      </c>
      <c r="O3672" t="s">
        <v>26</v>
      </c>
      <c r="P3672" t="s">
        <v>27</v>
      </c>
      <c r="Q3672" t="s">
        <v>28</v>
      </c>
      <c r="R3672" t="s">
        <v>29</v>
      </c>
      <c r="S3672" t="s">
        <v>30</v>
      </c>
      <c r="T3672">
        <v>53178431</v>
      </c>
      <c r="U3672" t="s">
        <v>3941</v>
      </c>
      <c r="V3672" t="s">
        <v>3934</v>
      </c>
      <c r="W3672" s="9">
        <f>IF(V3672="pregrado",31,
IF(V3672="posgrados",31,
IF(V3672="rEINTEGROS",7,
IF(V3672="BIT",90,
IF(V3672="OP GRADO - INGLÉS",17,"")))))</f>
        <v>31</v>
      </c>
      <c r="X3672" t="s">
        <v>3949</v>
      </c>
    </row>
    <row r="3673" spans="1:24" ht="15" x14ac:dyDescent="0.35">
      <c r="A3673" s="4">
        <v>46051.651516203703</v>
      </c>
      <c r="B3673">
        <v>20118585</v>
      </c>
      <c r="C3673" s="6" t="s">
        <v>19</v>
      </c>
      <c r="D3673">
        <v>607437</v>
      </c>
      <c r="E3673" t="s">
        <v>20</v>
      </c>
      <c r="F3673">
        <v>26473878</v>
      </c>
      <c r="G3673" t="s">
        <v>2497</v>
      </c>
      <c r="H3673">
        <v>100186728</v>
      </c>
      <c r="I3673">
        <v>202611</v>
      </c>
      <c r="J3673">
        <v>1010042990</v>
      </c>
      <c r="K3673" t="s">
        <v>89</v>
      </c>
      <c r="L3673" t="s">
        <v>133</v>
      </c>
      <c r="M3673" t="s">
        <v>24</v>
      </c>
      <c r="N3673" t="s">
        <v>35</v>
      </c>
      <c r="O3673" t="s">
        <v>26</v>
      </c>
      <c r="P3673" t="s">
        <v>27</v>
      </c>
      <c r="Q3673" t="s">
        <v>28</v>
      </c>
      <c r="R3673" t="s">
        <v>29</v>
      </c>
      <c r="S3673" t="s">
        <v>30</v>
      </c>
      <c r="T3673">
        <v>52168054</v>
      </c>
      <c r="U3673" t="s">
        <v>3977</v>
      </c>
      <c r="V3673" t="s">
        <v>3970</v>
      </c>
      <c r="W3673" s="9">
        <f>IF(V3673="pregrado",31,
IF(V3673="posgrados",31,
IF(V3673="rEINTEGROS",7,
IF(V3673="BIT",90,
IF(V3673="OP GRADO - INGLÉS",17,"")))))</f>
        <v>7</v>
      </c>
      <c r="X3673" t="s">
        <v>4057</v>
      </c>
    </row>
    <row r="3674" spans="1:24" ht="15" x14ac:dyDescent="0.35">
      <c r="A3674" s="4">
        <v>46063.650057870371</v>
      </c>
      <c r="B3674">
        <v>20122119</v>
      </c>
      <c r="C3674" s="6" t="s">
        <v>19</v>
      </c>
      <c r="D3674">
        <v>607440</v>
      </c>
      <c r="E3674" t="s">
        <v>20</v>
      </c>
      <c r="F3674">
        <v>1141314851</v>
      </c>
      <c r="G3674" t="s">
        <v>2997</v>
      </c>
      <c r="H3674">
        <v>100244248</v>
      </c>
      <c r="I3674">
        <v>202611</v>
      </c>
      <c r="J3674">
        <v>1141314851</v>
      </c>
      <c r="K3674" t="s">
        <v>33</v>
      </c>
      <c r="L3674" t="s">
        <v>204</v>
      </c>
      <c r="M3674" t="s">
        <v>24</v>
      </c>
      <c r="N3674" t="s">
        <v>25</v>
      </c>
      <c r="O3674" t="s">
        <v>26</v>
      </c>
      <c r="P3674" t="s">
        <v>27</v>
      </c>
      <c r="Q3674" t="s">
        <v>28</v>
      </c>
      <c r="R3674" t="s">
        <v>29</v>
      </c>
      <c r="S3674" t="s">
        <v>30</v>
      </c>
      <c r="T3674">
        <v>53178431</v>
      </c>
      <c r="U3674" t="s">
        <v>3941</v>
      </c>
      <c r="V3674" t="s">
        <v>3934</v>
      </c>
      <c r="W3674" s="9">
        <f>IF(V3674="pregrado",31,
IF(V3674="posgrados",31,
IF(V3674="rEINTEGROS",7,
IF(V3674="BIT",90,
IF(V3674="OP GRADO - INGLÉS",17,"")))))</f>
        <v>31</v>
      </c>
      <c r="X3674" t="s">
        <v>3949</v>
      </c>
    </row>
    <row r="3675" spans="1:24" ht="15" x14ac:dyDescent="0.35">
      <c r="A3675" s="4">
        <v>46051.724143518521</v>
      </c>
      <c r="B3675">
        <v>20118680</v>
      </c>
      <c r="C3675" s="6" t="s">
        <v>19</v>
      </c>
      <c r="D3675">
        <v>607451</v>
      </c>
      <c r="E3675" t="s">
        <v>20</v>
      </c>
      <c r="F3675">
        <v>1032493645</v>
      </c>
      <c r="G3675" t="s">
        <v>2518</v>
      </c>
      <c r="H3675">
        <v>100165432</v>
      </c>
      <c r="I3675">
        <v>202631</v>
      </c>
      <c r="J3675">
        <v>1032493645</v>
      </c>
      <c r="K3675" t="s">
        <v>89</v>
      </c>
      <c r="L3675" t="s">
        <v>57</v>
      </c>
      <c r="M3675" t="s">
        <v>24</v>
      </c>
      <c r="N3675" t="s">
        <v>35</v>
      </c>
      <c r="O3675" t="s">
        <v>26</v>
      </c>
      <c r="P3675" t="s">
        <v>27</v>
      </c>
      <c r="Q3675" t="s">
        <v>28</v>
      </c>
      <c r="R3675" t="s">
        <v>29</v>
      </c>
      <c r="S3675" t="s">
        <v>30</v>
      </c>
      <c r="T3675">
        <v>52168054</v>
      </c>
      <c r="U3675" t="s">
        <v>3977</v>
      </c>
      <c r="V3675" t="s">
        <v>3970</v>
      </c>
      <c r="W3675" s="9">
        <f>IF(V3675="pregrado",31,
IF(V3675="posgrados",31,
IF(V3675="rEINTEGROS",7,
IF(V3675="BIT",90,
IF(V3675="OP GRADO - INGLÉS",17,"")))))</f>
        <v>7</v>
      </c>
      <c r="X3675" t="s">
        <v>4057</v>
      </c>
    </row>
    <row r="3676" spans="1:24" ht="15" x14ac:dyDescent="0.35">
      <c r="A3676" s="4">
        <v>46057.73940972222</v>
      </c>
      <c r="B3676">
        <v>20120630</v>
      </c>
      <c r="C3676" s="6" t="s">
        <v>19</v>
      </c>
      <c r="D3676">
        <v>607464</v>
      </c>
      <c r="E3676" t="s">
        <v>20</v>
      </c>
      <c r="F3676">
        <v>78760946</v>
      </c>
      <c r="G3676" t="s">
        <v>2772</v>
      </c>
      <c r="H3676">
        <v>200076740</v>
      </c>
      <c r="I3676">
        <v>202631</v>
      </c>
      <c r="J3676">
        <v>78760946</v>
      </c>
      <c r="K3676" t="s">
        <v>23</v>
      </c>
      <c r="L3676" t="s">
        <v>77</v>
      </c>
      <c r="M3676" t="s">
        <v>24</v>
      </c>
      <c r="N3676" t="s">
        <v>35</v>
      </c>
      <c r="O3676" t="s">
        <v>26</v>
      </c>
      <c r="P3676" t="s">
        <v>27</v>
      </c>
      <c r="Q3676" t="s">
        <v>28</v>
      </c>
      <c r="R3676" t="s">
        <v>29</v>
      </c>
      <c r="S3676" t="s">
        <v>30</v>
      </c>
      <c r="T3676">
        <v>1000350862</v>
      </c>
      <c r="U3676" t="s">
        <v>3963</v>
      </c>
      <c r="V3676" t="s">
        <v>3934</v>
      </c>
      <c r="W3676" s="9">
        <f>IF(V3676="pregrado",31,
IF(V3676="posgrados",31,
IF(V3676="rEINTEGROS",7,
IF(V3676="BIT",90,
IF(V3676="OP GRADO - INGLÉS",17,"")))))</f>
        <v>31</v>
      </c>
      <c r="X3676" t="s">
        <v>4071</v>
      </c>
    </row>
    <row r="3677" spans="1:24" ht="15" x14ac:dyDescent="0.35">
      <c r="A3677" s="4">
        <v>46051.713182870371</v>
      </c>
      <c r="B3677">
        <v>20118669</v>
      </c>
      <c r="C3677" s="6" t="s">
        <v>19</v>
      </c>
      <c r="D3677">
        <v>607466</v>
      </c>
      <c r="E3677" t="s">
        <v>20</v>
      </c>
      <c r="F3677">
        <v>1023024328</v>
      </c>
      <c r="G3677" t="s">
        <v>2515</v>
      </c>
      <c r="H3677">
        <v>100175660</v>
      </c>
      <c r="I3677">
        <v>202610</v>
      </c>
      <c r="J3677">
        <v>1000991360</v>
      </c>
      <c r="K3677" t="s">
        <v>23</v>
      </c>
      <c r="L3677" t="s">
        <v>194</v>
      </c>
      <c r="M3677" t="s">
        <v>24</v>
      </c>
      <c r="N3677" t="s">
        <v>35</v>
      </c>
      <c r="O3677" t="s">
        <v>26</v>
      </c>
      <c r="P3677" t="s">
        <v>27</v>
      </c>
      <c r="Q3677" t="s">
        <v>28</v>
      </c>
      <c r="R3677" t="s">
        <v>29</v>
      </c>
      <c r="S3677" t="s">
        <v>30</v>
      </c>
      <c r="T3677">
        <v>1023975276</v>
      </c>
      <c r="U3677" t="s">
        <v>3963</v>
      </c>
      <c r="V3677" t="s">
        <v>3934</v>
      </c>
      <c r="W3677" s="9">
        <f>IF(V3677="pregrado",31,
IF(V3677="posgrados",31,
IF(V3677="rEINTEGROS",7,
IF(V3677="BIT",90,
IF(V3677="OP GRADO - INGLÉS",17,"")))))</f>
        <v>31</v>
      </c>
      <c r="X3677" t="s">
        <v>3962</v>
      </c>
    </row>
    <row r="3678" spans="1:24" ht="15" x14ac:dyDescent="0.35">
      <c r="A3678" s="4">
        <v>46056.415613425925</v>
      </c>
      <c r="B3678">
        <v>20119994</v>
      </c>
      <c r="C3678" s="6" t="s">
        <v>19</v>
      </c>
      <c r="D3678">
        <v>607484</v>
      </c>
      <c r="E3678" t="s">
        <v>20</v>
      </c>
      <c r="F3678">
        <v>1089348282</v>
      </c>
      <c r="G3678" t="s">
        <v>2684</v>
      </c>
      <c r="H3678">
        <v>100244278</v>
      </c>
      <c r="I3678">
        <v>202631</v>
      </c>
      <c r="J3678">
        <v>1089348282</v>
      </c>
      <c r="K3678" t="s">
        <v>33</v>
      </c>
      <c r="L3678" t="s">
        <v>32</v>
      </c>
      <c r="M3678" t="s">
        <v>24</v>
      </c>
      <c r="N3678" t="s">
        <v>25</v>
      </c>
      <c r="O3678" t="s">
        <v>26</v>
      </c>
      <c r="P3678" t="s">
        <v>27</v>
      </c>
      <c r="Q3678" t="s">
        <v>28</v>
      </c>
      <c r="R3678" t="s">
        <v>29</v>
      </c>
      <c r="S3678" t="s">
        <v>30</v>
      </c>
      <c r="T3678">
        <v>1006023129</v>
      </c>
      <c r="U3678" t="s">
        <v>3944</v>
      </c>
      <c r="V3678" t="s">
        <v>3934</v>
      </c>
      <c r="W3678" s="9">
        <f>IF(V3678="pregrado",31,
IF(V3678="posgrados",31,
IF(V3678="rEINTEGROS",7,
IF(V3678="BIT",90,
IF(V3678="OP GRADO - INGLÉS",17,"")))))</f>
        <v>31</v>
      </c>
      <c r="X3678" t="s">
        <v>3982</v>
      </c>
    </row>
    <row r="3679" spans="1:24" ht="15" x14ac:dyDescent="0.35">
      <c r="A3679" s="4">
        <v>46059.433946759258</v>
      </c>
      <c r="B3679">
        <v>20121126</v>
      </c>
      <c r="C3679" s="6" t="s">
        <v>19</v>
      </c>
      <c r="D3679">
        <v>607486</v>
      </c>
      <c r="E3679" t="s">
        <v>20</v>
      </c>
      <c r="F3679">
        <v>1065205972</v>
      </c>
      <c r="G3679" t="s">
        <v>2853</v>
      </c>
      <c r="H3679">
        <v>200077055</v>
      </c>
      <c r="I3679">
        <v>202631</v>
      </c>
      <c r="J3679">
        <v>1066283497</v>
      </c>
      <c r="K3679" t="s">
        <v>33</v>
      </c>
      <c r="L3679" t="s">
        <v>77</v>
      </c>
      <c r="M3679" t="s">
        <v>24</v>
      </c>
      <c r="N3679" t="s">
        <v>35</v>
      </c>
      <c r="O3679" t="s">
        <v>26</v>
      </c>
      <c r="P3679" t="s">
        <v>27</v>
      </c>
      <c r="Q3679" t="s">
        <v>28</v>
      </c>
      <c r="R3679" t="s">
        <v>29</v>
      </c>
      <c r="S3679" t="s">
        <v>30</v>
      </c>
      <c r="T3679">
        <v>1000350862</v>
      </c>
      <c r="U3679" t="s">
        <v>3963</v>
      </c>
      <c r="V3679" t="s">
        <v>3934</v>
      </c>
      <c r="W3679" s="9">
        <f>IF(V3679="pregrado",31,
IF(V3679="posgrados",31,
IF(V3679="rEINTEGROS",7,
IF(V3679="BIT",90,
IF(V3679="OP GRADO - INGLÉS",17,"")))))</f>
        <v>31</v>
      </c>
      <c r="X3679" t="s">
        <v>4071</v>
      </c>
    </row>
    <row r="3680" spans="1:24" ht="15" x14ac:dyDescent="0.35">
      <c r="A3680" s="4">
        <v>46053.464097222219</v>
      </c>
      <c r="B3680">
        <v>20119261</v>
      </c>
      <c r="C3680" s="6" t="s">
        <v>19</v>
      </c>
      <c r="D3680">
        <v>607496</v>
      </c>
      <c r="E3680" t="s">
        <v>20</v>
      </c>
      <c r="F3680">
        <v>22420266</v>
      </c>
      <c r="G3680" t="s">
        <v>2621</v>
      </c>
      <c r="H3680">
        <v>100235395</v>
      </c>
      <c r="I3680">
        <v>202631</v>
      </c>
      <c r="J3680">
        <v>32777592</v>
      </c>
      <c r="K3680" t="s">
        <v>33</v>
      </c>
      <c r="L3680" t="s">
        <v>370</v>
      </c>
      <c r="M3680" t="s">
        <v>24</v>
      </c>
      <c r="N3680" t="s">
        <v>35</v>
      </c>
      <c r="O3680" t="s">
        <v>26</v>
      </c>
      <c r="P3680" t="s">
        <v>27</v>
      </c>
      <c r="Q3680" t="s">
        <v>28</v>
      </c>
      <c r="R3680" t="s">
        <v>29</v>
      </c>
      <c r="S3680" t="s">
        <v>30</v>
      </c>
      <c r="T3680">
        <v>1023975276</v>
      </c>
      <c r="U3680" t="s">
        <v>3963</v>
      </c>
      <c r="V3680" t="s">
        <v>3934</v>
      </c>
      <c r="W3680" s="9">
        <f>IF(V3680="pregrado",31,
IF(V3680="posgrados",31,
IF(V3680="rEINTEGROS",7,
IF(V3680="BIT",90,
IF(V3680="OP GRADO - INGLÉS",17,"")))))</f>
        <v>31</v>
      </c>
      <c r="X3680" t="s">
        <v>3962</v>
      </c>
    </row>
    <row r="3681" spans="1:24" ht="15" x14ac:dyDescent="0.35">
      <c r="A3681" s="4">
        <v>46052.371562499997</v>
      </c>
      <c r="B3681">
        <v>20118765</v>
      </c>
      <c r="C3681" s="6" t="s">
        <v>19</v>
      </c>
      <c r="D3681">
        <v>607498</v>
      </c>
      <c r="E3681" t="s">
        <v>20</v>
      </c>
      <c r="F3681">
        <v>94356796</v>
      </c>
      <c r="G3681" t="s">
        <v>2531</v>
      </c>
      <c r="H3681">
        <v>200086330</v>
      </c>
      <c r="I3681">
        <v>202631</v>
      </c>
      <c r="J3681">
        <v>29786307</v>
      </c>
      <c r="K3681" t="s">
        <v>33</v>
      </c>
      <c r="L3681" t="s">
        <v>77</v>
      </c>
      <c r="M3681" t="s">
        <v>24</v>
      </c>
      <c r="N3681" t="s">
        <v>35</v>
      </c>
      <c r="O3681" t="s">
        <v>26</v>
      </c>
      <c r="P3681" t="s">
        <v>27</v>
      </c>
      <c r="Q3681" t="s">
        <v>28</v>
      </c>
      <c r="R3681" t="s">
        <v>29</v>
      </c>
      <c r="S3681" t="s">
        <v>30</v>
      </c>
      <c r="T3681">
        <v>1077967131</v>
      </c>
      <c r="U3681" t="s">
        <v>3963</v>
      </c>
      <c r="V3681" t="s">
        <v>3934</v>
      </c>
      <c r="W3681" s="9">
        <f>IF(V3681="pregrado",31,
IF(V3681="posgrados",31,
IF(V3681="rEINTEGROS",7,
IF(V3681="BIT",90,
IF(V3681="OP GRADO - INGLÉS",17,"")))))</f>
        <v>31</v>
      </c>
      <c r="X3681" t="s">
        <v>4011</v>
      </c>
    </row>
    <row r="3682" spans="1:24" ht="15" x14ac:dyDescent="0.35">
      <c r="A3682" s="4">
        <v>46052.774097222224</v>
      </c>
      <c r="B3682">
        <v>20119160</v>
      </c>
      <c r="C3682" s="6" t="s">
        <v>19</v>
      </c>
      <c r="D3682">
        <v>607504</v>
      </c>
      <c r="E3682" t="s">
        <v>20</v>
      </c>
      <c r="F3682">
        <v>51931443</v>
      </c>
      <c r="G3682" t="s">
        <v>2597</v>
      </c>
      <c r="H3682">
        <v>100244290</v>
      </c>
      <c r="I3682">
        <v>202610</v>
      </c>
      <c r="J3682">
        <v>1014739409</v>
      </c>
      <c r="K3682" t="s">
        <v>23</v>
      </c>
      <c r="L3682" t="s">
        <v>40</v>
      </c>
      <c r="M3682" t="s">
        <v>24</v>
      </c>
      <c r="N3682" t="s">
        <v>25</v>
      </c>
      <c r="O3682" t="s">
        <v>26</v>
      </c>
      <c r="P3682" t="s">
        <v>27</v>
      </c>
      <c r="Q3682" t="s">
        <v>28</v>
      </c>
      <c r="R3682" t="s">
        <v>29</v>
      </c>
      <c r="S3682" t="s">
        <v>30</v>
      </c>
      <c r="T3682">
        <v>53061994</v>
      </c>
      <c r="U3682" t="s">
        <v>3941</v>
      </c>
      <c r="V3682" t="s">
        <v>3934</v>
      </c>
      <c r="W3682" s="9">
        <f>IF(V3682="pregrado",31,
IF(V3682="posgrados",31,
IF(V3682="rEINTEGROS",7,
IF(V3682="BIT",90,
IF(V3682="OP GRADO - INGLÉS",17,"")))))</f>
        <v>31</v>
      </c>
      <c r="X3682" t="s">
        <v>3950</v>
      </c>
    </row>
    <row r="3683" spans="1:24" ht="15" x14ac:dyDescent="0.35">
      <c r="A3683" s="4">
        <v>46052.396041666667</v>
      </c>
      <c r="B3683">
        <v>20118782</v>
      </c>
      <c r="C3683" s="6" t="s">
        <v>19</v>
      </c>
      <c r="D3683">
        <v>607507</v>
      </c>
      <c r="E3683" t="s">
        <v>20</v>
      </c>
      <c r="F3683">
        <v>29679434</v>
      </c>
      <c r="G3683" t="s">
        <v>2535</v>
      </c>
      <c r="H3683">
        <v>100244295</v>
      </c>
      <c r="I3683">
        <v>202611</v>
      </c>
      <c r="J3683">
        <v>1114309158</v>
      </c>
      <c r="K3683" t="s">
        <v>23</v>
      </c>
      <c r="L3683" t="s">
        <v>204</v>
      </c>
      <c r="M3683" t="s">
        <v>24</v>
      </c>
      <c r="N3683" t="s">
        <v>35</v>
      </c>
      <c r="O3683" t="s">
        <v>26</v>
      </c>
      <c r="P3683" t="s">
        <v>27</v>
      </c>
      <c r="Q3683" t="s">
        <v>28</v>
      </c>
      <c r="R3683" t="s">
        <v>29</v>
      </c>
      <c r="S3683" t="s">
        <v>30</v>
      </c>
      <c r="T3683">
        <v>1020730718</v>
      </c>
      <c r="U3683" t="s">
        <v>3941</v>
      </c>
      <c r="V3683" t="s">
        <v>3934</v>
      </c>
      <c r="W3683" s="9">
        <f>IF(V3683="pregrado",31,
IF(V3683="posgrados",31,
IF(V3683="rEINTEGROS",7,
IF(V3683="BIT",90,
IF(V3683="OP GRADO - INGLÉS",17,"")))))</f>
        <v>31</v>
      </c>
      <c r="X3683" t="s">
        <v>3952</v>
      </c>
    </row>
    <row r="3684" spans="1:24" ht="15" x14ac:dyDescent="0.35">
      <c r="A3684" s="4">
        <v>46052.410833333335</v>
      </c>
      <c r="B3684">
        <v>20118802</v>
      </c>
      <c r="C3684" s="6" t="s">
        <v>19</v>
      </c>
      <c r="D3684">
        <v>607508</v>
      </c>
      <c r="E3684" t="s">
        <v>20</v>
      </c>
      <c r="F3684">
        <v>29661840</v>
      </c>
      <c r="G3684" t="s">
        <v>2538</v>
      </c>
      <c r="H3684">
        <v>100244296</v>
      </c>
      <c r="I3684">
        <v>202611</v>
      </c>
      <c r="J3684">
        <v>1114309157</v>
      </c>
      <c r="K3684" t="s">
        <v>23</v>
      </c>
      <c r="L3684" t="s">
        <v>204</v>
      </c>
      <c r="M3684" t="s">
        <v>24</v>
      </c>
      <c r="N3684" t="s">
        <v>35</v>
      </c>
      <c r="O3684" t="s">
        <v>26</v>
      </c>
      <c r="P3684" t="s">
        <v>27</v>
      </c>
      <c r="Q3684" t="s">
        <v>28</v>
      </c>
      <c r="R3684" t="s">
        <v>29</v>
      </c>
      <c r="S3684" t="s">
        <v>30</v>
      </c>
      <c r="T3684">
        <v>1020730718</v>
      </c>
      <c r="U3684" t="s">
        <v>3941</v>
      </c>
      <c r="V3684" t="s">
        <v>3934</v>
      </c>
      <c r="W3684" s="9">
        <f>IF(V3684="pregrado",31,
IF(V3684="posgrados",31,
IF(V3684="rEINTEGROS",7,
IF(V3684="BIT",90,
IF(V3684="OP GRADO - INGLÉS",17,"")))))</f>
        <v>31</v>
      </c>
      <c r="X3684" t="s">
        <v>3952</v>
      </c>
    </row>
    <row r="3685" spans="1:24" ht="15" x14ac:dyDescent="0.35">
      <c r="A3685" s="4">
        <v>46053.547627314816</v>
      </c>
      <c r="B3685">
        <v>20119300</v>
      </c>
      <c r="C3685" s="6" t="s">
        <v>19</v>
      </c>
      <c r="D3685">
        <v>607509</v>
      </c>
      <c r="E3685" t="s">
        <v>20</v>
      </c>
      <c r="F3685">
        <v>79389454</v>
      </c>
      <c r="G3685" t="s">
        <v>2630</v>
      </c>
      <c r="H3685">
        <v>100140808</v>
      </c>
      <c r="I3685">
        <v>202611</v>
      </c>
      <c r="J3685">
        <v>1015480912</v>
      </c>
      <c r="K3685" t="s">
        <v>89</v>
      </c>
      <c r="L3685" t="s">
        <v>133</v>
      </c>
      <c r="M3685" t="s">
        <v>24</v>
      </c>
      <c r="N3685" t="s">
        <v>35</v>
      </c>
      <c r="O3685" t="s">
        <v>26</v>
      </c>
      <c r="P3685" t="s">
        <v>27</v>
      </c>
      <c r="Q3685" t="s">
        <v>28</v>
      </c>
      <c r="R3685" t="s">
        <v>29</v>
      </c>
      <c r="S3685" t="s">
        <v>30</v>
      </c>
      <c r="T3685">
        <v>1019102787</v>
      </c>
      <c r="U3685" t="s">
        <v>3977</v>
      </c>
      <c r="V3685" t="s">
        <v>3970</v>
      </c>
      <c r="W3685" s="9">
        <f>IF(V3685="pregrado",31,
IF(V3685="posgrados",31,
IF(V3685="rEINTEGROS",7,
IF(V3685="BIT",90,
IF(V3685="OP GRADO - INGLÉS",17,"")))))</f>
        <v>7</v>
      </c>
      <c r="X3685" t="s">
        <v>3976</v>
      </c>
    </row>
    <row r="3686" spans="1:24" ht="15" x14ac:dyDescent="0.35">
      <c r="A3686" s="4">
        <v>46052.776643518519</v>
      </c>
      <c r="B3686">
        <v>20119163</v>
      </c>
      <c r="C3686" s="6" t="s">
        <v>19</v>
      </c>
      <c r="D3686">
        <v>607513</v>
      </c>
      <c r="E3686" t="s">
        <v>20</v>
      </c>
      <c r="F3686">
        <v>1010044906</v>
      </c>
      <c r="G3686" t="s">
        <v>2599</v>
      </c>
      <c r="H3686">
        <v>100244299</v>
      </c>
      <c r="I3686">
        <v>202611</v>
      </c>
      <c r="J3686">
        <v>1010044906</v>
      </c>
      <c r="K3686" t="s">
        <v>23</v>
      </c>
      <c r="L3686" t="s">
        <v>204</v>
      </c>
      <c r="M3686" t="s">
        <v>24</v>
      </c>
      <c r="N3686" t="s">
        <v>35</v>
      </c>
      <c r="O3686" t="s">
        <v>26</v>
      </c>
      <c r="P3686" t="s">
        <v>27</v>
      </c>
      <c r="Q3686" t="s">
        <v>28</v>
      </c>
      <c r="R3686" t="s">
        <v>29</v>
      </c>
      <c r="S3686" t="s">
        <v>30</v>
      </c>
      <c r="T3686">
        <v>80219471</v>
      </c>
      <c r="U3686" t="s">
        <v>3941</v>
      </c>
      <c r="V3686" t="s">
        <v>3934</v>
      </c>
      <c r="W3686" s="9">
        <f>IF(V3686="pregrado",31,
IF(V3686="posgrados",31,
IF(V3686="rEINTEGROS",7,
IF(V3686="BIT",90,
IF(V3686="OP GRADO - INGLÉS",17,"")))))</f>
        <v>31</v>
      </c>
      <c r="X3686" t="s">
        <v>4030</v>
      </c>
    </row>
    <row r="3687" spans="1:24" ht="15" x14ac:dyDescent="0.35">
      <c r="A3687" s="4">
        <v>46052.351736111108</v>
      </c>
      <c r="B3687">
        <v>20118753</v>
      </c>
      <c r="C3687" s="6" t="s">
        <v>19</v>
      </c>
      <c r="D3687">
        <v>607517</v>
      </c>
      <c r="E3687" t="s">
        <v>20</v>
      </c>
      <c r="F3687">
        <v>1152702432</v>
      </c>
      <c r="G3687" t="s">
        <v>2530</v>
      </c>
      <c r="H3687">
        <v>100244302</v>
      </c>
      <c r="I3687">
        <v>202631</v>
      </c>
      <c r="J3687">
        <v>1152702432</v>
      </c>
      <c r="K3687" t="s">
        <v>23</v>
      </c>
      <c r="L3687" t="s">
        <v>32</v>
      </c>
      <c r="M3687" t="s">
        <v>24</v>
      </c>
      <c r="N3687" t="s">
        <v>35</v>
      </c>
      <c r="O3687" t="s">
        <v>26</v>
      </c>
      <c r="P3687" t="s">
        <v>27</v>
      </c>
      <c r="Q3687" t="s">
        <v>28</v>
      </c>
      <c r="R3687" t="s">
        <v>29</v>
      </c>
      <c r="S3687" t="s">
        <v>30</v>
      </c>
      <c r="T3687">
        <v>1000349074</v>
      </c>
      <c r="U3687" t="s">
        <v>3944</v>
      </c>
      <c r="V3687" t="s">
        <v>3934</v>
      </c>
      <c r="W3687" s="9">
        <f>IF(V3687="pregrado",31,
IF(V3687="posgrados",31,
IF(V3687="rEINTEGROS",7,
IF(V3687="BIT",90,
IF(V3687="OP GRADO - INGLÉS",17,"")))))</f>
        <v>31</v>
      </c>
      <c r="X3687" t="s">
        <v>4036</v>
      </c>
    </row>
    <row r="3688" spans="1:24" ht="15" x14ac:dyDescent="0.35">
      <c r="A3688" s="4">
        <v>46053.725613425922</v>
      </c>
      <c r="B3688">
        <v>20119334</v>
      </c>
      <c r="C3688" s="6" t="s">
        <v>19</v>
      </c>
      <c r="D3688">
        <v>607523</v>
      </c>
      <c r="E3688" t="s">
        <v>20</v>
      </c>
      <c r="F3688">
        <v>1107974241</v>
      </c>
      <c r="G3688" t="s">
        <v>2634</v>
      </c>
      <c r="H3688">
        <v>100244313</v>
      </c>
      <c r="I3688">
        <v>202631</v>
      </c>
      <c r="J3688">
        <v>1107974241</v>
      </c>
      <c r="K3688" t="s">
        <v>23</v>
      </c>
      <c r="L3688" t="s">
        <v>57</v>
      </c>
      <c r="M3688" t="s">
        <v>24</v>
      </c>
      <c r="N3688" t="s">
        <v>35</v>
      </c>
      <c r="O3688" t="s">
        <v>26</v>
      </c>
      <c r="P3688" t="s">
        <v>27</v>
      </c>
      <c r="Q3688" t="s">
        <v>28</v>
      </c>
      <c r="R3688" t="s">
        <v>29</v>
      </c>
      <c r="S3688" t="s">
        <v>30</v>
      </c>
      <c r="T3688">
        <v>80219471</v>
      </c>
      <c r="U3688" t="s">
        <v>3941</v>
      </c>
      <c r="V3688" t="s">
        <v>3934</v>
      </c>
      <c r="W3688" s="9">
        <f>IF(V3688="pregrado",31,
IF(V3688="posgrados",31,
IF(V3688="rEINTEGROS",7,
IF(V3688="BIT",90,
IF(V3688="OP GRADO - INGLÉS",17,"")))))</f>
        <v>31</v>
      </c>
      <c r="X3688" t="s">
        <v>4030</v>
      </c>
    </row>
    <row r="3689" spans="1:24" ht="15" x14ac:dyDescent="0.35">
      <c r="A3689" s="4">
        <v>46055.842210648145</v>
      </c>
      <c r="B3689">
        <v>20119894</v>
      </c>
      <c r="C3689" s="6" t="s">
        <v>19</v>
      </c>
      <c r="D3689">
        <v>607524</v>
      </c>
      <c r="E3689" t="s">
        <v>20</v>
      </c>
      <c r="F3689">
        <v>5935389</v>
      </c>
      <c r="G3689" t="s">
        <v>2676</v>
      </c>
      <c r="H3689">
        <v>200085884</v>
      </c>
      <c r="I3689">
        <v>202631</v>
      </c>
      <c r="J3689">
        <v>1003752335</v>
      </c>
      <c r="K3689" t="s">
        <v>23</v>
      </c>
      <c r="L3689" t="s">
        <v>77</v>
      </c>
      <c r="M3689" t="s">
        <v>24</v>
      </c>
      <c r="N3689" t="s">
        <v>35</v>
      </c>
      <c r="O3689" t="s">
        <v>26</v>
      </c>
      <c r="P3689" t="s">
        <v>27</v>
      </c>
      <c r="Q3689" t="s">
        <v>28</v>
      </c>
      <c r="R3689" t="s">
        <v>29</v>
      </c>
      <c r="S3689" t="s">
        <v>30</v>
      </c>
      <c r="T3689">
        <v>1023975276</v>
      </c>
      <c r="U3689" t="s">
        <v>3963</v>
      </c>
      <c r="V3689" t="s">
        <v>3934</v>
      </c>
      <c r="W3689" s="9">
        <f>IF(V3689="pregrado",31,
IF(V3689="posgrados",31,
IF(V3689="rEINTEGROS",7,
IF(V3689="BIT",90,
IF(V3689="OP GRADO - INGLÉS",17,"")))))</f>
        <v>31</v>
      </c>
      <c r="X3689" t="s">
        <v>3962</v>
      </c>
    </row>
    <row r="3690" spans="1:24" ht="15" x14ac:dyDescent="0.35">
      <c r="A3690" s="4">
        <v>46052.486388888887</v>
      </c>
      <c r="B3690">
        <v>20118878</v>
      </c>
      <c r="C3690" s="6" t="s">
        <v>19</v>
      </c>
      <c r="D3690">
        <v>607527</v>
      </c>
      <c r="E3690" t="s">
        <v>20</v>
      </c>
      <c r="F3690">
        <v>1029640172</v>
      </c>
      <c r="G3690" t="s">
        <v>2551</v>
      </c>
      <c r="H3690">
        <v>100244318</v>
      </c>
      <c r="I3690">
        <v>202631</v>
      </c>
      <c r="J3690">
        <v>1029640172</v>
      </c>
      <c r="K3690" t="s">
        <v>23</v>
      </c>
      <c r="L3690" t="s">
        <v>127</v>
      </c>
      <c r="M3690" t="s">
        <v>24</v>
      </c>
      <c r="N3690" t="s">
        <v>35</v>
      </c>
      <c r="O3690" t="s">
        <v>26</v>
      </c>
      <c r="P3690" t="s">
        <v>27</v>
      </c>
      <c r="Q3690" t="s">
        <v>28</v>
      </c>
      <c r="R3690" t="s">
        <v>29</v>
      </c>
      <c r="S3690" t="s">
        <v>30</v>
      </c>
      <c r="T3690">
        <v>1007473661</v>
      </c>
      <c r="U3690" t="s">
        <v>3933</v>
      </c>
      <c r="V3690" t="s">
        <v>3934</v>
      </c>
      <c r="W3690" s="9">
        <f>IF(V3690="pregrado",31,
IF(V3690="posgrados",31,
IF(V3690="rEINTEGROS",7,
IF(V3690="BIT",90,
IF(V3690="OP GRADO - INGLÉS",17,"")))))</f>
        <v>31</v>
      </c>
      <c r="X3690" t="s">
        <v>4058</v>
      </c>
    </row>
    <row r="3691" spans="1:24" ht="15" x14ac:dyDescent="0.35">
      <c r="A3691" s="4">
        <v>46073.357604166667</v>
      </c>
      <c r="B3691">
        <v>20125092</v>
      </c>
      <c r="C3691" s="6" t="s">
        <v>19</v>
      </c>
      <c r="D3691">
        <v>607529</v>
      </c>
      <c r="E3691" t="s">
        <v>20</v>
      </c>
      <c r="F3691">
        <v>1014197578</v>
      </c>
      <c r="G3691" t="s">
        <v>3453</v>
      </c>
      <c r="H3691">
        <v>100084569</v>
      </c>
      <c r="I3691">
        <v>202631</v>
      </c>
      <c r="J3691">
        <v>1233696518</v>
      </c>
      <c r="K3691" t="s">
        <v>89</v>
      </c>
      <c r="L3691" t="s">
        <v>119</v>
      </c>
      <c r="M3691" t="s">
        <v>24</v>
      </c>
      <c r="N3691">
        <v>0</v>
      </c>
      <c r="O3691" t="s">
        <v>26</v>
      </c>
      <c r="P3691" t="s">
        <v>27</v>
      </c>
      <c r="Q3691" t="s">
        <v>28</v>
      </c>
      <c r="R3691" t="s">
        <v>29</v>
      </c>
      <c r="S3691" t="s">
        <v>30</v>
      </c>
      <c r="T3691">
        <v>1019102787</v>
      </c>
      <c r="U3691" t="s">
        <v>3977</v>
      </c>
      <c r="V3691" t="s">
        <v>3970</v>
      </c>
      <c r="W3691" s="9">
        <f>IF(V3691="pregrado",31,
IF(V3691="posgrados",31,
IF(V3691="rEINTEGROS",7,
IF(V3691="BIT",90,
IF(V3691="OP GRADO - INGLÉS",17,"")))))</f>
        <v>7</v>
      </c>
      <c r="X3691" t="s">
        <v>3976</v>
      </c>
    </row>
    <row r="3692" spans="1:24" ht="15" x14ac:dyDescent="0.35">
      <c r="A3692" s="4">
        <v>46052.731377314813</v>
      </c>
      <c r="B3692">
        <v>20119135</v>
      </c>
      <c r="C3692" s="6" t="s">
        <v>19</v>
      </c>
      <c r="D3692">
        <v>607536</v>
      </c>
      <c r="E3692" t="s">
        <v>20</v>
      </c>
      <c r="F3692">
        <v>1117487449</v>
      </c>
      <c r="G3692" t="s">
        <v>2593</v>
      </c>
      <c r="H3692">
        <v>100244328</v>
      </c>
      <c r="I3692">
        <v>202631</v>
      </c>
      <c r="J3692">
        <v>1117487449</v>
      </c>
      <c r="K3692" t="s">
        <v>33</v>
      </c>
      <c r="L3692" t="s">
        <v>32</v>
      </c>
      <c r="M3692" t="s">
        <v>24</v>
      </c>
      <c r="N3692" t="s">
        <v>25</v>
      </c>
      <c r="O3692" t="s">
        <v>26</v>
      </c>
      <c r="P3692" t="s">
        <v>27</v>
      </c>
      <c r="Q3692" t="s">
        <v>28</v>
      </c>
      <c r="R3692" t="s">
        <v>29</v>
      </c>
      <c r="S3692" t="s">
        <v>30</v>
      </c>
      <c r="T3692">
        <v>1000001980</v>
      </c>
      <c r="U3692" t="s">
        <v>3944</v>
      </c>
      <c r="V3692" t="s">
        <v>3934</v>
      </c>
      <c r="W3692" s="9">
        <f>IF(V3692="pregrado",31,
IF(V3692="posgrados",31,
IF(V3692="rEINTEGROS",7,
IF(V3692="BIT",90,
IF(V3692="OP GRADO - INGLÉS",17,"")))))</f>
        <v>31</v>
      </c>
      <c r="X3692" t="s">
        <v>3968</v>
      </c>
    </row>
    <row r="3693" spans="1:24" ht="15" x14ac:dyDescent="0.35">
      <c r="A3693" s="4">
        <v>46052.518877314818</v>
      </c>
      <c r="B3693">
        <v>20118914</v>
      </c>
      <c r="C3693" s="6" t="s">
        <v>19</v>
      </c>
      <c r="D3693">
        <v>607543</v>
      </c>
      <c r="E3693" t="s">
        <v>20</v>
      </c>
      <c r="F3693">
        <v>1114541742</v>
      </c>
      <c r="G3693" t="s">
        <v>2556</v>
      </c>
      <c r="H3693">
        <v>100244337</v>
      </c>
      <c r="I3693">
        <v>202631</v>
      </c>
      <c r="J3693">
        <v>1114541742</v>
      </c>
      <c r="K3693" t="s">
        <v>33</v>
      </c>
      <c r="L3693" t="s">
        <v>127</v>
      </c>
      <c r="M3693" t="s">
        <v>24</v>
      </c>
      <c r="N3693" t="s">
        <v>25</v>
      </c>
      <c r="O3693" t="s">
        <v>26</v>
      </c>
      <c r="P3693" t="s">
        <v>27</v>
      </c>
      <c r="Q3693" t="s">
        <v>28</v>
      </c>
      <c r="R3693" t="s">
        <v>29</v>
      </c>
      <c r="S3693" t="s">
        <v>30</v>
      </c>
      <c r="T3693">
        <v>1023970223</v>
      </c>
      <c r="U3693" t="s">
        <v>3933</v>
      </c>
      <c r="V3693" t="s">
        <v>3934</v>
      </c>
      <c r="W3693" s="9">
        <f>IF(V3693="pregrado",31,
IF(V3693="posgrados",31,
IF(V3693="rEINTEGROS",7,
IF(V3693="BIT",90,
IF(V3693="OP GRADO - INGLÉS",17,"")))))</f>
        <v>31</v>
      </c>
      <c r="X3693" t="s">
        <v>4070</v>
      </c>
    </row>
    <row r="3694" spans="1:24" ht="15" x14ac:dyDescent="0.35">
      <c r="A3694" s="4">
        <v>46052.740162037036</v>
      </c>
      <c r="B3694">
        <v>20119142</v>
      </c>
      <c r="C3694" s="6" t="s">
        <v>19</v>
      </c>
      <c r="D3694">
        <v>607553</v>
      </c>
      <c r="E3694" t="s">
        <v>20</v>
      </c>
      <c r="F3694">
        <v>1023952486</v>
      </c>
      <c r="G3694" t="s">
        <v>2596</v>
      </c>
      <c r="H3694">
        <v>100041709</v>
      </c>
      <c r="I3694">
        <v>202631</v>
      </c>
      <c r="J3694">
        <v>1033753361</v>
      </c>
      <c r="K3694" t="s">
        <v>74</v>
      </c>
      <c r="L3694" t="s">
        <v>207</v>
      </c>
      <c r="M3694" t="s">
        <v>24</v>
      </c>
      <c r="N3694" t="s">
        <v>35</v>
      </c>
      <c r="O3694" t="s">
        <v>26</v>
      </c>
      <c r="P3694" t="s">
        <v>27</v>
      </c>
      <c r="Q3694" t="s">
        <v>28</v>
      </c>
      <c r="R3694" t="s">
        <v>29</v>
      </c>
      <c r="S3694" t="s">
        <v>30</v>
      </c>
      <c r="T3694">
        <v>1002500634</v>
      </c>
      <c r="U3694" t="s">
        <v>3986</v>
      </c>
      <c r="V3694" t="s">
        <v>3934</v>
      </c>
      <c r="W3694" s="9">
        <f>IF(V3694="pregrado",31,
IF(V3694="posgrados",31,
IF(V3694="rEINTEGROS",7,
IF(V3694="BIT",90,
IF(V3694="OP GRADO - INGLÉS",17,"")))))</f>
        <v>31</v>
      </c>
      <c r="X3694" t="s">
        <v>4026</v>
      </c>
    </row>
    <row r="3695" spans="1:24" ht="15" x14ac:dyDescent="0.35">
      <c r="A3695" s="4">
        <v>46052.545671296299</v>
      </c>
      <c r="B3695">
        <v>20118927</v>
      </c>
      <c r="C3695" s="6" t="s">
        <v>19</v>
      </c>
      <c r="D3695">
        <v>607561</v>
      </c>
      <c r="E3695" t="s">
        <v>20</v>
      </c>
      <c r="F3695">
        <v>1096197554</v>
      </c>
      <c r="G3695" t="s">
        <v>2559</v>
      </c>
      <c r="H3695">
        <v>200086637</v>
      </c>
      <c r="I3695">
        <v>202631</v>
      </c>
      <c r="J3695">
        <v>1096197554</v>
      </c>
      <c r="K3695" t="s">
        <v>33</v>
      </c>
      <c r="L3695" t="s">
        <v>119</v>
      </c>
      <c r="M3695" t="s">
        <v>24</v>
      </c>
      <c r="N3695" t="s">
        <v>35</v>
      </c>
      <c r="O3695" t="s">
        <v>26</v>
      </c>
      <c r="P3695" t="s">
        <v>27</v>
      </c>
      <c r="Q3695" t="s">
        <v>28</v>
      </c>
      <c r="R3695" t="s">
        <v>29</v>
      </c>
      <c r="S3695" t="s">
        <v>30</v>
      </c>
      <c r="T3695">
        <v>1000350862</v>
      </c>
      <c r="U3695" t="s">
        <v>3963</v>
      </c>
      <c r="V3695" t="s">
        <v>3934</v>
      </c>
      <c r="W3695" s="9">
        <f>IF(V3695="pregrado",31,
IF(V3695="posgrados",31,
IF(V3695="rEINTEGROS",7,
IF(V3695="BIT",90,
IF(V3695="OP GRADO - INGLÉS",17,"")))))</f>
        <v>31</v>
      </c>
      <c r="X3695" t="s">
        <v>4071</v>
      </c>
    </row>
    <row r="3696" spans="1:24" ht="15" x14ac:dyDescent="0.35">
      <c r="A3696" s="4">
        <v>46052.816493055558</v>
      </c>
      <c r="B3696">
        <v>20119169</v>
      </c>
      <c r="C3696" s="6" t="s">
        <v>19</v>
      </c>
      <c r="D3696">
        <v>607571</v>
      </c>
      <c r="E3696" t="s">
        <v>20</v>
      </c>
      <c r="F3696">
        <v>1065662042</v>
      </c>
      <c r="G3696" t="s">
        <v>2601</v>
      </c>
      <c r="H3696">
        <v>100244385</v>
      </c>
      <c r="I3696">
        <v>202631</v>
      </c>
      <c r="J3696">
        <v>1019051157</v>
      </c>
      <c r="K3696" t="s">
        <v>33</v>
      </c>
      <c r="L3696" t="s">
        <v>127</v>
      </c>
      <c r="M3696" t="s">
        <v>24</v>
      </c>
      <c r="N3696" t="s">
        <v>38</v>
      </c>
      <c r="O3696" t="s">
        <v>26</v>
      </c>
      <c r="P3696" t="s">
        <v>27</v>
      </c>
      <c r="Q3696" t="s">
        <v>28</v>
      </c>
      <c r="R3696" t="s">
        <v>29</v>
      </c>
      <c r="S3696" t="s">
        <v>30</v>
      </c>
      <c r="T3696">
        <v>1015441103</v>
      </c>
      <c r="U3696" t="s">
        <v>3933</v>
      </c>
      <c r="V3696" t="s">
        <v>3934</v>
      </c>
      <c r="W3696" s="9">
        <f>IF(V3696="pregrado",31,
IF(V3696="posgrados",31,
IF(V3696="rEINTEGROS",7,
IF(V3696="BIT",90,
IF(V3696="OP GRADO - INGLÉS",17,"")))))</f>
        <v>31</v>
      </c>
      <c r="X3696" t="s">
        <v>3961</v>
      </c>
    </row>
    <row r="3697" spans="1:24" ht="15" x14ac:dyDescent="0.35">
      <c r="A3697" s="4">
        <v>46062.467858796299</v>
      </c>
      <c r="B3697">
        <v>20121594</v>
      </c>
      <c r="C3697" s="6" t="s">
        <v>19</v>
      </c>
      <c r="D3697">
        <v>607574</v>
      </c>
      <c r="E3697" t="s">
        <v>20</v>
      </c>
      <c r="F3697">
        <v>1003646224</v>
      </c>
      <c r="G3697" t="s">
        <v>2916</v>
      </c>
      <c r="H3697">
        <v>100095544</v>
      </c>
      <c r="I3697">
        <v>202631</v>
      </c>
      <c r="J3697">
        <v>50711051</v>
      </c>
      <c r="K3697" t="s">
        <v>33</v>
      </c>
      <c r="L3697" t="s">
        <v>119</v>
      </c>
      <c r="M3697" t="s">
        <v>24</v>
      </c>
      <c r="N3697" t="s">
        <v>35</v>
      </c>
      <c r="O3697" t="s">
        <v>26</v>
      </c>
      <c r="P3697" t="s">
        <v>27</v>
      </c>
      <c r="Q3697" t="s">
        <v>28</v>
      </c>
      <c r="R3697" t="s">
        <v>29</v>
      </c>
      <c r="S3697" t="s">
        <v>30</v>
      </c>
      <c r="T3697">
        <v>1023975276</v>
      </c>
      <c r="U3697" t="s">
        <v>3963</v>
      </c>
      <c r="V3697" t="s">
        <v>3934</v>
      </c>
      <c r="W3697" s="9">
        <f>IF(V3697="pregrado",31,
IF(V3697="posgrados",31,
IF(V3697="rEINTEGROS",7,
IF(V3697="BIT",90,
IF(V3697="OP GRADO - INGLÉS",17,"")))))</f>
        <v>31</v>
      </c>
      <c r="X3697" t="s">
        <v>3962</v>
      </c>
    </row>
    <row r="3698" spans="1:24" ht="15" x14ac:dyDescent="0.35">
      <c r="A3698" s="4">
        <v>46074.39472222222</v>
      </c>
      <c r="B3698">
        <v>20125475</v>
      </c>
      <c r="C3698" s="6" t="s">
        <v>19</v>
      </c>
      <c r="D3698">
        <v>607584</v>
      </c>
      <c r="E3698" t="s">
        <v>20</v>
      </c>
      <c r="F3698">
        <v>1019983511</v>
      </c>
      <c r="G3698" t="s">
        <v>3505</v>
      </c>
      <c r="H3698">
        <v>100244398</v>
      </c>
      <c r="I3698">
        <v>202610</v>
      </c>
      <c r="J3698">
        <v>1019983511</v>
      </c>
      <c r="K3698" t="s">
        <v>23</v>
      </c>
      <c r="L3698" t="s">
        <v>40</v>
      </c>
      <c r="M3698" t="s">
        <v>24</v>
      </c>
      <c r="N3698" t="s">
        <v>35</v>
      </c>
      <c r="O3698" t="s">
        <v>26</v>
      </c>
      <c r="P3698" t="s">
        <v>27</v>
      </c>
      <c r="Q3698" t="s">
        <v>28</v>
      </c>
      <c r="R3698" t="s">
        <v>29</v>
      </c>
      <c r="S3698" t="s">
        <v>30</v>
      </c>
      <c r="T3698">
        <v>53178431</v>
      </c>
      <c r="U3698" t="s">
        <v>3941</v>
      </c>
      <c r="V3698" t="s">
        <v>3934</v>
      </c>
      <c r="W3698" s="9">
        <f>IF(V3698="pregrado",31,
IF(V3698="posgrados",31,
IF(V3698="rEINTEGROS",7,
IF(V3698="BIT",90,
IF(V3698="OP GRADO - INGLÉS",17,"")))))</f>
        <v>31</v>
      </c>
      <c r="X3698" t="s">
        <v>3949</v>
      </c>
    </row>
    <row r="3699" spans="1:24" ht="15" x14ac:dyDescent="0.35">
      <c r="A3699" s="4">
        <v>46055.416585648149</v>
      </c>
      <c r="B3699">
        <v>20119503</v>
      </c>
      <c r="C3699" s="6" t="s">
        <v>19</v>
      </c>
      <c r="D3699">
        <v>607587</v>
      </c>
      <c r="E3699" t="s">
        <v>20</v>
      </c>
      <c r="F3699">
        <v>1061737458</v>
      </c>
      <c r="G3699" t="s">
        <v>2644</v>
      </c>
      <c r="H3699">
        <v>100124056</v>
      </c>
      <c r="I3699">
        <v>202631</v>
      </c>
      <c r="J3699">
        <v>1061737458</v>
      </c>
      <c r="K3699" t="s">
        <v>89</v>
      </c>
      <c r="L3699" t="s">
        <v>127</v>
      </c>
      <c r="M3699" t="s">
        <v>24</v>
      </c>
      <c r="N3699" t="s">
        <v>25</v>
      </c>
      <c r="O3699" t="s">
        <v>26</v>
      </c>
      <c r="P3699" t="s">
        <v>27</v>
      </c>
      <c r="Q3699" t="s">
        <v>28</v>
      </c>
      <c r="R3699" t="s">
        <v>29</v>
      </c>
      <c r="S3699" t="s">
        <v>30</v>
      </c>
      <c r="T3699">
        <v>52168054</v>
      </c>
      <c r="U3699" t="s">
        <v>3977</v>
      </c>
      <c r="V3699" t="s">
        <v>3970</v>
      </c>
      <c r="W3699" s="9">
        <f>IF(V3699="pregrado",31,
IF(V3699="posgrados",31,
IF(V3699="rEINTEGROS",7,
IF(V3699="BIT",90,
IF(V3699="OP GRADO - INGLÉS",17,"")))))</f>
        <v>7</v>
      </c>
      <c r="X3699" t="s">
        <v>4057</v>
      </c>
    </row>
    <row r="3700" spans="1:24" ht="15" x14ac:dyDescent="0.35">
      <c r="A3700" s="4">
        <v>46052.683541666665</v>
      </c>
      <c r="B3700">
        <v>20119067</v>
      </c>
      <c r="C3700" s="6" t="s">
        <v>19</v>
      </c>
      <c r="D3700">
        <v>607594</v>
      </c>
      <c r="E3700" t="s">
        <v>20</v>
      </c>
      <c r="F3700">
        <v>41579149</v>
      </c>
      <c r="G3700" t="s">
        <v>2579</v>
      </c>
      <c r="H3700">
        <v>100163734</v>
      </c>
      <c r="I3700">
        <v>202631</v>
      </c>
      <c r="J3700">
        <v>1000135476</v>
      </c>
      <c r="K3700" t="s">
        <v>33</v>
      </c>
      <c r="L3700" t="s">
        <v>207</v>
      </c>
      <c r="M3700" t="s">
        <v>24</v>
      </c>
      <c r="N3700" t="s">
        <v>35</v>
      </c>
      <c r="O3700" t="s">
        <v>26</v>
      </c>
      <c r="P3700" t="s">
        <v>27</v>
      </c>
      <c r="Q3700" t="s">
        <v>28</v>
      </c>
      <c r="R3700" t="s">
        <v>29</v>
      </c>
      <c r="S3700" t="s">
        <v>30</v>
      </c>
      <c r="T3700">
        <v>1023000938</v>
      </c>
      <c r="U3700" t="s">
        <v>3941</v>
      </c>
      <c r="V3700" t="s">
        <v>3934</v>
      </c>
      <c r="W3700" s="9">
        <f>IF(V3700="pregrado",31,
IF(V3700="posgrados",31,
IF(V3700="rEINTEGROS",7,
IF(V3700="BIT",90,
IF(V3700="OP GRADO - INGLÉS",17,"")))))</f>
        <v>31</v>
      </c>
      <c r="X3700" t="s">
        <v>3989</v>
      </c>
    </row>
    <row r="3701" spans="1:24" ht="15" x14ac:dyDescent="0.35">
      <c r="A3701" s="4">
        <v>46065.724120370367</v>
      </c>
      <c r="B3701">
        <v>20122971</v>
      </c>
      <c r="C3701" s="6" t="s">
        <v>19</v>
      </c>
      <c r="D3701">
        <v>607600</v>
      </c>
      <c r="E3701" t="s">
        <v>20</v>
      </c>
      <c r="F3701">
        <v>57300007</v>
      </c>
      <c r="G3701" t="s">
        <v>3122</v>
      </c>
      <c r="H3701">
        <v>100244418</v>
      </c>
      <c r="I3701">
        <v>202611</v>
      </c>
      <c r="J3701">
        <v>1082997169</v>
      </c>
      <c r="K3701" t="s">
        <v>23</v>
      </c>
      <c r="L3701" t="s">
        <v>221</v>
      </c>
      <c r="M3701" t="s">
        <v>24</v>
      </c>
      <c r="N3701" t="s">
        <v>35</v>
      </c>
      <c r="O3701" t="s">
        <v>26</v>
      </c>
      <c r="P3701" t="s">
        <v>27</v>
      </c>
      <c r="Q3701" t="s">
        <v>28</v>
      </c>
      <c r="R3701" t="s">
        <v>29</v>
      </c>
      <c r="S3701" t="s">
        <v>30</v>
      </c>
      <c r="T3701">
        <v>1026298522</v>
      </c>
      <c r="U3701" t="s">
        <v>3965</v>
      </c>
      <c r="V3701" t="s">
        <v>3934</v>
      </c>
      <c r="W3701" s="9">
        <f>IF(V3701="pregrado",31,
IF(V3701="posgrados",31,
IF(V3701="rEINTEGROS",7,
IF(V3701="BIT",90,
IF(V3701="OP GRADO - INGLÉS",17,"")))))</f>
        <v>31</v>
      </c>
      <c r="X3701" t="s">
        <v>4040</v>
      </c>
    </row>
    <row r="3702" spans="1:24" ht="15" x14ac:dyDescent="0.35">
      <c r="A3702" s="4">
        <v>46052.475798611114</v>
      </c>
      <c r="B3702">
        <v>20118862</v>
      </c>
      <c r="C3702" s="6" t="s">
        <v>19</v>
      </c>
      <c r="D3702">
        <v>607604</v>
      </c>
      <c r="E3702" t="s">
        <v>20</v>
      </c>
      <c r="F3702">
        <v>1065664883</v>
      </c>
      <c r="G3702" t="s">
        <v>2548</v>
      </c>
      <c r="H3702">
        <v>100244421</v>
      </c>
      <c r="I3702">
        <v>202611</v>
      </c>
      <c r="J3702">
        <v>1065664883</v>
      </c>
      <c r="K3702" t="s">
        <v>23</v>
      </c>
      <c r="L3702" t="s">
        <v>221</v>
      </c>
      <c r="M3702" t="s">
        <v>24</v>
      </c>
      <c r="N3702" t="s">
        <v>35</v>
      </c>
      <c r="O3702" t="s">
        <v>26</v>
      </c>
      <c r="P3702" t="s">
        <v>27</v>
      </c>
      <c r="Q3702" t="s">
        <v>28</v>
      </c>
      <c r="R3702" t="s">
        <v>29</v>
      </c>
      <c r="S3702" t="s">
        <v>30</v>
      </c>
      <c r="T3702">
        <v>1013662799</v>
      </c>
      <c r="U3702" t="s">
        <v>3965</v>
      </c>
      <c r="V3702" t="s">
        <v>3934</v>
      </c>
      <c r="W3702" s="9">
        <f>IF(V3702="pregrado",31,
IF(V3702="posgrados",31,
IF(V3702="rEINTEGROS",7,
IF(V3702="BIT",90,
IF(V3702="OP GRADO - INGLÉS",17,"")))))</f>
        <v>31</v>
      </c>
      <c r="X3702" t="s">
        <v>4021</v>
      </c>
    </row>
    <row r="3703" spans="1:24" ht="15" x14ac:dyDescent="0.35">
      <c r="A3703" s="4">
        <v>46053.409687500003</v>
      </c>
      <c r="B3703">
        <v>20119228</v>
      </c>
      <c r="C3703" s="6" t="s">
        <v>19</v>
      </c>
      <c r="D3703">
        <v>607609</v>
      </c>
      <c r="E3703" t="s">
        <v>20</v>
      </c>
      <c r="F3703">
        <v>23660664</v>
      </c>
      <c r="G3703" t="s">
        <v>2611</v>
      </c>
      <c r="H3703">
        <v>100244431</v>
      </c>
      <c r="I3703">
        <v>202631</v>
      </c>
      <c r="J3703">
        <v>1070949658</v>
      </c>
      <c r="K3703" t="s">
        <v>23</v>
      </c>
      <c r="L3703" t="s">
        <v>127</v>
      </c>
      <c r="M3703" t="s">
        <v>24</v>
      </c>
      <c r="N3703" t="s">
        <v>35</v>
      </c>
      <c r="O3703" t="s">
        <v>26</v>
      </c>
      <c r="P3703" t="s">
        <v>27</v>
      </c>
      <c r="Q3703" t="s">
        <v>28</v>
      </c>
      <c r="R3703" t="s">
        <v>29</v>
      </c>
      <c r="S3703" t="s">
        <v>30</v>
      </c>
      <c r="T3703">
        <v>1010240716</v>
      </c>
      <c r="U3703" t="s">
        <v>3939</v>
      </c>
      <c r="V3703" t="s">
        <v>3934</v>
      </c>
      <c r="W3703" s="9">
        <f>IF(V3703="pregrado",31,
IF(V3703="posgrados",31,
IF(V3703="rEINTEGROS",7,
IF(V3703="BIT",90,
IF(V3703="OP GRADO - INGLÉS",17,"")))))</f>
        <v>31</v>
      </c>
      <c r="X3703" t="s">
        <v>3938</v>
      </c>
    </row>
    <row r="3704" spans="1:24" ht="15" x14ac:dyDescent="0.35">
      <c r="A3704" s="4">
        <v>46052.707673611112</v>
      </c>
      <c r="B3704">
        <v>20119107</v>
      </c>
      <c r="C3704" s="6" t="s">
        <v>19</v>
      </c>
      <c r="D3704">
        <v>607610</v>
      </c>
      <c r="E3704" t="s">
        <v>20</v>
      </c>
      <c r="F3704">
        <v>1039084731</v>
      </c>
      <c r="G3704" t="s">
        <v>2591</v>
      </c>
      <c r="H3704">
        <v>100244432</v>
      </c>
      <c r="I3704">
        <v>202631</v>
      </c>
      <c r="J3704">
        <v>1131939286</v>
      </c>
      <c r="K3704" t="s">
        <v>23</v>
      </c>
      <c r="L3704" t="s">
        <v>127</v>
      </c>
      <c r="M3704" t="s">
        <v>24</v>
      </c>
      <c r="N3704" t="s">
        <v>35</v>
      </c>
      <c r="O3704" t="s">
        <v>26</v>
      </c>
      <c r="P3704" t="s">
        <v>27</v>
      </c>
      <c r="Q3704" t="s">
        <v>28</v>
      </c>
      <c r="R3704" t="s">
        <v>29</v>
      </c>
      <c r="S3704" t="s">
        <v>30</v>
      </c>
      <c r="T3704">
        <v>1023970223</v>
      </c>
      <c r="U3704" t="s">
        <v>3933</v>
      </c>
      <c r="V3704" t="s">
        <v>3934</v>
      </c>
      <c r="W3704" s="9">
        <f>IF(V3704="pregrado",31,
IF(V3704="posgrados",31,
IF(V3704="rEINTEGROS",7,
IF(V3704="BIT",90,
IF(V3704="OP GRADO - INGLÉS",17,"")))))</f>
        <v>31</v>
      </c>
      <c r="X3704" t="s">
        <v>4070</v>
      </c>
    </row>
    <row r="3705" spans="1:24" ht="15" x14ac:dyDescent="0.35">
      <c r="A3705" s="4">
        <v>46058.511018518519</v>
      </c>
      <c r="B3705">
        <v>20120824</v>
      </c>
      <c r="C3705" s="6" t="s">
        <v>19</v>
      </c>
      <c r="D3705">
        <v>607615</v>
      </c>
      <c r="E3705" t="s">
        <v>20</v>
      </c>
      <c r="F3705">
        <v>1030594119</v>
      </c>
      <c r="G3705" t="s">
        <v>2801</v>
      </c>
      <c r="H3705">
        <v>100084172</v>
      </c>
      <c r="I3705">
        <v>202631</v>
      </c>
      <c r="J3705">
        <v>1030594119</v>
      </c>
      <c r="K3705" t="s">
        <v>23</v>
      </c>
      <c r="L3705" t="s">
        <v>207</v>
      </c>
      <c r="M3705" t="s">
        <v>24</v>
      </c>
      <c r="N3705" t="s">
        <v>35</v>
      </c>
      <c r="O3705" t="s">
        <v>26</v>
      </c>
      <c r="P3705" t="s">
        <v>27</v>
      </c>
      <c r="Q3705" t="s">
        <v>28</v>
      </c>
      <c r="R3705" t="s">
        <v>29</v>
      </c>
      <c r="S3705" t="s">
        <v>30</v>
      </c>
      <c r="T3705">
        <v>1018455773</v>
      </c>
      <c r="U3705" t="s">
        <v>3986</v>
      </c>
      <c r="V3705" t="s">
        <v>3934</v>
      </c>
      <c r="W3705" s="9">
        <f>IF(V3705="pregrado",31,
IF(V3705="posgrados",31,
IF(V3705="rEINTEGROS",7,
IF(V3705="BIT",90,
IF(V3705="OP GRADO - INGLÉS",17,"")))))</f>
        <v>31</v>
      </c>
      <c r="X3705" t="s">
        <v>4101</v>
      </c>
    </row>
    <row r="3706" spans="1:24" ht="15" x14ac:dyDescent="0.35">
      <c r="A3706" s="4">
        <v>46055.380891203706</v>
      </c>
      <c r="B3706">
        <v>20119462</v>
      </c>
      <c r="C3706" s="6" t="s">
        <v>19</v>
      </c>
      <c r="D3706">
        <v>607619</v>
      </c>
      <c r="E3706" t="s">
        <v>20</v>
      </c>
      <c r="F3706">
        <v>79120690</v>
      </c>
      <c r="G3706" t="s">
        <v>2641</v>
      </c>
      <c r="H3706">
        <v>100244442</v>
      </c>
      <c r="I3706">
        <v>202631</v>
      </c>
      <c r="J3706">
        <v>1016077492</v>
      </c>
      <c r="K3706" t="s">
        <v>23</v>
      </c>
      <c r="L3706" t="s">
        <v>127</v>
      </c>
      <c r="M3706" t="s">
        <v>24</v>
      </c>
      <c r="N3706" t="s">
        <v>35</v>
      </c>
      <c r="O3706" t="s">
        <v>26</v>
      </c>
      <c r="P3706" t="s">
        <v>27</v>
      </c>
      <c r="Q3706" t="s">
        <v>28</v>
      </c>
      <c r="R3706" t="s">
        <v>29</v>
      </c>
      <c r="S3706" t="s">
        <v>30</v>
      </c>
      <c r="T3706">
        <v>1010240716</v>
      </c>
      <c r="U3706" t="s">
        <v>3939</v>
      </c>
      <c r="V3706" t="s">
        <v>3934</v>
      </c>
      <c r="W3706" s="9">
        <f>IF(V3706="pregrado",31,
IF(V3706="posgrados",31,
IF(V3706="rEINTEGROS",7,
IF(V3706="BIT",90,
IF(V3706="OP GRADO - INGLÉS",17,"")))))</f>
        <v>31</v>
      </c>
      <c r="X3706" t="s">
        <v>3938</v>
      </c>
    </row>
    <row r="3707" spans="1:24" ht="15" x14ac:dyDescent="0.35">
      <c r="A3707" s="4">
        <v>46056.389027777775</v>
      </c>
      <c r="B3707">
        <v>20119980</v>
      </c>
      <c r="C3707" s="6" t="s">
        <v>19</v>
      </c>
      <c r="D3707">
        <v>607621</v>
      </c>
      <c r="E3707" t="s">
        <v>20</v>
      </c>
      <c r="F3707">
        <v>1006999304</v>
      </c>
      <c r="G3707" t="s">
        <v>2682</v>
      </c>
      <c r="H3707">
        <v>100244444</v>
      </c>
      <c r="I3707">
        <v>202631</v>
      </c>
      <c r="J3707">
        <v>1006999304</v>
      </c>
      <c r="K3707" t="s">
        <v>23</v>
      </c>
      <c r="L3707" t="s">
        <v>32</v>
      </c>
      <c r="M3707" t="s">
        <v>24</v>
      </c>
      <c r="N3707" t="s">
        <v>35</v>
      </c>
      <c r="O3707" t="s">
        <v>26</v>
      </c>
      <c r="P3707" t="s">
        <v>27</v>
      </c>
      <c r="Q3707" t="s">
        <v>28</v>
      </c>
      <c r="R3707" t="s">
        <v>29</v>
      </c>
      <c r="S3707" t="s">
        <v>30</v>
      </c>
      <c r="T3707">
        <v>1006023129</v>
      </c>
      <c r="U3707" t="s">
        <v>3944</v>
      </c>
      <c r="V3707" t="s">
        <v>3934</v>
      </c>
      <c r="W3707" s="9">
        <f>IF(V3707="pregrado",31,
IF(V3707="posgrados",31,
IF(V3707="rEINTEGROS",7,
IF(V3707="BIT",90,
IF(V3707="OP GRADO - INGLÉS",17,"")))))</f>
        <v>31</v>
      </c>
      <c r="X3707" t="s">
        <v>3982</v>
      </c>
    </row>
    <row r="3708" spans="1:24" ht="15" x14ac:dyDescent="0.35">
      <c r="A3708" s="4">
        <v>46052.671574074076</v>
      </c>
      <c r="B3708">
        <v>20119054</v>
      </c>
      <c r="C3708" s="6" t="s">
        <v>19</v>
      </c>
      <c r="D3708">
        <v>607624</v>
      </c>
      <c r="E3708" t="s">
        <v>20</v>
      </c>
      <c r="F3708">
        <v>1051065784</v>
      </c>
      <c r="G3708" t="s">
        <v>2573</v>
      </c>
      <c r="H3708">
        <v>100244448</v>
      </c>
      <c r="I3708">
        <v>202610</v>
      </c>
      <c r="J3708">
        <v>1051065784</v>
      </c>
      <c r="K3708" t="s">
        <v>23</v>
      </c>
      <c r="L3708" t="s">
        <v>40</v>
      </c>
      <c r="M3708" t="s">
        <v>24</v>
      </c>
      <c r="N3708" t="s">
        <v>35</v>
      </c>
      <c r="O3708" t="s">
        <v>26</v>
      </c>
      <c r="P3708" t="s">
        <v>27</v>
      </c>
      <c r="Q3708" t="s">
        <v>28</v>
      </c>
      <c r="R3708" t="s">
        <v>29</v>
      </c>
      <c r="S3708" t="s">
        <v>30</v>
      </c>
      <c r="T3708">
        <v>1023000938</v>
      </c>
      <c r="U3708" t="s">
        <v>3941</v>
      </c>
      <c r="V3708" t="s">
        <v>3934</v>
      </c>
      <c r="W3708" s="9">
        <f>IF(V3708="pregrado",31,
IF(V3708="posgrados",31,
IF(V3708="rEINTEGROS",7,
IF(V3708="BIT",90,
IF(V3708="OP GRADO - INGLÉS",17,"")))))</f>
        <v>31</v>
      </c>
      <c r="X3708" t="s">
        <v>3989</v>
      </c>
    </row>
    <row r="3709" spans="1:24" ht="15" x14ac:dyDescent="0.35">
      <c r="A3709" s="4">
        <v>46069.591446759259</v>
      </c>
      <c r="B3709">
        <v>20123705</v>
      </c>
      <c r="C3709" s="6" t="s">
        <v>19</v>
      </c>
      <c r="D3709">
        <v>607626</v>
      </c>
      <c r="E3709" t="s">
        <v>20</v>
      </c>
      <c r="F3709">
        <v>1006290110</v>
      </c>
      <c r="G3709" t="s">
        <v>3241</v>
      </c>
      <c r="H3709">
        <v>100244450</v>
      </c>
      <c r="I3709">
        <v>202631</v>
      </c>
      <c r="J3709">
        <v>1006290110</v>
      </c>
      <c r="K3709" t="s">
        <v>33</v>
      </c>
      <c r="L3709" t="s">
        <v>90</v>
      </c>
      <c r="M3709" t="s">
        <v>24</v>
      </c>
      <c r="N3709" t="s">
        <v>35</v>
      </c>
      <c r="O3709" t="s">
        <v>26</v>
      </c>
      <c r="P3709" t="s">
        <v>27</v>
      </c>
      <c r="Q3709" t="s">
        <v>28</v>
      </c>
      <c r="R3709" t="s">
        <v>29</v>
      </c>
      <c r="S3709" t="s">
        <v>30</v>
      </c>
      <c r="T3709">
        <v>1025460711</v>
      </c>
      <c r="U3709" t="s">
        <v>3933</v>
      </c>
      <c r="V3709" t="s">
        <v>3934</v>
      </c>
      <c r="W3709" s="9">
        <f>IF(V3709="pregrado",31,
IF(V3709="posgrados",31,
IF(V3709="rEINTEGROS",7,
IF(V3709="BIT",90,
IF(V3709="OP GRADO - INGLÉS",17,"")))))</f>
        <v>31</v>
      </c>
      <c r="X3709" t="s">
        <v>4062</v>
      </c>
    </row>
    <row r="3710" spans="1:24" ht="15" x14ac:dyDescent="0.35">
      <c r="A3710" s="4">
        <v>46064.644756944443</v>
      </c>
      <c r="B3710">
        <v>20122473</v>
      </c>
      <c r="C3710" s="6" t="s">
        <v>19</v>
      </c>
      <c r="D3710">
        <v>607636</v>
      </c>
      <c r="E3710" t="s">
        <v>20</v>
      </c>
      <c r="F3710">
        <v>52172932</v>
      </c>
      <c r="G3710" t="s">
        <v>3037</v>
      </c>
      <c r="H3710">
        <v>100214706</v>
      </c>
      <c r="I3710">
        <v>202631</v>
      </c>
      <c r="J3710">
        <v>52172932</v>
      </c>
      <c r="K3710" t="s">
        <v>33</v>
      </c>
      <c r="L3710" t="s">
        <v>207</v>
      </c>
      <c r="M3710" t="s">
        <v>24</v>
      </c>
      <c r="N3710" t="s">
        <v>35</v>
      </c>
      <c r="O3710" t="s">
        <v>26</v>
      </c>
      <c r="P3710" t="s">
        <v>27</v>
      </c>
      <c r="Q3710" t="s">
        <v>28</v>
      </c>
      <c r="R3710" t="s">
        <v>29</v>
      </c>
      <c r="S3710" t="s">
        <v>30</v>
      </c>
      <c r="T3710">
        <v>52392617</v>
      </c>
      <c r="U3710" t="s">
        <v>3965</v>
      </c>
      <c r="V3710" t="s">
        <v>3934</v>
      </c>
      <c r="W3710" s="9">
        <f>IF(V3710="pregrado",31,
IF(V3710="posgrados",31,
IF(V3710="rEINTEGROS",7,
IF(V3710="BIT",90,
IF(V3710="OP GRADO - INGLÉS",17,"")))))</f>
        <v>31</v>
      </c>
      <c r="X3710" t="s">
        <v>4053</v>
      </c>
    </row>
    <row r="3711" spans="1:24" ht="15" x14ac:dyDescent="0.35">
      <c r="A3711" s="4">
        <v>46057.575509259259</v>
      </c>
      <c r="B3711">
        <v>20120463</v>
      </c>
      <c r="C3711" s="6" t="s">
        <v>19</v>
      </c>
      <c r="D3711">
        <v>607638</v>
      </c>
      <c r="E3711" t="s">
        <v>20</v>
      </c>
      <c r="F3711">
        <v>19320204</v>
      </c>
      <c r="G3711" t="s">
        <v>2750</v>
      </c>
      <c r="H3711">
        <v>100238165</v>
      </c>
      <c r="I3711">
        <v>202610</v>
      </c>
      <c r="J3711">
        <v>1015459170</v>
      </c>
      <c r="K3711" t="s">
        <v>33</v>
      </c>
      <c r="L3711" t="s">
        <v>37</v>
      </c>
      <c r="M3711" t="s">
        <v>24</v>
      </c>
      <c r="N3711" t="s">
        <v>38</v>
      </c>
      <c r="O3711" t="s">
        <v>26</v>
      </c>
      <c r="P3711" t="s">
        <v>27</v>
      </c>
      <c r="Q3711" t="s">
        <v>28</v>
      </c>
      <c r="R3711" t="s">
        <v>29</v>
      </c>
      <c r="S3711" t="s">
        <v>30</v>
      </c>
      <c r="T3711">
        <v>80219471</v>
      </c>
      <c r="U3711" t="s">
        <v>3941</v>
      </c>
      <c r="V3711" t="s">
        <v>3934</v>
      </c>
      <c r="W3711" s="9">
        <f>IF(V3711="pregrado",31,
IF(V3711="posgrados",31,
IF(V3711="rEINTEGROS",7,
IF(V3711="BIT",90,
IF(V3711="OP GRADO - INGLÉS",17,"")))))</f>
        <v>31</v>
      </c>
      <c r="X3711" t="s">
        <v>4030</v>
      </c>
    </row>
    <row r="3712" spans="1:24" ht="15" x14ac:dyDescent="0.35">
      <c r="A3712" s="4">
        <v>46053.51730324074</v>
      </c>
      <c r="B3712">
        <v>20119289</v>
      </c>
      <c r="C3712" s="6" t="s">
        <v>19</v>
      </c>
      <c r="D3712">
        <v>607640</v>
      </c>
      <c r="E3712" t="s">
        <v>20</v>
      </c>
      <c r="F3712">
        <v>70522717</v>
      </c>
      <c r="G3712" t="s">
        <v>2629</v>
      </c>
      <c r="H3712">
        <v>200057507</v>
      </c>
      <c r="I3712">
        <v>202631</v>
      </c>
      <c r="J3712">
        <v>1143253652</v>
      </c>
      <c r="K3712" t="s">
        <v>23</v>
      </c>
      <c r="L3712" t="s">
        <v>22</v>
      </c>
      <c r="M3712" t="s">
        <v>24</v>
      </c>
      <c r="N3712" t="s">
        <v>35</v>
      </c>
      <c r="O3712" t="s">
        <v>26</v>
      </c>
      <c r="P3712" t="s">
        <v>27</v>
      </c>
      <c r="Q3712" t="s">
        <v>28</v>
      </c>
      <c r="R3712" t="s">
        <v>29</v>
      </c>
      <c r="S3712" t="s">
        <v>30</v>
      </c>
      <c r="T3712">
        <v>1018496066</v>
      </c>
      <c r="U3712" t="s">
        <v>3939</v>
      </c>
      <c r="V3712" t="s">
        <v>3934</v>
      </c>
      <c r="W3712" s="9">
        <f>IF(V3712="pregrado",31,
IF(V3712="posgrados",31,
IF(V3712="rEINTEGROS",7,
IF(V3712="BIT",90,
IF(V3712="OP GRADO - INGLÉS",17,"")))))</f>
        <v>31</v>
      </c>
      <c r="X3712" t="s">
        <v>4006</v>
      </c>
    </row>
    <row r="3713" spans="1:24" ht="15" x14ac:dyDescent="0.35">
      <c r="A3713" s="4">
        <v>46052.83048611111</v>
      </c>
      <c r="B3713">
        <v>20119171</v>
      </c>
      <c r="C3713" s="6" t="s">
        <v>19</v>
      </c>
      <c r="D3713">
        <v>607651</v>
      </c>
      <c r="E3713" t="s">
        <v>20</v>
      </c>
      <c r="F3713">
        <v>1045424033</v>
      </c>
      <c r="G3713" t="s">
        <v>2602</v>
      </c>
      <c r="H3713">
        <v>100244473</v>
      </c>
      <c r="I3713">
        <v>202631</v>
      </c>
      <c r="J3713">
        <v>1032251837</v>
      </c>
      <c r="K3713" t="s">
        <v>23</v>
      </c>
      <c r="L3713" t="s">
        <v>90</v>
      </c>
      <c r="M3713" t="s">
        <v>24</v>
      </c>
      <c r="N3713" t="s">
        <v>35</v>
      </c>
      <c r="O3713" t="s">
        <v>26</v>
      </c>
      <c r="P3713" t="s">
        <v>27</v>
      </c>
      <c r="Q3713" t="s">
        <v>28</v>
      </c>
      <c r="R3713" t="s">
        <v>29</v>
      </c>
      <c r="S3713" t="s">
        <v>30</v>
      </c>
      <c r="T3713">
        <v>1013595695</v>
      </c>
      <c r="U3713" t="s">
        <v>3933</v>
      </c>
      <c r="V3713" t="s">
        <v>3934</v>
      </c>
      <c r="W3713" s="9">
        <f>IF(V3713="pregrado",31,
IF(V3713="posgrados",31,
IF(V3713="rEINTEGROS",7,
IF(V3713="BIT",90,
IF(V3713="OP GRADO - INGLÉS",17,"")))))</f>
        <v>31</v>
      </c>
      <c r="X3713" t="s">
        <v>3990</v>
      </c>
    </row>
    <row r="3714" spans="1:24" ht="15" x14ac:dyDescent="0.35">
      <c r="A3714" s="4">
        <v>46056.844953703701</v>
      </c>
      <c r="B3714">
        <v>20120233</v>
      </c>
      <c r="C3714" s="6" t="s">
        <v>19</v>
      </c>
      <c r="D3714">
        <v>607654</v>
      </c>
      <c r="E3714" t="s">
        <v>20</v>
      </c>
      <c r="F3714">
        <v>1007816482</v>
      </c>
      <c r="G3714" t="s">
        <v>2712</v>
      </c>
      <c r="H3714">
        <v>100244477</v>
      </c>
      <c r="I3714">
        <v>202631</v>
      </c>
      <c r="J3714">
        <v>1007816482</v>
      </c>
      <c r="K3714" t="s">
        <v>33</v>
      </c>
      <c r="L3714" t="s">
        <v>32</v>
      </c>
      <c r="M3714" t="s">
        <v>24</v>
      </c>
      <c r="N3714" t="s">
        <v>35</v>
      </c>
      <c r="O3714" t="s">
        <v>26</v>
      </c>
      <c r="P3714" t="s">
        <v>27</v>
      </c>
      <c r="Q3714" t="s">
        <v>28</v>
      </c>
      <c r="R3714" t="s">
        <v>29</v>
      </c>
      <c r="S3714" t="s">
        <v>30</v>
      </c>
      <c r="T3714">
        <v>1015482247</v>
      </c>
      <c r="U3714" t="s">
        <v>3944</v>
      </c>
      <c r="V3714" t="s">
        <v>3934</v>
      </c>
      <c r="W3714" s="9">
        <f>IF(V3714="pregrado",31,
IF(V3714="posgrados",31,
IF(V3714="rEINTEGROS",7,
IF(V3714="BIT",90,
IF(V3714="OP GRADO - INGLÉS",17,"")))))</f>
        <v>31</v>
      </c>
      <c r="X3714" t="s">
        <v>3984</v>
      </c>
    </row>
    <row r="3715" spans="1:24" ht="15" x14ac:dyDescent="0.35">
      <c r="A3715" s="4">
        <v>46057.387280092589</v>
      </c>
      <c r="B3715">
        <v>20120317</v>
      </c>
      <c r="C3715" s="6" t="s">
        <v>19</v>
      </c>
      <c r="D3715">
        <v>607668</v>
      </c>
      <c r="E3715" t="s">
        <v>20</v>
      </c>
      <c r="F3715">
        <v>1116810890</v>
      </c>
      <c r="G3715" t="s">
        <v>2722</v>
      </c>
      <c r="H3715">
        <v>100075250</v>
      </c>
      <c r="I3715">
        <v>202611</v>
      </c>
      <c r="J3715">
        <v>1116810890</v>
      </c>
      <c r="K3715" t="s">
        <v>23</v>
      </c>
      <c r="L3715" t="s">
        <v>221</v>
      </c>
      <c r="M3715" t="s">
        <v>24</v>
      </c>
      <c r="N3715" t="s">
        <v>25</v>
      </c>
      <c r="O3715" t="s">
        <v>26</v>
      </c>
      <c r="P3715" t="s">
        <v>27</v>
      </c>
      <c r="Q3715" t="s">
        <v>28</v>
      </c>
      <c r="R3715" t="s">
        <v>29</v>
      </c>
      <c r="S3715" t="s">
        <v>30</v>
      </c>
      <c r="T3715">
        <v>1073692626</v>
      </c>
      <c r="U3715" t="s">
        <v>3965</v>
      </c>
      <c r="V3715" t="s">
        <v>3934</v>
      </c>
      <c r="W3715" s="9">
        <f>IF(V3715="pregrado",31,
IF(V3715="posgrados",31,
IF(V3715="rEINTEGROS",7,
IF(V3715="BIT",90,
IF(V3715="OP GRADO - INGLÉS",17,"")))))</f>
        <v>31</v>
      </c>
      <c r="X3715" t="s">
        <v>4014</v>
      </c>
    </row>
    <row r="3716" spans="1:24" ht="15" x14ac:dyDescent="0.35">
      <c r="A3716" s="4">
        <v>46057.575555555559</v>
      </c>
      <c r="B3716">
        <v>20120464</v>
      </c>
      <c r="C3716" s="6" t="s">
        <v>19</v>
      </c>
      <c r="D3716">
        <v>607669</v>
      </c>
      <c r="E3716" t="s">
        <v>20</v>
      </c>
      <c r="F3716">
        <v>50966166</v>
      </c>
      <c r="G3716" t="s">
        <v>2751</v>
      </c>
      <c r="H3716">
        <v>100082732</v>
      </c>
      <c r="I3716">
        <v>202631</v>
      </c>
      <c r="J3716">
        <v>50966166</v>
      </c>
      <c r="K3716" t="s">
        <v>23</v>
      </c>
      <c r="L3716" t="s">
        <v>51</v>
      </c>
      <c r="M3716" t="s">
        <v>24</v>
      </c>
      <c r="N3716" t="s">
        <v>35</v>
      </c>
      <c r="O3716" t="s">
        <v>26</v>
      </c>
      <c r="P3716" t="s">
        <v>27</v>
      </c>
      <c r="Q3716" t="s">
        <v>28</v>
      </c>
      <c r="R3716" t="s">
        <v>29</v>
      </c>
      <c r="S3716" t="s">
        <v>30</v>
      </c>
      <c r="T3716">
        <v>52876433</v>
      </c>
      <c r="U3716" t="s">
        <v>3986</v>
      </c>
      <c r="V3716" t="s">
        <v>3934</v>
      </c>
      <c r="W3716" s="9">
        <f>IF(V3716="pregrado",31,
IF(V3716="posgrados",31,
IF(V3716="rEINTEGROS",7,
IF(V3716="BIT",90,
IF(V3716="OP GRADO - INGLÉS",17,"")))))</f>
        <v>31</v>
      </c>
      <c r="X3716" t="s">
        <v>4078</v>
      </c>
    </row>
    <row r="3717" spans="1:24" ht="15" x14ac:dyDescent="0.35">
      <c r="A3717" s="4">
        <v>46053.380590277775</v>
      </c>
      <c r="B3717">
        <v>20119210</v>
      </c>
      <c r="C3717" s="6" t="s">
        <v>19</v>
      </c>
      <c r="D3717">
        <v>607677</v>
      </c>
      <c r="E3717" t="s">
        <v>20</v>
      </c>
      <c r="F3717">
        <v>1000973880</v>
      </c>
      <c r="G3717" t="s">
        <v>2608</v>
      </c>
      <c r="H3717">
        <v>100244495</v>
      </c>
      <c r="I3717">
        <v>202631</v>
      </c>
      <c r="J3717">
        <v>1000973880</v>
      </c>
      <c r="K3717" t="s">
        <v>23</v>
      </c>
      <c r="L3717" t="s">
        <v>32</v>
      </c>
      <c r="M3717" t="s">
        <v>24</v>
      </c>
      <c r="N3717" t="s">
        <v>35</v>
      </c>
      <c r="O3717" t="s">
        <v>26</v>
      </c>
      <c r="P3717" t="s">
        <v>27</v>
      </c>
      <c r="Q3717" t="s">
        <v>28</v>
      </c>
      <c r="R3717" t="s">
        <v>29</v>
      </c>
      <c r="S3717" t="s">
        <v>30</v>
      </c>
      <c r="T3717">
        <v>1000625316</v>
      </c>
      <c r="U3717" t="s">
        <v>3944</v>
      </c>
      <c r="V3717" t="s">
        <v>3934</v>
      </c>
      <c r="W3717" s="9">
        <f>IF(V3717="pregrado",31,
IF(V3717="posgrados",31,
IF(V3717="rEINTEGROS",7,
IF(V3717="BIT",90,
IF(V3717="OP GRADO - INGLÉS",17,"")))))</f>
        <v>31</v>
      </c>
      <c r="X3717" t="s">
        <v>3980</v>
      </c>
    </row>
    <row r="3718" spans="1:24" ht="15" x14ac:dyDescent="0.35">
      <c r="A3718" s="4">
        <v>46052.6796875</v>
      </c>
      <c r="B3718">
        <v>20119060</v>
      </c>
      <c r="C3718" s="6" t="s">
        <v>19</v>
      </c>
      <c r="D3718">
        <v>607685</v>
      </c>
      <c r="E3718" t="s">
        <v>20</v>
      </c>
      <c r="F3718">
        <v>1030580069</v>
      </c>
      <c r="G3718" t="s">
        <v>2577</v>
      </c>
      <c r="H3718">
        <v>100243667</v>
      </c>
      <c r="I3718">
        <v>202610</v>
      </c>
      <c r="J3718">
        <v>1141321521</v>
      </c>
      <c r="K3718" t="s">
        <v>23</v>
      </c>
      <c r="L3718" t="s">
        <v>49</v>
      </c>
      <c r="M3718" t="s">
        <v>24</v>
      </c>
      <c r="N3718" t="s">
        <v>35</v>
      </c>
      <c r="O3718" t="s">
        <v>26</v>
      </c>
      <c r="P3718" t="s">
        <v>27</v>
      </c>
      <c r="Q3718" t="s">
        <v>28</v>
      </c>
      <c r="R3718" t="s">
        <v>29</v>
      </c>
      <c r="S3718" t="s">
        <v>30</v>
      </c>
      <c r="T3718">
        <v>1015482247</v>
      </c>
      <c r="U3718" t="s">
        <v>3944</v>
      </c>
      <c r="V3718" t="s">
        <v>3934</v>
      </c>
      <c r="W3718" s="9">
        <f>IF(V3718="pregrado",31,
IF(V3718="posgrados",31,
IF(V3718="rEINTEGROS",7,
IF(V3718="BIT",90,
IF(V3718="OP GRADO - INGLÉS",17,"")))))</f>
        <v>31</v>
      </c>
      <c r="X3718" t="s">
        <v>3984</v>
      </c>
    </row>
    <row r="3719" spans="1:24" ht="15" x14ac:dyDescent="0.35">
      <c r="A3719" s="4">
        <v>46053.582858796297</v>
      </c>
      <c r="B3719">
        <v>20119312</v>
      </c>
      <c r="C3719" s="6" t="s">
        <v>19</v>
      </c>
      <c r="D3719">
        <v>607689</v>
      </c>
      <c r="E3719" t="s">
        <v>20</v>
      </c>
      <c r="F3719">
        <v>1004697758</v>
      </c>
      <c r="G3719" t="s">
        <v>2632</v>
      </c>
      <c r="H3719">
        <v>100141950</v>
      </c>
      <c r="I3719">
        <v>202611</v>
      </c>
      <c r="J3719">
        <v>1004697758</v>
      </c>
      <c r="K3719" t="s">
        <v>89</v>
      </c>
      <c r="L3719" t="s">
        <v>133</v>
      </c>
      <c r="M3719" t="s">
        <v>24</v>
      </c>
      <c r="N3719" t="s">
        <v>35</v>
      </c>
      <c r="O3719" t="s">
        <v>26</v>
      </c>
      <c r="P3719" t="s">
        <v>27</v>
      </c>
      <c r="Q3719" t="s">
        <v>28</v>
      </c>
      <c r="R3719" t="s">
        <v>29</v>
      </c>
      <c r="S3719" t="s">
        <v>30</v>
      </c>
      <c r="T3719">
        <v>52168054</v>
      </c>
      <c r="U3719" t="s">
        <v>3977</v>
      </c>
      <c r="V3719" t="s">
        <v>3970</v>
      </c>
      <c r="W3719" s="9">
        <f>IF(V3719="pregrado",31,
IF(V3719="posgrados",31,
IF(V3719="rEINTEGROS",7,
IF(V3719="BIT",90,
IF(V3719="OP GRADO - INGLÉS",17,"")))))</f>
        <v>7</v>
      </c>
      <c r="X3719" t="s">
        <v>4057</v>
      </c>
    </row>
    <row r="3720" spans="1:24" ht="15" x14ac:dyDescent="0.35">
      <c r="A3720" s="4">
        <v>46056.679803240739</v>
      </c>
      <c r="B3720">
        <v>20120200</v>
      </c>
      <c r="C3720" s="6" t="s">
        <v>19</v>
      </c>
      <c r="D3720">
        <v>607690</v>
      </c>
      <c r="E3720" t="s">
        <v>20</v>
      </c>
      <c r="F3720">
        <v>1007851590</v>
      </c>
      <c r="G3720" t="s">
        <v>2710</v>
      </c>
      <c r="H3720">
        <v>100244461</v>
      </c>
      <c r="I3720">
        <v>202631</v>
      </c>
      <c r="J3720">
        <v>1007851590</v>
      </c>
      <c r="K3720" t="s">
        <v>33</v>
      </c>
      <c r="L3720" t="s">
        <v>219</v>
      </c>
      <c r="M3720" t="s">
        <v>24</v>
      </c>
      <c r="N3720" t="s">
        <v>35</v>
      </c>
      <c r="O3720" t="s">
        <v>26</v>
      </c>
      <c r="P3720" t="s">
        <v>27</v>
      </c>
      <c r="Q3720" t="s">
        <v>28</v>
      </c>
      <c r="R3720" t="s">
        <v>29</v>
      </c>
      <c r="S3720" t="s">
        <v>30</v>
      </c>
      <c r="T3720">
        <v>1014283217</v>
      </c>
      <c r="U3720" t="s">
        <v>3963</v>
      </c>
      <c r="V3720" t="s">
        <v>3934</v>
      </c>
      <c r="W3720" s="9">
        <f>IF(V3720="pregrado",31,
IF(V3720="posgrados",31,
IF(V3720="rEINTEGROS",7,
IF(V3720="BIT",90,
IF(V3720="OP GRADO - INGLÉS",17,"")))))</f>
        <v>31</v>
      </c>
      <c r="X3720" t="s">
        <v>4023</v>
      </c>
    </row>
    <row r="3721" spans="1:24" ht="15" x14ac:dyDescent="0.35">
      <c r="A3721" s="4">
        <v>46062.497650462959</v>
      </c>
      <c r="B3721">
        <v>20121613</v>
      </c>
      <c r="C3721" s="6" t="s">
        <v>19</v>
      </c>
      <c r="D3721">
        <v>607691</v>
      </c>
      <c r="E3721" t="s">
        <v>20</v>
      </c>
      <c r="F3721">
        <v>1193223003</v>
      </c>
      <c r="G3721" t="s">
        <v>2918</v>
      </c>
      <c r="H3721">
        <v>100230140</v>
      </c>
      <c r="I3721">
        <v>202611</v>
      </c>
      <c r="J3721">
        <v>1094321591</v>
      </c>
      <c r="K3721" t="s">
        <v>23</v>
      </c>
      <c r="L3721" t="s">
        <v>221</v>
      </c>
      <c r="M3721" t="s">
        <v>24</v>
      </c>
      <c r="N3721" t="s">
        <v>35</v>
      </c>
      <c r="O3721" t="s">
        <v>26</v>
      </c>
      <c r="P3721" t="s">
        <v>27</v>
      </c>
      <c r="Q3721" t="s">
        <v>28</v>
      </c>
      <c r="R3721" t="s">
        <v>29</v>
      </c>
      <c r="S3721" t="s">
        <v>30</v>
      </c>
      <c r="T3721">
        <v>1000349074</v>
      </c>
      <c r="U3721" t="s">
        <v>3944</v>
      </c>
      <c r="V3721" t="s">
        <v>3934</v>
      </c>
      <c r="W3721" s="9">
        <f>IF(V3721="pregrado",31,
IF(V3721="posgrados",31,
IF(V3721="rEINTEGROS",7,
IF(V3721="BIT",90,
IF(V3721="OP GRADO - INGLÉS",17,"")))))</f>
        <v>31</v>
      </c>
      <c r="X3721" t="s">
        <v>4036</v>
      </c>
    </row>
    <row r="3722" spans="1:24" ht="15" x14ac:dyDescent="0.35">
      <c r="A3722" s="4">
        <v>46055.735497685186</v>
      </c>
      <c r="B3722">
        <v>20119839</v>
      </c>
      <c r="C3722" s="6" t="s">
        <v>19</v>
      </c>
      <c r="D3722">
        <v>607715</v>
      </c>
      <c r="E3722" t="s">
        <v>20</v>
      </c>
      <c r="F3722">
        <v>1124862848</v>
      </c>
      <c r="G3722" t="s">
        <v>2667</v>
      </c>
      <c r="H3722">
        <v>100086380</v>
      </c>
      <c r="I3722">
        <v>202631</v>
      </c>
      <c r="J3722">
        <v>1124862848</v>
      </c>
      <c r="K3722" t="s">
        <v>23</v>
      </c>
      <c r="L3722" t="s">
        <v>240</v>
      </c>
      <c r="M3722" t="s">
        <v>24</v>
      </c>
      <c r="N3722" t="s">
        <v>35</v>
      </c>
      <c r="O3722" t="s">
        <v>26</v>
      </c>
      <c r="P3722" t="s">
        <v>27</v>
      </c>
      <c r="Q3722" t="s">
        <v>28</v>
      </c>
      <c r="R3722" t="s">
        <v>29</v>
      </c>
      <c r="S3722" t="s">
        <v>30</v>
      </c>
      <c r="T3722">
        <v>10006855461</v>
      </c>
      <c r="U3722" t="s">
        <v>3965</v>
      </c>
      <c r="V3722" t="s">
        <v>3934</v>
      </c>
      <c r="W3722" s="9">
        <f>IF(V3722="pregrado",31,
IF(V3722="posgrados",31,
IF(V3722="rEINTEGROS",7,
IF(V3722="BIT",90,
IF(V3722="OP GRADO - INGLÉS",17,"")))))</f>
        <v>31</v>
      </c>
      <c r="X3722" t="s">
        <v>3993</v>
      </c>
    </row>
    <row r="3723" spans="1:24" ht="15" x14ac:dyDescent="0.35">
      <c r="A3723" s="4">
        <v>46055.694363425922</v>
      </c>
      <c r="B3723">
        <v>20119782</v>
      </c>
      <c r="C3723" s="6" t="s">
        <v>19</v>
      </c>
      <c r="D3723">
        <v>607716</v>
      </c>
      <c r="E3723" t="s">
        <v>20</v>
      </c>
      <c r="F3723">
        <v>11206004</v>
      </c>
      <c r="G3723" t="s">
        <v>2660</v>
      </c>
      <c r="H3723">
        <v>100244540</v>
      </c>
      <c r="I3723">
        <v>202610</v>
      </c>
      <c r="J3723">
        <v>1072102528</v>
      </c>
      <c r="K3723" t="s">
        <v>23</v>
      </c>
      <c r="L3723" t="s">
        <v>62</v>
      </c>
      <c r="M3723" t="s">
        <v>24</v>
      </c>
      <c r="N3723" t="s">
        <v>35</v>
      </c>
      <c r="O3723" t="s">
        <v>26</v>
      </c>
      <c r="P3723" t="s">
        <v>27</v>
      </c>
      <c r="Q3723" t="s">
        <v>28</v>
      </c>
      <c r="R3723" t="s">
        <v>29</v>
      </c>
      <c r="S3723" t="s">
        <v>30</v>
      </c>
      <c r="T3723">
        <v>1000625316</v>
      </c>
      <c r="U3723" t="s">
        <v>3944</v>
      </c>
      <c r="V3723" t="s">
        <v>3934</v>
      </c>
      <c r="W3723" s="9">
        <f>IF(V3723="pregrado",31,
IF(V3723="posgrados",31,
IF(V3723="rEINTEGROS",7,
IF(V3723="BIT",90,
IF(V3723="OP GRADO - INGLÉS",17,"")))))</f>
        <v>31</v>
      </c>
      <c r="X3723" t="s">
        <v>3980</v>
      </c>
    </row>
    <row r="3724" spans="1:24" ht="15" x14ac:dyDescent="0.35">
      <c r="A3724" s="4">
        <v>46055.459085648145</v>
      </c>
      <c r="B3724">
        <v>20119539</v>
      </c>
      <c r="C3724" s="6" t="s">
        <v>19</v>
      </c>
      <c r="D3724">
        <v>607722</v>
      </c>
      <c r="E3724" t="s">
        <v>20</v>
      </c>
      <c r="F3724">
        <v>26147536</v>
      </c>
      <c r="G3724" t="s">
        <v>2645</v>
      </c>
      <c r="H3724">
        <v>100244130</v>
      </c>
      <c r="I3724">
        <v>202610</v>
      </c>
      <c r="J3724">
        <v>1063723423</v>
      </c>
      <c r="K3724" t="s">
        <v>23</v>
      </c>
      <c r="L3724" t="s">
        <v>49</v>
      </c>
      <c r="M3724" t="s">
        <v>24</v>
      </c>
      <c r="N3724" t="s">
        <v>35</v>
      </c>
      <c r="O3724" t="s">
        <v>26</v>
      </c>
      <c r="P3724" t="s">
        <v>27</v>
      </c>
      <c r="Q3724" t="s">
        <v>28</v>
      </c>
      <c r="R3724" t="s">
        <v>29</v>
      </c>
      <c r="S3724" t="s">
        <v>30</v>
      </c>
      <c r="T3724">
        <v>1015482247</v>
      </c>
      <c r="U3724" t="s">
        <v>3944</v>
      </c>
      <c r="V3724" t="s">
        <v>3934</v>
      </c>
      <c r="W3724" s="9">
        <f>IF(V3724="pregrado",31,
IF(V3724="posgrados",31,
IF(V3724="rEINTEGROS",7,
IF(V3724="BIT",90,
IF(V3724="OP GRADO - INGLÉS",17,"")))))</f>
        <v>31</v>
      </c>
      <c r="X3724" t="s">
        <v>3984</v>
      </c>
    </row>
    <row r="3725" spans="1:24" ht="15" x14ac:dyDescent="0.35">
      <c r="A3725" s="4">
        <v>46053.388958333337</v>
      </c>
      <c r="B3725">
        <v>20119215</v>
      </c>
      <c r="C3725" s="6" t="s">
        <v>19</v>
      </c>
      <c r="D3725">
        <v>607732</v>
      </c>
      <c r="E3725" t="s">
        <v>20</v>
      </c>
      <c r="F3725">
        <v>53122365</v>
      </c>
      <c r="G3725" t="s">
        <v>2610</v>
      </c>
      <c r="H3725">
        <v>100154901</v>
      </c>
      <c r="I3725">
        <v>202611</v>
      </c>
      <c r="J3725">
        <v>53122365</v>
      </c>
      <c r="K3725" t="s">
        <v>89</v>
      </c>
      <c r="L3725" t="s">
        <v>133</v>
      </c>
      <c r="M3725" t="s">
        <v>24</v>
      </c>
      <c r="N3725" t="s">
        <v>35</v>
      </c>
      <c r="O3725" t="s">
        <v>26</v>
      </c>
      <c r="P3725" t="s">
        <v>27</v>
      </c>
      <c r="Q3725" t="s">
        <v>28</v>
      </c>
      <c r="R3725" t="s">
        <v>29</v>
      </c>
      <c r="S3725" t="s">
        <v>30</v>
      </c>
      <c r="T3725">
        <v>52168054</v>
      </c>
      <c r="U3725" t="s">
        <v>3977</v>
      </c>
      <c r="V3725" t="s">
        <v>3970</v>
      </c>
      <c r="W3725" s="9">
        <f>IF(V3725="pregrado",31,
IF(V3725="posgrados",31,
IF(V3725="rEINTEGROS",7,
IF(V3725="BIT",90,
IF(V3725="OP GRADO - INGLÉS",17,"")))))</f>
        <v>7</v>
      </c>
      <c r="X3725" t="s">
        <v>4057</v>
      </c>
    </row>
    <row r="3726" spans="1:24" ht="15" x14ac:dyDescent="0.35">
      <c r="A3726" s="4">
        <v>46058.612118055556</v>
      </c>
      <c r="B3726">
        <v>20120884</v>
      </c>
      <c r="C3726" s="6" t="s">
        <v>19</v>
      </c>
      <c r="D3726">
        <v>607747</v>
      </c>
      <c r="E3726" t="s">
        <v>20</v>
      </c>
      <c r="F3726">
        <v>1004418388</v>
      </c>
      <c r="G3726" t="s">
        <v>2818</v>
      </c>
      <c r="H3726">
        <v>100244571</v>
      </c>
      <c r="I3726">
        <v>202631</v>
      </c>
      <c r="J3726">
        <v>1004418388</v>
      </c>
      <c r="K3726" t="s">
        <v>33</v>
      </c>
      <c r="L3726" t="s">
        <v>90</v>
      </c>
      <c r="M3726" t="s">
        <v>24</v>
      </c>
      <c r="N3726" t="s">
        <v>25</v>
      </c>
      <c r="O3726" t="s">
        <v>26</v>
      </c>
      <c r="P3726" t="s">
        <v>27</v>
      </c>
      <c r="Q3726" t="s">
        <v>28</v>
      </c>
      <c r="R3726" t="s">
        <v>29</v>
      </c>
      <c r="S3726" t="s">
        <v>30</v>
      </c>
      <c r="T3726">
        <v>1023929839</v>
      </c>
      <c r="U3726" t="s">
        <v>3933</v>
      </c>
      <c r="V3726" t="s">
        <v>3934</v>
      </c>
      <c r="W3726" s="9">
        <f>IF(V3726="pregrado",31,
IF(V3726="posgrados",31,
IF(V3726="rEINTEGROS",7,
IF(V3726="BIT",90,
IF(V3726="OP GRADO - INGLÉS",17,"")))))</f>
        <v>31</v>
      </c>
      <c r="X3726" t="s">
        <v>3932</v>
      </c>
    </row>
    <row r="3727" spans="1:24" ht="15" x14ac:dyDescent="0.35">
      <c r="A3727" s="4">
        <v>46055.792002314818</v>
      </c>
      <c r="B3727">
        <v>20119874</v>
      </c>
      <c r="C3727" s="6" t="s">
        <v>19</v>
      </c>
      <c r="D3727">
        <v>607755</v>
      </c>
      <c r="E3727" t="s">
        <v>20</v>
      </c>
      <c r="F3727">
        <v>66903043</v>
      </c>
      <c r="G3727" t="s">
        <v>2674</v>
      </c>
      <c r="H3727">
        <v>100244582</v>
      </c>
      <c r="I3727">
        <v>202631</v>
      </c>
      <c r="J3727">
        <v>1105366631</v>
      </c>
      <c r="K3727" t="s">
        <v>33</v>
      </c>
      <c r="L3727" t="s">
        <v>127</v>
      </c>
      <c r="M3727" t="s">
        <v>24</v>
      </c>
      <c r="N3727" t="s">
        <v>38</v>
      </c>
      <c r="O3727" t="s">
        <v>26</v>
      </c>
      <c r="P3727" t="s">
        <v>27</v>
      </c>
      <c r="Q3727" t="s">
        <v>28</v>
      </c>
      <c r="R3727" t="s">
        <v>29</v>
      </c>
      <c r="S3727" t="s">
        <v>30</v>
      </c>
      <c r="T3727">
        <v>10306009131</v>
      </c>
      <c r="U3727" t="s">
        <v>3933</v>
      </c>
      <c r="V3727" t="s">
        <v>3934</v>
      </c>
      <c r="W3727" s="9">
        <f>IF(V3727="pregrado",31,
IF(V3727="posgrados",31,
IF(V3727="rEINTEGROS",7,
IF(V3727="BIT",90,
IF(V3727="OP GRADO - INGLÉS",17,"")))))</f>
        <v>31</v>
      </c>
      <c r="X3727" t="s">
        <v>3978</v>
      </c>
    </row>
    <row r="3728" spans="1:24" ht="15" x14ac:dyDescent="0.35">
      <c r="A3728" s="4">
        <v>46055.479664351849</v>
      </c>
      <c r="B3728">
        <v>20119551</v>
      </c>
      <c r="C3728" s="6" t="s">
        <v>19</v>
      </c>
      <c r="D3728">
        <v>607757</v>
      </c>
      <c r="E3728" t="s">
        <v>20</v>
      </c>
      <c r="F3728">
        <v>1007344540</v>
      </c>
      <c r="G3728" t="s">
        <v>2647</v>
      </c>
      <c r="H3728">
        <v>100244586</v>
      </c>
      <c r="I3728">
        <v>202610</v>
      </c>
      <c r="J3728">
        <v>1007344540</v>
      </c>
      <c r="K3728" t="s">
        <v>23</v>
      </c>
      <c r="L3728" t="s">
        <v>107</v>
      </c>
      <c r="M3728" t="s">
        <v>24</v>
      </c>
      <c r="N3728" t="s">
        <v>35</v>
      </c>
      <c r="O3728" t="s">
        <v>26</v>
      </c>
      <c r="P3728" t="s">
        <v>27</v>
      </c>
      <c r="Q3728" t="s">
        <v>28</v>
      </c>
      <c r="R3728" t="s">
        <v>29</v>
      </c>
      <c r="S3728" t="s">
        <v>30</v>
      </c>
      <c r="T3728">
        <v>1000286877</v>
      </c>
      <c r="U3728" t="s">
        <v>3986</v>
      </c>
      <c r="V3728" t="s">
        <v>3934</v>
      </c>
      <c r="W3728" s="9">
        <f>IF(V3728="pregrado",31,
IF(V3728="posgrados",31,
IF(V3728="rEINTEGROS",7,
IF(V3728="BIT",90,
IF(V3728="OP GRADO - INGLÉS",17,"")))))</f>
        <v>31</v>
      </c>
      <c r="X3728" t="s">
        <v>4100</v>
      </c>
    </row>
    <row r="3729" spans="1:24" ht="15" x14ac:dyDescent="0.35">
      <c r="A3729" s="4">
        <v>46053.521782407406</v>
      </c>
      <c r="B3729">
        <v>20119291</v>
      </c>
      <c r="C3729" s="6" t="s">
        <v>19</v>
      </c>
      <c r="D3729">
        <v>607786</v>
      </c>
      <c r="E3729" t="s">
        <v>20</v>
      </c>
      <c r="F3729">
        <v>1014294612</v>
      </c>
      <c r="G3729" t="s">
        <v>2625</v>
      </c>
      <c r="H3729">
        <v>100130981</v>
      </c>
      <c r="I3729">
        <v>202611</v>
      </c>
      <c r="J3729">
        <v>1014294612</v>
      </c>
      <c r="K3729" t="s">
        <v>46</v>
      </c>
      <c r="L3729" t="s">
        <v>204</v>
      </c>
      <c r="M3729" t="s">
        <v>24</v>
      </c>
      <c r="N3729" t="s">
        <v>35</v>
      </c>
      <c r="O3729" t="s">
        <v>26</v>
      </c>
      <c r="P3729" t="s">
        <v>27</v>
      </c>
      <c r="Q3729" t="s">
        <v>28</v>
      </c>
      <c r="R3729" t="s">
        <v>29</v>
      </c>
      <c r="S3729" t="s">
        <v>30</v>
      </c>
      <c r="T3729">
        <v>52168054</v>
      </c>
      <c r="U3729" t="s">
        <v>3977</v>
      </c>
      <c r="V3729" t="s">
        <v>3970</v>
      </c>
      <c r="W3729" s="9">
        <f>IF(V3729="pregrado",31,
IF(V3729="posgrados",31,
IF(V3729="rEINTEGROS",7,
IF(V3729="BIT",90,
IF(V3729="OP GRADO - INGLÉS",17,"")))))</f>
        <v>7</v>
      </c>
      <c r="X3729" t="s">
        <v>4057</v>
      </c>
    </row>
    <row r="3730" spans="1:24" ht="15" x14ac:dyDescent="0.35">
      <c r="A3730" s="4">
        <v>46057.575092592589</v>
      </c>
      <c r="B3730">
        <v>20120461</v>
      </c>
      <c r="C3730" s="6" t="s">
        <v>19</v>
      </c>
      <c r="D3730">
        <v>607795</v>
      </c>
      <c r="E3730" t="s">
        <v>20</v>
      </c>
      <c r="F3730">
        <v>1006407390</v>
      </c>
      <c r="G3730" t="s">
        <v>2749</v>
      </c>
      <c r="H3730">
        <v>100232063</v>
      </c>
      <c r="I3730">
        <v>202611</v>
      </c>
      <c r="J3730">
        <v>1006407390</v>
      </c>
      <c r="K3730" t="s">
        <v>23</v>
      </c>
      <c r="L3730" t="s">
        <v>204</v>
      </c>
      <c r="M3730" t="s">
        <v>24</v>
      </c>
      <c r="N3730" t="s">
        <v>35</v>
      </c>
      <c r="O3730" t="s">
        <v>26</v>
      </c>
      <c r="P3730" t="s">
        <v>27</v>
      </c>
      <c r="Q3730" t="s">
        <v>28</v>
      </c>
      <c r="R3730" t="s">
        <v>29</v>
      </c>
      <c r="S3730" t="s">
        <v>30</v>
      </c>
      <c r="T3730">
        <v>1018455773</v>
      </c>
      <c r="U3730" t="s">
        <v>3986</v>
      </c>
      <c r="V3730" t="s">
        <v>3934</v>
      </c>
      <c r="W3730" s="9">
        <f>IF(V3730="pregrado",31,
IF(V3730="posgrados",31,
IF(V3730="rEINTEGROS",7,
IF(V3730="BIT",90,
IF(V3730="OP GRADO - INGLÉS",17,"")))))</f>
        <v>31</v>
      </c>
      <c r="X3730" t="s">
        <v>4101</v>
      </c>
    </row>
    <row r="3731" spans="1:24" ht="15" x14ac:dyDescent="0.35">
      <c r="A3731" s="4">
        <v>46055.409722222219</v>
      </c>
      <c r="B3731">
        <v>20119490</v>
      </c>
      <c r="C3731" s="6" t="s">
        <v>19</v>
      </c>
      <c r="D3731">
        <v>607802</v>
      </c>
      <c r="E3731" t="s">
        <v>20</v>
      </c>
      <c r="F3731">
        <v>1010048923</v>
      </c>
      <c r="G3731" t="s">
        <v>2642</v>
      </c>
      <c r="H3731">
        <v>100244671</v>
      </c>
      <c r="I3731">
        <v>202631</v>
      </c>
      <c r="J3731">
        <v>1010048923</v>
      </c>
      <c r="K3731" t="s">
        <v>33</v>
      </c>
      <c r="L3731" t="s">
        <v>127</v>
      </c>
      <c r="M3731" t="s">
        <v>24</v>
      </c>
      <c r="N3731" t="s">
        <v>38</v>
      </c>
      <c r="O3731" t="s">
        <v>26</v>
      </c>
      <c r="P3731" t="s">
        <v>27</v>
      </c>
      <c r="Q3731" t="s">
        <v>28</v>
      </c>
      <c r="R3731" t="s">
        <v>29</v>
      </c>
      <c r="S3731" t="s">
        <v>30</v>
      </c>
      <c r="T3731">
        <v>1023970223</v>
      </c>
      <c r="U3731" t="s">
        <v>3933</v>
      </c>
      <c r="V3731" t="s">
        <v>3934</v>
      </c>
      <c r="W3731" s="9">
        <f>IF(V3731="pregrado",31,
IF(V3731="posgrados",31,
IF(V3731="rEINTEGROS",7,
IF(V3731="BIT",90,
IF(V3731="OP GRADO - INGLÉS",17,"")))))</f>
        <v>31</v>
      </c>
      <c r="X3731" t="s">
        <v>4070</v>
      </c>
    </row>
    <row r="3732" spans="1:24" ht="15" x14ac:dyDescent="0.35">
      <c r="A3732" s="4">
        <v>46056.657523148147</v>
      </c>
      <c r="B3732">
        <v>20120176</v>
      </c>
      <c r="C3732" s="6" t="s">
        <v>19</v>
      </c>
      <c r="D3732">
        <v>607806</v>
      </c>
      <c r="E3732" t="s">
        <v>20</v>
      </c>
      <c r="F3732">
        <v>71240718</v>
      </c>
      <c r="G3732" t="s">
        <v>2706</v>
      </c>
      <c r="H3732">
        <v>100163041</v>
      </c>
      <c r="I3732">
        <v>202611</v>
      </c>
      <c r="J3732">
        <v>1007872793</v>
      </c>
      <c r="K3732" t="s">
        <v>89</v>
      </c>
      <c r="L3732" t="s">
        <v>133</v>
      </c>
      <c r="M3732" t="s">
        <v>24</v>
      </c>
      <c r="N3732" t="s">
        <v>35</v>
      </c>
      <c r="O3732" t="s">
        <v>26</v>
      </c>
      <c r="P3732" t="s">
        <v>27</v>
      </c>
      <c r="Q3732" t="s">
        <v>28</v>
      </c>
      <c r="R3732" t="s">
        <v>29</v>
      </c>
      <c r="S3732" t="s">
        <v>30</v>
      </c>
      <c r="T3732">
        <v>1019102787</v>
      </c>
      <c r="U3732" t="s">
        <v>3977</v>
      </c>
      <c r="V3732" t="s">
        <v>3970</v>
      </c>
      <c r="W3732" s="9">
        <f>IF(V3732="pregrado",31,
IF(V3732="posgrados",31,
IF(V3732="rEINTEGROS",7,
IF(V3732="BIT",90,
IF(V3732="OP GRADO - INGLÉS",17,"")))))</f>
        <v>7</v>
      </c>
      <c r="X3732" t="s">
        <v>3976</v>
      </c>
    </row>
    <row r="3733" spans="1:24" ht="15" x14ac:dyDescent="0.35">
      <c r="A3733" s="4">
        <v>46057.365624999999</v>
      </c>
      <c r="B3733">
        <v>20120301</v>
      </c>
      <c r="C3733" s="6" t="s">
        <v>19</v>
      </c>
      <c r="D3733">
        <v>607818</v>
      </c>
      <c r="E3733" t="s">
        <v>20</v>
      </c>
      <c r="F3733">
        <v>1079175706</v>
      </c>
      <c r="G3733" t="s">
        <v>2720</v>
      </c>
      <c r="H3733">
        <v>100244689</v>
      </c>
      <c r="I3733">
        <v>202631</v>
      </c>
      <c r="J3733">
        <v>1079175706</v>
      </c>
      <c r="K3733" t="s">
        <v>23</v>
      </c>
      <c r="L3733" t="s">
        <v>32</v>
      </c>
      <c r="M3733" t="s">
        <v>24</v>
      </c>
      <c r="N3733" t="s">
        <v>35</v>
      </c>
      <c r="O3733" t="s">
        <v>26</v>
      </c>
      <c r="P3733" t="s">
        <v>27</v>
      </c>
      <c r="Q3733" t="s">
        <v>28</v>
      </c>
      <c r="R3733" t="s">
        <v>29</v>
      </c>
      <c r="S3733" t="s">
        <v>30</v>
      </c>
      <c r="T3733">
        <v>1000625316</v>
      </c>
      <c r="U3733" t="s">
        <v>3944</v>
      </c>
      <c r="V3733" t="s">
        <v>3934</v>
      </c>
      <c r="W3733" s="9">
        <f>IF(V3733="pregrado",31,
IF(V3733="posgrados",31,
IF(V3733="rEINTEGROS",7,
IF(V3733="BIT",90,
IF(V3733="OP GRADO - INGLÉS",17,"")))))</f>
        <v>31</v>
      </c>
      <c r="X3733" t="s">
        <v>3980</v>
      </c>
    </row>
    <row r="3734" spans="1:24" ht="15" x14ac:dyDescent="0.35">
      <c r="A3734" s="4">
        <v>46055.532037037039</v>
      </c>
      <c r="B3734">
        <v>20119601</v>
      </c>
      <c r="C3734" s="6" t="s">
        <v>19</v>
      </c>
      <c r="D3734">
        <v>607819</v>
      </c>
      <c r="E3734" t="s">
        <v>20</v>
      </c>
      <c r="F3734">
        <v>1024592828</v>
      </c>
      <c r="G3734" t="s">
        <v>2650</v>
      </c>
      <c r="H3734">
        <v>100182277</v>
      </c>
      <c r="I3734">
        <v>202611</v>
      </c>
      <c r="J3734">
        <v>1024592828</v>
      </c>
      <c r="K3734" t="s">
        <v>89</v>
      </c>
      <c r="L3734" t="s">
        <v>133</v>
      </c>
      <c r="M3734" t="s">
        <v>24</v>
      </c>
      <c r="N3734" t="s">
        <v>35</v>
      </c>
      <c r="O3734" t="s">
        <v>26</v>
      </c>
      <c r="P3734" t="s">
        <v>27</v>
      </c>
      <c r="Q3734" t="s">
        <v>28</v>
      </c>
      <c r="R3734" t="s">
        <v>29</v>
      </c>
      <c r="S3734" t="s">
        <v>30</v>
      </c>
      <c r="T3734">
        <v>52168054</v>
      </c>
      <c r="U3734" t="s">
        <v>3977</v>
      </c>
      <c r="V3734" t="s">
        <v>3970</v>
      </c>
      <c r="W3734" s="9">
        <f>IF(V3734="pregrado",31,
IF(V3734="posgrados",31,
IF(V3734="rEINTEGROS",7,
IF(V3734="BIT",90,
IF(V3734="OP GRADO - INGLÉS",17,"")))))</f>
        <v>7</v>
      </c>
      <c r="X3734" t="s">
        <v>4057</v>
      </c>
    </row>
    <row r="3735" spans="1:24" ht="15" x14ac:dyDescent="0.35">
      <c r="A3735" s="4">
        <v>46055.577025462961</v>
      </c>
      <c r="B3735">
        <v>20119644</v>
      </c>
      <c r="C3735" s="6" t="s">
        <v>19</v>
      </c>
      <c r="D3735">
        <v>607821</v>
      </c>
      <c r="E3735" t="s">
        <v>20</v>
      </c>
      <c r="F3735">
        <v>1000161261</v>
      </c>
      <c r="G3735" t="s">
        <v>2654</v>
      </c>
      <c r="H3735">
        <v>100244705</v>
      </c>
      <c r="I3735">
        <v>202631</v>
      </c>
      <c r="J3735">
        <v>1000161261</v>
      </c>
      <c r="K3735" t="s">
        <v>23</v>
      </c>
      <c r="L3735" t="s">
        <v>90</v>
      </c>
      <c r="M3735" t="s">
        <v>24</v>
      </c>
      <c r="N3735" t="s">
        <v>35</v>
      </c>
      <c r="O3735" t="s">
        <v>26</v>
      </c>
      <c r="P3735" t="s">
        <v>27</v>
      </c>
      <c r="Q3735" t="s">
        <v>28</v>
      </c>
      <c r="R3735" t="s">
        <v>29</v>
      </c>
      <c r="S3735" t="s">
        <v>30</v>
      </c>
      <c r="T3735">
        <v>1015441103</v>
      </c>
      <c r="U3735" t="s">
        <v>3933</v>
      </c>
      <c r="V3735" t="s">
        <v>3934</v>
      </c>
      <c r="W3735" s="9">
        <f>IF(V3735="pregrado",31,
IF(V3735="posgrados",31,
IF(V3735="rEINTEGROS",7,
IF(V3735="BIT",90,
IF(V3735="OP GRADO - INGLÉS",17,"")))))</f>
        <v>31</v>
      </c>
      <c r="X3735" t="s">
        <v>3961</v>
      </c>
    </row>
    <row r="3736" spans="1:24" ht="15" x14ac:dyDescent="0.35">
      <c r="A3736" s="4">
        <v>46059.600798611114</v>
      </c>
      <c r="B3736">
        <v>20121183</v>
      </c>
      <c r="C3736" s="6" t="s">
        <v>19</v>
      </c>
      <c r="D3736">
        <v>607838</v>
      </c>
      <c r="E3736" t="s">
        <v>20</v>
      </c>
      <c r="F3736">
        <v>1087107175</v>
      </c>
      <c r="G3736" t="s">
        <v>2860</v>
      </c>
      <c r="H3736">
        <v>100244749</v>
      </c>
      <c r="I3736">
        <v>202631</v>
      </c>
      <c r="J3736">
        <v>1087121592</v>
      </c>
      <c r="K3736" t="s">
        <v>33</v>
      </c>
      <c r="L3736" t="s">
        <v>207</v>
      </c>
      <c r="M3736" t="s">
        <v>24</v>
      </c>
      <c r="N3736" t="s">
        <v>25</v>
      </c>
      <c r="O3736" t="s">
        <v>26</v>
      </c>
      <c r="P3736" t="s">
        <v>27</v>
      </c>
      <c r="Q3736" t="s">
        <v>28</v>
      </c>
      <c r="R3736" t="s">
        <v>29</v>
      </c>
      <c r="S3736" t="s">
        <v>30</v>
      </c>
      <c r="T3736">
        <v>1001192723</v>
      </c>
      <c r="U3736" t="s">
        <v>3941</v>
      </c>
      <c r="V3736" t="s">
        <v>3934</v>
      </c>
      <c r="W3736" s="9">
        <f>IF(V3736="pregrado",31,
IF(V3736="posgrados",31,
IF(V3736="rEINTEGROS",7,
IF(V3736="BIT",90,
IF(V3736="OP GRADO - INGLÉS",17,"")))))</f>
        <v>31</v>
      </c>
      <c r="X3736" t="s">
        <v>3940</v>
      </c>
    </row>
    <row r="3737" spans="1:24" ht="15" x14ac:dyDescent="0.35">
      <c r="A3737" s="4">
        <v>46058.417268518519</v>
      </c>
      <c r="B3737">
        <v>20120753</v>
      </c>
      <c r="C3737" s="6" t="s">
        <v>19</v>
      </c>
      <c r="D3737">
        <v>607844</v>
      </c>
      <c r="E3737" t="s">
        <v>20</v>
      </c>
      <c r="F3737">
        <v>1013664982</v>
      </c>
      <c r="G3737" t="s">
        <v>2785</v>
      </c>
      <c r="H3737">
        <v>100244753</v>
      </c>
      <c r="I3737">
        <v>202610</v>
      </c>
      <c r="J3737">
        <v>1013664982</v>
      </c>
      <c r="K3737" t="s">
        <v>33</v>
      </c>
      <c r="L3737" t="s">
        <v>62</v>
      </c>
      <c r="M3737" t="s">
        <v>24</v>
      </c>
      <c r="N3737" t="s">
        <v>35</v>
      </c>
      <c r="O3737" t="s">
        <v>26</v>
      </c>
      <c r="P3737" t="s">
        <v>27</v>
      </c>
      <c r="Q3737" t="s">
        <v>28</v>
      </c>
      <c r="R3737" t="s">
        <v>29</v>
      </c>
      <c r="S3737" t="s">
        <v>30</v>
      </c>
      <c r="T3737">
        <v>11001273124</v>
      </c>
      <c r="U3737" t="s">
        <v>3944</v>
      </c>
      <c r="V3737" t="s">
        <v>3934</v>
      </c>
      <c r="W3737" s="9">
        <f>IF(V3737="pregrado",31,
IF(V3737="posgrados",31,
IF(V3737="rEINTEGROS",7,
IF(V3737="BIT",90,
IF(V3737="OP GRADO - INGLÉS",17,"")))))</f>
        <v>31</v>
      </c>
      <c r="X3737" t="s">
        <v>3951</v>
      </c>
    </row>
    <row r="3738" spans="1:24" ht="15" x14ac:dyDescent="0.35">
      <c r="A3738" s="4">
        <v>46055.729201388887</v>
      </c>
      <c r="B3738">
        <v>20119832</v>
      </c>
      <c r="C3738" s="6" t="s">
        <v>19</v>
      </c>
      <c r="D3738">
        <v>607849</v>
      </c>
      <c r="E3738" t="s">
        <v>20</v>
      </c>
      <c r="F3738">
        <v>1013098815</v>
      </c>
      <c r="G3738" t="s">
        <v>2665</v>
      </c>
      <c r="H3738">
        <v>100244756</v>
      </c>
      <c r="I3738">
        <v>202631</v>
      </c>
      <c r="J3738">
        <v>1013098815</v>
      </c>
      <c r="K3738" t="s">
        <v>33</v>
      </c>
      <c r="L3738" t="s">
        <v>90</v>
      </c>
      <c r="M3738" t="s">
        <v>24</v>
      </c>
      <c r="N3738" t="s">
        <v>38</v>
      </c>
      <c r="O3738" t="s">
        <v>26</v>
      </c>
      <c r="P3738" t="s">
        <v>27</v>
      </c>
      <c r="Q3738" t="s">
        <v>28</v>
      </c>
      <c r="R3738" t="s">
        <v>29</v>
      </c>
      <c r="S3738" t="s">
        <v>30</v>
      </c>
      <c r="T3738">
        <v>1026299972</v>
      </c>
      <c r="U3738" t="s">
        <v>3933</v>
      </c>
      <c r="V3738" t="s">
        <v>3934</v>
      </c>
      <c r="W3738" s="9">
        <f>IF(V3738="pregrado",31,
IF(V3738="posgrados",31,
IF(V3738="rEINTEGROS",7,
IF(V3738="BIT",90,
IF(V3738="OP GRADO - INGLÉS",17,"")))))</f>
        <v>31</v>
      </c>
      <c r="X3738" t="s">
        <v>4052</v>
      </c>
    </row>
    <row r="3739" spans="1:24" ht="15" x14ac:dyDescent="0.35">
      <c r="A3739" s="4">
        <v>46055.717488425929</v>
      </c>
      <c r="B3739">
        <v>20119814</v>
      </c>
      <c r="C3739" s="6" t="s">
        <v>19</v>
      </c>
      <c r="D3739">
        <v>607854</v>
      </c>
      <c r="E3739" t="s">
        <v>20</v>
      </c>
      <c r="F3739">
        <v>1101696011</v>
      </c>
      <c r="G3739" t="s">
        <v>2663</v>
      </c>
      <c r="H3739">
        <v>100174693</v>
      </c>
      <c r="I3739">
        <v>202631</v>
      </c>
      <c r="J3739">
        <v>1101695326</v>
      </c>
      <c r="K3739" t="s">
        <v>33</v>
      </c>
      <c r="L3739" t="s">
        <v>77</v>
      </c>
      <c r="M3739" t="s">
        <v>24</v>
      </c>
      <c r="N3739" t="s">
        <v>35</v>
      </c>
      <c r="O3739" t="s">
        <v>26</v>
      </c>
      <c r="P3739" t="s">
        <v>27</v>
      </c>
      <c r="Q3739" t="s">
        <v>28</v>
      </c>
      <c r="R3739" t="s">
        <v>29</v>
      </c>
      <c r="S3739" t="s">
        <v>30</v>
      </c>
      <c r="T3739">
        <v>1000251314</v>
      </c>
      <c r="U3739" t="s">
        <v>3963</v>
      </c>
      <c r="V3739" t="s">
        <v>3934</v>
      </c>
      <c r="W3739" s="9">
        <f>IF(V3739="pregrado",31,
IF(V3739="posgrados",31,
IF(V3739="rEINTEGROS",7,
IF(V3739="BIT",90,
IF(V3739="OP GRADO - INGLÉS",17,"")))))</f>
        <v>31</v>
      </c>
      <c r="X3739" t="s">
        <v>4024</v>
      </c>
    </row>
    <row r="3740" spans="1:24" ht="15" x14ac:dyDescent="0.35">
      <c r="A3740" s="4">
        <v>46063.863240740742</v>
      </c>
      <c r="B3740">
        <v>20122255</v>
      </c>
      <c r="C3740" s="6" t="s">
        <v>19</v>
      </c>
      <c r="D3740">
        <v>607856</v>
      </c>
      <c r="E3740" t="s">
        <v>20</v>
      </c>
      <c r="F3740">
        <v>80220779</v>
      </c>
      <c r="G3740" t="s">
        <v>3007</v>
      </c>
      <c r="H3740">
        <v>100244762</v>
      </c>
      <c r="I3740">
        <v>202610</v>
      </c>
      <c r="J3740">
        <v>1028867871</v>
      </c>
      <c r="K3740" t="s">
        <v>23</v>
      </c>
      <c r="L3740" t="s">
        <v>40</v>
      </c>
      <c r="M3740" t="s">
        <v>24</v>
      </c>
      <c r="N3740" t="s">
        <v>35</v>
      </c>
      <c r="O3740" t="s">
        <v>26</v>
      </c>
      <c r="P3740" t="s">
        <v>27</v>
      </c>
      <c r="Q3740" t="s">
        <v>28</v>
      </c>
      <c r="R3740" t="s">
        <v>29</v>
      </c>
      <c r="S3740" t="s">
        <v>30</v>
      </c>
      <c r="T3740">
        <v>1019115186</v>
      </c>
      <c r="U3740" t="s">
        <v>3941</v>
      </c>
      <c r="V3740" t="s">
        <v>3934</v>
      </c>
      <c r="W3740" s="9">
        <f>IF(V3740="pregrado",31,
IF(V3740="posgrados",31,
IF(V3740="rEINTEGROS",7,
IF(V3740="BIT",90,
IF(V3740="OP GRADO - INGLÉS",17,"")))))</f>
        <v>31</v>
      </c>
      <c r="X3740" t="s">
        <v>4005</v>
      </c>
    </row>
    <row r="3741" spans="1:24" ht="15" x14ac:dyDescent="0.35">
      <c r="A3741" s="4">
        <v>46057.448553240742</v>
      </c>
      <c r="B3741">
        <v>20120372</v>
      </c>
      <c r="C3741" s="6" t="s">
        <v>19</v>
      </c>
      <c r="D3741">
        <v>607857</v>
      </c>
      <c r="E3741" t="s">
        <v>20</v>
      </c>
      <c r="F3741">
        <v>2991133</v>
      </c>
      <c r="G3741" t="s">
        <v>2734</v>
      </c>
      <c r="H3741">
        <v>100244763</v>
      </c>
      <c r="I3741">
        <v>202631</v>
      </c>
      <c r="J3741">
        <v>1031640793</v>
      </c>
      <c r="K3741" t="s">
        <v>23</v>
      </c>
      <c r="L3741" t="s">
        <v>32</v>
      </c>
      <c r="M3741" t="s">
        <v>24</v>
      </c>
      <c r="N3741" t="s">
        <v>35</v>
      </c>
      <c r="O3741" t="s">
        <v>26</v>
      </c>
      <c r="P3741" t="s">
        <v>27</v>
      </c>
      <c r="Q3741" t="s">
        <v>28</v>
      </c>
      <c r="R3741" t="s">
        <v>29</v>
      </c>
      <c r="S3741" t="s">
        <v>30</v>
      </c>
      <c r="T3741">
        <v>11001273124</v>
      </c>
      <c r="U3741" t="s">
        <v>3944</v>
      </c>
      <c r="V3741" t="s">
        <v>3934</v>
      </c>
      <c r="W3741" s="9">
        <f>IF(V3741="pregrado",31,
IF(V3741="posgrados",31,
IF(V3741="rEINTEGROS",7,
IF(V3741="BIT",90,
IF(V3741="OP GRADO - INGLÉS",17,"")))))</f>
        <v>31</v>
      </c>
      <c r="X3741" t="s">
        <v>3951</v>
      </c>
    </row>
    <row r="3742" spans="1:24" ht="15" x14ac:dyDescent="0.35">
      <c r="A3742" s="4">
        <v>46055.784444444442</v>
      </c>
      <c r="B3742">
        <v>20119871</v>
      </c>
      <c r="C3742" s="6" t="s">
        <v>19</v>
      </c>
      <c r="D3742">
        <v>607858</v>
      </c>
      <c r="E3742" t="s">
        <v>20</v>
      </c>
      <c r="F3742">
        <v>1054926169</v>
      </c>
      <c r="G3742" t="s">
        <v>2673</v>
      </c>
      <c r="H3742">
        <v>100241770</v>
      </c>
      <c r="I3742">
        <v>202631</v>
      </c>
      <c r="J3742">
        <v>1054926169</v>
      </c>
      <c r="K3742" t="s">
        <v>33</v>
      </c>
      <c r="L3742" t="s">
        <v>119</v>
      </c>
      <c r="M3742" t="s">
        <v>24</v>
      </c>
      <c r="N3742" t="s">
        <v>35</v>
      </c>
      <c r="O3742" t="s">
        <v>26</v>
      </c>
      <c r="P3742" t="s">
        <v>27</v>
      </c>
      <c r="Q3742" t="s">
        <v>28</v>
      </c>
      <c r="R3742" t="s">
        <v>29</v>
      </c>
      <c r="S3742" t="s">
        <v>30</v>
      </c>
      <c r="T3742">
        <v>1014283217</v>
      </c>
      <c r="U3742" t="s">
        <v>3963</v>
      </c>
      <c r="V3742" t="s">
        <v>3934</v>
      </c>
      <c r="W3742" s="9">
        <f>IF(V3742="pregrado",31,
IF(V3742="posgrados",31,
IF(V3742="rEINTEGROS",7,
IF(V3742="BIT",90,
IF(V3742="OP GRADO - INGLÉS",17,"")))))</f>
        <v>31</v>
      </c>
      <c r="X3742" t="s">
        <v>4023</v>
      </c>
    </row>
    <row r="3743" spans="1:24" ht="15" x14ac:dyDescent="0.35">
      <c r="A3743" s="4">
        <v>46070.790902777779</v>
      </c>
      <c r="B3743">
        <v>20124286</v>
      </c>
      <c r="C3743" s="6" t="s">
        <v>19</v>
      </c>
      <c r="D3743">
        <v>607866</v>
      </c>
      <c r="E3743" t="s">
        <v>20</v>
      </c>
      <c r="F3743">
        <v>91301512</v>
      </c>
      <c r="G3743" t="s">
        <v>3323</v>
      </c>
      <c r="H3743">
        <v>100244722</v>
      </c>
      <c r="I3743">
        <v>202631</v>
      </c>
      <c r="J3743">
        <v>1097665001</v>
      </c>
      <c r="K3743" t="s">
        <v>33</v>
      </c>
      <c r="L3743" t="s">
        <v>231</v>
      </c>
      <c r="M3743" t="s">
        <v>24</v>
      </c>
      <c r="N3743" t="s">
        <v>25</v>
      </c>
      <c r="O3743" t="s">
        <v>26</v>
      </c>
      <c r="P3743" t="s">
        <v>27</v>
      </c>
      <c r="Q3743" t="s">
        <v>28</v>
      </c>
      <c r="R3743" t="s">
        <v>29</v>
      </c>
      <c r="S3743" t="s">
        <v>30</v>
      </c>
      <c r="T3743">
        <v>1019115186</v>
      </c>
      <c r="U3743" t="s">
        <v>3941</v>
      </c>
      <c r="V3743" t="s">
        <v>3934</v>
      </c>
      <c r="W3743" s="9">
        <f>IF(V3743="pregrado",31,
IF(V3743="posgrados",31,
IF(V3743="rEINTEGROS",7,
IF(V3743="BIT",90,
IF(V3743="OP GRADO - INGLÉS",17,"")))))</f>
        <v>31</v>
      </c>
      <c r="X3743" t="s">
        <v>4005</v>
      </c>
    </row>
    <row r="3744" spans="1:24" ht="15" x14ac:dyDescent="0.35">
      <c r="A3744" s="4">
        <v>46060.41505787037</v>
      </c>
      <c r="B3744">
        <v>20121381</v>
      </c>
      <c r="C3744" s="6" t="s">
        <v>19</v>
      </c>
      <c r="D3744">
        <v>607880</v>
      </c>
      <c r="E3744" t="s">
        <v>20</v>
      </c>
      <c r="F3744">
        <v>1061705234</v>
      </c>
      <c r="G3744" t="s">
        <v>2889</v>
      </c>
      <c r="H3744">
        <v>100238341</v>
      </c>
      <c r="I3744">
        <v>202631</v>
      </c>
      <c r="J3744">
        <v>1061705234</v>
      </c>
      <c r="K3744" t="s">
        <v>23</v>
      </c>
      <c r="L3744" t="s">
        <v>240</v>
      </c>
      <c r="M3744" t="s">
        <v>24</v>
      </c>
      <c r="N3744" t="s">
        <v>35</v>
      </c>
      <c r="O3744" t="s">
        <v>26</v>
      </c>
      <c r="P3744" t="s">
        <v>27</v>
      </c>
      <c r="Q3744" t="s">
        <v>28</v>
      </c>
      <c r="R3744" t="s">
        <v>29</v>
      </c>
      <c r="S3744" t="s">
        <v>30</v>
      </c>
      <c r="T3744">
        <v>1026298522</v>
      </c>
      <c r="U3744" t="s">
        <v>3965</v>
      </c>
      <c r="V3744" t="s">
        <v>3934</v>
      </c>
      <c r="W3744" s="9">
        <f>IF(V3744="pregrado",31,
IF(V3744="posgrados",31,
IF(V3744="rEINTEGROS",7,
IF(V3744="BIT",90,
IF(V3744="OP GRADO - INGLÉS",17,"")))))</f>
        <v>31</v>
      </c>
      <c r="X3744" t="s">
        <v>4040</v>
      </c>
    </row>
    <row r="3745" spans="1:24" ht="15" x14ac:dyDescent="0.35">
      <c r="A3745" s="4">
        <v>46073.59107638889</v>
      </c>
      <c r="B3745">
        <v>20125278</v>
      </c>
      <c r="C3745" s="6" t="s">
        <v>19</v>
      </c>
      <c r="D3745">
        <v>607889</v>
      </c>
      <c r="E3745" t="s">
        <v>20</v>
      </c>
      <c r="F3745">
        <v>1026560361</v>
      </c>
      <c r="G3745" t="s">
        <v>3476</v>
      </c>
      <c r="H3745">
        <v>200064310</v>
      </c>
      <c r="I3745">
        <v>202631</v>
      </c>
      <c r="J3745">
        <v>1026560361</v>
      </c>
      <c r="K3745" t="s">
        <v>33</v>
      </c>
      <c r="L3745" t="s">
        <v>77</v>
      </c>
      <c r="M3745" t="s">
        <v>24</v>
      </c>
      <c r="N3745" t="s">
        <v>35</v>
      </c>
      <c r="O3745" t="s">
        <v>26</v>
      </c>
      <c r="P3745" t="s">
        <v>27</v>
      </c>
      <c r="Q3745" t="s">
        <v>28</v>
      </c>
      <c r="R3745" t="s">
        <v>29</v>
      </c>
      <c r="S3745" t="s">
        <v>30</v>
      </c>
      <c r="T3745">
        <v>1023975276</v>
      </c>
      <c r="U3745" t="s">
        <v>3963</v>
      </c>
      <c r="V3745" t="s">
        <v>3934</v>
      </c>
      <c r="W3745" s="9">
        <f>IF(V3745="pregrado",31,
IF(V3745="posgrados",31,
IF(V3745="rEINTEGROS",7,
IF(V3745="BIT",90,
IF(V3745="OP GRADO - INGLÉS",17,"")))))</f>
        <v>31</v>
      </c>
      <c r="X3745" t="s">
        <v>3962</v>
      </c>
    </row>
    <row r="3746" spans="1:24" ht="15" x14ac:dyDescent="0.35">
      <c r="A3746" s="4">
        <v>46057.734513888892</v>
      </c>
      <c r="B3746">
        <v>20120622</v>
      </c>
      <c r="C3746" s="6" t="s">
        <v>19</v>
      </c>
      <c r="D3746">
        <v>607899</v>
      </c>
      <c r="E3746" t="s">
        <v>20</v>
      </c>
      <c r="F3746">
        <v>1062086259</v>
      </c>
      <c r="G3746" t="s">
        <v>2769</v>
      </c>
      <c r="H3746">
        <v>100244788</v>
      </c>
      <c r="I3746">
        <v>202631</v>
      </c>
      <c r="J3746">
        <v>1062086259</v>
      </c>
      <c r="K3746" t="s">
        <v>33</v>
      </c>
      <c r="L3746" t="s">
        <v>101</v>
      </c>
      <c r="M3746" t="s">
        <v>24</v>
      </c>
      <c r="N3746" t="s">
        <v>35</v>
      </c>
      <c r="O3746" t="s">
        <v>26</v>
      </c>
      <c r="P3746" t="s">
        <v>27</v>
      </c>
      <c r="Q3746" t="s">
        <v>28</v>
      </c>
      <c r="R3746" t="s">
        <v>29</v>
      </c>
      <c r="S3746" t="s">
        <v>30</v>
      </c>
      <c r="T3746">
        <v>1023975276</v>
      </c>
      <c r="U3746" t="s">
        <v>3963</v>
      </c>
      <c r="V3746" t="s">
        <v>3934</v>
      </c>
      <c r="W3746" s="9">
        <f>IF(V3746="pregrado",31,
IF(V3746="posgrados",31,
IF(V3746="rEINTEGROS",7,
IF(V3746="BIT",90,
IF(V3746="OP GRADO - INGLÉS",17,"")))))</f>
        <v>31</v>
      </c>
      <c r="X3746" t="s">
        <v>3962</v>
      </c>
    </row>
    <row r="3747" spans="1:24" ht="15" x14ac:dyDescent="0.35">
      <c r="A3747" s="4">
        <v>46057.668958333335</v>
      </c>
      <c r="B3747">
        <v>20120554</v>
      </c>
      <c r="C3747" s="6" t="s">
        <v>19</v>
      </c>
      <c r="D3747">
        <v>607907</v>
      </c>
      <c r="E3747" t="s">
        <v>20</v>
      </c>
      <c r="F3747">
        <v>1001853551</v>
      </c>
      <c r="G3747" t="s">
        <v>2760</v>
      </c>
      <c r="H3747">
        <v>100244797</v>
      </c>
      <c r="I3747">
        <v>202611</v>
      </c>
      <c r="J3747">
        <v>1001853551</v>
      </c>
      <c r="K3747" t="s">
        <v>23</v>
      </c>
      <c r="L3747" t="s">
        <v>221</v>
      </c>
      <c r="M3747" t="s">
        <v>24</v>
      </c>
      <c r="N3747" t="s">
        <v>35</v>
      </c>
      <c r="O3747" t="s">
        <v>26</v>
      </c>
      <c r="P3747" t="s">
        <v>27</v>
      </c>
      <c r="Q3747" t="s">
        <v>28</v>
      </c>
      <c r="R3747" t="s">
        <v>29</v>
      </c>
      <c r="S3747" t="s">
        <v>30</v>
      </c>
      <c r="T3747">
        <v>53040709</v>
      </c>
      <c r="U3747" t="s">
        <v>3963</v>
      </c>
      <c r="V3747" t="s">
        <v>3934</v>
      </c>
      <c r="W3747" s="9">
        <f>IF(V3747="pregrado",31,
IF(V3747="posgrados",31,
IF(V3747="rEINTEGROS",7,
IF(V3747="BIT",90,
IF(V3747="OP GRADO - INGLÉS",17,"")))))</f>
        <v>31</v>
      </c>
      <c r="X3747" t="s">
        <v>3994</v>
      </c>
    </row>
    <row r="3748" spans="1:24" ht="15" x14ac:dyDescent="0.35">
      <c r="A3748" s="4">
        <v>46057.794652777775</v>
      </c>
      <c r="B3748">
        <v>20120652</v>
      </c>
      <c r="C3748" s="6" t="s">
        <v>19</v>
      </c>
      <c r="D3748">
        <v>607908</v>
      </c>
      <c r="E3748" t="s">
        <v>20</v>
      </c>
      <c r="F3748">
        <v>25112282</v>
      </c>
      <c r="G3748" t="s">
        <v>2775</v>
      </c>
      <c r="H3748">
        <v>100244798</v>
      </c>
      <c r="I3748">
        <v>202611</v>
      </c>
      <c r="J3748">
        <v>1002857316</v>
      </c>
      <c r="K3748" t="s">
        <v>23</v>
      </c>
      <c r="L3748" t="s">
        <v>221</v>
      </c>
      <c r="M3748" t="s">
        <v>24</v>
      </c>
      <c r="N3748" t="s">
        <v>25</v>
      </c>
      <c r="O3748" t="s">
        <v>26</v>
      </c>
      <c r="P3748" t="s">
        <v>27</v>
      </c>
      <c r="Q3748" t="s">
        <v>28</v>
      </c>
      <c r="R3748" t="s">
        <v>29</v>
      </c>
      <c r="S3748" t="s">
        <v>30</v>
      </c>
      <c r="T3748">
        <v>1015428862</v>
      </c>
      <c r="U3748" t="s">
        <v>3965</v>
      </c>
      <c r="V3748" t="s">
        <v>3934</v>
      </c>
      <c r="W3748" s="9">
        <f>IF(V3748="pregrado",31,
IF(V3748="posgrados",31,
IF(V3748="rEINTEGROS",7,
IF(V3748="BIT",90,
IF(V3748="OP GRADO - INGLÉS",17,"")))))</f>
        <v>31</v>
      </c>
      <c r="X3748" t="s">
        <v>4048</v>
      </c>
    </row>
    <row r="3749" spans="1:24" ht="15" x14ac:dyDescent="0.35">
      <c r="A3749" s="4">
        <v>46057.396469907406</v>
      </c>
      <c r="B3749">
        <v>20120330</v>
      </c>
      <c r="C3749" s="6" t="s">
        <v>19</v>
      </c>
      <c r="D3749">
        <v>607912</v>
      </c>
      <c r="E3749" t="s">
        <v>20</v>
      </c>
      <c r="F3749">
        <v>1048555272</v>
      </c>
      <c r="G3749" t="s">
        <v>2724</v>
      </c>
      <c r="H3749">
        <v>100244676</v>
      </c>
      <c r="I3749">
        <v>202631</v>
      </c>
      <c r="J3749">
        <v>1048555272</v>
      </c>
      <c r="K3749" t="s">
        <v>33</v>
      </c>
      <c r="L3749" t="s">
        <v>127</v>
      </c>
      <c r="M3749" t="s">
        <v>24</v>
      </c>
      <c r="N3749" t="s">
        <v>25</v>
      </c>
      <c r="O3749" t="s">
        <v>26</v>
      </c>
      <c r="P3749" t="s">
        <v>27</v>
      </c>
      <c r="Q3749" t="s">
        <v>28</v>
      </c>
      <c r="R3749" t="s">
        <v>29</v>
      </c>
      <c r="S3749" t="s">
        <v>30</v>
      </c>
      <c r="T3749">
        <v>1025460711</v>
      </c>
      <c r="U3749" t="s">
        <v>3933</v>
      </c>
      <c r="V3749" t="s">
        <v>3934</v>
      </c>
      <c r="W3749" s="9">
        <f>IF(V3749="pregrado",31,
IF(V3749="posgrados",31,
IF(V3749="rEINTEGROS",7,
IF(V3749="BIT",90,
IF(V3749="OP GRADO - INGLÉS",17,"")))))</f>
        <v>31</v>
      </c>
      <c r="X3749" t="s">
        <v>4062</v>
      </c>
    </row>
    <row r="3750" spans="1:24" ht="15" x14ac:dyDescent="0.35">
      <c r="A3750" s="4">
        <v>46059.436400462961</v>
      </c>
      <c r="B3750">
        <v>20121128</v>
      </c>
      <c r="C3750" s="6" t="s">
        <v>19</v>
      </c>
      <c r="D3750">
        <v>607917</v>
      </c>
      <c r="E3750" t="s">
        <v>20</v>
      </c>
      <c r="F3750">
        <v>35195137</v>
      </c>
      <c r="G3750" t="s">
        <v>2854</v>
      </c>
      <c r="H3750">
        <v>200107849</v>
      </c>
      <c r="I3750">
        <v>202631</v>
      </c>
      <c r="J3750">
        <v>35195137</v>
      </c>
      <c r="K3750" t="s">
        <v>83</v>
      </c>
      <c r="L3750" t="s">
        <v>119</v>
      </c>
      <c r="M3750" t="s">
        <v>24</v>
      </c>
      <c r="N3750" t="s">
        <v>35</v>
      </c>
      <c r="O3750" t="s">
        <v>26</v>
      </c>
      <c r="P3750" t="s">
        <v>27</v>
      </c>
      <c r="Q3750" t="s">
        <v>28</v>
      </c>
      <c r="R3750" t="s">
        <v>29</v>
      </c>
      <c r="S3750" t="s">
        <v>30</v>
      </c>
      <c r="T3750">
        <v>1000251314</v>
      </c>
      <c r="U3750" t="s">
        <v>3963</v>
      </c>
      <c r="V3750" t="s">
        <v>3934</v>
      </c>
      <c r="W3750" s="9">
        <f>IF(V3750="pregrado",31,
IF(V3750="posgrados",31,
IF(V3750="rEINTEGROS",7,
IF(V3750="BIT",90,
IF(V3750="OP GRADO - INGLÉS",17,"")))))</f>
        <v>31</v>
      </c>
      <c r="X3750" t="s">
        <v>4024</v>
      </c>
    </row>
    <row r="3751" spans="1:24" ht="15" x14ac:dyDescent="0.35">
      <c r="A3751" s="4">
        <v>46058.440486111111</v>
      </c>
      <c r="B3751">
        <v>20120772</v>
      </c>
      <c r="C3751" s="6" t="s">
        <v>19</v>
      </c>
      <c r="D3751">
        <v>607923</v>
      </c>
      <c r="E3751" t="s">
        <v>20</v>
      </c>
      <c r="F3751">
        <v>1062088905</v>
      </c>
      <c r="G3751" t="s">
        <v>2789</v>
      </c>
      <c r="H3751">
        <v>100199148</v>
      </c>
      <c r="I3751">
        <v>202631</v>
      </c>
      <c r="J3751">
        <v>1062088905</v>
      </c>
      <c r="K3751" t="s">
        <v>33</v>
      </c>
      <c r="L3751" t="s">
        <v>101</v>
      </c>
      <c r="M3751" t="s">
        <v>24</v>
      </c>
      <c r="N3751" t="s">
        <v>35</v>
      </c>
      <c r="O3751" t="s">
        <v>26</v>
      </c>
      <c r="P3751" t="s">
        <v>27</v>
      </c>
      <c r="Q3751" t="s">
        <v>28</v>
      </c>
      <c r="R3751" t="s">
        <v>29</v>
      </c>
      <c r="S3751" t="s">
        <v>30</v>
      </c>
      <c r="T3751">
        <v>1023975276</v>
      </c>
      <c r="U3751" t="s">
        <v>3963</v>
      </c>
      <c r="V3751" t="s">
        <v>3934</v>
      </c>
      <c r="W3751" s="9">
        <f>IF(V3751="pregrado",31,
IF(V3751="posgrados",31,
IF(V3751="rEINTEGROS",7,
IF(V3751="BIT",90,
IF(V3751="OP GRADO - INGLÉS",17,"")))))</f>
        <v>31</v>
      </c>
      <c r="X3751" t="s">
        <v>3962</v>
      </c>
    </row>
    <row r="3752" spans="1:24" ht="15" x14ac:dyDescent="0.35">
      <c r="A3752" s="4">
        <v>46055.809849537036</v>
      </c>
      <c r="B3752">
        <v>20119881</v>
      </c>
      <c r="C3752" s="6" t="s">
        <v>19</v>
      </c>
      <c r="D3752">
        <v>607930</v>
      </c>
      <c r="E3752" t="s">
        <v>20</v>
      </c>
      <c r="F3752">
        <v>1057610834</v>
      </c>
      <c r="G3752" t="s">
        <v>2675</v>
      </c>
      <c r="H3752">
        <v>100244703</v>
      </c>
      <c r="I3752">
        <v>202631</v>
      </c>
      <c r="J3752">
        <v>1057610834</v>
      </c>
      <c r="K3752" t="s">
        <v>33</v>
      </c>
      <c r="L3752" t="s">
        <v>127</v>
      </c>
      <c r="M3752" t="s">
        <v>24</v>
      </c>
      <c r="N3752" t="s">
        <v>25</v>
      </c>
      <c r="O3752" t="s">
        <v>26</v>
      </c>
      <c r="P3752" t="s">
        <v>27</v>
      </c>
      <c r="Q3752" t="s">
        <v>28</v>
      </c>
      <c r="R3752" t="s">
        <v>29</v>
      </c>
      <c r="S3752" t="s">
        <v>30</v>
      </c>
      <c r="T3752">
        <v>10306009131</v>
      </c>
      <c r="U3752" t="s">
        <v>3933</v>
      </c>
      <c r="V3752" t="s">
        <v>3934</v>
      </c>
      <c r="W3752" s="9">
        <f>IF(V3752="pregrado",31,
IF(V3752="posgrados",31,
IF(V3752="rEINTEGROS",7,
IF(V3752="BIT",90,
IF(V3752="OP GRADO - INGLÉS",17,"")))))</f>
        <v>31</v>
      </c>
      <c r="X3752" t="s">
        <v>3978</v>
      </c>
    </row>
    <row r="3753" spans="1:24" ht="15" x14ac:dyDescent="0.35">
      <c r="A3753" s="4">
        <v>46058.369814814818</v>
      </c>
      <c r="B3753">
        <v>20120695</v>
      </c>
      <c r="C3753" s="6" t="s">
        <v>19</v>
      </c>
      <c r="D3753">
        <v>607932</v>
      </c>
      <c r="E3753" t="s">
        <v>20</v>
      </c>
      <c r="F3753">
        <v>31437141</v>
      </c>
      <c r="G3753" t="s">
        <v>2777</v>
      </c>
      <c r="H3753">
        <v>100225960</v>
      </c>
      <c r="I3753">
        <v>202631</v>
      </c>
      <c r="J3753">
        <v>31437141</v>
      </c>
      <c r="K3753" t="s">
        <v>33</v>
      </c>
      <c r="L3753" t="s">
        <v>207</v>
      </c>
      <c r="M3753" t="s">
        <v>24</v>
      </c>
      <c r="N3753" t="s">
        <v>25</v>
      </c>
      <c r="O3753" t="s">
        <v>26</v>
      </c>
      <c r="P3753" t="s">
        <v>27</v>
      </c>
      <c r="Q3753" t="s">
        <v>28</v>
      </c>
      <c r="R3753" t="s">
        <v>29</v>
      </c>
      <c r="S3753" t="s">
        <v>30</v>
      </c>
      <c r="T3753">
        <v>80219471</v>
      </c>
      <c r="U3753" t="s">
        <v>3941</v>
      </c>
      <c r="V3753" t="s">
        <v>3934</v>
      </c>
      <c r="W3753" s="9">
        <f>IF(V3753="pregrado",31,
IF(V3753="posgrados",31,
IF(V3753="rEINTEGROS",7,
IF(V3753="BIT",90,
IF(V3753="OP GRADO - INGLÉS",17,"")))))</f>
        <v>31</v>
      </c>
      <c r="X3753" t="s">
        <v>4030</v>
      </c>
    </row>
    <row r="3754" spans="1:24" ht="15" x14ac:dyDescent="0.35">
      <c r="A3754" s="4">
        <v>46069.804409722223</v>
      </c>
      <c r="B3754">
        <v>20123924</v>
      </c>
      <c r="C3754" s="6" t="s">
        <v>19</v>
      </c>
      <c r="D3754">
        <v>607934</v>
      </c>
      <c r="E3754" t="s">
        <v>20</v>
      </c>
      <c r="F3754">
        <v>1085261078</v>
      </c>
      <c r="G3754" t="s">
        <v>3271</v>
      </c>
      <c r="H3754">
        <v>100244817</v>
      </c>
      <c r="I3754">
        <v>202631</v>
      </c>
      <c r="J3754">
        <v>1085261078</v>
      </c>
      <c r="K3754" t="s">
        <v>33</v>
      </c>
      <c r="L3754" t="s">
        <v>370</v>
      </c>
      <c r="M3754" t="s">
        <v>24</v>
      </c>
      <c r="N3754" t="s">
        <v>35</v>
      </c>
      <c r="O3754" t="s">
        <v>26</v>
      </c>
      <c r="P3754" t="s">
        <v>27</v>
      </c>
      <c r="Q3754" t="s">
        <v>28</v>
      </c>
      <c r="R3754" t="s">
        <v>29</v>
      </c>
      <c r="S3754" t="s">
        <v>30</v>
      </c>
      <c r="T3754">
        <v>1000350862</v>
      </c>
      <c r="U3754" t="s">
        <v>3963</v>
      </c>
      <c r="V3754" t="s">
        <v>3934</v>
      </c>
      <c r="W3754" s="9">
        <f>IF(V3754="pregrado",31,
IF(V3754="posgrados",31,
IF(V3754="rEINTEGROS",7,
IF(V3754="BIT",90,
IF(V3754="OP GRADO - INGLÉS",17,"")))))</f>
        <v>31</v>
      </c>
      <c r="X3754" t="s">
        <v>4071</v>
      </c>
    </row>
    <row r="3755" spans="1:24" ht="15" x14ac:dyDescent="0.35">
      <c r="A3755" s="4">
        <v>46058.587939814817</v>
      </c>
      <c r="B3755">
        <v>20120861</v>
      </c>
      <c r="C3755" s="6" t="s">
        <v>19</v>
      </c>
      <c r="D3755">
        <v>607939</v>
      </c>
      <c r="E3755" t="s">
        <v>20</v>
      </c>
      <c r="F3755">
        <v>1043120150</v>
      </c>
      <c r="G3755" t="s">
        <v>2813</v>
      </c>
      <c r="H3755">
        <v>200085783</v>
      </c>
      <c r="I3755">
        <v>202631</v>
      </c>
      <c r="J3755">
        <v>1043120150</v>
      </c>
      <c r="K3755" t="s">
        <v>23</v>
      </c>
      <c r="L3755" t="s">
        <v>77</v>
      </c>
      <c r="M3755" t="s">
        <v>24</v>
      </c>
      <c r="N3755" t="s">
        <v>35</v>
      </c>
      <c r="O3755" t="s">
        <v>26</v>
      </c>
      <c r="P3755" t="s">
        <v>27</v>
      </c>
      <c r="Q3755" t="s">
        <v>28</v>
      </c>
      <c r="R3755" t="s">
        <v>29</v>
      </c>
      <c r="S3755" t="s">
        <v>30</v>
      </c>
      <c r="T3755">
        <v>1020820287</v>
      </c>
      <c r="U3755" t="s">
        <v>3963</v>
      </c>
      <c r="V3755" t="s">
        <v>3934</v>
      </c>
      <c r="W3755" s="9">
        <f>IF(V3755="pregrado",31,
IF(V3755="posgrados",31,
IF(V3755="rEINTEGROS",7,
IF(V3755="BIT",90,
IF(V3755="OP GRADO - INGLÉS",17,"")))))</f>
        <v>31</v>
      </c>
      <c r="X3755" t="s">
        <v>4044</v>
      </c>
    </row>
    <row r="3756" spans="1:24" ht="15" x14ac:dyDescent="0.35">
      <c r="A3756" s="4">
        <v>46058.390370370369</v>
      </c>
      <c r="B3756">
        <v>20120727</v>
      </c>
      <c r="C3756" s="6" t="s">
        <v>19</v>
      </c>
      <c r="D3756">
        <v>607943</v>
      </c>
      <c r="E3756" t="s">
        <v>20</v>
      </c>
      <c r="F3756">
        <v>1023000631</v>
      </c>
      <c r="G3756" t="s">
        <v>2783</v>
      </c>
      <c r="H3756">
        <v>100244821</v>
      </c>
      <c r="I3756">
        <v>202610</v>
      </c>
      <c r="J3756">
        <v>1023037279</v>
      </c>
      <c r="K3756" t="s">
        <v>23</v>
      </c>
      <c r="L3756" t="s">
        <v>79</v>
      </c>
      <c r="M3756" t="s">
        <v>24</v>
      </c>
      <c r="N3756" t="s">
        <v>35</v>
      </c>
      <c r="O3756" t="s">
        <v>26</v>
      </c>
      <c r="P3756" t="s">
        <v>27</v>
      </c>
      <c r="Q3756" t="s">
        <v>28</v>
      </c>
      <c r="R3756" t="s">
        <v>29</v>
      </c>
      <c r="S3756" t="s">
        <v>30</v>
      </c>
      <c r="T3756">
        <v>1020730718</v>
      </c>
      <c r="U3756" t="s">
        <v>3941</v>
      </c>
      <c r="V3756" t="s">
        <v>3934</v>
      </c>
      <c r="W3756" s="9">
        <f>IF(V3756="pregrado",31,
IF(V3756="posgrados",31,
IF(V3756="rEINTEGROS",7,
IF(V3756="BIT",90,
IF(V3756="OP GRADO - INGLÉS",17,"")))))</f>
        <v>31</v>
      </c>
      <c r="X3756" t="s">
        <v>3952</v>
      </c>
    </row>
    <row r="3757" spans="1:24" ht="15" x14ac:dyDescent="0.35">
      <c r="A3757" s="4">
        <v>46057.569560185184</v>
      </c>
      <c r="B3757">
        <v>20120458</v>
      </c>
      <c r="C3757" s="6" t="s">
        <v>19</v>
      </c>
      <c r="D3757">
        <v>607945</v>
      </c>
      <c r="E3757" t="s">
        <v>20</v>
      </c>
      <c r="F3757">
        <v>1127594239</v>
      </c>
      <c r="G3757" t="s">
        <v>2748</v>
      </c>
      <c r="H3757">
        <v>100244803</v>
      </c>
      <c r="I3757">
        <v>202631</v>
      </c>
      <c r="J3757">
        <v>1127594239</v>
      </c>
      <c r="K3757" t="s">
        <v>83</v>
      </c>
      <c r="L3757" t="s">
        <v>207</v>
      </c>
      <c r="M3757" t="s">
        <v>24</v>
      </c>
      <c r="N3757" t="s">
        <v>35</v>
      </c>
      <c r="O3757" t="s">
        <v>26</v>
      </c>
      <c r="P3757" t="s">
        <v>27</v>
      </c>
      <c r="Q3757" t="s">
        <v>28</v>
      </c>
      <c r="R3757" t="s">
        <v>29</v>
      </c>
      <c r="S3757" t="s">
        <v>30</v>
      </c>
      <c r="T3757">
        <v>1000001980</v>
      </c>
      <c r="U3757" t="s">
        <v>3944</v>
      </c>
      <c r="V3757" t="s">
        <v>3934</v>
      </c>
      <c r="W3757" s="9">
        <f>IF(V3757="pregrado",31,
IF(V3757="posgrados",31,
IF(V3757="rEINTEGROS",7,
IF(V3757="BIT",90,
IF(V3757="OP GRADO - INGLÉS",17,"")))))</f>
        <v>31</v>
      </c>
      <c r="X3757" t="s">
        <v>3968</v>
      </c>
    </row>
    <row r="3758" spans="1:24" ht="15" x14ac:dyDescent="0.35">
      <c r="A3758" s="4">
        <v>46065.642766203702</v>
      </c>
      <c r="B3758">
        <v>20122883</v>
      </c>
      <c r="C3758" s="6" t="s">
        <v>19</v>
      </c>
      <c r="D3758">
        <v>607947</v>
      </c>
      <c r="E3758" t="s">
        <v>20</v>
      </c>
      <c r="F3758">
        <v>64579048</v>
      </c>
      <c r="G3758" t="s">
        <v>3108</v>
      </c>
      <c r="H3758">
        <v>200118498</v>
      </c>
      <c r="I3758">
        <v>202631</v>
      </c>
      <c r="J3758">
        <v>64579048</v>
      </c>
      <c r="K3758" t="s">
        <v>33</v>
      </c>
      <c r="L3758" t="s">
        <v>119</v>
      </c>
      <c r="M3758" t="s">
        <v>24</v>
      </c>
      <c r="N3758" t="s">
        <v>35</v>
      </c>
      <c r="O3758" t="s">
        <v>26</v>
      </c>
      <c r="P3758" t="s">
        <v>27</v>
      </c>
      <c r="Q3758" t="s">
        <v>28</v>
      </c>
      <c r="R3758" t="s">
        <v>29</v>
      </c>
      <c r="S3758" t="s">
        <v>30</v>
      </c>
      <c r="T3758">
        <v>1023367706</v>
      </c>
      <c r="U3758" t="s">
        <v>3963</v>
      </c>
      <c r="V3758" t="s">
        <v>3934</v>
      </c>
      <c r="W3758" s="9">
        <f>IF(V3758="pregrado",31,
IF(V3758="posgrados",31,
IF(V3758="rEINTEGROS",7,
IF(V3758="BIT",90,
IF(V3758="OP GRADO - INGLÉS",17,"")))))</f>
        <v>31</v>
      </c>
      <c r="X3758" t="s">
        <v>4039</v>
      </c>
    </row>
    <row r="3759" spans="1:24" ht="15" x14ac:dyDescent="0.35">
      <c r="A3759" s="4">
        <v>46056.401689814818</v>
      </c>
      <c r="B3759">
        <v>20119986</v>
      </c>
      <c r="C3759" s="6" t="s">
        <v>19</v>
      </c>
      <c r="D3759">
        <v>607954</v>
      </c>
      <c r="E3759" t="s">
        <v>20</v>
      </c>
      <c r="F3759">
        <v>1096246042</v>
      </c>
      <c r="G3759" t="s">
        <v>2683</v>
      </c>
      <c r="H3759">
        <v>100244831</v>
      </c>
      <c r="I3759">
        <v>202631</v>
      </c>
      <c r="J3759">
        <v>1096246042</v>
      </c>
      <c r="K3759" t="s">
        <v>23</v>
      </c>
      <c r="L3759" t="s">
        <v>219</v>
      </c>
      <c r="M3759" t="s">
        <v>24</v>
      </c>
      <c r="N3759" t="s">
        <v>35</v>
      </c>
      <c r="O3759" t="s">
        <v>26</v>
      </c>
      <c r="P3759" t="s">
        <v>27</v>
      </c>
      <c r="Q3759" t="s">
        <v>28</v>
      </c>
      <c r="R3759" t="s">
        <v>29</v>
      </c>
      <c r="S3759" t="s">
        <v>30</v>
      </c>
      <c r="T3759">
        <v>79635092</v>
      </c>
      <c r="U3759" t="s">
        <v>3963</v>
      </c>
      <c r="V3759" t="s">
        <v>3934</v>
      </c>
      <c r="W3759" s="9">
        <f>IF(V3759="pregrado",31,
IF(V3759="posgrados",31,
IF(V3759="rEINTEGROS",7,
IF(V3759="BIT",90,
IF(V3759="OP GRADO - INGLÉS",17,"")))))</f>
        <v>31</v>
      </c>
      <c r="X3759" t="s">
        <v>4079</v>
      </c>
    </row>
    <row r="3760" spans="1:24" ht="15" x14ac:dyDescent="0.35">
      <c r="A3760" s="4">
        <v>46057.419074074074</v>
      </c>
      <c r="B3760">
        <v>20120348</v>
      </c>
      <c r="C3760" s="6" t="s">
        <v>19</v>
      </c>
      <c r="D3760">
        <v>607957</v>
      </c>
      <c r="E3760" t="s">
        <v>20</v>
      </c>
      <c r="F3760">
        <v>1003807904</v>
      </c>
      <c r="G3760" t="s">
        <v>2729</v>
      </c>
      <c r="H3760">
        <v>100125392</v>
      </c>
      <c r="I3760">
        <v>202611</v>
      </c>
      <c r="J3760">
        <v>1003807904</v>
      </c>
      <c r="K3760" t="s">
        <v>89</v>
      </c>
      <c r="L3760" t="s">
        <v>133</v>
      </c>
      <c r="M3760" t="s">
        <v>24</v>
      </c>
      <c r="N3760" t="s">
        <v>35</v>
      </c>
      <c r="O3760" t="s">
        <v>26</v>
      </c>
      <c r="P3760" t="s">
        <v>27</v>
      </c>
      <c r="Q3760" t="s">
        <v>28</v>
      </c>
      <c r="R3760" t="s">
        <v>29</v>
      </c>
      <c r="S3760" t="s">
        <v>30</v>
      </c>
      <c r="T3760">
        <v>52168054</v>
      </c>
      <c r="U3760" t="s">
        <v>3977</v>
      </c>
      <c r="V3760" t="s">
        <v>3970</v>
      </c>
      <c r="W3760" s="9">
        <f>IF(V3760="pregrado",31,
IF(V3760="posgrados",31,
IF(V3760="rEINTEGROS",7,
IF(V3760="BIT",90,
IF(V3760="OP GRADO - INGLÉS",17,"")))))</f>
        <v>7</v>
      </c>
      <c r="X3760" t="s">
        <v>4057</v>
      </c>
    </row>
    <row r="3761" spans="1:24" ht="15" x14ac:dyDescent="0.35">
      <c r="A3761" s="4">
        <v>46056.614004629628</v>
      </c>
      <c r="B3761">
        <v>20120134</v>
      </c>
      <c r="C3761" s="6" t="s">
        <v>19</v>
      </c>
      <c r="D3761">
        <v>607959</v>
      </c>
      <c r="E3761" t="s">
        <v>20</v>
      </c>
      <c r="F3761">
        <v>1065982751</v>
      </c>
      <c r="G3761" t="s">
        <v>2700</v>
      </c>
      <c r="H3761">
        <v>100244721</v>
      </c>
      <c r="I3761">
        <v>202611</v>
      </c>
      <c r="J3761">
        <v>1065982751</v>
      </c>
      <c r="K3761" t="s">
        <v>23</v>
      </c>
      <c r="L3761" t="s">
        <v>221</v>
      </c>
      <c r="M3761" t="s">
        <v>24</v>
      </c>
      <c r="N3761" t="s">
        <v>35</v>
      </c>
      <c r="O3761" t="s">
        <v>26</v>
      </c>
      <c r="P3761" t="s">
        <v>27</v>
      </c>
      <c r="Q3761" t="s">
        <v>28</v>
      </c>
      <c r="R3761" t="s">
        <v>29</v>
      </c>
      <c r="S3761" t="s">
        <v>30</v>
      </c>
      <c r="T3761">
        <v>1030651078</v>
      </c>
      <c r="U3761" t="s">
        <v>3965</v>
      </c>
      <c r="V3761" t="s">
        <v>3934</v>
      </c>
      <c r="W3761" s="9">
        <f>IF(V3761="pregrado",31,
IF(V3761="posgrados",31,
IF(V3761="rEINTEGROS",7,
IF(V3761="BIT",90,
IF(V3761="OP GRADO - INGLÉS",17,"")))))</f>
        <v>31</v>
      </c>
      <c r="X3761" t="s">
        <v>4085</v>
      </c>
    </row>
    <row r="3762" spans="1:24" ht="15" x14ac:dyDescent="0.35">
      <c r="A3762" s="4">
        <v>46071.425925925927</v>
      </c>
      <c r="B3762">
        <v>20124379</v>
      </c>
      <c r="C3762" s="6" t="s">
        <v>19</v>
      </c>
      <c r="D3762">
        <v>607960</v>
      </c>
      <c r="E3762" t="s">
        <v>20</v>
      </c>
      <c r="F3762">
        <v>1043669024</v>
      </c>
      <c r="G3762" t="s">
        <v>3341</v>
      </c>
      <c r="H3762">
        <v>100244834</v>
      </c>
      <c r="I3762">
        <v>202631</v>
      </c>
      <c r="J3762">
        <v>1043669024</v>
      </c>
      <c r="K3762" t="s">
        <v>33</v>
      </c>
      <c r="L3762" t="s">
        <v>240</v>
      </c>
      <c r="M3762" t="s">
        <v>24</v>
      </c>
      <c r="N3762" t="s">
        <v>605</v>
      </c>
      <c r="O3762" t="s">
        <v>26</v>
      </c>
      <c r="P3762" t="s">
        <v>27</v>
      </c>
      <c r="Q3762" t="s">
        <v>28</v>
      </c>
      <c r="R3762" t="s">
        <v>29</v>
      </c>
      <c r="S3762" t="s">
        <v>30</v>
      </c>
      <c r="T3762">
        <v>1001277801</v>
      </c>
      <c r="U3762" t="s">
        <v>3965</v>
      </c>
      <c r="V3762" t="s">
        <v>3934</v>
      </c>
      <c r="W3762" s="9">
        <f>IF(V3762="pregrado",31,
IF(V3762="posgrados",31,
IF(V3762="rEINTEGROS",7,
IF(V3762="BIT",90,
IF(V3762="OP GRADO - INGLÉS",17,"")))))</f>
        <v>31</v>
      </c>
      <c r="X3762" t="s">
        <v>4002</v>
      </c>
    </row>
    <row r="3763" spans="1:24" ht="15" x14ac:dyDescent="0.35">
      <c r="A3763" s="4">
        <v>46056.603888888887</v>
      </c>
      <c r="B3763">
        <v>20120128</v>
      </c>
      <c r="C3763" s="6" t="s">
        <v>19</v>
      </c>
      <c r="D3763">
        <v>607961</v>
      </c>
      <c r="E3763" t="s">
        <v>20</v>
      </c>
      <c r="F3763">
        <v>1013686082</v>
      </c>
      <c r="G3763" t="s">
        <v>2698</v>
      </c>
      <c r="H3763">
        <v>100047118</v>
      </c>
      <c r="I3763">
        <v>202610</v>
      </c>
      <c r="J3763">
        <v>1013686082</v>
      </c>
      <c r="K3763" t="s">
        <v>89</v>
      </c>
      <c r="L3763" t="s">
        <v>37</v>
      </c>
      <c r="M3763" t="s">
        <v>24</v>
      </c>
      <c r="N3763">
        <v>0</v>
      </c>
      <c r="O3763" t="s">
        <v>26</v>
      </c>
      <c r="P3763" t="s">
        <v>27</v>
      </c>
      <c r="Q3763" t="s">
        <v>28</v>
      </c>
      <c r="R3763" t="s">
        <v>29</v>
      </c>
      <c r="S3763" t="s">
        <v>30</v>
      </c>
      <c r="T3763">
        <v>1019102787</v>
      </c>
      <c r="U3763" t="s">
        <v>3977</v>
      </c>
      <c r="V3763" t="s">
        <v>3970</v>
      </c>
      <c r="W3763" s="9">
        <f>IF(V3763="pregrado",31,
IF(V3763="posgrados",31,
IF(V3763="rEINTEGROS",7,
IF(V3763="BIT",90,
IF(V3763="OP GRADO - INGLÉS",17,"")))))</f>
        <v>7</v>
      </c>
      <c r="X3763" t="s">
        <v>3976</v>
      </c>
    </row>
    <row r="3764" spans="1:24" ht="15" x14ac:dyDescent="0.35">
      <c r="A3764" s="4">
        <v>46056.529629629629</v>
      </c>
      <c r="B3764">
        <v>20120093</v>
      </c>
      <c r="C3764" s="6" t="s">
        <v>19</v>
      </c>
      <c r="D3764">
        <v>607963</v>
      </c>
      <c r="E3764" t="s">
        <v>20</v>
      </c>
      <c r="F3764">
        <v>1001871495</v>
      </c>
      <c r="G3764" t="s">
        <v>2693</v>
      </c>
      <c r="H3764">
        <v>100187374</v>
      </c>
      <c r="I3764">
        <v>202631</v>
      </c>
      <c r="J3764">
        <v>1001871495</v>
      </c>
      <c r="K3764" t="s">
        <v>89</v>
      </c>
      <c r="L3764" t="s">
        <v>127</v>
      </c>
      <c r="M3764" t="s">
        <v>24</v>
      </c>
      <c r="N3764" t="s">
        <v>25</v>
      </c>
      <c r="O3764" t="s">
        <v>26</v>
      </c>
      <c r="P3764" t="s">
        <v>27</v>
      </c>
      <c r="Q3764" t="s">
        <v>28</v>
      </c>
      <c r="R3764" t="s">
        <v>29</v>
      </c>
      <c r="S3764" t="s">
        <v>30</v>
      </c>
      <c r="T3764">
        <v>1019102787</v>
      </c>
      <c r="U3764" t="s">
        <v>3977</v>
      </c>
      <c r="V3764" t="s">
        <v>3970</v>
      </c>
      <c r="W3764" s="9">
        <f>IF(V3764="pregrado",31,
IF(V3764="posgrados",31,
IF(V3764="rEINTEGROS",7,
IF(V3764="BIT",90,
IF(V3764="OP GRADO - INGLÉS",17,"")))))</f>
        <v>7</v>
      </c>
      <c r="X3764" t="s">
        <v>3976</v>
      </c>
    </row>
    <row r="3765" spans="1:24" ht="15" x14ac:dyDescent="0.35">
      <c r="A3765" s="4">
        <v>46056.517974537041</v>
      </c>
      <c r="B3765">
        <v>20120083</v>
      </c>
      <c r="C3765" s="6" t="s">
        <v>19</v>
      </c>
      <c r="D3765">
        <v>607972</v>
      </c>
      <c r="E3765" t="s">
        <v>20</v>
      </c>
      <c r="F3765">
        <v>1030578325</v>
      </c>
      <c r="G3765" t="s">
        <v>2692</v>
      </c>
      <c r="H3765">
        <v>100139923</v>
      </c>
      <c r="I3765">
        <v>202611</v>
      </c>
      <c r="J3765">
        <v>1030610522</v>
      </c>
      <c r="K3765" t="s">
        <v>89</v>
      </c>
      <c r="L3765" t="s">
        <v>133</v>
      </c>
      <c r="M3765" t="s">
        <v>24</v>
      </c>
      <c r="N3765" t="s">
        <v>35</v>
      </c>
      <c r="O3765" t="s">
        <v>26</v>
      </c>
      <c r="P3765" t="s">
        <v>27</v>
      </c>
      <c r="Q3765" t="s">
        <v>28</v>
      </c>
      <c r="R3765" t="s">
        <v>29</v>
      </c>
      <c r="S3765" t="s">
        <v>30</v>
      </c>
      <c r="T3765">
        <v>1019102787</v>
      </c>
      <c r="U3765" t="s">
        <v>3977</v>
      </c>
      <c r="V3765" t="s">
        <v>3970</v>
      </c>
      <c r="W3765" s="9">
        <f>IF(V3765="pregrado",31,
IF(V3765="posgrados",31,
IF(V3765="rEINTEGROS",7,
IF(V3765="BIT",90,
IF(V3765="OP GRADO - INGLÉS",17,"")))))</f>
        <v>7</v>
      </c>
      <c r="X3765" t="s">
        <v>3976</v>
      </c>
    </row>
    <row r="3766" spans="1:24" ht="15" x14ac:dyDescent="0.35">
      <c r="A3766" s="4">
        <v>46056.60229166667</v>
      </c>
      <c r="B3766">
        <v>20120125</v>
      </c>
      <c r="C3766" s="6" t="s">
        <v>19</v>
      </c>
      <c r="D3766">
        <v>607975</v>
      </c>
      <c r="E3766" t="s">
        <v>20</v>
      </c>
      <c r="F3766">
        <v>79741918</v>
      </c>
      <c r="G3766" t="s">
        <v>2697</v>
      </c>
      <c r="H3766">
        <v>100086330</v>
      </c>
      <c r="I3766">
        <v>202631</v>
      </c>
      <c r="J3766">
        <v>1010179905</v>
      </c>
      <c r="K3766" t="s">
        <v>89</v>
      </c>
      <c r="L3766" t="s">
        <v>119</v>
      </c>
      <c r="M3766" t="s">
        <v>24</v>
      </c>
      <c r="N3766" t="s">
        <v>35</v>
      </c>
      <c r="O3766" t="s">
        <v>26</v>
      </c>
      <c r="P3766" t="s">
        <v>27</v>
      </c>
      <c r="Q3766" t="s">
        <v>28</v>
      </c>
      <c r="R3766" t="s">
        <v>29</v>
      </c>
      <c r="S3766" t="s">
        <v>30</v>
      </c>
      <c r="T3766">
        <v>1019102787</v>
      </c>
      <c r="U3766" t="s">
        <v>3977</v>
      </c>
      <c r="V3766" t="s">
        <v>3970</v>
      </c>
      <c r="W3766" s="9">
        <f>IF(V3766="pregrado",31,
IF(V3766="posgrados",31,
IF(V3766="rEINTEGROS",7,
IF(V3766="BIT",90,
IF(V3766="OP GRADO - INGLÉS",17,"")))))</f>
        <v>7</v>
      </c>
      <c r="X3766" t="s">
        <v>3976</v>
      </c>
    </row>
    <row r="3767" spans="1:24" ht="15" x14ac:dyDescent="0.35">
      <c r="A3767" s="4">
        <v>46056.388171296298</v>
      </c>
      <c r="B3767">
        <v>20119978</v>
      </c>
      <c r="C3767" s="6" t="s">
        <v>19</v>
      </c>
      <c r="D3767">
        <v>607981</v>
      </c>
      <c r="E3767" t="s">
        <v>20</v>
      </c>
      <c r="F3767">
        <v>1118286518</v>
      </c>
      <c r="G3767" t="s">
        <v>2681</v>
      </c>
      <c r="H3767">
        <v>100232071</v>
      </c>
      <c r="I3767">
        <v>202631</v>
      </c>
      <c r="J3767">
        <v>1118286518</v>
      </c>
      <c r="K3767" t="s">
        <v>33</v>
      </c>
      <c r="L3767" t="s">
        <v>90</v>
      </c>
      <c r="M3767" t="s">
        <v>24</v>
      </c>
      <c r="N3767" t="s">
        <v>25</v>
      </c>
      <c r="O3767" t="s">
        <v>26</v>
      </c>
      <c r="P3767" t="s">
        <v>27</v>
      </c>
      <c r="Q3767" t="s">
        <v>28</v>
      </c>
      <c r="R3767" t="s">
        <v>29</v>
      </c>
      <c r="S3767" t="s">
        <v>30</v>
      </c>
      <c r="T3767">
        <v>1023929839</v>
      </c>
      <c r="U3767" t="s">
        <v>3933</v>
      </c>
      <c r="V3767" t="s">
        <v>3934</v>
      </c>
      <c r="W3767" s="9">
        <f>IF(V3767="pregrado",31,
IF(V3767="posgrados",31,
IF(V3767="rEINTEGROS",7,
IF(V3767="BIT",90,
IF(V3767="OP GRADO - INGLÉS",17,"")))))</f>
        <v>31</v>
      </c>
      <c r="X3767" t="s">
        <v>3932</v>
      </c>
    </row>
    <row r="3768" spans="1:24" ht="15" x14ac:dyDescent="0.35">
      <c r="A3768" s="4">
        <v>46057.466365740744</v>
      </c>
      <c r="B3768">
        <v>20120390</v>
      </c>
      <c r="C3768" s="6" t="s">
        <v>19</v>
      </c>
      <c r="D3768">
        <v>607986</v>
      </c>
      <c r="E3768" t="s">
        <v>20</v>
      </c>
      <c r="F3768">
        <v>1087113449</v>
      </c>
      <c r="G3768" t="s">
        <v>2736</v>
      </c>
      <c r="H3768">
        <v>100244677</v>
      </c>
      <c r="I3768">
        <v>202631</v>
      </c>
      <c r="J3768">
        <v>1087113449</v>
      </c>
      <c r="K3768" t="s">
        <v>23</v>
      </c>
      <c r="L3768" t="s">
        <v>219</v>
      </c>
      <c r="M3768" t="s">
        <v>24</v>
      </c>
      <c r="N3768" t="s">
        <v>35</v>
      </c>
      <c r="O3768" t="s">
        <v>26</v>
      </c>
      <c r="P3768" t="s">
        <v>27</v>
      </c>
      <c r="Q3768" t="s">
        <v>28</v>
      </c>
      <c r="R3768" t="s">
        <v>29</v>
      </c>
      <c r="S3768" t="s">
        <v>30</v>
      </c>
      <c r="T3768">
        <v>39658730</v>
      </c>
      <c r="U3768" t="s">
        <v>3963</v>
      </c>
      <c r="V3768" t="s">
        <v>3934</v>
      </c>
      <c r="W3768" s="9">
        <f>IF(V3768="pregrado",31,
IF(V3768="posgrados",31,
IF(V3768="rEINTEGROS",7,
IF(V3768="BIT",90,
IF(V3768="OP GRADO - INGLÉS",17,"")))))</f>
        <v>31</v>
      </c>
      <c r="X3768" t="s">
        <v>4003</v>
      </c>
    </row>
    <row r="3769" spans="1:24" ht="15" x14ac:dyDescent="0.35">
      <c r="A3769" s="4">
        <v>46057.334074074075</v>
      </c>
      <c r="B3769">
        <v>20120277</v>
      </c>
      <c r="C3769" s="6" t="s">
        <v>19</v>
      </c>
      <c r="D3769">
        <v>607991</v>
      </c>
      <c r="E3769" t="s">
        <v>20</v>
      </c>
      <c r="F3769">
        <v>1073523247</v>
      </c>
      <c r="G3769" t="s">
        <v>2715</v>
      </c>
      <c r="H3769">
        <v>100173609</v>
      </c>
      <c r="I3769">
        <v>202631</v>
      </c>
      <c r="J3769">
        <v>1073523247</v>
      </c>
      <c r="K3769" t="s">
        <v>89</v>
      </c>
      <c r="L3769" t="s">
        <v>90</v>
      </c>
      <c r="M3769" t="s">
        <v>24</v>
      </c>
      <c r="N3769" t="s">
        <v>25</v>
      </c>
      <c r="O3769" t="s">
        <v>26</v>
      </c>
      <c r="P3769" t="s">
        <v>27</v>
      </c>
      <c r="Q3769" t="s">
        <v>28</v>
      </c>
      <c r="R3769" t="s">
        <v>29</v>
      </c>
      <c r="S3769" t="s">
        <v>30</v>
      </c>
      <c r="T3769">
        <v>52168054</v>
      </c>
      <c r="U3769" t="s">
        <v>3977</v>
      </c>
      <c r="V3769" t="s">
        <v>3970</v>
      </c>
      <c r="W3769" s="9">
        <f>IF(V3769="pregrado",31,
IF(V3769="posgrados",31,
IF(V3769="rEINTEGROS",7,
IF(V3769="BIT",90,
IF(V3769="OP GRADO - INGLÉS",17,"")))))</f>
        <v>7</v>
      </c>
      <c r="X3769" t="s">
        <v>4057</v>
      </c>
    </row>
    <row r="3770" spans="1:24" ht="15" x14ac:dyDescent="0.35">
      <c r="A3770" s="4">
        <v>46057.478379629632</v>
      </c>
      <c r="B3770">
        <v>20120401</v>
      </c>
      <c r="C3770" s="6" t="s">
        <v>19</v>
      </c>
      <c r="D3770">
        <v>607992</v>
      </c>
      <c r="E3770" t="s">
        <v>20</v>
      </c>
      <c r="F3770">
        <v>1042464349</v>
      </c>
      <c r="G3770" t="s">
        <v>2738</v>
      </c>
      <c r="H3770">
        <v>100244707</v>
      </c>
      <c r="I3770">
        <v>202611</v>
      </c>
      <c r="J3770">
        <v>1042461464</v>
      </c>
      <c r="K3770" t="s">
        <v>33</v>
      </c>
      <c r="L3770" t="s">
        <v>221</v>
      </c>
      <c r="M3770" t="s">
        <v>24</v>
      </c>
      <c r="N3770" t="s">
        <v>35</v>
      </c>
      <c r="O3770" t="s">
        <v>26</v>
      </c>
      <c r="P3770" t="s">
        <v>27</v>
      </c>
      <c r="Q3770" t="s">
        <v>28</v>
      </c>
      <c r="R3770" t="s">
        <v>29</v>
      </c>
      <c r="S3770" t="s">
        <v>30</v>
      </c>
      <c r="T3770">
        <v>1013595695</v>
      </c>
      <c r="U3770" t="s">
        <v>3933</v>
      </c>
      <c r="V3770" t="s">
        <v>3934</v>
      </c>
      <c r="W3770" s="9">
        <f>IF(V3770="pregrado",31,
IF(V3770="posgrados",31,
IF(V3770="rEINTEGROS",7,
IF(V3770="BIT",90,
IF(V3770="OP GRADO - INGLÉS",17,"")))))</f>
        <v>31</v>
      </c>
      <c r="X3770" t="s">
        <v>3990</v>
      </c>
    </row>
    <row r="3771" spans="1:24" ht="15" x14ac:dyDescent="0.35">
      <c r="A3771" s="4">
        <v>46058.599097222221</v>
      </c>
      <c r="B3771">
        <v>20120869</v>
      </c>
      <c r="C3771" s="6" t="s">
        <v>19</v>
      </c>
      <c r="D3771">
        <v>607995</v>
      </c>
      <c r="E3771" t="s">
        <v>20</v>
      </c>
      <c r="F3771">
        <v>1000219802</v>
      </c>
      <c r="G3771" t="s">
        <v>2816</v>
      </c>
      <c r="H3771">
        <v>100233857</v>
      </c>
      <c r="I3771">
        <v>202631</v>
      </c>
      <c r="J3771">
        <v>1000219802</v>
      </c>
      <c r="K3771" t="s">
        <v>23</v>
      </c>
      <c r="L3771" t="s">
        <v>57</v>
      </c>
      <c r="M3771" t="s">
        <v>24</v>
      </c>
      <c r="N3771" t="s">
        <v>35</v>
      </c>
      <c r="O3771" t="s">
        <v>26</v>
      </c>
      <c r="P3771" t="s">
        <v>27</v>
      </c>
      <c r="Q3771" t="s">
        <v>28</v>
      </c>
      <c r="R3771" t="s">
        <v>29</v>
      </c>
      <c r="S3771" t="s">
        <v>30</v>
      </c>
      <c r="T3771">
        <v>52182207</v>
      </c>
      <c r="U3771" t="s">
        <v>3941</v>
      </c>
      <c r="V3771" t="s">
        <v>3934</v>
      </c>
      <c r="W3771" s="9">
        <f>IF(V3771="pregrado",31,
IF(V3771="posgrados",31,
IF(V3771="rEINTEGROS",7,
IF(V3771="BIT",90,
IF(V3771="OP GRADO - INGLÉS",17,"")))))</f>
        <v>31</v>
      </c>
      <c r="X3771" t="s">
        <v>3946</v>
      </c>
    </row>
    <row r="3772" spans="1:24" ht="15" x14ac:dyDescent="0.35">
      <c r="A3772" s="4">
        <v>46062.633333333331</v>
      </c>
      <c r="B3772">
        <v>20121724</v>
      </c>
      <c r="C3772" s="6" t="s">
        <v>19</v>
      </c>
      <c r="D3772">
        <v>607998</v>
      </c>
      <c r="E3772" t="s">
        <v>20</v>
      </c>
      <c r="F3772">
        <v>1014184982</v>
      </c>
      <c r="G3772" t="s">
        <v>2933</v>
      </c>
      <c r="H3772">
        <v>100160368</v>
      </c>
      <c r="I3772">
        <v>202631</v>
      </c>
      <c r="J3772">
        <v>1014184982</v>
      </c>
      <c r="K3772" t="s">
        <v>89</v>
      </c>
      <c r="L3772" t="s">
        <v>127</v>
      </c>
      <c r="M3772" t="s">
        <v>24</v>
      </c>
      <c r="N3772" t="s">
        <v>35</v>
      </c>
      <c r="O3772" t="s">
        <v>26</v>
      </c>
      <c r="P3772" t="s">
        <v>27</v>
      </c>
      <c r="Q3772" t="s">
        <v>28</v>
      </c>
      <c r="R3772" t="s">
        <v>29</v>
      </c>
      <c r="S3772" t="s">
        <v>30</v>
      </c>
      <c r="T3772">
        <v>52168054</v>
      </c>
      <c r="U3772" t="s">
        <v>3977</v>
      </c>
      <c r="V3772" t="s">
        <v>3970</v>
      </c>
      <c r="W3772" s="9">
        <f>IF(V3772="pregrado",31,
IF(V3772="posgrados",31,
IF(V3772="rEINTEGROS",7,
IF(V3772="BIT",90,
IF(V3772="OP GRADO - INGLÉS",17,"")))))</f>
        <v>7</v>
      </c>
      <c r="X3772" t="s">
        <v>4057</v>
      </c>
    </row>
    <row r="3773" spans="1:24" ht="15" x14ac:dyDescent="0.35">
      <c r="A3773" s="4">
        <v>46057.441435185188</v>
      </c>
      <c r="B3773">
        <v>20120367</v>
      </c>
      <c r="C3773" s="6" t="s">
        <v>19</v>
      </c>
      <c r="D3773">
        <v>608002</v>
      </c>
      <c r="E3773" t="s">
        <v>20</v>
      </c>
      <c r="F3773">
        <v>1006518186</v>
      </c>
      <c r="G3773" t="s">
        <v>2733</v>
      </c>
      <c r="H3773">
        <v>100244860</v>
      </c>
      <c r="I3773">
        <v>202631</v>
      </c>
      <c r="J3773">
        <v>1006518186</v>
      </c>
      <c r="K3773" t="s">
        <v>33</v>
      </c>
      <c r="L3773" t="s">
        <v>127</v>
      </c>
      <c r="M3773" t="s">
        <v>24</v>
      </c>
      <c r="N3773" t="s">
        <v>38</v>
      </c>
      <c r="O3773" t="s">
        <v>26</v>
      </c>
      <c r="P3773" t="s">
        <v>27</v>
      </c>
      <c r="Q3773" t="s">
        <v>28</v>
      </c>
      <c r="R3773" t="s">
        <v>29</v>
      </c>
      <c r="S3773" t="s">
        <v>30</v>
      </c>
      <c r="T3773">
        <v>1013595695</v>
      </c>
      <c r="U3773" t="s">
        <v>3933</v>
      </c>
      <c r="V3773" t="s">
        <v>3934</v>
      </c>
      <c r="W3773" s="9">
        <f>IF(V3773="pregrado",31,
IF(V3773="posgrados",31,
IF(V3773="rEINTEGROS",7,
IF(V3773="BIT",90,
IF(V3773="OP GRADO - INGLÉS",17,"")))))</f>
        <v>31</v>
      </c>
      <c r="X3773" t="s">
        <v>3990</v>
      </c>
    </row>
    <row r="3774" spans="1:24" ht="15" x14ac:dyDescent="0.35">
      <c r="A3774" s="4">
        <v>46057.577905092592</v>
      </c>
      <c r="B3774">
        <v>20120466</v>
      </c>
      <c r="C3774" s="6" t="s">
        <v>19</v>
      </c>
      <c r="D3774">
        <v>608016</v>
      </c>
      <c r="E3774" t="s">
        <v>20</v>
      </c>
      <c r="F3774">
        <v>52370884</v>
      </c>
      <c r="G3774" t="s">
        <v>2752</v>
      </c>
      <c r="H3774">
        <v>100065579</v>
      </c>
      <c r="I3774">
        <v>202610</v>
      </c>
      <c r="J3774">
        <v>1023976037</v>
      </c>
      <c r="K3774" t="s">
        <v>89</v>
      </c>
      <c r="L3774" t="s">
        <v>49</v>
      </c>
      <c r="M3774" t="s">
        <v>24</v>
      </c>
      <c r="N3774">
        <v>0</v>
      </c>
      <c r="O3774" t="s">
        <v>26</v>
      </c>
      <c r="P3774" t="s">
        <v>27</v>
      </c>
      <c r="Q3774" t="s">
        <v>28</v>
      </c>
      <c r="R3774" t="s">
        <v>29</v>
      </c>
      <c r="S3774" t="s">
        <v>30</v>
      </c>
      <c r="T3774">
        <v>52168054</v>
      </c>
      <c r="U3774" t="s">
        <v>3977</v>
      </c>
      <c r="V3774" t="s">
        <v>3970</v>
      </c>
      <c r="W3774" s="9">
        <f>IF(V3774="pregrado",31,
IF(V3774="posgrados",31,
IF(V3774="rEINTEGROS",7,
IF(V3774="BIT",90,
IF(V3774="OP GRADO - INGLÉS",17,"")))))</f>
        <v>7</v>
      </c>
      <c r="X3774" t="s">
        <v>4057</v>
      </c>
    </row>
    <row r="3775" spans="1:24" ht="15" x14ac:dyDescent="0.35">
      <c r="A3775" s="4">
        <v>46057.383819444447</v>
      </c>
      <c r="B3775">
        <v>20120313</v>
      </c>
      <c r="C3775" s="6" t="s">
        <v>19</v>
      </c>
      <c r="D3775">
        <v>608017</v>
      </c>
      <c r="E3775" t="s">
        <v>20</v>
      </c>
      <c r="F3775">
        <v>1003822001</v>
      </c>
      <c r="G3775" t="s">
        <v>2721</v>
      </c>
      <c r="H3775">
        <v>200119104</v>
      </c>
      <c r="I3775">
        <v>202631</v>
      </c>
      <c r="J3775">
        <v>1003822001</v>
      </c>
      <c r="K3775" t="s">
        <v>23</v>
      </c>
      <c r="L3775" t="s">
        <v>22</v>
      </c>
      <c r="M3775" t="s">
        <v>24</v>
      </c>
      <c r="N3775" t="s">
        <v>25</v>
      </c>
      <c r="O3775" t="s">
        <v>26</v>
      </c>
      <c r="P3775" t="s">
        <v>27</v>
      </c>
      <c r="Q3775" t="s">
        <v>28</v>
      </c>
      <c r="R3775" t="s">
        <v>29</v>
      </c>
      <c r="S3775" t="s">
        <v>30</v>
      </c>
      <c r="T3775">
        <v>1014273794</v>
      </c>
      <c r="U3775" t="s">
        <v>3939</v>
      </c>
      <c r="V3775" t="s">
        <v>3934</v>
      </c>
      <c r="W3775" s="9">
        <f>IF(V3775="pregrado",31,
IF(V3775="posgrados",31,
IF(V3775="rEINTEGROS",7,
IF(V3775="BIT",90,
IF(V3775="OP GRADO - INGLÉS",17,"")))))</f>
        <v>31</v>
      </c>
      <c r="X3775" t="s">
        <v>4004</v>
      </c>
    </row>
    <row r="3776" spans="1:24" ht="15" x14ac:dyDescent="0.35">
      <c r="A3776" s="4">
        <v>46058.556990740741</v>
      </c>
      <c r="B3776">
        <v>20120849</v>
      </c>
      <c r="C3776" s="6" t="s">
        <v>19</v>
      </c>
      <c r="D3776">
        <v>608032</v>
      </c>
      <c r="E3776" t="s">
        <v>20</v>
      </c>
      <c r="F3776">
        <v>1033814744</v>
      </c>
      <c r="G3776" t="s">
        <v>2808</v>
      </c>
      <c r="H3776">
        <v>100236064</v>
      </c>
      <c r="I3776">
        <v>202610</v>
      </c>
      <c r="J3776">
        <v>1023894222</v>
      </c>
      <c r="K3776" t="s">
        <v>23</v>
      </c>
      <c r="L3776" t="s">
        <v>40</v>
      </c>
      <c r="M3776" t="s">
        <v>24</v>
      </c>
      <c r="N3776" t="s">
        <v>35</v>
      </c>
      <c r="O3776" t="s">
        <v>26</v>
      </c>
      <c r="P3776" t="s">
        <v>27</v>
      </c>
      <c r="Q3776" t="s">
        <v>28</v>
      </c>
      <c r="R3776" t="s">
        <v>29</v>
      </c>
      <c r="S3776" t="s">
        <v>30</v>
      </c>
      <c r="T3776">
        <v>1118531834</v>
      </c>
      <c r="U3776" t="s">
        <v>3941</v>
      </c>
      <c r="V3776" t="s">
        <v>3934</v>
      </c>
      <c r="W3776" s="9">
        <f>IF(V3776="pregrado",31,
IF(V3776="posgrados",31,
IF(V3776="rEINTEGROS",7,
IF(V3776="BIT",90,
IF(V3776="OP GRADO - INGLÉS",17,"")))))</f>
        <v>31</v>
      </c>
      <c r="X3776" t="s">
        <v>3996</v>
      </c>
    </row>
    <row r="3777" spans="1:24" ht="15" x14ac:dyDescent="0.35">
      <c r="A3777" s="4">
        <v>46064.767881944441</v>
      </c>
      <c r="B3777">
        <v>20122590</v>
      </c>
      <c r="C3777" s="6" t="s">
        <v>19</v>
      </c>
      <c r="D3777">
        <v>608035</v>
      </c>
      <c r="E3777" t="s">
        <v>20</v>
      </c>
      <c r="F3777">
        <v>1193443389</v>
      </c>
      <c r="G3777" t="s">
        <v>3055</v>
      </c>
      <c r="H3777">
        <v>100244893</v>
      </c>
      <c r="I3777">
        <v>202631</v>
      </c>
      <c r="J3777">
        <v>1193443389</v>
      </c>
      <c r="K3777" t="s">
        <v>23</v>
      </c>
      <c r="L3777" t="s">
        <v>240</v>
      </c>
      <c r="M3777" t="s">
        <v>24</v>
      </c>
      <c r="N3777" t="s">
        <v>35</v>
      </c>
      <c r="O3777" t="s">
        <v>26</v>
      </c>
      <c r="P3777" t="s">
        <v>27</v>
      </c>
      <c r="Q3777" t="s">
        <v>28</v>
      </c>
      <c r="R3777" t="s">
        <v>29</v>
      </c>
      <c r="S3777" t="s">
        <v>30</v>
      </c>
      <c r="T3777">
        <v>52392617</v>
      </c>
      <c r="U3777" t="s">
        <v>3965</v>
      </c>
      <c r="V3777" t="s">
        <v>3934</v>
      </c>
      <c r="W3777" s="9">
        <f>IF(V3777="pregrado",31,
IF(V3777="posgrados",31,
IF(V3777="rEINTEGROS",7,
IF(V3777="BIT",90,
IF(V3777="OP GRADO - INGLÉS",17,"")))))</f>
        <v>31</v>
      </c>
      <c r="X3777" t="s">
        <v>4053</v>
      </c>
    </row>
    <row r="3778" spans="1:24" ht="15" x14ac:dyDescent="0.35">
      <c r="A3778" s="4">
        <v>46059.718657407408</v>
      </c>
      <c r="B3778">
        <v>20121310</v>
      </c>
      <c r="C3778" s="6" t="s">
        <v>19</v>
      </c>
      <c r="D3778">
        <v>608038</v>
      </c>
      <c r="E3778" t="s">
        <v>20</v>
      </c>
      <c r="F3778">
        <v>72233969</v>
      </c>
      <c r="G3778" t="s">
        <v>2882</v>
      </c>
      <c r="H3778">
        <v>100151813</v>
      </c>
      <c r="I3778">
        <v>202631</v>
      </c>
      <c r="J3778">
        <v>1140882855</v>
      </c>
      <c r="K3778" t="s">
        <v>33</v>
      </c>
      <c r="L3778" t="s">
        <v>370</v>
      </c>
      <c r="M3778" t="s">
        <v>24</v>
      </c>
      <c r="N3778" t="s">
        <v>35</v>
      </c>
      <c r="O3778" t="s">
        <v>26</v>
      </c>
      <c r="P3778" t="s">
        <v>27</v>
      </c>
      <c r="Q3778" t="s">
        <v>28</v>
      </c>
      <c r="R3778" t="s">
        <v>29</v>
      </c>
      <c r="S3778" t="s">
        <v>30</v>
      </c>
      <c r="T3778">
        <v>1077967131</v>
      </c>
      <c r="U3778" t="s">
        <v>3963</v>
      </c>
      <c r="V3778" t="s">
        <v>3934</v>
      </c>
      <c r="W3778" s="9">
        <f>IF(V3778="pregrado",31,
IF(V3778="posgrados",31,
IF(V3778="rEINTEGROS",7,
IF(V3778="BIT",90,
IF(V3778="OP GRADO - INGLÉS",17,"")))))</f>
        <v>31</v>
      </c>
      <c r="X3778" t="s">
        <v>4011</v>
      </c>
    </row>
    <row r="3779" spans="1:24" ht="15" x14ac:dyDescent="0.35">
      <c r="A3779" s="4">
        <v>46059.716215277775</v>
      </c>
      <c r="B3779">
        <v>20121308</v>
      </c>
      <c r="C3779" s="6" t="s">
        <v>19</v>
      </c>
      <c r="D3779">
        <v>608057</v>
      </c>
      <c r="E3779" t="s">
        <v>20</v>
      </c>
      <c r="F3779">
        <v>52457235</v>
      </c>
      <c r="G3779" t="s">
        <v>2881</v>
      </c>
      <c r="H3779">
        <v>100244911</v>
      </c>
      <c r="I3779">
        <v>202610</v>
      </c>
      <c r="J3779">
        <v>1010045214</v>
      </c>
      <c r="K3779" t="s">
        <v>23</v>
      </c>
      <c r="L3779" t="s">
        <v>40</v>
      </c>
      <c r="M3779" t="s">
        <v>24</v>
      </c>
      <c r="N3779" t="s">
        <v>35</v>
      </c>
      <c r="O3779" t="s">
        <v>26</v>
      </c>
      <c r="P3779" t="s">
        <v>27</v>
      </c>
      <c r="Q3779" t="s">
        <v>28</v>
      </c>
      <c r="R3779" t="s">
        <v>29</v>
      </c>
      <c r="S3779" t="s">
        <v>30</v>
      </c>
      <c r="T3779">
        <v>1032394283</v>
      </c>
      <c r="U3779" t="s">
        <v>3941</v>
      </c>
      <c r="V3779" t="s">
        <v>3934</v>
      </c>
      <c r="W3779" s="9">
        <f>IF(V3779="pregrado",31,
IF(V3779="posgrados",31,
IF(V3779="rEINTEGROS",7,
IF(V3779="BIT",90,
IF(V3779="OP GRADO - INGLÉS",17,"")))))</f>
        <v>31</v>
      </c>
      <c r="X3779" t="s">
        <v>4034</v>
      </c>
    </row>
    <row r="3780" spans="1:24" ht="15" x14ac:dyDescent="0.35">
      <c r="A3780" s="4">
        <v>46069.468819444446</v>
      </c>
      <c r="B3780">
        <v>20123632</v>
      </c>
      <c r="C3780" s="6" t="s">
        <v>19</v>
      </c>
      <c r="D3780">
        <v>608062</v>
      </c>
      <c r="E3780" t="s">
        <v>20</v>
      </c>
      <c r="F3780">
        <v>1123311780</v>
      </c>
      <c r="G3780" t="s">
        <v>3232</v>
      </c>
      <c r="H3780">
        <v>100244914</v>
      </c>
      <c r="I3780">
        <v>202631</v>
      </c>
      <c r="J3780">
        <v>1123311780</v>
      </c>
      <c r="K3780" t="s">
        <v>33</v>
      </c>
      <c r="L3780" t="s">
        <v>32</v>
      </c>
      <c r="M3780" t="s">
        <v>24</v>
      </c>
      <c r="N3780" t="s">
        <v>35</v>
      </c>
      <c r="O3780" t="s">
        <v>26</v>
      </c>
      <c r="P3780" t="s">
        <v>27</v>
      </c>
      <c r="Q3780" t="s">
        <v>28</v>
      </c>
      <c r="R3780" t="s">
        <v>29</v>
      </c>
      <c r="S3780" t="s">
        <v>30</v>
      </c>
      <c r="T3780">
        <v>1006023129</v>
      </c>
      <c r="U3780" t="s">
        <v>3944</v>
      </c>
      <c r="V3780" t="s">
        <v>3934</v>
      </c>
      <c r="W3780" s="9">
        <f>IF(V3780="pregrado",31,
IF(V3780="posgrados",31,
IF(V3780="rEINTEGROS",7,
IF(V3780="BIT",90,
IF(V3780="OP GRADO - INGLÉS",17,"")))))</f>
        <v>31</v>
      </c>
      <c r="X3780" t="s">
        <v>3982</v>
      </c>
    </row>
    <row r="3781" spans="1:24" ht="15" x14ac:dyDescent="0.35">
      <c r="A3781" s="4">
        <v>46057.421898148146</v>
      </c>
      <c r="B3781">
        <v>20120351</v>
      </c>
      <c r="C3781" s="6" t="s">
        <v>19</v>
      </c>
      <c r="D3781">
        <v>608065</v>
      </c>
      <c r="E3781" t="s">
        <v>20</v>
      </c>
      <c r="F3781">
        <v>1098605645</v>
      </c>
      <c r="G3781" t="s">
        <v>2731</v>
      </c>
      <c r="H3781">
        <v>100244916</v>
      </c>
      <c r="I3781">
        <v>202631</v>
      </c>
      <c r="J3781">
        <v>1095932575</v>
      </c>
      <c r="K3781" t="s">
        <v>33</v>
      </c>
      <c r="L3781" t="s">
        <v>32</v>
      </c>
      <c r="M3781" t="s">
        <v>24</v>
      </c>
      <c r="N3781" t="s">
        <v>25</v>
      </c>
      <c r="O3781" t="s">
        <v>26</v>
      </c>
      <c r="P3781" t="s">
        <v>27</v>
      </c>
      <c r="Q3781" t="s">
        <v>28</v>
      </c>
      <c r="R3781" t="s">
        <v>29</v>
      </c>
      <c r="S3781" t="s">
        <v>30</v>
      </c>
      <c r="T3781">
        <v>1006023129</v>
      </c>
      <c r="U3781" t="s">
        <v>3944</v>
      </c>
      <c r="V3781" t="s">
        <v>3934</v>
      </c>
      <c r="W3781" s="9">
        <f>IF(V3781="pregrado",31,
IF(V3781="posgrados",31,
IF(V3781="rEINTEGROS",7,
IF(V3781="BIT",90,
IF(V3781="OP GRADO - INGLÉS",17,"")))))</f>
        <v>31</v>
      </c>
      <c r="X3781" t="s">
        <v>3982</v>
      </c>
    </row>
    <row r="3782" spans="1:24" ht="15" x14ac:dyDescent="0.35">
      <c r="A3782" s="4">
        <v>46069.755532407406</v>
      </c>
      <c r="B3782">
        <v>20123886</v>
      </c>
      <c r="C3782" s="6" t="s">
        <v>19</v>
      </c>
      <c r="D3782">
        <v>608066</v>
      </c>
      <c r="E3782" t="s">
        <v>20</v>
      </c>
      <c r="F3782">
        <v>1016714012</v>
      </c>
      <c r="G3782" t="s">
        <v>3264</v>
      </c>
      <c r="H3782">
        <v>100244918</v>
      </c>
      <c r="I3782">
        <v>202631</v>
      </c>
      <c r="J3782">
        <v>1019982571</v>
      </c>
      <c r="K3782" t="s">
        <v>33</v>
      </c>
      <c r="L3782" t="s">
        <v>57</v>
      </c>
      <c r="M3782" t="s">
        <v>24</v>
      </c>
      <c r="N3782" t="s">
        <v>38</v>
      </c>
      <c r="O3782" t="s">
        <v>26</v>
      </c>
      <c r="P3782" t="s">
        <v>27</v>
      </c>
      <c r="Q3782" t="s">
        <v>28</v>
      </c>
      <c r="R3782" t="s">
        <v>29</v>
      </c>
      <c r="S3782" t="s">
        <v>30</v>
      </c>
      <c r="T3782">
        <v>1000578914</v>
      </c>
      <c r="U3782" t="s">
        <v>3941</v>
      </c>
      <c r="V3782" t="s">
        <v>3934</v>
      </c>
      <c r="W3782" s="9">
        <f>IF(V3782="pregrado",31,
IF(V3782="posgrados",31,
IF(V3782="rEINTEGROS",7,
IF(V3782="BIT",90,
IF(V3782="OP GRADO - INGLÉS",17,"")))))</f>
        <v>31</v>
      </c>
      <c r="X3782" t="s">
        <v>4060</v>
      </c>
    </row>
    <row r="3783" spans="1:24" ht="15" x14ac:dyDescent="0.35">
      <c r="A3783" s="4">
        <v>46062.425925925927</v>
      </c>
      <c r="B3783">
        <v>20121561</v>
      </c>
      <c r="C3783" s="6" t="s">
        <v>19</v>
      </c>
      <c r="D3783">
        <v>608071</v>
      </c>
      <c r="E3783" t="s">
        <v>20</v>
      </c>
      <c r="F3783">
        <v>1042429775</v>
      </c>
      <c r="G3783" t="s">
        <v>2911</v>
      </c>
      <c r="H3783">
        <v>100244922</v>
      </c>
      <c r="I3783">
        <v>202611</v>
      </c>
      <c r="J3783">
        <v>1042429775</v>
      </c>
      <c r="K3783" t="s">
        <v>23</v>
      </c>
      <c r="L3783" t="s">
        <v>221</v>
      </c>
      <c r="M3783" t="s">
        <v>24</v>
      </c>
      <c r="N3783" t="s">
        <v>25</v>
      </c>
      <c r="O3783" t="s">
        <v>26</v>
      </c>
      <c r="P3783" t="s">
        <v>27</v>
      </c>
      <c r="Q3783" t="s">
        <v>28</v>
      </c>
      <c r="R3783" t="s">
        <v>29</v>
      </c>
      <c r="S3783" t="s">
        <v>30</v>
      </c>
      <c r="T3783">
        <v>1013662799</v>
      </c>
      <c r="U3783" t="s">
        <v>3965</v>
      </c>
      <c r="V3783" t="s">
        <v>3934</v>
      </c>
      <c r="W3783" s="9">
        <f>IF(V3783="pregrado",31,
IF(V3783="posgrados",31,
IF(V3783="rEINTEGROS",7,
IF(V3783="BIT",90,
IF(V3783="OP GRADO - INGLÉS",17,"")))))</f>
        <v>31</v>
      </c>
      <c r="X3783" t="s">
        <v>4021</v>
      </c>
    </row>
    <row r="3784" spans="1:24" ht="15" x14ac:dyDescent="0.35">
      <c r="A3784" s="4">
        <v>46065.482268518521</v>
      </c>
      <c r="B3784">
        <v>20122754</v>
      </c>
      <c r="C3784" s="6" t="s">
        <v>19</v>
      </c>
      <c r="D3784">
        <v>608076</v>
      </c>
      <c r="E3784" t="s">
        <v>20</v>
      </c>
      <c r="F3784">
        <v>1004904546</v>
      </c>
      <c r="G3784" t="s">
        <v>3086</v>
      </c>
      <c r="H3784">
        <v>100181161</v>
      </c>
      <c r="I3784">
        <v>202631</v>
      </c>
      <c r="J3784">
        <v>1116780302</v>
      </c>
      <c r="K3784" t="s">
        <v>74</v>
      </c>
      <c r="L3784" t="s">
        <v>240</v>
      </c>
      <c r="M3784" t="s">
        <v>24</v>
      </c>
      <c r="N3784" t="s">
        <v>35</v>
      </c>
      <c r="O3784" t="s">
        <v>26</v>
      </c>
      <c r="P3784" t="s">
        <v>27</v>
      </c>
      <c r="Q3784" t="s">
        <v>28</v>
      </c>
      <c r="R3784" t="s">
        <v>29</v>
      </c>
      <c r="S3784" t="s">
        <v>30</v>
      </c>
      <c r="T3784">
        <v>1013662799</v>
      </c>
      <c r="U3784" t="s">
        <v>3965</v>
      </c>
      <c r="V3784" t="s">
        <v>3934</v>
      </c>
      <c r="W3784" s="9">
        <f>IF(V3784="pregrado",31,
IF(V3784="posgrados",31,
IF(V3784="rEINTEGROS",7,
IF(V3784="BIT",90,
IF(V3784="OP GRADO - INGLÉS",17,"")))))</f>
        <v>31</v>
      </c>
      <c r="X3784" t="s">
        <v>4021</v>
      </c>
    </row>
    <row r="3785" spans="1:24" ht="15" x14ac:dyDescent="0.35">
      <c r="A3785" s="4">
        <v>46057.671516203707</v>
      </c>
      <c r="B3785">
        <v>20120559</v>
      </c>
      <c r="C3785" s="6" t="s">
        <v>19</v>
      </c>
      <c r="D3785">
        <v>608079</v>
      </c>
      <c r="E3785" t="s">
        <v>20</v>
      </c>
      <c r="F3785">
        <v>1023903102</v>
      </c>
      <c r="G3785" t="s">
        <v>2762</v>
      </c>
      <c r="H3785">
        <v>100244934</v>
      </c>
      <c r="I3785">
        <v>202611</v>
      </c>
      <c r="J3785">
        <v>1023903102</v>
      </c>
      <c r="K3785" t="s">
        <v>23</v>
      </c>
      <c r="L3785" t="s">
        <v>221</v>
      </c>
      <c r="M3785" t="s">
        <v>24</v>
      </c>
      <c r="N3785" t="s">
        <v>35</v>
      </c>
      <c r="O3785" t="s">
        <v>26</v>
      </c>
      <c r="P3785" t="s">
        <v>27</v>
      </c>
      <c r="Q3785" t="s">
        <v>28</v>
      </c>
      <c r="R3785" t="s">
        <v>29</v>
      </c>
      <c r="S3785" t="s">
        <v>30</v>
      </c>
      <c r="T3785">
        <v>1013662799</v>
      </c>
      <c r="U3785" t="s">
        <v>3965</v>
      </c>
      <c r="V3785" t="s">
        <v>3934</v>
      </c>
      <c r="W3785" s="9">
        <f>IF(V3785="pregrado",31,
IF(V3785="posgrados",31,
IF(V3785="rEINTEGROS",7,
IF(V3785="BIT",90,
IF(V3785="OP GRADO - INGLÉS",17,"")))))</f>
        <v>31</v>
      </c>
      <c r="X3785" t="s">
        <v>4021</v>
      </c>
    </row>
    <row r="3786" spans="1:24" ht="15" x14ac:dyDescent="0.35">
      <c r="A3786" s="4">
        <v>46056.667708333334</v>
      </c>
      <c r="B3786">
        <v>20120187</v>
      </c>
      <c r="C3786" s="6" t="s">
        <v>19</v>
      </c>
      <c r="D3786">
        <v>608087</v>
      </c>
      <c r="E3786" t="s">
        <v>20</v>
      </c>
      <c r="F3786">
        <v>31640059</v>
      </c>
      <c r="G3786" t="s">
        <v>2708</v>
      </c>
      <c r="H3786">
        <v>100124155</v>
      </c>
      <c r="I3786">
        <v>202611</v>
      </c>
      <c r="J3786">
        <v>31640059</v>
      </c>
      <c r="K3786" t="s">
        <v>89</v>
      </c>
      <c r="L3786" t="s">
        <v>133</v>
      </c>
      <c r="M3786" t="s">
        <v>24</v>
      </c>
      <c r="N3786" t="s">
        <v>35</v>
      </c>
      <c r="O3786" t="s">
        <v>26</v>
      </c>
      <c r="P3786" t="s">
        <v>27</v>
      </c>
      <c r="Q3786" t="s">
        <v>28</v>
      </c>
      <c r="R3786" t="s">
        <v>29</v>
      </c>
      <c r="S3786" t="s">
        <v>30</v>
      </c>
      <c r="T3786">
        <v>52168054</v>
      </c>
      <c r="U3786" t="s">
        <v>3977</v>
      </c>
      <c r="V3786" t="s">
        <v>3970</v>
      </c>
      <c r="W3786" s="9">
        <f>IF(V3786="pregrado",31,
IF(V3786="posgrados",31,
IF(V3786="rEINTEGROS",7,
IF(V3786="BIT",90,
IF(V3786="OP GRADO - INGLÉS",17,"")))))</f>
        <v>7</v>
      </c>
      <c r="X3786" t="s">
        <v>4057</v>
      </c>
    </row>
    <row r="3787" spans="1:24" ht="15" x14ac:dyDescent="0.35">
      <c r="A3787" s="4">
        <v>46070.420995370368</v>
      </c>
      <c r="B3787">
        <v>20124021</v>
      </c>
      <c r="C3787" s="6" t="s">
        <v>19</v>
      </c>
      <c r="D3787">
        <v>608095</v>
      </c>
      <c r="E3787" t="s">
        <v>20</v>
      </c>
      <c r="F3787">
        <v>1045396300</v>
      </c>
      <c r="G3787" t="s">
        <v>3282</v>
      </c>
      <c r="H3787">
        <v>100244952</v>
      </c>
      <c r="I3787">
        <v>202631</v>
      </c>
      <c r="J3787">
        <v>1045396300</v>
      </c>
      <c r="K3787" t="s">
        <v>33</v>
      </c>
      <c r="L3787" t="s">
        <v>42</v>
      </c>
      <c r="M3787" t="s">
        <v>24</v>
      </c>
      <c r="N3787" t="s">
        <v>35</v>
      </c>
      <c r="O3787" t="s">
        <v>26</v>
      </c>
      <c r="P3787" t="s">
        <v>27</v>
      </c>
      <c r="Q3787" t="s">
        <v>28</v>
      </c>
      <c r="R3787" t="s">
        <v>29</v>
      </c>
      <c r="S3787" t="s">
        <v>30</v>
      </c>
      <c r="T3787">
        <v>1023000938</v>
      </c>
      <c r="U3787" t="s">
        <v>3941</v>
      </c>
      <c r="V3787" t="s">
        <v>3934</v>
      </c>
      <c r="W3787" s="9">
        <f>IF(V3787="pregrado",31,
IF(V3787="posgrados",31,
IF(V3787="rEINTEGROS",7,
IF(V3787="BIT",90,
IF(V3787="OP GRADO - INGLÉS",17,"")))))</f>
        <v>31</v>
      </c>
      <c r="X3787" t="s">
        <v>3989</v>
      </c>
    </row>
    <row r="3788" spans="1:24" ht="15" x14ac:dyDescent="0.35">
      <c r="A3788" s="4">
        <v>46058.819756944446</v>
      </c>
      <c r="B3788">
        <v>20121028</v>
      </c>
      <c r="C3788" s="6" t="s">
        <v>19</v>
      </c>
      <c r="D3788">
        <v>608098</v>
      </c>
      <c r="E3788" t="s">
        <v>20</v>
      </c>
      <c r="F3788">
        <v>1007600111</v>
      </c>
      <c r="G3788" t="s">
        <v>2843</v>
      </c>
      <c r="H3788">
        <v>100244954</v>
      </c>
      <c r="I3788">
        <v>202631</v>
      </c>
      <c r="J3788">
        <v>1007600111</v>
      </c>
      <c r="K3788" t="s">
        <v>33</v>
      </c>
      <c r="L3788" t="s">
        <v>231</v>
      </c>
      <c r="M3788" t="s">
        <v>24</v>
      </c>
      <c r="N3788" t="s">
        <v>38</v>
      </c>
      <c r="O3788" t="s">
        <v>26</v>
      </c>
      <c r="P3788" t="s">
        <v>27</v>
      </c>
      <c r="Q3788" t="s">
        <v>28</v>
      </c>
      <c r="R3788" t="s">
        <v>29</v>
      </c>
      <c r="S3788" t="s">
        <v>30</v>
      </c>
      <c r="T3788">
        <v>63501040</v>
      </c>
      <c r="U3788" t="s">
        <v>3941</v>
      </c>
      <c r="V3788" t="s">
        <v>3934</v>
      </c>
      <c r="W3788" s="9">
        <f>IF(V3788="pregrado",31,
IF(V3788="posgrados",31,
IF(V3788="rEINTEGROS",7,
IF(V3788="BIT",90,
IF(V3788="OP GRADO - INGLÉS",17,"")))))</f>
        <v>31</v>
      </c>
      <c r="X3788" t="s">
        <v>4087</v>
      </c>
    </row>
    <row r="3789" spans="1:24" ht="15" x14ac:dyDescent="0.35">
      <c r="A3789" s="4">
        <v>46058.575648148151</v>
      </c>
      <c r="B3789">
        <v>20120855</v>
      </c>
      <c r="C3789" s="6" t="s">
        <v>19</v>
      </c>
      <c r="D3789">
        <v>608116</v>
      </c>
      <c r="E3789" t="s">
        <v>20</v>
      </c>
      <c r="F3789">
        <v>1081913258</v>
      </c>
      <c r="G3789" t="s">
        <v>2810</v>
      </c>
      <c r="H3789">
        <v>100244991</v>
      </c>
      <c r="I3789">
        <v>202631</v>
      </c>
      <c r="J3789">
        <v>1081914439</v>
      </c>
      <c r="K3789" t="s">
        <v>23</v>
      </c>
      <c r="L3789" t="s">
        <v>32</v>
      </c>
      <c r="M3789" t="s">
        <v>24</v>
      </c>
      <c r="N3789" t="s">
        <v>35</v>
      </c>
      <c r="O3789" t="s">
        <v>26</v>
      </c>
      <c r="P3789" t="s">
        <v>27</v>
      </c>
      <c r="Q3789" t="s">
        <v>28</v>
      </c>
      <c r="R3789" t="s">
        <v>29</v>
      </c>
      <c r="S3789" t="s">
        <v>30</v>
      </c>
      <c r="T3789">
        <v>1000001980</v>
      </c>
      <c r="U3789" t="s">
        <v>3944</v>
      </c>
      <c r="V3789" t="s">
        <v>3934</v>
      </c>
      <c r="W3789" s="9">
        <f>IF(V3789="pregrado",31,
IF(V3789="posgrados",31,
IF(V3789="rEINTEGROS",7,
IF(V3789="BIT",90,
IF(V3789="OP GRADO - INGLÉS",17,"")))))</f>
        <v>31</v>
      </c>
      <c r="X3789" t="s">
        <v>3968</v>
      </c>
    </row>
    <row r="3790" spans="1:24" ht="15" x14ac:dyDescent="0.35">
      <c r="A3790" s="4">
        <v>46077.418865740743</v>
      </c>
      <c r="B3790">
        <v>20125912</v>
      </c>
      <c r="C3790" s="6" t="s">
        <v>19</v>
      </c>
      <c r="D3790">
        <v>608117</v>
      </c>
      <c r="E3790" t="s">
        <v>20</v>
      </c>
      <c r="F3790">
        <v>1036951830</v>
      </c>
      <c r="G3790" t="s">
        <v>3585</v>
      </c>
      <c r="H3790">
        <v>100244992</v>
      </c>
      <c r="I3790">
        <v>202631</v>
      </c>
      <c r="J3790">
        <v>1036945082</v>
      </c>
      <c r="K3790" t="s">
        <v>33</v>
      </c>
      <c r="L3790" t="s">
        <v>240</v>
      </c>
      <c r="M3790" t="s">
        <v>24</v>
      </c>
      <c r="N3790" t="s">
        <v>35</v>
      </c>
      <c r="O3790" t="s">
        <v>26</v>
      </c>
      <c r="P3790" t="s">
        <v>27</v>
      </c>
      <c r="Q3790" t="s">
        <v>28</v>
      </c>
      <c r="R3790" t="s">
        <v>29</v>
      </c>
      <c r="S3790" t="s">
        <v>30</v>
      </c>
      <c r="T3790">
        <v>10822473081</v>
      </c>
      <c r="U3790" t="s">
        <v>3965</v>
      </c>
      <c r="V3790" t="s">
        <v>3934</v>
      </c>
      <c r="W3790" s="9">
        <f>IF(V3790="pregrado",31,
IF(V3790="posgrados",31,
IF(V3790="rEINTEGROS",7,
IF(V3790="BIT",90,
IF(V3790="OP GRADO - INGLÉS",17,"")))))</f>
        <v>31</v>
      </c>
      <c r="X3790" t="s">
        <v>4007</v>
      </c>
    </row>
    <row r="3791" spans="1:24" ht="15" x14ac:dyDescent="0.35">
      <c r="A3791" s="4">
        <v>46057.436157407406</v>
      </c>
      <c r="B3791">
        <v>20120364</v>
      </c>
      <c r="C3791" s="6" t="s">
        <v>19</v>
      </c>
      <c r="D3791">
        <v>608125</v>
      </c>
      <c r="E3791" t="s">
        <v>20</v>
      </c>
      <c r="F3791">
        <v>1007497905</v>
      </c>
      <c r="G3791" t="s">
        <v>2732</v>
      </c>
      <c r="H3791">
        <v>100093901</v>
      </c>
      <c r="I3791">
        <v>202611</v>
      </c>
      <c r="J3791">
        <v>1007497905</v>
      </c>
      <c r="K3791" t="s">
        <v>23</v>
      </c>
      <c r="L3791" t="s">
        <v>204</v>
      </c>
      <c r="M3791" t="s">
        <v>24</v>
      </c>
      <c r="N3791" t="s">
        <v>25</v>
      </c>
      <c r="O3791" t="s">
        <v>26</v>
      </c>
      <c r="P3791" t="s">
        <v>27</v>
      </c>
      <c r="Q3791" t="s">
        <v>28</v>
      </c>
      <c r="R3791" t="s">
        <v>29</v>
      </c>
      <c r="S3791" t="s">
        <v>30</v>
      </c>
      <c r="T3791">
        <v>1015441103</v>
      </c>
      <c r="U3791" t="s">
        <v>3933</v>
      </c>
      <c r="V3791" t="s">
        <v>3934</v>
      </c>
      <c r="W3791" s="9">
        <f>IF(V3791="pregrado",31,
IF(V3791="posgrados",31,
IF(V3791="rEINTEGROS",7,
IF(V3791="BIT",90,
IF(V3791="OP GRADO - INGLÉS",17,"")))))</f>
        <v>31</v>
      </c>
      <c r="X3791" t="s">
        <v>3961</v>
      </c>
    </row>
    <row r="3792" spans="1:24" ht="15" x14ac:dyDescent="0.35">
      <c r="A3792" s="4">
        <v>46066.451967592591</v>
      </c>
      <c r="B3792">
        <v>20123113</v>
      </c>
      <c r="C3792" s="6" t="s">
        <v>19</v>
      </c>
      <c r="D3792">
        <v>608224</v>
      </c>
      <c r="E3792" t="s">
        <v>20</v>
      </c>
      <c r="F3792">
        <v>1124497318</v>
      </c>
      <c r="G3792" t="s">
        <v>3150</v>
      </c>
      <c r="H3792">
        <v>100146811</v>
      </c>
      <c r="I3792">
        <v>202631</v>
      </c>
      <c r="J3792">
        <v>1124497318</v>
      </c>
      <c r="K3792" t="s">
        <v>33</v>
      </c>
      <c r="L3792" t="s">
        <v>42</v>
      </c>
      <c r="M3792" t="s">
        <v>24</v>
      </c>
      <c r="N3792" t="s">
        <v>35</v>
      </c>
      <c r="O3792" t="s">
        <v>26</v>
      </c>
      <c r="P3792" t="s">
        <v>27</v>
      </c>
      <c r="Q3792" t="s">
        <v>28</v>
      </c>
      <c r="R3792" t="s">
        <v>29</v>
      </c>
      <c r="S3792" t="s">
        <v>30</v>
      </c>
      <c r="T3792">
        <v>1015482247</v>
      </c>
      <c r="U3792" t="s">
        <v>3944</v>
      </c>
      <c r="V3792" t="s">
        <v>3934</v>
      </c>
      <c r="W3792" s="9">
        <f>IF(V3792="pregrado",31,
IF(V3792="posgrados",31,
IF(V3792="rEINTEGROS",7,
IF(V3792="BIT",90,
IF(V3792="OP GRADO - INGLÉS",17,"")))))</f>
        <v>31</v>
      </c>
      <c r="X3792" t="s">
        <v>3984</v>
      </c>
    </row>
    <row r="3793" spans="1:24" ht="15" x14ac:dyDescent="0.35">
      <c r="A3793" s="4">
        <v>46058.521354166667</v>
      </c>
      <c r="B3793">
        <v>20120827</v>
      </c>
      <c r="C3793" s="6" t="s">
        <v>19</v>
      </c>
      <c r="D3793">
        <v>608225</v>
      </c>
      <c r="E3793" t="s">
        <v>20</v>
      </c>
      <c r="F3793">
        <v>1005160158</v>
      </c>
      <c r="G3793" t="s">
        <v>2803</v>
      </c>
      <c r="H3793">
        <v>100154956</v>
      </c>
      <c r="I3793">
        <v>202631</v>
      </c>
      <c r="J3793">
        <v>1005160158</v>
      </c>
      <c r="K3793" t="s">
        <v>33</v>
      </c>
      <c r="L3793" t="s">
        <v>42</v>
      </c>
      <c r="M3793" t="s">
        <v>24</v>
      </c>
      <c r="N3793" t="s">
        <v>25</v>
      </c>
      <c r="O3793" t="s">
        <v>26</v>
      </c>
      <c r="P3793" t="s">
        <v>27</v>
      </c>
      <c r="Q3793" t="s">
        <v>28</v>
      </c>
      <c r="R3793" t="s">
        <v>29</v>
      </c>
      <c r="S3793" t="s">
        <v>30</v>
      </c>
      <c r="T3793">
        <v>1022970491</v>
      </c>
      <c r="U3793" t="s">
        <v>3965</v>
      </c>
      <c r="V3793" t="s">
        <v>3934</v>
      </c>
      <c r="W3793" s="9">
        <f>IF(V3793="pregrado",31,
IF(V3793="posgrados",31,
IF(V3793="rEINTEGROS",7,
IF(V3793="BIT",90,
IF(V3793="OP GRADO - INGLÉS",17,"")))))</f>
        <v>31</v>
      </c>
      <c r="X3793" t="s">
        <v>4091</v>
      </c>
    </row>
    <row r="3794" spans="1:24" ht="15" x14ac:dyDescent="0.35">
      <c r="A3794" s="4">
        <v>46060.430821759262</v>
      </c>
      <c r="B3794">
        <v>20121387</v>
      </c>
      <c r="C3794" s="6" t="s">
        <v>19</v>
      </c>
      <c r="D3794">
        <v>608297</v>
      </c>
      <c r="E3794" t="s">
        <v>20</v>
      </c>
      <c r="F3794">
        <v>1100398864</v>
      </c>
      <c r="G3794" t="s">
        <v>2891</v>
      </c>
      <c r="H3794">
        <v>100244729</v>
      </c>
      <c r="I3794">
        <v>202631</v>
      </c>
      <c r="J3794">
        <v>1100398864</v>
      </c>
      <c r="K3794" t="s">
        <v>33</v>
      </c>
      <c r="L3794" t="s">
        <v>127</v>
      </c>
      <c r="M3794" t="s">
        <v>24</v>
      </c>
      <c r="N3794" t="s">
        <v>35</v>
      </c>
      <c r="O3794" t="s">
        <v>26</v>
      </c>
      <c r="P3794" t="s">
        <v>27</v>
      </c>
      <c r="Q3794" t="s">
        <v>28</v>
      </c>
      <c r="R3794" t="s">
        <v>29</v>
      </c>
      <c r="S3794" t="s">
        <v>30</v>
      </c>
      <c r="T3794">
        <v>1025460711</v>
      </c>
      <c r="U3794" t="s">
        <v>3933</v>
      </c>
      <c r="V3794" t="s">
        <v>3934</v>
      </c>
      <c r="W3794" s="9">
        <f>IF(V3794="pregrado",31,
IF(V3794="posgrados",31,
IF(V3794="rEINTEGROS",7,
IF(V3794="BIT",90,
IF(V3794="OP GRADO - INGLÉS",17,"")))))</f>
        <v>31</v>
      </c>
      <c r="X3794" t="s">
        <v>4062</v>
      </c>
    </row>
    <row r="3795" spans="1:24" ht="15" x14ac:dyDescent="0.35">
      <c r="A3795" s="4">
        <v>46071.507592592592</v>
      </c>
      <c r="B3795">
        <v>20124443</v>
      </c>
      <c r="C3795" s="6" t="s">
        <v>19</v>
      </c>
      <c r="D3795">
        <v>608349</v>
      </c>
      <c r="E3795" t="s">
        <v>20</v>
      </c>
      <c r="F3795">
        <v>1067710864</v>
      </c>
      <c r="G3795" t="s">
        <v>3350</v>
      </c>
      <c r="H3795">
        <v>100237251</v>
      </c>
      <c r="I3795">
        <v>202631</v>
      </c>
      <c r="J3795">
        <v>1067713462</v>
      </c>
      <c r="K3795" t="s">
        <v>33</v>
      </c>
      <c r="L3795" t="s">
        <v>101</v>
      </c>
      <c r="M3795" t="s">
        <v>24</v>
      </c>
      <c r="N3795" t="s">
        <v>35</v>
      </c>
      <c r="O3795" t="s">
        <v>26</v>
      </c>
      <c r="P3795" t="s">
        <v>27</v>
      </c>
      <c r="Q3795" t="s">
        <v>28</v>
      </c>
      <c r="R3795" t="s">
        <v>29</v>
      </c>
      <c r="S3795" t="s">
        <v>30</v>
      </c>
      <c r="T3795">
        <v>1014283217</v>
      </c>
      <c r="U3795" t="s">
        <v>3963</v>
      </c>
      <c r="V3795" t="s">
        <v>3934</v>
      </c>
      <c r="W3795" s="9">
        <f>IF(V3795="pregrado",31,
IF(V3795="posgrados",31,
IF(V3795="rEINTEGROS",7,
IF(V3795="BIT",90,
IF(V3795="OP GRADO - INGLÉS",17,"")))))</f>
        <v>31</v>
      </c>
      <c r="X3795" t="s">
        <v>4023</v>
      </c>
    </row>
    <row r="3796" spans="1:24" ht="15" x14ac:dyDescent="0.35">
      <c r="A3796" s="4">
        <v>46058.356886574074</v>
      </c>
      <c r="B3796">
        <v>20120687</v>
      </c>
      <c r="C3796" s="6" t="s">
        <v>19</v>
      </c>
      <c r="D3796">
        <v>608383</v>
      </c>
      <c r="E3796" t="s">
        <v>20</v>
      </c>
      <c r="F3796">
        <v>1102808898</v>
      </c>
      <c r="G3796" t="s">
        <v>2776</v>
      </c>
      <c r="H3796">
        <v>100245023</v>
      </c>
      <c r="I3796">
        <v>202631</v>
      </c>
      <c r="J3796">
        <v>1127386295</v>
      </c>
      <c r="K3796" t="s">
        <v>23</v>
      </c>
      <c r="L3796" t="s">
        <v>219</v>
      </c>
      <c r="M3796" t="s">
        <v>24</v>
      </c>
      <c r="N3796" t="s">
        <v>35</v>
      </c>
      <c r="O3796" t="s">
        <v>26</v>
      </c>
      <c r="P3796" t="s">
        <v>27</v>
      </c>
      <c r="Q3796" t="s">
        <v>28</v>
      </c>
      <c r="R3796" t="s">
        <v>29</v>
      </c>
      <c r="S3796" t="s">
        <v>30</v>
      </c>
      <c r="T3796">
        <v>1001192723</v>
      </c>
      <c r="U3796" t="s">
        <v>3941</v>
      </c>
      <c r="V3796" t="s">
        <v>3934</v>
      </c>
      <c r="W3796" s="9">
        <f>IF(V3796="pregrado",31,
IF(V3796="posgrados",31,
IF(V3796="rEINTEGROS",7,
IF(V3796="BIT",90,
IF(V3796="OP GRADO - INGLÉS",17,"")))))</f>
        <v>31</v>
      </c>
      <c r="X3796" t="s">
        <v>3940</v>
      </c>
    </row>
    <row r="3797" spans="1:24" ht="15" x14ac:dyDescent="0.35">
      <c r="A3797" s="4">
        <v>46059.618379629632</v>
      </c>
      <c r="B3797">
        <v>20121205</v>
      </c>
      <c r="C3797" s="6" t="s">
        <v>19</v>
      </c>
      <c r="D3797">
        <v>608386</v>
      </c>
      <c r="E3797" t="s">
        <v>20</v>
      </c>
      <c r="F3797">
        <v>1023022110</v>
      </c>
      <c r="G3797" t="s">
        <v>2863</v>
      </c>
      <c r="H3797">
        <v>100124998</v>
      </c>
      <c r="I3797">
        <v>202611</v>
      </c>
      <c r="J3797">
        <v>1023022110</v>
      </c>
      <c r="K3797" t="s">
        <v>89</v>
      </c>
      <c r="L3797" t="s">
        <v>204</v>
      </c>
      <c r="M3797" t="s">
        <v>24</v>
      </c>
      <c r="N3797" t="s">
        <v>38</v>
      </c>
      <c r="O3797" t="s">
        <v>26</v>
      </c>
      <c r="P3797" t="s">
        <v>27</v>
      </c>
      <c r="Q3797" t="s">
        <v>28</v>
      </c>
      <c r="R3797" t="s">
        <v>29</v>
      </c>
      <c r="S3797" t="s">
        <v>30</v>
      </c>
      <c r="T3797">
        <v>1019102787</v>
      </c>
      <c r="U3797" t="s">
        <v>3977</v>
      </c>
      <c r="V3797" t="s">
        <v>3970</v>
      </c>
      <c r="W3797" s="9">
        <f>IF(V3797="pregrado",31,
IF(V3797="posgrados",31,
IF(V3797="rEINTEGROS",7,
IF(V3797="BIT",90,
IF(V3797="OP GRADO - INGLÉS",17,"")))))</f>
        <v>7</v>
      </c>
      <c r="X3797" t="s">
        <v>3976</v>
      </c>
    </row>
    <row r="3798" spans="1:24" ht="15" x14ac:dyDescent="0.35">
      <c r="A3798" s="4">
        <v>46057.477847222224</v>
      </c>
      <c r="B3798">
        <v>20120399</v>
      </c>
      <c r="C3798" s="6" t="s">
        <v>19</v>
      </c>
      <c r="D3798">
        <v>608396</v>
      </c>
      <c r="E3798" t="s">
        <v>20</v>
      </c>
      <c r="F3798">
        <v>1045746673</v>
      </c>
      <c r="G3798" t="s">
        <v>2737</v>
      </c>
      <c r="H3798">
        <v>100117595</v>
      </c>
      <c r="I3798">
        <v>202631</v>
      </c>
      <c r="J3798">
        <v>1045746673</v>
      </c>
      <c r="K3798" t="s">
        <v>33</v>
      </c>
      <c r="L3798" t="s">
        <v>90</v>
      </c>
      <c r="M3798" t="s">
        <v>24</v>
      </c>
      <c r="N3798" t="s">
        <v>25</v>
      </c>
      <c r="O3798" t="s">
        <v>26</v>
      </c>
      <c r="P3798" t="s">
        <v>27</v>
      </c>
      <c r="Q3798" t="s">
        <v>28</v>
      </c>
      <c r="R3798" t="s">
        <v>29</v>
      </c>
      <c r="S3798" t="s">
        <v>30</v>
      </c>
      <c r="T3798">
        <v>1025460711</v>
      </c>
      <c r="U3798" t="s">
        <v>3933</v>
      </c>
      <c r="V3798" t="s">
        <v>3934</v>
      </c>
      <c r="W3798" s="9">
        <f>IF(V3798="pregrado",31,
IF(V3798="posgrados",31,
IF(V3798="rEINTEGROS",7,
IF(V3798="BIT",90,
IF(V3798="OP GRADO - INGLÉS",17,"")))))</f>
        <v>31</v>
      </c>
      <c r="X3798" t="s">
        <v>4062</v>
      </c>
    </row>
    <row r="3799" spans="1:24" ht="15" x14ac:dyDescent="0.35">
      <c r="A3799" s="4">
        <v>46057.658668981479</v>
      </c>
      <c r="B3799">
        <v>20120544</v>
      </c>
      <c r="C3799" s="6" t="s">
        <v>19</v>
      </c>
      <c r="D3799">
        <v>608399</v>
      </c>
      <c r="E3799" t="s">
        <v>20</v>
      </c>
      <c r="F3799">
        <v>1037671583</v>
      </c>
      <c r="G3799" t="s">
        <v>2759</v>
      </c>
      <c r="H3799">
        <v>100245028</v>
      </c>
      <c r="I3799">
        <v>202631</v>
      </c>
      <c r="J3799">
        <v>1037671583</v>
      </c>
      <c r="K3799" t="s">
        <v>33</v>
      </c>
      <c r="L3799" t="s">
        <v>42</v>
      </c>
      <c r="M3799" t="s">
        <v>24</v>
      </c>
      <c r="N3799" t="s">
        <v>25</v>
      </c>
      <c r="O3799" t="s">
        <v>26</v>
      </c>
      <c r="P3799" t="s">
        <v>27</v>
      </c>
      <c r="Q3799" t="s">
        <v>28</v>
      </c>
      <c r="R3799" t="s">
        <v>29</v>
      </c>
      <c r="S3799" t="s">
        <v>30</v>
      </c>
      <c r="T3799">
        <v>1015478965</v>
      </c>
      <c r="U3799" t="s">
        <v>3944</v>
      </c>
      <c r="V3799" t="s">
        <v>3934</v>
      </c>
      <c r="W3799" s="9">
        <f>IF(V3799="pregrado",31,
IF(V3799="posgrados",31,
IF(V3799="rEINTEGROS",7,
IF(V3799="BIT",90,
IF(V3799="OP GRADO - INGLÉS",17,"")))))</f>
        <v>31</v>
      </c>
      <c r="X3799" t="s">
        <v>3979</v>
      </c>
    </row>
    <row r="3800" spans="1:24" ht="15" x14ac:dyDescent="0.35">
      <c r="A3800" s="4">
        <v>46058.372870370367</v>
      </c>
      <c r="B3800">
        <v>20120704</v>
      </c>
      <c r="C3800" s="6" t="s">
        <v>19</v>
      </c>
      <c r="D3800">
        <v>608401</v>
      </c>
      <c r="E3800" t="s">
        <v>20</v>
      </c>
      <c r="F3800">
        <v>25634466</v>
      </c>
      <c r="G3800" t="s">
        <v>2778</v>
      </c>
      <c r="H3800">
        <v>100245029</v>
      </c>
      <c r="I3800">
        <v>202631</v>
      </c>
      <c r="J3800">
        <v>1004709684</v>
      </c>
      <c r="K3800" t="s">
        <v>23</v>
      </c>
      <c r="L3800" t="s">
        <v>90</v>
      </c>
      <c r="M3800" t="s">
        <v>24</v>
      </c>
      <c r="N3800" t="s">
        <v>35</v>
      </c>
      <c r="O3800" t="s">
        <v>26</v>
      </c>
      <c r="P3800" t="s">
        <v>27</v>
      </c>
      <c r="Q3800" t="s">
        <v>28</v>
      </c>
      <c r="R3800" t="s">
        <v>29</v>
      </c>
      <c r="S3800" t="s">
        <v>30</v>
      </c>
      <c r="T3800">
        <v>10245841021</v>
      </c>
      <c r="U3800" t="s">
        <v>3933</v>
      </c>
      <c r="V3800" t="s">
        <v>3934</v>
      </c>
      <c r="W3800" s="9">
        <f>IF(V3800="pregrado",31,
IF(V3800="posgrados",31,
IF(V3800="rEINTEGROS",7,
IF(V3800="BIT",90,
IF(V3800="OP GRADO - INGLÉS",17,"")))))</f>
        <v>31</v>
      </c>
      <c r="X3800" t="s">
        <v>3987</v>
      </c>
    </row>
    <row r="3801" spans="1:24" ht="15" x14ac:dyDescent="0.35">
      <c r="A3801" s="4">
        <v>46062.600092592591</v>
      </c>
      <c r="B3801">
        <v>20121688</v>
      </c>
      <c r="C3801" s="6" t="s">
        <v>19</v>
      </c>
      <c r="D3801">
        <v>608406</v>
      </c>
      <c r="E3801" t="s">
        <v>20</v>
      </c>
      <c r="F3801">
        <v>1003913654</v>
      </c>
      <c r="G3801" t="s">
        <v>2928</v>
      </c>
      <c r="H3801">
        <v>100153141</v>
      </c>
      <c r="I3801">
        <v>202631</v>
      </c>
      <c r="J3801">
        <v>1003913654</v>
      </c>
      <c r="K3801" t="s">
        <v>89</v>
      </c>
      <c r="L3801" t="s">
        <v>231</v>
      </c>
      <c r="M3801" t="s">
        <v>24</v>
      </c>
      <c r="N3801" t="s">
        <v>38</v>
      </c>
      <c r="O3801" t="s">
        <v>26</v>
      </c>
      <c r="P3801" t="s">
        <v>27</v>
      </c>
      <c r="Q3801" t="s">
        <v>28</v>
      </c>
      <c r="R3801" t="s">
        <v>29</v>
      </c>
      <c r="S3801" t="s">
        <v>30</v>
      </c>
      <c r="T3801">
        <v>52168054</v>
      </c>
      <c r="U3801" t="s">
        <v>3977</v>
      </c>
      <c r="V3801" t="s">
        <v>3970</v>
      </c>
      <c r="W3801" s="9">
        <f>IF(V3801="pregrado",31,
IF(V3801="posgrados",31,
IF(V3801="rEINTEGROS",7,
IF(V3801="BIT",90,
IF(V3801="OP GRADO - INGLÉS",17,"")))))</f>
        <v>7</v>
      </c>
      <c r="X3801" t="s">
        <v>4057</v>
      </c>
    </row>
    <row r="3802" spans="1:24" ht="15" x14ac:dyDescent="0.35">
      <c r="A3802" s="4">
        <v>46058.663993055554</v>
      </c>
      <c r="B3802">
        <v>20120931</v>
      </c>
      <c r="C3802" s="6" t="s">
        <v>19</v>
      </c>
      <c r="D3802">
        <v>608407</v>
      </c>
      <c r="E3802" t="s">
        <v>20</v>
      </c>
      <c r="F3802">
        <v>1120355231</v>
      </c>
      <c r="G3802" t="s">
        <v>2825</v>
      </c>
      <c r="H3802">
        <v>100236412</v>
      </c>
      <c r="I3802">
        <v>202631</v>
      </c>
      <c r="J3802">
        <v>1120355231</v>
      </c>
      <c r="K3802" t="s">
        <v>33</v>
      </c>
      <c r="L3802" t="s">
        <v>370</v>
      </c>
      <c r="M3802" t="s">
        <v>24</v>
      </c>
      <c r="N3802" t="s">
        <v>35</v>
      </c>
      <c r="O3802" t="s">
        <v>26</v>
      </c>
      <c r="P3802" t="s">
        <v>27</v>
      </c>
      <c r="Q3802" t="s">
        <v>28</v>
      </c>
      <c r="R3802" t="s">
        <v>29</v>
      </c>
      <c r="S3802" t="s">
        <v>30</v>
      </c>
      <c r="T3802">
        <v>1077967131</v>
      </c>
      <c r="U3802" t="s">
        <v>3963</v>
      </c>
      <c r="V3802" t="s">
        <v>3934</v>
      </c>
      <c r="W3802" s="9">
        <f>IF(V3802="pregrado",31,
IF(V3802="posgrados",31,
IF(V3802="rEINTEGROS",7,
IF(V3802="BIT",90,
IF(V3802="OP GRADO - INGLÉS",17,"")))))</f>
        <v>31</v>
      </c>
      <c r="X3802" t="s">
        <v>4011</v>
      </c>
    </row>
    <row r="3803" spans="1:24" ht="15" x14ac:dyDescent="0.35">
      <c r="A3803" s="4">
        <v>46057.617928240739</v>
      </c>
      <c r="B3803">
        <v>20120504</v>
      </c>
      <c r="C3803" s="6" t="s">
        <v>19</v>
      </c>
      <c r="D3803">
        <v>608409</v>
      </c>
      <c r="E3803" t="s">
        <v>20</v>
      </c>
      <c r="F3803">
        <v>1073502160</v>
      </c>
      <c r="G3803" t="s">
        <v>2758</v>
      </c>
      <c r="H3803">
        <v>100245040</v>
      </c>
      <c r="I3803">
        <v>202631</v>
      </c>
      <c r="J3803">
        <v>1073237993</v>
      </c>
      <c r="K3803" t="s">
        <v>23</v>
      </c>
      <c r="L3803" t="s">
        <v>219</v>
      </c>
      <c r="M3803" t="s">
        <v>24</v>
      </c>
      <c r="N3803" t="s">
        <v>35</v>
      </c>
      <c r="O3803" t="s">
        <v>26</v>
      </c>
      <c r="P3803" t="s">
        <v>27</v>
      </c>
      <c r="Q3803" t="s">
        <v>28</v>
      </c>
      <c r="R3803" t="s">
        <v>29</v>
      </c>
      <c r="S3803" t="s">
        <v>30</v>
      </c>
      <c r="T3803">
        <v>1001066645</v>
      </c>
      <c r="U3803" t="s">
        <v>3963</v>
      </c>
      <c r="V3803" t="s">
        <v>3934</v>
      </c>
      <c r="W3803" s="9">
        <f>IF(V3803="pregrado",31,
IF(V3803="posgrados",31,
IF(V3803="rEINTEGROS",7,
IF(V3803="BIT",90,
IF(V3803="OP GRADO - INGLÉS",17,"")))))</f>
        <v>31</v>
      </c>
      <c r="X3803" t="s">
        <v>4086</v>
      </c>
    </row>
    <row r="3804" spans="1:24" ht="15" x14ac:dyDescent="0.35">
      <c r="A3804" s="4">
        <v>46066.757048611114</v>
      </c>
      <c r="B3804">
        <v>20123347</v>
      </c>
      <c r="C3804" s="6" t="s">
        <v>19</v>
      </c>
      <c r="D3804">
        <v>608416</v>
      </c>
      <c r="E3804" t="s">
        <v>20</v>
      </c>
      <c r="F3804">
        <v>1025525485</v>
      </c>
      <c r="G3804" t="s">
        <v>3192</v>
      </c>
      <c r="H3804">
        <v>100227439</v>
      </c>
      <c r="I3804">
        <v>202610</v>
      </c>
      <c r="J3804">
        <v>1025525485</v>
      </c>
      <c r="K3804" t="s">
        <v>23</v>
      </c>
      <c r="L3804" t="s">
        <v>40</v>
      </c>
      <c r="M3804" t="s">
        <v>24</v>
      </c>
      <c r="N3804" t="s">
        <v>35</v>
      </c>
      <c r="O3804" t="s">
        <v>26</v>
      </c>
      <c r="P3804" t="s">
        <v>27</v>
      </c>
      <c r="Q3804" t="s">
        <v>28</v>
      </c>
      <c r="R3804" t="s">
        <v>29</v>
      </c>
      <c r="S3804" t="s">
        <v>30</v>
      </c>
      <c r="T3804">
        <v>1006505929</v>
      </c>
      <c r="U3804" t="s">
        <v>3986</v>
      </c>
      <c r="V3804" t="s">
        <v>3934</v>
      </c>
      <c r="W3804" s="9">
        <f>IF(V3804="pregrado",31,
IF(V3804="posgrados",31,
IF(V3804="rEINTEGROS",7,
IF(V3804="BIT",90,
IF(V3804="OP GRADO - INGLÉS",17,"")))))</f>
        <v>31</v>
      </c>
      <c r="X3804" t="s">
        <v>4013</v>
      </c>
    </row>
    <row r="3805" spans="1:24" ht="15" x14ac:dyDescent="0.35">
      <c r="A3805" s="4">
        <v>46058.535115740742</v>
      </c>
      <c r="B3805">
        <v>20120836</v>
      </c>
      <c r="C3805" s="6" t="s">
        <v>19</v>
      </c>
      <c r="D3805">
        <v>608425</v>
      </c>
      <c r="E3805" t="s">
        <v>20</v>
      </c>
      <c r="F3805">
        <v>1023040324</v>
      </c>
      <c r="G3805" t="s">
        <v>2804</v>
      </c>
      <c r="H3805">
        <v>100245054</v>
      </c>
      <c r="I3805">
        <v>202631</v>
      </c>
      <c r="J3805">
        <v>1023040324</v>
      </c>
      <c r="K3805" t="s">
        <v>33</v>
      </c>
      <c r="L3805" t="s">
        <v>207</v>
      </c>
      <c r="M3805" t="s">
        <v>24</v>
      </c>
      <c r="N3805" t="s">
        <v>38</v>
      </c>
      <c r="O3805" t="s">
        <v>26</v>
      </c>
      <c r="P3805" t="s">
        <v>27</v>
      </c>
      <c r="Q3805" t="s">
        <v>28</v>
      </c>
      <c r="R3805" t="s">
        <v>29</v>
      </c>
      <c r="S3805" t="s">
        <v>30</v>
      </c>
      <c r="T3805">
        <v>1001315142</v>
      </c>
      <c r="U3805" t="s">
        <v>3986</v>
      </c>
      <c r="V3805" t="s">
        <v>3934</v>
      </c>
      <c r="W3805" s="9">
        <f>IF(V3805="pregrado",31,
IF(V3805="posgrados",31,
IF(V3805="rEINTEGROS",7,
IF(V3805="BIT",90,
IF(V3805="OP GRADO - INGLÉS",17,"")))))</f>
        <v>31</v>
      </c>
      <c r="X3805" t="s">
        <v>4064</v>
      </c>
    </row>
    <row r="3806" spans="1:24" ht="15" x14ac:dyDescent="0.35">
      <c r="A3806" s="4">
        <v>46057.502268518518</v>
      </c>
      <c r="B3806">
        <v>20120414</v>
      </c>
      <c r="C3806" s="6" t="s">
        <v>19</v>
      </c>
      <c r="D3806">
        <v>608429</v>
      </c>
      <c r="E3806" t="s">
        <v>20</v>
      </c>
      <c r="F3806">
        <v>1023877242</v>
      </c>
      <c r="G3806" t="s">
        <v>2741</v>
      </c>
      <c r="H3806">
        <v>100245056</v>
      </c>
      <c r="I3806">
        <v>202631</v>
      </c>
      <c r="J3806">
        <v>1023877242</v>
      </c>
      <c r="K3806" t="s">
        <v>23</v>
      </c>
      <c r="L3806" t="s">
        <v>240</v>
      </c>
      <c r="M3806" t="s">
        <v>24</v>
      </c>
      <c r="N3806" t="s">
        <v>35</v>
      </c>
      <c r="O3806" t="s">
        <v>26</v>
      </c>
      <c r="P3806" t="s">
        <v>27</v>
      </c>
      <c r="Q3806" t="s">
        <v>28</v>
      </c>
      <c r="R3806" t="s">
        <v>29</v>
      </c>
      <c r="S3806" t="s">
        <v>30</v>
      </c>
      <c r="T3806">
        <v>1030651078</v>
      </c>
      <c r="U3806" t="s">
        <v>3965</v>
      </c>
      <c r="V3806" t="s">
        <v>3934</v>
      </c>
      <c r="W3806" s="9">
        <f>IF(V3806="pregrado",31,
IF(V3806="posgrados",31,
IF(V3806="rEINTEGROS",7,
IF(V3806="BIT",90,
IF(V3806="OP GRADO - INGLÉS",17,"")))))</f>
        <v>31</v>
      </c>
      <c r="X3806" t="s">
        <v>4085</v>
      </c>
    </row>
    <row r="3807" spans="1:24" ht="15" x14ac:dyDescent="0.35">
      <c r="A3807" s="4">
        <v>46058.504421296297</v>
      </c>
      <c r="B3807">
        <v>20120815</v>
      </c>
      <c r="C3807" s="6" t="s">
        <v>19</v>
      </c>
      <c r="D3807">
        <v>608438</v>
      </c>
      <c r="E3807" t="s">
        <v>20</v>
      </c>
      <c r="F3807">
        <v>20590402</v>
      </c>
      <c r="G3807" t="s">
        <v>2797</v>
      </c>
      <c r="H3807">
        <v>100245066</v>
      </c>
      <c r="I3807">
        <v>202631</v>
      </c>
      <c r="J3807">
        <v>1074415831</v>
      </c>
      <c r="K3807" t="s">
        <v>33</v>
      </c>
      <c r="L3807" t="s">
        <v>90</v>
      </c>
      <c r="M3807" t="s">
        <v>24</v>
      </c>
      <c r="N3807" t="s">
        <v>25</v>
      </c>
      <c r="O3807" t="s">
        <v>26</v>
      </c>
      <c r="P3807" t="s">
        <v>27</v>
      </c>
      <c r="Q3807" t="s">
        <v>28</v>
      </c>
      <c r="R3807" t="s">
        <v>29</v>
      </c>
      <c r="S3807" t="s">
        <v>30</v>
      </c>
      <c r="T3807">
        <v>1007473661</v>
      </c>
      <c r="U3807" t="s">
        <v>3933</v>
      </c>
      <c r="V3807" t="s">
        <v>3934</v>
      </c>
      <c r="W3807" s="9">
        <f>IF(V3807="pregrado",31,
IF(V3807="posgrados",31,
IF(V3807="rEINTEGROS",7,
IF(V3807="BIT",90,
IF(V3807="OP GRADO - INGLÉS",17,"")))))</f>
        <v>31</v>
      </c>
      <c r="X3807" t="s">
        <v>4058</v>
      </c>
    </row>
    <row r="3808" spans="1:24" ht="15" x14ac:dyDescent="0.35">
      <c r="A3808" s="4">
        <v>46060.408993055556</v>
      </c>
      <c r="B3808">
        <v>20121376</v>
      </c>
      <c r="C3808" s="6" t="s">
        <v>19</v>
      </c>
      <c r="D3808">
        <v>608439</v>
      </c>
      <c r="E3808" t="s">
        <v>20</v>
      </c>
      <c r="F3808">
        <v>1056770502</v>
      </c>
      <c r="G3808" t="s">
        <v>2888</v>
      </c>
      <c r="H3808">
        <v>100245067</v>
      </c>
      <c r="I3808">
        <v>202611</v>
      </c>
      <c r="J3808">
        <v>1056770502</v>
      </c>
      <c r="K3808" t="s">
        <v>83</v>
      </c>
      <c r="L3808" t="s">
        <v>204</v>
      </c>
      <c r="M3808" t="s">
        <v>24</v>
      </c>
      <c r="N3808" t="s">
        <v>38</v>
      </c>
      <c r="O3808" t="s">
        <v>26</v>
      </c>
      <c r="P3808" t="s">
        <v>27</v>
      </c>
      <c r="Q3808" t="s">
        <v>28</v>
      </c>
      <c r="R3808" t="s">
        <v>29</v>
      </c>
      <c r="S3808" t="s">
        <v>30</v>
      </c>
      <c r="T3808">
        <v>1032394283</v>
      </c>
      <c r="U3808" t="s">
        <v>3941</v>
      </c>
      <c r="V3808" t="s">
        <v>3934</v>
      </c>
      <c r="W3808" s="9">
        <f>IF(V3808="pregrado",31,
IF(V3808="posgrados",31,
IF(V3808="rEINTEGROS",7,
IF(V3808="BIT",90,
IF(V3808="OP GRADO - INGLÉS",17,"")))))</f>
        <v>31</v>
      </c>
      <c r="X3808" t="s">
        <v>4034</v>
      </c>
    </row>
    <row r="3809" spans="1:24" ht="15" x14ac:dyDescent="0.35">
      <c r="A3809" s="4">
        <v>46058.504976851851</v>
      </c>
      <c r="B3809">
        <v>20120818</v>
      </c>
      <c r="C3809" s="6" t="s">
        <v>19</v>
      </c>
      <c r="D3809">
        <v>608440</v>
      </c>
      <c r="E3809" t="s">
        <v>20</v>
      </c>
      <c r="F3809">
        <v>1070983583</v>
      </c>
      <c r="G3809" t="s">
        <v>2798</v>
      </c>
      <c r="H3809">
        <v>100245068</v>
      </c>
      <c r="I3809">
        <v>202611</v>
      </c>
      <c r="J3809">
        <v>1070983583</v>
      </c>
      <c r="K3809" t="s">
        <v>23</v>
      </c>
      <c r="L3809" t="s">
        <v>221</v>
      </c>
      <c r="M3809" t="s">
        <v>24</v>
      </c>
      <c r="N3809" t="s">
        <v>35</v>
      </c>
      <c r="O3809" t="s">
        <v>26</v>
      </c>
      <c r="P3809" t="s">
        <v>27</v>
      </c>
      <c r="Q3809" t="s">
        <v>28</v>
      </c>
      <c r="R3809" t="s">
        <v>29</v>
      </c>
      <c r="S3809" t="s">
        <v>30</v>
      </c>
      <c r="T3809">
        <v>1026298522</v>
      </c>
      <c r="U3809" t="s">
        <v>3965</v>
      </c>
      <c r="V3809" t="s">
        <v>3934</v>
      </c>
      <c r="W3809" s="9">
        <f>IF(V3809="pregrado",31,
IF(V3809="posgrados",31,
IF(V3809="rEINTEGROS",7,
IF(V3809="BIT",90,
IF(V3809="OP GRADO - INGLÉS",17,"")))))</f>
        <v>31</v>
      </c>
      <c r="X3809" t="s">
        <v>4040</v>
      </c>
    </row>
    <row r="3810" spans="1:24" ht="15" x14ac:dyDescent="0.35">
      <c r="A3810" s="4">
        <v>46069.783958333333</v>
      </c>
      <c r="B3810">
        <v>20123911</v>
      </c>
      <c r="C3810" s="6" t="s">
        <v>19</v>
      </c>
      <c r="D3810">
        <v>608455</v>
      </c>
      <c r="E3810" t="s">
        <v>20</v>
      </c>
      <c r="F3810">
        <v>1122146017</v>
      </c>
      <c r="G3810" t="s">
        <v>3269</v>
      </c>
      <c r="H3810">
        <v>100245085</v>
      </c>
      <c r="I3810">
        <v>202631</v>
      </c>
      <c r="J3810">
        <v>1122146017</v>
      </c>
      <c r="K3810" t="s">
        <v>23</v>
      </c>
      <c r="L3810" t="s">
        <v>207</v>
      </c>
      <c r="M3810" t="s">
        <v>24</v>
      </c>
      <c r="N3810" t="s">
        <v>25</v>
      </c>
      <c r="O3810" t="s">
        <v>26</v>
      </c>
      <c r="P3810" t="s">
        <v>27</v>
      </c>
      <c r="Q3810" t="s">
        <v>28</v>
      </c>
      <c r="R3810" t="s">
        <v>29</v>
      </c>
      <c r="S3810" t="s">
        <v>30</v>
      </c>
      <c r="T3810">
        <v>52876433</v>
      </c>
      <c r="U3810" t="s">
        <v>3986</v>
      </c>
      <c r="V3810" t="s">
        <v>3934</v>
      </c>
      <c r="W3810" s="9">
        <f>IF(V3810="pregrado",31,
IF(V3810="posgrados",31,
IF(V3810="rEINTEGROS",7,
IF(V3810="BIT",90,
IF(V3810="OP GRADO - INGLÉS",17,"")))))</f>
        <v>31</v>
      </c>
      <c r="X3810" t="s">
        <v>4078</v>
      </c>
    </row>
    <row r="3811" spans="1:24" ht="15" x14ac:dyDescent="0.35">
      <c r="A3811" s="4">
        <v>46064.364571759259</v>
      </c>
      <c r="B3811">
        <v>20122288</v>
      </c>
      <c r="C3811" s="6" t="s">
        <v>19</v>
      </c>
      <c r="D3811">
        <v>608457</v>
      </c>
      <c r="E3811" t="s">
        <v>20</v>
      </c>
      <c r="F3811">
        <v>1077470404</v>
      </c>
      <c r="G3811" t="s">
        <v>3012</v>
      </c>
      <c r="H3811">
        <v>100214009</v>
      </c>
      <c r="I3811">
        <v>202631</v>
      </c>
      <c r="J3811">
        <v>1077470404</v>
      </c>
      <c r="K3811" t="s">
        <v>33</v>
      </c>
      <c r="L3811" t="s">
        <v>240</v>
      </c>
      <c r="M3811" t="s">
        <v>24</v>
      </c>
      <c r="N3811" t="s">
        <v>35</v>
      </c>
      <c r="O3811" t="s">
        <v>26</v>
      </c>
      <c r="P3811" t="s">
        <v>27</v>
      </c>
      <c r="Q3811" t="s">
        <v>28</v>
      </c>
      <c r="R3811" t="s">
        <v>29</v>
      </c>
      <c r="S3811" t="s">
        <v>30</v>
      </c>
      <c r="T3811">
        <v>53071696</v>
      </c>
      <c r="U3811" t="s">
        <v>3965</v>
      </c>
      <c r="V3811" t="s">
        <v>3934</v>
      </c>
      <c r="W3811" s="9">
        <f>IF(V3811="pregrado",31,
IF(V3811="posgrados",31,
IF(V3811="rEINTEGROS",7,
IF(V3811="BIT",90,
IF(V3811="OP GRADO - INGLÉS",17,"")))))</f>
        <v>31</v>
      </c>
      <c r="X3811" t="s">
        <v>4012</v>
      </c>
    </row>
    <row r="3812" spans="1:24" ht="15" x14ac:dyDescent="0.35">
      <c r="A3812" s="4">
        <v>46064.601134259261</v>
      </c>
      <c r="B3812">
        <v>20122429</v>
      </c>
      <c r="C3812" s="6" t="s">
        <v>19</v>
      </c>
      <c r="D3812">
        <v>608476</v>
      </c>
      <c r="E3812" t="s">
        <v>20</v>
      </c>
      <c r="F3812">
        <v>79950583</v>
      </c>
      <c r="G3812" t="s">
        <v>3033</v>
      </c>
      <c r="H3812">
        <v>100245103</v>
      </c>
      <c r="I3812">
        <v>202631</v>
      </c>
      <c r="J3812">
        <v>79950583</v>
      </c>
      <c r="K3812" t="s">
        <v>23</v>
      </c>
      <c r="L3812" t="s">
        <v>101</v>
      </c>
      <c r="M3812" t="s">
        <v>24</v>
      </c>
      <c r="N3812" t="s">
        <v>605</v>
      </c>
      <c r="O3812" t="s">
        <v>26</v>
      </c>
      <c r="P3812" t="s">
        <v>27</v>
      </c>
      <c r="Q3812" t="s">
        <v>28</v>
      </c>
      <c r="R3812" t="s">
        <v>29</v>
      </c>
      <c r="S3812" t="s">
        <v>30</v>
      </c>
      <c r="T3812">
        <v>79635092</v>
      </c>
      <c r="U3812" t="s">
        <v>3963</v>
      </c>
      <c r="V3812" t="s">
        <v>3934</v>
      </c>
      <c r="W3812" s="9">
        <f>IF(V3812="pregrado",31,
IF(V3812="posgrados",31,
IF(V3812="rEINTEGROS",7,
IF(V3812="BIT",90,
IF(V3812="OP GRADO - INGLÉS",17,"")))))</f>
        <v>31</v>
      </c>
      <c r="X3812" t="s">
        <v>4079</v>
      </c>
    </row>
    <row r="3813" spans="1:24" ht="15" x14ac:dyDescent="0.35">
      <c r="A3813" s="4">
        <v>46059.607372685183</v>
      </c>
      <c r="B3813">
        <v>20121191</v>
      </c>
      <c r="C3813" s="6" t="s">
        <v>19</v>
      </c>
      <c r="D3813">
        <v>608489</v>
      </c>
      <c r="E3813" t="s">
        <v>20</v>
      </c>
      <c r="F3813">
        <v>1032938990</v>
      </c>
      <c r="G3813" t="s">
        <v>2861</v>
      </c>
      <c r="H3813">
        <v>100245111</v>
      </c>
      <c r="I3813">
        <v>202631</v>
      </c>
      <c r="J3813">
        <v>1032938990</v>
      </c>
      <c r="K3813" t="s">
        <v>33</v>
      </c>
      <c r="L3813" t="s">
        <v>51</v>
      </c>
      <c r="M3813" t="s">
        <v>24</v>
      </c>
      <c r="N3813" t="s">
        <v>38</v>
      </c>
      <c r="O3813" t="s">
        <v>26</v>
      </c>
      <c r="P3813" t="s">
        <v>27</v>
      </c>
      <c r="Q3813" t="s">
        <v>28</v>
      </c>
      <c r="R3813" t="s">
        <v>29</v>
      </c>
      <c r="S3813" t="s">
        <v>30</v>
      </c>
      <c r="T3813">
        <v>1006459732</v>
      </c>
      <c r="U3813" t="s">
        <v>3986</v>
      </c>
      <c r="V3813" t="s">
        <v>3934</v>
      </c>
      <c r="W3813" s="9">
        <f>IF(V3813="pregrado",31,
IF(V3813="posgrados",31,
IF(V3813="rEINTEGROS",7,
IF(V3813="BIT",90,
IF(V3813="OP GRADO - INGLÉS",17,"")))))</f>
        <v>31</v>
      </c>
      <c r="X3813" t="s">
        <v>4099</v>
      </c>
    </row>
    <row r="3814" spans="1:24" ht="15" x14ac:dyDescent="0.35">
      <c r="A3814" s="4">
        <v>46059.450752314813</v>
      </c>
      <c r="B3814">
        <v>20121140</v>
      </c>
      <c r="C3814" s="6" t="s">
        <v>19</v>
      </c>
      <c r="D3814">
        <v>608494</v>
      </c>
      <c r="E3814" t="s">
        <v>20</v>
      </c>
      <c r="F3814">
        <v>1098406172</v>
      </c>
      <c r="G3814" t="s">
        <v>2856</v>
      </c>
      <c r="H3814">
        <v>100245114</v>
      </c>
      <c r="I3814">
        <v>202631</v>
      </c>
      <c r="J3814">
        <v>1098406172</v>
      </c>
      <c r="K3814" t="s">
        <v>23</v>
      </c>
      <c r="L3814" t="s">
        <v>32</v>
      </c>
      <c r="M3814" t="s">
        <v>24</v>
      </c>
      <c r="N3814" t="s">
        <v>35</v>
      </c>
      <c r="O3814" t="s">
        <v>26</v>
      </c>
      <c r="P3814" t="s">
        <v>27</v>
      </c>
      <c r="Q3814" t="s">
        <v>28</v>
      </c>
      <c r="R3814" t="s">
        <v>29</v>
      </c>
      <c r="S3814" t="s">
        <v>30</v>
      </c>
      <c r="T3814">
        <v>1015407851</v>
      </c>
      <c r="U3814" t="s">
        <v>3944</v>
      </c>
      <c r="V3814" t="s">
        <v>3934</v>
      </c>
      <c r="W3814" s="9">
        <f>IF(V3814="pregrado",31,
IF(V3814="posgrados",31,
IF(V3814="rEINTEGROS",7,
IF(V3814="BIT",90,
IF(V3814="OP GRADO - INGLÉS",17,"")))))</f>
        <v>31</v>
      </c>
      <c r="X3814" t="s">
        <v>4102</v>
      </c>
    </row>
    <row r="3815" spans="1:24" ht="15" x14ac:dyDescent="0.35">
      <c r="A3815" s="4">
        <v>46058.539976851855</v>
      </c>
      <c r="B3815">
        <v>20120838</v>
      </c>
      <c r="C3815" s="6" t="s">
        <v>19</v>
      </c>
      <c r="D3815">
        <v>608496</v>
      </c>
      <c r="E3815" t="s">
        <v>20</v>
      </c>
      <c r="F3815">
        <v>1129364430</v>
      </c>
      <c r="G3815" t="s">
        <v>2805</v>
      </c>
      <c r="H3815">
        <v>100245116</v>
      </c>
      <c r="I3815">
        <v>202631</v>
      </c>
      <c r="J3815">
        <v>1077472579</v>
      </c>
      <c r="K3815" t="s">
        <v>23</v>
      </c>
      <c r="L3815" t="s">
        <v>101</v>
      </c>
      <c r="M3815" t="s">
        <v>24</v>
      </c>
      <c r="N3815" t="s">
        <v>35</v>
      </c>
      <c r="O3815" t="s">
        <v>26</v>
      </c>
      <c r="P3815" t="s">
        <v>27</v>
      </c>
      <c r="Q3815" t="s">
        <v>28</v>
      </c>
      <c r="R3815" t="s">
        <v>29</v>
      </c>
      <c r="S3815" t="s">
        <v>30</v>
      </c>
      <c r="T3815">
        <v>1023975276</v>
      </c>
      <c r="U3815" t="s">
        <v>3963</v>
      </c>
      <c r="V3815" t="s">
        <v>3934</v>
      </c>
      <c r="W3815" s="9">
        <f>IF(V3815="pregrado",31,
IF(V3815="posgrados",31,
IF(V3815="rEINTEGROS",7,
IF(V3815="BIT",90,
IF(V3815="OP GRADO - INGLÉS",17,"")))))</f>
        <v>31</v>
      </c>
      <c r="X3815" t="s">
        <v>3962</v>
      </c>
    </row>
    <row r="3816" spans="1:24" ht="15" x14ac:dyDescent="0.35">
      <c r="A3816" s="4">
        <v>46058.660833333335</v>
      </c>
      <c r="B3816">
        <v>20120925</v>
      </c>
      <c r="C3816" s="6" t="s">
        <v>19</v>
      </c>
      <c r="D3816">
        <v>608497</v>
      </c>
      <c r="E3816" t="s">
        <v>20</v>
      </c>
      <c r="F3816">
        <v>1070987905</v>
      </c>
      <c r="G3816" t="s">
        <v>2823</v>
      </c>
      <c r="H3816">
        <v>100170323</v>
      </c>
      <c r="I3816">
        <v>202611</v>
      </c>
      <c r="J3816">
        <v>1070987905</v>
      </c>
      <c r="K3816" t="s">
        <v>89</v>
      </c>
      <c r="L3816" t="s">
        <v>204</v>
      </c>
      <c r="M3816" t="s">
        <v>24</v>
      </c>
      <c r="N3816" t="s">
        <v>25</v>
      </c>
      <c r="O3816" t="s">
        <v>26</v>
      </c>
      <c r="P3816" t="s">
        <v>27</v>
      </c>
      <c r="Q3816" t="s">
        <v>28</v>
      </c>
      <c r="R3816" t="s">
        <v>29</v>
      </c>
      <c r="S3816" t="s">
        <v>30</v>
      </c>
      <c r="T3816">
        <v>52168054</v>
      </c>
      <c r="U3816" t="s">
        <v>3977</v>
      </c>
      <c r="V3816" t="s">
        <v>3970</v>
      </c>
      <c r="W3816" s="9">
        <f>IF(V3816="pregrado",31,
IF(V3816="posgrados",31,
IF(V3816="rEINTEGROS",7,
IF(V3816="BIT",90,
IF(V3816="OP GRADO - INGLÉS",17,"")))))</f>
        <v>7</v>
      </c>
      <c r="X3816" t="s">
        <v>4057</v>
      </c>
    </row>
    <row r="3817" spans="1:24" ht="15" x14ac:dyDescent="0.35">
      <c r="A3817" s="4">
        <v>46057.786354166667</v>
      </c>
      <c r="B3817">
        <v>20120649</v>
      </c>
      <c r="C3817" s="6" t="s">
        <v>19</v>
      </c>
      <c r="D3817">
        <v>608505</v>
      </c>
      <c r="E3817" t="s">
        <v>20</v>
      </c>
      <c r="F3817">
        <v>1124411222</v>
      </c>
      <c r="G3817" t="s">
        <v>2774</v>
      </c>
      <c r="H3817">
        <v>100245122</v>
      </c>
      <c r="I3817">
        <v>202611</v>
      </c>
      <c r="J3817">
        <v>1124411222</v>
      </c>
      <c r="K3817" t="s">
        <v>23</v>
      </c>
      <c r="L3817" t="s">
        <v>221</v>
      </c>
      <c r="M3817" t="s">
        <v>24</v>
      </c>
      <c r="N3817" t="s">
        <v>35</v>
      </c>
      <c r="O3817" t="s">
        <v>26</v>
      </c>
      <c r="P3817" t="s">
        <v>27</v>
      </c>
      <c r="Q3817" t="s">
        <v>28</v>
      </c>
      <c r="R3817" t="s">
        <v>29</v>
      </c>
      <c r="S3817" t="s">
        <v>30</v>
      </c>
      <c r="T3817">
        <v>1026298522</v>
      </c>
      <c r="U3817" t="s">
        <v>3965</v>
      </c>
      <c r="V3817" t="s">
        <v>3934</v>
      </c>
      <c r="W3817" s="9">
        <f>IF(V3817="pregrado",31,
IF(V3817="posgrados",31,
IF(V3817="rEINTEGROS",7,
IF(V3817="BIT",90,
IF(V3817="OP GRADO - INGLÉS",17,"")))))</f>
        <v>31</v>
      </c>
      <c r="X3817" t="s">
        <v>4040</v>
      </c>
    </row>
    <row r="3818" spans="1:24" ht="15" x14ac:dyDescent="0.35">
      <c r="A3818" s="4">
        <v>46058.497916666667</v>
      </c>
      <c r="B3818">
        <v>20120808</v>
      </c>
      <c r="C3818" s="6" t="s">
        <v>19</v>
      </c>
      <c r="D3818">
        <v>608508</v>
      </c>
      <c r="E3818" t="s">
        <v>20</v>
      </c>
      <c r="F3818">
        <v>1116922040</v>
      </c>
      <c r="G3818" t="s">
        <v>2796</v>
      </c>
      <c r="H3818">
        <v>100245125</v>
      </c>
      <c r="I3818">
        <v>202631</v>
      </c>
      <c r="J3818">
        <v>1116922040</v>
      </c>
      <c r="K3818" t="s">
        <v>23</v>
      </c>
      <c r="L3818" t="s">
        <v>370</v>
      </c>
      <c r="M3818" t="s">
        <v>24</v>
      </c>
      <c r="N3818" t="s">
        <v>35</v>
      </c>
      <c r="O3818" t="s">
        <v>26</v>
      </c>
      <c r="P3818" t="s">
        <v>27</v>
      </c>
      <c r="Q3818" t="s">
        <v>28</v>
      </c>
      <c r="R3818" t="s">
        <v>29</v>
      </c>
      <c r="S3818" t="s">
        <v>30</v>
      </c>
      <c r="T3818">
        <v>1023975276</v>
      </c>
      <c r="U3818" t="s">
        <v>3963</v>
      </c>
      <c r="V3818" t="s">
        <v>3934</v>
      </c>
      <c r="W3818" s="9">
        <f>IF(V3818="pregrado",31,
IF(V3818="posgrados",31,
IF(V3818="rEINTEGROS",7,
IF(V3818="BIT",90,
IF(V3818="OP GRADO - INGLÉS",17,"")))))</f>
        <v>31</v>
      </c>
      <c r="X3818" t="s">
        <v>3962</v>
      </c>
    </row>
    <row r="3819" spans="1:24" ht="15" x14ac:dyDescent="0.35">
      <c r="A3819" s="4">
        <v>46063.40384259259</v>
      </c>
      <c r="B3819">
        <v>20121948</v>
      </c>
      <c r="C3819" s="6" t="s">
        <v>19</v>
      </c>
      <c r="D3819">
        <v>608515</v>
      </c>
      <c r="E3819" t="s">
        <v>20</v>
      </c>
      <c r="F3819">
        <v>21181188</v>
      </c>
      <c r="G3819" t="s">
        <v>2964</v>
      </c>
      <c r="H3819">
        <v>200118486</v>
      </c>
      <c r="I3819">
        <v>202631</v>
      </c>
      <c r="J3819">
        <v>1122144022</v>
      </c>
      <c r="K3819" t="s">
        <v>33</v>
      </c>
      <c r="L3819" t="s">
        <v>119</v>
      </c>
      <c r="M3819" t="s">
        <v>24</v>
      </c>
      <c r="N3819" t="s">
        <v>35</v>
      </c>
      <c r="O3819" t="s">
        <v>26</v>
      </c>
      <c r="P3819" t="s">
        <v>27</v>
      </c>
      <c r="Q3819" t="s">
        <v>28</v>
      </c>
      <c r="R3819" t="s">
        <v>29</v>
      </c>
      <c r="S3819" t="s">
        <v>30</v>
      </c>
      <c r="T3819">
        <v>1023975276</v>
      </c>
      <c r="U3819" t="s">
        <v>3963</v>
      </c>
      <c r="V3819" t="s">
        <v>3934</v>
      </c>
      <c r="W3819" s="9">
        <f>IF(V3819="pregrado",31,
IF(V3819="posgrados",31,
IF(V3819="rEINTEGROS",7,
IF(V3819="BIT",90,
IF(V3819="OP GRADO - INGLÉS",17,"")))))</f>
        <v>31</v>
      </c>
      <c r="X3819" t="s">
        <v>3962</v>
      </c>
    </row>
    <row r="3820" spans="1:24" ht="15" x14ac:dyDescent="0.35">
      <c r="A3820" s="4">
        <v>46057.73877314815</v>
      </c>
      <c r="B3820">
        <v>20120629</v>
      </c>
      <c r="C3820" s="6" t="s">
        <v>19</v>
      </c>
      <c r="D3820">
        <v>608518</v>
      </c>
      <c r="E3820" t="s">
        <v>20</v>
      </c>
      <c r="F3820">
        <v>1072720503</v>
      </c>
      <c r="G3820" t="s">
        <v>2771</v>
      </c>
      <c r="H3820">
        <v>100160897</v>
      </c>
      <c r="I3820">
        <v>202631</v>
      </c>
      <c r="J3820">
        <v>1072720503</v>
      </c>
      <c r="K3820" t="s">
        <v>89</v>
      </c>
      <c r="L3820" t="s">
        <v>42</v>
      </c>
      <c r="M3820" t="s">
        <v>24</v>
      </c>
      <c r="N3820" t="s">
        <v>25</v>
      </c>
      <c r="O3820" t="s">
        <v>26</v>
      </c>
      <c r="P3820" t="s">
        <v>27</v>
      </c>
      <c r="Q3820" t="s">
        <v>28</v>
      </c>
      <c r="R3820" t="s">
        <v>29</v>
      </c>
      <c r="S3820" t="s">
        <v>30</v>
      </c>
      <c r="T3820">
        <v>1019102787</v>
      </c>
      <c r="U3820" t="s">
        <v>3977</v>
      </c>
      <c r="V3820" t="s">
        <v>3970</v>
      </c>
      <c r="W3820" s="9">
        <f>IF(V3820="pregrado",31,
IF(V3820="posgrados",31,
IF(V3820="rEINTEGROS",7,
IF(V3820="BIT",90,
IF(V3820="OP GRADO - INGLÉS",17,"")))))</f>
        <v>7</v>
      </c>
      <c r="X3820" t="s">
        <v>3976</v>
      </c>
    </row>
    <row r="3821" spans="1:24" ht="15" x14ac:dyDescent="0.35">
      <c r="A3821" s="4">
        <v>46058.664594907408</v>
      </c>
      <c r="B3821">
        <v>20120932</v>
      </c>
      <c r="C3821" s="6" t="s">
        <v>19</v>
      </c>
      <c r="D3821">
        <v>608521</v>
      </c>
      <c r="E3821" t="s">
        <v>20</v>
      </c>
      <c r="F3821">
        <v>1090479214</v>
      </c>
      <c r="G3821" t="s">
        <v>2826</v>
      </c>
      <c r="H3821">
        <v>100245131</v>
      </c>
      <c r="I3821">
        <v>202631</v>
      </c>
      <c r="J3821">
        <v>1090479214</v>
      </c>
      <c r="K3821" t="s">
        <v>23</v>
      </c>
      <c r="L3821" t="s">
        <v>51</v>
      </c>
      <c r="M3821" t="s">
        <v>24</v>
      </c>
      <c r="N3821" t="s">
        <v>35</v>
      </c>
      <c r="O3821" t="s">
        <v>26</v>
      </c>
      <c r="P3821" t="s">
        <v>27</v>
      </c>
      <c r="Q3821" t="s">
        <v>28</v>
      </c>
      <c r="R3821" t="s">
        <v>29</v>
      </c>
      <c r="S3821" t="s">
        <v>30</v>
      </c>
      <c r="T3821">
        <v>1006505929</v>
      </c>
      <c r="U3821" t="s">
        <v>3986</v>
      </c>
      <c r="V3821" t="s">
        <v>3934</v>
      </c>
      <c r="W3821" s="9">
        <f>IF(V3821="pregrado",31,
IF(V3821="posgrados",31,
IF(V3821="rEINTEGROS",7,
IF(V3821="BIT",90,
IF(V3821="OP GRADO - INGLÉS",17,"")))))</f>
        <v>31</v>
      </c>
      <c r="X3821" t="s">
        <v>4013</v>
      </c>
    </row>
    <row r="3822" spans="1:24" ht="15" x14ac:dyDescent="0.35">
      <c r="A3822" s="4">
        <v>46069.756157407406</v>
      </c>
      <c r="B3822">
        <v>20123887</v>
      </c>
      <c r="C3822" s="6" t="s">
        <v>19</v>
      </c>
      <c r="D3822">
        <v>608524</v>
      </c>
      <c r="E3822" t="s">
        <v>20</v>
      </c>
      <c r="F3822">
        <v>1007818252</v>
      </c>
      <c r="G3822" t="s">
        <v>3265</v>
      </c>
      <c r="H3822">
        <v>100245132</v>
      </c>
      <c r="I3822">
        <v>202631</v>
      </c>
      <c r="J3822">
        <v>1007818252</v>
      </c>
      <c r="K3822" t="s">
        <v>33</v>
      </c>
      <c r="L3822" t="s">
        <v>51</v>
      </c>
      <c r="M3822" t="s">
        <v>24</v>
      </c>
      <c r="N3822" t="s">
        <v>25</v>
      </c>
      <c r="O3822" t="s">
        <v>26</v>
      </c>
      <c r="P3822" t="s">
        <v>27</v>
      </c>
      <c r="Q3822" t="s">
        <v>28</v>
      </c>
      <c r="R3822" t="s">
        <v>29</v>
      </c>
      <c r="S3822" t="s">
        <v>30</v>
      </c>
      <c r="T3822">
        <v>1001315142</v>
      </c>
      <c r="U3822" t="s">
        <v>3986</v>
      </c>
      <c r="V3822" t="s">
        <v>3934</v>
      </c>
      <c r="W3822" s="9">
        <f>IF(V3822="pregrado",31,
IF(V3822="posgrados",31,
IF(V3822="rEINTEGROS",7,
IF(V3822="BIT",90,
IF(V3822="OP GRADO - INGLÉS",17,"")))))</f>
        <v>31</v>
      </c>
      <c r="X3822" t="s">
        <v>4064</v>
      </c>
    </row>
    <row r="3823" spans="1:24" ht="15" x14ac:dyDescent="0.35">
      <c r="A3823" s="4">
        <v>46058.468981481485</v>
      </c>
      <c r="B3823">
        <v>20120797</v>
      </c>
      <c r="C3823" s="6" t="s">
        <v>19</v>
      </c>
      <c r="D3823">
        <v>608526</v>
      </c>
      <c r="E3823" t="s">
        <v>20</v>
      </c>
      <c r="F3823">
        <v>1011212175</v>
      </c>
      <c r="G3823" t="s">
        <v>2795</v>
      </c>
      <c r="H3823">
        <v>100245134</v>
      </c>
      <c r="I3823">
        <v>202631</v>
      </c>
      <c r="J3823">
        <v>1011212175</v>
      </c>
      <c r="K3823" t="s">
        <v>33</v>
      </c>
      <c r="L3823" t="s">
        <v>127</v>
      </c>
      <c r="M3823" t="s">
        <v>24</v>
      </c>
      <c r="N3823" t="s">
        <v>25</v>
      </c>
      <c r="O3823" t="s">
        <v>26</v>
      </c>
      <c r="P3823" t="s">
        <v>27</v>
      </c>
      <c r="Q3823" t="s">
        <v>28</v>
      </c>
      <c r="R3823" t="s">
        <v>29</v>
      </c>
      <c r="S3823" t="s">
        <v>30</v>
      </c>
      <c r="T3823">
        <v>1003690112</v>
      </c>
      <c r="U3823" t="s">
        <v>3933</v>
      </c>
      <c r="V3823" t="s">
        <v>3934</v>
      </c>
      <c r="W3823" s="9">
        <f>IF(V3823="pregrado",31,
IF(V3823="posgrados",31,
IF(V3823="rEINTEGROS",7,
IF(V3823="BIT",90,
IF(V3823="OP GRADO - INGLÉS",17,"")))))</f>
        <v>31</v>
      </c>
      <c r="X3823" t="s">
        <v>4061</v>
      </c>
    </row>
    <row r="3824" spans="1:24" ht="15" x14ac:dyDescent="0.35">
      <c r="A3824" s="4">
        <v>46073.920428240737</v>
      </c>
      <c r="B3824">
        <v>20125460</v>
      </c>
      <c r="C3824" s="6" t="s">
        <v>19</v>
      </c>
      <c r="D3824">
        <v>608528</v>
      </c>
      <c r="E3824" t="s">
        <v>20</v>
      </c>
      <c r="F3824">
        <v>1118536463</v>
      </c>
      <c r="G3824" t="s">
        <v>3503</v>
      </c>
      <c r="H3824">
        <v>100245136</v>
      </c>
      <c r="I3824">
        <v>202611</v>
      </c>
      <c r="J3824">
        <v>1118536463</v>
      </c>
      <c r="K3824" t="s">
        <v>33</v>
      </c>
      <c r="L3824" t="s">
        <v>221</v>
      </c>
      <c r="M3824" t="s">
        <v>24</v>
      </c>
      <c r="N3824" t="s">
        <v>35</v>
      </c>
      <c r="O3824" t="s">
        <v>26</v>
      </c>
      <c r="P3824" t="s">
        <v>27</v>
      </c>
      <c r="Q3824" t="s">
        <v>28</v>
      </c>
      <c r="R3824" t="s">
        <v>29</v>
      </c>
      <c r="S3824" t="s">
        <v>30</v>
      </c>
      <c r="T3824">
        <v>53071696</v>
      </c>
      <c r="U3824" t="s">
        <v>3965</v>
      </c>
      <c r="V3824" t="s">
        <v>3934</v>
      </c>
      <c r="W3824" s="9">
        <f>IF(V3824="pregrado",31,
IF(V3824="posgrados",31,
IF(V3824="rEINTEGROS",7,
IF(V3824="BIT",90,
IF(V3824="OP GRADO - INGLÉS",17,"")))))</f>
        <v>31</v>
      </c>
      <c r="X3824" t="s">
        <v>4012</v>
      </c>
    </row>
    <row r="3825" spans="1:24" ht="15" x14ac:dyDescent="0.35">
      <c r="A3825" s="4">
        <v>46058.444849537038</v>
      </c>
      <c r="B3825">
        <v>20120776</v>
      </c>
      <c r="C3825" s="6" t="s">
        <v>19</v>
      </c>
      <c r="D3825">
        <v>608534</v>
      </c>
      <c r="E3825" t="s">
        <v>20</v>
      </c>
      <c r="F3825">
        <v>1082942714</v>
      </c>
      <c r="G3825" t="s">
        <v>2790</v>
      </c>
      <c r="H3825">
        <v>100221138</v>
      </c>
      <c r="I3825">
        <v>202611</v>
      </c>
      <c r="J3825">
        <v>1082942714</v>
      </c>
      <c r="K3825" t="s">
        <v>23</v>
      </c>
      <c r="L3825" t="s">
        <v>221</v>
      </c>
      <c r="M3825" t="s">
        <v>24</v>
      </c>
      <c r="N3825" t="s">
        <v>35</v>
      </c>
      <c r="O3825" t="s">
        <v>26</v>
      </c>
      <c r="P3825" t="s">
        <v>27</v>
      </c>
      <c r="Q3825" t="s">
        <v>28</v>
      </c>
      <c r="R3825" t="s">
        <v>29</v>
      </c>
      <c r="S3825" t="s">
        <v>30</v>
      </c>
      <c r="T3825">
        <v>1073692626</v>
      </c>
      <c r="U3825" t="s">
        <v>3965</v>
      </c>
      <c r="V3825" t="s">
        <v>3934</v>
      </c>
      <c r="W3825" s="9">
        <f>IF(V3825="pregrado",31,
IF(V3825="posgrados",31,
IF(V3825="rEINTEGROS",7,
IF(V3825="BIT",90,
IF(V3825="OP GRADO - INGLÉS",17,"")))))</f>
        <v>31</v>
      </c>
      <c r="X3825" t="s">
        <v>4014</v>
      </c>
    </row>
    <row r="3826" spans="1:24" ht="15" x14ac:dyDescent="0.35">
      <c r="A3826" s="4">
        <v>46063.613402777781</v>
      </c>
      <c r="B3826">
        <v>20122099</v>
      </c>
      <c r="C3826" s="6" t="s">
        <v>19</v>
      </c>
      <c r="D3826">
        <v>608543</v>
      </c>
      <c r="E3826" t="s">
        <v>20</v>
      </c>
      <c r="F3826">
        <v>1005444072</v>
      </c>
      <c r="G3826" t="s">
        <v>2993</v>
      </c>
      <c r="H3826">
        <v>200118527</v>
      </c>
      <c r="I3826">
        <v>202631</v>
      </c>
      <c r="J3826">
        <v>1005444072</v>
      </c>
      <c r="K3826" t="s">
        <v>33</v>
      </c>
      <c r="L3826" t="s">
        <v>119</v>
      </c>
      <c r="M3826" t="s">
        <v>24</v>
      </c>
      <c r="N3826" t="s">
        <v>35</v>
      </c>
      <c r="O3826" t="s">
        <v>26</v>
      </c>
      <c r="P3826" t="s">
        <v>27</v>
      </c>
      <c r="Q3826" t="s">
        <v>28</v>
      </c>
      <c r="R3826" t="s">
        <v>29</v>
      </c>
      <c r="S3826" t="s">
        <v>30</v>
      </c>
      <c r="T3826">
        <v>1023367706</v>
      </c>
      <c r="U3826" t="s">
        <v>3963</v>
      </c>
      <c r="V3826" t="s">
        <v>3934</v>
      </c>
      <c r="W3826" s="9">
        <f>IF(V3826="pregrado",31,
IF(V3826="posgrados",31,
IF(V3826="rEINTEGROS",7,
IF(V3826="BIT",90,
IF(V3826="OP GRADO - INGLÉS",17,"")))))</f>
        <v>31</v>
      </c>
      <c r="X3826" t="s">
        <v>4039</v>
      </c>
    </row>
    <row r="3827" spans="1:24" ht="15" x14ac:dyDescent="0.35">
      <c r="A3827" s="4">
        <v>46058.578194444446</v>
      </c>
      <c r="B3827">
        <v>20120856</v>
      </c>
      <c r="C3827" s="6" t="s">
        <v>19</v>
      </c>
      <c r="D3827">
        <v>608544</v>
      </c>
      <c r="E3827" t="s">
        <v>20</v>
      </c>
      <c r="F3827">
        <v>1073630313</v>
      </c>
      <c r="G3827" t="s">
        <v>2811</v>
      </c>
      <c r="H3827">
        <v>100238039</v>
      </c>
      <c r="I3827">
        <v>202631</v>
      </c>
      <c r="J3827">
        <v>1000331576</v>
      </c>
      <c r="K3827" t="s">
        <v>23</v>
      </c>
      <c r="L3827" t="s">
        <v>240</v>
      </c>
      <c r="M3827" t="s">
        <v>24</v>
      </c>
      <c r="N3827" t="s">
        <v>1711</v>
      </c>
      <c r="O3827" t="s">
        <v>26</v>
      </c>
      <c r="P3827" t="s">
        <v>27</v>
      </c>
      <c r="Q3827" t="s">
        <v>28</v>
      </c>
      <c r="R3827" t="s">
        <v>29</v>
      </c>
      <c r="S3827" t="s">
        <v>30</v>
      </c>
      <c r="T3827">
        <v>10822473081</v>
      </c>
      <c r="U3827" t="s">
        <v>3965</v>
      </c>
      <c r="V3827" t="s">
        <v>3934</v>
      </c>
      <c r="W3827" s="9">
        <f>IF(V3827="pregrado",31,
IF(V3827="posgrados",31,
IF(V3827="rEINTEGROS",7,
IF(V3827="BIT",90,
IF(V3827="OP GRADO - INGLÉS",17,"")))))</f>
        <v>31</v>
      </c>
      <c r="X3827" t="s">
        <v>4007</v>
      </c>
    </row>
    <row r="3828" spans="1:24" ht="15" x14ac:dyDescent="0.35">
      <c r="A3828" s="4">
        <v>46059.377627314818</v>
      </c>
      <c r="B3828">
        <v>20121077</v>
      </c>
      <c r="C3828" s="6" t="s">
        <v>19</v>
      </c>
      <c r="D3828">
        <v>608550</v>
      </c>
      <c r="E3828" t="s">
        <v>20</v>
      </c>
      <c r="F3828">
        <v>1089719896</v>
      </c>
      <c r="G3828" t="s">
        <v>2847</v>
      </c>
      <c r="H3828">
        <v>100245154</v>
      </c>
      <c r="I3828">
        <v>202611</v>
      </c>
      <c r="J3828">
        <v>1089719896</v>
      </c>
      <c r="K3828" t="s">
        <v>23</v>
      </c>
      <c r="L3828" t="s">
        <v>204</v>
      </c>
      <c r="M3828" t="s">
        <v>24</v>
      </c>
      <c r="N3828" t="s">
        <v>35</v>
      </c>
      <c r="O3828" t="s">
        <v>26</v>
      </c>
      <c r="P3828" t="s">
        <v>27</v>
      </c>
      <c r="Q3828" t="s">
        <v>28</v>
      </c>
      <c r="R3828" t="s">
        <v>29</v>
      </c>
      <c r="S3828" t="s">
        <v>30</v>
      </c>
      <c r="T3828">
        <v>63501040</v>
      </c>
      <c r="U3828" t="s">
        <v>3941</v>
      </c>
      <c r="V3828" t="s">
        <v>3934</v>
      </c>
      <c r="W3828" s="9">
        <f>IF(V3828="pregrado",31,
IF(V3828="posgrados",31,
IF(V3828="rEINTEGROS",7,
IF(V3828="BIT",90,
IF(V3828="OP GRADO - INGLÉS",17,"")))))</f>
        <v>31</v>
      </c>
      <c r="X3828" t="s">
        <v>4087</v>
      </c>
    </row>
    <row r="3829" spans="1:24" ht="15" x14ac:dyDescent="0.35">
      <c r="A3829" s="4">
        <v>46065.363240740742</v>
      </c>
      <c r="B3829">
        <v>20122657</v>
      </c>
      <c r="C3829" s="6" t="s">
        <v>19</v>
      </c>
      <c r="D3829">
        <v>608561</v>
      </c>
      <c r="E3829" t="s">
        <v>20</v>
      </c>
      <c r="F3829">
        <v>1099544358</v>
      </c>
      <c r="G3829" t="s">
        <v>3066</v>
      </c>
      <c r="H3829">
        <v>100245165</v>
      </c>
      <c r="I3829">
        <v>202631</v>
      </c>
      <c r="J3829">
        <v>1099544358</v>
      </c>
      <c r="K3829" t="s">
        <v>23</v>
      </c>
      <c r="L3829" t="s">
        <v>127</v>
      </c>
      <c r="M3829" t="s">
        <v>24</v>
      </c>
      <c r="N3829" t="s">
        <v>35</v>
      </c>
      <c r="O3829" t="s">
        <v>26</v>
      </c>
      <c r="P3829" t="s">
        <v>27</v>
      </c>
      <c r="Q3829" t="s">
        <v>28</v>
      </c>
      <c r="R3829" t="s">
        <v>29</v>
      </c>
      <c r="S3829" t="s">
        <v>30</v>
      </c>
      <c r="T3829">
        <v>53061994</v>
      </c>
      <c r="U3829" t="s">
        <v>3941</v>
      </c>
      <c r="V3829" t="s">
        <v>3934</v>
      </c>
      <c r="W3829" s="9">
        <f>IF(V3829="pregrado",31,
IF(V3829="posgrados",31,
IF(V3829="rEINTEGROS",7,
IF(V3829="BIT",90,
IF(V3829="OP GRADO - INGLÉS",17,"")))))</f>
        <v>31</v>
      </c>
      <c r="X3829" t="s">
        <v>3950</v>
      </c>
    </row>
    <row r="3830" spans="1:24" ht="15" x14ac:dyDescent="0.35">
      <c r="A3830" s="4">
        <v>46058.688263888886</v>
      </c>
      <c r="B3830">
        <v>20120956</v>
      </c>
      <c r="C3830" s="6" t="s">
        <v>19</v>
      </c>
      <c r="D3830">
        <v>608566</v>
      </c>
      <c r="E3830" t="s">
        <v>20</v>
      </c>
      <c r="F3830">
        <v>1065658902</v>
      </c>
      <c r="G3830" t="s">
        <v>2832</v>
      </c>
      <c r="H3830">
        <v>100245172</v>
      </c>
      <c r="I3830">
        <v>202611</v>
      </c>
      <c r="J3830">
        <v>1193603258</v>
      </c>
      <c r="K3830" t="s">
        <v>23</v>
      </c>
      <c r="L3830" t="s">
        <v>221</v>
      </c>
      <c r="M3830" t="s">
        <v>24</v>
      </c>
      <c r="N3830" t="s">
        <v>35</v>
      </c>
      <c r="O3830" t="s">
        <v>26</v>
      </c>
      <c r="P3830" t="s">
        <v>27</v>
      </c>
      <c r="Q3830" t="s">
        <v>28</v>
      </c>
      <c r="R3830" t="s">
        <v>29</v>
      </c>
      <c r="S3830" t="s">
        <v>30</v>
      </c>
      <c r="T3830">
        <v>1030570122</v>
      </c>
      <c r="U3830" t="s">
        <v>3965</v>
      </c>
      <c r="V3830" t="s">
        <v>3934</v>
      </c>
      <c r="W3830" s="9">
        <f>IF(V3830="pregrado",31,
IF(V3830="posgrados",31,
IF(V3830="rEINTEGROS",7,
IF(V3830="BIT",90,
IF(V3830="OP GRADO - INGLÉS",17,"")))))</f>
        <v>31</v>
      </c>
      <c r="X3830" t="s">
        <v>4015</v>
      </c>
    </row>
    <row r="3831" spans="1:24" ht="15" x14ac:dyDescent="0.35">
      <c r="A3831" s="4">
        <v>46059.643680555557</v>
      </c>
      <c r="B3831">
        <v>20121236</v>
      </c>
      <c r="C3831" s="6" t="s">
        <v>19</v>
      </c>
      <c r="D3831">
        <v>608568</v>
      </c>
      <c r="E3831" t="s">
        <v>20</v>
      </c>
      <c r="F3831">
        <v>80071103</v>
      </c>
      <c r="G3831" t="s">
        <v>2868</v>
      </c>
      <c r="H3831">
        <v>100244545</v>
      </c>
      <c r="I3831">
        <v>202610</v>
      </c>
      <c r="J3831">
        <v>1028864249</v>
      </c>
      <c r="K3831" t="s">
        <v>23</v>
      </c>
      <c r="L3831" t="s">
        <v>49</v>
      </c>
      <c r="M3831" t="s">
        <v>24</v>
      </c>
      <c r="N3831" t="s">
        <v>35</v>
      </c>
      <c r="O3831" t="s">
        <v>26</v>
      </c>
      <c r="P3831" t="s">
        <v>27</v>
      </c>
      <c r="Q3831" t="s">
        <v>28</v>
      </c>
      <c r="R3831" t="s">
        <v>29</v>
      </c>
      <c r="S3831" t="s">
        <v>30</v>
      </c>
      <c r="T3831">
        <v>53139409</v>
      </c>
      <c r="U3831" t="s">
        <v>3944</v>
      </c>
      <c r="V3831" t="s">
        <v>3934</v>
      </c>
      <c r="W3831" s="9">
        <f>IF(V3831="pregrado",31,
IF(V3831="posgrados",31,
IF(V3831="rEINTEGROS",7,
IF(V3831="BIT",90,
IF(V3831="OP GRADO - INGLÉS",17,"")))))</f>
        <v>31</v>
      </c>
      <c r="X3831" t="s">
        <v>3955</v>
      </c>
    </row>
    <row r="3832" spans="1:24" ht="15" x14ac:dyDescent="0.35">
      <c r="A3832" s="4">
        <v>46058.768657407411</v>
      </c>
      <c r="B3832">
        <v>20121010</v>
      </c>
      <c r="C3832" s="6" t="s">
        <v>19</v>
      </c>
      <c r="D3832">
        <v>608588</v>
      </c>
      <c r="E3832" t="s">
        <v>20</v>
      </c>
      <c r="F3832">
        <v>1028782389</v>
      </c>
      <c r="G3832" t="s">
        <v>2840</v>
      </c>
      <c r="H3832">
        <v>100245192</v>
      </c>
      <c r="I3832">
        <v>202631</v>
      </c>
      <c r="J3832">
        <v>1028782389</v>
      </c>
      <c r="K3832" t="s">
        <v>23</v>
      </c>
      <c r="L3832" t="s">
        <v>231</v>
      </c>
      <c r="M3832" t="s">
        <v>24</v>
      </c>
      <c r="N3832" t="s">
        <v>35</v>
      </c>
      <c r="O3832" t="s">
        <v>26</v>
      </c>
      <c r="P3832" t="s">
        <v>27</v>
      </c>
      <c r="Q3832" t="s">
        <v>28</v>
      </c>
      <c r="R3832" t="s">
        <v>29</v>
      </c>
      <c r="S3832" t="s">
        <v>30</v>
      </c>
      <c r="T3832">
        <v>53061994</v>
      </c>
      <c r="U3832" t="s">
        <v>3941</v>
      </c>
      <c r="V3832" t="s">
        <v>3934</v>
      </c>
      <c r="W3832" s="9">
        <f>IF(V3832="pregrado",31,
IF(V3832="posgrados",31,
IF(V3832="rEINTEGROS",7,
IF(V3832="BIT",90,
IF(V3832="OP GRADO - INGLÉS",17,"")))))</f>
        <v>31</v>
      </c>
      <c r="X3832" t="s">
        <v>3950</v>
      </c>
    </row>
    <row r="3833" spans="1:24" ht="15" x14ac:dyDescent="0.35">
      <c r="A3833" s="4">
        <v>46058.432013888887</v>
      </c>
      <c r="B3833">
        <v>20120768</v>
      </c>
      <c r="C3833" s="6" t="s">
        <v>19</v>
      </c>
      <c r="D3833">
        <v>608600</v>
      </c>
      <c r="E3833" t="s">
        <v>20</v>
      </c>
      <c r="F3833">
        <v>1000653602</v>
      </c>
      <c r="G3833" t="s">
        <v>2787</v>
      </c>
      <c r="H3833">
        <v>100245210</v>
      </c>
      <c r="I3833">
        <v>202631</v>
      </c>
      <c r="J3833">
        <v>1000653602</v>
      </c>
      <c r="K3833" t="s">
        <v>33</v>
      </c>
      <c r="L3833" t="s">
        <v>127</v>
      </c>
      <c r="M3833" t="s">
        <v>24</v>
      </c>
      <c r="N3833" t="s">
        <v>25</v>
      </c>
      <c r="O3833" t="s">
        <v>26</v>
      </c>
      <c r="P3833" t="s">
        <v>27</v>
      </c>
      <c r="Q3833" t="s">
        <v>28</v>
      </c>
      <c r="R3833" t="s">
        <v>29</v>
      </c>
      <c r="S3833" t="s">
        <v>30</v>
      </c>
      <c r="T3833">
        <v>1007473661</v>
      </c>
      <c r="U3833" t="s">
        <v>3933</v>
      </c>
      <c r="V3833" t="s">
        <v>3934</v>
      </c>
      <c r="W3833" s="9">
        <f>IF(V3833="pregrado",31,
IF(V3833="posgrados",31,
IF(V3833="rEINTEGROS",7,
IF(V3833="BIT",90,
IF(V3833="OP GRADO - INGLÉS",17,"")))))</f>
        <v>31</v>
      </c>
      <c r="X3833" t="s">
        <v>4058</v>
      </c>
    </row>
    <row r="3834" spans="1:24" ht="15" x14ac:dyDescent="0.35">
      <c r="A3834" s="4">
        <v>46064.537708333337</v>
      </c>
      <c r="B3834">
        <v>20122389</v>
      </c>
      <c r="C3834" s="6" t="s">
        <v>19</v>
      </c>
      <c r="D3834">
        <v>608608</v>
      </c>
      <c r="E3834" t="s">
        <v>20</v>
      </c>
      <c r="F3834">
        <v>1007273772</v>
      </c>
      <c r="G3834" t="s">
        <v>3027</v>
      </c>
      <c r="H3834">
        <v>100245223</v>
      </c>
      <c r="I3834">
        <v>202631</v>
      </c>
      <c r="J3834">
        <v>1007273772</v>
      </c>
      <c r="K3834" t="s">
        <v>33</v>
      </c>
      <c r="L3834" t="s">
        <v>207</v>
      </c>
      <c r="M3834" t="s">
        <v>24</v>
      </c>
      <c r="N3834" t="s">
        <v>25</v>
      </c>
      <c r="O3834" t="s">
        <v>26</v>
      </c>
      <c r="P3834" t="s">
        <v>27</v>
      </c>
      <c r="Q3834" t="s">
        <v>28</v>
      </c>
      <c r="R3834" t="s">
        <v>29</v>
      </c>
      <c r="S3834" t="s">
        <v>30</v>
      </c>
      <c r="T3834">
        <v>1018455773</v>
      </c>
      <c r="U3834" t="s">
        <v>3986</v>
      </c>
      <c r="V3834" t="s">
        <v>3934</v>
      </c>
      <c r="W3834" s="9">
        <f>IF(V3834="pregrado",31,
IF(V3834="posgrados",31,
IF(V3834="rEINTEGROS",7,
IF(V3834="BIT",90,
IF(V3834="OP GRADO - INGLÉS",17,"")))))</f>
        <v>31</v>
      </c>
      <c r="X3834" t="s">
        <v>4101</v>
      </c>
    </row>
    <row r="3835" spans="1:24" ht="15" x14ac:dyDescent="0.35">
      <c r="A3835" s="4">
        <v>46062.648692129631</v>
      </c>
      <c r="B3835">
        <v>20121741</v>
      </c>
      <c r="C3835" s="6" t="s">
        <v>19</v>
      </c>
      <c r="D3835">
        <v>608610</v>
      </c>
      <c r="E3835" t="s">
        <v>20</v>
      </c>
      <c r="F3835">
        <v>1048205989</v>
      </c>
      <c r="G3835" t="s">
        <v>2936</v>
      </c>
      <c r="H3835">
        <v>100245225</v>
      </c>
      <c r="I3835">
        <v>202611</v>
      </c>
      <c r="J3835">
        <v>1091665452</v>
      </c>
      <c r="K3835" t="s">
        <v>23</v>
      </c>
      <c r="L3835" t="s">
        <v>221</v>
      </c>
      <c r="M3835" t="s">
        <v>24</v>
      </c>
      <c r="N3835" t="s">
        <v>25</v>
      </c>
      <c r="O3835" t="s">
        <v>26</v>
      </c>
      <c r="P3835" t="s">
        <v>27</v>
      </c>
      <c r="Q3835" t="s">
        <v>28</v>
      </c>
      <c r="R3835" t="s">
        <v>29</v>
      </c>
      <c r="S3835" t="s">
        <v>30</v>
      </c>
      <c r="T3835">
        <v>1013662799</v>
      </c>
      <c r="U3835" t="s">
        <v>3965</v>
      </c>
      <c r="V3835" t="s">
        <v>3934</v>
      </c>
      <c r="W3835" s="9">
        <f>IF(V3835="pregrado",31,
IF(V3835="posgrados",31,
IF(V3835="rEINTEGROS",7,
IF(V3835="BIT",90,
IF(V3835="OP GRADO - INGLÉS",17,"")))))</f>
        <v>31</v>
      </c>
      <c r="X3835" t="s">
        <v>4021</v>
      </c>
    </row>
    <row r="3836" spans="1:24" ht="15" x14ac:dyDescent="0.35">
      <c r="A3836" s="4">
        <v>46058.613321759258</v>
      </c>
      <c r="B3836">
        <v>20120886</v>
      </c>
      <c r="C3836" s="6" t="s">
        <v>19</v>
      </c>
      <c r="D3836">
        <v>608629</v>
      </c>
      <c r="E3836" t="s">
        <v>20</v>
      </c>
      <c r="F3836">
        <v>1088309761</v>
      </c>
      <c r="G3836" t="s">
        <v>2820</v>
      </c>
      <c r="H3836">
        <v>100245234</v>
      </c>
      <c r="I3836">
        <v>202631</v>
      </c>
      <c r="J3836">
        <v>1088309761</v>
      </c>
      <c r="K3836" t="s">
        <v>33</v>
      </c>
      <c r="L3836" t="s">
        <v>101</v>
      </c>
      <c r="M3836" t="s">
        <v>24</v>
      </c>
      <c r="N3836" t="s">
        <v>35</v>
      </c>
      <c r="O3836" t="s">
        <v>26</v>
      </c>
      <c r="P3836" t="s">
        <v>27</v>
      </c>
      <c r="Q3836" t="s">
        <v>28</v>
      </c>
      <c r="R3836" t="s">
        <v>29</v>
      </c>
      <c r="S3836" t="s">
        <v>30</v>
      </c>
      <c r="T3836">
        <v>1000251314</v>
      </c>
      <c r="U3836" t="s">
        <v>3963</v>
      </c>
      <c r="V3836" t="s">
        <v>3934</v>
      </c>
      <c r="W3836" s="9">
        <f>IF(V3836="pregrado",31,
IF(V3836="posgrados",31,
IF(V3836="rEINTEGROS",7,
IF(V3836="BIT",90,
IF(V3836="OP GRADO - INGLÉS",17,"")))))</f>
        <v>31</v>
      </c>
      <c r="X3836" t="s">
        <v>4024</v>
      </c>
    </row>
    <row r="3837" spans="1:24" ht="15" x14ac:dyDescent="0.35">
      <c r="A3837" s="4">
        <v>46059.428194444445</v>
      </c>
      <c r="B3837">
        <v>20121117</v>
      </c>
      <c r="C3837" s="6" t="s">
        <v>19</v>
      </c>
      <c r="D3837">
        <v>608643</v>
      </c>
      <c r="E3837" t="s">
        <v>20</v>
      </c>
      <c r="F3837">
        <v>34948234</v>
      </c>
      <c r="G3837" t="s">
        <v>2852</v>
      </c>
      <c r="H3837">
        <v>100245243</v>
      </c>
      <c r="I3837">
        <v>202610</v>
      </c>
      <c r="J3837">
        <v>1100083647</v>
      </c>
      <c r="K3837" t="s">
        <v>23</v>
      </c>
      <c r="L3837" t="s">
        <v>194</v>
      </c>
      <c r="M3837" t="s">
        <v>24</v>
      </c>
      <c r="N3837" t="s">
        <v>35</v>
      </c>
      <c r="O3837" t="s">
        <v>26</v>
      </c>
      <c r="P3837" t="s">
        <v>27</v>
      </c>
      <c r="Q3837" t="s">
        <v>28</v>
      </c>
      <c r="R3837" t="s">
        <v>29</v>
      </c>
      <c r="S3837" t="s">
        <v>30</v>
      </c>
      <c r="T3837">
        <v>52446712</v>
      </c>
      <c r="U3837" t="s">
        <v>3963</v>
      </c>
      <c r="V3837" t="s">
        <v>3934</v>
      </c>
      <c r="W3837" s="9">
        <f>IF(V3837="pregrado",31,
IF(V3837="posgrados",31,
IF(V3837="rEINTEGROS",7,
IF(V3837="BIT",90,
IF(V3837="OP GRADO - INGLÉS",17,"")))))</f>
        <v>31</v>
      </c>
      <c r="X3837" t="s">
        <v>4041</v>
      </c>
    </row>
    <row r="3838" spans="1:24" ht="15" x14ac:dyDescent="0.35">
      <c r="A3838" s="4">
        <v>46058.559282407405</v>
      </c>
      <c r="B3838">
        <v>20120850</v>
      </c>
      <c r="C3838" s="6" t="s">
        <v>19</v>
      </c>
      <c r="D3838">
        <v>608666</v>
      </c>
      <c r="E3838" t="s">
        <v>20</v>
      </c>
      <c r="F3838">
        <v>1048274988</v>
      </c>
      <c r="G3838" t="s">
        <v>2809</v>
      </c>
      <c r="H3838">
        <v>100245255</v>
      </c>
      <c r="I3838">
        <v>202631</v>
      </c>
      <c r="J3838">
        <v>1048274988</v>
      </c>
      <c r="K3838" t="s">
        <v>23</v>
      </c>
      <c r="L3838" t="s">
        <v>240</v>
      </c>
      <c r="M3838" t="s">
        <v>24</v>
      </c>
      <c r="N3838" t="s">
        <v>35</v>
      </c>
      <c r="O3838" t="s">
        <v>26</v>
      </c>
      <c r="P3838" t="s">
        <v>27</v>
      </c>
      <c r="Q3838" t="s">
        <v>28</v>
      </c>
      <c r="R3838" t="s">
        <v>29</v>
      </c>
      <c r="S3838" t="s">
        <v>30</v>
      </c>
      <c r="T3838">
        <v>80219471</v>
      </c>
      <c r="U3838" t="s">
        <v>3941</v>
      </c>
      <c r="V3838" t="s">
        <v>3934</v>
      </c>
      <c r="W3838" s="9">
        <f>IF(V3838="pregrado",31,
IF(V3838="posgrados",31,
IF(V3838="rEINTEGROS",7,
IF(V3838="BIT",90,
IF(V3838="OP GRADO - INGLÉS",17,"")))))</f>
        <v>31</v>
      </c>
      <c r="X3838" t="s">
        <v>4030</v>
      </c>
    </row>
    <row r="3839" spans="1:24" ht="15" x14ac:dyDescent="0.35">
      <c r="A3839" s="4">
        <v>46058.714039351849</v>
      </c>
      <c r="B3839">
        <v>20120982</v>
      </c>
      <c r="C3839" s="6" t="s">
        <v>19</v>
      </c>
      <c r="D3839">
        <v>608678</v>
      </c>
      <c r="E3839" t="s">
        <v>20</v>
      </c>
      <c r="F3839">
        <v>1020488451</v>
      </c>
      <c r="G3839" t="s">
        <v>2834</v>
      </c>
      <c r="H3839">
        <v>100245259</v>
      </c>
      <c r="I3839">
        <v>202611</v>
      </c>
      <c r="J3839">
        <v>1020488451</v>
      </c>
      <c r="K3839" t="s">
        <v>23</v>
      </c>
      <c r="L3839" t="s">
        <v>204</v>
      </c>
      <c r="M3839" t="s">
        <v>24</v>
      </c>
      <c r="N3839" t="s">
        <v>25</v>
      </c>
      <c r="O3839" t="s">
        <v>26</v>
      </c>
      <c r="P3839" t="s">
        <v>27</v>
      </c>
      <c r="Q3839" t="s">
        <v>28</v>
      </c>
      <c r="R3839" t="s">
        <v>29</v>
      </c>
      <c r="S3839" t="s">
        <v>30</v>
      </c>
      <c r="T3839">
        <v>1010081108</v>
      </c>
      <c r="U3839" t="s">
        <v>3941</v>
      </c>
      <c r="V3839" t="s">
        <v>3934</v>
      </c>
      <c r="W3839" s="9">
        <f>IF(V3839="pregrado",31,
IF(V3839="posgrados",31,
IF(V3839="rEINTEGROS",7,
IF(V3839="BIT",90,
IF(V3839="OP GRADO - INGLÉS",17,"")))))</f>
        <v>31</v>
      </c>
      <c r="X3839" t="s">
        <v>4009</v>
      </c>
    </row>
    <row r="3840" spans="1:24" ht="15" x14ac:dyDescent="0.35">
      <c r="A3840" s="4">
        <v>46060.528437499997</v>
      </c>
      <c r="B3840">
        <v>20121421</v>
      </c>
      <c r="C3840" s="6" t="s">
        <v>19</v>
      </c>
      <c r="D3840">
        <v>608691</v>
      </c>
      <c r="E3840" t="s">
        <v>20</v>
      </c>
      <c r="F3840">
        <v>1117524757</v>
      </c>
      <c r="G3840" t="s">
        <v>2894</v>
      </c>
      <c r="H3840">
        <v>100245264</v>
      </c>
      <c r="I3840">
        <v>202631</v>
      </c>
      <c r="J3840">
        <v>1117524757</v>
      </c>
      <c r="K3840" t="s">
        <v>33</v>
      </c>
      <c r="L3840" t="s">
        <v>90</v>
      </c>
      <c r="M3840" t="s">
        <v>24</v>
      </c>
      <c r="N3840" t="s">
        <v>25</v>
      </c>
      <c r="O3840" t="s">
        <v>26</v>
      </c>
      <c r="P3840" t="s">
        <v>27</v>
      </c>
      <c r="Q3840" t="s">
        <v>28</v>
      </c>
      <c r="R3840" t="s">
        <v>29</v>
      </c>
      <c r="S3840" t="s">
        <v>30</v>
      </c>
      <c r="T3840">
        <v>1023921046</v>
      </c>
      <c r="U3840" t="s">
        <v>3933</v>
      </c>
      <c r="V3840" t="s">
        <v>3934</v>
      </c>
      <c r="W3840" s="9">
        <f>IF(V3840="pregrado",31,
IF(V3840="posgrados",31,
IF(V3840="rEINTEGROS",7,
IF(V3840="BIT",90,
IF(V3840="OP GRADO - INGLÉS",17,"")))))</f>
        <v>31</v>
      </c>
      <c r="X3840" t="s">
        <v>4043</v>
      </c>
    </row>
    <row r="3841" spans="1:24" ht="15" x14ac:dyDescent="0.35">
      <c r="A3841" s="4">
        <v>46058.671284722222</v>
      </c>
      <c r="B3841">
        <v>20120939</v>
      </c>
      <c r="C3841" s="6" t="s">
        <v>19</v>
      </c>
      <c r="D3841">
        <v>608712</v>
      </c>
      <c r="E3841" t="s">
        <v>20</v>
      </c>
      <c r="F3841">
        <v>1071164191</v>
      </c>
      <c r="G3841" t="s">
        <v>2828</v>
      </c>
      <c r="H3841">
        <v>100245274</v>
      </c>
      <c r="I3841">
        <v>202631</v>
      </c>
      <c r="J3841">
        <v>1071163103</v>
      </c>
      <c r="K3841" t="s">
        <v>23</v>
      </c>
      <c r="L3841" t="s">
        <v>240</v>
      </c>
      <c r="M3841" t="s">
        <v>24</v>
      </c>
      <c r="N3841" t="s">
        <v>25</v>
      </c>
      <c r="O3841" t="s">
        <v>26</v>
      </c>
      <c r="P3841" t="s">
        <v>27</v>
      </c>
      <c r="Q3841" t="s">
        <v>28</v>
      </c>
      <c r="R3841" t="s">
        <v>29</v>
      </c>
      <c r="S3841" t="s">
        <v>30</v>
      </c>
      <c r="T3841">
        <v>1003652550</v>
      </c>
      <c r="U3841" t="s">
        <v>3965</v>
      </c>
      <c r="V3841" t="s">
        <v>3934</v>
      </c>
      <c r="W3841" s="9">
        <f>IF(V3841="pregrado",31,
IF(V3841="posgrados",31,
IF(V3841="rEINTEGROS",7,
IF(V3841="BIT",90,
IF(V3841="OP GRADO - INGLÉS",17,"")))))</f>
        <v>31</v>
      </c>
      <c r="X3841" t="s">
        <v>4059</v>
      </c>
    </row>
    <row r="3842" spans="1:24" ht="15" x14ac:dyDescent="0.35">
      <c r="A3842" s="4">
        <v>46060.58021990741</v>
      </c>
      <c r="B3842">
        <v>20121430</v>
      </c>
      <c r="C3842" s="6" t="s">
        <v>19</v>
      </c>
      <c r="D3842">
        <v>608720</v>
      </c>
      <c r="E3842" t="s">
        <v>20</v>
      </c>
      <c r="F3842">
        <v>1020821294</v>
      </c>
      <c r="G3842" t="s">
        <v>2897</v>
      </c>
      <c r="H3842">
        <v>100245281</v>
      </c>
      <c r="I3842">
        <v>202631</v>
      </c>
      <c r="J3842">
        <v>1020821294</v>
      </c>
      <c r="K3842" t="s">
        <v>23</v>
      </c>
      <c r="L3842" t="s">
        <v>51</v>
      </c>
      <c r="M3842" t="s">
        <v>24</v>
      </c>
      <c r="N3842" t="s">
        <v>35</v>
      </c>
      <c r="O3842" t="s">
        <v>26</v>
      </c>
      <c r="P3842" t="s">
        <v>27</v>
      </c>
      <c r="Q3842" t="s">
        <v>28</v>
      </c>
      <c r="R3842" t="s">
        <v>29</v>
      </c>
      <c r="S3842" t="s">
        <v>30</v>
      </c>
      <c r="T3842">
        <v>80021358</v>
      </c>
      <c r="U3842" t="s">
        <v>3986</v>
      </c>
      <c r="V3842" t="s">
        <v>3934</v>
      </c>
      <c r="W3842" s="9">
        <f>IF(V3842="pregrado",31,
IF(V3842="posgrados",31,
IF(V3842="rEINTEGROS",7,
IF(V3842="BIT",90,
IF(V3842="OP GRADO - INGLÉS",17,"")))))</f>
        <v>31</v>
      </c>
      <c r="X3842" t="s">
        <v>3995</v>
      </c>
    </row>
    <row r="3843" spans="1:24" ht="15" x14ac:dyDescent="0.35">
      <c r="A3843" s="4">
        <v>46062.646747685183</v>
      </c>
      <c r="B3843">
        <v>20121739</v>
      </c>
      <c r="C3843" s="6" t="s">
        <v>19</v>
      </c>
      <c r="D3843">
        <v>608723</v>
      </c>
      <c r="E3843" t="s">
        <v>20</v>
      </c>
      <c r="F3843">
        <v>1033804583</v>
      </c>
      <c r="G3843" t="s">
        <v>2935</v>
      </c>
      <c r="H3843">
        <v>100245284</v>
      </c>
      <c r="I3843">
        <v>202610</v>
      </c>
      <c r="J3843">
        <v>1007341705</v>
      </c>
      <c r="K3843" t="s">
        <v>74</v>
      </c>
      <c r="L3843" t="s">
        <v>40</v>
      </c>
      <c r="M3843" t="s">
        <v>24</v>
      </c>
      <c r="N3843" t="s">
        <v>35</v>
      </c>
      <c r="O3843" t="s">
        <v>26</v>
      </c>
      <c r="P3843" t="s">
        <v>27</v>
      </c>
      <c r="Q3843" t="s">
        <v>28</v>
      </c>
      <c r="R3843" t="s">
        <v>29</v>
      </c>
      <c r="S3843" t="s">
        <v>30</v>
      </c>
      <c r="T3843">
        <v>1032394283</v>
      </c>
      <c r="U3843" t="s">
        <v>3941</v>
      </c>
      <c r="V3843" t="s">
        <v>3934</v>
      </c>
      <c r="W3843" s="9">
        <f>IF(V3843="pregrado",31,
IF(V3843="posgrados",31,
IF(V3843="rEINTEGROS",7,
IF(V3843="BIT",90,
IF(V3843="OP GRADO - INGLÉS",17,"")))))</f>
        <v>31</v>
      </c>
      <c r="X3843" t="s">
        <v>4034</v>
      </c>
    </row>
    <row r="3844" spans="1:24" ht="15" x14ac:dyDescent="0.35">
      <c r="A3844" s="4">
        <v>46072.407581018517</v>
      </c>
      <c r="B3844">
        <v>20124746</v>
      </c>
      <c r="C3844" s="6" t="s">
        <v>19</v>
      </c>
      <c r="D3844">
        <v>608732</v>
      </c>
      <c r="E3844" t="s">
        <v>20</v>
      </c>
      <c r="F3844">
        <v>1092672579</v>
      </c>
      <c r="G3844" t="s">
        <v>3390</v>
      </c>
      <c r="H3844">
        <v>200081403</v>
      </c>
      <c r="I3844">
        <v>202631</v>
      </c>
      <c r="J3844">
        <v>1092672579</v>
      </c>
      <c r="K3844" t="s">
        <v>33</v>
      </c>
      <c r="L3844" t="s">
        <v>77</v>
      </c>
      <c r="M3844" t="s">
        <v>24</v>
      </c>
      <c r="N3844" t="s">
        <v>35</v>
      </c>
      <c r="O3844" t="s">
        <v>26</v>
      </c>
      <c r="P3844" t="s">
        <v>27</v>
      </c>
      <c r="Q3844" t="s">
        <v>28</v>
      </c>
      <c r="R3844" t="s">
        <v>29</v>
      </c>
      <c r="S3844" t="s">
        <v>30</v>
      </c>
      <c r="T3844">
        <v>1023975276</v>
      </c>
      <c r="U3844" t="s">
        <v>3963</v>
      </c>
      <c r="V3844" t="s">
        <v>3934</v>
      </c>
      <c r="W3844" s="9">
        <f>IF(V3844="pregrado",31,
IF(V3844="posgrados",31,
IF(V3844="rEINTEGROS",7,
IF(V3844="BIT",90,
IF(V3844="OP GRADO - INGLÉS",17,"")))))</f>
        <v>31</v>
      </c>
      <c r="X3844" t="s">
        <v>3962</v>
      </c>
    </row>
    <row r="3845" spans="1:24" ht="15" x14ac:dyDescent="0.35">
      <c r="A3845" s="4">
        <v>46059.390787037039</v>
      </c>
      <c r="B3845">
        <v>20121089</v>
      </c>
      <c r="C3845" s="6" t="s">
        <v>19</v>
      </c>
      <c r="D3845">
        <v>608744</v>
      </c>
      <c r="E3845" t="s">
        <v>20</v>
      </c>
      <c r="F3845">
        <v>1124075578</v>
      </c>
      <c r="G3845" t="s">
        <v>2849</v>
      </c>
      <c r="H3845">
        <v>100243268</v>
      </c>
      <c r="I3845">
        <v>202631</v>
      </c>
      <c r="J3845">
        <v>1124075578</v>
      </c>
      <c r="K3845" t="s">
        <v>33</v>
      </c>
      <c r="L3845" t="s">
        <v>101</v>
      </c>
      <c r="M3845" t="s">
        <v>24</v>
      </c>
      <c r="N3845" t="s">
        <v>35</v>
      </c>
      <c r="O3845" t="s">
        <v>26</v>
      </c>
      <c r="P3845" t="s">
        <v>27</v>
      </c>
      <c r="Q3845" t="s">
        <v>28</v>
      </c>
      <c r="R3845" t="s">
        <v>29</v>
      </c>
      <c r="S3845" t="s">
        <v>30</v>
      </c>
      <c r="T3845">
        <v>52446712</v>
      </c>
      <c r="U3845" t="s">
        <v>3963</v>
      </c>
      <c r="V3845" t="s">
        <v>3934</v>
      </c>
      <c r="W3845" s="9">
        <f>IF(V3845="pregrado",31,
IF(V3845="posgrados",31,
IF(V3845="rEINTEGROS",7,
IF(V3845="BIT",90,
IF(V3845="OP GRADO - INGLÉS",17,"")))))</f>
        <v>31</v>
      </c>
      <c r="X3845" t="s">
        <v>4041</v>
      </c>
    </row>
    <row r="3846" spans="1:24" ht="15" x14ac:dyDescent="0.35">
      <c r="A3846" s="4">
        <v>46072.76363425926</v>
      </c>
      <c r="B3846">
        <v>20125044</v>
      </c>
      <c r="C3846" s="6" t="s">
        <v>19</v>
      </c>
      <c r="D3846">
        <v>608746</v>
      </c>
      <c r="E3846" t="s">
        <v>20</v>
      </c>
      <c r="F3846">
        <v>3070487</v>
      </c>
      <c r="G3846" t="s">
        <v>3445</v>
      </c>
      <c r="H3846">
        <v>100245307</v>
      </c>
      <c r="I3846">
        <v>202631</v>
      </c>
      <c r="J3846">
        <v>1075871122</v>
      </c>
      <c r="K3846" t="s">
        <v>33</v>
      </c>
      <c r="L3846" t="s">
        <v>127</v>
      </c>
      <c r="M3846" t="s">
        <v>24</v>
      </c>
      <c r="N3846" t="s">
        <v>35</v>
      </c>
      <c r="O3846" t="s">
        <v>26</v>
      </c>
      <c r="P3846" t="s">
        <v>27</v>
      </c>
      <c r="Q3846" t="s">
        <v>28</v>
      </c>
      <c r="R3846" t="s">
        <v>29</v>
      </c>
      <c r="S3846" t="s">
        <v>30</v>
      </c>
      <c r="T3846">
        <v>39666517</v>
      </c>
      <c r="U3846" t="s">
        <v>3933</v>
      </c>
      <c r="V3846" t="s">
        <v>3934</v>
      </c>
      <c r="W3846" s="9">
        <f>IF(V3846="pregrado",31,
IF(V3846="posgrados",31,
IF(V3846="rEINTEGROS",7,
IF(V3846="BIT",90,
IF(V3846="OP GRADO - INGLÉS",17,"")))))</f>
        <v>31</v>
      </c>
      <c r="X3846" t="s">
        <v>4025</v>
      </c>
    </row>
    <row r="3847" spans="1:24" ht="15" x14ac:dyDescent="0.35">
      <c r="A3847" s="4">
        <v>46062.364733796298</v>
      </c>
      <c r="B3847">
        <v>20121509</v>
      </c>
      <c r="C3847" s="6" t="s">
        <v>19</v>
      </c>
      <c r="D3847">
        <v>608758</v>
      </c>
      <c r="E3847" t="s">
        <v>20</v>
      </c>
      <c r="F3847">
        <v>1095837627</v>
      </c>
      <c r="G3847" t="s">
        <v>2907</v>
      </c>
      <c r="H3847">
        <v>100245321</v>
      </c>
      <c r="I3847">
        <v>202631</v>
      </c>
      <c r="J3847">
        <v>1095837627</v>
      </c>
      <c r="K3847" t="s">
        <v>74</v>
      </c>
      <c r="L3847" t="s">
        <v>207</v>
      </c>
      <c r="M3847" t="s">
        <v>24</v>
      </c>
      <c r="N3847" t="s">
        <v>35</v>
      </c>
      <c r="O3847" t="s">
        <v>26</v>
      </c>
      <c r="P3847" t="s">
        <v>27</v>
      </c>
      <c r="Q3847" t="s">
        <v>28</v>
      </c>
      <c r="R3847" t="s">
        <v>29</v>
      </c>
      <c r="S3847" t="s">
        <v>30</v>
      </c>
      <c r="T3847">
        <v>1023000285</v>
      </c>
      <c r="U3847" t="s">
        <v>3986</v>
      </c>
      <c r="V3847" t="s">
        <v>3934</v>
      </c>
      <c r="W3847" s="9">
        <f>IF(V3847="pregrado",31,
IF(V3847="posgrados",31,
IF(V3847="rEINTEGROS",7,
IF(V3847="BIT",90,
IF(V3847="OP GRADO - INGLÉS",17,"")))))</f>
        <v>31</v>
      </c>
      <c r="X3847" t="s">
        <v>4097</v>
      </c>
    </row>
    <row r="3848" spans="1:24" ht="15" x14ac:dyDescent="0.35">
      <c r="A3848" s="4">
        <v>46058.718136574076</v>
      </c>
      <c r="B3848">
        <v>20120983</v>
      </c>
      <c r="C3848" s="6" t="s">
        <v>19</v>
      </c>
      <c r="D3848">
        <v>608760</v>
      </c>
      <c r="E3848" t="s">
        <v>20</v>
      </c>
      <c r="F3848">
        <v>1000729451</v>
      </c>
      <c r="G3848" t="s">
        <v>2835</v>
      </c>
      <c r="H3848">
        <v>100100879</v>
      </c>
      <c r="I3848">
        <v>202631</v>
      </c>
      <c r="J3848">
        <v>1000729451</v>
      </c>
      <c r="K3848" t="s">
        <v>89</v>
      </c>
      <c r="L3848" t="s">
        <v>119</v>
      </c>
      <c r="M3848" t="s">
        <v>24</v>
      </c>
      <c r="N3848" t="s">
        <v>35</v>
      </c>
      <c r="O3848" t="s">
        <v>26</v>
      </c>
      <c r="P3848" t="s">
        <v>27</v>
      </c>
      <c r="Q3848" t="s">
        <v>28</v>
      </c>
      <c r="R3848" t="s">
        <v>29</v>
      </c>
      <c r="S3848" t="s">
        <v>30</v>
      </c>
      <c r="T3848">
        <v>52168054</v>
      </c>
      <c r="U3848" t="s">
        <v>3977</v>
      </c>
      <c r="V3848" t="s">
        <v>3970</v>
      </c>
      <c r="W3848" s="9">
        <f>IF(V3848="pregrado",31,
IF(V3848="posgrados",31,
IF(V3848="rEINTEGROS",7,
IF(V3848="BIT",90,
IF(V3848="OP GRADO - INGLÉS",17,"")))))</f>
        <v>7</v>
      </c>
      <c r="X3848" t="s">
        <v>4057</v>
      </c>
    </row>
    <row r="3849" spans="1:24" ht="15" x14ac:dyDescent="0.35">
      <c r="A3849" s="4">
        <v>46063.726597222223</v>
      </c>
      <c r="B3849">
        <v>20122190</v>
      </c>
      <c r="C3849" s="6" t="s">
        <v>19</v>
      </c>
      <c r="D3849">
        <v>608764</v>
      </c>
      <c r="E3849" t="s">
        <v>20</v>
      </c>
      <c r="F3849">
        <v>80070707</v>
      </c>
      <c r="G3849" t="s">
        <v>3004</v>
      </c>
      <c r="H3849">
        <v>100098378</v>
      </c>
      <c r="I3849">
        <v>202611</v>
      </c>
      <c r="J3849">
        <v>1031124537</v>
      </c>
      <c r="K3849" t="s">
        <v>89</v>
      </c>
      <c r="L3849" t="s">
        <v>204</v>
      </c>
      <c r="M3849" t="s">
        <v>24</v>
      </c>
      <c r="N3849" t="s">
        <v>38</v>
      </c>
      <c r="O3849" t="s">
        <v>26</v>
      </c>
      <c r="P3849" t="s">
        <v>27</v>
      </c>
      <c r="Q3849" t="s">
        <v>28</v>
      </c>
      <c r="R3849" t="s">
        <v>29</v>
      </c>
      <c r="S3849" t="s">
        <v>30</v>
      </c>
      <c r="T3849">
        <v>52168054</v>
      </c>
      <c r="U3849" t="s">
        <v>3977</v>
      </c>
      <c r="V3849" t="s">
        <v>3970</v>
      </c>
      <c r="W3849" s="9">
        <f>IF(V3849="pregrado",31,
IF(V3849="posgrados",31,
IF(V3849="rEINTEGROS",7,
IF(V3849="BIT",90,
IF(V3849="OP GRADO - INGLÉS",17,"")))))</f>
        <v>7</v>
      </c>
      <c r="X3849" t="s">
        <v>4057</v>
      </c>
    </row>
    <row r="3850" spans="1:24" ht="15" x14ac:dyDescent="0.35">
      <c r="A3850" s="4">
        <v>46058.899016203701</v>
      </c>
      <c r="B3850">
        <v>20121043</v>
      </c>
      <c r="C3850" s="6" t="s">
        <v>19</v>
      </c>
      <c r="D3850">
        <v>608765</v>
      </c>
      <c r="E3850" t="s">
        <v>20</v>
      </c>
      <c r="F3850">
        <v>1033706000</v>
      </c>
      <c r="G3850" t="s">
        <v>2844</v>
      </c>
      <c r="H3850">
        <v>100100395</v>
      </c>
      <c r="I3850">
        <v>202611</v>
      </c>
      <c r="J3850">
        <v>1033731831</v>
      </c>
      <c r="K3850" t="s">
        <v>89</v>
      </c>
      <c r="L3850" t="s">
        <v>133</v>
      </c>
      <c r="M3850" t="s">
        <v>24</v>
      </c>
      <c r="N3850" t="s">
        <v>35</v>
      </c>
      <c r="O3850" t="s">
        <v>26</v>
      </c>
      <c r="P3850" t="s">
        <v>27</v>
      </c>
      <c r="Q3850" t="s">
        <v>28</v>
      </c>
      <c r="R3850" t="s">
        <v>29</v>
      </c>
      <c r="S3850" t="s">
        <v>30</v>
      </c>
      <c r="T3850">
        <v>52168054</v>
      </c>
      <c r="U3850" t="s">
        <v>3977</v>
      </c>
      <c r="V3850" t="s">
        <v>3970</v>
      </c>
      <c r="W3850" s="9">
        <f>IF(V3850="pregrado",31,
IF(V3850="posgrados",31,
IF(V3850="rEINTEGROS",7,
IF(V3850="BIT",90,
IF(V3850="OP GRADO - INGLÉS",17,"")))))</f>
        <v>7</v>
      </c>
      <c r="X3850" t="s">
        <v>4057</v>
      </c>
    </row>
    <row r="3851" spans="1:24" ht="15" x14ac:dyDescent="0.35">
      <c r="A3851" s="4">
        <v>46063.417268518519</v>
      </c>
      <c r="B3851">
        <v>20121962</v>
      </c>
      <c r="C3851" s="6" t="s">
        <v>19</v>
      </c>
      <c r="D3851">
        <v>608766</v>
      </c>
      <c r="E3851" t="s">
        <v>20</v>
      </c>
      <c r="F3851">
        <v>52977797</v>
      </c>
      <c r="G3851" t="s">
        <v>2969</v>
      </c>
      <c r="H3851">
        <v>100170016</v>
      </c>
      <c r="I3851">
        <v>202611</v>
      </c>
      <c r="J3851">
        <v>52977797</v>
      </c>
      <c r="K3851" t="s">
        <v>89</v>
      </c>
      <c r="L3851" t="s">
        <v>133</v>
      </c>
      <c r="M3851" t="s">
        <v>24</v>
      </c>
      <c r="N3851" t="s">
        <v>25</v>
      </c>
      <c r="O3851" t="s">
        <v>26</v>
      </c>
      <c r="P3851" t="s">
        <v>27</v>
      </c>
      <c r="Q3851" t="s">
        <v>28</v>
      </c>
      <c r="R3851" t="s">
        <v>29</v>
      </c>
      <c r="S3851" t="s">
        <v>30</v>
      </c>
      <c r="T3851">
        <v>52168054</v>
      </c>
      <c r="U3851" t="s">
        <v>3977</v>
      </c>
      <c r="V3851" t="s">
        <v>3970</v>
      </c>
      <c r="W3851" s="9">
        <f>IF(V3851="pregrado",31,
IF(V3851="posgrados",31,
IF(V3851="rEINTEGROS",7,
IF(V3851="BIT",90,
IF(V3851="OP GRADO - INGLÉS",17,"")))))</f>
        <v>7</v>
      </c>
      <c r="X3851" t="s">
        <v>4057</v>
      </c>
    </row>
    <row r="3852" spans="1:24" ht="15" x14ac:dyDescent="0.35">
      <c r="A3852" s="4">
        <v>46058.743946759256</v>
      </c>
      <c r="B3852">
        <v>20120998</v>
      </c>
      <c r="C3852" s="6" t="s">
        <v>19</v>
      </c>
      <c r="D3852">
        <v>608768</v>
      </c>
      <c r="E3852" t="s">
        <v>20</v>
      </c>
      <c r="F3852">
        <v>79119910</v>
      </c>
      <c r="G3852" t="s">
        <v>2837</v>
      </c>
      <c r="H3852">
        <v>100245126</v>
      </c>
      <c r="I3852">
        <v>202610</v>
      </c>
      <c r="J3852">
        <v>1032936267</v>
      </c>
      <c r="K3852" t="s">
        <v>23</v>
      </c>
      <c r="L3852" t="s">
        <v>49</v>
      </c>
      <c r="M3852" t="s">
        <v>24</v>
      </c>
      <c r="N3852" t="s">
        <v>35</v>
      </c>
      <c r="O3852" t="s">
        <v>26</v>
      </c>
      <c r="P3852" t="s">
        <v>27</v>
      </c>
      <c r="Q3852" t="s">
        <v>28</v>
      </c>
      <c r="R3852" t="s">
        <v>29</v>
      </c>
      <c r="S3852" t="s">
        <v>30</v>
      </c>
      <c r="T3852">
        <v>1000349074</v>
      </c>
      <c r="U3852" t="s">
        <v>3944</v>
      </c>
      <c r="V3852" t="s">
        <v>3934</v>
      </c>
      <c r="W3852" s="9">
        <f>IF(V3852="pregrado",31,
IF(V3852="posgrados",31,
IF(V3852="rEINTEGROS",7,
IF(V3852="BIT",90,
IF(V3852="OP GRADO - INGLÉS",17,"")))))</f>
        <v>31</v>
      </c>
      <c r="X3852" t="s">
        <v>4036</v>
      </c>
    </row>
    <row r="3853" spans="1:24" ht="15" x14ac:dyDescent="0.35">
      <c r="A3853" s="4">
        <v>46061.736944444441</v>
      </c>
      <c r="B3853">
        <v>20121484</v>
      </c>
      <c r="C3853" s="6" t="s">
        <v>19</v>
      </c>
      <c r="D3853">
        <v>608781</v>
      </c>
      <c r="E3853" t="s">
        <v>20</v>
      </c>
      <c r="F3853">
        <v>1006996672</v>
      </c>
      <c r="G3853" t="s">
        <v>2905</v>
      </c>
      <c r="H3853">
        <v>200120449</v>
      </c>
      <c r="I3853">
        <v>202631</v>
      </c>
      <c r="J3853">
        <v>1006996672</v>
      </c>
      <c r="K3853" t="s">
        <v>23</v>
      </c>
      <c r="L3853" t="s">
        <v>119</v>
      </c>
      <c r="M3853" t="s">
        <v>24</v>
      </c>
      <c r="N3853" t="s">
        <v>35</v>
      </c>
      <c r="O3853" t="s">
        <v>26</v>
      </c>
      <c r="P3853" t="s">
        <v>27</v>
      </c>
      <c r="Q3853" t="s">
        <v>28</v>
      </c>
      <c r="R3853" t="s">
        <v>29</v>
      </c>
      <c r="S3853" t="s">
        <v>30</v>
      </c>
      <c r="T3853">
        <v>45555807</v>
      </c>
      <c r="U3853" t="s">
        <v>3965</v>
      </c>
      <c r="V3853" t="s">
        <v>3934</v>
      </c>
      <c r="W3853" s="9">
        <f>IF(V3853="pregrado",31,
IF(V3853="posgrados",31,
IF(V3853="rEINTEGROS",7,
IF(V3853="BIT",90,
IF(V3853="OP GRADO - INGLÉS",17,"")))))</f>
        <v>31</v>
      </c>
      <c r="X3853" t="s">
        <v>4027</v>
      </c>
    </row>
    <row r="3854" spans="1:24" ht="15" x14ac:dyDescent="0.35">
      <c r="A3854" s="4">
        <v>46059.369687500002</v>
      </c>
      <c r="B3854">
        <v>20121066</v>
      </c>
      <c r="C3854" s="6" t="s">
        <v>19</v>
      </c>
      <c r="D3854">
        <v>608785</v>
      </c>
      <c r="E3854" t="s">
        <v>20</v>
      </c>
      <c r="F3854">
        <v>34613973</v>
      </c>
      <c r="G3854" t="s">
        <v>2846</v>
      </c>
      <c r="H3854">
        <v>100234958</v>
      </c>
      <c r="I3854">
        <v>202631</v>
      </c>
      <c r="J3854">
        <v>34613973</v>
      </c>
      <c r="K3854" t="s">
        <v>33</v>
      </c>
      <c r="L3854" t="s">
        <v>207</v>
      </c>
      <c r="M3854" t="s">
        <v>24</v>
      </c>
      <c r="N3854" t="s">
        <v>25</v>
      </c>
      <c r="O3854" t="s">
        <v>26</v>
      </c>
      <c r="P3854" t="s">
        <v>27</v>
      </c>
      <c r="Q3854" t="s">
        <v>28</v>
      </c>
      <c r="R3854" t="s">
        <v>29</v>
      </c>
      <c r="S3854" t="s">
        <v>30</v>
      </c>
      <c r="T3854">
        <v>1010081108</v>
      </c>
      <c r="U3854" t="s">
        <v>3941</v>
      </c>
      <c r="V3854" t="s">
        <v>3934</v>
      </c>
      <c r="W3854" s="9">
        <f>IF(V3854="pregrado",31,
IF(V3854="posgrados",31,
IF(V3854="rEINTEGROS",7,
IF(V3854="BIT",90,
IF(V3854="OP GRADO - INGLÉS",17,"")))))</f>
        <v>31</v>
      </c>
      <c r="X3854" t="s">
        <v>4009</v>
      </c>
    </row>
    <row r="3855" spans="1:24" ht="15" x14ac:dyDescent="0.35">
      <c r="A3855" s="4">
        <v>46060.421134259261</v>
      </c>
      <c r="B3855">
        <v>20121382</v>
      </c>
      <c r="C3855" s="6" t="s">
        <v>19</v>
      </c>
      <c r="D3855">
        <v>608789</v>
      </c>
      <c r="E3855" t="s">
        <v>20</v>
      </c>
      <c r="F3855">
        <v>50899795</v>
      </c>
      <c r="G3855" t="s">
        <v>2890</v>
      </c>
      <c r="H3855">
        <v>100245343</v>
      </c>
      <c r="I3855">
        <v>202631</v>
      </c>
      <c r="J3855">
        <v>1137976039</v>
      </c>
      <c r="K3855" t="s">
        <v>23</v>
      </c>
      <c r="L3855" t="s">
        <v>207</v>
      </c>
      <c r="M3855" t="s">
        <v>24</v>
      </c>
      <c r="N3855" t="s">
        <v>35</v>
      </c>
      <c r="O3855" t="s">
        <v>26</v>
      </c>
      <c r="P3855" t="s">
        <v>27</v>
      </c>
      <c r="Q3855" t="s">
        <v>28</v>
      </c>
      <c r="R3855" t="s">
        <v>29</v>
      </c>
      <c r="S3855" t="s">
        <v>30</v>
      </c>
      <c r="T3855">
        <v>1006505929</v>
      </c>
      <c r="U3855" t="s">
        <v>3986</v>
      </c>
      <c r="V3855" t="s">
        <v>3934</v>
      </c>
      <c r="W3855" s="9">
        <f>IF(V3855="pregrado",31,
IF(V3855="posgrados",31,
IF(V3855="rEINTEGROS",7,
IF(V3855="BIT",90,
IF(V3855="OP GRADO - INGLÉS",17,"")))))</f>
        <v>31</v>
      </c>
      <c r="X3855" t="s">
        <v>4013</v>
      </c>
    </row>
    <row r="3856" spans="1:24" ht="15" x14ac:dyDescent="0.35">
      <c r="A3856" s="4">
        <v>46059.618703703702</v>
      </c>
      <c r="B3856">
        <v>20121206</v>
      </c>
      <c r="C3856" s="6" t="s">
        <v>19</v>
      </c>
      <c r="D3856">
        <v>608791</v>
      </c>
      <c r="E3856" t="s">
        <v>20</v>
      </c>
      <c r="F3856">
        <v>1124486153</v>
      </c>
      <c r="G3856" t="s">
        <v>2864</v>
      </c>
      <c r="H3856">
        <v>100245346</v>
      </c>
      <c r="I3856">
        <v>202631</v>
      </c>
      <c r="J3856">
        <v>1124486153</v>
      </c>
      <c r="K3856" t="s">
        <v>33</v>
      </c>
      <c r="L3856" t="s">
        <v>101</v>
      </c>
      <c r="M3856" t="s">
        <v>24</v>
      </c>
      <c r="N3856" t="s">
        <v>35</v>
      </c>
      <c r="O3856" t="s">
        <v>26</v>
      </c>
      <c r="P3856" t="s">
        <v>27</v>
      </c>
      <c r="Q3856" t="s">
        <v>28</v>
      </c>
      <c r="R3856" t="s">
        <v>29</v>
      </c>
      <c r="S3856" t="s">
        <v>30</v>
      </c>
      <c r="T3856">
        <v>1023367706</v>
      </c>
      <c r="U3856" t="s">
        <v>3963</v>
      </c>
      <c r="V3856" t="s">
        <v>3934</v>
      </c>
      <c r="W3856" s="9">
        <f>IF(V3856="pregrado",31,
IF(V3856="posgrados",31,
IF(V3856="rEINTEGROS",7,
IF(V3856="BIT",90,
IF(V3856="OP GRADO - INGLÉS",17,"")))))</f>
        <v>31</v>
      </c>
      <c r="X3856" t="s">
        <v>4039</v>
      </c>
    </row>
    <row r="3857" spans="1:24" ht="15" x14ac:dyDescent="0.35">
      <c r="A3857" s="4">
        <v>46062.532199074078</v>
      </c>
      <c r="B3857">
        <v>20121639</v>
      </c>
      <c r="C3857" s="6" t="s">
        <v>19</v>
      </c>
      <c r="D3857">
        <v>608810</v>
      </c>
      <c r="E3857" t="s">
        <v>20</v>
      </c>
      <c r="F3857">
        <v>1061795959</v>
      </c>
      <c r="G3857" t="s">
        <v>2922</v>
      </c>
      <c r="H3857">
        <v>100121958</v>
      </c>
      <c r="I3857">
        <v>202631</v>
      </c>
      <c r="J3857">
        <v>1061795959</v>
      </c>
      <c r="K3857" t="s">
        <v>23</v>
      </c>
      <c r="L3857" t="s">
        <v>119</v>
      </c>
      <c r="M3857" t="s">
        <v>24</v>
      </c>
      <c r="N3857" t="s">
        <v>35</v>
      </c>
      <c r="O3857" t="s">
        <v>26</v>
      </c>
      <c r="P3857" t="s">
        <v>27</v>
      </c>
      <c r="Q3857" t="s">
        <v>28</v>
      </c>
      <c r="R3857" t="s">
        <v>29</v>
      </c>
      <c r="S3857" t="s">
        <v>30</v>
      </c>
      <c r="T3857">
        <v>1014283217</v>
      </c>
      <c r="U3857" t="s">
        <v>3963</v>
      </c>
      <c r="V3857" t="s">
        <v>3934</v>
      </c>
      <c r="W3857" s="9">
        <f>IF(V3857="pregrado",31,
IF(V3857="posgrados",31,
IF(V3857="rEINTEGROS",7,
IF(V3857="BIT",90,
IF(V3857="OP GRADO - INGLÉS",17,"")))))</f>
        <v>31</v>
      </c>
      <c r="X3857" t="s">
        <v>4023</v>
      </c>
    </row>
    <row r="3858" spans="1:24" ht="15" x14ac:dyDescent="0.35">
      <c r="A3858" s="4">
        <v>46072.422488425924</v>
      </c>
      <c r="B3858">
        <v>20124763</v>
      </c>
      <c r="C3858" s="6" t="s">
        <v>19</v>
      </c>
      <c r="D3858">
        <v>608817</v>
      </c>
      <c r="E3858" t="s">
        <v>20</v>
      </c>
      <c r="F3858">
        <v>1014234792</v>
      </c>
      <c r="G3858" t="s">
        <v>3394</v>
      </c>
      <c r="H3858">
        <v>100245384</v>
      </c>
      <c r="I3858">
        <v>202631</v>
      </c>
      <c r="J3858">
        <v>1014234792</v>
      </c>
      <c r="K3858" t="s">
        <v>23</v>
      </c>
      <c r="L3858" t="s">
        <v>219</v>
      </c>
      <c r="M3858" t="s">
        <v>24</v>
      </c>
      <c r="N3858" t="s">
        <v>35</v>
      </c>
      <c r="O3858" t="s">
        <v>26</v>
      </c>
      <c r="P3858" t="s">
        <v>27</v>
      </c>
      <c r="Q3858" t="s">
        <v>28</v>
      </c>
      <c r="R3858" t="s">
        <v>29</v>
      </c>
      <c r="S3858" t="s">
        <v>30</v>
      </c>
      <c r="T3858">
        <v>1057586591</v>
      </c>
      <c r="U3858" t="s">
        <v>3963</v>
      </c>
      <c r="V3858" t="s">
        <v>3934</v>
      </c>
      <c r="W3858" s="9">
        <f>IF(V3858="pregrado",31,
IF(V3858="posgrados",31,
IF(V3858="rEINTEGROS",7,
IF(V3858="BIT",90,
IF(V3858="OP GRADO - INGLÉS",17,"")))))</f>
        <v>31</v>
      </c>
      <c r="X3858" t="s">
        <v>3988</v>
      </c>
    </row>
    <row r="3859" spans="1:24" ht="15" x14ac:dyDescent="0.35">
      <c r="A3859" s="4">
        <v>46059.773553240739</v>
      </c>
      <c r="B3859">
        <v>20121332</v>
      </c>
      <c r="C3859" s="6" t="s">
        <v>19</v>
      </c>
      <c r="D3859">
        <v>608818</v>
      </c>
      <c r="E3859" t="s">
        <v>20</v>
      </c>
      <c r="F3859">
        <v>1073971090</v>
      </c>
      <c r="G3859" t="s">
        <v>2884</v>
      </c>
      <c r="H3859">
        <v>100245248</v>
      </c>
      <c r="I3859">
        <v>202610</v>
      </c>
      <c r="J3859">
        <v>1073971090</v>
      </c>
      <c r="K3859" t="s">
        <v>23</v>
      </c>
      <c r="L3859" t="s">
        <v>79</v>
      </c>
      <c r="M3859" t="s">
        <v>24</v>
      </c>
      <c r="N3859" t="s">
        <v>35</v>
      </c>
      <c r="O3859" t="s">
        <v>26</v>
      </c>
      <c r="P3859" t="s">
        <v>27</v>
      </c>
      <c r="Q3859" t="s">
        <v>28</v>
      </c>
      <c r="R3859" t="s">
        <v>29</v>
      </c>
      <c r="S3859" t="s">
        <v>30</v>
      </c>
      <c r="T3859">
        <v>1006023129</v>
      </c>
      <c r="U3859" t="s">
        <v>3944</v>
      </c>
      <c r="V3859" t="s">
        <v>3934</v>
      </c>
      <c r="W3859" s="9">
        <f>IF(V3859="pregrado",31,
IF(V3859="posgrados",31,
IF(V3859="rEINTEGROS",7,
IF(V3859="BIT",90,
IF(V3859="OP GRADO - INGLÉS",17,"")))))</f>
        <v>31</v>
      </c>
      <c r="X3859" t="s">
        <v>3982</v>
      </c>
    </row>
    <row r="3860" spans="1:24" ht="15" x14ac:dyDescent="0.35">
      <c r="A3860" s="4">
        <v>46062.729699074072</v>
      </c>
      <c r="B3860">
        <v>20121836</v>
      </c>
      <c r="C3860" s="6" t="s">
        <v>19</v>
      </c>
      <c r="D3860">
        <v>608819</v>
      </c>
      <c r="E3860" t="s">
        <v>20</v>
      </c>
      <c r="F3860">
        <v>52767356</v>
      </c>
      <c r="G3860" t="s">
        <v>2951</v>
      </c>
      <c r="H3860">
        <v>900011388</v>
      </c>
      <c r="I3860">
        <v>202631</v>
      </c>
      <c r="J3860">
        <v>52767356</v>
      </c>
      <c r="K3860" t="s">
        <v>23</v>
      </c>
      <c r="L3860" t="s">
        <v>231</v>
      </c>
      <c r="M3860" t="s">
        <v>24</v>
      </c>
      <c r="N3860" t="s">
        <v>35</v>
      </c>
      <c r="O3860" t="s">
        <v>26</v>
      </c>
      <c r="P3860" t="s">
        <v>27</v>
      </c>
      <c r="Q3860" t="s">
        <v>28</v>
      </c>
      <c r="R3860" t="s">
        <v>29</v>
      </c>
      <c r="S3860" t="s">
        <v>30</v>
      </c>
      <c r="T3860">
        <v>1000578914</v>
      </c>
      <c r="U3860" t="s">
        <v>3941</v>
      </c>
      <c r="V3860" t="s">
        <v>3934</v>
      </c>
      <c r="W3860" s="9">
        <f>IF(V3860="pregrado",31,
IF(V3860="posgrados",31,
IF(V3860="rEINTEGROS",7,
IF(V3860="BIT",90,
IF(V3860="OP GRADO - INGLÉS",17,"")))))</f>
        <v>31</v>
      </c>
      <c r="X3860" t="s">
        <v>4060</v>
      </c>
    </row>
    <row r="3861" spans="1:24" ht="15" x14ac:dyDescent="0.35">
      <c r="A3861" s="4">
        <v>46062.749351851853</v>
      </c>
      <c r="B3861">
        <v>20121855</v>
      </c>
      <c r="C3861" s="6" t="s">
        <v>19</v>
      </c>
      <c r="D3861">
        <v>608820</v>
      </c>
      <c r="E3861" t="s">
        <v>20</v>
      </c>
      <c r="F3861">
        <v>1006946888</v>
      </c>
      <c r="G3861" t="s">
        <v>2955</v>
      </c>
      <c r="H3861">
        <v>200119910</v>
      </c>
      <c r="I3861">
        <v>202631</v>
      </c>
      <c r="J3861">
        <v>1006946888</v>
      </c>
      <c r="K3861" t="s">
        <v>33</v>
      </c>
      <c r="L3861" t="s">
        <v>22</v>
      </c>
      <c r="M3861" t="s">
        <v>24</v>
      </c>
      <c r="N3861" t="s">
        <v>25</v>
      </c>
      <c r="O3861" t="s">
        <v>26</v>
      </c>
      <c r="P3861" t="s">
        <v>27</v>
      </c>
      <c r="Q3861" t="s">
        <v>28</v>
      </c>
      <c r="R3861" t="s">
        <v>29</v>
      </c>
      <c r="S3861" t="s">
        <v>30</v>
      </c>
      <c r="T3861">
        <v>1001315142</v>
      </c>
      <c r="U3861" t="s">
        <v>3986</v>
      </c>
      <c r="V3861" t="s">
        <v>3934</v>
      </c>
      <c r="W3861" s="9">
        <f>IF(V3861="pregrado",31,
IF(V3861="posgrados",31,
IF(V3861="rEINTEGROS",7,
IF(V3861="BIT",90,
IF(V3861="OP GRADO - INGLÉS",17,"")))))</f>
        <v>31</v>
      </c>
      <c r="X3861" t="s">
        <v>4064</v>
      </c>
    </row>
    <row r="3862" spans="1:24" ht="15" x14ac:dyDescent="0.35">
      <c r="A3862" s="4">
        <v>46066.579432870371</v>
      </c>
      <c r="B3862">
        <v>20123208</v>
      </c>
      <c r="C3862" s="6" t="s">
        <v>19</v>
      </c>
      <c r="D3862">
        <v>608825</v>
      </c>
      <c r="E3862" t="s">
        <v>20</v>
      </c>
      <c r="F3862">
        <v>1012437223</v>
      </c>
      <c r="G3862" t="s">
        <v>3169</v>
      </c>
      <c r="H3862">
        <v>100245391</v>
      </c>
      <c r="I3862">
        <v>202611</v>
      </c>
      <c r="J3862">
        <v>1012437223</v>
      </c>
      <c r="K3862" t="s">
        <v>33</v>
      </c>
      <c r="L3862" t="s">
        <v>221</v>
      </c>
      <c r="M3862" t="s">
        <v>24</v>
      </c>
      <c r="N3862" t="s">
        <v>35</v>
      </c>
      <c r="O3862" t="s">
        <v>26</v>
      </c>
      <c r="P3862" t="s">
        <v>27</v>
      </c>
      <c r="Q3862" t="s">
        <v>28</v>
      </c>
      <c r="R3862" t="s">
        <v>29</v>
      </c>
      <c r="S3862" t="s">
        <v>30</v>
      </c>
      <c r="T3862">
        <v>1026298522</v>
      </c>
      <c r="U3862" t="s">
        <v>3965</v>
      </c>
      <c r="V3862" t="s">
        <v>3934</v>
      </c>
      <c r="W3862" s="9">
        <f>IF(V3862="pregrado",31,
IF(V3862="posgrados",31,
IF(V3862="rEINTEGROS",7,
IF(V3862="BIT",90,
IF(V3862="OP GRADO - INGLÉS",17,"")))))</f>
        <v>31</v>
      </c>
      <c r="X3862" t="s">
        <v>4040</v>
      </c>
    </row>
    <row r="3863" spans="1:24" ht="15" x14ac:dyDescent="0.35">
      <c r="A3863" s="4">
        <v>46059.670127314814</v>
      </c>
      <c r="B3863">
        <v>20121266</v>
      </c>
      <c r="C3863" s="6" t="s">
        <v>19</v>
      </c>
      <c r="D3863">
        <v>608834</v>
      </c>
      <c r="E3863" t="s">
        <v>20</v>
      </c>
      <c r="F3863">
        <v>1014261752</v>
      </c>
      <c r="G3863" t="s">
        <v>2877</v>
      </c>
      <c r="H3863">
        <v>100093056</v>
      </c>
      <c r="I3863">
        <v>202611</v>
      </c>
      <c r="J3863">
        <v>1014261752</v>
      </c>
      <c r="K3863" t="s">
        <v>89</v>
      </c>
      <c r="L3863" t="s">
        <v>204</v>
      </c>
      <c r="M3863" t="s">
        <v>24</v>
      </c>
      <c r="N3863" t="s">
        <v>38</v>
      </c>
      <c r="O3863" t="s">
        <v>26</v>
      </c>
      <c r="P3863" t="s">
        <v>27</v>
      </c>
      <c r="Q3863" t="s">
        <v>28</v>
      </c>
      <c r="R3863" t="s">
        <v>29</v>
      </c>
      <c r="S3863" t="s">
        <v>30</v>
      </c>
      <c r="T3863">
        <v>1023899450</v>
      </c>
      <c r="U3863" t="s">
        <v>3977</v>
      </c>
      <c r="V3863" t="s">
        <v>3970</v>
      </c>
      <c r="W3863" s="9">
        <f>IF(V3863="pregrado",31,
IF(V3863="posgrados",31,
IF(V3863="rEINTEGROS",7,
IF(V3863="BIT",90,
IF(V3863="OP GRADO - INGLÉS",17,"")))))</f>
        <v>7</v>
      </c>
      <c r="X3863" t="s">
        <v>3969</v>
      </c>
    </row>
    <row r="3864" spans="1:24" ht="15" x14ac:dyDescent="0.35">
      <c r="A3864" s="4">
        <v>46064.678749999999</v>
      </c>
      <c r="B3864">
        <v>20122506</v>
      </c>
      <c r="C3864" s="6" t="s">
        <v>19</v>
      </c>
      <c r="D3864">
        <v>608840</v>
      </c>
      <c r="E3864" t="s">
        <v>20</v>
      </c>
      <c r="F3864">
        <v>93151612</v>
      </c>
      <c r="G3864" t="s">
        <v>3044</v>
      </c>
      <c r="H3864">
        <v>100203497</v>
      </c>
      <c r="I3864">
        <v>202631</v>
      </c>
      <c r="J3864">
        <v>1006032047</v>
      </c>
      <c r="K3864" t="s">
        <v>33</v>
      </c>
      <c r="L3864" t="s">
        <v>22</v>
      </c>
      <c r="M3864" t="s">
        <v>24</v>
      </c>
      <c r="N3864" t="s">
        <v>38</v>
      </c>
      <c r="O3864" t="s">
        <v>26</v>
      </c>
      <c r="P3864" t="s">
        <v>27</v>
      </c>
      <c r="Q3864" t="s">
        <v>28</v>
      </c>
      <c r="R3864" t="s">
        <v>29</v>
      </c>
      <c r="S3864" t="s">
        <v>30</v>
      </c>
      <c r="T3864">
        <v>1010240716</v>
      </c>
      <c r="U3864" t="s">
        <v>3939</v>
      </c>
      <c r="V3864" t="s">
        <v>3934</v>
      </c>
      <c r="W3864" s="9">
        <f>IF(V3864="pregrado",31,
IF(V3864="posgrados",31,
IF(V3864="rEINTEGROS",7,
IF(V3864="BIT",90,
IF(V3864="OP GRADO - INGLÉS",17,"")))))</f>
        <v>31</v>
      </c>
      <c r="X3864" t="s">
        <v>3938</v>
      </c>
    </row>
    <row r="3865" spans="1:24" ht="15" x14ac:dyDescent="0.35">
      <c r="A3865" s="4">
        <v>46059.623599537037</v>
      </c>
      <c r="B3865">
        <v>20121212</v>
      </c>
      <c r="C3865" s="6" t="s">
        <v>19</v>
      </c>
      <c r="D3865">
        <v>608863</v>
      </c>
      <c r="E3865" t="s">
        <v>20</v>
      </c>
      <c r="F3865">
        <v>1116776134</v>
      </c>
      <c r="G3865" t="s">
        <v>2865</v>
      </c>
      <c r="H3865">
        <v>100174754</v>
      </c>
      <c r="I3865">
        <v>202611</v>
      </c>
      <c r="J3865">
        <v>1116776134</v>
      </c>
      <c r="K3865" t="s">
        <v>89</v>
      </c>
      <c r="L3865" t="s">
        <v>133</v>
      </c>
      <c r="M3865" t="s">
        <v>24</v>
      </c>
      <c r="N3865" t="s">
        <v>35</v>
      </c>
      <c r="O3865" t="s">
        <v>26</v>
      </c>
      <c r="P3865" t="s">
        <v>27</v>
      </c>
      <c r="Q3865" t="s">
        <v>28</v>
      </c>
      <c r="R3865" t="s">
        <v>29</v>
      </c>
      <c r="S3865" t="s">
        <v>30</v>
      </c>
      <c r="T3865">
        <v>52168054</v>
      </c>
      <c r="U3865" t="s">
        <v>3977</v>
      </c>
      <c r="V3865" t="s">
        <v>3970</v>
      </c>
      <c r="W3865" s="9">
        <f>IF(V3865="pregrado",31,
IF(V3865="posgrados",31,
IF(V3865="rEINTEGROS",7,
IF(V3865="BIT",90,
IF(V3865="OP GRADO - INGLÉS",17,"")))))</f>
        <v>7</v>
      </c>
      <c r="X3865" t="s">
        <v>4057</v>
      </c>
    </row>
    <row r="3866" spans="1:24" ht="15" x14ac:dyDescent="0.35">
      <c r="A3866" s="4">
        <v>46066.644085648149</v>
      </c>
      <c r="B3866">
        <v>20123254</v>
      </c>
      <c r="C3866" s="6" t="s">
        <v>19</v>
      </c>
      <c r="D3866">
        <v>608867</v>
      </c>
      <c r="E3866" t="s">
        <v>20</v>
      </c>
      <c r="F3866">
        <v>1012320222</v>
      </c>
      <c r="G3866" t="s">
        <v>3176</v>
      </c>
      <c r="H3866">
        <v>100157802</v>
      </c>
      <c r="I3866">
        <v>202611</v>
      </c>
      <c r="J3866">
        <v>1012320222</v>
      </c>
      <c r="K3866" t="s">
        <v>46</v>
      </c>
      <c r="L3866" t="s">
        <v>204</v>
      </c>
      <c r="M3866" t="s">
        <v>24</v>
      </c>
      <c r="N3866" t="s">
        <v>38</v>
      </c>
      <c r="O3866" t="s">
        <v>26</v>
      </c>
      <c r="P3866" t="s">
        <v>27</v>
      </c>
      <c r="Q3866" t="s">
        <v>28</v>
      </c>
      <c r="R3866" t="s">
        <v>29</v>
      </c>
      <c r="S3866" t="s">
        <v>30</v>
      </c>
      <c r="T3866">
        <v>1019102787</v>
      </c>
      <c r="U3866" t="s">
        <v>3977</v>
      </c>
      <c r="V3866" t="s">
        <v>3970</v>
      </c>
      <c r="W3866" s="9">
        <f>IF(V3866="pregrado",31,
IF(V3866="posgrados",31,
IF(V3866="rEINTEGROS",7,
IF(V3866="BIT",90,
IF(V3866="OP GRADO - INGLÉS",17,"")))))</f>
        <v>7</v>
      </c>
      <c r="X3866" t="s">
        <v>3976</v>
      </c>
    </row>
    <row r="3867" spans="1:24" ht="15" x14ac:dyDescent="0.35">
      <c r="A3867" s="4">
        <v>46062.630208333336</v>
      </c>
      <c r="B3867">
        <v>20121721</v>
      </c>
      <c r="C3867" s="6" t="s">
        <v>19</v>
      </c>
      <c r="D3867">
        <v>608873</v>
      </c>
      <c r="E3867" t="s">
        <v>20</v>
      </c>
      <c r="F3867">
        <v>1006889912</v>
      </c>
      <c r="G3867" t="s">
        <v>2932</v>
      </c>
      <c r="H3867">
        <v>100245436</v>
      </c>
      <c r="I3867">
        <v>202631</v>
      </c>
      <c r="J3867">
        <v>1006889912</v>
      </c>
      <c r="K3867" t="s">
        <v>33</v>
      </c>
      <c r="L3867" t="s">
        <v>101</v>
      </c>
      <c r="M3867" t="s">
        <v>24</v>
      </c>
      <c r="N3867" t="s">
        <v>35</v>
      </c>
      <c r="O3867" t="s">
        <v>26</v>
      </c>
      <c r="P3867" t="s">
        <v>27</v>
      </c>
      <c r="Q3867" t="s">
        <v>28</v>
      </c>
      <c r="R3867" t="s">
        <v>29</v>
      </c>
      <c r="S3867" t="s">
        <v>30</v>
      </c>
      <c r="T3867">
        <v>1023367706</v>
      </c>
      <c r="U3867" t="s">
        <v>3963</v>
      </c>
      <c r="V3867" t="s">
        <v>3934</v>
      </c>
      <c r="W3867" s="9">
        <f>IF(V3867="pregrado",31,
IF(V3867="posgrados",31,
IF(V3867="rEINTEGROS",7,
IF(V3867="BIT",90,
IF(V3867="OP GRADO - INGLÉS",17,"")))))</f>
        <v>31</v>
      </c>
      <c r="X3867" t="s">
        <v>4039</v>
      </c>
    </row>
    <row r="3868" spans="1:24" ht="15" x14ac:dyDescent="0.35">
      <c r="A3868" s="4">
        <v>46062.780104166668</v>
      </c>
      <c r="B3868">
        <v>20121869</v>
      </c>
      <c r="C3868" s="6" t="s">
        <v>19</v>
      </c>
      <c r="D3868">
        <v>608883</v>
      </c>
      <c r="E3868" t="s">
        <v>20</v>
      </c>
      <c r="F3868">
        <v>1069901340</v>
      </c>
      <c r="G3868" t="s">
        <v>2958</v>
      </c>
      <c r="H3868">
        <v>100245439</v>
      </c>
      <c r="I3868">
        <v>202631</v>
      </c>
      <c r="J3868">
        <v>20750547</v>
      </c>
      <c r="K3868" t="s">
        <v>23</v>
      </c>
      <c r="L3868" t="s">
        <v>240</v>
      </c>
      <c r="M3868" t="s">
        <v>24</v>
      </c>
      <c r="N3868" t="s">
        <v>35</v>
      </c>
      <c r="O3868" t="s">
        <v>26</v>
      </c>
      <c r="P3868" t="s">
        <v>27</v>
      </c>
      <c r="Q3868" t="s">
        <v>28</v>
      </c>
      <c r="R3868" t="s">
        <v>29</v>
      </c>
      <c r="S3868" t="s">
        <v>30</v>
      </c>
      <c r="T3868">
        <v>1000001980</v>
      </c>
      <c r="U3868" t="s">
        <v>3944</v>
      </c>
      <c r="V3868" t="s">
        <v>3934</v>
      </c>
      <c r="W3868" s="9">
        <f>IF(V3868="pregrado",31,
IF(V3868="posgrados",31,
IF(V3868="rEINTEGROS",7,
IF(V3868="BIT",90,
IF(V3868="OP GRADO - INGLÉS",17,"")))))</f>
        <v>31</v>
      </c>
      <c r="X3868" t="s">
        <v>3968</v>
      </c>
    </row>
    <row r="3869" spans="1:24" ht="15" x14ac:dyDescent="0.35">
      <c r="A3869" s="4">
        <v>46062.558067129627</v>
      </c>
      <c r="B3869">
        <v>20121661</v>
      </c>
      <c r="C3869" s="6" t="s">
        <v>19</v>
      </c>
      <c r="D3869">
        <v>608886</v>
      </c>
      <c r="E3869" t="s">
        <v>20</v>
      </c>
      <c r="F3869">
        <v>1073512661</v>
      </c>
      <c r="G3869" t="s">
        <v>2925</v>
      </c>
      <c r="H3869">
        <v>100153145</v>
      </c>
      <c r="I3869">
        <v>202631</v>
      </c>
      <c r="J3869">
        <v>1073512661</v>
      </c>
      <c r="K3869" t="s">
        <v>33</v>
      </c>
      <c r="L3869" t="s">
        <v>207</v>
      </c>
      <c r="M3869" t="s">
        <v>24</v>
      </c>
      <c r="N3869" t="s">
        <v>25</v>
      </c>
      <c r="O3869" t="s">
        <v>26</v>
      </c>
      <c r="P3869" t="s">
        <v>27</v>
      </c>
      <c r="Q3869" t="s">
        <v>28</v>
      </c>
      <c r="R3869" t="s">
        <v>29</v>
      </c>
      <c r="S3869" t="s">
        <v>30</v>
      </c>
      <c r="T3869">
        <v>1070815435</v>
      </c>
      <c r="U3869" t="s">
        <v>3986</v>
      </c>
      <c r="V3869" t="s">
        <v>3934</v>
      </c>
      <c r="W3869" s="9">
        <f>IF(V3869="pregrado",31,
IF(V3869="posgrados",31,
IF(V3869="rEINTEGROS",7,
IF(V3869="BIT",90,
IF(V3869="OP GRADO - INGLÉS",17,"")))))</f>
        <v>31</v>
      </c>
      <c r="X3869" t="s">
        <v>4038</v>
      </c>
    </row>
    <row r="3870" spans="1:24" ht="15" x14ac:dyDescent="0.35">
      <c r="A3870" s="4">
        <v>46063.7028125</v>
      </c>
      <c r="B3870">
        <v>20122170</v>
      </c>
      <c r="C3870" s="6" t="s">
        <v>19</v>
      </c>
      <c r="D3870">
        <v>608892</v>
      </c>
      <c r="E3870" t="s">
        <v>20</v>
      </c>
      <c r="F3870">
        <v>79543320</v>
      </c>
      <c r="G3870" t="s">
        <v>3003</v>
      </c>
      <c r="H3870">
        <v>100245447</v>
      </c>
      <c r="I3870">
        <v>202610</v>
      </c>
      <c r="J3870">
        <v>1016951827</v>
      </c>
      <c r="K3870" t="s">
        <v>74</v>
      </c>
      <c r="L3870" t="s">
        <v>79</v>
      </c>
      <c r="M3870" t="s">
        <v>24</v>
      </c>
      <c r="N3870" t="s">
        <v>35</v>
      </c>
      <c r="O3870" t="s">
        <v>26</v>
      </c>
      <c r="P3870" t="s">
        <v>27</v>
      </c>
      <c r="Q3870" t="s">
        <v>28</v>
      </c>
      <c r="R3870" t="s">
        <v>29</v>
      </c>
      <c r="S3870" t="s">
        <v>30</v>
      </c>
      <c r="T3870">
        <v>1030570122</v>
      </c>
      <c r="U3870" t="s">
        <v>3965</v>
      </c>
      <c r="V3870" t="s">
        <v>3934</v>
      </c>
      <c r="W3870" s="9">
        <f>IF(V3870="pregrado",31,
IF(V3870="posgrados",31,
IF(V3870="rEINTEGROS",7,
IF(V3870="BIT",90,
IF(V3870="OP GRADO - INGLÉS",17,"")))))</f>
        <v>31</v>
      </c>
      <c r="X3870" t="s">
        <v>4015</v>
      </c>
    </row>
    <row r="3871" spans="1:24" ht="15" x14ac:dyDescent="0.35">
      <c r="A3871" s="4">
        <v>46062.539340277777</v>
      </c>
      <c r="B3871">
        <v>20121648</v>
      </c>
      <c r="C3871" s="6" t="s">
        <v>19</v>
      </c>
      <c r="D3871">
        <v>608900</v>
      </c>
      <c r="E3871" t="s">
        <v>20</v>
      </c>
      <c r="F3871">
        <v>38234135</v>
      </c>
      <c r="G3871" t="s">
        <v>2923</v>
      </c>
      <c r="H3871">
        <v>100245457</v>
      </c>
      <c r="I3871">
        <v>202631</v>
      </c>
      <c r="J3871">
        <v>65634232</v>
      </c>
      <c r="K3871" t="s">
        <v>23</v>
      </c>
      <c r="L3871" t="s">
        <v>240</v>
      </c>
      <c r="M3871" t="s">
        <v>24</v>
      </c>
      <c r="N3871" t="s">
        <v>35</v>
      </c>
      <c r="O3871" t="s">
        <v>26</v>
      </c>
      <c r="P3871" t="s">
        <v>27</v>
      </c>
      <c r="Q3871" t="s">
        <v>28</v>
      </c>
      <c r="R3871" t="s">
        <v>29</v>
      </c>
      <c r="S3871" t="s">
        <v>30</v>
      </c>
      <c r="T3871">
        <v>1030570122</v>
      </c>
      <c r="U3871" t="s">
        <v>3965</v>
      </c>
      <c r="V3871" t="s">
        <v>3934</v>
      </c>
      <c r="W3871" s="9">
        <f>IF(V3871="pregrado",31,
IF(V3871="posgrados",31,
IF(V3871="rEINTEGROS",7,
IF(V3871="BIT",90,
IF(V3871="OP GRADO - INGLÉS",17,"")))))</f>
        <v>31</v>
      </c>
      <c r="X3871" t="s">
        <v>4015</v>
      </c>
    </row>
    <row r="3872" spans="1:24" ht="15" x14ac:dyDescent="0.35">
      <c r="A3872" s="4">
        <v>46071.789004629631</v>
      </c>
      <c r="B3872">
        <v>20124650</v>
      </c>
      <c r="C3872" s="6" t="s">
        <v>19</v>
      </c>
      <c r="D3872">
        <v>608901</v>
      </c>
      <c r="E3872" t="s">
        <v>20</v>
      </c>
      <c r="F3872">
        <v>1123561159</v>
      </c>
      <c r="G3872" t="s">
        <v>3380</v>
      </c>
      <c r="H3872">
        <v>100245458</v>
      </c>
      <c r="I3872">
        <v>202611</v>
      </c>
      <c r="J3872">
        <v>1121416047</v>
      </c>
      <c r="K3872" t="s">
        <v>23</v>
      </c>
      <c r="L3872" t="s">
        <v>204</v>
      </c>
      <c r="M3872" t="s">
        <v>24</v>
      </c>
      <c r="N3872" t="s">
        <v>35</v>
      </c>
      <c r="O3872" t="s">
        <v>26</v>
      </c>
      <c r="P3872" t="s">
        <v>27</v>
      </c>
      <c r="Q3872" t="s">
        <v>28</v>
      </c>
      <c r="R3872" t="s">
        <v>29</v>
      </c>
      <c r="S3872" t="s">
        <v>30</v>
      </c>
      <c r="T3872">
        <v>53061994</v>
      </c>
      <c r="U3872" t="s">
        <v>3941</v>
      </c>
      <c r="V3872" t="s">
        <v>3934</v>
      </c>
      <c r="W3872" s="9">
        <f>IF(V3872="pregrado",31,
IF(V3872="posgrados",31,
IF(V3872="rEINTEGROS",7,
IF(V3872="BIT",90,
IF(V3872="OP GRADO - INGLÉS",17,"")))))</f>
        <v>31</v>
      </c>
      <c r="X3872" t="s">
        <v>3950</v>
      </c>
    </row>
    <row r="3873" spans="1:24" ht="15" x14ac:dyDescent="0.35">
      <c r="A3873" s="4">
        <v>46063.909583333334</v>
      </c>
      <c r="B3873">
        <v>20122260</v>
      </c>
      <c r="C3873" s="6" t="s">
        <v>19</v>
      </c>
      <c r="D3873">
        <v>608911</v>
      </c>
      <c r="E3873" t="s">
        <v>20</v>
      </c>
      <c r="F3873">
        <v>51956685</v>
      </c>
      <c r="G3873" t="s">
        <v>3008</v>
      </c>
      <c r="H3873">
        <v>100245462</v>
      </c>
      <c r="I3873">
        <v>202631</v>
      </c>
      <c r="J3873">
        <v>1021395736</v>
      </c>
      <c r="K3873" t="s">
        <v>33</v>
      </c>
      <c r="L3873" t="s">
        <v>207</v>
      </c>
      <c r="M3873" t="s">
        <v>24</v>
      </c>
      <c r="N3873" t="s">
        <v>38</v>
      </c>
      <c r="O3873" t="s">
        <v>26</v>
      </c>
      <c r="P3873" t="s">
        <v>27</v>
      </c>
      <c r="Q3873" t="s">
        <v>28</v>
      </c>
      <c r="R3873" t="s">
        <v>29</v>
      </c>
      <c r="S3873" t="s">
        <v>30</v>
      </c>
      <c r="T3873">
        <v>1023000285</v>
      </c>
      <c r="U3873" t="s">
        <v>3986</v>
      </c>
      <c r="V3873" t="s">
        <v>3934</v>
      </c>
      <c r="W3873" s="9">
        <f>IF(V3873="pregrado",31,
IF(V3873="posgrados",31,
IF(V3873="rEINTEGROS",7,
IF(V3873="BIT",90,
IF(V3873="OP GRADO - INGLÉS",17,"")))))</f>
        <v>31</v>
      </c>
      <c r="X3873" t="s">
        <v>4097</v>
      </c>
    </row>
    <row r="3874" spans="1:24" ht="15" x14ac:dyDescent="0.35">
      <c r="A3874" s="4">
        <v>46060.250914351855</v>
      </c>
      <c r="B3874">
        <v>20121353</v>
      </c>
      <c r="C3874" s="6" t="s">
        <v>19</v>
      </c>
      <c r="D3874">
        <v>608915</v>
      </c>
      <c r="E3874" t="s">
        <v>20</v>
      </c>
      <c r="F3874">
        <v>1002274359</v>
      </c>
      <c r="G3874" t="s">
        <v>2887</v>
      </c>
      <c r="H3874">
        <v>200119784</v>
      </c>
      <c r="I3874">
        <v>202631</v>
      </c>
      <c r="J3874">
        <v>1002274359</v>
      </c>
      <c r="K3874" t="s">
        <v>33</v>
      </c>
      <c r="L3874" t="s">
        <v>119</v>
      </c>
      <c r="M3874" t="s">
        <v>24</v>
      </c>
      <c r="N3874" t="s">
        <v>35</v>
      </c>
      <c r="O3874" t="s">
        <v>26</v>
      </c>
      <c r="P3874" t="s">
        <v>27</v>
      </c>
      <c r="Q3874" t="s">
        <v>28</v>
      </c>
      <c r="R3874" t="s">
        <v>29</v>
      </c>
      <c r="S3874" t="s">
        <v>30</v>
      </c>
      <c r="T3874">
        <v>52446712</v>
      </c>
      <c r="U3874" t="s">
        <v>3963</v>
      </c>
      <c r="V3874" t="s">
        <v>3934</v>
      </c>
      <c r="W3874" s="9">
        <f>IF(V3874="pregrado",31,
IF(V3874="posgrados",31,
IF(V3874="rEINTEGROS",7,
IF(V3874="BIT",90,
IF(V3874="OP GRADO - INGLÉS",17,"")))))</f>
        <v>31</v>
      </c>
      <c r="X3874" t="s">
        <v>4041</v>
      </c>
    </row>
    <row r="3875" spans="1:24" ht="15" x14ac:dyDescent="0.35">
      <c r="A3875" s="4">
        <v>46077.464189814818</v>
      </c>
      <c r="B3875">
        <v>20125943</v>
      </c>
      <c r="C3875" s="6" t="s">
        <v>19</v>
      </c>
      <c r="D3875">
        <v>608925</v>
      </c>
      <c r="E3875" t="s">
        <v>20</v>
      </c>
      <c r="F3875">
        <v>1010031933</v>
      </c>
      <c r="G3875" t="s">
        <v>3593</v>
      </c>
      <c r="H3875">
        <v>100245470</v>
      </c>
      <c r="I3875">
        <v>202631</v>
      </c>
      <c r="J3875">
        <v>1010031933</v>
      </c>
      <c r="K3875" t="s">
        <v>33</v>
      </c>
      <c r="L3875" t="s">
        <v>207</v>
      </c>
      <c r="M3875" t="s">
        <v>24</v>
      </c>
      <c r="N3875" t="s">
        <v>38</v>
      </c>
      <c r="O3875" t="s">
        <v>26</v>
      </c>
      <c r="P3875" t="s">
        <v>27</v>
      </c>
      <c r="Q3875" t="s">
        <v>28</v>
      </c>
      <c r="R3875" t="s">
        <v>29</v>
      </c>
      <c r="S3875" t="s">
        <v>30</v>
      </c>
      <c r="T3875">
        <v>1023000285</v>
      </c>
      <c r="U3875" t="s">
        <v>3986</v>
      </c>
      <c r="V3875" t="s">
        <v>3934</v>
      </c>
      <c r="W3875" s="9">
        <f>IF(V3875="pregrado",31,
IF(V3875="posgrados",31,
IF(V3875="rEINTEGROS",7,
IF(V3875="BIT",90,
IF(V3875="OP GRADO - INGLÉS",17,"")))))</f>
        <v>31</v>
      </c>
      <c r="X3875" t="s">
        <v>4097</v>
      </c>
    </row>
    <row r="3876" spans="1:24" ht="15" x14ac:dyDescent="0.35">
      <c r="A3876" s="4">
        <v>46069.414247685185</v>
      </c>
      <c r="B3876">
        <v>20123601</v>
      </c>
      <c r="C3876" s="6" t="s">
        <v>19</v>
      </c>
      <c r="D3876">
        <v>608929</v>
      </c>
      <c r="E3876" t="s">
        <v>20</v>
      </c>
      <c r="F3876">
        <v>1000733740</v>
      </c>
      <c r="G3876" t="s">
        <v>3226</v>
      </c>
      <c r="H3876">
        <v>100245473</v>
      </c>
      <c r="I3876">
        <v>202631</v>
      </c>
      <c r="J3876">
        <v>1000733740</v>
      </c>
      <c r="K3876" t="s">
        <v>23</v>
      </c>
      <c r="L3876" t="s">
        <v>219</v>
      </c>
      <c r="M3876" t="s">
        <v>24</v>
      </c>
      <c r="N3876" t="s">
        <v>35</v>
      </c>
      <c r="O3876" t="s">
        <v>26</v>
      </c>
      <c r="P3876" t="s">
        <v>27</v>
      </c>
      <c r="Q3876" t="s">
        <v>28</v>
      </c>
      <c r="R3876" t="s">
        <v>29</v>
      </c>
      <c r="S3876" t="s">
        <v>30</v>
      </c>
      <c r="T3876">
        <v>1001066645</v>
      </c>
      <c r="U3876" t="s">
        <v>3963</v>
      </c>
      <c r="V3876" t="s">
        <v>3934</v>
      </c>
      <c r="W3876" s="9">
        <f>IF(V3876="pregrado",31,
IF(V3876="posgrados",31,
IF(V3876="rEINTEGROS",7,
IF(V3876="BIT",90,
IF(V3876="OP GRADO - INGLÉS",17,"")))))</f>
        <v>31</v>
      </c>
      <c r="X3876" t="s">
        <v>4086</v>
      </c>
    </row>
    <row r="3877" spans="1:24" ht="15" x14ac:dyDescent="0.35">
      <c r="A3877" s="4">
        <v>46063.560891203706</v>
      </c>
      <c r="B3877">
        <v>20122058</v>
      </c>
      <c r="C3877" s="6" t="s">
        <v>19</v>
      </c>
      <c r="D3877">
        <v>608931</v>
      </c>
      <c r="E3877" t="s">
        <v>20</v>
      </c>
      <c r="F3877">
        <v>1144038610</v>
      </c>
      <c r="G3877" t="s">
        <v>2986</v>
      </c>
      <c r="H3877">
        <v>100245475</v>
      </c>
      <c r="I3877">
        <v>202611</v>
      </c>
      <c r="J3877">
        <v>1144038610</v>
      </c>
      <c r="K3877" t="s">
        <v>33</v>
      </c>
      <c r="L3877" t="s">
        <v>204</v>
      </c>
      <c r="M3877" t="s">
        <v>24</v>
      </c>
      <c r="N3877" t="s">
        <v>25</v>
      </c>
      <c r="O3877" t="s">
        <v>26</v>
      </c>
      <c r="P3877" t="s">
        <v>27</v>
      </c>
      <c r="Q3877" t="s">
        <v>28</v>
      </c>
      <c r="R3877" t="s">
        <v>29</v>
      </c>
      <c r="S3877" t="s">
        <v>30</v>
      </c>
      <c r="T3877">
        <v>52182207</v>
      </c>
      <c r="U3877" t="s">
        <v>3941</v>
      </c>
      <c r="V3877" t="s">
        <v>3934</v>
      </c>
      <c r="W3877" s="9">
        <f>IF(V3877="pregrado",31,
IF(V3877="posgrados",31,
IF(V3877="rEINTEGROS",7,
IF(V3877="BIT",90,
IF(V3877="OP GRADO - INGLÉS",17,"")))))</f>
        <v>31</v>
      </c>
      <c r="X3877" t="s">
        <v>3946</v>
      </c>
    </row>
    <row r="3878" spans="1:24" ht="15" x14ac:dyDescent="0.35">
      <c r="A3878" s="4">
        <v>46078.744814814818</v>
      </c>
      <c r="B3878">
        <v>20126350</v>
      </c>
      <c r="C3878" s="6" t="s">
        <v>19</v>
      </c>
      <c r="D3878">
        <v>608934</v>
      </c>
      <c r="E3878" t="s">
        <v>20</v>
      </c>
      <c r="F3878">
        <v>1002558613</v>
      </c>
      <c r="G3878" t="s">
        <v>3643</v>
      </c>
      <c r="H3878">
        <v>100200717</v>
      </c>
      <c r="I3878">
        <v>202631</v>
      </c>
      <c r="J3878">
        <v>1002558613</v>
      </c>
      <c r="K3878" t="s">
        <v>33</v>
      </c>
      <c r="L3878" t="s">
        <v>90</v>
      </c>
      <c r="M3878" t="s">
        <v>24</v>
      </c>
      <c r="N3878" t="s">
        <v>25</v>
      </c>
      <c r="O3878" t="s">
        <v>26</v>
      </c>
      <c r="P3878" t="s">
        <v>27</v>
      </c>
      <c r="Q3878" t="s">
        <v>28</v>
      </c>
      <c r="R3878" t="s">
        <v>29</v>
      </c>
      <c r="S3878" t="s">
        <v>30</v>
      </c>
      <c r="T3878">
        <v>39666517</v>
      </c>
      <c r="U3878" t="s">
        <v>3933</v>
      </c>
      <c r="V3878" t="s">
        <v>3934</v>
      </c>
      <c r="W3878" s="9">
        <f>IF(V3878="pregrado",31,
IF(V3878="posgrados",31,
IF(V3878="rEINTEGROS",7,
IF(V3878="BIT",90,
IF(V3878="OP GRADO - INGLÉS",17,"")))))</f>
        <v>31</v>
      </c>
      <c r="X3878" t="s">
        <v>4025</v>
      </c>
    </row>
    <row r="3879" spans="1:24" ht="15" x14ac:dyDescent="0.35">
      <c r="A3879" s="4">
        <v>46060.797523148147</v>
      </c>
      <c r="B3879">
        <v>20121454</v>
      </c>
      <c r="C3879" s="6" t="s">
        <v>19</v>
      </c>
      <c r="D3879">
        <v>608935</v>
      </c>
      <c r="E3879" t="s">
        <v>20</v>
      </c>
      <c r="F3879">
        <v>49779630</v>
      </c>
      <c r="G3879" t="s">
        <v>2901</v>
      </c>
      <c r="H3879">
        <v>100245417</v>
      </c>
      <c r="I3879">
        <v>202610</v>
      </c>
      <c r="J3879">
        <v>1097912354</v>
      </c>
      <c r="K3879" t="s">
        <v>23</v>
      </c>
      <c r="L3879" t="s">
        <v>40</v>
      </c>
      <c r="M3879" t="s">
        <v>24</v>
      </c>
      <c r="N3879" t="s">
        <v>35</v>
      </c>
      <c r="O3879" t="s">
        <v>26</v>
      </c>
      <c r="P3879" t="s">
        <v>27</v>
      </c>
      <c r="Q3879" t="s">
        <v>28</v>
      </c>
      <c r="R3879" t="s">
        <v>29</v>
      </c>
      <c r="S3879" t="s">
        <v>30</v>
      </c>
      <c r="T3879">
        <v>80021358</v>
      </c>
      <c r="U3879" t="s">
        <v>3986</v>
      </c>
      <c r="V3879" t="s">
        <v>3934</v>
      </c>
      <c r="W3879" s="9">
        <f>IF(V3879="pregrado",31,
IF(V3879="posgrados",31,
IF(V3879="rEINTEGROS",7,
IF(V3879="BIT",90,
IF(V3879="OP GRADO - INGLÉS",17,"")))))</f>
        <v>31</v>
      </c>
      <c r="X3879" t="s">
        <v>3995</v>
      </c>
    </row>
    <row r="3880" spans="1:24" ht="15" x14ac:dyDescent="0.35">
      <c r="A3880" s="4">
        <v>46070.923078703701</v>
      </c>
      <c r="B3880">
        <v>20124316</v>
      </c>
      <c r="C3880" s="6" t="s">
        <v>19</v>
      </c>
      <c r="D3880">
        <v>608944</v>
      </c>
      <c r="E3880" t="s">
        <v>20</v>
      </c>
      <c r="F3880">
        <v>39310384</v>
      </c>
      <c r="G3880" t="s">
        <v>3330</v>
      </c>
      <c r="H3880">
        <v>100245493</v>
      </c>
      <c r="I3880">
        <v>202611</v>
      </c>
      <c r="J3880">
        <v>1045518916</v>
      </c>
      <c r="K3880" t="s">
        <v>23</v>
      </c>
      <c r="L3880" t="s">
        <v>221</v>
      </c>
      <c r="M3880" t="s">
        <v>24</v>
      </c>
      <c r="N3880" t="s">
        <v>35</v>
      </c>
      <c r="O3880" t="s">
        <v>26</v>
      </c>
      <c r="P3880" t="s">
        <v>27</v>
      </c>
      <c r="Q3880" t="s">
        <v>28</v>
      </c>
      <c r="R3880" t="s">
        <v>29</v>
      </c>
      <c r="S3880" t="s">
        <v>30</v>
      </c>
      <c r="T3880">
        <v>1013662799</v>
      </c>
      <c r="U3880" t="s">
        <v>3965</v>
      </c>
      <c r="V3880" t="s">
        <v>3934</v>
      </c>
      <c r="W3880" s="9">
        <f>IF(V3880="pregrado",31,
IF(V3880="posgrados",31,
IF(V3880="rEINTEGROS",7,
IF(V3880="BIT",90,
IF(V3880="OP GRADO - INGLÉS",17,"")))))</f>
        <v>31</v>
      </c>
      <c r="X3880" t="s">
        <v>4021</v>
      </c>
    </row>
    <row r="3881" spans="1:24" ht="15" x14ac:dyDescent="0.35">
      <c r="A3881" s="4">
        <v>46064.368495370371</v>
      </c>
      <c r="B3881">
        <v>20122289</v>
      </c>
      <c r="C3881" s="6" t="s">
        <v>19</v>
      </c>
      <c r="D3881">
        <v>608967</v>
      </c>
      <c r="E3881" t="s">
        <v>20</v>
      </c>
      <c r="F3881">
        <v>10308703</v>
      </c>
      <c r="G3881" t="s">
        <v>3013</v>
      </c>
      <c r="H3881">
        <v>100245508</v>
      </c>
      <c r="I3881">
        <v>202631</v>
      </c>
      <c r="J3881">
        <v>10308703</v>
      </c>
      <c r="K3881" t="s">
        <v>33</v>
      </c>
      <c r="L3881" t="s">
        <v>207</v>
      </c>
      <c r="M3881" t="s">
        <v>24</v>
      </c>
      <c r="N3881" t="s">
        <v>25</v>
      </c>
      <c r="O3881" t="s">
        <v>26</v>
      </c>
      <c r="P3881" t="s">
        <v>27</v>
      </c>
      <c r="Q3881" t="s">
        <v>28</v>
      </c>
      <c r="R3881" t="s">
        <v>29</v>
      </c>
      <c r="S3881" t="s">
        <v>30</v>
      </c>
      <c r="T3881">
        <v>1000286877</v>
      </c>
      <c r="U3881" t="s">
        <v>3986</v>
      </c>
      <c r="V3881" t="s">
        <v>3934</v>
      </c>
      <c r="W3881" s="9">
        <f>IF(V3881="pregrado",31,
IF(V3881="posgrados",31,
IF(V3881="rEINTEGROS",7,
IF(V3881="BIT",90,
IF(V3881="OP GRADO - INGLÉS",17,"")))))</f>
        <v>31</v>
      </c>
      <c r="X3881" t="s">
        <v>4100</v>
      </c>
    </row>
    <row r="3882" spans="1:24" ht="15" x14ac:dyDescent="0.35">
      <c r="A3882" s="4">
        <v>46062.712476851855</v>
      </c>
      <c r="B3882">
        <v>20121817</v>
      </c>
      <c r="C3882" s="6" t="s">
        <v>19</v>
      </c>
      <c r="D3882">
        <v>608971</v>
      </c>
      <c r="E3882" t="s">
        <v>20</v>
      </c>
      <c r="F3882">
        <v>1020734252</v>
      </c>
      <c r="G3882" t="s">
        <v>2947</v>
      </c>
      <c r="H3882">
        <v>100245512</v>
      </c>
      <c r="I3882">
        <v>202611</v>
      </c>
      <c r="J3882">
        <v>1020734252</v>
      </c>
      <c r="K3882" t="s">
        <v>23</v>
      </c>
      <c r="L3882" t="s">
        <v>221</v>
      </c>
      <c r="M3882" t="s">
        <v>24</v>
      </c>
      <c r="N3882" t="s">
        <v>38</v>
      </c>
      <c r="O3882" t="s">
        <v>26</v>
      </c>
      <c r="P3882" t="s">
        <v>27</v>
      </c>
      <c r="Q3882" t="s">
        <v>28</v>
      </c>
      <c r="R3882" t="s">
        <v>29</v>
      </c>
      <c r="S3882" t="s">
        <v>30</v>
      </c>
      <c r="T3882">
        <v>1003652550</v>
      </c>
      <c r="U3882" t="s">
        <v>3965</v>
      </c>
      <c r="V3882" t="s">
        <v>3934</v>
      </c>
      <c r="W3882" s="9">
        <f>IF(V3882="pregrado",31,
IF(V3882="posgrados",31,
IF(V3882="rEINTEGROS",7,
IF(V3882="BIT",90,
IF(V3882="OP GRADO - INGLÉS",17,"")))))</f>
        <v>31</v>
      </c>
      <c r="X3882" t="s">
        <v>4059</v>
      </c>
    </row>
    <row r="3883" spans="1:24" ht="15" x14ac:dyDescent="0.35">
      <c r="A3883" s="4">
        <v>46062.675949074073</v>
      </c>
      <c r="B3883">
        <v>20121777</v>
      </c>
      <c r="C3883" s="6" t="s">
        <v>19</v>
      </c>
      <c r="D3883">
        <v>608974</v>
      </c>
      <c r="E3883" t="s">
        <v>20</v>
      </c>
      <c r="F3883">
        <v>1031128809</v>
      </c>
      <c r="G3883" t="s">
        <v>2943</v>
      </c>
      <c r="H3883">
        <v>100245515</v>
      </c>
      <c r="I3883">
        <v>202631</v>
      </c>
      <c r="J3883">
        <v>1031128809</v>
      </c>
      <c r="K3883" t="s">
        <v>23</v>
      </c>
      <c r="L3883" t="s">
        <v>240</v>
      </c>
      <c r="M3883" t="s">
        <v>24</v>
      </c>
      <c r="N3883" t="s">
        <v>35</v>
      </c>
      <c r="O3883" t="s">
        <v>26</v>
      </c>
      <c r="P3883" t="s">
        <v>27</v>
      </c>
      <c r="Q3883" t="s">
        <v>28</v>
      </c>
      <c r="R3883" t="s">
        <v>29</v>
      </c>
      <c r="S3883" t="s">
        <v>30</v>
      </c>
      <c r="T3883">
        <v>1003652550</v>
      </c>
      <c r="U3883" t="s">
        <v>3965</v>
      </c>
      <c r="V3883" t="s">
        <v>3934</v>
      </c>
      <c r="W3883" s="9">
        <f>IF(V3883="pregrado",31,
IF(V3883="posgrados",31,
IF(V3883="rEINTEGROS",7,
IF(V3883="BIT",90,
IF(V3883="OP GRADO - INGLÉS",17,"")))))</f>
        <v>31</v>
      </c>
      <c r="X3883" t="s">
        <v>4059</v>
      </c>
    </row>
    <row r="3884" spans="1:24" ht="15" x14ac:dyDescent="0.35">
      <c r="A3884" s="4">
        <v>46062.548877314817</v>
      </c>
      <c r="B3884">
        <v>20121655</v>
      </c>
      <c r="C3884" s="6" t="s">
        <v>19</v>
      </c>
      <c r="D3884">
        <v>608979</v>
      </c>
      <c r="E3884" t="s">
        <v>20</v>
      </c>
      <c r="F3884">
        <v>1084847926</v>
      </c>
      <c r="G3884" t="s">
        <v>2924</v>
      </c>
      <c r="H3884">
        <v>100119652</v>
      </c>
      <c r="I3884">
        <v>202631</v>
      </c>
      <c r="J3884">
        <v>1084847926</v>
      </c>
      <c r="K3884" t="s">
        <v>23</v>
      </c>
      <c r="L3884" t="s">
        <v>240</v>
      </c>
      <c r="M3884" t="s">
        <v>24</v>
      </c>
      <c r="N3884" t="s">
        <v>35</v>
      </c>
      <c r="O3884" t="s">
        <v>26</v>
      </c>
      <c r="P3884" t="s">
        <v>27</v>
      </c>
      <c r="Q3884" t="s">
        <v>28</v>
      </c>
      <c r="R3884" t="s">
        <v>29</v>
      </c>
      <c r="S3884" t="s">
        <v>30</v>
      </c>
      <c r="T3884">
        <v>1030570122</v>
      </c>
      <c r="U3884" t="s">
        <v>3965</v>
      </c>
      <c r="V3884" t="s">
        <v>3934</v>
      </c>
      <c r="W3884" s="9">
        <f>IF(V3884="pregrado",31,
IF(V3884="posgrados",31,
IF(V3884="rEINTEGROS",7,
IF(V3884="BIT",90,
IF(V3884="OP GRADO - INGLÉS",17,"")))))</f>
        <v>31</v>
      </c>
      <c r="X3884" t="s">
        <v>4015</v>
      </c>
    </row>
    <row r="3885" spans="1:24" ht="15" x14ac:dyDescent="0.35">
      <c r="A3885" s="4">
        <v>46064.691643518519</v>
      </c>
      <c r="B3885">
        <v>20122523</v>
      </c>
      <c r="C3885" s="6" t="s">
        <v>19</v>
      </c>
      <c r="D3885">
        <v>608980</v>
      </c>
      <c r="E3885" t="s">
        <v>20</v>
      </c>
      <c r="F3885">
        <v>1023037163</v>
      </c>
      <c r="G3885" t="s">
        <v>3046</v>
      </c>
      <c r="H3885">
        <v>100245522</v>
      </c>
      <c r="I3885">
        <v>202611</v>
      </c>
      <c r="J3885">
        <v>1023037163</v>
      </c>
      <c r="K3885" t="s">
        <v>74</v>
      </c>
      <c r="L3885" t="s">
        <v>221</v>
      </c>
      <c r="M3885" t="s">
        <v>24</v>
      </c>
      <c r="N3885" t="s">
        <v>35</v>
      </c>
      <c r="O3885" t="s">
        <v>26</v>
      </c>
      <c r="P3885" t="s">
        <v>27</v>
      </c>
      <c r="Q3885" t="s">
        <v>28</v>
      </c>
      <c r="R3885" t="s">
        <v>29</v>
      </c>
      <c r="S3885" t="s">
        <v>30</v>
      </c>
      <c r="T3885">
        <v>1030573476</v>
      </c>
      <c r="U3885" t="s">
        <v>3965</v>
      </c>
      <c r="V3885" t="s">
        <v>3934</v>
      </c>
      <c r="W3885" s="9">
        <f>IF(V3885="pregrado",31,
IF(V3885="posgrados",31,
IF(V3885="rEINTEGROS",7,
IF(V3885="BIT",90,
IF(V3885="OP GRADO - INGLÉS",17,"")))))</f>
        <v>31</v>
      </c>
      <c r="X3885" t="s">
        <v>4077</v>
      </c>
    </row>
    <row r="3886" spans="1:24" ht="15" x14ac:dyDescent="0.35">
      <c r="A3886" s="4">
        <v>46062.609780092593</v>
      </c>
      <c r="B3886">
        <v>20121705</v>
      </c>
      <c r="C3886" s="6" t="s">
        <v>19</v>
      </c>
      <c r="D3886">
        <v>608988</v>
      </c>
      <c r="E3886" t="s">
        <v>20</v>
      </c>
      <c r="F3886">
        <v>1023969734</v>
      </c>
      <c r="G3886" t="s">
        <v>2930</v>
      </c>
      <c r="H3886">
        <v>100245533</v>
      </c>
      <c r="I3886">
        <v>202631</v>
      </c>
      <c r="J3886">
        <v>1023969734</v>
      </c>
      <c r="K3886" t="s">
        <v>74</v>
      </c>
      <c r="L3886" t="s">
        <v>127</v>
      </c>
      <c r="M3886" t="s">
        <v>24</v>
      </c>
      <c r="N3886" t="s">
        <v>35</v>
      </c>
      <c r="O3886" t="s">
        <v>26</v>
      </c>
      <c r="P3886" t="s">
        <v>27</v>
      </c>
      <c r="Q3886" t="s">
        <v>28</v>
      </c>
      <c r="R3886" t="s">
        <v>29</v>
      </c>
      <c r="S3886" t="s">
        <v>30</v>
      </c>
      <c r="T3886">
        <v>1023921046</v>
      </c>
      <c r="U3886" t="s">
        <v>3933</v>
      </c>
      <c r="V3886" t="s">
        <v>3934</v>
      </c>
      <c r="W3886" s="9">
        <f>IF(V3886="pregrado",31,
IF(V3886="posgrados",31,
IF(V3886="rEINTEGROS",7,
IF(V3886="BIT",90,
IF(V3886="OP GRADO - INGLÉS",17,"")))))</f>
        <v>31</v>
      </c>
      <c r="X3886" t="s">
        <v>4043</v>
      </c>
    </row>
    <row r="3887" spans="1:24" ht="15" x14ac:dyDescent="0.35">
      <c r="A3887" s="4">
        <v>46062.468206018515</v>
      </c>
      <c r="B3887">
        <v>20121595</v>
      </c>
      <c r="C3887" s="6" t="s">
        <v>19</v>
      </c>
      <c r="D3887">
        <v>608991</v>
      </c>
      <c r="E3887" t="s">
        <v>20</v>
      </c>
      <c r="F3887">
        <v>52364170</v>
      </c>
      <c r="G3887" t="s">
        <v>2917</v>
      </c>
      <c r="H3887">
        <v>100245536</v>
      </c>
      <c r="I3887">
        <v>202631</v>
      </c>
      <c r="J3887">
        <v>1000535412</v>
      </c>
      <c r="K3887" t="s">
        <v>74</v>
      </c>
      <c r="L3887" t="s">
        <v>231</v>
      </c>
      <c r="M3887" t="s">
        <v>24</v>
      </c>
      <c r="N3887" t="s">
        <v>35</v>
      </c>
      <c r="O3887" t="s">
        <v>26</v>
      </c>
      <c r="P3887" t="s">
        <v>27</v>
      </c>
      <c r="Q3887" t="s">
        <v>28</v>
      </c>
      <c r="R3887" t="s">
        <v>29</v>
      </c>
      <c r="S3887" t="s">
        <v>30</v>
      </c>
      <c r="T3887">
        <v>1001315142</v>
      </c>
      <c r="U3887" t="s">
        <v>3986</v>
      </c>
      <c r="V3887" t="s">
        <v>3934</v>
      </c>
      <c r="W3887" s="9">
        <f>IF(V3887="pregrado",31,
IF(V3887="posgrados",31,
IF(V3887="rEINTEGROS",7,
IF(V3887="BIT",90,
IF(V3887="OP GRADO - INGLÉS",17,"")))))</f>
        <v>31</v>
      </c>
      <c r="X3887" t="s">
        <v>4064</v>
      </c>
    </row>
    <row r="3888" spans="1:24" ht="15" x14ac:dyDescent="0.35">
      <c r="A3888" s="4">
        <v>46066.702800925923</v>
      </c>
      <c r="B3888">
        <v>20123311</v>
      </c>
      <c r="C3888" s="6" t="s">
        <v>19</v>
      </c>
      <c r="D3888">
        <v>608998</v>
      </c>
      <c r="E3888" t="s">
        <v>20</v>
      </c>
      <c r="F3888">
        <v>1010016447</v>
      </c>
      <c r="G3888" t="s">
        <v>3184</v>
      </c>
      <c r="H3888">
        <v>100245544</v>
      </c>
      <c r="I3888">
        <v>202611</v>
      </c>
      <c r="J3888">
        <v>1010016447</v>
      </c>
      <c r="K3888" t="s">
        <v>74</v>
      </c>
      <c r="L3888" t="s">
        <v>221</v>
      </c>
      <c r="M3888" t="s">
        <v>24</v>
      </c>
      <c r="N3888" t="s">
        <v>35</v>
      </c>
      <c r="O3888" t="s">
        <v>26</v>
      </c>
      <c r="P3888" t="s">
        <v>27</v>
      </c>
      <c r="Q3888" t="s">
        <v>28</v>
      </c>
      <c r="R3888" t="s">
        <v>29</v>
      </c>
      <c r="S3888" t="s">
        <v>30</v>
      </c>
      <c r="T3888">
        <v>52342867</v>
      </c>
      <c r="U3888" t="s">
        <v>3965</v>
      </c>
      <c r="V3888" t="s">
        <v>3934</v>
      </c>
      <c r="W3888" s="9">
        <f>IF(V3888="pregrado",31,
IF(V3888="posgrados",31,
IF(V3888="rEINTEGROS",7,
IF(V3888="BIT",90,
IF(V3888="OP GRADO - INGLÉS",17,"")))))</f>
        <v>31</v>
      </c>
      <c r="X3888" t="s">
        <v>4047</v>
      </c>
    </row>
    <row r="3889" spans="1:24" ht="15" x14ac:dyDescent="0.35">
      <c r="A3889" s="4">
        <v>46062.620925925927</v>
      </c>
      <c r="B3889">
        <v>20121712</v>
      </c>
      <c r="C3889" s="6" t="s">
        <v>19</v>
      </c>
      <c r="D3889">
        <v>609006</v>
      </c>
      <c r="E3889" t="s">
        <v>20</v>
      </c>
      <c r="F3889">
        <v>1000047886</v>
      </c>
      <c r="G3889" t="s">
        <v>2931</v>
      </c>
      <c r="H3889">
        <v>100245555</v>
      </c>
      <c r="I3889">
        <v>202631</v>
      </c>
      <c r="J3889">
        <v>1000047886</v>
      </c>
      <c r="K3889" t="s">
        <v>83</v>
      </c>
      <c r="L3889" t="s">
        <v>32</v>
      </c>
      <c r="M3889" t="s">
        <v>24</v>
      </c>
      <c r="N3889" t="s">
        <v>38</v>
      </c>
      <c r="O3889" t="s">
        <v>26</v>
      </c>
      <c r="P3889" t="s">
        <v>27</v>
      </c>
      <c r="Q3889" t="s">
        <v>28</v>
      </c>
      <c r="R3889" t="s">
        <v>29</v>
      </c>
      <c r="S3889" t="s">
        <v>30</v>
      </c>
      <c r="T3889">
        <v>53139409</v>
      </c>
      <c r="U3889" t="s">
        <v>3944</v>
      </c>
      <c r="V3889" t="s">
        <v>3934</v>
      </c>
      <c r="W3889" s="9">
        <f>IF(V3889="pregrado",31,
IF(V3889="posgrados",31,
IF(V3889="rEINTEGROS",7,
IF(V3889="BIT",90,
IF(V3889="OP GRADO - INGLÉS",17,"")))))</f>
        <v>31</v>
      </c>
      <c r="X3889" t="s">
        <v>3955</v>
      </c>
    </row>
    <row r="3890" spans="1:24" ht="15" x14ac:dyDescent="0.35">
      <c r="A3890" s="4">
        <v>46062.464687500003</v>
      </c>
      <c r="B3890">
        <v>20121591</v>
      </c>
      <c r="C3890" s="6" t="s">
        <v>19</v>
      </c>
      <c r="D3890">
        <v>609012</v>
      </c>
      <c r="E3890" t="s">
        <v>20</v>
      </c>
      <c r="F3890">
        <v>1121889987</v>
      </c>
      <c r="G3890" t="s">
        <v>2915</v>
      </c>
      <c r="H3890">
        <v>100245562</v>
      </c>
      <c r="I3890">
        <v>202631</v>
      </c>
      <c r="J3890">
        <v>1121889987</v>
      </c>
      <c r="K3890" t="s">
        <v>23</v>
      </c>
      <c r="L3890" t="s">
        <v>240</v>
      </c>
      <c r="M3890" t="s">
        <v>24</v>
      </c>
      <c r="N3890" t="s">
        <v>35</v>
      </c>
      <c r="O3890" t="s">
        <v>26</v>
      </c>
      <c r="P3890" t="s">
        <v>27</v>
      </c>
      <c r="Q3890" t="s">
        <v>28</v>
      </c>
      <c r="R3890" t="s">
        <v>29</v>
      </c>
      <c r="S3890" t="s">
        <v>30</v>
      </c>
      <c r="T3890">
        <v>1030651078</v>
      </c>
      <c r="U3890" t="s">
        <v>3965</v>
      </c>
      <c r="V3890" t="s">
        <v>3934</v>
      </c>
      <c r="W3890" s="9">
        <f>IF(V3890="pregrado",31,
IF(V3890="posgrados",31,
IF(V3890="rEINTEGROS",7,
IF(V3890="BIT",90,
IF(V3890="OP GRADO - INGLÉS",17,"")))))</f>
        <v>31</v>
      </c>
      <c r="X3890" t="s">
        <v>4085</v>
      </c>
    </row>
    <row r="3891" spans="1:24" ht="15" x14ac:dyDescent="0.35">
      <c r="A3891" s="4">
        <v>46063.498333333337</v>
      </c>
      <c r="B3891">
        <v>20122028</v>
      </c>
      <c r="C3891" s="6" t="s">
        <v>19</v>
      </c>
      <c r="D3891">
        <v>609015</v>
      </c>
      <c r="E3891" t="s">
        <v>20</v>
      </c>
      <c r="F3891">
        <v>86081978</v>
      </c>
      <c r="G3891" t="s">
        <v>2979</v>
      </c>
      <c r="H3891">
        <v>100230766</v>
      </c>
      <c r="I3891">
        <v>202611</v>
      </c>
      <c r="J3891">
        <v>1124833188</v>
      </c>
      <c r="K3891" t="s">
        <v>74</v>
      </c>
      <c r="L3891" t="s">
        <v>221</v>
      </c>
      <c r="M3891" t="s">
        <v>24</v>
      </c>
      <c r="N3891" t="s">
        <v>35</v>
      </c>
      <c r="O3891" t="s">
        <v>26</v>
      </c>
      <c r="P3891" t="s">
        <v>27</v>
      </c>
      <c r="Q3891" t="s">
        <v>28</v>
      </c>
      <c r="R3891" t="s">
        <v>29</v>
      </c>
      <c r="S3891" t="s">
        <v>30</v>
      </c>
      <c r="T3891">
        <v>45555807</v>
      </c>
      <c r="U3891" t="s">
        <v>3965</v>
      </c>
      <c r="V3891" t="s">
        <v>3934</v>
      </c>
      <c r="W3891" s="9">
        <f>IF(V3891="pregrado",31,
IF(V3891="posgrados",31,
IF(V3891="rEINTEGROS",7,
IF(V3891="BIT",90,
IF(V3891="OP GRADO - INGLÉS",17,"")))))</f>
        <v>31</v>
      </c>
      <c r="X3891" t="s">
        <v>4027</v>
      </c>
    </row>
    <row r="3892" spans="1:24" ht="15" x14ac:dyDescent="0.35">
      <c r="A3892" s="4">
        <v>46062.833414351851</v>
      </c>
      <c r="B3892">
        <v>20121889</v>
      </c>
      <c r="C3892" s="6" t="s">
        <v>19</v>
      </c>
      <c r="D3892">
        <v>609067</v>
      </c>
      <c r="E3892" t="s">
        <v>20</v>
      </c>
      <c r="F3892">
        <v>1010760705</v>
      </c>
      <c r="G3892" t="s">
        <v>2960</v>
      </c>
      <c r="H3892">
        <v>100245629</v>
      </c>
      <c r="I3892">
        <v>202610</v>
      </c>
      <c r="J3892">
        <v>1010760705</v>
      </c>
      <c r="K3892" t="s">
        <v>23</v>
      </c>
      <c r="L3892" t="s">
        <v>153</v>
      </c>
      <c r="M3892" t="s">
        <v>24</v>
      </c>
      <c r="N3892" t="s">
        <v>25</v>
      </c>
      <c r="O3892" t="s">
        <v>26</v>
      </c>
      <c r="P3892" t="s">
        <v>27</v>
      </c>
      <c r="Q3892" t="s">
        <v>28</v>
      </c>
      <c r="R3892" t="s">
        <v>29</v>
      </c>
      <c r="S3892" t="s">
        <v>30</v>
      </c>
      <c r="T3892">
        <v>1013662799</v>
      </c>
      <c r="U3892" t="s">
        <v>3965</v>
      </c>
      <c r="V3892" t="s">
        <v>3934</v>
      </c>
      <c r="W3892" s="9">
        <f>IF(V3892="pregrado",31,
IF(V3892="posgrados",31,
IF(V3892="rEINTEGROS",7,
IF(V3892="BIT",90,
IF(V3892="OP GRADO - INGLÉS",17,"")))))</f>
        <v>31</v>
      </c>
      <c r="X3892" t="s">
        <v>4021</v>
      </c>
    </row>
    <row r="3893" spans="1:24" ht="15" x14ac:dyDescent="0.35">
      <c r="A3893" s="4">
        <v>46065.541006944448</v>
      </c>
      <c r="B3893">
        <v>20122805</v>
      </c>
      <c r="C3893" s="6" t="s">
        <v>19</v>
      </c>
      <c r="D3893">
        <v>609077</v>
      </c>
      <c r="E3893" t="s">
        <v>20</v>
      </c>
      <c r="F3893">
        <v>1002605965</v>
      </c>
      <c r="G3893" t="s">
        <v>3095</v>
      </c>
      <c r="H3893">
        <v>100245639</v>
      </c>
      <c r="I3893">
        <v>202631</v>
      </c>
      <c r="J3893">
        <v>1002605965</v>
      </c>
      <c r="K3893" t="s">
        <v>33</v>
      </c>
      <c r="L3893" t="s">
        <v>127</v>
      </c>
      <c r="M3893" t="s">
        <v>24</v>
      </c>
      <c r="N3893" t="s">
        <v>25</v>
      </c>
      <c r="O3893" t="s">
        <v>26</v>
      </c>
      <c r="P3893" t="s">
        <v>27</v>
      </c>
      <c r="Q3893" t="s">
        <v>28</v>
      </c>
      <c r="R3893" t="s">
        <v>29</v>
      </c>
      <c r="S3893" t="s">
        <v>30</v>
      </c>
      <c r="T3893">
        <v>1030525993</v>
      </c>
      <c r="U3893" t="s">
        <v>3933</v>
      </c>
      <c r="V3893" t="s">
        <v>3934</v>
      </c>
      <c r="W3893" s="9">
        <f>IF(V3893="pregrado",31,
IF(V3893="posgrados",31,
IF(V3893="rEINTEGROS",7,
IF(V3893="BIT",90,
IF(V3893="OP GRADO - INGLÉS",17,"")))))</f>
        <v>31</v>
      </c>
      <c r="X3893" t="s">
        <v>3956</v>
      </c>
    </row>
    <row r="3894" spans="1:24" ht="15" x14ac:dyDescent="0.35">
      <c r="A3894" s="4">
        <v>46062.52416666667</v>
      </c>
      <c r="B3894">
        <v>20121632</v>
      </c>
      <c r="C3894" s="6" t="s">
        <v>19</v>
      </c>
      <c r="D3894">
        <v>609080</v>
      </c>
      <c r="E3894" t="s">
        <v>20</v>
      </c>
      <c r="F3894">
        <v>51931378</v>
      </c>
      <c r="G3894" t="s">
        <v>2921</v>
      </c>
      <c r="H3894">
        <v>100245645</v>
      </c>
      <c r="I3894">
        <v>202610</v>
      </c>
      <c r="J3894">
        <v>1000227191</v>
      </c>
      <c r="K3894" t="s">
        <v>23</v>
      </c>
      <c r="L3894" t="s">
        <v>107</v>
      </c>
      <c r="M3894" t="s">
        <v>24</v>
      </c>
      <c r="N3894" t="s">
        <v>35</v>
      </c>
      <c r="O3894" t="s">
        <v>26</v>
      </c>
      <c r="P3894" t="s">
        <v>27</v>
      </c>
      <c r="Q3894" t="s">
        <v>28</v>
      </c>
      <c r="R3894" t="s">
        <v>29</v>
      </c>
      <c r="S3894" t="s">
        <v>30</v>
      </c>
      <c r="T3894">
        <v>1024572316</v>
      </c>
      <c r="U3894" t="s">
        <v>3941</v>
      </c>
      <c r="V3894" t="s">
        <v>3934</v>
      </c>
      <c r="W3894" s="9">
        <f>IF(V3894="pregrado",31,
IF(V3894="posgrados",31,
IF(V3894="rEINTEGROS",7,
IF(V3894="BIT",90,
IF(V3894="OP GRADO - INGLÉS",17,"")))))</f>
        <v>31</v>
      </c>
      <c r="X3894" t="s">
        <v>4000</v>
      </c>
    </row>
    <row r="3895" spans="1:24" ht="15" x14ac:dyDescent="0.35">
      <c r="A3895" s="4">
        <v>46064.806851851848</v>
      </c>
      <c r="B3895">
        <v>20122607</v>
      </c>
      <c r="C3895" s="6" t="s">
        <v>19</v>
      </c>
      <c r="D3895">
        <v>609084</v>
      </c>
      <c r="E3895" t="s">
        <v>20</v>
      </c>
      <c r="F3895">
        <v>1065618207</v>
      </c>
      <c r="G3895" t="s">
        <v>3059</v>
      </c>
      <c r="H3895">
        <v>100127209</v>
      </c>
      <c r="I3895">
        <v>202631</v>
      </c>
      <c r="J3895">
        <v>1065806275</v>
      </c>
      <c r="K3895" t="s">
        <v>89</v>
      </c>
      <c r="L3895" t="s">
        <v>127</v>
      </c>
      <c r="M3895" t="s">
        <v>24</v>
      </c>
      <c r="N3895" t="s">
        <v>25</v>
      </c>
      <c r="O3895" t="s">
        <v>26</v>
      </c>
      <c r="P3895" t="s">
        <v>27</v>
      </c>
      <c r="Q3895" t="s">
        <v>28</v>
      </c>
      <c r="R3895" t="s">
        <v>29</v>
      </c>
      <c r="S3895" t="s">
        <v>30</v>
      </c>
      <c r="T3895">
        <v>1019102787</v>
      </c>
      <c r="U3895" t="s">
        <v>3977</v>
      </c>
      <c r="V3895" t="s">
        <v>3970</v>
      </c>
      <c r="W3895" s="9">
        <f>IF(V3895="pregrado",31,
IF(V3895="posgrados",31,
IF(V3895="rEINTEGROS",7,
IF(V3895="BIT",90,
IF(V3895="OP GRADO - INGLÉS",17,"")))))</f>
        <v>7</v>
      </c>
      <c r="X3895" t="s">
        <v>3976</v>
      </c>
    </row>
    <row r="3896" spans="1:24" ht="15" x14ac:dyDescent="0.35">
      <c r="A3896" s="4">
        <v>46064.631539351853</v>
      </c>
      <c r="B3896">
        <v>20122460</v>
      </c>
      <c r="C3896" s="6" t="s">
        <v>19</v>
      </c>
      <c r="D3896">
        <v>609087</v>
      </c>
      <c r="E3896" t="s">
        <v>20</v>
      </c>
      <c r="F3896">
        <v>1000123156</v>
      </c>
      <c r="G3896" t="s">
        <v>3036</v>
      </c>
      <c r="H3896">
        <v>100104095</v>
      </c>
      <c r="I3896">
        <v>202610</v>
      </c>
      <c r="J3896">
        <v>1000123156</v>
      </c>
      <c r="K3896" t="s">
        <v>89</v>
      </c>
      <c r="L3896" t="s">
        <v>79</v>
      </c>
      <c r="M3896" t="s">
        <v>24</v>
      </c>
      <c r="N3896" t="s">
        <v>38</v>
      </c>
      <c r="O3896" t="s">
        <v>26</v>
      </c>
      <c r="P3896" t="s">
        <v>27</v>
      </c>
      <c r="Q3896" t="s">
        <v>28</v>
      </c>
      <c r="R3896" t="s">
        <v>29</v>
      </c>
      <c r="S3896" t="s">
        <v>30</v>
      </c>
      <c r="T3896">
        <v>1019102787</v>
      </c>
      <c r="U3896" t="s">
        <v>3977</v>
      </c>
      <c r="V3896" t="s">
        <v>3970</v>
      </c>
      <c r="W3896" s="9">
        <f>IF(V3896="pregrado",31,
IF(V3896="posgrados",31,
IF(V3896="rEINTEGROS",7,
IF(V3896="BIT",90,
IF(V3896="OP GRADO - INGLÉS",17,"")))))</f>
        <v>7</v>
      </c>
      <c r="X3896" t="s">
        <v>3976</v>
      </c>
    </row>
    <row r="3897" spans="1:24" ht="15" x14ac:dyDescent="0.35">
      <c r="A3897" s="4">
        <v>46066.488587962966</v>
      </c>
      <c r="B3897">
        <v>20123156</v>
      </c>
      <c r="C3897" s="6" t="s">
        <v>19</v>
      </c>
      <c r="D3897">
        <v>609091</v>
      </c>
      <c r="E3897" t="s">
        <v>20</v>
      </c>
      <c r="F3897">
        <v>1000697195</v>
      </c>
      <c r="G3897" t="s">
        <v>3155</v>
      </c>
      <c r="H3897">
        <v>100231950</v>
      </c>
      <c r="I3897">
        <v>202631</v>
      </c>
      <c r="J3897">
        <v>1023083415</v>
      </c>
      <c r="K3897" t="s">
        <v>33</v>
      </c>
      <c r="L3897" t="s">
        <v>90</v>
      </c>
      <c r="M3897" t="s">
        <v>24</v>
      </c>
      <c r="N3897" t="s">
        <v>25</v>
      </c>
      <c r="O3897" t="s">
        <v>26</v>
      </c>
      <c r="P3897" t="s">
        <v>27</v>
      </c>
      <c r="Q3897" t="s">
        <v>28</v>
      </c>
      <c r="R3897" t="s">
        <v>29</v>
      </c>
      <c r="S3897" t="s">
        <v>30</v>
      </c>
      <c r="T3897">
        <v>1015441103</v>
      </c>
      <c r="U3897" t="s">
        <v>3933</v>
      </c>
      <c r="V3897" t="s">
        <v>3934</v>
      </c>
      <c r="W3897" s="9">
        <f>IF(V3897="pregrado",31,
IF(V3897="posgrados",31,
IF(V3897="rEINTEGROS",7,
IF(V3897="BIT",90,
IF(V3897="OP GRADO - INGLÉS",17,"")))))</f>
        <v>31</v>
      </c>
      <c r="X3897" t="s">
        <v>3961</v>
      </c>
    </row>
    <row r="3898" spans="1:24" ht="15" x14ac:dyDescent="0.35">
      <c r="A3898" s="4">
        <v>46063.535960648151</v>
      </c>
      <c r="B3898">
        <v>20122047</v>
      </c>
      <c r="C3898" s="6" t="s">
        <v>19</v>
      </c>
      <c r="D3898">
        <v>609093</v>
      </c>
      <c r="E3898" t="s">
        <v>20</v>
      </c>
      <c r="F3898">
        <v>1037368559</v>
      </c>
      <c r="G3898" t="s">
        <v>2984</v>
      </c>
      <c r="H3898">
        <v>100245657</v>
      </c>
      <c r="I3898">
        <v>202631</v>
      </c>
      <c r="J3898">
        <v>1037368559</v>
      </c>
      <c r="K3898" t="s">
        <v>83</v>
      </c>
      <c r="L3898" t="s">
        <v>207</v>
      </c>
      <c r="M3898" t="s">
        <v>24</v>
      </c>
      <c r="N3898" t="s">
        <v>25</v>
      </c>
      <c r="O3898" t="s">
        <v>26</v>
      </c>
      <c r="P3898" t="s">
        <v>27</v>
      </c>
      <c r="Q3898" t="s">
        <v>28</v>
      </c>
      <c r="R3898" t="s">
        <v>29</v>
      </c>
      <c r="S3898" t="s">
        <v>30</v>
      </c>
      <c r="T3898">
        <v>52876433</v>
      </c>
      <c r="U3898" t="s">
        <v>3986</v>
      </c>
      <c r="V3898" t="s">
        <v>3934</v>
      </c>
      <c r="W3898" s="9">
        <f>IF(V3898="pregrado",31,
IF(V3898="posgrados",31,
IF(V3898="rEINTEGROS",7,
IF(V3898="BIT",90,
IF(V3898="OP GRADO - INGLÉS",17,"")))))</f>
        <v>31</v>
      </c>
      <c r="X3898" t="s">
        <v>4078</v>
      </c>
    </row>
    <row r="3899" spans="1:24" ht="15" x14ac:dyDescent="0.35">
      <c r="A3899" s="4">
        <v>46064.398657407408</v>
      </c>
      <c r="B3899">
        <v>20122312</v>
      </c>
      <c r="C3899" s="6" t="s">
        <v>19</v>
      </c>
      <c r="D3899">
        <v>609094</v>
      </c>
      <c r="E3899" t="s">
        <v>20</v>
      </c>
      <c r="F3899">
        <v>1144134323</v>
      </c>
      <c r="G3899" t="s">
        <v>3015</v>
      </c>
      <c r="H3899">
        <v>100245659</v>
      </c>
      <c r="I3899">
        <v>202631</v>
      </c>
      <c r="J3899">
        <v>1109545377</v>
      </c>
      <c r="K3899" t="s">
        <v>23</v>
      </c>
      <c r="L3899" t="s">
        <v>219</v>
      </c>
      <c r="M3899" t="s">
        <v>24</v>
      </c>
      <c r="N3899" t="s">
        <v>35</v>
      </c>
      <c r="O3899" t="s">
        <v>26</v>
      </c>
      <c r="P3899" t="s">
        <v>27</v>
      </c>
      <c r="Q3899" t="s">
        <v>28</v>
      </c>
      <c r="R3899" t="s">
        <v>29</v>
      </c>
      <c r="S3899" t="s">
        <v>30</v>
      </c>
      <c r="T3899">
        <v>1023367706</v>
      </c>
      <c r="U3899" t="s">
        <v>3963</v>
      </c>
      <c r="V3899" t="s">
        <v>3934</v>
      </c>
      <c r="W3899" s="9">
        <f>IF(V3899="pregrado",31,
IF(V3899="posgrados",31,
IF(V3899="rEINTEGROS",7,
IF(V3899="BIT",90,
IF(V3899="OP GRADO - INGLÉS",17,"")))))</f>
        <v>31</v>
      </c>
      <c r="X3899" t="s">
        <v>4039</v>
      </c>
    </row>
    <row r="3900" spans="1:24" ht="15" x14ac:dyDescent="0.35">
      <c r="A3900" s="4">
        <v>46065.783576388887</v>
      </c>
      <c r="B3900">
        <v>20123007</v>
      </c>
      <c r="C3900" s="6" t="s">
        <v>19</v>
      </c>
      <c r="D3900">
        <v>609097</v>
      </c>
      <c r="E3900" t="s">
        <v>20</v>
      </c>
      <c r="F3900">
        <v>1031641286</v>
      </c>
      <c r="G3900" t="s">
        <v>3126</v>
      </c>
      <c r="H3900">
        <v>100245661</v>
      </c>
      <c r="I3900">
        <v>202631</v>
      </c>
      <c r="J3900">
        <v>1031641286</v>
      </c>
      <c r="K3900" t="s">
        <v>23</v>
      </c>
      <c r="L3900" t="s">
        <v>65</v>
      </c>
      <c r="M3900" t="s">
        <v>24</v>
      </c>
      <c r="N3900" t="s">
        <v>35</v>
      </c>
      <c r="O3900" t="s">
        <v>26</v>
      </c>
      <c r="P3900" t="s">
        <v>27</v>
      </c>
      <c r="Q3900" t="s">
        <v>28</v>
      </c>
      <c r="R3900" t="s">
        <v>29</v>
      </c>
      <c r="S3900" t="s">
        <v>30</v>
      </c>
      <c r="T3900">
        <v>1016110979</v>
      </c>
      <c r="U3900" t="s">
        <v>3977</v>
      </c>
      <c r="V3900" t="s">
        <v>3970</v>
      </c>
      <c r="W3900" s="9">
        <f>IF(V3900="pregrado",31,
IF(V3900="posgrados",31,
IF(V3900="rEINTEGROS",7,
IF(V3900="BIT",90,
IF(V3900="OP GRADO - INGLÉS",17,"")))))</f>
        <v>7</v>
      </c>
      <c r="X3900" t="s">
        <v>4051</v>
      </c>
    </row>
    <row r="3901" spans="1:24" ht="15" x14ac:dyDescent="0.35">
      <c r="A3901" s="4">
        <v>46069.404236111113</v>
      </c>
      <c r="B3901">
        <v>20123593</v>
      </c>
      <c r="C3901" s="6" t="s">
        <v>19</v>
      </c>
      <c r="D3901">
        <v>609106</v>
      </c>
      <c r="E3901" t="s">
        <v>20</v>
      </c>
      <c r="F3901">
        <v>69801006</v>
      </c>
      <c r="G3901" t="s">
        <v>3223</v>
      </c>
      <c r="H3901">
        <v>100245671</v>
      </c>
      <c r="I3901">
        <v>202611</v>
      </c>
      <c r="J3901">
        <v>1006964858</v>
      </c>
      <c r="K3901" t="s">
        <v>74</v>
      </c>
      <c r="L3901" t="s">
        <v>221</v>
      </c>
      <c r="M3901" t="s">
        <v>24</v>
      </c>
      <c r="N3901" t="s">
        <v>35</v>
      </c>
      <c r="O3901" t="s">
        <v>26</v>
      </c>
      <c r="P3901" t="s">
        <v>27</v>
      </c>
      <c r="Q3901" t="s">
        <v>28</v>
      </c>
      <c r="R3901" t="s">
        <v>29</v>
      </c>
      <c r="S3901" t="s">
        <v>30</v>
      </c>
      <c r="T3901">
        <v>45555807</v>
      </c>
      <c r="U3901" t="s">
        <v>3965</v>
      </c>
      <c r="V3901" t="s">
        <v>3934</v>
      </c>
      <c r="W3901" s="9">
        <f>IF(V3901="pregrado",31,
IF(V3901="posgrados",31,
IF(V3901="rEINTEGROS",7,
IF(V3901="BIT",90,
IF(V3901="OP GRADO - INGLÉS",17,"")))))</f>
        <v>31</v>
      </c>
      <c r="X3901" t="s">
        <v>4027</v>
      </c>
    </row>
    <row r="3902" spans="1:24" ht="15" x14ac:dyDescent="0.35">
      <c r="A3902" s="4">
        <v>46065.433437500003</v>
      </c>
      <c r="B3902">
        <v>20122712</v>
      </c>
      <c r="C3902" s="6" t="s">
        <v>19</v>
      </c>
      <c r="D3902">
        <v>609109</v>
      </c>
      <c r="E3902" t="s">
        <v>20</v>
      </c>
      <c r="F3902">
        <v>26000778</v>
      </c>
      <c r="G3902" t="s">
        <v>3075</v>
      </c>
      <c r="H3902">
        <v>100245676</v>
      </c>
      <c r="I3902">
        <v>202611</v>
      </c>
      <c r="J3902">
        <v>26000778</v>
      </c>
      <c r="K3902" t="s">
        <v>23</v>
      </c>
      <c r="L3902" t="s">
        <v>221</v>
      </c>
      <c r="M3902" t="s">
        <v>24</v>
      </c>
      <c r="N3902" t="s">
        <v>35</v>
      </c>
      <c r="O3902" t="s">
        <v>26</v>
      </c>
      <c r="P3902" t="s">
        <v>27</v>
      </c>
      <c r="Q3902" t="s">
        <v>28</v>
      </c>
      <c r="R3902" t="s">
        <v>29</v>
      </c>
      <c r="S3902" t="s">
        <v>30</v>
      </c>
      <c r="T3902">
        <v>11001273124</v>
      </c>
      <c r="U3902" t="s">
        <v>3944</v>
      </c>
      <c r="V3902" t="s">
        <v>3934</v>
      </c>
      <c r="W3902" s="9">
        <f>IF(V3902="pregrado",31,
IF(V3902="posgrados",31,
IF(V3902="rEINTEGROS",7,
IF(V3902="BIT",90,
IF(V3902="OP GRADO - INGLÉS",17,"")))))</f>
        <v>31</v>
      </c>
      <c r="X3902" t="s">
        <v>3951</v>
      </c>
    </row>
    <row r="3903" spans="1:24" ht="15" x14ac:dyDescent="0.35">
      <c r="A3903" s="4">
        <v>46062.732557870368</v>
      </c>
      <c r="B3903">
        <v>20121841</v>
      </c>
      <c r="C3903" s="6" t="s">
        <v>19</v>
      </c>
      <c r="D3903">
        <v>609113</v>
      </c>
      <c r="E3903" t="s">
        <v>20</v>
      </c>
      <c r="F3903">
        <v>1000808306</v>
      </c>
      <c r="G3903" t="s">
        <v>2953</v>
      </c>
      <c r="H3903">
        <v>100245681</v>
      </c>
      <c r="I3903">
        <v>202611</v>
      </c>
      <c r="J3903">
        <v>1019002680</v>
      </c>
      <c r="K3903" t="s">
        <v>23</v>
      </c>
      <c r="L3903" t="s">
        <v>221</v>
      </c>
      <c r="M3903" t="s">
        <v>24</v>
      </c>
      <c r="N3903" t="s">
        <v>35</v>
      </c>
      <c r="O3903" t="s">
        <v>26</v>
      </c>
      <c r="P3903" t="s">
        <v>27</v>
      </c>
      <c r="Q3903" t="s">
        <v>28</v>
      </c>
      <c r="R3903" t="s">
        <v>29</v>
      </c>
      <c r="S3903" t="s">
        <v>30</v>
      </c>
      <c r="T3903">
        <v>1030570122</v>
      </c>
      <c r="U3903" t="s">
        <v>3965</v>
      </c>
      <c r="V3903" t="s">
        <v>3934</v>
      </c>
      <c r="W3903" s="9">
        <f>IF(V3903="pregrado",31,
IF(V3903="posgrados",31,
IF(V3903="rEINTEGROS",7,
IF(V3903="BIT",90,
IF(V3903="OP GRADO - INGLÉS",17,"")))))</f>
        <v>31</v>
      </c>
      <c r="X3903" t="s">
        <v>4015</v>
      </c>
    </row>
    <row r="3904" spans="1:24" ht="15" x14ac:dyDescent="0.35">
      <c r="A3904" s="4">
        <v>46062.660011574073</v>
      </c>
      <c r="B3904">
        <v>20121754</v>
      </c>
      <c r="C3904" s="6" t="s">
        <v>19</v>
      </c>
      <c r="D3904">
        <v>609114</v>
      </c>
      <c r="E3904" t="s">
        <v>20</v>
      </c>
      <c r="F3904">
        <v>74183740</v>
      </c>
      <c r="G3904" t="s">
        <v>2939</v>
      </c>
      <c r="H3904">
        <v>100245683</v>
      </c>
      <c r="I3904">
        <v>202631</v>
      </c>
      <c r="J3904">
        <v>1121960696</v>
      </c>
      <c r="K3904" t="s">
        <v>74</v>
      </c>
      <c r="L3904" t="s">
        <v>240</v>
      </c>
      <c r="M3904" t="s">
        <v>24</v>
      </c>
      <c r="N3904" t="s">
        <v>35</v>
      </c>
      <c r="O3904" t="s">
        <v>26</v>
      </c>
      <c r="P3904" t="s">
        <v>27</v>
      </c>
      <c r="Q3904" t="s">
        <v>28</v>
      </c>
      <c r="R3904" t="s">
        <v>29</v>
      </c>
      <c r="S3904" t="s">
        <v>30</v>
      </c>
      <c r="T3904">
        <v>1013662799</v>
      </c>
      <c r="U3904" t="s">
        <v>3965</v>
      </c>
      <c r="V3904" t="s">
        <v>3934</v>
      </c>
      <c r="W3904" s="9">
        <f>IF(V3904="pregrado",31,
IF(V3904="posgrados",31,
IF(V3904="rEINTEGROS",7,
IF(V3904="BIT",90,
IF(V3904="OP GRADO - INGLÉS",17,"")))))</f>
        <v>31</v>
      </c>
      <c r="X3904" t="s">
        <v>4021</v>
      </c>
    </row>
    <row r="3905" spans="1:24" ht="15" x14ac:dyDescent="0.35">
      <c r="A3905" s="4">
        <v>46076.780266203707</v>
      </c>
      <c r="B3905">
        <v>20125845</v>
      </c>
      <c r="C3905" s="6" t="s">
        <v>19</v>
      </c>
      <c r="D3905">
        <v>609115</v>
      </c>
      <c r="E3905" t="s">
        <v>20</v>
      </c>
      <c r="F3905">
        <v>52296702</v>
      </c>
      <c r="G3905" t="s">
        <v>3576</v>
      </c>
      <c r="H3905">
        <v>100245684</v>
      </c>
      <c r="I3905">
        <v>202610</v>
      </c>
      <c r="J3905">
        <v>1021512239</v>
      </c>
      <c r="K3905" t="s">
        <v>23</v>
      </c>
      <c r="L3905" t="s">
        <v>62</v>
      </c>
      <c r="M3905" t="s">
        <v>24</v>
      </c>
      <c r="N3905" t="s">
        <v>35</v>
      </c>
      <c r="O3905" t="s">
        <v>26</v>
      </c>
      <c r="P3905" t="s">
        <v>27</v>
      </c>
      <c r="Q3905" t="s">
        <v>28</v>
      </c>
      <c r="R3905" t="s">
        <v>29</v>
      </c>
      <c r="S3905" t="s">
        <v>30</v>
      </c>
      <c r="T3905">
        <v>53139409</v>
      </c>
      <c r="U3905" t="s">
        <v>3944</v>
      </c>
      <c r="V3905" t="s">
        <v>3934</v>
      </c>
      <c r="W3905" s="9">
        <f>IF(V3905="pregrado",31,
IF(V3905="posgrados",31,
IF(V3905="rEINTEGROS",7,
IF(V3905="BIT",90,
IF(V3905="OP GRADO - INGLÉS",17,"")))))</f>
        <v>31</v>
      </c>
      <c r="X3905" t="s">
        <v>3955</v>
      </c>
    </row>
    <row r="3906" spans="1:24" ht="15" x14ac:dyDescent="0.35">
      <c r="A3906" s="4">
        <v>46063.388009259259</v>
      </c>
      <c r="B3906">
        <v>20121941</v>
      </c>
      <c r="C3906" s="6" t="s">
        <v>19</v>
      </c>
      <c r="D3906">
        <v>609130</v>
      </c>
      <c r="E3906" t="s">
        <v>20</v>
      </c>
      <c r="F3906">
        <v>1116802004</v>
      </c>
      <c r="G3906" t="s">
        <v>2962</v>
      </c>
      <c r="H3906">
        <v>100125078</v>
      </c>
      <c r="I3906">
        <v>202631</v>
      </c>
      <c r="J3906">
        <v>1116802004</v>
      </c>
      <c r="K3906" t="s">
        <v>89</v>
      </c>
      <c r="L3906" t="s">
        <v>207</v>
      </c>
      <c r="M3906" t="s">
        <v>24</v>
      </c>
      <c r="N3906" t="s">
        <v>25</v>
      </c>
      <c r="O3906" t="s">
        <v>26</v>
      </c>
      <c r="P3906" t="s">
        <v>27</v>
      </c>
      <c r="Q3906" t="s">
        <v>28</v>
      </c>
      <c r="R3906" t="s">
        <v>29</v>
      </c>
      <c r="S3906" t="s">
        <v>30</v>
      </c>
      <c r="T3906">
        <v>52168054</v>
      </c>
      <c r="U3906" t="s">
        <v>3977</v>
      </c>
      <c r="V3906" t="s">
        <v>3970</v>
      </c>
      <c r="W3906" s="9">
        <f>IF(V3906="pregrado",31,
IF(V3906="posgrados",31,
IF(V3906="rEINTEGROS",7,
IF(V3906="BIT",90,
IF(V3906="OP GRADO - INGLÉS",17,"")))))</f>
        <v>7</v>
      </c>
      <c r="X3906" t="s">
        <v>4057</v>
      </c>
    </row>
    <row r="3907" spans="1:24" ht="15" x14ac:dyDescent="0.35">
      <c r="A3907" s="4">
        <v>46085.869699074072</v>
      </c>
      <c r="B3907">
        <v>20127711</v>
      </c>
      <c r="C3907" s="6" t="s">
        <v>19</v>
      </c>
      <c r="D3907">
        <v>609132</v>
      </c>
      <c r="E3907" t="s">
        <v>20</v>
      </c>
      <c r="F3907">
        <v>1121197792</v>
      </c>
      <c r="G3907" t="s">
        <v>3824</v>
      </c>
      <c r="H3907">
        <v>100167532</v>
      </c>
      <c r="I3907">
        <v>202631</v>
      </c>
      <c r="J3907">
        <v>1121197792</v>
      </c>
      <c r="K3907" t="s">
        <v>89</v>
      </c>
      <c r="L3907" t="s">
        <v>231</v>
      </c>
      <c r="M3907" t="s">
        <v>24</v>
      </c>
      <c r="N3907" t="s">
        <v>35</v>
      </c>
      <c r="O3907" t="s">
        <v>26</v>
      </c>
      <c r="P3907" t="s">
        <v>27</v>
      </c>
      <c r="Q3907" t="s">
        <v>28</v>
      </c>
      <c r="R3907" t="s">
        <v>29</v>
      </c>
      <c r="S3907" t="s">
        <v>30</v>
      </c>
      <c r="T3907">
        <v>1023899450</v>
      </c>
      <c r="U3907" t="s">
        <v>3969</v>
      </c>
      <c r="V3907" t="s">
        <v>3970</v>
      </c>
      <c r="W3907" s="9">
        <f>IF(V3907="pregrado",31,
IF(V3907="posgrados",31,
IF(V3907="rEINTEGROS",7,
IF(V3907="BIT",90,
IF(V3907="OP GRADO - INGLÉS",17,"")))))</f>
        <v>7</v>
      </c>
      <c r="X3907" t="s">
        <v>3969</v>
      </c>
    </row>
    <row r="3908" spans="1:24" ht="15" x14ac:dyDescent="0.35">
      <c r="A3908" s="4">
        <v>46063.548449074071</v>
      </c>
      <c r="B3908">
        <v>20122051</v>
      </c>
      <c r="C3908" s="6" t="s">
        <v>19</v>
      </c>
      <c r="D3908">
        <v>609135</v>
      </c>
      <c r="E3908" t="s">
        <v>20</v>
      </c>
      <c r="F3908">
        <v>1106888263</v>
      </c>
      <c r="G3908" t="s">
        <v>2985</v>
      </c>
      <c r="H3908">
        <v>100128388</v>
      </c>
      <c r="I3908">
        <v>202610</v>
      </c>
      <c r="J3908">
        <v>1106888263</v>
      </c>
      <c r="K3908" t="s">
        <v>89</v>
      </c>
      <c r="L3908" t="s">
        <v>79</v>
      </c>
      <c r="M3908" t="s">
        <v>24</v>
      </c>
      <c r="N3908" t="s">
        <v>35</v>
      </c>
      <c r="O3908" t="s">
        <v>26</v>
      </c>
      <c r="P3908" t="s">
        <v>27</v>
      </c>
      <c r="Q3908" t="s">
        <v>28</v>
      </c>
      <c r="R3908" t="s">
        <v>29</v>
      </c>
      <c r="S3908" t="s">
        <v>30</v>
      </c>
      <c r="T3908">
        <v>52168054</v>
      </c>
      <c r="U3908" t="s">
        <v>3977</v>
      </c>
      <c r="V3908" t="s">
        <v>3970</v>
      </c>
      <c r="W3908" s="9">
        <f>IF(V3908="pregrado",31,
IF(V3908="posgrados",31,
IF(V3908="rEINTEGROS",7,
IF(V3908="BIT",90,
IF(V3908="OP GRADO - INGLÉS",17,"")))))</f>
        <v>7</v>
      </c>
      <c r="X3908" t="s">
        <v>4057</v>
      </c>
    </row>
    <row r="3909" spans="1:24" ht="15" x14ac:dyDescent="0.35">
      <c r="A3909" s="4">
        <v>46062.729189814818</v>
      </c>
      <c r="B3909">
        <v>20121834</v>
      </c>
      <c r="C3909" s="6" t="s">
        <v>19</v>
      </c>
      <c r="D3909">
        <v>609142</v>
      </c>
      <c r="E3909" t="s">
        <v>20</v>
      </c>
      <c r="F3909">
        <v>1001346524</v>
      </c>
      <c r="G3909" t="s">
        <v>2950</v>
      </c>
      <c r="H3909">
        <v>100144521</v>
      </c>
      <c r="I3909">
        <v>202611</v>
      </c>
      <c r="J3909">
        <v>1001346524</v>
      </c>
      <c r="K3909" t="s">
        <v>89</v>
      </c>
      <c r="L3909" t="s">
        <v>204</v>
      </c>
      <c r="M3909" t="s">
        <v>24</v>
      </c>
      <c r="N3909" t="s">
        <v>38</v>
      </c>
      <c r="O3909" t="s">
        <v>26</v>
      </c>
      <c r="P3909" t="s">
        <v>27</v>
      </c>
      <c r="Q3909" t="s">
        <v>28</v>
      </c>
      <c r="R3909" t="s">
        <v>29</v>
      </c>
      <c r="S3909" t="s">
        <v>30</v>
      </c>
      <c r="T3909">
        <v>52168054</v>
      </c>
      <c r="U3909" t="s">
        <v>3977</v>
      </c>
      <c r="V3909" t="s">
        <v>3970</v>
      </c>
      <c r="W3909" s="9">
        <f>IF(V3909="pregrado",31,
IF(V3909="posgrados",31,
IF(V3909="rEINTEGROS",7,
IF(V3909="BIT",90,
IF(V3909="OP GRADO - INGLÉS",17,"")))))</f>
        <v>7</v>
      </c>
      <c r="X3909" t="s">
        <v>4057</v>
      </c>
    </row>
    <row r="3910" spans="1:24" ht="15" x14ac:dyDescent="0.35">
      <c r="A3910" s="4">
        <v>46062.798807870371</v>
      </c>
      <c r="B3910">
        <v>20121878</v>
      </c>
      <c r="C3910" s="6" t="s">
        <v>19</v>
      </c>
      <c r="D3910">
        <v>609148</v>
      </c>
      <c r="E3910" t="s">
        <v>20</v>
      </c>
      <c r="F3910">
        <v>1029280674</v>
      </c>
      <c r="G3910" t="s">
        <v>2959</v>
      </c>
      <c r="H3910">
        <v>100245704</v>
      </c>
      <c r="I3910">
        <v>202610</v>
      </c>
      <c r="J3910">
        <v>1029280674</v>
      </c>
      <c r="K3910" t="s">
        <v>23</v>
      </c>
      <c r="L3910" t="s">
        <v>194</v>
      </c>
      <c r="M3910" t="s">
        <v>24</v>
      </c>
      <c r="N3910" t="s">
        <v>35</v>
      </c>
      <c r="O3910" t="s">
        <v>26</v>
      </c>
      <c r="P3910" t="s">
        <v>27</v>
      </c>
      <c r="Q3910" t="s">
        <v>28</v>
      </c>
      <c r="R3910" t="s">
        <v>29</v>
      </c>
      <c r="S3910" t="s">
        <v>30</v>
      </c>
      <c r="T3910">
        <v>52446712</v>
      </c>
      <c r="U3910" t="s">
        <v>3963</v>
      </c>
      <c r="V3910" t="s">
        <v>3934</v>
      </c>
      <c r="W3910" s="9">
        <f>IF(V3910="pregrado",31,
IF(V3910="posgrados",31,
IF(V3910="rEINTEGROS",7,
IF(V3910="BIT",90,
IF(V3910="OP GRADO - INGLÉS",17,"")))))</f>
        <v>31</v>
      </c>
      <c r="X3910" t="s">
        <v>4041</v>
      </c>
    </row>
    <row r="3911" spans="1:24" ht="15" x14ac:dyDescent="0.35">
      <c r="A3911" s="4">
        <v>46063.443078703705</v>
      </c>
      <c r="B3911">
        <v>20121982</v>
      </c>
      <c r="C3911" s="6" t="s">
        <v>19</v>
      </c>
      <c r="D3911">
        <v>609158</v>
      </c>
      <c r="E3911" t="s">
        <v>20</v>
      </c>
      <c r="F3911">
        <v>1000255907</v>
      </c>
      <c r="G3911" t="s">
        <v>2974</v>
      </c>
      <c r="H3911">
        <v>100245712</v>
      </c>
      <c r="I3911">
        <v>202610</v>
      </c>
      <c r="J3911">
        <v>1000255907</v>
      </c>
      <c r="K3911" t="s">
        <v>23</v>
      </c>
      <c r="L3911" t="s">
        <v>40</v>
      </c>
      <c r="M3911" t="s">
        <v>24</v>
      </c>
      <c r="N3911" t="s">
        <v>35</v>
      </c>
      <c r="O3911" t="s">
        <v>26</v>
      </c>
      <c r="P3911" t="s">
        <v>27</v>
      </c>
      <c r="Q3911" t="s">
        <v>28</v>
      </c>
      <c r="R3911" t="s">
        <v>29</v>
      </c>
      <c r="S3911" t="s">
        <v>30</v>
      </c>
      <c r="T3911">
        <v>1010081108</v>
      </c>
      <c r="U3911" t="s">
        <v>3941</v>
      </c>
      <c r="V3911" t="s">
        <v>3934</v>
      </c>
      <c r="W3911" s="9">
        <f>IF(V3911="pregrado",31,
IF(V3911="posgrados",31,
IF(V3911="rEINTEGROS",7,
IF(V3911="BIT",90,
IF(V3911="OP GRADO - INGLÉS",17,"")))))</f>
        <v>31</v>
      </c>
      <c r="X3911" t="s">
        <v>4009</v>
      </c>
    </row>
    <row r="3912" spans="1:24" ht="15" x14ac:dyDescent="0.35">
      <c r="A3912" s="4">
        <v>46063.409745370373</v>
      </c>
      <c r="B3912">
        <v>20121955</v>
      </c>
      <c r="C3912" s="6" t="s">
        <v>19</v>
      </c>
      <c r="D3912">
        <v>609160</v>
      </c>
      <c r="E3912" t="s">
        <v>20</v>
      </c>
      <c r="F3912">
        <v>1034399745</v>
      </c>
      <c r="G3912" t="s">
        <v>2966</v>
      </c>
      <c r="H3912">
        <v>100245715</v>
      </c>
      <c r="I3912">
        <v>202610</v>
      </c>
      <c r="J3912">
        <v>1034399745</v>
      </c>
      <c r="K3912" t="s">
        <v>23</v>
      </c>
      <c r="L3912" t="s">
        <v>40</v>
      </c>
      <c r="M3912" t="s">
        <v>24</v>
      </c>
      <c r="N3912" t="s">
        <v>35</v>
      </c>
      <c r="O3912" t="s">
        <v>26</v>
      </c>
      <c r="P3912" t="s">
        <v>27</v>
      </c>
      <c r="Q3912" t="s">
        <v>28</v>
      </c>
      <c r="R3912" t="s">
        <v>29</v>
      </c>
      <c r="S3912" t="s">
        <v>30</v>
      </c>
      <c r="T3912">
        <v>1010081108</v>
      </c>
      <c r="U3912" t="s">
        <v>3941</v>
      </c>
      <c r="V3912" t="s">
        <v>3934</v>
      </c>
      <c r="W3912" s="9">
        <f>IF(V3912="pregrado",31,
IF(V3912="posgrados",31,
IF(V3912="rEINTEGROS",7,
IF(V3912="BIT",90,
IF(V3912="OP GRADO - INGLÉS",17,"")))))</f>
        <v>31</v>
      </c>
      <c r="X3912" t="s">
        <v>4009</v>
      </c>
    </row>
    <row r="3913" spans="1:24" ht="15" x14ac:dyDescent="0.35">
      <c r="A3913" s="4">
        <v>46063.43476851852</v>
      </c>
      <c r="B3913">
        <v>20121978</v>
      </c>
      <c r="C3913" s="6" t="s">
        <v>19</v>
      </c>
      <c r="D3913">
        <v>609167</v>
      </c>
      <c r="E3913" t="s">
        <v>20</v>
      </c>
      <c r="F3913">
        <v>52499225</v>
      </c>
      <c r="G3913" t="s">
        <v>2973</v>
      </c>
      <c r="H3913">
        <v>100245718</v>
      </c>
      <c r="I3913">
        <v>202631</v>
      </c>
      <c r="J3913">
        <v>52499225</v>
      </c>
      <c r="K3913" t="s">
        <v>23</v>
      </c>
      <c r="L3913" t="s">
        <v>240</v>
      </c>
      <c r="M3913" t="s">
        <v>24</v>
      </c>
      <c r="N3913" t="s">
        <v>38</v>
      </c>
      <c r="O3913" t="s">
        <v>26</v>
      </c>
      <c r="P3913" t="s">
        <v>27</v>
      </c>
      <c r="Q3913" t="s">
        <v>28</v>
      </c>
      <c r="R3913" t="s">
        <v>29</v>
      </c>
      <c r="S3913" t="s">
        <v>30</v>
      </c>
      <c r="T3913">
        <v>1013662799</v>
      </c>
      <c r="U3913" t="s">
        <v>3965</v>
      </c>
      <c r="V3913" t="s">
        <v>3934</v>
      </c>
      <c r="W3913" s="9">
        <f>IF(V3913="pregrado",31,
IF(V3913="posgrados",31,
IF(V3913="rEINTEGROS",7,
IF(V3913="BIT",90,
IF(V3913="OP GRADO - INGLÉS",17,"")))))</f>
        <v>31</v>
      </c>
      <c r="X3913" t="s">
        <v>4021</v>
      </c>
    </row>
    <row r="3914" spans="1:24" ht="15" x14ac:dyDescent="0.35">
      <c r="A3914" s="4">
        <v>46066.468275462961</v>
      </c>
      <c r="B3914">
        <v>20123126</v>
      </c>
      <c r="C3914" s="6" t="s">
        <v>19</v>
      </c>
      <c r="D3914">
        <v>609179</v>
      </c>
      <c r="E3914" t="s">
        <v>20</v>
      </c>
      <c r="F3914">
        <v>1059447871</v>
      </c>
      <c r="G3914" t="s">
        <v>3151</v>
      </c>
      <c r="H3914">
        <v>100245731</v>
      </c>
      <c r="I3914">
        <v>202631</v>
      </c>
      <c r="J3914">
        <v>1148956433</v>
      </c>
      <c r="K3914" t="s">
        <v>74</v>
      </c>
      <c r="L3914" t="s">
        <v>42</v>
      </c>
      <c r="M3914" t="s">
        <v>24</v>
      </c>
      <c r="N3914" t="s">
        <v>35</v>
      </c>
      <c r="O3914" t="s">
        <v>26</v>
      </c>
      <c r="P3914" t="s">
        <v>27</v>
      </c>
      <c r="Q3914" t="s">
        <v>28</v>
      </c>
      <c r="R3914" t="s">
        <v>29</v>
      </c>
      <c r="S3914" t="s">
        <v>30</v>
      </c>
      <c r="T3914">
        <v>1000349074</v>
      </c>
      <c r="U3914" t="s">
        <v>3944</v>
      </c>
      <c r="V3914" t="s">
        <v>3934</v>
      </c>
      <c r="W3914" s="9">
        <f>IF(V3914="pregrado",31,
IF(V3914="posgrados",31,
IF(V3914="rEINTEGROS",7,
IF(V3914="BIT",90,
IF(V3914="OP GRADO - INGLÉS",17,"")))))</f>
        <v>31</v>
      </c>
      <c r="X3914" t="s">
        <v>4036</v>
      </c>
    </row>
    <row r="3915" spans="1:24" ht="15" x14ac:dyDescent="0.35">
      <c r="A3915" s="4">
        <v>46067.495856481481</v>
      </c>
      <c r="B3915">
        <v>20123456</v>
      </c>
      <c r="C3915" s="6" t="s">
        <v>19</v>
      </c>
      <c r="D3915">
        <v>609187</v>
      </c>
      <c r="E3915" t="s">
        <v>20</v>
      </c>
      <c r="F3915">
        <v>1008000226</v>
      </c>
      <c r="G3915" t="s">
        <v>3211</v>
      </c>
      <c r="H3915">
        <v>100115962</v>
      </c>
      <c r="I3915">
        <v>202631</v>
      </c>
      <c r="J3915">
        <v>1008000226</v>
      </c>
      <c r="K3915" t="s">
        <v>89</v>
      </c>
      <c r="L3915" t="s">
        <v>231</v>
      </c>
      <c r="M3915" t="s">
        <v>24</v>
      </c>
      <c r="N3915" t="s">
        <v>35</v>
      </c>
      <c r="O3915" t="s">
        <v>26</v>
      </c>
      <c r="P3915" t="s">
        <v>27</v>
      </c>
      <c r="Q3915" t="s">
        <v>28</v>
      </c>
      <c r="R3915" t="s">
        <v>29</v>
      </c>
      <c r="S3915" t="s">
        <v>30</v>
      </c>
      <c r="T3915">
        <v>1019102787</v>
      </c>
      <c r="U3915" t="s">
        <v>3977</v>
      </c>
      <c r="V3915" t="s">
        <v>3970</v>
      </c>
      <c r="W3915" s="9">
        <f>IF(V3915="pregrado",31,
IF(V3915="posgrados",31,
IF(V3915="rEINTEGROS",7,
IF(V3915="BIT",90,
IF(V3915="OP GRADO - INGLÉS",17,"")))))</f>
        <v>7</v>
      </c>
      <c r="X3915" t="s">
        <v>3976</v>
      </c>
    </row>
    <row r="3916" spans="1:24" ht="15" x14ac:dyDescent="0.35">
      <c r="A3916" s="4">
        <v>46063.501400462963</v>
      </c>
      <c r="B3916">
        <v>20122032</v>
      </c>
      <c r="C3916" s="6" t="s">
        <v>19</v>
      </c>
      <c r="D3916">
        <v>609194</v>
      </c>
      <c r="E3916" t="s">
        <v>20</v>
      </c>
      <c r="F3916">
        <v>1143408735</v>
      </c>
      <c r="G3916" t="s">
        <v>2980</v>
      </c>
      <c r="H3916">
        <v>100214209</v>
      </c>
      <c r="I3916">
        <v>202631</v>
      </c>
      <c r="J3916">
        <v>1143408735</v>
      </c>
      <c r="K3916" t="s">
        <v>33</v>
      </c>
      <c r="L3916" t="s">
        <v>127</v>
      </c>
      <c r="M3916" t="s">
        <v>24</v>
      </c>
      <c r="N3916" t="s">
        <v>35</v>
      </c>
      <c r="O3916" t="s">
        <v>26</v>
      </c>
      <c r="P3916" t="s">
        <v>27</v>
      </c>
      <c r="Q3916" t="s">
        <v>28</v>
      </c>
      <c r="R3916" t="s">
        <v>29</v>
      </c>
      <c r="S3916" t="s">
        <v>30</v>
      </c>
      <c r="T3916">
        <v>79786913</v>
      </c>
      <c r="U3916" t="s">
        <v>3939</v>
      </c>
      <c r="V3916" t="s">
        <v>3934</v>
      </c>
      <c r="W3916" s="9">
        <f>IF(V3916="pregrado",31,
IF(V3916="posgrados",31,
IF(V3916="rEINTEGROS",7,
IF(V3916="BIT",90,
IF(V3916="OP GRADO - INGLÉS",17,"")))))</f>
        <v>31</v>
      </c>
      <c r="X3916" t="s">
        <v>4010</v>
      </c>
    </row>
    <row r="3917" spans="1:24" ht="15" x14ac:dyDescent="0.35">
      <c r="A3917" s="4">
        <v>46070.491574074076</v>
      </c>
      <c r="B3917">
        <v>20124077</v>
      </c>
      <c r="C3917" s="6" t="s">
        <v>19</v>
      </c>
      <c r="D3917">
        <v>609195</v>
      </c>
      <c r="E3917" t="s">
        <v>20</v>
      </c>
      <c r="F3917">
        <v>1016105606</v>
      </c>
      <c r="G3917" t="s">
        <v>3083</v>
      </c>
      <c r="H3917">
        <v>100245745</v>
      </c>
      <c r="I3917">
        <v>202631</v>
      </c>
      <c r="J3917">
        <v>1016105606</v>
      </c>
      <c r="K3917" t="s">
        <v>33</v>
      </c>
      <c r="L3917" t="s">
        <v>240</v>
      </c>
      <c r="M3917" t="s">
        <v>24</v>
      </c>
      <c r="N3917" t="s">
        <v>25</v>
      </c>
      <c r="O3917" t="s">
        <v>26</v>
      </c>
      <c r="P3917" t="s">
        <v>27</v>
      </c>
      <c r="Q3917" t="s">
        <v>28</v>
      </c>
      <c r="R3917" t="s">
        <v>29</v>
      </c>
      <c r="S3917" t="s">
        <v>30</v>
      </c>
      <c r="T3917">
        <v>1001277801</v>
      </c>
      <c r="U3917" t="s">
        <v>3965</v>
      </c>
      <c r="V3917" t="s">
        <v>3934</v>
      </c>
      <c r="W3917" s="9">
        <f>IF(V3917="pregrado",31,
IF(V3917="posgrados",31,
IF(V3917="rEINTEGROS",7,
IF(V3917="BIT",90,
IF(V3917="OP GRADO - INGLÉS",17,"")))))</f>
        <v>31</v>
      </c>
      <c r="X3917" t="s">
        <v>4002</v>
      </c>
    </row>
    <row r="3918" spans="1:24" ht="15" x14ac:dyDescent="0.35">
      <c r="A3918" s="4">
        <v>46063.478310185186</v>
      </c>
      <c r="B3918">
        <v>20122009</v>
      </c>
      <c r="C3918" s="6" t="s">
        <v>19</v>
      </c>
      <c r="D3918">
        <v>609206</v>
      </c>
      <c r="E3918" t="s">
        <v>20</v>
      </c>
      <c r="F3918">
        <v>1030575529</v>
      </c>
      <c r="G3918" t="s">
        <v>2977</v>
      </c>
      <c r="H3918">
        <v>100245755</v>
      </c>
      <c r="I3918">
        <v>202631</v>
      </c>
      <c r="J3918">
        <v>1030575529</v>
      </c>
      <c r="K3918" t="s">
        <v>23</v>
      </c>
      <c r="L3918" t="s">
        <v>65</v>
      </c>
      <c r="M3918" t="s">
        <v>24</v>
      </c>
      <c r="N3918" t="s">
        <v>35</v>
      </c>
      <c r="O3918" t="s">
        <v>26</v>
      </c>
      <c r="P3918" t="s">
        <v>27</v>
      </c>
      <c r="Q3918" t="s">
        <v>28</v>
      </c>
      <c r="R3918" t="s">
        <v>29</v>
      </c>
      <c r="S3918" t="s">
        <v>30</v>
      </c>
      <c r="T3918">
        <v>1013102684</v>
      </c>
      <c r="U3918" t="s">
        <v>3939</v>
      </c>
      <c r="V3918" t="s">
        <v>3934</v>
      </c>
      <c r="W3918" s="9">
        <f>IF(V3918="pregrado",31,
IF(V3918="posgrados",31,
IF(V3918="rEINTEGROS",7,
IF(V3918="BIT",90,
IF(V3918="OP GRADO - INGLÉS",17,"")))))</f>
        <v>31</v>
      </c>
      <c r="X3918" t="s">
        <v>4050</v>
      </c>
    </row>
    <row r="3919" spans="1:24" ht="15" x14ac:dyDescent="0.35">
      <c r="A3919" s="4">
        <v>46063.562523148146</v>
      </c>
      <c r="B3919">
        <v>20122059</v>
      </c>
      <c r="C3919" s="6" t="s">
        <v>19</v>
      </c>
      <c r="D3919">
        <v>609225</v>
      </c>
      <c r="E3919" t="s">
        <v>20</v>
      </c>
      <c r="F3919">
        <v>60372308</v>
      </c>
      <c r="G3919" t="s">
        <v>2987</v>
      </c>
      <c r="H3919">
        <v>200120216</v>
      </c>
      <c r="I3919">
        <v>202631</v>
      </c>
      <c r="J3919">
        <v>60372308</v>
      </c>
      <c r="K3919" t="s">
        <v>83</v>
      </c>
      <c r="L3919" t="s">
        <v>119</v>
      </c>
      <c r="M3919" t="s">
        <v>24</v>
      </c>
      <c r="N3919" t="s">
        <v>35</v>
      </c>
      <c r="O3919" t="s">
        <v>26</v>
      </c>
      <c r="P3919" t="s">
        <v>27</v>
      </c>
      <c r="Q3919" t="s">
        <v>28</v>
      </c>
      <c r="R3919" t="s">
        <v>29</v>
      </c>
      <c r="S3919" t="s">
        <v>30</v>
      </c>
      <c r="T3919">
        <v>1000251314</v>
      </c>
      <c r="U3919" t="s">
        <v>3963</v>
      </c>
      <c r="V3919" t="s">
        <v>3934</v>
      </c>
      <c r="W3919" s="9">
        <f>IF(V3919="pregrado",31,
IF(V3919="posgrados",31,
IF(V3919="rEINTEGROS",7,
IF(V3919="BIT",90,
IF(V3919="OP GRADO - INGLÉS",17,"")))))</f>
        <v>31</v>
      </c>
      <c r="X3919" t="s">
        <v>4024</v>
      </c>
    </row>
    <row r="3920" spans="1:24" ht="15" x14ac:dyDescent="0.35">
      <c r="A3920" s="4">
        <v>46064.727534722224</v>
      </c>
      <c r="B3920">
        <v>20122567</v>
      </c>
      <c r="C3920" s="6" t="s">
        <v>19</v>
      </c>
      <c r="D3920">
        <v>609260</v>
      </c>
      <c r="E3920" t="s">
        <v>20</v>
      </c>
      <c r="F3920">
        <v>51979606</v>
      </c>
      <c r="G3920" t="s">
        <v>3051</v>
      </c>
      <c r="H3920">
        <v>100088763</v>
      </c>
      <c r="I3920">
        <v>202631</v>
      </c>
      <c r="J3920">
        <v>1023931144</v>
      </c>
      <c r="K3920" t="s">
        <v>33</v>
      </c>
      <c r="L3920" t="s">
        <v>240</v>
      </c>
      <c r="M3920" t="s">
        <v>24</v>
      </c>
      <c r="N3920" t="s">
        <v>35</v>
      </c>
      <c r="O3920" t="s">
        <v>26</v>
      </c>
      <c r="P3920" t="s">
        <v>27</v>
      </c>
      <c r="Q3920" t="s">
        <v>28</v>
      </c>
      <c r="R3920" t="s">
        <v>29</v>
      </c>
      <c r="S3920" t="s">
        <v>30</v>
      </c>
      <c r="T3920">
        <v>53071696</v>
      </c>
      <c r="U3920" t="s">
        <v>3965</v>
      </c>
      <c r="V3920" t="s">
        <v>3934</v>
      </c>
      <c r="W3920" s="9">
        <f>IF(V3920="pregrado",31,
IF(V3920="posgrados",31,
IF(V3920="rEINTEGROS",7,
IF(V3920="BIT",90,
IF(V3920="OP GRADO - INGLÉS",17,"")))))</f>
        <v>31</v>
      </c>
      <c r="X3920" t="s">
        <v>4012</v>
      </c>
    </row>
    <row r="3921" spans="1:24" ht="15" x14ac:dyDescent="0.35">
      <c r="A3921" s="4">
        <v>46065.42359953704</v>
      </c>
      <c r="B3921">
        <v>20122703</v>
      </c>
      <c r="C3921" s="6" t="s">
        <v>19</v>
      </c>
      <c r="D3921">
        <v>609277</v>
      </c>
      <c r="E3921" t="s">
        <v>20</v>
      </c>
      <c r="F3921">
        <v>1144203454</v>
      </c>
      <c r="G3921" t="s">
        <v>3074</v>
      </c>
      <c r="H3921">
        <v>100140259</v>
      </c>
      <c r="I3921">
        <v>202611</v>
      </c>
      <c r="J3921">
        <v>1107511989</v>
      </c>
      <c r="K3921" t="s">
        <v>89</v>
      </c>
      <c r="L3921" t="s">
        <v>133</v>
      </c>
      <c r="M3921" t="s">
        <v>24</v>
      </c>
      <c r="N3921" t="s">
        <v>35</v>
      </c>
      <c r="O3921" t="s">
        <v>26</v>
      </c>
      <c r="P3921" t="s">
        <v>27</v>
      </c>
      <c r="Q3921" t="s">
        <v>28</v>
      </c>
      <c r="R3921" t="s">
        <v>29</v>
      </c>
      <c r="S3921" t="s">
        <v>30</v>
      </c>
      <c r="T3921">
        <v>1019102787</v>
      </c>
      <c r="U3921" t="s">
        <v>3977</v>
      </c>
      <c r="V3921" t="s">
        <v>3970</v>
      </c>
      <c r="W3921" s="9">
        <f>IF(V3921="pregrado",31,
IF(V3921="posgrados",31,
IF(V3921="rEINTEGROS",7,
IF(V3921="BIT",90,
IF(V3921="OP GRADO - INGLÉS",17,"")))))</f>
        <v>7</v>
      </c>
      <c r="X3921" t="s">
        <v>3976</v>
      </c>
    </row>
    <row r="3922" spans="1:24" ht="15" x14ac:dyDescent="0.35">
      <c r="A3922" s="4">
        <v>46064.694745370369</v>
      </c>
      <c r="B3922">
        <v>20122530</v>
      </c>
      <c r="C3922" s="6" t="s">
        <v>19</v>
      </c>
      <c r="D3922">
        <v>609279</v>
      </c>
      <c r="E3922" t="s">
        <v>20</v>
      </c>
      <c r="F3922">
        <v>1006617634</v>
      </c>
      <c r="G3922" t="s">
        <v>3048</v>
      </c>
      <c r="H3922">
        <v>100245813</v>
      </c>
      <c r="I3922">
        <v>202631</v>
      </c>
      <c r="J3922">
        <v>1006617634</v>
      </c>
      <c r="K3922" t="s">
        <v>33</v>
      </c>
      <c r="L3922" t="s">
        <v>207</v>
      </c>
      <c r="M3922" t="s">
        <v>24</v>
      </c>
      <c r="N3922" t="s">
        <v>605</v>
      </c>
      <c r="O3922" t="s">
        <v>26</v>
      </c>
      <c r="P3922" t="s">
        <v>27</v>
      </c>
      <c r="Q3922" t="s">
        <v>28</v>
      </c>
      <c r="R3922" t="s">
        <v>29</v>
      </c>
      <c r="S3922" t="s">
        <v>30</v>
      </c>
      <c r="T3922">
        <v>1000777598</v>
      </c>
      <c r="U3922" t="s">
        <v>3986</v>
      </c>
      <c r="V3922" t="s">
        <v>3934</v>
      </c>
      <c r="W3922" s="9">
        <f>IF(V3922="pregrado",31,
IF(V3922="posgrados",31,
IF(V3922="rEINTEGROS",7,
IF(V3922="BIT",90,
IF(V3922="OP GRADO - INGLÉS",17,"")))))</f>
        <v>31</v>
      </c>
      <c r="X3922" t="s">
        <v>4103</v>
      </c>
    </row>
    <row r="3923" spans="1:24" ht="15" x14ac:dyDescent="0.35">
      <c r="A3923" s="4">
        <v>46063.445347222223</v>
      </c>
      <c r="B3923">
        <v>20121985</v>
      </c>
      <c r="C3923" s="6" t="s">
        <v>19</v>
      </c>
      <c r="D3923">
        <v>609284</v>
      </c>
      <c r="E3923" t="s">
        <v>20</v>
      </c>
      <c r="F3923">
        <v>1112226040</v>
      </c>
      <c r="G3923" t="s">
        <v>2975</v>
      </c>
      <c r="H3923">
        <v>100216586</v>
      </c>
      <c r="I3923">
        <v>202611</v>
      </c>
      <c r="J3923">
        <v>1112226040</v>
      </c>
      <c r="K3923" t="s">
        <v>89</v>
      </c>
      <c r="L3923" t="s">
        <v>133</v>
      </c>
      <c r="M3923" t="s">
        <v>24</v>
      </c>
      <c r="N3923" t="s">
        <v>38</v>
      </c>
      <c r="O3923" t="s">
        <v>26</v>
      </c>
      <c r="P3923" t="s">
        <v>27</v>
      </c>
      <c r="Q3923" t="s">
        <v>28</v>
      </c>
      <c r="R3923" t="s">
        <v>29</v>
      </c>
      <c r="S3923" t="s">
        <v>30</v>
      </c>
      <c r="T3923">
        <v>1019102787</v>
      </c>
      <c r="U3923" t="s">
        <v>3977</v>
      </c>
      <c r="V3923" t="s">
        <v>3970</v>
      </c>
      <c r="W3923" s="9">
        <f>IF(V3923="pregrado",31,
IF(V3923="posgrados",31,
IF(V3923="rEINTEGROS",7,
IF(V3923="BIT",90,
IF(V3923="OP GRADO - INGLÉS",17,"")))))</f>
        <v>7</v>
      </c>
      <c r="X3923" t="s">
        <v>3976</v>
      </c>
    </row>
    <row r="3924" spans="1:24" ht="15" x14ac:dyDescent="0.35">
      <c r="A3924" s="4">
        <v>46072.394629629627</v>
      </c>
      <c r="B3924">
        <v>20124731</v>
      </c>
      <c r="C3924" s="6" t="s">
        <v>19</v>
      </c>
      <c r="D3924">
        <v>609298</v>
      </c>
      <c r="E3924" t="s">
        <v>20</v>
      </c>
      <c r="F3924">
        <v>1074417877</v>
      </c>
      <c r="G3924" t="s">
        <v>3387</v>
      </c>
      <c r="H3924">
        <v>100245824</v>
      </c>
      <c r="I3924">
        <v>202611</v>
      </c>
      <c r="J3924">
        <v>1074417877</v>
      </c>
      <c r="K3924" t="s">
        <v>23</v>
      </c>
      <c r="L3924" t="s">
        <v>221</v>
      </c>
      <c r="M3924" t="s">
        <v>24</v>
      </c>
      <c r="N3924" t="s">
        <v>25</v>
      </c>
      <c r="O3924" t="s">
        <v>26</v>
      </c>
      <c r="P3924" t="s">
        <v>27</v>
      </c>
      <c r="Q3924" t="s">
        <v>28</v>
      </c>
      <c r="R3924" t="s">
        <v>29</v>
      </c>
      <c r="S3924" t="s">
        <v>30</v>
      </c>
      <c r="T3924">
        <v>53006215</v>
      </c>
      <c r="U3924" t="s">
        <v>3965</v>
      </c>
      <c r="V3924" t="s">
        <v>3934</v>
      </c>
      <c r="W3924" s="9">
        <f>IF(V3924="pregrado",31,
IF(V3924="posgrados",31,
IF(V3924="rEINTEGROS",7,
IF(V3924="BIT",90,
IF(V3924="OP GRADO - INGLÉS",17,"")))))</f>
        <v>31</v>
      </c>
      <c r="X3924" t="s">
        <v>4042</v>
      </c>
    </row>
    <row r="3925" spans="1:24" ht="15" x14ac:dyDescent="0.35">
      <c r="A3925" s="4">
        <v>46063.654479166667</v>
      </c>
      <c r="B3925">
        <v>20122125</v>
      </c>
      <c r="C3925" s="6" t="s">
        <v>19</v>
      </c>
      <c r="D3925">
        <v>609302</v>
      </c>
      <c r="E3925" t="s">
        <v>20</v>
      </c>
      <c r="F3925">
        <v>40394381</v>
      </c>
      <c r="G3925" t="s">
        <v>2999</v>
      </c>
      <c r="H3925">
        <v>100245829</v>
      </c>
      <c r="I3925">
        <v>202631</v>
      </c>
      <c r="J3925">
        <v>1129244490</v>
      </c>
      <c r="K3925" t="s">
        <v>23</v>
      </c>
      <c r="L3925" t="s">
        <v>127</v>
      </c>
      <c r="M3925" t="s">
        <v>24</v>
      </c>
      <c r="N3925" t="s">
        <v>35</v>
      </c>
      <c r="O3925" t="s">
        <v>26</v>
      </c>
      <c r="P3925" t="s">
        <v>27</v>
      </c>
      <c r="Q3925" t="s">
        <v>28</v>
      </c>
      <c r="R3925" t="s">
        <v>29</v>
      </c>
      <c r="S3925" t="s">
        <v>30</v>
      </c>
      <c r="T3925">
        <v>10306009131</v>
      </c>
      <c r="U3925" t="s">
        <v>3933</v>
      </c>
      <c r="V3925" t="s">
        <v>3934</v>
      </c>
      <c r="W3925" s="9">
        <f>IF(V3925="pregrado",31,
IF(V3925="posgrados",31,
IF(V3925="rEINTEGROS",7,
IF(V3925="BIT",90,
IF(V3925="OP GRADO - INGLÉS",17,"")))))</f>
        <v>31</v>
      </c>
      <c r="X3925" t="s">
        <v>3978</v>
      </c>
    </row>
    <row r="3926" spans="1:24" ht="15" x14ac:dyDescent="0.35">
      <c r="A3926" s="4">
        <v>46064.61855324074</v>
      </c>
      <c r="B3926">
        <v>20122441</v>
      </c>
      <c r="C3926" s="6" t="s">
        <v>19</v>
      </c>
      <c r="D3926">
        <v>609319</v>
      </c>
      <c r="E3926" t="s">
        <v>20</v>
      </c>
      <c r="F3926">
        <v>1130607744</v>
      </c>
      <c r="G3926" t="s">
        <v>3034</v>
      </c>
      <c r="H3926">
        <v>200120072</v>
      </c>
      <c r="I3926">
        <v>202631</v>
      </c>
      <c r="J3926">
        <v>1010028166</v>
      </c>
      <c r="K3926" t="s">
        <v>23</v>
      </c>
      <c r="L3926" t="s">
        <v>119</v>
      </c>
      <c r="M3926" t="s">
        <v>24</v>
      </c>
      <c r="N3926" t="s">
        <v>35</v>
      </c>
      <c r="O3926" t="s">
        <v>26</v>
      </c>
      <c r="P3926" t="s">
        <v>27</v>
      </c>
      <c r="Q3926" t="s">
        <v>28</v>
      </c>
      <c r="R3926" t="s">
        <v>29</v>
      </c>
      <c r="S3926" t="s">
        <v>30</v>
      </c>
      <c r="T3926">
        <v>1014283217</v>
      </c>
      <c r="U3926" t="s">
        <v>3963</v>
      </c>
      <c r="V3926" t="s">
        <v>3934</v>
      </c>
      <c r="W3926" s="9">
        <f>IF(V3926="pregrado",31,
IF(V3926="posgrados",31,
IF(V3926="rEINTEGROS",7,
IF(V3926="BIT",90,
IF(V3926="OP GRADO - INGLÉS",17,"")))))</f>
        <v>31</v>
      </c>
      <c r="X3926" t="s">
        <v>4023</v>
      </c>
    </row>
    <row r="3927" spans="1:24" ht="15" x14ac:dyDescent="0.35">
      <c r="A3927" s="4">
        <v>46064.418576388889</v>
      </c>
      <c r="B3927">
        <v>20122336</v>
      </c>
      <c r="C3927" s="6" t="s">
        <v>19</v>
      </c>
      <c r="D3927">
        <v>609321</v>
      </c>
      <c r="E3927" t="s">
        <v>20</v>
      </c>
      <c r="F3927">
        <v>1072651897</v>
      </c>
      <c r="G3927" t="s">
        <v>3021</v>
      </c>
      <c r="H3927">
        <v>100245840</v>
      </c>
      <c r="I3927">
        <v>202631</v>
      </c>
      <c r="J3927">
        <v>1072651897</v>
      </c>
      <c r="K3927" t="s">
        <v>33</v>
      </c>
      <c r="L3927" t="s">
        <v>207</v>
      </c>
      <c r="M3927" t="s">
        <v>24</v>
      </c>
      <c r="N3927" t="s">
        <v>25</v>
      </c>
      <c r="O3927" t="s">
        <v>26</v>
      </c>
      <c r="P3927" t="s">
        <v>27</v>
      </c>
      <c r="Q3927" t="s">
        <v>28</v>
      </c>
      <c r="R3927" t="s">
        <v>29</v>
      </c>
      <c r="S3927" t="s">
        <v>30</v>
      </c>
      <c r="T3927">
        <v>1001315142</v>
      </c>
      <c r="U3927" t="s">
        <v>3986</v>
      </c>
      <c r="V3927" t="s">
        <v>3934</v>
      </c>
      <c r="W3927" s="9">
        <f>IF(V3927="pregrado",31,
IF(V3927="posgrados",31,
IF(V3927="rEINTEGROS",7,
IF(V3927="BIT",90,
IF(V3927="OP GRADO - INGLÉS",17,"")))))</f>
        <v>31</v>
      </c>
      <c r="X3927" t="s">
        <v>4064</v>
      </c>
    </row>
    <row r="3928" spans="1:24" ht="15" x14ac:dyDescent="0.35">
      <c r="A3928" s="4">
        <v>46072.462673611109</v>
      </c>
      <c r="B3928">
        <v>20124792</v>
      </c>
      <c r="C3928" s="6" t="s">
        <v>19</v>
      </c>
      <c r="D3928">
        <v>609337</v>
      </c>
      <c r="E3928" t="s">
        <v>20</v>
      </c>
      <c r="F3928">
        <v>28613004</v>
      </c>
      <c r="G3928" t="s">
        <v>3399</v>
      </c>
      <c r="H3928">
        <v>100245855</v>
      </c>
      <c r="I3928">
        <v>202631</v>
      </c>
      <c r="J3928">
        <v>1022996923</v>
      </c>
      <c r="K3928" t="s">
        <v>33</v>
      </c>
      <c r="L3928" t="s">
        <v>207</v>
      </c>
      <c r="M3928" t="s">
        <v>24</v>
      </c>
      <c r="N3928" t="s">
        <v>25</v>
      </c>
      <c r="O3928" t="s">
        <v>26</v>
      </c>
      <c r="P3928" t="s">
        <v>27</v>
      </c>
      <c r="Q3928" t="s">
        <v>28</v>
      </c>
      <c r="R3928" t="s">
        <v>29</v>
      </c>
      <c r="S3928" t="s">
        <v>30</v>
      </c>
      <c r="T3928">
        <v>1010081108</v>
      </c>
      <c r="U3928" t="s">
        <v>3941</v>
      </c>
      <c r="V3928" t="s">
        <v>3934</v>
      </c>
      <c r="W3928" s="9">
        <f>IF(V3928="pregrado",31,
IF(V3928="posgrados",31,
IF(V3928="rEINTEGROS",7,
IF(V3928="BIT",90,
IF(V3928="OP GRADO - INGLÉS",17,"")))))</f>
        <v>31</v>
      </c>
      <c r="X3928" t="s">
        <v>4009</v>
      </c>
    </row>
    <row r="3929" spans="1:24" ht="15" x14ac:dyDescent="0.35">
      <c r="A3929" s="4">
        <v>46072.604027777779</v>
      </c>
      <c r="B3929">
        <v>20124881</v>
      </c>
      <c r="C3929" s="6" t="s">
        <v>19</v>
      </c>
      <c r="D3929">
        <v>609341</v>
      </c>
      <c r="E3929" t="s">
        <v>20</v>
      </c>
      <c r="F3929">
        <v>65634681</v>
      </c>
      <c r="G3929" t="s">
        <v>3423</v>
      </c>
      <c r="H3929">
        <v>100245858</v>
      </c>
      <c r="I3929">
        <v>202631</v>
      </c>
      <c r="J3929">
        <v>65634681</v>
      </c>
      <c r="K3929" t="s">
        <v>23</v>
      </c>
      <c r="L3929" t="s">
        <v>240</v>
      </c>
      <c r="M3929" t="s">
        <v>24</v>
      </c>
      <c r="N3929" t="s">
        <v>35</v>
      </c>
      <c r="O3929" t="s">
        <v>26</v>
      </c>
      <c r="P3929" t="s">
        <v>27</v>
      </c>
      <c r="Q3929" t="s">
        <v>28</v>
      </c>
      <c r="R3929" t="s">
        <v>29</v>
      </c>
      <c r="S3929" t="s">
        <v>30</v>
      </c>
      <c r="T3929">
        <v>1030651078</v>
      </c>
      <c r="U3929" t="s">
        <v>3965</v>
      </c>
      <c r="V3929" t="s">
        <v>3934</v>
      </c>
      <c r="W3929" s="9">
        <f>IF(V3929="pregrado",31,
IF(V3929="posgrados",31,
IF(V3929="rEINTEGROS",7,
IF(V3929="BIT",90,
IF(V3929="OP GRADO - INGLÉS",17,"")))))</f>
        <v>31</v>
      </c>
      <c r="X3929" t="s">
        <v>4085</v>
      </c>
    </row>
    <row r="3930" spans="1:24" ht="15" x14ac:dyDescent="0.35">
      <c r="A3930" s="4">
        <v>46063.757928240739</v>
      </c>
      <c r="B3930">
        <v>20122218</v>
      </c>
      <c r="C3930" s="6" t="s">
        <v>19</v>
      </c>
      <c r="D3930">
        <v>609345</v>
      </c>
      <c r="E3930" t="s">
        <v>20</v>
      </c>
      <c r="F3930">
        <v>1000036680</v>
      </c>
      <c r="G3930" t="s">
        <v>3006</v>
      </c>
      <c r="H3930">
        <v>100102164</v>
      </c>
      <c r="I3930">
        <v>202631</v>
      </c>
      <c r="J3930">
        <v>1000036680</v>
      </c>
      <c r="K3930" t="s">
        <v>23</v>
      </c>
      <c r="L3930" t="s">
        <v>57</v>
      </c>
      <c r="M3930" t="s">
        <v>24</v>
      </c>
      <c r="N3930" t="s">
        <v>35</v>
      </c>
      <c r="O3930" t="s">
        <v>26</v>
      </c>
      <c r="P3930" t="s">
        <v>27</v>
      </c>
      <c r="Q3930" t="s">
        <v>28</v>
      </c>
      <c r="R3930" t="s">
        <v>29</v>
      </c>
      <c r="S3930" t="s">
        <v>30</v>
      </c>
      <c r="T3930">
        <v>79786913</v>
      </c>
      <c r="U3930" t="s">
        <v>3939</v>
      </c>
      <c r="V3930" t="s">
        <v>3934</v>
      </c>
      <c r="W3930" s="9">
        <f>IF(V3930="pregrado",31,
IF(V3930="posgrados",31,
IF(V3930="rEINTEGROS",7,
IF(V3930="BIT",90,
IF(V3930="OP GRADO - INGLÉS",17,"")))))</f>
        <v>31</v>
      </c>
      <c r="X3930" t="s">
        <v>4010</v>
      </c>
    </row>
    <row r="3931" spans="1:24" ht="15" x14ac:dyDescent="0.35">
      <c r="A3931" s="4">
        <v>46064.43990740741</v>
      </c>
      <c r="B3931">
        <v>20122348</v>
      </c>
      <c r="C3931" s="6" t="s">
        <v>19</v>
      </c>
      <c r="D3931">
        <v>609350</v>
      </c>
      <c r="E3931" t="s">
        <v>20</v>
      </c>
      <c r="F3931">
        <v>1016948051</v>
      </c>
      <c r="G3931" t="s">
        <v>3022</v>
      </c>
      <c r="H3931">
        <v>100245863</v>
      </c>
      <c r="I3931">
        <v>202631</v>
      </c>
      <c r="J3931">
        <v>1016948051</v>
      </c>
      <c r="K3931" t="s">
        <v>23</v>
      </c>
      <c r="L3931" t="s">
        <v>127</v>
      </c>
      <c r="M3931" t="s">
        <v>24</v>
      </c>
      <c r="N3931" t="s">
        <v>35</v>
      </c>
      <c r="O3931" t="s">
        <v>26</v>
      </c>
      <c r="P3931" t="s">
        <v>27</v>
      </c>
      <c r="Q3931" t="s">
        <v>28</v>
      </c>
      <c r="R3931" t="s">
        <v>29</v>
      </c>
      <c r="S3931" t="s">
        <v>30</v>
      </c>
      <c r="T3931">
        <v>1013595695</v>
      </c>
      <c r="U3931" t="s">
        <v>3933</v>
      </c>
      <c r="V3931" t="s">
        <v>3934</v>
      </c>
      <c r="W3931" s="9">
        <f>IF(V3931="pregrado",31,
IF(V3931="posgrados",31,
IF(V3931="rEINTEGROS",7,
IF(V3931="BIT",90,
IF(V3931="OP GRADO - INGLÉS",17,"")))))</f>
        <v>31</v>
      </c>
      <c r="X3931" t="s">
        <v>3990</v>
      </c>
    </row>
    <row r="3932" spans="1:24" ht="15" x14ac:dyDescent="0.35">
      <c r="A3932" s="4">
        <v>46066.793912037036</v>
      </c>
      <c r="B3932">
        <v>20123360</v>
      </c>
      <c r="C3932" s="6" t="s">
        <v>19</v>
      </c>
      <c r="D3932">
        <v>609355</v>
      </c>
      <c r="E3932" t="s">
        <v>20</v>
      </c>
      <c r="F3932">
        <v>64566896</v>
      </c>
      <c r="G3932" t="s">
        <v>3195</v>
      </c>
      <c r="H3932">
        <v>100193450</v>
      </c>
      <c r="I3932">
        <v>202631</v>
      </c>
      <c r="J3932">
        <v>1108762326</v>
      </c>
      <c r="K3932" t="s">
        <v>33</v>
      </c>
      <c r="L3932" t="s">
        <v>101</v>
      </c>
      <c r="M3932" t="s">
        <v>24</v>
      </c>
      <c r="N3932" t="s">
        <v>35</v>
      </c>
      <c r="O3932" t="s">
        <v>26</v>
      </c>
      <c r="P3932" t="s">
        <v>27</v>
      </c>
      <c r="Q3932" t="s">
        <v>28</v>
      </c>
      <c r="R3932" t="s">
        <v>29</v>
      </c>
      <c r="S3932" t="s">
        <v>30</v>
      </c>
      <c r="T3932">
        <v>1023975276</v>
      </c>
      <c r="U3932" t="s">
        <v>3963</v>
      </c>
      <c r="V3932" t="s">
        <v>3934</v>
      </c>
      <c r="W3932" s="9">
        <f>IF(V3932="pregrado",31,
IF(V3932="posgrados",31,
IF(V3932="rEINTEGROS",7,
IF(V3932="BIT",90,
IF(V3932="OP GRADO - INGLÉS",17,"")))))</f>
        <v>31</v>
      </c>
      <c r="X3932" t="s">
        <v>3962</v>
      </c>
    </row>
    <row r="3933" spans="1:24" ht="15" x14ac:dyDescent="0.35">
      <c r="A3933" s="4">
        <v>46064.407222222224</v>
      </c>
      <c r="B3933">
        <v>20122328</v>
      </c>
      <c r="C3933" s="6" t="s">
        <v>19</v>
      </c>
      <c r="D3933">
        <v>609375</v>
      </c>
      <c r="E3933" t="s">
        <v>20</v>
      </c>
      <c r="F3933">
        <v>1065566743</v>
      </c>
      <c r="G3933" t="s">
        <v>3019</v>
      </c>
      <c r="H3933">
        <v>100133278</v>
      </c>
      <c r="I3933">
        <v>202631</v>
      </c>
      <c r="J3933">
        <v>1067815223</v>
      </c>
      <c r="K3933" t="s">
        <v>89</v>
      </c>
      <c r="L3933" t="s">
        <v>127</v>
      </c>
      <c r="M3933" t="s">
        <v>24</v>
      </c>
      <c r="N3933" t="s">
        <v>25</v>
      </c>
      <c r="O3933" t="s">
        <v>26</v>
      </c>
      <c r="P3933" t="s">
        <v>27</v>
      </c>
      <c r="Q3933" t="s">
        <v>28</v>
      </c>
      <c r="R3933" t="s">
        <v>29</v>
      </c>
      <c r="S3933" t="s">
        <v>30</v>
      </c>
      <c r="T3933">
        <v>1019102787</v>
      </c>
      <c r="U3933" t="s">
        <v>3977</v>
      </c>
      <c r="V3933" t="s">
        <v>3970</v>
      </c>
      <c r="W3933" s="9">
        <f>IF(V3933="pregrado",31,
IF(V3933="posgrados",31,
IF(V3933="rEINTEGROS",7,
IF(V3933="BIT",90,
IF(V3933="OP GRADO - INGLÉS",17,"")))))</f>
        <v>7</v>
      </c>
      <c r="X3933" t="s">
        <v>3976</v>
      </c>
    </row>
    <row r="3934" spans="1:24" ht="15" x14ac:dyDescent="0.35">
      <c r="A3934" s="4">
        <v>46066.572048611109</v>
      </c>
      <c r="B3934">
        <v>20123203</v>
      </c>
      <c r="C3934" s="6" t="s">
        <v>19</v>
      </c>
      <c r="D3934">
        <v>609388</v>
      </c>
      <c r="E3934" t="s">
        <v>20</v>
      </c>
      <c r="F3934">
        <v>1000835221</v>
      </c>
      <c r="G3934" t="s">
        <v>3167</v>
      </c>
      <c r="H3934">
        <v>100160303</v>
      </c>
      <c r="I3934">
        <v>202610</v>
      </c>
      <c r="J3934">
        <v>1000835221</v>
      </c>
      <c r="K3934" t="s">
        <v>33</v>
      </c>
      <c r="L3934" t="s">
        <v>40</v>
      </c>
      <c r="M3934" t="s">
        <v>24</v>
      </c>
      <c r="N3934" t="s">
        <v>25</v>
      </c>
      <c r="O3934" t="s">
        <v>26</v>
      </c>
      <c r="P3934" t="s">
        <v>27</v>
      </c>
      <c r="Q3934" t="s">
        <v>28</v>
      </c>
      <c r="R3934" t="s">
        <v>29</v>
      </c>
      <c r="S3934" t="s">
        <v>30</v>
      </c>
      <c r="T3934">
        <v>1018455773</v>
      </c>
      <c r="U3934" t="s">
        <v>3986</v>
      </c>
      <c r="V3934" t="s">
        <v>3934</v>
      </c>
      <c r="W3934" s="9">
        <f>IF(V3934="pregrado",31,
IF(V3934="posgrados",31,
IF(V3934="rEINTEGROS",7,
IF(V3934="BIT",90,
IF(V3934="OP GRADO - INGLÉS",17,"")))))</f>
        <v>31</v>
      </c>
      <c r="X3934" t="s">
        <v>4101</v>
      </c>
    </row>
    <row r="3935" spans="1:24" ht="15" x14ac:dyDescent="0.35">
      <c r="A3935" s="4">
        <v>46064.400277777779</v>
      </c>
      <c r="B3935">
        <v>20122316</v>
      </c>
      <c r="C3935" s="6" t="s">
        <v>19</v>
      </c>
      <c r="D3935">
        <v>609394</v>
      </c>
      <c r="E3935" t="s">
        <v>20</v>
      </c>
      <c r="F3935">
        <v>1070969002</v>
      </c>
      <c r="G3935" t="s">
        <v>3016</v>
      </c>
      <c r="H3935">
        <v>100213505</v>
      </c>
      <c r="I3935">
        <v>202611</v>
      </c>
      <c r="J3935">
        <v>1070969002</v>
      </c>
      <c r="K3935" t="s">
        <v>23</v>
      </c>
      <c r="L3935" t="s">
        <v>221</v>
      </c>
      <c r="M3935" t="s">
        <v>24</v>
      </c>
      <c r="N3935" t="s">
        <v>35</v>
      </c>
      <c r="O3935" t="s">
        <v>26</v>
      </c>
      <c r="P3935" t="s">
        <v>27</v>
      </c>
      <c r="Q3935" t="s">
        <v>28</v>
      </c>
      <c r="R3935" t="s">
        <v>29</v>
      </c>
      <c r="S3935" t="s">
        <v>30</v>
      </c>
      <c r="T3935">
        <v>1030573476</v>
      </c>
      <c r="U3935" t="s">
        <v>3965</v>
      </c>
      <c r="V3935" t="s">
        <v>3934</v>
      </c>
      <c r="W3935" s="9">
        <f>IF(V3935="pregrado",31,
IF(V3935="posgrados",31,
IF(V3935="rEINTEGROS",7,
IF(V3935="BIT",90,
IF(V3935="OP GRADO - INGLÉS",17,"")))))</f>
        <v>31</v>
      </c>
      <c r="X3935" t="s">
        <v>4077</v>
      </c>
    </row>
    <row r="3936" spans="1:24" ht="15" x14ac:dyDescent="0.35">
      <c r="A3936" s="4">
        <v>46064.806087962963</v>
      </c>
      <c r="B3936">
        <v>20122606</v>
      </c>
      <c r="C3936" s="6" t="s">
        <v>19</v>
      </c>
      <c r="D3936">
        <v>609395</v>
      </c>
      <c r="E3936" t="s">
        <v>20</v>
      </c>
      <c r="F3936">
        <v>1111540222</v>
      </c>
      <c r="G3936" t="s">
        <v>3058</v>
      </c>
      <c r="H3936">
        <v>100192861</v>
      </c>
      <c r="I3936">
        <v>202611</v>
      </c>
      <c r="J3936">
        <v>1111540222</v>
      </c>
      <c r="K3936" t="s">
        <v>46</v>
      </c>
      <c r="L3936" t="s">
        <v>221</v>
      </c>
      <c r="M3936" t="s">
        <v>24</v>
      </c>
      <c r="N3936" t="s">
        <v>25</v>
      </c>
      <c r="O3936" t="s">
        <v>26</v>
      </c>
      <c r="P3936" t="s">
        <v>27</v>
      </c>
      <c r="Q3936" t="s">
        <v>28</v>
      </c>
      <c r="R3936" t="s">
        <v>29</v>
      </c>
      <c r="S3936" t="s">
        <v>30</v>
      </c>
      <c r="T3936">
        <v>1023899450</v>
      </c>
      <c r="U3936" t="s">
        <v>3977</v>
      </c>
      <c r="V3936" t="s">
        <v>3970</v>
      </c>
      <c r="W3936" s="9">
        <f>IF(V3936="pregrado",31,
IF(V3936="posgrados",31,
IF(V3936="rEINTEGROS",7,
IF(V3936="BIT",90,
IF(V3936="OP GRADO - INGLÉS",17,"")))))</f>
        <v>7</v>
      </c>
      <c r="X3936" t="s">
        <v>3969</v>
      </c>
    </row>
    <row r="3937" spans="1:24" ht="15" x14ac:dyDescent="0.35">
      <c r="A3937" s="4">
        <v>46064.39744212963</v>
      </c>
      <c r="B3937">
        <v>20122310</v>
      </c>
      <c r="C3937" s="6" t="s">
        <v>19</v>
      </c>
      <c r="D3937">
        <v>609397</v>
      </c>
      <c r="E3937" t="s">
        <v>20</v>
      </c>
      <c r="F3937">
        <v>1065572021</v>
      </c>
      <c r="G3937" t="s">
        <v>3014</v>
      </c>
      <c r="H3937">
        <v>100245902</v>
      </c>
      <c r="I3937">
        <v>202631</v>
      </c>
      <c r="J3937">
        <v>1065572021</v>
      </c>
      <c r="K3937" t="s">
        <v>23</v>
      </c>
      <c r="L3937" t="s">
        <v>101</v>
      </c>
      <c r="M3937" t="s">
        <v>24</v>
      </c>
      <c r="N3937" t="s">
        <v>25</v>
      </c>
      <c r="O3937" t="s">
        <v>26</v>
      </c>
      <c r="P3937" t="s">
        <v>27</v>
      </c>
      <c r="Q3937" t="s">
        <v>28</v>
      </c>
      <c r="R3937" t="s">
        <v>29</v>
      </c>
      <c r="S3937" t="s">
        <v>30</v>
      </c>
      <c r="T3937">
        <v>1000973717</v>
      </c>
      <c r="U3937" t="s">
        <v>3963</v>
      </c>
      <c r="V3937" t="s">
        <v>3934</v>
      </c>
      <c r="W3937" s="9">
        <f>IF(V3937="pregrado",31,
IF(V3937="posgrados",31,
IF(V3937="rEINTEGROS",7,
IF(V3937="BIT",90,
IF(V3937="OP GRADO - INGLÉS",17,"")))))</f>
        <v>31</v>
      </c>
      <c r="X3937" t="s">
        <v>4073</v>
      </c>
    </row>
    <row r="3938" spans="1:24" ht="15" x14ac:dyDescent="0.35">
      <c r="A3938" s="4">
        <v>46064.586840277778</v>
      </c>
      <c r="B3938">
        <v>20122416</v>
      </c>
      <c r="C3938" s="6" t="s">
        <v>19</v>
      </c>
      <c r="D3938">
        <v>609399</v>
      </c>
      <c r="E3938" t="s">
        <v>20</v>
      </c>
      <c r="F3938">
        <v>1003042321</v>
      </c>
      <c r="G3938" t="s">
        <v>3030</v>
      </c>
      <c r="H3938">
        <v>100245903</v>
      </c>
      <c r="I3938">
        <v>202631</v>
      </c>
      <c r="J3938">
        <v>1003042321</v>
      </c>
      <c r="K3938" t="s">
        <v>33</v>
      </c>
      <c r="L3938" t="s">
        <v>42</v>
      </c>
      <c r="M3938" t="s">
        <v>24</v>
      </c>
      <c r="N3938" t="s">
        <v>35</v>
      </c>
      <c r="O3938" t="s">
        <v>26</v>
      </c>
      <c r="P3938" t="s">
        <v>27</v>
      </c>
      <c r="Q3938" t="s">
        <v>28</v>
      </c>
      <c r="R3938" t="s">
        <v>29</v>
      </c>
      <c r="S3938" t="s">
        <v>30</v>
      </c>
      <c r="T3938">
        <v>1000625316</v>
      </c>
      <c r="U3938" t="s">
        <v>3944</v>
      </c>
      <c r="V3938" t="s">
        <v>3934</v>
      </c>
      <c r="W3938" s="9">
        <f>IF(V3938="pregrado",31,
IF(V3938="posgrados",31,
IF(V3938="rEINTEGROS",7,
IF(V3938="BIT",90,
IF(V3938="OP GRADO - INGLÉS",17,"")))))</f>
        <v>31</v>
      </c>
      <c r="X3938" t="s">
        <v>3980</v>
      </c>
    </row>
    <row r="3939" spans="1:24" ht="15" x14ac:dyDescent="0.35">
      <c r="A3939" s="4">
        <v>46064.729131944441</v>
      </c>
      <c r="B3939">
        <v>20122569</v>
      </c>
      <c r="C3939" s="6" t="s">
        <v>19</v>
      </c>
      <c r="D3939">
        <v>609402</v>
      </c>
      <c r="E3939" t="s">
        <v>20</v>
      </c>
      <c r="F3939">
        <v>1068926317</v>
      </c>
      <c r="G3939" t="s">
        <v>3052</v>
      </c>
      <c r="H3939">
        <v>100245904</v>
      </c>
      <c r="I3939">
        <v>202631</v>
      </c>
      <c r="J3939">
        <v>1070388141</v>
      </c>
      <c r="K3939" t="s">
        <v>23</v>
      </c>
      <c r="L3939" t="s">
        <v>370</v>
      </c>
      <c r="M3939" t="s">
        <v>24</v>
      </c>
      <c r="N3939" t="s">
        <v>35</v>
      </c>
      <c r="O3939" t="s">
        <v>26</v>
      </c>
      <c r="P3939" t="s">
        <v>27</v>
      </c>
      <c r="Q3939" t="s">
        <v>28</v>
      </c>
      <c r="R3939" t="s">
        <v>29</v>
      </c>
      <c r="S3939" t="s">
        <v>30</v>
      </c>
      <c r="T3939">
        <v>1023975276</v>
      </c>
      <c r="U3939" t="s">
        <v>3963</v>
      </c>
      <c r="V3939" t="s">
        <v>3934</v>
      </c>
      <c r="W3939" s="9">
        <f>IF(V3939="pregrado",31,
IF(V3939="posgrados",31,
IF(V3939="rEINTEGROS",7,
IF(V3939="BIT",90,
IF(V3939="OP GRADO - INGLÉS",17,"")))))</f>
        <v>31</v>
      </c>
      <c r="X3939" t="s">
        <v>3962</v>
      </c>
    </row>
    <row r="3940" spans="1:24" ht="15" x14ac:dyDescent="0.35">
      <c r="A3940" s="4">
        <v>46065.542766203704</v>
      </c>
      <c r="B3940">
        <v>20122808</v>
      </c>
      <c r="C3940" s="6" t="s">
        <v>19</v>
      </c>
      <c r="D3940">
        <v>609413</v>
      </c>
      <c r="E3940" t="s">
        <v>20</v>
      </c>
      <c r="F3940">
        <v>1001710801</v>
      </c>
      <c r="G3940" t="s">
        <v>3096</v>
      </c>
      <c r="H3940">
        <v>200120844</v>
      </c>
      <c r="I3940">
        <v>202631</v>
      </c>
      <c r="J3940">
        <v>1001710801</v>
      </c>
      <c r="K3940" t="s">
        <v>23</v>
      </c>
      <c r="L3940" t="s">
        <v>119</v>
      </c>
      <c r="M3940" t="s">
        <v>24</v>
      </c>
      <c r="N3940" t="s">
        <v>35</v>
      </c>
      <c r="O3940" t="s">
        <v>26</v>
      </c>
      <c r="P3940" t="s">
        <v>27</v>
      </c>
      <c r="Q3940" t="s">
        <v>28</v>
      </c>
      <c r="R3940" t="s">
        <v>29</v>
      </c>
      <c r="S3940" t="s">
        <v>30</v>
      </c>
      <c r="T3940">
        <v>1023367706</v>
      </c>
      <c r="U3940" t="s">
        <v>3963</v>
      </c>
      <c r="V3940" t="s">
        <v>3934</v>
      </c>
      <c r="W3940" s="9">
        <f>IF(V3940="pregrado",31,
IF(V3940="posgrados",31,
IF(V3940="rEINTEGROS",7,
IF(V3940="BIT",90,
IF(V3940="OP GRADO - INGLÉS",17,"")))))</f>
        <v>31</v>
      </c>
      <c r="X3940" t="s">
        <v>4039</v>
      </c>
    </row>
    <row r="3941" spans="1:24" ht="15" x14ac:dyDescent="0.35">
      <c r="A3941" s="4">
        <v>46067.717523148145</v>
      </c>
      <c r="B3941">
        <v>20123502</v>
      </c>
      <c r="C3941" s="6" t="s">
        <v>19</v>
      </c>
      <c r="D3941">
        <v>609414</v>
      </c>
      <c r="E3941" t="s">
        <v>20</v>
      </c>
      <c r="F3941">
        <v>53114077</v>
      </c>
      <c r="G3941" t="s">
        <v>3218</v>
      </c>
      <c r="H3941">
        <v>100245921</v>
      </c>
      <c r="I3941">
        <v>202631</v>
      </c>
      <c r="J3941">
        <v>1034661629</v>
      </c>
      <c r="K3941" t="s">
        <v>33</v>
      </c>
      <c r="L3941" t="s">
        <v>231</v>
      </c>
      <c r="M3941" t="s">
        <v>24</v>
      </c>
      <c r="N3941" t="s">
        <v>35</v>
      </c>
      <c r="O3941" t="s">
        <v>26</v>
      </c>
      <c r="P3941" t="s">
        <v>27</v>
      </c>
      <c r="Q3941" t="s">
        <v>28</v>
      </c>
      <c r="R3941" t="s">
        <v>29</v>
      </c>
      <c r="S3941" t="s">
        <v>30</v>
      </c>
      <c r="T3941">
        <v>80021358</v>
      </c>
      <c r="U3941" t="s">
        <v>3986</v>
      </c>
      <c r="V3941" t="s">
        <v>3934</v>
      </c>
      <c r="W3941" s="9">
        <f>IF(V3941="pregrado",31,
IF(V3941="posgrados",31,
IF(V3941="rEINTEGROS",7,
IF(V3941="BIT",90,
IF(V3941="OP GRADO - INGLÉS",17,"")))))</f>
        <v>31</v>
      </c>
      <c r="X3941" t="s">
        <v>3995</v>
      </c>
    </row>
    <row r="3942" spans="1:24" ht="15" x14ac:dyDescent="0.35">
      <c r="A3942" s="4">
        <v>46065.547083333331</v>
      </c>
      <c r="B3942">
        <v>20122811</v>
      </c>
      <c r="C3942" s="6" t="s">
        <v>19</v>
      </c>
      <c r="D3942">
        <v>609421</v>
      </c>
      <c r="E3942" t="s">
        <v>20</v>
      </c>
      <c r="F3942">
        <v>1000810270</v>
      </c>
      <c r="G3942" t="s">
        <v>3098</v>
      </c>
      <c r="H3942">
        <v>100245936</v>
      </c>
      <c r="I3942">
        <v>202631</v>
      </c>
      <c r="J3942">
        <v>1000810270</v>
      </c>
      <c r="K3942" t="s">
        <v>33</v>
      </c>
      <c r="L3942" t="s">
        <v>90</v>
      </c>
      <c r="M3942" t="s">
        <v>24</v>
      </c>
      <c r="N3942" t="s">
        <v>38</v>
      </c>
      <c r="O3942" t="s">
        <v>26</v>
      </c>
      <c r="P3942" t="s">
        <v>27</v>
      </c>
      <c r="Q3942" t="s">
        <v>28</v>
      </c>
      <c r="R3942" t="s">
        <v>29</v>
      </c>
      <c r="S3942" t="s">
        <v>30</v>
      </c>
      <c r="T3942">
        <v>1030525993</v>
      </c>
      <c r="U3942" t="s">
        <v>3933</v>
      </c>
      <c r="V3942" t="s">
        <v>3934</v>
      </c>
      <c r="W3942" s="9">
        <f>IF(V3942="pregrado",31,
IF(V3942="posgrados",31,
IF(V3942="rEINTEGROS",7,
IF(V3942="BIT",90,
IF(V3942="OP GRADO - INGLÉS",17,"")))))</f>
        <v>31</v>
      </c>
      <c r="X3942" t="s">
        <v>3956</v>
      </c>
    </row>
    <row r="3943" spans="1:24" ht="15" x14ac:dyDescent="0.35">
      <c r="A3943" s="4">
        <v>46064.554756944446</v>
      </c>
      <c r="B3943">
        <v>20122397</v>
      </c>
      <c r="C3943" s="6" t="s">
        <v>19</v>
      </c>
      <c r="D3943">
        <v>609429</v>
      </c>
      <c r="E3943" t="s">
        <v>20</v>
      </c>
      <c r="F3943">
        <v>46674294</v>
      </c>
      <c r="G3943" t="s">
        <v>3028</v>
      </c>
      <c r="H3943">
        <v>100245940</v>
      </c>
      <c r="I3943">
        <v>202631</v>
      </c>
      <c r="J3943">
        <v>1058353500</v>
      </c>
      <c r="K3943" t="s">
        <v>23</v>
      </c>
      <c r="L3943" t="s">
        <v>51</v>
      </c>
      <c r="M3943" t="s">
        <v>24</v>
      </c>
      <c r="N3943" t="s">
        <v>35</v>
      </c>
      <c r="O3943" t="s">
        <v>26</v>
      </c>
      <c r="P3943" t="s">
        <v>27</v>
      </c>
      <c r="Q3943" t="s">
        <v>28</v>
      </c>
      <c r="R3943" t="s">
        <v>29</v>
      </c>
      <c r="S3943" t="s">
        <v>30</v>
      </c>
      <c r="T3943">
        <v>45555807</v>
      </c>
      <c r="U3943" t="s">
        <v>3965</v>
      </c>
      <c r="V3943" t="s">
        <v>3934</v>
      </c>
      <c r="W3943" s="9">
        <f>IF(V3943="pregrado",31,
IF(V3943="posgrados",31,
IF(V3943="rEINTEGROS",7,
IF(V3943="BIT",90,
IF(V3943="OP GRADO - INGLÉS",17,"")))))</f>
        <v>31</v>
      </c>
      <c r="X3943" t="s">
        <v>4027</v>
      </c>
    </row>
    <row r="3944" spans="1:24" ht="15" x14ac:dyDescent="0.35">
      <c r="A3944" s="4">
        <v>46070.552245370367</v>
      </c>
      <c r="B3944">
        <v>20124118</v>
      </c>
      <c r="C3944" s="6" t="s">
        <v>19</v>
      </c>
      <c r="D3944">
        <v>609432</v>
      </c>
      <c r="E3944" t="s">
        <v>20</v>
      </c>
      <c r="F3944">
        <v>1071888880</v>
      </c>
      <c r="G3944" t="s">
        <v>3301</v>
      </c>
      <c r="H3944">
        <v>100230843</v>
      </c>
      <c r="I3944">
        <v>202631</v>
      </c>
      <c r="J3944">
        <v>1113859169</v>
      </c>
      <c r="K3944" t="s">
        <v>33</v>
      </c>
      <c r="L3944" t="s">
        <v>42</v>
      </c>
      <c r="M3944" t="s">
        <v>24</v>
      </c>
      <c r="N3944" t="s">
        <v>25</v>
      </c>
      <c r="O3944" t="s">
        <v>26</v>
      </c>
      <c r="P3944" t="s">
        <v>27</v>
      </c>
      <c r="Q3944" t="s">
        <v>28</v>
      </c>
      <c r="R3944" t="s">
        <v>29</v>
      </c>
      <c r="S3944" t="s">
        <v>30</v>
      </c>
      <c r="T3944">
        <v>53139409</v>
      </c>
      <c r="U3944" t="s">
        <v>3944</v>
      </c>
      <c r="V3944" t="s">
        <v>3934</v>
      </c>
      <c r="W3944" s="9">
        <f>IF(V3944="pregrado",31,
IF(V3944="posgrados",31,
IF(V3944="rEINTEGROS",7,
IF(V3944="BIT",90,
IF(V3944="OP GRADO - INGLÉS",17,"")))))</f>
        <v>31</v>
      </c>
      <c r="X3944" t="s">
        <v>3955</v>
      </c>
    </row>
    <row r="3945" spans="1:24" ht="15" x14ac:dyDescent="0.35">
      <c r="A3945" s="4">
        <v>46065.477858796294</v>
      </c>
      <c r="B3945">
        <v>20122747</v>
      </c>
      <c r="C3945" s="6" t="s">
        <v>19</v>
      </c>
      <c r="D3945">
        <v>609434</v>
      </c>
      <c r="E3945" t="s">
        <v>20</v>
      </c>
      <c r="F3945">
        <v>31435906</v>
      </c>
      <c r="G3945" t="s">
        <v>3085</v>
      </c>
      <c r="H3945">
        <v>100245947</v>
      </c>
      <c r="I3945">
        <v>202631</v>
      </c>
      <c r="J3945">
        <v>31435906</v>
      </c>
      <c r="K3945" t="s">
        <v>23</v>
      </c>
      <c r="L3945" t="s">
        <v>207</v>
      </c>
      <c r="M3945" t="s">
        <v>24</v>
      </c>
      <c r="N3945" t="s">
        <v>25</v>
      </c>
      <c r="O3945" t="s">
        <v>26</v>
      </c>
      <c r="P3945" t="s">
        <v>27</v>
      </c>
      <c r="Q3945" t="s">
        <v>28</v>
      </c>
      <c r="R3945" t="s">
        <v>29</v>
      </c>
      <c r="S3945" t="s">
        <v>30</v>
      </c>
      <c r="T3945">
        <v>80219471</v>
      </c>
      <c r="U3945" t="s">
        <v>3941</v>
      </c>
      <c r="V3945" t="s">
        <v>3934</v>
      </c>
      <c r="W3945" s="9">
        <f>IF(V3945="pregrado",31,
IF(V3945="posgrados",31,
IF(V3945="rEINTEGROS",7,
IF(V3945="BIT",90,
IF(V3945="OP GRADO - INGLÉS",17,"")))))</f>
        <v>31</v>
      </c>
      <c r="X3945" t="s">
        <v>4030</v>
      </c>
    </row>
    <row r="3946" spans="1:24" ht="15" x14ac:dyDescent="0.35">
      <c r="A3946" s="4">
        <v>46077.761956018519</v>
      </c>
      <c r="B3946">
        <v>20126114</v>
      </c>
      <c r="C3946" s="6" t="s">
        <v>19</v>
      </c>
      <c r="D3946">
        <v>609435</v>
      </c>
      <c r="E3946" t="s">
        <v>20</v>
      </c>
      <c r="F3946">
        <v>35587663</v>
      </c>
      <c r="G3946" t="s">
        <v>3620</v>
      </c>
      <c r="H3946">
        <v>200086551</v>
      </c>
      <c r="I3946">
        <v>202631</v>
      </c>
      <c r="J3946">
        <v>35587663</v>
      </c>
      <c r="K3946" t="s">
        <v>83</v>
      </c>
      <c r="L3946" t="s">
        <v>119</v>
      </c>
      <c r="M3946" t="s">
        <v>24</v>
      </c>
      <c r="N3946" t="s">
        <v>35</v>
      </c>
      <c r="O3946" t="s">
        <v>26</v>
      </c>
      <c r="P3946" t="s">
        <v>27</v>
      </c>
      <c r="Q3946" t="s">
        <v>28</v>
      </c>
      <c r="R3946" t="s">
        <v>29</v>
      </c>
      <c r="S3946" t="s">
        <v>30</v>
      </c>
      <c r="T3946">
        <v>53040709</v>
      </c>
      <c r="U3946" t="s">
        <v>3963</v>
      </c>
      <c r="V3946" t="s">
        <v>3934</v>
      </c>
      <c r="W3946" s="9">
        <f>IF(V3946="pregrado",31,
IF(V3946="posgrados",31,
IF(V3946="rEINTEGROS",7,
IF(V3946="BIT",90,
IF(V3946="OP GRADO - INGLÉS",17,"")))))</f>
        <v>31</v>
      </c>
      <c r="X3946" t="s">
        <v>3994</v>
      </c>
    </row>
    <row r="3947" spans="1:24" ht="15" x14ac:dyDescent="0.35">
      <c r="A3947" s="4">
        <v>46064.720983796295</v>
      </c>
      <c r="B3947">
        <v>20122557</v>
      </c>
      <c r="C3947" s="6" t="s">
        <v>19</v>
      </c>
      <c r="D3947">
        <v>609445</v>
      </c>
      <c r="E3947" t="s">
        <v>20</v>
      </c>
      <c r="F3947">
        <v>1037974319</v>
      </c>
      <c r="G3947" t="s">
        <v>3050</v>
      </c>
      <c r="H3947">
        <v>100129890</v>
      </c>
      <c r="I3947">
        <v>202631</v>
      </c>
      <c r="J3947">
        <v>1020434196</v>
      </c>
      <c r="K3947" t="s">
        <v>33</v>
      </c>
      <c r="L3947" t="s">
        <v>119</v>
      </c>
      <c r="M3947" t="s">
        <v>24</v>
      </c>
      <c r="N3947" t="s">
        <v>35</v>
      </c>
      <c r="O3947" t="s">
        <v>26</v>
      </c>
      <c r="P3947" t="s">
        <v>27</v>
      </c>
      <c r="Q3947" t="s">
        <v>28</v>
      </c>
      <c r="R3947" t="s">
        <v>29</v>
      </c>
      <c r="S3947" t="s">
        <v>30</v>
      </c>
      <c r="T3947">
        <v>1023975276</v>
      </c>
      <c r="U3947" t="s">
        <v>3963</v>
      </c>
      <c r="V3947" t="s">
        <v>3934</v>
      </c>
      <c r="W3947" s="9">
        <f>IF(V3947="pregrado",31,
IF(V3947="posgrados",31,
IF(V3947="rEINTEGROS",7,
IF(V3947="BIT",90,
IF(V3947="OP GRADO - INGLÉS",17,"")))))</f>
        <v>31</v>
      </c>
      <c r="X3947" t="s">
        <v>3962</v>
      </c>
    </row>
    <row r="3948" spans="1:24" ht="15" x14ac:dyDescent="0.35">
      <c r="A3948" s="4">
        <v>46064.839583333334</v>
      </c>
      <c r="B3948">
        <v>20122614</v>
      </c>
      <c r="C3948" s="6" t="s">
        <v>19</v>
      </c>
      <c r="D3948">
        <v>609448</v>
      </c>
      <c r="E3948" t="s">
        <v>20</v>
      </c>
      <c r="F3948">
        <v>52164082</v>
      </c>
      <c r="G3948" t="s">
        <v>3061</v>
      </c>
      <c r="H3948">
        <v>100245962</v>
      </c>
      <c r="I3948">
        <v>202631</v>
      </c>
      <c r="J3948">
        <v>1032680337</v>
      </c>
      <c r="K3948" t="s">
        <v>23</v>
      </c>
      <c r="L3948" t="s">
        <v>231</v>
      </c>
      <c r="M3948" t="s">
        <v>24</v>
      </c>
      <c r="N3948" t="s">
        <v>35</v>
      </c>
      <c r="O3948" t="s">
        <v>26</v>
      </c>
      <c r="P3948" t="s">
        <v>27</v>
      </c>
      <c r="Q3948" t="s">
        <v>28</v>
      </c>
      <c r="R3948" t="s">
        <v>29</v>
      </c>
      <c r="S3948" t="s">
        <v>30</v>
      </c>
      <c r="T3948">
        <v>1024572316</v>
      </c>
      <c r="U3948" t="s">
        <v>3941</v>
      </c>
      <c r="V3948" t="s">
        <v>3934</v>
      </c>
      <c r="W3948" s="9">
        <f>IF(V3948="pregrado",31,
IF(V3948="posgrados",31,
IF(V3948="rEINTEGROS",7,
IF(V3948="BIT",90,
IF(V3948="OP GRADO - INGLÉS",17,"")))))</f>
        <v>31</v>
      </c>
      <c r="X3948" t="s">
        <v>4000</v>
      </c>
    </row>
    <row r="3949" spans="1:24" ht="15" x14ac:dyDescent="0.35">
      <c r="A3949" s="4">
        <v>46065.476504629631</v>
      </c>
      <c r="B3949">
        <v>20122744</v>
      </c>
      <c r="C3949" s="6" t="s">
        <v>19</v>
      </c>
      <c r="D3949">
        <v>609517</v>
      </c>
      <c r="E3949" t="s">
        <v>20</v>
      </c>
      <c r="F3949">
        <v>43490553</v>
      </c>
      <c r="G3949" t="s">
        <v>3082</v>
      </c>
      <c r="H3949">
        <v>100188208</v>
      </c>
      <c r="I3949">
        <v>202631</v>
      </c>
      <c r="J3949">
        <v>1001021713</v>
      </c>
      <c r="K3949" t="s">
        <v>23</v>
      </c>
      <c r="L3949" t="s">
        <v>240</v>
      </c>
      <c r="M3949" t="s">
        <v>24</v>
      </c>
      <c r="N3949">
        <v>0</v>
      </c>
      <c r="O3949" t="s">
        <v>26</v>
      </c>
      <c r="P3949" t="s">
        <v>27</v>
      </c>
      <c r="Q3949" t="s">
        <v>28</v>
      </c>
      <c r="R3949" t="s">
        <v>29</v>
      </c>
      <c r="S3949" t="s">
        <v>30</v>
      </c>
      <c r="T3949">
        <v>1001277801</v>
      </c>
      <c r="U3949" t="s">
        <v>3965</v>
      </c>
      <c r="V3949" t="s">
        <v>3934</v>
      </c>
      <c r="W3949" s="9">
        <f>IF(V3949="pregrado",31,
IF(V3949="posgrados",31,
IF(V3949="rEINTEGROS",7,
IF(V3949="BIT",90,
IF(V3949="OP GRADO - INGLÉS",17,"")))))</f>
        <v>31</v>
      </c>
      <c r="X3949" t="s">
        <v>4002</v>
      </c>
    </row>
    <row r="3950" spans="1:24" ht="15" x14ac:dyDescent="0.35">
      <c r="A3950" s="4">
        <v>46064.769178240742</v>
      </c>
      <c r="B3950">
        <v>20122592</v>
      </c>
      <c r="C3950" s="6" t="s">
        <v>19</v>
      </c>
      <c r="D3950">
        <v>609519</v>
      </c>
      <c r="E3950" t="s">
        <v>20</v>
      </c>
      <c r="F3950">
        <v>1076242327</v>
      </c>
      <c r="G3950" t="s">
        <v>3056</v>
      </c>
      <c r="H3950">
        <v>100246009</v>
      </c>
      <c r="I3950">
        <v>202631</v>
      </c>
      <c r="J3950">
        <v>1076242327</v>
      </c>
      <c r="K3950" t="s">
        <v>23</v>
      </c>
      <c r="L3950" t="s">
        <v>90</v>
      </c>
      <c r="M3950" t="s">
        <v>24</v>
      </c>
      <c r="N3950" t="s">
        <v>25</v>
      </c>
      <c r="O3950" t="s">
        <v>26</v>
      </c>
      <c r="P3950" t="s">
        <v>27</v>
      </c>
      <c r="Q3950" t="s">
        <v>28</v>
      </c>
      <c r="R3950" t="s">
        <v>29</v>
      </c>
      <c r="S3950" t="s">
        <v>30</v>
      </c>
      <c r="T3950">
        <v>10306009131</v>
      </c>
      <c r="U3950" t="s">
        <v>3933</v>
      </c>
      <c r="V3950" t="s">
        <v>3934</v>
      </c>
      <c r="W3950" s="9">
        <f>IF(V3950="pregrado",31,
IF(V3950="posgrados",31,
IF(V3950="rEINTEGROS",7,
IF(V3950="BIT",90,
IF(V3950="OP GRADO - INGLÉS",17,"")))))</f>
        <v>31</v>
      </c>
      <c r="X3950" t="s">
        <v>3978</v>
      </c>
    </row>
    <row r="3951" spans="1:24" ht="15" x14ac:dyDescent="0.35">
      <c r="A3951" s="4">
        <v>46077.39607638889</v>
      </c>
      <c r="B3951">
        <v>20125898</v>
      </c>
      <c r="C3951" s="6" t="s">
        <v>19</v>
      </c>
      <c r="D3951">
        <v>609526</v>
      </c>
      <c r="E3951" t="s">
        <v>20</v>
      </c>
      <c r="F3951">
        <v>26649790</v>
      </c>
      <c r="G3951" t="s">
        <v>3579</v>
      </c>
      <c r="H3951">
        <v>100246014</v>
      </c>
      <c r="I3951">
        <v>202631</v>
      </c>
      <c r="J3951">
        <v>1117804113</v>
      </c>
      <c r="K3951" t="s">
        <v>33</v>
      </c>
      <c r="L3951" t="s">
        <v>240</v>
      </c>
      <c r="M3951" t="s">
        <v>24</v>
      </c>
      <c r="N3951" t="s">
        <v>35</v>
      </c>
      <c r="O3951" t="s">
        <v>26</v>
      </c>
      <c r="P3951" t="s">
        <v>27</v>
      </c>
      <c r="Q3951" t="s">
        <v>28</v>
      </c>
      <c r="R3951" t="s">
        <v>29</v>
      </c>
      <c r="S3951" t="s">
        <v>30</v>
      </c>
      <c r="T3951">
        <v>1026298522</v>
      </c>
      <c r="U3951" t="s">
        <v>3965</v>
      </c>
      <c r="V3951" t="s">
        <v>3934</v>
      </c>
      <c r="W3951" s="9">
        <f>IF(V3951="pregrado",31,
IF(V3951="posgrados",31,
IF(V3951="rEINTEGROS",7,
IF(V3951="BIT",90,
IF(V3951="OP GRADO - INGLÉS",17,"")))))</f>
        <v>31</v>
      </c>
      <c r="X3951" t="s">
        <v>4040</v>
      </c>
    </row>
    <row r="3952" spans="1:24" ht="15" x14ac:dyDescent="0.35">
      <c r="A3952" s="4">
        <v>46065.356539351851</v>
      </c>
      <c r="B3952">
        <v>20122650</v>
      </c>
      <c r="C3952" s="6" t="s">
        <v>19</v>
      </c>
      <c r="D3952">
        <v>609556</v>
      </c>
      <c r="E3952" t="s">
        <v>20</v>
      </c>
      <c r="F3952">
        <v>1000471879</v>
      </c>
      <c r="G3952" t="s">
        <v>3065</v>
      </c>
      <c r="H3952">
        <v>100246042</v>
      </c>
      <c r="I3952">
        <v>202631</v>
      </c>
      <c r="J3952">
        <v>1000471879</v>
      </c>
      <c r="K3952" t="s">
        <v>33</v>
      </c>
      <c r="L3952" t="s">
        <v>231</v>
      </c>
      <c r="M3952" t="s">
        <v>24</v>
      </c>
      <c r="N3952" t="s">
        <v>25</v>
      </c>
      <c r="O3952" t="s">
        <v>26</v>
      </c>
      <c r="P3952" t="s">
        <v>27</v>
      </c>
      <c r="Q3952" t="s">
        <v>28</v>
      </c>
      <c r="R3952" t="s">
        <v>29</v>
      </c>
      <c r="S3952" t="s">
        <v>30</v>
      </c>
      <c r="T3952">
        <v>53061994</v>
      </c>
      <c r="U3952" t="s">
        <v>3941</v>
      </c>
      <c r="V3952" t="s">
        <v>3934</v>
      </c>
      <c r="W3952" s="9">
        <f>IF(V3952="pregrado",31,
IF(V3952="posgrados",31,
IF(V3952="rEINTEGROS",7,
IF(V3952="BIT",90,
IF(V3952="OP GRADO - INGLÉS",17,"")))))</f>
        <v>31</v>
      </c>
      <c r="X3952" t="s">
        <v>3950</v>
      </c>
    </row>
    <row r="3953" spans="1:24" ht="15" x14ac:dyDescent="0.35">
      <c r="A3953" s="4">
        <v>46065.476145833331</v>
      </c>
      <c r="B3953">
        <v>20122743</v>
      </c>
      <c r="C3953" s="6" t="s">
        <v>19</v>
      </c>
      <c r="D3953">
        <v>609558</v>
      </c>
      <c r="E3953" t="s">
        <v>20</v>
      </c>
      <c r="F3953">
        <v>1075256633</v>
      </c>
      <c r="G3953" t="s">
        <v>3081</v>
      </c>
      <c r="H3953">
        <v>100245846</v>
      </c>
      <c r="I3953">
        <v>202631</v>
      </c>
      <c r="J3953">
        <v>1111809642</v>
      </c>
      <c r="K3953" t="s">
        <v>74</v>
      </c>
      <c r="L3953" t="s">
        <v>42</v>
      </c>
      <c r="M3953" t="s">
        <v>24</v>
      </c>
      <c r="N3953" t="s">
        <v>35</v>
      </c>
      <c r="O3953" t="s">
        <v>26</v>
      </c>
      <c r="P3953" t="s">
        <v>27</v>
      </c>
      <c r="Q3953" t="s">
        <v>28</v>
      </c>
      <c r="R3953" t="s">
        <v>29</v>
      </c>
      <c r="S3953" t="s">
        <v>30</v>
      </c>
      <c r="T3953">
        <v>11001273124</v>
      </c>
      <c r="U3953" t="s">
        <v>3944</v>
      </c>
      <c r="V3953" t="s">
        <v>3934</v>
      </c>
      <c r="W3953" s="9">
        <f>IF(V3953="pregrado",31,
IF(V3953="posgrados",31,
IF(V3953="rEINTEGROS",7,
IF(V3953="BIT",90,
IF(V3953="OP GRADO - INGLÉS",17,"")))))</f>
        <v>31</v>
      </c>
      <c r="X3953" t="s">
        <v>3951</v>
      </c>
    </row>
    <row r="3954" spans="1:24" ht="15" x14ac:dyDescent="0.35">
      <c r="A3954" s="4">
        <v>46066.433993055558</v>
      </c>
      <c r="B3954">
        <v>20123097</v>
      </c>
      <c r="C3954" s="6" t="s">
        <v>19</v>
      </c>
      <c r="D3954">
        <v>609559</v>
      </c>
      <c r="E3954" t="s">
        <v>20</v>
      </c>
      <c r="F3954">
        <v>1039078592</v>
      </c>
      <c r="G3954" t="s">
        <v>3146</v>
      </c>
      <c r="H3954">
        <v>100246048</v>
      </c>
      <c r="I3954">
        <v>202631</v>
      </c>
      <c r="J3954">
        <v>1039078592</v>
      </c>
      <c r="K3954" t="s">
        <v>23</v>
      </c>
      <c r="L3954" t="s">
        <v>32</v>
      </c>
      <c r="M3954" t="s">
        <v>24</v>
      </c>
      <c r="N3954" t="s">
        <v>35</v>
      </c>
      <c r="O3954" t="s">
        <v>26</v>
      </c>
      <c r="P3954" t="s">
        <v>27</v>
      </c>
      <c r="Q3954" t="s">
        <v>28</v>
      </c>
      <c r="R3954" t="s">
        <v>29</v>
      </c>
      <c r="S3954" t="s">
        <v>30</v>
      </c>
      <c r="T3954">
        <v>1000001980</v>
      </c>
      <c r="U3954" t="s">
        <v>3944</v>
      </c>
      <c r="V3954" t="s">
        <v>3934</v>
      </c>
      <c r="W3954" s="9">
        <f>IF(V3954="pregrado",31,
IF(V3954="posgrados",31,
IF(V3954="rEINTEGROS",7,
IF(V3954="BIT",90,
IF(V3954="OP GRADO - INGLÉS",17,"")))))</f>
        <v>31</v>
      </c>
      <c r="X3954" t="s">
        <v>3968</v>
      </c>
    </row>
    <row r="3955" spans="1:24" ht="15" x14ac:dyDescent="0.35">
      <c r="A3955" s="4">
        <v>46065.625057870369</v>
      </c>
      <c r="B3955">
        <v>20122861</v>
      </c>
      <c r="C3955" s="6" t="s">
        <v>19</v>
      </c>
      <c r="D3955">
        <v>609560</v>
      </c>
      <c r="E3955" t="s">
        <v>20</v>
      </c>
      <c r="F3955">
        <v>19267714</v>
      </c>
      <c r="G3955" t="s">
        <v>3105</v>
      </c>
      <c r="H3955">
        <v>100246049</v>
      </c>
      <c r="I3955">
        <v>202631</v>
      </c>
      <c r="J3955">
        <v>35376835</v>
      </c>
      <c r="K3955" t="s">
        <v>23</v>
      </c>
      <c r="L3955" t="s">
        <v>240</v>
      </c>
      <c r="M3955" t="s">
        <v>24</v>
      </c>
      <c r="N3955" t="s">
        <v>25</v>
      </c>
      <c r="O3955" t="s">
        <v>26</v>
      </c>
      <c r="P3955" t="s">
        <v>27</v>
      </c>
      <c r="Q3955" t="s">
        <v>28</v>
      </c>
      <c r="R3955" t="s">
        <v>29</v>
      </c>
      <c r="S3955" t="s">
        <v>30</v>
      </c>
      <c r="T3955">
        <v>1030651078</v>
      </c>
      <c r="U3955" t="s">
        <v>3965</v>
      </c>
      <c r="V3955" t="s">
        <v>3934</v>
      </c>
      <c r="W3955" s="9">
        <f>IF(V3955="pregrado",31,
IF(V3955="posgrados",31,
IF(V3955="rEINTEGROS",7,
IF(V3955="BIT",90,
IF(V3955="OP GRADO - INGLÉS",17,"")))))</f>
        <v>31</v>
      </c>
      <c r="X3955" t="s">
        <v>4085</v>
      </c>
    </row>
    <row r="3956" spans="1:24" ht="15" x14ac:dyDescent="0.35">
      <c r="A3956" s="4">
        <v>46072.706157407411</v>
      </c>
      <c r="B3956">
        <v>20124986</v>
      </c>
      <c r="C3956" s="6" t="s">
        <v>19</v>
      </c>
      <c r="D3956">
        <v>609561</v>
      </c>
      <c r="E3956" t="s">
        <v>20</v>
      </c>
      <c r="F3956">
        <v>1031421838</v>
      </c>
      <c r="G3956" t="s">
        <v>3437</v>
      </c>
      <c r="H3956">
        <v>100224158</v>
      </c>
      <c r="I3956">
        <v>202610</v>
      </c>
      <c r="J3956">
        <v>1031421838</v>
      </c>
      <c r="K3956" t="s">
        <v>33</v>
      </c>
      <c r="L3956" t="s">
        <v>194</v>
      </c>
      <c r="M3956" t="s">
        <v>24</v>
      </c>
      <c r="N3956" t="s">
        <v>35</v>
      </c>
      <c r="O3956" t="s">
        <v>26</v>
      </c>
      <c r="P3956" t="s">
        <v>27</v>
      </c>
      <c r="Q3956" t="s">
        <v>28</v>
      </c>
      <c r="R3956" t="s">
        <v>29</v>
      </c>
      <c r="S3956" t="s">
        <v>30</v>
      </c>
      <c r="T3956">
        <v>52446712</v>
      </c>
      <c r="U3956" t="s">
        <v>3963</v>
      </c>
      <c r="V3956" t="s">
        <v>3934</v>
      </c>
      <c r="W3956" s="9">
        <f>IF(V3956="pregrado",31,
IF(V3956="posgrados",31,
IF(V3956="rEINTEGROS",7,
IF(V3956="BIT",90,
IF(V3956="OP GRADO - INGLÉS",17,"")))))</f>
        <v>31</v>
      </c>
      <c r="X3956" t="s">
        <v>4041</v>
      </c>
    </row>
    <row r="3957" spans="1:24" ht="15" x14ac:dyDescent="0.35">
      <c r="A3957" s="4">
        <v>46065.717847222222</v>
      </c>
      <c r="B3957">
        <v>20122965</v>
      </c>
      <c r="C3957" s="6" t="s">
        <v>19</v>
      </c>
      <c r="D3957">
        <v>609568</v>
      </c>
      <c r="E3957" t="s">
        <v>20</v>
      </c>
      <c r="F3957">
        <v>1002692044</v>
      </c>
      <c r="G3957" t="s">
        <v>3121</v>
      </c>
      <c r="H3957">
        <v>100246055</v>
      </c>
      <c r="I3957">
        <v>202631</v>
      </c>
      <c r="J3957">
        <v>1002692255</v>
      </c>
      <c r="K3957" t="s">
        <v>33</v>
      </c>
      <c r="L3957" t="s">
        <v>207</v>
      </c>
      <c r="M3957" t="s">
        <v>24</v>
      </c>
      <c r="N3957" t="s">
        <v>25</v>
      </c>
      <c r="O3957" t="s">
        <v>26</v>
      </c>
      <c r="P3957" t="s">
        <v>27</v>
      </c>
      <c r="Q3957" t="s">
        <v>28</v>
      </c>
      <c r="R3957" t="s">
        <v>29</v>
      </c>
      <c r="S3957" t="s">
        <v>30</v>
      </c>
      <c r="T3957">
        <v>52876433</v>
      </c>
      <c r="U3957" t="s">
        <v>3986</v>
      </c>
      <c r="V3957" t="s">
        <v>3934</v>
      </c>
      <c r="W3957" s="9">
        <f>IF(V3957="pregrado",31,
IF(V3957="posgrados",31,
IF(V3957="rEINTEGROS",7,
IF(V3957="BIT",90,
IF(V3957="OP GRADO - INGLÉS",17,"")))))</f>
        <v>31</v>
      </c>
      <c r="X3957" t="s">
        <v>4078</v>
      </c>
    </row>
    <row r="3958" spans="1:24" ht="15" x14ac:dyDescent="0.35">
      <c r="A3958" s="4">
        <v>46065.477592592593</v>
      </c>
      <c r="B3958">
        <v>20122746</v>
      </c>
      <c r="C3958" s="6" t="s">
        <v>19</v>
      </c>
      <c r="D3958">
        <v>609578</v>
      </c>
      <c r="E3958" t="s">
        <v>20</v>
      </c>
      <c r="F3958">
        <v>1000723793</v>
      </c>
      <c r="G3958" t="s">
        <v>3084</v>
      </c>
      <c r="H3958">
        <v>100246062</v>
      </c>
      <c r="I3958">
        <v>202631</v>
      </c>
      <c r="J3958">
        <v>1000723793</v>
      </c>
      <c r="K3958" t="s">
        <v>33</v>
      </c>
      <c r="L3958" t="s">
        <v>207</v>
      </c>
      <c r="M3958" t="s">
        <v>24</v>
      </c>
      <c r="N3958" t="s">
        <v>38</v>
      </c>
      <c r="O3958" t="s">
        <v>26</v>
      </c>
      <c r="P3958" t="s">
        <v>27</v>
      </c>
      <c r="Q3958" t="s">
        <v>28</v>
      </c>
      <c r="R3958" t="s">
        <v>29</v>
      </c>
      <c r="S3958" t="s">
        <v>30</v>
      </c>
      <c r="T3958">
        <v>1023000285</v>
      </c>
      <c r="U3958" t="s">
        <v>3986</v>
      </c>
      <c r="V3958" t="s">
        <v>3934</v>
      </c>
      <c r="W3958" s="9">
        <f>IF(V3958="pregrado",31,
IF(V3958="posgrados",31,
IF(V3958="rEINTEGROS",7,
IF(V3958="BIT",90,
IF(V3958="OP GRADO - INGLÉS",17,"")))))</f>
        <v>31</v>
      </c>
      <c r="X3958" t="s">
        <v>4097</v>
      </c>
    </row>
    <row r="3959" spans="1:24" ht="15" x14ac:dyDescent="0.35">
      <c r="A3959" s="4">
        <v>46067.533784722225</v>
      </c>
      <c r="B3959">
        <v>20123470</v>
      </c>
      <c r="C3959" s="6" t="s">
        <v>19</v>
      </c>
      <c r="D3959">
        <v>609583</v>
      </c>
      <c r="E3959" t="s">
        <v>20</v>
      </c>
      <c r="F3959">
        <v>30665653</v>
      </c>
      <c r="G3959" t="s">
        <v>3214</v>
      </c>
      <c r="H3959">
        <v>100246066</v>
      </c>
      <c r="I3959">
        <v>202631</v>
      </c>
      <c r="J3959">
        <v>1063134552</v>
      </c>
      <c r="K3959" t="s">
        <v>23</v>
      </c>
      <c r="L3959" t="s">
        <v>51</v>
      </c>
      <c r="M3959" t="s">
        <v>24</v>
      </c>
      <c r="N3959" t="s">
        <v>25</v>
      </c>
      <c r="O3959" t="s">
        <v>26</v>
      </c>
      <c r="P3959" t="s">
        <v>27</v>
      </c>
      <c r="Q3959" t="s">
        <v>28</v>
      </c>
      <c r="R3959" t="s">
        <v>29</v>
      </c>
      <c r="S3959" t="s">
        <v>30</v>
      </c>
      <c r="T3959">
        <v>53040709</v>
      </c>
      <c r="U3959" t="s">
        <v>3963</v>
      </c>
      <c r="V3959" t="s">
        <v>3934</v>
      </c>
      <c r="W3959" s="9">
        <f>IF(V3959="pregrado",31,
IF(V3959="posgrados",31,
IF(V3959="rEINTEGROS",7,
IF(V3959="BIT",90,
IF(V3959="OP GRADO - INGLÉS",17,"")))))</f>
        <v>31</v>
      </c>
      <c r="X3959" t="s">
        <v>3994</v>
      </c>
    </row>
    <row r="3960" spans="1:24" ht="15" x14ac:dyDescent="0.35">
      <c r="A3960" s="4">
        <v>46065.451504629629</v>
      </c>
      <c r="B3960">
        <v>20122719</v>
      </c>
      <c r="C3960" s="6" t="s">
        <v>19</v>
      </c>
      <c r="D3960">
        <v>609594</v>
      </c>
      <c r="E3960" t="s">
        <v>20</v>
      </c>
      <c r="F3960">
        <v>1000033477</v>
      </c>
      <c r="G3960" t="s">
        <v>3076</v>
      </c>
      <c r="H3960">
        <v>100232926</v>
      </c>
      <c r="I3960">
        <v>202610</v>
      </c>
      <c r="J3960">
        <v>1000033477</v>
      </c>
      <c r="K3960" t="s">
        <v>33</v>
      </c>
      <c r="L3960" t="s">
        <v>40</v>
      </c>
      <c r="M3960" t="s">
        <v>24</v>
      </c>
      <c r="N3960" t="s">
        <v>25</v>
      </c>
      <c r="O3960" t="s">
        <v>26</v>
      </c>
      <c r="P3960" t="s">
        <v>27</v>
      </c>
      <c r="Q3960" t="s">
        <v>28</v>
      </c>
      <c r="R3960" t="s">
        <v>29</v>
      </c>
      <c r="S3960" t="s">
        <v>30</v>
      </c>
      <c r="T3960">
        <v>1023000938</v>
      </c>
      <c r="U3960" t="s">
        <v>3941</v>
      </c>
      <c r="V3960" t="s">
        <v>3934</v>
      </c>
      <c r="W3960" s="9">
        <f>IF(V3960="pregrado",31,
IF(V3960="posgrados",31,
IF(V3960="rEINTEGROS",7,
IF(V3960="BIT",90,
IF(V3960="OP GRADO - INGLÉS",17,"")))))</f>
        <v>31</v>
      </c>
      <c r="X3960" t="s">
        <v>3989</v>
      </c>
    </row>
    <row r="3961" spans="1:24" ht="15" x14ac:dyDescent="0.35">
      <c r="A3961" s="4">
        <v>46065.675891203704</v>
      </c>
      <c r="B3961">
        <v>20122924</v>
      </c>
      <c r="C3961" s="6" t="s">
        <v>19</v>
      </c>
      <c r="D3961">
        <v>609598</v>
      </c>
      <c r="E3961" t="s">
        <v>20</v>
      </c>
      <c r="F3961">
        <v>40437437</v>
      </c>
      <c r="G3961" t="s">
        <v>3111</v>
      </c>
      <c r="H3961">
        <v>100246092</v>
      </c>
      <c r="I3961">
        <v>202631</v>
      </c>
      <c r="J3961">
        <v>1122515253</v>
      </c>
      <c r="K3961" t="s">
        <v>23</v>
      </c>
      <c r="L3961" t="s">
        <v>219</v>
      </c>
      <c r="M3961" t="s">
        <v>24</v>
      </c>
      <c r="N3961" t="s">
        <v>35</v>
      </c>
      <c r="O3961" t="s">
        <v>26</v>
      </c>
      <c r="P3961" t="s">
        <v>27</v>
      </c>
      <c r="Q3961" t="s">
        <v>28</v>
      </c>
      <c r="R3961" t="s">
        <v>29</v>
      </c>
      <c r="S3961" t="s">
        <v>30</v>
      </c>
      <c r="T3961">
        <v>1006023129</v>
      </c>
      <c r="U3961" t="s">
        <v>3944</v>
      </c>
      <c r="V3961" t="s">
        <v>3934</v>
      </c>
      <c r="W3961" s="9">
        <f>IF(V3961="pregrado",31,
IF(V3961="posgrados",31,
IF(V3961="rEINTEGROS",7,
IF(V3961="BIT",90,
IF(V3961="OP GRADO - INGLÉS",17,"")))))</f>
        <v>31</v>
      </c>
      <c r="X3961" t="s">
        <v>3982</v>
      </c>
    </row>
    <row r="3962" spans="1:24" ht="15" x14ac:dyDescent="0.35">
      <c r="A3962" s="4">
        <v>46065.522280092591</v>
      </c>
      <c r="B3962">
        <v>20122791</v>
      </c>
      <c r="C3962" s="6" t="s">
        <v>19</v>
      </c>
      <c r="D3962">
        <v>609599</v>
      </c>
      <c r="E3962" t="s">
        <v>20</v>
      </c>
      <c r="F3962">
        <v>40514622</v>
      </c>
      <c r="G3962" t="s">
        <v>3091</v>
      </c>
      <c r="H3962">
        <v>100246093</v>
      </c>
      <c r="I3962">
        <v>202611</v>
      </c>
      <c r="J3962">
        <v>1116868718</v>
      </c>
      <c r="K3962" t="s">
        <v>23</v>
      </c>
      <c r="L3962" t="s">
        <v>221</v>
      </c>
      <c r="M3962" t="s">
        <v>24</v>
      </c>
      <c r="N3962" t="s">
        <v>35</v>
      </c>
      <c r="O3962" t="s">
        <v>26</v>
      </c>
      <c r="P3962" t="s">
        <v>27</v>
      </c>
      <c r="Q3962" t="s">
        <v>28</v>
      </c>
      <c r="R3962" t="s">
        <v>29</v>
      </c>
      <c r="S3962" t="s">
        <v>30</v>
      </c>
      <c r="T3962">
        <v>1003652550</v>
      </c>
      <c r="U3962" t="s">
        <v>3965</v>
      </c>
      <c r="V3962" t="s">
        <v>3934</v>
      </c>
      <c r="W3962" s="9">
        <f>IF(V3962="pregrado",31,
IF(V3962="posgrados",31,
IF(V3962="rEINTEGROS",7,
IF(V3962="BIT",90,
IF(V3962="OP GRADO - INGLÉS",17,"")))))</f>
        <v>31</v>
      </c>
      <c r="X3962" t="s">
        <v>4059</v>
      </c>
    </row>
    <row r="3963" spans="1:24" ht="15" x14ac:dyDescent="0.35">
      <c r="A3963" s="4">
        <v>46073.473356481481</v>
      </c>
      <c r="B3963">
        <v>20125202</v>
      </c>
      <c r="C3963" s="6" t="s">
        <v>19</v>
      </c>
      <c r="D3963">
        <v>609602</v>
      </c>
      <c r="E3963" t="s">
        <v>20</v>
      </c>
      <c r="F3963">
        <v>43053295</v>
      </c>
      <c r="G3963" t="s">
        <v>3466</v>
      </c>
      <c r="H3963">
        <v>100246098</v>
      </c>
      <c r="I3963">
        <v>202631</v>
      </c>
      <c r="J3963">
        <v>1039450420</v>
      </c>
      <c r="K3963" t="s">
        <v>83</v>
      </c>
      <c r="L3963" t="s">
        <v>51</v>
      </c>
      <c r="M3963" t="s">
        <v>24</v>
      </c>
      <c r="N3963" t="s">
        <v>35</v>
      </c>
      <c r="O3963" t="s">
        <v>26</v>
      </c>
      <c r="P3963" t="s">
        <v>27</v>
      </c>
      <c r="Q3963" t="s">
        <v>28</v>
      </c>
      <c r="R3963" t="s">
        <v>29</v>
      </c>
      <c r="S3963" t="s">
        <v>30</v>
      </c>
      <c r="T3963">
        <v>52182207</v>
      </c>
      <c r="U3963" t="s">
        <v>3941</v>
      </c>
      <c r="V3963" t="s">
        <v>3934</v>
      </c>
      <c r="W3963" s="9">
        <f>IF(V3963="pregrado",31,
IF(V3963="posgrados",31,
IF(V3963="rEINTEGROS",7,
IF(V3963="BIT",90,
IF(V3963="OP GRADO - INGLÉS",17,"")))))</f>
        <v>31</v>
      </c>
      <c r="X3963" t="s">
        <v>3946</v>
      </c>
    </row>
    <row r="3964" spans="1:24" ht="15" x14ac:dyDescent="0.35">
      <c r="A3964" s="4">
        <v>46065.581087962964</v>
      </c>
      <c r="B3964">
        <v>20122838</v>
      </c>
      <c r="C3964" s="6" t="s">
        <v>19</v>
      </c>
      <c r="D3964">
        <v>609617</v>
      </c>
      <c r="E3964" t="s">
        <v>20</v>
      </c>
      <c r="F3964">
        <v>18104366</v>
      </c>
      <c r="G3964" t="s">
        <v>3103</v>
      </c>
      <c r="H3964">
        <v>100235369</v>
      </c>
      <c r="I3964">
        <v>202611</v>
      </c>
      <c r="J3964">
        <v>1085258069</v>
      </c>
      <c r="K3964" t="s">
        <v>23</v>
      </c>
      <c r="L3964" t="s">
        <v>221</v>
      </c>
      <c r="M3964" t="s">
        <v>24</v>
      </c>
      <c r="N3964" t="s">
        <v>35</v>
      </c>
      <c r="O3964" t="s">
        <v>26</v>
      </c>
      <c r="P3964" t="s">
        <v>27</v>
      </c>
      <c r="Q3964" t="s">
        <v>28</v>
      </c>
      <c r="R3964" t="s">
        <v>29</v>
      </c>
      <c r="S3964" t="s">
        <v>30</v>
      </c>
      <c r="T3964">
        <v>1001277801</v>
      </c>
      <c r="U3964" t="s">
        <v>3965</v>
      </c>
      <c r="V3964" t="s">
        <v>3934</v>
      </c>
      <c r="W3964" s="9">
        <f>IF(V3964="pregrado",31,
IF(V3964="posgrados",31,
IF(V3964="rEINTEGROS",7,
IF(V3964="BIT",90,
IF(V3964="OP GRADO - INGLÉS",17,"")))))</f>
        <v>31</v>
      </c>
      <c r="X3964" t="s">
        <v>4002</v>
      </c>
    </row>
    <row r="3965" spans="1:24" ht="15" x14ac:dyDescent="0.35">
      <c r="A3965" s="4">
        <v>46065.574386574073</v>
      </c>
      <c r="B3965">
        <v>20122834</v>
      </c>
      <c r="C3965" s="6" t="s">
        <v>19</v>
      </c>
      <c r="D3965">
        <v>609635</v>
      </c>
      <c r="E3965" t="s">
        <v>20</v>
      </c>
      <c r="F3965">
        <v>20584711</v>
      </c>
      <c r="G3965" t="s">
        <v>3101</v>
      </c>
      <c r="H3965">
        <v>100163483</v>
      </c>
      <c r="I3965">
        <v>202631</v>
      </c>
      <c r="J3965">
        <v>20584711</v>
      </c>
      <c r="K3965" t="s">
        <v>23</v>
      </c>
      <c r="L3965" t="s">
        <v>240</v>
      </c>
      <c r="M3965" t="s">
        <v>24</v>
      </c>
      <c r="N3965" t="s">
        <v>35</v>
      </c>
      <c r="O3965" t="s">
        <v>26</v>
      </c>
      <c r="P3965" t="s">
        <v>27</v>
      </c>
      <c r="Q3965" t="s">
        <v>28</v>
      </c>
      <c r="R3965" t="s">
        <v>29</v>
      </c>
      <c r="S3965" t="s">
        <v>30</v>
      </c>
      <c r="T3965">
        <v>1015441103</v>
      </c>
      <c r="U3965" t="s">
        <v>3933</v>
      </c>
      <c r="V3965" t="s">
        <v>3934</v>
      </c>
      <c r="W3965" s="9">
        <f>IF(V3965="pregrado",31,
IF(V3965="posgrados",31,
IF(V3965="rEINTEGROS",7,
IF(V3965="BIT",90,
IF(V3965="OP GRADO - INGLÉS",17,"")))))</f>
        <v>31</v>
      </c>
      <c r="X3965" t="s">
        <v>3961</v>
      </c>
    </row>
    <row r="3966" spans="1:24" ht="15" x14ac:dyDescent="0.35">
      <c r="A3966" s="4">
        <v>46069.778692129628</v>
      </c>
      <c r="B3966">
        <v>20123906</v>
      </c>
      <c r="C3966" s="6" t="s">
        <v>19</v>
      </c>
      <c r="D3966">
        <v>609643</v>
      </c>
      <c r="E3966" t="s">
        <v>20</v>
      </c>
      <c r="F3966">
        <v>46373441</v>
      </c>
      <c r="G3966" t="s">
        <v>3268</v>
      </c>
      <c r="H3966">
        <v>100246132</v>
      </c>
      <c r="I3966">
        <v>202631</v>
      </c>
      <c r="J3966">
        <v>1057979861</v>
      </c>
      <c r="K3966" t="s">
        <v>83</v>
      </c>
      <c r="L3966" t="s">
        <v>65</v>
      </c>
      <c r="M3966" t="s">
        <v>24</v>
      </c>
      <c r="N3966" t="s">
        <v>25</v>
      </c>
      <c r="O3966" t="s">
        <v>26</v>
      </c>
      <c r="P3966" t="s">
        <v>27</v>
      </c>
      <c r="Q3966" t="s">
        <v>28</v>
      </c>
      <c r="R3966" t="s">
        <v>29</v>
      </c>
      <c r="S3966" t="s">
        <v>30</v>
      </c>
      <c r="T3966">
        <v>1016110979</v>
      </c>
      <c r="U3966" t="s">
        <v>3977</v>
      </c>
      <c r="V3966" t="s">
        <v>3970</v>
      </c>
      <c r="W3966" s="9">
        <f>IF(V3966="pregrado",31,
IF(V3966="posgrados",31,
IF(V3966="rEINTEGROS",7,
IF(V3966="BIT",90,
IF(V3966="OP GRADO - INGLÉS",17,"")))))</f>
        <v>7</v>
      </c>
      <c r="X3966" t="s">
        <v>4051</v>
      </c>
    </row>
    <row r="3967" spans="1:24" ht="15" x14ac:dyDescent="0.35">
      <c r="A3967" s="4">
        <v>46065.498807870368</v>
      </c>
      <c r="B3967">
        <v>20122769</v>
      </c>
      <c r="C3967" s="6" t="s">
        <v>19</v>
      </c>
      <c r="D3967">
        <v>609645</v>
      </c>
      <c r="E3967" t="s">
        <v>20</v>
      </c>
      <c r="F3967">
        <v>1007652758</v>
      </c>
      <c r="G3967" t="s">
        <v>3088</v>
      </c>
      <c r="H3967">
        <v>100246134</v>
      </c>
      <c r="I3967">
        <v>202611</v>
      </c>
      <c r="J3967">
        <v>1007652758</v>
      </c>
      <c r="K3967" t="s">
        <v>23</v>
      </c>
      <c r="L3967" t="s">
        <v>221</v>
      </c>
      <c r="M3967" t="s">
        <v>24</v>
      </c>
      <c r="N3967" t="s">
        <v>35</v>
      </c>
      <c r="O3967" t="s">
        <v>26</v>
      </c>
      <c r="P3967" t="s">
        <v>27</v>
      </c>
      <c r="Q3967" t="s">
        <v>28</v>
      </c>
      <c r="R3967" t="s">
        <v>29</v>
      </c>
      <c r="S3967" t="s">
        <v>30</v>
      </c>
      <c r="T3967">
        <v>45555807</v>
      </c>
      <c r="U3967" t="s">
        <v>3965</v>
      </c>
      <c r="V3967" t="s">
        <v>3934</v>
      </c>
      <c r="W3967" s="9">
        <f>IF(V3967="pregrado",31,
IF(V3967="posgrados",31,
IF(V3967="rEINTEGROS",7,
IF(V3967="BIT",90,
IF(V3967="OP GRADO - INGLÉS",17,"")))))</f>
        <v>31</v>
      </c>
      <c r="X3967" t="s">
        <v>4027</v>
      </c>
    </row>
    <row r="3968" spans="1:24" ht="15" x14ac:dyDescent="0.35">
      <c r="A3968" s="4">
        <v>46065.476053240738</v>
      </c>
      <c r="B3968">
        <v>20122742</v>
      </c>
      <c r="C3968" s="6" t="s">
        <v>19</v>
      </c>
      <c r="D3968">
        <v>609655</v>
      </c>
      <c r="E3968" t="s">
        <v>20</v>
      </c>
      <c r="F3968">
        <v>1030680766</v>
      </c>
      <c r="G3968" t="s">
        <v>3080</v>
      </c>
      <c r="H3968">
        <v>100083975</v>
      </c>
      <c r="I3968">
        <v>202611</v>
      </c>
      <c r="J3968">
        <v>1030680766</v>
      </c>
      <c r="K3968" t="s">
        <v>89</v>
      </c>
      <c r="L3968" t="s">
        <v>133</v>
      </c>
      <c r="M3968" t="s">
        <v>24</v>
      </c>
      <c r="N3968" t="s">
        <v>25</v>
      </c>
      <c r="O3968" t="s">
        <v>26</v>
      </c>
      <c r="P3968" t="s">
        <v>27</v>
      </c>
      <c r="Q3968" t="s">
        <v>28</v>
      </c>
      <c r="R3968" t="s">
        <v>29</v>
      </c>
      <c r="S3968" t="s">
        <v>30</v>
      </c>
      <c r="T3968">
        <v>1023899450</v>
      </c>
      <c r="U3968" t="s">
        <v>3977</v>
      </c>
      <c r="V3968" t="s">
        <v>3970</v>
      </c>
      <c r="W3968" s="9">
        <f>IF(V3968="pregrado",31,
IF(V3968="posgrados",31,
IF(V3968="rEINTEGROS",7,
IF(V3968="BIT",90,
IF(V3968="OP GRADO - INGLÉS",17,"")))))</f>
        <v>7</v>
      </c>
      <c r="X3968" t="s">
        <v>3969</v>
      </c>
    </row>
    <row r="3969" spans="1:24" ht="15" x14ac:dyDescent="0.35">
      <c r="A3969" s="4">
        <v>46070.611805555556</v>
      </c>
      <c r="B3969">
        <v>20124145</v>
      </c>
      <c r="C3969" s="6" t="s">
        <v>19</v>
      </c>
      <c r="D3969">
        <v>609668</v>
      </c>
      <c r="E3969" t="s">
        <v>20</v>
      </c>
      <c r="F3969">
        <v>1007143659</v>
      </c>
      <c r="G3969" t="s">
        <v>3305</v>
      </c>
      <c r="H3969">
        <v>100246147</v>
      </c>
      <c r="I3969">
        <v>202631</v>
      </c>
      <c r="J3969">
        <v>1007143659</v>
      </c>
      <c r="K3969" t="s">
        <v>23</v>
      </c>
      <c r="L3969" t="s">
        <v>65</v>
      </c>
      <c r="M3969" t="s">
        <v>24</v>
      </c>
      <c r="N3969" t="s">
        <v>35</v>
      </c>
      <c r="O3969" t="s">
        <v>26</v>
      </c>
      <c r="P3969" t="s">
        <v>27</v>
      </c>
      <c r="Q3969" t="s">
        <v>28</v>
      </c>
      <c r="R3969" t="s">
        <v>29</v>
      </c>
      <c r="S3969" t="s">
        <v>30</v>
      </c>
      <c r="T3969">
        <v>1022410450</v>
      </c>
      <c r="U3969" t="s">
        <v>3939</v>
      </c>
      <c r="V3969" t="s">
        <v>3934</v>
      </c>
      <c r="W3969" s="9">
        <f>IF(V3969="pregrado",31,
IF(V3969="posgrados",31,
IF(V3969="rEINTEGROS",7,
IF(V3969="BIT",90,
IF(V3969="OP GRADO - INGLÉS",17,"")))))</f>
        <v>31</v>
      </c>
      <c r="X3969" t="s">
        <v>4094</v>
      </c>
    </row>
    <row r="3970" spans="1:24" ht="15" x14ac:dyDescent="0.35">
      <c r="A3970" s="4">
        <v>46066.793483796297</v>
      </c>
      <c r="B3970">
        <v>20123359</v>
      </c>
      <c r="C3970" s="6" t="s">
        <v>19</v>
      </c>
      <c r="D3970">
        <v>609673</v>
      </c>
      <c r="E3970" t="s">
        <v>20</v>
      </c>
      <c r="F3970">
        <v>1050606990</v>
      </c>
      <c r="G3970" t="s">
        <v>3194</v>
      </c>
      <c r="H3970">
        <v>100246154</v>
      </c>
      <c r="I3970">
        <v>202631</v>
      </c>
      <c r="J3970">
        <v>1050606990</v>
      </c>
      <c r="K3970" t="s">
        <v>23</v>
      </c>
      <c r="L3970" t="s">
        <v>42</v>
      </c>
      <c r="M3970" t="s">
        <v>24</v>
      </c>
      <c r="N3970" t="s">
        <v>35</v>
      </c>
      <c r="O3970" t="s">
        <v>26</v>
      </c>
      <c r="P3970" t="s">
        <v>27</v>
      </c>
      <c r="Q3970" t="s">
        <v>28</v>
      </c>
      <c r="R3970" t="s">
        <v>29</v>
      </c>
      <c r="S3970" t="s">
        <v>30</v>
      </c>
      <c r="T3970">
        <v>1015407851</v>
      </c>
      <c r="U3970" t="s">
        <v>3944</v>
      </c>
      <c r="V3970" t="s">
        <v>3934</v>
      </c>
      <c r="W3970" s="9">
        <f>IF(V3970="pregrado",31,
IF(V3970="posgrados",31,
IF(V3970="rEINTEGROS",7,
IF(V3970="BIT",90,
IF(V3970="OP GRADO - INGLÉS",17,"")))))</f>
        <v>31</v>
      </c>
      <c r="X3970" t="s">
        <v>4102</v>
      </c>
    </row>
    <row r="3971" spans="1:24" ht="15" x14ac:dyDescent="0.35">
      <c r="A3971" s="4">
        <v>46069.640717592592</v>
      </c>
      <c r="B3971">
        <v>20123752</v>
      </c>
      <c r="C3971" s="6" t="s">
        <v>19</v>
      </c>
      <c r="D3971">
        <v>609681</v>
      </c>
      <c r="E3971" t="s">
        <v>20</v>
      </c>
      <c r="F3971">
        <v>1119512167</v>
      </c>
      <c r="G3971" t="s">
        <v>3247</v>
      </c>
      <c r="H3971">
        <v>100246163</v>
      </c>
      <c r="I3971">
        <v>202631</v>
      </c>
      <c r="J3971">
        <v>1119512167</v>
      </c>
      <c r="K3971" t="s">
        <v>33</v>
      </c>
      <c r="L3971" t="s">
        <v>370</v>
      </c>
      <c r="M3971" t="s">
        <v>24</v>
      </c>
      <c r="N3971" t="s">
        <v>35</v>
      </c>
      <c r="O3971" t="s">
        <v>26</v>
      </c>
      <c r="P3971" t="s">
        <v>27</v>
      </c>
      <c r="Q3971" t="s">
        <v>28</v>
      </c>
      <c r="R3971" t="s">
        <v>29</v>
      </c>
      <c r="S3971" t="s">
        <v>30</v>
      </c>
      <c r="T3971">
        <v>1015441103</v>
      </c>
      <c r="U3971" t="s">
        <v>3933</v>
      </c>
      <c r="V3971" t="s">
        <v>3934</v>
      </c>
      <c r="W3971" s="9">
        <f>IF(V3971="pregrado",31,
IF(V3971="posgrados",31,
IF(V3971="rEINTEGROS",7,
IF(V3971="BIT",90,
IF(V3971="OP GRADO - INGLÉS",17,"")))))</f>
        <v>31</v>
      </c>
      <c r="X3971" t="s">
        <v>3961</v>
      </c>
    </row>
    <row r="3972" spans="1:24" ht="15" x14ac:dyDescent="0.35">
      <c r="A3972" s="4">
        <v>46065.700358796297</v>
      </c>
      <c r="B3972">
        <v>20122950</v>
      </c>
      <c r="C3972" s="6" t="s">
        <v>19</v>
      </c>
      <c r="D3972">
        <v>609687</v>
      </c>
      <c r="E3972" t="s">
        <v>20</v>
      </c>
      <c r="F3972">
        <v>52761842</v>
      </c>
      <c r="G3972" t="s">
        <v>3115</v>
      </c>
      <c r="H3972">
        <v>100246176</v>
      </c>
      <c r="I3972">
        <v>202610</v>
      </c>
      <c r="J3972">
        <v>1028820848</v>
      </c>
      <c r="K3972" t="s">
        <v>23</v>
      </c>
      <c r="L3972" t="s">
        <v>40</v>
      </c>
      <c r="M3972" t="s">
        <v>24</v>
      </c>
      <c r="N3972" t="s">
        <v>35</v>
      </c>
      <c r="O3972" t="s">
        <v>26</v>
      </c>
      <c r="P3972" t="s">
        <v>27</v>
      </c>
      <c r="Q3972" t="s">
        <v>28</v>
      </c>
      <c r="R3972" t="s">
        <v>29</v>
      </c>
      <c r="S3972" t="s">
        <v>30</v>
      </c>
      <c r="T3972">
        <v>80219471</v>
      </c>
      <c r="U3972" t="s">
        <v>3941</v>
      </c>
      <c r="V3972" t="s">
        <v>3934</v>
      </c>
      <c r="W3972" s="9">
        <f>IF(V3972="pregrado",31,
IF(V3972="posgrados",31,
IF(V3972="rEINTEGROS",7,
IF(V3972="BIT",90,
IF(V3972="OP GRADO - INGLÉS",17,"")))))</f>
        <v>31</v>
      </c>
      <c r="X3972" t="s">
        <v>4030</v>
      </c>
    </row>
    <row r="3973" spans="1:24" ht="15" x14ac:dyDescent="0.35">
      <c r="A3973" s="4">
        <v>46065.630891203706</v>
      </c>
      <c r="B3973">
        <v>20122872</v>
      </c>
      <c r="C3973" s="6" t="s">
        <v>19</v>
      </c>
      <c r="D3973">
        <v>609695</v>
      </c>
      <c r="E3973" t="s">
        <v>20</v>
      </c>
      <c r="F3973">
        <v>39835272</v>
      </c>
      <c r="G3973" t="s">
        <v>3106</v>
      </c>
      <c r="H3973">
        <v>100232511</v>
      </c>
      <c r="I3973">
        <v>202611</v>
      </c>
      <c r="J3973">
        <v>1086132270</v>
      </c>
      <c r="K3973" t="s">
        <v>23</v>
      </c>
      <c r="L3973" t="s">
        <v>221</v>
      </c>
      <c r="M3973" t="s">
        <v>24</v>
      </c>
      <c r="N3973" t="s">
        <v>25</v>
      </c>
      <c r="O3973" t="s">
        <v>26</v>
      </c>
      <c r="P3973" t="s">
        <v>27</v>
      </c>
      <c r="Q3973" t="s">
        <v>28</v>
      </c>
      <c r="R3973" t="s">
        <v>29</v>
      </c>
      <c r="S3973" t="s">
        <v>30</v>
      </c>
      <c r="T3973">
        <v>1032678391</v>
      </c>
      <c r="U3973" t="s">
        <v>3965</v>
      </c>
      <c r="V3973" t="s">
        <v>3934</v>
      </c>
      <c r="W3973" s="9">
        <f>IF(V3973="pregrado",31,
IF(V3973="posgrados",31,
IF(V3973="rEINTEGROS",7,
IF(V3973="BIT",90,
IF(V3973="OP GRADO - INGLÉS",17,"")))))</f>
        <v>31</v>
      </c>
      <c r="X3973" t="s">
        <v>4098</v>
      </c>
    </row>
    <row r="3974" spans="1:24" ht="15" x14ac:dyDescent="0.35">
      <c r="A3974" s="4">
        <v>46071.591412037036</v>
      </c>
      <c r="B3974">
        <v>20124500</v>
      </c>
      <c r="C3974" s="6" t="s">
        <v>19</v>
      </c>
      <c r="D3974">
        <v>609703</v>
      </c>
      <c r="E3974" t="s">
        <v>20</v>
      </c>
      <c r="F3974">
        <v>1045143734</v>
      </c>
      <c r="G3974" t="s">
        <v>3355</v>
      </c>
      <c r="H3974">
        <v>100246184</v>
      </c>
      <c r="I3974">
        <v>202611</v>
      </c>
      <c r="J3974">
        <v>1007533607</v>
      </c>
      <c r="K3974" t="s">
        <v>23</v>
      </c>
      <c r="L3974" t="s">
        <v>221</v>
      </c>
      <c r="M3974" t="s">
        <v>24</v>
      </c>
      <c r="N3974" t="s">
        <v>35</v>
      </c>
      <c r="O3974" t="s">
        <v>26</v>
      </c>
      <c r="P3974" t="s">
        <v>27</v>
      </c>
      <c r="Q3974" t="s">
        <v>28</v>
      </c>
      <c r="R3974" t="s">
        <v>29</v>
      </c>
      <c r="S3974" t="s">
        <v>30</v>
      </c>
      <c r="T3974">
        <v>1013662799</v>
      </c>
      <c r="U3974" t="s">
        <v>3965</v>
      </c>
      <c r="V3974" t="s">
        <v>3934</v>
      </c>
      <c r="W3974" s="9">
        <f>IF(V3974="pregrado",31,
IF(V3974="posgrados",31,
IF(V3974="rEINTEGROS",7,
IF(V3974="BIT",90,
IF(V3974="OP GRADO - INGLÉS",17,"")))))</f>
        <v>31</v>
      </c>
      <c r="X3974" t="s">
        <v>4021</v>
      </c>
    </row>
    <row r="3975" spans="1:24" ht="15" x14ac:dyDescent="0.35">
      <c r="A3975" s="4">
        <v>46065.795208333337</v>
      </c>
      <c r="B3975">
        <v>20123010</v>
      </c>
      <c r="C3975" s="6" t="s">
        <v>19</v>
      </c>
      <c r="D3975">
        <v>609705</v>
      </c>
      <c r="E3975" t="s">
        <v>20</v>
      </c>
      <c r="F3975">
        <v>1000364664</v>
      </c>
      <c r="G3975" t="s">
        <v>3127</v>
      </c>
      <c r="H3975">
        <v>100246185</v>
      </c>
      <c r="I3975">
        <v>202610</v>
      </c>
      <c r="J3975">
        <v>1000364664</v>
      </c>
      <c r="K3975" t="s">
        <v>23</v>
      </c>
      <c r="L3975" t="s">
        <v>40</v>
      </c>
      <c r="M3975" t="s">
        <v>24</v>
      </c>
      <c r="N3975" t="s">
        <v>38</v>
      </c>
      <c r="O3975" t="s">
        <v>26</v>
      </c>
      <c r="P3975" t="s">
        <v>27</v>
      </c>
      <c r="Q3975" t="s">
        <v>28</v>
      </c>
      <c r="R3975" t="s">
        <v>29</v>
      </c>
      <c r="S3975" t="s">
        <v>30</v>
      </c>
      <c r="T3975">
        <v>1023000938</v>
      </c>
      <c r="U3975" t="s">
        <v>3941</v>
      </c>
      <c r="V3975" t="s">
        <v>3934</v>
      </c>
      <c r="W3975" s="9">
        <f>IF(V3975="pregrado",31,
IF(V3975="posgrados",31,
IF(V3975="rEINTEGROS",7,
IF(V3975="BIT",90,
IF(V3975="OP GRADO - INGLÉS",17,"")))))</f>
        <v>31</v>
      </c>
      <c r="X3975" t="s">
        <v>3989</v>
      </c>
    </row>
    <row r="3976" spans="1:24" ht="15" x14ac:dyDescent="0.35">
      <c r="A3976" s="4">
        <v>46066.653287037036</v>
      </c>
      <c r="B3976">
        <v>20123262</v>
      </c>
      <c r="C3976" s="6" t="s">
        <v>19</v>
      </c>
      <c r="D3976">
        <v>609708</v>
      </c>
      <c r="E3976" t="s">
        <v>20</v>
      </c>
      <c r="F3976">
        <v>1023164256</v>
      </c>
      <c r="G3976" t="s">
        <v>3179</v>
      </c>
      <c r="H3976">
        <v>100246191</v>
      </c>
      <c r="I3976">
        <v>202611</v>
      </c>
      <c r="J3976">
        <v>1023164256</v>
      </c>
      <c r="K3976" t="s">
        <v>33</v>
      </c>
      <c r="L3976" t="s">
        <v>204</v>
      </c>
      <c r="M3976" t="s">
        <v>24</v>
      </c>
      <c r="N3976" t="s">
        <v>38</v>
      </c>
      <c r="O3976" t="s">
        <v>26</v>
      </c>
      <c r="P3976" t="s">
        <v>27</v>
      </c>
      <c r="Q3976" t="s">
        <v>28</v>
      </c>
      <c r="R3976" t="s">
        <v>29</v>
      </c>
      <c r="S3976" t="s">
        <v>30</v>
      </c>
      <c r="T3976">
        <v>1020730718</v>
      </c>
      <c r="U3976" t="s">
        <v>3941</v>
      </c>
      <c r="V3976" t="s">
        <v>3934</v>
      </c>
      <c r="W3976" s="9">
        <f>IF(V3976="pregrado",31,
IF(V3976="posgrados",31,
IF(V3976="rEINTEGROS",7,
IF(V3976="BIT",90,
IF(V3976="OP GRADO - INGLÉS",17,"")))))</f>
        <v>31</v>
      </c>
      <c r="X3976" t="s">
        <v>3952</v>
      </c>
    </row>
    <row r="3977" spans="1:24" ht="15" x14ac:dyDescent="0.35">
      <c r="A3977" s="4">
        <v>46066.633981481478</v>
      </c>
      <c r="B3977">
        <v>20123245</v>
      </c>
      <c r="C3977" s="6" t="s">
        <v>19</v>
      </c>
      <c r="D3977">
        <v>609710</v>
      </c>
      <c r="E3977" t="s">
        <v>20</v>
      </c>
      <c r="F3977">
        <v>1007405791</v>
      </c>
      <c r="G3977" t="s">
        <v>3173</v>
      </c>
      <c r="H3977">
        <v>100246194</v>
      </c>
      <c r="I3977">
        <v>202631</v>
      </c>
      <c r="J3977">
        <v>1007405791</v>
      </c>
      <c r="K3977" t="s">
        <v>23</v>
      </c>
      <c r="L3977" t="s">
        <v>127</v>
      </c>
      <c r="M3977" t="s">
        <v>24</v>
      </c>
      <c r="N3977" t="s">
        <v>35</v>
      </c>
      <c r="O3977" t="s">
        <v>26</v>
      </c>
      <c r="P3977" t="s">
        <v>27</v>
      </c>
      <c r="Q3977" t="s">
        <v>28</v>
      </c>
      <c r="R3977" t="s">
        <v>29</v>
      </c>
      <c r="S3977" t="s">
        <v>30</v>
      </c>
      <c r="T3977">
        <v>1030525993</v>
      </c>
      <c r="U3977" t="s">
        <v>3933</v>
      </c>
      <c r="V3977" t="s">
        <v>3934</v>
      </c>
      <c r="W3977" s="9">
        <f>IF(V3977="pregrado",31,
IF(V3977="posgrados",31,
IF(V3977="rEINTEGROS",7,
IF(V3977="BIT",90,
IF(V3977="OP GRADO - INGLÉS",17,"")))))</f>
        <v>31</v>
      </c>
      <c r="X3977" t="s">
        <v>3956</v>
      </c>
    </row>
    <row r="3978" spans="1:24" ht="15" x14ac:dyDescent="0.35">
      <c r="A3978" s="4">
        <v>46069.734722222223</v>
      </c>
      <c r="B3978">
        <v>20123861</v>
      </c>
      <c r="C3978" s="6" t="s">
        <v>19</v>
      </c>
      <c r="D3978">
        <v>609715</v>
      </c>
      <c r="E3978" t="s">
        <v>20</v>
      </c>
      <c r="F3978">
        <v>10900437</v>
      </c>
      <c r="G3978" t="s">
        <v>3261</v>
      </c>
      <c r="H3978">
        <v>100236624</v>
      </c>
      <c r="I3978">
        <v>202631</v>
      </c>
      <c r="J3978">
        <v>1068814086</v>
      </c>
      <c r="K3978" t="s">
        <v>23</v>
      </c>
      <c r="L3978" t="s">
        <v>370</v>
      </c>
      <c r="M3978" t="s">
        <v>24</v>
      </c>
      <c r="N3978" t="s">
        <v>35</v>
      </c>
      <c r="O3978" t="s">
        <v>26</v>
      </c>
      <c r="P3978" t="s">
        <v>27</v>
      </c>
      <c r="Q3978" t="s">
        <v>28</v>
      </c>
      <c r="R3978" t="s">
        <v>29</v>
      </c>
      <c r="S3978" t="s">
        <v>30</v>
      </c>
      <c r="T3978">
        <v>53040709</v>
      </c>
      <c r="U3978" t="s">
        <v>3963</v>
      </c>
      <c r="V3978" t="s">
        <v>3934</v>
      </c>
      <c r="W3978" s="9">
        <f>IF(V3978="pregrado",31,
IF(V3978="posgrados",31,
IF(V3978="rEINTEGROS",7,
IF(V3978="BIT",90,
IF(V3978="OP GRADO - INGLÉS",17,"")))))</f>
        <v>31</v>
      </c>
      <c r="X3978" t="s">
        <v>3994</v>
      </c>
    </row>
    <row r="3979" spans="1:24" ht="15" x14ac:dyDescent="0.35">
      <c r="A3979" s="4">
        <v>46066.439143518517</v>
      </c>
      <c r="B3979">
        <v>20123102</v>
      </c>
      <c r="C3979" s="6" t="s">
        <v>19</v>
      </c>
      <c r="D3979">
        <v>609723</v>
      </c>
      <c r="E3979" t="s">
        <v>20</v>
      </c>
      <c r="F3979">
        <v>1023522637</v>
      </c>
      <c r="G3979" t="s">
        <v>3148</v>
      </c>
      <c r="H3979">
        <v>100246208</v>
      </c>
      <c r="I3979">
        <v>202631</v>
      </c>
      <c r="J3979">
        <v>1023522637</v>
      </c>
      <c r="K3979" t="s">
        <v>23</v>
      </c>
      <c r="L3979" t="s">
        <v>51</v>
      </c>
      <c r="M3979" t="s">
        <v>24</v>
      </c>
      <c r="N3979" t="s">
        <v>35</v>
      </c>
      <c r="O3979" t="s">
        <v>26</v>
      </c>
      <c r="P3979" t="s">
        <v>27</v>
      </c>
      <c r="Q3979" t="s">
        <v>28</v>
      </c>
      <c r="R3979" t="s">
        <v>29</v>
      </c>
      <c r="S3979" t="s">
        <v>30</v>
      </c>
      <c r="T3979">
        <v>1000777598</v>
      </c>
      <c r="U3979" t="s">
        <v>3986</v>
      </c>
      <c r="V3979" t="s">
        <v>3934</v>
      </c>
      <c r="W3979" s="9">
        <f>IF(V3979="pregrado",31,
IF(V3979="posgrados",31,
IF(V3979="rEINTEGROS",7,
IF(V3979="BIT",90,
IF(V3979="OP GRADO - INGLÉS",17,"")))))</f>
        <v>31</v>
      </c>
      <c r="X3979" t="s">
        <v>4103</v>
      </c>
    </row>
    <row r="3980" spans="1:24" ht="15" x14ac:dyDescent="0.35">
      <c r="A3980" s="4">
        <v>46066.561678240738</v>
      </c>
      <c r="B3980">
        <v>20123198</v>
      </c>
      <c r="C3980" s="6" t="s">
        <v>19</v>
      </c>
      <c r="D3980">
        <v>609727</v>
      </c>
      <c r="E3980" t="s">
        <v>20</v>
      </c>
      <c r="F3980">
        <v>28427928</v>
      </c>
      <c r="G3980" t="s">
        <v>3164</v>
      </c>
      <c r="H3980">
        <v>100205134</v>
      </c>
      <c r="I3980">
        <v>202631</v>
      </c>
      <c r="J3980">
        <v>1070942133</v>
      </c>
      <c r="K3980" t="s">
        <v>23</v>
      </c>
      <c r="L3980" t="s">
        <v>42</v>
      </c>
      <c r="M3980" t="s">
        <v>24</v>
      </c>
      <c r="N3980" t="s">
        <v>35</v>
      </c>
      <c r="O3980" t="s">
        <v>26</v>
      </c>
      <c r="P3980" t="s">
        <v>27</v>
      </c>
      <c r="Q3980" t="s">
        <v>28</v>
      </c>
      <c r="R3980" t="s">
        <v>29</v>
      </c>
      <c r="S3980" t="s">
        <v>30</v>
      </c>
      <c r="T3980">
        <v>1000625316</v>
      </c>
      <c r="U3980" t="s">
        <v>3944</v>
      </c>
      <c r="V3980" t="s">
        <v>3934</v>
      </c>
      <c r="W3980" s="9">
        <f>IF(V3980="pregrado",31,
IF(V3980="posgrados",31,
IF(V3980="rEINTEGROS",7,
IF(V3980="BIT",90,
IF(V3980="OP GRADO - INGLÉS",17,"")))))</f>
        <v>31</v>
      </c>
      <c r="X3980" t="s">
        <v>3980</v>
      </c>
    </row>
    <row r="3981" spans="1:24" ht="15" x14ac:dyDescent="0.35">
      <c r="A3981" s="4">
        <v>46065.740717592591</v>
      </c>
      <c r="B3981">
        <v>20122987</v>
      </c>
      <c r="C3981" s="6" t="s">
        <v>19</v>
      </c>
      <c r="D3981">
        <v>609732</v>
      </c>
      <c r="E3981" t="s">
        <v>20</v>
      </c>
      <c r="F3981">
        <v>36304408</v>
      </c>
      <c r="G3981" t="s">
        <v>3123</v>
      </c>
      <c r="H3981">
        <v>100117201</v>
      </c>
      <c r="I3981">
        <v>202611</v>
      </c>
      <c r="J3981">
        <v>36304408</v>
      </c>
      <c r="K3981" t="s">
        <v>89</v>
      </c>
      <c r="L3981" t="s">
        <v>133</v>
      </c>
      <c r="M3981" t="s">
        <v>24</v>
      </c>
      <c r="N3981" t="s">
        <v>35</v>
      </c>
      <c r="O3981" t="s">
        <v>26</v>
      </c>
      <c r="P3981" t="s">
        <v>27</v>
      </c>
      <c r="Q3981" t="s">
        <v>28</v>
      </c>
      <c r="R3981" t="s">
        <v>29</v>
      </c>
      <c r="S3981" t="s">
        <v>30</v>
      </c>
      <c r="T3981">
        <v>52168054</v>
      </c>
      <c r="U3981" t="s">
        <v>3977</v>
      </c>
      <c r="V3981" t="s">
        <v>3970</v>
      </c>
      <c r="W3981" s="9">
        <f>IF(V3981="pregrado",31,
IF(V3981="posgrados",31,
IF(V3981="rEINTEGROS",7,
IF(V3981="BIT",90,
IF(V3981="OP GRADO - INGLÉS",17,"")))))</f>
        <v>7</v>
      </c>
      <c r="X3981" t="s">
        <v>4057</v>
      </c>
    </row>
    <row r="3982" spans="1:24" ht="15" x14ac:dyDescent="0.35">
      <c r="A3982" s="4">
        <v>46066.876631944448</v>
      </c>
      <c r="B3982">
        <v>20123374</v>
      </c>
      <c r="C3982" s="6" t="s">
        <v>19</v>
      </c>
      <c r="D3982">
        <v>609733</v>
      </c>
      <c r="E3982" t="s">
        <v>20</v>
      </c>
      <c r="F3982">
        <v>1110117059</v>
      </c>
      <c r="G3982" t="s">
        <v>3197</v>
      </c>
      <c r="H3982">
        <v>100246213</v>
      </c>
      <c r="I3982">
        <v>202631</v>
      </c>
      <c r="J3982">
        <v>1023912690</v>
      </c>
      <c r="K3982" t="s">
        <v>33</v>
      </c>
      <c r="L3982" t="s">
        <v>127</v>
      </c>
      <c r="M3982" t="s">
        <v>24</v>
      </c>
      <c r="N3982" t="s">
        <v>25</v>
      </c>
      <c r="O3982" t="s">
        <v>26</v>
      </c>
      <c r="P3982" t="s">
        <v>27</v>
      </c>
      <c r="Q3982" t="s">
        <v>28</v>
      </c>
      <c r="R3982" t="s">
        <v>29</v>
      </c>
      <c r="S3982" t="s">
        <v>30</v>
      </c>
      <c r="T3982">
        <v>1073692626</v>
      </c>
      <c r="U3982" t="s">
        <v>3965</v>
      </c>
      <c r="V3982" t="s">
        <v>3934</v>
      </c>
      <c r="W3982" s="9">
        <f>IF(V3982="pregrado",31,
IF(V3982="posgrados",31,
IF(V3982="rEINTEGROS",7,
IF(V3982="BIT",90,
IF(V3982="OP GRADO - INGLÉS",17,"")))))</f>
        <v>31</v>
      </c>
      <c r="X3982" t="s">
        <v>4014</v>
      </c>
    </row>
    <row r="3983" spans="1:24" ht="15" x14ac:dyDescent="0.35">
      <c r="A3983" s="4">
        <v>46074.621990740743</v>
      </c>
      <c r="B3983">
        <v>20125528</v>
      </c>
      <c r="C3983" s="6" t="s">
        <v>19</v>
      </c>
      <c r="D3983">
        <v>609734</v>
      </c>
      <c r="E3983" t="s">
        <v>20</v>
      </c>
      <c r="F3983">
        <v>1051668395</v>
      </c>
      <c r="G3983" t="s">
        <v>3519</v>
      </c>
      <c r="H3983">
        <v>100121047</v>
      </c>
      <c r="I3983">
        <v>202611</v>
      </c>
      <c r="J3983">
        <v>1051668395</v>
      </c>
      <c r="K3983" t="s">
        <v>89</v>
      </c>
      <c r="L3983" t="s">
        <v>133</v>
      </c>
      <c r="M3983" t="s">
        <v>24</v>
      </c>
      <c r="N3983">
        <v>0</v>
      </c>
      <c r="O3983" t="s">
        <v>26</v>
      </c>
      <c r="P3983" t="s">
        <v>27</v>
      </c>
      <c r="Q3983" t="s">
        <v>28</v>
      </c>
      <c r="R3983" t="s">
        <v>29</v>
      </c>
      <c r="S3983" t="s">
        <v>30</v>
      </c>
      <c r="T3983">
        <v>52168054</v>
      </c>
      <c r="U3983" t="s">
        <v>3977</v>
      </c>
      <c r="V3983" t="s">
        <v>3970</v>
      </c>
      <c r="W3983" s="9">
        <f>IF(V3983="pregrado",31,
IF(V3983="posgrados",31,
IF(V3983="rEINTEGROS",7,
IF(V3983="BIT",90,
IF(V3983="OP GRADO - INGLÉS",17,"")))))</f>
        <v>7</v>
      </c>
      <c r="X3983" t="s">
        <v>4057</v>
      </c>
    </row>
    <row r="3984" spans="1:24" ht="15" x14ac:dyDescent="0.35">
      <c r="A3984" s="4">
        <v>46065.908437500002</v>
      </c>
      <c r="B3984">
        <v>20123039</v>
      </c>
      <c r="C3984" s="6" t="s">
        <v>19</v>
      </c>
      <c r="D3984">
        <v>609738</v>
      </c>
      <c r="E3984" t="s">
        <v>20</v>
      </c>
      <c r="F3984">
        <v>1000118324</v>
      </c>
      <c r="G3984" t="s">
        <v>3134</v>
      </c>
      <c r="H3984">
        <v>100246216</v>
      </c>
      <c r="I3984">
        <v>202611</v>
      </c>
      <c r="J3984">
        <v>1000118324</v>
      </c>
      <c r="K3984" t="s">
        <v>23</v>
      </c>
      <c r="L3984" t="s">
        <v>221</v>
      </c>
      <c r="M3984" t="s">
        <v>24</v>
      </c>
      <c r="N3984" t="s">
        <v>25</v>
      </c>
      <c r="O3984" t="s">
        <v>26</v>
      </c>
      <c r="P3984" t="s">
        <v>27</v>
      </c>
      <c r="Q3984" t="s">
        <v>28</v>
      </c>
      <c r="R3984" t="s">
        <v>29</v>
      </c>
      <c r="S3984" t="s">
        <v>30</v>
      </c>
      <c r="T3984">
        <v>1073692626</v>
      </c>
      <c r="U3984" t="s">
        <v>3965</v>
      </c>
      <c r="V3984" t="s">
        <v>3934</v>
      </c>
      <c r="W3984" s="9">
        <f>IF(V3984="pregrado",31,
IF(V3984="posgrados",31,
IF(V3984="rEINTEGROS",7,
IF(V3984="BIT",90,
IF(V3984="OP GRADO - INGLÉS",17,"")))))</f>
        <v>31</v>
      </c>
      <c r="X3984" t="s">
        <v>4014</v>
      </c>
    </row>
    <row r="3985" spans="1:24" ht="15" x14ac:dyDescent="0.35">
      <c r="A3985" s="4">
        <v>46066.506076388891</v>
      </c>
      <c r="B3985">
        <v>20123172</v>
      </c>
      <c r="C3985" s="6" t="s">
        <v>19</v>
      </c>
      <c r="D3985">
        <v>609739</v>
      </c>
      <c r="E3985" t="s">
        <v>20</v>
      </c>
      <c r="F3985">
        <v>42767341</v>
      </c>
      <c r="G3985" t="s">
        <v>3160</v>
      </c>
      <c r="H3985">
        <v>100246217</v>
      </c>
      <c r="I3985">
        <v>202631</v>
      </c>
      <c r="J3985">
        <v>1037617366</v>
      </c>
      <c r="K3985" t="s">
        <v>23</v>
      </c>
      <c r="L3985" t="s">
        <v>240</v>
      </c>
      <c r="M3985" t="s">
        <v>24</v>
      </c>
      <c r="N3985" t="s">
        <v>35</v>
      </c>
      <c r="O3985" t="s">
        <v>26</v>
      </c>
      <c r="P3985" t="s">
        <v>27</v>
      </c>
      <c r="Q3985" t="s">
        <v>28</v>
      </c>
      <c r="R3985" t="s">
        <v>29</v>
      </c>
      <c r="S3985" t="s">
        <v>30</v>
      </c>
      <c r="T3985">
        <v>45555807</v>
      </c>
      <c r="U3985" t="s">
        <v>3965</v>
      </c>
      <c r="V3985" t="s">
        <v>3934</v>
      </c>
      <c r="W3985" s="9">
        <f>IF(V3985="pregrado",31,
IF(V3985="posgrados",31,
IF(V3985="rEINTEGROS",7,
IF(V3985="BIT",90,
IF(V3985="OP GRADO - INGLÉS",17,"")))))</f>
        <v>31</v>
      </c>
      <c r="X3985" t="s">
        <v>4027</v>
      </c>
    </row>
    <row r="3986" spans="1:24" ht="15" x14ac:dyDescent="0.35">
      <c r="A3986" s="4">
        <v>46069.56927083333</v>
      </c>
      <c r="B3986">
        <v>20123692</v>
      </c>
      <c r="C3986" s="6" t="s">
        <v>19</v>
      </c>
      <c r="D3986">
        <v>609749</v>
      </c>
      <c r="E3986" t="s">
        <v>20</v>
      </c>
      <c r="F3986">
        <v>1023725114</v>
      </c>
      <c r="G3986" t="s">
        <v>3239</v>
      </c>
      <c r="H3986">
        <v>100141281</v>
      </c>
      <c r="I3986">
        <v>202631</v>
      </c>
      <c r="J3986">
        <v>1023725114</v>
      </c>
      <c r="K3986" t="s">
        <v>23</v>
      </c>
      <c r="L3986" t="s">
        <v>57</v>
      </c>
      <c r="M3986" t="s">
        <v>24</v>
      </c>
      <c r="N3986" t="s">
        <v>35</v>
      </c>
      <c r="O3986" t="s">
        <v>26</v>
      </c>
      <c r="P3986" t="s">
        <v>27</v>
      </c>
      <c r="Q3986" t="s">
        <v>28</v>
      </c>
      <c r="R3986" t="s">
        <v>29</v>
      </c>
      <c r="S3986" t="s">
        <v>30</v>
      </c>
      <c r="T3986">
        <v>53040709</v>
      </c>
      <c r="U3986" t="s">
        <v>3963</v>
      </c>
      <c r="V3986" t="s">
        <v>3934</v>
      </c>
      <c r="W3986" s="9">
        <f>IF(V3986="pregrado",31,
IF(V3986="posgrados",31,
IF(V3986="rEINTEGROS",7,
IF(V3986="BIT",90,
IF(V3986="OP GRADO - INGLÉS",17,"")))))</f>
        <v>31</v>
      </c>
      <c r="X3986" t="s">
        <v>3994</v>
      </c>
    </row>
    <row r="3987" spans="1:24" ht="15" x14ac:dyDescent="0.35">
      <c r="A3987" s="4">
        <v>46066.564618055556</v>
      </c>
      <c r="B3987">
        <v>20123200</v>
      </c>
      <c r="C3987" s="6" t="s">
        <v>19</v>
      </c>
      <c r="D3987">
        <v>609750</v>
      </c>
      <c r="E3987" t="s">
        <v>20</v>
      </c>
      <c r="F3987">
        <v>43888905</v>
      </c>
      <c r="G3987" t="s">
        <v>3166</v>
      </c>
      <c r="H3987">
        <v>100246232</v>
      </c>
      <c r="I3987">
        <v>202611</v>
      </c>
      <c r="J3987">
        <v>1038476921</v>
      </c>
      <c r="K3987" t="s">
        <v>33</v>
      </c>
      <c r="L3987" t="s">
        <v>221</v>
      </c>
      <c r="M3987" t="s">
        <v>24</v>
      </c>
      <c r="N3987" t="s">
        <v>25</v>
      </c>
      <c r="O3987" t="s">
        <v>26</v>
      </c>
      <c r="P3987" t="s">
        <v>27</v>
      </c>
      <c r="Q3987" t="s">
        <v>28</v>
      </c>
      <c r="R3987" t="s">
        <v>29</v>
      </c>
      <c r="S3987" t="s">
        <v>30</v>
      </c>
      <c r="T3987">
        <v>1030570122</v>
      </c>
      <c r="U3987" t="s">
        <v>3965</v>
      </c>
      <c r="V3987" t="s">
        <v>3934</v>
      </c>
      <c r="W3987" s="9">
        <f>IF(V3987="pregrado",31,
IF(V3987="posgrados",31,
IF(V3987="rEINTEGROS",7,
IF(V3987="BIT",90,
IF(V3987="OP GRADO - INGLÉS",17,"")))))</f>
        <v>31</v>
      </c>
      <c r="X3987" t="s">
        <v>4015</v>
      </c>
    </row>
    <row r="3988" spans="1:24" ht="15" x14ac:dyDescent="0.35">
      <c r="A3988" s="4">
        <v>46066.486400462964</v>
      </c>
      <c r="B3988">
        <v>20123151</v>
      </c>
      <c r="C3988" s="6" t="s">
        <v>19</v>
      </c>
      <c r="D3988">
        <v>609757</v>
      </c>
      <c r="E3988" t="s">
        <v>20</v>
      </c>
      <c r="F3988">
        <v>1051065845</v>
      </c>
      <c r="G3988" t="s">
        <v>3154</v>
      </c>
      <c r="H3988">
        <v>100246238</v>
      </c>
      <c r="I3988">
        <v>202631</v>
      </c>
      <c r="J3988">
        <v>1051065845</v>
      </c>
      <c r="K3988" t="s">
        <v>33</v>
      </c>
      <c r="L3988" t="s">
        <v>127</v>
      </c>
      <c r="M3988" t="s">
        <v>24</v>
      </c>
      <c r="N3988" t="s">
        <v>25</v>
      </c>
      <c r="O3988" t="s">
        <v>26</v>
      </c>
      <c r="P3988" t="s">
        <v>27</v>
      </c>
      <c r="Q3988" t="s">
        <v>28</v>
      </c>
      <c r="R3988" t="s">
        <v>29</v>
      </c>
      <c r="S3988" t="s">
        <v>30</v>
      </c>
      <c r="T3988">
        <v>1013595695</v>
      </c>
      <c r="U3988" t="s">
        <v>3933</v>
      </c>
      <c r="V3988" t="s">
        <v>3934</v>
      </c>
      <c r="W3988" s="9">
        <f>IF(V3988="pregrado",31,
IF(V3988="posgrados",31,
IF(V3988="rEINTEGROS",7,
IF(V3988="BIT",90,
IF(V3988="OP GRADO - INGLÉS",17,"")))))</f>
        <v>31</v>
      </c>
      <c r="X3988" t="s">
        <v>3990</v>
      </c>
    </row>
    <row r="3989" spans="1:24" ht="15" x14ac:dyDescent="0.35">
      <c r="A3989" s="4">
        <v>46066.497199074074</v>
      </c>
      <c r="B3989">
        <v>20123163</v>
      </c>
      <c r="C3989" s="6" t="s">
        <v>19</v>
      </c>
      <c r="D3989">
        <v>609764</v>
      </c>
      <c r="E3989" t="s">
        <v>20</v>
      </c>
      <c r="F3989">
        <v>1080185628</v>
      </c>
      <c r="G3989" t="s">
        <v>3157</v>
      </c>
      <c r="H3989">
        <v>100246243</v>
      </c>
      <c r="I3989">
        <v>202631</v>
      </c>
      <c r="J3989">
        <v>1080185628</v>
      </c>
      <c r="K3989" t="s">
        <v>83</v>
      </c>
      <c r="L3989" t="s">
        <v>42</v>
      </c>
      <c r="M3989" t="s">
        <v>24</v>
      </c>
      <c r="N3989" t="s">
        <v>38</v>
      </c>
      <c r="O3989" t="s">
        <v>26</v>
      </c>
      <c r="P3989" t="s">
        <v>27</v>
      </c>
      <c r="Q3989" t="s">
        <v>28</v>
      </c>
      <c r="R3989" t="s">
        <v>29</v>
      </c>
      <c r="S3989" t="s">
        <v>30</v>
      </c>
      <c r="T3989">
        <v>53139409</v>
      </c>
      <c r="U3989" t="s">
        <v>3944</v>
      </c>
      <c r="V3989" t="s">
        <v>3934</v>
      </c>
      <c r="W3989" s="9">
        <f>IF(V3989="pregrado",31,
IF(V3989="posgrados",31,
IF(V3989="rEINTEGROS",7,
IF(V3989="BIT",90,
IF(V3989="OP GRADO - INGLÉS",17,"")))))</f>
        <v>31</v>
      </c>
      <c r="X3989" t="s">
        <v>3955</v>
      </c>
    </row>
    <row r="3990" spans="1:24" ht="15" x14ac:dyDescent="0.35">
      <c r="A3990" s="4">
        <v>46066.446284722224</v>
      </c>
      <c r="B3990">
        <v>20123109</v>
      </c>
      <c r="C3990" s="6" t="s">
        <v>19</v>
      </c>
      <c r="D3990">
        <v>609766</v>
      </c>
      <c r="E3990" t="s">
        <v>20</v>
      </c>
      <c r="F3990">
        <v>1006693101</v>
      </c>
      <c r="G3990" t="s">
        <v>3149</v>
      </c>
      <c r="H3990">
        <v>100163050</v>
      </c>
      <c r="I3990">
        <v>202631</v>
      </c>
      <c r="J3990">
        <v>1006693101</v>
      </c>
      <c r="K3990" t="s">
        <v>33</v>
      </c>
      <c r="L3990" t="s">
        <v>127</v>
      </c>
      <c r="M3990" t="s">
        <v>24</v>
      </c>
      <c r="N3990" t="s">
        <v>38</v>
      </c>
      <c r="O3990" t="s">
        <v>26</v>
      </c>
      <c r="P3990" t="s">
        <v>27</v>
      </c>
      <c r="Q3990" t="s">
        <v>28</v>
      </c>
      <c r="R3990" t="s">
        <v>29</v>
      </c>
      <c r="S3990" t="s">
        <v>30</v>
      </c>
      <c r="T3990">
        <v>1007473661</v>
      </c>
      <c r="U3990" t="s">
        <v>3933</v>
      </c>
      <c r="V3990" t="s">
        <v>3934</v>
      </c>
      <c r="W3990" s="9">
        <f>IF(V3990="pregrado",31,
IF(V3990="posgrados",31,
IF(V3990="rEINTEGROS",7,
IF(V3990="BIT",90,
IF(V3990="OP GRADO - INGLÉS",17,"")))))</f>
        <v>31</v>
      </c>
      <c r="X3990" t="s">
        <v>4058</v>
      </c>
    </row>
    <row r="3991" spans="1:24" ht="15" x14ac:dyDescent="0.35">
      <c r="A3991" s="4">
        <v>46066.680196759262</v>
      </c>
      <c r="B3991">
        <v>20123294</v>
      </c>
      <c r="C3991" s="6" t="s">
        <v>19</v>
      </c>
      <c r="D3991">
        <v>609771</v>
      </c>
      <c r="E3991" t="s">
        <v>20</v>
      </c>
      <c r="F3991">
        <v>1065806479</v>
      </c>
      <c r="G3991" t="s">
        <v>3182</v>
      </c>
      <c r="H3991">
        <v>100246248</v>
      </c>
      <c r="I3991">
        <v>202611</v>
      </c>
      <c r="J3991">
        <v>1065806479</v>
      </c>
      <c r="K3991" t="s">
        <v>23</v>
      </c>
      <c r="L3991" t="s">
        <v>221</v>
      </c>
      <c r="M3991" t="s">
        <v>24</v>
      </c>
      <c r="N3991" t="s">
        <v>35</v>
      </c>
      <c r="O3991" t="s">
        <v>26</v>
      </c>
      <c r="P3991" t="s">
        <v>27</v>
      </c>
      <c r="Q3991" t="s">
        <v>28</v>
      </c>
      <c r="R3991" t="s">
        <v>29</v>
      </c>
      <c r="S3991" t="s">
        <v>30</v>
      </c>
      <c r="T3991">
        <v>1020730718</v>
      </c>
      <c r="U3991" t="s">
        <v>3941</v>
      </c>
      <c r="V3991" t="s">
        <v>3934</v>
      </c>
      <c r="W3991" s="9">
        <f>IF(V3991="pregrado",31,
IF(V3991="posgrados",31,
IF(V3991="rEINTEGROS",7,
IF(V3991="BIT",90,
IF(V3991="OP GRADO - INGLÉS",17,"")))))</f>
        <v>31</v>
      </c>
      <c r="X3991" t="s">
        <v>3952</v>
      </c>
    </row>
    <row r="3992" spans="1:24" ht="15" x14ac:dyDescent="0.35">
      <c r="A3992" s="4">
        <v>46066.518750000003</v>
      </c>
      <c r="B3992">
        <v>20123177</v>
      </c>
      <c r="C3992" s="6" t="s">
        <v>19</v>
      </c>
      <c r="D3992">
        <v>609782</v>
      </c>
      <c r="E3992" t="s">
        <v>20</v>
      </c>
      <c r="F3992">
        <v>1004547097</v>
      </c>
      <c r="G3992" t="s">
        <v>3163</v>
      </c>
      <c r="H3992">
        <v>100234545</v>
      </c>
      <c r="I3992">
        <v>202611</v>
      </c>
      <c r="J3992">
        <v>1004546823</v>
      </c>
      <c r="K3992" t="s">
        <v>74</v>
      </c>
      <c r="L3992" t="s">
        <v>221</v>
      </c>
      <c r="M3992" t="s">
        <v>24</v>
      </c>
      <c r="N3992" t="s">
        <v>35</v>
      </c>
      <c r="O3992" t="s">
        <v>26</v>
      </c>
      <c r="P3992" t="s">
        <v>27</v>
      </c>
      <c r="Q3992" t="s">
        <v>28</v>
      </c>
      <c r="R3992" t="s">
        <v>29</v>
      </c>
      <c r="S3992" t="s">
        <v>30</v>
      </c>
      <c r="T3992">
        <v>1003652550</v>
      </c>
      <c r="U3992" t="s">
        <v>3965</v>
      </c>
      <c r="V3992" t="s">
        <v>3934</v>
      </c>
      <c r="W3992" s="9">
        <f>IF(V3992="pregrado",31,
IF(V3992="posgrados",31,
IF(V3992="rEINTEGROS",7,
IF(V3992="BIT",90,
IF(V3992="OP GRADO - INGLÉS",17,"")))))</f>
        <v>31</v>
      </c>
      <c r="X3992" t="s">
        <v>4059</v>
      </c>
    </row>
    <row r="3993" spans="1:24" ht="15" x14ac:dyDescent="0.35">
      <c r="A3993" s="4">
        <v>46072.675671296296</v>
      </c>
      <c r="B3993">
        <v>20124955</v>
      </c>
      <c r="C3993" s="6" t="s">
        <v>19</v>
      </c>
      <c r="D3993">
        <v>609784</v>
      </c>
      <c r="E3993" t="s">
        <v>20</v>
      </c>
      <c r="F3993">
        <v>1096242765</v>
      </c>
      <c r="G3993" t="s">
        <v>3433</v>
      </c>
      <c r="H3993">
        <v>200128993</v>
      </c>
      <c r="I3993">
        <v>202631</v>
      </c>
      <c r="J3993">
        <v>1096242765</v>
      </c>
      <c r="K3993" t="s">
        <v>33</v>
      </c>
      <c r="L3993" t="s">
        <v>119</v>
      </c>
      <c r="M3993" t="s">
        <v>24</v>
      </c>
      <c r="N3993" t="s">
        <v>35</v>
      </c>
      <c r="O3993" t="s">
        <v>26</v>
      </c>
      <c r="P3993" t="s">
        <v>27</v>
      </c>
      <c r="Q3993" t="s">
        <v>28</v>
      </c>
      <c r="R3993" t="s">
        <v>29</v>
      </c>
      <c r="S3993" t="s">
        <v>30</v>
      </c>
      <c r="T3993">
        <v>1057586591</v>
      </c>
      <c r="U3993" t="s">
        <v>3963</v>
      </c>
      <c r="V3993" t="s">
        <v>3934</v>
      </c>
      <c r="W3993" s="9">
        <f>IF(V3993="pregrado",31,
IF(V3993="posgrados",31,
IF(V3993="rEINTEGROS",7,
IF(V3993="BIT",90,
IF(V3993="OP GRADO - INGLÉS",17,"")))))</f>
        <v>31</v>
      </c>
      <c r="X3993" t="s">
        <v>3988</v>
      </c>
    </row>
    <row r="3994" spans="1:24" ht="15" x14ac:dyDescent="0.35">
      <c r="A3994" s="4">
        <v>46072.377291666664</v>
      </c>
      <c r="B3994">
        <v>20124719</v>
      </c>
      <c r="C3994" s="6" t="s">
        <v>19</v>
      </c>
      <c r="D3994">
        <v>609793</v>
      </c>
      <c r="E3994" t="s">
        <v>20</v>
      </c>
      <c r="F3994">
        <v>1122812839</v>
      </c>
      <c r="G3994" t="s">
        <v>3385</v>
      </c>
      <c r="H3994">
        <v>100246287</v>
      </c>
      <c r="I3994">
        <v>202631</v>
      </c>
      <c r="J3994">
        <v>1122812839</v>
      </c>
      <c r="K3994" t="s">
        <v>23</v>
      </c>
      <c r="L3994" t="s">
        <v>240</v>
      </c>
      <c r="M3994" t="s">
        <v>24</v>
      </c>
      <c r="N3994" t="s">
        <v>35</v>
      </c>
      <c r="O3994" t="s">
        <v>26</v>
      </c>
      <c r="P3994" t="s">
        <v>27</v>
      </c>
      <c r="Q3994" t="s">
        <v>28</v>
      </c>
      <c r="R3994" t="s">
        <v>29</v>
      </c>
      <c r="S3994" t="s">
        <v>30</v>
      </c>
      <c r="T3994">
        <v>1022410450</v>
      </c>
      <c r="U3994" t="s">
        <v>3939</v>
      </c>
      <c r="V3994" t="s">
        <v>3934</v>
      </c>
      <c r="W3994" s="9">
        <f>IF(V3994="pregrado",31,
IF(V3994="posgrados",31,
IF(V3994="rEINTEGROS",7,
IF(V3994="BIT",90,
IF(V3994="OP GRADO - INGLÉS",17,"")))))</f>
        <v>31</v>
      </c>
      <c r="X3994" t="s">
        <v>4094</v>
      </c>
    </row>
    <row r="3995" spans="1:24" ht="15" x14ac:dyDescent="0.35">
      <c r="A3995" s="4">
        <v>46066.657002314816</v>
      </c>
      <c r="B3995">
        <v>20123267</v>
      </c>
      <c r="C3995" s="6" t="s">
        <v>19</v>
      </c>
      <c r="D3995">
        <v>609795</v>
      </c>
      <c r="E3995" t="s">
        <v>20</v>
      </c>
      <c r="F3995">
        <v>1116874018</v>
      </c>
      <c r="G3995" t="s">
        <v>3180</v>
      </c>
      <c r="H3995">
        <v>100137391</v>
      </c>
      <c r="I3995">
        <v>202631</v>
      </c>
      <c r="J3995">
        <v>1116874018</v>
      </c>
      <c r="K3995" t="s">
        <v>23</v>
      </c>
      <c r="L3995" t="s">
        <v>219</v>
      </c>
      <c r="M3995" t="s">
        <v>24</v>
      </c>
      <c r="N3995" t="s">
        <v>35</v>
      </c>
      <c r="O3995" t="s">
        <v>26</v>
      </c>
      <c r="P3995" t="s">
        <v>27</v>
      </c>
      <c r="Q3995" t="s">
        <v>28</v>
      </c>
      <c r="R3995" t="s">
        <v>29</v>
      </c>
      <c r="S3995" t="s">
        <v>30</v>
      </c>
      <c r="T3995">
        <v>1057586591</v>
      </c>
      <c r="U3995" t="s">
        <v>3963</v>
      </c>
      <c r="V3995" t="s">
        <v>3934</v>
      </c>
      <c r="W3995" s="9">
        <f>IF(V3995="pregrado",31,
IF(V3995="posgrados",31,
IF(V3995="rEINTEGROS",7,
IF(V3995="BIT",90,
IF(V3995="OP GRADO - INGLÉS",17,"")))))</f>
        <v>31</v>
      </c>
      <c r="X3995" t="s">
        <v>3988</v>
      </c>
    </row>
    <row r="3996" spans="1:24" ht="15" x14ac:dyDescent="0.35">
      <c r="A3996" s="4">
        <v>46066.43204861111</v>
      </c>
      <c r="B3996">
        <v>20123095</v>
      </c>
      <c r="C3996" s="6" t="s">
        <v>19</v>
      </c>
      <c r="D3996">
        <v>609800</v>
      </c>
      <c r="E3996" t="s">
        <v>20</v>
      </c>
      <c r="F3996">
        <v>42078398</v>
      </c>
      <c r="G3996" t="s">
        <v>3145</v>
      </c>
      <c r="H3996">
        <v>100195888</v>
      </c>
      <c r="I3996">
        <v>202611</v>
      </c>
      <c r="J3996">
        <v>1088014378</v>
      </c>
      <c r="K3996" t="s">
        <v>89</v>
      </c>
      <c r="L3996" t="s">
        <v>204</v>
      </c>
      <c r="M3996" t="s">
        <v>24</v>
      </c>
      <c r="N3996" t="s">
        <v>35</v>
      </c>
      <c r="O3996" t="s">
        <v>26</v>
      </c>
      <c r="P3996" t="s">
        <v>27</v>
      </c>
      <c r="Q3996" t="s">
        <v>28</v>
      </c>
      <c r="R3996" t="s">
        <v>29</v>
      </c>
      <c r="S3996" t="s">
        <v>30</v>
      </c>
      <c r="T3996">
        <v>1023899450</v>
      </c>
      <c r="U3996" t="s">
        <v>3977</v>
      </c>
      <c r="V3996" t="s">
        <v>3970</v>
      </c>
      <c r="W3996" s="9">
        <f>IF(V3996="pregrado",31,
IF(V3996="posgrados",31,
IF(V3996="rEINTEGROS",7,
IF(V3996="BIT",90,
IF(V3996="OP GRADO - INGLÉS",17,"")))))</f>
        <v>7</v>
      </c>
      <c r="X3996" t="s">
        <v>3969</v>
      </c>
    </row>
    <row r="3997" spans="1:24" ht="15" x14ac:dyDescent="0.35">
      <c r="A3997" s="4">
        <v>46067.451979166668</v>
      </c>
      <c r="B3997">
        <v>20123421</v>
      </c>
      <c r="C3997" s="6" t="s">
        <v>19</v>
      </c>
      <c r="D3997">
        <v>609801</v>
      </c>
      <c r="E3997" t="s">
        <v>20</v>
      </c>
      <c r="F3997">
        <v>33916099</v>
      </c>
      <c r="G3997" t="s">
        <v>3205</v>
      </c>
      <c r="H3997">
        <v>100246292</v>
      </c>
      <c r="I3997">
        <v>202611</v>
      </c>
      <c r="J3997">
        <v>1012436546</v>
      </c>
      <c r="K3997" t="s">
        <v>23</v>
      </c>
      <c r="L3997" t="s">
        <v>221</v>
      </c>
      <c r="M3997" t="s">
        <v>24</v>
      </c>
      <c r="N3997" t="s">
        <v>25</v>
      </c>
      <c r="O3997" t="s">
        <v>26</v>
      </c>
      <c r="P3997" t="s">
        <v>27</v>
      </c>
      <c r="Q3997" t="s">
        <v>28</v>
      </c>
      <c r="R3997" t="s">
        <v>29</v>
      </c>
      <c r="S3997" t="s">
        <v>30</v>
      </c>
      <c r="T3997">
        <v>1030573476</v>
      </c>
      <c r="U3997" t="s">
        <v>3965</v>
      </c>
      <c r="V3997" t="s">
        <v>3934</v>
      </c>
      <c r="W3997" s="9">
        <f>IF(V3997="pregrado",31,
IF(V3997="posgrados",31,
IF(V3997="rEINTEGROS",7,
IF(V3997="BIT",90,
IF(V3997="OP GRADO - INGLÉS",17,"")))))</f>
        <v>31</v>
      </c>
      <c r="X3997" t="s">
        <v>4077</v>
      </c>
    </row>
    <row r="3998" spans="1:24" ht="15" x14ac:dyDescent="0.35">
      <c r="A3998" s="4">
        <v>46066.672673611109</v>
      </c>
      <c r="B3998">
        <v>20123287</v>
      </c>
      <c r="C3998" s="6" t="s">
        <v>19</v>
      </c>
      <c r="D3998">
        <v>609802</v>
      </c>
      <c r="E3998" t="s">
        <v>20</v>
      </c>
      <c r="F3998">
        <v>1097990249</v>
      </c>
      <c r="G3998" t="s">
        <v>3181</v>
      </c>
      <c r="H3998">
        <v>100246294</v>
      </c>
      <c r="I3998">
        <v>202631</v>
      </c>
      <c r="J3998">
        <v>1097990249</v>
      </c>
      <c r="K3998" t="s">
        <v>23</v>
      </c>
      <c r="L3998" t="s">
        <v>90</v>
      </c>
      <c r="M3998" t="s">
        <v>24</v>
      </c>
      <c r="N3998" t="s">
        <v>25</v>
      </c>
      <c r="O3998" t="s">
        <v>26</v>
      </c>
      <c r="P3998" t="s">
        <v>27</v>
      </c>
      <c r="Q3998" t="s">
        <v>28</v>
      </c>
      <c r="R3998" t="s">
        <v>29</v>
      </c>
      <c r="S3998" t="s">
        <v>30</v>
      </c>
      <c r="T3998">
        <v>10306009131</v>
      </c>
      <c r="U3998" t="s">
        <v>3933</v>
      </c>
      <c r="V3998" t="s">
        <v>3934</v>
      </c>
      <c r="W3998" s="9">
        <f>IF(V3998="pregrado",31,
IF(V3998="posgrados",31,
IF(V3998="rEINTEGROS",7,
IF(V3998="BIT",90,
IF(V3998="OP GRADO - INGLÉS",17,"")))))</f>
        <v>31</v>
      </c>
      <c r="X3998" t="s">
        <v>3978</v>
      </c>
    </row>
    <row r="3999" spans="1:24" ht="15" x14ac:dyDescent="0.35">
      <c r="A3999" s="4">
        <v>46072.500358796293</v>
      </c>
      <c r="B3999">
        <v>20124830</v>
      </c>
      <c r="C3999" s="6" t="s">
        <v>19</v>
      </c>
      <c r="D3999">
        <v>609805</v>
      </c>
      <c r="E3999" t="s">
        <v>20</v>
      </c>
      <c r="F3999">
        <v>1123803787</v>
      </c>
      <c r="G3999" t="s">
        <v>3406</v>
      </c>
      <c r="H3999">
        <v>100246300</v>
      </c>
      <c r="I3999">
        <v>202631</v>
      </c>
      <c r="J3999">
        <v>1123803787</v>
      </c>
      <c r="K3999" t="s">
        <v>33</v>
      </c>
      <c r="L3999" t="s">
        <v>127</v>
      </c>
      <c r="M3999" t="s">
        <v>24</v>
      </c>
      <c r="N3999" t="s">
        <v>25</v>
      </c>
      <c r="O3999" t="s">
        <v>26</v>
      </c>
      <c r="P3999" t="s">
        <v>27</v>
      </c>
      <c r="Q3999" t="s">
        <v>28</v>
      </c>
      <c r="R3999" t="s">
        <v>29</v>
      </c>
      <c r="S3999" t="s">
        <v>30</v>
      </c>
      <c r="T3999">
        <v>1023370559</v>
      </c>
      <c r="U3999" t="s">
        <v>3933</v>
      </c>
      <c r="V3999" t="s">
        <v>3934</v>
      </c>
      <c r="W3999" s="9">
        <f>IF(V3999="pregrado",31,
IF(V3999="posgrados",31,
IF(V3999="rEINTEGROS",7,
IF(V3999="BIT",90,
IF(V3999="OP GRADO - INGLÉS",17,"")))))</f>
        <v>31</v>
      </c>
      <c r="X3999" t="s">
        <v>4017</v>
      </c>
    </row>
    <row r="4000" spans="1:24" ht="15" x14ac:dyDescent="0.35">
      <c r="A4000" s="4">
        <v>46069.596898148149</v>
      </c>
      <c r="B4000">
        <v>20123710</v>
      </c>
      <c r="C4000" s="6" t="s">
        <v>19</v>
      </c>
      <c r="D4000">
        <v>609807</v>
      </c>
      <c r="E4000" t="s">
        <v>20</v>
      </c>
      <c r="F4000">
        <v>1004766863</v>
      </c>
      <c r="G4000" t="s">
        <v>3242</v>
      </c>
      <c r="H4000">
        <v>100246302</v>
      </c>
      <c r="I4000">
        <v>202611</v>
      </c>
      <c r="J4000">
        <v>1004766863</v>
      </c>
      <c r="K4000" t="s">
        <v>23</v>
      </c>
      <c r="L4000" t="s">
        <v>221</v>
      </c>
      <c r="M4000" t="s">
        <v>24</v>
      </c>
      <c r="N4000" t="s">
        <v>35</v>
      </c>
      <c r="O4000" t="s">
        <v>26</v>
      </c>
      <c r="P4000" t="s">
        <v>27</v>
      </c>
      <c r="Q4000" t="s">
        <v>28</v>
      </c>
      <c r="R4000" t="s">
        <v>29</v>
      </c>
      <c r="S4000" t="s">
        <v>30</v>
      </c>
      <c r="T4000">
        <v>45555807</v>
      </c>
      <c r="U4000" t="s">
        <v>3965</v>
      </c>
      <c r="V4000" t="s">
        <v>3934</v>
      </c>
      <c r="W4000" s="9">
        <f>IF(V4000="pregrado",31,
IF(V4000="posgrados",31,
IF(V4000="rEINTEGROS",7,
IF(V4000="BIT",90,
IF(V4000="OP GRADO - INGLÉS",17,"")))))</f>
        <v>31</v>
      </c>
      <c r="X4000" t="s">
        <v>4027</v>
      </c>
    </row>
    <row r="4001" spans="1:24" ht="15" x14ac:dyDescent="0.35">
      <c r="A4001" s="4">
        <v>46080.653368055559</v>
      </c>
      <c r="B4001">
        <v>20126907</v>
      </c>
      <c r="C4001" s="6" t="s">
        <v>19</v>
      </c>
      <c r="D4001">
        <v>609808</v>
      </c>
      <c r="E4001" t="s">
        <v>20</v>
      </c>
      <c r="F4001">
        <v>20957018</v>
      </c>
      <c r="G4001" t="s">
        <v>3739</v>
      </c>
      <c r="H4001">
        <v>900013957</v>
      </c>
      <c r="I4001">
        <v>202610</v>
      </c>
      <c r="J4001">
        <v>20957018</v>
      </c>
      <c r="K4001" t="s">
        <v>46</v>
      </c>
      <c r="L4001" t="s">
        <v>96</v>
      </c>
      <c r="M4001" t="s">
        <v>24</v>
      </c>
      <c r="N4001" t="s">
        <v>35</v>
      </c>
      <c r="O4001" t="s">
        <v>26</v>
      </c>
      <c r="P4001" t="s">
        <v>27</v>
      </c>
      <c r="Q4001" t="s">
        <v>28</v>
      </c>
      <c r="R4001" t="s">
        <v>29</v>
      </c>
      <c r="S4001" t="s">
        <v>30</v>
      </c>
      <c r="T4001">
        <v>1001066645</v>
      </c>
      <c r="U4001" t="s">
        <v>3963</v>
      </c>
      <c r="V4001" t="s">
        <v>3934</v>
      </c>
      <c r="W4001" s="9">
        <f>IF(V4001="pregrado",31,
IF(V4001="posgrados",31,
IF(V4001="rEINTEGROS",7,
IF(V4001="BIT",90,
IF(V4001="OP GRADO - INGLÉS",17,"")))))</f>
        <v>31</v>
      </c>
      <c r="X4001" t="s">
        <v>4086</v>
      </c>
    </row>
    <row r="4002" spans="1:24" ht="15" x14ac:dyDescent="0.35">
      <c r="A4002" s="4">
        <v>46069.467812499999</v>
      </c>
      <c r="B4002">
        <v>20123631</v>
      </c>
      <c r="C4002" s="6" t="s">
        <v>19</v>
      </c>
      <c r="D4002">
        <v>609849</v>
      </c>
      <c r="E4002" t="s">
        <v>20</v>
      </c>
      <c r="F4002">
        <v>1033699830</v>
      </c>
      <c r="G4002" t="s">
        <v>3231</v>
      </c>
      <c r="H4002">
        <v>100246341</v>
      </c>
      <c r="I4002">
        <v>202610</v>
      </c>
      <c r="J4002">
        <v>1033725881</v>
      </c>
      <c r="K4002" t="s">
        <v>23</v>
      </c>
      <c r="L4002" t="s">
        <v>194</v>
      </c>
      <c r="M4002" t="s">
        <v>24</v>
      </c>
      <c r="N4002" t="s">
        <v>25</v>
      </c>
      <c r="O4002" t="s">
        <v>26</v>
      </c>
      <c r="P4002" t="s">
        <v>27</v>
      </c>
      <c r="Q4002" t="s">
        <v>28</v>
      </c>
      <c r="R4002" t="s">
        <v>29</v>
      </c>
      <c r="S4002" t="s">
        <v>30</v>
      </c>
      <c r="T4002">
        <v>1077967131</v>
      </c>
      <c r="U4002" t="s">
        <v>3963</v>
      </c>
      <c r="V4002" t="s">
        <v>3934</v>
      </c>
      <c r="W4002" s="9">
        <f>IF(V4002="pregrado",31,
IF(V4002="posgrados",31,
IF(V4002="rEINTEGROS",7,
IF(V4002="BIT",90,
IF(V4002="OP GRADO - INGLÉS",17,"")))))</f>
        <v>31</v>
      </c>
      <c r="X4002" t="s">
        <v>4011</v>
      </c>
    </row>
    <row r="4003" spans="1:24" ht="15" x14ac:dyDescent="0.35">
      <c r="A4003" s="4">
        <v>46069.344178240739</v>
      </c>
      <c r="B4003">
        <v>20123568</v>
      </c>
      <c r="C4003" s="6" t="s">
        <v>19</v>
      </c>
      <c r="D4003">
        <v>609851</v>
      </c>
      <c r="E4003" t="s">
        <v>20</v>
      </c>
      <c r="F4003">
        <v>35378987</v>
      </c>
      <c r="G4003" t="s">
        <v>3220</v>
      </c>
      <c r="H4003">
        <v>100246343</v>
      </c>
      <c r="I4003">
        <v>202611</v>
      </c>
      <c r="J4003">
        <v>35378987</v>
      </c>
      <c r="K4003" t="s">
        <v>23</v>
      </c>
      <c r="L4003" t="s">
        <v>221</v>
      </c>
      <c r="M4003" t="s">
        <v>24</v>
      </c>
      <c r="N4003" t="s">
        <v>25</v>
      </c>
      <c r="O4003" t="s">
        <v>26</v>
      </c>
      <c r="P4003" t="s">
        <v>27</v>
      </c>
      <c r="Q4003" t="s">
        <v>28</v>
      </c>
      <c r="R4003" t="s">
        <v>29</v>
      </c>
      <c r="S4003" t="s">
        <v>30</v>
      </c>
      <c r="T4003">
        <v>52342867</v>
      </c>
      <c r="U4003" t="s">
        <v>3965</v>
      </c>
      <c r="V4003" t="s">
        <v>3934</v>
      </c>
      <c r="W4003" s="9">
        <f>IF(V4003="pregrado",31,
IF(V4003="posgrados",31,
IF(V4003="rEINTEGROS",7,
IF(V4003="BIT",90,
IF(V4003="OP GRADO - INGLÉS",17,"")))))</f>
        <v>31</v>
      </c>
      <c r="X4003" t="s">
        <v>4047</v>
      </c>
    </row>
    <row r="4004" spans="1:24" ht="15" x14ac:dyDescent="0.35">
      <c r="A4004" s="4">
        <v>46069.40960648148</v>
      </c>
      <c r="B4004">
        <v>20123597</v>
      </c>
      <c r="C4004" s="6" t="s">
        <v>19</v>
      </c>
      <c r="D4004">
        <v>609866</v>
      </c>
      <c r="E4004" t="s">
        <v>20</v>
      </c>
      <c r="F4004">
        <v>1019987161</v>
      </c>
      <c r="G4004" t="s">
        <v>3224</v>
      </c>
      <c r="H4004">
        <v>100246356</v>
      </c>
      <c r="I4004">
        <v>202610</v>
      </c>
      <c r="J4004">
        <v>1012337939</v>
      </c>
      <c r="K4004" t="s">
        <v>33</v>
      </c>
      <c r="L4004" t="s">
        <v>37</v>
      </c>
      <c r="M4004" t="s">
        <v>24</v>
      </c>
      <c r="N4004" t="s">
        <v>38</v>
      </c>
      <c r="O4004" t="s">
        <v>26</v>
      </c>
      <c r="P4004" t="s">
        <v>27</v>
      </c>
      <c r="Q4004" t="s">
        <v>28</v>
      </c>
      <c r="R4004" t="s">
        <v>29</v>
      </c>
      <c r="S4004" t="s">
        <v>30</v>
      </c>
      <c r="T4004">
        <v>80219471</v>
      </c>
      <c r="U4004" t="s">
        <v>3941</v>
      </c>
      <c r="V4004" t="s">
        <v>3934</v>
      </c>
      <c r="W4004" s="9">
        <f>IF(V4004="pregrado",31,
IF(V4004="posgrados",31,
IF(V4004="rEINTEGROS",7,
IF(V4004="BIT",90,
IF(V4004="OP GRADO - INGLÉS",17,"")))))</f>
        <v>31</v>
      </c>
      <c r="X4004" t="s">
        <v>4030</v>
      </c>
    </row>
    <row r="4005" spans="1:24" ht="15" x14ac:dyDescent="0.35">
      <c r="A4005" s="4">
        <v>46083.435960648145</v>
      </c>
      <c r="B4005">
        <v>20127176</v>
      </c>
      <c r="C4005" s="6" t="s">
        <v>19</v>
      </c>
      <c r="D4005">
        <v>609870</v>
      </c>
      <c r="E4005" t="s">
        <v>20</v>
      </c>
      <c r="F4005">
        <v>1024577690</v>
      </c>
      <c r="G4005" t="s">
        <v>3779</v>
      </c>
      <c r="H4005">
        <v>200054051</v>
      </c>
      <c r="I4005">
        <v>202631</v>
      </c>
      <c r="J4005">
        <v>1000861839</v>
      </c>
      <c r="K4005" t="s">
        <v>33</v>
      </c>
      <c r="L4005" t="s">
        <v>22</v>
      </c>
      <c r="M4005" t="s">
        <v>24</v>
      </c>
      <c r="N4005" t="s">
        <v>35</v>
      </c>
      <c r="O4005" t="s">
        <v>26</v>
      </c>
      <c r="P4005" t="s">
        <v>27</v>
      </c>
      <c r="Q4005" t="s">
        <v>28</v>
      </c>
      <c r="R4005" t="s">
        <v>29</v>
      </c>
      <c r="S4005" t="s">
        <v>30</v>
      </c>
      <c r="T4005">
        <v>1018496066</v>
      </c>
      <c r="U4005" t="s">
        <v>3939</v>
      </c>
      <c r="V4005" t="s">
        <v>3934</v>
      </c>
      <c r="W4005" s="9">
        <f>IF(V4005="pregrado",31,
IF(V4005="posgrados",31,
IF(V4005="rEINTEGROS",7,
IF(V4005="BIT",90,
IF(V4005="OP GRADO - INGLÉS",17,"")))))</f>
        <v>31</v>
      </c>
      <c r="X4005" t="s">
        <v>4006</v>
      </c>
    </row>
    <row r="4006" spans="1:24" ht="15" x14ac:dyDescent="0.35">
      <c r="A4006" s="4">
        <v>46067.393194444441</v>
      </c>
      <c r="B4006">
        <v>20123402</v>
      </c>
      <c r="C4006" s="6" t="s">
        <v>19</v>
      </c>
      <c r="D4006">
        <v>609876</v>
      </c>
      <c r="E4006" t="s">
        <v>20</v>
      </c>
      <c r="F4006">
        <v>80858048</v>
      </c>
      <c r="G4006" t="s">
        <v>3202</v>
      </c>
      <c r="H4006">
        <v>100246365</v>
      </c>
      <c r="I4006">
        <v>202631</v>
      </c>
      <c r="J4006">
        <v>80858048</v>
      </c>
      <c r="K4006" t="s">
        <v>23</v>
      </c>
      <c r="L4006" t="s">
        <v>207</v>
      </c>
      <c r="M4006" t="s">
        <v>24</v>
      </c>
      <c r="N4006" t="s">
        <v>35</v>
      </c>
      <c r="O4006" t="s">
        <v>26</v>
      </c>
      <c r="P4006" t="s">
        <v>27</v>
      </c>
      <c r="Q4006" t="s">
        <v>28</v>
      </c>
      <c r="R4006" t="s">
        <v>29</v>
      </c>
      <c r="S4006" t="s">
        <v>30</v>
      </c>
      <c r="T4006">
        <v>1013595695</v>
      </c>
      <c r="U4006" t="s">
        <v>3933</v>
      </c>
      <c r="V4006" t="s">
        <v>3934</v>
      </c>
      <c r="W4006" s="9">
        <f>IF(V4006="pregrado",31,
IF(V4006="posgrados",31,
IF(V4006="rEINTEGROS",7,
IF(V4006="BIT",90,
IF(V4006="OP GRADO - INGLÉS",17,"")))))</f>
        <v>31</v>
      </c>
      <c r="X4006" t="s">
        <v>3990</v>
      </c>
    </row>
    <row r="4007" spans="1:24" ht="15" x14ac:dyDescent="0.35">
      <c r="A4007" s="4">
        <v>46069.691944444443</v>
      </c>
      <c r="B4007">
        <v>20123807</v>
      </c>
      <c r="C4007" s="6" t="s">
        <v>19</v>
      </c>
      <c r="D4007">
        <v>609881</v>
      </c>
      <c r="E4007" t="s">
        <v>20</v>
      </c>
      <c r="F4007">
        <v>59819563</v>
      </c>
      <c r="G4007" t="s">
        <v>3253</v>
      </c>
      <c r="H4007">
        <v>100246367</v>
      </c>
      <c r="I4007">
        <v>202631</v>
      </c>
      <c r="J4007">
        <v>1004509855</v>
      </c>
      <c r="K4007" t="s">
        <v>23</v>
      </c>
      <c r="L4007" t="s">
        <v>90</v>
      </c>
      <c r="M4007" t="s">
        <v>24</v>
      </c>
      <c r="N4007" t="s">
        <v>35</v>
      </c>
      <c r="O4007" t="s">
        <v>26</v>
      </c>
      <c r="P4007" t="s">
        <v>27</v>
      </c>
      <c r="Q4007" t="s">
        <v>28</v>
      </c>
      <c r="R4007" t="s">
        <v>29</v>
      </c>
      <c r="S4007" t="s">
        <v>30</v>
      </c>
      <c r="T4007">
        <v>1026299972</v>
      </c>
      <c r="U4007" t="s">
        <v>3933</v>
      </c>
      <c r="V4007" t="s">
        <v>3934</v>
      </c>
      <c r="W4007" s="9">
        <f>IF(V4007="pregrado",31,
IF(V4007="posgrados",31,
IF(V4007="rEINTEGROS",7,
IF(V4007="BIT",90,
IF(V4007="OP GRADO - INGLÉS",17,"")))))</f>
        <v>31</v>
      </c>
      <c r="X4007" t="s">
        <v>4052</v>
      </c>
    </row>
    <row r="4008" spans="1:24" ht="15" x14ac:dyDescent="0.35">
      <c r="A4008" s="4">
        <v>46066.732349537036</v>
      </c>
      <c r="B4008">
        <v>20123333</v>
      </c>
      <c r="C4008" s="6" t="s">
        <v>19</v>
      </c>
      <c r="D4008">
        <v>609885</v>
      </c>
      <c r="E4008" t="s">
        <v>20</v>
      </c>
      <c r="F4008">
        <v>1011085092</v>
      </c>
      <c r="G4008" t="s">
        <v>3188</v>
      </c>
      <c r="H4008">
        <v>100246370</v>
      </c>
      <c r="I4008">
        <v>202631</v>
      </c>
      <c r="J4008">
        <v>1011085092</v>
      </c>
      <c r="K4008" t="s">
        <v>23</v>
      </c>
      <c r="L4008" t="s">
        <v>42</v>
      </c>
      <c r="M4008" t="s">
        <v>24</v>
      </c>
      <c r="N4008" t="s">
        <v>35</v>
      </c>
      <c r="O4008" t="s">
        <v>26</v>
      </c>
      <c r="P4008" t="s">
        <v>27</v>
      </c>
      <c r="Q4008" t="s">
        <v>28</v>
      </c>
      <c r="R4008" t="s">
        <v>29</v>
      </c>
      <c r="S4008" t="s">
        <v>30</v>
      </c>
      <c r="T4008">
        <v>1000001980</v>
      </c>
      <c r="U4008" t="s">
        <v>3944</v>
      </c>
      <c r="V4008" t="s">
        <v>3934</v>
      </c>
      <c r="W4008" s="9">
        <f>IF(V4008="pregrado",31,
IF(V4008="posgrados",31,
IF(V4008="rEINTEGROS",7,
IF(V4008="BIT",90,
IF(V4008="OP GRADO - INGLÉS",17,"")))))</f>
        <v>31</v>
      </c>
      <c r="X4008" t="s">
        <v>3968</v>
      </c>
    </row>
    <row r="4009" spans="1:24" ht="15" x14ac:dyDescent="0.35">
      <c r="A4009" s="4">
        <v>46073.487037037034</v>
      </c>
      <c r="B4009">
        <v>20125224</v>
      </c>
      <c r="C4009" s="6" t="s">
        <v>19</v>
      </c>
      <c r="D4009">
        <v>609886</v>
      </c>
      <c r="E4009" t="s">
        <v>20</v>
      </c>
      <c r="F4009">
        <v>1126446430</v>
      </c>
      <c r="G4009" t="s">
        <v>3469</v>
      </c>
      <c r="H4009">
        <v>100246374</v>
      </c>
      <c r="I4009">
        <v>202631</v>
      </c>
      <c r="J4009">
        <v>1126446430</v>
      </c>
      <c r="K4009" t="s">
        <v>23</v>
      </c>
      <c r="L4009" t="s">
        <v>240</v>
      </c>
      <c r="M4009" t="s">
        <v>24</v>
      </c>
      <c r="N4009" t="s">
        <v>35</v>
      </c>
      <c r="O4009" t="s">
        <v>26</v>
      </c>
      <c r="P4009" t="s">
        <v>27</v>
      </c>
      <c r="Q4009" t="s">
        <v>28</v>
      </c>
      <c r="R4009" t="s">
        <v>29</v>
      </c>
      <c r="S4009" t="s">
        <v>30</v>
      </c>
      <c r="T4009">
        <v>53006215</v>
      </c>
      <c r="U4009" t="s">
        <v>3965</v>
      </c>
      <c r="V4009" t="s">
        <v>3934</v>
      </c>
      <c r="W4009" s="9">
        <f>IF(V4009="pregrado",31,
IF(V4009="posgrados",31,
IF(V4009="rEINTEGROS",7,
IF(V4009="BIT",90,
IF(V4009="OP GRADO - INGLÉS",17,"")))))</f>
        <v>31</v>
      </c>
      <c r="X4009" t="s">
        <v>4042</v>
      </c>
    </row>
    <row r="4010" spans="1:24" ht="15" x14ac:dyDescent="0.35">
      <c r="A4010" s="4">
        <v>46066.743900462963</v>
      </c>
      <c r="B4010">
        <v>20123340</v>
      </c>
      <c r="C4010" s="6" t="s">
        <v>19</v>
      </c>
      <c r="D4010">
        <v>609890</v>
      </c>
      <c r="E4010" t="s">
        <v>20</v>
      </c>
      <c r="F4010">
        <v>1004625620</v>
      </c>
      <c r="G4010" t="s">
        <v>3190</v>
      </c>
      <c r="H4010">
        <v>100186807</v>
      </c>
      <c r="I4010">
        <v>202611</v>
      </c>
      <c r="J4010">
        <v>1004625620</v>
      </c>
      <c r="K4010" t="s">
        <v>89</v>
      </c>
      <c r="L4010" t="s">
        <v>133</v>
      </c>
      <c r="M4010" t="s">
        <v>24</v>
      </c>
      <c r="N4010" t="s">
        <v>35</v>
      </c>
      <c r="O4010" t="s">
        <v>26</v>
      </c>
      <c r="P4010" t="s">
        <v>27</v>
      </c>
      <c r="Q4010" t="s">
        <v>28</v>
      </c>
      <c r="R4010" t="s">
        <v>29</v>
      </c>
      <c r="S4010" t="s">
        <v>30</v>
      </c>
      <c r="T4010">
        <v>52168054</v>
      </c>
      <c r="U4010" t="s">
        <v>3977</v>
      </c>
      <c r="V4010" t="s">
        <v>3970</v>
      </c>
      <c r="W4010" s="9">
        <f>IF(V4010="pregrado",31,
IF(V4010="posgrados",31,
IF(V4010="rEINTEGROS",7,
IF(V4010="BIT",90,
IF(V4010="OP GRADO - INGLÉS",17,"")))))</f>
        <v>7</v>
      </c>
      <c r="X4010" t="s">
        <v>4057</v>
      </c>
    </row>
    <row r="4011" spans="1:24" ht="15" x14ac:dyDescent="0.35">
      <c r="A4011" s="4">
        <v>46076.661921296298</v>
      </c>
      <c r="B4011">
        <v>20125740</v>
      </c>
      <c r="C4011" s="6" t="s">
        <v>19</v>
      </c>
      <c r="D4011">
        <v>609898</v>
      </c>
      <c r="E4011" t="s">
        <v>20</v>
      </c>
      <c r="F4011">
        <v>1010070599</v>
      </c>
      <c r="G4011" t="s">
        <v>3554</v>
      </c>
      <c r="H4011">
        <v>100225930</v>
      </c>
      <c r="I4011">
        <v>202631</v>
      </c>
      <c r="J4011">
        <v>1010070599</v>
      </c>
      <c r="K4011" t="s">
        <v>23</v>
      </c>
      <c r="L4011" t="s">
        <v>51</v>
      </c>
      <c r="M4011" t="s">
        <v>24</v>
      </c>
      <c r="N4011" t="s">
        <v>35</v>
      </c>
      <c r="O4011" t="s">
        <v>26</v>
      </c>
      <c r="P4011" t="s">
        <v>27</v>
      </c>
      <c r="Q4011" t="s">
        <v>28</v>
      </c>
      <c r="R4011" t="s">
        <v>29</v>
      </c>
      <c r="S4011" t="s">
        <v>30</v>
      </c>
      <c r="T4011">
        <v>1031147887</v>
      </c>
      <c r="U4011" t="s">
        <v>3948</v>
      </c>
      <c r="V4011" t="s">
        <v>3937</v>
      </c>
      <c r="W4011" s="9">
        <f>IF(V4011="pregrado",31,
IF(V4011="posgrados",31,
IF(V4011="rEINTEGROS",7,
IF(V4011="BIT",90,
IF(V4011="OP GRADO - INGLÉS",17,"")))))</f>
        <v>31</v>
      </c>
      <c r="X4011" t="s">
        <v>3947</v>
      </c>
    </row>
    <row r="4012" spans="1:24" ht="15" x14ac:dyDescent="0.35">
      <c r="A4012" s="4">
        <v>46079.747812499998</v>
      </c>
      <c r="B4012">
        <v>20126681</v>
      </c>
      <c r="C4012" s="6" t="s">
        <v>19</v>
      </c>
      <c r="D4012">
        <v>609903</v>
      </c>
      <c r="E4012" t="s">
        <v>20</v>
      </c>
      <c r="F4012">
        <v>1018470115</v>
      </c>
      <c r="G4012" t="s">
        <v>3696</v>
      </c>
      <c r="H4012">
        <v>100246390</v>
      </c>
      <c r="I4012">
        <v>202631</v>
      </c>
      <c r="J4012">
        <v>1018470115</v>
      </c>
      <c r="K4012" t="s">
        <v>33</v>
      </c>
      <c r="L4012" t="s">
        <v>240</v>
      </c>
      <c r="M4012" t="s">
        <v>24</v>
      </c>
      <c r="N4012" t="s">
        <v>35</v>
      </c>
      <c r="O4012" t="s">
        <v>26</v>
      </c>
      <c r="P4012" t="s">
        <v>27</v>
      </c>
      <c r="Q4012" t="s">
        <v>28</v>
      </c>
      <c r="R4012" t="s">
        <v>29</v>
      </c>
      <c r="S4012" t="s">
        <v>30</v>
      </c>
      <c r="T4012">
        <v>45555807</v>
      </c>
      <c r="U4012" t="s">
        <v>3965</v>
      </c>
      <c r="V4012" t="s">
        <v>3934</v>
      </c>
      <c r="W4012" s="9">
        <f>IF(V4012="pregrado",31,
IF(V4012="posgrados",31,
IF(V4012="rEINTEGROS",7,
IF(V4012="BIT",90,
IF(V4012="OP GRADO - INGLÉS",17,"")))))</f>
        <v>31</v>
      </c>
      <c r="X4012" t="s">
        <v>4027</v>
      </c>
    </row>
    <row r="4013" spans="1:24" ht="15" x14ac:dyDescent="0.35">
      <c r="A4013" s="4">
        <v>46067.581979166665</v>
      </c>
      <c r="B4013">
        <v>20123482</v>
      </c>
      <c r="C4013" s="6" t="s">
        <v>19</v>
      </c>
      <c r="D4013">
        <v>609927</v>
      </c>
      <c r="E4013" t="s">
        <v>20</v>
      </c>
      <c r="F4013">
        <v>1004281514</v>
      </c>
      <c r="G4013" t="s">
        <v>3216</v>
      </c>
      <c r="H4013">
        <v>100246415</v>
      </c>
      <c r="I4013">
        <v>202631</v>
      </c>
      <c r="J4013">
        <v>1004281514</v>
      </c>
      <c r="K4013" t="s">
        <v>23</v>
      </c>
      <c r="L4013" t="s">
        <v>51</v>
      </c>
      <c r="M4013" t="s">
        <v>24</v>
      </c>
      <c r="N4013" t="s">
        <v>35</v>
      </c>
      <c r="O4013" t="s">
        <v>26</v>
      </c>
      <c r="P4013" t="s">
        <v>27</v>
      </c>
      <c r="Q4013" t="s">
        <v>28</v>
      </c>
      <c r="R4013" t="s">
        <v>29</v>
      </c>
      <c r="S4013" t="s">
        <v>30</v>
      </c>
      <c r="T4013">
        <v>80021358</v>
      </c>
      <c r="U4013" t="s">
        <v>3986</v>
      </c>
      <c r="V4013" t="s">
        <v>3934</v>
      </c>
      <c r="W4013" s="9">
        <f>IF(V4013="pregrado",31,
IF(V4013="posgrados",31,
IF(V4013="rEINTEGROS",7,
IF(V4013="BIT",90,
IF(V4013="OP GRADO - INGLÉS",17,"")))))</f>
        <v>31</v>
      </c>
      <c r="X4013" t="s">
        <v>3995</v>
      </c>
    </row>
    <row r="4014" spans="1:24" ht="15" x14ac:dyDescent="0.35">
      <c r="A4014" s="4">
        <v>46067.508877314816</v>
      </c>
      <c r="B4014">
        <v>20123462</v>
      </c>
      <c r="C4014" s="6" t="s">
        <v>19</v>
      </c>
      <c r="D4014">
        <v>609928</v>
      </c>
      <c r="E4014" t="s">
        <v>20</v>
      </c>
      <c r="F4014">
        <v>1100081253</v>
      </c>
      <c r="G4014" t="s">
        <v>3213</v>
      </c>
      <c r="H4014">
        <v>100246417</v>
      </c>
      <c r="I4014">
        <v>202611</v>
      </c>
      <c r="J4014">
        <v>1100081253</v>
      </c>
      <c r="K4014" t="s">
        <v>23</v>
      </c>
      <c r="L4014" t="s">
        <v>221</v>
      </c>
      <c r="M4014" t="s">
        <v>24</v>
      </c>
      <c r="N4014" t="s">
        <v>35</v>
      </c>
      <c r="O4014" t="s">
        <v>26</v>
      </c>
      <c r="P4014" t="s">
        <v>27</v>
      </c>
      <c r="Q4014" t="s">
        <v>28</v>
      </c>
      <c r="R4014" t="s">
        <v>29</v>
      </c>
      <c r="S4014" t="s">
        <v>30</v>
      </c>
      <c r="T4014">
        <v>53071696</v>
      </c>
      <c r="U4014" t="s">
        <v>3965</v>
      </c>
      <c r="V4014" t="s">
        <v>3934</v>
      </c>
      <c r="W4014" s="9">
        <f>IF(V4014="pregrado",31,
IF(V4014="posgrados",31,
IF(V4014="rEINTEGROS",7,
IF(V4014="BIT",90,
IF(V4014="OP GRADO - INGLÉS",17,"")))))</f>
        <v>31</v>
      </c>
      <c r="X4014" t="s">
        <v>4012</v>
      </c>
    </row>
    <row r="4015" spans="1:24" ht="15" x14ac:dyDescent="0.35">
      <c r="A4015" s="4">
        <v>46067.535960648151</v>
      </c>
      <c r="B4015">
        <v>20123471</v>
      </c>
      <c r="C4015" s="6" t="s">
        <v>19</v>
      </c>
      <c r="D4015">
        <v>609940</v>
      </c>
      <c r="E4015" t="s">
        <v>20</v>
      </c>
      <c r="F4015">
        <v>1049658220</v>
      </c>
      <c r="G4015" t="s">
        <v>3215</v>
      </c>
      <c r="H4015">
        <v>100163420</v>
      </c>
      <c r="I4015">
        <v>202611</v>
      </c>
      <c r="J4015">
        <v>1049658220</v>
      </c>
      <c r="K4015" t="s">
        <v>89</v>
      </c>
      <c r="L4015" t="s">
        <v>133</v>
      </c>
      <c r="M4015" t="s">
        <v>24</v>
      </c>
      <c r="N4015" t="s">
        <v>38</v>
      </c>
      <c r="O4015" t="s">
        <v>26</v>
      </c>
      <c r="P4015" t="s">
        <v>27</v>
      </c>
      <c r="Q4015" t="s">
        <v>28</v>
      </c>
      <c r="R4015" t="s">
        <v>29</v>
      </c>
      <c r="S4015" t="s">
        <v>30</v>
      </c>
      <c r="T4015">
        <v>52168054</v>
      </c>
      <c r="U4015" t="s">
        <v>3977</v>
      </c>
      <c r="V4015" t="s">
        <v>3970</v>
      </c>
      <c r="W4015" s="9">
        <f>IF(V4015="pregrado",31,
IF(V4015="posgrados",31,
IF(V4015="rEINTEGROS",7,
IF(V4015="BIT",90,
IF(V4015="OP GRADO - INGLÉS",17,"")))))</f>
        <v>7</v>
      </c>
      <c r="X4015" t="s">
        <v>4057</v>
      </c>
    </row>
    <row r="4016" spans="1:24" ht="15" x14ac:dyDescent="0.35">
      <c r="A4016" s="4">
        <v>46070.63994212963</v>
      </c>
      <c r="B4016">
        <v>20124165</v>
      </c>
      <c r="C4016" s="6" t="s">
        <v>19</v>
      </c>
      <c r="D4016">
        <v>609943</v>
      </c>
      <c r="E4016" t="s">
        <v>20</v>
      </c>
      <c r="F4016">
        <v>1232890452</v>
      </c>
      <c r="G4016" t="s">
        <v>3306</v>
      </c>
      <c r="H4016">
        <v>100162053</v>
      </c>
      <c r="I4016">
        <v>202611</v>
      </c>
      <c r="J4016">
        <v>1232890452</v>
      </c>
      <c r="K4016" t="s">
        <v>89</v>
      </c>
      <c r="L4016" t="s">
        <v>133</v>
      </c>
      <c r="M4016" t="s">
        <v>24</v>
      </c>
      <c r="N4016" t="s">
        <v>25</v>
      </c>
      <c r="O4016" t="s">
        <v>26</v>
      </c>
      <c r="P4016" t="s">
        <v>27</v>
      </c>
      <c r="Q4016" t="s">
        <v>28</v>
      </c>
      <c r="R4016" t="s">
        <v>29</v>
      </c>
      <c r="S4016" t="s">
        <v>30</v>
      </c>
      <c r="T4016">
        <v>52168054</v>
      </c>
      <c r="U4016" t="s">
        <v>3977</v>
      </c>
      <c r="V4016" t="s">
        <v>3970</v>
      </c>
      <c r="W4016" s="9">
        <f>IF(V4016="pregrado",31,
IF(V4016="posgrados",31,
IF(V4016="rEINTEGROS",7,
IF(V4016="BIT",90,
IF(V4016="OP GRADO - INGLÉS",17,"")))))</f>
        <v>7</v>
      </c>
      <c r="X4016" t="s">
        <v>4057</v>
      </c>
    </row>
    <row r="4017" spans="1:24" ht="15" x14ac:dyDescent="0.35">
      <c r="A4017" s="4">
        <v>46070.481203703705</v>
      </c>
      <c r="B4017">
        <v>20124070</v>
      </c>
      <c r="C4017" s="6" t="s">
        <v>19</v>
      </c>
      <c r="D4017">
        <v>609945</v>
      </c>
      <c r="E4017" t="s">
        <v>20</v>
      </c>
      <c r="F4017">
        <v>1124036708</v>
      </c>
      <c r="G4017" t="s">
        <v>3289</v>
      </c>
      <c r="H4017">
        <v>100157523</v>
      </c>
      <c r="I4017">
        <v>202611</v>
      </c>
      <c r="J4017">
        <v>1124036708</v>
      </c>
      <c r="K4017" t="s">
        <v>89</v>
      </c>
      <c r="L4017" t="s">
        <v>133</v>
      </c>
      <c r="M4017" t="s">
        <v>24</v>
      </c>
      <c r="N4017" t="s">
        <v>35</v>
      </c>
      <c r="O4017" t="s">
        <v>26</v>
      </c>
      <c r="P4017" t="s">
        <v>27</v>
      </c>
      <c r="Q4017" t="s">
        <v>28</v>
      </c>
      <c r="R4017" t="s">
        <v>29</v>
      </c>
      <c r="S4017" t="s">
        <v>30</v>
      </c>
      <c r="T4017">
        <v>52168054</v>
      </c>
      <c r="U4017" t="s">
        <v>3977</v>
      </c>
      <c r="V4017" t="s">
        <v>3970</v>
      </c>
      <c r="W4017" s="9">
        <f>IF(V4017="pregrado",31,
IF(V4017="posgrados",31,
IF(V4017="rEINTEGROS",7,
IF(V4017="BIT",90,
IF(V4017="OP GRADO - INGLÉS",17,"")))))</f>
        <v>7</v>
      </c>
      <c r="X4017" t="s">
        <v>4057</v>
      </c>
    </row>
    <row r="4018" spans="1:24" ht="15" x14ac:dyDescent="0.35">
      <c r="A4018" s="4">
        <v>46074.417187500003</v>
      </c>
      <c r="B4018">
        <v>20125486</v>
      </c>
      <c r="C4018" s="6" t="s">
        <v>19</v>
      </c>
      <c r="D4018">
        <v>609947</v>
      </c>
      <c r="E4018" t="s">
        <v>20</v>
      </c>
      <c r="F4018">
        <v>6460479</v>
      </c>
      <c r="G4018" t="s">
        <v>3510</v>
      </c>
      <c r="H4018">
        <v>100091707</v>
      </c>
      <c r="I4018">
        <v>202631</v>
      </c>
      <c r="J4018">
        <v>1032478144</v>
      </c>
      <c r="K4018" t="s">
        <v>89</v>
      </c>
      <c r="L4018" t="s">
        <v>119</v>
      </c>
      <c r="M4018" t="s">
        <v>24</v>
      </c>
      <c r="N4018">
        <v>0</v>
      </c>
      <c r="O4018" t="s">
        <v>26</v>
      </c>
      <c r="P4018" t="s">
        <v>27</v>
      </c>
      <c r="Q4018" t="s">
        <v>28</v>
      </c>
      <c r="R4018" t="s">
        <v>29</v>
      </c>
      <c r="S4018" t="s">
        <v>30</v>
      </c>
      <c r="T4018">
        <v>52168054</v>
      </c>
      <c r="U4018" t="s">
        <v>3977</v>
      </c>
      <c r="V4018" t="s">
        <v>3970</v>
      </c>
      <c r="W4018" s="9">
        <f>IF(V4018="pregrado",31,
IF(V4018="posgrados",31,
IF(V4018="rEINTEGROS",7,
IF(V4018="BIT",90,
IF(V4018="OP GRADO - INGLÉS",17,"")))))</f>
        <v>7</v>
      </c>
      <c r="X4018" t="s">
        <v>4057</v>
      </c>
    </row>
    <row r="4019" spans="1:24" ht="15" x14ac:dyDescent="0.35">
      <c r="A4019" s="4">
        <v>46070.411608796298</v>
      </c>
      <c r="B4019">
        <v>20124010</v>
      </c>
      <c r="C4019" s="6" t="s">
        <v>19</v>
      </c>
      <c r="D4019">
        <v>609952</v>
      </c>
      <c r="E4019" t="s">
        <v>20</v>
      </c>
      <c r="F4019">
        <v>1006501407</v>
      </c>
      <c r="G4019" t="s">
        <v>3279</v>
      </c>
      <c r="H4019">
        <v>100246436</v>
      </c>
      <c r="I4019">
        <v>202610</v>
      </c>
      <c r="J4019">
        <v>1016949858</v>
      </c>
      <c r="K4019" t="s">
        <v>74</v>
      </c>
      <c r="L4019" t="s">
        <v>79</v>
      </c>
      <c r="M4019" t="s">
        <v>24</v>
      </c>
      <c r="N4019" t="s">
        <v>35</v>
      </c>
      <c r="O4019" t="s">
        <v>26</v>
      </c>
      <c r="P4019" t="s">
        <v>27</v>
      </c>
      <c r="Q4019" t="s">
        <v>28</v>
      </c>
      <c r="R4019" t="s">
        <v>29</v>
      </c>
      <c r="S4019" t="s">
        <v>30</v>
      </c>
      <c r="T4019">
        <v>1073692626</v>
      </c>
      <c r="U4019" t="s">
        <v>3965</v>
      </c>
      <c r="V4019" t="s">
        <v>3934</v>
      </c>
      <c r="W4019" s="9">
        <f>IF(V4019="pregrado",31,
IF(V4019="posgrados",31,
IF(V4019="rEINTEGROS",7,
IF(V4019="BIT",90,
IF(V4019="OP GRADO - INGLÉS",17,"")))))</f>
        <v>31</v>
      </c>
      <c r="X4019" t="s">
        <v>4014</v>
      </c>
    </row>
    <row r="4020" spans="1:24" ht="15" x14ac:dyDescent="0.35">
      <c r="A4020" s="4">
        <v>46071.694560185184</v>
      </c>
      <c r="B4020">
        <v>20124593</v>
      </c>
      <c r="C4020" s="6" t="s">
        <v>19</v>
      </c>
      <c r="D4020">
        <v>609962</v>
      </c>
      <c r="E4020" t="s">
        <v>20</v>
      </c>
      <c r="F4020">
        <v>1116797873</v>
      </c>
      <c r="G4020" t="s">
        <v>3373</v>
      </c>
      <c r="H4020">
        <v>100246422</v>
      </c>
      <c r="I4020">
        <v>202631</v>
      </c>
      <c r="J4020">
        <v>1007469751</v>
      </c>
      <c r="K4020" t="s">
        <v>33</v>
      </c>
      <c r="L4020" t="s">
        <v>370</v>
      </c>
      <c r="M4020" t="s">
        <v>24</v>
      </c>
      <c r="N4020" t="s">
        <v>35</v>
      </c>
      <c r="O4020" t="s">
        <v>26</v>
      </c>
      <c r="P4020" t="s">
        <v>27</v>
      </c>
      <c r="Q4020" t="s">
        <v>28</v>
      </c>
      <c r="R4020" t="s">
        <v>29</v>
      </c>
      <c r="S4020" t="s">
        <v>30</v>
      </c>
      <c r="T4020">
        <v>1023367706</v>
      </c>
      <c r="U4020" t="s">
        <v>3963</v>
      </c>
      <c r="V4020" t="s">
        <v>3934</v>
      </c>
      <c r="W4020" s="9">
        <f>IF(V4020="pregrado",31,
IF(V4020="posgrados",31,
IF(V4020="rEINTEGROS",7,
IF(V4020="BIT",90,
IF(V4020="OP GRADO - INGLÉS",17,"")))))</f>
        <v>31</v>
      </c>
      <c r="X4020" t="s">
        <v>4039</v>
      </c>
    </row>
    <row r="4021" spans="1:24" ht="15" x14ac:dyDescent="0.35">
      <c r="A4021" s="4">
        <v>46069.542581018519</v>
      </c>
      <c r="B4021">
        <v>20123685</v>
      </c>
      <c r="C4021" s="6" t="s">
        <v>19</v>
      </c>
      <c r="D4021">
        <v>609963</v>
      </c>
      <c r="E4021" t="s">
        <v>20</v>
      </c>
      <c r="F4021">
        <v>52708983</v>
      </c>
      <c r="G4021" t="s">
        <v>3238</v>
      </c>
      <c r="H4021">
        <v>100246441</v>
      </c>
      <c r="I4021">
        <v>202631</v>
      </c>
      <c r="J4021">
        <v>52708983</v>
      </c>
      <c r="K4021" t="s">
        <v>33</v>
      </c>
      <c r="L4021" t="s">
        <v>207</v>
      </c>
      <c r="M4021" t="s">
        <v>24</v>
      </c>
      <c r="N4021" t="s">
        <v>38</v>
      </c>
      <c r="O4021" t="s">
        <v>26</v>
      </c>
      <c r="P4021" t="s">
        <v>27</v>
      </c>
      <c r="Q4021" t="s">
        <v>28</v>
      </c>
      <c r="R4021" t="s">
        <v>29</v>
      </c>
      <c r="S4021" t="s">
        <v>30</v>
      </c>
      <c r="T4021">
        <v>1006459732</v>
      </c>
      <c r="U4021" t="s">
        <v>3986</v>
      </c>
      <c r="V4021" t="s">
        <v>3934</v>
      </c>
      <c r="W4021" s="9">
        <f>IF(V4021="pregrado",31,
IF(V4021="posgrados",31,
IF(V4021="rEINTEGROS",7,
IF(V4021="BIT",90,
IF(V4021="OP GRADO - INGLÉS",17,"")))))</f>
        <v>31</v>
      </c>
      <c r="X4021" t="s">
        <v>4099</v>
      </c>
    </row>
    <row r="4022" spans="1:24" ht="15" x14ac:dyDescent="0.35">
      <c r="A4022" s="4">
        <v>46079.811099537037</v>
      </c>
      <c r="B4022">
        <v>20126709</v>
      </c>
      <c r="C4022" s="6" t="s">
        <v>19</v>
      </c>
      <c r="D4022">
        <v>609966</v>
      </c>
      <c r="E4022" t="s">
        <v>20</v>
      </c>
      <c r="F4022">
        <v>5246830</v>
      </c>
      <c r="G4022" t="s">
        <v>3705</v>
      </c>
      <c r="H4022">
        <v>100131927</v>
      </c>
      <c r="I4022">
        <v>202611</v>
      </c>
      <c r="J4022">
        <v>1087645442</v>
      </c>
      <c r="K4022" t="s">
        <v>89</v>
      </c>
      <c r="L4022" t="s">
        <v>133</v>
      </c>
      <c r="M4022" t="s">
        <v>24</v>
      </c>
      <c r="N4022" t="s">
        <v>35</v>
      </c>
      <c r="O4022" t="s">
        <v>26</v>
      </c>
      <c r="P4022" t="s">
        <v>27</v>
      </c>
      <c r="Q4022" t="s">
        <v>28</v>
      </c>
      <c r="R4022" t="s">
        <v>29</v>
      </c>
      <c r="S4022" t="s">
        <v>30</v>
      </c>
      <c r="T4022">
        <v>1019102787</v>
      </c>
      <c r="U4022" t="s">
        <v>3977</v>
      </c>
      <c r="V4022" t="s">
        <v>3970</v>
      </c>
      <c r="W4022" s="9">
        <f>IF(V4022="pregrado",31,
IF(V4022="posgrados",31,
IF(V4022="rEINTEGROS",7,
IF(V4022="BIT",90,
IF(V4022="OP GRADO - INGLÉS",17,"")))))</f>
        <v>7</v>
      </c>
      <c r="X4022" t="s">
        <v>3976</v>
      </c>
    </row>
    <row r="4023" spans="1:24" ht="15" x14ac:dyDescent="0.35">
      <c r="A4023" s="4">
        <v>46072.572696759256</v>
      </c>
      <c r="B4023">
        <v>20124864</v>
      </c>
      <c r="C4023" s="6" t="s">
        <v>19</v>
      </c>
      <c r="D4023">
        <v>609969</v>
      </c>
      <c r="E4023" t="s">
        <v>20</v>
      </c>
      <c r="F4023">
        <v>1006775109</v>
      </c>
      <c r="G4023" t="s">
        <v>3418</v>
      </c>
      <c r="H4023">
        <v>100246446</v>
      </c>
      <c r="I4023">
        <v>202631</v>
      </c>
      <c r="J4023">
        <v>1006775109</v>
      </c>
      <c r="K4023" t="s">
        <v>33</v>
      </c>
      <c r="L4023" t="s">
        <v>370</v>
      </c>
      <c r="M4023" t="s">
        <v>24</v>
      </c>
      <c r="N4023" t="s">
        <v>35</v>
      </c>
      <c r="O4023" t="s">
        <v>26</v>
      </c>
      <c r="P4023" t="s">
        <v>27</v>
      </c>
      <c r="Q4023" t="s">
        <v>28</v>
      </c>
      <c r="R4023" t="s">
        <v>29</v>
      </c>
      <c r="S4023" t="s">
        <v>30</v>
      </c>
      <c r="T4023">
        <v>1023975276</v>
      </c>
      <c r="U4023" t="s">
        <v>3963</v>
      </c>
      <c r="V4023" t="s">
        <v>3934</v>
      </c>
      <c r="W4023" s="9">
        <f>IF(V4023="pregrado",31,
IF(V4023="posgrados",31,
IF(V4023="rEINTEGROS",7,
IF(V4023="BIT",90,
IF(V4023="OP GRADO - INGLÉS",17,"")))))</f>
        <v>31</v>
      </c>
      <c r="X4023" t="s">
        <v>3962</v>
      </c>
    </row>
    <row r="4024" spans="1:24" ht="15" x14ac:dyDescent="0.35">
      <c r="A4024" s="4">
        <v>46069.699525462966</v>
      </c>
      <c r="B4024">
        <v>20123818</v>
      </c>
      <c r="C4024" s="6" t="s">
        <v>19</v>
      </c>
      <c r="D4024">
        <v>609975</v>
      </c>
      <c r="E4024" t="s">
        <v>20</v>
      </c>
      <c r="F4024">
        <v>1052700840</v>
      </c>
      <c r="G4024" t="s">
        <v>3255</v>
      </c>
      <c r="H4024">
        <v>200153198</v>
      </c>
      <c r="I4024">
        <v>202631</v>
      </c>
      <c r="J4024">
        <v>1052700840</v>
      </c>
      <c r="K4024" t="s">
        <v>33</v>
      </c>
      <c r="L4024" t="s">
        <v>22</v>
      </c>
      <c r="M4024" t="s">
        <v>24</v>
      </c>
      <c r="N4024" t="s">
        <v>25</v>
      </c>
      <c r="O4024" t="s">
        <v>26</v>
      </c>
      <c r="P4024" t="s">
        <v>27</v>
      </c>
      <c r="Q4024" t="s">
        <v>28</v>
      </c>
      <c r="R4024" t="s">
        <v>29</v>
      </c>
      <c r="S4024" t="s">
        <v>30</v>
      </c>
      <c r="T4024">
        <v>1023929839</v>
      </c>
      <c r="U4024" t="s">
        <v>3933</v>
      </c>
      <c r="V4024" t="s">
        <v>3934</v>
      </c>
      <c r="W4024" s="9">
        <f>IF(V4024="pregrado",31,
IF(V4024="posgrados",31,
IF(V4024="rEINTEGROS",7,
IF(V4024="BIT",90,
IF(V4024="OP GRADO - INGLÉS",17,"")))))</f>
        <v>31</v>
      </c>
      <c r="X4024" t="s">
        <v>3932</v>
      </c>
    </row>
    <row r="4025" spans="1:24" ht="15" x14ac:dyDescent="0.35">
      <c r="A4025" s="4">
        <v>46070.539861111109</v>
      </c>
      <c r="B4025">
        <v>20124112</v>
      </c>
      <c r="C4025" s="6" t="s">
        <v>19</v>
      </c>
      <c r="D4025">
        <v>609977</v>
      </c>
      <c r="E4025" t="s">
        <v>20</v>
      </c>
      <c r="F4025">
        <v>1116803984</v>
      </c>
      <c r="G4025" t="s">
        <v>3299</v>
      </c>
      <c r="H4025">
        <v>100246452</v>
      </c>
      <c r="I4025">
        <v>202611</v>
      </c>
      <c r="J4025">
        <v>1116803984</v>
      </c>
      <c r="K4025" t="s">
        <v>23</v>
      </c>
      <c r="L4025" t="s">
        <v>221</v>
      </c>
      <c r="M4025" t="s">
        <v>24</v>
      </c>
      <c r="N4025" t="s">
        <v>35</v>
      </c>
      <c r="O4025" t="s">
        <v>26</v>
      </c>
      <c r="P4025" t="s">
        <v>27</v>
      </c>
      <c r="Q4025" t="s">
        <v>28</v>
      </c>
      <c r="R4025" t="s">
        <v>29</v>
      </c>
      <c r="S4025" t="s">
        <v>30</v>
      </c>
      <c r="T4025">
        <v>52342867</v>
      </c>
      <c r="U4025" t="s">
        <v>3965</v>
      </c>
      <c r="V4025" t="s">
        <v>3934</v>
      </c>
      <c r="W4025" s="9">
        <f>IF(V4025="pregrado",31,
IF(V4025="posgrados",31,
IF(V4025="rEINTEGROS",7,
IF(V4025="BIT",90,
IF(V4025="OP GRADO - INGLÉS",17,"")))))</f>
        <v>31</v>
      </c>
      <c r="X4025" t="s">
        <v>4047</v>
      </c>
    </row>
    <row r="4026" spans="1:24" ht="15" x14ac:dyDescent="0.35">
      <c r="A4026" s="4">
        <v>46072.358865740738</v>
      </c>
      <c r="B4026">
        <v>20124703</v>
      </c>
      <c r="C4026" s="6" t="s">
        <v>19</v>
      </c>
      <c r="D4026">
        <v>609980</v>
      </c>
      <c r="E4026" t="s">
        <v>20</v>
      </c>
      <c r="F4026">
        <v>34371709</v>
      </c>
      <c r="G4026" t="s">
        <v>3382</v>
      </c>
      <c r="H4026">
        <v>100246152</v>
      </c>
      <c r="I4026">
        <v>202610</v>
      </c>
      <c r="J4026">
        <v>1031124301</v>
      </c>
      <c r="K4026" t="s">
        <v>23</v>
      </c>
      <c r="L4026" t="s">
        <v>153</v>
      </c>
      <c r="M4026" t="s">
        <v>24</v>
      </c>
      <c r="N4026" t="s">
        <v>35</v>
      </c>
      <c r="O4026" t="s">
        <v>26</v>
      </c>
      <c r="P4026" t="s">
        <v>27</v>
      </c>
      <c r="Q4026" t="s">
        <v>28</v>
      </c>
      <c r="R4026" t="s">
        <v>29</v>
      </c>
      <c r="S4026" t="s">
        <v>30</v>
      </c>
      <c r="T4026">
        <v>1013662799</v>
      </c>
      <c r="U4026" t="s">
        <v>3965</v>
      </c>
      <c r="V4026" t="s">
        <v>3934</v>
      </c>
      <c r="W4026" s="9">
        <f>IF(V4026="pregrado",31,
IF(V4026="posgrados",31,
IF(V4026="rEINTEGROS",7,
IF(V4026="BIT",90,
IF(V4026="OP GRADO - INGLÉS",17,"")))))</f>
        <v>31</v>
      </c>
      <c r="X4026" t="s">
        <v>4021</v>
      </c>
    </row>
    <row r="4027" spans="1:24" ht="15" x14ac:dyDescent="0.35">
      <c r="A4027" s="4">
        <v>46069.769606481481</v>
      </c>
      <c r="B4027">
        <v>20123899</v>
      </c>
      <c r="C4027" s="6" t="s">
        <v>19</v>
      </c>
      <c r="D4027">
        <v>609984</v>
      </c>
      <c r="E4027" t="s">
        <v>20</v>
      </c>
      <c r="F4027">
        <v>1131105564</v>
      </c>
      <c r="G4027" t="s">
        <v>3267</v>
      </c>
      <c r="H4027">
        <v>100246458</v>
      </c>
      <c r="I4027">
        <v>202631</v>
      </c>
      <c r="J4027">
        <v>1131105564</v>
      </c>
      <c r="K4027" t="s">
        <v>23</v>
      </c>
      <c r="L4027" t="s">
        <v>207</v>
      </c>
      <c r="M4027" t="s">
        <v>24</v>
      </c>
      <c r="N4027" t="s">
        <v>35</v>
      </c>
      <c r="O4027" t="s">
        <v>26</v>
      </c>
      <c r="P4027" t="s">
        <v>27</v>
      </c>
      <c r="Q4027" t="s">
        <v>28</v>
      </c>
      <c r="R4027" t="s">
        <v>29</v>
      </c>
      <c r="S4027" t="s">
        <v>30</v>
      </c>
      <c r="T4027">
        <v>80021358</v>
      </c>
      <c r="U4027" t="s">
        <v>3986</v>
      </c>
      <c r="V4027" t="s">
        <v>3934</v>
      </c>
      <c r="W4027" s="9">
        <f>IF(V4027="pregrado",31,
IF(V4027="posgrados",31,
IF(V4027="rEINTEGROS",7,
IF(V4027="BIT",90,
IF(V4027="OP GRADO - INGLÉS",17,"")))))</f>
        <v>31</v>
      </c>
      <c r="X4027" t="s">
        <v>3995</v>
      </c>
    </row>
    <row r="4028" spans="1:24" ht="15" x14ac:dyDescent="0.35">
      <c r="A4028" s="4">
        <v>46070.575254629628</v>
      </c>
      <c r="B4028">
        <v>20124127</v>
      </c>
      <c r="C4028" s="6" t="s">
        <v>19</v>
      </c>
      <c r="D4028">
        <v>609988</v>
      </c>
      <c r="E4028" t="s">
        <v>20</v>
      </c>
      <c r="F4028">
        <v>1025533840</v>
      </c>
      <c r="G4028" t="s">
        <v>3303</v>
      </c>
      <c r="H4028">
        <v>100246462</v>
      </c>
      <c r="I4028">
        <v>202611</v>
      </c>
      <c r="J4028">
        <v>1025533840</v>
      </c>
      <c r="K4028" t="s">
        <v>33</v>
      </c>
      <c r="L4028" t="s">
        <v>204</v>
      </c>
      <c r="M4028" t="s">
        <v>24</v>
      </c>
      <c r="N4028" t="s">
        <v>25</v>
      </c>
      <c r="O4028" t="s">
        <v>26</v>
      </c>
      <c r="P4028" t="s">
        <v>27</v>
      </c>
      <c r="Q4028" t="s">
        <v>28</v>
      </c>
      <c r="R4028" t="s">
        <v>29</v>
      </c>
      <c r="S4028" t="s">
        <v>30</v>
      </c>
      <c r="T4028">
        <v>1023929839</v>
      </c>
      <c r="U4028" t="s">
        <v>3933</v>
      </c>
      <c r="V4028" t="s">
        <v>3934</v>
      </c>
      <c r="W4028" s="9">
        <f>IF(V4028="pregrado",31,
IF(V4028="posgrados",31,
IF(V4028="rEINTEGROS",7,
IF(V4028="BIT",90,
IF(V4028="OP GRADO - INGLÉS",17,"")))))</f>
        <v>31</v>
      </c>
      <c r="X4028" t="s">
        <v>3932</v>
      </c>
    </row>
    <row r="4029" spans="1:24" ht="15" x14ac:dyDescent="0.35">
      <c r="A4029" s="4">
        <v>46071.601469907408</v>
      </c>
      <c r="B4029">
        <v>20124505</v>
      </c>
      <c r="C4029" s="6" t="s">
        <v>19</v>
      </c>
      <c r="D4029">
        <v>609991</v>
      </c>
      <c r="E4029" t="s">
        <v>20</v>
      </c>
      <c r="F4029">
        <v>1014737314</v>
      </c>
      <c r="G4029" t="s">
        <v>3356</v>
      </c>
      <c r="H4029">
        <v>100246474</v>
      </c>
      <c r="I4029">
        <v>202631</v>
      </c>
      <c r="J4029">
        <v>1014737314</v>
      </c>
      <c r="K4029" t="s">
        <v>23</v>
      </c>
      <c r="L4029" t="s">
        <v>32</v>
      </c>
      <c r="M4029" t="s">
        <v>24</v>
      </c>
      <c r="N4029" t="s">
        <v>35</v>
      </c>
      <c r="O4029" t="s">
        <v>26</v>
      </c>
      <c r="P4029" t="s">
        <v>27</v>
      </c>
      <c r="Q4029" t="s">
        <v>28</v>
      </c>
      <c r="R4029" t="s">
        <v>29</v>
      </c>
      <c r="S4029" t="s">
        <v>30</v>
      </c>
      <c r="T4029">
        <v>1000286877</v>
      </c>
      <c r="U4029" t="s">
        <v>3986</v>
      </c>
      <c r="V4029" t="s">
        <v>3934</v>
      </c>
      <c r="W4029" s="9">
        <f>IF(V4029="pregrado",31,
IF(V4029="posgrados",31,
IF(V4029="rEINTEGROS",7,
IF(V4029="BIT",90,
IF(V4029="OP GRADO - INGLÉS",17,"")))))</f>
        <v>31</v>
      </c>
      <c r="X4029" t="s">
        <v>4100</v>
      </c>
    </row>
    <row r="4030" spans="1:24" ht="15" x14ac:dyDescent="0.35">
      <c r="A4030" s="4">
        <v>46069.636967592596</v>
      </c>
      <c r="B4030">
        <v>20123747</v>
      </c>
      <c r="C4030" s="6" t="s">
        <v>19</v>
      </c>
      <c r="D4030">
        <v>609995</v>
      </c>
      <c r="E4030" t="s">
        <v>20</v>
      </c>
      <c r="F4030">
        <v>52079052</v>
      </c>
      <c r="G4030" t="s">
        <v>3246</v>
      </c>
      <c r="H4030">
        <v>100246478</v>
      </c>
      <c r="I4030">
        <v>202610</v>
      </c>
      <c r="J4030">
        <v>1013125571</v>
      </c>
      <c r="K4030" t="s">
        <v>23</v>
      </c>
      <c r="L4030" t="s">
        <v>40</v>
      </c>
      <c r="M4030" t="s">
        <v>24</v>
      </c>
      <c r="N4030" t="s">
        <v>35</v>
      </c>
      <c r="O4030" t="s">
        <v>26</v>
      </c>
      <c r="P4030" t="s">
        <v>27</v>
      </c>
      <c r="Q4030" t="s">
        <v>28</v>
      </c>
      <c r="R4030" t="s">
        <v>29</v>
      </c>
      <c r="S4030" t="s">
        <v>30</v>
      </c>
      <c r="T4030">
        <v>52182207</v>
      </c>
      <c r="U4030" t="s">
        <v>3941</v>
      </c>
      <c r="V4030" t="s">
        <v>3934</v>
      </c>
      <c r="W4030" s="9">
        <f>IF(V4030="pregrado",31,
IF(V4030="posgrados",31,
IF(V4030="rEINTEGROS",7,
IF(V4030="BIT",90,
IF(V4030="OP GRADO - INGLÉS",17,"")))))</f>
        <v>31</v>
      </c>
      <c r="X4030" t="s">
        <v>3946</v>
      </c>
    </row>
    <row r="4031" spans="1:24" ht="15" x14ac:dyDescent="0.35">
      <c r="A4031" s="4">
        <v>46071.408842592595</v>
      </c>
      <c r="B4031">
        <v>20124365</v>
      </c>
      <c r="C4031" s="6" t="s">
        <v>19</v>
      </c>
      <c r="D4031">
        <v>610012</v>
      </c>
      <c r="E4031" t="s">
        <v>20</v>
      </c>
      <c r="F4031">
        <v>1026589210</v>
      </c>
      <c r="G4031" t="s">
        <v>3340</v>
      </c>
      <c r="H4031">
        <v>100246501</v>
      </c>
      <c r="I4031">
        <v>202610</v>
      </c>
      <c r="J4031">
        <v>1026589210</v>
      </c>
      <c r="K4031" t="s">
        <v>33</v>
      </c>
      <c r="L4031" t="s">
        <v>194</v>
      </c>
      <c r="M4031" t="s">
        <v>24</v>
      </c>
      <c r="N4031" t="s">
        <v>38</v>
      </c>
      <c r="O4031" t="s">
        <v>26</v>
      </c>
      <c r="P4031" t="s">
        <v>27</v>
      </c>
      <c r="Q4031" t="s">
        <v>28</v>
      </c>
      <c r="R4031" t="s">
        <v>29</v>
      </c>
      <c r="S4031" t="s">
        <v>30</v>
      </c>
      <c r="T4031">
        <v>1010081108</v>
      </c>
      <c r="U4031" t="s">
        <v>3941</v>
      </c>
      <c r="V4031" t="s">
        <v>3934</v>
      </c>
      <c r="W4031" s="9">
        <f>IF(V4031="pregrado",31,
IF(V4031="posgrados",31,
IF(V4031="rEINTEGROS",7,
IF(V4031="BIT",90,
IF(V4031="OP GRADO - INGLÉS",17,"")))))</f>
        <v>31</v>
      </c>
      <c r="X4031" t="s">
        <v>4009</v>
      </c>
    </row>
    <row r="4032" spans="1:24" ht="15" x14ac:dyDescent="0.35">
      <c r="A4032" s="4">
        <v>46069.728935185187</v>
      </c>
      <c r="B4032">
        <v>20123856</v>
      </c>
      <c r="C4032" s="6" t="s">
        <v>19</v>
      </c>
      <c r="D4032">
        <v>610037</v>
      </c>
      <c r="E4032" t="s">
        <v>20</v>
      </c>
      <c r="F4032">
        <v>1003368397</v>
      </c>
      <c r="G4032" t="s">
        <v>3260</v>
      </c>
      <c r="H4032">
        <v>100246528</v>
      </c>
      <c r="I4032">
        <v>202631</v>
      </c>
      <c r="J4032">
        <v>1003368397</v>
      </c>
      <c r="K4032" t="s">
        <v>23</v>
      </c>
      <c r="L4032" t="s">
        <v>90</v>
      </c>
      <c r="M4032" t="s">
        <v>24</v>
      </c>
      <c r="N4032" t="s">
        <v>35</v>
      </c>
      <c r="O4032" t="s">
        <v>26</v>
      </c>
      <c r="P4032" t="s">
        <v>27</v>
      </c>
      <c r="Q4032" t="s">
        <v>28</v>
      </c>
      <c r="R4032" t="s">
        <v>29</v>
      </c>
      <c r="S4032" t="s">
        <v>30</v>
      </c>
      <c r="T4032">
        <v>10306009131</v>
      </c>
      <c r="U4032" t="s">
        <v>3933</v>
      </c>
      <c r="V4032" t="s">
        <v>3934</v>
      </c>
      <c r="W4032" s="9">
        <f>IF(V4032="pregrado",31,
IF(V4032="posgrados",31,
IF(V4032="rEINTEGROS",7,
IF(V4032="BIT",90,
IF(V4032="OP GRADO - INGLÉS",17,"")))))</f>
        <v>31</v>
      </c>
      <c r="X4032" t="s">
        <v>3978</v>
      </c>
    </row>
    <row r="4033" spans="1:24" ht="15" x14ac:dyDescent="0.35">
      <c r="A4033" s="4">
        <v>46073.449965277781</v>
      </c>
      <c r="B4033">
        <v>20125174</v>
      </c>
      <c r="C4033" s="6" t="s">
        <v>19</v>
      </c>
      <c r="D4033">
        <v>610042</v>
      </c>
      <c r="E4033" t="s">
        <v>20</v>
      </c>
      <c r="F4033">
        <v>3722356</v>
      </c>
      <c r="G4033" t="s">
        <v>3463</v>
      </c>
      <c r="H4033">
        <v>100224329</v>
      </c>
      <c r="I4033">
        <v>202631</v>
      </c>
      <c r="J4033">
        <v>1043842472</v>
      </c>
      <c r="K4033" t="s">
        <v>33</v>
      </c>
      <c r="L4033" t="s">
        <v>119</v>
      </c>
      <c r="M4033" t="s">
        <v>24</v>
      </c>
      <c r="N4033" t="s">
        <v>35</v>
      </c>
      <c r="O4033" t="s">
        <v>26</v>
      </c>
      <c r="P4033" t="s">
        <v>27</v>
      </c>
      <c r="Q4033" t="s">
        <v>28</v>
      </c>
      <c r="R4033" t="s">
        <v>29</v>
      </c>
      <c r="S4033" t="s">
        <v>30</v>
      </c>
      <c r="T4033">
        <v>1000777598</v>
      </c>
      <c r="U4033" t="s">
        <v>3963</v>
      </c>
      <c r="V4033" t="s">
        <v>3934</v>
      </c>
      <c r="W4033" s="9">
        <f>IF(V4033="pregrado",31,
IF(V4033="posgrados",31,
IF(V4033="rEINTEGROS",7,
IF(V4033="BIT",90,
IF(V4033="OP GRADO - INGLÉS",17,"")))))</f>
        <v>31</v>
      </c>
      <c r="X4033" t="s">
        <v>4103</v>
      </c>
    </row>
    <row r="4034" spans="1:24" ht="15" x14ac:dyDescent="0.35">
      <c r="A4034" s="4">
        <v>46071.444918981484</v>
      </c>
      <c r="B4034">
        <v>20124398</v>
      </c>
      <c r="C4034" s="6" t="s">
        <v>19</v>
      </c>
      <c r="D4034">
        <v>610044</v>
      </c>
      <c r="E4034" t="s">
        <v>20</v>
      </c>
      <c r="F4034">
        <v>1036133837</v>
      </c>
      <c r="G4034" t="s">
        <v>3343</v>
      </c>
      <c r="H4034">
        <v>100246538</v>
      </c>
      <c r="I4034">
        <v>202631</v>
      </c>
      <c r="J4034">
        <v>1036133837</v>
      </c>
      <c r="K4034" t="s">
        <v>33</v>
      </c>
      <c r="L4034" t="s">
        <v>42</v>
      </c>
      <c r="M4034" t="s">
        <v>24</v>
      </c>
      <c r="N4034" t="s">
        <v>25</v>
      </c>
      <c r="O4034" t="s">
        <v>26</v>
      </c>
      <c r="P4034" t="s">
        <v>27</v>
      </c>
      <c r="Q4034" t="s">
        <v>28</v>
      </c>
      <c r="R4034" t="s">
        <v>29</v>
      </c>
      <c r="S4034" t="s">
        <v>30</v>
      </c>
      <c r="T4034">
        <v>11001273124</v>
      </c>
      <c r="U4034" t="s">
        <v>3944</v>
      </c>
      <c r="V4034" t="s">
        <v>3934</v>
      </c>
      <c r="W4034" s="9">
        <f>IF(V4034="pregrado",31,
IF(V4034="posgrados",31,
IF(V4034="rEINTEGROS",7,
IF(V4034="BIT",90,
IF(V4034="OP GRADO - INGLÉS",17,"")))))</f>
        <v>31</v>
      </c>
      <c r="X4034" t="s">
        <v>3951</v>
      </c>
    </row>
    <row r="4035" spans="1:24" ht="15" x14ac:dyDescent="0.35">
      <c r="A4035" s="4">
        <v>46070.403900462959</v>
      </c>
      <c r="B4035">
        <v>20124004</v>
      </c>
      <c r="C4035" s="6" t="s">
        <v>19</v>
      </c>
      <c r="D4035">
        <v>610053</v>
      </c>
      <c r="E4035" t="s">
        <v>20</v>
      </c>
      <c r="F4035">
        <v>65782621</v>
      </c>
      <c r="G4035" t="s">
        <v>3278</v>
      </c>
      <c r="H4035">
        <v>100159624</v>
      </c>
      <c r="I4035">
        <v>202611</v>
      </c>
      <c r="J4035">
        <v>65782621</v>
      </c>
      <c r="K4035" t="s">
        <v>89</v>
      </c>
      <c r="L4035" t="s">
        <v>133</v>
      </c>
      <c r="M4035" t="s">
        <v>24</v>
      </c>
      <c r="N4035" t="s">
        <v>35</v>
      </c>
      <c r="O4035" t="s">
        <v>26</v>
      </c>
      <c r="P4035" t="s">
        <v>27</v>
      </c>
      <c r="Q4035" t="s">
        <v>28</v>
      </c>
      <c r="R4035" t="s">
        <v>29</v>
      </c>
      <c r="S4035" t="s">
        <v>30</v>
      </c>
      <c r="T4035">
        <v>52168054</v>
      </c>
      <c r="U4035" t="s">
        <v>3977</v>
      </c>
      <c r="V4035" t="s">
        <v>3970</v>
      </c>
      <c r="W4035" s="9">
        <f>IF(V4035="pregrado",31,
IF(V4035="posgrados",31,
IF(V4035="rEINTEGROS",7,
IF(V4035="BIT",90,
IF(V4035="OP GRADO - INGLÉS",17,"")))))</f>
        <v>7</v>
      </c>
      <c r="X4035" t="s">
        <v>4057</v>
      </c>
    </row>
    <row r="4036" spans="1:24" ht="15" x14ac:dyDescent="0.35">
      <c r="A4036" s="4">
        <v>46074.395578703705</v>
      </c>
      <c r="B4036">
        <v>20125476</v>
      </c>
      <c r="C4036" s="6" t="s">
        <v>19</v>
      </c>
      <c r="D4036">
        <v>610056</v>
      </c>
      <c r="E4036" t="s">
        <v>20</v>
      </c>
      <c r="F4036">
        <v>1065621582</v>
      </c>
      <c r="G4036" t="s">
        <v>3506</v>
      </c>
      <c r="H4036">
        <v>100231810</v>
      </c>
      <c r="I4036">
        <v>202631</v>
      </c>
      <c r="J4036">
        <v>1192759168</v>
      </c>
      <c r="K4036" t="s">
        <v>33</v>
      </c>
      <c r="L4036" t="s">
        <v>101</v>
      </c>
      <c r="M4036" t="s">
        <v>24</v>
      </c>
      <c r="N4036" t="s">
        <v>35</v>
      </c>
      <c r="O4036" t="s">
        <v>26</v>
      </c>
      <c r="P4036" t="s">
        <v>27</v>
      </c>
      <c r="Q4036" t="s">
        <v>28</v>
      </c>
      <c r="R4036" t="s">
        <v>29</v>
      </c>
      <c r="S4036" t="s">
        <v>30</v>
      </c>
      <c r="T4036">
        <v>1023975276</v>
      </c>
      <c r="U4036" t="s">
        <v>3963</v>
      </c>
      <c r="V4036" t="s">
        <v>3934</v>
      </c>
      <c r="W4036" s="9">
        <f>IF(V4036="pregrado",31,
IF(V4036="posgrados",31,
IF(V4036="rEINTEGROS",7,
IF(V4036="BIT",90,
IF(V4036="OP GRADO - INGLÉS",17,"")))))</f>
        <v>31</v>
      </c>
      <c r="X4036" t="s">
        <v>3962</v>
      </c>
    </row>
    <row r="4037" spans="1:24" ht="15" x14ac:dyDescent="0.35">
      <c r="A4037" s="4">
        <v>46071.73101851852</v>
      </c>
      <c r="B4037">
        <v>20124623</v>
      </c>
      <c r="C4037" s="6" t="s">
        <v>19</v>
      </c>
      <c r="D4037">
        <v>610059</v>
      </c>
      <c r="E4037" t="s">
        <v>20</v>
      </c>
      <c r="F4037">
        <v>1019763790</v>
      </c>
      <c r="G4037" t="s">
        <v>3378</v>
      </c>
      <c r="H4037">
        <v>100238097</v>
      </c>
      <c r="I4037">
        <v>202611</v>
      </c>
      <c r="J4037">
        <v>1019763790</v>
      </c>
      <c r="K4037" t="s">
        <v>33</v>
      </c>
      <c r="L4037" t="s">
        <v>204</v>
      </c>
      <c r="M4037" t="s">
        <v>24</v>
      </c>
      <c r="N4037" t="s">
        <v>38</v>
      </c>
      <c r="O4037" t="s">
        <v>26</v>
      </c>
      <c r="P4037" t="s">
        <v>27</v>
      </c>
      <c r="Q4037" t="s">
        <v>28</v>
      </c>
      <c r="R4037" t="s">
        <v>29</v>
      </c>
      <c r="S4037" t="s">
        <v>30</v>
      </c>
      <c r="T4037">
        <v>1007709034</v>
      </c>
      <c r="U4037" t="s">
        <v>3965</v>
      </c>
      <c r="V4037" t="s">
        <v>3934</v>
      </c>
      <c r="W4037" s="9">
        <f>IF(V4037="pregrado",31,
IF(V4037="posgrados",31,
IF(V4037="rEINTEGROS",7,
IF(V4037="BIT",90,
IF(V4037="OP GRADO - INGLÉS",17,"")))))</f>
        <v>31</v>
      </c>
      <c r="X4037" t="s">
        <v>3964</v>
      </c>
    </row>
    <row r="4038" spans="1:24" ht="15" x14ac:dyDescent="0.35">
      <c r="A4038" s="4">
        <v>46072.510150462964</v>
      </c>
      <c r="B4038">
        <v>20124837</v>
      </c>
      <c r="C4038" s="6" t="s">
        <v>19</v>
      </c>
      <c r="D4038">
        <v>610062</v>
      </c>
      <c r="E4038" t="s">
        <v>20</v>
      </c>
      <c r="F4038">
        <v>32853061</v>
      </c>
      <c r="G4038" t="s">
        <v>3410</v>
      </c>
      <c r="H4038">
        <v>100246550</v>
      </c>
      <c r="I4038">
        <v>202631</v>
      </c>
      <c r="J4038">
        <v>1043594315</v>
      </c>
      <c r="K4038" t="s">
        <v>23</v>
      </c>
      <c r="L4038" t="s">
        <v>370</v>
      </c>
      <c r="M4038" t="s">
        <v>24</v>
      </c>
      <c r="N4038" t="s">
        <v>35</v>
      </c>
      <c r="O4038" t="s">
        <v>26</v>
      </c>
      <c r="P4038" t="s">
        <v>27</v>
      </c>
      <c r="Q4038" t="s">
        <v>28</v>
      </c>
      <c r="R4038" t="s">
        <v>29</v>
      </c>
      <c r="S4038" t="s">
        <v>30</v>
      </c>
      <c r="T4038">
        <v>1023367706</v>
      </c>
      <c r="U4038" t="s">
        <v>3963</v>
      </c>
      <c r="V4038" t="s">
        <v>3934</v>
      </c>
      <c r="W4038" s="9">
        <f>IF(V4038="pregrado",31,
IF(V4038="posgrados",31,
IF(V4038="rEINTEGROS",7,
IF(V4038="BIT",90,
IF(V4038="OP GRADO - INGLÉS",17,"")))))</f>
        <v>31</v>
      </c>
      <c r="X4038" t="s">
        <v>4039</v>
      </c>
    </row>
    <row r="4039" spans="1:24" ht="15" x14ac:dyDescent="0.35">
      <c r="A4039" s="4">
        <v>46069.755486111113</v>
      </c>
      <c r="B4039">
        <v>20123885</v>
      </c>
      <c r="C4039" s="6" t="s">
        <v>19</v>
      </c>
      <c r="D4039">
        <v>610067</v>
      </c>
      <c r="E4039" t="s">
        <v>20</v>
      </c>
      <c r="F4039">
        <v>1052378139</v>
      </c>
      <c r="G4039" t="s">
        <v>3263</v>
      </c>
      <c r="H4039">
        <v>100131354</v>
      </c>
      <c r="I4039">
        <v>202611</v>
      </c>
      <c r="J4039">
        <v>1052378139</v>
      </c>
      <c r="K4039" t="s">
        <v>89</v>
      </c>
      <c r="L4039" t="s">
        <v>133</v>
      </c>
      <c r="M4039" t="s">
        <v>24</v>
      </c>
      <c r="N4039" t="s">
        <v>25</v>
      </c>
      <c r="O4039" t="s">
        <v>26</v>
      </c>
      <c r="P4039" t="s">
        <v>27</v>
      </c>
      <c r="Q4039" t="s">
        <v>28</v>
      </c>
      <c r="R4039" t="s">
        <v>29</v>
      </c>
      <c r="S4039" t="s">
        <v>30</v>
      </c>
      <c r="T4039">
        <v>52168054</v>
      </c>
      <c r="U4039" t="s">
        <v>3977</v>
      </c>
      <c r="V4039" t="s">
        <v>3970</v>
      </c>
      <c r="W4039" s="9">
        <f>IF(V4039="pregrado",31,
IF(V4039="posgrados",31,
IF(V4039="rEINTEGROS",7,
IF(V4039="BIT",90,
IF(V4039="OP GRADO - INGLÉS",17,"")))))</f>
        <v>7</v>
      </c>
      <c r="X4039" t="s">
        <v>4057</v>
      </c>
    </row>
    <row r="4040" spans="1:24" ht="15" x14ac:dyDescent="0.35">
      <c r="A4040" s="4">
        <v>46070.679664351854</v>
      </c>
      <c r="B4040">
        <v>20124205</v>
      </c>
      <c r="C4040" s="6" t="s">
        <v>19</v>
      </c>
      <c r="D4040">
        <v>610081</v>
      </c>
      <c r="E4040" t="s">
        <v>20</v>
      </c>
      <c r="F4040">
        <v>1038796476</v>
      </c>
      <c r="G4040" t="s">
        <v>3314</v>
      </c>
      <c r="H4040">
        <v>100246558</v>
      </c>
      <c r="I4040">
        <v>202631</v>
      </c>
      <c r="J4040">
        <v>1038796476</v>
      </c>
      <c r="K4040" t="s">
        <v>23</v>
      </c>
      <c r="L4040" t="s">
        <v>101</v>
      </c>
      <c r="M4040" t="s">
        <v>24</v>
      </c>
      <c r="N4040" t="s">
        <v>25</v>
      </c>
      <c r="O4040" t="s">
        <v>26</v>
      </c>
      <c r="P4040" t="s">
        <v>27</v>
      </c>
      <c r="Q4040" t="s">
        <v>28</v>
      </c>
      <c r="R4040" t="s">
        <v>29</v>
      </c>
      <c r="S4040" t="s">
        <v>30</v>
      </c>
      <c r="T4040">
        <v>53040709</v>
      </c>
      <c r="U4040" t="s">
        <v>3963</v>
      </c>
      <c r="V4040" t="s">
        <v>3934</v>
      </c>
      <c r="W4040" s="9">
        <f>IF(V4040="pregrado",31,
IF(V4040="posgrados",31,
IF(V4040="rEINTEGROS",7,
IF(V4040="BIT",90,
IF(V4040="OP GRADO - INGLÉS",17,"")))))</f>
        <v>31</v>
      </c>
      <c r="X4040" t="s">
        <v>3994</v>
      </c>
    </row>
    <row r="4041" spans="1:24" ht="15" x14ac:dyDescent="0.35">
      <c r="A4041" s="4">
        <v>46070.666967592595</v>
      </c>
      <c r="B4041">
        <v>20124196</v>
      </c>
      <c r="C4041" s="6" t="s">
        <v>19</v>
      </c>
      <c r="D4041">
        <v>610085</v>
      </c>
      <c r="E4041" t="s">
        <v>20</v>
      </c>
      <c r="F4041">
        <v>53043940</v>
      </c>
      <c r="G4041" t="s">
        <v>3313</v>
      </c>
      <c r="H4041">
        <v>200130207</v>
      </c>
      <c r="I4041">
        <v>202631</v>
      </c>
      <c r="J4041">
        <v>1000033644</v>
      </c>
      <c r="K4041" t="s">
        <v>23</v>
      </c>
      <c r="L4041" t="s">
        <v>119</v>
      </c>
      <c r="M4041" t="s">
        <v>24</v>
      </c>
      <c r="N4041" t="s">
        <v>35</v>
      </c>
      <c r="O4041" t="s">
        <v>26</v>
      </c>
      <c r="P4041" t="s">
        <v>27</v>
      </c>
      <c r="Q4041" t="s">
        <v>28</v>
      </c>
      <c r="R4041" t="s">
        <v>29</v>
      </c>
      <c r="S4041" t="s">
        <v>30</v>
      </c>
      <c r="T4041">
        <v>1023974716</v>
      </c>
      <c r="U4041" t="s">
        <v>3963</v>
      </c>
      <c r="V4041" t="s">
        <v>3934</v>
      </c>
      <c r="W4041" s="9">
        <f>IF(V4041="pregrado",31,
IF(V4041="posgrados",31,
IF(V4041="rEINTEGROS",7,
IF(V4041="BIT",90,
IF(V4041="OP GRADO - INGLÉS",17,"")))))</f>
        <v>31</v>
      </c>
      <c r="X4041" t="s">
        <v>4016</v>
      </c>
    </row>
    <row r="4042" spans="1:24" ht="15" x14ac:dyDescent="0.35">
      <c r="A4042" s="4">
        <v>46069.693402777775</v>
      </c>
      <c r="B4042">
        <v>20123811</v>
      </c>
      <c r="C4042" s="6" t="s">
        <v>19</v>
      </c>
      <c r="D4042">
        <v>610098</v>
      </c>
      <c r="E4042" t="s">
        <v>20</v>
      </c>
      <c r="F4042">
        <v>1143402906</v>
      </c>
      <c r="G4042" t="s">
        <v>3254</v>
      </c>
      <c r="H4042">
        <v>100246573</v>
      </c>
      <c r="I4042">
        <v>202631</v>
      </c>
      <c r="J4042">
        <v>1143402906</v>
      </c>
      <c r="K4042" t="s">
        <v>23</v>
      </c>
      <c r="L4042" t="s">
        <v>127</v>
      </c>
      <c r="M4042" t="s">
        <v>24</v>
      </c>
      <c r="N4042" t="s">
        <v>35</v>
      </c>
      <c r="O4042" t="s">
        <v>26</v>
      </c>
      <c r="P4042" t="s">
        <v>27</v>
      </c>
      <c r="Q4042" t="s">
        <v>28</v>
      </c>
      <c r="R4042" t="s">
        <v>29</v>
      </c>
      <c r="S4042" t="s">
        <v>30</v>
      </c>
      <c r="T4042">
        <v>1023970223</v>
      </c>
      <c r="U4042" t="s">
        <v>3933</v>
      </c>
      <c r="V4042" t="s">
        <v>3934</v>
      </c>
      <c r="W4042" s="9">
        <f>IF(V4042="pregrado",31,
IF(V4042="posgrados",31,
IF(V4042="rEINTEGROS",7,
IF(V4042="BIT",90,
IF(V4042="OP GRADO - INGLÉS",17,"")))))</f>
        <v>31</v>
      </c>
      <c r="X4042" t="s">
        <v>4070</v>
      </c>
    </row>
    <row r="4043" spans="1:24" ht="15" x14ac:dyDescent="0.35">
      <c r="A4043" s="4">
        <v>46069.669537037036</v>
      </c>
      <c r="B4043">
        <v>20123790</v>
      </c>
      <c r="C4043" s="6" t="s">
        <v>19</v>
      </c>
      <c r="D4043">
        <v>610105</v>
      </c>
      <c r="E4043" t="s">
        <v>20</v>
      </c>
      <c r="F4043">
        <v>1006455128</v>
      </c>
      <c r="G4043" t="s">
        <v>3252</v>
      </c>
      <c r="H4043">
        <v>100098174</v>
      </c>
      <c r="I4043">
        <v>202631</v>
      </c>
      <c r="J4043">
        <v>1006455128</v>
      </c>
      <c r="K4043" t="s">
        <v>89</v>
      </c>
      <c r="L4043" t="s">
        <v>2268</v>
      </c>
      <c r="M4043" t="s">
        <v>24</v>
      </c>
      <c r="N4043" t="s">
        <v>25</v>
      </c>
      <c r="O4043" t="s">
        <v>26</v>
      </c>
      <c r="P4043" t="s">
        <v>27</v>
      </c>
      <c r="Q4043" t="s">
        <v>28</v>
      </c>
      <c r="R4043" t="s">
        <v>29</v>
      </c>
      <c r="S4043" t="s">
        <v>30</v>
      </c>
      <c r="T4043">
        <v>1019102787</v>
      </c>
      <c r="U4043" t="s">
        <v>3977</v>
      </c>
      <c r="V4043" t="s">
        <v>3970</v>
      </c>
      <c r="W4043" s="9">
        <f>IF(V4043="pregrado",31,
IF(V4043="posgrados",31,
IF(V4043="rEINTEGROS",7,
IF(V4043="BIT",90,
IF(V4043="OP GRADO - INGLÉS",17,"")))))</f>
        <v>7</v>
      </c>
      <c r="X4043" t="s">
        <v>3976</v>
      </c>
    </row>
    <row r="4044" spans="1:24" ht="15" x14ac:dyDescent="0.35">
      <c r="A4044" s="4">
        <v>46070.432488425926</v>
      </c>
      <c r="B4044">
        <v>20124028</v>
      </c>
      <c r="C4044" s="6" t="s">
        <v>19</v>
      </c>
      <c r="D4044">
        <v>610125</v>
      </c>
      <c r="E4044" t="s">
        <v>20</v>
      </c>
      <c r="F4044">
        <v>59677502</v>
      </c>
      <c r="G4044" t="s">
        <v>3283</v>
      </c>
      <c r="H4044">
        <v>100246593</v>
      </c>
      <c r="I4044">
        <v>202631</v>
      </c>
      <c r="J4044">
        <v>1140165142</v>
      </c>
      <c r="K4044" t="s">
        <v>23</v>
      </c>
      <c r="L4044" t="s">
        <v>240</v>
      </c>
      <c r="M4044" t="s">
        <v>24</v>
      </c>
      <c r="N4044" t="s">
        <v>35</v>
      </c>
      <c r="O4044" t="s">
        <v>26</v>
      </c>
      <c r="P4044" t="s">
        <v>27</v>
      </c>
      <c r="Q4044" t="s">
        <v>28</v>
      </c>
      <c r="R4044" t="s">
        <v>29</v>
      </c>
      <c r="S4044" t="s">
        <v>30</v>
      </c>
      <c r="T4044">
        <v>1018496066</v>
      </c>
      <c r="U4044" t="s">
        <v>3939</v>
      </c>
      <c r="V4044" t="s">
        <v>3934</v>
      </c>
      <c r="W4044" s="9">
        <f>IF(V4044="pregrado",31,
IF(V4044="posgrados",31,
IF(V4044="rEINTEGROS",7,
IF(V4044="BIT",90,
IF(V4044="OP GRADO - INGLÉS",17,"")))))</f>
        <v>31</v>
      </c>
      <c r="X4044" t="s">
        <v>4006</v>
      </c>
    </row>
    <row r="4045" spans="1:24" ht="15" x14ac:dyDescent="0.35">
      <c r="A4045" s="4">
        <v>46069.72</v>
      </c>
      <c r="B4045">
        <v>20123842</v>
      </c>
      <c r="C4045" s="6" t="s">
        <v>19</v>
      </c>
      <c r="D4045">
        <v>610126</v>
      </c>
      <c r="E4045" t="s">
        <v>20</v>
      </c>
      <c r="F4045">
        <v>1006842817</v>
      </c>
      <c r="G4045" t="s">
        <v>3259</v>
      </c>
      <c r="H4045">
        <v>100246594</v>
      </c>
      <c r="I4045">
        <v>202631</v>
      </c>
      <c r="J4045">
        <v>1006842817</v>
      </c>
      <c r="K4045" t="s">
        <v>23</v>
      </c>
      <c r="L4045" t="s">
        <v>219</v>
      </c>
      <c r="M4045" t="s">
        <v>24</v>
      </c>
      <c r="N4045" t="s">
        <v>35</v>
      </c>
      <c r="O4045" t="s">
        <v>26</v>
      </c>
      <c r="P4045" t="s">
        <v>27</v>
      </c>
      <c r="Q4045" t="s">
        <v>28</v>
      </c>
      <c r="R4045" t="s">
        <v>29</v>
      </c>
      <c r="S4045" t="s">
        <v>30</v>
      </c>
      <c r="T4045">
        <v>1001066645</v>
      </c>
      <c r="U4045" t="s">
        <v>3963</v>
      </c>
      <c r="V4045" t="s">
        <v>3934</v>
      </c>
      <c r="W4045" s="9">
        <f>IF(V4045="pregrado",31,
IF(V4045="posgrados",31,
IF(V4045="rEINTEGROS",7,
IF(V4045="BIT",90,
IF(V4045="OP GRADO - INGLÉS",17,"")))))</f>
        <v>31</v>
      </c>
      <c r="X4045" t="s">
        <v>4086</v>
      </c>
    </row>
    <row r="4046" spans="1:24" ht="15" x14ac:dyDescent="0.35">
      <c r="A4046" s="4">
        <v>46071.360601851855</v>
      </c>
      <c r="B4046">
        <v>20124335</v>
      </c>
      <c r="C4046" s="6" t="s">
        <v>19</v>
      </c>
      <c r="D4046">
        <v>610140</v>
      </c>
      <c r="E4046" t="s">
        <v>20</v>
      </c>
      <c r="F4046">
        <v>1007499918</v>
      </c>
      <c r="G4046" t="s">
        <v>3333</v>
      </c>
      <c r="H4046">
        <v>100246597</v>
      </c>
      <c r="I4046">
        <v>202631</v>
      </c>
      <c r="J4046">
        <v>1007499918</v>
      </c>
      <c r="K4046" t="s">
        <v>23</v>
      </c>
      <c r="L4046" t="s">
        <v>101</v>
      </c>
      <c r="M4046" t="s">
        <v>24</v>
      </c>
      <c r="N4046" t="s">
        <v>35</v>
      </c>
      <c r="O4046" t="s">
        <v>26</v>
      </c>
      <c r="P4046" t="s">
        <v>27</v>
      </c>
      <c r="Q4046" t="s">
        <v>28</v>
      </c>
      <c r="R4046" t="s">
        <v>29</v>
      </c>
      <c r="S4046" t="s">
        <v>30</v>
      </c>
      <c r="T4046">
        <v>1023367706</v>
      </c>
      <c r="U4046" t="s">
        <v>3963</v>
      </c>
      <c r="V4046" t="s">
        <v>3934</v>
      </c>
      <c r="W4046" s="9">
        <f>IF(V4046="pregrado",31,
IF(V4046="posgrados",31,
IF(V4046="rEINTEGROS",7,
IF(V4046="BIT",90,
IF(V4046="OP GRADO - INGLÉS",17,"")))))</f>
        <v>31</v>
      </c>
      <c r="X4046" t="s">
        <v>4039</v>
      </c>
    </row>
    <row r="4047" spans="1:24" ht="15" x14ac:dyDescent="0.35">
      <c r="A4047" s="4">
        <v>46070.66443287037</v>
      </c>
      <c r="B4047">
        <v>20124193</v>
      </c>
      <c r="C4047" s="6" t="s">
        <v>19</v>
      </c>
      <c r="D4047">
        <v>610156</v>
      </c>
      <c r="E4047" t="s">
        <v>20</v>
      </c>
      <c r="F4047">
        <v>1058726249</v>
      </c>
      <c r="G4047" t="s">
        <v>3312</v>
      </c>
      <c r="H4047">
        <v>100246607</v>
      </c>
      <c r="I4047">
        <v>202631</v>
      </c>
      <c r="J4047">
        <v>1058726249</v>
      </c>
      <c r="K4047" t="s">
        <v>74</v>
      </c>
      <c r="L4047" t="s">
        <v>370</v>
      </c>
      <c r="M4047" t="s">
        <v>24</v>
      </c>
      <c r="N4047" t="s">
        <v>35</v>
      </c>
      <c r="O4047" t="s">
        <v>26</v>
      </c>
      <c r="P4047" t="s">
        <v>27</v>
      </c>
      <c r="Q4047" t="s">
        <v>28</v>
      </c>
      <c r="R4047" t="s">
        <v>29</v>
      </c>
      <c r="S4047" t="s">
        <v>30</v>
      </c>
      <c r="T4047">
        <v>1014273794</v>
      </c>
      <c r="U4047" t="s">
        <v>3939</v>
      </c>
      <c r="V4047" t="s">
        <v>3934</v>
      </c>
      <c r="W4047" s="9">
        <f>IF(V4047="pregrado",31,
IF(V4047="posgrados",31,
IF(V4047="rEINTEGROS",7,
IF(V4047="BIT",90,
IF(V4047="OP GRADO - INGLÉS",17,"")))))</f>
        <v>31</v>
      </c>
      <c r="X4047" t="s">
        <v>4004</v>
      </c>
    </row>
    <row r="4048" spans="1:24" ht="15" x14ac:dyDescent="0.35">
      <c r="A4048" s="4">
        <v>46070.442453703705</v>
      </c>
      <c r="B4048">
        <v>20124043</v>
      </c>
      <c r="C4048" s="6" t="s">
        <v>19</v>
      </c>
      <c r="D4048">
        <v>610159</v>
      </c>
      <c r="E4048" t="s">
        <v>20</v>
      </c>
      <c r="F4048">
        <v>1085328600</v>
      </c>
      <c r="G4048" t="s">
        <v>3284</v>
      </c>
      <c r="H4048">
        <v>100246633</v>
      </c>
      <c r="I4048">
        <v>202631</v>
      </c>
      <c r="J4048">
        <v>1085328600</v>
      </c>
      <c r="K4048" t="s">
        <v>23</v>
      </c>
      <c r="L4048" t="s">
        <v>240</v>
      </c>
      <c r="M4048" t="s">
        <v>24</v>
      </c>
      <c r="N4048" t="s">
        <v>35</v>
      </c>
      <c r="O4048" t="s">
        <v>26</v>
      </c>
      <c r="P4048" t="s">
        <v>27</v>
      </c>
      <c r="Q4048" t="s">
        <v>28</v>
      </c>
      <c r="R4048" t="s">
        <v>29</v>
      </c>
      <c r="S4048" t="s">
        <v>30</v>
      </c>
      <c r="T4048">
        <v>1073692626</v>
      </c>
      <c r="U4048" t="s">
        <v>3965</v>
      </c>
      <c r="V4048" t="s">
        <v>3934</v>
      </c>
      <c r="W4048" s="9">
        <f>IF(V4048="pregrado",31,
IF(V4048="posgrados",31,
IF(V4048="rEINTEGROS",7,
IF(V4048="BIT",90,
IF(V4048="OP GRADO - INGLÉS",17,"")))))</f>
        <v>31</v>
      </c>
      <c r="X4048" t="s">
        <v>4014</v>
      </c>
    </row>
    <row r="4049" spans="1:24" ht="15" x14ac:dyDescent="0.35">
      <c r="A4049" s="4">
        <v>46070.650648148148</v>
      </c>
      <c r="B4049">
        <v>20124182</v>
      </c>
      <c r="C4049" s="6" t="s">
        <v>19</v>
      </c>
      <c r="D4049">
        <v>610161</v>
      </c>
      <c r="E4049" t="s">
        <v>20</v>
      </c>
      <c r="F4049">
        <v>1012345636</v>
      </c>
      <c r="G4049" t="s">
        <v>3310</v>
      </c>
      <c r="H4049">
        <v>200174372</v>
      </c>
      <c r="I4049">
        <v>202631</v>
      </c>
      <c r="J4049">
        <v>1012345636</v>
      </c>
      <c r="K4049" t="s">
        <v>74</v>
      </c>
      <c r="L4049" t="s">
        <v>22</v>
      </c>
      <c r="M4049" t="s">
        <v>24</v>
      </c>
      <c r="N4049" t="s">
        <v>35</v>
      </c>
      <c r="O4049" t="s">
        <v>26</v>
      </c>
      <c r="P4049" t="s">
        <v>27</v>
      </c>
      <c r="Q4049" t="s">
        <v>28</v>
      </c>
      <c r="R4049" t="s">
        <v>29</v>
      </c>
      <c r="S4049" t="s">
        <v>30</v>
      </c>
      <c r="T4049">
        <v>52342867</v>
      </c>
      <c r="U4049" t="s">
        <v>3965</v>
      </c>
      <c r="V4049" t="s">
        <v>3934</v>
      </c>
      <c r="W4049" s="9">
        <f>IF(V4049="pregrado",31,
IF(V4049="posgrados",31,
IF(V4049="rEINTEGROS",7,
IF(V4049="BIT",90,
IF(V4049="OP GRADO - INGLÉS",17,"")))))</f>
        <v>31</v>
      </c>
      <c r="X4049" t="s">
        <v>4047</v>
      </c>
    </row>
    <row r="4050" spans="1:24" ht="15" x14ac:dyDescent="0.35">
      <c r="A4050" s="4">
        <v>46079.73201388889</v>
      </c>
      <c r="B4050">
        <v>20126673</v>
      </c>
      <c r="C4050" s="6" t="s">
        <v>19</v>
      </c>
      <c r="D4050">
        <v>610167</v>
      </c>
      <c r="E4050" t="s">
        <v>20</v>
      </c>
      <c r="F4050">
        <v>39492644</v>
      </c>
      <c r="G4050" t="s">
        <v>3694</v>
      </c>
      <c r="H4050">
        <v>100174629</v>
      </c>
      <c r="I4050">
        <v>202631</v>
      </c>
      <c r="J4050">
        <v>39492644</v>
      </c>
      <c r="K4050" t="s">
        <v>33</v>
      </c>
      <c r="L4050" t="s">
        <v>101</v>
      </c>
      <c r="M4050" t="s">
        <v>24</v>
      </c>
      <c r="N4050" t="s">
        <v>35</v>
      </c>
      <c r="O4050" t="s">
        <v>26</v>
      </c>
      <c r="P4050" t="s">
        <v>27</v>
      </c>
      <c r="Q4050" t="s">
        <v>28</v>
      </c>
      <c r="R4050" t="s">
        <v>29</v>
      </c>
      <c r="S4050" t="s">
        <v>30</v>
      </c>
      <c r="T4050">
        <v>53040709</v>
      </c>
      <c r="U4050" t="s">
        <v>3963</v>
      </c>
      <c r="V4050" t="s">
        <v>3934</v>
      </c>
      <c r="W4050" s="9">
        <f>IF(V4050="pregrado",31,
IF(V4050="posgrados",31,
IF(V4050="rEINTEGROS",7,
IF(V4050="BIT",90,
IF(V4050="OP GRADO - INGLÉS",17,"")))))</f>
        <v>31</v>
      </c>
      <c r="X4050" t="s">
        <v>3994</v>
      </c>
    </row>
    <row r="4051" spans="1:24" ht="15" x14ac:dyDescent="0.35">
      <c r="A4051" s="4">
        <v>46070.642164351855</v>
      </c>
      <c r="B4051">
        <v>20124170</v>
      </c>
      <c r="C4051" s="6" t="s">
        <v>19</v>
      </c>
      <c r="D4051">
        <v>610169</v>
      </c>
      <c r="E4051" t="s">
        <v>20</v>
      </c>
      <c r="F4051">
        <v>52715365</v>
      </c>
      <c r="G4051" t="s">
        <v>3308</v>
      </c>
      <c r="H4051">
        <v>100246641</v>
      </c>
      <c r="I4051">
        <v>202631</v>
      </c>
      <c r="J4051">
        <v>52715365</v>
      </c>
      <c r="K4051" t="s">
        <v>23</v>
      </c>
      <c r="L4051" t="s">
        <v>51</v>
      </c>
      <c r="M4051" t="s">
        <v>24</v>
      </c>
      <c r="N4051" t="s">
        <v>35</v>
      </c>
      <c r="O4051" t="s">
        <v>26</v>
      </c>
      <c r="P4051" t="s">
        <v>27</v>
      </c>
      <c r="Q4051" t="s">
        <v>28</v>
      </c>
      <c r="R4051" t="s">
        <v>29</v>
      </c>
      <c r="S4051" t="s">
        <v>30</v>
      </c>
      <c r="T4051">
        <v>1001315142</v>
      </c>
      <c r="U4051" t="s">
        <v>3986</v>
      </c>
      <c r="V4051" t="s">
        <v>3934</v>
      </c>
      <c r="W4051" s="9">
        <f>IF(V4051="pregrado",31,
IF(V4051="posgrados",31,
IF(V4051="rEINTEGROS",7,
IF(V4051="BIT",90,
IF(V4051="OP GRADO - INGLÉS",17,"")))))</f>
        <v>31</v>
      </c>
      <c r="X4051" t="s">
        <v>4064</v>
      </c>
    </row>
    <row r="4052" spans="1:24" ht="15" x14ac:dyDescent="0.35">
      <c r="A4052" s="4">
        <v>46070.521365740744</v>
      </c>
      <c r="B4052">
        <v>20124101</v>
      </c>
      <c r="C4052" s="6" t="s">
        <v>19</v>
      </c>
      <c r="D4052">
        <v>610186</v>
      </c>
      <c r="E4052" t="s">
        <v>20</v>
      </c>
      <c r="F4052">
        <v>1073524845</v>
      </c>
      <c r="G4052" t="s">
        <v>3295</v>
      </c>
      <c r="H4052">
        <v>100246663</v>
      </c>
      <c r="I4052">
        <v>202631</v>
      </c>
      <c r="J4052">
        <v>1073248789</v>
      </c>
      <c r="K4052" t="s">
        <v>33</v>
      </c>
      <c r="L4052" t="s">
        <v>90</v>
      </c>
      <c r="M4052" t="s">
        <v>24</v>
      </c>
      <c r="N4052" t="s">
        <v>25</v>
      </c>
      <c r="O4052" t="s">
        <v>26</v>
      </c>
      <c r="P4052" t="s">
        <v>27</v>
      </c>
      <c r="Q4052" t="s">
        <v>28</v>
      </c>
      <c r="R4052" t="s">
        <v>29</v>
      </c>
      <c r="S4052" t="s">
        <v>30</v>
      </c>
      <c r="T4052">
        <v>1023970223</v>
      </c>
      <c r="U4052" t="s">
        <v>3933</v>
      </c>
      <c r="V4052" t="s">
        <v>3934</v>
      </c>
      <c r="W4052" s="9">
        <f>IF(V4052="pregrado",31,
IF(V4052="posgrados",31,
IF(V4052="rEINTEGROS",7,
IF(V4052="BIT",90,
IF(V4052="OP GRADO - INGLÉS",17,"")))))</f>
        <v>31</v>
      </c>
      <c r="X4052" t="s">
        <v>4070</v>
      </c>
    </row>
    <row r="4053" spans="1:24" ht="15" x14ac:dyDescent="0.35">
      <c r="A4053" s="4">
        <v>46070.645520833335</v>
      </c>
      <c r="B4053">
        <v>20124176</v>
      </c>
      <c r="C4053" s="6" t="s">
        <v>19</v>
      </c>
      <c r="D4053">
        <v>610197</v>
      </c>
      <c r="E4053" t="s">
        <v>20</v>
      </c>
      <c r="F4053">
        <v>1121904068</v>
      </c>
      <c r="G4053" t="s">
        <v>3309</v>
      </c>
      <c r="H4053">
        <v>100246678</v>
      </c>
      <c r="I4053">
        <v>202631</v>
      </c>
      <c r="J4053">
        <v>1121904068</v>
      </c>
      <c r="K4053" t="s">
        <v>23</v>
      </c>
      <c r="L4053" t="s">
        <v>207</v>
      </c>
      <c r="M4053" t="s">
        <v>24</v>
      </c>
      <c r="N4053" t="s">
        <v>35</v>
      </c>
      <c r="O4053" t="s">
        <v>26</v>
      </c>
      <c r="P4053" t="s">
        <v>27</v>
      </c>
      <c r="Q4053" t="s">
        <v>28</v>
      </c>
      <c r="R4053" t="s">
        <v>29</v>
      </c>
      <c r="S4053" t="s">
        <v>30</v>
      </c>
      <c r="T4053">
        <v>1018455773</v>
      </c>
      <c r="U4053" t="s">
        <v>3986</v>
      </c>
      <c r="V4053" t="s">
        <v>3934</v>
      </c>
      <c r="W4053" s="9">
        <f>IF(V4053="pregrado",31,
IF(V4053="posgrados",31,
IF(V4053="rEINTEGROS",7,
IF(V4053="BIT",90,
IF(V4053="OP GRADO - INGLÉS",17,"")))))</f>
        <v>31</v>
      </c>
      <c r="X4053" t="s">
        <v>4101</v>
      </c>
    </row>
    <row r="4054" spans="1:24" ht="15" x14ac:dyDescent="0.35">
      <c r="A4054" s="4">
        <v>46070.53702546296</v>
      </c>
      <c r="B4054">
        <v>20124111</v>
      </c>
      <c r="C4054" s="6" t="s">
        <v>19</v>
      </c>
      <c r="D4054">
        <v>610203</v>
      </c>
      <c r="E4054" t="s">
        <v>20</v>
      </c>
      <c r="F4054">
        <v>1000809847</v>
      </c>
      <c r="G4054" t="s">
        <v>3298</v>
      </c>
      <c r="H4054">
        <v>100246682</v>
      </c>
      <c r="I4054">
        <v>202611</v>
      </c>
      <c r="J4054">
        <v>1000809847</v>
      </c>
      <c r="K4054" t="s">
        <v>23</v>
      </c>
      <c r="L4054" t="s">
        <v>221</v>
      </c>
      <c r="M4054" t="s">
        <v>24</v>
      </c>
      <c r="N4054" t="s">
        <v>25</v>
      </c>
      <c r="O4054" t="s">
        <v>26</v>
      </c>
      <c r="P4054" t="s">
        <v>27</v>
      </c>
      <c r="Q4054" t="s">
        <v>28</v>
      </c>
      <c r="R4054" t="s">
        <v>29</v>
      </c>
      <c r="S4054" t="s">
        <v>30</v>
      </c>
      <c r="T4054">
        <v>1025460711</v>
      </c>
      <c r="U4054" t="s">
        <v>3933</v>
      </c>
      <c r="V4054" t="s">
        <v>3934</v>
      </c>
      <c r="W4054" s="9">
        <f>IF(V4054="pregrado",31,
IF(V4054="posgrados",31,
IF(V4054="rEINTEGROS",7,
IF(V4054="BIT",90,
IF(V4054="OP GRADO - INGLÉS",17,"")))))</f>
        <v>31</v>
      </c>
      <c r="X4054" t="s">
        <v>4062</v>
      </c>
    </row>
    <row r="4055" spans="1:24" ht="15" x14ac:dyDescent="0.35">
      <c r="A4055" s="4">
        <v>46071.474849537037</v>
      </c>
      <c r="B4055">
        <v>20124422</v>
      </c>
      <c r="C4055" s="6" t="s">
        <v>19</v>
      </c>
      <c r="D4055">
        <v>610222</v>
      </c>
      <c r="E4055" t="s">
        <v>20</v>
      </c>
      <c r="F4055">
        <v>1000785027</v>
      </c>
      <c r="G4055" t="s">
        <v>3348</v>
      </c>
      <c r="H4055">
        <v>100246699</v>
      </c>
      <c r="I4055">
        <v>202610</v>
      </c>
      <c r="J4055">
        <v>1033732331</v>
      </c>
      <c r="K4055" t="s">
        <v>23</v>
      </c>
      <c r="L4055" t="s">
        <v>194</v>
      </c>
      <c r="M4055" t="s">
        <v>24</v>
      </c>
      <c r="N4055" t="s">
        <v>35</v>
      </c>
      <c r="O4055" t="s">
        <v>26</v>
      </c>
      <c r="P4055" t="s">
        <v>27</v>
      </c>
      <c r="Q4055" t="s">
        <v>28</v>
      </c>
      <c r="R4055" t="s">
        <v>29</v>
      </c>
      <c r="S4055" t="s">
        <v>30</v>
      </c>
      <c r="T4055">
        <v>1000251314</v>
      </c>
      <c r="U4055" t="s">
        <v>3963</v>
      </c>
      <c r="V4055" t="s">
        <v>3934</v>
      </c>
      <c r="W4055" s="9">
        <f>IF(V4055="pregrado",31,
IF(V4055="posgrados",31,
IF(V4055="rEINTEGROS",7,
IF(V4055="BIT",90,
IF(V4055="OP GRADO - INGLÉS",17,"")))))</f>
        <v>31</v>
      </c>
      <c r="X4055" t="s">
        <v>4024</v>
      </c>
    </row>
    <row r="4056" spans="1:24" ht="15" x14ac:dyDescent="0.35">
      <c r="A4056" s="4">
        <v>46071.446469907409</v>
      </c>
      <c r="B4056">
        <v>20124399</v>
      </c>
      <c r="C4056" s="6" t="s">
        <v>19</v>
      </c>
      <c r="D4056">
        <v>610230</v>
      </c>
      <c r="E4056" t="s">
        <v>20</v>
      </c>
      <c r="F4056">
        <v>1057016015</v>
      </c>
      <c r="G4056" t="s">
        <v>3344</v>
      </c>
      <c r="H4056">
        <v>100246705</v>
      </c>
      <c r="I4056">
        <v>202631</v>
      </c>
      <c r="J4056">
        <v>1050609595</v>
      </c>
      <c r="K4056" t="s">
        <v>23</v>
      </c>
      <c r="L4056" t="s">
        <v>90</v>
      </c>
      <c r="M4056" t="s">
        <v>24</v>
      </c>
      <c r="N4056" t="s">
        <v>35</v>
      </c>
      <c r="O4056" t="s">
        <v>26</v>
      </c>
      <c r="P4056" t="s">
        <v>27</v>
      </c>
      <c r="Q4056" t="s">
        <v>28</v>
      </c>
      <c r="R4056" t="s">
        <v>29</v>
      </c>
      <c r="S4056" t="s">
        <v>30</v>
      </c>
      <c r="T4056">
        <v>1015441103</v>
      </c>
      <c r="U4056" t="s">
        <v>3933</v>
      </c>
      <c r="V4056" t="s">
        <v>3934</v>
      </c>
      <c r="W4056" s="9">
        <f>IF(V4056="pregrado",31,
IF(V4056="posgrados",31,
IF(V4056="rEINTEGROS",7,
IF(V4056="BIT",90,
IF(V4056="OP GRADO - INGLÉS",17,"")))))</f>
        <v>31</v>
      </c>
      <c r="X4056" t="s">
        <v>3961</v>
      </c>
    </row>
    <row r="4057" spans="1:24" ht="15" x14ac:dyDescent="0.35">
      <c r="A4057" s="4">
        <v>46071.613495370373</v>
      </c>
      <c r="B4057">
        <v>20124510</v>
      </c>
      <c r="C4057" s="6" t="s">
        <v>19</v>
      </c>
      <c r="D4057">
        <v>610238</v>
      </c>
      <c r="E4057" t="s">
        <v>20</v>
      </c>
      <c r="F4057">
        <v>79257159</v>
      </c>
      <c r="G4057" t="s">
        <v>3357</v>
      </c>
      <c r="H4057">
        <v>100246712</v>
      </c>
      <c r="I4057">
        <v>202610</v>
      </c>
      <c r="J4057">
        <v>1027527114</v>
      </c>
      <c r="K4057" t="s">
        <v>23</v>
      </c>
      <c r="L4057" t="s">
        <v>40</v>
      </c>
      <c r="M4057" t="s">
        <v>24</v>
      </c>
      <c r="N4057" t="s">
        <v>25</v>
      </c>
      <c r="O4057" t="s">
        <v>26</v>
      </c>
      <c r="P4057" t="s">
        <v>27</v>
      </c>
      <c r="Q4057" t="s">
        <v>28</v>
      </c>
      <c r="R4057" t="s">
        <v>29</v>
      </c>
      <c r="S4057" t="s">
        <v>30</v>
      </c>
      <c r="T4057">
        <v>1024572316</v>
      </c>
      <c r="U4057" t="s">
        <v>3941</v>
      </c>
      <c r="V4057" t="s">
        <v>3934</v>
      </c>
      <c r="W4057" s="9">
        <f>IF(V4057="pregrado",31,
IF(V4057="posgrados",31,
IF(V4057="rEINTEGROS",7,
IF(V4057="BIT",90,
IF(V4057="OP GRADO - INGLÉS",17,"")))))</f>
        <v>31</v>
      </c>
      <c r="X4057" t="s">
        <v>4000</v>
      </c>
    </row>
    <row r="4058" spans="1:24" ht="15" x14ac:dyDescent="0.35">
      <c r="A4058" s="4">
        <v>46071.515520833331</v>
      </c>
      <c r="B4058">
        <v>20124449</v>
      </c>
      <c r="C4058" s="6" t="s">
        <v>19</v>
      </c>
      <c r="D4058">
        <v>610239</v>
      </c>
      <c r="E4058" t="s">
        <v>20</v>
      </c>
      <c r="F4058">
        <v>1006860555</v>
      </c>
      <c r="G4058" t="s">
        <v>3351</v>
      </c>
      <c r="H4058">
        <v>100246611</v>
      </c>
      <c r="I4058">
        <v>202611</v>
      </c>
      <c r="J4058">
        <v>1006860555</v>
      </c>
      <c r="K4058" t="s">
        <v>23</v>
      </c>
      <c r="L4058" t="s">
        <v>221</v>
      </c>
      <c r="M4058" t="s">
        <v>24</v>
      </c>
      <c r="N4058" t="s">
        <v>25</v>
      </c>
      <c r="O4058" t="s">
        <v>26</v>
      </c>
      <c r="P4058" t="s">
        <v>27</v>
      </c>
      <c r="Q4058" t="s">
        <v>28</v>
      </c>
      <c r="R4058" t="s">
        <v>29</v>
      </c>
      <c r="S4058" t="s">
        <v>30</v>
      </c>
      <c r="T4058">
        <v>1001277801</v>
      </c>
      <c r="U4058" t="s">
        <v>3965</v>
      </c>
      <c r="V4058" t="s">
        <v>3934</v>
      </c>
      <c r="W4058" s="9">
        <f>IF(V4058="pregrado",31,
IF(V4058="posgrados",31,
IF(V4058="rEINTEGROS",7,
IF(V4058="BIT",90,
IF(V4058="OP GRADO - INGLÉS",17,"")))))</f>
        <v>31</v>
      </c>
      <c r="X4058" t="s">
        <v>4002</v>
      </c>
    </row>
    <row r="4059" spans="1:24" ht="15" x14ac:dyDescent="0.35">
      <c r="A4059" s="4">
        <v>46071.568738425929</v>
      </c>
      <c r="B4059">
        <v>20124486</v>
      </c>
      <c r="C4059" s="6" t="s">
        <v>19</v>
      </c>
      <c r="D4059">
        <v>610256</v>
      </c>
      <c r="E4059" t="s">
        <v>20</v>
      </c>
      <c r="F4059">
        <v>1014479599</v>
      </c>
      <c r="G4059" t="s">
        <v>3354</v>
      </c>
      <c r="H4059">
        <v>100234541</v>
      </c>
      <c r="I4059">
        <v>202610</v>
      </c>
      <c r="J4059">
        <v>1014479599</v>
      </c>
      <c r="K4059" t="s">
        <v>33</v>
      </c>
      <c r="L4059" t="s">
        <v>79</v>
      </c>
      <c r="M4059" t="s">
        <v>24</v>
      </c>
      <c r="N4059" t="s">
        <v>25</v>
      </c>
      <c r="O4059" t="s">
        <v>26</v>
      </c>
      <c r="P4059" t="s">
        <v>27</v>
      </c>
      <c r="Q4059" t="s">
        <v>28</v>
      </c>
      <c r="R4059" t="s">
        <v>29</v>
      </c>
      <c r="S4059" t="s">
        <v>30</v>
      </c>
      <c r="T4059">
        <v>10822473081</v>
      </c>
      <c r="U4059" t="s">
        <v>3965</v>
      </c>
      <c r="V4059" t="s">
        <v>3934</v>
      </c>
      <c r="W4059" s="9">
        <f>IF(V4059="pregrado",31,
IF(V4059="posgrados",31,
IF(V4059="rEINTEGROS",7,
IF(V4059="BIT",90,
IF(V4059="OP GRADO - INGLÉS",17,"")))))</f>
        <v>31</v>
      </c>
      <c r="X4059" t="s">
        <v>4007</v>
      </c>
    </row>
    <row r="4060" spans="1:24" ht="15" x14ac:dyDescent="0.35">
      <c r="A4060" s="4">
        <v>46070.561030092591</v>
      </c>
      <c r="B4060">
        <v>20124122</v>
      </c>
      <c r="C4060" s="6" t="s">
        <v>19</v>
      </c>
      <c r="D4060">
        <v>610261</v>
      </c>
      <c r="E4060" t="s">
        <v>20</v>
      </c>
      <c r="F4060">
        <v>52312714</v>
      </c>
      <c r="G4060" t="s">
        <v>3302</v>
      </c>
      <c r="H4060">
        <v>100246610</v>
      </c>
      <c r="I4060">
        <v>202631</v>
      </c>
      <c r="J4060">
        <v>80236153</v>
      </c>
      <c r="K4060" t="s">
        <v>23</v>
      </c>
      <c r="L4060" t="s">
        <v>219</v>
      </c>
      <c r="M4060" t="s">
        <v>24</v>
      </c>
      <c r="N4060" t="s">
        <v>38</v>
      </c>
      <c r="O4060" t="s">
        <v>26</v>
      </c>
      <c r="P4060" t="s">
        <v>27</v>
      </c>
      <c r="Q4060" t="s">
        <v>28</v>
      </c>
      <c r="R4060" t="s">
        <v>29</v>
      </c>
      <c r="S4060" t="s">
        <v>30</v>
      </c>
      <c r="T4060">
        <v>1000350862</v>
      </c>
      <c r="U4060" t="s">
        <v>3963</v>
      </c>
      <c r="V4060" t="s">
        <v>3934</v>
      </c>
      <c r="W4060" s="9">
        <f>IF(V4060="pregrado",31,
IF(V4060="posgrados",31,
IF(V4060="rEINTEGROS",7,
IF(V4060="BIT",90,
IF(V4060="OP GRADO - INGLÉS",17,"")))))</f>
        <v>31</v>
      </c>
      <c r="X4060" t="s">
        <v>4071</v>
      </c>
    </row>
    <row r="4061" spans="1:24" ht="15" x14ac:dyDescent="0.35">
      <c r="A4061" s="4">
        <v>46072.523518518516</v>
      </c>
      <c r="B4061">
        <v>20124846</v>
      </c>
      <c r="C4061" s="6" t="s">
        <v>19</v>
      </c>
      <c r="D4061">
        <v>610266</v>
      </c>
      <c r="E4061" t="s">
        <v>20</v>
      </c>
      <c r="F4061">
        <v>1005339376</v>
      </c>
      <c r="G4061" t="s">
        <v>3413</v>
      </c>
      <c r="H4061">
        <v>100246743</v>
      </c>
      <c r="I4061">
        <v>202631</v>
      </c>
      <c r="J4061">
        <v>1005339376</v>
      </c>
      <c r="K4061" t="s">
        <v>33</v>
      </c>
      <c r="L4061" t="s">
        <v>207</v>
      </c>
      <c r="M4061" t="s">
        <v>24</v>
      </c>
      <c r="N4061" t="s">
        <v>25</v>
      </c>
      <c r="O4061" t="s">
        <v>26</v>
      </c>
      <c r="P4061" t="s">
        <v>27</v>
      </c>
      <c r="Q4061" t="s">
        <v>28</v>
      </c>
      <c r="R4061" t="s">
        <v>29</v>
      </c>
      <c r="S4061" t="s">
        <v>30</v>
      </c>
      <c r="T4061">
        <v>1002500634</v>
      </c>
      <c r="U4061" t="s">
        <v>3986</v>
      </c>
      <c r="V4061" t="s">
        <v>3934</v>
      </c>
      <c r="W4061" s="9">
        <f>IF(V4061="pregrado",31,
IF(V4061="posgrados",31,
IF(V4061="rEINTEGROS",7,
IF(V4061="BIT",90,
IF(V4061="OP GRADO - INGLÉS",17,"")))))</f>
        <v>31</v>
      </c>
      <c r="X4061" t="s">
        <v>4026</v>
      </c>
    </row>
    <row r="4062" spans="1:24" ht="15" x14ac:dyDescent="0.35">
      <c r="A4062" s="4">
        <v>46071.349641203706</v>
      </c>
      <c r="B4062">
        <v>20124330</v>
      </c>
      <c r="C4062" s="6" t="s">
        <v>19</v>
      </c>
      <c r="D4062">
        <v>610272</v>
      </c>
      <c r="E4062" t="s">
        <v>20</v>
      </c>
      <c r="F4062">
        <v>1023014841</v>
      </c>
      <c r="G4062" t="s">
        <v>3332</v>
      </c>
      <c r="H4062">
        <v>200184199</v>
      </c>
      <c r="I4062">
        <v>202631</v>
      </c>
      <c r="J4062">
        <v>1023014841</v>
      </c>
      <c r="K4062" t="s">
        <v>23</v>
      </c>
      <c r="L4062" t="s">
        <v>119</v>
      </c>
      <c r="M4062" t="s">
        <v>24</v>
      </c>
      <c r="N4062" t="s">
        <v>35</v>
      </c>
      <c r="O4062" t="s">
        <v>26</v>
      </c>
      <c r="P4062" t="s">
        <v>27</v>
      </c>
      <c r="Q4062" t="s">
        <v>28</v>
      </c>
      <c r="R4062" t="s">
        <v>29</v>
      </c>
      <c r="S4062" t="s">
        <v>30</v>
      </c>
      <c r="T4062">
        <v>1000251314</v>
      </c>
      <c r="U4062" t="s">
        <v>3963</v>
      </c>
      <c r="V4062" t="s">
        <v>3934</v>
      </c>
      <c r="W4062" s="9">
        <f>IF(V4062="pregrado",31,
IF(V4062="posgrados",31,
IF(V4062="rEINTEGROS",7,
IF(V4062="BIT",90,
IF(V4062="OP GRADO - INGLÉS",17,"")))))</f>
        <v>31</v>
      </c>
      <c r="X4062" t="s">
        <v>4024</v>
      </c>
    </row>
    <row r="4063" spans="1:24" ht="15" x14ac:dyDescent="0.35">
      <c r="A4063" s="4">
        <v>46072.719085648147</v>
      </c>
      <c r="B4063">
        <v>20125000</v>
      </c>
      <c r="C4063" s="6" t="s">
        <v>19</v>
      </c>
      <c r="D4063">
        <v>610283</v>
      </c>
      <c r="E4063" t="s">
        <v>20</v>
      </c>
      <c r="F4063">
        <v>20700223</v>
      </c>
      <c r="G4063" t="s">
        <v>686</v>
      </c>
      <c r="H4063">
        <v>100149385</v>
      </c>
      <c r="I4063">
        <v>202631</v>
      </c>
      <c r="J4063">
        <v>1069053446</v>
      </c>
      <c r="K4063" t="s">
        <v>23</v>
      </c>
      <c r="L4063" t="s">
        <v>32</v>
      </c>
      <c r="M4063" t="s">
        <v>24</v>
      </c>
      <c r="N4063" t="s">
        <v>35</v>
      </c>
      <c r="O4063" t="s">
        <v>26</v>
      </c>
      <c r="P4063" t="s">
        <v>27</v>
      </c>
      <c r="Q4063" t="s">
        <v>28</v>
      </c>
      <c r="R4063" t="s">
        <v>29</v>
      </c>
      <c r="S4063" t="s">
        <v>30</v>
      </c>
      <c r="T4063">
        <v>1000001980</v>
      </c>
      <c r="U4063" t="s">
        <v>3944</v>
      </c>
      <c r="V4063" t="s">
        <v>3934</v>
      </c>
      <c r="W4063" s="9">
        <f>IF(V4063="pregrado",31,
IF(V4063="posgrados",31,
IF(V4063="rEINTEGROS",7,
IF(V4063="BIT",90,
IF(V4063="OP GRADO - INGLÉS",17,"")))))</f>
        <v>31</v>
      </c>
      <c r="X4063" t="s">
        <v>3968</v>
      </c>
    </row>
    <row r="4064" spans="1:24" ht="15" x14ac:dyDescent="0.35">
      <c r="A4064" s="4">
        <v>46071.532430555555</v>
      </c>
      <c r="B4064">
        <v>20124463</v>
      </c>
      <c r="C4064" s="6" t="s">
        <v>19</v>
      </c>
      <c r="D4064">
        <v>610307</v>
      </c>
      <c r="E4064" t="s">
        <v>20</v>
      </c>
      <c r="F4064">
        <v>1065621377</v>
      </c>
      <c r="G4064" t="s">
        <v>3352</v>
      </c>
      <c r="H4064">
        <v>100246803</v>
      </c>
      <c r="I4064">
        <v>202631</v>
      </c>
      <c r="J4064">
        <v>1176463037</v>
      </c>
      <c r="K4064" t="s">
        <v>23</v>
      </c>
      <c r="L4064" t="s">
        <v>101</v>
      </c>
      <c r="M4064" t="s">
        <v>24</v>
      </c>
      <c r="N4064" t="s">
        <v>35</v>
      </c>
      <c r="O4064" t="s">
        <v>26</v>
      </c>
      <c r="P4064" t="s">
        <v>27</v>
      </c>
      <c r="Q4064" t="s">
        <v>28</v>
      </c>
      <c r="R4064" t="s">
        <v>29</v>
      </c>
      <c r="S4064" t="s">
        <v>30</v>
      </c>
      <c r="T4064">
        <v>1023367706</v>
      </c>
      <c r="U4064" t="s">
        <v>3963</v>
      </c>
      <c r="V4064" t="s">
        <v>3934</v>
      </c>
      <c r="W4064" s="9">
        <f>IF(V4064="pregrado",31,
IF(V4064="posgrados",31,
IF(V4064="rEINTEGROS",7,
IF(V4064="BIT",90,
IF(V4064="OP GRADO - INGLÉS",17,"")))))</f>
        <v>31</v>
      </c>
      <c r="X4064" t="s">
        <v>4039</v>
      </c>
    </row>
    <row r="4065" spans="1:24" ht="15" x14ac:dyDescent="0.35">
      <c r="A4065" s="4">
        <v>46071.674837962964</v>
      </c>
      <c r="B4065">
        <v>20124570</v>
      </c>
      <c r="C4065" s="6" t="s">
        <v>19</v>
      </c>
      <c r="D4065">
        <v>610313</v>
      </c>
      <c r="E4065" t="s">
        <v>20</v>
      </c>
      <c r="F4065">
        <v>1006981414</v>
      </c>
      <c r="G4065" t="s">
        <v>3367</v>
      </c>
      <c r="H4065">
        <v>100246813</v>
      </c>
      <c r="I4065">
        <v>202611</v>
      </c>
      <c r="J4065">
        <v>1125879487</v>
      </c>
      <c r="K4065" t="s">
        <v>23</v>
      </c>
      <c r="L4065" t="s">
        <v>221</v>
      </c>
      <c r="M4065" t="s">
        <v>24</v>
      </c>
      <c r="N4065" t="s">
        <v>35</v>
      </c>
      <c r="O4065" t="s">
        <v>26</v>
      </c>
      <c r="P4065" t="s">
        <v>27</v>
      </c>
      <c r="Q4065" t="s">
        <v>28</v>
      </c>
      <c r="R4065" t="s">
        <v>29</v>
      </c>
      <c r="S4065" t="s">
        <v>30</v>
      </c>
      <c r="T4065">
        <v>1073692626</v>
      </c>
      <c r="U4065" t="s">
        <v>3965</v>
      </c>
      <c r="V4065" t="s">
        <v>3934</v>
      </c>
      <c r="W4065" s="9">
        <f>IF(V4065="pregrado",31,
IF(V4065="posgrados",31,
IF(V4065="rEINTEGROS",7,
IF(V4065="BIT",90,
IF(V4065="OP GRADO - INGLÉS",17,"")))))</f>
        <v>31</v>
      </c>
      <c r="X4065" t="s">
        <v>4014</v>
      </c>
    </row>
    <row r="4066" spans="1:24" ht="15" x14ac:dyDescent="0.35">
      <c r="A4066" s="4">
        <v>46071.672442129631</v>
      </c>
      <c r="B4066">
        <v>20124568</v>
      </c>
      <c r="C4066" s="6" t="s">
        <v>19</v>
      </c>
      <c r="D4066">
        <v>610314</v>
      </c>
      <c r="E4066" t="s">
        <v>20</v>
      </c>
      <c r="F4066">
        <v>51639297</v>
      </c>
      <c r="G4066" t="s">
        <v>3366</v>
      </c>
      <c r="H4066">
        <v>100246814</v>
      </c>
      <c r="I4066">
        <v>202631</v>
      </c>
      <c r="J4066">
        <v>80932344</v>
      </c>
      <c r="K4066" t="s">
        <v>23</v>
      </c>
      <c r="L4066" t="s">
        <v>240</v>
      </c>
      <c r="M4066" t="s">
        <v>24</v>
      </c>
      <c r="N4066" t="s">
        <v>35</v>
      </c>
      <c r="O4066" t="s">
        <v>26</v>
      </c>
      <c r="P4066" t="s">
        <v>27</v>
      </c>
      <c r="Q4066" t="s">
        <v>28</v>
      </c>
      <c r="R4066" t="s">
        <v>29</v>
      </c>
      <c r="S4066" t="s">
        <v>30</v>
      </c>
      <c r="T4066">
        <v>1013662799</v>
      </c>
      <c r="U4066" t="s">
        <v>3965</v>
      </c>
      <c r="V4066" t="s">
        <v>3934</v>
      </c>
      <c r="W4066" s="9">
        <f>IF(V4066="pregrado",31,
IF(V4066="posgrados",31,
IF(V4066="rEINTEGROS",7,
IF(V4066="BIT",90,
IF(V4066="OP GRADO - INGLÉS",17,"")))))</f>
        <v>31</v>
      </c>
      <c r="X4066" t="s">
        <v>4021</v>
      </c>
    </row>
    <row r="4067" spans="1:24" ht="15" x14ac:dyDescent="0.35">
      <c r="A4067" s="4">
        <v>46081.413368055553</v>
      </c>
      <c r="B4067">
        <v>20127020</v>
      </c>
      <c r="C4067" s="6" t="s">
        <v>19</v>
      </c>
      <c r="D4067">
        <v>610335</v>
      </c>
      <c r="E4067" t="s">
        <v>20</v>
      </c>
      <c r="F4067">
        <v>1068387967</v>
      </c>
      <c r="G4067" t="s">
        <v>3754</v>
      </c>
      <c r="H4067">
        <v>200184238</v>
      </c>
      <c r="I4067">
        <v>202631</v>
      </c>
      <c r="J4067">
        <v>1193542894</v>
      </c>
      <c r="K4067" t="s">
        <v>33</v>
      </c>
      <c r="L4067" t="s">
        <v>119</v>
      </c>
      <c r="M4067" t="s">
        <v>24</v>
      </c>
      <c r="N4067" t="s">
        <v>35</v>
      </c>
      <c r="O4067" t="s">
        <v>26</v>
      </c>
      <c r="P4067" t="s">
        <v>27</v>
      </c>
      <c r="Q4067" t="s">
        <v>28</v>
      </c>
      <c r="R4067" t="s">
        <v>29</v>
      </c>
      <c r="S4067" t="s">
        <v>30</v>
      </c>
      <c r="T4067">
        <v>1026299972</v>
      </c>
      <c r="U4067" t="s">
        <v>3933</v>
      </c>
      <c r="V4067" t="s">
        <v>3934</v>
      </c>
      <c r="W4067" s="9">
        <f>IF(V4067="pregrado",31,
IF(V4067="posgrados",31,
IF(V4067="rEINTEGROS",7,
IF(V4067="BIT",90,
IF(V4067="OP GRADO - INGLÉS",17,"")))))</f>
        <v>31</v>
      </c>
      <c r="X4067" t="s">
        <v>4052</v>
      </c>
    </row>
    <row r="4068" spans="1:24" ht="15" x14ac:dyDescent="0.35">
      <c r="A4068" s="4">
        <v>46072.50341435185</v>
      </c>
      <c r="B4068">
        <v>20124833</v>
      </c>
      <c r="C4068" s="6" t="s">
        <v>19</v>
      </c>
      <c r="D4068">
        <v>610362</v>
      </c>
      <c r="E4068" t="s">
        <v>20</v>
      </c>
      <c r="F4068">
        <v>1058547695</v>
      </c>
      <c r="G4068" t="s">
        <v>3408</v>
      </c>
      <c r="H4068">
        <v>100246865</v>
      </c>
      <c r="I4068">
        <v>202631</v>
      </c>
      <c r="J4068">
        <v>1058547695</v>
      </c>
      <c r="K4068" t="s">
        <v>33</v>
      </c>
      <c r="L4068" t="s">
        <v>127</v>
      </c>
      <c r="M4068" t="s">
        <v>24</v>
      </c>
      <c r="N4068" t="s">
        <v>25</v>
      </c>
      <c r="O4068" t="s">
        <v>26</v>
      </c>
      <c r="P4068" t="s">
        <v>27</v>
      </c>
      <c r="Q4068" t="s">
        <v>28</v>
      </c>
      <c r="R4068" t="s">
        <v>29</v>
      </c>
      <c r="S4068" t="s">
        <v>30</v>
      </c>
      <c r="T4068">
        <v>1015441103</v>
      </c>
      <c r="U4068" t="s">
        <v>3933</v>
      </c>
      <c r="V4068" t="s">
        <v>3934</v>
      </c>
      <c r="W4068" s="9">
        <f>IF(V4068="pregrado",31,
IF(V4068="posgrados",31,
IF(V4068="rEINTEGROS",7,
IF(V4068="BIT",90,
IF(V4068="OP GRADO - INGLÉS",17,"")))))</f>
        <v>31</v>
      </c>
      <c r="X4068" t="s">
        <v>3961</v>
      </c>
    </row>
    <row r="4069" spans="1:24" ht="15" x14ac:dyDescent="0.35">
      <c r="A4069" s="4">
        <v>46071.666296296295</v>
      </c>
      <c r="B4069">
        <v>20124557</v>
      </c>
      <c r="C4069" s="6" t="s">
        <v>19</v>
      </c>
      <c r="D4069">
        <v>610381</v>
      </c>
      <c r="E4069" t="s">
        <v>20</v>
      </c>
      <c r="F4069">
        <v>13196444</v>
      </c>
      <c r="G4069" t="s">
        <v>3360</v>
      </c>
      <c r="H4069">
        <v>200184200</v>
      </c>
      <c r="I4069">
        <v>202631</v>
      </c>
      <c r="J4069">
        <v>13196444</v>
      </c>
      <c r="K4069" t="s">
        <v>33</v>
      </c>
      <c r="L4069" t="s">
        <v>119</v>
      </c>
      <c r="M4069" t="s">
        <v>24</v>
      </c>
      <c r="N4069" t="s">
        <v>35</v>
      </c>
      <c r="O4069" t="s">
        <v>26</v>
      </c>
      <c r="P4069" t="s">
        <v>27</v>
      </c>
      <c r="Q4069" t="s">
        <v>28</v>
      </c>
      <c r="R4069" t="s">
        <v>29</v>
      </c>
      <c r="S4069" t="s">
        <v>30</v>
      </c>
      <c r="T4069">
        <v>1000251314</v>
      </c>
      <c r="U4069" t="s">
        <v>3963</v>
      </c>
      <c r="V4069" t="s">
        <v>3934</v>
      </c>
      <c r="W4069" s="9">
        <f>IF(V4069="pregrado",31,
IF(V4069="posgrados",31,
IF(V4069="rEINTEGROS",7,
IF(V4069="BIT",90,
IF(V4069="OP GRADO - INGLÉS",17,"")))))</f>
        <v>31</v>
      </c>
      <c r="X4069" t="s">
        <v>4024</v>
      </c>
    </row>
    <row r="4070" spans="1:24" ht="15" x14ac:dyDescent="0.35">
      <c r="A4070" s="4">
        <v>46072.463402777779</v>
      </c>
      <c r="B4070">
        <v>20124794</v>
      </c>
      <c r="C4070" s="6" t="s">
        <v>19</v>
      </c>
      <c r="D4070">
        <v>610386</v>
      </c>
      <c r="E4070" t="s">
        <v>20</v>
      </c>
      <c r="F4070">
        <v>1092356605</v>
      </c>
      <c r="G4070" t="s">
        <v>3400</v>
      </c>
      <c r="H4070">
        <v>100246891</v>
      </c>
      <c r="I4070">
        <v>202631</v>
      </c>
      <c r="J4070">
        <v>1092356605</v>
      </c>
      <c r="K4070" t="s">
        <v>33</v>
      </c>
      <c r="L4070" t="s">
        <v>90</v>
      </c>
      <c r="M4070" t="s">
        <v>24</v>
      </c>
      <c r="N4070" t="s">
        <v>25</v>
      </c>
      <c r="O4070" t="s">
        <v>26</v>
      </c>
      <c r="P4070" t="s">
        <v>27</v>
      </c>
      <c r="Q4070" t="s">
        <v>28</v>
      </c>
      <c r="R4070" t="s">
        <v>29</v>
      </c>
      <c r="S4070" t="s">
        <v>30</v>
      </c>
      <c r="T4070">
        <v>1014273794</v>
      </c>
      <c r="U4070" t="s">
        <v>3939</v>
      </c>
      <c r="V4070" t="s">
        <v>3934</v>
      </c>
      <c r="W4070" s="9">
        <f>IF(V4070="pregrado",31,
IF(V4070="posgrados",31,
IF(V4070="rEINTEGROS",7,
IF(V4070="BIT",90,
IF(V4070="OP GRADO - INGLÉS",17,"")))))</f>
        <v>31</v>
      </c>
      <c r="X4070" t="s">
        <v>4004</v>
      </c>
    </row>
    <row r="4071" spans="1:24" ht="15" x14ac:dyDescent="0.35">
      <c r="A4071" s="4">
        <v>46072.565682870372</v>
      </c>
      <c r="B4071">
        <v>20124862</v>
      </c>
      <c r="C4071" s="6" t="s">
        <v>19</v>
      </c>
      <c r="D4071">
        <v>610415</v>
      </c>
      <c r="E4071" t="s">
        <v>20</v>
      </c>
      <c r="F4071">
        <v>68292207</v>
      </c>
      <c r="G4071" t="s">
        <v>3416</v>
      </c>
      <c r="H4071">
        <v>100246940</v>
      </c>
      <c r="I4071">
        <v>202631</v>
      </c>
      <c r="J4071">
        <v>1116501163</v>
      </c>
      <c r="K4071" t="s">
        <v>33</v>
      </c>
      <c r="L4071" t="s">
        <v>370</v>
      </c>
      <c r="M4071" t="s">
        <v>24</v>
      </c>
      <c r="N4071" t="s">
        <v>35</v>
      </c>
      <c r="O4071" t="s">
        <v>26</v>
      </c>
      <c r="P4071" t="s">
        <v>27</v>
      </c>
      <c r="Q4071" t="s">
        <v>28</v>
      </c>
      <c r="R4071" t="s">
        <v>29</v>
      </c>
      <c r="S4071" t="s">
        <v>30</v>
      </c>
      <c r="T4071">
        <v>1023975276</v>
      </c>
      <c r="U4071" t="s">
        <v>3963</v>
      </c>
      <c r="V4071" t="s">
        <v>3934</v>
      </c>
      <c r="W4071" s="9">
        <f>IF(V4071="pregrado",31,
IF(V4071="posgrados",31,
IF(V4071="rEINTEGROS",7,
IF(V4071="BIT",90,
IF(V4071="OP GRADO - INGLÉS",17,"")))))</f>
        <v>31</v>
      </c>
      <c r="X4071" t="s">
        <v>3962</v>
      </c>
    </row>
    <row r="4072" spans="1:24" ht="15" x14ac:dyDescent="0.35">
      <c r="A4072" s="4">
        <v>46071.676655092589</v>
      </c>
      <c r="B4072">
        <v>20124574</v>
      </c>
      <c r="C4072" s="6" t="s">
        <v>19</v>
      </c>
      <c r="D4072">
        <v>610421</v>
      </c>
      <c r="E4072" t="s">
        <v>20</v>
      </c>
      <c r="F4072">
        <v>1033778253</v>
      </c>
      <c r="G4072" t="s">
        <v>3368</v>
      </c>
      <c r="H4072">
        <v>100246916</v>
      </c>
      <c r="I4072">
        <v>202631</v>
      </c>
      <c r="J4072">
        <v>1033778253</v>
      </c>
      <c r="K4072" t="s">
        <v>33</v>
      </c>
      <c r="L4072" t="s">
        <v>42</v>
      </c>
      <c r="M4072" t="s">
        <v>24</v>
      </c>
      <c r="N4072" t="s">
        <v>35</v>
      </c>
      <c r="O4072" t="s">
        <v>26</v>
      </c>
      <c r="P4072" t="s">
        <v>27</v>
      </c>
      <c r="Q4072" t="s">
        <v>28</v>
      </c>
      <c r="R4072" t="s">
        <v>29</v>
      </c>
      <c r="S4072" t="s">
        <v>30</v>
      </c>
      <c r="T4072">
        <v>1000625316</v>
      </c>
      <c r="U4072" t="s">
        <v>3944</v>
      </c>
      <c r="V4072" t="s">
        <v>3934</v>
      </c>
      <c r="W4072" s="9">
        <f>IF(V4072="pregrado",31,
IF(V4072="posgrados",31,
IF(V4072="rEINTEGROS",7,
IF(V4072="BIT",90,
IF(V4072="OP GRADO - INGLÉS",17,"")))))</f>
        <v>31</v>
      </c>
      <c r="X4072" t="s">
        <v>3980</v>
      </c>
    </row>
    <row r="4073" spans="1:24" ht="15" x14ac:dyDescent="0.35">
      <c r="A4073" s="4">
        <v>46073.647118055553</v>
      </c>
      <c r="B4073">
        <v>20125324</v>
      </c>
      <c r="C4073" s="6" t="s">
        <v>19</v>
      </c>
      <c r="D4073">
        <v>610428</v>
      </c>
      <c r="E4073" t="s">
        <v>20</v>
      </c>
      <c r="F4073">
        <v>52778934</v>
      </c>
      <c r="G4073" t="s">
        <v>3484</v>
      </c>
      <c r="H4073">
        <v>100246952</v>
      </c>
      <c r="I4073">
        <v>202631</v>
      </c>
      <c r="J4073">
        <v>52778934</v>
      </c>
      <c r="K4073" t="s">
        <v>33</v>
      </c>
      <c r="L4073" t="s">
        <v>207</v>
      </c>
      <c r="M4073" t="s">
        <v>24</v>
      </c>
      <c r="N4073" t="s">
        <v>25</v>
      </c>
      <c r="O4073" t="s">
        <v>26</v>
      </c>
      <c r="P4073" t="s">
        <v>27</v>
      </c>
      <c r="Q4073" t="s">
        <v>28</v>
      </c>
      <c r="R4073" t="s">
        <v>29</v>
      </c>
      <c r="S4073" t="s">
        <v>30</v>
      </c>
      <c r="T4073">
        <v>1070815435</v>
      </c>
      <c r="U4073" t="s">
        <v>3986</v>
      </c>
      <c r="V4073" t="s">
        <v>3934</v>
      </c>
      <c r="W4073" s="9">
        <f>IF(V4073="pregrado",31,
IF(V4073="posgrados",31,
IF(V4073="rEINTEGROS",7,
IF(V4073="BIT",90,
IF(V4073="OP GRADO - INGLÉS",17,"")))))</f>
        <v>31</v>
      </c>
      <c r="X4073" t="s">
        <v>4038</v>
      </c>
    </row>
    <row r="4074" spans="1:24" ht="15" x14ac:dyDescent="0.35">
      <c r="A4074" s="4">
        <v>46073.704918981479</v>
      </c>
      <c r="B4074">
        <v>20125373</v>
      </c>
      <c r="C4074" s="6" t="s">
        <v>19</v>
      </c>
      <c r="D4074">
        <v>610440</v>
      </c>
      <c r="E4074" t="s">
        <v>20</v>
      </c>
      <c r="F4074">
        <v>1072420967</v>
      </c>
      <c r="G4074" t="s">
        <v>3493</v>
      </c>
      <c r="H4074">
        <v>100126525</v>
      </c>
      <c r="I4074">
        <v>202611</v>
      </c>
      <c r="J4074">
        <v>1072421377</v>
      </c>
      <c r="K4074" t="s">
        <v>89</v>
      </c>
      <c r="L4074" t="s">
        <v>133</v>
      </c>
      <c r="M4074" t="s">
        <v>24</v>
      </c>
      <c r="N4074" t="s">
        <v>35</v>
      </c>
      <c r="O4074" t="s">
        <v>26</v>
      </c>
      <c r="P4074" t="s">
        <v>27</v>
      </c>
      <c r="Q4074" t="s">
        <v>28</v>
      </c>
      <c r="R4074" t="s">
        <v>29</v>
      </c>
      <c r="S4074" t="s">
        <v>30</v>
      </c>
      <c r="T4074">
        <v>1019102787</v>
      </c>
      <c r="U4074" t="s">
        <v>3977</v>
      </c>
      <c r="V4074" t="s">
        <v>3970</v>
      </c>
      <c r="W4074" s="9">
        <f>IF(V4074="pregrado",31,
IF(V4074="posgrados",31,
IF(V4074="rEINTEGROS",7,
IF(V4074="BIT",90,
IF(V4074="OP GRADO - INGLÉS",17,"")))))</f>
        <v>7</v>
      </c>
      <c r="X4074" t="s">
        <v>3976</v>
      </c>
    </row>
    <row r="4075" spans="1:24" ht="15" x14ac:dyDescent="0.35">
      <c r="A4075" s="4">
        <v>46084.682650462964</v>
      </c>
      <c r="B4075">
        <v>20127485</v>
      </c>
      <c r="C4075" s="6" t="s">
        <v>19</v>
      </c>
      <c r="D4075">
        <v>610442</v>
      </c>
      <c r="E4075" t="s">
        <v>20</v>
      </c>
      <c r="F4075">
        <v>9772563</v>
      </c>
      <c r="G4075" t="s">
        <v>3801</v>
      </c>
      <c r="H4075">
        <v>100246965</v>
      </c>
      <c r="I4075">
        <v>202631</v>
      </c>
      <c r="J4075">
        <v>9772563</v>
      </c>
      <c r="K4075" t="s">
        <v>33</v>
      </c>
      <c r="L4075" t="s">
        <v>240</v>
      </c>
      <c r="M4075" t="s">
        <v>24</v>
      </c>
      <c r="N4075" t="s">
        <v>35</v>
      </c>
      <c r="O4075" t="s">
        <v>26</v>
      </c>
      <c r="P4075" t="s">
        <v>27</v>
      </c>
      <c r="Q4075" t="s">
        <v>28</v>
      </c>
      <c r="R4075" t="s">
        <v>29</v>
      </c>
      <c r="S4075" t="s">
        <v>30</v>
      </c>
      <c r="T4075">
        <v>1013662799</v>
      </c>
      <c r="U4075" t="s">
        <v>3965</v>
      </c>
      <c r="V4075" t="s">
        <v>3934</v>
      </c>
      <c r="W4075" s="9">
        <f>IF(V4075="pregrado",31,
IF(V4075="posgrados",31,
IF(V4075="rEINTEGROS",7,
IF(V4075="BIT",90,
IF(V4075="OP GRADO - INGLÉS",17,"")))))</f>
        <v>31</v>
      </c>
      <c r="X4075" t="s">
        <v>4021</v>
      </c>
    </row>
    <row r="4076" spans="1:24" ht="15" x14ac:dyDescent="0.35">
      <c r="A4076" s="4">
        <v>46071.666979166665</v>
      </c>
      <c r="B4076">
        <v>20124561</v>
      </c>
      <c r="C4076" s="6" t="s">
        <v>19</v>
      </c>
      <c r="D4076">
        <v>610463</v>
      </c>
      <c r="E4076" t="s">
        <v>20</v>
      </c>
      <c r="F4076">
        <v>1002537872</v>
      </c>
      <c r="G4076" t="s">
        <v>3363</v>
      </c>
      <c r="H4076">
        <v>100246948</v>
      </c>
      <c r="I4076">
        <v>202611</v>
      </c>
      <c r="J4076">
        <v>1002537872</v>
      </c>
      <c r="K4076" t="s">
        <v>23</v>
      </c>
      <c r="L4076" t="s">
        <v>204</v>
      </c>
      <c r="M4076" t="s">
        <v>24</v>
      </c>
      <c r="N4076" t="s">
        <v>35</v>
      </c>
      <c r="O4076" t="s">
        <v>26</v>
      </c>
      <c r="P4076" t="s">
        <v>27</v>
      </c>
      <c r="Q4076" t="s">
        <v>28</v>
      </c>
      <c r="R4076" t="s">
        <v>29</v>
      </c>
      <c r="S4076" t="s">
        <v>30</v>
      </c>
      <c r="T4076">
        <v>53061994</v>
      </c>
      <c r="U4076" t="s">
        <v>3941</v>
      </c>
      <c r="V4076" t="s">
        <v>3934</v>
      </c>
      <c r="W4076" s="9">
        <f>IF(V4076="pregrado",31,
IF(V4076="posgrados",31,
IF(V4076="rEINTEGROS",7,
IF(V4076="BIT",90,
IF(V4076="OP GRADO - INGLÉS",17,"")))))</f>
        <v>31</v>
      </c>
      <c r="X4076" t="s">
        <v>3950</v>
      </c>
    </row>
    <row r="4077" spans="1:24" ht="15" x14ac:dyDescent="0.35">
      <c r="A4077" s="4">
        <v>46073.395115740743</v>
      </c>
      <c r="B4077">
        <v>20125119</v>
      </c>
      <c r="C4077" s="6" t="s">
        <v>19</v>
      </c>
      <c r="D4077">
        <v>610473</v>
      </c>
      <c r="E4077" t="s">
        <v>20</v>
      </c>
      <c r="F4077">
        <v>52522130</v>
      </c>
      <c r="G4077" t="s">
        <v>3455</v>
      </c>
      <c r="H4077">
        <v>100246997</v>
      </c>
      <c r="I4077">
        <v>202611</v>
      </c>
      <c r="J4077">
        <v>52522130</v>
      </c>
      <c r="K4077" t="s">
        <v>23</v>
      </c>
      <c r="L4077" t="s">
        <v>221</v>
      </c>
      <c r="M4077" t="s">
        <v>24</v>
      </c>
      <c r="N4077">
        <v>0</v>
      </c>
      <c r="O4077" t="s">
        <v>26</v>
      </c>
      <c r="P4077" t="s">
        <v>27</v>
      </c>
      <c r="Q4077" t="s">
        <v>28</v>
      </c>
      <c r="R4077" t="s">
        <v>29</v>
      </c>
      <c r="S4077" t="s">
        <v>30</v>
      </c>
      <c r="T4077">
        <v>1032678391</v>
      </c>
      <c r="U4077" t="s">
        <v>3965</v>
      </c>
      <c r="V4077" t="s">
        <v>3934</v>
      </c>
      <c r="W4077" s="9">
        <f>IF(V4077="pregrado",31,
IF(V4077="posgrados",31,
IF(V4077="rEINTEGROS",7,
IF(V4077="BIT",90,
IF(V4077="OP GRADO - INGLÉS",17,"")))))</f>
        <v>31</v>
      </c>
      <c r="X4077" t="s">
        <v>4098</v>
      </c>
    </row>
    <row r="4078" spans="1:24" ht="15" x14ac:dyDescent="0.35">
      <c r="A4078" s="4">
        <v>46072.59165509259</v>
      </c>
      <c r="B4078">
        <v>20124874</v>
      </c>
      <c r="C4078" s="6" t="s">
        <v>19</v>
      </c>
      <c r="D4078">
        <v>610495</v>
      </c>
      <c r="E4078" t="s">
        <v>20</v>
      </c>
      <c r="F4078">
        <v>40086297</v>
      </c>
      <c r="G4078" t="s">
        <v>3420</v>
      </c>
      <c r="H4078">
        <v>200121380</v>
      </c>
      <c r="I4078">
        <v>202631</v>
      </c>
      <c r="J4078">
        <v>1117960459</v>
      </c>
      <c r="K4078" t="s">
        <v>33</v>
      </c>
      <c r="L4078" t="s">
        <v>119</v>
      </c>
      <c r="M4078" t="s">
        <v>24</v>
      </c>
      <c r="N4078" t="s">
        <v>35</v>
      </c>
      <c r="O4078" t="s">
        <v>26</v>
      </c>
      <c r="P4078" t="s">
        <v>27</v>
      </c>
      <c r="Q4078" t="s">
        <v>28</v>
      </c>
      <c r="R4078" t="s">
        <v>29</v>
      </c>
      <c r="S4078" t="s">
        <v>30</v>
      </c>
      <c r="T4078">
        <v>1000350862</v>
      </c>
      <c r="U4078" t="s">
        <v>3963</v>
      </c>
      <c r="V4078" t="s">
        <v>3934</v>
      </c>
      <c r="W4078" s="9">
        <f>IF(V4078="pregrado",31,
IF(V4078="posgrados",31,
IF(V4078="rEINTEGROS",7,
IF(V4078="BIT",90,
IF(V4078="OP GRADO - INGLÉS",17,"")))))</f>
        <v>31</v>
      </c>
      <c r="X4078" t="s">
        <v>4071</v>
      </c>
    </row>
    <row r="4079" spans="1:24" ht="15" x14ac:dyDescent="0.35">
      <c r="A4079" s="4">
        <v>46076.729259259257</v>
      </c>
      <c r="B4079">
        <v>20125809</v>
      </c>
      <c r="C4079" s="6" t="s">
        <v>19</v>
      </c>
      <c r="D4079">
        <v>610500</v>
      </c>
      <c r="E4079" t="s">
        <v>20</v>
      </c>
      <c r="F4079">
        <v>86055023</v>
      </c>
      <c r="G4079" t="s">
        <v>3565</v>
      </c>
      <c r="H4079">
        <v>100118311</v>
      </c>
      <c r="I4079">
        <v>202610</v>
      </c>
      <c r="J4079">
        <v>1006825972</v>
      </c>
      <c r="K4079" t="s">
        <v>46</v>
      </c>
      <c r="L4079" t="s">
        <v>79</v>
      </c>
      <c r="M4079" t="s">
        <v>24</v>
      </c>
      <c r="N4079">
        <v>0</v>
      </c>
      <c r="O4079" t="s">
        <v>26</v>
      </c>
      <c r="P4079" t="s">
        <v>27</v>
      </c>
      <c r="Q4079" t="s">
        <v>28</v>
      </c>
      <c r="R4079" t="s">
        <v>29</v>
      </c>
      <c r="S4079" t="s">
        <v>30</v>
      </c>
      <c r="T4079">
        <v>1023899450</v>
      </c>
      <c r="U4079" t="s">
        <v>3977</v>
      </c>
      <c r="V4079" t="s">
        <v>3970</v>
      </c>
      <c r="W4079" s="9">
        <f>IF(V4079="pregrado",31,
IF(V4079="posgrados",31,
IF(V4079="rEINTEGROS",7,
IF(V4079="BIT",90,
IF(V4079="OP GRADO - INGLÉS",17,"")))))</f>
        <v>7</v>
      </c>
      <c r="X4079" t="s">
        <v>3969</v>
      </c>
    </row>
    <row r="4080" spans="1:24" ht="15" x14ac:dyDescent="0.35">
      <c r="A4080" s="4">
        <v>46080.476180555554</v>
      </c>
      <c r="B4080">
        <v>20126819</v>
      </c>
      <c r="C4080" s="6" t="s">
        <v>19</v>
      </c>
      <c r="D4080">
        <v>610501</v>
      </c>
      <c r="E4080" t="s">
        <v>20</v>
      </c>
      <c r="F4080">
        <v>1067401224</v>
      </c>
      <c r="G4080" t="s">
        <v>3723</v>
      </c>
      <c r="H4080">
        <v>100247029</v>
      </c>
      <c r="I4080">
        <v>202631</v>
      </c>
      <c r="J4080">
        <v>1067401224</v>
      </c>
      <c r="K4080" t="s">
        <v>33</v>
      </c>
      <c r="L4080" t="s">
        <v>370</v>
      </c>
      <c r="M4080" t="s">
        <v>24</v>
      </c>
      <c r="N4080" t="s">
        <v>25</v>
      </c>
      <c r="O4080" t="s">
        <v>26</v>
      </c>
      <c r="P4080" t="s">
        <v>27</v>
      </c>
      <c r="Q4080" t="s">
        <v>28</v>
      </c>
      <c r="R4080" t="s">
        <v>29</v>
      </c>
      <c r="S4080" t="s">
        <v>30</v>
      </c>
      <c r="T4080">
        <v>45555807</v>
      </c>
      <c r="U4080" t="s">
        <v>3965</v>
      </c>
      <c r="V4080" t="s">
        <v>3934</v>
      </c>
      <c r="W4080" s="9">
        <f>IF(V4080="pregrado",31,
IF(V4080="posgrados",31,
IF(V4080="rEINTEGROS",7,
IF(V4080="BIT",90,
IF(V4080="OP GRADO - INGLÉS",17,"")))))</f>
        <v>31</v>
      </c>
      <c r="X4080" t="s">
        <v>4027</v>
      </c>
    </row>
    <row r="4081" spans="1:24" ht="15" x14ac:dyDescent="0.35">
      <c r="A4081" s="4">
        <v>46073.701435185183</v>
      </c>
      <c r="B4081">
        <v>20125371</v>
      </c>
      <c r="C4081" s="6" t="s">
        <v>19</v>
      </c>
      <c r="D4081">
        <v>610508</v>
      </c>
      <c r="E4081" t="s">
        <v>20</v>
      </c>
      <c r="F4081">
        <v>1019018614</v>
      </c>
      <c r="G4081" t="s">
        <v>3492</v>
      </c>
      <c r="H4081">
        <v>100247032</v>
      </c>
      <c r="I4081">
        <v>202610</v>
      </c>
      <c r="J4081">
        <v>1031818576</v>
      </c>
      <c r="K4081" t="s">
        <v>23</v>
      </c>
      <c r="L4081" t="s">
        <v>153</v>
      </c>
      <c r="M4081" t="s">
        <v>24</v>
      </c>
      <c r="N4081" t="s">
        <v>35</v>
      </c>
      <c r="O4081" t="s">
        <v>26</v>
      </c>
      <c r="P4081" t="s">
        <v>27</v>
      </c>
      <c r="Q4081" t="s">
        <v>28</v>
      </c>
      <c r="R4081" t="s">
        <v>29</v>
      </c>
      <c r="S4081" t="s">
        <v>30</v>
      </c>
      <c r="T4081">
        <v>1015428862</v>
      </c>
      <c r="U4081" t="s">
        <v>3965</v>
      </c>
      <c r="V4081" t="s">
        <v>3934</v>
      </c>
      <c r="W4081" s="9">
        <f>IF(V4081="pregrado",31,
IF(V4081="posgrados",31,
IF(V4081="rEINTEGROS",7,
IF(V4081="BIT",90,
IF(V4081="OP GRADO - INGLÉS",17,"")))))</f>
        <v>31</v>
      </c>
      <c r="X4081" t="s">
        <v>4048</v>
      </c>
    </row>
    <row r="4082" spans="1:24" ht="15" x14ac:dyDescent="0.35">
      <c r="A4082" s="4">
        <v>46076.826655092591</v>
      </c>
      <c r="B4082">
        <v>20125860</v>
      </c>
      <c r="C4082" s="6" t="s">
        <v>19</v>
      </c>
      <c r="D4082">
        <v>610509</v>
      </c>
      <c r="E4082" t="s">
        <v>20</v>
      </c>
      <c r="F4082">
        <v>35421808</v>
      </c>
      <c r="G4082" t="s">
        <v>3578</v>
      </c>
      <c r="H4082">
        <v>100247033</v>
      </c>
      <c r="I4082">
        <v>202610</v>
      </c>
      <c r="J4082">
        <v>1021314432</v>
      </c>
      <c r="K4082" t="s">
        <v>23</v>
      </c>
      <c r="L4082" t="s">
        <v>107</v>
      </c>
      <c r="M4082" t="s">
        <v>24</v>
      </c>
      <c r="N4082" t="s">
        <v>35</v>
      </c>
      <c r="O4082" t="s">
        <v>26</v>
      </c>
      <c r="P4082" t="s">
        <v>27</v>
      </c>
      <c r="Q4082" t="s">
        <v>28</v>
      </c>
      <c r="R4082" t="s">
        <v>29</v>
      </c>
      <c r="S4082" t="s">
        <v>30</v>
      </c>
      <c r="T4082">
        <v>1000286877</v>
      </c>
      <c r="U4082" t="s">
        <v>3986</v>
      </c>
      <c r="V4082" t="s">
        <v>3934</v>
      </c>
      <c r="W4082" s="9">
        <f>IF(V4082="pregrado",31,
IF(V4082="posgrados",31,
IF(V4082="rEINTEGROS",7,
IF(V4082="BIT",90,
IF(V4082="OP GRADO - INGLÉS",17,"")))))</f>
        <v>31</v>
      </c>
      <c r="X4082" t="s">
        <v>4100</v>
      </c>
    </row>
    <row r="4083" spans="1:24" ht="15" x14ac:dyDescent="0.35">
      <c r="A4083" s="4">
        <v>46072.501666666663</v>
      </c>
      <c r="B4083">
        <v>20124832</v>
      </c>
      <c r="C4083" s="6" t="s">
        <v>19</v>
      </c>
      <c r="D4083">
        <v>610550</v>
      </c>
      <c r="E4083" t="s">
        <v>20</v>
      </c>
      <c r="F4083">
        <v>1000777533</v>
      </c>
      <c r="G4083" t="s">
        <v>3407</v>
      </c>
      <c r="H4083">
        <v>100247067</v>
      </c>
      <c r="I4083">
        <v>202631</v>
      </c>
      <c r="J4083">
        <v>1000777533</v>
      </c>
      <c r="K4083" t="s">
        <v>33</v>
      </c>
      <c r="L4083" t="s">
        <v>127</v>
      </c>
      <c r="M4083" t="s">
        <v>24</v>
      </c>
      <c r="N4083" t="s">
        <v>25</v>
      </c>
      <c r="O4083" t="s">
        <v>26</v>
      </c>
      <c r="P4083" t="s">
        <v>27</v>
      </c>
      <c r="Q4083" t="s">
        <v>28</v>
      </c>
      <c r="R4083" t="s">
        <v>29</v>
      </c>
      <c r="S4083" t="s">
        <v>30</v>
      </c>
      <c r="T4083">
        <v>1007473661</v>
      </c>
      <c r="U4083" t="s">
        <v>3933</v>
      </c>
      <c r="V4083" t="s">
        <v>3934</v>
      </c>
      <c r="W4083" s="9">
        <f>IF(V4083="pregrado",31,
IF(V4083="posgrados",31,
IF(V4083="rEINTEGROS",7,
IF(V4083="BIT",90,
IF(V4083="OP GRADO - INGLÉS",17,"")))))</f>
        <v>31</v>
      </c>
      <c r="X4083" t="s">
        <v>4058</v>
      </c>
    </row>
    <row r="4084" spans="1:24" ht="15" x14ac:dyDescent="0.35">
      <c r="A4084" s="4">
        <v>46077.732858796298</v>
      </c>
      <c r="B4084">
        <v>20126100</v>
      </c>
      <c r="C4084" s="6" t="s">
        <v>19</v>
      </c>
      <c r="D4084">
        <v>610557</v>
      </c>
      <c r="E4084" t="s">
        <v>20</v>
      </c>
      <c r="F4084">
        <v>1022349816</v>
      </c>
      <c r="G4084" t="s">
        <v>3615</v>
      </c>
      <c r="H4084">
        <v>100247076</v>
      </c>
      <c r="I4084">
        <v>202610</v>
      </c>
      <c r="J4084">
        <v>1022349816</v>
      </c>
      <c r="K4084" t="s">
        <v>33</v>
      </c>
      <c r="L4084" t="s">
        <v>40</v>
      </c>
      <c r="M4084" t="s">
        <v>24</v>
      </c>
      <c r="N4084" t="s">
        <v>38</v>
      </c>
      <c r="O4084" t="s">
        <v>26</v>
      </c>
      <c r="P4084" t="s">
        <v>27</v>
      </c>
      <c r="Q4084" t="s">
        <v>28</v>
      </c>
      <c r="R4084" t="s">
        <v>29</v>
      </c>
      <c r="S4084" t="s">
        <v>30</v>
      </c>
      <c r="T4084">
        <v>1020730718</v>
      </c>
      <c r="U4084" t="s">
        <v>3941</v>
      </c>
      <c r="V4084" t="s">
        <v>3934</v>
      </c>
      <c r="W4084" s="9">
        <f>IF(V4084="pregrado",31,
IF(V4084="posgrados",31,
IF(V4084="rEINTEGROS",7,
IF(V4084="BIT",90,
IF(V4084="OP GRADO - INGLÉS",17,"")))))</f>
        <v>31</v>
      </c>
      <c r="X4084" t="s">
        <v>3952</v>
      </c>
    </row>
    <row r="4085" spans="1:24" ht="15" x14ac:dyDescent="0.35">
      <c r="A4085" s="4">
        <v>46072.598576388889</v>
      </c>
      <c r="B4085">
        <v>20124877</v>
      </c>
      <c r="C4085" s="6" t="s">
        <v>19</v>
      </c>
      <c r="D4085">
        <v>610573</v>
      </c>
      <c r="E4085" t="s">
        <v>20</v>
      </c>
      <c r="F4085">
        <v>1192765132</v>
      </c>
      <c r="G4085" t="s">
        <v>3421</v>
      </c>
      <c r="H4085">
        <v>200037076</v>
      </c>
      <c r="I4085">
        <v>202631</v>
      </c>
      <c r="J4085">
        <v>1192765097</v>
      </c>
      <c r="K4085" t="s">
        <v>33</v>
      </c>
      <c r="L4085" t="s">
        <v>77</v>
      </c>
      <c r="M4085" t="s">
        <v>24</v>
      </c>
      <c r="N4085" t="s">
        <v>35</v>
      </c>
      <c r="O4085" t="s">
        <v>26</v>
      </c>
      <c r="P4085" t="s">
        <v>27</v>
      </c>
      <c r="Q4085" t="s">
        <v>28</v>
      </c>
      <c r="R4085" t="s">
        <v>29</v>
      </c>
      <c r="S4085" t="s">
        <v>30</v>
      </c>
      <c r="T4085">
        <v>1000251314</v>
      </c>
      <c r="U4085" t="s">
        <v>3963</v>
      </c>
      <c r="V4085" t="s">
        <v>3934</v>
      </c>
      <c r="W4085" s="9">
        <f>IF(V4085="pregrado",31,
IF(V4085="posgrados",31,
IF(V4085="rEINTEGROS",7,
IF(V4085="BIT",90,
IF(V4085="OP GRADO - INGLÉS",17,"")))))</f>
        <v>31</v>
      </c>
      <c r="X4085" t="s">
        <v>4024</v>
      </c>
    </row>
    <row r="4086" spans="1:24" ht="15" x14ac:dyDescent="0.35">
      <c r="A4086" s="4">
        <v>46079.541377314818</v>
      </c>
      <c r="B4086">
        <v>20126535</v>
      </c>
      <c r="C4086" s="6" t="s">
        <v>19</v>
      </c>
      <c r="D4086">
        <v>610574</v>
      </c>
      <c r="E4086" t="s">
        <v>20</v>
      </c>
      <c r="F4086">
        <v>34557877</v>
      </c>
      <c r="G4086" t="s">
        <v>3665</v>
      </c>
      <c r="H4086">
        <v>100247094</v>
      </c>
      <c r="I4086">
        <v>202611</v>
      </c>
      <c r="J4086">
        <v>1061721931</v>
      </c>
      <c r="K4086" t="s">
        <v>33</v>
      </c>
      <c r="L4086" t="s">
        <v>204</v>
      </c>
      <c r="M4086" t="s">
        <v>24</v>
      </c>
      <c r="N4086" t="s">
        <v>25</v>
      </c>
      <c r="O4086" t="s">
        <v>26</v>
      </c>
      <c r="P4086" t="s">
        <v>27</v>
      </c>
      <c r="Q4086" t="s">
        <v>28</v>
      </c>
      <c r="R4086" t="s">
        <v>29</v>
      </c>
      <c r="S4086" t="s">
        <v>30</v>
      </c>
      <c r="T4086">
        <v>1023000938</v>
      </c>
      <c r="U4086" t="s">
        <v>3941</v>
      </c>
      <c r="V4086" t="s">
        <v>3934</v>
      </c>
      <c r="W4086" s="9">
        <f>IF(V4086="pregrado",31,
IF(V4086="posgrados",31,
IF(V4086="rEINTEGROS",7,
IF(V4086="BIT",90,
IF(V4086="OP GRADO - INGLÉS",17,"")))))</f>
        <v>31</v>
      </c>
      <c r="X4086" t="s">
        <v>3989</v>
      </c>
    </row>
    <row r="4087" spans="1:24" ht="15" x14ac:dyDescent="0.35">
      <c r="A4087" s="4">
        <v>46074.644155092596</v>
      </c>
      <c r="B4087">
        <v>20125533</v>
      </c>
      <c r="C4087" s="6" t="s">
        <v>19</v>
      </c>
      <c r="D4087">
        <v>610580</v>
      </c>
      <c r="E4087" t="s">
        <v>20</v>
      </c>
      <c r="F4087">
        <v>1099376978</v>
      </c>
      <c r="G4087" t="s">
        <v>3521</v>
      </c>
      <c r="H4087">
        <v>100247099</v>
      </c>
      <c r="I4087">
        <v>202631</v>
      </c>
      <c r="J4087">
        <v>1099376978</v>
      </c>
      <c r="K4087" t="s">
        <v>23</v>
      </c>
      <c r="L4087" t="s">
        <v>240</v>
      </c>
      <c r="M4087" t="s">
        <v>24</v>
      </c>
      <c r="N4087" t="s">
        <v>35</v>
      </c>
      <c r="O4087" t="s">
        <v>26</v>
      </c>
      <c r="P4087" t="s">
        <v>27</v>
      </c>
      <c r="Q4087" t="s">
        <v>28</v>
      </c>
      <c r="R4087" t="s">
        <v>29</v>
      </c>
      <c r="S4087" t="s">
        <v>30</v>
      </c>
      <c r="T4087">
        <v>1015428862</v>
      </c>
      <c r="U4087" t="s">
        <v>3965</v>
      </c>
      <c r="V4087" t="s">
        <v>3934</v>
      </c>
      <c r="W4087" s="9">
        <f>IF(V4087="pregrado",31,
IF(V4087="posgrados",31,
IF(V4087="rEINTEGROS",7,
IF(V4087="BIT",90,
IF(V4087="OP GRADO - INGLÉS",17,"")))))</f>
        <v>31</v>
      </c>
      <c r="X4087" t="s">
        <v>4048</v>
      </c>
    </row>
    <row r="4088" spans="1:24" ht="15" x14ac:dyDescent="0.35">
      <c r="A4088" s="4">
        <v>46079.412037037036</v>
      </c>
      <c r="B4088">
        <v>20126446</v>
      </c>
      <c r="C4088" s="6" t="s">
        <v>19</v>
      </c>
      <c r="D4088">
        <v>610601</v>
      </c>
      <c r="E4088" t="s">
        <v>20</v>
      </c>
      <c r="F4088">
        <v>1003435608</v>
      </c>
      <c r="G4088" t="s">
        <v>3651</v>
      </c>
      <c r="H4088">
        <v>200083453</v>
      </c>
      <c r="I4088">
        <v>202631</v>
      </c>
      <c r="J4088">
        <v>50912822</v>
      </c>
      <c r="K4088" t="s">
        <v>33</v>
      </c>
      <c r="L4088" t="s">
        <v>77</v>
      </c>
      <c r="M4088" t="s">
        <v>24</v>
      </c>
      <c r="N4088" t="s">
        <v>35</v>
      </c>
      <c r="O4088" t="s">
        <v>26</v>
      </c>
      <c r="P4088" t="s">
        <v>27</v>
      </c>
      <c r="Q4088" t="s">
        <v>28</v>
      </c>
      <c r="R4088" t="s">
        <v>29</v>
      </c>
      <c r="S4088" t="s">
        <v>30</v>
      </c>
      <c r="T4088">
        <v>1023974716</v>
      </c>
      <c r="U4088" t="s">
        <v>3963</v>
      </c>
      <c r="V4088" t="s">
        <v>3934</v>
      </c>
      <c r="W4088" s="9">
        <f>IF(V4088="pregrado",31,
IF(V4088="posgrados",31,
IF(V4088="rEINTEGROS",7,
IF(V4088="BIT",90,
IF(V4088="OP GRADO - INGLÉS",17,"")))))</f>
        <v>31</v>
      </c>
      <c r="X4088" t="s">
        <v>4016</v>
      </c>
    </row>
    <row r="4089" spans="1:24" ht="15" x14ac:dyDescent="0.35">
      <c r="A4089" s="4">
        <v>46077.660567129627</v>
      </c>
      <c r="B4089">
        <v>20126051</v>
      </c>
      <c r="C4089" s="6" t="s">
        <v>19</v>
      </c>
      <c r="D4089">
        <v>610607</v>
      </c>
      <c r="E4089" t="s">
        <v>20</v>
      </c>
      <c r="F4089">
        <v>1002406965</v>
      </c>
      <c r="G4089" t="s">
        <v>3612</v>
      </c>
      <c r="H4089">
        <v>100245843</v>
      </c>
      <c r="I4089">
        <v>202631</v>
      </c>
      <c r="J4089">
        <v>1002406965</v>
      </c>
      <c r="K4089" t="s">
        <v>83</v>
      </c>
      <c r="L4089" t="s">
        <v>240</v>
      </c>
      <c r="M4089" t="s">
        <v>24</v>
      </c>
      <c r="N4089" t="s">
        <v>35</v>
      </c>
      <c r="O4089" t="s">
        <v>26</v>
      </c>
      <c r="P4089" t="s">
        <v>27</v>
      </c>
      <c r="Q4089" t="s">
        <v>28</v>
      </c>
      <c r="R4089" t="s">
        <v>29</v>
      </c>
      <c r="S4089" t="s">
        <v>30</v>
      </c>
      <c r="T4089">
        <v>53071696</v>
      </c>
      <c r="U4089" t="s">
        <v>3965</v>
      </c>
      <c r="V4089" t="s">
        <v>3934</v>
      </c>
      <c r="W4089" s="9">
        <f>IF(V4089="pregrado",31,
IF(V4089="posgrados",31,
IF(V4089="rEINTEGROS",7,
IF(V4089="BIT",90,
IF(V4089="OP GRADO - INGLÉS",17,"")))))</f>
        <v>31</v>
      </c>
      <c r="X4089" t="s">
        <v>4012</v>
      </c>
    </row>
    <row r="4090" spans="1:24" ht="15" x14ac:dyDescent="0.35">
      <c r="A4090" s="4">
        <v>46076.778252314813</v>
      </c>
      <c r="B4090">
        <v>20125841</v>
      </c>
      <c r="C4090" s="6" t="s">
        <v>19</v>
      </c>
      <c r="D4090">
        <v>610609</v>
      </c>
      <c r="E4090" t="s">
        <v>20</v>
      </c>
      <c r="F4090">
        <v>1074809106</v>
      </c>
      <c r="G4090" t="s">
        <v>3574</v>
      </c>
      <c r="H4090">
        <v>100247127</v>
      </c>
      <c r="I4090">
        <v>202611</v>
      </c>
      <c r="J4090">
        <v>1074809106</v>
      </c>
      <c r="K4090" t="s">
        <v>23</v>
      </c>
      <c r="L4090" t="s">
        <v>204</v>
      </c>
      <c r="M4090" t="s">
        <v>24</v>
      </c>
      <c r="N4090" t="s">
        <v>25</v>
      </c>
      <c r="O4090" t="s">
        <v>26</v>
      </c>
      <c r="P4090" t="s">
        <v>27</v>
      </c>
      <c r="Q4090" t="s">
        <v>28</v>
      </c>
      <c r="R4090" t="s">
        <v>29</v>
      </c>
      <c r="S4090" t="s">
        <v>30</v>
      </c>
      <c r="T4090">
        <v>1023000938</v>
      </c>
      <c r="U4090" t="s">
        <v>3941</v>
      </c>
      <c r="V4090" t="s">
        <v>3934</v>
      </c>
      <c r="W4090" s="9">
        <f>IF(V4090="pregrado",31,
IF(V4090="posgrados",31,
IF(V4090="rEINTEGROS",7,
IF(V4090="BIT",90,
IF(V4090="OP GRADO - INGLÉS",17,"")))))</f>
        <v>31</v>
      </c>
      <c r="X4090" t="s">
        <v>3989</v>
      </c>
    </row>
    <row r="4091" spans="1:24" ht="15" x14ac:dyDescent="0.35">
      <c r="A4091" s="4">
        <v>46073.641956018517</v>
      </c>
      <c r="B4091">
        <v>20125319</v>
      </c>
      <c r="C4091" s="6" t="s">
        <v>19</v>
      </c>
      <c r="D4091">
        <v>610616</v>
      </c>
      <c r="E4091" t="s">
        <v>20</v>
      </c>
      <c r="F4091">
        <v>1000464366</v>
      </c>
      <c r="G4091" t="s">
        <v>3481</v>
      </c>
      <c r="H4091">
        <v>100247134</v>
      </c>
      <c r="I4091">
        <v>202631</v>
      </c>
      <c r="J4091">
        <v>1000464366</v>
      </c>
      <c r="K4091" t="s">
        <v>23</v>
      </c>
      <c r="L4091" t="s">
        <v>51</v>
      </c>
      <c r="M4091" t="s">
        <v>24</v>
      </c>
      <c r="N4091" t="s">
        <v>35</v>
      </c>
      <c r="O4091" t="s">
        <v>26</v>
      </c>
      <c r="P4091" t="s">
        <v>27</v>
      </c>
      <c r="Q4091" t="s">
        <v>28</v>
      </c>
      <c r="R4091" t="s">
        <v>29</v>
      </c>
      <c r="S4091" t="s">
        <v>30</v>
      </c>
      <c r="T4091">
        <v>1032406382</v>
      </c>
      <c r="U4091" t="s">
        <v>3936</v>
      </c>
      <c r="V4091" t="s">
        <v>3937</v>
      </c>
      <c r="W4091" s="9">
        <f>IF(V4091="pregrado",31,
IF(V4091="posgrados",31,
IF(V4091="rEINTEGROS",7,
IF(V4091="BIT",90,
IF(V4091="OP GRADO - INGLÉS",17,"")))))</f>
        <v>31</v>
      </c>
      <c r="X4091" t="s">
        <v>3991</v>
      </c>
    </row>
    <row r="4092" spans="1:24" ht="15" x14ac:dyDescent="0.35">
      <c r="A4092" s="4">
        <v>46080.649386574078</v>
      </c>
      <c r="B4092">
        <v>20126905</v>
      </c>
      <c r="C4092" s="6" t="s">
        <v>19</v>
      </c>
      <c r="D4092">
        <v>610617</v>
      </c>
      <c r="E4092" t="s">
        <v>20</v>
      </c>
      <c r="F4092">
        <v>1051734728</v>
      </c>
      <c r="G4092" t="s">
        <v>3738</v>
      </c>
      <c r="H4092">
        <v>100247135</v>
      </c>
      <c r="I4092">
        <v>202631</v>
      </c>
      <c r="J4092">
        <v>1143152730</v>
      </c>
      <c r="K4092" t="s">
        <v>33</v>
      </c>
      <c r="L4092" t="s">
        <v>370</v>
      </c>
      <c r="M4092" t="s">
        <v>24</v>
      </c>
      <c r="N4092" t="s">
        <v>35</v>
      </c>
      <c r="O4092" t="s">
        <v>26</v>
      </c>
      <c r="P4092" t="s">
        <v>27</v>
      </c>
      <c r="Q4092" t="s">
        <v>28</v>
      </c>
      <c r="R4092" t="s">
        <v>29</v>
      </c>
      <c r="S4092" t="s">
        <v>30</v>
      </c>
      <c r="T4092">
        <v>39658730</v>
      </c>
      <c r="U4092" t="s">
        <v>3963</v>
      </c>
      <c r="V4092" t="s">
        <v>3934</v>
      </c>
      <c r="W4092" s="9">
        <f>IF(V4092="pregrado",31,
IF(V4092="posgrados",31,
IF(V4092="rEINTEGROS",7,
IF(V4092="BIT",90,
IF(V4092="OP GRADO - INGLÉS",17,"")))))</f>
        <v>31</v>
      </c>
      <c r="X4092" t="s">
        <v>4003</v>
      </c>
    </row>
    <row r="4093" spans="1:24" ht="15" x14ac:dyDescent="0.35">
      <c r="A4093" s="4">
        <v>46072.738252314812</v>
      </c>
      <c r="B4093">
        <v>20125020</v>
      </c>
      <c r="C4093" s="6" t="s">
        <v>19</v>
      </c>
      <c r="D4093">
        <v>610618</v>
      </c>
      <c r="E4093" t="s">
        <v>20</v>
      </c>
      <c r="F4093">
        <v>1023370713</v>
      </c>
      <c r="G4093" t="s">
        <v>3441</v>
      </c>
      <c r="H4093">
        <v>100247136</v>
      </c>
      <c r="I4093">
        <v>202631</v>
      </c>
      <c r="J4093">
        <v>1003764396</v>
      </c>
      <c r="K4093" t="s">
        <v>33</v>
      </c>
      <c r="L4093" t="s">
        <v>32</v>
      </c>
      <c r="M4093" t="s">
        <v>24</v>
      </c>
      <c r="N4093" t="s">
        <v>25</v>
      </c>
      <c r="O4093" t="s">
        <v>26</v>
      </c>
      <c r="P4093" t="s">
        <v>27</v>
      </c>
      <c r="Q4093" t="s">
        <v>28</v>
      </c>
      <c r="R4093" t="s">
        <v>29</v>
      </c>
      <c r="S4093" t="s">
        <v>30</v>
      </c>
      <c r="T4093">
        <v>11001273124</v>
      </c>
      <c r="U4093" t="s">
        <v>3944</v>
      </c>
      <c r="V4093" t="s">
        <v>3934</v>
      </c>
      <c r="W4093" s="9">
        <f>IF(V4093="pregrado",31,
IF(V4093="posgrados",31,
IF(V4093="rEINTEGROS",7,
IF(V4093="BIT",90,
IF(V4093="OP GRADO - INGLÉS",17,"")))))</f>
        <v>31</v>
      </c>
      <c r="X4093" t="s">
        <v>3951</v>
      </c>
    </row>
    <row r="4094" spans="1:24" ht="15" x14ac:dyDescent="0.35">
      <c r="A4094" s="4">
        <v>46076.697256944448</v>
      </c>
      <c r="B4094">
        <v>20125768</v>
      </c>
      <c r="C4094" s="6" t="s">
        <v>19</v>
      </c>
      <c r="D4094">
        <v>610619</v>
      </c>
      <c r="E4094" t="s">
        <v>20</v>
      </c>
      <c r="F4094">
        <v>52194536</v>
      </c>
      <c r="G4094" t="s">
        <v>3561</v>
      </c>
      <c r="H4094">
        <v>100247140</v>
      </c>
      <c r="I4094">
        <v>202611</v>
      </c>
      <c r="J4094">
        <v>52194536</v>
      </c>
      <c r="K4094" t="s">
        <v>23</v>
      </c>
      <c r="L4094" t="s">
        <v>221</v>
      </c>
      <c r="M4094" t="s">
        <v>24</v>
      </c>
      <c r="N4094" t="s">
        <v>35</v>
      </c>
      <c r="O4094" t="s">
        <v>26</v>
      </c>
      <c r="P4094" t="s">
        <v>27</v>
      </c>
      <c r="Q4094" t="s">
        <v>28</v>
      </c>
      <c r="R4094" t="s">
        <v>29</v>
      </c>
      <c r="S4094" t="s">
        <v>30</v>
      </c>
      <c r="T4094">
        <v>45555807</v>
      </c>
      <c r="U4094" t="s">
        <v>3965</v>
      </c>
      <c r="V4094" t="s">
        <v>3934</v>
      </c>
      <c r="W4094" s="9">
        <f>IF(V4094="pregrado",31,
IF(V4094="posgrados",31,
IF(V4094="rEINTEGROS",7,
IF(V4094="BIT",90,
IF(V4094="OP GRADO - INGLÉS",17,"")))))</f>
        <v>31</v>
      </c>
      <c r="X4094" t="s">
        <v>4027</v>
      </c>
    </row>
    <row r="4095" spans="1:24" ht="15" x14ac:dyDescent="0.35">
      <c r="A4095" s="4">
        <v>46072.781122685185</v>
      </c>
      <c r="B4095">
        <v>20125048</v>
      </c>
      <c r="C4095" s="6" t="s">
        <v>19</v>
      </c>
      <c r="D4095">
        <v>610625</v>
      </c>
      <c r="E4095" t="s">
        <v>20</v>
      </c>
      <c r="F4095">
        <v>55132309</v>
      </c>
      <c r="G4095" t="s">
        <v>3446</v>
      </c>
      <c r="H4095">
        <v>200193321</v>
      </c>
      <c r="I4095">
        <v>202631</v>
      </c>
      <c r="J4095">
        <v>55132309</v>
      </c>
      <c r="K4095" t="s">
        <v>23</v>
      </c>
      <c r="L4095" t="s">
        <v>119</v>
      </c>
      <c r="M4095" t="s">
        <v>24</v>
      </c>
      <c r="N4095" t="s">
        <v>35</v>
      </c>
      <c r="O4095" t="s">
        <v>26</v>
      </c>
      <c r="P4095" t="s">
        <v>27</v>
      </c>
      <c r="Q4095" t="s">
        <v>28</v>
      </c>
      <c r="R4095" t="s">
        <v>29</v>
      </c>
      <c r="S4095" t="s">
        <v>30</v>
      </c>
      <c r="T4095">
        <v>1014283217</v>
      </c>
      <c r="U4095" t="s">
        <v>3963</v>
      </c>
      <c r="V4095" t="s">
        <v>3934</v>
      </c>
      <c r="W4095" s="9">
        <f>IF(V4095="pregrado",31,
IF(V4095="posgrados",31,
IF(V4095="rEINTEGROS",7,
IF(V4095="BIT",90,
IF(V4095="OP GRADO - INGLÉS",17,"")))))</f>
        <v>31</v>
      </c>
      <c r="X4095" t="s">
        <v>4023</v>
      </c>
    </row>
    <row r="4096" spans="1:24" ht="15" x14ac:dyDescent="0.35">
      <c r="A4096" s="4">
        <v>46073.518206018518</v>
      </c>
      <c r="B4096">
        <v>20125251</v>
      </c>
      <c r="C4096" s="6" t="s">
        <v>19</v>
      </c>
      <c r="D4096">
        <v>610626</v>
      </c>
      <c r="E4096" t="s">
        <v>20</v>
      </c>
      <c r="F4096">
        <v>1006835575</v>
      </c>
      <c r="G4096" t="s">
        <v>3471</v>
      </c>
      <c r="H4096">
        <v>100023897</v>
      </c>
      <c r="I4096">
        <v>202611</v>
      </c>
      <c r="J4096">
        <v>1006835575</v>
      </c>
      <c r="K4096" t="s">
        <v>23</v>
      </c>
      <c r="L4096" t="s">
        <v>221</v>
      </c>
      <c r="M4096" t="s">
        <v>24</v>
      </c>
      <c r="N4096" t="s">
        <v>25</v>
      </c>
      <c r="O4096" t="s">
        <v>26</v>
      </c>
      <c r="P4096" t="s">
        <v>27</v>
      </c>
      <c r="Q4096" t="s">
        <v>28</v>
      </c>
      <c r="R4096" t="s">
        <v>29</v>
      </c>
      <c r="S4096" t="s">
        <v>30</v>
      </c>
      <c r="T4096">
        <v>1030651078</v>
      </c>
      <c r="U4096" t="s">
        <v>3965</v>
      </c>
      <c r="V4096" t="s">
        <v>3934</v>
      </c>
      <c r="W4096" s="9">
        <f>IF(V4096="pregrado",31,
IF(V4096="posgrados",31,
IF(V4096="rEINTEGROS",7,
IF(V4096="BIT",90,
IF(V4096="OP GRADO - INGLÉS",17,"")))))</f>
        <v>31</v>
      </c>
      <c r="X4096" t="s">
        <v>4085</v>
      </c>
    </row>
    <row r="4097" spans="1:24" ht="15" x14ac:dyDescent="0.35">
      <c r="A4097" s="4">
        <v>46076.683252314811</v>
      </c>
      <c r="B4097">
        <v>20125754</v>
      </c>
      <c r="C4097" s="6" t="s">
        <v>19</v>
      </c>
      <c r="D4097">
        <v>610633</v>
      </c>
      <c r="E4097" t="s">
        <v>20</v>
      </c>
      <c r="F4097">
        <v>1123996653</v>
      </c>
      <c r="G4097" t="s">
        <v>3557</v>
      </c>
      <c r="H4097">
        <v>100161224</v>
      </c>
      <c r="I4097">
        <v>202611</v>
      </c>
      <c r="J4097">
        <v>1124485682</v>
      </c>
      <c r="K4097" t="s">
        <v>23</v>
      </c>
      <c r="L4097" t="s">
        <v>221</v>
      </c>
      <c r="M4097" t="s">
        <v>24</v>
      </c>
      <c r="N4097" t="s">
        <v>35</v>
      </c>
      <c r="O4097" t="s">
        <v>26</v>
      </c>
      <c r="P4097" t="s">
        <v>27</v>
      </c>
      <c r="Q4097" t="s">
        <v>28</v>
      </c>
      <c r="R4097" t="s">
        <v>29</v>
      </c>
      <c r="S4097" t="s">
        <v>30</v>
      </c>
      <c r="T4097">
        <v>1016110979</v>
      </c>
      <c r="U4097" t="s">
        <v>3977</v>
      </c>
      <c r="V4097" t="s">
        <v>3970</v>
      </c>
      <c r="W4097" s="9">
        <f>IF(V4097="pregrado",31,
IF(V4097="posgrados",31,
IF(V4097="rEINTEGROS",7,
IF(V4097="BIT",90,
IF(V4097="OP GRADO - INGLÉS",17,"")))))</f>
        <v>7</v>
      </c>
      <c r="X4097" t="s">
        <v>4051</v>
      </c>
    </row>
    <row r="4098" spans="1:24" ht="15" x14ac:dyDescent="0.35">
      <c r="A4098" s="4">
        <v>46079.748912037037</v>
      </c>
      <c r="B4098">
        <v>20126683</v>
      </c>
      <c r="C4098" s="6" t="s">
        <v>19</v>
      </c>
      <c r="D4098">
        <v>610658</v>
      </c>
      <c r="E4098" t="s">
        <v>20</v>
      </c>
      <c r="F4098">
        <v>1001855394</v>
      </c>
      <c r="G4098" t="s">
        <v>3697</v>
      </c>
      <c r="H4098">
        <v>100247179</v>
      </c>
      <c r="I4098">
        <v>202631</v>
      </c>
      <c r="J4098">
        <v>1001855394</v>
      </c>
      <c r="K4098" t="s">
        <v>33</v>
      </c>
      <c r="L4098" t="s">
        <v>127</v>
      </c>
      <c r="M4098" t="s">
        <v>24</v>
      </c>
      <c r="N4098" t="s">
        <v>35</v>
      </c>
      <c r="O4098" t="s">
        <v>26</v>
      </c>
      <c r="P4098" t="s">
        <v>27</v>
      </c>
      <c r="Q4098" t="s">
        <v>28</v>
      </c>
      <c r="R4098" t="s">
        <v>29</v>
      </c>
      <c r="S4098" t="s">
        <v>30</v>
      </c>
      <c r="T4098">
        <v>1003690112</v>
      </c>
      <c r="U4098" t="s">
        <v>3933</v>
      </c>
      <c r="V4098" t="s">
        <v>3934</v>
      </c>
      <c r="W4098" s="9">
        <f>IF(V4098="pregrado",31,
IF(V4098="posgrados",31,
IF(V4098="rEINTEGROS",7,
IF(V4098="BIT",90,
IF(V4098="OP GRADO - INGLÉS",17,"")))))</f>
        <v>31</v>
      </c>
      <c r="X4098" t="s">
        <v>4061</v>
      </c>
    </row>
    <row r="4099" spans="1:24" ht="15" x14ac:dyDescent="0.35">
      <c r="A4099" s="4">
        <v>46079.771805555552</v>
      </c>
      <c r="B4099">
        <v>20126697</v>
      </c>
      <c r="C4099" s="6" t="s">
        <v>19</v>
      </c>
      <c r="D4099">
        <v>610659</v>
      </c>
      <c r="E4099" t="s">
        <v>20</v>
      </c>
      <c r="F4099">
        <v>82360046</v>
      </c>
      <c r="G4099" t="s">
        <v>3701</v>
      </c>
      <c r="H4099">
        <v>200184161</v>
      </c>
      <c r="I4099">
        <v>202631</v>
      </c>
      <c r="J4099">
        <v>1193481217</v>
      </c>
      <c r="K4099" t="s">
        <v>33</v>
      </c>
      <c r="L4099" t="s">
        <v>119</v>
      </c>
      <c r="M4099" t="s">
        <v>24</v>
      </c>
      <c r="N4099" t="s">
        <v>35</v>
      </c>
      <c r="O4099" t="s">
        <v>26</v>
      </c>
      <c r="P4099" t="s">
        <v>27</v>
      </c>
      <c r="Q4099" t="s">
        <v>28</v>
      </c>
      <c r="R4099" t="s">
        <v>29</v>
      </c>
      <c r="S4099" t="s">
        <v>30</v>
      </c>
      <c r="T4099">
        <v>53040709</v>
      </c>
      <c r="U4099" t="s">
        <v>3963</v>
      </c>
      <c r="V4099" t="s">
        <v>3934</v>
      </c>
      <c r="W4099" s="9">
        <f>IF(V4099="pregrado",31,
IF(V4099="posgrados",31,
IF(V4099="rEINTEGROS",7,
IF(V4099="BIT",90,
IF(V4099="OP GRADO - INGLÉS",17,"")))))</f>
        <v>31</v>
      </c>
      <c r="X4099" t="s">
        <v>3994</v>
      </c>
    </row>
    <row r="4100" spans="1:24" ht="15" x14ac:dyDescent="0.35">
      <c r="A4100" s="4">
        <v>46075.714201388888</v>
      </c>
      <c r="B4100">
        <v>20125548</v>
      </c>
      <c r="C4100" s="6" t="s">
        <v>19</v>
      </c>
      <c r="D4100">
        <v>610676</v>
      </c>
      <c r="E4100" t="s">
        <v>20</v>
      </c>
      <c r="F4100">
        <v>57290135</v>
      </c>
      <c r="G4100" t="s">
        <v>3523</v>
      </c>
      <c r="H4100">
        <v>100247207</v>
      </c>
      <c r="I4100">
        <v>202611</v>
      </c>
      <c r="J4100">
        <v>1047412565</v>
      </c>
      <c r="K4100" t="s">
        <v>23</v>
      </c>
      <c r="L4100" t="s">
        <v>221</v>
      </c>
      <c r="M4100" t="s">
        <v>24</v>
      </c>
      <c r="N4100" t="s">
        <v>35</v>
      </c>
      <c r="O4100" t="s">
        <v>26</v>
      </c>
      <c r="P4100" t="s">
        <v>27</v>
      </c>
      <c r="Q4100" t="s">
        <v>28</v>
      </c>
      <c r="R4100" t="s">
        <v>29</v>
      </c>
      <c r="S4100" t="s">
        <v>30</v>
      </c>
      <c r="T4100">
        <v>52342867</v>
      </c>
      <c r="U4100" t="s">
        <v>3965</v>
      </c>
      <c r="V4100" t="s">
        <v>3934</v>
      </c>
      <c r="W4100" s="9">
        <f>IF(V4100="pregrado",31,
IF(V4100="posgrados",31,
IF(V4100="rEINTEGROS",7,
IF(V4100="BIT",90,
IF(V4100="OP GRADO - INGLÉS",17,"")))))</f>
        <v>31</v>
      </c>
      <c r="X4100" t="s">
        <v>4047</v>
      </c>
    </row>
    <row r="4101" spans="1:24" ht="15" x14ac:dyDescent="0.35">
      <c r="A4101" s="4">
        <v>46073.439502314817</v>
      </c>
      <c r="B4101">
        <v>20125159</v>
      </c>
      <c r="C4101" s="6" t="s">
        <v>19</v>
      </c>
      <c r="D4101">
        <v>610678</v>
      </c>
      <c r="E4101" t="s">
        <v>20</v>
      </c>
      <c r="F4101">
        <v>1127060654</v>
      </c>
      <c r="G4101" t="s">
        <v>3460</v>
      </c>
      <c r="H4101">
        <v>100244683</v>
      </c>
      <c r="I4101">
        <v>202611</v>
      </c>
      <c r="J4101">
        <v>1127060654</v>
      </c>
      <c r="K4101" t="s">
        <v>33</v>
      </c>
      <c r="L4101" t="s">
        <v>204</v>
      </c>
      <c r="M4101" t="s">
        <v>24</v>
      </c>
      <c r="N4101" t="s">
        <v>35</v>
      </c>
      <c r="O4101" t="s">
        <v>26</v>
      </c>
      <c r="P4101" t="s">
        <v>27</v>
      </c>
      <c r="Q4101" t="s">
        <v>28</v>
      </c>
      <c r="R4101" t="s">
        <v>29</v>
      </c>
      <c r="S4101" t="s">
        <v>30</v>
      </c>
      <c r="T4101">
        <v>1019115186</v>
      </c>
      <c r="U4101" t="s">
        <v>3941</v>
      </c>
      <c r="V4101" t="s">
        <v>3934</v>
      </c>
      <c r="W4101" s="9">
        <f>IF(V4101="pregrado",31,
IF(V4101="posgrados",31,
IF(V4101="rEINTEGROS",7,
IF(V4101="BIT",90,
IF(V4101="OP GRADO - INGLÉS",17,"")))))</f>
        <v>31</v>
      </c>
      <c r="X4101" t="s">
        <v>4005</v>
      </c>
    </row>
    <row r="4102" spans="1:24" ht="15" x14ac:dyDescent="0.35">
      <c r="A4102" s="4">
        <v>46073.530798611115</v>
      </c>
      <c r="B4102">
        <v>20125254</v>
      </c>
      <c r="C4102" s="6" t="s">
        <v>19</v>
      </c>
      <c r="D4102">
        <v>610697</v>
      </c>
      <c r="E4102" t="s">
        <v>20</v>
      </c>
      <c r="F4102">
        <v>1107515650</v>
      </c>
      <c r="G4102" t="s">
        <v>3472</v>
      </c>
      <c r="H4102">
        <v>100067045</v>
      </c>
      <c r="I4102">
        <v>202611</v>
      </c>
      <c r="J4102">
        <v>1107515650</v>
      </c>
      <c r="K4102" t="s">
        <v>89</v>
      </c>
      <c r="L4102" t="s">
        <v>133</v>
      </c>
      <c r="M4102" t="s">
        <v>24</v>
      </c>
      <c r="N4102" t="s">
        <v>35</v>
      </c>
      <c r="O4102" t="s">
        <v>26</v>
      </c>
      <c r="P4102" t="s">
        <v>27</v>
      </c>
      <c r="Q4102" t="s">
        <v>28</v>
      </c>
      <c r="R4102" t="s">
        <v>29</v>
      </c>
      <c r="S4102" t="s">
        <v>30</v>
      </c>
      <c r="T4102">
        <v>1023899450</v>
      </c>
      <c r="U4102" t="s">
        <v>3969</v>
      </c>
      <c r="V4102" t="s">
        <v>3970</v>
      </c>
      <c r="W4102" s="9">
        <f>IF(V4102="pregrado",31,
IF(V4102="posgrados",31,
IF(V4102="rEINTEGROS",7,
IF(V4102="BIT",90,
IF(V4102="OP GRADO - INGLÉS",17,"")))))</f>
        <v>7</v>
      </c>
      <c r="X4102" t="s">
        <v>3969</v>
      </c>
    </row>
    <row r="4103" spans="1:24" ht="15" x14ac:dyDescent="0.35">
      <c r="A4103" s="4">
        <v>46079.588854166665</v>
      </c>
      <c r="B4103">
        <v>20126557</v>
      </c>
      <c r="C4103" s="6" t="s">
        <v>19</v>
      </c>
      <c r="D4103">
        <v>610703</v>
      </c>
      <c r="E4103" t="s">
        <v>20</v>
      </c>
      <c r="F4103">
        <v>1082409161</v>
      </c>
      <c r="G4103" t="s">
        <v>3669</v>
      </c>
      <c r="H4103">
        <v>100236570</v>
      </c>
      <c r="I4103">
        <v>202631</v>
      </c>
      <c r="J4103">
        <v>1082409161</v>
      </c>
      <c r="K4103" t="s">
        <v>33</v>
      </c>
      <c r="L4103" t="s">
        <v>101</v>
      </c>
      <c r="M4103" t="s">
        <v>24</v>
      </c>
      <c r="N4103" t="s">
        <v>35</v>
      </c>
      <c r="O4103" t="s">
        <v>26</v>
      </c>
      <c r="P4103" t="s">
        <v>27</v>
      </c>
      <c r="Q4103" t="s">
        <v>28</v>
      </c>
      <c r="R4103" t="s">
        <v>29</v>
      </c>
      <c r="S4103" t="s">
        <v>30</v>
      </c>
      <c r="T4103">
        <v>53040709</v>
      </c>
      <c r="U4103" t="s">
        <v>3963</v>
      </c>
      <c r="V4103" t="s">
        <v>3934</v>
      </c>
      <c r="W4103" s="9">
        <f>IF(V4103="pregrado",31,
IF(V4103="posgrados",31,
IF(V4103="rEINTEGROS",7,
IF(V4103="BIT",90,
IF(V4103="OP GRADO - INGLÉS",17,"")))))</f>
        <v>31</v>
      </c>
      <c r="X4103" t="s">
        <v>3994</v>
      </c>
    </row>
    <row r="4104" spans="1:24" ht="15" x14ac:dyDescent="0.35">
      <c r="A4104" s="4">
        <v>46073.717511574076</v>
      </c>
      <c r="B4104">
        <v>20125390</v>
      </c>
      <c r="C4104" s="6" t="s">
        <v>19</v>
      </c>
      <c r="D4104">
        <v>610708</v>
      </c>
      <c r="E4104" t="s">
        <v>20</v>
      </c>
      <c r="F4104">
        <v>1102810766</v>
      </c>
      <c r="G4104" t="s">
        <v>3497</v>
      </c>
      <c r="H4104">
        <v>100247231</v>
      </c>
      <c r="I4104">
        <v>202631</v>
      </c>
      <c r="J4104">
        <v>1102810766</v>
      </c>
      <c r="K4104" t="s">
        <v>23</v>
      </c>
      <c r="L4104" t="s">
        <v>207</v>
      </c>
      <c r="M4104" t="s">
        <v>24</v>
      </c>
      <c r="N4104" t="s">
        <v>35</v>
      </c>
      <c r="O4104" t="s">
        <v>26</v>
      </c>
      <c r="P4104" t="s">
        <v>27</v>
      </c>
      <c r="Q4104" t="s">
        <v>28</v>
      </c>
      <c r="R4104" t="s">
        <v>29</v>
      </c>
      <c r="S4104" t="s">
        <v>30</v>
      </c>
      <c r="T4104">
        <v>1015407851</v>
      </c>
      <c r="U4104" t="s">
        <v>3944</v>
      </c>
      <c r="V4104" t="s">
        <v>3934</v>
      </c>
      <c r="W4104" s="9">
        <f>IF(V4104="pregrado",31,
IF(V4104="posgrados",31,
IF(V4104="rEINTEGROS",7,
IF(V4104="BIT",90,
IF(V4104="OP GRADO - INGLÉS",17,"")))))</f>
        <v>31</v>
      </c>
      <c r="X4104" t="s">
        <v>4102</v>
      </c>
    </row>
    <row r="4105" spans="1:24" ht="15" x14ac:dyDescent="0.35">
      <c r="A4105" s="4">
        <v>46073.709641203706</v>
      </c>
      <c r="B4105">
        <v>20125379</v>
      </c>
      <c r="C4105" s="6" t="s">
        <v>19</v>
      </c>
      <c r="D4105">
        <v>610714</v>
      </c>
      <c r="E4105" t="s">
        <v>20</v>
      </c>
      <c r="F4105">
        <v>1089288611</v>
      </c>
      <c r="G4105" t="s">
        <v>3495</v>
      </c>
      <c r="H4105">
        <v>100247236</v>
      </c>
      <c r="I4105">
        <v>202631</v>
      </c>
      <c r="J4105">
        <v>1089288611</v>
      </c>
      <c r="K4105" t="s">
        <v>33</v>
      </c>
      <c r="L4105" t="s">
        <v>240</v>
      </c>
      <c r="M4105" t="s">
        <v>24</v>
      </c>
      <c r="N4105" t="s">
        <v>35</v>
      </c>
      <c r="O4105" t="s">
        <v>26</v>
      </c>
      <c r="P4105" t="s">
        <v>27</v>
      </c>
      <c r="Q4105" t="s">
        <v>28</v>
      </c>
      <c r="R4105" t="s">
        <v>29</v>
      </c>
      <c r="S4105" t="s">
        <v>30</v>
      </c>
      <c r="T4105">
        <v>1001277801</v>
      </c>
      <c r="U4105" t="s">
        <v>3965</v>
      </c>
      <c r="V4105" t="s">
        <v>3934</v>
      </c>
      <c r="W4105" s="9">
        <f>IF(V4105="pregrado",31,
IF(V4105="posgrados",31,
IF(V4105="rEINTEGROS",7,
IF(V4105="BIT",90,
IF(V4105="OP GRADO - INGLÉS",17,"")))))</f>
        <v>31</v>
      </c>
      <c r="X4105" t="s">
        <v>4002</v>
      </c>
    </row>
    <row r="4106" spans="1:24" ht="15" x14ac:dyDescent="0.35">
      <c r="A4106" s="4">
        <v>46079.727129629631</v>
      </c>
      <c r="B4106">
        <v>20126664</v>
      </c>
      <c r="C4106" s="6" t="s">
        <v>19</v>
      </c>
      <c r="D4106">
        <v>610716</v>
      </c>
      <c r="E4106" t="s">
        <v>20</v>
      </c>
      <c r="F4106">
        <v>1015454502</v>
      </c>
      <c r="G4106" t="s">
        <v>3692</v>
      </c>
      <c r="H4106">
        <v>100247238</v>
      </c>
      <c r="I4106">
        <v>202631</v>
      </c>
      <c r="J4106">
        <v>1015454502</v>
      </c>
      <c r="K4106" t="s">
        <v>74</v>
      </c>
      <c r="L4106" t="s">
        <v>207</v>
      </c>
      <c r="M4106" t="s">
        <v>24</v>
      </c>
      <c r="N4106" t="s">
        <v>35</v>
      </c>
      <c r="O4106" t="s">
        <v>26</v>
      </c>
      <c r="P4106" t="s">
        <v>27</v>
      </c>
      <c r="Q4106" t="s">
        <v>28</v>
      </c>
      <c r="R4106" t="s">
        <v>29</v>
      </c>
      <c r="S4106" t="s">
        <v>30</v>
      </c>
      <c r="T4106">
        <v>52876433</v>
      </c>
      <c r="U4106" t="s">
        <v>3986</v>
      </c>
      <c r="V4106" t="s">
        <v>3934</v>
      </c>
      <c r="W4106" s="9">
        <f>IF(V4106="pregrado",31,
IF(V4106="posgrados",31,
IF(V4106="rEINTEGROS",7,
IF(V4106="BIT",90,
IF(V4106="OP GRADO - INGLÉS",17,"")))))</f>
        <v>31</v>
      </c>
      <c r="X4106" t="s">
        <v>4078</v>
      </c>
    </row>
    <row r="4107" spans="1:24" ht="15" x14ac:dyDescent="0.35">
      <c r="A4107" s="4">
        <v>46073.662210648145</v>
      </c>
      <c r="B4107">
        <v>20125337</v>
      </c>
      <c r="C4107" s="6" t="s">
        <v>19</v>
      </c>
      <c r="D4107">
        <v>610725</v>
      </c>
      <c r="E4107" t="s">
        <v>20</v>
      </c>
      <c r="F4107">
        <v>1026260411</v>
      </c>
      <c r="G4107" t="s">
        <v>3487</v>
      </c>
      <c r="H4107">
        <v>100247250</v>
      </c>
      <c r="I4107">
        <v>202631</v>
      </c>
      <c r="J4107">
        <v>1026260411</v>
      </c>
      <c r="K4107" t="s">
        <v>33</v>
      </c>
      <c r="L4107" t="s">
        <v>90</v>
      </c>
      <c r="M4107" t="s">
        <v>24</v>
      </c>
      <c r="N4107" t="s">
        <v>38</v>
      </c>
      <c r="O4107" t="s">
        <v>26</v>
      </c>
      <c r="P4107" t="s">
        <v>27</v>
      </c>
      <c r="Q4107" t="s">
        <v>28</v>
      </c>
      <c r="R4107" t="s">
        <v>29</v>
      </c>
      <c r="S4107" t="s">
        <v>30</v>
      </c>
      <c r="T4107">
        <v>1023370559</v>
      </c>
      <c r="U4107" t="s">
        <v>3933</v>
      </c>
      <c r="V4107" t="s">
        <v>3934</v>
      </c>
      <c r="W4107" s="9">
        <f>IF(V4107="pregrado",31,
IF(V4107="posgrados",31,
IF(V4107="rEINTEGROS",7,
IF(V4107="BIT",90,
IF(V4107="OP GRADO - INGLÉS",17,"")))))</f>
        <v>31</v>
      </c>
      <c r="X4107" t="s">
        <v>4017</v>
      </c>
    </row>
    <row r="4108" spans="1:24" ht="15" x14ac:dyDescent="0.35">
      <c r="A4108" s="4">
        <v>46076.401423611111</v>
      </c>
      <c r="B4108">
        <v>20125575</v>
      </c>
      <c r="C4108" s="6" t="s">
        <v>19</v>
      </c>
      <c r="D4108">
        <v>610731</v>
      </c>
      <c r="E4108" t="s">
        <v>20</v>
      </c>
      <c r="F4108">
        <v>88030056</v>
      </c>
      <c r="G4108" t="s">
        <v>3531</v>
      </c>
      <c r="H4108">
        <v>200193222</v>
      </c>
      <c r="I4108">
        <v>202631</v>
      </c>
      <c r="J4108">
        <v>88030056</v>
      </c>
      <c r="K4108" t="s">
        <v>23</v>
      </c>
      <c r="L4108" t="s">
        <v>77</v>
      </c>
      <c r="M4108" t="s">
        <v>24</v>
      </c>
      <c r="N4108" t="s">
        <v>35</v>
      </c>
      <c r="O4108" t="s">
        <v>26</v>
      </c>
      <c r="P4108" t="s">
        <v>27</v>
      </c>
      <c r="Q4108" t="s">
        <v>28</v>
      </c>
      <c r="R4108" t="s">
        <v>29</v>
      </c>
      <c r="S4108" t="s">
        <v>30</v>
      </c>
      <c r="T4108">
        <v>1023975276</v>
      </c>
      <c r="U4108" t="s">
        <v>3963</v>
      </c>
      <c r="V4108" t="s">
        <v>3934</v>
      </c>
      <c r="W4108" s="9">
        <f>IF(V4108="pregrado",31,
IF(V4108="posgrados",31,
IF(V4108="rEINTEGROS",7,
IF(V4108="BIT",90,
IF(V4108="OP GRADO - INGLÉS",17,"")))))</f>
        <v>31</v>
      </c>
      <c r="X4108" t="s">
        <v>3962</v>
      </c>
    </row>
    <row r="4109" spans="1:24" ht="15" x14ac:dyDescent="0.35">
      <c r="A4109" s="4">
        <v>46073.619930555556</v>
      </c>
      <c r="B4109">
        <v>20125296</v>
      </c>
      <c r="C4109" s="6" t="s">
        <v>19</v>
      </c>
      <c r="D4109">
        <v>610734</v>
      </c>
      <c r="E4109" t="s">
        <v>20</v>
      </c>
      <c r="F4109">
        <v>1120841108</v>
      </c>
      <c r="G4109" t="s">
        <v>3478</v>
      </c>
      <c r="H4109">
        <v>100247196</v>
      </c>
      <c r="I4109">
        <v>202631</v>
      </c>
      <c r="J4109">
        <v>1120841108</v>
      </c>
      <c r="K4109" t="s">
        <v>33</v>
      </c>
      <c r="L4109" t="s">
        <v>207</v>
      </c>
      <c r="M4109" t="s">
        <v>24</v>
      </c>
      <c r="N4109" t="s">
        <v>38</v>
      </c>
      <c r="O4109" t="s">
        <v>26</v>
      </c>
      <c r="P4109" t="s">
        <v>27</v>
      </c>
      <c r="Q4109" t="s">
        <v>28</v>
      </c>
      <c r="R4109" t="s">
        <v>29</v>
      </c>
      <c r="S4109" t="s">
        <v>30</v>
      </c>
      <c r="T4109">
        <v>80021358</v>
      </c>
      <c r="U4109" t="s">
        <v>3986</v>
      </c>
      <c r="V4109" t="s">
        <v>3934</v>
      </c>
      <c r="W4109" s="9">
        <f>IF(V4109="pregrado",31,
IF(V4109="posgrados",31,
IF(V4109="rEINTEGROS",7,
IF(V4109="BIT",90,
IF(V4109="OP GRADO - INGLÉS",17,"")))))</f>
        <v>31</v>
      </c>
      <c r="X4109" t="s">
        <v>3995</v>
      </c>
    </row>
    <row r="4110" spans="1:24" ht="15" x14ac:dyDescent="0.35">
      <c r="A4110" s="4">
        <v>46076.513090277775</v>
      </c>
      <c r="B4110">
        <v>20125644</v>
      </c>
      <c r="C4110" s="6" t="s">
        <v>19</v>
      </c>
      <c r="D4110">
        <v>610737</v>
      </c>
      <c r="E4110" t="s">
        <v>20</v>
      </c>
      <c r="F4110">
        <v>1006440528</v>
      </c>
      <c r="G4110" t="s">
        <v>3541</v>
      </c>
      <c r="H4110">
        <v>100247259</v>
      </c>
      <c r="I4110">
        <v>202631</v>
      </c>
      <c r="J4110">
        <v>1006440528</v>
      </c>
      <c r="K4110" t="s">
        <v>33</v>
      </c>
      <c r="L4110" t="s">
        <v>370</v>
      </c>
      <c r="M4110" t="s">
        <v>24</v>
      </c>
      <c r="N4110" t="s">
        <v>35</v>
      </c>
      <c r="O4110" t="s">
        <v>26</v>
      </c>
      <c r="P4110" t="s">
        <v>27</v>
      </c>
      <c r="Q4110" t="s">
        <v>28</v>
      </c>
      <c r="R4110" t="s">
        <v>29</v>
      </c>
      <c r="S4110" t="s">
        <v>30</v>
      </c>
      <c r="T4110">
        <v>1023975276</v>
      </c>
      <c r="U4110" t="s">
        <v>3963</v>
      </c>
      <c r="V4110" t="s">
        <v>3934</v>
      </c>
      <c r="W4110" s="9">
        <f>IF(V4110="pregrado",31,
IF(V4110="posgrados",31,
IF(V4110="rEINTEGROS",7,
IF(V4110="BIT",90,
IF(V4110="OP GRADO - INGLÉS",17,"")))))</f>
        <v>31</v>
      </c>
      <c r="X4110" t="s">
        <v>3962</v>
      </c>
    </row>
    <row r="4111" spans="1:24" ht="15" x14ac:dyDescent="0.35">
      <c r="A4111" s="4">
        <v>46074.398449074077</v>
      </c>
      <c r="B4111">
        <v>20125478</v>
      </c>
      <c r="C4111" s="6" t="s">
        <v>19</v>
      </c>
      <c r="D4111">
        <v>610756</v>
      </c>
      <c r="E4111" t="s">
        <v>20</v>
      </c>
      <c r="F4111">
        <v>1084730818</v>
      </c>
      <c r="G4111" t="s">
        <v>3508</v>
      </c>
      <c r="H4111">
        <v>200121677</v>
      </c>
      <c r="I4111">
        <v>202631</v>
      </c>
      <c r="J4111">
        <v>1084730818</v>
      </c>
      <c r="K4111" t="s">
        <v>23</v>
      </c>
      <c r="L4111" t="s">
        <v>119</v>
      </c>
      <c r="M4111" t="s">
        <v>24</v>
      </c>
      <c r="N4111" t="s">
        <v>35</v>
      </c>
      <c r="O4111" t="s">
        <v>26</v>
      </c>
      <c r="P4111" t="s">
        <v>27</v>
      </c>
      <c r="Q4111" t="s">
        <v>28</v>
      </c>
      <c r="R4111" t="s">
        <v>29</v>
      </c>
      <c r="S4111" t="s">
        <v>30</v>
      </c>
      <c r="T4111">
        <v>1014283217</v>
      </c>
      <c r="U4111" t="s">
        <v>3963</v>
      </c>
      <c r="V4111" t="s">
        <v>3934</v>
      </c>
      <c r="W4111" s="9">
        <f>IF(V4111="pregrado",31,
IF(V4111="posgrados",31,
IF(V4111="rEINTEGROS",7,
IF(V4111="BIT",90,
IF(V4111="OP GRADO - INGLÉS",17,"")))))</f>
        <v>31</v>
      </c>
      <c r="X4111" t="s">
        <v>4023</v>
      </c>
    </row>
    <row r="4112" spans="1:24" ht="15" x14ac:dyDescent="0.35">
      <c r="A4112" s="4">
        <v>46076.548020833332</v>
      </c>
      <c r="B4112">
        <v>20125665</v>
      </c>
      <c r="C4112" s="6" t="s">
        <v>19</v>
      </c>
      <c r="D4112">
        <v>610757</v>
      </c>
      <c r="E4112" t="s">
        <v>20</v>
      </c>
      <c r="F4112">
        <v>79167686</v>
      </c>
      <c r="G4112" t="s">
        <v>3544</v>
      </c>
      <c r="H4112">
        <v>100247280</v>
      </c>
      <c r="I4112">
        <v>202631</v>
      </c>
      <c r="J4112">
        <v>1070592749</v>
      </c>
      <c r="K4112" t="s">
        <v>23</v>
      </c>
      <c r="L4112" t="s">
        <v>231</v>
      </c>
      <c r="M4112" t="s">
        <v>24</v>
      </c>
      <c r="N4112" t="s">
        <v>25</v>
      </c>
      <c r="O4112" t="s">
        <v>26</v>
      </c>
      <c r="P4112" t="s">
        <v>27</v>
      </c>
      <c r="Q4112" t="s">
        <v>28</v>
      </c>
      <c r="R4112" t="s">
        <v>29</v>
      </c>
      <c r="S4112" t="s">
        <v>30</v>
      </c>
      <c r="T4112">
        <v>1030651078</v>
      </c>
      <c r="U4112" t="s">
        <v>3965</v>
      </c>
      <c r="V4112" t="s">
        <v>3934</v>
      </c>
      <c r="W4112" s="9">
        <f>IF(V4112="pregrado",31,
IF(V4112="posgrados",31,
IF(V4112="rEINTEGROS",7,
IF(V4112="BIT",90,
IF(V4112="OP GRADO - INGLÉS",17,"")))))</f>
        <v>31</v>
      </c>
      <c r="X4112" t="s">
        <v>4085</v>
      </c>
    </row>
    <row r="4113" spans="1:24" ht="15" x14ac:dyDescent="0.35">
      <c r="A4113" s="4">
        <v>46073.692604166667</v>
      </c>
      <c r="B4113">
        <v>20125361</v>
      </c>
      <c r="C4113" s="6" t="s">
        <v>19</v>
      </c>
      <c r="D4113">
        <v>610759</v>
      </c>
      <c r="E4113" t="s">
        <v>20</v>
      </c>
      <c r="F4113">
        <v>1007392870</v>
      </c>
      <c r="G4113" t="s">
        <v>3490</v>
      </c>
      <c r="H4113">
        <v>100152314</v>
      </c>
      <c r="I4113">
        <v>202610</v>
      </c>
      <c r="J4113">
        <v>1007392870</v>
      </c>
      <c r="K4113" t="s">
        <v>89</v>
      </c>
      <c r="L4113" t="s">
        <v>79</v>
      </c>
      <c r="M4113" t="s">
        <v>24</v>
      </c>
      <c r="N4113" t="s">
        <v>35</v>
      </c>
      <c r="O4113" t="s">
        <v>26</v>
      </c>
      <c r="P4113" t="s">
        <v>27</v>
      </c>
      <c r="Q4113" t="s">
        <v>28</v>
      </c>
      <c r="R4113" t="s">
        <v>29</v>
      </c>
      <c r="S4113" t="s">
        <v>30</v>
      </c>
      <c r="T4113">
        <v>52168054</v>
      </c>
      <c r="U4113" t="s">
        <v>3977</v>
      </c>
      <c r="V4113" t="s">
        <v>3970</v>
      </c>
      <c r="W4113" s="9">
        <f>IF(V4113="pregrado",31,
IF(V4113="posgrados",31,
IF(V4113="rEINTEGROS",7,
IF(V4113="BIT",90,
IF(V4113="OP GRADO - INGLÉS",17,"")))))</f>
        <v>7</v>
      </c>
      <c r="X4113" t="s">
        <v>4057</v>
      </c>
    </row>
    <row r="4114" spans="1:24" ht="15" x14ac:dyDescent="0.35">
      <c r="A4114" s="4">
        <v>46073.745081018518</v>
      </c>
      <c r="B4114">
        <v>20125415</v>
      </c>
      <c r="C4114" s="6" t="s">
        <v>19</v>
      </c>
      <c r="D4114">
        <v>610762</v>
      </c>
      <c r="E4114" t="s">
        <v>20</v>
      </c>
      <c r="F4114">
        <v>79344039</v>
      </c>
      <c r="G4114" t="s">
        <v>3499</v>
      </c>
      <c r="H4114">
        <v>100226794</v>
      </c>
      <c r="I4114">
        <v>202610</v>
      </c>
      <c r="J4114">
        <v>1000788047</v>
      </c>
      <c r="K4114" t="s">
        <v>23</v>
      </c>
      <c r="L4114" t="s">
        <v>37</v>
      </c>
      <c r="M4114" t="s">
        <v>24</v>
      </c>
      <c r="N4114" t="s">
        <v>35</v>
      </c>
      <c r="O4114" t="s">
        <v>26</v>
      </c>
      <c r="P4114" t="s">
        <v>27</v>
      </c>
      <c r="Q4114" t="s">
        <v>28</v>
      </c>
      <c r="R4114" t="s">
        <v>29</v>
      </c>
      <c r="S4114" t="s">
        <v>30</v>
      </c>
      <c r="T4114">
        <v>1019115186</v>
      </c>
      <c r="U4114" t="s">
        <v>3941</v>
      </c>
      <c r="V4114" t="s">
        <v>3934</v>
      </c>
      <c r="W4114" s="9">
        <f>IF(V4114="pregrado",31,
IF(V4114="posgrados",31,
IF(V4114="rEINTEGROS",7,
IF(V4114="BIT",90,
IF(V4114="OP GRADO - INGLÉS",17,"")))))</f>
        <v>31</v>
      </c>
      <c r="X4114" t="s">
        <v>4005</v>
      </c>
    </row>
    <row r="4115" spans="1:24" ht="15" x14ac:dyDescent="0.35">
      <c r="A4115" s="4">
        <v>46073.750138888892</v>
      </c>
      <c r="B4115">
        <v>20125418</v>
      </c>
      <c r="C4115" s="6" t="s">
        <v>19</v>
      </c>
      <c r="D4115">
        <v>610768</v>
      </c>
      <c r="E4115" t="s">
        <v>20</v>
      </c>
      <c r="F4115">
        <v>1122337275</v>
      </c>
      <c r="G4115" t="s">
        <v>3500</v>
      </c>
      <c r="H4115">
        <v>100247289</v>
      </c>
      <c r="I4115">
        <v>202631</v>
      </c>
      <c r="J4115">
        <v>1122337275</v>
      </c>
      <c r="K4115" t="s">
        <v>23</v>
      </c>
      <c r="L4115" t="s">
        <v>32</v>
      </c>
      <c r="M4115" t="s">
        <v>24</v>
      </c>
      <c r="N4115" t="s">
        <v>35</v>
      </c>
      <c r="O4115" t="s">
        <v>26</v>
      </c>
      <c r="P4115" t="s">
        <v>27</v>
      </c>
      <c r="Q4115" t="s">
        <v>28</v>
      </c>
      <c r="R4115" t="s">
        <v>29</v>
      </c>
      <c r="S4115" t="s">
        <v>30</v>
      </c>
      <c r="T4115">
        <v>1006023129</v>
      </c>
      <c r="U4115" t="s">
        <v>3944</v>
      </c>
      <c r="V4115" t="s">
        <v>3934</v>
      </c>
      <c r="W4115" s="9">
        <f>IF(V4115="pregrado",31,
IF(V4115="posgrados",31,
IF(V4115="rEINTEGROS",7,
IF(V4115="BIT",90,
IF(V4115="OP GRADO - INGLÉS",17,"")))))</f>
        <v>31</v>
      </c>
      <c r="X4115" t="s">
        <v>3982</v>
      </c>
    </row>
    <row r="4116" spans="1:24" ht="15" x14ac:dyDescent="0.35">
      <c r="A4116" s="4">
        <v>46077.493819444448</v>
      </c>
      <c r="B4116">
        <v>20125968</v>
      </c>
      <c r="C4116" s="6" t="s">
        <v>19</v>
      </c>
      <c r="D4116">
        <v>610769</v>
      </c>
      <c r="E4116" t="s">
        <v>20</v>
      </c>
      <c r="F4116">
        <v>1000034423</v>
      </c>
      <c r="G4116" t="s">
        <v>3597</v>
      </c>
      <c r="H4116">
        <v>100246731</v>
      </c>
      <c r="I4116">
        <v>202631</v>
      </c>
      <c r="J4116">
        <v>1000034423</v>
      </c>
      <c r="K4116" t="s">
        <v>23</v>
      </c>
      <c r="L4116" t="s">
        <v>90</v>
      </c>
      <c r="M4116" t="s">
        <v>24</v>
      </c>
      <c r="N4116" t="s">
        <v>35</v>
      </c>
      <c r="O4116" t="s">
        <v>26</v>
      </c>
      <c r="P4116" t="s">
        <v>27</v>
      </c>
      <c r="Q4116" t="s">
        <v>28</v>
      </c>
      <c r="R4116" t="s">
        <v>29</v>
      </c>
      <c r="S4116" t="s">
        <v>30</v>
      </c>
      <c r="T4116">
        <v>1030525993</v>
      </c>
      <c r="U4116" t="s">
        <v>3933</v>
      </c>
      <c r="V4116" t="s">
        <v>3934</v>
      </c>
      <c r="W4116" s="9">
        <f>IF(V4116="pregrado",31,
IF(V4116="posgrados",31,
IF(V4116="rEINTEGROS",7,
IF(V4116="BIT",90,
IF(V4116="OP GRADO - INGLÉS",17,"")))))</f>
        <v>31</v>
      </c>
      <c r="X4116" t="s">
        <v>3956</v>
      </c>
    </row>
    <row r="4117" spans="1:24" ht="15" x14ac:dyDescent="0.35">
      <c r="A4117" s="4">
        <v>46073.739907407406</v>
      </c>
      <c r="B4117">
        <v>20125407</v>
      </c>
      <c r="C4117" s="6" t="s">
        <v>19</v>
      </c>
      <c r="D4117">
        <v>610774</v>
      </c>
      <c r="E4117" t="s">
        <v>20</v>
      </c>
      <c r="F4117">
        <v>1143148827</v>
      </c>
      <c r="G4117" t="s">
        <v>3498</v>
      </c>
      <c r="H4117">
        <v>100247297</v>
      </c>
      <c r="I4117">
        <v>202631</v>
      </c>
      <c r="J4117">
        <v>1143431317</v>
      </c>
      <c r="K4117" t="s">
        <v>23</v>
      </c>
      <c r="L4117" t="s">
        <v>90</v>
      </c>
      <c r="M4117" t="s">
        <v>24</v>
      </c>
      <c r="N4117" t="s">
        <v>35</v>
      </c>
      <c r="O4117" t="s">
        <v>26</v>
      </c>
      <c r="P4117" t="s">
        <v>27</v>
      </c>
      <c r="Q4117" t="s">
        <v>28</v>
      </c>
      <c r="R4117" t="s">
        <v>29</v>
      </c>
      <c r="S4117" t="s">
        <v>30</v>
      </c>
      <c r="T4117">
        <v>10245841021</v>
      </c>
      <c r="U4117" t="s">
        <v>3933</v>
      </c>
      <c r="V4117" t="s">
        <v>3934</v>
      </c>
      <c r="W4117" s="9">
        <f>IF(V4117="pregrado",31,
IF(V4117="posgrados",31,
IF(V4117="rEINTEGROS",7,
IF(V4117="BIT",90,
IF(V4117="OP GRADO - INGLÉS",17,"")))))</f>
        <v>31</v>
      </c>
      <c r="X4117" t="s">
        <v>3987</v>
      </c>
    </row>
    <row r="4118" spans="1:24" ht="15" x14ac:dyDescent="0.35">
      <c r="A4118" s="4">
        <v>46074.636435185188</v>
      </c>
      <c r="B4118">
        <v>20125532</v>
      </c>
      <c r="C4118" s="6" t="s">
        <v>19</v>
      </c>
      <c r="D4118">
        <v>610775</v>
      </c>
      <c r="E4118" t="s">
        <v>20</v>
      </c>
      <c r="F4118">
        <v>1116774915</v>
      </c>
      <c r="G4118" t="s">
        <v>3520</v>
      </c>
      <c r="H4118">
        <v>100247298</v>
      </c>
      <c r="I4118">
        <v>202611</v>
      </c>
      <c r="J4118">
        <v>1006456212</v>
      </c>
      <c r="K4118" t="s">
        <v>23</v>
      </c>
      <c r="L4118" t="s">
        <v>221</v>
      </c>
      <c r="M4118" t="s">
        <v>24</v>
      </c>
      <c r="N4118" t="s">
        <v>35</v>
      </c>
      <c r="O4118" t="s">
        <v>26</v>
      </c>
      <c r="P4118" t="s">
        <v>27</v>
      </c>
      <c r="Q4118" t="s">
        <v>28</v>
      </c>
      <c r="R4118" t="s">
        <v>29</v>
      </c>
      <c r="S4118" t="s">
        <v>30</v>
      </c>
      <c r="T4118">
        <v>45555807</v>
      </c>
      <c r="U4118" t="s">
        <v>3965</v>
      </c>
      <c r="V4118" t="s">
        <v>3934</v>
      </c>
      <c r="W4118" s="9">
        <f>IF(V4118="pregrado",31,
IF(V4118="posgrados",31,
IF(V4118="rEINTEGROS",7,
IF(V4118="BIT",90,
IF(V4118="OP GRADO - INGLÉS",17,"")))))</f>
        <v>31</v>
      </c>
      <c r="X4118" t="s">
        <v>4027</v>
      </c>
    </row>
    <row r="4119" spans="1:24" ht="15" x14ac:dyDescent="0.35">
      <c r="A4119" s="4">
        <v>46075.387650462966</v>
      </c>
      <c r="B4119">
        <v>20125540</v>
      </c>
      <c r="C4119" s="6" t="s">
        <v>19</v>
      </c>
      <c r="D4119">
        <v>610817</v>
      </c>
      <c r="E4119" t="s">
        <v>20</v>
      </c>
      <c r="F4119">
        <v>79627522</v>
      </c>
      <c r="G4119" t="s">
        <v>3522</v>
      </c>
      <c r="H4119">
        <v>100247336</v>
      </c>
      <c r="I4119">
        <v>202631</v>
      </c>
      <c r="J4119">
        <v>1012920450</v>
      </c>
      <c r="K4119" t="s">
        <v>23</v>
      </c>
      <c r="L4119" t="s">
        <v>127</v>
      </c>
      <c r="M4119" t="s">
        <v>24</v>
      </c>
      <c r="N4119" t="s">
        <v>35</v>
      </c>
      <c r="O4119" t="s">
        <v>26</v>
      </c>
      <c r="P4119" t="s">
        <v>27</v>
      </c>
      <c r="Q4119" t="s">
        <v>28</v>
      </c>
      <c r="R4119" t="s">
        <v>29</v>
      </c>
      <c r="S4119" t="s">
        <v>30</v>
      </c>
      <c r="T4119">
        <v>52342867</v>
      </c>
      <c r="U4119" t="s">
        <v>3965</v>
      </c>
      <c r="V4119" t="s">
        <v>3934</v>
      </c>
      <c r="W4119" s="9">
        <f>IF(V4119="pregrado",31,
IF(V4119="posgrados",31,
IF(V4119="rEINTEGROS",7,
IF(V4119="BIT",90,
IF(V4119="OP GRADO - INGLÉS",17,"")))))</f>
        <v>31</v>
      </c>
      <c r="X4119" t="s">
        <v>4047</v>
      </c>
    </row>
    <row r="4120" spans="1:24" ht="15" x14ac:dyDescent="0.35">
      <c r="A4120" s="4">
        <v>46076.553541666668</v>
      </c>
      <c r="B4120">
        <v>20125668</v>
      </c>
      <c r="C4120" s="6" t="s">
        <v>19</v>
      </c>
      <c r="D4120">
        <v>610826</v>
      </c>
      <c r="E4120" t="s">
        <v>20</v>
      </c>
      <c r="F4120">
        <v>1128046097</v>
      </c>
      <c r="G4120" t="s">
        <v>3545</v>
      </c>
      <c r="H4120">
        <v>100247347</v>
      </c>
      <c r="I4120">
        <v>202611</v>
      </c>
      <c r="J4120">
        <v>1128046097</v>
      </c>
      <c r="K4120" t="s">
        <v>23</v>
      </c>
      <c r="L4120" t="s">
        <v>221</v>
      </c>
      <c r="M4120" t="s">
        <v>24</v>
      </c>
      <c r="N4120" t="s">
        <v>35</v>
      </c>
      <c r="O4120" t="s">
        <v>26</v>
      </c>
      <c r="P4120" t="s">
        <v>27</v>
      </c>
      <c r="Q4120" t="s">
        <v>28</v>
      </c>
      <c r="R4120" t="s">
        <v>29</v>
      </c>
      <c r="S4120" t="s">
        <v>30</v>
      </c>
      <c r="T4120">
        <v>1022410450</v>
      </c>
      <c r="U4120" t="s">
        <v>3939</v>
      </c>
      <c r="V4120" t="s">
        <v>3934</v>
      </c>
      <c r="W4120" s="9">
        <f>IF(V4120="pregrado",31,
IF(V4120="posgrados",31,
IF(V4120="rEINTEGROS",7,
IF(V4120="BIT",90,
IF(V4120="OP GRADO - INGLÉS",17,"")))))</f>
        <v>31</v>
      </c>
      <c r="X4120" t="s">
        <v>4094</v>
      </c>
    </row>
    <row r="4121" spans="1:24" ht="15" x14ac:dyDescent="0.35">
      <c r="A4121" s="4">
        <v>46074.503240740742</v>
      </c>
      <c r="B4121">
        <v>20125520</v>
      </c>
      <c r="C4121" s="6" t="s">
        <v>19</v>
      </c>
      <c r="D4121">
        <v>610828</v>
      </c>
      <c r="E4121" t="s">
        <v>20</v>
      </c>
      <c r="F4121">
        <v>1085295410</v>
      </c>
      <c r="G4121" t="s">
        <v>3517</v>
      </c>
      <c r="H4121">
        <v>100247348</v>
      </c>
      <c r="I4121">
        <v>202631</v>
      </c>
      <c r="J4121">
        <v>1085295410</v>
      </c>
      <c r="K4121" t="s">
        <v>23</v>
      </c>
      <c r="L4121" t="s">
        <v>90</v>
      </c>
      <c r="M4121" t="s">
        <v>24</v>
      </c>
      <c r="N4121" t="s">
        <v>35</v>
      </c>
      <c r="O4121" t="s">
        <v>26</v>
      </c>
      <c r="P4121" t="s">
        <v>27</v>
      </c>
      <c r="Q4121" t="s">
        <v>28</v>
      </c>
      <c r="R4121" t="s">
        <v>29</v>
      </c>
      <c r="S4121" t="s">
        <v>30</v>
      </c>
      <c r="T4121">
        <v>1026299972</v>
      </c>
      <c r="U4121" t="s">
        <v>3933</v>
      </c>
      <c r="V4121" t="s">
        <v>3934</v>
      </c>
      <c r="W4121" s="9">
        <f>IF(V4121="pregrado",31,
IF(V4121="posgrados",31,
IF(V4121="rEINTEGROS",7,
IF(V4121="BIT",90,
IF(V4121="OP GRADO - INGLÉS",17,"")))))</f>
        <v>31</v>
      </c>
      <c r="X4121" t="s">
        <v>4052</v>
      </c>
    </row>
    <row r="4122" spans="1:24" ht="15" x14ac:dyDescent="0.35">
      <c r="A4122" s="4">
        <v>46076.510578703703</v>
      </c>
      <c r="B4122">
        <v>20125641</v>
      </c>
      <c r="C4122" s="6" t="s">
        <v>19</v>
      </c>
      <c r="D4122">
        <v>610836</v>
      </c>
      <c r="E4122" t="s">
        <v>20</v>
      </c>
      <c r="F4122">
        <v>1233889883</v>
      </c>
      <c r="G4122" t="s">
        <v>3539</v>
      </c>
      <c r="H4122">
        <v>100247354</v>
      </c>
      <c r="I4122">
        <v>202631</v>
      </c>
      <c r="J4122">
        <v>1233889883</v>
      </c>
      <c r="K4122" t="s">
        <v>33</v>
      </c>
      <c r="L4122" t="s">
        <v>207</v>
      </c>
      <c r="M4122" t="s">
        <v>24</v>
      </c>
      <c r="N4122" t="s">
        <v>38</v>
      </c>
      <c r="O4122" t="s">
        <v>26</v>
      </c>
      <c r="P4122" t="s">
        <v>27</v>
      </c>
      <c r="Q4122" t="s">
        <v>28</v>
      </c>
      <c r="R4122" t="s">
        <v>29</v>
      </c>
      <c r="S4122" t="s">
        <v>30</v>
      </c>
      <c r="T4122">
        <v>1118531834</v>
      </c>
      <c r="U4122" t="s">
        <v>3941</v>
      </c>
      <c r="V4122" t="s">
        <v>3934</v>
      </c>
      <c r="W4122" s="9">
        <f>IF(V4122="pregrado",31,
IF(V4122="posgrados",31,
IF(V4122="rEINTEGROS",7,
IF(V4122="BIT",90,
IF(V4122="OP GRADO - INGLÉS",17,"")))))</f>
        <v>31</v>
      </c>
      <c r="X4122" t="s">
        <v>3996</v>
      </c>
    </row>
    <row r="4123" spans="1:24" ht="15" x14ac:dyDescent="0.35">
      <c r="A4123" s="4">
        <v>46077.398101851853</v>
      </c>
      <c r="B4123">
        <v>20125899</v>
      </c>
      <c r="C4123" s="6" t="s">
        <v>19</v>
      </c>
      <c r="D4123">
        <v>610839</v>
      </c>
      <c r="E4123" t="s">
        <v>20</v>
      </c>
      <c r="F4123">
        <v>1049604820</v>
      </c>
      <c r="G4123" t="s">
        <v>3580</v>
      </c>
      <c r="H4123">
        <v>100247356</v>
      </c>
      <c r="I4123">
        <v>202610</v>
      </c>
      <c r="J4123">
        <v>1081056627</v>
      </c>
      <c r="K4123" t="s">
        <v>23</v>
      </c>
      <c r="L4123" t="s">
        <v>37</v>
      </c>
      <c r="M4123" t="s">
        <v>24</v>
      </c>
      <c r="N4123" t="s">
        <v>605</v>
      </c>
      <c r="O4123" t="s">
        <v>26</v>
      </c>
      <c r="P4123" t="s">
        <v>27</v>
      </c>
      <c r="Q4123" t="s">
        <v>28</v>
      </c>
      <c r="R4123" t="s">
        <v>29</v>
      </c>
      <c r="S4123" t="s">
        <v>30</v>
      </c>
      <c r="T4123">
        <v>1019115186</v>
      </c>
      <c r="U4123" t="s">
        <v>3941</v>
      </c>
      <c r="V4123" t="s">
        <v>3934</v>
      </c>
      <c r="W4123" s="9">
        <f>IF(V4123="pregrado",31,
IF(V4123="posgrados",31,
IF(V4123="rEINTEGROS",7,
IF(V4123="BIT",90,
IF(V4123="OP GRADO - INGLÉS",17,"")))))</f>
        <v>31</v>
      </c>
      <c r="X4123" t="s">
        <v>4005</v>
      </c>
    </row>
    <row r="4124" spans="1:24" ht="15" x14ac:dyDescent="0.35">
      <c r="A4124" s="4">
        <v>46076.695821759262</v>
      </c>
      <c r="B4124">
        <v>20125766</v>
      </c>
      <c r="C4124" s="6" t="s">
        <v>19</v>
      </c>
      <c r="D4124">
        <v>610850</v>
      </c>
      <c r="E4124" t="s">
        <v>20</v>
      </c>
      <c r="F4124">
        <v>1024538375</v>
      </c>
      <c r="G4124" t="s">
        <v>3559</v>
      </c>
      <c r="H4124">
        <v>900009982</v>
      </c>
      <c r="I4124">
        <v>202611</v>
      </c>
      <c r="J4124">
        <v>1024538375</v>
      </c>
      <c r="K4124" t="s">
        <v>23</v>
      </c>
      <c r="L4124" t="s">
        <v>221</v>
      </c>
      <c r="M4124" t="s">
        <v>24</v>
      </c>
      <c r="N4124" t="s">
        <v>35</v>
      </c>
      <c r="O4124" t="s">
        <v>26</v>
      </c>
      <c r="P4124" t="s">
        <v>27</v>
      </c>
      <c r="Q4124" t="s">
        <v>28</v>
      </c>
      <c r="R4124" t="s">
        <v>29</v>
      </c>
      <c r="S4124" t="s">
        <v>30</v>
      </c>
      <c r="T4124">
        <v>10006855461</v>
      </c>
      <c r="U4124" t="s">
        <v>3965</v>
      </c>
      <c r="V4124" t="s">
        <v>3934</v>
      </c>
      <c r="W4124" s="9">
        <f>IF(V4124="pregrado",31,
IF(V4124="posgrados",31,
IF(V4124="rEINTEGROS",7,
IF(V4124="BIT",90,
IF(V4124="OP GRADO - INGLÉS",17,"")))))</f>
        <v>31</v>
      </c>
      <c r="X4124" t="s">
        <v>3993</v>
      </c>
    </row>
    <row r="4125" spans="1:24" ht="15" x14ac:dyDescent="0.35">
      <c r="A4125" s="4">
        <v>46077.428668981483</v>
      </c>
      <c r="B4125">
        <v>20125921</v>
      </c>
      <c r="C4125" s="6" t="s">
        <v>19</v>
      </c>
      <c r="D4125">
        <v>610863</v>
      </c>
      <c r="E4125" t="s">
        <v>20</v>
      </c>
      <c r="F4125">
        <v>1102796397</v>
      </c>
      <c r="G4125" t="s">
        <v>3588</v>
      </c>
      <c r="H4125">
        <v>100247410</v>
      </c>
      <c r="I4125">
        <v>202611</v>
      </c>
      <c r="J4125">
        <v>1102796397</v>
      </c>
      <c r="K4125" t="s">
        <v>23</v>
      </c>
      <c r="L4125" t="s">
        <v>221</v>
      </c>
      <c r="M4125" t="s">
        <v>24</v>
      </c>
      <c r="N4125" t="s">
        <v>35</v>
      </c>
      <c r="O4125" t="s">
        <v>26</v>
      </c>
      <c r="P4125" t="s">
        <v>27</v>
      </c>
      <c r="Q4125" t="s">
        <v>28</v>
      </c>
      <c r="R4125" t="s">
        <v>29</v>
      </c>
      <c r="S4125" t="s">
        <v>30</v>
      </c>
      <c r="T4125">
        <v>52392617</v>
      </c>
      <c r="U4125" t="s">
        <v>3965</v>
      </c>
      <c r="V4125" t="s">
        <v>3934</v>
      </c>
      <c r="W4125" s="9">
        <f>IF(V4125="pregrado",31,
IF(V4125="posgrados",31,
IF(V4125="rEINTEGROS",7,
IF(V4125="BIT",90,
IF(V4125="OP GRADO - INGLÉS",17,"")))))</f>
        <v>31</v>
      </c>
      <c r="X4125" t="s">
        <v>4053</v>
      </c>
    </row>
    <row r="4126" spans="1:24" ht="15" x14ac:dyDescent="0.35">
      <c r="A4126" s="4">
        <v>46076.748101851852</v>
      </c>
      <c r="B4126">
        <v>20125823</v>
      </c>
      <c r="C4126" s="6" t="s">
        <v>19</v>
      </c>
      <c r="D4126">
        <v>610870</v>
      </c>
      <c r="E4126" t="s">
        <v>20</v>
      </c>
      <c r="F4126">
        <v>1143262574</v>
      </c>
      <c r="G4126" t="s">
        <v>3567</v>
      </c>
      <c r="H4126">
        <v>100247416</v>
      </c>
      <c r="I4126">
        <v>202631</v>
      </c>
      <c r="J4126">
        <v>1143262574</v>
      </c>
      <c r="K4126" t="s">
        <v>23</v>
      </c>
      <c r="L4126" t="s">
        <v>86</v>
      </c>
      <c r="M4126" t="s">
        <v>87</v>
      </c>
      <c r="N4126" t="s">
        <v>35</v>
      </c>
      <c r="O4126" t="s">
        <v>26</v>
      </c>
      <c r="P4126" t="s">
        <v>27</v>
      </c>
      <c r="Q4126" t="s">
        <v>28</v>
      </c>
      <c r="R4126" t="s">
        <v>29</v>
      </c>
      <c r="S4126" t="s">
        <v>30</v>
      </c>
      <c r="T4126">
        <v>1025460711</v>
      </c>
      <c r="U4126" t="s">
        <v>3933</v>
      </c>
      <c r="V4126" t="s">
        <v>3934</v>
      </c>
      <c r="W4126" s="9">
        <f>IF(V4126="pregrado",31,
IF(V4126="posgrados",31,
IF(V4126="rEINTEGROS",7,
IF(V4126="BIT",90,
IF(V4126="OP GRADO - INGLÉS",17,"")))))</f>
        <v>31</v>
      </c>
      <c r="X4126" t="s">
        <v>4062</v>
      </c>
    </row>
    <row r="4127" spans="1:24" ht="15" x14ac:dyDescent="0.35">
      <c r="A4127" s="4">
        <v>46080.372569444444</v>
      </c>
      <c r="B4127">
        <v>20126749</v>
      </c>
      <c r="C4127" s="6" t="s">
        <v>19</v>
      </c>
      <c r="D4127">
        <v>610878</v>
      </c>
      <c r="E4127" t="s">
        <v>20</v>
      </c>
      <c r="F4127">
        <v>1085933260</v>
      </c>
      <c r="G4127" t="s">
        <v>3710</v>
      </c>
      <c r="H4127">
        <v>100247427</v>
      </c>
      <c r="I4127">
        <v>202631</v>
      </c>
      <c r="J4127">
        <v>1085933260</v>
      </c>
      <c r="K4127" t="s">
        <v>23</v>
      </c>
      <c r="L4127" t="s">
        <v>90</v>
      </c>
      <c r="M4127" t="s">
        <v>24</v>
      </c>
      <c r="N4127" t="s">
        <v>605</v>
      </c>
      <c r="O4127" t="s">
        <v>26</v>
      </c>
      <c r="P4127" t="s">
        <v>27</v>
      </c>
      <c r="Q4127" t="s">
        <v>28</v>
      </c>
      <c r="R4127" t="s">
        <v>29</v>
      </c>
      <c r="S4127" t="s">
        <v>30</v>
      </c>
      <c r="T4127">
        <v>1025460711</v>
      </c>
      <c r="U4127" t="s">
        <v>3933</v>
      </c>
      <c r="V4127" t="s">
        <v>3934</v>
      </c>
      <c r="W4127" s="9">
        <f>IF(V4127="pregrado",31,
IF(V4127="posgrados",31,
IF(V4127="rEINTEGROS",7,
IF(V4127="BIT",90,
IF(V4127="OP GRADO - INGLÉS",17,"")))))</f>
        <v>31</v>
      </c>
      <c r="X4127" t="s">
        <v>4062</v>
      </c>
    </row>
    <row r="4128" spans="1:24" ht="15" x14ac:dyDescent="0.35">
      <c r="A4128" s="4">
        <v>46076.773587962962</v>
      </c>
      <c r="B4128">
        <v>20125839</v>
      </c>
      <c r="C4128" s="6" t="s">
        <v>19</v>
      </c>
      <c r="D4128">
        <v>610891</v>
      </c>
      <c r="E4128" t="s">
        <v>20</v>
      </c>
      <c r="F4128">
        <v>1044210907</v>
      </c>
      <c r="G4128" t="s">
        <v>3572</v>
      </c>
      <c r="H4128">
        <v>100247439</v>
      </c>
      <c r="I4128">
        <v>202631</v>
      </c>
      <c r="J4128">
        <v>1044210907</v>
      </c>
      <c r="K4128" t="s">
        <v>33</v>
      </c>
      <c r="L4128" t="s">
        <v>127</v>
      </c>
      <c r="M4128" t="s">
        <v>24</v>
      </c>
      <c r="N4128" t="s">
        <v>25</v>
      </c>
      <c r="O4128" t="s">
        <v>26</v>
      </c>
      <c r="P4128" t="s">
        <v>27</v>
      </c>
      <c r="Q4128" t="s">
        <v>28</v>
      </c>
      <c r="R4128" t="s">
        <v>29</v>
      </c>
      <c r="S4128" t="s">
        <v>30</v>
      </c>
      <c r="T4128">
        <v>1013595695</v>
      </c>
      <c r="U4128" t="s">
        <v>3933</v>
      </c>
      <c r="V4128" t="s">
        <v>3934</v>
      </c>
      <c r="W4128" s="9">
        <f>IF(V4128="pregrado",31,
IF(V4128="posgrados",31,
IF(V4128="rEINTEGROS",7,
IF(V4128="BIT",90,
IF(V4128="OP GRADO - INGLÉS",17,"")))))</f>
        <v>31</v>
      </c>
      <c r="X4128" t="s">
        <v>3990</v>
      </c>
    </row>
    <row r="4129" spans="1:24" ht="15" x14ac:dyDescent="0.35">
      <c r="A4129" s="4">
        <v>46078.715081018519</v>
      </c>
      <c r="B4129">
        <v>20126335</v>
      </c>
      <c r="C4129" s="6" t="s">
        <v>19</v>
      </c>
      <c r="D4129">
        <v>610895</v>
      </c>
      <c r="E4129" t="s">
        <v>20</v>
      </c>
      <c r="F4129">
        <v>1002145162</v>
      </c>
      <c r="G4129" t="s">
        <v>3638</v>
      </c>
      <c r="H4129">
        <v>100247441</v>
      </c>
      <c r="I4129">
        <v>202631</v>
      </c>
      <c r="J4129">
        <v>1046872737</v>
      </c>
      <c r="K4129" t="s">
        <v>23</v>
      </c>
      <c r="L4129" t="s">
        <v>207</v>
      </c>
      <c r="M4129" t="s">
        <v>24</v>
      </c>
      <c r="N4129" t="s">
        <v>35</v>
      </c>
      <c r="O4129" t="s">
        <v>26</v>
      </c>
      <c r="P4129" t="s">
        <v>27</v>
      </c>
      <c r="Q4129" t="s">
        <v>28</v>
      </c>
      <c r="R4129" t="s">
        <v>29</v>
      </c>
      <c r="S4129" t="s">
        <v>30</v>
      </c>
      <c r="T4129">
        <v>1023000285</v>
      </c>
      <c r="U4129" t="s">
        <v>3986</v>
      </c>
      <c r="V4129" t="s">
        <v>3934</v>
      </c>
      <c r="W4129" s="9">
        <f>IF(V4129="pregrado",31,
IF(V4129="posgrados",31,
IF(V4129="rEINTEGROS",7,
IF(V4129="BIT",90,
IF(V4129="OP GRADO - INGLÉS",17,"")))))</f>
        <v>31</v>
      </c>
      <c r="X4129" t="s">
        <v>4097</v>
      </c>
    </row>
    <row r="4130" spans="1:24" ht="15" x14ac:dyDescent="0.35">
      <c r="A4130" s="4">
        <v>46076.695902777778</v>
      </c>
      <c r="B4130">
        <v>20125767</v>
      </c>
      <c r="C4130" s="6" t="s">
        <v>19</v>
      </c>
      <c r="D4130">
        <v>610896</v>
      </c>
      <c r="E4130" t="s">
        <v>20</v>
      </c>
      <c r="F4130">
        <v>52078666</v>
      </c>
      <c r="G4130" t="s">
        <v>3560</v>
      </c>
      <c r="H4130">
        <v>100247442</v>
      </c>
      <c r="I4130">
        <v>202631</v>
      </c>
      <c r="J4130">
        <v>52078666</v>
      </c>
      <c r="K4130" t="s">
        <v>23</v>
      </c>
      <c r="L4130" t="s">
        <v>240</v>
      </c>
      <c r="M4130" t="s">
        <v>24</v>
      </c>
      <c r="N4130" t="s">
        <v>35</v>
      </c>
      <c r="O4130" t="s">
        <v>26</v>
      </c>
      <c r="P4130" t="s">
        <v>27</v>
      </c>
      <c r="Q4130" t="s">
        <v>28</v>
      </c>
      <c r="R4130" t="s">
        <v>29</v>
      </c>
      <c r="S4130" t="s">
        <v>30</v>
      </c>
      <c r="T4130">
        <v>45555807</v>
      </c>
      <c r="U4130" t="s">
        <v>3965</v>
      </c>
      <c r="V4130" t="s">
        <v>3934</v>
      </c>
      <c r="W4130" s="9">
        <f>IF(V4130="pregrado",31,
IF(V4130="posgrados",31,
IF(V4130="rEINTEGROS",7,
IF(V4130="BIT",90,
IF(V4130="OP GRADO - INGLÉS",17,"")))))</f>
        <v>31</v>
      </c>
      <c r="X4130" t="s">
        <v>4027</v>
      </c>
    </row>
    <row r="4131" spans="1:24" ht="15" x14ac:dyDescent="0.35">
      <c r="A4131" s="4">
        <v>46079.408379629633</v>
      </c>
      <c r="B4131">
        <v>20126442</v>
      </c>
      <c r="C4131" s="6" t="s">
        <v>19</v>
      </c>
      <c r="D4131">
        <v>610897</v>
      </c>
      <c r="E4131" t="s">
        <v>20</v>
      </c>
      <c r="F4131">
        <v>1026569027</v>
      </c>
      <c r="G4131" t="s">
        <v>3650</v>
      </c>
      <c r="H4131">
        <v>100247443</v>
      </c>
      <c r="I4131">
        <v>202611</v>
      </c>
      <c r="J4131">
        <v>1026569027</v>
      </c>
      <c r="K4131" t="s">
        <v>33</v>
      </c>
      <c r="L4131" t="s">
        <v>221</v>
      </c>
      <c r="M4131" t="s">
        <v>24</v>
      </c>
      <c r="N4131" t="s">
        <v>25</v>
      </c>
      <c r="O4131" t="s">
        <v>26</v>
      </c>
      <c r="P4131" t="s">
        <v>27</v>
      </c>
      <c r="Q4131" t="s">
        <v>28</v>
      </c>
      <c r="R4131" t="s">
        <v>29</v>
      </c>
      <c r="S4131" t="s">
        <v>30</v>
      </c>
      <c r="T4131">
        <v>1032678391</v>
      </c>
      <c r="U4131" t="s">
        <v>3965</v>
      </c>
      <c r="V4131" t="s">
        <v>3934</v>
      </c>
      <c r="W4131" s="9">
        <f>IF(V4131="pregrado",31,
IF(V4131="posgrados",31,
IF(V4131="rEINTEGROS",7,
IF(V4131="BIT",90,
IF(V4131="OP GRADO - INGLÉS",17,"")))))</f>
        <v>31</v>
      </c>
      <c r="X4131" t="s">
        <v>4098</v>
      </c>
    </row>
    <row r="4132" spans="1:24" ht="15" x14ac:dyDescent="0.35">
      <c r="A4132" s="4">
        <v>46076.647476851853</v>
      </c>
      <c r="B4132">
        <v>20125729</v>
      </c>
      <c r="C4132" s="6" t="s">
        <v>19</v>
      </c>
      <c r="D4132">
        <v>610901</v>
      </c>
      <c r="E4132" t="s">
        <v>20</v>
      </c>
      <c r="F4132">
        <v>15985264</v>
      </c>
      <c r="G4132" t="s">
        <v>3551</v>
      </c>
      <c r="H4132">
        <v>100247445</v>
      </c>
      <c r="I4132">
        <v>202631</v>
      </c>
      <c r="J4132">
        <v>1031166721</v>
      </c>
      <c r="K4132" t="s">
        <v>23</v>
      </c>
      <c r="L4132" t="s">
        <v>42</v>
      </c>
      <c r="M4132" t="s">
        <v>24</v>
      </c>
      <c r="N4132" t="s">
        <v>35</v>
      </c>
      <c r="O4132" t="s">
        <v>26</v>
      </c>
      <c r="P4132" t="s">
        <v>27</v>
      </c>
      <c r="Q4132" t="s">
        <v>28</v>
      </c>
      <c r="R4132" t="s">
        <v>29</v>
      </c>
      <c r="S4132" t="s">
        <v>30</v>
      </c>
      <c r="T4132">
        <v>11001273124</v>
      </c>
      <c r="U4132" t="s">
        <v>3944</v>
      </c>
      <c r="V4132" t="s">
        <v>3934</v>
      </c>
      <c r="W4132" s="9">
        <f>IF(V4132="pregrado",31,
IF(V4132="posgrados",31,
IF(V4132="rEINTEGROS",7,
IF(V4132="BIT",90,
IF(V4132="OP GRADO - INGLÉS",17,"")))))</f>
        <v>31</v>
      </c>
      <c r="X4132" t="s">
        <v>3951</v>
      </c>
    </row>
    <row r="4133" spans="1:24" ht="15" x14ac:dyDescent="0.35">
      <c r="A4133" s="4">
        <v>46077.870104166665</v>
      </c>
      <c r="B4133">
        <v>20126147</v>
      </c>
      <c r="C4133" s="6" t="s">
        <v>19</v>
      </c>
      <c r="D4133">
        <v>610904</v>
      </c>
      <c r="E4133" t="s">
        <v>20</v>
      </c>
      <c r="F4133">
        <v>1022936659</v>
      </c>
      <c r="G4133" t="s">
        <v>3624</v>
      </c>
      <c r="H4133">
        <v>200213590</v>
      </c>
      <c r="I4133">
        <v>202631</v>
      </c>
      <c r="J4133">
        <v>1022936659</v>
      </c>
      <c r="K4133" t="s">
        <v>23</v>
      </c>
      <c r="L4133" t="s">
        <v>119</v>
      </c>
      <c r="M4133" t="s">
        <v>24</v>
      </c>
      <c r="N4133" t="s">
        <v>35</v>
      </c>
      <c r="O4133" t="s">
        <v>26</v>
      </c>
      <c r="P4133" t="s">
        <v>27</v>
      </c>
      <c r="Q4133" t="s">
        <v>28</v>
      </c>
      <c r="R4133" t="s">
        <v>29</v>
      </c>
      <c r="S4133" t="s">
        <v>30</v>
      </c>
      <c r="T4133">
        <v>80219471</v>
      </c>
      <c r="U4133" t="s">
        <v>3941</v>
      </c>
      <c r="V4133" t="s">
        <v>3934</v>
      </c>
      <c r="W4133" s="9">
        <f>IF(V4133="pregrado",31,
IF(V4133="posgrados",31,
IF(V4133="rEINTEGROS",7,
IF(V4133="BIT",90,
IF(V4133="OP GRADO - INGLÉS",17,"")))))</f>
        <v>31</v>
      </c>
      <c r="X4133" t="s">
        <v>4030</v>
      </c>
    </row>
    <row r="4134" spans="1:24" ht="15" x14ac:dyDescent="0.35">
      <c r="A4134" s="4">
        <v>46083.492766203701</v>
      </c>
      <c r="B4134">
        <v>20127195</v>
      </c>
      <c r="C4134" s="6" t="s">
        <v>19</v>
      </c>
      <c r="D4134">
        <v>610910</v>
      </c>
      <c r="E4134" t="s">
        <v>20</v>
      </c>
      <c r="F4134">
        <v>1067725083</v>
      </c>
      <c r="G4134" t="s">
        <v>3781</v>
      </c>
      <c r="H4134">
        <v>100224137</v>
      </c>
      <c r="I4134">
        <v>202631</v>
      </c>
      <c r="J4134">
        <v>1067725083</v>
      </c>
      <c r="K4134" t="s">
        <v>33</v>
      </c>
      <c r="L4134" t="s">
        <v>119</v>
      </c>
      <c r="M4134" t="s">
        <v>24</v>
      </c>
      <c r="N4134" t="s">
        <v>35</v>
      </c>
      <c r="O4134" t="s">
        <v>26</v>
      </c>
      <c r="P4134" t="s">
        <v>27</v>
      </c>
      <c r="Q4134" t="s">
        <v>28</v>
      </c>
      <c r="R4134" t="s">
        <v>29</v>
      </c>
      <c r="S4134" t="s">
        <v>30</v>
      </c>
      <c r="T4134">
        <v>1023975276</v>
      </c>
      <c r="U4134" t="s">
        <v>3963</v>
      </c>
      <c r="V4134" t="s">
        <v>3934</v>
      </c>
      <c r="W4134" s="9">
        <f>IF(V4134="pregrado",31,
IF(V4134="posgrados",31,
IF(V4134="rEINTEGROS",7,
IF(V4134="BIT",90,
IF(V4134="OP GRADO - INGLÉS",17,"")))))</f>
        <v>31</v>
      </c>
      <c r="X4134" t="s">
        <v>3962</v>
      </c>
    </row>
    <row r="4135" spans="1:24" ht="15" x14ac:dyDescent="0.35">
      <c r="A4135" s="4">
        <v>46077.432662037034</v>
      </c>
      <c r="B4135">
        <v>20125923</v>
      </c>
      <c r="C4135" s="6" t="s">
        <v>19</v>
      </c>
      <c r="D4135">
        <v>610914</v>
      </c>
      <c r="E4135" t="s">
        <v>20</v>
      </c>
      <c r="F4135">
        <v>1010024474</v>
      </c>
      <c r="G4135" t="s">
        <v>3589</v>
      </c>
      <c r="H4135">
        <v>100247455</v>
      </c>
      <c r="I4135">
        <v>202631</v>
      </c>
      <c r="J4135">
        <v>1010024474</v>
      </c>
      <c r="K4135" t="s">
        <v>33</v>
      </c>
      <c r="L4135" t="s">
        <v>127</v>
      </c>
      <c r="M4135" t="s">
        <v>24</v>
      </c>
      <c r="N4135" t="s">
        <v>25</v>
      </c>
      <c r="O4135" t="s">
        <v>26</v>
      </c>
      <c r="P4135" t="s">
        <v>27</v>
      </c>
      <c r="Q4135" t="s">
        <v>28</v>
      </c>
      <c r="R4135" t="s">
        <v>29</v>
      </c>
      <c r="S4135" t="s">
        <v>30</v>
      </c>
      <c r="T4135">
        <v>1013595695</v>
      </c>
      <c r="U4135" t="s">
        <v>3933</v>
      </c>
      <c r="V4135" t="s">
        <v>3934</v>
      </c>
      <c r="W4135" s="9">
        <f>IF(V4135="pregrado",31,
IF(V4135="posgrados",31,
IF(V4135="rEINTEGROS",7,
IF(V4135="BIT",90,
IF(V4135="OP GRADO - INGLÉS",17,"")))))</f>
        <v>31</v>
      </c>
      <c r="X4135" t="s">
        <v>3990</v>
      </c>
    </row>
    <row r="4136" spans="1:24" ht="15" x14ac:dyDescent="0.35">
      <c r="A4136" s="4">
        <v>46077.450949074075</v>
      </c>
      <c r="B4136">
        <v>20125936</v>
      </c>
      <c r="C4136" s="6" t="s">
        <v>19</v>
      </c>
      <c r="D4136">
        <v>610924</v>
      </c>
      <c r="E4136" t="s">
        <v>20</v>
      </c>
      <c r="F4136">
        <v>1081927189</v>
      </c>
      <c r="G4136" t="s">
        <v>3591</v>
      </c>
      <c r="H4136">
        <v>100157065</v>
      </c>
      <c r="I4136">
        <v>202631</v>
      </c>
      <c r="J4136">
        <v>1081927189</v>
      </c>
      <c r="K4136" t="s">
        <v>33</v>
      </c>
      <c r="L4136" t="s">
        <v>42</v>
      </c>
      <c r="M4136" t="s">
        <v>24</v>
      </c>
      <c r="N4136" t="s">
        <v>25</v>
      </c>
      <c r="O4136" t="s">
        <v>26</v>
      </c>
      <c r="P4136" t="s">
        <v>27</v>
      </c>
      <c r="Q4136" t="s">
        <v>28</v>
      </c>
      <c r="R4136" t="s">
        <v>29</v>
      </c>
      <c r="S4136" t="s">
        <v>30</v>
      </c>
      <c r="T4136">
        <v>1015478965</v>
      </c>
      <c r="U4136" t="s">
        <v>3944</v>
      </c>
      <c r="V4136" t="s">
        <v>3934</v>
      </c>
      <c r="W4136" s="9">
        <f>IF(V4136="pregrado",31,
IF(V4136="posgrados",31,
IF(V4136="rEINTEGROS",7,
IF(V4136="BIT",90,
IF(V4136="OP GRADO - INGLÉS",17,"")))))</f>
        <v>31</v>
      </c>
      <c r="X4136" t="s">
        <v>3979</v>
      </c>
    </row>
    <row r="4137" spans="1:24" ht="15" x14ac:dyDescent="0.35">
      <c r="A4137" s="4">
        <v>46077.433530092596</v>
      </c>
      <c r="B4137">
        <v>20125924</v>
      </c>
      <c r="C4137" s="6" t="s">
        <v>19</v>
      </c>
      <c r="D4137">
        <v>610931</v>
      </c>
      <c r="E4137" t="s">
        <v>20</v>
      </c>
      <c r="F4137">
        <v>34616702</v>
      </c>
      <c r="G4137" t="s">
        <v>3590</v>
      </c>
      <c r="H4137">
        <v>200234906</v>
      </c>
      <c r="I4137">
        <v>202631</v>
      </c>
      <c r="J4137">
        <v>34616702</v>
      </c>
      <c r="K4137" t="s">
        <v>23</v>
      </c>
      <c r="L4137" t="s">
        <v>119</v>
      </c>
      <c r="M4137" t="s">
        <v>24</v>
      </c>
      <c r="N4137" t="s">
        <v>35</v>
      </c>
      <c r="O4137" t="s">
        <v>26</v>
      </c>
      <c r="P4137" t="s">
        <v>27</v>
      </c>
      <c r="Q4137" t="s">
        <v>28</v>
      </c>
      <c r="R4137" t="s">
        <v>29</v>
      </c>
      <c r="S4137" t="s">
        <v>30</v>
      </c>
      <c r="T4137">
        <v>1000251314</v>
      </c>
      <c r="U4137" t="s">
        <v>3963</v>
      </c>
      <c r="V4137" t="s">
        <v>3934</v>
      </c>
      <c r="W4137" s="9">
        <f>IF(V4137="pregrado",31,
IF(V4137="posgrados",31,
IF(V4137="rEINTEGROS",7,
IF(V4137="BIT",90,
IF(V4137="OP GRADO - INGLÉS",17,"")))))</f>
        <v>31</v>
      </c>
      <c r="X4137" t="s">
        <v>4024</v>
      </c>
    </row>
    <row r="4138" spans="1:24" ht="15" x14ac:dyDescent="0.35">
      <c r="A4138" s="4">
        <v>46079.598449074074</v>
      </c>
      <c r="B4138">
        <v>20126566</v>
      </c>
      <c r="C4138" s="6" t="s">
        <v>19</v>
      </c>
      <c r="D4138">
        <v>610939</v>
      </c>
      <c r="E4138" t="s">
        <v>20</v>
      </c>
      <c r="F4138">
        <v>1014476554</v>
      </c>
      <c r="G4138" t="s">
        <v>3670</v>
      </c>
      <c r="H4138">
        <v>100247484</v>
      </c>
      <c r="I4138">
        <v>202631</v>
      </c>
      <c r="J4138">
        <v>1014476554</v>
      </c>
      <c r="K4138" t="s">
        <v>83</v>
      </c>
      <c r="L4138" t="s">
        <v>65</v>
      </c>
      <c r="M4138" t="s">
        <v>24</v>
      </c>
      <c r="N4138" t="s">
        <v>38</v>
      </c>
      <c r="O4138" t="s">
        <v>26</v>
      </c>
      <c r="P4138" t="s">
        <v>27</v>
      </c>
      <c r="Q4138" t="s">
        <v>28</v>
      </c>
      <c r="R4138" t="s">
        <v>29</v>
      </c>
      <c r="S4138" t="s">
        <v>30</v>
      </c>
      <c r="T4138">
        <v>1022410450</v>
      </c>
      <c r="U4138" t="s">
        <v>3939</v>
      </c>
      <c r="V4138" t="s">
        <v>3934</v>
      </c>
      <c r="W4138" s="9">
        <f>IF(V4138="pregrado",31,
IF(V4138="posgrados",31,
IF(V4138="rEINTEGROS",7,
IF(V4138="BIT",90,
IF(V4138="OP GRADO - INGLÉS",17,"")))))</f>
        <v>31</v>
      </c>
      <c r="X4138" t="s">
        <v>4094</v>
      </c>
    </row>
    <row r="4139" spans="1:24" ht="15" x14ac:dyDescent="0.35">
      <c r="A4139" s="4">
        <v>46083.367291666669</v>
      </c>
      <c r="B4139">
        <v>20127139</v>
      </c>
      <c r="C4139" s="6" t="s">
        <v>19</v>
      </c>
      <c r="D4139">
        <v>610941</v>
      </c>
      <c r="E4139" t="s">
        <v>20</v>
      </c>
      <c r="F4139">
        <v>1063967249</v>
      </c>
      <c r="G4139" t="s">
        <v>3771</v>
      </c>
      <c r="H4139">
        <v>200144704</v>
      </c>
      <c r="I4139">
        <v>202631</v>
      </c>
      <c r="J4139">
        <v>1063967249</v>
      </c>
      <c r="K4139" t="s">
        <v>23</v>
      </c>
      <c r="L4139" t="s">
        <v>22</v>
      </c>
      <c r="M4139" t="s">
        <v>24</v>
      </c>
      <c r="N4139" t="s">
        <v>25</v>
      </c>
      <c r="O4139" t="s">
        <v>26</v>
      </c>
      <c r="P4139" t="s">
        <v>27</v>
      </c>
      <c r="Q4139" t="s">
        <v>28</v>
      </c>
      <c r="R4139" t="s">
        <v>29</v>
      </c>
      <c r="S4139" t="s">
        <v>30</v>
      </c>
      <c r="T4139">
        <v>1025460711</v>
      </c>
      <c r="U4139" t="s">
        <v>3933</v>
      </c>
      <c r="V4139" t="s">
        <v>3934</v>
      </c>
      <c r="W4139" s="9">
        <f>IF(V4139="pregrado",31,
IF(V4139="posgrados",31,
IF(V4139="rEINTEGROS",7,
IF(V4139="BIT",90,
IF(V4139="OP GRADO - INGLÉS",17,"")))))</f>
        <v>31</v>
      </c>
      <c r="X4139" t="s">
        <v>4062</v>
      </c>
    </row>
    <row r="4140" spans="1:24" ht="15" x14ac:dyDescent="0.35">
      <c r="A4140" s="4">
        <v>46077.423043981478</v>
      </c>
      <c r="B4140">
        <v>20125914</v>
      </c>
      <c r="C4140" s="6" t="s">
        <v>19</v>
      </c>
      <c r="D4140">
        <v>610952</v>
      </c>
      <c r="E4140" t="s">
        <v>20</v>
      </c>
      <c r="F4140">
        <v>1006446346</v>
      </c>
      <c r="G4140" t="s">
        <v>3586</v>
      </c>
      <c r="H4140">
        <v>100217032</v>
      </c>
      <c r="I4140">
        <v>202611</v>
      </c>
      <c r="J4140">
        <v>1006446346</v>
      </c>
      <c r="K4140" t="s">
        <v>89</v>
      </c>
      <c r="L4140" t="s">
        <v>133</v>
      </c>
      <c r="M4140" t="s">
        <v>24</v>
      </c>
      <c r="N4140" t="s">
        <v>25</v>
      </c>
      <c r="O4140" t="s">
        <v>26</v>
      </c>
      <c r="P4140" t="s">
        <v>27</v>
      </c>
      <c r="Q4140" t="s">
        <v>28</v>
      </c>
      <c r="R4140" t="s">
        <v>29</v>
      </c>
      <c r="S4140" t="s">
        <v>30</v>
      </c>
      <c r="T4140">
        <v>52168054</v>
      </c>
      <c r="U4140" t="s">
        <v>3977</v>
      </c>
      <c r="V4140" t="s">
        <v>3970</v>
      </c>
      <c r="W4140" s="9">
        <f>IF(V4140="pregrado",31,
IF(V4140="posgrados",31,
IF(V4140="rEINTEGROS",7,
IF(V4140="BIT",90,
IF(V4140="OP GRADO - INGLÉS",17,"")))))</f>
        <v>7</v>
      </c>
      <c r="X4140" t="s">
        <v>4057</v>
      </c>
    </row>
    <row r="4141" spans="1:24" ht="15" x14ac:dyDescent="0.35">
      <c r="A4141" s="4">
        <v>46083.482407407406</v>
      </c>
      <c r="B4141">
        <v>20127191</v>
      </c>
      <c r="C4141" s="6" t="s">
        <v>19</v>
      </c>
      <c r="D4141">
        <v>610956</v>
      </c>
      <c r="E4141" t="s">
        <v>20</v>
      </c>
      <c r="F4141">
        <v>1000470362</v>
      </c>
      <c r="G4141" t="s">
        <v>3780</v>
      </c>
      <c r="H4141">
        <v>100247496</v>
      </c>
      <c r="I4141">
        <v>202631</v>
      </c>
      <c r="J4141">
        <v>1000470362</v>
      </c>
      <c r="K4141" t="s">
        <v>23</v>
      </c>
      <c r="L4141" t="s">
        <v>42</v>
      </c>
      <c r="M4141" t="s">
        <v>24</v>
      </c>
      <c r="N4141" t="s">
        <v>35</v>
      </c>
      <c r="O4141" t="s">
        <v>26</v>
      </c>
      <c r="P4141" t="s">
        <v>27</v>
      </c>
      <c r="Q4141" t="s">
        <v>28</v>
      </c>
      <c r="R4141" t="s">
        <v>29</v>
      </c>
      <c r="S4141" t="s">
        <v>30</v>
      </c>
      <c r="T4141">
        <v>1015482247</v>
      </c>
      <c r="U4141" t="s">
        <v>3944</v>
      </c>
      <c r="V4141" t="s">
        <v>3934</v>
      </c>
      <c r="W4141" s="9">
        <f>IF(V4141="pregrado",31,
IF(V4141="posgrados",31,
IF(V4141="rEINTEGROS",7,
IF(V4141="BIT",90,
IF(V4141="OP GRADO - INGLÉS",17,"")))))</f>
        <v>31</v>
      </c>
      <c r="X4141" t="s">
        <v>3984</v>
      </c>
    </row>
    <row r="4142" spans="1:24" ht="15" x14ac:dyDescent="0.35">
      <c r="A4142" s="4">
        <v>46079.875219907408</v>
      </c>
      <c r="B4142">
        <v>20126720</v>
      </c>
      <c r="C4142" s="6" t="s">
        <v>19</v>
      </c>
      <c r="D4142">
        <v>610964</v>
      </c>
      <c r="E4142" t="s">
        <v>20</v>
      </c>
      <c r="F4142">
        <v>78301304</v>
      </c>
      <c r="G4142" t="s">
        <v>3708</v>
      </c>
      <c r="H4142">
        <v>100121896</v>
      </c>
      <c r="I4142">
        <v>202611</v>
      </c>
      <c r="J4142">
        <v>1063278839</v>
      </c>
      <c r="K4142" t="s">
        <v>89</v>
      </c>
      <c r="L4142" t="s">
        <v>133</v>
      </c>
      <c r="M4142" t="s">
        <v>24</v>
      </c>
      <c r="N4142" t="s">
        <v>38</v>
      </c>
      <c r="O4142" t="s">
        <v>26</v>
      </c>
      <c r="P4142" t="s">
        <v>27</v>
      </c>
      <c r="Q4142" t="s">
        <v>28</v>
      </c>
      <c r="R4142" t="s">
        <v>29</v>
      </c>
      <c r="S4142" t="s">
        <v>30</v>
      </c>
      <c r="T4142">
        <v>1019102787</v>
      </c>
      <c r="U4142" t="s">
        <v>3977</v>
      </c>
      <c r="V4142" t="s">
        <v>3970</v>
      </c>
      <c r="W4142" s="9">
        <f>IF(V4142="pregrado",31,
IF(V4142="posgrados",31,
IF(V4142="rEINTEGROS",7,
IF(V4142="BIT",90,
IF(V4142="OP GRADO - INGLÉS",17,"")))))</f>
        <v>7</v>
      </c>
      <c r="X4142" t="s">
        <v>3976</v>
      </c>
    </row>
    <row r="4143" spans="1:24" ht="15" x14ac:dyDescent="0.35">
      <c r="A4143" s="4">
        <v>46077.675381944442</v>
      </c>
      <c r="B4143">
        <v>20126067</v>
      </c>
      <c r="C4143" s="6" t="s">
        <v>19</v>
      </c>
      <c r="D4143">
        <v>610973</v>
      </c>
      <c r="E4143" t="s">
        <v>20</v>
      </c>
      <c r="F4143">
        <v>1001119038</v>
      </c>
      <c r="G4143" t="s">
        <v>3614</v>
      </c>
      <c r="H4143">
        <v>100149482</v>
      </c>
      <c r="I4143">
        <v>202610</v>
      </c>
      <c r="J4143">
        <v>1001119038</v>
      </c>
      <c r="K4143" t="s">
        <v>46</v>
      </c>
      <c r="L4143" t="s">
        <v>79</v>
      </c>
      <c r="M4143" t="s">
        <v>24</v>
      </c>
      <c r="N4143">
        <v>0</v>
      </c>
      <c r="O4143" t="s">
        <v>26</v>
      </c>
      <c r="P4143" t="s">
        <v>27</v>
      </c>
      <c r="Q4143" t="s">
        <v>28</v>
      </c>
      <c r="R4143" t="s">
        <v>29</v>
      </c>
      <c r="S4143" t="s">
        <v>30</v>
      </c>
      <c r="T4143">
        <v>1019102787</v>
      </c>
      <c r="U4143" t="s">
        <v>3977</v>
      </c>
      <c r="V4143" t="s">
        <v>3970</v>
      </c>
      <c r="W4143" s="9">
        <f>IF(V4143="pregrado",31,
IF(V4143="posgrados",31,
IF(V4143="rEINTEGROS",7,
IF(V4143="BIT",90,
IF(V4143="OP GRADO - INGLÉS",17,"")))))</f>
        <v>7</v>
      </c>
      <c r="X4143" t="s">
        <v>3976</v>
      </c>
    </row>
    <row r="4144" spans="1:24" ht="15" x14ac:dyDescent="0.35">
      <c r="A4144" s="4">
        <v>46080.609143518515</v>
      </c>
      <c r="B4144">
        <v>20126877</v>
      </c>
      <c r="C4144" s="6" t="s">
        <v>19</v>
      </c>
      <c r="D4144">
        <v>610977</v>
      </c>
      <c r="E4144" t="s">
        <v>20</v>
      </c>
      <c r="F4144">
        <v>1124051136</v>
      </c>
      <c r="G4144" t="s">
        <v>3733</v>
      </c>
      <c r="H4144">
        <v>200085664</v>
      </c>
      <c r="I4144">
        <v>202631</v>
      </c>
      <c r="J4144">
        <v>1124051136</v>
      </c>
      <c r="K4144" t="s">
        <v>33</v>
      </c>
      <c r="L4144" t="s">
        <v>77</v>
      </c>
      <c r="M4144" t="s">
        <v>24</v>
      </c>
      <c r="N4144" t="s">
        <v>35</v>
      </c>
      <c r="O4144" t="s">
        <v>26</v>
      </c>
      <c r="P4144" t="s">
        <v>27</v>
      </c>
      <c r="Q4144" t="s">
        <v>28</v>
      </c>
      <c r="R4144" t="s">
        <v>29</v>
      </c>
      <c r="S4144" t="s">
        <v>30</v>
      </c>
      <c r="T4144">
        <v>1023975276</v>
      </c>
      <c r="U4144" t="s">
        <v>3963</v>
      </c>
      <c r="V4144" t="s">
        <v>3934</v>
      </c>
      <c r="W4144" s="9">
        <f>IF(V4144="pregrado",31,
IF(V4144="posgrados",31,
IF(V4144="rEINTEGROS",7,
IF(V4144="BIT",90,
IF(V4144="OP GRADO - INGLÉS",17,"")))))</f>
        <v>31</v>
      </c>
      <c r="X4144" t="s">
        <v>3962</v>
      </c>
    </row>
    <row r="4145" spans="1:24" ht="15" x14ac:dyDescent="0.35">
      <c r="A4145" s="4">
        <v>46078.575277777774</v>
      </c>
      <c r="B4145">
        <v>20126264</v>
      </c>
      <c r="C4145" s="6" t="s">
        <v>19</v>
      </c>
      <c r="D4145">
        <v>610992</v>
      </c>
      <c r="E4145" t="s">
        <v>20</v>
      </c>
      <c r="F4145">
        <v>1040201245</v>
      </c>
      <c r="G4145" t="s">
        <v>3633</v>
      </c>
      <c r="H4145">
        <v>100247539</v>
      </c>
      <c r="I4145">
        <v>202631</v>
      </c>
      <c r="J4145">
        <v>1040201245</v>
      </c>
      <c r="K4145" t="s">
        <v>33</v>
      </c>
      <c r="L4145" t="s">
        <v>42</v>
      </c>
      <c r="M4145" t="s">
        <v>24</v>
      </c>
      <c r="N4145" t="s">
        <v>25</v>
      </c>
      <c r="O4145" t="s">
        <v>26</v>
      </c>
      <c r="P4145" t="s">
        <v>27</v>
      </c>
      <c r="Q4145" t="s">
        <v>28</v>
      </c>
      <c r="R4145" t="s">
        <v>29</v>
      </c>
      <c r="S4145" t="s">
        <v>30</v>
      </c>
      <c r="T4145">
        <v>53139409</v>
      </c>
      <c r="U4145" t="s">
        <v>3944</v>
      </c>
      <c r="V4145" t="s">
        <v>3934</v>
      </c>
      <c r="W4145" s="9">
        <f>IF(V4145="pregrado",31,
IF(V4145="posgrados",31,
IF(V4145="rEINTEGROS",7,
IF(V4145="BIT",90,
IF(V4145="OP GRADO - INGLÉS",17,"")))))</f>
        <v>31</v>
      </c>
      <c r="X4145" t="s">
        <v>3955</v>
      </c>
    </row>
    <row r="4146" spans="1:24" ht="15" x14ac:dyDescent="0.35">
      <c r="A4146" s="4">
        <v>46077.527719907404</v>
      </c>
      <c r="B4146">
        <v>20125985</v>
      </c>
      <c r="C4146" s="6" t="s">
        <v>19</v>
      </c>
      <c r="D4146">
        <v>610998</v>
      </c>
      <c r="E4146" t="s">
        <v>20</v>
      </c>
      <c r="F4146">
        <v>1109382570</v>
      </c>
      <c r="G4146" t="s">
        <v>3602</v>
      </c>
      <c r="H4146">
        <v>100247547</v>
      </c>
      <c r="I4146">
        <v>202631</v>
      </c>
      <c r="J4146">
        <v>1109382570</v>
      </c>
      <c r="K4146" t="s">
        <v>23</v>
      </c>
      <c r="L4146" t="s">
        <v>90</v>
      </c>
      <c r="M4146" t="s">
        <v>24</v>
      </c>
      <c r="N4146" t="s">
        <v>25</v>
      </c>
      <c r="O4146" t="s">
        <v>26</v>
      </c>
      <c r="P4146" t="s">
        <v>27</v>
      </c>
      <c r="Q4146" t="s">
        <v>28</v>
      </c>
      <c r="R4146" t="s">
        <v>29</v>
      </c>
      <c r="S4146" t="s">
        <v>30</v>
      </c>
      <c r="T4146">
        <v>39666517</v>
      </c>
      <c r="U4146" t="s">
        <v>3933</v>
      </c>
      <c r="V4146" t="s">
        <v>3934</v>
      </c>
      <c r="W4146" s="9">
        <f>IF(V4146="pregrado",31,
IF(V4146="posgrados",31,
IF(V4146="rEINTEGROS",7,
IF(V4146="BIT",90,
IF(V4146="OP GRADO - INGLÉS",17,"")))))</f>
        <v>31</v>
      </c>
      <c r="X4146" t="s">
        <v>4025</v>
      </c>
    </row>
    <row r="4147" spans="1:24" ht="15" x14ac:dyDescent="0.35">
      <c r="A4147" s="4">
        <v>46083.676932870374</v>
      </c>
      <c r="B4147">
        <v>20127289</v>
      </c>
      <c r="C4147" s="6" t="s">
        <v>19</v>
      </c>
      <c r="D4147">
        <v>611020</v>
      </c>
      <c r="E4147" t="s">
        <v>20</v>
      </c>
      <c r="F4147">
        <v>1056784799</v>
      </c>
      <c r="G4147" t="s">
        <v>3789</v>
      </c>
      <c r="H4147">
        <v>100133663</v>
      </c>
      <c r="I4147">
        <v>202631</v>
      </c>
      <c r="J4147">
        <v>1056784799</v>
      </c>
      <c r="K4147" t="s">
        <v>33</v>
      </c>
      <c r="L4147" t="s">
        <v>119</v>
      </c>
      <c r="M4147" t="s">
        <v>24</v>
      </c>
      <c r="N4147" t="s">
        <v>25</v>
      </c>
      <c r="O4147" t="s">
        <v>26</v>
      </c>
      <c r="P4147" t="s">
        <v>27</v>
      </c>
      <c r="Q4147" t="s">
        <v>28</v>
      </c>
      <c r="R4147" t="s">
        <v>29</v>
      </c>
      <c r="S4147" t="s">
        <v>30</v>
      </c>
      <c r="T4147">
        <v>45555807</v>
      </c>
      <c r="U4147" t="s">
        <v>3965</v>
      </c>
      <c r="V4147" t="s">
        <v>3934</v>
      </c>
      <c r="W4147" s="9">
        <f>IF(V4147="pregrado",31,
IF(V4147="posgrados",31,
IF(V4147="rEINTEGROS",7,
IF(V4147="BIT",90,
IF(V4147="OP GRADO - INGLÉS",17,"")))))</f>
        <v>31</v>
      </c>
      <c r="X4147" t="s">
        <v>4027</v>
      </c>
    </row>
    <row r="4148" spans="1:24" ht="15" x14ac:dyDescent="0.35">
      <c r="A4148" s="4">
        <v>46078.474618055552</v>
      </c>
      <c r="B4148">
        <v>20126232</v>
      </c>
      <c r="C4148" s="6" t="s">
        <v>19</v>
      </c>
      <c r="D4148">
        <v>611035</v>
      </c>
      <c r="E4148" t="s">
        <v>20</v>
      </c>
      <c r="F4148">
        <v>1125408171</v>
      </c>
      <c r="G4148" t="s">
        <v>3629</v>
      </c>
      <c r="H4148">
        <v>100247585</v>
      </c>
      <c r="I4148">
        <v>202611</v>
      </c>
      <c r="J4148">
        <v>1125408171</v>
      </c>
      <c r="K4148" t="s">
        <v>33</v>
      </c>
      <c r="L4148" t="s">
        <v>204</v>
      </c>
      <c r="M4148" t="s">
        <v>24</v>
      </c>
      <c r="N4148" t="s">
        <v>25</v>
      </c>
      <c r="O4148" t="s">
        <v>26</v>
      </c>
      <c r="P4148" t="s">
        <v>27</v>
      </c>
      <c r="Q4148" t="s">
        <v>28</v>
      </c>
      <c r="R4148" t="s">
        <v>29</v>
      </c>
      <c r="S4148" t="s">
        <v>30</v>
      </c>
      <c r="T4148">
        <v>80219471</v>
      </c>
      <c r="U4148" t="s">
        <v>3941</v>
      </c>
      <c r="V4148" t="s">
        <v>3934</v>
      </c>
      <c r="W4148" s="9">
        <f>IF(V4148="pregrado",31,
IF(V4148="posgrados",31,
IF(V4148="rEINTEGROS",7,
IF(V4148="BIT",90,
IF(V4148="OP GRADO - INGLÉS",17,"")))))</f>
        <v>31</v>
      </c>
      <c r="X4148" t="s">
        <v>4030</v>
      </c>
    </row>
    <row r="4149" spans="1:24" ht="15" x14ac:dyDescent="0.35">
      <c r="A4149" s="4">
        <v>46080.611446759256</v>
      </c>
      <c r="B4149">
        <v>20126879</v>
      </c>
      <c r="C4149" s="6" t="s">
        <v>19</v>
      </c>
      <c r="D4149">
        <v>611049</v>
      </c>
      <c r="E4149" t="s">
        <v>20</v>
      </c>
      <c r="F4149">
        <v>1033700456</v>
      </c>
      <c r="G4149" t="s">
        <v>3735</v>
      </c>
      <c r="H4149">
        <v>100247599</v>
      </c>
      <c r="I4149">
        <v>202631</v>
      </c>
      <c r="J4149">
        <v>1033700456</v>
      </c>
      <c r="K4149" t="s">
        <v>33</v>
      </c>
      <c r="L4149" t="s">
        <v>51</v>
      </c>
      <c r="M4149" t="s">
        <v>24</v>
      </c>
      <c r="N4149" t="s">
        <v>35</v>
      </c>
      <c r="O4149" t="s">
        <v>26</v>
      </c>
      <c r="P4149" t="s">
        <v>27</v>
      </c>
      <c r="Q4149" t="s">
        <v>28</v>
      </c>
      <c r="R4149" t="s">
        <v>29</v>
      </c>
      <c r="S4149" t="s">
        <v>30</v>
      </c>
      <c r="T4149">
        <v>1070815435</v>
      </c>
      <c r="U4149" t="s">
        <v>3986</v>
      </c>
      <c r="V4149" t="s">
        <v>3934</v>
      </c>
      <c r="W4149" s="9">
        <f>IF(V4149="pregrado",31,
IF(V4149="posgrados",31,
IF(V4149="rEINTEGROS",7,
IF(V4149="BIT",90,
IF(V4149="OP GRADO - INGLÉS",17,"")))))</f>
        <v>31</v>
      </c>
      <c r="X4149" t="s">
        <v>4038</v>
      </c>
    </row>
    <row r="4150" spans="1:24" ht="15" x14ac:dyDescent="0.35">
      <c r="A4150" s="4">
        <v>46077.656817129631</v>
      </c>
      <c r="B4150">
        <v>20126049</v>
      </c>
      <c r="C4150" s="6" t="s">
        <v>19</v>
      </c>
      <c r="D4150">
        <v>611057</v>
      </c>
      <c r="E4150" t="s">
        <v>20</v>
      </c>
      <c r="F4150">
        <v>1026277427</v>
      </c>
      <c r="G4150" t="s">
        <v>3609</v>
      </c>
      <c r="H4150">
        <v>100247612</v>
      </c>
      <c r="I4150">
        <v>202631</v>
      </c>
      <c r="J4150">
        <v>1026277427</v>
      </c>
      <c r="K4150" t="s">
        <v>33</v>
      </c>
      <c r="L4150" t="s">
        <v>127</v>
      </c>
      <c r="M4150" t="s">
        <v>24</v>
      </c>
      <c r="N4150" t="s">
        <v>25</v>
      </c>
      <c r="O4150" t="s">
        <v>26</v>
      </c>
      <c r="P4150" t="s">
        <v>27</v>
      </c>
      <c r="Q4150" t="s">
        <v>28</v>
      </c>
      <c r="R4150" t="s">
        <v>29</v>
      </c>
      <c r="S4150" t="s">
        <v>30</v>
      </c>
      <c r="T4150">
        <v>1007473661</v>
      </c>
      <c r="U4150" t="s">
        <v>3933</v>
      </c>
      <c r="V4150" t="s">
        <v>3934</v>
      </c>
      <c r="W4150" s="9">
        <f>IF(V4150="pregrado",31,
IF(V4150="posgrados",31,
IF(V4150="rEINTEGROS",7,
IF(V4150="BIT",90,
IF(V4150="OP GRADO - INGLÉS",17,"")))))</f>
        <v>31</v>
      </c>
      <c r="X4150" t="s">
        <v>4058</v>
      </c>
    </row>
    <row r="4151" spans="1:24" ht="15" x14ac:dyDescent="0.35">
      <c r="A4151" s="4">
        <v>46077.673356481479</v>
      </c>
      <c r="B4151">
        <v>20126066</v>
      </c>
      <c r="C4151" s="6" t="s">
        <v>19</v>
      </c>
      <c r="D4151">
        <v>611066</v>
      </c>
      <c r="E4151" t="s">
        <v>20</v>
      </c>
      <c r="F4151">
        <v>1019007821</v>
      </c>
      <c r="G4151" t="s">
        <v>3613</v>
      </c>
      <c r="H4151">
        <v>100247615</v>
      </c>
      <c r="I4151">
        <v>202611</v>
      </c>
      <c r="J4151">
        <v>1019007821</v>
      </c>
      <c r="K4151" t="s">
        <v>33</v>
      </c>
      <c r="L4151" t="s">
        <v>204</v>
      </c>
      <c r="M4151" t="s">
        <v>24</v>
      </c>
      <c r="N4151" t="s">
        <v>25</v>
      </c>
      <c r="O4151" t="s">
        <v>26</v>
      </c>
      <c r="P4151" t="s">
        <v>27</v>
      </c>
      <c r="Q4151" t="s">
        <v>28</v>
      </c>
      <c r="R4151" t="s">
        <v>29</v>
      </c>
      <c r="S4151" t="s">
        <v>30</v>
      </c>
      <c r="T4151">
        <v>1019115186</v>
      </c>
      <c r="U4151" t="s">
        <v>3941</v>
      </c>
      <c r="V4151" t="s">
        <v>3934</v>
      </c>
      <c r="W4151" s="9">
        <f>IF(V4151="pregrado",31,
IF(V4151="posgrados",31,
IF(V4151="rEINTEGROS",7,
IF(V4151="BIT",90,
IF(V4151="OP GRADO - INGLÉS",17,"")))))</f>
        <v>31</v>
      </c>
      <c r="X4151" t="s">
        <v>4005</v>
      </c>
    </row>
    <row r="4152" spans="1:24" ht="15" x14ac:dyDescent="0.35">
      <c r="A4152" s="4">
        <v>46083.551840277774</v>
      </c>
      <c r="B4152">
        <v>20127218</v>
      </c>
      <c r="C4152" s="6" t="s">
        <v>19</v>
      </c>
      <c r="D4152">
        <v>611067</v>
      </c>
      <c r="E4152" t="s">
        <v>20</v>
      </c>
      <c r="F4152">
        <v>74795696</v>
      </c>
      <c r="G4152" t="s">
        <v>3783</v>
      </c>
      <c r="H4152">
        <v>100247618</v>
      </c>
      <c r="I4152">
        <v>202631</v>
      </c>
      <c r="J4152">
        <v>74795696</v>
      </c>
      <c r="K4152" t="s">
        <v>23</v>
      </c>
      <c r="L4152" t="s">
        <v>240</v>
      </c>
      <c r="M4152" t="s">
        <v>24</v>
      </c>
      <c r="N4152" t="s">
        <v>35</v>
      </c>
      <c r="O4152" t="s">
        <v>26</v>
      </c>
      <c r="P4152" t="s">
        <v>27</v>
      </c>
      <c r="Q4152" t="s">
        <v>28</v>
      </c>
      <c r="R4152" t="s">
        <v>29</v>
      </c>
      <c r="S4152" t="s">
        <v>30</v>
      </c>
      <c r="T4152">
        <v>1001277801</v>
      </c>
      <c r="U4152" t="s">
        <v>3965</v>
      </c>
      <c r="V4152" t="s">
        <v>3934</v>
      </c>
      <c r="W4152" s="9">
        <f>IF(V4152="pregrado",31,
IF(V4152="posgrados",31,
IF(V4152="rEINTEGROS",7,
IF(V4152="BIT",90,
IF(V4152="OP GRADO - INGLÉS",17,"")))))</f>
        <v>31</v>
      </c>
      <c r="X4152" t="s">
        <v>4002</v>
      </c>
    </row>
    <row r="4153" spans="1:24" ht="15" x14ac:dyDescent="0.35">
      <c r="A4153" s="4">
        <v>46077.754606481481</v>
      </c>
      <c r="B4153">
        <v>20126112</v>
      </c>
      <c r="C4153" s="6" t="s">
        <v>19</v>
      </c>
      <c r="D4153">
        <v>611071</v>
      </c>
      <c r="E4153" t="s">
        <v>20</v>
      </c>
      <c r="F4153">
        <v>1118571007</v>
      </c>
      <c r="G4153" t="s">
        <v>3618</v>
      </c>
      <c r="H4153">
        <v>100247581</v>
      </c>
      <c r="I4153">
        <v>202631</v>
      </c>
      <c r="J4153">
        <v>1118571007</v>
      </c>
      <c r="K4153" t="s">
        <v>23</v>
      </c>
      <c r="L4153" t="s">
        <v>219</v>
      </c>
      <c r="M4153" t="s">
        <v>24</v>
      </c>
      <c r="N4153" t="s">
        <v>35</v>
      </c>
      <c r="O4153" t="s">
        <v>26</v>
      </c>
      <c r="P4153" t="s">
        <v>27</v>
      </c>
      <c r="Q4153" t="s">
        <v>28</v>
      </c>
      <c r="R4153" t="s">
        <v>29</v>
      </c>
      <c r="S4153" t="s">
        <v>30</v>
      </c>
      <c r="T4153">
        <v>53040709</v>
      </c>
      <c r="U4153" t="s">
        <v>3963</v>
      </c>
      <c r="V4153" t="s">
        <v>3934</v>
      </c>
      <c r="W4153" s="9">
        <f>IF(V4153="pregrado",31,
IF(V4153="posgrados",31,
IF(V4153="rEINTEGROS",7,
IF(V4153="BIT",90,
IF(V4153="OP GRADO - INGLÉS",17,"")))))</f>
        <v>31</v>
      </c>
      <c r="X4153" t="s">
        <v>3994</v>
      </c>
    </row>
    <row r="4154" spans="1:24" ht="15" x14ac:dyDescent="0.35">
      <c r="A4154" s="4">
        <v>46077.756006944444</v>
      </c>
      <c r="B4154">
        <v>20126113</v>
      </c>
      <c r="C4154" s="6" t="s">
        <v>19</v>
      </c>
      <c r="D4154">
        <v>611073</v>
      </c>
      <c r="E4154" t="s">
        <v>20</v>
      </c>
      <c r="F4154">
        <v>1077174169</v>
      </c>
      <c r="G4154" t="s">
        <v>3619</v>
      </c>
      <c r="H4154">
        <v>200243284</v>
      </c>
      <c r="I4154">
        <v>202631</v>
      </c>
      <c r="J4154">
        <v>1077174169</v>
      </c>
      <c r="K4154" t="s">
        <v>83</v>
      </c>
      <c r="L4154" t="s">
        <v>119</v>
      </c>
      <c r="M4154" t="s">
        <v>24</v>
      </c>
      <c r="N4154" t="s">
        <v>35</v>
      </c>
      <c r="O4154" t="s">
        <v>26</v>
      </c>
      <c r="P4154" t="s">
        <v>27</v>
      </c>
      <c r="Q4154" t="s">
        <v>28</v>
      </c>
      <c r="R4154" t="s">
        <v>29</v>
      </c>
      <c r="S4154" t="s">
        <v>30</v>
      </c>
      <c r="T4154">
        <v>1014283217</v>
      </c>
      <c r="U4154" t="s">
        <v>3963</v>
      </c>
      <c r="V4154" t="s">
        <v>3934</v>
      </c>
      <c r="W4154" s="9">
        <f>IF(V4154="pregrado",31,
IF(V4154="posgrados",31,
IF(V4154="rEINTEGROS",7,
IF(V4154="BIT",90,
IF(V4154="OP GRADO - INGLÉS",17,"")))))</f>
        <v>31</v>
      </c>
      <c r="X4154" t="s">
        <v>4023</v>
      </c>
    </row>
    <row r="4155" spans="1:24" ht="15" x14ac:dyDescent="0.35">
      <c r="A4155" s="4">
        <v>46078.458067129628</v>
      </c>
      <c r="B4155">
        <v>20126225</v>
      </c>
      <c r="C4155" s="6" t="s">
        <v>19</v>
      </c>
      <c r="D4155">
        <v>611086</v>
      </c>
      <c r="E4155" t="s">
        <v>20</v>
      </c>
      <c r="F4155">
        <v>34330682</v>
      </c>
      <c r="G4155" t="s">
        <v>3628</v>
      </c>
      <c r="H4155">
        <v>100247644</v>
      </c>
      <c r="I4155">
        <v>202631</v>
      </c>
      <c r="J4155">
        <v>34330682</v>
      </c>
      <c r="K4155" t="s">
        <v>23</v>
      </c>
      <c r="L4155" t="s">
        <v>219</v>
      </c>
      <c r="M4155" t="s">
        <v>24</v>
      </c>
      <c r="N4155" t="s">
        <v>35</v>
      </c>
      <c r="O4155" t="s">
        <v>26</v>
      </c>
      <c r="P4155" t="s">
        <v>27</v>
      </c>
      <c r="Q4155" t="s">
        <v>28</v>
      </c>
      <c r="R4155" t="s">
        <v>29</v>
      </c>
      <c r="S4155" t="s">
        <v>30</v>
      </c>
      <c r="T4155">
        <v>1001066645</v>
      </c>
      <c r="U4155" t="s">
        <v>3963</v>
      </c>
      <c r="V4155" t="s">
        <v>3934</v>
      </c>
      <c r="W4155" s="9">
        <f>IF(V4155="pregrado",31,
IF(V4155="posgrados",31,
IF(V4155="rEINTEGROS",7,
IF(V4155="BIT",90,
IF(V4155="OP GRADO - INGLÉS",17,"")))))</f>
        <v>31</v>
      </c>
      <c r="X4155" t="s">
        <v>4086</v>
      </c>
    </row>
    <row r="4156" spans="1:24" ht="15" x14ac:dyDescent="0.35">
      <c r="A4156" s="4">
        <v>46078.362199074072</v>
      </c>
      <c r="B4156">
        <v>20126167</v>
      </c>
      <c r="C4156" s="6" t="s">
        <v>19</v>
      </c>
      <c r="D4156">
        <v>611087</v>
      </c>
      <c r="E4156" t="s">
        <v>20</v>
      </c>
      <c r="F4156">
        <v>74752783</v>
      </c>
      <c r="G4156" t="s">
        <v>3625</v>
      </c>
      <c r="H4156">
        <v>100247645</v>
      </c>
      <c r="I4156">
        <v>202631</v>
      </c>
      <c r="J4156">
        <v>1029644996</v>
      </c>
      <c r="K4156" t="s">
        <v>23</v>
      </c>
      <c r="L4156" t="s">
        <v>90</v>
      </c>
      <c r="M4156" t="s">
        <v>24</v>
      </c>
      <c r="N4156" t="s">
        <v>35</v>
      </c>
      <c r="O4156" t="s">
        <v>26</v>
      </c>
      <c r="P4156" t="s">
        <v>27</v>
      </c>
      <c r="Q4156" t="s">
        <v>28</v>
      </c>
      <c r="R4156" t="s">
        <v>29</v>
      </c>
      <c r="S4156" t="s">
        <v>30</v>
      </c>
      <c r="T4156">
        <v>1015441103</v>
      </c>
      <c r="U4156" t="s">
        <v>3933</v>
      </c>
      <c r="V4156" t="s">
        <v>3934</v>
      </c>
      <c r="W4156" s="9">
        <f>IF(V4156="pregrado",31,
IF(V4156="posgrados",31,
IF(V4156="rEINTEGROS",7,
IF(V4156="BIT",90,
IF(V4156="OP GRADO - INGLÉS",17,"")))))</f>
        <v>31</v>
      </c>
      <c r="X4156" t="s">
        <v>3961</v>
      </c>
    </row>
    <row r="4157" spans="1:24" ht="15" x14ac:dyDescent="0.35">
      <c r="A4157" s="4">
        <v>46080.393425925926</v>
      </c>
      <c r="B4157">
        <v>20126763</v>
      </c>
      <c r="C4157" s="6" t="s">
        <v>19</v>
      </c>
      <c r="D4157">
        <v>611089</v>
      </c>
      <c r="E4157" t="s">
        <v>20</v>
      </c>
      <c r="F4157">
        <v>1118829355</v>
      </c>
      <c r="G4157" t="s">
        <v>3713</v>
      </c>
      <c r="H4157">
        <v>100190258</v>
      </c>
      <c r="I4157">
        <v>202611</v>
      </c>
      <c r="J4157">
        <v>1118825347</v>
      </c>
      <c r="K4157" t="s">
        <v>23</v>
      </c>
      <c r="L4157" t="s">
        <v>221</v>
      </c>
      <c r="M4157" t="s">
        <v>24</v>
      </c>
      <c r="N4157" t="s">
        <v>35</v>
      </c>
      <c r="O4157" t="s">
        <v>26</v>
      </c>
      <c r="P4157" t="s">
        <v>27</v>
      </c>
      <c r="Q4157" t="s">
        <v>28</v>
      </c>
      <c r="R4157" t="s">
        <v>29</v>
      </c>
      <c r="S4157" t="s">
        <v>30</v>
      </c>
      <c r="T4157">
        <v>1003652550</v>
      </c>
      <c r="U4157" t="s">
        <v>3965</v>
      </c>
      <c r="V4157" t="s">
        <v>3934</v>
      </c>
      <c r="W4157" s="9">
        <f>IF(V4157="pregrado",31,
IF(V4157="posgrados",31,
IF(V4157="rEINTEGROS",7,
IF(V4157="BIT",90,
IF(V4157="OP GRADO - INGLÉS",17,"")))))</f>
        <v>31</v>
      </c>
      <c r="X4157" t="s">
        <v>4059</v>
      </c>
    </row>
    <row r="4158" spans="1:24" ht="15" x14ac:dyDescent="0.35">
      <c r="A4158" s="4">
        <v>46079.58320601852</v>
      </c>
      <c r="B4158">
        <v>20126552</v>
      </c>
      <c r="C4158" s="6" t="s">
        <v>19</v>
      </c>
      <c r="D4158">
        <v>611109</v>
      </c>
      <c r="E4158" t="s">
        <v>20</v>
      </c>
      <c r="F4158">
        <v>1106889985</v>
      </c>
      <c r="G4158" t="s">
        <v>3667</v>
      </c>
      <c r="H4158">
        <v>100247675</v>
      </c>
      <c r="I4158">
        <v>202631</v>
      </c>
      <c r="J4158">
        <v>1106889985</v>
      </c>
      <c r="K4158" t="s">
        <v>33</v>
      </c>
      <c r="L4158" t="s">
        <v>231</v>
      </c>
      <c r="M4158" t="s">
        <v>24</v>
      </c>
      <c r="N4158" t="s">
        <v>38</v>
      </c>
      <c r="O4158" t="s">
        <v>26</v>
      </c>
      <c r="P4158" t="s">
        <v>27</v>
      </c>
      <c r="Q4158" t="s">
        <v>28</v>
      </c>
      <c r="R4158" t="s">
        <v>29</v>
      </c>
      <c r="S4158" t="s">
        <v>30</v>
      </c>
      <c r="T4158">
        <v>1010081108</v>
      </c>
      <c r="U4158" t="s">
        <v>3941</v>
      </c>
      <c r="V4158" t="s">
        <v>3934</v>
      </c>
      <c r="W4158" s="9">
        <f>IF(V4158="pregrado",31,
IF(V4158="posgrados",31,
IF(V4158="rEINTEGROS",7,
IF(V4158="BIT",90,
IF(V4158="OP GRADO - INGLÉS",17,"")))))</f>
        <v>31</v>
      </c>
      <c r="X4158" t="s">
        <v>4009</v>
      </c>
    </row>
    <row r="4159" spans="1:24" ht="15" x14ac:dyDescent="0.35">
      <c r="A4159" s="4">
        <v>46078.752372685187</v>
      </c>
      <c r="B4159">
        <v>20126353</v>
      </c>
      <c r="C4159" s="6" t="s">
        <v>19</v>
      </c>
      <c r="D4159">
        <v>611115</v>
      </c>
      <c r="E4159" t="s">
        <v>20</v>
      </c>
      <c r="F4159">
        <v>1007160991</v>
      </c>
      <c r="G4159" t="s">
        <v>3644</v>
      </c>
      <c r="H4159">
        <v>100247678</v>
      </c>
      <c r="I4159">
        <v>202611</v>
      </c>
      <c r="J4159">
        <v>1034656659</v>
      </c>
      <c r="K4159" t="s">
        <v>23</v>
      </c>
      <c r="L4159" t="s">
        <v>204</v>
      </c>
      <c r="M4159" t="s">
        <v>24</v>
      </c>
      <c r="N4159" t="s">
        <v>25</v>
      </c>
      <c r="O4159" t="s">
        <v>26</v>
      </c>
      <c r="P4159" t="s">
        <v>27</v>
      </c>
      <c r="Q4159" t="s">
        <v>28</v>
      </c>
      <c r="R4159" t="s">
        <v>29</v>
      </c>
      <c r="S4159" t="s">
        <v>30</v>
      </c>
      <c r="T4159">
        <v>1019115186</v>
      </c>
      <c r="U4159" t="s">
        <v>3941</v>
      </c>
      <c r="V4159" t="s">
        <v>3934</v>
      </c>
      <c r="W4159" s="9">
        <f>IF(V4159="pregrado",31,
IF(V4159="posgrados",31,
IF(V4159="rEINTEGROS",7,
IF(V4159="BIT",90,
IF(V4159="OP GRADO - INGLÉS",17,"")))))</f>
        <v>31</v>
      </c>
      <c r="X4159" t="s">
        <v>4005</v>
      </c>
    </row>
    <row r="4160" spans="1:24" ht="15" x14ac:dyDescent="0.35">
      <c r="A4160" s="4">
        <v>46079.367210648146</v>
      </c>
      <c r="B4160">
        <v>20126414</v>
      </c>
      <c r="C4160" s="6" t="s">
        <v>19</v>
      </c>
      <c r="D4160">
        <v>611117</v>
      </c>
      <c r="E4160" t="s">
        <v>20</v>
      </c>
      <c r="F4160">
        <v>53084524</v>
      </c>
      <c r="G4160" t="s">
        <v>3648</v>
      </c>
      <c r="H4160">
        <v>100247683</v>
      </c>
      <c r="I4160">
        <v>202631</v>
      </c>
      <c r="J4160">
        <v>53084524</v>
      </c>
      <c r="K4160" t="s">
        <v>23</v>
      </c>
      <c r="L4160" t="s">
        <v>240</v>
      </c>
      <c r="M4160" t="s">
        <v>24</v>
      </c>
      <c r="N4160" t="s">
        <v>25</v>
      </c>
      <c r="O4160" t="s">
        <v>26</v>
      </c>
      <c r="P4160" t="s">
        <v>27</v>
      </c>
      <c r="Q4160" t="s">
        <v>28</v>
      </c>
      <c r="R4160" t="s">
        <v>29</v>
      </c>
      <c r="S4160" t="s">
        <v>30</v>
      </c>
      <c r="T4160">
        <v>1030570122</v>
      </c>
      <c r="U4160" t="s">
        <v>3965</v>
      </c>
      <c r="V4160" t="s">
        <v>3934</v>
      </c>
      <c r="W4160" s="9">
        <f>IF(V4160="pregrado",31,
IF(V4160="posgrados",31,
IF(V4160="rEINTEGROS",7,
IF(V4160="BIT",90,
IF(V4160="OP GRADO - INGLÉS",17,"")))))</f>
        <v>31</v>
      </c>
      <c r="X4160" t="s">
        <v>4015</v>
      </c>
    </row>
    <row r="4161" spans="1:24" ht="15" x14ac:dyDescent="0.35">
      <c r="A4161" s="4">
        <v>46079.666122685187</v>
      </c>
      <c r="B4161">
        <v>20126611</v>
      </c>
      <c r="C4161" s="6" t="s">
        <v>19</v>
      </c>
      <c r="D4161">
        <v>611131</v>
      </c>
      <c r="E4161" t="s">
        <v>20</v>
      </c>
      <c r="F4161">
        <v>1002922153</v>
      </c>
      <c r="G4161" t="s">
        <v>3680</v>
      </c>
      <c r="H4161">
        <v>100247702</v>
      </c>
      <c r="I4161">
        <v>202631</v>
      </c>
      <c r="J4161">
        <v>1002922153</v>
      </c>
      <c r="K4161" t="s">
        <v>33</v>
      </c>
      <c r="L4161" t="s">
        <v>127</v>
      </c>
      <c r="M4161" t="s">
        <v>24</v>
      </c>
      <c r="N4161" t="s">
        <v>25</v>
      </c>
      <c r="O4161" t="s">
        <v>26</v>
      </c>
      <c r="P4161" t="s">
        <v>27</v>
      </c>
      <c r="Q4161" t="s">
        <v>28</v>
      </c>
      <c r="R4161" t="s">
        <v>29</v>
      </c>
      <c r="S4161" t="s">
        <v>30</v>
      </c>
      <c r="T4161">
        <v>1023921046</v>
      </c>
      <c r="U4161" t="s">
        <v>3933</v>
      </c>
      <c r="V4161" t="s">
        <v>3934</v>
      </c>
      <c r="W4161" s="9">
        <f>IF(V4161="pregrado",31,
IF(V4161="posgrados",31,
IF(V4161="rEINTEGROS",7,
IF(V4161="BIT",90,
IF(V4161="OP GRADO - INGLÉS",17,"")))))</f>
        <v>31</v>
      </c>
      <c r="X4161" t="s">
        <v>4043</v>
      </c>
    </row>
    <row r="4162" spans="1:24" ht="15" x14ac:dyDescent="0.35">
      <c r="A4162" s="4">
        <v>46078.690578703703</v>
      </c>
      <c r="B4162">
        <v>20126321</v>
      </c>
      <c r="C4162" s="6" t="s">
        <v>19</v>
      </c>
      <c r="D4162">
        <v>611140</v>
      </c>
      <c r="E4162" t="s">
        <v>20</v>
      </c>
      <c r="F4162">
        <v>1005036925</v>
      </c>
      <c r="G4162" t="s">
        <v>3637</v>
      </c>
      <c r="H4162">
        <v>100247715</v>
      </c>
      <c r="I4162">
        <v>202631</v>
      </c>
      <c r="J4162">
        <v>1005036925</v>
      </c>
      <c r="K4162" t="s">
        <v>33</v>
      </c>
      <c r="L4162" t="s">
        <v>240</v>
      </c>
      <c r="M4162" t="s">
        <v>24</v>
      </c>
      <c r="N4162" t="s">
        <v>605</v>
      </c>
      <c r="O4162" t="s">
        <v>26</v>
      </c>
      <c r="P4162" t="s">
        <v>27</v>
      </c>
      <c r="Q4162" t="s">
        <v>28</v>
      </c>
      <c r="R4162" t="s">
        <v>29</v>
      </c>
      <c r="S4162" t="s">
        <v>30</v>
      </c>
      <c r="T4162">
        <v>1003652550</v>
      </c>
      <c r="U4162" t="s">
        <v>3965</v>
      </c>
      <c r="V4162" t="s">
        <v>3934</v>
      </c>
      <c r="W4162" s="9">
        <f>IF(V4162="pregrado",31,
IF(V4162="posgrados",31,
IF(V4162="rEINTEGROS",7,
IF(V4162="BIT",90,
IF(V4162="OP GRADO - INGLÉS",17,"")))))</f>
        <v>31</v>
      </c>
      <c r="X4162" t="s">
        <v>4059</v>
      </c>
    </row>
    <row r="4163" spans="1:24" ht="15" x14ac:dyDescent="0.35">
      <c r="A4163" s="4">
        <v>46080.519062500003</v>
      </c>
      <c r="B4163">
        <v>20126842</v>
      </c>
      <c r="C4163" s="6" t="s">
        <v>19</v>
      </c>
      <c r="D4163">
        <v>611147</v>
      </c>
      <c r="E4163" t="s">
        <v>20</v>
      </c>
      <c r="F4163">
        <v>1070958502</v>
      </c>
      <c r="G4163" t="s">
        <v>3727</v>
      </c>
      <c r="H4163">
        <v>100247721</v>
      </c>
      <c r="I4163">
        <v>202631</v>
      </c>
      <c r="J4163">
        <v>1070958502</v>
      </c>
      <c r="K4163" t="s">
        <v>23</v>
      </c>
      <c r="L4163" t="s">
        <v>219</v>
      </c>
      <c r="M4163" t="s">
        <v>24</v>
      </c>
      <c r="N4163" t="s">
        <v>35</v>
      </c>
      <c r="O4163" t="s">
        <v>26</v>
      </c>
      <c r="P4163" t="s">
        <v>27</v>
      </c>
      <c r="Q4163" t="s">
        <v>28</v>
      </c>
      <c r="R4163" t="s">
        <v>29</v>
      </c>
      <c r="S4163" t="s">
        <v>30</v>
      </c>
      <c r="T4163">
        <v>1020820287</v>
      </c>
      <c r="U4163" t="s">
        <v>3963</v>
      </c>
      <c r="V4163" t="s">
        <v>3934</v>
      </c>
      <c r="W4163" s="9">
        <f>IF(V4163="pregrado",31,
IF(V4163="posgrados",31,
IF(V4163="rEINTEGROS",7,
IF(V4163="BIT",90,
IF(V4163="OP GRADO - INGLÉS",17,"")))))</f>
        <v>31</v>
      </c>
      <c r="X4163" t="s">
        <v>4044</v>
      </c>
    </row>
    <row r="4164" spans="1:24" ht="15" x14ac:dyDescent="0.35">
      <c r="A4164" s="4">
        <v>46078.596458333333</v>
      </c>
      <c r="B4164">
        <v>20126276</v>
      </c>
      <c r="C4164" s="6" t="s">
        <v>19</v>
      </c>
      <c r="D4164">
        <v>611154</v>
      </c>
      <c r="E4164" t="s">
        <v>20</v>
      </c>
      <c r="F4164">
        <v>93116859</v>
      </c>
      <c r="G4164" t="s">
        <v>3634</v>
      </c>
      <c r="H4164">
        <v>100131541</v>
      </c>
      <c r="I4164">
        <v>202631</v>
      </c>
      <c r="J4164">
        <v>1073558285</v>
      </c>
      <c r="K4164" t="s">
        <v>74</v>
      </c>
      <c r="L4164" t="s">
        <v>32</v>
      </c>
      <c r="M4164" t="s">
        <v>24</v>
      </c>
      <c r="N4164" t="s">
        <v>35</v>
      </c>
      <c r="O4164" t="s">
        <v>26</v>
      </c>
      <c r="P4164" t="s">
        <v>27</v>
      </c>
      <c r="Q4164" t="s">
        <v>28</v>
      </c>
      <c r="R4164" t="s">
        <v>29</v>
      </c>
      <c r="S4164" t="s">
        <v>30</v>
      </c>
      <c r="T4164">
        <v>11001273124</v>
      </c>
      <c r="U4164" t="s">
        <v>3944</v>
      </c>
      <c r="V4164" t="s">
        <v>3934</v>
      </c>
      <c r="W4164" s="9">
        <f>IF(V4164="pregrado",31,
IF(V4164="posgrados",31,
IF(V4164="rEINTEGROS",7,
IF(V4164="BIT",90,
IF(V4164="OP GRADO - INGLÉS",17,"")))))</f>
        <v>31</v>
      </c>
      <c r="X4164" t="s">
        <v>3951</v>
      </c>
    </row>
    <row r="4165" spans="1:24" ht="15" x14ac:dyDescent="0.35">
      <c r="A4165" s="4">
        <v>46078.685474537036</v>
      </c>
      <c r="B4165">
        <v>20126318</v>
      </c>
      <c r="C4165" s="6" t="s">
        <v>19</v>
      </c>
      <c r="D4165">
        <v>611166</v>
      </c>
      <c r="E4165" t="s">
        <v>20</v>
      </c>
      <c r="F4165">
        <v>1110525164</v>
      </c>
      <c r="G4165" t="s">
        <v>3636</v>
      </c>
      <c r="H4165">
        <v>100247655</v>
      </c>
      <c r="I4165">
        <v>202611</v>
      </c>
      <c r="J4165">
        <v>1110525164</v>
      </c>
      <c r="K4165" t="s">
        <v>23</v>
      </c>
      <c r="L4165" t="s">
        <v>221</v>
      </c>
      <c r="M4165" t="s">
        <v>24</v>
      </c>
      <c r="N4165" t="s">
        <v>35</v>
      </c>
      <c r="O4165" t="s">
        <v>26</v>
      </c>
      <c r="P4165" t="s">
        <v>27</v>
      </c>
      <c r="Q4165" t="s">
        <v>28</v>
      </c>
      <c r="R4165" t="s">
        <v>29</v>
      </c>
      <c r="S4165" t="s">
        <v>30</v>
      </c>
      <c r="T4165">
        <v>10006855461</v>
      </c>
      <c r="U4165" t="s">
        <v>3965</v>
      </c>
      <c r="V4165" t="s">
        <v>3934</v>
      </c>
      <c r="W4165" s="9">
        <f>IF(V4165="pregrado",31,
IF(V4165="posgrados",31,
IF(V4165="rEINTEGROS",7,
IF(V4165="BIT",90,
IF(V4165="OP GRADO - INGLÉS",17,"")))))</f>
        <v>31</v>
      </c>
      <c r="X4165" t="s">
        <v>3993</v>
      </c>
    </row>
    <row r="4166" spans="1:24" ht="15" x14ac:dyDescent="0.35">
      <c r="A4166" s="4">
        <v>46079.64671296296</v>
      </c>
      <c r="B4166">
        <v>20126589</v>
      </c>
      <c r="C4166" s="6" t="s">
        <v>19</v>
      </c>
      <c r="D4166">
        <v>611175</v>
      </c>
      <c r="E4166" t="s">
        <v>20</v>
      </c>
      <c r="F4166">
        <v>18005238</v>
      </c>
      <c r="G4166" t="s">
        <v>3673</v>
      </c>
      <c r="H4166">
        <v>100247755</v>
      </c>
      <c r="I4166">
        <v>202611</v>
      </c>
      <c r="J4166">
        <v>23249266</v>
      </c>
      <c r="K4166" t="s">
        <v>23</v>
      </c>
      <c r="L4166" t="s">
        <v>221</v>
      </c>
      <c r="M4166" t="s">
        <v>24</v>
      </c>
      <c r="N4166" t="s">
        <v>25</v>
      </c>
      <c r="O4166" t="s">
        <v>26</v>
      </c>
      <c r="P4166" t="s">
        <v>27</v>
      </c>
      <c r="Q4166" t="s">
        <v>28</v>
      </c>
      <c r="R4166" t="s">
        <v>29</v>
      </c>
      <c r="S4166" t="s">
        <v>30</v>
      </c>
      <c r="T4166">
        <v>1073692626</v>
      </c>
      <c r="U4166" t="s">
        <v>3965</v>
      </c>
      <c r="V4166" t="s">
        <v>3934</v>
      </c>
      <c r="W4166" s="9">
        <f>IF(V4166="pregrado",31,
IF(V4166="posgrados",31,
IF(V4166="rEINTEGROS",7,
IF(V4166="BIT",90,
IF(V4166="OP GRADO - INGLÉS",17,"")))))</f>
        <v>31</v>
      </c>
      <c r="X4166" t="s">
        <v>4014</v>
      </c>
    </row>
    <row r="4167" spans="1:24" ht="15" x14ac:dyDescent="0.35">
      <c r="A4167" s="4">
        <v>46079.494432870371</v>
      </c>
      <c r="B4167">
        <v>20126504</v>
      </c>
      <c r="C4167" s="6" t="s">
        <v>19</v>
      </c>
      <c r="D4167">
        <v>611178</v>
      </c>
      <c r="E4167" t="s">
        <v>20</v>
      </c>
      <c r="F4167">
        <v>1006458501</v>
      </c>
      <c r="G4167" t="s">
        <v>3660</v>
      </c>
      <c r="H4167">
        <v>100247769</v>
      </c>
      <c r="I4167">
        <v>202611</v>
      </c>
      <c r="J4167">
        <v>1006458501</v>
      </c>
      <c r="K4167" t="s">
        <v>23</v>
      </c>
      <c r="L4167" t="s">
        <v>221</v>
      </c>
      <c r="M4167" t="s">
        <v>24</v>
      </c>
      <c r="N4167" t="s">
        <v>35</v>
      </c>
      <c r="O4167" t="s">
        <v>26</v>
      </c>
      <c r="P4167" t="s">
        <v>27</v>
      </c>
      <c r="Q4167" t="s">
        <v>28</v>
      </c>
      <c r="R4167" t="s">
        <v>29</v>
      </c>
      <c r="S4167" t="s">
        <v>30</v>
      </c>
      <c r="T4167">
        <v>1001277801</v>
      </c>
      <c r="U4167" t="s">
        <v>3965</v>
      </c>
      <c r="V4167" t="s">
        <v>3934</v>
      </c>
      <c r="W4167" s="9">
        <f>IF(V4167="pregrado",31,
IF(V4167="posgrados",31,
IF(V4167="rEINTEGROS",7,
IF(V4167="BIT",90,
IF(V4167="OP GRADO - INGLÉS",17,"")))))</f>
        <v>31</v>
      </c>
      <c r="X4167" t="s">
        <v>4002</v>
      </c>
    </row>
    <row r="4168" spans="1:24" ht="15" x14ac:dyDescent="0.35">
      <c r="A4168" s="4">
        <v>46079.464236111111</v>
      </c>
      <c r="B4168">
        <v>20126483</v>
      </c>
      <c r="C4168" s="6" t="s">
        <v>19</v>
      </c>
      <c r="D4168">
        <v>611195</v>
      </c>
      <c r="E4168" t="s">
        <v>20</v>
      </c>
      <c r="F4168">
        <v>1111812833</v>
      </c>
      <c r="G4168" t="s">
        <v>3657</v>
      </c>
      <c r="H4168">
        <v>100247779</v>
      </c>
      <c r="I4168">
        <v>202631</v>
      </c>
      <c r="J4168">
        <v>1111812833</v>
      </c>
      <c r="K4168" t="s">
        <v>33</v>
      </c>
      <c r="L4168" t="s">
        <v>207</v>
      </c>
      <c r="M4168" t="s">
        <v>24</v>
      </c>
      <c r="N4168" t="s">
        <v>25</v>
      </c>
      <c r="O4168" t="s">
        <v>26</v>
      </c>
      <c r="P4168" t="s">
        <v>27</v>
      </c>
      <c r="Q4168" t="s">
        <v>28</v>
      </c>
      <c r="R4168" t="s">
        <v>29</v>
      </c>
      <c r="S4168" t="s">
        <v>30</v>
      </c>
      <c r="T4168">
        <v>1001315142</v>
      </c>
      <c r="U4168" t="s">
        <v>3986</v>
      </c>
      <c r="V4168" t="s">
        <v>3934</v>
      </c>
      <c r="W4168" s="9">
        <f>IF(V4168="pregrado",31,
IF(V4168="posgrados",31,
IF(V4168="rEINTEGROS",7,
IF(V4168="BIT",90,
IF(V4168="OP GRADO - INGLÉS",17,"")))))</f>
        <v>31</v>
      </c>
      <c r="X4168" t="s">
        <v>4064</v>
      </c>
    </row>
    <row r="4169" spans="1:24" ht="15" x14ac:dyDescent="0.35">
      <c r="A4169" s="4">
        <v>46078.736446759256</v>
      </c>
      <c r="B4169">
        <v>20126343</v>
      </c>
      <c r="C4169" s="6" t="s">
        <v>19</v>
      </c>
      <c r="D4169">
        <v>611201</v>
      </c>
      <c r="E4169" t="s">
        <v>20</v>
      </c>
      <c r="F4169">
        <v>1102392160</v>
      </c>
      <c r="G4169" t="s">
        <v>3641</v>
      </c>
      <c r="H4169">
        <v>200234946</v>
      </c>
      <c r="I4169">
        <v>202631</v>
      </c>
      <c r="J4169">
        <v>1102392160</v>
      </c>
      <c r="K4169" t="s">
        <v>33</v>
      </c>
      <c r="L4169" t="s">
        <v>119</v>
      </c>
      <c r="M4169" t="s">
        <v>24</v>
      </c>
      <c r="N4169" t="s">
        <v>35</v>
      </c>
      <c r="O4169" t="s">
        <v>26</v>
      </c>
      <c r="P4169" t="s">
        <v>27</v>
      </c>
      <c r="Q4169" t="s">
        <v>28</v>
      </c>
      <c r="R4169" t="s">
        <v>29</v>
      </c>
      <c r="S4169" t="s">
        <v>30</v>
      </c>
      <c r="T4169">
        <v>1070815435</v>
      </c>
      <c r="U4169" t="s">
        <v>3986</v>
      </c>
      <c r="V4169" t="s">
        <v>3934</v>
      </c>
      <c r="W4169" s="9">
        <f>IF(V4169="pregrado",31,
IF(V4169="posgrados",31,
IF(V4169="rEINTEGROS",7,
IF(V4169="BIT",90,
IF(V4169="OP GRADO - INGLÉS",17,"")))))</f>
        <v>31</v>
      </c>
      <c r="X4169" t="s">
        <v>4038</v>
      </c>
    </row>
    <row r="4170" spans="1:24" ht="15" x14ac:dyDescent="0.35">
      <c r="A4170" s="4">
        <v>46079.496134259258</v>
      </c>
      <c r="B4170">
        <v>20126507</v>
      </c>
      <c r="C4170" s="6" t="s">
        <v>19</v>
      </c>
      <c r="D4170">
        <v>611233</v>
      </c>
      <c r="E4170" t="s">
        <v>20</v>
      </c>
      <c r="F4170">
        <v>1032677290</v>
      </c>
      <c r="G4170" t="s">
        <v>3662</v>
      </c>
      <c r="H4170">
        <v>100247759</v>
      </c>
      <c r="I4170">
        <v>202631</v>
      </c>
      <c r="J4170">
        <v>1032677290</v>
      </c>
      <c r="K4170" t="s">
        <v>23</v>
      </c>
      <c r="L4170" t="s">
        <v>127</v>
      </c>
      <c r="M4170" t="s">
        <v>24</v>
      </c>
      <c r="N4170" t="s">
        <v>35</v>
      </c>
      <c r="O4170" t="s">
        <v>26</v>
      </c>
      <c r="P4170" t="s">
        <v>27</v>
      </c>
      <c r="Q4170" t="s">
        <v>28</v>
      </c>
      <c r="R4170" t="s">
        <v>29</v>
      </c>
      <c r="S4170" t="s">
        <v>30</v>
      </c>
      <c r="T4170">
        <v>1015441103</v>
      </c>
      <c r="U4170" t="s">
        <v>3933</v>
      </c>
      <c r="V4170" t="s">
        <v>3934</v>
      </c>
      <c r="W4170" s="9">
        <f>IF(V4170="pregrado",31,
IF(V4170="posgrados",31,
IF(V4170="rEINTEGROS",7,
IF(V4170="BIT",90,
IF(V4170="OP GRADO - INGLÉS",17,"")))))</f>
        <v>31</v>
      </c>
      <c r="X4170" t="s">
        <v>3961</v>
      </c>
    </row>
    <row r="4171" spans="1:24" ht="15" x14ac:dyDescent="0.35">
      <c r="A4171" s="4">
        <v>46079.723032407404</v>
      </c>
      <c r="B4171">
        <v>20126661</v>
      </c>
      <c r="C4171" s="6" t="s">
        <v>19</v>
      </c>
      <c r="D4171">
        <v>611247</v>
      </c>
      <c r="E4171" t="s">
        <v>20</v>
      </c>
      <c r="F4171">
        <v>20430211</v>
      </c>
      <c r="G4171" t="s">
        <v>3690</v>
      </c>
      <c r="H4171">
        <v>100247822</v>
      </c>
      <c r="I4171">
        <v>202631</v>
      </c>
      <c r="J4171">
        <v>20430211</v>
      </c>
      <c r="K4171" t="s">
        <v>33</v>
      </c>
      <c r="L4171" t="s">
        <v>32</v>
      </c>
      <c r="M4171" t="s">
        <v>24</v>
      </c>
      <c r="N4171" t="s">
        <v>35</v>
      </c>
      <c r="O4171" t="s">
        <v>26</v>
      </c>
      <c r="P4171" t="s">
        <v>27</v>
      </c>
      <c r="Q4171" t="s">
        <v>28</v>
      </c>
      <c r="R4171" t="s">
        <v>29</v>
      </c>
      <c r="S4171" t="s">
        <v>30</v>
      </c>
      <c r="T4171">
        <v>1006023129</v>
      </c>
      <c r="U4171" t="s">
        <v>3944</v>
      </c>
      <c r="V4171" t="s">
        <v>3934</v>
      </c>
      <c r="W4171" s="9">
        <f>IF(V4171="pregrado",31,
IF(V4171="posgrados",31,
IF(V4171="rEINTEGROS",7,
IF(V4171="BIT",90,
IF(V4171="OP GRADO - INGLÉS",17,"")))))</f>
        <v>31</v>
      </c>
      <c r="X4171" t="s">
        <v>3982</v>
      </c>
    </row>
    <row r="4172" spans="1:24" ht="15" x14ac:dyDescent="0.35">
      <c r="A4172" s="4">
        <v>46080.521516203706</v>
      </c>
      <c r="B4172">
        <v>20126843</v>
      </c>
      <c r="C4172" s="6" t="s">
        <v>19</v>
      </c>
      <c r="D4172">
        <v>611270</v>
      </c>
      <c r="E4172" t="s">
        <v>20</v>
      </c>
      <c r="F4172">
        <v>1007112438</v>
      </c>
      <c r="G4172" t="s">
        <v>3728</v>
      </c>
      <c r="H4172">
        <v>100247844</v>
      </c>
      <c r="I4172">
        <v>202631</v>
      </c>
      <c r="J4172">
        <v>1007112438</v>
      </c>
      <c r="K4172" t="s">
        <v>33</v>
      </c>
      <c r="L4172" t="s">
        <v>42</v>
      </c>
      <c r="M4172" t="s">
        <v>24</v>
      </c>
      <c r="N4172" t="s">
        <v>25</v>
      </c>
      <c r="O4172" t="s">
        <v>26</v>
      </c>
      <c r="P4172" t="s">
        <v>27</v>
      </c>
      <c r="Q4172" t="s">
        <v>28</v>
      </c>
      <c r="R4172" t="s">
        <v>29</v>
      </c>
      <c r="S4172" t="s">
        <v>30</v>
      </c>
      <c r="T4172">
        <v>1015478965</v>
      </c>
      <c r="U4172" t="s">
        <v>3944</v>
      </c>
      <c r="V4172" t="s">
        <v>3934</v>
      </c>
      <c r="W4172" s="9">
        <f>IF(V4172="pregrado",31,
IF(V4172="posgrados",31,
IF(V4172="rEINTEGROS",7,
IF(V4172="BIT",90,
IF(V4172="OP GRADO - INGLÉS",17,"")))))</f>
        <v>31</v>
      </c>
      <c r="X4172" t="s">
        <v>3979</v>
      </c>
    </row>
    <row r="4173" spans="1:24" ht="15" x14ac:dyDescent="0.35">
      <c r="A4173" s="4">
        <v>46081.466412037036</v>
      </c>
      <c r="B4173">
        <v>20127043</v>
      </c>
      <c r="C4173" s="6" t="s">
        <v>19</v>
      </c>
      <c r="D4173">
        <v>611271</v>
      </c>
      <c r="E4173" t="s">
        <v>20</v>
      </c>
      <c r="F4173">
        <v>76009063</v>
      </c>
      <c r="G4173" t="s">
        <v>3758</v>
      </c>
      <c r="H4173">
        <v>100247845</v>
      </c>
      <c r="I4173">
        <v>202631</v>
      </c>
      <c r="J4173">
        <v>1145624021</v>
      </c>
      <c r="K4173" t="s">
        <v>33</v>
      </c>
      <c r="L4173" t="s">
        <v>207</v>
      </c>
      <c r="M4173" t="s">
        <v>24</v>
      </c>
      <c r="N4173" t="s">
        <v>25</v>
      </c>
      <c r="O4173" t="s">
        <v>26</v>
      </c>
      <c r="P4173" t="s">
        <v>27</v>
      </c>
      <c r="Q4173" t="s">
        <v>28</v>
      </c>
      <c r="R4173" t="s">
        <v>29</v>
      </c>
      <c r="S4173" t="s">
        <v>30</v>
      </c>
      <c r="T4173">
        <v>1018455773</v>
      </c>
      <c r="U4173" t="s">
        <v>3986</v>
      </c>
      <c r="V4173" t="s">
        <v>3934</v>
      </c>
      <c r="W4173" s="9">
        <f>IF(V4173="pregrado",31,
IF(V4173="posgrados",31,
IF(V4173="rEINTEGROS",7,
IF(V4173="BIT",90,
IF(V4173="OP GRADO - INGLÉS",17,"")))))</f>
        <v>31</v>
      </c>
      <c r="X4173" t="s">
        <v>4101</v>
      </c>
    </row>
    <row r="4174" spans="1:24" ht="15" x14ac:dyDescent="0.35">
      <c r="A4174" s="4">
        <v>46079.654502314814</v>
      </c>
      <c r="B4174">
        <v>20126597</v>
      </c>
      <c r="C4174" s="6" t="s">
        <v>19</v>
      </c>
      <c r="D4174">
        <v>611276</v>
      </c>
      <c r="E4174" t="s">
        <v>20</v>
      </c>
      <c r="F4174">
        <v>1081916569</v>
      </c>
      <c r="G4174" t="s">
        <v>3674</v>
      </c>
      <c r="H4174">
        <v>100247848</v>
      </c>
      <c r="I4174">
        <v>202631</v>
      </c>
      <c r="J4174">
        <v>1000687039</v>
      </c>
      <c r="K4174" t="s">
        <v>23</v>
      </c>
      <c r="L4174" t="s">
        <v>240</v>
      </c>
      <c r="M4174" t="s">
        <v>24</v>
      </c>
      <c r="N4174" t="s">
        <v>35</v>
      </c>
      <c r="O4174" t="s">
        <v>26</v>
      </c>
      <c r="P4174" t="s">
        <v>27</v>
      </c>
      <c r="Q4174" t="s">
        <v>28</v>
      </c>
      <c r="R4174" t="s">
        <v>29</v>
      </c>
      <c r="S4174" t="s">
        <v>30</v>
      </c>
      <c r="T4174">
        <v>1118531834</v>
      </c>
      <c r="U4174" t="s">
        <v>3941</v>
      </c>
      <c r="V4174" t="s">
        <v>3934</v>
      </c>
      <c r="W4174" s="9">
        <f>IF(V4174="pregrado",31,
IF(V4174="posgrados",31,
IF(V4174="rEINTEGROS",7,
IF(V4174="BIT",90,
IF(V4174="OP GRADO - INGLÉS",17,"")))))</f>
        <v>31</v>
      </c>
      <c r="X4174" t="s">
        <v>3996</v>
      </c>
    </row>
    <row r="4175" spans="1:24" ht="15" x14ac:dyDescent="0.35">
      <c r="A4175" s="4">
        <v>46079.65483796296</v>
      </c>
      <c r="B4175">
        <v>20126599</v>
      </c>
      <c r="C4175" s="6" t="s">
        <v>19</v>
      </c>
      <c r="D4175">
        <v>611291</v>
      </c>
      <c r="E4175" t="s">
        <v>20</v>
      </c>
      <c r="F4175">
        <v>1010058312</v>
      </c>
      <c r="G4175" t="s">
        <v>3675</v>
      </c>
      <c r="H4175">
        <v>100245467</v>
      </c>
      <c r="I4175">
        <v>202631</v>
      </c>
      <c r="J4175">
        <v>1070923846</v>
      </c>
      <c r="K4175" t="s">
        <v>33</v>
      </c>
      <c r="L4175" t="s">
        <v>207</v>
      </c>
      <c r="M4175" t="s">
        <v>24</v>
      </c>
      <c r="N4175" t="s">
        <v>25</v>
      </c>
      <c r="O4175" t="s">
        <v>26</v>
      </c>
      <c r="P4175" t="s">
        <v>27</v>
      </c>
      <c r="Q4175" t="s">
        <v>28</v>
      </c>
      <c r="R4175" t="s">
        <v>29</v>
      </c>
      <c r="S4175" t="s">
        <v>30</v>
      </c>
      <c r="T4175">
        <v>1001277801</v>
      </c>
      <c r="U4175" t="s">
        <v>3965</v>
      </c>
      <c r="V4175" t="s">
        <v>3934</v>
      </c>
      <c r="W4175" s="9">
        <f>IF(V4175="pregrado",31,
IF(V4175="posgrados",31,
IF(V4175="rEINTEGROS",7,
IF(V4175="BIT",90,
IF(V4175="OP GRADO - INGLÉS",17,"")))))</f>
        <v>31</v>
      </c>
      <c r="X4175" t="s">
        <v>4002</v>
      </c>
    </row>
    <row r="4176" spans="1:24" ht="15" x14ac:dyDescent="0.35">
      <c r="A4176" s="4">
        <v>46079.80741898148</v>
      </c>
      <c r="B4176">
        <v>20126708</v>
      </c>
      <c r="C4176" s="6" t="s">
        <v>19</v>
      </c>
      <c r="D4176">
        <v>611294</v>
      </c>
      <c r="E4176" t="s">
        <v>20</v>
      </c>
      <c r="F4176">
        <v>1002581534</v>
      </c>
      <c r="G4176" t="s">
        <v>3704</v>
      </c>
      <c r="H4176">
        <v>100143141</v>
      </c>
      <c r="I4176">
        <v>202611</v>
      </c>
      <c r="J4176">
        <v>1002581534</v>
      </c>
      <c r="K4176" t="s">
        <v>89</v>
      </c>
      <c r="L4176" t="s">
        <v>133</v>
      </c>
      <c r="M4176" t="s">
        <v>24</v>
      </c>
      <c r="N4176" t="s">
        <v>25</v>
      </c>
      <c r="O4176" t="s">
        <v>26</v>
      </c>
      <c r="P4176" t="s">
        <v>27</v>
      </c>
      <c r="Q4176" t="s">
        <v>28</v>
      </c>
      <c r="R4176" t="s">
        <v>29</v>
      </c>
      <c r="S4176" t="s">
        <v>30</v>
      </c>
      <c r="T4176">
        <v>1019102787</v>
      </c>
      <c r="U4176" t="s">
        <v>3977</v>
      </c>
      <c r="V4176" t="s">
        <v>3970</v>
      </c>
      <c r="W4176" s="9">
        <f>IF(V4176="pregrado",31,
IF(V4176="posgrados",31,
IF(V4176="rEINTEGROS",7,
IF(V4176="BIT",90,
IF(V4176="OP GRADO - INGLÉS",17,"")))))</f>
        <v>7</v>
      </c>
      <c r="X4176" t="s">
        <v>3976</v>
      </c>
    </row>
    <row r="4177" spans="1:24" ht="15" x14ac:dyDescent="0.35">
      <c r="A4177" s="4">
        <v>46079.72378472222</v>
      </c>
      <c r="B4177">
        <v>20126662</v>
      </c>
      <c r="C4177" s="6" t="s">
        <v>19</v>
      </c>
      <c r="D4177">
        <v>611311</v>
      </c>
      <c r="E4177" t="s">
        <v>20</v>
      </c>
      <c r="F4177">
        <v>1233690463</v>
      </c>
      <c r="G4177" t="s">
        <v>3691</v>
      </c>
      <c r="H4177">
        <v>100247893</v>
      </c>
      <c r="I4177">
        <v>202631</v>
      </c>
      <c r="J4177">
        <v>1233690463</v>
      </c>
      <c r="K4177" t="s">
        <v>33</v>
      </c>
      <c r="L4177" t="s">
        <v>207</v>
      </c>
      <c r="M4177" t="s">
        <v>24</v>
      </c>
      <c r="N4177" t="s">
        <v>38</v>
      </c>
      <c r="O4177" t="s">
        <v>26</v>
      </c>
      <c r="P4177" t="s">
        <v>27</v>
      </c>
      <c r="Q4177" t="s">
        <v>28</v>
      </c>
      <c r="R4177" t="s">
        <v>29</v>
      </c>
      <c r="S4177" t="s">
        <v>30</v>
      </c>
      <c r="T4177">
        <v>1001192723</v>
      </c>
      <c r="U4177" t="s">
        <v>3941</v>
      </c>
      <c r="V4177" t="s">
        <v>3934</v>
      </c>
      <c r="W4177" s="9">
        <f>IF(V4177="pregrado",31,
IF(V4177="posgrados",31,
IF(V4177="rEINTEGROS",7,
IF(V4177="BIT",90,
IF(V4177="OP GRADO - INGLÉS",17,"")))))</f>
        <v>31</v>
      </c>
      <c r="X4177" t="s">
        <v>3940</v>
      </c>
    </row>
    <row r="4178" spans="1:24" ht="15" x14ac:dyDescent="0.35">
      <c r="A4178" s="4">
        <v>46079.702685185184</v>
      </c>
      <c r="B4178">
        <v>20126647</v>
      </c>
      <c r="C4178" s="6" t="s">
        <v>19</v>
      </c>
      <c r="D4178">
        <v>611317</v>
      </c>
      <c r="E4178" t="s">
        <v>20</v>
      </c>
      <c r="F4178">
        <v>1121200565</v>
      </c>
      <c r="G4178" t="s">
        <v>3688</v>
      </c>
      <c r="H4178">
        <v>100242530</v>
      </c>
      <c r="I4178">
        <v>202631</v>
      </c>
      <c r="J4178">
        <v>1121200565</v>
      </c>
      <c r="K4178" t="s">
        <v>23</v>
      </c>
      <c r="L4178" t="s">
        <v>51</v>
      </c>
      <c r="M4178" t="s">
        <v>24</v>
      </c>
      <c r="N4178" t="s">
        <v>35</v>
      </c>
      <c r="O4178" t="s">
        <v>26</v>
      </c>
      <c r="P4178" t="s">
        <v>27</v>
      </c>
      <c r="Q4178" t="s">
        <v>28</v>
      </c>
      <c r="R4178" t="s">
        <v>29</v>
      </c>
      <c r="S4178" t="s">
        <v>30</v>
      </c>
      <c r="T4178">
        <v>1024572316</v>
      </c>
      <c r="U4178" t="s">
        <v>3941</v>
      </c>
      <c r="V4178" t="s">
        <v>3934</v>
      </c>
      <c r="W4178" s="9">
        <f>IF(V4178="pregrado",31,
IF(V4178="posgrados",31,
IF(V4178="rEINTEGROS",7,
IF(V4178="BIT",90,
IF(V4178="OP GRADO - INGLÉS",17,"")))))</f>
        <v>31</v>
      </c>
      <c r="X4178" t="s">
        <v>4000</v>
      </c>
    </row>
    <row r="4179" spans="1:24" ht="15" x14ac:dyDescent="0.35">
      <c r="A4179" s="4">
        <v>46079.750578703701</v>
      </c>
      <c r="B4179">
        <v>20126684</v>
      </c>
      <c r="C4179" s="6" t="s">
        <v>19</v>
      </c>
      <c r="D4179">
        <v>611322</v>
      </c>
      <c r="E4179" t="s">
        <v>20</v>
      </c>
      <c r="F4179">
        <v>1047036435</v>
      </c>
      <c r="G4179" t="s">
        <v>3698</v>
      </c>
      <c r="H4179">
        <v>100247899</v>
      </c>
      <c r="I4179">
        <v>202631</v>
      </c>
      <c r="J4179">
        <v>1047036435</v>
      </c>
      <c r="K4179" t="s">
        <v>23</v>
      </c>
      <c r="L4179" t="s">
        <v>57</v>
      </c>
      <c r="M4179" t="s">
        <v>24</v>
      </c>
      <c r="N4179" t="s">
        <v>35</v>
      </c>
      <c r="O4179" t="s">
        <v>26</v>
      </c>
      <c r="P4179" t="s">
        <v>27</v>
      </c>
      <c r="Q4179" t="s">
        <v>28</v>
      </c>
      <c r="R4179" t="s">
        <v>29</v>
      </c>
      <c r="S4179" t="s">
        <v>30</v>
      </c>
      <c r="T4179">
        <v>1022392610</v>
      </c>
      <c r="U4179" t="s">
        <v>3941</v>
      </c>
      <c r="V4179" t="s">
        <v>3934</v>
      </c>
      <c r="W4179" s="9">
        <f>IF(V4179="pregrado",31,
IF(V4179="posgrados",31,
IF(V4179="rEINTEGROS",7,
IF(V4179="BIT",90,
IF(V4179="OP GRADO - INGLÉS",17,"")))))</f>
        <v>31</v>
      </c>
      <c r="X4179" t="s">
        <v>4028</v>
      </c>
    </row>
    <row r="4180" spans="1:24" ht="15" x14ac:dyDescent="0.35">
      <c r="A4180" s="4">
        <v>46079.730891203704</v>
      </c>
      <c r="B4180">
        <v>20126670</v>
      </c>
      <c r="C4180" s="6" t="s">
        <v>19</v>
      </c>
      <c r="D4180">
        <v>611323</v>
      </c>
      <c r="E4180" t="s">
        <v>20</v>
      </c>
      <c r="F4180">
        <v>1113655261</v>
      </c>
      <c r="G4180" t="s">
        <v>3693</v>
      </c>
      <c r="H4180">
        <v>100247883</v>
      </c>
      <c r="I4180">
        <v>202631</v>
      </c>
      <c r="J4180">
        <v>1113655261</v>
      </c>
      <c r="K4180" t="s">
        <v>23</v>
      </c>
      <c r="L4180" t="s">
        <v>207</v>
      </c>
      <c r="M4180" t="s">
        <v>24</v>
      </c>
      <c r="N4180" t="s">
        <v>35</v>
      </c>
      <c r="O4180" t="s">
        <v>26</v>
      </c>
      <c r="P4180" t="s">
        <v>27</v>
      </c>
      <c r="Q4180" t="s">
        <v>28</v>
      </c>
      <c r="R4180" t="s">
        <v>29</v>
      </c>
      <c r="S4180" t="s">
        <v>30</v>
      </c>
      <c r="T4180">
        <v>39666517</v>
      </c>
      <c r="U4180" t="s">
        <v>3933</v>
      </c>
      <c r="V4180" t="s">
        <v>3934</v>
      </c>
      <c r="W4180" s="9">
        <f>IF(V4180="pregrado",31,
IF(V4180="posgrados",31,
IF(V4180="rEINTEGROS",7,
IF(V4180="BIT",90,
IF(V4180="OP GRADO - INGLÉS",17,"")))))</f>
        <v>31</v>
      </c>
      <c r="X4180" t="s">
        <v>4025</v>
      </c>
    </row>
    <row r="4181" spans="1:24" ht="15" x14ac:dyDescent="0.35">
      <c r="A4181" s="4">
        <v>46081.6094212963</v>
      </c>
      <c r="B4181">
        <v>20127081</v>
      </c>
      <c r="C4181" s="6" t="s">
        <v>19</v>
      </c>
      <c r="D4181">
        <v>611359</v>
      </c>
      <c r="E4181" t="s">
        <v>20</v>
      </c>
      <c r="F4181">
        <v>1031642739</v>
      </c>
      <c r="G4181" t="s">
        <v>3763</v>
      </c>
      <c r="H4181">
        <v>100247919</v>
      </c>
      <c r="I4181">
        <v>202631</v>
      </c>
      <c r="J4181">
        <v>1030535795</v>
      </c>
      <c r="K4181" t="s">
        <v>23</v>
      </c>
      <c r="L4181" t="s">
        <v>240</v>
      </c>
      <c r="M4181" t="s">
        <v>24</v>
      </c>
      <c r="N4181" t="s">
        <v>35</v>
      </c>
      <c r="O4181" t="s">
        <v>26</v>
      </c>
      <c r="P4181" t="s">
        <v>27</v>
      </c>
      <c r="Q4181" t="s">
        <v>28</v>
      </c>
      <c r="R4181" t="s">
        <v>29</v>
      </c>
      <c r="S4181" t="s">
        <v>30</v>
      </c>
      <c r="T4181">
        <v>1015428862</v>
      </c>
      <c r="U4181" t="s">
        <v>3965</v>
      </c>
      <c r="V4181" t="s">
        <v>3934</v>
      </c>
      <c r="W4181" s="9">
        <f>IF(V4181="pregrado",31,
IF(V4181="posgrados",31,
IF(V4181="rEINTEGROS",7,
IF(V4181="BIT",90,
IF(V4181="OP GRADO - INGLÉS",17,"")))))</f>
        <v>31</v>
      </c>
      <c r="X4181" t="s">
        <v>4048</v>
      </c>
    </row>
    <row r="4182" spans="1:24" ht="15" x14ac:dyDescent="0.35">
      <c r="A4182" s="4">
        <v>46080.486747685187</v>
      </c>
      <c r="B4182">
        <v>20126823</v>
      </c>
      <c r="C4182" s="6" t="s">
        <v>19</v>
      </c>
      <c r="D4182">
        <v>611368</v>
      </c>
      <c r="E4182" t="s">
        <v>20</v>
      </c>
      <c r="F4182">
        <v>1103364023</v>
      </c>
      <c r="G4182" t="s">
        <v>3724</v>
      </c>
      <c r="H4182">
        <v>100247931</v>
      </c>
      <c r="I4182">
        <v>202631</v>
      </c>
      <c r="J4182">
        <v>1103364023</v>
      </c>
      <c r="K4182" t="s">
        <v>23</v>
      </c>
      <c r="L4182" t="s">
        <v>207</v>
      </c>
      <c r="M4182" t="s">
        <v>24</v>
      </c>
      <c r="N4182" t="s">
        <v>25</v>
      </c>
      <c r="O4182" t="s">
        <v>26</v>
      </c>
      <c r="P4182" t="s">
        <v>27</v>
      </c>
      <c r="Q4182" t="s">
        <v>28</v>
      </c>
      <c r="R4182" t="s">
        <v>29</v>
      </c>
      <c r="S4182" t="s">
        <v>30</v>
      </c>
      <c r="T4182">
        <v>1032678391</v>
      </c>
      <c r="U4182" t="s">
        <v>3965</v>
      </c>
      <c r="V4182" t="s">
        <v>3934</v>
      </c>
      <c r="W4182" s="9">
        <f>IF(V4182="pregrado",31,
IF(V4182="posgrados",31,
IF(V4182="rEINTEGROS",7,
IF(V4182="BIT",90,
IF(V4182="OP GRADO - INGLÉS",17,"")))))</f>
        <v>31</v>
      </c>
      <c r="X4182" t="s">
        <v>4098</v>
      </c>
    </row>
    <row r="4183" spans="1:24" ht="15" x14ac:dyDescent="0.35">
      <c r="A4183" s="4">
        <v>46080.517164351855</v>
      </c>
      <c r="B4183">
        <v>20126841</v>
      </c>
      <c r="C4183" s="6" t="s">
        <v>19</v>
      </c>
      <c r="D4183">
        <v>611377</v>
      </c>
      <c r="E4183" t="s">
        <v>20</v>
      </c>
      <c r="F4183">
        <v>1091672478</v>
      </c>
      <c r="G4183" t="s">
        <v>3726</v>
      </c>
      <c r="H4183">
        <v>100134401</v>
      </c>
      <c r="I4183">
        <v>202631</v>
      </c>
      <c r="J4183">
        <v>1091672478</v>
      </c>
      <c r="K4183" t="s">
        <v>89</v>
      </c>
      <c r="L4183" t="s">
        <v>127</v>
      </c>
      <c r="M4183" t="s">
        <v>24</v>
      </c>
      <c r="N4183" t="s">
        <v>35</v>
      </c>
      <c r="O4183" t="s">
        <v>26</v>
      </c>
      <c r="P4183" t="s">
        <v>27</v>
      </c>
      <c r="Q4183" t="s">
        <v>28</v>
      </c>
      <c r="R4183" t="s">
        <v>29</v>
      </c>
      <c r="S4183" t="s">
        <v>30</v>
      </c>
      <c r="T4183">
        <v>1019102787</v>
      </c>
      <c r="U4183" t="s">
        <v>3977</v>
      </c>
      <c r="V4183" t="s">
        <v>3970</v>
      </c>
      <c r="W4183" s="9">
        <f>IF(V4183="pregrado",31,
IF(V4183="posgrados",31,
IF(V4183="rEINTEGROS",7,
IF(V4183="BIT",90,
IF(V4183="OP GRADO - INGLÉS",17,"")))))</f>
        <v>7</v>
      </c>
      <c r="X4183" t="s">
        <v>3976</v>
      </c>
    </row>
    <row r="4184" spans="1:24" ht="15" x14ac:dyDescent="0.35">
      <c r="A4184" s="4">
        <v>46083.575787037036</v>
      </c>
      <c r="B4184">
        <v>20127234</v>
      </c>
      <c r="C4184" s="6" t="s">
        <v>19</v>
      </c>
      <c r="D4184">
        <v>611423</v>
      </c>
      <c r="E4184" t="s">
        <v>20</v>
      </c>
      <c r="F4184">
        <v>1124498990</v>
      </c>
      <c r="G4184" t="s">
        <v>3786</v>
      </c>
      <c r="H4184">
        <v>200084438</v>
      </c>
      <c r="I4184">
        <v>202631</v>
      </c>
      <c r="J4184">
        <v>1124498990</v>
      </c>
      <c r="K4184" t="s">
        <v>23</v>
      </c>
      <c r="L4184" t="s">
        <v>77</v>
      </c>
      <c r="M4184" t="s">
        <v>24</v>
      </c>
      <c r="N4184" t="s">
        <v>35</v>
      </c>
      <c r="O4184" t="s">
        <v>26</v>
      </c>
      <c r="P4184" t="s">
        <v>27</v>
      </c>
      <c r="Q4184" t="s">
        <v>28</v>
      </c>
      <c r="R4184" t="s">
        <v>29</v>
      </c>
      <c r="S4184" t="s">
        <v>30</v>
      </c>
      <c r="T4184">
        <v>1023974716</v>
      </c>
      <c r="U4184" t="s">
        <v>3963</v>
      </c>
      <c r="V4184" t="s">
        <v>3934</v>
      </c>
      <c r="W4184" s="9">
        <f>IF(V4184="pregrado",31,
IF(V4184="posgrados",31,
IF(V4184="rEINTEGROS",7,
IF(V4184="BIT",90,
IF(V4184="OP GRADO - INGLÉS",17,"")))))</f>
        <v>31</v>
      </c>
      <c r="X4184" t="s">
        <v>4016</v>
      </c>
    </row>
    <row r="4185" spans="1:24" ht="15" x14ac:dyDescent="0.35">
      <c r="A4185" s="4">
        <v>46081.581886574073</v>
      </c>
      <c r="B4185">
        <v>20127080</v>
      </c>
      <c r="C4185" s="6" t="s">
        <v>19</v>
      </c>
      <c r="D4185">
        <v>611424</v>
      </c>
      <c r="E4185" t="s">
        <v>20</v>
      </c>
      <c r="F4185">
        <v>65498850</v>
      </c>
      <c r="G4185" t="s">
        <v>3762</v>
      </c>
      <c r="H4185">
        <v>100247969</v>
      </c>
      <c r="I4185">
        <v>202631</v>
      </c>
      <c r="J4185">
        <v>1023875973</v>
      </c>
      <c r="K4185" t="s">
        <v>23</v>
      </c>
      <c r="L4185" t="s">
        <v>240</v>
      </c>
      <c r="M4185" t="s">
        <v>24</v>
      </c>
      <c r="N4185" t="s">
        <v>35</v>
      </c>
      <c r="O4185" t="s">
        <v>26</v>
      </c>
      <c r="P4185" t="s">
        <v>27</v>
      </c>
      <c r="Q4185" t="s">
        <v>28</v>
      </c>
      <c r="R4185" t="s">
        <v>29</v>
      </c>
      <c r="S4185" t="s">
        <v>30</v>
      </c>
      <c r="T4185">
        <v>1015428862</v>
      </c>
      <c r="U4185" t="s">
        <v>3965</v>
      </c>
      <c r="V4185" t="s">
        <v>3934</v>
      </c>
      <c r="W4185" s="9">
        <f>IF(V4185="pregrado",31,
IF(V4185="posgrados",31,
IF(V4185="rEINTEGROS",7,
IF(V4185="BIT",90,
IF(V4185="OP GRADO - INGLÉS",17,"")))))</f>
        <v>31</v>
      </c>
      <c r="X4185" t="s">
        <v>4048</v>
      </c>
    </row>
    <row r="4186" spans="1:24" ht="15" x14ac:dyDescent="0.35">
      <c r="A4186" s="4">
        <v>46080.725462962961</v>
      </c>
      <c r="B4186">
        <v>20126961</v>
      </c>
      <c r="C4186" s="6" t="s">
        <v>19</v>
      </c>
      <c r="D4186">
        <v>611439</v>
      </c>
      <c r="E4186" t="s">
        <v>20</v>
      </c>
      <c r="F4186">
        <v>1126243384</v>
      </c>
      <c r="G4186" t="s">
        <v>3746</v>
      </c>
      <c r="H4186">
        <v>200079042</v>
      </c>
      <c r="I4186">
        <v>202631</v>
      </c>
      <c r="J4186">
        <v>1126243384</v>
      </c>
      <c r="K4186" t="s">
        <v>33</v>
      </c>
      <c r="L4186" t="s">
        <v>77</v>
      </c>
      <c r="M4186" t="s">
        <v>24</v>
      </c>
      <c r="N4186" t="s">
        <v>35</v>
      </c>
      <c r="O4186" t="s">
        <v>26</v>
      </c>
      <c r="P4186" t="s">
        <v>27</v>
      </c>
      <c r="Q4186" t="s">
        <v>28</v>
      </c>
      <c r="R4186" t="s">
        <v>29</v>
      </c>
      <c r="S4186" t="s">
        <v>30</v>
      </c>
      <c r="T4186">
        <v>1014283217</v>
      </c>
      <c r="U4186" t="s">
        <v>3963</v>
      </c>
      <c r="V4186" t="s">
        <v>3934</v>
      </c>
      <c r="W4186" s="9">
        <f>IF(V4186="pregrado",31,
IF(V4186="posgrados",31,
IF(V4186="rEINTEGROS",7,
IF(V4186="BIT",90,
IF(V4186="OP GRADO - INGLÉS",17,"")))))</f>
        <v>31</v>
      </c>
      <c r="X4186" t="s">
        <v>4023</v>
      </c>
    </row>
    <row r="4187" spans="1:24" ht="15" x14ac:dyDescent="0.35">
      <c r="A4187" s="4">
        <v>46080.730219907404</v>
      </c>
      <c r="B4187">
        <v>20126967</v>
      </c>
      <c r="C4187" s="6" t="s">
        <v>19</v>
      </c>
      <c r="D4187">
        <v>611449</v>
      </c>
      <c r="E4187" t="s">
        <v>20</v>
      </c>
      <c r="F4187">
        <v>1063591223</v>
      </c>
      <c r="G4187" t="s">
        <v>3748</v>
      </c>
      <c r="H4187">
        <v>100248005</v>
      </c>
      <c r="I4187">
        <v>202631</v>
      </c>
      <c r="J4187">
        <v>1063591223</v>
      </c>
      <c r="K4187" t="s">
        <v>33</v>
      </c>
      <c r="L4187" t="s">
        <v>127</v>
      </c>
      <c r="M4187" t="s">
        <v>24</v>
      </c>
      <c r="N4187" t="s">
        <v>25</v>
      </c>
      <c r="O4187" t="s">
        <v>26</v>
      </c>
      <c r="P4187" t="s">
        <v>27</v>
      </c>
      <c r="Q4187" t="s">
        <v>28</v>
      </c>
      <c r="R4187" t="s">
        <v>29</v>
      </c>
      <c r="S4187" t="s">
        <v>30</v>
      </c>
      <c r="T4187">
        <v>10245841021</v>
      </c>
      <c r="U4187" t="s">
        <v>3933</v>
      </c>
      <c r="V4187" t="s">
        <v>3934</v>
      </c>
      <c r="W4187" s="9">
        <f>IF(V4187="pregrado",31,
IF(V4187="posgrados",31,
IF(V4187="rEINTEGROS",7,
IF(V4187="BIT",90,
IF(V4187="OP GRADO - INGLÉS",17,"")))))</f>
        <v>31</v>
      </c>
      <c r="X4187" t="s">
        <v>3987</v>
      </c>
    </row>
    <row r="4188" spans="1:24" ht="15" x14ac:dyDescent="0.35">
      <c r="A4188" s="4">
        <v>46083.340231481481</v>
      </c>
      <c r="B4188">
        <v>20127121</v>
      </c>
      <c r="C4188" s="6" t="s">
        <v>19</v>
      </c>
      <c r="D4188">
        <v>611492</v>
      </c>
      <c r="E4188" t="s">
        <v>20</v>
      </c>
      <c r="F4188">
        <v>1075793094</v>
      </c>
      <c r="G4188" t="s">
        <v>3768</v>
      </c>
      <c r="H4188">
        <v>100248032</v>
      </c>
      <c r="I4188">
        <v>202631</v>
      </c>
      <c r="J4188">
        <v>1075793094</v>
      </c>
      <c r="K4188" t="s">
        <v>33</v>
      </c>
      <c r="L4188" t="s">
        <v>90</v>
      </c>
      <c r="M4188" t="s">
        <v>24</v>
      </c>
      <c r="N4188" t="s">
        <v>25</v>
      </c>
      <c r="O4188" t="s">
        <v>26</v>
      </c>
      <c r="P4188" t="s">
        <v>27</v>
      </c>
      <c r="Q4188" t="s">
        <v>28</v>
      </c>
      <c r="R4188" t="s">
        <v>29</v>
      </c>
      <c r="S4188" t="s">
        <v>30</v>
      </c>
      <c r="T4188">
        <v>1010240716</v>
      </c>
      <c r="U4188" t="s">
        <v>3939</v>
      </c>
      <c r="V4188" t="s">
        <v>3934</v>
      </c>
      <c r="W4188" s="9">
        <f>IF(V4188="pregrado",31,
IF(V4188="posgrados",31,
IF(V4188="rEINTEGROS",7,
IF(V4188="BIT",90,
IF(V4188="OP GRADO - INGLÉS",17,"")))))</f>
        <v>31</v>
      </c>
      <c r="X4188" t="s">
        <v>3938</v>
      </c>
    </row>
    <row r="4189" spans="1:24" ht="15" x14ac:dyDescent="0.35">
      <c r="A4189" s="4">
        <v>46083.348217592589</v>
      </c>
      <c r="B4189">
        <v>20127125</v>
      </c>
      <c r="C4189" s="6" t="s">
        <v>19</v>
      </c>
      <c r="D4189">
        <v>611495</v>
      </c>
      <c r="E4189" t="s">
        <v>20</v>
      </c>
      <c r="F4189">
        <v>1076502983</v>
      </c>
      <c r="G4189" t="s">
        <v>3769</v>
      </c>
      <c r="H4189">
        <v>100248035</v>
      </c>
      <c r="I4189">
        <v>202631</v>
      </c>
      <c r="J4189">
        <v>1076502983</v>
      </c>
      <c r="K4189" t="s">
        <v>33</v>
      </c>
      <c r="L4189" t="s">
        <v>90</v>
      </c>
      <c r="M4189" t="s">
        <v>24</v>
      </c>
      <c r="N4189" t="s">
        <v>25</v>
      </c>
      <c r="O4189" t="s">
        <v>26</v>
      </c>
      <c r="P4189" t="s">
        <v>27</v>
      </c>
      <c r="Q4189" t="s">
        <v>28</v>
      </c>
      <c r="R4189" t="s">
        <v>29</v>
      </c>
      <c r="S4189" t="s">
        <v>30</v>
      </c>
      <c r="T4189">
        <v>1010240716</v>
      </c>
      <c r="U4189" t="s">
        <v>3939</v>
      </c>
      <c r="V4189" t="s">
        <v>3934</v>
      </c>
      <c r="W4189" s="9">
        <f>IF(V4189="pregrado",31,
IF(V4189="posgrados",31,
IF(V4189="rEINTEGROS",7,
IF(V4189="BIT",90,
IF(V4189="OP GRADO - INGLÉS",17,"")))))</f>
        <v>31</v>
      </c>
      <c r="X4189" t="s">
        <v>3938</v>
      </c>
    </row>
    <row r="4190" spans="1:24" ht="15" x14ac:dyDescent="0.35">
      <c r="A4190" s="4">
        <v>46083.384282407409</v>
      </c>
      <c r="B4190">
        <v>20127148</v>
      </c>
      <c r="C4190" s="6" t="s">
        <v>19</v>
      </c>
      <c r="D4190">
        <v>611506</v>
      </c>
      <c r="E4190" t="s">
        <v>20</v>
      </c>
      <c r="F4190">
        <v>1015996298</v>
      </c>
      <c r="G4190" t="s">
        <v>3773</v>
      </c>
      <c r="H4190">
        <v>100248042</v>
      </c>
      <c r="I4190">
        <v>202631</v>
      </c>
      <c r="J4190">
        <v>1015996298</v>
      </c>
      <c r="K4190" t="s">
        <v>33</v>
      </c>
      <c r="L4190" t="s">
        <v>127</v>
      </c>
      <c r="M4190" t="s">
        <v>24</v>
      </c>
      <c r="N4190" t="s">
        <v>25</v>
      </c>
      <c r="O4190" t="s">
        <v>26</v>
      </c>
      <c r="P4190" t="s">
        <v>27</v>
      </c>
      <c r="Q4190" t="s">
        <v>28</v>
      </c>
      <c r="R4190" t="s">
        <v>29</v>
      </c>
      <c r="S4190" t="s">
        <v>30</v>
      </c>
      <c r="T4190">
        <v>39666517</v>
      </c>
      <c r="U4190" t="s">
        <v>3933</v>
      </c>
      <c r="V4190" t="s">
        <v>3934</v>
      </c>
      <c r="W4190" s="9">
        <f>IF(V4190="pregrado",31,
IF(V4190="posgrados",31,
IF(V4190="rEINTEGROS",7,
IF(V4190="BIT",90,
IF(V4190="OP GRADO - INGLÉS",17,"")))))</f>
        <v>31</v>
      </c>
      <c r="X4190" t="s">
        <v>4025</v>
      </c>
    </row>
    <row r="4191" spans="1:24" ht="15" x14ac:dyDescent="0.35">
      <c r="A4191" s="4">
        <v>46083.401967592596</v>
      </c>
      <c r="B4191">
        <v>20127154</v>
      </c>
      <c r="C4191" s="6" t="s">
        <v>19</v>
      </c>
      <c r="D4191">
        <v>611522</v>
      </c>
      <c r="E4191" t="s">
        <v>20</v>
      </c>
      <c r="F4191">
        <v>1000832824</v>
      </c>
      <c r="G4191" t="s">
        <v>3776</v>
      </c>
      <c r="H4191">
        <v>100248045</v>
      </c>
      <c r="I4191">
        <v>202631</v>
      </c>
      <c r="J4191">
        <v>1000832824</v>
      </c>
      <c r="K4191" t="s">
        <v>33</v>
      </c>
      <c r="L4191" t="s">
        <v>32</v>
      </c>
      <c r="M4191" t="s">
        <v>24</v>
      </c>
      <c r="N4191" t="s">
        <v>38</v>
      </c>
      <c r="O4191" t="s">
        <v>26</v>
      </c>
      <c r="P4191" t="s">
        <v>27</v>
      </c>
      <c r="Q4191" t="s">
        <v>28</v>
      </c>
      <c r="R4191" t="s">
        <v>29</v>
      </c>
      <c r="S4191" t="s">
        <v>30</v>
      </c>
      <c r="T4191">
        <v>1015478965</v>
      </c>
      <c r="U4191" t="s">
        <v>3944</v>
      </c>
      <c r="V4191" t="s">
        <v>3934</v>
      </c>
      <c r="W4191" s="9">
        <f>IF(V4191="pregrado",31,
IF(V4191="posgrados",31,
IF(V4191="rEINTEGROS",7,
IF(V4191="BIT",90,
IF(V4191="OP GRADO - INGLÉS",17,"")))))</f>
        <v>31</v>
      </c>
      <c r="X4191" t="s">
        <v>3979</v>
      </c>
    </row>
    <row r="4192" spans="1:24" x14ac:dyDescent="0.3">
      <c r="A4192" s="4">
        <v>46095</v>
      </c>
      <c r="B4192">
        <v>20128558</v>
      </c>
      <c r="C4192" t="s">
        <v>19</v>
      </c>
      <c r="D4192">
        <v>611536</v>
      </c>
      <c r="E4192" t="s">
        <v>20</v>
      </c>
      <c r="F4192">
        <v>1050972786</v>
      </c>
      <c r="G4192" t="s">
        <v>4138</v>
      </c>
      <c r="H4192">
        <v>100248073</v>
      </c>
      <c r="I4192">
        <v>202612</v>
      </c>
      <c r="J4192">
        <v>1050972786</v>
      </c>
      <c r="K4192" t="s">
        <v>33</v>
      </c>
      <c r="L4192" t="s">
        <v>204</v>
      </c>
      <c r="M4192" t="s">
        <v>24</v>
      </c>
      <c r="N4192" t="s">
        <v>25</v>
      </c>
      <c r="O4192" t="s">
        <v>26</v>
      </c>
      <c r="P4192" t="s">
        <v>27</v>
      </c>
      <c r="Q4192" t="s">
        <v>28</v>
      </c>
      <c r="R4192" t="s">
        <v>29</v>
      </c>
      <c r="S4192" t="s">
        <v>793</v>
      </c>
      <c r="T4192">
        <f>_xlfn.XLOOKUP(X4192,Hoja2!D:D,Hoja2!A:A)</f>
        <v>1025460711</v>
      </c>
      <c r="U4192" t="str">
        <f>_xlfn.XLOOKUP(X4192,Hoja2!D:D,Hoja2!B:B)</f>
        <v>PAOLA ANDREA CALDERON CETINA</v>
      </c>
      <c r="V4192" t="str">
        <f>_xlfn.XLOOKUP(X4192,Hoja2!D:D,Hoja2!C:C)</f>
        <v>PREGRADO</v>
      </c>
      <c r="W4192" s="9">
        <f>IF(V4192="pregrado",31,
IF(V4192="posgrados",31,
IF(V4192="rEINTEGROS",7,
IF(V4192="BIT",90,
IF(V4192="OP GRADO - INGLÉS",17,"")))))</f>
        <v>31</v>
      </c>
      <c r="X4192" t="s">
        <v>4062</v>
      </c>
    </row>
    <row r="4193" spans="1:24" x14ac:dyDescent="0.3">
      <c r="A4193" s="4">
        <v>46087</v>
      </c>
      <c r="B4193">
        <v>20127901</v>
      </c>
      <c r="C4193" t="s">
        <v>19</v>
      </c>
      <c r="D4193">
        <v>611540</v>
      </c>
      <c r="E4193" t="s">
        <v>20</v>
      </c>
      <c r="F4193">
        <v>1058352183</v>
      </c>
      <c r="G4193" t="s">
        <v>4109</v>
      </c>
      <c r="H4193">
        <v>100247948</v>
      </c>
      <c r="I4193">
        <v>202612</v>
      </c>
      <c r="J4193">
        <v>1058352183</v>
      </c>
      <c r="K4193" t="s">
        <v>33</v>
      </c>
      <c r="L4193" t="s">
        <v>204</v>
      </c>
      <c r="M4193" t="s">
        <v>24</v>
      </c>
      <c r="N4193" t="s">
        <v>25</v>
      </c>
      <c r="O4193" t="s">
        <v>26</v>
      </c>
      <c r="P4193" t="s">
        <v>27</v>
      </c>
      <c r="Q4193" t="s">
        <v>28</v>
      </c>
      <c r="R4193" t="s">
        <v>29</v>
      </c>
      <c r="S4193" t="s">
        <v>793</v>
      </c>
      <c r="T4193">
        <f>_xlfn.XLOOKUP(X4193,Hoja2!D:D,Hoja2!A:A)</f>
        <v>1002500634</v>
      </c>
      <c r="U4193" t="str">
        <f>_xlfn.XLOOKUP(X4193,Hoja2!D:D,Hoja2!B:B)</f>
        <v>CATALINA PACHECO BURGOS</v>
      </c>
      <c r="V4193" t="str">
        <f>_xlfn.XLOOKUP(X4193,Hoja2!D:D,Hoja2!C:C)</f>
        <v>PREGRADO</v>
      </c>
      <c r="W4193" s="9">
        <f>IF(V4193="pregrado",31,
IF(V4193="posgrados",31,
IF(V4193="rEINTEGROS",7,
IF(V4193="BIT",90,
IF(V4193="OP GRADO - INGLÉS",17,"")))))</f>
        <v>31</v>
      </c>
      <c r="X4193" t="s">
        <v>4026</v>
      </c>
    </row>
    <row r="4194" spans="1:24" ht="15" x14ac:dyDescent="0.35">
      <c r="A4194" s="4">
        <v>46085.374502314815</v>
      </c>
      <c r="B4194">
        <v>20127545</v>
      </c>
      <c r="C4194" s="6" t="s">
        <v>19</v>
      </c>
      <c r="D4194">
        <v>611544</v>
      </c>
      <c r="E4194" t="s">
        <v>20</v>
      </c>
      <c r="F4194">
        <v>34614577</v>
      </c>
      <c r="G4194" t="s">
        <v>3813</v>
      </c>
      <c r="H4194">
        <v>100139207</v>
      </c>
      <c r="I4194">
        <v>202612</v>
      </c>
      <c r="J4194">
        <v>34614577</v>
      </c>
      <c r="K4194" t="s">
        <v>23</v>
      </c>
      <c r="L4194" t="s">
        <v>221</v>
      </c>
      <c r="M4194" t="s">
        <v>24</v>
      </c>
      <c r="N4194" t="s">
        <v>35</v>
      </c>
      <c r="O4194" t="s">
        <v>26</v>
      </c>
      <c r="P4194" t="s">
        <v>27</v>
      </c>
      <c r="Q4194" t="s">
        <v>28</v>
      </c>
      <c r="R4194" t="s">
        <v>29</v>
      </c>
      <c r="S4194" t="s">
        <v>793</v>
      </c>
      <c r="T4194">
        <v>53071696</v>
      </c>
      <c r="U4194" t="s">
        <v>3965</v>
      </c>
      <c r="V4194" t="s">
        <v>3934</v>
      </c>
      <c r="W4194" s="9">
        <f>IF(V4194="pregrado",31,
IF(V4194="posgrados",31,
IF(V4194="rEINTEGROS",7,
IF(V4194="BIT",90,
IF(V4194="OP GRADO - INGLÉS",17,"")))))</f>
        <v>31</v>
      </c>
      <c r="X4194" t="s">
        <v>4012</v>
      </c>
    </row>
    <row r="4195" spans="1:24" ht="15" x14ac:dyDescent="0.35">
      <c r="A4195" s="4">
        <v>46083.692245370374</v>
      </c>
      <c r="B4195">
        <v>20127304</v>
      </c>
      <c r="C4195" s="6" t="s">
        <v>19</v>
      </c>
      <c r="D4195">
        <v>611546</v>
      </c>
      <c r="E4195" t="s">
        <v>20</v>
      </c>
      <c r="F4195">
        <v>1005335956</v>
      </c>
      <c r="G4195" t="s">
        <v>3790</v>
      </c>
      <c r="H4195">
        <v>100109215</v>
      </c>
      <c r="I4195">
        <v>202611</v>
      </c>
      <c r="J4195">
        <v>1005335956</v>
      </c>
      <c r="K4195" t="s">
        <v>89</v>
      </c>
      <c r="L4195" t="s">
        <v>133</v>
      </c>
      <c r="M4195" t="s">
        <v>24</v>
      </c>
      <c r="N4195" t="s">
        <v>38</v>
      </c>
      <c r="O4195" t="s">
        <v>26</v>
      </c>
      <c r="P4195" t="s">
        <v>27</v>
      </c>
      <c r="Q4195" t="s">
        <v>28</v>
      </c>
      <c r="R4195" t="s">
        <v>29</v>
      </c>
      <c r="S4195" t="s">
        <v>30</v>
      </c>
      <c r="T4195">
        <v>1019102787</v>
      </c>
      <c r="U4195" t="s">
        <v>3977</v>
      </c>
      <c r="V4195" t="s">
        <v>3970</v>
      </c>
      <c r="W4195" s="9">
        <f>IF(V4195="pregrado",31,
IF(V4195="posgrados",31,
IF(V4195="rEINTEGROS",7,
IF(V4195="BIT",90,
IF(V4195="OP GRADO - INGLÉS",17,"")))))</f>
        <v>7</v>
      </c>
      <c r="X4195" t="s">
        <v>3976</v>
      </c>
    </row>
    <row r="4196" spans="1:24" ht="15" x14ac:dyDescent="0.35">
      <c r="A4196" s="4">
        <v>46084.427766203706</v>
      </c>
      <c r="B4196">
        <v>20127389</v>
      </c>
      <c r="C4196" s="6" t="s">
        <v>19</v>
      </c>
      <c r="D4196">
        <v>611547</v>
      </c>
      <c r="E4196" t="s">
        <v>20</v>
      </c>
      <c r="F4196">
        <v>1112100498</v>
      </c>
      <c r="G4196" t="s">
        <v>3794</v>
      </c>
      <c r="H4196">
        <v>100248040</v>
      </c>
      <c r="I4196">
        <v>202632</v>
      </c>
      <c r="J4196">
        <v>1112100498</v>
      </c>
      <c r="K4196" t="s">
        <v>23</v>
      </c>
      <c r="L4196" t="s">
        <v>127</v>
      </c>
      <c r="M4196" t="s">
        <v>24</v>
      </c>
      <c r="N4196" t="s">
        <v>35</v>
      </c>
      <c r="O4196" t="s">
        <v>26</v>
      </c>
      <c r="P4196" t="s">
        <v>27</v>
      </c>
      <c r="Q4196" t="s">
        <v>28</v>
      </c>
      <c r="R4196" t="s">
        <v>29</v>
      </c>
      <c r="S4196" t="s">
        <v>793</v>
      </c>
      <c r="T4196">
        <v>10306009131</v>
      </c>
      <c r="U4196" t="s">
        <v>3933</v>
      </c>
      <c r="V4196" t="s">
        <v>3934</v>
      </c>
      <c r="W4196" s="9">
        <f>IF(V4196="pregrado",31,
IF(V4196="posgrados",31,
IF(V4196="rEINTEGROS",7,
IF(V4196="BIT",90,
IF(V4196="OP GRADO - INGLÉS",17,"")))))</f>
        <v>31</v>
      </c>
      <c r="X4196" t="s">
        <v>3978</v>
      </c>
    </row>
    <row r="4197" spans="1:24" ht="15" x14ac:dyDescent="0.35">
      <c r="A4197" s="4">
        <v>46092.706134259257</v>
      </c>
      <c r="B4197">
        <v>20128330</v>
      </c>
      <c r="C4197" s="6" t="s">
        <v>19</v>
      </c>
      <c r="D4197">
        <v>611554</v>
      </c>
      <c r="E4197" t="s">
        <v>20</v>
      </c>
      <c r="F4197">
        <v>1025522998</v>
      </c>
      <c r="G4197" t="s">
        <v>3899</v>
      </c>
      <c r="H4197">
        <v>100243023</v>
      </c>
      <c r="I4197">
        <v>202612</v>
      </c>
      <c r="J4197">
        <v>1025522998</v>
      </c>
      <c r="K4197" t="s">
        <v>33</v>
      </c>
      <c r="L4197" t="s">
        <v>221</v>
      </c>
      <c r="M4197" t="s">
        <v>24</v>
      </c>
      <c r="N4197" t="s">
        <v>38</v>
      </c>
      <c r="O4197" t="s">
        <v>26</v>
      </c>
      <c r="P4197" t="s">
        <v>27</v>
      </c>
      <c r="Q4197" t="s">
        <v>28</v>
      </c>
      <c r="R4197" t="s">
        <v>29</v>
      </c>
      <c r="S4197" t="s">
        <v>793</v>
      </c>
      <c r="T4197">
        <v>1030651078</v>
      </c>
      <c r="U4197" t="s">
        <v>3965</v>
      </c>
      <c r="V4197" t="s">
        <v>3934</v>
      </c>
      <c r="W4197" s="9">
        <f>IF(V4197="pregrado",31,
IF(V4197="posgrados",31,
IF(V4197="rEINTEGROS",7,
IF(V4197="BIT",90,
IF(V4197="OP GRADO - INGLÉS",17,"")))))</f>
        <v>31</v>
      </c>
      <c r="X4197" t="s">
        <v>4085</v>
      </c>
    </row>
    <row r="4198" spans="1:24" ht="15" x14ac:dyDescent="0.35">
      <c r="A4198" s="4">
        <v>46083.86109953704</v>
      </c>
      <c r="B4198">
        <v>20127364</v>
      </c>
      <c r="C4198" s="6" t="s">
        <v>19</v>
      </c>
      <c r="D4198">
        <v>611570</v>
      </c>
      <c r="E4198" t="s">
        <v>20</v>
      </c>
      <c r="F4198">
        <v>1106783615</v>
      </c>
      <c r="G4198" t="s">
        <v>3792</v>
      </c>
      <c r="H4198">
        <v>100248106</v>
      </c>
      <c r="I4198">
        <v>202632</v>
      </c>
      <c r="J4198">
        <v>1106781362</v>
      </c>
      <c r="K4198" t="s">
        <v>23</v>
      </c>
      <c r="L4198" t="s">
        <v>240</v>
      </c>
      <c r="M4198" t="s">
        <v>24</v>
      </c>
      <c r="N4198" t="s">
        <v>35</v>
      </c>
      <c r="O4198" t="s">
        <v>26</v>
      </c>
      <c r="P4198" t="s">
        <v>27</v>
      </c>
      <c r="Q4198" t="s">
        <v>28</v>
      </c>
      <c r="R4198" t="s">
        <v>29</v>
      </c>
      <c r="S4198" t="s">
        <v>793</v>
      </c>
      <c r="T4198">
        <v>1073692626</v>
      </c>
      <c r="U4198" t="s">
        <v>3965</v>
      </c>
      <c r="V4198" t="s">
        <v>3934</v>
      </c>
      <c r="W4198" s="9">
        <f>IF(V4198="pregrado",31,
IF(V4198="posgrados",31,
IF(V4198="rEINTEGROS",7,
IF(V4198="BIT",90,
IF(V4198="OP GRADO - INGLÉS",17,"")))))</f>
        <v>31</v>
      </c>
      <c r="X4198" t="s">
        <v>4014</v>
      </c>
    </row>
    <row r="4199" spans="1:24" ht="15" x14ac:dyDescent="0.35">
      <c r="A4199" s="4">
        <v>46084.659085648149</v>
      </c>
      <c r="B4199">
        <v>20127473</v>
      </c>
      <c r="C4199" s="6" t="s">
        <v>19</v>
      </c>
      <c r="D4199">
        <v>611604</v>
      </c>
      <c r="E4199" t="s">
        <v>20</v>
      </c>
      <c r="F4199">
        <v>1023952511</v>
      </c>
      <c r="G4199" t="s">
        <v>3799</v>
      </c>
      <c r="H4199">
        <v>200074773</v>
      </c>
      <c r="I4199">
        <v>202631</v>
      </c>
      <c r="J4199">
        <v>1023952511</v>
      </c>
      <c r="K4199" t="s">
        <v>23</v>
      </c>
      <c r="L4199" t="s">
        <v>22</v>
      </c>
      <c r="M4199" t="s">
        <v>24</v>
      </c>
      <c r="N4199" t="s">
        <v>35</v>
      </c>
      <c r="O4199" t="s">
        <v>26</v>
      </c>
      <c r="P4199" t="s">
        <v>27</v>
      </c>
      <c r="Q4199" t="s">
        <v>28</v>
      </c>
      <c r="R4199" t="s">
        <v>29</v>
      </c>
      <c r="S4199" t="s">
        <v>30</v>
      </c>
      <c r="T4199">
        <v>1020730718</v>
      </c>
      <c r="U4199" t="s">
        <v>3941</v>
      </c>
      <c r="V4199" t="s">
        <v>3934</v>
      </c>
      <c r="W4199" s="9">
        <f>IF(V4199="pregrado",31,
IF(V4199="posgrados",31,
IF(V4199="rEINTEGROS",7,
IF(V4199="BIT",90,
IF(V4199="OP GRADO - INGLÉS",17,"")))))</f>
        <v>31</v>
      </c>
      <c r="X4199" t="s">
        <v>3952</v>
      </c>
    </row>
    <row r="4200" spans="1:24" ht="15" x14ac:dyDescent="0.35">
      <c r="A4200" s="4">
        <v>46085.949745370373</v>
      </c>
      <c r="B4200">
        <v>20127716</v>
      </c>
      <c r="C4200" s="6" t="s">
        <v>19</v>
      </c>
      <c r="D4200">
        <v>611615</v>
      </c>
      <c r="E4200" t="s">
        <v>20</v>
      </c>
      <c r="F4200">
        <v>80498412</v>
      </c>
      <c r="G4200" t="s">
        <v>3825</v>
      </c>
      <c r="H4200">
        <v>100153711</v>
      </c>
      <c r="I4200">
        <v>202611</v>
      </c>
      <c r="J4200">
        <v>1121926795</v>
      </c>
      <c r="K4200" t="s">
        <v>89</v>
      </c>
      <c r="L4200" t="s">
        <v>133</v>
      </c>
      <c r="M4200" t="s">
        <v>24</v>
      </c>
      <c r="N4200" t="s">
        <v>35</v>
      </c>
      <c r="O4200" t="s">
        <v>26</v>
      </c>
      <c r="P4200" t="s">
        <v>27</v>
      </c>
      <c r="Q4200" t="s">
        <v>28</v>
      </c>
      <c r="R4200" t="s">
        <v>29</v>
      </c>
      <c r="S4200" t="s">
        <v>30</v>
      </c>
      <c r="T4200">
        <v>1023899450</v>
      </c>
      <c r="U4200" t="s">
        <v>3969</v>
      </c>
      <c r="V4200" t="s">
        <v>3970</v>
      </c>
      <c r="W4200" s="9">
        <f>IF(V4200="pregrado",31,
IF(V4200="posgrados",31,
IF(V4200="rEINTEGROS",7,
IF(V4200="BIT",90,
IF(V4200="OP GRADO - INGLÉS",17,"")))))</f>
        <v>7</v>
      </c>
      <c r="X4200" t="s">
        <v>3969</v>
      </c>
    </row>
    <row r="4201" spans="1:24" ht="15" x14ac:dyDescent="0.35">
      <c r="A4201" s="4">
        <v>46087.536435185182</v>
      </c>
      <c r="B4201">
        <v>20127897</v>
      </c>
      <c r="C4201" s="6" t="s">
        <v>19</v>
      </c>
      <c r="D4201">
        <v>611617</v>
      </c>
      <c r="E4201" t="s">
        <v>20</v>
      </c>
      <c r="F4201">
        <v>1098758219</v>
      </c>
      <c r="G4201" t="s">
        <v>3848</v>
      </c>
      <c r="H4201">
        <v>100129234</v>
      </c>
      <c r="I4201">
        <v>202631</v>
      </c>
      <c r="J4201">
        <v>1098758219</v>
      </c>
      <c r="K4201" t="s">
        <v>89</v>
      </c>
      <c r="L4201" t="s">
        <v>127</v>
      </c>
      <c r="M4201" t="s">
        <v>24</v>
      </c>
      <c r="N4201" t="s">
        <v>25</v>
      </c>
      <c r="O4201" t="s">
        <v>26</v>
      </c>
      <c r="P4201" t="s">
        <v>27</v>
      </c>
      <c r="Q4201" t="s">
        <v>28</v>
      </c>
      <c r="R4201" t="s">
        <v>29</v>
      </c>
      <c r="S4201" t="s">
        <v>30</v>
      </c>
      <c r="T4201">
        <v>1023899450</v>
      </c>
      <c r="U4201" t="s">
        <v>3969</v>
      </c>
      <c r="V4201" t="s">
        <v>3970</v>
      </c>
      <c r="W4201" s="9">
        <f>IF(V4201="pregrado",31,
IF(V4201="posgrados",31,
IF(V4201="rEINTEGROS",7,
IF(V4201="BIT",90,
IF(V4201="OP GRADO - INGLÉS",17,"")))))</f>
        <v>7</v>
      </c>
      <c r="X4201" t="s">
        <v>3969</v>
      </c>
    </row>
    <row r="4202" spans="1:24" ht="15" x14ac:dyDescent="0.35">
      <c r="A4202" s="4">
        <v>46086.763402777775</v>
      </c>
      <c r="B4202">
        <v>20127835</v>
      </c>
      <c r="C4202" s="6" t="s">
        <v>19</v>
      </c>
      <c r="D4202">
        <v>611618</v>
      </c>
      <c r="E4202" t="s">
        <v>20</v>
      </c>
      <c r="F4202">
        <v>1111336740</v>
      </c>
      <c r="G4202" t="s">
        <v>3841</v>
      </c>
      <c r="H4202">
        <v>100160229</v>
      </c>
      <c r="I4202">
        <v>202631</v>
      </c>
      <c r="J4202">
        <v>1006087904</v>
      </c>
      <c r="K4202" t="s">
        <v>89</v>
      </c>
      <c r="L4202" t="s">
        <v>77</v>
      </c>
      <c r="M4202" t="s">
        <v>24</v>
      </c>
      <c r="N4202" t="s">
        <v>35</v>
      </c>
      <c r="O4202" t="s">
        <v>26</v>
      </c>
      <c r="P4202" t="s">
        <v>27</v>
      </c>
      <c r="Q4202" t="s">
        <v>28</v>
      </c>
      <c r="R4202" t="s">
        <v>29</v>
      </c>
      <c r="S4202" t="s">
        <v>30</v>
      </c>
      <c r="T4202">
        <v>1023899450</v>
      </c>
      <c r="U4202" t="s">
        <v>3969</v>
      </c>
      <c r="V4202" t="s">
        <v>3970</v>
      </c>
      <c r="W4202" s="9">
        <f>IF(V4202="pregrado",31,
IF(V4202="posgrados",31,
IF(V4202="rEINTEGROS",7,
IF(V4202="BIT",90,
IF(V4202="OP GRADO - INGLÉS",17,"")))))</f>
        <v>7</v>
      </c>
      <c r="X4202" t="s">
        <v>3969</v>
      </c>
    </row>
    <row r="4203" spans="1:24" ht="15" x14ac:dyDescent="0.35">
      <c r="A4203" s="4">
        <v>46084.532129629632</v>
      </c>
      <c r="B4203">
        <v>20127429</v>
      </c>
      <c r="C4203" s="6" t="s">
        <v>19</v>
      </c>
      <c r="D4203">
        <v>611634</v>
      </c>
      <c r="E4203" t="s">
        <v>20</v>
      </c>
      <c r="F4203">
        <v>1043437027</v>
      </c>
      <c r="G4203" t="s">
        <v>3796</v>
      </c>
      <c r="H4203">
        <v>100184823</v>
      </c>
      <c r="I4203">
        <v>202611</v>
      </c>
      <c r="J4203">
        <v>1043437027</v>
      </c>
      <c r="K4203" t="s">
        <v>89</v>
      </c>
      <c r="L4203" t="s">
        <v>133</v>
      </c>
      <c r="M4203" t="s">
        <v>24</v>
      </c>
      <c r="N4203" t="s">
        <v>35</v>
      </c>
      <c r="O4203" t="s">
        <v>26</v>
      </c>
      <c r="P4203" t="s">
        <v>27</v>
      </c>
      <c r="Q4203" t="s">
        <v>28</v>
      </c>
      <c r="R4203" t="s">
        <v>29</v>
      </c>
      <c r="S4203" t="s">
        <v>30</v>
      </c>
      <c r="T4203">
        <v>52168054</v>
      </c>
      <c r="U4203" t="s">
        <v>3977</v>
      </c>
      <c r="V4203" t="s">
        <v>3970</v>
      </c>
      <c r="W4203" s="9">
        <f>IF(V4203="pregrado",31,
IF(V4203="posgrados",31,
IF(V4203="rEINTEGROS",7,
IF(V4203="BIT",90,
IF(V4203="OP GRADO - INGLÉS",17,"")))))</f>
        <v>7</v>
      </c>
      <c r="X4203" t="s">
        <v>4057</v>
      </c>
    </row>
    <row r="4204" spans="1:24" ht="15" x14ac:dyDescent="0.35">
      <c r="A4204" s="4">
        <v>46084.74690972222</v>
      </c>
      <c r="B4204">
        <v>20127514</v>
      </c>
      <c r="C4204" s="6" t="s">
        <v>19</v>
      </c>
      <c r="D4204">
        <v>611644</v>
      </c>
      <c r="E4204" t="s">
        <v>20</v>
      </c>
      <c r="F4204">
        <v>1046812564</v>
      </c>
      <c r="G4204" t="s">
        <v>3809</v>
      </c>
      <c r="H4204">
        <v>100248160</v>
      </c>
      <c r="I4204">
        <v>202632</v>
      </c>
      <c r="J4204">
        <v>1043000058</v>
      </c>
      <c r="K4204" t="s">
        <v>33</v>
      </c>
      <c r="L4204" t="s">
        <v>207</v>
      </c>
      <c r="M4204" t="s">
        <v>24</v>
      </c>
      <c r="N4204" t="s">
        <v>25</v>
      </c>
      <c r="O4204" t="s">
        <v>26</v>
      </c>
      <c r="P4204" t="s">
        <v>27</v>
      </c>
      <c r="Q4204" t="s">
        <v>28</v>
      </c>
      <c r="R4204" t="s">
        <v>29</v>
      </c>
      <c r="S4204" t="s">
        <v>793</v>
      </c>
      <c r="T4204">
        <v>1018455773</v>
      </c>
      <c r="U4204" t="s">
        <v>3986</v>
      </c>
      <c r="V4204" t="s">
        <v>3934</v>
      </c>
      <c r="W4204" s="9">
        <f>IF(V4204="pregrado",31,
IF(V4204="posgrados",31,
IF(V4204="rEINTEGROS",7,
IF(V4204="BIT",90,
IF(V4204="OP GRADO - INGLÉS",17,"")))))</f>
        <v>31</v>
      </c>
      <c r="X4204" t="s">
        <v>4101</v>
      </c>
    </row>
    <row r="4205" spans="1:24" ht="15" x14ac:dyDescent="0.35">
      <c r="A4205" s="4">
        <v>46084.641898148147</v>
      </c>
      <c r="B4205">
        <v>20127466</v>
      </c>
      <c r="C4205" s="6" t="s">
        <v>19</v>
      </c>
      <c r="D4205">
        <v>611650</v>
      </c>
      <c r="E4205" t="s">
        <v>20</v>
      </c>
      <c r="F4205">
        <v>1110459611</v>
      </c>
      <c r="G4205" t="s">
        <v>3798</v>
      </c>
      <c r="H4205">
        <v>100247926</v>
      </c>
      <c r="I4205">
        <v>202632</v>
      </c>
      <c r="J4205">
        <v>1110459611</v>
      </c>
      <c r="K4205" t="s">
        <v>33</v>
      </c>
      <c r="L4205" t="s">
        <v>127</v>
      </c>
      <c r="M4205" t="s">
        <v>24</v>
      </c>
      <c r="N4205" t="s">
        <v>25</v>
      </c>
      <c r="O4205" t="s">
        <v>26</v>
      </c>
      <c r="P4205" t="s">
        <v>27</v>
      </c>
      <c r="Q4205" t="s">
        <v>28</v>
      </c>
      <c r="R4205" t="s">
        <v>29</v>
      </c>
      <c r="S4205" t="s">
        <v>793</v>
      </c>
      <c r="T4205">
        <v>1018496066</v>
      </c>
      <c r="U4205" t="s">
        <v>3939</v>
      </c>
      <c r="V4205" t="s">
        <v>3934</v>
      </c>
      <c r="W4205" s="9">
        <f>IF(V4205="pregrado",31,
IF(V4205="posgrados",31,
IF(V4205="rEINTEGROS",7,
IF(V4205="BIT",90,
IF(V4205="OP GRADO - INGLÉS",17,"")))))</f>
        <v>31</v>
      </c>
      <c r="X4205" t="s">
        <v>4006</v>
      </c>
    </row>
    <row r="4206" spans="1:24" ht="15" x14ac:dyDescent="0.35">
      <c r="A4206" s="4">
        <v>46085.600254629629</v>
      </c>
      <c r="B4206">
        <v>20127619</v>
      </c>
      <c r="C4206" s="6" t="s">
        <v>19</v>
      </c>
      <c r="D4206">
        <v>611655</v>
      </c>
      <c r="E4206" t="s">
        <v>20</v>
      </c>
      <c r="F4206">
        <v>1001920526</v>
      </c>
      <c r="G4206" t="s">
        <v>3818</v>
      </c>
      <c r="H4206">
        <v>100248169</v>
      </c>
      <c r="I4206">
        <v>202632</v>
      </c>
      <c r="J4206">
        <v>1001920526</v>
      </c>
      <c r="K4206" t="s">
        <v>33</v>
      </c>
      <c r="L4206" t="s">
        <v>207</v>
      </c>
      <c r="M4206" t="s">
        <v>24</v>
      </c>
      <c r="N4206" t="s">
        <v>25</v>
      </c>
      <c r="O4206" t="s">
        <v>26</v>
      </c>
      <c r="P4206" t="s">
        <v>27</v>
      </c>
      <c r="Q4206" t="s">
        <v>28</v>
      </c>
      <c r="R4206" t="s">
        <v>29</v>
      </c>
      <c r="S4206" t="s">
        <v>793</v>
      </c>
      <c r="T4206">
        <v>1018455773</v>
      </c>
      <c r="U4206" t="s">
        <v>3986</v>
      </c>
      <c r="V4206" t="s">
        <v>3934</v>
      </c>
      <c r="W4206" s="9">
        <f>IF(V4206="pregrado",31,
IF(V4206="posgrados",31,
IF(V4206="rEINTEGROS",7,
IF(V4206="BIT",90,
IF(V4206="OP GRADO - INGLÉS",17,"")))))</f>
        <v>31</v>
      </c>
      <c r="X4206" t="s">
        <v>4101</v>
      </c>
    </row>
    <row r="4207" spans="1:24" ht="15" x14ac:dyDescent="0.35">
      <c r="A4207" s="4">
        <v>46088.447974537034</v>
      </c>
      <c r="B4207">
        <v>20127985</v>
      </c>
      <c r="C4207" s="6" t="s">
        <v>19</v>
      </c>
      <c r="D4207">
        <v>611657</v>
      </c>
      <c r="E4207" t="s">
        <v>20</v>
      </c>
      <c r="F4207">
        <v>1002366983</v>
      </c>
      <c r="G4207" t="s">
        <v>3859</v>
      </c>
      <c r="H4207">
        <v>100248170</v>
      </c>
      <c r="I4207">
        <v>202612</v>
      </c>
      <c r="J4207">
        <v>1002366983</v>
      </c>
      <c r="K4207" t="s">
        <v>33</v>
      </c>
      <c r="L4207" t="s">
        <v>204</v>
      </c>
      <c r="M4207" t="s">
        <v>24</v>
      </c>
      <c r="N4207" t="s">
        <v>25</v>
      </c>
      <c r="O4207" t="s">
        <v>26</v>
      </c>
      <c r="P4207" t="s">
        <v>27</v>
      </c>
      <c r="Q4207" t="s">
        <v>28</v>
      </c>
      <c r="R4207" t="s">
        <v>29</v>
      </c>
      <c r="S4207" t="s">
        <v>793</v>
      </c>
      <c r="T4207">
        <v>1020730718</v>
      </c>
      <c r="U4207" t="s">
        <v>3941</v>
      </c>
      <c r="V4207" t="s">
        <v>3934</v>
      </c>
      <c r="W4207" s="9">
        <f>IF(V4207="pregrado",31,
IF(V4207="posgrados",31,
IF(V4207="rEINTEGROS",7,
IF(V4207="BIT",90,
IF(V4207="OP GRADO - INGLÉS",17,"")))))</f>
        <v>31</v>
      </c>
      <c r="X4207" t="s">
        <v>3952</v>
      </c>
    </row>
    <row r="4208" spans="1:24" ht="15" x14ac:dyDescent="0.35">
      <c r="A4208" s="4">
        <v>46084.684594907405</v>
      </c>
      <c r="B4208">
        <v>20127486</v>
      </c>
      <c r="C4208" s="6" t="s">
        <v>19</v>
      </c>
      <c r="D4208">
        <v>611663</v>
      </c>
      <c r="E4208" t="s">
        <v>20</v>
      </c>
      <c r="F4208">
        <v>1014202748</v>
      </c>
      <c r="G4208" t="s">
        <v>3802</v>
      </c>
      <c r="H4208">
        <v>100094818</v>
      </c>
      <c r="I4208">
        <v>202631</v>
      </c>
      <c r="J4208">
        <v>1014202748</v>
      </c>
      <c r="K4208" t="s">
        <v>89</v>
      </c>
      <c r="L4208" t="s">
        <v>3803</v>
      </c>
      <c r="M4208" t="s">
        <v>24</v>
      </c>
      <c r="N4208" t="s">
        <v>35</v>
      </c>
      <c r="O4208" t="s">
        <v>26</v>
      </c>
      <c r="P4208" t="s">
        <v>27</v>
      </c>
      <c r="Q4208" t="s">
        <v>28</v>
      </c>
      <c r="R4208" t="s">
        <v>29</v>
      </c>
      <c r="S4208" t="s">
        <v>30</v>
      </c>
      <c r="T4208">
        <v>1023899450</v>
      </c>
      <c r="U4208" t="s">
        <v>3969</v>
      </c>
      <c r="V4208" t="s">
        <v>3970</v>
      </c>
      <c r="W4208" s="9">
        <f>IF(V4208="pregrado",31,
IF(V4208="posgrados",31,
IF(V4208="rEINTEGROS",7,
IF(V4208="BIT",90,
IF(V4208="OP GRADO - INGLÉS",17,"")))))</f>
        <v>7</v>
      </c>
      <c r="X4208" t="s">
        <v>3969</v>
      </c>
    </row>
    <row r="4209" spans="1:24" ht="15" x14ac:dyDescent="0.35">
      <c r="A4209" s="4">
        <v>46084.713240740741</v>
      </c>
      <c r="B4209">
        <v>20127503</v>
      </c>
      <c r="C4209" s="6" t="s">
        <v>19</v>
      </c>
      <c r="D4209">
        <v>611677</v>
      </c>
      <c r="E4209" t="s">
        <v>20</v>
      </c>
      <c r="F4209">
        <v>52490105</v>
      </c>
      <c r="G4209" t="s">
        <v>3807</v>
      </c>
      <c r="H4209">
        <v>100168494</v>
      </c>
      <c r="I4209">
        <v>202611</v>
      </c>
      <c r="J4209">
        <v>52490105</v>
      </c>
      <c r="K4209" t="s">
        <v>89</v>
      </c>
      <c r="L4209" t="s">
        <v>133</v>
      </c>
      <c r="M4209" t="s">
        <v>24</v>
      </c>
      <c r="N4209" t="s">
        <v>25</v>
      </c>
      <c r="O4209" t="s">
        <v>26</v>
      </c>
      <c r="P4209" t="s">
        <v>27</v>
      </c>
      <c r="Q4209" t="s">
        <v>28</v>
      </c>
      <c r="R4209" t="s">
        <v>29</v>
      </c>
      <c r="S4209" t="s">
        <v>30</v>
      </c>
      <c r="T4209">
        <v>1023899450</v>
      </c>
      <c r="U4209" t="s">
        <v>3969</v>
      </c>
      <c r="V4209" t="s">
        <v>3970</v>
      </c>
      <c r="W4209" s="9">
        <f>IF(V4209="pregrado",31,
IF(V4209="posgrados",31,
IF(V4209="rEINTEGROS",7,
IF(V4209="BIT",90,
IF(V4209="OP GRADO - INGLÉS",17,"")))))</f>
        <v>7</v>
      </c>
      <c r="X4209" t="s">
        <v>3969</v>
      </c>
    </row>
    <row r="4210" spans="1:24" x14ac:dyDescent="0.3">
      <c r="A4210" s="4">
        <v>46112</v>
      </c>
      <c r="B4210">
        <v>20129947</v>
      </c>
      <c r="C4210" t="s">
        <v>19</v>
      </c>
      <c r="D4210">
        <v>611678</v>
      </c>
      <c r="E4210" t="s">
        <v>20</v>
      </c>
      <c r="F4210">
        <v>1118563730</v>
      </c>
      <c r="G4210" t="s">
        <v>4370</v>
      </c>
      <c r="H4210">
        <v>100247685</v>
      </c>
      <c r="I4210">
        <v>202632</v>
      </c>
      <c r="J4210">
        <v>1118563730</v>
      </c>
      <c r="K4210" t="s">
        <v>33</v>
      </c>
      <c r="L4210" t="s">
        <v>240</v>
      </c>
      <c r="M4210" t="s">
        <v>24</v>
      </c>
      <c r="N4210" t="s">
        <v>605</v>
      </c>
      <c r="O4210" t="s">
        <v>26</v>
      </c>
      <c r="P4210" t="s">
        <v>27</v>
      </c>
      <c r="Q4210" t="s">
        <v>28</v>
      </c>
      <c r="R4210" t="s">
        <v>29</v>
      </c>
      <c r="S4210" t="s">
        <v>793</v>
      </c>
      <c r="T4210">
        <f>_xlfn.XLOOKUP(X4210,Hoja2!D:D,Hoja2!A:A)</f>
        <v>10006855461</v>
      </c>
      <c r="U4210" t="str">
        <f>_xlfn.XLOOKUP(X4210,Hoja2!D:D,Hoja2!B:B)</f>
        <v>NELSON JAVIER MORERA RINCON</v>
      </c>
      <c r="V4210" t="str">
        <f>_xlfn.XLOOKUP(X4210,Hoja2!D:D,Hoja2!C:C)</f>
        <v>PREGRADO</v>
      </c>
      <c r="W4210" s="9">
        <f>IF(V4210="pregrado",31,
IF(V4210="posgrados",31,
IF(V4210="rEINTEGROS",7,
IF(V4210="BIT",90,
IF(V4210="OP GRADO - INGLÉS",17,"")))))</f>
        <v>31</v>
      </c>
      <c r="X4210" t="s">
        <v>3993</v>
      </c>
    </row>
    <row r="4211" spans="1:24" ht="15" x14ac:dyDescent="0.35">
      <c r="A4211" s="4">
        <v>46085.644212962965</v>
      </c>
      <c r="B4211">
        <v>20127637</v>
      </c>
      <c r="C4211" s="6" t="s">
        <v>19</v>
      </c>
      <c r="D4211">
        <v>611706</v>
      </c>
      <c r="E4211" t="s">
        <v>20</v>
      </c>
      <c r="F4211">
        <v>27474396</v>
      </c>
      <c r="G4211" t="s">
        <v>3819</v>
      </c>
      <c r="H4211">
        <v>100155944</v>
      </c>
      <c r="I4211">
        <v>202631</v>
      </c>
      <c r="J4211">
        <v>1120218519</v>
      </c>
      <c r="K4211" t="s">
        <v>89</v>
      </c>
      <c r="L4211" t="s">
        <v>119</v>
      </c>
      <c r="M4211" t="s">
        <v>24</v>
      </c>
      <c r="N4211" t="s">
        <v>35</v>
      </c>
      <c r="O4211" t="s">
        <v>26</v>
      </c>
      <c r="P4211" t="s">
        <v>27</v>
      </c>
      <c r="Q4211" t="s">
        <v>28</v>
      </c>
      <c r="R4211" t="s">
        <v>29</v>
      </c>
      <c r="S4211" t="s">
        <v>30</v>
      </c>
      <c r="T4211">
        <v>1023899450</v>
      </c>
      <c r="U4211" t="s">
        <v>3969</v>
      </c>
      <c r="V4211" t="s">
        <v>3970</v>
      </c>
      <c r="W4211" s="9">
        <f>IF(V4211="pregrado",31,
IF(V4211="posgrados",31,
IF(V4211="rEINTEGROS",7,
IF(V4211="BIT",90,
IF(V4211="OP GRADO - INGLÉS",17,"")))))</f>
        <v>7</v>
      </c>
      <c r="X4211" t="s">
        <v>3969</v>
      </c>
    </row>
    <row r="4212" spans="1:24" ht="15" x14ac:dyDescent="0.35">
      <c r="A4212" s="4">
        <v>46087.704641203702</v>
      </c>
      <c r="B4212">
        <v>20127947</v>
      </c>
      <c r="C4212" s="6" t="s">
        <v>19</v>
      </c>
      <c r="D4212">
        <v>611729</v>
      </c>
      <c r="E4212" t="s">
        <v>20</v>
      </c>
      <c r="F4212">
        <v>74083819</v>
      </c>
      <c r="G4212" t="s">
        <v>3854</v>
      </c>
      <c r="H4212">
        <v>100248223</v>
      </c>
      <c r="I4212">
        <v>202632</v>
      </c>
      <c r="J4212">
        <v>74083819</v>
      </c>
      <c r="K4212" t="s">
        <v>23</v>
      </c>
      <c r="L4212" t="s">
        <v>240</v>
      </c>
      <c r="M4212" t="s">
        <v>24</v>
      </c>
      <c r="N4212" t="s">
        <v>35</v>
      </c>
      <c r="O4212" t="s">
        <v>26</v>
      </c>
      <c r="P4212" t="s">
        <v>27</v>
      </c>
      <c r="Q4212" t="s">
        <v>28</v>
      </c>
      <c r="R4212" t="s">
        <v>29</v>
      </c>
      <c r="S4212" t="s">
        <v>793</v>
      </c>
      <c r="T4212">
        <v>1000183349</v>
      </c>
      <c r="U4212" t="s">
        <v>3939</v>
      </c>
      <c r="V4212" t="s">
        <v>3934</v>
      </c>
      <c r="W4212" s="9">
        <f>IF(V4212="pregrado",31,
IF(V4212="posgrados",31,
IF(V4212="rEINTEGROS",7,
IF(V4212="BIT",90,
IF(V4212="OP GRADO - INGLÉS",17,"")))))</f>
        <v>31</v>
      </c>
      <c r="X4212" t="s">
        <v>4083</v>
      </c>
    </row>
    <row r="4213" spans="1:24" ht="15" x14ac:dyDescent="0.35">
      <c r="A4213" s="4">
        <v>46087.717118055552</v>
      </c>
      <c r="B4213">
        <v>20127953</v>
      </c>
      <c r="C4213" s="6" t="s">
        <v>19</v>
      </c>
      <c r="D4213">
        <v>611735</v>
      </c>
      <c r="E4213" t="s">
        <v>20</v>
      </c>
      <c r="F4213">
        <v>1007378837</v>
      </c>
      <c r="G4213" t="s">
        <v>3855</v>
      </c>
      <c r="H4213">
        <v>100248228</v>
      </c>
      <c r="I4213">
        <v>202632</v>
      </c>
      <c r="J4213">
        <v>1007378837</v>
      </c>
      <c r="K4213" t="s">
        <v>33</v>
      </c>
      <c r="L4213" t="s">
        <v>127</v>
      </c>
      <c r="M4213" t="s">
        <v>24</v>
      </c>
      <c r="N4213" t="s">
        <v>38</v>
      </c>
      <c r="O4213" t="s">
        <v>26</v>
      </c>
      <c r="P4213" t="s">
        <v>27</v>
      </c>
      <c r="Q4213" t="s">
        <v>28</v>
      </c>
      <c r="R4213" t="s">
        <v>29</v>
      </c>
      <c r="S4213" t="s">
        <v>793</v>
      </c>
      <c r="T4213">
        <v>1030525993</v>
      </c>
      <c r="U4213" t="s">
        <v>3933</v>
      </c>
      <c r="V4213" t="s">
        <v>3934</v>
      </c>
      <c r="W4213" s="9">
        <f>IF(V4213="pregrado",31,
IF(V4213="posgrados",31,
IF(V4213="rEINTEGROS",7,
IF(V4213="BIT",90,
IF(V4213="OP GRADO - INGLÉS",17,"")))))</f>
        <v>31</v>
      </c>
      <c r="X4213" t="s">
        <v>3956</v>
      </c>
    </row>
    <row r="4214" spans="1:24" x14ac:dyDescent="0.3">
      <c r="A4214" s="4">
        <v>46106</v>
      </c>
      <c r="B4214">
        <v>20129437</v>
      </c>
      <c r="C4214" t="s">
        <v>19</v>
      </c>
      <c r="D4214">
        <v>611742</v>
      </c>
      <c r="E4214" t="s">
        <v>20</v>
      </c>
      <c r="F4214">
        <v>1085230293</v>
      </c>
      <c r="G4214" t="s">
        <v>4268</v>
      </c>
      <c r="H4214">
        <v>100248233</v>
      </c>
      <c r="I4214">
        <v>202612</v>
      </c>
      <c r="J4214">
        <v>1085230293</v>
      </c>
      <c r="K4214" t="s">
        <v>33</v>
      </c>
      <c r="L4214" t="s">
        <v>204</v>
      </c>
      <c r="M4214" t="s">
        <v>24</v>
      </c>
      <c r="N4214" t="s">
        <v>35</v>
      </c>
      <c r="O4214" t="s">
        <v>26</v>
      </c>
      <c r="P4214" t="s">
        <v>27</v>
      </c>
      <c r="Q4214" t="s">
        <v>28</v>
      </c>
      <c r="R4214" t="s">
        <v>29</v>
      </c>
      <c r="S4214" t="s">
        <v>793</v>
      </c>
      <c r="T4214">
        <f>_xlfn.XLOOKUP(X4214,Hoja2!D:D,Hoja2!A:A)</f>
        <v>1019115186</v>
      </c>
      <c r="U4214" t="str">
        <f>_xlfn.XLOOKUP(X4214,Hoja2!D:D,Hoja2!B:B)</f>
        <v>HEIDY LORENA PRIETO AHUMADA</v>
      </c>
      <c r="V4214" t="str">
        <f>_xlfn.XLOOKUP(X4214,Hoja2!D:D,Hoja2!C:C)</f>
        <v>PREGRADO</v>
      </c>
      <c r="W4214" s="9">
        <f>IF(V4214="pregrado",31,
IF(V4214="posgrados",31,
IF(V4214="rEINTEGROS",7,
IF(V4214="BIT",90,
IF(V4214="OP GRADO - INGLÉS",17,"")))))</f>
        <v>31</v>
      </c>
      <c r="X4214" t="s">
        <v>4005</v>
      </c>
    </row>
    <row r="4215" spans="1:24" ht="15" x14ac:dyDescent="0.35">
      <c r="A4215" s="4">
        <v>46090.603113425925</v>
      </c>
      <c r="B4215">
        <v>20128081</v>
      </c>
      <c r="C4215" s="6" t="s">
        <v>19</v>
      </c>
      <c r="D4215">
        <v>611778</v>
      </c>
      <c r="E4215" t="s">
        <v>20</v>
      </c>
      <c r="F4215">
        <v>1040042603</v>
      </c>
      <c r="G4215" t="s">
        <v>3867</v>
      </c>
      <c r="H4215">
        <v>100248259</v>
      </c>
      <c r="I4215">
        <v>202612</v>
      </c>
      <c r="J4215">
        <v>1040044971</v>
      </c>
      <c r="K4215" t="s">
        <v>23</v>
      </c>
      <c r="L4215" t="s">
        <v>204</v>
      </c>
      <c r="M4215" t="s">
        <v>24</v>
      </c>
      <c r="N4215" t="s">
        <v>35</v>
      </c>
      <c r="O4215" t="s">
        <v>26</v>
      </c>
      <c r="P4215" t="s">
        <v>27</v>
      </c>
      <c r="Q4215" t="s">
        <v>28</v>
      </c>
      <c r="R4215" t="s">
        <v>29</v>
      </c>
      <c r="S4215" t="s">
        <v>793</v>
      </c>
      <c r="T4215">
        <v>80219471</v>
      </c>
      <c r="U4215" t="s">
        <v>3941</v>
      </c>
      <c r="V4215" t="s">
        <v>3934</v>
      </c>
      <c r="W4215" s="9">
        <f>IF(V4215="pregrado",31,
IF(V4215="posgrados",31,
IF(V4215="rEINTEGROS",7,
IF(V4215="BIT",90,
IF(V4215="OP GRADO - INGLÉS",17,"")))))</f>
        <v>31</v>
      </c>
      <c r="X4215" t="s">
        <v>4030</v>
      </c>
    </row>
    <row r="4216" spans="1:24" ht="15" x14ac:dyDescent="0.35">
      <c r="A4216" s="4">
        <v>46087.689560185187</v>
      </c>
      <c r="B4216">
        <v>20127943</v>
      </c>
      <c r="C4216" s="6" t="s">
        <v>19</v>
      </c>
      <c r="D4216">
        <v>611786</v>
      </c>
      <c r="E4216" t="s">
        <v>20</v>
      </c>
      <c r="F4216">
        <v>1193152368</v>
      </c>
      <c r="G4216" t="s">
        <v>3852</v>
      </c>
      <c r="H4216">
        <v>100248271</v>
      </c>
      <c r="I4216">
        <v>202632</v>
      </c>
      <c r="J4216">
        <v>1193152368</v>
      </c>
      <c r="K4216" t="s">
        <v>23</v>
      </c>
      <c r="L4216" t="s">
        <v>240</v>
      </c>
      <c r="M4216" t="s">
        <v>24</v>
      </c>
      <c r="N4216" t="s">
        <v>35</v>
      </c>
      <c r="O4216" t="s">
        <v>26</v>
      </c>
      <c r="P4216" t="s">
        <v>27</v>
      </c>
      <c r="Q4216" t="s">
        <v>28</v>
      </c>
      <c r="R4216" t="s">
        <v>29</v>
      </c>
      <c r="S4216" t="s">
        <v>793</v>
      </c>
      <c r="T4216">
        <v>52392617</v>
      </c>
      <c r="U4216" t="s">
        <v>3965</v>
      </c>
      <c r="V4216" t="s">
        <v>3934</v>
      </c>
      <c r="W4216" s="9">
        <f>IF(V4216="pregrado",31,
IF(V4216="posgrados",31,
IF(V4216="rEINTEGROS",7,
IF(V4216="BIT",90,
IF(V4216="OP GRADO - INGLÉS",17,"")))))</f>
        <v>31</v>
      </c>
      <c r="X4216" t="s">
        <v>4053</v>
      </c>
    </row>
    <row r="4217" spans="1:24" x14ac:dyDescent="0.3">
      <c r="A4217" s="4">
        <v>46105</v>
      </c>
      <c r="B4217">
        <v>20129250</v>
      </c>
      <c r="C4217" t="s">
        <v>19</v>
      </c>
      <c r="D4217">
        <v>611790</v>
      </c>
      <c r="E4217" t="s">
        <v>20</v>
      </c>
      <c r="F4217">
        <v>1003242706</v>
      </c>
      <c r="G4217" t="s">
        <v>4224</v>
      </c>
      <c r="H4217">
        <v>100248282</v>
      </c>
      <c r="I4217">
        <v>202632</v>
      </c>
      <c r="J4217">
        <v>1003242706</v>
      </c>
      <c r="K4217" t="s">
        <v>33</v>
      </c>
      <c r="L4217" t="s">
        <v>219</v>
      </c>
      <c r="M4217" t="s">
        <v>24</v>
      </c>
      <c r="N4217" t="s">
        <v>35</v>
      </c>
      <c r="O4217" t="s">
        <v>26</v>
      </c>
      <c r="P4217" t="s">
        <v>27</v>
      </c>
      <c r="Q4217" t="s">
        <v>28</v>
      </c>
      <c r="R4217" t="s">
        <v>29</v>
      </c>
      <c r="S4217" t="s">
        <v>793</v>
      </c>
      <c r="T4217">
        <f>_xlfn.XLOOKUP(X4217,Hoja2!D:D,Hoja2!A:A)</f>
        <v>1023975276</v>
      </c>
      <c r="U4217" t="str">
        <f>_xlfn.XLOOKUP(X4217,Hoja2!D:D,Hoja2!B:B)</f>
        <v>MARSHIA MILENA JIMéNEZ GóMEZ</v>
      </c>
      <c r="V4217" t="str">
        <f>_xlfn.XLOOKUP(X4217,Hoja2!D:D,Hoja2!C:C)</f>
        <v>PREGRADO</v>
      </c>
      <c r="W4217" s="9">
        <f>IF(V4217="pregrado",31,
IF(V4217="posgrados",31,
IF(V4217="rEINTEGROS",7,
IF(V4217="BIT",90,
IF(V4217="OP GRADO - INGLÉS",17,"")))))</f>
        <v>31</v>
      </c>
      <c r="X4217" t="s">
        <v>3962</v>
      </c>
    </row>
    <row r="4218" spans="1:24" ht="15" x14ac:dyDescent="0.35">
      <c r="A4218" s="4">
        <v>46091.691620370373</v>
      </c>
      <c r="B4218">
        <v>20128208</v>
      </c>
      <c r="C4218" s="6" t="s">
        <v>19</v>
      </c>
      <c r="D4218">
        <v>611814</v>
      </c>
      <c r="E4218" t="s">
        <v>20</v>
      </c>
      <c r="F4218">
        <v>1071838709</v>
      </c>
      <c r="G4218" t="s">
        <v>3886</v>
      </c>
      <c r="H4218">
        <v>100248310</v>
      </c>
      <c r="I4218">
        <v>202632</v>
      </c>
      <c r="J4218">
        <v>1071839047</v>
      </c>
      <c r="K4218" t="s">
        <v>23</v>
      </c>
      <c r="L4218" t="s">
        <v>32</v>
      </c>
      <c r="M4218" t="s">
        <v>24</v>
      </c>
      <c r="N4218" t="s">
        <v>35</v>
      </c>
      <c r="O4218" t="s">
        <v>26</v>
      </c>
      <c r="P4218" t="s">
        <v>27</v>
      </c>
      <c r="Q4218" t="s">
        <v>28</v>
      </c>
      <c r="R4218" t="s">
        <v>29</v>
      </c>
      <c r="S4218" t="s">
        <v>793</v>
      </c>
      <c r="T4218">
        <v>1006023129</v>
      </c>
      <c r="U4218" t="s">
        <v>3944</v>
      </c>
      <c r="V4218" t="s">
        <v>3934</v>
      </c>
      <c r="W4218" s="9">
        <f>IF(V4218="pregrado",31,
IF(V4218="posgrados",31,
IF(V4218="rEINTEGROS",7,
IF(V4218="BIT",90,
IF(V4218="OP GRADO - INGLÉS",17,"")))))</f>
        <v>31</v>
      </c>
      <c r="X4218" t="s">
        <v>3982</v>
      </c>
    </row>
    <row r="4219" spans="1:24" ht="15" x14ac:dyDescent="0.35">
      <c r="A4219" s="4">
        <v>46086.726817129631</v>
      </c>
      <c r="B4219">
        <v>20127825</v>
      </c>
      <c r="C4219" s="6" t="s">
        <v>19</v>
      </c>
      <c r="D4219">
        <v>611826</v>
      </c>
      <c r="E4219" t="s">
        <v>20</v>
      </c>
      <c r="F4219">
        <v>1002566367</v>
      </c>
      <c r="G4219" t="s">
        <v>3840</v>
      </c>
      <c r="H4219">
        <v>100203970</v>
      </c>
      <c r="I4219">
        <v>202632</v>
      </c>
      <c r="J4219">
        <v>1002566367</v>
      </c>
      <c r="K4219" t="s">
        <v>23</v>
      </c>
      <c r="L4219" t="s">
        <v>90</v>
      </c>
      <c r="M4219" t="s">
        <v>24</v>
      </c>
      <c r="N4219" t="s">
        <v>35</v>
      </c>
      <c r="O4219" t="s">
        <v>26</v>
      </c>
      <c r="P4219" t="s">
        <v>27</v>
      </c>
      <c r="Q4219" t="s">
        <v>28</v>
      </c>
      <c r="R4219" t="s">
        <v>29</v>
      </c>
      <c r="S4219" t="s">
        <v>793</v>
      </c>
      <c r="T4219">
        <v>1019115186</v>
      </c>
      <c r="U4219" t="s">
        <v>3941</v>
      </c>
      <c r="V4219" t="s">
        <v>3934</v>
      </c>
      <c r="W4219" s="9">
        <f>IF(V4219="pregrado",31,
IF(V4219="posgrados",31,
IF(V4219="rEINTEGROS",7,
IF(V4219="BIT",90,
IF(V4219="OP GRADO - INGLÉS",17,"")))))</f>
        <v>31</v>
      </c>
      <c r="X4219" t="s">
        <v>4005</v>
      </c>
    </row>
    <row r="4220" spans="1:24" ht="15" x14ac:dyDescent="0.35">
      <c r="A4220" s="4">
        <v>46087.430243055554</v>
      </c>
      <c r="B4220">
        <v>20127869</v>
      </c>
      <c r="C4220" s="6" t="s">
        <v>19</v>
      </c>
      <c r="D4220">
        <v>611832</v>
      </c>
      <c r="E4220" t="s">
        <v>20</v>
      </c>
      <c r="F4220">
        <v>1077852466</v>
      </c>
      <c r="G4220" t="s">
        <v>3844</v>
      </c>
      <c r="H4220">
        <v>100248315</v>
      </c>
      <c r="I4220">
        <v>202632</v>
      </c>
      <c r="J4220">
        <v>1077852466</v>
      </c>
      <c r="K4220" t="s">
        <v>23</v>
      </c>
      <c r="L4220" t="s">
        <v>240</v>
      </c>
      <c r="M4220" t="s">
        <v>24</v>
      </c>
      <c r="N4220" t="s">
        <v>35</v>
      </c>
      <c r="O4220" t="s">
        <v>26</v>
      </c>
      <c r="P4220" t="s">
        <v>27</v>
      </c>
      <c r="Q4220" t="s">
        <v>28</v>
      </c>
      <c r="R4220" t="s">
        <v>29</v>
      </c>
      <c r="S4220" t="s">
        <v>793</v>
      </c>
      <c r="T4220">
        <v>1018496066</v>
      </c>
      <c r="U4220" t="s">
        <v>3939</v>
      </c>
      <c r="V4220" t="s">
        <v>3934</v>
      </c>
      <c r="W4220" s="9">
        <f>IF(V4220="pregrado",31,
IF(V4220="posgrados",31,
IF(V4220="rEINTEGROS",7,
IF(V4220="BIT",90,
IF(V4220="OP GRADO - INGLÉS",17,"")))))</f>
        <v>31</v>
      </c>
      <c r="X4220" t="s">
        <v>4006</v>
      </c>
    </row>
    <row r="4221" spans="1:24" ht="15" x14ac:dyDescent="0.35">
      <c r="A4221" s="4">
        <v>46086.691736111112</v>
      </c>
      <c r="B4221">
        <v>20127813</v>
      </c>
      <c r="C4221" s="6" t="s">
        <v>19</v>
      </c>
      <c r="D4221">
        <v>611840</v>
      </c>
      <c r="E4221" t="s">
        <v>20</v>
      </c>
      <c r="F4221">
        <v>1021673615</v>
      </c>
      <c r="G4221" t="s">
        <v>3838</v>
      </c>
      <c r="H4221">
        <v>100248323</v>
      </c>
      <c r="I4221">
        <v>202632</v>
      </c>
      <c r="J4221">
        <v>1021673615</v>
      </c>
      <c r="K4221" t="s">
        <v>33</v>
      </c>
      <c r="L4221" t="s">
        <v>51</v>
      </c>
      <c r="M4221" t="s">
        <v>24</v>
      </c>
      <c r="N4221" t="s">
        <v>25</v>
      </c>
      <c r="O4221" t="s">
        <v>26</v>
      </c>
      <c r="P4221" t="s">
        <v>27</v>
      </c>
      <c r="Q4221" t="s">
        <v>28</v>
      </c>
      <c r="R4221" t="s">
        <v>29</v>
      </c>
      <c r="S4221" t="s">
        <v>793</v>
      </c>
      <c r="T4221">
        <v>52876433</v>
      </c>
      <c r="U4221" t="s">
        <v>3986</v>
      </c>
      <c r="V4221" t="s">
        <v>3934</v>
      </c>
      <c r="W4221" s="9">
        <f>IF(V4221="pregrado",31,
IF(V4221="posgrados",31,
IF(V4221="rEINTEGROS",7,
IF(V4221="BIT",90,
IF(V4221="OP GRADO - INGLÉS",17,"")))))</f>
        <v>31</v>
      </c>
      <c r="X4221" t="s">
        <v>4078</v>
      </c>
    </row>
    <row r="4222" spans="1:24" ht="15" x14ac:dyDescent="0.35">
      <c r="A4222" s="4">
        <v>46087.415798611109</v>
      </c>
      <c r="B4222">
        <v>20127862</v>
      </c>
      <c r="C4222" s="6" t="s">
        <v>19</v>
      </c>
      <c r="D4222">
        <v>611848</v>
      </c>
      <c r="E4222" t="s">
        <v>20</v>
      </c>
      <c r="F4222">
        <v>40782593</v>
      </c>
      <c r="G4222" t="s">
        <v>3843</v>
      </c>
      <c r="H4222">
        <v>100247754</v>
      </c>
      <c r="I4222">
        <v>202612</v>
      </c>
      <c r="J4222">
        <v>97471915</v>
      </c>
      <c r="K4222" t="s">
        <v>23</v>
      </c>
      <c r="L4222" t="s">
        <v>221</v>
      </c>
      <c r="M4222" t="s">
        <v>24</v>
      </c>
      <c r="N4222" t="s">
        <v>35</v>
      </c>
      <c r="O4222" t="s">
        <v>26</v>
      </c>
      <c r="P4222" t="s">
        <v>27</v>
      </c>
      <c r="Q4222" t="s">
        <v>28</v>
      </c>
      <c r="R4222" t="s">
        <v>29</v>
      </c>
      <c r="S4222" t="s">
        <v>793</v>
      </c>
      <c r="T4222">
        <v>1015428862</v>
      </c>
      <c r="U4222" t="s">
        <v>3965</v>
      </c>
      <c r="V4222" t="s">
        <v>3934</v>
      </c>
      <c r="W4222" s="9">
        <f>IF(V4222="pregrado",31,
IF(V4222="posgrados",31,
IF(V4222="rEINTEGROS",7,
IF(V4222="BIT",90,
IF(V4222="OP GRADO - INGLÉS",17,"")))))</f>
        <v>31</v>
      </c>
      <c r="X4222" t="s">
        <v>4048</v>
      </c>
    </row>
    <row r="4223" spans="1:24" ht="15" x14ac:dyDescent="0.35">
      <c r="A4223" s="4">
        <v>46087.746967592589</v>
      </c>
      <c r="B4223">
        <v>20127960</v>
      </c>
      <c r="C4223" s="6" t="s">
        <v>19</v>
      </c>
      <c r="D4223">
        <v>611853</v>
      </c>
      <c r="E4223" t="s">
        <v>20</v>
      </c>
      <c r="F4223">
        <v>1141514855</v>
      </c>
      <c r="G4223" t="s">
        <v>3857</v>
      </c>
      <c r="H4223">
        <v>100248340</v>
      </c>
      <c r="I4223">
        <v>202632</v>
      </c>
      <c r="J4223">
        <v>1141514855</v>
      </c>
      <c r="K4223" t="s">
        <v>33</v>
      </c>
      <c r="L4223" t="s">
        <v>207</v>
      </c>
      <c r="M4223" t="s">
        <v>24</v>
      </c>
      <c r="N4223" t="s">
        <v>25</v>
      </c>
      <c r="O4223" t="s">
        <v>26</v>
      </c>
      <c r="P4223" t="s">
        <v>27</v>
      </c>
      <c r="Q4223" t="s">
        <v>28</v>
      </c>
      <c r="R4223" t="s">
        <v>29</v>
      </c>
      <c r="S4223" t="s">
        <v>793</v>
      </c>
      <c r="T4223">
        <v>1018455773</v>
      </c>
      <c r="U4223" t="s">
        <v>3986</v>
      </c>
      <c r="V4223" t="s">
        <v>3934</v>
      </c>
      <c r="W4223" s="9">
        <f>IF(V4223="pregrado",31,
IF(V4223="posgrados",31,
IF(V4223="rEINTEGROS",7,
IF(V4223="BIT",90,
IF(V4223="OP GRADO - INGLÉS",17,"")))))</f>
        <v>31</v>
      </c>
      <c r="X4223" t="s">
        <v>4101</v>
      </c>
    </row>
    <row r="4224" spans="1:24" ht="15" x14ac:dyDescent="0.35">
      <c r="A4224" s="4">
        <v>46087.739085648151</v>
      </c>
      <c r="B4224">
        <v>20127959</v>
      </c>
      <c r="C4224" s="6" t="s">
        <v>19</v>
      </c>
      <c r="D4224">
        <v>611857</v>
      </c>
      <c r="E4224" t="s">
        <v>20</v>
      </c>
      <c r="F4224">
        <v>66932148</v>
      </c>
      <c r="G4224" t="s">
        <v>3856</v>
      </c>
      <c r="H4224">
        <v>100248344</v>
      </c>
      <c r="I4224">
        <v>202612</v>
      </c>
      <c r="J4224">
        <v>66932148</v>
      </c>
      <c r="K4224" t="s">
        <v>23</v>
      </c>
      <c r="L4224" t="s">
        <v>221</v>
      </c>
      <c r="M4224" t="s">
        <v>24</v>
      </c>
      <c r="N4224" t="s">
        <v>35</v>
      </c>
      <c r="O4224" t="s">
        <v>26</v>
      </c>
      <c r="P4224" t="s">
        <v>27</v>
      </c>
      <c r="Q4224" t="s">
        <v>28</v>
      </c>
      <c r="R4224" t="s">
        <v>29</v>
      </c>
      <c r="S4224" t="s">
        <v>793</v>
      </c>
      <c r="T4224">
        <v>1073692626</v>
      </c>
      <c r="U4224" t="s">
        <v>3965</v>
      </c>
      <c r="V4224" t="s">
        <v>3934</v>
      </c>
      <c r="W4224" s="9">
        <f>IF(V4224="pregrado",31,
IF(V4224="posgrados",31,
IF(V4224="rEINTEGROS",7,
IF(V4224="BIT",90,
IF(V4224="OP GRADO - INGLÉS",17,"")))))</f>
        <v>31</v>
      </c>
      <c r="X4224" t="s">
        <v>4014</v>
      </c>
    </row>
    <row r="4225" spans="1:24" x14ac:dyDescent="0.3">
      <c r="A4225" s="4">
        <v>46091</v>
      </c>
      <c r="B4225">
        <v>20128169</v>
      </c>
      <c r="C4225" t="s">
        <v>19</v>
      </c>
      <c r="D4225">
        <v>611865</v>
      </c>
      <c r="E4225" t="s">
        <v>20</v>
      </c>
      <c r="F4225">
        <v>1010237216</v>
      </c>
      <c r="G4225" t="s">
        <v>4111</v>
      </c>
      <c r="H4225">
        <v>100248347</v>
      </c>
      <c r="I4225">
        <v>202632</v>
      </c>
      <c r="J4225">
        <v>1010237216</v>
      </c>
      <c r="K4225" t="s">
        <v>23</v>
      </c>
      <c r="L4225" t="s">
        <v>127</v>
      </c>
      <c r="M4225" t="s">
        <v>24</v>
      </c>
      <c r="N4225" t="s">
        <v>35</v>
      </c>
      <c r="O4225" t="s">
        <v>26</v>
      </c>
      <c r="P4225" t="s">
        <v>27</v>
      </c>
      <c r="Q4225" t="s">
        <v>28</v>
      </c>
      <c r="R4225" t="s">
        <v>29</v>
      </c>
      <c r="S4225" t="s">
        <v>793</v>
      </c>
      <c r="T4225">
        <f>_xlfn.XLOOKUP(X4225,Hoja2!D:D,Hoja2!A:A)</f>
        <v>10306009131</v>
      </c>
      <c r="U4225" t="str">
        <f>_xlfn.XLOOKUP(X4225,Hoja2!D:D,Hoja2!B:B)</f>
        <v>PAOLA ANDREA CALDERON CETINA</v>
      </c>
      <c r="V4225" t="str">
        <f>_xlfn.XLOOKUP(X4225,Hoja2!D:D,Hoja2!C:C)</f>
        <v>PREGRADO</v>
      </c>
      <c r="W4225" s="9">
        <f>IF(V4225="pregrado",31,
IF(V4225="posgrados",31,
IF(V4225="rEINTEGROS",7,
IF(V4225="BIT",90,
IF(V4225="OP GRADO - INGLÉS",17,"")))))</f>
        <v>31</v>
      </c>
      <c r="X4225" t="s">
        <v>3978</v>
      </c>
    </row>
    <row r="4226" spans="1:24" ht="15" x14ac:dyDescent="0.35">
      <c r="A4226" s="4">
        <v>46087.475138888891</v>
      </c>
      <c r="B4226">
        <v>20127884</v>
      </c>
      <c r="C4226" s="6" t="s">
        <v>19</v>
      </c>
      <c r="D4226">
        <v>611875</v>
      </c>
      <c r="E4226" t="s">
        <v>20</v>
      </c>
      <c r="F4226">
        <v>1014660951</v>
      </c>
      <c r="G4226" t="s">
        <v>3847</v>
      </c>
      <c r="H4226">
        <v>200256427</v>
      </c>
      <c r="I4226">
        <v>202632</v>
      </c>
      <c r="J4226">
        <v>1014660951</v>
      </c>
      <c r="K4226" t="s">
        <v>23</v>
      </c>
      <c r="L4226" t="s">
        <v>119</v>
      </c>
      <c r="M4226" t="s">
        <v>24</v>
      </c>
      <c r="N4226" t="s">
        <v>35</v>
      </c>
      <c r="O4226" t="s">
        <v>26</v>
      </c>
      <c r="P4226" t="s">
        <v>27</v>
      </c>
      <c r="Q4226" t="s">
        <v>28</v>
      </c>
      <c r="R4226" t="s">
        <v>29</v>
      </c>
      <c r="S4226" t="s">
        <v>793</v>
      </c>
      <c r="T4226">
        <v>1001066645</v>
      </c>
      <c r="U4226" t="s">
        <v>3963</v>
      </c>
      <c r="V4226" t="s">
        <v>3934</v>
      </c>
      <c r="W4226" s="9">
        <f>IF(V4226="pregrado",31,
IF(V4226="posgrados",31,
IF(V4226="rEINTEGROS",7,
IF(V4226="BIT",90,
IF(V4226="OP GRADO - INGLÉS",17,"")))))</f>
        <v>31</v>
      </c>
      <c r="X4226" t="s">
        <v>4086</v>
      </c>
    </row>
    <row r="4227" spans="1:24" ht="15" x14ac:dyDescent="0.35">
      <c r="A4227" s="4">
        <v>46092.455567129633</v>
      </c>
      <c r="B4227">
        <v>20128259</v>
      </c>
      <c r="C4227" s="6" t="s">
        <v>19</v>
      </c>
      <c r="D4227">
        <v>611876</v>
      </c>
      <c r="E4227" t="s">
        <v>20</v>
      </c>
      <c r="F4227">
        <v>1066529020</v>
      </c>
      <c r="G4227" t="s">
        <v>3890</v>
      </c>
      <c r="H4227">
        <v>100248356</v>
      </c>
      <c r="I4227">
        <v>202632</v>
      </c>
      <c r="J4227">
        <v>1066529020</v>
      </c>
      <c r="K4227" t="s">
        <v>83</v>
      </c>
      <c r="L4227" t="s">
        <v>240</v>
      </c>
      <c r="M4227" t="s">
        <v>24</v>
      </c>
      <c r="N4227" t="s">
        <v>605</v>
      </c>
      <c r="O4227" t="s">
        <v>26</v>
      </c>
      <c r="P4227" t="s">
        <v>27</v>
      </c>
      <c r="Q4227" t="s">
        <v>28</v>
      </c>
      <c r="R4227" t="s">
        <v>29</v>
      </c>
      <c r="S4227" t="s">
        <v>793</v>
      </c>
      <c r="T4227">
        <v>1073692626</v>
      </c>
      <c r="U4227" t="s">
        <v>3965</v>
      </c>
      <c r="V4227" t="s">
        <v>3934</v>
      </c>
      <c r="W4227" s="9">
        <f>IF(V4227="pregrado",31,
IF(V4227="posgrados",31,
IF(V4227="rEINTEGROS",7,
IF(V4227="BIT",90,
IF(V4227="OP GRADO - INGLÉS",17,"")))))</f>
        <v>31</v>
      </c>
      <c r="X4227" t="s">
        <v>4014</v>
      </c>
    </row>
    <row r="4228" spans="1:24" ht="15" x14ac:dyDescent="0.35">
      <c r="A4228" s="4">
        <v>46087.462337962963</v>
      </c>
      <c r="B4228">
        <v>20127879</v>
      </c>
      <c r="C4228" s="6" t="s">
        <v>19</v>
      </c>
      <c r="D4228">
        <v>611889</v>
      </c>
      <c r="E4228" t="s">
        <v>20</v>
      </c>
      <c r="F4228">
        <v>1130588312</v>
      </c>
      <c r="G4228" t="s">
        <v>3846</v>
      </c>
      <c r="H4228">
        <v>100234294</v>
      </c>
      <c r="I4228">
        <v>202612</v>
      </c>
      <c r="J4228">
        <v>1130588312</v>
      </c>
      <c r="K4228" t="s">
        <v>23</v>
      </c>
      <c r="L4228" t="s">
        <v>221</v>
      </c>
      <c r="M4228" t="s">
        <v>24</v>
      </c>
      <c r="N4228" t="s">
        <v>35</v>
      </c>
      <c r="O4228" t="s">
        <v>26</v>
      </c>
      <c r="P4228" t="s">
        <v>27</v>
      </c>
      <c r="Q4228" t="s">
        <v>28</v>
      </c>
      <c r="R4228" t="s">
        <v>29</v>
      </c>
      <c r="S4228" t="s">
        <v>793</v>
      </c>
      <c r="T4228">
        <v>10006855461</v>
      </c>
      <c r="U4228" t="s">
        <v>3965</v>
      </c>
      <c r="V4228" t="s">
        <v>3934</v>
      </c>
      <c r="W4228" s="9">
        <f>IF(V4228="pregrado",31,
IF(V4228="posgrados",31,
IF(V4228="rEINTEGROS",7,
IF(V4228="BIT",90,
IF(V4228="OP GRADO - INGLÉS",17,"")))))</f>
        <v>31</v>
      </c>
      <c r="X4228" t="s">
        <v>3993</v>
      </c>
    </row>
    <row r="4229" spans="1:24" ht="15" x14ac:dyDescent="0.35">
      <c r="A4229" s="4">
        <v>46090.677662037036</v>
      </c>
      <c r="B4229">
        <v>20128109</v>
      </c>
      <c r="C4229" s="6" t="s">
        <v>19</v>
      </c>
      <c r="D4229">
        <v>611894</v>
      </c>
      <c r="E4229" t="s">
        <v>20</v>
      </c>
      <c r="F4229">
        <v>1104429755</v>
      </c>
      <c r="G4229" t="s">
        <v>3872</v>
      </c>
      <c r="H4229">
        <v>200070970</v>
      </c>
      <c r="I4229">
        <v>202632</v>
      </c>
      <c r="J4229">
        <v>1104429755</v>
      </c>
      <c r="K4229" t="s">
        <v>33</v>
      </c>
      <c r="L4229" t="s">
        <v>119</v>
      </c>
      <c r="M4229" t="s">
        <v>24</v>
      </c>
      <c r="N4229" t="s">
        <v>35</v>
      </c>
      <c r="O4229" t="s">
        <v>26</v>
      </c>
      <c r="P4229" t="s">
        <v>27</v>
      </c>
      <c r="Q4229" t="s">
        <v>28</v>
      </c>
      <c r="R4229" t="s">
        <v>29</v>
      </c>
      <c r="S4229" t="s">
        <v>793</v>
      </c>
      <c r="T4229">
        <v>1023975276</v>
      </c>
      <c r="U4229" t="s">
        <v>3963</v>
      </c>
      <c r="V4229" t="s">
        <v>3934</v>
      </c>
      <c r="W4229" s="9">
        <f>IF(V4229="pregrado",31,
IF(V4229="posgrados",31,
IF(V4229="rEINTEGROS",7,
IF(V4229="BIT",90,
IF(V4229="OP GRADO - INGLÉS",17,"")))))</f>
        <v>31</v>
      </c>
      <c r="X4229" t="s">
        <v>3962</v>
      </c>
    </row>
    <row r="4230" spans="1:24" ht="15" x14ac:dyDescent="0.35">
      <c r="A4230" s="4">
        <v>46090.561249999999</v>
      </c>
      <c r="B4230">
        <v>20128074</v>
      </c>
      <c r="C4230" s="6" t="s">
        <v>19</v>
      </c>
      <c r="D4230">
        <v>611897</v>
      </c>
      <c r="E4230" t="s">
        <v>20</v>
      </c>
      <c r="F4230">
        <v>39093910</v>
      </c>
      <c r="G4230" t="s">
        <v>3865</v>
      </c>
      <c r="H4230">
        <v>200119897</v>
      </c>
      <c r="I4230">
        <v>202632</v>
      </c>
      <c r="J4230">
        <v>1081916925</v>
      </c>
      <c r="K4230" t="s">
        <v>33</v>
      </c>
      <c r="L4230" t="s">
        <v>119</v>
      </c>
      <c r="M4230" t="s">
        <v>24</v>
      </c>
      <c r="N4230" t="s">
        <v>35</v>
      </c>
      <c r="O4230" t="s">
        <v>26</v>
      </c>
      <c r="P4230" t="s">
        <v>27</v>
      </c>
      <c r="Q4230" t="s">
        <v>28</v>
      </c>
      <c r="R4230" t="s">
        <v>29</v>
      </c>
      <c r="S4230" t="s">
        <v>793</v>
      </c>
      <c r="T4230">
        <v>1023975276</v>
      </c>
      <c r="U4230" t="s">
        <v>3963</v>
      </c>
      <c r="V4230" t="s">
        <v>3934</v>
      </c>
      <c r="W4230" s="9">
        <f>IF(V4230="pregrado",31,
IF(V4230="posgrados",31,
IF(V4230="rEINTEGROS",7,
IF(V4230="BIT",90,
IF(V4230="OP GRADO - INGLÉS",17,"")))))</f>
        <v>31</v>
      </c>
      <c r="X4230" t="s">
        <v>3962</v>
      </c>
    </row>
    <row r="4231" spans="1:24" ht="15" x14ac:dyDescent="0.35">
      <c r="A4231" s="4">
        <v>46087.676087962966</v>
      </c>
      <c r="B4231">
        <v>20127939</v>
      </c>
      <c r="C4231" s="6" t="s">
        <v>19</v>
      </c>
      <c r="D4231">
        <v>611899</v>
      </c>
      <c r="E4231" t="s">
        <v>20</v>
      </c>
      <c r="F4231">
        <v>1028162093</v>
      </c>
      <c r="G4231" t="s">
        <v>3851</v>
      </c>
      <c r="H4231">
        <v>100141262</v>
      </c>
      <c r="I4231">
        <v>202631</v>
      </c>
      <c r="J4231">
        <v>1028162093</v>
      </c>
      <c r="K4231" t="s">
        <v>89</v>
      </c>
      <c r="L4231" t="s">
        <v>86</v>
      </c>
      <c r="M4231" t="s">
        <v>87</v>
      </c>
      <c r="N4231" t="s">
        <v>35</v>
      </c>
      <c r="O4231" t="s">
        <v>26</v>
      </c>
      <c r="P4231" t="s">
        <v>27</v>
      </c>
      <c r="Q4231" t="s">
        <v>28</v>
      </c>
      <c r="R4231" t="s">
        <v>29</v>
      </c>
      <c r="S4231" t="s">
        <v>30</v>
      </c>
      <c r="T4231">
        <v>1023899450</v>
      </c>
      <c r="U4231" t="s">
        <v>3969</v>
      </c>
      <c r="V4231" t="s">
        <v>3970</v>
      </c>
      <c r="W4231" s="9">
        <f>IF(V4231="pregrado",31,
IF(V4231="posgrados",31,
IF(V4231="rEINTEGROS",7,
IF(V4231="BIT",90,
IF(V4231="OP GRADO - INGLÉS",17,"")))))</f>
        <v>7</v>
      </c>
      <c r="X4231" t="s">
        <v>3969</v>
      </c>
    </row>
    <row r="4232" spans="1:24" ht="15" x14ac:dyDescent="0.35">
      <c r="A4232" s="4">
        <v>46091.665706018517</v>
      </c>
      <c r="B4232">
        <v>20128199</v>
      </c>
      <c r="C4232" s="6" t="s">
        <v>19</v>
      </c>
      <c r="D4232">
        <v>611903</v>
      </c>
      <c r="E4232" t="s">
        <v>20</v>
      </c>
      <c r="F4232">
        <v>1077482107</v>
      </c>
      <c r="G4232" t="s">
        <v>3885</v>
      </c>
      <c r="H4232">
        <v>100248379</v>
      </c>
      <c r="I4232">
        <v>202632</v>
      </c>
      <c r="J4232">
        <v>1077482107</v>
      </c>
      <c r="K4232" t="s">
        <v>33</v>
      </c>
      <c r="L4232" t="s">
        <v>240</v>
      </c>
      <c r="M4232" t="s">
        <v>24</v>
      </c>
      <c r="N4232" t="s">
        <v>35</v>
      </c>
      <c r="O4232" t="s">
        <v>26</v>
      </c>
      <c r="P4232" t="s">
        <v>27</v>
      </c>
      <c r="Q4232" t="s">
        <v>28</v>
      </c>
      <c r="R4232" t="s">
        <v>29</v>
      </c>
      <c r="S4232" t="s">
        <v>793</v>
      </c>
      <c r="T4232">
        <v>1000183349</v>
      </c>
      <c r="U4232" t="s">
        <v>3939</v>
      </c>
      <c r="V4232" t="s">
        <v>3934</v>
      </c>
      <c r="W4232" s="9">
        <f>IF(V4232="pregrado",31,
IF(V4232="posgrados",31,
IF(V4232="rEINTEGROS",7,
IF(V4232="BIT",90,
IF(V4232="OP GRADO - INGLÉS",17,"")))))</f>
        <v>31</v>
      </c>
      <c r="X4232" t="s">
        <v>4083</v>
      </c>
    </row>
    <row r="4233" spans="1:24" x14ac:dyDescent="0.3">
      <c r="A4233" s="4">
        <v>46128</v>
      </c>
      <c r="B4233">
        <v>20131392</v>
      </c>
      <c r="C4233" t="s">
        <v>19</v>
      </c>
      <c r="D4233">
        <v>611907</v>
      </c>
      <c r="E4233" t="s">
        <v>20</v>
      </c>
      <c r="F4233">
        <v>1010026855</v>
      </c>
      <c r="G4233" t="s">
        <v>4662</v>
      </c>
      <c r="H4233">
        <v>100248383</v>
      </c>
      <c r="I4233">
        <v>202632</v>
      </c>
      <c r="J4233">
        <v>1010026855</v>
      </c>
      <c r="K4233" t="s">
        <v>23</v>
      </c>
      <c r="L4233" t="s">
        <v>240</v>
      </c>
      <c r="M4233" t="s">
        <v>24</v>
      </c>
      <c r="N4233" t="s">
        <v>35</v>
      </c>
      <c r="O4233" t="s">
        <v>26</v>
      </c>
      <c r="P4233" t="s">
        <v>27</v>
      </c>
      <c r="Q4233" t="s">
        <v>28</v>
      </c>
      <c r="R4233" t="s">
        <v>29</v>
      </c>
      <c r="S4233" t="s">
        <v>793</v>
      </c>
      <c r="T4233">
        <f>_xlfn.XLOOKUP(X4233,Hoja2!D:D,Hoja2!A:A)</f>
        <v>10006855461</v>
      </c>
      <c r="U4233" t="str">
        <f>_xlfn.XLOOKUP(X4233,Hoja2!D:D,Hoja2!B:B)</f>
        <v>NELSON JAVIER MORERA RINCON</v>
      </c>
      <c r="V4233" t="str">
        <f>_xlfn.XLOOKUP(X4233,Hoja2!D:D,Hoja2!C:C)</f>
        <v>PREGRADO</v>
      </c>
      <c r="W4233" s="9">
        <f>IF(V4233="pregrado",31,
IF(V4233="posgrados",31,
IF(V4233="rEINTEGROS",7,
IF(V4233="BIT",90,
IF(V4233="OP GRADO - INGLÉS",17,"")))))</f>
        <v>31</v>
      </c>
      <c r="X4233" t="s">
        <v>3993</v>
      </c>
    </row>
    <row r="4234" spans="1:24" ht="15" x14ac:dyDescent="0.35">
      <c r="A4234" s="4">
        <v>46090.573773148149</v>
      </c>
      <c r="B4234">
        <v>20128077</v>
      </c>
      <c r="C4234" s="6" t="s">
        <v>19</v>
      </c>
      <c r="D4234">
        <v>611912</v>
      </c>
      <c r="E4234" t="s">
        <v>20</v>
      </c>
      <c r="F4234">
        <v>1001933450</v>
      </c>
      <c r="G4234" t="s">
        <v>3866</v>
      </c>
      <c r="H4234">
        <v>100248387</v>
      </c>
      <c r="I4234">
        <v>202632</v>
      </c>
      <c r="J4234">
        <v>1001933450</v>
      </c>
      <c r="K4234" t="s">
        <v>23</v>
      </c>
      <c r="L4234" t="s">
        <v>127</v>
      </c>
      <c r="M4234" t="s">
        <v>24</v>
      </c>
      <c r="N4234" t="s">
        <v>35</v>
      </c>
      <c r="O4234" t="s">
        <v>26</v>
      </c>
      <c r="P4234" t="s">
        <v>27</v>
      </c>
      <c r="Q4234" t="s">
        <v>28</v>
      </c>
      <c r="R4234" t="s">
        <v>29</v>
      </c>
      <c r="S4234" t="s">
        <v>793</v>
      </c>
      <c r="T4234">
        <v>10306009131</v>
      </c>
      <c r="U4234" t="s">
        <v>3933</v>
      </c>
      <c r="V4234" t="s">
        <v>3934</v>
      </c>
      <c r="W4234" s="9">
        <f>IF(V4234="pregrado",31,
IF(V4234="posgrados",31,
IF(V4234="rEINTEGROS",7,
IF(V4234="BIT",90,
IF(V4234="OP GRADO - INGLÉS",17,"")))))</f>
        <v>31</v>
      </c>
      <c r="X4234" t="s">
        <v>3978</v>
      </c>
    </row>
    <row r="4235" spans="1:24" ht="15" x14ac:dyDescent="0.35">
      <c r="A4235" s="4">
        <v>46087.689976851849</v>
      </c>
      <c r="B4235">
        <v>20127944</v>
      </c>
      <c r="C4235" s="6" t="s">
        <v>19</v>
      </c>
      <c r="D4235">
        <v>611924</v>
      </c>
      <c r="E4235" t="s">
        <v>20</v>
      </c>
      <c r="F4235">
        <v>1028400927</v>
      </c>
      <c r="G4235" t="s">
        <v>3853</v>
      </c>
      <c r="H4235">
        <v>100248392</v>
      </c>
      <c r="I4235">
        <v>202632</v>
      </c>
      <c r="J4235">
        <v>1028400927</v>
      </c>
      <c r="K4235" t="s">
        <v>33</v>
      </c>
      <c r="L4235" t="s">
        <v>207</v>
      </c>
      <c r="M4235" t="s">
        <v>24</v>
      </c>
      <c r="N4235" t="s">
        <v>38</v>
      </c>
      <c r="O4235" t="s">
        <v>26</v>
      </c>
      <c r="P4235" t="s">
        <v>27</v>
      </c>
      <c r="Q4235" t="s">
        <v>28</v>
      </c>
      <c r="R4235" t="s">
        <v>29</v>
      </c>
      <c r="S4235" t="s">
        <v>793</v>
      </c>
      <c r="T4235">
        <v>1019115186</v>
      </c>
      <c r="U4235" t="s">
        <v>3941</v>
      </c>
      <c r="V4235" t="s">
        <v>3934</v>
      </c>
      <c r="W4235" s="9">
        <f>IF(V4235="pregrado",31,
IF(V4235="posgrados",31,
IF(V4235="rEINTEGROS",7,
IF(V4235="BIT",90,
IF(V4235="OP GRADO - INGLÉS",17,"")))))</f>
        <v>31</v>
      </c>
      <c r="X4235" t="s">
        <v>4005</v>
      </c>
    </row>
    <row r="4236" spans="1:24" ht="15" x14ac:dyDescent="0.35">
      <c r="A4236" s="4">
        <v>46089.515706018516</v>
      </c>
      <c r="B4236">
        <v>20128014</v>
      </c>
      <c r="C4236" s="6" t="s">
        <v>19</v>
      </c>
      <c r="D4236">
        <v>611928</v>
      </c>
      <c r="E4236" t="s">
        <v>20</v>
      </c>
      <c r="F4236">
        <v>35514009</v>
      </c>
      <c r="G4236" t="s">
        <v>3861</v>
      </c>
      <c r="H4236">
        <v>100248394</v>
      </c>
      <c r="I4236">
        <v>202632</v>
      </c>
      <c r="J4236">
        <v>79914021</v>
      </c>
      <c r="K4236" t="s">
        <v>23</v>
      </c>
      <c r="L4236" t="s">
        <v>219</v>
      </c>
      <c r="M4236" t="s">
        <v>24</v>
      </c>
      <c r="N4236" t="s">
        <v>35</v>
      </c>
      <c r="O4236" t="s">
        <v>26</v>
      </c>
      <c r="P4236" t="s">
        <v>27</v>
      </c>
      <c r="Q4236" t="s">
        <v>28</v>
      </c>
      <c r="R4236" t="s">
        <v>29</v>
      </c>
      <c r="S4236" t="s">
        <v>793</v>
      </c>
      <c r="T4236">
        <v>1023975276</v>
      </c>
      <c r="U4236" t="s">
        <v>3963</v>
      </c>
      <c r="V4236" t="s">
        <v>3934</v>
      </c>
      <c r="W4236" s="9">
        <f>IF(V4236="pregrado",31,
IF(V4236="posgrados",31,
IF(V4236="rEINTEGROS",7,
IF(V4236="BIT",90,
IF(V4236="OP GRADO - INGLÉS",17,"")))))</f>
        <v>31</v>
      </c>
      <c r="X4236" t="s">
        <v>3962</v>
      </c>
    </row>
    <row r="4237" spans="1:24" x14ac:dyDescent="0.3">
      <c r="A4237" s="4">
        <v>46093</v>
      </c>
      <c r="B4237">
        <v>20128421</v>
      </c>
      <c r="C4237" t="s">
        <v>19</v>
      </c>
      <c r="D4237">
        <v>611939</v>
      </c>
      <c r="E4237" t="s">
        <v>20</v>
      </c>
      <c r="F4237">
        <v>22237843</v>
      </c>
      <c r="G4237" t="s">
        <v>4122</v>
      </c>
      <c r="H4237">
        <v>100248306</v>
      </c>
      <c r="I4237">
        <v>202632</v>
      </c>
      <c r="J4237">
        <v>1042822250</v>
      </c>
      <c r="K4237" t="s">
        <v>23</v>
      </c>
      <c r="L4237" t="s">
        <v>3922</v>
      </c>
      <c r="M4237" t="s">
        <v>24</v>
      </c>
      <c r="N4237" t="s">
        <v>35</v>
      </c>
      <c r="O4237" t="s">
        <v>26</v>
      </c>
      <c r="P4237" t="s">
        <v>27</v>
      </c>
      <c r="Q4237" t="s">
        <v>28</v>
      </c>
      <c r="R4237" t="s">
        <v>29</v>
      </c>
      <c r="S4237" t="s">
        <v>793</v>
      </c>
      <c r="T4237">
        <f>_xlfn.XLOOKUP(X4237,Hoja2!D:D,Hoja2!A:A)</f>
        <v>1000251314</v>
      </c>
      <c r="U4237" t="str">
        <f>_xlfn.XLOOKUP(X4237,Hoja2!D:D,Hoja2!B:B)</f>
        <v>MARSHIA MILENA JIMéNEZ GóMEZ</v>
      </c>
      <c r="V4237" t="str">
        <f>_xlfn.XLOOKUP(X4237,Hoja2!D:D,Hoja2!C:C)</f>
        <v>PREGRADO</v>
      </c>
      <c r="W4237" s="9">
        <f>IF(V4237="pregrado",31,
IF(V4237="posgrados",31,
IF(V4237="rEINTEGROS",7,
IF(V4237="BIT",90,
IF(V4237="OP GRADO - INGLÉS",17,"")))))</f>
        <v>31</v>
      </c>
      <c r="X4237" t="s">
        <v>4024</v>
      </c>
    </row>
    <row r="4238" spans="1:24" x14ac:dyDescent="0.3">
      <c r="A4238" s="4">
        <v>46106</v>
      </c>
      <c r="B4238">
        <v>20129348</v>
      </c>
      <c r="C4238" t="s">
        <v>19</v>
      </c>
      <c r="D4238">
        <v>611987</v>
      </c>
      <c r="E4238" t="s">
        <v>20</v>
      </c>
      <c r="F4238">
        <v>52584072</v>
      </c>
      <c r="G4238" t="s">
        <v>4247</v>
      </c>
      <c r="H4238">
        <v>100248404</v>
      </c>
      <c r="I4238">
        <v>202632</v>
      </c>
      <c r="J4238">
        <v>1233689228</v>
      </c>
      <c r="K4238" t="s">
        <v>33</v>
      </c>
      <c r="L4238" t="s">
        <v>51</v>
      </c>
      <c r="M4238" t="s">
        <v>24</v>
      </c>
      <c r="N4238" t="s">
        <v>38</v>
      </c>
      <c r="O4238" t="s">
        <v>26</v>
      </c>
      <c r="P4238" t="s">
        <v>27</v>
      </c>
      <c r="Q4238" t="s">
        <v>28</v>
      </c>
      <c r="R4238" t="s">
        <v>29</v>
      </c>
      <c r="S4238" t="s">
        <v>793</v>
      </c>
      <c r="T4238">
        <f>_xlfn.XLOOKUP(X4238,Hoja2!D:D,Hoja2!A:A)</f>
        <v>53178431</v>
      </c>
      <c r="U4238" t="str">
        <f>_xlfn.XLOOKUP(X4238,Hoja2!D:D,Hoja2!B:B)</f>
        <v>HEIDY LORENA PRIETO AHUMADA</v>
      </c>
      <c r="V4238" t="str">
        <f>_xlfn.XLOOKUP(X4238,Hoja2!D:D,Hoja2!C:C)</f>
        <v>PREGRADO</v>
      </c>
      <c r="W4238" s="9">
        <f>IF(V4238="pregrado",31,
IF(V4238="posgrados",31,
IF(V4238="rEINTEGROS",7,
IF(V4238="BIT",90,
IF(V4238="OP GRADO - INGLÉS",17,"")))))</f>
        <v>31</v>
      </c>
      <c r="X4238" t="s">
        <v>3949</v>
      </c>
    </row>
    <row r="4239" spans="1:24" ht="15" x14ac:dyDescent="0.35">
      <c r="A4239" s="4">
        <v>46087.669652777775</v>
      </c>
      <c r="B4239">
        <v>20127936</v>
      </c>
      <c r="C4239" s="6" t="s">
        <v>19</v>
      </c>
      <c r="D4239">
        <v>611989</v>
      </c>
      <c r="E4239" t="s">
        <v>20</v>
      </c>
      <c r="F4239">
        <v>66748033</v>
      </c>
      <c r="G4239" t="s">
        <v>3850</v>
      </c>
      <c r="H4239">
        <v>100036122</v>
      </c>
      <c r="I4239">
        <v>202632</v>
      </c>
      <c r="J4239">
        <v>66748033</v>
      </c>
      <c r="K4239" t="s">
        <v>23</v>
      </c>
      <c r="L4239" t="s">
        <v>119</v>
      </c>
      <c r="M4239" t="s">
        <v>24</v>
      </c>
      <c r="N4239" t="s">
        <v>35</v>
      </c>
      <c r="O4239" t="s">
        <v>26</v>
      </c>
      <c r="P4239" t="s">
        <v>27</v>
      </c>
      <c r="Q4239" t="s">
        <v>28</v>
      </c>
      <c r="R4239" t="s">
        <v>29</v>
      </c>
      <c r="S4239" t="s">
        <v>793</v>
      </c>
      <c r="T4239">
        <v>1001066645</v>
      </c>
      <c r="U4239" t="s">
        <v>3963</v>
      </c>
      <c r="V4239" t="s">
        <v>3934</v>
      </c>
      <c r="W4239" s="9">
        <f>IF(V4239="pregrado",31,
IF(V4239="posgrados",31,
IF(V4239="rEINTEGROS",7,
IF(V4239="BIT",90,
IF(V4239="OP GRADO - INGLÉS",17,"")))))</f>
        <v>31</v>
      </c>
      <c r="X4239" t="s">
        <v>4086</v>
      </c>
    </row>
    <row r="4240" spans="1:24" x14ac:dyDescent="0.3">
      <c r="A4240" s="4">
        <v>46097</v>
      </c>
      <c r="B4240">
        <v>20128646</v>
      </c>
      <c r="C4240" t="s">
        <v>19</v>
      </c>
      <c r="D4240">
        <v>611992</v>
      </c>
      <c r="E4240" t="s">
        <v>20</v>
      </c>
      <c r="F4240">
        <v>12612748</v>
      </c>
      <c r="G4240" t="s">
        <v>4143</v>
      </c>
      <c r="H4240">
        <v>200073488</v>
      </c>
      <c r="I4240">
        <v>202632</v>
      </c>
      <c r="J4240">
        <v>1083465555</v>
      </c>
      <c r="K4240" t="s">
        <v>33</v>
      </c>
      <c r="L4240" t="s">
        <v>119</v>
      </c>
      <c r="M4240" t="s">
        <v>24</v>
      </c>
      <c r="N4240" t="s">
        <v>35</v>
      </c>
      <c r="O4240" t="s">
        <v>26</v>
      </c>
      <c r="P4240" t="s">
        <v>27</v>
      </c>
      <c r="Q4240" t="s">
        <v>28</v>
      </c>
      <c r="R4240" t="s">
        <v>29</v>
      </c>
      <c r="S4240" t="s">
        <v>793</v>
      </c>
      <c r="T4240">
        <f>_xlfn.XLOOKUP(X4240,Hoja2!D:D,Hoja2!A:A)</f>
        <v>1023975276</v>
      </c>
      <c r="U4240" t="str">
        <f>_xlfn.XLOOKUP(X4240,Hoja2!D:D,Hoja2!B:B)</f>
        <v>MARSHIA MILENA JIMéNEZ GóMEZ</v>
      </c>
      <c r="V4240" t="str">
        <f>_xlfn.XLOOKUP(X4240,Hoja2!D:D,Hoja2!C:C)</f>
        <v>PREGRADO</v>
      </c>
      <c r="W4240" s="9">
        <f>IF(V4240="pregrado",31,
IF(V4240="posgrados",31,
IF(V4240="rEINTEGROS",7,
IF(V4240="BIT",90,
IF(V4240="OP GRADO - INGLÉS",17,"")))))</f>
        <v>31</v>
      </c>
      <c r="X4240" t="s">
        <v>3962</v>
      </c>
    </row>
    <row r="4241" spans="1:24" ht="15" x14ac:dyDescent="0.35">
      <c r="A4241" s="4">
        <v>46090.426886574074</v>
      </c>
      <c r="B4241">
        <v>20128037</v>
      </c>
      <c r="C4241" s="6" t="s">
        <v>19</v>
      </c>
      <c r="D4241">
        <v>612001</v>
      </c>
      <c r="E4241" t="s">
        <v>20</v>
      </c>
      <c r="F4241">
        <v>1037269032</v>
      </c>
      <c r="G4241" t="s">
        <v>3862</v>
      </c>
      <c r="H4241">
        <v>100248410</v>
      </c>
      <c r="I4241">
        <v>202612</v>
      </c>
      <c r="J4241">
        <v>1037269032</v>
      </c>
      <c r="K4241" t="s">
        <v>23</v>
      </c>
      <c r="L4241" t="s">
        <v>221</v>
      </c>
      <c r="M4241" t="s">
        <v>24</v>
      </c>
      <c r="N4241" t="s">
        <v>25</v>
      </c>
      <c r="O4241" t="s">
        <v>26</v>
      </c>
      <c r="P4241" t="s">
        <v>27</v>
      </c>
      <c r="Q4241" t="s">
        <v>28</v>
      </c>
      <c r="R4241" t="s">
        <v>29</v>
      </c>
      <c r="S4241" t="s">
        <v>793</v>
      </c>
      <c r="T4241">
        <v>1023921046</v>
      </c>
      <c r="U4241" t="s">
        <v>3933</v>
      </c>
      <c r="V4241" t="s">
        <v>3934</v>
      </c>
      <c r="W4241" s="9">
        <f>IF(V4241="pregrado",31,
IF(V4241="posgrados",31,
IF(V4241="rEINTEGROS",7,
IF(V4241="BIT",90,
IF(V4241="OP GRADO - INGLÉS",17,"")))))</f>
        <v>31</v>
      </c>
      <c r="X4241" t="s">
        <v>4043</v>
      </c>
    </row>
    <row r="4242" spans="1:24" x14ac:dyDescent="0.3">
      <c r="A4242" s="4">
        <v>46108</v>
      </c>
      <c r="B4242">
        <v>20129598</v>
      </c>
      <c r="C4242" t="s">
        <v>19</v>
      </c>
      <c r="D4242">
        <v>612004</v>
      </c>
      <c r="E4242" t="s">
        <v>20</v>
      </c>
      <c r="F4242">
        <v>1122341463</v>
      </c>
      <c r="G4242" t="s">
        <v>4306</v>
      </c>
      <c r="H4242">
        <v>100248412</v>
      </c>
      <c r="I4242">
        <v>202632</v>
      </c>
      <c r="J4242">
        <v>1122341463</v>
      </c>
      <c r="K4242" t="s">
        <v>33</v>
      </c>
      <c r="L4242" t="s">
        <v>207</v>
      </c>
      <c r="M4242" t="s">
        <v>24</v>
      </c>
      <c r="N4242" t="s">
        <v>35</v>
      </c>
      <c r="O4242" t="s">
        <v>26</v>
      </c>
      <c r="P4242" t="s">
        <v>27</v>
      </c>
      <c r="Q4242" t="s">
        <v>28</v>
      </c>
      <c r="R4242" t="s">
        <v>29</v>
      </c>
      <c r="S4242" t="s">
        <v>793</v>
      </c>
      <c r="T4242">
        <f>_xlfn.XLOOKUP(X4242,Hoja2!D:D,Hoja2!A:A)</f>
        <v>1070815435</v>
      </c>
      <c r="U4242" t="str">
        <f>_xlfn.XLOOKUP(X4242,Hoja2!D:D,Hoja2!B:B)</f>
        <v>CATALINA PACHECO BURGOS</v>
      </c>
      <c r="V4242" t="str">
        <f>_xlfn.XLOOKUP(X4242,Hoja2!D:D,Hoja2!C:C)</f>
        <v>PREGRADO</v>
      </c>
      <c r="W4242" s="9">
        <f>IF(V4242="pregrado",31,
IF(V4242="posgrados",31,
IF(V4242="rEINTEGROS",7,
IF(V4242="BIT",90,
IF(V4242="OP GRADO - INGLÉS",17,"")))))</f>
        <v>31</v>
      </c>
      <c r="X4242" t="s">
        <v>4038</v>
      </c>
    </row>
    <row r="4243" spans="1:24" ht="15" x14ac:dyDescent="0.35">
      <c r="A4243" s="4">
        <v>46092.868506944447</v>
      </c>
      <c r="B4243">
        <v>20128349</v>
      </c>
      <c r="C4243" s="6" t="s">
        <v>19</v>
      </c>
      <c r="D4243">
        <v>612019</v>
      </c>
      <c r="E4243" t="s">
        <v>20</v>
      </c>
      <c r="F4243">
        <v>1002248041</v>
      </c>
      <c r="G4243" t="s">
        <v>3902</v>
      </c>
      <c r="H4243">
        <v>100248425</v>
      </c>
      <c r="I4243">
        <v>202632</v>
      </c>
      <c r="J4243">
        <v>1002248041</v>
      </c>
      <c r="K4243" t="s">
        <v>33</v>
      </c>
      <c r="L4243" t="s">
        <v>127</v>
      </c>
      <c r="M4243" t="s">
        <v>24</v>
      </c>
      <c r="N4243" t="s">
        <v>25</v>
      </c>
      <c r="O4243" t="s">
        <v>26</v>
      </c>
      <c r="P4243" t="s">
        <v>27</v>
      </c>
      <c r="Q4243" t="s">
        <v>28</v>
      </c>
      <c r="R4243" t="s">
        <v>29</v>
      </c>
      <c r="S4243" t="s">
        <v>793</v>
      </c>
      <c r="T4243">
        <v>10306009131</v>
      </c>
      <c r="U4243" t="s">
        <v>3933</v>
      </c>
      <c r="V4243" t="s">
        <v>3934</v>
      </c>
      <c r="W4243" s="9">
        <f>IF(V4243="pregrado",31,
IF(V4243="posgrados",31,
IF(V4243="rEINTEGROS",7,
IF(V4243="BIT",90,
IF(V4243="OP GRADO - INGLÉS",17,"")))))</f>
        <v>31</v>
      </c>
      <c r="X4243" t="s">
        <v>3978</v>
      </c>
    </row>
    <row r="4244" spans="1:24" x14ac:dyDescent="0.3">
      <c r="A4244" s="4">
        <v>46092</v>
      </c>
      <c r="B4244">
        <v>20128345</v>
      </c>
      <c r="C4244" t="s">
        <v>19</v>
      </c>
      <c r="D4244">
        <v>612025</v>
      </c>
      <c r="E4244" t="s">
        <v>20</v>
      </c>
      <c r="F4244">
        <v>1077871488</v>
      </c>
      <c r="G4244" t="s">
        <v>4119</v>
      </c>
      <c r="H4244">
        <v>100248431</v>
      </c>
      <c r="I4244">
        <v>202632</v>
      </c>
      <c r="J4244">
        <v>1077871488</v>
      </c>
      <c r="K4244" t="s">
        <v>33</v>
      </c>
      <c r="L4244" t="s">
        <v>207</v>
      </c>
      <c r="M4244" t="s">
        <v>24</v>
      </c>
      <c r="N4244" t="s">
        <v>25</v>
      </c>
      <c r="O4244" t="s">
        <v>26</v>
      </c>
      <c r="P4244" t="s">
        <v>27</v>
      </c>
      <c r="Q4244" t="s">
        <v>28</v>
      </c>
      <c r="R4244" t="s">
        <v>29</v>
      </c>
      <c r="S4244" t="s">
        <v>793</v>
      </c>
      <c r="T4244">
        <f>_xlfn.XLOOKUP(X4244,Hoja2!D:D,Hoja2!A:A)</f>
        <v>45555807</v>
      </c>
      <c r="U4244" t="str">
        <f>_xlfn.XLOOKUP(X4244,Hoja2!D:D,Hoja2!B:B)</f>
        <v>NELSON JAVIER MORERA RINCON</v>
      </c>
      <c r="V4244" t="str">
        <f>_xlfn.XLOOKUP(X4244,Hoja2!D:D,Hoja2!C:C)</f>
        <v>PREGRADO</v>
      </c>
      <c r="W4244" s="9">
        <f>IF(V4244="pregrado",31,
IF(V4244="posgrados",31,
IF(V4244="rEINTEGROS",7,
IF(V4244="BIT",90,
IF(V4244="OP GRADO - INGLÉS",17,"")))))</f>
        <v>31</v>
      </c>
      <c r="X4244" t="s">
        <v>4027</v>
      </c>
    </row>
    <row r="4245" spans="1:24" x14ac:dyDescent="0.3">
      <c r="A4245" s="4">
        <v>46092</v>
      </c>
      <c r="B4245">
        <v>20128301</v>
      </c>
      <c r="C4245" t="s">
        <v>19</v>
      </c>
      <c r="D4245">
        <v>612036</v>
      </c>
      <c r="E4245" t="s">
        <v>20</v>
      </c>
      <c r="F4245">
        <v>43362664</v>
      </c>
      <c r="G4245" t="s">
        <v>4116</v>
      </c>
      <c r="H4245">
        <v>100234162</v>
      </c>
      <c r="I4245">
        <v>202632</v>
      </c>
      <c r="J4245">
        <v>1000189733</v>
      </c>
      <c r="K4245" t="s">
        <v>23</v>
      </c>
      <c r="L4245" t="s">
        <v>219</v>
      </c>
      <c r="M4245" t="s">
        <v>24</v>
      </c>
      <c r="N4245" t="s">
        <v>35</v>
      </c>
      <c r="O4245" t="s">
        <v>26</v>
      </c>
      <c r="P4245" t="s">
        <v>27</v>
      </c>
      <c r="Q4245" t="s">
        <v>28</v>
      </c>
      <c r="R4245" t="s">
        <v>29</v>
      </c>
      <c r="S4245" t="s">
        <v>793</v>
      </c>
      <c r="T4245">
        <f>_xlfn.XLOOKUP(X4245,Hoja2!D:D,Hoja2!A:A)</f>
        <v>1023975276</v>
      </c>
      <c r="U4245" t="str">
        <f>_xlfn.XLOOKUP(X4245,Hoja2!D:D,Hoja2!B:B)</f>
        <v>MARSHIA MILENA JIMéNEZ GóMEZ</v>
      </c>
      <c r="V4245" t="str">
        <f>_xlfn.XLOOKUP(X4245,Hoja2!D:D,Hoja2!C:C)</f>
        <v>PREGRADO</v>
      </c>
      <c r="W4245" s="9">
        <f>IF(V4245="pregrado",31,
IF(V4245="posgrados",31,
IF(V4245="rEINTEGROS",7,
IF(V4245="BIT",90,
IF(V4245="OP GRADO - INGLÉS",17,"")))))</f>
        <v>31</v>
      </c>
      <c r="X4245" t="s">
        <v>3962</v>
      </c>
    </row>
    <row r="4246" spans="1:24" x14ac:dyDescent="0.3">
      <c r="A4246" s="4">
        <v>46107</v>
      </c>
      <c r="B4246">
        <v>20129485</v>
      </c>
      <c r="C4246" t="s">
        <v>19</v>
      </c>
      <c r="D4246">
        <v>612042</v>
      </c>
      <c r="E4246" t="s">
        <v>20</v>
      </c>
      <c r="F4246">
        <v>1116779803</v>
      </c>
      <c r="G4246" t="s">
        <v>4276</v>
      </c>
      <c r="H4246">
        <v>100248443</v>
      </c>
      <c r="I4246">
        <v>202632</v>
      </c>
      <c r="J4246">
        <v>1116779803</v>
      </c>
      <c r="K4246" t="s">
        <v>74</v>
      </c>
      <c r="L4246" t="s">
        <v>51</v>
      </c>
      <c r="M4246" t="s">
        <v>24</v>
      </c>
      <c r="N4246" t="s">
        <v>35</v>
      </c>
      <c r="O4246" t="s">
        <v>26</v>
      </c>
      <c r="P4246" t="s">
        <v>27</v>
      </c>
      <c r="Q4246" t="s">
        <v>28</v>
      </c>
      <c r="R4246" t="s">
        <v>29</v>
      </c>
      <c r="S4246" t="s">
        <v>793</v>
      </c>
      <c r="T4246">
        <f>_xlfn.XLOOKUP(X4246,Hoja2!D:D,Hoja2!A:A)</f>
        <v>1070815435</v>
      </c>
      <c r="U4246" t="str">
        <f>_xlfn.XLOOKUP(X4246,Hoja2!D:D,Hoja2!B:B)</f>
        <v>CATALINA PACHECO BURGOS</v>
      </c>
      <c r="V4246" t="str">
        <f>_xlfn.XLOOKUP(X4246,Hoja2!D:D,Hoja2!C:C)</f>
        <v>PREGRADO</v>
      </c>
      <c r="W4246" s="9">
        <f>IF(V4246="pregrado",31,
IF(V4246="posgrados",31,
IF(V4246="rEINTEGROS",7,
IF(V4246="BIT",90,
IF(V4246="OP GRADO - INGLÉS",17,"")))))</f>
        <v>31</v>
      </c>
      <c r="X4246" t="s">
        <v>4038</v>
      </c>
    </row>
    <row r="4247" spans="1:24" ht="15" x14ac:dyDescent="0.35">
      <c r="A4247" s="4">
        <v>46093.506921296299</v>
      </c>
      <c r="B4247">
        <v>20128393</v>
      </c>
      <c r="C4247" s="6" t="s">
        <v>19</v>
      </c>
      <c r="D4247">
        <v>612046</v>
      </c>
      <c r="E4247" t="s">
        <v>20</v>
      </c>
      <c r="F4247">
        <v>1080291867</v>
      </c>
      <c r="G4247" t="s">
        <v>3909</v>
      </c>
      <c r="H4247">
        <v>100248054</v>
      </c>
      <c r="I4247">
        <v>202632</v>
      </c>
      <c r="J4247">
        <v>1080291867</v>
      </c>
      <c r="K4247" t="s">
        <v>33</v>
      </c>
      <c r="L4247" t="s">
        <v>90</v>
      </c>
      <c r="M4247" t="s">
        <v>24</v>
      </c>
      <c r="N4247" t="s">
        <v>25</v>
      </c>
      <c r="O4247" t="s">
        <v>26</v>
      </c>
      <c r="P4247" t="s">
        <v>27</v>
      </c>
      <c r="Q4247" t="s">
        <v>28</v>
      </c>
      <c r="R4247" t="s">
        <v>29</v>
      </c>
      <c r="S4247" t="s">
        <v>793</v>
      </c>
      <c r="T4247">
        <v>1023370559</v>
      </c>
      <c r="U4247" t="s">
        <v>3933</v>
      </c>
      <c r="V4247" t="s">
        <v>3934</v>
      </c>
      <c r="W4247" s="9">
        <f>IF(V4247="pregrado",31,
IF(V4247="posgrados",31,
IF(V4247="rEINTEGROS",7,
IF(V4247="BIT",90,
IF(V4247="OP GRADO - INGLÉS",17,"")))))</f>
        <v>31</v>
      </c>
      <c r="X4247" t="s">
        <v>4017</v>
      </c>
    </row>
    <row r="4248" spans="1:24" x14ac:dyDescent="0.3">
      <c r="A4248" s="4">
        <v>46109</v>
      </c>
      <c r="B4248">
        <v>20129664</v>
      </c>
      <c r="C4248" t="s">
        <v>19</v>
      </c>
      <c r="D4248">
        <v>612051</v>
      </c>
      <c r="E4248" t="s">
        <v>20</v>
      </c>
      <c r="F4248">
        <v>1003450587</v>
      </c>
      <c r="G4248" t="s">
        <v>4321</v>
      </c>
      <c r="H4248">
        <v>100248452</v>
      </c>
      <c r="I4248">
        <v>202632</v>
      </c>
      <c r="J4248">
        <v>1003450587</v>
      </c>
      <c r="K4248" t="s">
        <v>33</v>
      </c>
      <c r="L4248" t="s">
        <v>127</v>
      </c>
      <c r="M4248" t="s">
        <v>24</v>
      </c>
      <c r="N4248" t="s">
        <v>35</v>
      </c>
      <c r="O4248" t="s">
        <v>26</v>
      </c>
      <c r="P4248" t="s">
        <v>27</v>
      </c>
      <c r="Q4248" t="s">
        <v>28</v>
      </c>
      <c r="R4248" t="s">
        <v>29</v>
      </c>
      <c r="S4248" t="s">
        <v>793</v>
      </c>
      <c r="T4248">
        <f>_xlfn.XLOOKUP(X4248,Hoja2!D:D,Hoja2!A:A)</f>
        <v>1023929839</v>
      </c>
      <c r="U4248" t="str">
        <f>_xlfn.XLOOKUP(X4248,Hoja2!D:D,Hoja2!B:B)</f>
        <v>PAOLA ANDREA CALDERON CETINA</v>
      </c>
      <c r="V4248" t="str">
        <f>_xlfn.XLOOKUP(X4248,Hoja2!D:D,Hoja2!C:C)</f>
        <v>PREGRADO</v>
      </c>
      <c r="W4248" s="9">
        <f>IF(V4248="pregrado",31,
IF(V4248="posgrados",31,
IF(V4248="rEINTEGROS",7,
IF(V4248="BIT",90,
IF(V4248="OP GRADO - INGLÉS",17,"")))))</f>
        <v>31</v>
      </c>
      <c r="X4248" t="s">
        <v>3932</v>
      </c>
    </row>
    <row r="4249" spans="1:24" ht="15" x14ac:dyDescent="0.35">
      <c r="A4249" s="4">
        <v>46090.434155092589</v>
      </c>
      <c r="B4249">
        <v>20128038</v>
      </c>
      <c r="C4249" s="6" t="s">
        <v>19</v>
      </c>
      <c r="D4249">
        <v>612056</v>
      </c>
      <c r="E4249" t="s">
        <v>20</v>
      </c>
      <c r="F4249">
        <v>1075870600</v>
      </c>
      <c r="G4249" t="s">
        <v>3863</v>
      </c>
      <c r="H4249">
        <v>100131820</v>
      </c>
      <c r="I4249">
        <v>202631</v>
      </c>
      <c r="J4249">
        <v>1075870600</v>
      </c>
      <c r="K4249" t="s">
        <v>89</v>
      </c>
      <c r="L4249" t="s">
        <v>51</v>
      </c>
      <c r="M4249" t="s">
        <v>24</v>
      </c>
      <c r="N4249" t="s">
        <v>25</v>
      </c>
      <c r="O4249" t="s">
        <v>26</v>
      </c>
      <c r="P4249" t="s">
        <v>27</v>
      </c>
      <c r="Q4249" t="s">
        <v>28</v>
      </c>
      <c r="R4249" t="s">
        <v>29</v>
      </c>
      <c r="S4249" t="s">
        <v>30</v>
      </c>
      <c r="T4249">
        <v>1023899450</v>
      </c>
      <c r="U4249" t="s">
        <v>3969</v>
      </c>
      <c r="V4249" t="s">
        <v>3970</v>
      </c>
      <c r="W4249" s="9">
        <f>IF(V4249="pregrado",31,
IF(V4249="posgrados",31,
IF(V4249="rEINTEGROS",7,
IF(V4249="BIT",90,
IF(V4249="OP GRADO - INGLÉS",17,"")))))</f>
        <v>7</v>
      </c>
      <c r="X4249" t="s">
        <v>3969</v>
      </c>
    </row>
    <row r="4250" spans="1:24" ht="15" x14ac:dyDescent="0.35">
      <c r="A4250" s="4">
        <v>46091.403634259259</v>
      </c>
      <c r="B4250">
        <v>20128143</v>
      </c>
      <c r="C4250" s="6" t="s">
        <v>19</v>
      </c>
      <c r="D4250">
        <v>612068</v>
      </c>
      <c r="E4250" t="s">
        <v>20</v>
      </c>
      <c r="F4250">
        <v>1000852180</v>
      </c>
      <c r="G4250" t="s">
        <v>3876</v>
      </c>
      <c r="H4250">
        <v>100248469</v>
      </c>
      <c r="I4250">
        <v>202612</v>
      </c>
      <c r="J4250">
        <v>1000852180</v>
      </c>
      <c r="K4250" t="s">
        <v>23</v>
      </c>
      <c r="L4250" t="s">
        <v>221</v>
      </c>
      <c r="M4250" t="s">
        <v>24</v>
      </c>
      <c r="N4250" t="s">
        <v>25</v>
      </c>
      <c r="O4250" t="s">
        <v>26</v>
      </c>
      <c r="P4250" t="s">
        <v>27</v>
      </c>
      <c r="Q4250" t="s">
        <v>28</v>
      </c>
      <c r="R4250" t="s">
        <v>29</v>
      </c>
      <c r="S4250" t="s">
        <v>793</v>
      </c>
      <c r="T4250">
        <v>1026298522</v>
      </c>
      <c r="U4250" t="s">
        <v>3965</v>
      </c>
      <c r="V4250" t="s">
        <v>3934</v>
      </c>
      <c r="W4250" s="9">
        <f>IF(V4250="pregrado",31,
IF(V4250="posgrados",31,
IF(V4250="rEINTEGROS",7,
IF(V4250="BIT",90,
IF(V4250="OP GRADO - INGLÉS",17,"")))))</f>
        <v>31</v>
      </c>
      <c r="X4250" t="s">
        <v>4040</v>
      </c>
    </row>
    <row r="4251" spans="1:24" x14ac:dyDescent="0.3">
      <c r="A4251" s="4">
        <v>46123</v>
      </c>
      <c r="B4251">
        <v>20130751</v>
      </c>
      <c r="C4251" t="s">
        <v>19</v>
      </c>
      <c r="D4251">
        <v>612081</v>
      </c>
      <c r="E4251" t="s">
        <v>20</v>
      </c>
      <c r="F4251">
        <v>1007339291</v>
      </c>
      <c r="G4251" t="s">
        <v>4514</v>
      </c>
      <c r="H4251">
        <v>100248476</v>
      </c>
      <c r="I4251">
        <v>202632</v>
      </c>
      <c r="J4251">
        <v>1007339291</v>
      </c>
      <c r="K4251" t="s">
        <v>33</v>
      </c>
      <c r="L4251" t="s">
        <v>127</v>
      </c>
      <c r="M4251" t="s">
        <v>24</v>
      </c>
      <c r="N4251" t="s">
        <v>35</v>
      </c>
      <c r="O4251" t="s">
        <v>26</v>
      </c>
      <c r="P4251" t="s">
        <v>27</v>
      </c>
      <c r="Q4251" t="s">
        <v>28</v>
      </c>
      <c r="R4251" t="s">
        <v>29</v>
      </c>
      <c r="S4251" t="s">
        <v>793</v>
      </c>
      <c r="T4251">
        <f>_xlfn.XLOOKUP(X4251,Hoja2!D:D,Hoja2!A:A)</f>
        <v>1057582137</v>
      </c>
      <c r="U4251" t="str">
        <f>_xlfn.XLOOKUP(X4251,Hoja2!D:D,Hoja2!B:B)</f>
        <v>Paola Andrea Calderon Cetina</v>
      </c>
      <c r="V4251" t="str">
        <f>_xlfn.XLOOKUP(X4251,Hoja2!D:D,Hoja2!C:C)</f>
        <v>PREGRADO</v>
      </c>
      <c r="W4251" s="9">
        <f>IF(V4251="pregrado",31,
IF(V4251="posgrados",31,
IF(V4251="rEINTEGROS",7,
IF(V4251="BIT",90,
IF(V4251="OP GRADO - INGLÉS",17,"")))))</f>
        <v>31</v>
      </c>
      <c r="X4251" t="s">
        <v>4929</v>
      </c>
    </row>
    <row r="4252" spans="1:24" ht="15" x14ac:dyDescent="0.35">
      <c r="A4252" s="4">
        <v>46092.54105324074</v>
      </c>
      <c r="B4252">
        <v>20128282</v>
      </c>
      <c r="C4252" s="6" t="s">
        <v>19</v>
      </c>
      <c r="D4252">
        <v>612086</v>
      </c>
      <c r="E4252" t="s">
        <v>20</v>
      </c>
      <c r="F4252">
        <v>1004233298</v>
      </c>
      <c r="G4252" t="s">
        <v>3891</v>
      </c>
      <c r="H4252">
        <v>100248480</v>
      </c>
      <c r="I4252">
        <v>202632</v>
      </c>
      <c r="J4252">
        <v>1004233298</v>
      </c>
      <c r="K4252" t="s">
        <v>33</v>
      </c>
      <c r="L4252" t="s">
        <v>90</v>
      </c>
      <c r="M4252" t="s">
        <v>24</v>
      </c>
      <c r="N4252" t="s">
        <v>25</v>
      </c>
      <c r="O4252" t="s">
        <v>26</v>
      </c>
      <c r="P4252" t="s">
        <v>27</v>
      </c>
      <c r="Q4252" t="s">
        <v>28</v>
      </c>
      <c r="R4252" t="s">
        <v>29</v>
      </c>
      <c r="S4252" t="s">
        <v>793</v>
      </c>
      <c r="T4252">
        <v>10306009131</v>
      </c>
      <c r="U4252" t="s">
        <v>3933</v>
      </c>
      <c r="V4252" t="s">
        <v>3934</v>
      </c>
      <c r="W4252" s="9">
        <f>IF(V4252="pregrado",31,
IF(V4252="posgrados",31,
IF(V4252="rEINTEGROS",7,
IF(V4252="BIT",90,
IF(V4252="OP GRADO - INGLÉS",17,"")))))</f>
        <v>31</v>
      </c>
      <c r="X4252" t="s">
        <v>3978</v>
      </c>
    </row>
    <row r="4253" spans="1:24" ht="15" x14ac:dyDescent="0.35">
      <c r="A4253" s="4">
        <v>46090.701435185183</v>
      </c>
      <c r="B4253">
        <v>20128114</v>
      </c>
      <c r="C4253" s="6" t="s">
        <v>19</v>
      </c>
      <c r="D4253">
        <v>612091</v>
      </c>
      <c r="E4253" t="s">
        <v>20</v>
      </c>
      <c r="F4253">
        <v>1030693490</v>
      </c>
      <c r="G4253" t="s">
        <v>3873</v>
      </c>
      <c r="H4253">
        <v>100248482</v>
      </c>
      <c r="I4253">
        <v>202632</v>
      </c>
      <c r="J4253">
        <v>1030693490</v>
      </c>
      <c r="K4253" t="s">
        <v>23</v>
      </c>
      <c r="L4253" t="s">
        <v>219</v>
      </c>
      <c r="M4253" t="s">
        <v>24</v>
      </c>
      <c r="N4253" t="s">
        <v>35</v>
      </c>
      <c r="O4253" t="s">
        <v>26</v>
      </c>
      <c r="P4253" t="s">
        <v>27</v>
      </c>
      <c r="Q4253" t="s">
        <v>28</v>
      </c>
      <c r="R4253" t="s">
        <v>29</v>
      </c>
      <c r="S4253" t="s">
        <v>793</v>
      </c>
      <c r="T4253">
        <v>1001066645</v>
      </c>
      <c r="U4253" t="s">
        <v>3963</v>
      </c>
      <c r="V4253" t="s">
        <v>3934</v>
      </c>
      <c r="W4253" s="9">
        <f>IF(V4253="pregrado",31,
IF(V4253="posgrados",31,
IF(V4253="rEINTEGROS",7,
IF(V4253="BIT",90,
IF(V4253="OP GRADO - INGLÉS",17,"")))))</f>
        <v>31</v>
      </c>
      <c r="X4253" t="s">
        <v>4086</v>
      </c>
    </row>
    <row r="4254" spans="1:24" x14ac:dyDescent="0.3">
      <c r="A4254" s="4">
        <v>46092</v>
      </c>
      <c r="B4254">
        <v>20128327</v>
      </c>
      <c r="C4254" t="s">
        <v>19</v>
      </c>
      <c r="D4254">
        <v>612098</v>
      </c>
      <c r="E4254" t="s">
        <v>20</v>
      </c>
      <c r="F4254">
        <v>1039702308</v>
      </c>
      <c r="G4254" t="s">
        <v>4117</v>
      </c>
      <c r="H4254">
        <v>200254544</v>
      </c>
      <c r="I4254">
        <v>202632</v>
      </c>
      <c r="J4254">
        <v>1039702308</v>
      </c>
      <c r="K4254" t="s">
        <v>33</v>
      </c>
      <c r="L4254" t="s">
        <v>119</v>
      </c>
      <c r="M4254" t="s">
        <v>24</v>
      </c>
      <c r="N4254" t="s">
        <v>35</v>
      </c>
      <c r="O4254" t="s">
        <v>26</v>
      </c>
      <c r="P4254" t="s">
        <v>27</v>
      </c>
      <c r="Q4254" t="s">
        <v>28</v>
      </c>
      <c r="R4254" t="s">
        <v>29</v>
      </c>
      <c r="S4254" t="s">
        <v>793</v>
      </c>
      <c r="T4254">
        <f>_xlfn.XLOOKUP(X4254,Hoja2!D:D,Hoja2!A:A)</f>
        <v>1018455773</v>
      </c>
      <c r="U4254" t="str">
        <f>_xlfn.XLOOKUP(X4254,Hoja2!D:D,Hoja2!B:B)</f>
        <v>Catalina Pacheco Burgos</v>
      </c>
      <c r="V4254" t="str">
        <f>_xlfn.XLOOKUP(X4254,Hoja2!D:D,Hoja2!C:C)</f>
        <v>PREGRADO</v>
      </c>
      <c r="W4254" s="9">
        <f>IF(V4254="pregrado",31,
IF(V4254="posgrados",31,
IF(V4254="rEINTEGROS",7,
IF(V4254="BIT",90,
IF(V4254="OP GRADO - INGLÉS",17,"")))))</f>
        <v>31</v>
      </c>
      <c r="X4254" t="s">
        <v>4921</v>
      </c>
    </row>
    <row r="4255" spans="1:24" ht="15" x14ac:dyDescent="0.35">
      <c r="A4255" s="4">
        <v>46094.667326388888</v>
      </c>
      <c r="B4255">
        <v>20128538</v>
      </c>
      <c r="C4255" s="6" t="s">
        <v>19</v>
      </c>
      <c r="D4255">
        <v>612120</v>
      </c>
      <c r="E4255" t="s">
        <v>20</v>
      </c>
      <c r="F4255">
        <v>68298604</v>
      </c>
      <c r="G4255" t="s">
        <v>3917</v>
      </c>
      <c r="H4255">
        <v>100248509</v>
      </c>
      <c r="I4255">
        <v>202612</v>
      </c>
      <c r="J4255">
        <v>68298604</v>
      </c>
      <c r="K4255" t="s">
        <v>23</v>
      </c>
      <c r="L4255" t="s">
        <v>221</v>
      </c>
      <c r="M4255" t="s">
        <v>24</v>
      </c>
      <c r="N4255" t="s">
        <v>35</v>
      </c>
      <c r="O4255" t="s">
        <v>26</v>
      </c>
      <c r="P4255" t="s">
        <v>27</v>
      </c>
      <c r="Q4255" t="s">
        <v>28</v>
      </c>
      <c r="R4255" t="s">
        <v>29</v>
      </c>
      <c r="S4255" t="s">
        <v>793</v>
      </c>
      <c r="T4255">
        <v>1030651078</v>
      </c>
      <c r="U4255" t="s">
        <v>3965</v>
      </c>
      <c r="V4255" t="s">
        <v>3934</v>
      </c>
      <c r="W4255" s="9">
        <f>IF(V4255="pregrado",31,
IF(V4255="posgrados",31,
IF(V4255="rEINTEGROS",7,
IF(V4255="BIT",90,
IF(V4255="OP GRADO - INGLÉS",17,"")))))</f>
        <v>31</v>
      </c>
      <c r="X4255" t="s">
        <v>4085</v>
      </c>
    </row>
    <row r="4256" spans="1:24" x14ac:dyDescent="0.3">
      <c r="A4256" s="4">
        <v>46140</v>
      </c>
      <c r="B4256">
        <v>20132440</v>
      </c>
      <c r="C4256" t="s">
        <v>19</v>
      </c>
      <c r="D4256">
        <v>612126</v>
      </c>
      <c r="E4256" t="s">
        <v>20</v>
      </c>
      <c r="F4256">
        <v>1057095251</v>
      </c>
      <c r="G4256" t="s">
        <v>4881</v>
      </c>
      <c r="H4256">
        <v>100196808</v>
      </c>
      <c r="I4256">
        <v>202612</v>
      </c>
      <c r="J4256">
        <v>1056771811</v>
      </c>
      <c r="K4256" t="s">
        <v>33</v>
      </c>
      <c r="L4256" t="s">
        <v>221</v>
      </c>
      <c r="M4256" t="s">
        <v>24</v>
      </c>
      <c r="N4256">
        <v>0</v>
      </c>
      <c r="O4256" t="s">
        <v>26</v>
      </c>
      <c r="P4256" t="s">
        <v>27</v>
      </c>
      <c r="Q4256" t="s">
        <v>28</v>
      </c>
      <c r="R4256" t="s">
        <v>29</v>
      </c>
      <c r="S4256" t="s">
        <v>793</v>
      </c>
      <c r="T4256">
        <f>_xlfn.XLOOKUP(X4256,Hoja2!D:D,Hoja2!A:A)</f>
        <v>1013662799</v>
      </c>
      <c r="U4256" t="str">
        <f>_xlfn.XLOOKUP(X4256,Hoja2!D:D,Hoja2!B:B)</f>
        <v>NELSON JAVIER MORERA RINCON</v>
      </c>
      <c r="V4256" t="str">
        <f>_xlfn.XLOOKUP(X4256,Hoja2!D:D,Hoja2!C:C)</f>
        <v>PREGRADO</v>
      </c>
      <c r="W4256" s="9">
        <f>IF(V4256="pregrado",31,
IF(V4256="posgrados",31,
IF(V4256="rEINTEGROS",7,
IF(V4256="BIT",90,
IF(V4256="OP GRADO - INGLÉS",17,"")))))</f>
        <v>31</v>
      </c>
      <c r="X4256" t="s">
        <v>4021</v>
      </c>
    </row>
    <row r="4257" spans="1:24" ht="15" x14ac:dyDescent="0.35">
      <c r="A4257" s="4">
        <v>46091.647800925923</v>
      </c>
      <c r="B4257">
        <v>20128196</v>
      </c>
      <c r="C4257" s="6" t="s">
        <v>19</v>
      </c>
      <c r="D4257">
        <v>612142</v>
      </c>
      <c r="E4257" t="s">
        <v>20</v>
      </c>
      <c r="F4257">
        <v>31194495</v>
      </c>
      <c r="G4257" t="s">
        <v>3883</v>
      </c>
      <c r="H4257">
        <v>100248538</v>
      </c>
      <c r="I4257">
        <v>202632</v>
      </c>
      <c r="J4257">
        <v>1034279082</v>
      </c>
      <c r="K4257" t="s">
        <v>23</v>
      </c>
      <c r="L4257" t="s">
        <v>90</v>
      </c>
      <c r="M4257" t="s">
        <v>24</v>
      </c>
      <c r="N4257" t="s">
        <v>35</v>
      </c>
      <c r="O4257" t="s">
        <v>26</v>
      </c>
      <c r="P4257" t="s">
        <v>27</v>
      </c>
      <c r="Q4257" t="s">
        <v>28</v>
      </c>
      <c r="R4257" t="s">
        <v>29</v>
      </c>
      <c r="S4257" t="s">
        <v>793</v>
      </c>
      <c r="T4257">
        <v>1013595695</v>
      </c>
      <c r="U4257" t="s">
        <v>3933</v>
      </c>
      <c r="V4257" t="s">
        <v>3934</v>
      </c>
      <c r="W4257" s="9">
        <f>IF(V4257="pregrado",31,
IF(V4257="posgrados",31,
IF(V4257="rEINTEGROS",7,
IF(V4257="BIT",90,
IF(V4257="OP GRADO - INGLÉS",17,"")))))</f>
        <v>31</v>
      </c>
      <c r="X4257" t="s">
        <v>3990</v>
      </c>
    </row>
    <row r="4258" spans="1:24" ht="15" x14ac:dyDescent="0.35">
      <c r="A4258" s="4">
        <v>46093.565694444442</v>
      </c>
      <c r="B4258">
        <v>20128401</v>
      </c>
      <c r="C4258" s="6" t="s">
        <v>19</v>
      </c>
      <c r="D4258">
        <v>612152</v>
      </c>
      <c r="E4258" t="s">
        <v>20</v>
      </c>
      <c r="F4258">
        <v>1002711426</v>
      </c>
      <c r="G4258" t="s">
        <v>3910</v>
      </c>
      <c r="H4258">
        <v>100248548</v>
      </c>
      <c r="I4258">
        <v>202632</v>
      </c>
      <c r="J4258">
        <v>1002711426</v>
      </c>
      <c r="K4258" t="s">
        <v>33</v>
      </c>
      <c r="L4258" t="s">
        <v>127</v>
      </c>
      <c r="M4258" t="s">
        <v>24</v>
      </c>
      <c r="N4258" t="s">
        <v>25</v>
      </c>
      <c r="O4258" t="s">
        <v>26</v>
      </c>
      <c r="P4258" t="s">
        <v>27</v>
      </c>
      <c r="Q4258" t="s">
        <v>28</v>
      </c>
      <c r="R4258" t="s">
        <v>29</v>
      </c>
      <c r="S4258" t="s">
        <v>793</v>
      </c>
      <c r="T4258">
        <v>10306009131</v>
      </c>
      <c r="U4258" t="s">
        <v>3933</v>
      </c>
      <c r="V4258" t="s">
        <v>3934</v>
      </c>
      <c r="W4258" s="9">
        <f>IF(V4258="pregrado",31,
IF(V4258="posgrados",31,
IF(V4258="rEINTEGROS",7,
IF(V4258="BIT",90,
IF(V4258="OP GRADO - INGLÉS",17,"")))))</f>
        <v>31</v>
      </c>
      <c r="X4258" t="s">
        <v>3978</v>
      </c>
    </row>
    <row r="4259" spans="1:24" ht="15" x14ac:dyDescent="0.35">
      <c r="A4259" s="4">
        <v>46092.332986111112</v>
      </c>
      <c r="B4259">
        <v>20128238</v>
      </c>
      <c r="C4259" s="6" t="s">
        <v>19</v>
      </c>
      <c r="D4259">
        <v>612155</v>
      </c>
      <c r="E4259" t="s">
        <v>20</v>
      </c>
      <c r="F4259">
        <v>1084226238</v>
      </c>
      <c r="G4259" t="s">
        <v>3888</v>
      </c>
      <c r="H4259">
        <v>100248551</v>
      </c>
      <c r="I4259">
        <v>202632</v>
      </c>
      <c r="J4259">
        <v>1084226238</v>
      </c>
      <c r="K4259" t="s">
        <v>33</v>
      </c>
      <c r="L4259" t="s">
        <v>127</v>
      </c>
      <c r="M4259" t="s">
        <v>24</v>
      </c>
      <c r="N4259" t="s">
        <v>35</v>
      </c>
      <c r="O4259" t="s">
        <v>26</v>
      </c>
      <c r="P4259" t="s">
        <v>27</v>
      </c>
      <c r="Q4259" t="s">
        <v>28</v>
      </c>
      <c r="R4259" t="s">
        <v>29</v>
      </c>
      <c r="S4259" t="s">
        <v>793</v>
      </c>
      <c r="T4259">
        <v>1023921046</v>
      </c>
      <c r="U4259" t="s">
        <v>3933</v>
      </c>
      <c r="V4259" t="s">
        <v>3934</v>
      </c>
      <c r="W4259" s="9">
        <f>IF(V4259="pregrado",31,
IF(V4259="posgrados",31,
IF(V4259="rEINTEGROS",7,
IF(V4259="BIT",90,
IF(V4259="OP GRADO - INGLÉS",17,"")))))</f>
        <v>31</v>
      </c>
      <c r="X4259" t="s">
        <v>4043</v>
      </c>
    </row>
    <row r="4260" spans="1:24" ht="15" x14ac:dyDescent="0.35">
      <c r="A4260" s="4">
        <v>46093.446134259262</v>
      </c>
      <c r="B4260">
        <v>20128374</v>
      </c>
      <c r="C4260" s="6" t="s">
        <v>19</v>
      </c>
      <c r="D4260">
        <v>612164</v>
      </c>
      <c r="E4260" t="s">
        <v>20</v>
      </c>
      <c r="F4260">
        <v>1018453650</v>
      </c>
      <c r="G4260" t="s">
        <v>3906</v>
      </c>
      <c r="H4260">
        <v>100248556</v>
      </c>
      <c r="I4260">
        <v>202612</v>
      </c>
      <c r="J4260">
        <v>1018453650</v>
      </c>
      <c r="K4260" t="s">
        <v>23</v>
      </c>
      <c r="L4260" t="s">
        <v>221</v>
      </c>
      <c r="M4260" t="s">
        <v>24</v>
      </c>
      <c r="N4260" t="s">
        <v>35</v>
      </c>
      <c r="O4260" t="s">
        <v>26</v>
      </c>
      <c r="P4260" t="s">
        <v>27</v>
      </c>
      <c r="Q4260" t="s">
        <v>28</v>
      </c>
      <c r="R4260" t="s">
        <v>29</v>
      </c>
      <c r="S4260" t="s">
        <v>793</v>
      </c>
      <c r="T4260">
        <v>1073692626</v>
      </c>
      <c r="U4260" t="s">
        <v>3965</v>
      </c>
      <c r="V4260" t="s">
        <v>3934</v>
      </c>
      <c r="W4260" s="9">
        <f>IF(V4260="pregrado",31,
IF(V4260="posgrados",31,
IF(V4260="rEINTEGROS",7,
IF(V4260="BIT",90,
IF(V4260="OP GRADO - INGLÉS",17,"")))))</f>
        <v>31</v>
      </c>
      <c r="X4260" t="s">
        <v>4014</v>
      </c>
    </row>
    <row r="4261" spans="1:24" ht="15" x14ac:dyDescent="0.35">
      <c r="A4261" s="4">
        <v>46093.375405092593</v>
      </c>
      <c r="B4261">
        <v>20128356</v>
      </c>
      <c r="C4261" s="6" t="s">
        <v>19</v>
      </c>
      <c r="D4261">
        <v>612190</v>
      </c>
      <c r="E4261" t="s">
        <v>20</v>
      </c>
      <c r="F4261">
        <v>1031647462</v>
      </c>
      <c r="G4261" t="s">
        <v>3903</v>
      </c>
      <c r="H4261">
        <v>100248537</v>
      </c>
      <c r="I4261">
        <v>202632</v>
      </c>
      <c r="J4261">
        <v>1031647462</v>
      </c>
      <c r="K4261" t="s">
        <v>33</v>
      </c>
      <c r="L4261" t="s">
        <v>90</v>
      </c>
      <c r="M4261" t="s">
        <v>24</v>
      </c>
      <c r="N4261" t="s">
        <v>38</v>
      </c>
      <c r="O4261" t="s">
        <v>26</v>
      </c>
      <c r="P4261" t="s">
        <v>27</v>
      </c>
      <c r="Q4261" t="s">
        <v>28</v>
      </c>
      <c r="R4261" t="s">
        <v>29</v>
      </c>
      <c r="S4261" t="s">
        <v>793</v>
      </c>
      <c r="T4261">
        <v>1023970223</v>
      </c>
      <c r="U4261" t="s">
        <v>3933</v>
      </c>
      <c r="V4261" t="s">
        <v>3934</v>
      </c>
      <c r="W4261" s="9">
        <f>IF(V4261="pregrado",31,
IF(V4261="posgrados",31,
IF(V4261="rEINTEGROS",7,
IF(V4261="BIT",90,
IF(V4261="OP GRADO - INGLÉS",17,"")))))</f>
        <v>31</v>
      </c>
      <c r="X4261" t="s">
        <v>4070</v>
      </c>
    </row>
    <row r="4262" spans="1:24" ht="15" x14ac:dyDescent="0.35">
      <c r="A4262" s="4">
        <v>46092.600416666668</v>
      </c>
      <c r="B4262">
        <v>20128294</v>
      </c>
      <c r="C4262" s="6" t="s">
        <v>19</v>
      </c>
      <c r="D4262">
        <v>612195</v>
      </c>
      <c r="E4262" t="s">
        <v>20</v>
      </c>
      <c r="F4262">
        <v>1105463336</v>
      </c>
      <c r="G4262" t="s">
        <v>3892</v>
      </c>
      <c r="H4262">
        <v>100248586</v>
      </c>
      <c r="I4262">
        <v>202632</v>
      </c>
      <c r="J4262">
        <v>1105463336</v>
      </c>
      <c r="K4262" t="s">
        <v>33</v>
      </c>
      <c r="L4262" t="s">
        <v>127</v>
      </c>
      <c r="M4262" t="s">
        <v>24</v>
      </c>
      <c r="N4262" t="s">
        <v>25</v>
      </c>
      <c r="O4262" t="s">
        <v>26</v>
      </c>
      <c r="P4262" t="s">
        <v>27</v>
      </c>
      <c r="Q4262" t="s">
        <v>28</v>
      </c>
      <c r="R4262" t="s">
        <v>29</v>
      </c>
      <c r="S4262" t="s">
        <v>793</v>
      </c>
      <c r="T4262">
        <v>39666517</v>
      </c>
      <c r="U4262" t="s">
        <v>3933</v>
      </c>
      <c r="V4262" t="s">
        <v>3934</v>
      </c>
      <c r="W4262" s="9">
        <f>IF(V4262="pregrado",31,
IF(V4262="posgrados",31,
IF(V4262="rEINTEGROS",7,
IF(V4262="BIT",90,
IF(V4262="OP GRADO - INGLÉS",17,"")))))</f>
        <v>31</v>
      </c>
      <c r="X4262" t="s">
        <v>4025</v>
      </c>
    </row>
    <row r="4263" spans="1:24" ht="15" x14ac:dyDescent="0.35">
      <c r="A4263" s="4">
        <v>46091.836562500001</v>
      </c>
      <c r="B4263">
        <v>20128231</v>
      </c>
      <c r="C4263" s="6" t="s">
        <v>19</v>
      </c>
      <c r="D4263">
        <v>612206</v>
      </c>
      <c r="E4263" t="s">
        <v>20</v>
      </c>
      <c r="F4263">
        <v>1106774382</v>
      </c>
      <c r="G4263" t="s">
        <v>3887</v>
      </c>
      <c r="H4263">
        <v>100248592</v>
      </c>
      <c r="I4263">
        <v>202632</v>
      </c>
      <c r="J4263">
        <v>1106774382</v>
      </c>
      <c r="K4263" t="s">
        <v>23</v>
      </c>
      <c r="L4263" t="s">
        <v>127</v>
      </c>
      <c r="M4263" t="s">
        <v>24</v>
      </c>
      <c r="N4263" t="s">
        <v>35</v>
      </c>
      <c r="O4263" t="s">
        <v>26</v>
      </c>
      <c r="P4263" t="s">
        <v>27</v>
      </c>
      <c r="Q4263" t="s">
        <v>28</v>
      </c>
      <c r="R4263" t="s">
        <v>29</v>
      </c>
      <c r="S4263" t="s">
        <v>793</v>
      </c>
      <c r="T4263">
        <v>1015441103</v>
      </c>
      <c r="U4263" t="s">
        <v>3933</v>
      </c>
      <c r="V4263" t="s">
        <v>3934</v>
      </c>
      <c r="W4263" s="9">
        <f>IF(V4263="pregrado",31,
IF(V4263="posgrados",31,
IF(V4263="rEINTEGROS",7,
IF(V4263="BIT",90,
IF(V4263="OP GRADO - INGLÉS",17,"")))))</f>
        <v>31</v>
      </c>
      <c r="X4263" t="s">
        <v>3961</v>
      </c>
    </row>
    <row r="4264" spans="1:24" x14ac:dyDescent="0.3">
      <c r="A4264" s="4">
        <v>46106</v>
      </c>
      <c r="B4264">
        <v>20129339</v>
      </c>
      <c r="C4264" t="s">
        <v>19</v>
      </c>
      <c r="D4264">
        <v>612215</v>
      </c>
      <c r="E4264" t="s">
        <v>20</v>
      </c>
      <c r="F4264">
        <v>1018426478</v>
      </c>
      <c r="G4264" t="s">
        <v>4245</v>
      </c>
      <c r="H4264">
        <v>100248600</v>
      </c>
      <c r="I4264">
        <v>202632</v>
      </c>
      <c r="J4264">
        <v>1018426478</v>
      </c>
      <c r="K4264" t="s">
        <v>33</v>
      </c>
      <c r="L4264" t="s">
        <v>127</v>
      </c>
      <c r="M4264" t="s">
        <v>24</v>
      </c>
      <c r="N4264" t="s">
        <v>25</v>
      </c>
      <c r="O4264" t="s">
        <v>26</v>
      </c>
      <c r="P4264" t="s">
        <v>27</v>
      </c>
      <c r="Q4264" t="s">
        <v>28</v>
      </c>
      <c r="R4264" t="s">
        <v>29</v>
      </c>
      <c r="S4264" t="s">
        <v>793</v>
      </c>
      <c r="T4264">
        <f>_xlfn.XLOOKUP(X4264,Hoja2!D:D,Hoja2!A:A)</f>
        <v>1007473661</v>
      </c>
      <c r="U4264" t="str">
        <f>_xlfn.XLOOKUP(X4264,Hoja2!D:D,Hoja2!B:B)</f>
        <v>PAOLA ANDREA CALDERON CETINA</v>
      </c>
      <c r="V4264" t="str">
        <f>_xlfn.XLOOKUP(X4264,Hoja2!D:D,Hoja2!C:C)</f>
        <v>PREGRADO</v>
      </c>
      <c r="W4264" s="9">
        <f>IF(V4264="pregrado",31,
IF(V4264="posgrados",31,
IF(V4264="rEINTEGROS",7,
IF(V4264="BIT",90,
IF(V4264="OP GRADO - INGLÉS",17,"")))))</f>
        <v>31</v>
      </c>
      <c r="X4264" t="s">
        <v>4058</v>
      </c>
    </row>
    <row r="4265" spans="1:24" x14ac:dyDescent="0.3">
      <c r="A4265" s="4">
        <v>46094</v>
      </c>
      <c r="B4265">
        <v>20128519</v>
      </c>
      <c r="C4265" t="s">
        <v>19</v>
      </c>
      <c r="D4265">
        <v>612230</v>
      </c>
      <c r="E4265" t="s">
        <v>20</v>
      </c>
      <c r="F4265">
        <v>1006835815</v>
      </c>
      <c r="G4265" t="s">
        <v>4133</v>
      </c>
      <c r="H4265">
        <v>100247814</v>
      </c>
      <c r="I4265">
        <v>202632</v>
      </c>
      <c r="J4265">
        <v>1006835815</v>
      </c>
      <c r="K4265" t="s">
        <v>33</v>
      </c>
      <c r="L4265" t="s">
        <v>207</v>
      </c>
      <c r="M4265" t="s">
        <v>24</v>
      </c>
      <c r="N4265" t="s">
        <v>4134</v>
      </c>
      <c r="O4265" t="s">
        <v>26</v>
      </c>
      <c r="P4265" t="s">
        <v>4135</v>
      </c>
      <c r="Q4265" t="s">
        <v>28</v>
      </c>
      <c r="R4265" t="s">
        <v>29</v>
      </c>
      <c r="S4265" t="s">
        <v>793</v>
      </c>
      <c r="T4265">
        <f>_xlfn.XLOOKUP(X4265,Hoja2!D:D,Hoja2!A:A)</f>
        <v>1010081108</v>
      </c>
      <c r="U4265" t="str">
        <f>_xlfn.XLOOKUP(X4265,Hoja2!D:D,Hoja2!B:B)</f>
        <v>HEIDY LORENA PRIETO AHUMADA</v>
      </c>
      <c r="V4265" t="str">
        <f>_xlfn.XLOOKUP(X4265,Hoja2!D:D,Hoja2!C:C)</f>
        <v>PREGRADO</v>
      </c>
      <c r="W4265" s="9">
        <f>IF(V4265="pregrado",31,
IF(V4265="posgrados",31,
IF(V4265="rEINTEGROS",7,
IF(V4265="BIT",90,
IF(V4265="OP GRADO - INGLÉS",17,"")))))</f>
        <v>31</v>
      </c>
      <c r="X4265" t="s">
        <v>4009</v>
      </c>
    </row>
    <row r="4266" spans="1:24" ht="15" x14ac:dyDescent="0.35">
      <c r="A4266" s="4">
        <v>46092.64508101852</v>
      </c>
      <c r="B4266">
        <v>20128312</v>
      </c>
      <c r="C4266" s="6" t="s">
        <v>19</v>
      </c>
      <c r="D4266">
        <v>612232</v>
      </c>
      <c r="E4266" t="s">
        <v>20</v>
      </c>
      <c r="F4266">
        <v>1049795111</v>
      </c>
      <c r="G4266" t="s">
        <v>3895</v>
      </c>
      <c r="H4266">
        <v>100248589</v>
      </c>
      <c r="I4266">
        <v>202632</v>
      </c>
      <c r="J4266">
        <v>1049795111</v>
      </c>
      <c r="K4266" t="s">
        <v>23</v>
      </c>
      <c r="L4266" t="s">
        <v>127</v>
      </c>
      <c r="M4266" t="s">
        <v>24</v>
      </c>
      <c r="N4266" t="s">
        <v>35</v>
      </c>
      <c r="O4266" t="s">
        <v>26</v>
      </c>
      <c r="P4266" t="s">
        <v>27</v>
      </c>
      <c r="Q4266" t="s">
        <v>28</v>
      </c>
      <c r="R4266" t="s">
        <v>29</v>
      </c>
      <c r="S4266" t="s">
        <v>793</v>
      </c>
      <c r="T4266">
        <v>10306009131</v>
      </c>
      <c r="U4266" t="s">
        <v>3933</v>
      </c>
      <c r="V4266" t="s">
        <v>3934</v>
      </c>
      <c r="W4266" s="9">
        <f>IF(V4266="pregrado",31,
IF(V4266="posgrados",31,
IF(V4266="rEINTEGROS",7,
IF(V4266="BIT",90,
IF(V4266="OP GRADO - INGLÉS",17,"")))))</f>
        <v>31</v>
      </c>
      <c r="X4266" t="s">
        <v>3978</v>
      </c>
    </row>
    <row r="4267" spans="1:24" ht="15" x14ac:dyDescent="0.35">
      <c r="A4267" s="4">
        <v>46093.45994212963</v>
      </c>
      <c r="B4267">
        <v>20128382</v>
      </c>
      <c r="C4267" s="6" t="s">
        <v>19</v>
      </c>
      <c r="D4267">
        <v>612234</v>
      </c>
      <c r="E4267" t="s">
        <v>20</v>
      </c>
      <c r="F4267">
        <v>1117491848</v>
      </c>
      <c r="G4267" t="s">
        <v>3908</v>
      </c>
      <c r="H4267">
        <v>100248616</v>
      </c>
      <c r="I4267">
        <v>202632</v>
      </c>
      <c r="J4267">
        <v>1117491848</v>
      </c>
      <c r="K4267" t="s">
        <v>23</v>
      </c>
      <c r="L4267" t="s">
        <v>240</v>
      </c>
      <c r="M4267" t="s">
        <v>24</v>
      </c>
      <c r="N4267" t="s">
        <v>35</v>
      </c>
      <c r="O4267" t="s">
        <v>26</v>
      </c>
      <c r="P4267" t="s">
        <v>27</v>
      </c>
      <c r="Q4267" t="s">
        <v>28</v>
      </c>
      <c r="R4267" t="s">
        <v>29</v>
      </c>
      <c r="S4267" t="s">
        <v>793</v>
      </c>
      <c r="T4267">
        <v>45555807</v>
      </c>
      <c r="U4267" t="s">
        <v>3965</v>
      </c>
      <c r="V4267" t="s">
        <v>3934</v>
      </c>
      <c r="W4267" s="9">
        <f>IF(V4267="pregrado",31,
IF(V4267="posgrados",31,
IF(V4267="rEINTEGROS",7,
IF(V4267="BIT",90,
IF(V4267="OP GRADO - INGLÉS",17,"")))))</f>
        <v>31</v>
      </c>
      <c r="X4267" t="s">
        <v>4027</v>
      </c>
    </row>
    <row r="4268" spans="1:24" x14ac:dyDescent="0.3">
      <c r="A4268" s="4">
        <v>46099</v>
      </c>
      <c r="B4268">
        <v>20128950</v>
      </c>
      <c r="C4268" t="s">
        <v>19</v>
      </c>
      <c r="D4268">
        <v>612265</v>
      </c>
      <c r="E4268" t="s">
        <v>20</v>
      </c>
      <c r="F4268">
        <v>1000216846</v>
      </c>
      <c r="G4268" t="s">
        <v>4174</v>
      </c>
      <c r="H4268">
        <v>100248636</v>
      </c>
      <c r="I4268">
        <v>202612</v>
      </c>
      <c r="J4268">
        <v>1000216846</v>
      </c>
      <c r="K4268" t="s">
        <v>23</v>
      </c>
      <c r="L4268" t="s">
        <v>204</v>
      </c>
      <c r="M4268" t="s">
        <v>24</v>
      </c>
      <c r="N4268" t="s">
        <v>35</v>
      </c>
      <c r="O4268" t="s">
        <v>26</v>
      </c>
      <c r="P4268" t="s">
        <v>27</v>
      </c>
      <c r="Q4268" t="s">
        <v>28</v>
      </c>
      <c r="R4268" t="s">
        <v>29</v>
      </c>
      <c r="S4268" t="s">
        <v>793</v>
      </c>
      <c r="T4268">
        <f>_xlfn.XLOOKUP(X4268,Hoja2!D:D,Hoja2!A:A)</f>
        <v>1019115186</v>
      </c>
      <c r="U4268" t="str">
        <f>_xlfn.XLOOKUP(X4268,Hoja2!D:D,Hoja2!B:B)</f>
        <v>HEIDY LORENA PRIETO AHUMADA</v>
      </c>
      <c r="V4268" t="str">
        <f>_xlfn.XLOOKUP(X4268,Hoja2!D:D,Hoja2!C:C)</f>
        <v>PREGRADO</v>
      </c>
      <c r="W4268" s="9">
        <f>IF(V4268="pregrado",31,
IF(V4268="posgrados",31,
IF(V4268="rEINTEGROS",7,
IF(V4268="BIT",90,
IF(V4268="OP GRADO - INGLÉS",17,"")))))</f>
        <v>31</v>
      </c>
      <c r="X4268" t="s">
        <v>4005</v>
      </c>
    </row>
    <row r="4269" spans="1:24" x14ac:dyDescent="0.3">
      <c r="A4269" s="4">
        <v>46094</v>
      </c>
      <c r="B4269">
        <v>20128557</v>
      </c>
      <c r="C4269" t="s">
        <v>19</v>
      </c>
      <c r="D4269">
        <v>612266</v>
      </c>
      <c r="E4269" t="s">
        <v>20</v>
      </c>
      <c r="F4269">
        <v>17581974</v>
      </c>
      <c r="G4269" t="s">
        <v>4137</v>
      </c>
      <c r="H4269">
        <v>100248022</v>
      </c>
      <c r="I4269">
        <v>202632</v>
      </c>
      <c r="J4269">
        <v>1095820324</v>
      </c>
      <c r="K4269" t="s">
        <v>33</v>
      </c>
      <c r="L4269" t="s">
        <v>101</v>
      </c>
      <c r="M4269" t="s">
        <v>24</v>
      </c>
      <c r="N4269" t="s">
        <v>35</v>
      </c>
      <c r="O4269" t="s">
        <v>26</v>
      </c>
      <c r="P4269" t="s">
        <v>27</v>
      </c>
      <c r="Q4269" t="s">
        <v>28</v>
      </c>
      <c r="R4269" t="s">
        <v>29</v>
      </c>
      <c r="S4269" t="s">
        <v>793</v>
      </c>
      <c r="T4269">
        <f>_xlfn.XLOOKUP(X4269,Hoja2!D:D,Hoja2!A:A)</f>
        <v>52446712</v>
      </c>
      <c r="U4269" t="str">
        <f>_xlfn.XLOOKUP(X4269,Hoja2!D:D,Hoja2!B:B)</f>
        <v>MARSHIA MILENA JIMéNEZ GóMEZ</v>
      </c>
      <c r="V4269" t="str">
        <f>_xlfn.XLOOKUP(X4269,Hoja2!D:D,Hoja2!C:C)</f>
        <v>PREGRADO</v>
      </c>
      <c r="W4269" s="9">
        <f>IF(V4269="pregrado",31,
IF(V4269="posgrados",31,
IF(V4269="rEINTEGROS",7,
IF(V4269="BIT",90,
IF(V4269="OP GRADO - INGLÉS",17,"")))))</f>
        <v>31</v>
      </c>
      <c r="X4269" t="s">
        <v>4041</v>
      </c>
    </row>
    <row r="4270" spans="1:24" x14ac:dyDescent="0.3">
      <c r="A4270" s="4">
        <v>46092</v>
      </c>
      <c r="B4270">
        <v>20128283</v>
      </c>
      <c r="C4270" t="s">
        <v>19</v>
      </c>
      <c r="D4270">
        <v>612268</v>
      </c>
      <c r="E4270" t="s">
        <v>20</v>
      </c>
      <c r="F4270">
        <v>1010047154</v>
      </c>
      <c r="G4270" t="s">
        <v>4114</v>
      </c>
      <c r="H4270">
        <v>100248625</v>
      </c>
      <c r="I4270">
        <v>202632</v>
      </c>
      <c r="J4270">
        <v>1010047154</v>
      </c>
      <c r="K4270" t="s">
        <v>23</v>
      </c>
      <c r="L4270" t="s">
        <v>240</v>
      </c>
      <c r="M4270" t="s">
        <v>24</v>
      </c>
      <c r="N4270" t="s">
        <v>25</v>
      </c>
      <c r="O4270" t="s">
        <v>26</v>
      </c>
      <c r="P4270" t="s">
        <v>27</v>
      </c>
      <c r="Q4270" t="s">
        <v>28</v>
      </c>
      <c r="R4270" t="s">
        <v>29</v>
      </c>
      <c r="S4270" t="s">
        <v>793</v>
      </c>
      <c r="T4270">
        <f>_xlfn.XLOOKUP(X4270,Hoja2!D:D,Hoja2!A:A)</f>
        <v>1030570122</v>
      </c>
      <c r="U4270" t="str">
        <f>_xlfn.XLOOKUP(X4270,Hoja2!D:D,Hoja2!B:B)</f>
        <v>NELSON JAVIER MORERA RINCON</v>
      </c>
      <c r="V4270" t="str">
        <f>_xlfn.XLOOKUP(X4270,Hoja2!D:D,Hoja2!C:C)</f>
        <v>PREGRADO</v>
      </c>
      <c r="W4270" s="9">
        <f>IF(V4270="pregrado",31,
IF(V4270="posgrados",31,
IF(V4270="rEINTEGROS",7,
IF(V4270="BIT",90,
IF(V4270="OP GRADO - INGLÉS",17,"")))))</f>
        <v>31</v>
      </c>
      <c r="X4270" t="s">
        <v>4015</v>
      </c>
    </row>
    <row r="4271" spans="1:24" x14ac:dyDescent="0.3">
      <c r="A4271" s="4">
        <v>46099</v>
      </c>
      <c r="B4271">
        <v>20128864</v>
      </c>
      <c r="C4271" t="s">
        <v>19</v>
      </c>
      <c r="D4271">
        <v>612278</v>
      </c>
      <c r="E4271" t="s">
        <v>20</v>
      </c>
      <c r="F4271">
        <v>1110489641</v>
      </c>
      <c r="G4271" t="s">
        <v>4167</v>
      </c>
      <c r="H4271">
        <v>200055094</v>
      </c>
      <c r="I4271">
        <v>202632</v>
      </c>
      <c r="J4271">
        <v>1110489641</v>
      </c>
      <c r="K4271" t="s">
        <v>33</v>
      </c>
      <c r="L4271" t="s">
        <v>119</v>
      </c>
      <c r="M4271" t="s">
        <v>24</v>
      </c>
      <c r="N4271" t="s">
        <v>35</v>
      </c>
      <c r="O4271" t="s">
        <v>26</v>
      </c>
      <c r="P4271" t="s">
        <v>27</v>
      </c>
      <c r="Q4271" t="s">
        <v>28</v>
      </c>
      <c r="R4271" t="s">
        <v>29</v>
      </c>
      <c r="S4271" t="s">
        <v>793</v>
      </c>
      <c r="T4271">
        <f>_xlfn.XLOOKUP(X4271,Hoja2!D:D,Hoja2!A:A)</f>
        <v>39658730</v>
      </c>
      <c r="U4271" t="str">
        <f>_xlfn.XLOOKUP(X4271,Hoja2!D:D,Hoja2!B:B)</f>
        <v>MARSHIA MILENA JIMéNEZ GóMEZ</v>
      </c>
      <c r="V4271" t="str">
        <f>_xlfn.XLOOKUP(X4271,Hoja2!D:D,Hoja2!C:C)</f>
        <v>PREGRADO</v>
      </c>
      <c r="W4271" s="9">
        <f>IF(V4271="pregrado",31,
IF(V4271="posgrados",31,
IF(V4271="rEINTEGROS",7,
IF(V4271="BIT",90,
IF(V4271="OP GRADO - INGLÉS",17,"")))))</f>
        <v>31</v>
      </c>
      <c r="X4271" t="s">
        <v>4003</v>
      </c>
    </row>
    <row r="4272" spans="1:24" ht="15" x14ac:dyDescent="0.35">
      <c r="A4272" s="4">
        <v>46097.464502314811</v>
      </c>
      <c r="B4272">
        <v>20128616</v>
      </c>
      <c r="C4272" s="6" t="s">
        <v>19</v>
      </c>
      <c r="D4272">
        <v>612294</v>
      </c>
      <c r="E4272" t="s">
        <v>20</v>
      </c>
      <c r="F4272">
        <v>51945154</v>
      </c>
      <c r="G4272" t="s">
        <v>3921</v>
      </c>
      <c r="H4272">
        <v>100248657</v>
      </c>
      <c r="I4272">
        <v>202632</v>
      </c>
      <c r="J4272">
        <v>51945154</v>
      </c>
      <c r="K4272" t="s">
        <v>23</v>
      </c>
      <c r="L4272" t="s">
        <v>3922</v>
      </c>
      <c r="M4272" t="s">
        <v>24</v>
      </c>
      <c r="N4272" t="s">
        <v>35</v>
      </c>
      <c r="O4272" t="s">
        <v>26</v>
      </c>
      <c r="P4272" t="s">
        <v>27</v>
      </c>
      <c r="Q4272" t="s">
        <v>28</v>
      </c>
      <c r="R4272" t="s">
        <v>29</v>
      </c>
      <c r="S4272" t="s">
        <v>793</v>
      </c>
      <c r="T4272">
        <v>1000350862</v>
      </c>
      <c r="U4272" t="s">
        <v>3963</v>
      </c>
      <c r="V4272" t="s">
        <v>3934</v>
      </c>
      <c r="W4272" s="9">
        <f>IF(V4272="pregrado",31,
IF(V4272="posgrados",31,
IF(V4272="rEINTEGROS",7,
IF(V4272="BIT",90,
IF(V4272="OP GRADO - INGLÉS",17,"")))))</f>
        <v>31</v>
      </c>
      <c r="X4272" t="s">
        <v>4071</v>
      </c>
    </row>
    <row r="4273" spans="1:24" ht="15" x14ac:dyDescent="0.35">
      <c r="A4273" s="4">
        <v>46093.659085648149</v>
      </c>
      <c r="B4273">
        <v>20128439</v>
      </c>
      <c r="C4273" s="6" t="s">
        <v>19</v>
      </c>
      <c r="D4273">
        <v>612297</v>
      </c>
      <c r="E4273" t="s">
        <v>20</v>
      </c>
      <c r="F4273">
        <v>1071302321</v>
      </c>
      <c r="G4273" t="s">
        <v>3912</v>
      </c>
      <c r="H4273">
        <v>100248661</v>
      </c>
      <c r="I4273">
        <v>202632</v>
      </c>
      <c r="J4273">
        <v>1071302321</v>
      </c>
      <c r="K4273" t="s">
        <v>33</v>
      </c>
      <c r="L4273" t="s">
        <v>101</v>
      </c>
      <c r="M4273" t="s">
        <v>24</v>
      </c>
      <c r="N4273" t="s">
        <v>25</v>
      </c>
      <c r="O4273" t="s">
        <v>26</v>
      </c>
      <c r="P4273" t="s">
        <v>27</v>
      </c>
      <c r="Q4273" t="s">
        <v>28</v>
      </c>
      <c r="R4273" t="s">
        <v>29</v>
      </c>
      <c r="S4273" t="s">
        <v>793</v>
      </c>
      <c r="T4273">
        <v>1023974716</v>
      </c>
      <c r="U4273" t="s">
        <v>3963</v>
      </c>
      <c r="V4273" t="s">
        <v>3934</v>
      </c>
      <c r="W4273" s="9">
        <f>IF(V4273="pregrado",31,
IF(V4273="posgrados",31,
IF(V4273="rEINTEGROS",7,
IF(V4273="BIT",90,
IF(V4273="OP GRADO - INGLÉS",17,"")))))</f>
        <v>31</v>
      </c>
      <c r="X4273" t="s">
        <v>4016</v>
      </c>
    </row>
    <row r="4274" spans="1:24" ht="15" x14ac:dyDescent="0.35">
      <c r="A4274" s="4">
        <v>46092.686180555553</v>
      </c>
      <c r="B4274">
        <v>20128325</v>
      </c>
      <c r="C4274" s="6" t="s">
        <v>19</v>
      </c>
      <c r="D4274">
        <v>612299</v>
      </c>
      <c r="E4274" t="s">
        <v>20</v>
      </c>
      <c r="F4274">
        <v>1088306815</v>
      </c>
      <c r="G4274" t="s">
        <v>3898</v>
      </c>
      <c r="H4274">
        <v>100248662</v>
      </c>
      <c r="I4274">
        <v>202632</v>
      </c>
      <c r="J4274">
        <v>1088306815</v>
      </c>
      <c r="K4274" t="s">
        <v>33</v>
      </c>
      <c r="L4274" t="s">
        <v>207</v>
      </c>
      <c r="M4274" t="s">
        <v>24</v>
      </c>
      <c r="N4274" t="s">
        <v>25</v>
      </c>
      <c r="O4274" t="s">
        <v>26</v>
      </c>
      <c r="P4274" t="s">
        <v>27</v>
      </c>
      <c r="Q4274" t="s">
        <v>28</v>
      </c>
      <c r="R4274" t="s">
        <v>29</v>
      </c>
      <c r="S4274" t="s">
        <v>793</v>
      </c>
      <c r="T4274">
        <v>1002500634</v>
      </c>
      <c r="U4274" t="s">
        <v>3986</v>
      </c>
      <c r="V4274" t="s">
        <v>3934</v>
      </c>
      <c r="W4274" s="9">
        <f>IF(V4274="pregrado",31,
IF(V4274="posgrados",31,
IF(V4274="rEINTEGROS",7,
IF(V4274="BIT",90,
IF(V4274="OP GRADO - INGLÉS",17,"")))))</f>
        <v>31</v>
      </c>
      <c r="X4274" t="s">
        <v>4026</v>
      </c>
    </row>
    <row r="4275" spans="1:24" x14ac:dyDescent="0.3">
      <c r="A4275" s="4">
        <v>46100</v>
      </c>
      <c r="B4275">
        <v>20129040</v>
      </c>
      <c r="C4275" t="s">
        <v>19</v>
      </c>
      <c r="D4275">
        <v>612302</v>
      </c>
      <c r="E4275" t="s">
        <v>20</v>
      </c>
      <c r="F4275">
        <v>1047499173</v>
      </c>
      <c r="G4275" t="s">
        <v>4191</v>
      </c>
      <c r="H4275">
        <v>100248664</v>
      </c>
      <c r="I4275">
        <v>202632</v>
      </c>
      <c r="J4275">
        <v>1047499173</v>
      </c>
      <c r="K4275" t="s">
        <v>33</v>
      </c>
      <c r="L4275" t="s">
        <v>207</v>
      </c>
      <c r="M4275" t="s">
        <v>24</v>
      </c>
      <c r="N4275" t="s">
        <v>25</v>
      </c>
      <c r="O4275" t="s">
        <v>26</v>
      </c>
      <c r="P4275" t="s">
        <v>27</v>
      </c>
      <c r="Q4275" t="s">
        <v>28</v>
      </c>
      <c r="R4275" t="s">
        <v>29</v>
      </c>
      <c r="S4275" t="s">
        <v>793</v>
      </c>
      <c r="T4275">
        <f>_xlfn.XLOOKUP(X4275,Hoja2!D:D,Hoja2!A:A)</f>
        <v>1023000285</v>
      </c>
      <c r="U4275" t="str">
        <f>_xlfn.XLOOKUP(X4275,Hoja2!D:D,Hoja2!B:B)</f>
        <v>Catalina Pacheco Burgos</v>
      </c>
      <c r="V4275" t="str">
        <f>_xlfn.XLOOKUP(X4275,Hoja2!D:D,Hoja2!C:C)</f>
        <v>PREGRADO</v>
      </c>
      <c r="W4275" s="9">
        <f>IF(V4275="pregrado",31,
IF(V4275="posgrados",31,
IF(V4275="rEINTEGROS",7,
IF(V4275="BIT",90,
IF(V4275="OP GRADO - INGLÉS",17,"")))))</f>
        <v>31</v>
      </c>
      <c r="X4275" t="s">
        <v>4926</v>
      </c>
    </row>
    <row r="4276" spans="1:24" ht="15" x14ac:dyDescent="0.35">
      <c r="A4276" s="4">
        <v>46093.402407407404</v>
      </c>
      <c r="B4276">
        <v>20128365</v>
      </c>
      <c r="C4276" s="6" t="s">
        <v>19</v>
      </c>
      <c r="D4276">
        <v>612309</v>
      </c>
      <c r="E4276" t="s">
        <v>20</v>
      </c>
      <c r="F4276">
        <v>32207088</v>
      </c>
      <c r="G4276" t="s">
        <v>3904</v>
      </c>
      <c r="H4276">
        <v>100117075</v>
      </c>
      <c r="I4276">
        <v>202632</v>
      </c>
      <c r="J4276">
        <v>32207088</v>
      </c>
      <c r="K4276" t="s">
        <v>33</v>
      </c>
      <c r="L4276" t="s">
        <v>119</v>
      </c>
      <c r="M4276" t="s">
        <v>24</v>
      </c>
      <c r="N4276" t="s">
        <v>35</v>
      </c>
      <c r="O4276" t="s">
        <v>26</v>
      </c>
      <c r="P4276" t="s">
        <v>27</v>
      </c>
      <c r="Q4276" t="s">
        <v>28</v>
      </c>
      <c r="R4276" t="s">
        <v>29</v>
      </c>
      <c r="S4276" t="s">
        <v>793</v>
      </c>
      <c r="T4276">
        <v>1000251314</v>
      </c>
      <c r="U4276" t="s">
        <v>3963</v>
      </c>
      <c r="V4276" t="s">
        <v>3934</v>
      </c>
      <c r="W4276" s="9">
        <f>IF(V4276="pregrado",31,
IF(V4276="posgrados",31,
IF(V4276="rEINTEGROS",7,
IF(V4276="BIT",90,
IF(V4276="OP GRADO - INGLÉS",17,"")))))</f>
        <v>31</v>
      </c>
      <c r="X4276" t="s">
        <v>4024</v>
      </c>
    </row>
    <row r="4277" spans="1:24" ht="15" x14ac:dyDescent="0.35">
      <c r="A4277" s="4">
        <v>46093.420740740738</v>
      </c>
      <c r="B4277">
        <v>20128367</v>
      </c>
      <c r="C4277" s="6" t="s">
        <v>19</v>
      </c>
      <c r="D4277">
        <v>612328</v>
      </c>
      <c r="E4277" t="s">
        <v>20</v>
      </c>
      <c r="F4277">
        <v>1007795041</v>
      </c>
      <c r="G4277" t="s">
        <v>3905</v>
      </c>
      <c r="H4277">
        <v>100248677</v>
      </c>
      <c r="I4277">
        <v>202632</v>
      </c>
      <c r="J4277">
        <v>1007795041</v>
      </c>
      <c r="K4277" t="s">
        <v>33</v>
      </c>
      <c r="L4277" t="s">
        <v>127</v>
      </c>
      <c r="M4277" t="s">
        <v>24</v>
      </c>
      <c r="N4277" t="s">
        <v>25</v>
      </c>
      <c r="O4277" t="s">
        <v>26</v>
      </c>
      <c r="P4277" t="s">
        <v>27</v>
      </c>
      <c r="Q4277" t="s">
        <v>28</v>
      </c>
      <c r="R4277" t="s">
        <v>29</v>
      </c>
      <c r="S4277" t="s">
        <v>793</v>
      </c>
      <c r="T4277">
        <v>1007473661</v>
      </c>
      <c r="U4277" t="s">
        <v>3933</v>
      </c>
      <c r="V4277" t="s">
        <v>3934</v>
      </c>
      <c r="W4277" s="9">
        <f>IF(V4277="pregrado",31,
IF(V4277="posgrados",31,
IF(V4277="rEINTEGROS",7,
IF(V4277="BIT",90,
IF(V4277="OP GRADO - INGLÉS",17,"")))))</f>
        <v>31</v>
      </c>
      <c r="X4277" t="s">
        <v>4058</v>
      </c>
    </row>
    <row r="4278" spans="1:24" ht="15" x14ac:dyDescent="0.35">
      <c r="A4278" s="4">
        <v>46093.448101851849</v>
      </c>
      <c r="B4278">
        <v>20128376</v>
      </c>
      <c r="C4278" s="6" t="s">
        <v>19</v>
      </c>
      <c r="D4278">
        <v>612350</v>
      </c>
      <c r="E4278" t="s">
        <v>20</v>
      </c>
      <c r="F4278">
        <v>1098618154</v>
      </c>
      <c r="G4278" t="s">
        <v>3907</v>
      </c>
      <c r="H4278">
        <v>100044600</v>
      </c>
      <c r="I4278">
        <v>202632</v>
      </c>
      <c r="J4278">
        <v>1192813856</v>
      </c>
      <c r="K4278" t="s">
        <v>23</v>
      </c>
      <c r="L4278" t="s">
        <v>207</v>
      </c>
      <c r="M4278" t="s">
        <v>24</v>
      </c>
      <c r="N4278" t="s">
        <v>35</v>
      </c>
      <c r="O4278" t="s">
        <v>26</v>
      </c>
      <c r="P4278" t="s">
        <v>27</v>
      </c>
      <c r="Q4278" t="s">
        <v>28</v>
      </c>
      <c r="R4278" t="s">
        <v>29</v>
      </c>
      <c r="S4278" t="s">
        <v>793</v>
      </c>
      <c r="T4278">
        <v>80021358</v>
      </c>
      <c r="U4278" t="s">
        <v>3986</v>
      </c>
      <c r="V4278" t="s">
        <v>3934</v>
      </c>
      <c r="W4278" s="9">
        <f>IF(V4278="pregrado",31,
IF(V4278="posgrados",31,
IF(V4278="rEINTEGROS",7,
IF(V4278="BIT",90,
IF(V4278="OP GRADO - INGLÉS",17,"")))))</f>
        <v>31</v>
      </c>
      <c r="X4278" t="s">
        <v>3995</v>
      </c>
    </row>
    <row r="4279" spans="1:24" x14ac:dyDescent="0.3">
      <c r="A4279" s="4">
        <v>46100</v>
      </c>
      <c r="B4279">
        <v>20128986</v>
      </c>
      <c r="C4279" t="s">
        <v>19</v>
      </c>
      <c r="D4279">
        <v>612353</v>
      </c>
      <c r="E4279" t="s">
        <v>20</v>
      </c>
      <c r="F4279">
        <v>1077722422</v>
      </c>
      <c r="G4279" t="s">
        <v>4180</v>
      </c>
      <c r="H4279">
        <v>100248698</v>
      </c>
      <c r="I4279">
        <v>202632</v>
      </c>
      <c r="J4279">
        <v>1077722422</v>
      </c>
      <c r="K4279" t="s">
        <v>33</v>
      </c>
      <c r="L4279" t="s">
        <v>90</v>
      </c>
      <c r="M4279" t="s">
        <v>24</v>
      </c>
      <c r="N4279" t="s">
        <v>25</v>
      </c>
      <c r="O4279" t="s">
        <v>26</v>
      </c>
      <c r="P4279" t="s">
        <v>27</v>
      </c>
      <c r="Q4279" t="s">
        <v>28</v>
      </c>
      <c r="R4279" t="s">
        <v>29</v>
      </c>
      <c r="S4279" t="s">
        <v>793</v>
      </c>
      <c r="T4279">
        <f>_xlfn.XLOOKUP(X4279,Hoja2!D:D,Hoja2!A:A)</f>
        <v>10306009131</v>
      </c>
      <c r="U4279" t="str">
        <f>_xlfn.XLOOKUP(X4279,Hoja2!D:D,Hoja2!B:B)</f>
        <v>PAOLA ANDREA CALDERON CETINA</v>
      </c>
      <c r="V4279" t="str">
        <f>_xlfn.XLOOKUP(X4279,Hoja2!D:D,Hoja2!C:C)</f>
        <v>PREGRADO</v>
      </c>
      <c r="W4279" s="9">
        <f>IF(V4279="pregrado",31,
IF(V4279="posgrados",31,
IF(V4279="rEINTEGROS",7,
IF(V4279="BIT",90,
IF(V4279="OP GRADO - INGLÉS",17,"")))))</f>
        <v>31</v>
      </c>
      <c r="X4279" t="s">
        <v>3978</v>
      </c>
    </row>
    <row r="4280" spans="1:24" x14ac:dyDescent="0.3">
      <c r="A4280" s="4">
        <v>46112</v>
      </c>
      <c r="B4280">
        <v>20129959</v>
      </c>
      <c r="C4280" t="s">
        <v>19</v>
      </c>
      <c r="D4280">
        <v>612368</v>
      </c>
      <c r="E4280" t="s">
        <v>20</v>
      </c>
      <c r="F4280">
        <v>79399254</v>
      </c>
      <c r="G4280" t="s">
        <v>4374</v>
      </c>
      <c r="H4280">
        <v>100232174</v>
      </c>
      <c r="I4280">
        <v>202612</v>
      </c>
      <c r="J4280">
        <v>1070326110</v>
      </c>
      <c r="K4280" t="s">
        <v>23</v>
      </c>
      <c r="L4280" t="s">
        <v>204</v>
      </c>
      <c r="M4280" t="s">
        <v>24</v>
      </c>
      <c r="N4280" t="s">
        <v>35</v>
      </c>
      <c r="O4280" t="s">
        <v>26</v>
      </c>
      <c r="P4280" t="s">
        <v>27</v>
      </c>
      <c r="Q4280" t="s">
        <v>28</v>
      </c>
      <c r="R4280" t="s">
        <v>29</v>
      </c>
      <c r="S4280" t="s">
        <v>793</v>
      </c>
      <c r="T4280">
        <f>_xlfn.XLOOKUP(X4280,Hoja2!D:D,Hoja2!A:A)</f>
        <v>53178431</v>
      </c>
      <c r="U4280" t="str">
        <f>_xlfn.XLOOKUP(X4280,Hoja2!D:D,Hoja2!B:B)</f>
        <v>HEIDY LORENA PRIETO AHUMADA</v>
      </c>
      <c r="V4280" t="str">
        <f>_xlfn.XLOOKUP(X4280,Hoja2!D:D,Hoja2!C:C)</f>
        <v>PREGRADO</v>
      </c>
      <c r="W4280" s="9">
        <f>IF(V4280="pregrado",31,
IF(V4280="posgrados",31,
IF(V4280="rEINTEGROS",7,
IF(V4280="BIT",90,
IF(V4280="OP GRADO - INGLÉS",17,"")))))</f>
        <v>31</v>
      </c>
      <c r="X4280" t="s">
        <v>3949</v>
      </c>
    </row>
    <row r="4281" spans="1:24" x14ac:dyDescent="0.3">
      <c r="A4281" s="4">
        <v>46129</v>
      </c>
      <c r="B4281">
        <v>20131549</v>
      </c>
      <c r="C4281" t="s">
        <v>19</v>
      </c>
      <c r="D4281">
        <v>612387</v>
      </c>
      <c r="E4281" t="s">
        <v>20</v>
      </c>
      <c r="F4281">
        <v>1000574567</v>
      </c>
      <c r="G4281" t="s">
        <v>4692</v>
      </c>
      <c r="H4281">
        <v>100239843</v>
      </c>
      <c r="I4281">
        <v>202632</v>
      </c>
      <c r="J4281">
        <v>1000574567</v>
      </c>
      <c r="K4281" t="s">
        <v>33</v>
      </c>
      <c r="L4281" t="s">
        <v>90</v>
      </c>
      <c r="M4281" t="s">
        <v>24</v>
      </c>
      <c r="N4281" t="s">
        <v>35</v>
      </c>
      <c r="O4281" t="s">
        <v>26</v>
      </c>
      <c r="P4281" t="s">
        <v>27</v>
      </c>
      <c r="Q4281" t="s">
        <v>28</v>
      </c>
      <c r="R4281" t="s">
        <v>29</v>
      </c>
      <c r="S4281" t="s">
        <v>793</v>
      </c>
      <c r="T4281">
        <f>_xlfn.XLOOKUP(X4281,Hoja2!D:D,Hoja2!A:A)</f>
        <v>1023370559</v>
      </c>
      <c r="U4281" t="str">
        <f>_xlfn.XLOOKUP(X4281,Hoja2!D:D,Hoja2!B:B)</f>
        <v>PAOLA ANDREA CALDERON CETINA</v>
      </c>
      <c r="V4281" t="str">
        <f>_xlfn.XLOOKUP(X4281,Hoja2!D:D,Hoja2!C:C)</f>
        <v>PREGRADO</v>
      </c>
      <c r="W4281" s="9">
        <f>IF(V4281="pregrado",31,
IF(V4281="posgrados",31,
IF(V4281="rEINTEGROS",7,
IF(V4281="BIT",90,
IF(V4281="OP GRADO - INGLÉS",17,"")))))</f>
        <v>31</v>
      </c>
      <c r="X4281" t="s">
        <v>4017</v>
      </c>
    </row>
    <row r="4282" spans="1:24" x14ac:dyDescent="0.3">
      <c r="A4282" s="4">
        <v>46095</v>
      </c>
      <c r="B4282">
        <v>20128577</v>
      </c>
      <c r="C4282" t="s">
        <v>19</v>
      </c>
      <c r="D4282">
        <v>612396</v>
      </c>
      <c r="E4282" t="s">
        <v>20</v>
      </c>
      <c r="F4282">
        <v>1082964402</v>
      </c>
      <c r="G4282" t="s">
        <v>4139</v>
      </c>
      <c r="H4282">
        <v>100248736</v>
      </c>
      <c r="I4282">
        <v>202632</v>
      </c>
      <c r="J4282">
        <v>1082964402</v>
      </c>
      <c r="K4282" t="s">
        <v>23</v>
      </c>
      <c r="L4282" t="s">
        <v>240</v>
      </c>
      <c r="M4282" t="s">
        <v>24</v>
      </c>
      <c r="N4282" t="s">
        <v>35</v>
      </c>
      <c r="O4282" t="s">
        <v>26</v>
      </c>
      <c r="P4282" t="s">
        <v>27</v>
      </c>
      <c r="Q4282" t="s">
        <v>28</v>
      </c>
      <c r="R4282" t="s">
        <v>29</v>
      </c>
      <c r="S4282" t="s">
        <v>793</v>
      </c>
      <c r="T4282">
        <f>_xlfn.XLOOKUP(X4282,Hoja2!D:D,Hoja2!A:A)</f>
        <v>1030570122</v>
      </c>
      <c r="U4282" t="str">
        <f>_xlfn.XLOOKUP(X4282,Hoja2!D:D,Hoja2!B:B)</f>
        <v>NELSON JAVIER MORERA RINCON</v>
      </c>
      <c r="V4282" t="str">
        <f>_xlfn.XLOOKUP(X4282,Hoja2!D:D,Hoja2!C:C)</f>
        <v>PREGRADO</v>
      </c>
      <c r="W4282" s="9">
        <f>IF(V4282="pregrado",31,
IF(V4282="posgrados",31,
IF(V4282="rEINTEGROS",7,
IF(V4282="BIT",90,
IF(V4282="OP GRADO - INGLÉS",17,"")))))</f>
        <v>31</v>
      </c>
      <c r="X4282" t="s">
        <v>4015</v>
      </c>
    </row>
    <row r="4283" spans="1:24" x14ac:dyDescent="0.3">
      <c r="A4283" s="4">
        <v>46105</v>
      </c>
      <c r="B4283">
        <v>20129284</v>
      </c>
      <c r="C4283" t="s">
        <v>19</v>
      </c>
      <c r="D4283">
        <v>612433</v>
      </c>
      <c r="E4283" t="s">
        <v>20</v>
      </c>
      <c r="F4283">
        <v>1026157109</v>
      </c>
      <c r="G4283" t="s">
        <v>4234</v>
      </c>
      <c r="H4283">
        <v>100248757</v>
      </c>
      <c r="I4283">
        <v>202632</v>
      </c>
      <c r="J4283">
        <v>1026157109</v>
      </c>
      <c r="K4283" t="s">
        <v>33</v>
      </c>
      <c r="L4283" t="s">
        <v>127</v>
      </c>
      <c r="M4283" t="s">
        <v>24</v>
      </c>
      <c r="N4283" t="s">
        <v>25</v>
      </c>
      <c r="O4283" t="s">
        <v>26</v>
      </c>
      <c r="P4283" t="s">
        <v>27</v>
      </c>
      <c r="Q4283" t="s">
        <v>28</v>
      </c>
      <c r="R4283" t="s">
        <v>29</v>
      </c>
      <c r="S4283" t="s">
        <v>793</v>
      </c>
      <c r="T4283">
        <f>_xlfn.XLOOKUP(X4283,Hoja2!D:D,Hoja2!A:A)</f>
        <v>1015441103</v>
      </c>
      <c r="U4283" t="str">
        <f>_xlfn.XLOOKUP(X4283,Hoja2!D:D,Hoja2!B:B)</f>
        <v>PAOLA ANDREA CALDERON CETINA</v>
      </c>
      <c r="V4283" t="str">
        <f>_xlfn.XLOOKUP(X4283,Hoja2!D:D,Hoja2!C:C)</f>
        <v>PREGRADO</v>
      </c>
      <c r="W4283" s="9">
        <f>IF(V4283="pregrado",31,
IF(V4283="posgrados",31,
IF(V4283="rEINTEGROS",7,
IF(V4283="BIT",90,
IF(V4283="OP GRADO - INGLÉS",17,"")))))</f>
        <v>31</v>
      </c>
      <c r="X4283" t="s">
        <v>3961</v>
      </c>
    </row>
    <row r="4284" spans="1:24" ht="15" x14ac:dyDescent="0.35">
      <c r="A4284" s="4">
        <v>46094.41851851852</v>
      </c>
      <c r="B4284">
        <v>20128486</v>
      </c>
      <c r="C4284" s="6" t="s">
        <v>19</v>
      </c>
      <c r="D4284">
        <v>612438</v>
      </c>
      <c r="E4284" t="s">
        <v>20</v>
      </c>
      <c r="F4284">
        <v>1120382879</v>
      </c>
      <c r="G4284" t="s">
        <v>3915</v>
      </c>
      <c r="H4284">
        <v>100248734</v>
      </c>
      <c r="I4284">
        <v>202632</v>
      </c>
      <c r="J4284">
        <v>1120382879</v>
      </c>
      <c r="K4284" t="s">
        <v>33</v>
      </c>
      <c r="L4284" t="s">
        <v>101</v>
      </c>
      <c r="M4284" t="s">
        <v>24</v>
      </c>
      <c r="N4284" t="s">
        <v>35</v>
      </c>
      <c r="O4284" t="s">
        <v>26</v>
      </c>
      <c r="P4284" t="s">
        <v>27</v>
      </c>
      <c r="Q4284" t="s">
        <v>28</v>
      </c>
      <c r="R4284" t="s">
        <v>29</v>
      </c>
      <c r="S4284" t="s">
        <v>793</v>
      </c>
      <c r="T4284">
        <v>1023367706</v>
      </c>
      <c r="U4284" t="s">
        <v>3963</v>
      </c>
      <c r="V4284" t="s">
        <v>3934</v>
      </c>
      <c r="W4284" s="9">
        <f>IF(V4284="pregrado",31,
IF(V4284="posgrados",31,
IF(V4284="rEINTEGROS",7,
IF(V4284="BIT",90,
IF(V4284="OP GRADO - INGLÉS",17,"")))))</f>
        <v>31</v>
      </c>
      <c r="X4284" t="s">
        <v>4039</v>
      </c>
    </row>
    <row r="4285" spans="1:24" x14ac:dyDescent="0.3">
      <c r="A4285" s="4">
        <v>46097</v>
      </c>
      <c r="B4285">
        <v>20128679</v>
      </c>
      <c r="C4285" t="s">
        <v>19</v>
      </c>
      <c r="D4285">
        <v>612441</v>
      </c>
      <c r="E4285" t="s">
        <v>20</v>
      </c>
      <c r="F4285">
        <v>20830326</v>
      </c>
      <c r="G4285" t="s">
        <v>4148</v>
      </c>
      <c r="H4285">
        <v>100248763</v>
      </c>
      <c r="I4285">
        <v>202612</v>
      </c>
      <c r="J4285">
        <v>20830326</v>
      </c>
      <c r="K4285" t="s">
        <v>23</v>
      </c>
      <c r="L4285" t="s">
        <v>221</v>
      </c>
      <c r="M4285" t="s">
        <v>24</v>
      </c>
      <c r="N4285" t="s">
        <v>35</v>
      </c>
      <c r="O4285" t="s">
        <v>26</v>
      </c>
      <c r="P4285" t="s">
        <v>27</v>
      </c>
      <c r="Q4285" t="s">
        <v>28</v>
      </c>
      <c r="R4285" t="s">
        <v>29</v>
      </c>
      <c r="S4285" t="s">
        <v>793</v>
      </c>
      <c r="T4285">
        <f>_xlfn.XLOOKUP(X4285,Hoja2!D:D,Hoja2!A:A)</f>
        <v>53071696</v>
      </c>
      <c r="U4285" t="str">
        <f>_xlfn.XLOOKUP(X4285,Hoja2!D:D,Hoja2!B:B)</f>
        <v>NELSON JAVIER MORERA RINCON</v>
      </c>
      <c r="V4285" t="str">
        <f>_xlfn.XLOOKUP(X4285,Hoja2!D:D,Hoja2!C:C)</f>
        <v>PREGRADO</v>
      </c>
      <c r="W4285" s="9">
        <f>IF(V4285="pregrado",31,
IF(V4285="posgrados",31,
IF(V4285="rEINTEGROS",7,
IF(V4285="BIT",90,
IF(V4285="OP GRADO - INGLÉS",17,"")))))</f>
        <v>31</v>
      </c>
      <c r="X4285" t="s">
        <v>4012</v>
      </c>
    </row>
    <row r="4286" spans="1:24" ht="15" x14ac:dyDescent="0.35">
      <c r="A4286" s="4">
        <v>46097.501122685186</v>
      </c>
      <c r="B4286">
        <v>20128630</v>
      </c>
      <c r="C4286" s="6" t="s">
        <v>19</v>
      </c>
      <c r="D4286">
        <v>612452</v>
      </c>
      <c r="E4286" t="s">
        <v>20</v>
      </c>
      <c r="F4286">
        <v>1007852262</v>
      </c>
      <c r="G4286" t="s">
        <v>3923</v>
      </c>
      <c r="H4286">
        <v>100248766</v>
      </c>
      <c r="I4286">
        <v>202612</v>
      </c>
      <c r="J4286">
        <v>69022696</v>
      </c>
      <c r="K4286" t="s">
        <v>33</v>
      </c>
      <c r="L4286" t="s">
        <v>204</v>
      </c>
      <c r="M4286" t="s">
        <v>24</v>
      </c>
      <c r="N4286" t="s">
        <v>25</v>
      </c>
      <c r="O4286" t="s">
        <v>26</v>
      </c>
      <c r="P4286" t="s">
        <v>27</v>
      </c>
      <c r="Q4286" t="s">
        <v>28</v>
      </c>
      <c r="R4286" t="s">
        <v>29</v>
      </c>
      <c r="S4286" t="s">
        <v>793</v>
      </c>
      <c r="T4286">
        <v>1020730718</v>
      </c>
      <c r="U4286" t="s">
        <v>3941</v>
      </c>
      <c r="V4286" t="s">
        <v>3934</v>
      </c>
      <c r="W4286" s="9">
        <f>IF(V4286="pregrado",31,
IF(V4286="posgrados",31,
IF(V4286="rEINTEGROS",7,
IF(V4286="BIT",90,
IF(V4286="OP GRADO - INGLÉS",17,"")))))</f>
        <v>31</v>
      </c>
      <c r="X4286" t="s">
        <v>3952</v>
      </c>
    </row>
    <row r="4287" spans="1:24" x14ac:dyDescent="0.3">
      <c r="A4287" s="4">
        <v>46099</v>
      </c>
      <c r="B4287">
        <v>20128869</v>
      </c>
      <c r="C4287" t="s">
        <v>19</v>
      </c>
      <c r="D4287">
        <v>612453</v>
      </c>
      <c r="E4287" t="s">
        <v>20</v>
      </c>
      <c r="F4287">
        <v>1045714707</v>
      </c>
      <c r="G4287" t="s">
        <v>4169</v>
      </c>
      <c r="H4287">
        <v>100248767</v>
      </c>
      <c r="I4287">
        <v>202632</v>
      </c>
      <c r="J4287">
        <v>1104374385</v>
      </c>
      <c r="K4287" t="s">
        <v>33</v>
      </c>
      <c r="L4287" t="s">
        <v>101</v>
      </c>
      <c r="M4287" t="s">
        <v>24</v>
      </c>
      <c r="N4287" t="s">
        <v>35</v>
      </c>
      <c r="O4287" t="s">
        <v>26</v>
      </c>
      <c r="P4287" t="s">
        <v>27</v>
      </c>
      <c r="Q4287" t="s">
        <v>28</v>
      </c>
      <c r="R4287" t="s">
        <v>29</v>
      </c>
      <c r="S4287" t="s">
        <v>793</v>
      </c>
      <c r="T4287">
        <f>_xlfn.XLOOKUP(X4287,Hoja2!D:D,Hoja2!A:A)</f>
        <v>1023975276</v>
      </c>
      <c r="U4287" t="str">
        <f>_xlfn.XLOOKUP(X4287,Hoja2!D:D,Hoja2!B:B)</f>
        <v>MARSHIA MILENA JIMéNEZ GóMEZ</v>
      </c>
      <c r="V4287" t="str">
        <f>_xlfn.XLOOKUP(X4287,Hoja2!D:D,Hoja2!C:C)</f>
        <v>PREGRADO</v>
      </c>
      <c r="W4287" s="9">
        <f>IF(V4287="pregrado",31,
IF(V4287="posgrados",31,
IF(V4287="rEINTEGROS",7,
IF(V4287="BIT",90,
IF(V4287="OP GRADO - INGLÉS",17,"")))))</f>
        <v>31</v>
      </c>
      <c r="X4287" t="s">
        <v>3962</v>
      </c>
    </row>
    <row r="4288" spans="1:24" x14ac:dyDescent="0.3">
      <c r="A4288" s="4">
        <v>46140</v>
      </c>
      <c r="B4288">
        <v>20132444</v>
      </c>
      <c r="C4288" t="s">
        <v>19</v>
      </c>
      <c r="D4288">
        <v>612454</v>
      </c>
      <c r="E4288" t="s">
        <v>20</v>
      </c>
      <c r="F4288">
        <v>40178433</v>
      </c>
      <c r="G4288" t="s">
        <v>4883</v>
      </c>
      <c r="H4288">
        <v>100248768</v>
      </c>
      <c r="I4288">
        <v>202612</v>
      </c>
      <c r="J4288">
        <v>1014661921</v>
      </c>
      <c r="K4288" t="s">
        <v>33</v>
      </c>
      <c r="L4288" t="s">
        <v>204</v>
      </c>
      <c r="M4288" t="s">
        <v>24</v>
      </c>
      <c r="N4288" t="s">
        <v>25</v>
      </c>
      <c r="O4288" t="s">
        <v>26</v>
      </c>
      <c r="P4288" t="s">
        <v>27</v>
      </c>
      <c r="Q4288" t="s">
        <v>28</v>
      </c>
      <c r="R4288" t="s">
        <v>29</v>
      </c>
      <c r="S4288" t="s">
        <v>793</v>
      </c>
      <c r="T4288">
        <f>_xlfn.XLOOKUP(X4288,Hoja2!D:D,Hoja2!A:A)</f>
        <v>1020730718</v>
      </c>
      <c r="U4288" t="str">
        <f>_xlfn.XLOOKUP(X4288,Hoja2!D:D,Hoja2!B:B)</f>
        <v>HEIDY LORENA PRIETO AHUMADA</v>
      </c>
      <c r="V4288" t="str">
        <f>_xlfn.XLOOKUP(X4288,Hoja2!D:D,Hoja2!C:C)</f>
        <v>PREGRADO</v>
      </c>
      <c r="W4288" s="9">
        <f>IF(V4288="pregrado",31,
IF(V4288="posgrados",31,
IF(V4288="rEINTEGROS",7,
IF(V4288="BIT",90,
IF(V4288="OP GRADO - INGLÉS",17,"")))))</f>
        <v>31</v>
      </c>
      <c r="X4288" t="s">
        <v>3952</v>
      </c>
    </row>
    <row r="4289" spans="1:24" x14ac:dyDescent="0.3">
      <c r="A4289" s="4">
        <v>46105</v>
      </c>
      <c r="B4289">
        <v>20129258</v>
      </c>
      <c r="C4289" t="s">
        <v>19</v>
      </c>
      <c r="D4289">
        <v>612459</v>
      </c>
      <c r="E4289" t="s">
        <v>20</v>
      </c>
      <c r="F4289">
        <v>1010250738</v>
      </c>
      <c r="G4289" t="s">
        <v>4230</v>
      </c>
      <c r="H4289">
        <v>100247878</v>
      </c>
      <c r="I4289">
        <v>202632</v>
      </c>
      <c r="J4289">
        <v>1010250738</v>
      </c>
      <c r="K4289" t="s">
        <v>83</v>
      </c>
      <c r="L4289" t="s">
        <v>240</v>
      </c>
      <c r="M4289" t="s">
        <v>24</v>
      </c>
      <c r="N4289" t="s">
        <v>35</v>
      </c>
      <c r="O4289" t="s">
        <v>26</v>
      </c>
      <c r="P4289" t="s">
        <v>27</v>
      </c>
      <c r="Q4289" t="s">
        <v>28</v>
      </c>
      <c r="R4289" t="s">
        <v>29</v>
      </c>
      <c r="S4289" t="s">
        <v>793</v>
      </c>
      <c r="T4289">
        <f>_xlfn.XLOOKUP(X4289,Hoja2!D:D,Hoja2!A:A)</f>
        <v>80219471</v>
      </c>
      <c r="U4289" t="str">
        <f>_xlfn.XLOOKUP(X4289,Hoja2!D:D,Hoja2!B:B)</f>
        <v>HEIDY LORENA PRIETO AHUMADA</v>
      </c>
      <c r="V4289" t="str">
        <f>_xlfn.XLOOKUP(X4289,Hoja2!D:D,Hoja2!C:C)</f>
        <v>PREGRADO</v>
      </c>
      <c r="W4289" s="9">
        <f>IF(V4289="pregrado",31,
IF(V4289="posgrados",31,
IF(V4289="rEINTEGROS",7,
IF(V4289="BIT",90,
IF(V4289="OP GRADO - INGLÉS",17,"")))))</f>
        <v>31</v>
      </c>
      <c r="X4289" t="s">
        <v>4030</v>
      </c>
    </row>
    <row r="4290" spans="1:24" ht="15" x14ac:dyDescent="0.35">
      <c r="A4290" s="4">
        <v>46094.696064814816</v>
      </c>
      <c r="B4290">
        <v>20128544</v>
      </c>
      <c r="C4290" s="6" t="s">
        <v>19</v>
      </c>
      <c r="D4290">
        <v>612460</v>
      </c>
      <c r="E4290" t="s">
        <v>20</v>
      </c>
      <c r="F4290">
        <v>1060803213</v>
      </c>
      <c r="G4290" t="s">
        <v>3918</v>
      </c>
      <c r="H4290">
        <v>100248773</v>
      </c>
      <c r="I4290">
        <v>202612</v>
      </c>
      <c r="J4290">
        <v>1067467769</v>
      </c>
      <c r="K4290" t="s">
        <v>23</v>
      </c>
      <c r="L4290" t="s">
        <v>221</v>
      </c>
      <c r="M4290" t="s">
        <v>24</v>
      </c>
      <c r="N4290" t="s">
        <v>35</v>
      </c>
      <c r="O4290" t="s">
        <v>26</v>
      </c>
      <c r="P4290" t="s">
        <v>27</v>
      </c>
      <c r="Q4290" t="s">
        <v>28</v>
      </c>
      <c r="R4290" t="s">
        <v>29</v>
      </c>
      <c r="S4290" t="s">
        <v>793</v>
      </c>
      <c r="T4290">
        <v>1073692626</v>
      </c>
      <c r="U4290" t="s">
        <v>3965</v>
      </c>
      <c r="V4290" t="s">
        <v>3934</v>
      </c>
      <c r="W4290" s="9">
        <f>IF(V4290="pregrado",31,
IF(V4290="posgrados",31,
IF(V4290="rEINTEGROS",7,
IF(V4290="BIT",90,
IF(V4290="OP GRADO - INGLÉS",17,"")))))</f>
        <v>31</v>
      </c>
      <c r="X4290" t="s">
        <v>4014</v>
      </c>
    </row>
    <row r="4291" spans="1:24" ht="15" x14ac:dyDescent="0.35">
      <c r="A4291" s="4">
        <v>46097.372812499998</v>
      </c>
      <c r="B4291">
        <v>20128598</v>
      </c>
      <c r="C4291" s="6" t="s">
        <v>19</v>
      </c>
      <c r="D4291">
        <v>612483</v>
      </c>
      <c r="E4291" t="s">
        <v>20</v>
      </c>
      <c r="F4291">
        <v>1066730277</v>
      </c>
      <c r="G4291" t="s">
        <v>3920</v>
      </c>
      <c r="H4291">
        <v>200085442</v>
      </c>
      <c r="I4291">
        <v>202632</v>
      </c>
      <c r="J4291">
        <v>1066730277</v>
      </c>
      <c r="K4291" t="s">
        <v>23</v>
      </c>
      <c r="L4291" t="s">
        <v>119</v>
      </c>
      <c r="M4291" t="s">
        <v>24</v>
      </c>
      <c r="N4291" t="s">
        <v>35</v>
      </c>
      <c r="O4291" t="s">
        <v>26</v>
      </c>
      <c r="P4291" t="s">
        <v>27</v>
      </c>
      <c r="Q4291" t="s">
        <v>28</v>
      </c>
      <c r="R4291" t="s">
        <v>29</v>
      </c>
      <c r="S4291" t="s">
        <v>793</v>
      </c>
      <c r="T4291">
        <v>39658730</v>
      </c>
      <c r="U4291" t="s">
        <v>3963</v>
      </c>
      <c r="V4291" t="s">
        <v>3934</v>
      </c>
      <c r="W4291" s="9">
        <f>IF(V4291="pregrado",31,
IF(V4291="posgrados",31,
IF(V4291="rEINTEGROS",7,
IF(V4291="BIT",90,
IF(V4291="OP GRADO - INGLÉS",17,"")))))</f>
        <v>31</v>
      </c>
      <c r="X4291" t="s">
        <v>4003</v>
      </c>
    </row>
    <row r="4292" spans="1:24" x14ac:dyDescent="0.3">
      <c r="A4292" s="4">
        <v>46107</v>
      </c>
      <c r="B4292">
        <v>20129553</v>
      </c>
      <c r="C4292" t="s">
        <v>19</v>
      </c>
      <c r="D4292">
        <v>612507</v>
      </c>
      <c r="E4292" t="s">
        <v>20</v>
      </c>
      <c r="F4292">
        <v>1065241093</v>
      </c>
      <c r="G4292" t="s">
        <v>4296</v>
      </c>
      <c r="H4292">
        <v>100248805</v>
      </c>
      <c r="I4292">
        <v>202612</v>
      </c>
      <c r="J4292">
        <v>1065241093</v>
      </c>
      <c r="K4292" t="s">
        <v>33</v>
      </c>
      <c r="L4292" t="s">
        <v>204</v>
      </c>
      <c r="M4292" t="s">
        <v>24</v>
      </c>
      <c r="N4292" t="s">
        <v>35</v>
      </c>
      <c r="O4292" t="s">
        <v>26</v>
      </c>
      <c r="P4292" t="s">
        <v>27</v>
      </c>
      <c r="Q4292" t="s">
        <v>28</v>
      </c>
      <c r="R4292" t="s">
        <v>29</v>
      </c>
      <c r="S4292" t="s">
        <v>793</v>
      </c>
      <c r="T4292">
        <f>_xlfn.XLOOKUP(X4292,Hoja2!D:D,Hoja2!A:A)</f>
        <v>1019115186</v>
      </c>
      <c r="U4292" t="str">
        <f>_xlfn.XLOOKUP(X4292,Hoja2!D:D,Hoja2!B:B)</f>
        <v>HEIDY LORENA PRIETO AHUMADA</v>
      </c>
      <c r="V4292" t="str">
        <f>_xlfn.XLOOKUP(X4292,Hoja2!D:D,Hoja2!C:C)</f>
        <v>PREGRADO</v>
      </c>
      <c r="W4292" s="9">
        <f>IF(V4292="pregrado",31,
IF(V4292="posgrados",31,
IF(V4292="rEINTEGROS",7,
IF(V4292="BIT",90,
IF(V4292="OP GRADO - INGLÉS",17,"")))))</f>
        <v>31</v>
      </c>
      <c r="X4292" t="s">
        <v>4005</v>
      </c>
    </row>
    <row r="4293" spans="1:24" ht="15" x14ac:dyDescent="0.35">
      <c r="A4293" s="4">
        <v>46094.701111111113</v>
      </c>
      <c r="B4293">
        <v>20128547</v>
      </c>
      <c r="C4293" s="6" t="s">
        <v>19</v>
      </c>
      <c r="D4293">
        <v>612525</v>
      </c>
      <c r="E4293" t="s">
        <v>20</v>
      </c>
      <c r="F4293">
        <v>1101018719</v>
      </c>
      <c r="G4293" t="s">
        <v>3919</v>
      </c>
      <c r="H4293">
        <v>100248823</v>
      </c>
      <c r="I4293">
        <v>202632</v>
      </c>
      <c r="J4293">
        <v>1101018719</v>
      </c>
      <c r="K4293" t="s">
        <v>23</v>
      </c>
      <c r="L4293" t="s">
        <v>207</v>
      </c>
      <c r="M4293" t="s">
        <v>24</v>
      </c>
      <c r="N4293" t="s">
        <v>35</v>
      </c>
      <c r="O4293" t="s">
        <v>26</v>
      </c>
      <c r="P4293" t="s">
        <v>27</v>
      </c>
      <c r="Q4293" t="s">
        <v>28</v>
      </c>
      <c r="R4293" t="s">
        <v>29</v>
      </c>
      <c r="S4293" t="s">
        <v>793</v>
      </c>
      <c r="T4293">
        <v>1006459732</v>
      </c>
      <c r="U4293" t="s">
        <v>3986</v>
      </c>
      <c r="V4293" t="s">
        <v>3934</v>
      </c>
      <c r="W4293" s="9">
        <f>IF(V4293="pregrado",31,
IF(V4293="posgrados",31,
IF(V4293="rEINTEGROS",7,
IF(V4293="BIT",90,
IF(V4293="OP GRADO - INGLÉS",17,"")))))</f>
        <v>31</v>
      </c>
      <c r="X4293" t="s">
        <v>4099</v>
      </c>
    </row>
    <row r="4294" spans="1:24" x14ac:dyDescent="0.3">
      <c r="A4294" s="4">
        <v>46122</v>
      </c>
      <c r="B4294">
        <v>20130622</v>
      </c>
      <c r="C4294" t="s">
        <v>19</v>
      </c>
      <c r="D4294">
        <v>612563</v>
      </c>
      <c r="E4294" t="s">
        <v>20</v>
      </c>
      <c r="F4294">
        <v>80402979</v>
      </c>
      <c r="G4294" t="s">
        <v>4491</v>
      </c>
      <c r="H4294">
        <v>100248857</v>
      </c>
      <c r="I4294">
        <v>202612</v>
      </c>
      <c r="J4294">
        <v>1069435022</v>
      </c>
      <c r="K4294" t="s">
        <v>23</v>
      </c>
      <c r="L4294" t="s">
        <v>221</v>
      </c>
      <c r="M4294" t="s">
        <v>24</v>
      </c>
      <c r="N4294" t="s">
        <v>25</v>
      </c>
      <c r="O4294" t="s">
        <v>26</v>
      </c>
      <c r="P4294" t="s">
        <v>27</v>
      </c>
      <c r="Q4294" t="s">
        <v>28</v>
      </c>
      <c r="R4294" t="s">
        <v>29</v>
      </c>
      <c r="S4294" t="s">
        <v>793</v>
      </c>
      <c r="T4294">
        <f>_xlfn.XLOOKUP(X4294,Hoja2!D:D,Hoja2!A:A)</f>
        <v>1030570122</v>
      </c>
      <c r="U4294" t="str">
        <f>_xlfn.XLOOKUP(X4294,Hoja2!D:D,Hoja2!B:B)</f>
        <v>NELSON JAVIER MORERA RINCON</v>
      </c>
      <c r="V4294" t="str">
        <f>_xlfn.XLOOKUP(X4294,Hoja2!D:D,Hoja2!C:C)</f>
        <v>PREGRADO</v>
      </c>
      <c r="W4294" s="9">
        <f>IF(V4294="pregrado",31,
IF(V4294="posgrados",31,
IF(V4294="rEINTEGROS",7,
IF(V4294="BIT",90,
IF(V4294="OP GRADO - INGLÉS",17,"")))))</f>
        <v>31</v>
      </c>
      <c r="X4294" t="s">
        <v>4015</v>
      </c>
    </row>
    <row r="4295" spans="1:24" x14ac:dyDescent="0.3">
      <c r="A4295" s="4">
        <v>46098</v>
      </c>
      <c r="B4295">
        <v>20128815</v>
      </c>
      <c r="C4295" t="s">
        <v>19</v>
      </c>
      <c r="D4295">
        <v>612606</v>
      </c>
      <c r="E4295" t="s">
        <v>20</v>
      </c>
      <c r="F4295">
        <v>72153217</v>
      </c>
      <c r="G4295" t="s">
        <v>4158</v>
      </c>
      <c r="H4295">
        <v>100248914</v>
      </c>
      <c r="I4295">
        <v>202632</v>
      </c>
      <c r="J4295">
        <v>72153217</v>
      </c>
      <c r="K4295" t="s">
        <v>23</v>
      </c>
      <c r="L4295" t="s">
        <v>240</v>
      </c>
      <c r="M4295" t="s">
        <v>24</v>
      </c>
      <c r="N4295" t="s">
        <v>605</v>
      </c>
      <c r="O4295" t="s">
        <v>26</v>
      </c>
      <c r="P4295" t="s">
        <v>27</v>
      </c>
      <c r="Q4295" t="s">
        <v>28</v>
      </c>
      <c r="R4295" t="s">
        <v>29</v>
      </c>
      <c r="S4295" t="s">
        <v>793</v>
      </c>
      <c r="T4295">
        <f>_xlfn.XLOOKUP(X4295,Hoja2!D:D,Hoja2!A:A)</f>
        <v>1015407851</v>
      </c>
      <c r="U4295" t="str">
        <f>_xlfn.XLOOKUP(X4295,Hoja2!D:D,Hoja2!B:B)</f>
        <v>Gina Paola Medina Flórez</v>
      </c>
      <c r="V4295" t="str">
        <f>_xlfn.XLOOKUP(X4295,Hoja2!D:D,Hoja2!C:C)</f>
        <v>PREGRADO</v>
      </c>
      <c r="W4295" s="9">
        <f>IF(V4295="pregrado",31,
IF(V4295="posgrados",31,
IF(V4295="rEINTEGROS",7,
IF(V4295="BIT",90,
IF(V4295="OP GRADO - INGLÉS",17,"")))))</f>
        <v>31</v>
      </c>
      <c r="X4295" t="s">
        <v>4924</v>
      </c>
    </row>
    <row r="4296" spans="1:24" x14ac:dyDescent="0.3">
      <c r="A4296" s="4">
        <v>46097</v>
      </c>
      <c r="B4296">
        <v>20128730</v>
      </c>
      <c r="C4296" t="s">
        <v>19</v>
      </c>
      <c r="D4296">
        <v>612611</v>
      </c>
      <c r="E4296" t="s">
        <v>20</v>
      </c>
      <c r="F4296">
        <v>1000239976</v>
      </c>
      <c r="G4296" t="s">
        <v>4153</v>
      </c>
      <c r="H4296">
        <v>100248917</v>
      </c>
      <c r="I4296">
        <v>202632</v>
      </c>
      <c r="J4296">
        <v>1000239976</v>
      </c>
      <c r="K4296" t="s">
        <v>23</v>
      </c>
      <c r="L4296" t="s">
        <v>207</v>
      </c>
      <c r="M4296" t="s">
        <v>24</v>
      </c>
      <c r="N4296" t="s">
        <v>35</v>
      </c>
      <c r="O4296" t="s">
        <v>26</v>
      </c>
      <c r="P4296" t="s">
        <v>27</v>
      </c>
      <c r="Q4296" t="s">
        <v>28</v>
      </c>
      <c r="R4296" t="s">
        <v>29</v>
      </c>
      <c r="S4296" t="s">
        <v>793</v>
      </c>
      <c r="T4296">
        <f>_xlfn.XLOOKUP(X4296,Hoja2!D:D,Hoja2!A:A)</f>
        <v>1018455773</v>
      </c>
      <c r="U4296" t="str">
        <f>_xlfn.XLOOKUP(X4296,Hoja2!D:D,Hoja2!B:B)</f>
        <v>Catalina Pacheco Burgos</v>
      </c>
      <c r="V4296" t="str">
        <f>_xlfn.XLOOKUP(X4296,Hoja2!D:D,Hoja2!C:C)</f>
        <v>PREGRADO</v>
      </c>
      <c r="W4296" s="9">
        <f>IF(V4296="pregrado",31,
IF(V4296="posgrados",31,
IF(V4296="rEINTEGROS",7,
IF(V4296="BIT",90,
IF(V4296="OP GRADO - INGLÉS",17,"")))))</f>
        <v>31</v>
      </c>
      <c r="X4296" t="s">
        <v>4921</v>
      </c>
    </row>
    <row r="4297" spans="1:24" x14ac:dyDescent="0.3">
      <c r="A4297" s="4">
        <v>46102</v>
      </c>
      <c r="B4297">
        <v>20129181</v>
      </c>
      <c r="C4297" t="s">
        <v>19</v>
      </c>
      <c r="D4297">
        <v>612638</v>
      </c>
      <c r="E4297" t="s">
        <v>20</v>
      </c>
      <c r="F4297">
        <v>1043638612</v>
      </c>
      <c r="G4297" t="s">
        <v>1298</v>
      </c>
      <c r="H4297">
        <v>100239664</v>
      </c>
      <c r="I4297">
        <v>202632</v>
      </c>
      <c r="J4297">
        <v>1043638612</v>
      </c>
      <c r="K4297" t="s">
        <v>23</v>
      </c>
      <c r="L4297" t="s">
        <v>207</v>
      </c>
      <c r="M4297" t="s">
        <v>24</v>
      </c>
      <c r="N4297" t="s">
        <v>35</v>
      </c>
      <c r="O4297" t="s">
        <v>26</v>
      </c>
      <c r="P4297" t="s">
        <v>27</v>
      </c>
      <c r="Q4297" t="s">
        <v>28</v>
      </c>
      <c r="R4297" t="s">
        <v>29</v>
      </c>
      <c r="S4297" t="s">
        <v>793</v>
      </c>
      <c r="T4297">
        <f>_xlfn.XLOOKUP(X4297,Hoja2!D:D,Hoja2!A:A)</f>
        <v>1032394283</v>
      </c>
      <c r="U4297" t="str">
        <f>_xlfn.XLOOKUP(X4297,Hoja2!D:D,Hoja2!B:B)</f>
        <v>HEIDY LORENA PRIETO AHUMADA</v>
      </c>
      <c r="V4297" t="str">
        <f>_xlfn.XLOOKUP(X4297,Hoja2!D:D,Hoja2!C:C)</f>
        <v>PREGRADO</v>
      </c>
      <c r="W4297" s="9">
        <f>IF(V4297="pregrado",31,
IF(V4297="posgrados",31,
IF(V4297="rEINTEGROS",7,
IF(V4297="BIT",90,
IF(V4297="OP GRADO - INGLÉS",17,"")))))</f>
        <v>31</v>
      </c>
      <c r="X4297" t="s">
        <v>4034</v>
      </c>
    </row>
    <row r="4298" spans="1:24" x14ac:dyDescent="0.3">
      <c r="A4298" s="4">
        <v>46097</v>
      </c>
      <c r="B4298">
        <v>20128728</v>
      </c>
      <c r="C4298" t="s">
        <v>19</v>
      </c>
      <c r="D4298">
        <v>612649</v>
      </c>
      <c r="E4298" t="s">
        <v>20</v>
      </c>
      <c r="F4298">
        <v>1002853709</v>
      </c>
      <c r="G4298" t="s">
        <v>4152</v>
      </c>
      <c r="H4298">
        <v>100248946</v>
      </c>
      <c r="I4298">
        <v>202632</v>
      </c>
      <c r="J4298">
        <v>1017258831</v>
      </c>
      <c r="K4298" t="s">
        <v>33</v>
      </c>
      <c r="L4298" t="s">
        <v>127</v>
      </c>
      <c r="M4298" t="s">
        <v>24</v>
      </c>
      <c r="N4298" t="s">
        <v>25</v>
      </c>
      <c r="O4298" t="s">
        <v>26</v>
      </c>
      <c r="P4298" t="s">
        <v>27</v>
      </c>
      <c r="Q4298" t="s">
        <v>28</v>
      </c>
      <c r="R4298" t="s">
        <v>29</v>
      </c>
      <c r="S4298" t="s">
        <v>793</v>
      </c>
      <c r="T4298">
        <f>_xlfn.XLOOKUP(X4298,Hoja2!D:D,Hoja2!A:A)</f>
        <v>10245841021</v>
      </c>
      <c r="U4298" t="str">
        <f>_xlfn.XLOOKUP(X4298,Hoja2!D:D,Hoja2!B:B)</f>
        <v>PAOLA ANDREA CALDERON CETINA</v>
      </c>
      <c r="V4298" t="str">
        <f>_xlfn.XLOOKUP(X4298,Hoja2!D:D,Hoja2!C:C)</f>
        <v>PREGRADO</v>
      </c>
      <c r="W4298" s="9">
        <f>IF(V4298="pregrado",31,
IF(V4298="posgrados",31,
IF(V4298="rEINTEGROS",7,
IF(V4298="BIT",90,
IF(V4298="OP GRADO - INGLÉS",17,"")))))</f>
        <v>31</v>
      </c>
      <c r="X4298" t="s">
        <v>3987</v>
      </c>
    </row>
    <row r="4299" spans="1:24" x14ac:dyDescent="0.3">
      <c r="A4299" s="4">
        <v>46111</v>
      </c>
      <c r="B4299">
        <v>20129746</v>
      </c>
      <c r="C4299" t="s">
        <v>19</v>
      </c>
      <c r="D4299">
        <v>612672</v>
      </c>
      <c r="E4299" t="s">
        <v>20</v>
      </c>
      <c r="F4299">
        <v>1085287172</v>
      </c>
      <c r="G4299" t="s">
        <v>4330</v>
      </c>
      <c r="H4299">
        <v>100248962</v>
      </c>
      <c r="I4299">
        <v>202632</v>
      </c>
      <c r="J4299">
        <v>1085287172</v>
      </c>
      <c r="K4299" t="s">
        <v>23</v>
      </c>
      <c r="L4299" t="s">
        <v>207</v>
      </c>
      <c r="M4299" t="s">
        <v>24</v>
      </c>
      <c r="N4299" t="s">
        <v>35</v>
      </c>
      <c r="O4299" t="s">
        <v>26</v>
      </c>
      <c r="P4299" t="s">
        <v>27</v>
      </c>
      <c r="Q4299" t="s">
        <v>28</v>
      </c>
      <c r="R4299" t="s">
        <v>29</v>
      </c>
      <c r="S4299" t="s">
        <v>793</v>
      </c>
      <c r="T4299">
        <f>_xlfn.XLOOKUP(X4299,Hoja2!D:D,Hoja2!A:A)</f>
        <v>1018496066</v>
      </c>
      <c r="U4299" t="str">
        <f>_xlfn.XLOOKUP(X4299,Hoja2!D:D,Hoja2!B:B)</f>
        <v>JOVANNY ALEXANDER BENAVIDES APRAEZ</v>
      </c>
      <c r="V4299" t="str">
        <f>_xlfn.XLOOKUP(X4299,Hoja2!D:D,Hoja2!C:C)</f>
        <v>PREGRADO</v>
      </c>
      <c r="W4299" s="9">
        <f>IF(V4299="pregrado",31,
IF(V4299="posgrados",31,
IF(V4299="rEINTEGROS",7,
IF(V4299="BIT",90,
IF(V4299="OP GRADO - INGLÉS",17,"")))))</f>
        <v>31</v>
      </c>
      <c r="X4299" t="s">
        <v>4006</v>
      </c>
    </row>
    <row r="4300" spans="1:24" x14ac:dyDescent="0.3">
      <c r="A4300" s="4">
        <v>46100</v>
      </c>
      <c r="B4300">
        <v>20129018</v>
      </c>
      <c r="C4300" t="s">
        <v>19</v>
      </c>
      <c r="D4300">
        <v>612674</v>
      </c>
      <c r="E4300" t="s">
        <v>20</v>
      </c>
      <c r="F4300">
        <v>1014736485</v>
      </c>
      <c r="G4300" t="s">
        <v>4188</v>
      </c>
      <c r="H4300">
        <v>100248965</v>
      </c>
      <c r="I4300">
        <v>202632</v>
      </c>
      <c r="J4300">
        <v>1014736485</v>
      </c>
      <c r="K4300" t="s">
        <v>33</v>
      </c>
      <c r="L4300" t="s">
        <v>127</v>
      </c>
      <c r="M4300" t="s">
        <v>24</v>
      </c>
      <c r="N4300" t="s">
        <v>25</v>
      </c>
      <c r="O4300" t="s">
        <v>26</v>
      </c>
      <c r="P4300" t="s">
        <v>27</v>
      </c>
      <c r="Q4300" t="s">
        <v>28</v>
      </c>
      <c r="R4300" t="s">
        <v>29</v>
      </c>
      <c r="S4300" t="s">
        <v>793</v>
      </c>
      <c r="T4300">
        <f>_xlfn.XLOOKUP(X4300,Hoja2!D:D,Hoja2!A:A)</f>
        <v>1000777598</v>
      </c>
      <c r="U4300" t="str">
        <f>_xlfn.XLOOKUP(X4300,Hoja2!D:D,Hoja2!B:B)</f>
        <v>Catalina Pacheco Burgos</v>
      </c>
      <c r="V4300" t="str">
        <f>_xlfn.XLOOKUP(X4300,Hoja2!D:D,Hoja2!C:C)</f>
        <v>PREGRADO</v>
      </c>
      <c r="W4300" s="9">
        <f>IF(V4300="pregrado",31,
IF(V4300="posgrados",31,
IF(V4300="rEINTEGROS",7,
IF(V4300="BIT",90,
IF(V4300="OP GRADO - INGLÉS",17,"")))))</f>
        <v>31</v>
      </c>
      <c r="X4300" t="s">
        <v>4925</v>
      </c>
    </row>
    <row r="4301" spans="1:24" x14ac:dyDescent="0.3">
      <c r="A4301" s="4">
        <v>46099</v>
      </c>
      <c r="B4301">
        <v>20128868</v>
      </c>
      <c r="C4301" t="s">
        <v>19</v>
      </c>
      <c r="D4301">
        <v>612675</v>
      </c>
      <c r="E4301" t="s">
        <v>20</v>
      </c>
      <c r="F4301">
        <v>35285870</v>
      </c>
      <c r="G4301" t="s">
        <v>4168</v>
      </c>
      <c r="H4301">
        <v>100248966</v>
      </c>
      <c r="I4301">
        <v>202632</v>
      </c>
      <c r="J4301">
        <v>1013109451</v>
      </c>
      <c r="K4301" t="s">
        <v>23</v>
      </c>
      <c r="L4301" t="s">
        <v>90</v>
      </c>
      <c r="M4301" t="s">
        <v>24</v>
      </c>
      <c r="N4301" t="s">
        <v>35</v>
      </c>
      <c r="O4301" t="s">
        <v>26</v>
      </c>
      <c r="P4301" t="s">
        <v>27</v>
      </c>
      <c r="Q4301" t="s">
        <v>28</v>
      </c>
      <c r="R4301" t="s">
        <v>29</v>
      </c>
      <c r="S4301" t="s">
        <v>793</v>
      </c>
      <c r="T4301">
        <f>_xlfn.XLOOKUP(X4301,Hoja2!D:D,Hoja2!A:A)</f>
        <v>1023970223</v>
      </c>
      <c r="U4301" t="str">
        <f>_xlfn.XLOOKUP(X4301,Hoja2!D:D,Hoja2!B:B)</f>
        <v>PAOLA ANDREA CALDERON CETINA</v>
      </c>
      <c r="V4301" t="str">
        <f>_xlfn.XLOOKUP(X4301,Hoja2!D:D,Hoja2!C:C)</f>
        <v>PREGRADO</v>
      </c>
      <c r="W4301" s="9">
        <f>IF(V4301="pregrado",31,
IF(V4301="posgrados",31,
IF(V4301="rEINTEGROS",7,
IF(V4301="BIT",90,
IF(V4301="OP GRADO - INGLÉS",17,"")))))</f>
        <v>31</v>
      </c>
      <c r="X4301" t="s">
        <v>4070</v>
      </c>
    </row>
    <row r="4302" spans="1:24" x14ac:dyDescent="0.3">
      <c r="A4302" s="4">
        <v>46098</v>
      </c>
      <c r="B4302">
        <v>20128800</v>
      </c>
      <c r="C4302" t="s">
        <v>19</v>
      </c>
      <c r="D4302">
        <v>612692</v>
      </c>
      <c r="E4302" t="s">
        <v>20</v>
      </c>
      <c r="F4302">
        <v>1076652505</v>
      </c>
      <c r="G4302" t="s">
        <v>4157</v>
      </c>
      <c r="H4302">
        <v>100248983</v>
      </c>
      <c r="I4302">
        <v>202632</v>
      </c>
      <c r="J4302">
        <v>1076652505</v>
      </c>
      <c r="K4302" t="s">
        <v>33</v>
      </c>
      <c r="L4302" t="s">
        <v>127</v>
      </c>
      <c r="M4302" t="s">
        <v>24</v>
      </c>
      <c r="N4302" t="s">
        <v>25</v>
      </c>
      <c r="O4302" t="s">
        <v>26</v>
      </c>
      <c r="P4302" t="s">
        <v>27</v>
      </c>
      <c r="Q4302" t="s">
        <v>28</v>
      </c>
      <c r="R4302" t="s">
        <v>29</v>
      </c>
      <c r="S4302" t="s">
        <v>793</v>
      </c>
      <c r="T4302">
        <f>_xlfn.XLOOKUP(X4302,Hoja2!D:D,Hoja2!A:A)</f>
        <v>39666517</v>
      </c>
      <c r="U4302" t="str">
        <f>_xlfn.XLOOKUP(X4302,Hoja2!D:D,Hoja2!B:B)</f>
        <v>PAOLA ANDREA CALDERON CETINA</v>
      </c>
      <c r="V4302" t="str">
        <f>_xlfn.XLOOKUP(X4302,Hoja2!D:D,Hoja2!C:C)</f>
        <v>PREGRADO</v>
      </c>
      <c r="W4302" s="9">
        <f>IF(V4302="pregrado",31,
IF(V4302="posgrados",31,
IF(V4302="rEINTEGROS",7,
IF(V4302="BIT",90,
IF(V4302="OP GRADO - INGLÉS",17,"")))))</f>
        <v>31</v>
      </c>
      <c r="X4302" t="s">
        <v>4025</v>
      </c>
    </row>
    <row r="4303" spans="1:24" x14ac:dyDescent="0.3">
      <c r="A4303" s="4">
        <v>46100</v>
      </c>
      <c r="B4303">
        <v>20128990</v>
      </c>
      <c r="C4303" t="s">
        <v>19</v>
      </c>
      <c r="D4303">
        <v>612699</v>
      </c>
      <c r="E4303" t="s">
        <v>20</v>
      </c>
      <c r="F4303">
        <v>12127661</v>
      </c>
      <c r="G4303" t="s">
        <v>4182</v>
      </c>
      <c r="H4303">
        <v>100248993</v>
      </c>
      <c r="I4303">
        <v>202632</v>
      </c>
      <c r="J4303">
        <v>1075540543</v>
      </c>
      <c r="K4303" t="s">
        <v>33</v>
      </c>
      <c r="L4303" t="s">
        <v>90</v>
      </c>
      <c r="M4303" t="s">
        <v>24</v>
      </c>
      <c r="N4303" t="s">
        <v>25</v>
      </c>
      <c r="O4303" t="s">
        <v>26</v>
      </c>
      <c r="P4303" t="s">
        <v>27</v>
      </c>
      <c r="Q4303" t="s">
        <v>28</v>
      </c>
      <c r="R4303" t="s">
        <v>29</v>
      </c>
      <c r="S4303" t="s">
        <v>793</v>
      </c>
      <c r="T4303">
        <f>_xlfn.XLOOKUP(X4303,Hoja2!D:D,Hoja2!A:A)</f>
        <v>1010240716</v>
      </c>
      <c r="U4303" t="str">
        <f>_xlfn.XLOOKUP(X4303,Hoja2!D:D,Hoja2!B:B)</f>
        <v>JOVANNY ALEXANDER BENAVIDES APRAEZ</v>
      </c>
      <c r="V4303" t="str">
        <f>_xlfn.XLOOKUP(X4303,Hoja2!D:D,Hoja2!C:C)</f>
        <v>PREGRADO</v>
      </c>
      <c r="W4303" s="9">
        <f>IF(V4303="pregrado",31,
IF(V4303="posgrados",31,
IF(V4303="rEINTEGROS",7,
IF(V4303="BIT",90,
IF(V4303="OP GRADO - INGLÉS",17,"")))))</f>
        <v>31</v>
      </c>
      <c r="X4303" t="s">
        <v>3938</v>
      </c>
    </row>
    <row r="4304" spans="1:24" x14ac:dyDescent="0.3">
      <c r="A4304" s="4">
        <v>46111</v>
      </c>
      <c r="B4304">
        <v>20129808</v>
      </c>
      <c r="C4304" t="s">
        <v>19</v>
      </c>
      <c r="D4304">
        <v>612747</v>
      </c>
      <c r="E4304" t="s">
        <v>20</v>
      </c>
      <c r="F4304">
        <v>1070815435</v>
      </c>
      <c r="G4304" t="s">
        <v>4038</v>
      </c>
      <c r="H4304">
        <v>100233342</v>
      </c>
      <c r="I4304">
        <v>202632</v>
      </c>
      <c r="J4304">
        <v>1070815435</v>
      </c>
      <c r="K4304" t="s">
        <v>33</v>
      </c>
      <c r="L4304" t="s">
        <v>207</v>
      </c>
      <c r="M4304" t="s">
        <v>24</v>
      </c>
      <c r="N4304" t="s">
        <v>35</v>
      </c>
      <c r="O4304" t="s">
        <v>26</v>
      </c>
      <c r="P4304" t="s">
        <v>27</v>
      </c>
      <c r="Q4304" t="s">
        <v>28</v>
      </c>
      <c r="R4304" t="s">
        <v>29</v>
      </c>
      <c r="S4304" t="s">
        <v>793</v>
      </c>
      <c r="T4304">
        <f>_xlfn.XLOOKUP(X4304,Hoja2!D:D,Hoja2!A:A)</f>
        <v>1070815435</v>
      </c>
      <c r="U4304" t="str">
        <f>_xlfn.XLOOKUP(X4304,Hoja2!D:D,Hoja2!B:B)</f>
        <v>CATALINA PACHECO BURGOS</v>
      </c>
      <c r="V4304" t="str">
        <f>_xlfn.XLOOKUP(X4304,Hoja2!D:D,Hoja2!C:C)</f>
        <v>PREGRADO</v>
      </c>
      <c r="W4304" s="9">
        <f>IF(V4304="pregrado",31,
IF(V4304="posgrados",31,
IF(V4304="rEINTEGROS",7,
IF(V4304="BIT",90,
IF(V4304="OP GRADO - INGLÉS",17,"")))))</f>
        <v>31</v>
      </c>
      <c r="X4304" t="s">
        <v>4038</v>
      </c>
    </row>
    <row r="4305" spans="1:24" x14ac:dyDescent="0.3">
      <c r="A4305" s="4">
        <v>46106</v>
      </c>
      <c r="B4305">
        <v>20129400</v>
      </c>
      <c r="C4305" t="s">
        <v>19</v>
      </c>
      <c r="D4305">
        <v>612780</v>
      </c>
      <c r="E4305" t="s">
        <v>20</v>
      </c>
      <c r="F4305">
        <v>1025528621</v>
      </c>
      <c r="G4305" t="s">
        <v>4259</v>
      </c>
      <c r="H4305">
        <v>100249056</v>
      </c>
      <c r="I4305">
        <v>202612</v>
      </c>
      <c r="J4305">
        <v>1025528621</v>
      </c>
      <c r="K4305" t="s">
        <v>33</v>
      </c>
      <c r="L4305" t="s">
        <v>204</v>
      </c>
      <c r="M4305" t="s">
        <v>24</v>
      </c>
      <c r="N4305" t="s">
        <v>38</v>
      </c>
      <c r="O4305" t="s">
        <v>26</v>
      </c>
      <c r="P4305" t="s">
        <v>27</v>
      </c>
      <c r="Q4305" t="s">
        <v>28</v>
      </c>
      <c r="R4305" t="s">
        <v>29</v>
      </c>
      <c r="S4305" t="s">
        <v>793</v>
      </c>
      <c r="T4305">
        <f>_xlfn.XLOOKUP(X4305,Hoja2!D:D,Hoja2!A:A)</f>
        <v>52182207</v>
      </c>
      <c r="U4305" t="str">
        <f>_xlfn.XLOOKUP(X4305,Hoja2!D:D,Hoja2!B:B)</f>
        <v>HEIDY LORENA PRIETO AHUMADA</v>
      </c>
      <c r="V4305" t="str">
        <f>_xlfn.XLOOKUP(X4305,Hoja2!D:D,Hoja2!C:C)</f>
        <v>PREGRADO</v>
      </c>
      <c r="W4305" s="9">
        <f>IF(V4305="pregrado",31,
IF(V4305="posgrados",31,
IF(V4305="rEINTEGROS",7,
IF(V4305="BIT",90,
IF(V4305="OP GRADO - INGLÉS",17,"")))))</f>
        <v>31</v>
      </c>
      <c r="X4305" t="s">
        <v>3946</v>
      </c>
    </row>
    <row r="4306" spans="1:24" x14ac:dyDescent="0.3">
      <c r="A4306" s="4">
        <v>46100</v>
      </c>
      <c r="B4306">
        <v>20128958</v>
      </c>
      <c r="C4306" t="s">
        <v>19</v>
      </c>
      <c r="D4306">
        <v>612813</v>
      </c>
      <c r="E4306" t="s">
        <v>20</v>
      </c>
      <c r="F4306">
        <v>1089803505</v>
      </c>
      <c r="G4306" t="s">
        <v>4176</v>
      </c>
      <c r="H4306">
        <v>100249087</v>
      </c>
      <c r="I4306">
        <v>202632</v>
      </c>
      <c r="J4306">
        <v>1006593241</v>
      </c>
      <c r="K4306" t="s">
        <v>74</v>
      </c>
      <c r="L4306" t="s">
        <v>207</v>
      </c>
      <c r="M4306" t="s">
        <v>24</v>
      </c>
      <c r="N4306" t="s">
        <v>35</v>
      </c>
      <c r="O4306" t="s">
        <v>26</v>
      </c>
      <c r="P4306" t="s">
        <v>27</v>
      </c>
      <c r="Q4306" t="s">
        <v>28</v>
      </c>
      <c r="R4306" t="s">
        <v>29</v>
      </c>
      <c r="S4306" t="s">
        <v>793</v>
      </c>
      <c r="T4306">
        <f>_xlfn.XLOOKUP(X4306,Hoja2!D:D,Hoja2!A:A)</f>
        <v>1018455773</v>
      </c>
      <c r="U4306" t="str">
        <f>_xlfn.XLOOKUP(X4306,Hoja2!D:D,Hoja2!B:B)</f>
        <v>Catalina Pacheco Burgos</v>
      </c>
      <c r="V4306" t="str">
        <f>_xlfn.XLOOKUP(X4306,Hoja2!D:D,Hoja2!C:C)</f>
        <v>PREGRADO</v>
      </c>
      <c r="W4306" s="9">
        <f>IF(V4306="pregrado",31,
IF(V4306="posgrados",31,
IF(V4306="rEINTEGROS",7,
IF(V4306="BIT",90,
IF(V4306="OP GRADO - INGLÉS",17,"")))))</f>
        <v>31</v>
      </c>
      <c r="X4306" t="s">
        <v>4921</v>
      </c>
    </row>
    <row r="4307" spans="1:24" x14ac:dyDescent="0.3">
      <c r="A4307" s="4">
        <v>46100</v>
      </c>
      <c r="B4307">
        <v>20128953</v>
      </c>
      <c r="C4307" t="s">
        <v>19</v>
      </c>
      <c r="D4307">
        <v>612814</v>
      </c>
      <c r="E4307" t="s">
        <v>20</v>
      </c>
      <c r="F4307">
        <v>1192755553</v>
      </c>
      <c r="G4307" t="s">
        <v>4175</v>
      </c>
      <c r="H4307">
        <v>100249088</v>
      </c>
      <c r="I4307">
        <v>202632</v>
      </c>
      <c r="J4307">
        <v>1192755553</v>
      </c>
      <c r="K4307" t="s">
        <v>33</v>
      </c>
      <c r="L4307" t="s">
        <v>207</v>
      </c>
      <c r="M4307" t="s">
        <v>24</v>
      </c>
      <c r="N4307" t="s">
        <v>38</v>
      </c>
      <c r="O4307" t="s">
        <v>26</v>
      </c>
      <c r="P4307" t="s">
        <v>27</v>
      </c>
      <c r="Q4307" t="s">
        <v>28</v>
      </c>
      <c r="R4307" t="s">
        <v>29</v>
      </c>
      <c r="S4307" t="s">
        <v>793</v>
      </c>
      <c r="T4307">
        <f>_xlfn.XLOOKUP(X4307,Hoja2!D:D,Hoja2!A:A)</f>
        <v>52876433</v>
      </c>
      <c r="U4307" t="str">
        <f>_xlfn.XLOOKUP(X4307,Hoja2!D:D,Hoja2!B:B)</f>
        <v>CATALINA PACHECO BURGOS</v>
      </c>
      <c r="V4307" t="str">
        <f>_xlfn.XLOOKUP(X4307,Hoja2!D:D,Hoja2!C:C)</f>
        <v>PREGRADO</v>
      </c>
      <c r="W4307" s="9">
        <f>IF(V4307="pregrado",31,
IF(V4307="posgrados",31,
IF(V4307="rEINTEGROS",7,
IF(V4307="BIT",90,
IF(V4307="OP GRADO - INGLÉS",17,"")))))</f>
        <v>31</v>
      </c>
      <c r="X4307" t="s">
        <v>4078</v>
      </c>
    </row>
    <row r="4308" spans="1:24" x14ac:dyDescent="0.3">
      <c r="A4308" s="4">
        <v>46122</v>
      </c>
      <c r="B4308">
        <v>20130610</v>
      </c>
      <c r="C4308" t="s">
        <v>19</v>
      </c>
      <c r="D4308">
        <v>612819</v>
      </c>
      <c r="E4308" t="s">
        <v>20</v>
      </c>
      <c r="F4308">
        <v>1003293029</v>
      </c>
      <c r="G4308" t="s">
        <v>4489</v>
      </c>
      <c r="H4308">
        <v>100244701</v>
      </c>
      <c r="I4308">
        <v>202612</v>
      </c>
      <c r="J4308">
        <v>1003293029</v>
      </c>
      <c r="K4308" t="s">
        <v>33</v>
      </c>
      <c r="L4308" t="s">
        <v>221</v>
      </c>
      <c r="M4308" t="s">
        <v>24</v>
      </c>
      <c r="N4308" t="s">
        <v>35</v>
      </c>
      <c r="O4308" t="s">
        <v>26</v>
      </c>
      <c r="P4308" t="s">
        <v>27</v>
      </c>
      <c r="Q4308" t="s">
        <v>28</v>
      </c>
      <c r="R4308" t="s">
        <v>29</v>
      </c>
      <c r="S4308" t="s">
        <v>793</v>
      </c>
      <c r="T4308">
        <f>_xlfn.XLOOKUP(X4308,Hoja2!D:D,Hoja2!A:A)</f>
        <v>1015428862</v>
      </c>
      <c r="U4308" t="str">
        <f>_xlfn.XLOOKUP(X4308,Hoja2!D:D,Hoja2!B:B)</f>
        <v>NELSON JAVIER MORERA RINCON</v>
      </c>
      <c r="V4308" t="str">
        <f>_xlfn.XLOOKUP(X4308,Hoja2!D:D,Hoja2!C:C)</f>
        <v>PREGRADO</v>
      </c>
      <c r="W4308" s="9">
        <f>IF(V4308="pregrado",31,
IF(V4308="posgrados",31,
IF(V4308="rEINTEGROS",7,
IF(V4308="BIT",90,
IF(V4308="OP GRADO - INGLÉS",17,"")))))</f>
        <v>31</v>
      </c>
      <c r="X4308" t="s">
        <v>4048</v>
      </c>
    </row>
    <row r="4309" spans="1:24" x14ac:dyDescent="0.3">
      <c r="A4309" s="4">
        <v>46106</v>
      </c>
      <c r="B4309">
        <v>20129394</v>
      </c>
      <c r="C4309" t="s">
        <v>19</v>
      </c>
      <c r="D4309">
        <v>612845</v>
      </c>
      <c r="E4309" t="s">
        <v>20</v>
      </c>
      <c r="F4309">
        <v>3623226</v>
      </c>
      <c r="G4309" t="s">
        <v>4257</v>
      </c>
      <c r="H4309">
        <v>100249109</v>
      </c>
      <c r="I4309">
        <v>202632</v>
      </c>
      <c r="J4309">
        <v>71225047</v>
      </c>
      <c r="K4309" t="s">
        <v>23</v>
      </c>
      <c r="L4309" t="s">
        <v>240</v>
      </c>
      <c r="M4309" t="s">
        <v>24</v>
      </c>
      <c r="N4309" t="s">
        <v>25</v>
      </c>
      <c r="O4309" t="s">
        <v>26</v>
      </c>
      <c r="P4309" t="s">
        <v>27</v>
      </c>
      <c r="Q4309" t="s">
        <v>28</v>
      </c>
      <c r="R4309" t="s">
        <v>29</v>
      </c>
      <c r="S4309" t="s">
        <v>793</v>
      </c>
      <c r="T4309">
        <f>_xlfn.XLOOKUP(X4309,Hoja2!D:D,Hoja2!A:A)</f>
        <v>1013662799</v>
      </c>
      <c r="U4309" t="str">
        <f>_xlfn.XLOOKUP(X4309,Hoja2!D:D,Hoja2!B:B)</f>
        <v>NELSON JAVIER MORERA RINCON</v>
      </c>
      <c r="V4309" t="str">
        <f>_xlfn.XLOOKUP(X4309,Hoja2!D:D,Hoja2!C:C)</f>
        <v>PREGRADO</v>
      </c>
      <c r="W4309" s="9">
        <f>IF(V4309="pregrado",31,
IF(V4309="posgrados",31,
IF(V4309="rEINTEGROS",7,
IF(V4309="BIT",90,
IF(V4309="OP GRADO - INGLÉS",17,"")))))</f>
        <v>31</v>
      </c>
      <c r="X4309" t="s">
        <v>4021</v>
      </c>
    </row>
    <row r="4310" spans="1:24" x14ac:dyDescent="0.3">
      <c r="A4310" s="4">
        <v>46105</v>
      </c>
      <c r="B4310">
        <v>20129249</v>
      </c>
      <c r="C4310" t="s">
        <v>19</v>
      </c>
      <c r="D4310">
        <v>612878</v>
      </c>
      <c r="E4310" t="s">
        <v>20</v>
      </c>
      <c r="F4310">
        <v>1007211008</v>
      </c>
      <c r="G4310" t="s">
        <v>4223</v>
      </c>
      <c r="H4310">
        <v>100249127</v>
      </c>
      <c r="I4310">
        <v>202612</v>
      </c>
      <c r="J4310">
        <v>1007211008</v>
      </c>
      <c r="K4310" t="s">
        <v>33</v>
      </c>
      <c r="L4310" t="s">
        <v>221</v>
      </c>
      <c r="M4310" t="s">
        <v>24</v>
      </c>
      <c r="N4310" t="s">
        <v>25</v>
      </c>
      <c r="O4310" t="s">
        <v>26</v>
      </c>
      <c r="P4310" t="s">
        <v>27</v>
      </c>
      <c r="Q4310" t="s">
        <v>28</v>
      </c>
      <c r="R4310" t="s">
        <v>29</v>
      </c>
      <c r="S4310" t="s">
        <v>793</v>
      </c>
      <c r="T4310">
        <f>_xlfn.XLOOKUP(X4310,Hoja2!D:D,Hoja2!A:A)</f>
        <v>1073692626</v>
      </c>
      <c r="U4310" t="str">
        <f>_xlfn.XLOOKUP(X4310,Hoja2!D:D,Hoja2!B:B)</f>
        <v>NELSON JAVIER MORERA RINCON</v>
      </c>
      <c r="V4310" t="str">
        <f>_xlfn.XLOOKUP(X4310,Hoja2!D:D,Hoja2!C:C)</f>
        <v>PREGRADO</v>
      </c>
      <c r="W4310" s="9">
        <f>IF(V4310="pregrado",31,
IF(V4310="posgrados",31,
IF(V4310="rEINTEGROS",7,
IF(V4310="BIT",90,
IF(V4310="OP GRADO - INGLÉS",17,"")))))</f>
        <v>31</v>
      </c>
      <c r="X4310" t="s">
        <v>4014</v>
      </c>
    </row>
    <row r="4311" spans="1:24" x14ac:dyDescent="0.3">
      <c r="A4311" s="4">
        <v>46127</v>
      </c>
      <c r="B4311">
        <v>20131224</v>
      </c>
      <c r="C4311" t="s">
        <v>19</v>
      </c>
      <c r="D4311">
        <v>612896</v>
      </c>
      <c r="E4311" t="s">
        <v>20</v>
      </c>
      <c r="F4311">
        <v>1096007252</v>
      </c>
      <c r="G4311" t="s">
        <v>4629</v>
      </c>
      <c r="H4311">
        <v>100249140</v>
      </c>
      <c r="I4311">
        <v>202632</v>
      </c>
      <c r="J4311">
        <v>1096007252</v>
      </c>
      <c r="K4311" t="s">
        <v>74</v>
      </c>
      <c r="L4311" t="s">
        <v>90</v>
      </c>
      <c r="M4311" t="s">
        <v>24</v>
      </c>
      <c r="N4311" t="s">
        <v>35</v>
      </c>
      <c r="O4311" t="s">
        <v>26</v>
      </c>
      <c r="P4311" t="s">
        <v>27</v>
      </c>
      <c r="Q4311" t="s">
        <v>28</v>
      </c>
      <c r="R4311" t="s">
        <v>29</v>
      </c>
      <c r="S4311" t="s">
        <v>793</v>
      </c>
      <c r="T4311">
        <f>_xlfn.XLOOKUP(X4311,Hoja2!D:D,Hoja2!A:A)</f>
        <v>1023929839</v>
      </c>
      <c r="U4311" t="str">
        <f>_xlfn.XLOOKUP(X4311,Hoja2!D:D,Hoja2!B:B)</f>
        <v>PAOLA ANDREA CALDERON CETINA</v>
      </c>
      <c r="V4311" t="str">
        <f>_xlfn.XLOOKUP(X4311,Hoja2!D:D,Hoja2!C:C)</f>
        <v>PREGRADO</v>
      </c>
      <c r="W4311" s="9">
        <f>IF(V4311="pregrado",31,
IF(V4311="posgrados",31,
IF(V4311="rEINTEGROS",7,
IF(V4311="BIT",90,
IF(V4311="OP GRADO - INGLÉS",17,"")))))</f>
        <v>31</v>
      </c>
      <c r="X4311" t="s">
        <v>3932</v>
      </c>
    </row>
    <row r="4312" spans="1:24" x14ac:dyDescent="0.3">
      <c r="A4312" s="4">
        <v>46101</v>
      </c>
      <c r="B4312">
        <v>20129050</v>
      </c>
      <c r="C4312" t="s">
        <v>19</v>
      </c>
      <c r="D4312">
        <v>612922</v>
      </c>
      <c r="E4312" t="s">
        <v>20</v>
      </c>
      <c r="F4312">
        <v>1043647595</v>
      </c>
      <c r="G4312" t="s">
        <v>4193</v>
      </c>
      <c r="H4312">
        <v>100249153</v>
      </c>
      <c r="I4312">
        <v>202612</v>
      </c>
      <c r="J4312">
        <v>1043647595</v>
      </c>
      <c r="K4312" t="s">
        <v>23</v>
      </c>
      <c r="L4312" t="s">
        <v>204</v>
      </c>
      <c r="M4312" t="s">
        <v>24</v>
      </c>
      <c r="N4312" t="s">
        <v>35</v>
      </c>
      <c r="O4312" t="s">
        <v>26</v>
      </c>
      <c r="P4312" t="s">
        <v>27</v>
      </c>
      <c r="Q4312" t="s">
        <v>28</v>
      </c>
      <c r="R4312" t="s">
        <v>29</v>
      </c>
      <c r="S4312" t="s">
        <v>793</v>
      </c>
      <c r="T4312">
        <f>_xlfn.XLOOKUP(X4312,Hoja2!D:D,Hoja2!A:A)</f>
        <v>1000183349</v>
      </c>
      <c r="U4312" t="str">
        <f>_xlfn.XLOOKUP(X4312,Hoja2!D:D,Hoja2!B:B)</f>
        <v>JOVANNY ALEXANDER BENAVIDES APRAEZ</v>
      </c>
      <c r="V4312" t="str">
        <f>_xlfn.XLOOKUP(X4312,Hoja2!D:D,Hoja2!C:C)</f>
        <v>PREGRADO</v>
      </c>
      <c r="W4312" s="9">
        <f>IF(V4312="pregrado",31,
IF(V4312="posgrados",31,
IF(V4312="rEINTEGROS",7,
IF(V4312="BIT",90,
IF(V4312="OP GRADO - INGLÉS",17,"")))))</f>
        <v>31</v>
      </c>
      <c r="X4312" t="s">
        <v>4083</v>
      </c>
    </row>
    <row r="4313" spans="1:24" x14ac:dyDescent="0.3">
      <c r="A4313" s="4">
        <v>46107</v>
      </c>
      <c r="B4313">
        <v>20129555</v>
      </c>
      <c r="C4313" t="s">
        <v>19</v>
      </c>
      <c r="D4313">
        <v>612964</v>
      </c>
      <c r="E4313" t="s">
        <v>20</v>
      </c>
      <c r="F4313">
        <v>41747916</v>
      </c>
      <c r="G4313" t="s">
        <v>4297</v>
      </c>
      <c r="H4313">
        <v>100052565</v>
      </c>
      <c r="I4313">
        <v>202632</v>
      </c>
      <c r="J4313">
        <v>1032419793</v>
      </c>
      <c r="K4313" t="s">
        <v>33</v>
      </c>
      <c r="L4313" t="s">
        <v>3922</v>
      </c>
      <c r="M4313" t="s">
        <v>24</v>
      </c>
      <c r="N4313" t="s">
        <v>35</v>
      </c>
      <c r="O4313" t="s">
        <v>26</v>
      </c>
      <c r="P4313" t="s">
        <v>27</v>
      </c>
      <c r="Q4313" t="s">
        <v>28</v>
      </c>
      <c r="R4313" t="s">
        <v>29</v>
      </c>
      <c r="S4313" t="s">
        <v>793</v>
      </c>
      <c r="T4313">
        <f>_xlfn.XLOOKUP(X4313,Hoja2!D:D,Hoja2!A:A)</f>
        <v>53040709</v>
      </c>
      <c r="U4313" t="str">
        <f>_xlfn.XLOOKUP(X4313,Hoja2!D:D,Hoja2!B:B)</f>
        <v>MARSHIA MILENA JIMéNEZ GóMEZ</v>
      </c>
      <c r="V4313" t="str">
        <f>_xlfn.XLOOKUP(X4313,Hoja2!D:D,Hoja2!C:C)</f>
        <v>PREGRADO</v>
      </c>
      <c r="W4313" s="9">
        <f>IF(V4313="pregrado",31,
IF(V4313="posgrados",31,
IF(V4313="rEINTEGROS",7,
IF(V4313="BIT",90,
IF(V4313="OP GRADO - INGLÉS",17,"")))))</f>
        <v>31</v>
      </c>
      <c r="X4313" t="s">
        <v>3994</v>
      </c>
    </row>
    <row r="4314" spans="1:24" x14ac:dyDescent="0.3">
      <c r="A4314" s="4">
        <v>46106</v>
      </c>
      <c r="B4314">
        <v>20129369</v>
      </c>
      <c r="C4314" t="s">
        <v>19</v>
      </c>
      <c r="D4314">
        <v>612965</v>
      </c>
      <c r="E4314" t="s">
        <v>20</v>
      </c>
      <c r="F4314">
        <v>1108564154</v>
      </c>
      <c r="G4314" t="s">
        <v>4250</v>
      </c>
      <c r="H4314">
        <v>100249187</v>
      </c>
      <c r="I4314">
        <v>202612</v>
      </c>
      <c r="J4314">
        <v>1108564154</v>
      </c>
      <c r="K4314" t="s">
        <v>33</v>
      </c>
      <c r="L4314" t="s">
        <v>204</v>
      </c>
      <c r="M4314" t="s">
        <v>24</v>
      </c>
      <c r="N4314" t="s">
        <v>25</v>
      </c>
      <c r="O4314" t="s">
        <v>26</v>
      </c>
      <c r="P4314" t="s">
        <v>27</v>
      </c>
      <c r="Q4314" t="s">
        <v>28</v>
      </c>
      <c r="R4314" t="s">
        <v>29</v>
      </c>
      <c r="S4314" t="s">
        <v>793</v>
      </c>
      <c r="T4314">
        <f>_xlfn.XLOOKUP(X4314,Hoja2!D:D,Hoja2!A:A)</f>
        <v>80219471</v>
      </c>
      <c r="U4314" t="str">
        <f>_xlfn.XLOOKUP(X4314,Hoja2!D:D,Hoja2!B:B)</f>
        <v>HEIDY LORENA PRIETO AHUMADA</v>
      </c>
      <c r="V4314" t="str">
        <f>_xlfn.XLOOKUP(X4314,Hoja2!D:D,Hoja2!C:C)</f>
        <v>PREGRADO</v>
      </c>
      <c r="W4314" s="9">
        <f>IF(V4314="pregrado",31,
IF(V4314="posgrados",31,
IF(V4314="rEINTEGROS",7,
IF(V4314="BIT",90,
IF(V4314="OP GRADO - INGLÉS",17,"")))))</f>
        <v>31</v>
      </c>
      <c r="X4314" t="s">
        <v>4030</v>
      </c>
    </row>
    <row r="4315" spans="1:24" x14ac:dyDescent="0.3">
      <c r="A4315" s="4">
        <v>46125</v>
      </c>
      <c r="B4315">
        <v>20130795</v>
      </c>
      <c r="C4315" t="s">
        <v>19</v>
      </c>
      <c r="D4315">
        <v>612976</v>
      </c>
      <c r="E4315" t="s">
        <v>20</v>
      </c>
      <c r="F4315">
        <v>1013098863</v>
      </c>
      <c r="G4315" t="s">
        <v>4525</v>
      </c>
      <c r="H4315">
        <v>100246329</v>
      </c>
      <c r="I4315">
        <v>202632</v>
      </c>
      <c r="J4315">
        <v>1013098863</v>
      </c>
      <c r="K4315" t="s">
        <v>33</v>
      </c>
      <c r="L4315" t="s">
        <v>127</v>
      </c>
      <c r="M4315" t="s">
        <v>24</v>
      </c>
      <c r="N4315" t="s">
        <v>35</v>
      </c>
      <c r="O4315" t="s">
        <v>26</v>
      </c>
      <c r="P4315" t="s">
        <v>27</v>
      </c>
      <c r="Q4315" t="s">
        <v>28</v>
      </c>
      <c r="R4315" t="s">
        <v>29</v>
      </c>
      <c r="S4315" t="s">
        <v>793</v>
      </c>
      <c r="T4315">
        <f>_xlfn.XLOOKUP(X4315,Hoja2!D:D,Hoja2!A:A)</f>
        <v>52342867</v>
      </c>
      <c r="U4315" t="str">
        <f>_xlfn.XLOOKUP(X4315,Hoja2!D:D,Hoja2!B:B)</f>
        <v>NELSON JAVIER MORERA RINCON</v>
      </c>
      <c r="V4315" t="str">
        <f>_xlfn.XLOOKUP(X4315,Hoja2!D:D,Hoja2!C:C)</f>
        <v>PREGRADO</v>
      </c>
      <c r="W4315" s="9">
        <f>IF(V4315="pregrado",31,
IF(V4315="posgrados",31,
IF(V4315="rEINTEGROS",7,
IF(V4315="BIT",90,
IF(V4315="OP GRADO - INGLÉS",17,"")))))</f>
        <v>31</v>
      </c>
      <c r="X4315" t="s">
        <v>4047</v>
      </c>
    </row>
    <row r="4316" spans="1:24" x14ac:dyDescent="0.3">
      <c r="A4316" s="4">
        <v>46105</v>
      </c>
      <c r="B4316">
        <v>20129263</v>
      </c>
      <c r="C4316" t="s">
        <v>19</v>
      </c>
      <c r="D4316">
        <v>612990</v>
      </c>
      <c r="E4316" t="s">
        <v>20</v>
      </c>
      <c r="F4316">
        <v>1103110615</v>
      </c>
      <c r="G4316" t="s">
        <v>4231</v>
      </c>
      <c r="H4316">
        <v>100249219</v>
      </c>
      <c r="I4316">
        <v>202632</v>
      </c>
      <c r="J4316">
        <v>1103110615</v>
      </c>
      <c r="K4316" t="s">
        <v>83</v>
      </c>
      <c r="L4316" t="s">
        <v>207</v>
      </c>
      <c r="M4316" t="s">
        <v>24</v>
      </c>
      <c r="N4316" t="s">
        <v>4134</v>
      </c>
      <c r="O4316" t="s">
        <v>26</v>
      </c>
      <c r="P4316" t="s">
        <v>4135</v>
      </c>
      <c r="Q4316" t="s">
        <v>28</v>
      </c>
      <c r="R4316" t="s">
        <v>29</v>
      </c>
      <c r="S4316" t="s">
        <v>793</v>
      </c>
      <c r="T4316">
        <f>_xlfn.XLOOKUP(X4316,Hoja2!D:D,Hoja2!A:A)</f>
        <v>1010081108</v>
      </c>
      <c r="U4316" t="str">
        <f>_xlfn.XLOOKUP(X4316,Hoja2!D:D,Hoja2!B:B)</f>
        <v>HEIDY LORENA PRIETO AHUMADA</v>
      </c>
      <c r="V4316" t="str">
        <f>_xlfn.XLOOKUP(X4316,Hoja2!D:D,Hoja2!C:C)</f>
        <v>PREGRADO</v>
      </c>
      <c r="W4316" s="9">
        <f>IF(V4316="pregrado",31,
IF(V4316="posgrados",31,
IF(V4316="rEINTEGROS",7,
IF(V4316="BIT",90,
IF(V4316="OP GRADO - INGLÉS",17,"")))))</f>
        <v>31</v>
      </c>
      <c r="X4316" t="s">
        <v>4009</v>
      </c>
    </row>
    <row r="4317" spans="1:24" x14ac:dyDescent="0.3">
      <c r="A4317" s="4">
        <v>46102</v>
      </c>
      <c r="B4317">
        <v>20129173</v>
      </c>
      <c r="C4317" t="s">
        <v>19</v>
      </c>
      <c r="D4317">
        <v>612991</v>
      </c>
      <c r="E4317" t="s">
        <v>20</v>
      </c>
      <c r="F4317">
        <v>1085938887</v>
      </c>
      <c r="G4317" t="s">
        <v>4207</v>
      </c>
      <c r="H4317">
        <v>100249220</v>
      </c>
      <c r="I4317">
        <v>202612</v>
      </c>
      <c r="J4317">
        <v>1085938887</v>
      </c>
      <c r="K4317" t="s">
        <v>83</v>
      </c>
      <c r="L4317" t="s">
        <v>204</v>
      </c>
      <c r="M4317" t="s">
        <v>24</v>
      </c>
      <c r="N4317" t="s">
        <v>25</v>
      </c>
      <c r="O4317" t="s">
        <v>26</v>
      </c>
      <c r="P4317" t="s">
        <v>27</v>
      </c>
      <c r="Q4317" t="s">
        <v>28</v>
      </c>
      <c r="R4317" t="s">
        <v>29</v>
      </c>
      <c r="S4317" t="s">
        <v>793</v>
      </c>
      <c r="T4317">
        <f>_xlfn.XLOOKUP(X4317,Hoja2!D:D,Hoja2!A:A)</f>
        <v>1023000938</v>
      </c>
      <c r="U4317" t="str">
        <f>_xlfn.XLOOKUP(X4317,Hoja2!D:D,Hoja2!B:B)</f>
        <v>HEIDY LORENA PRIETO AHUMADA</v>
      </c>
      <c r="V4317" t="str">
        <f>_xlfn.XLOOKUP(X4317,Hoja2!D:D,Hoja2!C:C)</f>
        <v>PREGRADO</v>
      </c>
      <c r="W4317" s="9">
        <f>IF(V4317="pregrado",31,
IF(V4317="posgrados",31,
IF(V4317="rEINTEGROS",7,
IF(V4317="BIT",90,
IF(V4317="OP GRADO - INGLÉS",17,"")))))</f>
        <v>31</v>
      </c>
      <c r="X4317" t="s">
        <v>3989</v>
      </c>
    </row>
    <row r="4318" spans="1:24" x14ac:dyDescent="0.3">
      <c r="A4318" s="4">
        <v>46105</v>
      </c>
      <c r="B4318">
        <v>20129254</v>
      </c>
      <c r="C4318" t="s">
        <v>19</v>
      </c>
      <c r="D4318">
        <v>612996</v>
      </c>
      <c r="E4318" t="s">
        <v>20</v>
      </c>
      <c r="F4318">
        <v>79823381</v>
      </c>
      <c r="G4318" t="s">
        <v>4228</v>
      </c>
      <c r="H4318">
        <v>100249225</v>
      </c>
      <c r="I4318">
        <v>202632</v>
      </c>
      <c r="J4318">
        <v>79823381</v>
      </c>
      <c r="K4318" t="s">
        <v>23</v>
      </c>
      <c r="L4318" t="s">
        <v>240</v>
      </c>
      <c r="M4318" t="s">
        <v>24</v>
      </c>
      <c r="N4318" t="s">
        <v>35</v>
      </c>
      <c r="O4318" t="s">
        <v>26</v>
      </c>
      <c r="P4318" t="s">
        <v>27</v>
      </c>
      <c r="Q4318" t="s">
        <v>28</v>
      </c>
      <c r="R4318" t="s">
        <v>29</v>
      </c>
      <c r="S4318" t="s">
        <v>793</v>
      </c>
      <c r="T4318">
        <f>_xlfn.XLOOKUP(X4318,Hoja2!D:D,Hoja2!A:A)</f>
        <v>1032678391</v>
      </c>
      <c r="U4318" t="str">
        <f>_xlfn.XLOOKUP(X4318,Hoja2!D:D,Hoja2!B:B)</f>
        <v>Nelson Javier Morera Rincon</v>
      </c>
      <c r="V4318" t="str">
        <f>_xlfn.XLOOKUP(X4318,Hoja2!D:D,Hoja2!C:C)</f>
        <v>PREGRADO</v>
      </c>
      <c r="W4318" s="9">
        <f>IF(V4318="pregrado",31,
IF(V4318="posgrados",31,
IF(V4318="rEINTEGROS",7,
IF(V4318="BIT",90,
IF(V4318="OP GRADO - INGLÉS",17,"")))))</f>
        <v>31</v>
      </c>
      <c r="X4318" t="s">
        <v>4927</v>
      </c>
    </row>
    <row r="4319" spans="1:24" x14ac:dyDescent="0.3">
      <c r="A4319" s="4">
        <v>46101</v>
      </c>
      <c r="B4319">
        <v>20129120</v>
      </c>
      <c r="C4319" t="s">
        <v>19</v>
      </c>
      <c r="D4319">
        <v>613015</v>
      </c>
      <c r="E4319" t="s">
        <v>20</v>
      </c>
      <c r="F4319">
        <v>1002963834</v>
      </c>
      <c r="G4319" t="s">
        <v>4196</v>
      </c>
      <c r="H4319">
        <v>100249262</v>
      </c>
      <c r="I4319">
        <v>202632</v>
      </c>
      <c r="J4319">
        <v>1002963834</v>
      </c>
      <c r="K4319" t="s">
        <v>33</v>
      </c>
      <c r="L4319" t="s">
        <v>90</v>
      </c>
      <c r="M4319" t="s">
        <v>24</v>
      </c>
      <c r="N4319" t="s">
        <v>25</v>
      </c>
      <c r="O4319" t="s">
        <v>26</v>
      </c>
      <c r="P4319" t="s">
        <v>27</v>
      </c>
      <c r="Q4319" t="s">
        <v>28</v>
      </c>
      <c r="R4319" t="s">
        <v>29</v>
      </c>
      <c r="S4319" t="s">
        <v>793</v>
      </c>
      <c r="T4319">
        <f>_xlfn.XLOOKUP(X4319,Hoja2!D:D,Hoja2!A:A)</f>
        <v>10306009131</v>
      </c>
      <c r="U4319" t="str">
        <f>_xlfn.XLOOKUP(X4319,Hoja2!D:D,Hoja2!B:B)</f>
        <v>PAOLA ANDREA CALDERON CETINA</v>
      </c>
      <c r="V4319" t="str">
        <f>_xlfn.XLOOKUP(X4319,Hoja2!D:D,Hoja2!C:C)</f>
        <v>PREGRADO</v>
      </c>
      <c r="W4319" s="9">
        <f>IF(V4319="pregrado",31,
IF(V4319="posgrados",31,
IF(V4319="rEINTEGROS",7,
IF(V4319="BIT",90,
IF(V4319="OP GRADO - INGLÉS",17,"")))))</f>
        <v>31</v>
      </c>
      <c r="X4319" t="s">
        <v>3978</v>
      </c>
    </row>
    <row r="4320" spans="1:24" x14ac:dyDescent="0.3">
      <c r="A4320" s="4">
        <v>46101</v>
      </c>
      <c r="B4320">
        <v>20129153</v>
      </c>
      <c r="C4320" t="s">
        <v>19</v>
      </c>
      <c r="D4320">
        <v>613029</v>
      </c>
      <c r="E4320" t="s">
        <v>20</v>
      </c>
      <c r="F4320">
        <v>1007610870</v>
      </c>
      <c r="G4320" t="s">
        <v>4204</v>
      </c>
      <c r="H4320">
        <v>100249277</v>
      </c>
      <c r="I4320">
        <v>202632</v>
      </c>
      <c r="J4320">
        <v>1052338167</v>
      </c>
      <c r="K4320" t="s">
        <v>33</v>
      </c>
      <c r="L4320" t="s">
        <v>90</v>
      </c>
      <c r="M4320" t="s">
        <v>24</v>
      </c>
      <c r="N4320" t="s">
        <v>38</v>
      </c>
      <c r="O4320" t="s">
        <v>26</v>
      </c>
      <c r="P4320" t="s">
        <v>27</v>
      </c>
      <c r="Q4320" t="s">
        <v>28</v>
      </c>
      <c r="R4320" t="s">
        <v>29</v>
      </c>
      <c r="S4320" t="s">
        <v>793</v>
      </c>
      <c r="T4320">
        <f>_xlfn.XLOOKUP(X4320,Hoja2!D:D,Hoja2!A:A)</f>
        <v>1023370559</v>
      </c>
      <c r="U4320" t="str">
        <f>_xlfn.XLOOKUP(X4320,Hoja2!D:D,Hoja2!B:B)</f>
        <v>PAOLA ANDREA CALDERON CETINA</v>
      </c>
      <c r="V4320" t="str">
        <f>_xlfn.XLOOKUP(X4320,Hoja2!D:D,Hoja2!C:C)</f>
        <v>PREGRADO</v>
      </c>
      <c r="W4320" s="9">
        <f>IF(V4320="pregrado",31,
IF(V4320="posgrados",31,
IF(V4320="rEINTEGROS",7,
IF(V4320="BIT",90,
IF(V4320="OP GRADO - INGLÉS",17,"")))))</f>
        <v>31</v>
      </c>
      <c r="X4320" t="s">
        <v>4017</v>
      </c>
    </row>
    <row r="4321" spans="1:24" x14ac:dyDescent="0.3">
      <c r="A4321" s="4">
        <v>46105</v>
      </c>
      <c r="B4321">
        <v>20129237</v>
      </c>
      <c r="C4321" t="s">
        <v>19</v>
      </c>
      <c r="D4321">
        <v>613030</v>
      </c>
      <c r="E4321" t="s">
        <v>20</v>
      </c>
      <c r="F4321">
        <v>1001782144</v>
      </c>
      <c r="G4321" t="s">
        <v>4219</v>
      </c>
      <c r="H4321">
        <v>100249279</v>
      </c>
      <c r="I4321">
        <v>202632</v>
      </c>
      <c r="J4321">
        <v>1001782144</v>
      </c>
      <c r="K4321" t="s">
        <v>23</v>
      </c>
      <c r="L4321" t="s">
        <v>51</v>
      </c>
      <c r="M4321" t="s">
        <v>24</v>
      </c>
      <c r="N4321" t="s">
        <v>35</v>
      </c>
      <c r="O4321" t="s">
        <v>26</v>
      </c>
      <c r="P4321" t="s">
        <v>27</v>
      </c>
      <c r="Q4321" t="s">
        <v>28</v>
      </c>
      <c r="R4321" t="s">
        <v>29</v>
      </c>
      <c r="S4321" t="s">
        <v>793</v>
      </c>
      <c r="T4321">
        <f>_xlfn.XLOOKUP(X4321,Hoja2!D:D,Hoja2!A:A)</f>
        <v>1019115186</v>
      </c>
      <c r="U4321" t="str">
        <f>_xlfn.XLOOKUP(X4321,Hoja2!D:D,Hoja2!B:B)</f>
        <v>HEIDY LORENA PRIETO AHUMADA</v>
      </c>
      <c r="V4321" t="str">
        <f>_xlfn.XLOOKUP(X4321,Hoja2!D:D,Hoja2!C:C)</f>
        <v>PREGRADO</v>
      </c>
      <c r="W4321" s="9">
        <f>IF(V4321="pregrado",31,
IF(V4321="posgrados",31,
IF(V4321="rEINTEGROS",7,
IF(V4321="BIT",90,
IF(V4321="OP GRADO - INGLÉS",17,"")))))</f>
        <v>31</v>
      </c>
      <c r="X4321" t="s">
        <v>4005</v>
      </c>
    </row>
    <row r="4322" spans="1:24" x14ac:dyDescent="0.3">
      <c r="A4322" s="4">
        <v>46105</v>
      </c>
      <c r="B4322">
        <v>20129240</v>
      </c>
      <c r="C4322" t="s">
        <v>19</v>
      </c>
      <c r="D4322">
        <v>613043</v>
      </c>
      <c r="E4322" t="s">
        <v>20</v>
      </c>
      <c r="F4322">
        <v>1004249797</v>
      </c>
      <c r="G4322" t="s">
        <v>4221</v>
      </c>
      <c r="H4322">
        <v>100249287</v>
      </c>
      <c r="I4322">
        <v>202632</v>
      </c>
      <c r="J4322">
        <v>1004249797</v>
      </c>
      <c r="K4322" t="s">
        <v>33</v>
      </c>
      <c r="L4322" t="s">
        <v>207</v>
      </c>
      <c r="M4322" t="s">
        <v>24</v>
      </c>
      <c r="N4322" t="s">
        <v>25</v>
      </c>
      <c r="O4322" t="s">
        <v>26</v>
      </c>
      <c r="P4322" t="s">
        <v>27</v>
      </c>
      <c r="Q4322" t="s">
        <v>28</v>
      </c>
      <c r="R4322" t="s">
        <v>29</v>
      </c>
      <c r="S4322" t="s">
        <v>793</v>
      </c>
      <c r="T4322">
        <f>_xlfn.XLOOKUP(X4322,Hoja2!D:D,Hoja2!A:A)</f>
        <v>1023000285</v>
      </c>
      <c r="U4322" t="str">
        <f>_xlfn.XLOOKUP(X4322,Hoja2!D:D,Hoja2!B:B)</f>
        <v>Catalina Pacheco Burgos</v>
      </c>
      <c r="V4322" t="str">
        <f>_xlfn.XLOOKUP(X4322,Hoja2!D:D,Hoja2!C:C)</f>
        <v>PREGRADO</v>
      </c>
      <c r="W4322" s="9">
        <f>IF(V4322="pregrado",31,
IF(V4322="posgrados",31,
IF(V4322="rEINTEGROS",7,
IF(V4322="BIT",90,
IF(V4322="OP GRADO - INGLÉS",17,"")))))</f>
        <v>31</v>
      </c>
      <c r="X4322" t="s">
        <v>4926</v>
      </c>
    </row>
    <row r="4323" spans="1:24" x14ac:dyDescent="0.3">
      <c r="A4323" s="4">
        <v>46106</v>
      </c>
      <c r="B4323">
        <v>20129418</v>
      </c>
      <c r="C4323" t="s">
        <v>19</v>
      </c>
      <c r="D4323">
        <v>613044</v>
      </c>
      <c r="E4323" t="s">
        <v>20</v>
      </c>
      <c r="F4323">
        <v>1013104105</v>
      </c>
      <c r="G4323" t="s">
        <v>4263</v>
      </c>
      <c r="H4323">
        <v>100249288</v>
      </c>
      <c r="I4323">
        <v>202632</v>
      </c>
      <c r="J4323">
        <v>1013104105</v>
      </c>
      <c r="K4323" t="s">
        <v>23</v>
      </c>
      <c r="L4323" t="s">
        <v>90</v>
      </c>
      <c r="M4323" t="s">
        <v>24</v>
      </c>
      <c r="N4323" t="s">
        <v>35</v>
      </c>
      <c r="O4323" t="s">
        <v>26</v>
      </c>
      <c r="P4323" t="s">
        <v>27</v>
      </c>
      <c r="Q4323" t="s">
        <v>28</v>
      </c>
      <c r="R4323" t="s">
        <v>29</v>
      </c>
      <c r="S4323" t="s">
        <v>793</v>
      </c>
      <c r="T4323">
        <f>_xlfn.XLOOKUP(X4323,Hoja2!D:D,Hoja2!A:A)</f>
        <v>10245841021</v>
      </c>
      <c r="U4323" t="str">
        <f>_xlfn.XLOOKUP(X4323,Hoja2!D:D,Hoja2!B:B)</f>
        <v>PAOLA ANDREA CALDERON CETINA</v>
      </c>
      <c r="V4323" t="str">
        <f>_xlfn.XLOOKUP(X4323,Hoja2!D:D,Hoja2!C:C)</f>
        <v>PREGRADO</v>
      </c>
      <c r="W4323" s="9">
        <f>IF(V4323="pregrado",31,
IF(V4323="posgrados",31,
IF(V4323="rEINTEGROS",7,
IF(V4323="BIT",90,
IF(V4323="OP GRADO - INGLÉS",17,"")))))</f>
        <v>31</v>
      </c>
      <c r="X4323" t="s">
        <v>3987</v>
      </c>
    </row>
    <row r="4324" spans="1:24" x14ac:dyDescent="0.3">
      <c r="A4324" s="4">
        <v>46107</v>
      </c>
      <c r="B4324">
        <v>20129473</v>
      </c>
      <c r="C4324" t="s">
        <v>19</v>
      </c>
      <c r="D4324">
        <v>613059</v>
      </c>
      <c r="E4324" t="s">
        <v>20</v>
      </c>
      <c r="F4324">
        <v>27277440</v>
      </c>
      <c r="G4324" t="s">
        <v>4274</v>
      </c>
      <c r="H4324">
        <v>200045080</v>
      </c>
      <c r="I4324">
        <v>202632</v>
      </c>
      <c r="J4324">
        <v>27277440</v>
      </c>
      <c r="K4324" t="s">
        <v>33</v>
      </c>
      <c r="L4324" t="s">
        <v>119</v>
      </c>
      <c r="M4324" t="s">
        <v>24</v>
      </c>
      <c r="N4324" t="s">
        <v>35</v>
      </c>
      <c r="O4324" t="s">
        <v>26</v>
      </c>
      <c r="P4324" t="s">
        <v>27</v>
      </c>
      <c r="Q4324" t="s">
        <v>28</v>
      </c>
      <c r="R4324" t="s">
        <v>29</v>
      </c>
      <c r="S4324" t="s">
        <v>793</v>
      </c>
      <c r="T4324">
        <f>_xlfn.XLOOKUP(X4324,Hoja2!D:D,Hoja2!A:A)</f>
        <v>1000251314</v>
      </c>
      <c r="U4324" t="str">
        <f>_xlfn.XLOOKUP(X4324,Hoja2!D:D,Hoja2!B:B)</f>
        <v>MARSHIA MILENA JIMéNEZ GóMEZ</v>
      </c>
      <c r="V4324" t="str">
        <f>_xlfn.XLOOKUP(X4324,Hoja2!D:D,Hoja2!C:C)</f>
        <v>PREGRADO</v>
      </c>
      <c r="W4324" s="9">
        <f>IF(V4324="pregrado",31,
IF(V4324="posgrados",31,
IF(V4324="rEINTEGROS",7,
IF(V4324="BIT",90,
IF(V4324="OP GRADO - INGLÉS",17,"")))))</f>
        <v>31</v>
      </c>
      <c r="X4324" t="s">
        <v>4024</v>
      </c>
    </row>
    <row r="4325" spans="1:24" x14ac:dyDescent="0.3">
      <c r="A4325" s="4">
        <v>46101</v>
      </c>
      <c r="B4325">
        <v>20129163</v>
      </c>
      <c r="C4325" t="s">
        <v>19</v>
      </c>
      <c r="D4325">
        <v>613061</v>
      </c>
      <c r="E4325" t="s">
        <v>20</v>
      </c>
      <c r="F4325">
        <v>1063363797</v>
      </c>
      <c r="G4325" t="s">
        <v>4205</v>
      </c>
      <c r="H4325">
        <v>100248941</v>
      </c>
      <c r="I4325">
        <v>202632</v>
      </c>
      <c r="J4325">
        <v>1063363797</v>
      </c>
      <c r="K4325" t="s">
        <v>23</v>
      </c>
      <c r="L4325" t="s">
        <v>51</v>
      </c>
      <c r="M4325" t="s">
        <v>24</v>
      </c>
      <c r="N4325" t="s">
        <v>35</v>
      </c>
      <c r="O4325" t="s">
        <v>26</v>
      </c>
      <c r="P4325" t="s">
        <v>27</v>
      </c>
      <c r="Q4325" t="s">
        <v>28</v>
      </c>
      <c r="R4325" t="s">
        <v>29</v>
      </c>
      <c r="S4325" t="s">
        <v>793</v>
      </c>
      <c r="T4325">
        <f>_xlfn.XLOOKUP(X4325,Hoja2!D:D,Hoja2!A:A)</f>
        <v>1002500634</v>
      </c>
      <c r="U4325" t="str">
        <f>_xlfn.XLOOKUP(X4325,Hoja2!D:D,Hoja2!B:B)</f>
        <v>CATALINA PACHECO BURGOS</v>
      </c>
      <c r="V4325" t="str">
        <f>_xlfn.XLOOKUP(X4325,Hoja2!D:D,Hoja2!C:C)</f>
        <v>PREGRADO</v>
      </c>
      <c r="W4325" s="9">
        <f>IF(V4325="pregrado",31,
IF(V4325="posgrados",31,
IF(V4325="rEINTEGROS",7,
IF(V4325="BIT",90,
IF(V4325="OP GRADO - INGLÉS",17,"")))))</f>
        <v>31</v>
      </c>
      <c r="X4325" t="s">
        <v>4026</v>
      </c>
    </row>
    <row r="4326" spans="1:24" x14ac:dyDescent="0.3">
      <c r="A4326" s="4">
        <v>46106</v>
      </c>
      <c r="B4326">
        <v>20129391</v>
      </c>
      <c r="C4326" t="s">
        <v>19</v>
      </c>
      <c r="D4326">
        <v>613068</v>
      </c>
      <c r="E4326" t="s">
        <v>20</v>
      </c>
      <c r="F4326">
        <v>1025530171</v>
      </c>
      <c r="G4326" t="s">
        <v>4255</v>
      </c>
      <c r="H4326">
        <v>100249313</v>
      </c>
      <c r="I4326">
        <v>202632</v>
      </c>
      <c r="J4326">
        <v>1025530171</v>
      </c>
      <c r="K4326" t="s">
        <v>33</v>
      </c>
      <c r="L4326" t="s">
        <v>207</v>
      </c>
      <c r="M4326" t="s">
        <v>24</v>
      </c>
      <c r="N4326" t="s">
        <v>38</v>
      </c>
      <c r="O4326" t="s">
        <v>26</v>
      </c>
      <c r="P4326" t="s">
        <v>27</v>
      </c>
      <c r="Q4326" t="s">
        <v>28</v>
      </c>
      <c r="R4326" t="s">
        <v>29</v>
      </c>
      <c r="S4326" t="s">
        <v>793</v>
      </c>
      <c r="T4326">
        <f>_xlfn.XLOOKUP(X4326,Hoja2!D:D,Hoja2!A:A)</f>
        <v>1006459732</v>
      </c>
      <c r="U4326" t="str">
        <f>_xlfn.XLOOKUP(X4326,Hoja2!D:D,Hoja2!B:B)</f>
        <v>Catalina Pacheco Burgos</v>
      </c>
      <c r="V4326" t="str">
        <f>_xlfn.XLOOKUP(X4326,Hoja2!D:D,Hoja2!C:C)</f>
        <v>PREGRADO</v>
      </c>
      <c r="W4326" s="9">
        <f>IF(V4326="pregrado",31,
IF(V4326="posgrados",31,
IF(V4326="rEINTEGROS",7,
IF(V4326="BIT",90,
IF(V4326="OP GRADO - INGLÉS",17,"")))))</f>
        <v>31</v>
      </c>
      <c r="X4326" t="s">
        <v>4922</v>
      </c>
    </row>
    <row r="4327" spans="1:24" x14ac:dyDescent="0.3">
      <c r="A4327" s="4">
        <v>46105</v>
      </c>
      <c r="B4327">
        <v>20129265</v>
      </c>
      <c r="C4327" t="s">
        <v>19</v>
      </c>
      <c r="D4327">
        <v>613076</v>
      </c>
      <c r="E4327" t="s">
        <v>20</v>
      </c>
      <c r="F4327">
        <v>1073984985</v>
      </c>
      <c r="G4327" t="s">
        <v>4232</v>
      </c>
      <c r="H4327">
        <v>100125184</v>
      </c>
      <c r="I4327">
        <v>202632</v>
      </c>
      <c r="J4327">
        <v>1073984985</v>
      </c>
      <c r="K4327" t="s">
        <v>23</v>
      </c>
      <c r="L4327" t="s">
        <v>240</v>
      </c>
      <c r="M4327" t="s">
        <v>24</v>
      </c>
      <c r="N4327" t="s">
        <v>38</v>
      </c>
      <c r="O4327" t="s">
        <v>26</v>
      </c>
      <c r="P4327" t="s">
        <v>27</v>
      </c>
      <c r="Q4327" t="s">
        <v>28</v>
      </c>
      <c r="R4327" t="s">
        <v>29</v>
      </c>
      <c r="S4327" t="s">
        <v>793</v>
      </c>
      <c r="T4327">
        <f>_xlfn.XLOOKUP(X4327,Hoja2!D:D,Hoja2!A:A)</f>
        <v>1030570122</v>
      </c>
      <c r="U4327" t="str">
        <f>_xlfn.XLOOKUP(X4327,Hoja2!D:D,Hoja2!B:B)</f>
        <v>NELSON JAVIER MORERA RINCON</v>
      </c>
      <c r="V4327" t="str">
        <f>_xlfn.XLOOKUP(X4327,Hoja2!D:D,Hoja2!C:C)</f>
        <v>PREGRADO</v>
      </c>
      <c r="W4327" s="9">
        <f>IF(V4327="pregrado",31,
IF(V4327="posgrados",31,
IF(V4327="rEINTEGROS",7,
IF(V4327="BIT",90,
IF(V4327="OP GRADO - INGLÉS",17,"")))))</f>
        <v>31</v>
      </c>
      <c r="X4327" t="s">
        <v>4015</v>
      </c>
    </row>
    <row r="4328" spans="1:24" x14ac:dyDescent="0.3">
      <c r="A4328" s="4">
        <v>46106</v>
      </c>
      <c r="B4328">
        <v>20129373</v>
      </c>
      <c r="C4328" t="s">
        <v>19</v>
      </c>
      <c r="D4328">
        <v>613092</v>
      </c>
      <c r="E4328" t="s">
        <v>20</v>
      </c>
      <c r="F4328">
        <v>11802775</v>
      </c>
      <c r="G4328" t="s">
        <v>4251</v>
      </c>
      <c r="H4328">
        <v>100249341</v>
      </c>
      <c r="I4328">
        <v>202632</v>
      </c>
      <c r="J4328">
        <v>11802775</v>
      </c>
      <c r="K4328" t="s">
        <v>23</v>
      </c>
      <c r="L4328" t="s">
        <v>51</v>
      </c>
      <c r="M4328" t="s">
        <v>24</v>
      </c>
      <c r="N4328" t="s">
        <v>35</v>
      </c>
      <c r="O4328" t="s">
        <v>26</v>
      </c>
      <c r="P4328" t="s">
        <v>27</v>
      </c>
      <c r="Q4328" t="s">
        <v>28</v>
      </c>
      <c r="R4328" t="s">
        <v>29</v>
      </c>
      <c r="S4328" t="s">
        <v>793</v>
      </c>
      <c r="T4328">
        <f>_xlfn.XLOOKUP(X4328,Hoja2!D:D,Hoja2!A:A)</f>
        <v>63501040</v>
      </c>
      <c r="U4328" t="str">
        <f>_xlfn.XLOOKUP(X4328,Hoja2!D:D,Hoja2!B:B)</f>
        <v>HEIDY LORENA PRIETO AHUMADA</v>
      </c>
      <c r="V4328" t="str">
        <f>_xlfn.XLOOKUP(X4328,Hoja2!D:D,Hoja2!C:C)</f>
        <v>PREGRADO</v>
      </c>
      <c r="W4328" s="9">
        <f>IF(V4328="pregrado",31,
IF(V4328="posgrados",31,
IF(V4328="rEINTEGROS",7,
IF(V4328="BIT",90,
IF(V4328="OP GRADO - INGLÉS",17,"")))))</f>
        <v>31</v>
      </c>
      <c r="X4328" t="s">
        <v>4087</v>
      </c>
    </row>
    <row r="4329" spans="1:24" x14ac:dyDescent="0.3">
      <c r="A4329" s="4">
        <v>46105</v>
      </c>
      <c r="B4329">
        <v>20129309</v>
      </c>
      <c r="C4329" t="s">
        <v>19</v>
      </c>
      <c r="D4329">
        <v>613101</v>
      </c>
      <c r="E4329" t="s">
        <v>20</v>
      </c>
      <c r="F4329">
        <v>43878268</v>
      </c>
      <c r="G4329" t="s">
        <v>4240</v>
      </c>
      <c r="H4329">
        <v>100249355</v>
      </c>
      <c r="I4329">
        <v>202632</v>
      </c>
      <c r="J4329">
        <v>1011325746</v>
      </c>
      <c r="K4329" t="s">
        <v>74</v>
      </c>
      <c r="L4329" t="s">
        <v>240</v>
      </c>
      <c r="M4329" t="s">
        <v>24</v>
      </c>
      <c r="N4329" t="s">
        <v>35</v>
      </c>
      <c r="O4329" t="s">
        <v>26</v>
      </c>
      <c r="P4329" t="s">
        <v>27</v>
      </c>
      <c r="Q4329" t="s">
        <v>28</v>
      </c>
      <c r="R4329" t="s">
        <v>29</v>
      </c>
      <c r="S4329" t="s">
        <v>793</v>
      </c>
      <c r="T4329">
        <f>_xlfn.XLOOKUP(X4329,Hoja2!D:D,Hoja2!A:A)</f>
        <v>52342867</v>
      </c>
      <c r="U4329" t="str">
        <f>_xlfn.XLOOKUP(X4329,Hoja2!D:D,Hoja2!B:B)</f>
        <v>NELSON JAVIER MORERA RINCON</v>
      </c>
      <c r="V4329" t="str">
        <f>_xlfn.XLOOKUP(X4329,Hoja2!D:D,Hoja2!C:C)</f>
        <v>PREGRADO</v>
      </c>
      <c r="W4329" s="9">
        <f>IF(V4329="pregrado",31,
IF(V4329="posgrados",31,
IF(V4329="rEINTEGROS",7,
IF(V4329="BIT",90,
IF(V4329="OP GRADO - INGLÉS",17,"")))))</f>
        <v>31</v>
      </c>
      <c r="X4329" t="s">
        <v>4047</v>
      </c>
    </row>
    <row r="4330" spans="1:24" x14ac:dyDescent="0.3">
      <c r="A4330" s="4">
        <v>46105</v>
      </c>
      <c r="B4330">
        <v>20129233</v>
      </c>
      <c r="C4330" t="s">
        <v>19</v>
      </c>
      <c r="D4330">
        <v>613113</v>
      </c>
      <c r="E4330" t="s">
        <v>20</v>
      </c>
      <c r="F4330">
        <v>1081053820</v>
      </c>
      <c r="G4330" t="s">
        <v>4217</v>
      </c>
      <c r="H4330">
        <v>100249372</v>
      </c>
      <c r="I4330">
        <v>202612</v>
      </c>
      <c r="J4330">
        <v>1081053820</v>
      </c>
      <c r="K4330" t="s">
        <v>23</v>
      </c>
      <c r="L4330" t="s">
        <v>221</v>
      </c>
      <c r="M4330" t="s">
        <v>24</v>
      </c>
      <c r="N4330" t="s">
        <v>35</v>
      </c>
      <c r="O4330" t="s">
        <v>26</v>
      </c>
      <c r="P4330" t="s">
        <v>27</v>
      </c>
      <c r="Q4330" t="s">
        <v>28</v>
      </c>
      <c r="R4330" t="s">
        <v>29</v>
      </c>
      <c r="S4330" t="s">
        <v>793</v>
      </c>
      <c r="T4330">
        <f>_xlfn.XLOOKUP(X4330,Hoja2!D:D,Hoja2!A:A)</f>
        <v>1015428862</v>
      </c>
      <c r="U4330" t="str">
        <f>_xlfn.XLOOKUP(X4330,Hoja2!D:D,Hoja2!B:B)</f>
        <v>NELSON JAVIER MORERA RINCON</v>
      </c>
      <c r="V4330" t="str">
        <f>_xlfn.XLOOKUP(X4330,Hoja2!D:D,Hoja2!C:C)</f>
        <v>PREGRADO</v>
      </c>
      <c r="W4330" s="9">
        <f>IF(V4330="pregrado",31,
IF(V4330="posgrados",31,
IF(V4330="rEINTEGROS",7,
IF(V4330="BIT",90,
IF(V4330="OP GRADO - INGLÉS",17,"")))))</f>
        <v>31</v>
      </c>
      <c r="X4330" t="s">
        <v>4048</v>
      </c>
    </row>
    <row r="4331" spans="1:24" x14ac:dyDescent="0.3">
      <c r="A4331" s="4">
        <v>46105</v>
      </c>
      <c r="B4331">
        <v>20129232</v>
      </c>
      <c r="C4331" t="s">
        <v>19</v>
      </c>
      <c r="D4331">
        <v>613135</v>
      </c>
      <c r="E4331" t="s">
        <v>20</v>
      </c>
      <c r="F4331">
        <v>1052970409</v>
      </c>
      <c r="G4331" t="s">
        <v>4216</v>
      </c>
      <c r="H4331">
        <v>100249394</v>
      </c>
      <c r="I4331">
        <v>202632</v>
      </c>
      <c r="J4331">
        <v>1052970409</v>
      </c>
      <c r="K4331" t="s">
        <v>23</v>
      </c>
      <c r="L4331" t="s">
        <v>240</v>
      </c>
      <c r="M4331" t="s">
        <v>24</v>
      </c>
      <c r="N4331" t="s">
        <v>35</v>
      </c>
      <c r="O4331" t="s">
        <v>26</v>
      </c>
      <c r="P4331" t="s">
        <v>27</v>
      </c>
      <c r="Q4331" t="s">
        <v>28</v>
      </c>
      <c r="R4331" t="s">
        <v>29</v>
      </c>
      <c r="S4331" t="s">
        <v>793</v>
      </c>
      <c r="T4331">
        <f>_xlfn.XLOOKUP(X4331,Hoja2!D:D,Hoja2!A:A)</f>
        <v>52342867</v>
      </c>
      <c r="U4331" t="str">
        <f>_xlfn.XLOOKUP(X4331,Hoja2!D:D,Hoja2!B:B)</f>
        <v>NELSON JAVIER MORERA RINCON</v>
      </c>
      <c r="V4331" t="str">
        <f>_xlfn.XLOOKUP(X4331,Hoja2!D:D,Hoja2!C:C)</f>
        <v>PREGRADO</v>
      </c>
      <c r="W4331" s="9">
        <f>IF(V4331="pregrado",31,
IF(V4331="posgrados",31,
IF(V4331="rEINTEGROS",7,
IF(V4331="BIT",90,
IF(V4331="OP GRADO - INGLÉS",17,"")))))</f>
        <v>31</v>
      </c>
      <c r="X4331" t="s">
        <v>4047</v>
      </c>
    </row>
    <row r="4332" spans="1:24" x14ac:dyDescent="0.3">
      <c r="A4332" s="4">
        <v>46135</v>
      </c>
      <c r="B4332">
        <v>20132074</v>
      </c>
      <c r="C4332" t="s">
        <v>19</v>
      </c>
      <c r="D4332">
        <v>613144</v>
      </c>
      <c r="E4332" t="s">
        <v>20</v>
      </c>
      <c r="F4332">
        <v>1004540930</v>
      </c>
      <c r="G4332" t="s">
        <v>4817</v>
      </c>
      <c r="H4332">
        <v>100249406</v>
      </c>
      <c r="I4332">
        <v>202632</v>
      </c>
      <c r="J4332">
        <v>1004540930</v>
      </c>
      <c r="K4332" t="s">
        <v>33</v>
      </c>
      <c r="L4332" t="s">
        <v>240</v>
      </c>
      <c r="M4332" t="s">
        <v>24</v>
      </c>
      <c r="N4332" t="s">
        <v>25</v>
      </c>
      <c r="O4332" t="s">
        <v>26</v>
      </c>
      <c r="P4332" t="s">
        <v>27</v>
      </c>
      <c r="Q4332" t="s">
        <v>28</v>
      </c>
      <c r="R4332" t="s">
        <v>29</v>
      </c>
      <c r="S4332" t="s">
        <v>793</v>
      </c>
      <c r="T4332">
        <f>_xlfn.XLOOKUP(X4332,Hoja2!D:D,Hoja2!A:A)</f>
        <v>1030651078</v>
      </c>
      <c r="U4332" t="str">
        <f>_xlfn.XLOOKUP(X4332,Hoja2!D:D,Hoja2!B:B)</f>
        <v>NELSON JAVIER MORERA RINCON</v>
      </c>
      <c r="V4332" t="str">
        <f>_xlfn.XLOOKUP(X4332,Hoja2!D:D,Hoja2!C:C)</f>
        <v>PREGRADO</v>
      </c>
      <c r="W4332" s="9">
        <f>IF(V4332="pregrado",31,
IF(V4332="posgrados",31,
IF(V4332="rEINTEGROS",7,
IF(V4332="BIT",90,
IF(V4332="OP GRADO - INGLÉS",17,"")))))</f>
        <v>31</v>
      </c>
      <c r="X4332" t="s">
        <v>4085</v>
      </c>
    </row>
    <row r="4333" spans="1:24" x14ac:dyDescent="0.3">
      <c r="A4333" s="4">
        <v>46125</v>
      </c>
      <c r="B4333">
        <v>20130850</v>
      </c>
      <c r="C4333" t="s">
        <v>19</v>
      </c>
      <c r="D4333">
        <v>613146</v>
      </c>
      <c r="E4333" t="s">
        <v>20</v>
      </c>
      <c r="F4333">
        <v>1103121791</v>
      </c>
      <c r="G4333" t="s">
        <v>4538</v>
      </c>
      <c r="H4333">
        <v>200263537</v>
      </c>
      <c r="I4333">
        <v>202632</v>
      </c>
      <c r="J4333">
        <v>1103121791</v>
      </c>
      <c r="K4333" t="s">
        <v>33</v>
      </c>
      <c r="L4333" t="s">
        <v>101</v>
      </c>
      <c r="M4333" t="s">
        <v>24</v>
      </c>
      <c r="N4333" t="s">
        <v>35</v>
      </c>
      <c r="O4333" t="s">
        <v>26</v>
      </c>
      <c r="P4333" t="s">
        <v>27</v>
      </c>
      <c r="Q4333" t="s">
        <v>28</v>
      </c>
      <c r="R4333" t="s">
        <v>29</v>
      </c>
      <c r="S4333" t="s">
        <v>793</v>
      </c>
      <c r="T4333">
        <f>_xlfn.XLOOKUP(X4333,Hoja2!D:D,Hoja2!A:A)</f>
        <v>1000973717</v>
      </c>
      <c r="U4333" t="str">
        <f>_xlfn.XLOOKUP(X4333,Hoja2!D:D,Hoja2!B:B)</f>
        <v>MARSHIA MILENA JIMéNEZ GóMEZ</v>
      </c>
      <c r="V4333" t="str">
        <f>_xlfn.XLOOKUP(X4333,Hoja2!D:D,Hoja2!C:C)</f>
        <v>PREGRADO</v>
      </c>
      <c r="W4333" s="9">
        <f>IF(V4333="pregrado",31,
IF(V4333="posgrados",31,
IF(V4333="rEINTEGROS",7,
IF(V4333="BIT",90,
IF(V4333="OP GRADO - INGLÉS",17,"")))))</f>
        <v>31</v>
      </c>
      <c r="X4333" t="s">
        <v>4073</v>
      </c>
    </row>
    <row r="4334" spans="1:24" x14ac:dyDescent="0.3">
      <c r="A4334" s="4">
        <v>46105</v>
      </c>
      <c r="B4334">
        <v>20129257</v>
      </c>
      <c r="C4334" t="s">
        <v>19</v>
      </c>
      <c r="D4334">
        <v>613153</v>
      </c>
      <c r="E4334" t="s">
        <v>20</v>
      </c>
      <c r="F4334">
        <v>1019147476</v>
      </c>
      <c r="G4334" t="s">
        <v>4229</v>
      </c>
      <c r="H4334">
        <v>200118647</v>
      </c>
      <c r="I4334">
        <v>202632</v>
      </c>
      <c r="J4334">
        <v>1019147476</v>
      </c>
      <c r="K4334" t="s">
        <v>33</v>
      </c>
      <c r="L4334" t="s">
        <v>119</v>
      </c>
      <c r="M4334" t="s">
        <v>24</v>
      </c>
      <c r="N4334" t="s">
        <v>35</v>
      </c>
      <c r="O4334" t="s">
        <v>26</v>
      </c>
      <c r="P4334" t="s">
        <v>27</v>
      </c>
      <c r="Q4334" t="s">
        <v>28</v>
      </c>
      <c r="R4334" t="s">
        <v>29</v>
      </c>
      <c r="S4334" t="s">
        <v>793</v>
      </c>
      <c r="T4334">
        <f>_xlfn.XLOOKUP(X4334,Hoja2!D:D,Hoja2!A:A)</f>
        <v>1000251314</v>
      </c>
      <c r="U4334" t="str">
        <f>_xlfn.XLOOKUP(X4334,Hoja2!D:D,Hoja2!B:B)</f>
        <v>MARSHIA MILENA JIMéNEZ GóMEZ</v>
      </c>
      <c r="V4334" t="str">
        <f>_xlfn.XLOOKUP(X4334,Hoja2!D:D,Hoja2!C:C)</f>
        <v>PREGRADO</v>
      </c>
      <c r="W4334" s="9">
        <f>IF(V4334="pregrado",31,
IF(V4334="posgrados",31,
IF(V4334="rEINTEGROS",7,
IF(V4334="BIT",90,
IF(V4334="OP GRADO - INGLÉS",17,"")))))</f>
        <v>31</v>
      </c>
      <c r="X4334" t="s">
        <v>4024</v>
      </c>
    </row>
    <row r="4335" spans="1:24" x14ac:dyDescent="0.3">
      <c r="A4335" s="4">
        <v>46132</v>
      </c>
      <c r="B4335">
        <v>20131709</v>
      </c>
      <c r="C4335" t="s">
        <v>19</v>
      </c>
      <c r="D4335">
        <v>613193</v>
      </c>
      <c r="E4335" t="s">
        <v>20</v>
      </c>
      <c r="F4335">
        <v>13850465</v>
      </c>
      <c r="G4335" t="s">
        <v>4728</v>
      </c>
      <c r="H4335">
        <v>100249460</v>
      </c>
      <c r="I4335">
        <v>202632</v>
      </c>
      <c r="J4335">
        <v>63545322</v>
      </c>
      <c r="K4335" t="s">
        <v>33</v>
      </c>
      <c r="L4335" t="s">
        <v>207</v>
      </c>
      <c r="M4335" t="s">
        <v>24</v>
      </c>
      <c r="N4335" t="s">
        <v>35</v>
      </c>
      <c r="O4335" t="s">
        <v>26</v>
      </c>
      <c r="P4335" t="s">
        <v>27</v>
      </c>
      <c r="Q4335" t="s">
        <v>28</v>
      </c>
      <c r="R4335" t="s">
        <v>29</v>
      </c>
      <c r="S4335" t="s">
        <v>793</v>
      </c>
      <c r="T4335">
        <f>_xlfn.XLOOKUP(X4335,Hoja2!D:D,Hoja2!A:A)</f>
        <v>1000183349</v>
      </c>
      <c r="U4335" t="str">
        <f>_xlfn.XLOOKUP(X4335,Hoja2!D:D,Hoja2!B:B)</f>
        <v>JOVANNY ALEXANDER BENAVIDES APRAEZ</v>
      </c>
      <c r="V4335" t="str">
        <f>_xlfn.XLOOKUP(X4335,Hoja2!D:D,Hoja2!C:C)</f>
        <v>PREGRADO</v>
      </c>
      <c r="W4335" s="9">
        <f>IF(V4335="pregrado",31,
IF(V4335="posgrados",31,
IF(V4335="rEINTEGROS",7,
IF(V4335="BIT",90,
IF(V4335="OP GRADO - INGLÉS",17,"")))))</f>
        <v>31</v>
      </c>
      <c r="X4335" t="s">
        <v>4083</v>
      </c>
    </row>
    <row r="4336" spans="1:24" x14ac:dyDescent="0.3">
      <c r="A4336" s="4">
        <v>46113</v>
      </c>
      <c r="B4336">
        <v>20130033</v>
      </c>
      <c r="C4336" t="s">
        <v>19</v>
      </c>
      <c r="D4336">
        <v>613222</v>
      </c>
      <c r="E4336" t="s">
        <v>20</v>
      </c>
      <c r="F4336">
        <v>1103118241</v>
      </c>
      <c r="G4336" t="s">
        <v>4386</v>
      </c>
      <c r="H4336">
        <v>200264575</v>
      </c>
      <c r="I4336">
        <v>202632</v>
      </c>
      <c r="J4336">
        <v>1103118241</v>
      </c>
      <c r="K4336" t="s">
        <v>33</v>
      </c>
      <c r="L4336" t="s">
        <v>101</v>
      </c>
      <c r="M4336" t="s">
        <v>24</v>
      </c>
      <c r="N4336" t="s">
        <v>35</v>
      </c>
      <c r="O4336" t="s">
        <v>26</v>
      </c>
      <c r="P4336" t="s">
        <v>27</v>
      </c>
      <c r="Q4336" t="s">
        <v>28</v>
      </c>
      <c r="R4336" t="s">
        <v>29</v>
      </c>
      <c r="S4336" t="s">
        <v>793</v>
      </c>
      <c r="T4336">
        <f>_xlfn.XLOOKUP(X4336,Hoja2!D:D,Hoja2!A:A)</f>
        <v>1000973717</v>
      </c>
      <c r="U4336" t="str">
        <f>_xlfn.XLOOKUP(X4336,Hoja2!D:D,Hoja2!B:B)</f>
        <v>MARSHIA MILENA JIMéNEZ GóMEZ</v>
      </c>
      <c r="V4336" t="str">
        <f>_xlfn.XLOOKUP(X4336,Hoja2!D:D,Hoja2!C:C)</f>
        <v>PREGRADO</v>
      </c>
      <c r="W4336" s="9">
        <f>IF(V4336="pregrado",31,
IF(V4336="posgrados",31,
IF(V4336="rEINTEGROS",7,
IF(V4336="BIT",90,
IF(V4336="OP GRADO - INGLÉS",17,"")))))</f>
        <v>31</v>
      </c>
      <c r="X4336" t="s">
        <v>4073</v>
      </c>
    </row>
    <row r="4337" spans="1:24" x14ac:dyDescent="0.3">
      <c r="A4337" s="4">
        <v>46106</v>
      </c>
      <c r="B4337">
        <v>20129393</v>
      </c>
      <c r="C4337" t="s">
        <v>19</v>
      </c>
      <c r="D4337">
        <v>613225</v>
      </c>
      <c r="E4337" t="s">
        <v>20</v>
      </c>
      <c r="F4337">
        <v>1002964435</v>
      </c>
      <c r="G4337" t="s">
        <v>4256</v>
      </c>
      <c r="H4337">
        <v>100249486</v>
      </c>
      <c r="I4337">
        <v>202612</v>
      </c>
      <c r="J4337">
        <v>1002964435</v>
      </c>
      <c r="K4337" t="s">
        <v>33</v>
      </c>
      <c r="L4337" t="s">
        <v>204</v>
      </c>
      <c r="M4337" t="s">
        <v>24</v>
      </c>
      <c r="N4337" t="s">
        <v>25</v>
      </c>
      <c r="O4337" t="s">
        <v>26</v>
      </c>
      <c r="P4337" t="s">
        <v>27</v>
      </c>
      <c r="Q4337" t="s">
        <v>28</v>
      </c>
      <c r="R4337" t="s">
        <v>29</v>
      </c>
      <c r="S4337" t="s">
        <v>793</v>
      </c>
      <c r="T4337">
        <f>_xlfn.XLOOKUP(X4337,Hoja2!D:D,Hoja2!A:A)</f>
        <v>1032394283</v>
      </c>
      <c r="U4337" t="str">
        <f>_xlfn.XLOOKUP(X4337,Hoja2!D:D,Hoja2!B:B)</f>
        <v>HEIDY LORENA PRIETO AHUMADA</v>
      </c>
      <c r="V4337" t="str">
        <f>_xlfn.XLOOKUP(X4337,Hoja2!D:D,Hoja2!C:C)</f>
        <v>PREGRADO</v>
      </c>
      <c r="W4337" s="9">
        <f>IF(V4337="pregrado",31,
IF(V4337="posgrados",31,
IF(V4337="rEINTEGROS",7,
IF(V4337="BIT",90,
IF(V4337="OP GRADO - INGLÉS",17,"")))))</f>
        <v>31</v>
      </c>
      <c r="X4337" t="s">
        <v>4034</v>
      </c>
    </row>
    <row r="4338" spans="1:24" x14ac:dyDescent="0.3">
      <c r="A4338" s="4">
        <v>46122</v>
      </c>
      <c r="B4338">
        <v>20130647</v>
      </c>
      <c r="C4338" t="s">
        <v>19</v>
      </c>
      <c r="D4338">
        <v>613229</v>
      </c>
      <c r="E4338" t="s">
        <v>20</v>
      </c>
      <c r="F4338">
        <v>1069480973</v>
      </c>
      <c r="G4338" t="s">
        <v>4495</v>
      </c>
      <c r="H4338">
        <v>100249492</v>
      </c>
      <c r="I4338">
        <v>202632</v>
      </c>
      <c r="J4338">
        <v>1069480973</v>
      </c>
      <c r="K4338" t="s">
        <v>33</v>
      </c>
      <c r="L4338" t="s">
        <v>3922</v>
      </c>
      <c r="M4338" t="s">
        <v>24</v>
      </c>
      <c r="N4338" t="s">
        <v>35</v>
      </c>
      <c r="O4338" t="s">
        <v>26</v>
      </c>
      <c r="P4338" t="s">
        <v>27</v>
      </c>
      <c r="Q4338" t="s">
        <v>28</v>
      </c>
      <c r="R4338" t="s">
        <v>29</v>
      </c>
      <c r="S4338" t="s">
        <v>793</v>
      </c>
      <c r="T4338">
        <f>_xlfn.XLOOKUP(X4338,Hoja2!D:D,Hoja2!A:A)</f>
        <v>53040709</v>
      </c>
      <c r="U4338" t="str">
        <f>_xlfn.XLOOKUP(X4338,Hoja2!D:D,Hoja2!B:B)</f>
        <v>MARSHIA MILENA JIMéNEZ GóMEZ</v>
      </c>
      <c r="V4338" t="str">
        <f>_xlfn.XLOOKUP(X4338,Hoja2!D:D,Hoja2!C:C)</f>
        <v>PREGRADO</v>
      </c>
      <c r="W4338" s="9">
        <f>IF(V4338="pregrado",31,
IF(V4338="posgrados",31,
IF(V4338="rEINTEGROS",7,
IF(V4338="BIT",90,
IF(V4338="OP GRADO - INGLÉS",17,"")))))</f>
        <v>31</v>
      </c>
      <c r="X4338" t="s">
        <v>3994</v>
      </c>
    </row>
    <row r="4339" spans="1:24" x14ac:dyDescent="0.3">
      <c r="A4339" s="4">
        <v>46108</v>
      </c>
      <c r="B4339">
        <v>20129619</v>
      </c>
      <c r="C4339" t="s">
        <v>19</v>
      </c>
      <c r="D4339">
        <v>613236</v>
      </c>
      <c r="E4339" t="s">
        <v>20</v>
      </c>
      <c r="F4339">
        <v>1120385661</v>
      </c>
      <c r="G4339" t="s">
        <v>4310</v>
      </c>
      <c r="H4339">
        <v>100249498</v>
      </c>
      <c r="I4339">
        <v>202632</v>
      </c>
      <c r="J4339">
        <v>1120385661</v>
      </c>
      <c r="K4339" t="s">
        <v>33</v>
      </c>
      <c r="L4339" t="s">
        <v>207</v>
      </c>
      <c r="M4339" t="s">
        <v>24</v>
      </c>
      <c r="N4339" t="s">
        <v>25</v>
      </c>
      <c r="O4339" t="s">
        <v>26</v>
      </c>
      <c r="P4339" t="s">
        <v>27</v>
      </c>
      <c r="Q4339" t="s">
        <v>28</v>
      </c>
      <c r="R4339" t="s">
        <v>29</v>
      </c>
      <c r="S4339" t="s">
        <v>793</v>
      </c>
      <c r="T4339">
        <f>_xlfn.XLOOKUP(X4339,Hoja2!D:D,Hoja2!A:A)</f>
        <v>1070815435</v>
      </c>
      <c r="U4339" t="str">
        <f>_xlfn.XLOOKUP(X4339,Hoja2!D:D,Hoja2!B:B)</f>
        <v>CATALINA PACHECO BURGOS</v>
      </c>
      <c r="V4339" t="str">
        <f>_xlfn.XLOOKUP(X4339,Hoja2!D:D,Hoja2!C:C)</f>
        <v>PREGRADO</v>
      </c>
      <c r="W4339" s="9">
        <f>IF(V4339="pregrado",31,
IF(V4339="posgrados",31,
IF(V4339="rEINTEGROS",7,
IF(V4339="BIT",90,
IF(V4339="OP GRADO - INGLÉS",17,"")))))</f>
        <v>31</v>
      </c>
      <c r="X4339" t="s">
        <v>4038</v>
      </c>
    </row>
    <row r="4340" spans="1:24" x14ac:dyDescent="0.3">
      <c r="A4340" s="4">
        <v>46107</v>
      </c>
      <c r="B4340">
        <v>20129501</v>
      </c>
      <c r="C4340" t="s">
        <v>19</v>
      </c>
      <c r="D4340">
        <v>613253</v>
      </c>
      <c r="E4340" t="s">
        <v>20</v>
      </c>
      <c r="F4340">
        <v>80061649</v>
      </c>
      <c r="G4340" t="s">
        <v>4280</v>
      </c>
      <c r="H4340">
        <v>100249502</v>
      </c>
      <c r="I4340">
        <v>202632</v>
      </c>
      <c r="J4340">
        <v>1019764225</v>
      </c>
      <c r="K4340" t="s">
        <v>33</v>
      </c>
      <c r="L4340" t="s">
        <v>90</v>
      </c>
      <c r="M4340" t="s">
        <v>24</v>
      </c>
      <c r="N4340" t="s">
        <v>25</v>
      </c>
      <c r="O4340" t="s">
        <v>26</v>
      </c>
      <c r="P4340" t="s">
        <v>27</v>
      </c>
      <c r="Q4340" t="s">
        <v>28</v>
      </c>
      <c r="R4340" t="s">
        <v>29</v>
      </c>
      <c r="S4340" t="s">
        <v>793</v>
      </c>
      <c r="T4340">
        <f>_xlfn.XLOOKUP(X4340,Hoja2!D:D,Hoja2!A:A)</f>
        <v>1013595695</v>
      </c>
      <c r="U4340" t="str">
        <f>_xlfn.XLOOKUP(X4340,Hoja2!D:D,Hoja2!B:B)</f>
        <v>PAOLA ANDREA CALDERON CETINA</v>
      </c>
      <c r="V4340" t="str">
        <f>_xlfn.XLOOKUP(X4340,Hoja2!D:D,Hoja2!C:C)</f>
        <v>PREGRADO</v>
      </c>
      <c r="W4340" s="9">
        <f>IF(V4340="pregrado",31,
IF(V4340="posgrados",31,
IF(V4340="rEINTEGROS",7,
IF(V4340="BIT",90,
IF(V4340="OP GRADO - INGLÉS",17,"")))))</f>
        <v>31</v>
      </c>
      <c r="X4340" t="s">
        <v>3990</v>
      </c>
    </row>
    <row r="4341" spans="1:24" x14ac:dyDescent="0.3">
      <c r="A4341" s="4">
        <v>46118</v>
      </c>
      <c r="B4341">
        <v>20130174</v>
      </c>
      <c r="C4341" t="s">
        <v>19</v>
      </c>
      <c r="D4341">
        <v>613283</v>
      </c>
      <c r="E4341" t="s">
        <v>20</v>
      </c>
      <c r="F4341">
        <v>1118540045</v>
      </c>
      <c r="G4341" t="s">
        <v>4406</v>
      </c>
      <c r="H4341">
        <v>100249513</v>
      </c>
      <c r="I4341">
        <v>202612</v>
      </c>
      <c r="J4341">
        <v>1118540045</v>
      </c>
      <c r="K4341" t="s">
        <v>33</v>
      </c>
      <c r="L4341" t="s">
        <v>204</v>
      </c>
      <c r="M4341" t="s">
        <v>24</v>
      </c>
      <c r="N4341" t="s">
        <v>35</v>
      </c>
      <c r="O4341" t="s">
        <v>26</v>
      </c>
      <c r="P4341" t="s">
        <v>27</v>
      </c>
      <c r="Q4341" t="s">
        <v>28</v>
      </c>
      <c r="R4341" t="s">
        <v>29</v>
      </c>
      <c r="S4341" t="s">
        <v>793</v>
      </c>
      <c r="T4341">
        <f>_xlfn.XLOOKUP(X4341,Hoja2!D:D,Hoja2!A:A)</f>
        <v>1022392610</v>
      </c>
      <c r="U4341" t="str">
        <f>_xlfn.XLOOKUP(X4341,Hoja2!D:D,Hoja2!B:B)</f>
        <v>HEIDY LORENA PRIETO AHUMADA</v>
      </c>
      <c r="V4341" t="str">
        <f>_xlfn.XLOOKUP(X4341,Hoja2!D:D,Hoja2!C:C)</f>
        <v>PREGRADO</v>
      </c>
      <c r="W4341" s="9">
        <f>IF(V4341="pregrado",31,
IF(V4341="posgrados",31,
IF(V4341="rEINTEGROS",7,
IF(V4341="BIT",90,
IF(V4341="OP GRADO - INGLÉS",17,"")))))</f>
        <v>31</v>
      </c>
      <c r="X4341" t="s">
        <v>4028</v>
      </c>
    </row>
    <row r="4342" spans="1:24" x14ac:dyDescent="0.3">
      <c r="A4342" s="4">
        <v>46107</v>
      </c>
      <c r="B4342">
        <v>20129454</v>
      </c>
      <c r="C4342" t="s">
        <v>19</v>
      </c>
      <c r="D4342">
        <v>613318</v>
      </c>
      <c r="E4342" t="s">
        <v>20</v>
      </c>
      <c r="F4342">
        <v>1031650856</v>
      </c>
      <c r="G4342" t="s">
        <v>4271</v>
      </c>
      <c r="H4342">
        <v>100178880</v>
      </c>
      <c r="I4342">
        <v>202612</v>
      </c>
      <c r="J4342">
        <v>1031650856</v>
      </c>
      <c r="K4342" t="s">
        <v>46</v>
      </c>
      <c r="L4342" t="s">
        <v>221</v>
      </c>
      <c r="M4342" t="s">
        <v>24</v>
      </c>
      <c r="N4342" t="s">
        <v>38</v>
      </c>
      <c r="O4342" t="s">
        <v>26</v>
      </c>
      <c r="P4342" t="s">
        <v>27</v>
      </c>
      <c r="Q4342" t="s">
        <v>28</v>
      </c>
      <c r="R4342" t="s">
        <v>29</v>
      </c>
      <c r="S4342" t="s">
        <v>793</v>
      </c>
      <c r="T4342">
        <f>_xlfn.XLOOKUP(X4342,Hoja2!D:D,Hoja2!A:A)</f>
        <v>52342867</v>
      </c>
      <c r="U4342" t="str">
        <f>_xlfn.XLOOKUP(X4342,Hoja2!D:D,Hoja2!B:B)</f>
        <v>NELSON JAVIER MORERA RINCON</v>
      </c>
      <c r="V4342" t="str">
        <f>_xlfn.XLOOKUP(X4342,Hoja2!D:D,Hoja2!C:C)</f>
        <v>PREGRADO</v>
      </c>
      <c r="W4342" s="9">
        <f>IF(V4342="pregrado",31,
IF(V4342="posgrados",31,
IF(V4342="rEINTEGROS",7,
IF(V4342="BIT",90,
IF(V4342="OP GRADO - INGLÉS",17,"")))))</f>
        <v>31</v>
      </c>
      <c r="X4342" t="s">
        <v>4047</v>
      </c>
    </row>
    <row r="4343" spans="1:24" x14ac:dyDescent="0.3">
      <c r="A4343" s="4">
        <v>46106</v>
      </c>
      <c r="B4343">
        <v>20129430</v>
      </c>
      <c r="C4343" t="s">
        <v>19</v>
      </c>
      <c r="D4343">
        <v>613323</v>
      </c>
      <c r="E4343" t="s">
        <v>20</v>
      </c>
      <c r="F4343">
        <v>1023302504</v>
      </c>
      <c r="G4343" t="s">
        <v>4264</v>
      </c>
      <c r="H4343">
        <v>100249546</v>
      </c>
      <c r="I4343">
        <v>202632</v>
      </c>
      <c r="J4343">
        <v>1023302504</v>
      </c>
      <c r="K4343" t="s">
        <v>23</v>
      </c>
      <c r="L4343" t="s">
        <v>51</v>
      </c>
      <c r="M4343" t="s">
        <v>24</v>
      </c>
      <c r="N4343" t="s">
        <v>35</v>
      </c>
      <c r="O4343" t="s">
        <v>26</v>
      </c>
      <c r="P4343" t="s">
        <v>27</v>
      </c>
      <c r="Q4343" t="s">
        <v>28</v>
      </c>
      <c r="R4343" t="s">
        <v>29</v>
      </c>
      <c r="S4343" t="s">
        <v>793</v>
      </c>
      <c r="T4343">
        <f>_xlfn.XLOOKUP(X4343,Hoja2!D:D,Hoja2!A:A)</f>
        <v>1006505929</v>
      </c>
      <c r="U4343" t="str">
        <f>_xlfn.XLOOKUP(X4343,Hoja2!D:D,Hoja2!B:B)</f>
        <v>CATALINA PACHECO BURGOS</v>
      </c>
      <c r="V4343" t="str">
        <f>_xlfn.XLOOKUP(X4343,Hoja2!D:D,Hoja2!C:C)</f>
        <v>PREGRADO</v>
      </c>
      <c r="W4343" s="9">
        <f>IF(V4343="pregrado",31,
IF(V4343="posgrados",31,
IF(V4343="rEINTEGROS",7,
IF(V4343="BIT",90,
IF(V4343="OP GRADO - INGLÉS",17,"")))))</f>
        <v>31</v>
      </c>
      <c r="X4343" t="s">
        <v>4013</v>
      </c>
    </row>
    <row r="4344" spans="1:24" x14ac:dyDescent="0.3">
      <c r="A4344" s="4">
        <v>46125</v>
      </c>
      <c r="B4344">
        <v>20130790</v>
      </c>
      <c r="C4344" t="s">
        <v>19</v>
      </c>
      <c r="D4344">
        <v>613348</v>
      </c>
      <c r="E4344" t="s">
        <v>20</v>
      </c>
      <c r="F4344">
        <v>1056954677</v>
      </c>
      <c r="G4344" t="s">
        <v>4523</v>
      </c>
      <c r="H4344">
        <v>100249558</v>
      </c>
      <c r="I4344">
        <v>202632</v>
      </c>
      <c r="J4344">
        <v>1056954677</v>
      </c>
      <c r="K4344" t="s">
        <v>33</v>
      </c>
      <c r="L4344" t="s">
        <v>207</v>
      </c>
      <c r="M4344" t="s">
        <v>24</v>
      </c>
      <c r="N4344" t="s">
        <v>25</v>
      </c>
      <c r="O4344" t="s">
        <v>26</v>
      </c>
      <c r="P4344" t="s">
        <v>27</v>
      </c>
      <c r="Q4344" t="s">
        <v>28</v>
      </c>
      <c r="R4344" t="s">
        <v>29</v>
      </c>
      <c r="S4344" t="s">
        <v>793</v>
      </c>
      <c r="T4344">
        <f>_xlfn.XLOOKUP(X4344,Hoja2!D:D,Hoja2!A:A)</f>
        <v>1000578914</v>
      </c>
      <c r="U4344" t="str">
        <f>_xlfn.XLOOKUP(X4344,Hoja2!D:D,Hoja2!B:B)</f>
        <v>HEIDY LORENA PRIETO AHUMADA</v>
      </c>
      <c r="V4344" t="str">
        <f>_xlfn.XLOOKUP(X4344,Hoja2!D:D,Hoja2!C:C)</f>
        <v>PREGRADO</v>
      </c>
      <c r="W4344" s="9">
        <f>IF(V4344="pregrado",31,
IF(V4344="posgrados",31,
IF(V4344="rEINTEGROS",7,
IF(V4344="BIT",90,
IF(V4344="OP GRADO - INGLÉS",17,"")))))</f>
        <v>31</v>
      </c>
      <c r="X4344" t="s">
        <v>4060</v>
      </c>
    </row>
    <row r="4345" spans="1:24" x14ac:dyDescent="0.3">
      <c r="A4345" s="4">
        <v>46107</v>
      </c>
      <c r="B4345">
        <v>20129507</v>
      </c>
      <c r="C4345" t="s">
        <v>19</v>
      </c>
      <c r="D4345">
        <v>613357</v>
      </c>
      <c r="E4345" t="s">
        <v>20</v>
      </c>
      <c r="F4345">
        <v>1015464281</v>
      </c>
      <c r="G4345" t="s">
        <v>4282</v>
      </c>
      <c r="H4345">
        <v>100249565</v>
      </c>
      <c r="I4345">
        <v>202632</v>
      </c>
      <c r="J4345">
        <v>1015464281</v>
      </c>
      <c r="K4345" t="s">
        <v>33</v>
      </c>
      <c r="L4345" t="s">
        <v>51</v>
      </c>
      <c r="M4345" t="s">
        <v>24</v>
      </c>
      <c r="N4345" t="s">
        <v>38</v>
      </c>
      <c r="O4345" t="s">
        <v>26</v>
      </c>
      <c r="P4345" t="s">
        <v>27</v>
      </c>
      <c r="Q4345" t="s">
        <v>28</v>
      </c>
      <c r="R4345" t="s">
        <v>29</v>
      </c>
      <c r="S4345" t="s">
        <v>793</v>
      </c>
      <c r="T4345">
        <f>_xlfn.XLOOKUP(X4345,Hoja2!D:D,Hoja2!A:A)</f>
        <v>52876433</v>
      </c>
      <c r="U4345" t="str">
        <f>_xlfn.XLOOKUP(X4345,Hoja2!D:D,Hoja2!B:B)</f>
        <v>CATALINA PACHECO BURGOS</v>
      </c>
      <c r="V4345" t="str">
        <f>_xlfn.XLOOKUP(X4345,Hoja2!D:D,Hoja2!C:C)</f>
        <v>PREGRADO</v>
      </c>
      <c r="W4345" s="9">
        <f>IF(V4345="pregrado",31,
IF(V4345="posgrados",31,
IF(V4345="rEINTEGROS",7,
IF(V4345="BIT",90,
IF(V4345="OP GRADO - INGLÉS",17,"")))))</f>
        <v>31</v>
      </c>
      <c r="X4345" t="s">
        <v>4078</v>
      </c>
    </row>
    <row r="4346" spans="1:24" x14ac:dyDescent="0.3">
      <c r="A4346" s="4">
        <v>46107</v>
      </c>
      <c r="B4346">
        <v>20129479</v>
      </c>
      <c r="C4346" t="s">
        <v>19</v>
      </c>
      <c r="D4346">
        <v>613368</v>
      </c>
      <c r="E4346" t="s">
        <v>20</v>
      </c>
      <c r="F4346">
        <v>1047405597</v>
      </c>
      <c r="G4346" t="s">
        <v>4275</v>
      </c>
      <c r="H4346">
        <v>100249571</v>
      </c>
      <c r="I4346">
        <v>202612</v>
      </c>
      <c r="J4346">
        <v>1047405597</v>
      </c>
      <c r="K4346" t="s">
        <v>33</v>
      </c>
      <c r="L4346" t="s">
        <v>204</v>
      </c>
      <c r="M4346" t="s">
        <v>24</v>
      </c>
      <c r="N4346" t="s">
        <v>25</v>
      </c>
      <c r="O4346" t="s">
        <v>26</v>
      </c>
      <c r="P4346" t="s">
        <v>27</v>
      </c>
      <c r="Q4346" t="s">
        <v>28</v>
      </c>
      <c r="R4346" t="s">
        <v>29</v>
      </c>
      <c r="S4346" t="s">
        <v>793</v>
      </c>
      <c r="T4346">
        <f>_xlfn.XLOOKUP(X4346,Hoja2!D:D,Hoja2!A:A)</f>
        <v>80219471</v>
      </c>
      <c r="U4346" t="str">
        <f>_xlfn.XLOOKUP(X4346,Hoja2!D:D,Hoja2!B:B)</f>
        <v>HEIDY LORENA PRIETO AHUMADA</v>
      </c>
      <c r="V4346" t="str">
        <f>_xlfn.XLOOKUP(X4346,Hoja2!D:D,Hoja2!C:C)</f>
        <v>PREGRADO</v>
      </c>
      <c r="W4346" s="9">
        <f>IF(V4346="pregrado",31,
IF(V4346="posgrados",31,
IF(V4346="rEINTEGROS",7,
IF(V4346="BIT",90,
IF(V4346="OP GRADO - INGLÉS",17,"")))))</f>
        <v>31</v>
      </c>
      <c r="X4346" t="s">
        <v>4030</v>
      </c>
    </row>
    <row r="4347" spans="1:24" x14ac:dyDescent="0.3">
      <c r="A4347" s="4">
        <v>46107</v>
      </c>
      <c r="B4347">
        <v>20129515</v>
      </c>
      <c r="C4347" t="s">
        <v>19</v>
      </c>
      <c r="D4347">
        <v>613369</v>
      </c>
      <c r="E4347" t="s">
        <v>20</v>
      </c>
      <c r="F4347">
        <v>1192806728</v>
      </c>
      <c r="G4347" t="s">
        <v>4284</v>
      </c>
      <c r="H4347">
        <v>100249575</v>
      </c>
      <c r="I4347">
        <v>202632</v>
      </c>
      <c r="J4347">
        <v>1192806728</v>
      </c>
      <c r="K4347" t="s">
        <v>33</v>
      </c>
      <c r="L4347" t="s">
        <v>127</v>
      </c>
      <c r="M4347" t="s">
        <v>24</v>
      </c>
      <c r="N4347" t="s">
        <v>25</v>
      </c>
      <c r="O4347" t="s">
        <v>26</v>
      </c>
      <c r="P4347" t="s">
        <v>27</v>
      </c>
      <c r="Q4347" t="s">
        <v>28</v>
      </c>
      <c r="R4347" t="s">
        <v>29</v>
      </c>
      <c r="S4347" t="s">
        <v>793</v>
      </c>
      <c r="T4347">
        <f>_xlfn.XLOOKUP(X4347,Hoja2!D:D,Hoja2!A:A)</f>
        <v>1007473661</v>
      </c>
      <c r="U4347" t="str">
        <f>_xlfn.XLOOKUP(X4347,Hoja2!D:D,Hoja2!B:B)</f>
        <v>PAOLA ANDREA CALDERON CETINA</v>
      </c>
      <c r="V4347" t="str">
        <f>_xlfn.XLOOKUP(X4347,Hoja2!D:D,Hoja2!C:C)</f>
        <v>PREGRADO</v>
      </c>
      <c r="W4347" s="9">
        <f>IF(V4347="pregrado",31,
IF(V4347="posgrados",31,
IF(V4347="rEINTEGROS",7,
IF(V4347="BIT",90,
IF(V4347="OP GRADO - INGLÉS",17,"")))))</f>
        <v>31</v>
      </c>
      <c r="X4347" t="s">
        <v>4058</v>
      </c>
    </row>
    <row r="4348" spans="1:24" x14ac:dyDescent="0.3">
      <c r="A4348" s="4">
        <v>46107</v>
      </c>
      <c r="B4348">
        <v>20129452</v>
      </c>
      <c r="C4348" t="s">
        <v>19</v>
      </c>
      <c r="D4348">
        <v>613370</v>
      </c>
      <c r="E4348" t="s">
        <v>20</v>
      </c>
      <c r="F4348">
        <v>1003062622</v>
      </c>
      <c r="G4348" t="s">
        <v>4270</v>
      </c>
      <c r="H4348">
        <v>100249576</v>
      </c>
      <c r="I4348">
        <v>202632</v>
      </c>
      <c r="J4348">
        <v>1003062622</v>
      </c>
      <c r="K4348" t="s">
        <v>33</v>
      </c>
      <c r="L4348" t="s">
        <v>207</v>
      </c>
      <c r="M4348" t="s">
        <v>24</v>
      </c>
      <c r="N4348" t="s">
        <v>25</v>
      </c>
      <c r="O4348" t="s">
        <v>26</v>
      </c>
      <c r="P4348" t="s">
        <v>27</v>
      </c>
      <c r="Q4348" t="s">
        <v>28</v>
      </c>
      <c r="R4348" t="s">
        <v>29</v>
      </c>
      <c r="S4348" t="s">
        <v>793</v>
      </c>
      <c r="T4348">
        <f>_xlfn.XLOOKUP(X4348,Hoja2!D:D,Hoja2!A:A)</f>
        <v>1073692626</v>
      </c>
      <c r="U4348" t="str">
        <f>_xlfn.XLOOKUP(X4348,Hoja2!D:D,Hoja2!B:B)</f>
        <v>NELSON JAVIER MORERA RINCON</v>
      </c>
      <c r="V4348" t="str">
        <f>_xlfn.XLOOKUP(X4348,Hoja2!D:D,Hoja2!C:C)</f>
        <v>PREGRADO</v>
      </c>
      <c r="W4348" s="9">
        <f>IF(V4348="pregrado",31,
IF(V4348="posgrados",31,
IF(V4348="rEINTEGROS",7,
IF(V4348="BIT",90,
IF(V4348="OP GRADO - INGLÉS",17,"")))))</f>
        <v>31</v>
      </c>
      <c r="X4348" t="s">
        <v>4014</v>
      </c>
    </row>
    <row r="4349" spans="1:24" x14ac:dyDescent="0.3">
      <c r="A4349" s="4">
        <v>46118</v>
      </c>
      <c r="B4349">
        <v>20130199</v>
      </c>
      <c r="C4349" t="s">
        <v>19</v>
      </c>
      <c r="D4349">
        <v>613383</v>
      </c>
      <c r="E4349" t="s">
        <v>20</v>
      </c>
      <c r="F4349">
        <v>1033806013</v>
      </c>
      <c r="G4349" t="s">
        <v>4412</v>
      </c>
      <c r="H4349">
        <v>100249590</v>
      </c>
      <c r="I4349">
        <v>202632</v>
      </c>
      <c r="J4349">
        <v>1033806013</v>
      </c>
      <c r="K4349" t="s">
        <v>33</v>
      </c>
      <c r="L4349" t="s">
        <v>207</v>
      </c>
      <c r="M4349" t="s">
        <v>24</v>
      </c>
      <c r="N4349" t="s">
        <v>25</v>
      </c>
      <c r="O4349" t="s">
        <v>26</v>
      </c>
      <c r="P4349" t="s">
        <v>27</v>
      </c>
      <c r="Q4349" t="s">
        <v>28</v>
      </c>
      <c r="R4349" t="s">
        <v>29</v>
      </c>
      <c r="S4349" t="s">
        <v>793</v>
      </c>
      <c r="T4349">
        <f>_xlfn.XLOOKUP(X4349,Hoja2!D:D,Hoja2!A:A)</f>
        <v>1022392610</v>
      </c>
      <c r="U4349" t="str">
        <f>_xlfn.XLOOKUP(X4349,Hoja2!D:D,Hoja2!B:B)</f>
        <v>HEIDY LORENA PRIETO AHUMADA</v>
      </c>
      <c r="V4349" t="str">
        <f>_xlfn.XLOOKUP(X4349,Hoja2!D:D,Hoja2!C:C)</f>
        <v>PREGRADO</v>
      </c>
      <c r="W4349" s="9">
        <f>IF(V4349="pregrado",31,
IF(V4349="posgrados",31,
IF(V4349="rEINTEGROS",7,
IF(V4349="BIT",90,
IF(V4349="OP GRADO - INGLÉS",17,"")))))</f>
        <v>31</v>
      </c>
      <c r="X4349" t="s">
        <v>4028</v>
      </c>
    </row>
    <row r="4350" spans="1:24" x14ac:dyDescent="0.3">
      <c r="A4350" s="4">
        <v>46107</v>
      </c>
      <c r="B4350">
        <v>20129535</v>
      </c>
      <c r="C4350" t="s">
        <v>19</v>
      </c>
      <c r="D4350">
        <v>613405</v>
      </c>
      <c r="E4350" t="s">
        <v>20</v>
      </c>
      <c r="F4350">
        <v>52376957</v>
      </c>
      <c r="G4350" t="s">
        <v>4289</v>
      </c>
      <c r="H4350">
        <v>200265200</v>
      </c>
      <c r="I4350">
        <v>202632</v>
      </c>
      <c r="J4350">
        <v>52376957</v>
      </c>
      <c r="K4350" t="s">
        <v>23</v>
      </c>
      <c r="L4350" t="s">
        <v>3922</v>
      </c>
      <c r="M4350" t="s">
        <v>24</v>
      </c>
      <c r="N4350" t="s">
        <v>35</v>
      </c>
      <c r="O4350" t="s">
        <v>26</v>
      </c>
      <c r="P4350" t="s">
        <v>27</v>
      </c>
      <c r="Q4350" t="s">
        <v>28</v>
      </c>
      <c r="R4350" t="s">
        <v>29</v>
      </c>
      <c r="S4350" t="s">
        <v>793</v>
      </c>
      <c r="T4350">
        <f>_xlfn.XLOOKUP(X4350,Hoja2!D:D,Hoja2!A:A)</f>
        <v>1023975276</v>
      </c>
      <c r="U4350" t="str">
        <f>_xlfn.XLOOKUP(X4350,Hoja2!D:D,Hoja2!B:B)</f>
        <v>MARSHIA MILENA JIMéNEZ GóMEZ</v>
      </c>
      <c r="V4350" t="str">
        <f>_xlfn.XLOOKUP(X4350,Hoja2!D:D,Hoja2!C:C)</f>
        <v>PREGRADO</v>
      </c>
      <c r="W4350" s="9">
        <f>IF(V4350="pregrado",31,
IF(V4350="posgrados",31,
IF(V4350="rEINTEGROS",7,
IF(V4350="BIT",90,
IF(V4350="OP GRADO - INGLÉS",17,"")))))</f>
        <v>31</v>
      </c>
      <c r="X4350" t="s">
        <v>3962</v>
      </c>
    </row>
    <row r="4351" spans="1:24" x14ac:dyDescent="0.3">
      <c r="A4351" s="4">
        <v>46113</v>
      </c>
      <c r="B4351">
        <v>20130043</v>
      </c>
      <c r="C4351" t="s">
        <v>19</v>
      </c>
      <c r="D4351">
        <v>613415</v>
      </c>
      <c r="E4351" t="s">
        <v>20</v>
      </c>
      <c r="F4351">
        <v>94533135</v>
      </c>
      <c r="G4351" t="s">
        <v>4389</v>
      </c>
      <c r="H4351">
        <v>100249624</v>
      </c>
      <c r="I4351">
        <v>202632</v>
      </c>
      <c r="J4351">
        <v>94533135</v>
      </c>
      <c r="K4351" t="s">
        <v>23</v>
      </c>
      <c r="L4351" t="s">
        <v>240</v>
      </c>
      <c r="M4351" t="s">
        <v>24</v>
      </c>
      <c r="N4351" t="s">
        <v>35</v>
      </c>
      <c r="O4351" t="s">
        <v>26</v>
      </c>
      <c r="P4351" t="s">
        <v>27</v>
      </c>
      <c r="Q4351" t="s">
        <v>28</v>
      </c>
      <c r="R4351" t="s">
        <v>29</v>
      </c>
      <c r="S4351" t="s">
        <v>793</v>
      </c>
      <c r="T4351">
        <f>_xlfn.XLOOKUP(X4351,Hoja2!D:D,Hoja2!A:A)</f>
        <v>1026298522</v>
      </c>
      <c r="U4351" t="str">
        <f>_xlfn.XLOOKUP(X4351,Hoja2!D:D,Hoja2!B:B)</f>
        <v>NELSON JAVIER MORERA RINCON</v>
      </c>
      <c r="V4351" t="str">
        <f>_xlfn.XLOOKUP(X4351,Hoja2!D:D,Hoja2!C:C)</f>
        <v>PREGRADO</v>
      </c>
      <c r="W4351" s="9">
        <f>IF(V4351="pregrado",31,
IF(V4351="posgrados",31,
IF(V4351="rEINTEGROS",7,
IF(V4351="BIT",90,
IF(V4351="OP GRADO - INGLÉS",17,"")))))</f>
        <v>31</v>
      </c>
      <c r="X4351" t="s">
        <v>4040</v>
      </c>
    </row>
    <row r="4352" spans="1:24" x14ac:dyDescent="0.3">
      <c r="A4352" s="4">
        <v>46121</v>
      </c>
      <c r="B4352">
        <v>20130486</v>
      </c>
      <c r="C4352" t="s">
        <v>19</v>
      </c>
      <c r="D4352">
        <v>613428</v>
      </c>
      <c r="E4352" t="s">
        <v>20</v>
      </c>
      <c r="F4352">
        <v>1001083817</v>
      </c>
      <c r="G4352" t="s">
        <v>4467</v>
      </c>
      <c r="H4352">
        <v>100249636</v>
      </c>
      <c r="I4352">
        <v>202612</v>
      </c>
      <c r="J4352">
        <v>1001083817</v>
      </c>
      <c r="K4352" t="s">
        <v>23</v>
      </c>
      <c r="L4352" t="s">
        <v>221</v>
      </c>
      <c r="M4352" t="s">
        <v>24</v>
      </c>
      <c r="N4352" t="s">
        <v>35</v>
      </c>
      <c r="O4352" t="s">
        <v>26</v>
      </c>
      <c r="P4352" t="s">
        <v>27</v>
      </c>
      <c r="Q4352" t="s">
        <v>28</v>
      </c>
      <c r="R4352" t="s">
        <v>29</v>
      </c>
      <c r="S4352" t="s">
        <v>793</v>
      </c>
      <c r="T4352">
        <f>_xlfn.XLOOKUP(X4352,Hoja2!D:D,Hoja2!A:A)</f>
        <v>1118531834</v>
      </c>
      <c r="U4352" t="str">
        <f>_xlfn.XLOOKUP(X4352,Hoja2!D:D,Hoja2!B:B)</f>
        <v>HEIDY LORENA PRIETO AHUMADA</v>
      </c>
      <c r="V4352" t="str">
        <f>_xlfn.XLOOKUP(X4352,Hoja2!D:D,Hoja2!C:C)</f>
        <v>PREGRADO</v>
      </c>
      <c r="W4352" s="9">
        <f>IF(V4352="pregrado",31,
IF(V4352="posgrados",31,
IF(V4352="rEINTEGROS",7,
IF(V4352="BIT",90,
IF(V4352="OP GRADO - INGLÉS",17,"")))))</f>
        <v>31</v>
      </c>
      <c r="X4352" t="s">
        <v>3996</v>
      </c>
    </row>
    <row r="4353" spans="1:24" x14ac:dyDescent="0.3">
      <c r="A4353" s="4">
        <v>46112</v>
      </c>
      <c r="B4353">
        <v>20129985</v>
      </c>
      <c r="C4353" t="s">
        <v>19</v>
      </c>
      <c r="D4353">
        <v>613437</v>
      </c>
      <c r="E4353" t="s">
        <v>20</v>
      </c>
      <c r="F4353">
        <v>1022969492</v>
      </c>
      <c r="G4353" t="s">
        <v>4381</v>
      </c>
      <c r="H4353">
        <v>100249644</v>
      </c>
      <c r="I4353">
        <v>202632</v>
      </c>
      <c r="J4353">
        <v>1022969492</v>
      </c>
      <c r="K4353" t="s">
        <v>23</v>
      </c>
      <c r="L4353" t="s">
        <v>51</v>
      </c>
      <c r="M4353" t="s">
        <v>24</v>
      </c>
      <c r="N4353" t="s">
        <v>35</v>
      </c>
      <c r="O4353" t="s">
        <v>26</v>
      </c>
      <c r="P4353" t="s">
        <v>27</v>
      </c>
      <c r="Q4353" t="s">
        <v>28</v>
      </c>
      <c r="R4353" t="s">
        <v>29</v>
      </c>
      <c r="S4353" t="s">
        <v>793</v>
      </c>
      <c r="T4353">
        <f>_xlfn.XLOOKUP(X4353,Hoja2!D:D,Hoja2!A:A)</f>
        <v>1002500634</v>
      </c>
      <c r="U4353" t="str">
        <f>_xlfn.XLOOKUP(X4353,Hoja2!D:D,Hoja2!B:B)</f>
        <v>CATALINA PACHECO BURGOS</v>
      </c>
      <c r="V4353" t="str">
        <f>_xlfn.XLOOKUP(X4353,Hoja2!D:D,Hoja2!C:C)</f>
        <v>PREGRADO</v>
      </c>
      <c r="W4353" s="9">
        <f>IF(V4353="pregrado",31,
IF(V4353="posgrados",31,
IF(V4353="rEINTEGROS",7,
IF(V4353="BIT",90,
IF(V4353="OP GRADO - INGLÉS",17,"")))))</f>
        <v>31</v>
      </c>
      <c r="X4353" t="s">
        <v>4026</v>
      </c>
    </row>
    <row r="4354" spans="1:24" x14ac:dyDescent="0.3">
      <c r="A4354" s="4">
        <v>46122</v>
      </c>
      <c r="B4354">
        <v>20130684</v>
      </c>
      <c r="C4354" t="s">
        <v>19</v>
      </c>
      <c r="D4354">
        <v>613479</v>
      </c>
      <c r="E4354" t="s">
        <v>20</v>
      </c>
      <c r="F4354">
        <v>1023624991</v>
      </c>
      <c r="G4354" t="s">
        <v>4500</v>
      </c>
      <c r="H4354">
        <v>100249676</v>
      </c>
      <c r="I4354">
        <v>202632</v>
      </c>
      <c r="J4354">
        <v>1023624991</v>
      </c>
      <c r="K4354" t="s">
        <v>33</v>
      </c>
      <c r="L4354" t="s">
        <v>90</v>
      </c>
      <c r="M4354" t="s">
        <v>24</v>
      </c>
      <c r="N4354" t="s">
        <v>35</v>
      </c>
      <c r="O4354" t="s">
        <v>26</v>
      </c>
      <c r="P4354" t="s">
        <v>27</v>
      </c>
      <c r="Q4354" t="s">
        <v>28</v>
      </c>
      <c r="R4354" t="s">
        <v>29</v>
      </c>
      <c r="S4354" t="s">
        <v>793</v>
      </c>
      <c r="T4354">
        <f>_xlfn.XLOOKUP(X4354,Hoja2!D:D,Hoja2!A:A)</f>
        <v>1023370559</v>
      </c>
      <c r="U4354" t="str">
        <f>_xlfn.XLOOKUP(X4354,Hoja2!D:D,Hoja2!B:B)</f>
        <v>PAOLA ANDREA CALDERON CETINA</v>
      </c>
      <c r="V4354" t="str">
        <f>_xlfn.XLOOKUP(X4354,Hoja2!D:D,Hoja2!C:C)</f>
        <v>PREGRADO</v>
      </c>
      <c r="W4354" s="9">
        <f>IF(V4354="pregrado",31,
IF(V4354="posgrados",31,
IF(V4354="rEINTEGROS",7,
IF(V4354="BIT",90,
IF(V4354="OP GRADO - INGLÉS",17,"")))))</f>
        <v>31</v>
      </c>
      <c r="X4354" t="s">
        <v>4017</v>
      </c>
    </row>
    <row r="4355" spans="1:24" x14ac:dyDescent="0.3">
      <c r="A4355" s="4">
        <v>46109</v>
      </c>
      <c r="B4355">
        <v>20129689</v>
      </c>
      <c r="C4355" t="s">
        <v>19</v>
      </c>
      <c r="D4355">
        <v>613506</v>
      </c>
      <c r="E4355" t="s">
        <v>20</v>
      </c>
      <c r="F4355">
        <v>1073970387</v>
      </c>
      <c r="G4355" t="s">
        <v>4324</v>
      </c>
      <c r="H4355">
        <v>100143994</v>
      </c>
      <c r="I4355">
        <v>202612</v>
      </c>
      <c r="J4355">
        <v>1044617347</v>
      </c>
      <c r="K4355" t="s">
        <v>23</v>
      </c>
      <c r="L4355" t="s">
        <v>204</v>
      </c>
      <c r="M4355" t="s">
        <v>24</v>
      </c>
      <c r="N4355" t="s">
        <v>35</v>
      </c>
      <c r="O4355" t="s">
        <v>26</v>
      </c>
      <c r="P4355" t="s">
        <v>27</v>
      </c>
      <c r="Q4355" t="s">
        <v>28</v>
      </c>
      <c r="R4355" t="s">
        <v>29</v>
      </c>
      <c r="S4355" t="s">
        <v>793</v>
      </c>
      <c r="T4355">
        <f>_xlfn.XLOOKUP(X4355,Hoja2!D:D,Hoja2!A:A)</f>
        <v>80219471</v>
      </c>
      <c r="U4355" t="str">
        <f>_xlfn.XLOOKUP(X4355,Hoja2!D:D,Hoja2!B:B)</f>
        <v>HEIDY LORENA PRIETO AHUMADA</v>
      </c>
      <c r="V4355" t="str">
        <f>_xlfn.XLOOKUP(X4355,Hoja2!D:D,Hoja2!C:C)</f>
        <v>PREGRADO</v>
      </c>
      <c r="W4355" s="9">
        <f>IF(V4355="pregrado",31,
IF(V4355="posgrados",31,
IF(V4355="rEINTEGROS",7,
IF(V4355="BIT",90,
IF(V4355="OP GRADO - INGLÉS",17,"")))))</f>
        <v>31</v>
      </c>
      <c r="X4355" t="s">
        <v>4030</v>
      </c>
    </row>
    <row r="4356" spans="1:24" x14ac:dyDescent="0.3">
      <c r="A4356" s="4">
        <v>46126</v>
      </c>
      <c r="B4356">
        <v>20130969</v>
      </c>
      <c r="C4356" t="s">
        <v>19</v>
      </c>
      <c r="D4356">
        <v>613510</v>
      </c>
      <c r="E4356" t="s">
        <v>20</v>
      </c>
      <c r="F4356">
        <v>1116912602</v>
      </c>
      <c r="G4356" t="s">
        <v>4566</v>
      </c>
      <c r="H4356">
        <v>200265874</v>
      </c>
      <c r="I4356">
        <v>202632</v>
      </c>
      <c r="J4356">
        <v>1116912601</v>
      </c>
      <c r="K4356" t="s">
        <v>23</v>
      </c>
      <c r="L4356" t="s">
        <v>119</v>
      </c>
      <c r="M4356" t="s">
        <v>24</v>
      </c>
      <c r="N4356" t="s">
        <v>35</v>
      </c>
      <c r="O4356" t="s">
        <v>26</v>
      </c>
      <c r="P4356" t="s">
        <v>27</v>
      </c>
      <c r="Q4356" t="s">
        <v>28</v>
      </c>
      <c r="R4356" t="s">
        <v>29</v>
      </c>
      <c r="S4356" t="s">
        <v>793</v>
      </c>
      <c r="T4356">
        <f>_xlfn.XLOOKUP(X4356,Hoja2!D:D,Hoja2!A:A)</f>
        <v>52342867</v>
      </c>
      <c r="U4356" t="str">
        <f>_xlfn.XLOOKUP(X4356,Hoja2!D:D,Hoja2!B:B)</f>
        <v>NELSON JAVIER MORERA RINCON</v>
      </c>
      <c r="V4356" t="str">
        <f>_xlfn.XLOOKUP(X4356,Hoja2!D:D,Hoja2!C:C)</f>
        <v>PREGRADO</v>
      </c>
      <c r="W4356" s="9">
        <f>IF(V4356="pregrado",31,
IF(V4356="posgrados",31,
IF(V4356="rEINTEGROS",7,
IF(V4356="BIT",90,
IF(V4356="OP GRADO - INGLÉS",17,"")))))</f>
        <v>31</v>
      </c>
      <c r="X4356" t="s">
        <v>4047</v>
      </c>
    </row>
    <row r="4357" spans="1:24" x14ac:dyDescent="0.3">
      <c r="A4357" s="4">
        <v>46108</v>
      </c>
      <c r="B4357">
        <v>20129612</v>
      </c>
      <c r="C4357" t="s">
        <v>19</v>
      </c>
      <c r="D4357">
        <v>613517</v>
      </c>
      <c r="E4357" t="s">
        <v>20</v>
      </c>
      <c r="F4357">
        <v>1116495824</v>
      </c>
      <c r="G4357" t="s">
        <v>4308</v>
      </c>
      <c r="H4357">
        <v>100249726</v>
      </c>
      <c r="I4357">
        <v>202632</v>
      </c>
      <c r="J4357">
        <v>1116495824</v>
      </c>
      <c r="K4357" t="s">
        <v>33</v>
      </c>
      <c r="L4357" t="s">
        <v>127</v>
      </c>
      <c r="M4357" t="s">
        <v>24</v>
      </c>
      <c r="N4357" t="s">
        <v>25</v>
      </c>
      <c r="O4357" t="s">
        <v>26</v>
      </c>
      <c r="P4357" t="s">
        <v>27</v>
      </c>
      <c r="Q4357" t="s">
        <v>28</v>
      </c>
      <c r="R4357" t="s">
        <v>29</v>
      </c>
      <c r="S4357" t="s">
        <v>793</v>
      </c>
      <c r="T4357">
        <f>_xlfn.XLOOKUP(X4357,Hoja2!D:D,Hoja2!A:A)</f>
        <v>1023970223</v>
      </c>
      <c r="U4357" t="str">
        <f>_xlfn.XLOOKUP(X4357,Hoja2!D:D,Hoja2!B:B)</f>
        <v>PAOLA ANDREA CALDERON CETINA</v>
      </c>
      <c r="V4357" t="str">
        <f>_xlfn.XLOOKUP(X4357,Hoja2!D:D,Hoja2!C:C)</f>
        <v>PREGRADO</v>
      </c>
      <c r="W4357" s="9">
        <f>IF(V4357="pregrado",31,
IF(V4357="posgrados",31,
IF(V4357="rEINTEGROS",7,
IF(V4357="BIT",90,
IF(V4357="OP GRADO - INGLÉS",17,"")))))</f>
        <v>31</v>
      </c>
      <c r="X4357" t="s">
        <v>4070</v>
      </c>
    </row>
    <row r="4358" spans="1:24" x14ac:dyDescent="0.3">
      <c r="A4358" s="4">
        <v>46108</v>
      </c>
      <c r="B4358">
        <v>20129624</v>
      </c>
      <c r="C4358" t="s">
        <v>19</v>
      </c>
      <c r="D4358">
        <v>613533</v>
      </c>
      <c r="E4358" t="s">
        <v>20</v>
      </c>
      <c r="F4358">
        <v>1085180786</v>
      </c>
      <c r="G4358" t="s">
        <v>4312</v>
      </c>
      <c r="H4358">
        <v>100239716</v>
      </c>
      <c r="I4358">
        <v>202632</v>
      </c>
      <c r="J4358">
        <v>1085180786</v>
      </c>
      <c r="K4358" t="s">
        <v>33</v>
      </c>
      <c r="L4358" t="s">
        <v>119</v>
      </c>
      <c r="M4358" t="s">
        <v>24</v>
      </c>
      <c r="N4358" t="s">
        <v>35</v>
      </c>
      <c r="O4358" t="s">
        <v>26</v>
      </c>
      <c r="P4358" t="s">
        <v>27</v>
      </c>
      <c r="Q4358" t="s">
        <v>28</v>
      </c>
      <c r="R4358" t="s">
        <v>29</v>
      </c>
      <c r="S4358" t="s">
        <v>793</v>
      </c>
      <c r="T4358">
        <f>_xlfn.XLOOKUP(X4358,Hoja2!D:D,Hoja2!A:A)</f>
        <v>1002500634</v>
      </c>
      <c r="U4358" t="str">
        <f>_xlfn.XLOOKUP(X4358,Hoja2!D:D,Hoja2!B:B)</f>
        <v>CATALINA PACHECO BURGOS</v>
      </c>
      <c r="V4358" t="str">
        <f>_xlfn.XLOOKUP(X4358,Hoja2!D:D,Hoja2!C:C)</f>
        <v>PREGRADO</v>
      </c>
      <c r="W4358" s="9">
        <f>IF(V4358="pregrado",31,
IF(V4358="posgrados",31,
IF(V4358="rEINTEGROS",7,
IF(V4358="BIT",90,
IF(V4358="OP GRADO - INGLÉS",17,"")))))</f>
        <v>31</v>
      </c>
      <c r="X4358" t="s">
        <v>4026</v>
      </c>
    </row>
    <row r="4359" spans="1:24" x14ac:dyDescent="0.3">
      <c r="A4359" s="4">
        <v>46123</v>
      </c>
      <c r="B4359">
        <v>20130732</v>
      </c>
      <c r="C4359" t="s">
        <v>19</v>
      </c>
      <c r="D4359">
        <v>613537</v>
      </c>
      <c r="E4359" t="s">
        <v>20</v>
      </c>
      <c r="F4359">
        <v>1037480013</v>
      </c>
      <c r="G4359" t="s">
        <v>4510</v>
      </c>
      <c r="H4359">
        <v>100249741</v>
      </c>
      <c r="I4359">
        <v>202632</v>
      </c>
      <c r="J4359">
        <v>1037483998</v>
      </c>
      <c r="K4359" t="s">
        <v>23</v>
      </c>
      <c r="L4359" t="s">
        <v>240</v>
      </c>
      <c r="M4359" t="s">
        <v>24</v>
      </c>
      <c r="N4359" t="s">
        <v>35</v>
      </c>
      <c r="O4359" t="s">
        <v>26</v>
      </c>
      <c r="P4359" t="s">
        <v>27</v>
      </c>
      <c r="Q4359" t="s">
        <v>28</v>
      </c>
      <c r="R4359" t="s">
        <v>29</v>
      </c>
      <c r="S4359" t="s">
        <v>793</v>
      </c>
      <c r="T4359">
        <f>_xlfn.XLOOKUP(X4359,Hoja2!D:D,Hoja2!A:A)</f>
        <v>1026298522</v>
      </c>
      <c r="U4359" t="str">
        <f>_xlfn.XLOOKUP(X4359,Hoja2!D:D,Hoja2!B:B)</f>
        <v>NELSON JAVIER MORERA RINCON</v>
      </c>
      <c r="V4359" t="str">
        <f>_xlfn.XLOOKUP(X4359,Hoja2!D:D,Hoja2!C:C)</f>
        <v>PREGRADO</v>
      </c>
      <c r="W4359" s="9">
        <f>IF(V4359="pregrado",31,
IF(V4359="posgrados",31,
IF(V4359="rEINTEGROS",7,
IF(V4359="BIT",90,
IF(V4359="OP GRADO - INGLÉS",17,"")))))</f>
        <v>31</v>
      </c>
      <c r="X4359" t="s">
        <v>4040</v>
      </c>
    </row>
    <row r="4360" spans="1:24" x14ac:dyDescent="0.3">
      <c r="A4360" s="4">
        <v>46116</v>
      </c>
      <c r="B4360">
        <v>20130085</v>
      </c>
      <c r="C4360" t="s">
        <v>19</v>
      </c>
      <c r="D4360">
        <v>613538</v>
      </c>
      <c r="E4360" t="s">
        <v>20</v>
      </c>
      <c r="F4360">
        <v>1076621077</v>
      </c>
      <c r="G4360" t="s">
        <v>4391</v>
      </c>
      <c r="H4360">
        <v>200265210</v>
      </c>
      <c r="I4360">
        <v>202632</v>
      </c>
      <c r="J4360">
        <v>1076621077</v>
      </c>
      <c r="K4360" t="s">
        <v>33</v>
      </c>
      <c r="L4360" t="s">
        <v>119</v>
      </c>
      <c r="M4360" t="s">
        <v>24</v>
      </c>
      <c r="N4360" t="s">
        <v>35</v>
      </c>
      <c r="O4360" t="s">
        <v>26</v>
      </c>
      <c r="P4360" t="s">
        <v>27</v>
      </c>
      <c r="Q4360" t="s">
        <v>28</v>
      </c>
      <c r="R4360" t="s">
        <v>29</v>
      </c>
      <c r="S4360" t="s">
        <v>793</v>
      </c>
      <c r="T4360">
        <f>_xlfn.XLOOKUP(X4360,Hoja2!D:D,Hoja2!A:A)</f>
        <v>1099215811</v>
      </c>
      <c r="U4360" t="str">
        <f>_xlfn.XLOOKUP(X4360,Hoja2!D:D,Hoja2!B:B)</f>
        <v>Heidy Lorena Prieto Ahumada</v>
      </c>
      <c r="V4360" t="str">
        <f>_xlfn.XLOOKUP(X4360,Hoja2!D:D,Hoja2!C:C)</f>
        <v>PREGRADO</v>
      </c>
      <c r="W4360" s="9">
        <f>IF(V4360="pregrado",31,
IF(V4360="posgrados",31,
IF(V4360="rEINTEGROS",7,
IF(V4360="BIT",90,
IF(V4360="OP GRADO - INGLÉS",17,"")))))</f>
        <v>31</v>
      </c>
      <c r="X4360" t="s">
        <v>4928</v>
      </c>
    </row>
    <row r="4361" spans="1:24" x14ac:dyDescent="0.3">
      <c r="A4361" s="4">
        <v>46108</v>
      </c>
      <c r="B4361">
        <v>20129636</v>
      </c>
      <c r="C4361" t="s">
        <v>19</v>
      </c>
      <c r="D4361">
        <v>613541</v>
      </c>
      <c r="E4361" t="s">
        <v>20</v>
      </c>
      <c r="F4361">
        <v>1007301260</v>
      </c>
      <c r="G4361" t="s">
        <v>4316</v>
      </c>
      <c r="H4361">
        <v>100249744</v>
      </c>
      <c r="I4361">
        <v>202612</v>
      </c>
      <c r="J4361">
        <v>1007301260</v>
      </c>
      <c r="K4361" t="s">
        <v>33</v>
      </c>
      <c r="L4361" t="s">
        <v>204</v>
      </c>
      <c r="M4361" t="s">
        <v>24</v>
      </c>
      <c r="N4361" t="s">
        <v>25</v>
      </c>
      <c r="O4361" t="s">
        <v>26</v>
      </c>
      <c r="P4361" t="s">
        <v>27</v>
      </c>
      <c r="Q4361" t="s">
        <v>28</v>
      </c>
      <c r="R4361" t="s">
        <v>29</v>
      </c>
      <c r="S4361" t="s">
        <v>793</v>
      </c>
      <c r="T4361">
        <f>_xlfn.XLOOKUP(X4361,Hoja2!D:D,Hoja2!A:A)</f>
        <v>1019115186</v>
      </c>
      <c r="U4361" t="str">
        <f>_xlfn.XLOOKUP(X4361,Hoja2!D:D,Hoja2!B:B)</f>
        <v>HEIDY LORENA PRIETO AHUMADA</v>
      </c>
      <c r="V4361" t="str">
        <f>_xlfn.XLOOKUP(X4361,Hoja2!D:D,Hoja2!C:C)</f>
        <v>PREGRADO</v>
      </c>
      <c r="W4361" s="9">
        <f>IF(V4361="pregrado",31,
IF(V4361="posgrados",31,
IF(V4361="rEINTEGROS",7,
IF(V4361="BIT",90,
IF(V4361="OP GRADO - INGLÉS",17,"")))))</f>
        <v>31</v>
      </c>
      <c r="X4361" t="s">
        <v>4005</v>
      </c>
    </row>
    <row r="4362" spans="1:24" x14ac:dyDescent="0.3">
      <c r="A4362" s="4">
        <v>46112</v>
      </c>
      <c r="B4362">
        <v>20129958</v>
      </c>
      <c r="C4362" t="s">
        <v>19</v>
      </c>
      <c r="D4362">
        <v>613579</v>
      </c>
      <c r="E4362" t="s">
        <v>20</v>
      </c>
      <c r="F4362">
        <v>1031168548</v>
      </c>
      <c r="G4362" t="s">
        <v>4373</v>
      </c>
      <c r="H4362">
        <v>100249803</v>
      </c>
      <c r="I4362">
        <v>202632</v>
      </c>
      <c r="J4362">
        <v>1031168548</v>
      </c>
      <c r="K4362" t="s">
        <v>33</v>
      </c>
      <c r="L4362" t="s">
        <v>207</v>
      </c>
      <c r="M4362" t="s">
        <v>24</v>
      </c>
      <c r="N4362" t="s">
        <v>38</v>
      </c>
      <c r="O4362" t="s">
        <v>26</v>
      </c>
      <c r="P4362" t="s">
        <v>27</v>
      </c>
      <c r="Q4362" t="s">
        <v>28</v>
      </c>
      <c r="R4362" t="s">
        <v>29</v>
      </c>
      <c r="S4362" t="s">
        <v>793</v>
      </c>
      <c r="T4362">
        <f>_xlfn.XLOOKUP(X4362,Hoja2!D:D,Hoja2!A:A)</f>
        <v>63501040</v>
      </c>
      <c r="U4362" t="str">
        <f>_xlfn.XLOOKUP(X4362,Hoja2!D:D,Hoja2!B:B)</f>
        <v>HEIDY LORENA PRIETO AHUMADA</v>
      </c>
      <c r="V4362" t="str">
        <f>_xlfn.XLOOKUP(X4362,Hoja2!D:D,Hoja2!C:C)</f>
        <v>PREGRADO</v>
      </c>
      <c r="W4362" s="9">
        <f>IF(V4362="pregrado",31,
IF(V4362="posgrados",31,
IF(V4362="rEINTEGROS",7,
IF(V4362="BIT",90,
IF(V4362="OP GRADO - INGLÉS",17,"")))))</f>
        <v>31</v>
      </c>
      <c r="X4362" t="s">
        <v>4087</v>
      </c>
    </row>
    <row r="4363" spans="1:24" x14ac:dyDescent="0.3">
      <c r="A4363" s="4">
        <v>46111</v>
      </c>
      <c r="B4363">
        <v>20129835</v>
      </c>
      <c r="C4363" t="s">
        <v>19</v>
      </c>
      <c r="D4363">
        <v>613583</v>
      </c>
      <c r="E4363" t="s">
        <v>20</v>
      </c>
      <c r="F4363">
        <v>1000834654</v>
      </c>
      <c r="G4363" t="s">
        <v>4350</v>
      </c>
      <c r="H4363">
        <v>100249812</v>
      </c>
      <c r="I4363">
        <v>202632</v>
      </c>
      <c r="J4363">
        <v>1000834654</v>
      </c>
      <c r="K4363" t="s">
        <v>33</v>
      </c>
      <c r="L4363" t="s">
        <v>207</v>
      </c>
      <c r="M4363" t="s">
        <v>24</v>
      </c>
      <c r="N4363" t="s">
        <v>38</v>
      </c>
      <c r="O4363" t="s">
        <v>26</v>
      </c>
      <c r="P4363" t="s">
        <v>27</v>
      </c>
      <c r="Q4363" t="s">
        <v>28</v>
      </c>
      <c r="R4363" t="s">
        <v>29</v>
      </c>
      <c r="S4363" t="s">
        <v>793</v>
      </c>
      <c r="T4363">
        <f>_xlfn.XLOOKUP(X4363,Hoja2!D:D,Hoja2!A:A)</f>
        <v>1070815435</v>
      </c>
      <c r="U4363" t="str">
        <f>_xlfn.XLOOKUP(X4363,Hoja2!D:D,Hoja2!B:B)</f>
        <v>CATALINA PACHECO BURGOS</v>
      </c>
      <c r="V4363" t="str">
        <f>_xlfn.XLOOKUP(X4363,Hoja2!D:D,Hoja2!C:C)</f>
        <v>PREGRADO</v>
      </c>
      <c r="W4363" s="9">
        <f>IF(V4363="pregrado",31,
IF(V4363="posgrados",31,
IF(V4363="rEINTEGROS",7,
IF(V4363="BIT",90,
IF(V4363="OP GRADO - INGLÉS",17,"")))))</f>
        <v>31</v>
      </c>
      <c r="X4363" t="s">
        <v>4038</v>
      </c>
    </row>
    <row r="4364" spans="1:24" x14ac:dyDescent="0.3">
      <c r="A4364" s="4">
        <v>46120</v>
      </c>
      <c r="B4364">
        <v>20130394</v>
      </c>
      <c r="C4364" t="s">
        <v>19</v>
      </c>
      <c r="D4364">
        <v>613587</v>
      </c>
      <c r="E4364" t="s">
        <v>20</v>
      </c>
      <c r="F4364">
        <v>1123511864</v>
      </c>
      <c r="G4364" t="s">
        <v>4446</v>
      </c>
      <c r="H4364">
        <v>100249817</v>
      </c>
      <c r="I4364">
        <v>202632</v>
      </c>
      <c r="J4364">
        <v>1123511864</v>
      </c>
      <c r="K4364" t="s">
        <v>33</v>
      </c>
      <c r="L4364" t="s">
        <v>127</v>
      </c>
      <c r="M4364" t="s">
        <v>24</v>
      </c>
      <c r="N4364" t="s">
        <v>25</v>
      </c>
      <c r="O4364" t="s">
        <v>26</v>
      </c>
      <c r="P4364" t="s">
        <v>27</v>
      </c>
      <c r="Q4364" t="s">
        <v>28</v>
      </c>
      <c r="R4364" t="s">
        <v>29</v>
      </c>
      <c r="S4364" t="s">
        <v>793</v>
      </c>
      <c r="T4364">
        <f>_xlfn.XLOOKUP(X4364,Hoja2!D:D,Hoja2!A:A)</f>
        <v>1057582137</v>
      </c>
      <c r="U4364" t="str">
        <f>_xlfn.XLOOKUP(X4364,Hoja2!D:D,Hoja2!B:B)</f>
        <v>Paola Andrea Calderon Cetina</v>
      </c>
      <c r="V4364" t="str">
        <f>_xlfn.XLOOKUP(X4364,Hoja2!D:D,Hoja2!C:C)</f>
        <v>PREGRADO</v>
      </c>
      <c r="W4364" s="9">
        <f>IF(V4364="pregrado",31,
IF(V4364="posgrados",31,
IF(V4364="rEINTEGROS",7,
IF(V4364="BIT",90,
IF(V4364="OP GRADO - INGLÉS",17,"")))))</f>
        <v>31</v>
      </c>
      <c r="X4364" t="s">
        <v>4929</v>
      </c>
    </row>
    <row r="4365" spans="1:24" x14ac:dyDescent="0.3">
      <c r="A4365" s="4">
        <v>46120</v>
      </c>
      <c r="B4365">
        <v>20130327</v>
      </c>
      <c r="C4365" t="s">
        <v>19</v>
      </c>
      <c r="D4365">
        <v>613595</v>
      </c>
      <c r="E4365" t="s">
        <v>20</v>
      </c>
      <c r="F4365">
        <v>1066525816</v>
      </c>
      <c r="G4365" t="s">
        <v>4435</v>
      </c>
      <c r="H4365">
        <v>200258585</v>
      </c>
      <c r="I4365">
        <v>202632</v>
      </c>
      <c r="J4365">
        <v>1066517496</v>
      </c>
      <c r="K4365" t="s">
        <v>33</v>
      </c>
      <c r="L4365" t="s">
        <v>101</v>
      </c>
      <c r="M4365" t="s">
        <v>24</v>
      </c>
      <c r="N4365" t="s">
        <v>35</v>
      </c>
      <c r="O4365" t="s">
        <v>26</v>
      </c>
      <c r="P4365" t="s">
        <v>27</v>
      </c>
      <c r="Q4365" t="s">
        <v>28</v>
      </c>
      <c r="R4365" t="s">
        <v>29</v>
      </c>
      <c r="S4365" t="s">
        <v>793</v>
      </c>
      <c r="T4365">
        <f>_xlfn.XLOOKUP(X4365,Hoja2!D:D,Hoja2!A:A)</f>
        <v>1023975276</v>
      </c>
      <c r="U4365" t="str">
        <f>_xlfn.XLOOKUP(X4365,Hoja2!D:D,Hoja2!B:B)</f>
        <v>MARSHIA MILENA JIMéNEZ GóMEZ</v>
      </c>
      <c r="V4365" t="str">
        <f>_xlfn.XLOOKUP(X4365,Hoja2!D:D,Hoja2!C:C)</f>
        <v>PREGRADO</v>
      </c>
      <c r="W4365" s="9">
        <f>IF(V4365="pregrado",31,
IF(V4365="posgrados",31,
IF(V4365="rEINTEGROS",7,
IF(V4365="BIT",90,
IF(V4365="OP GRADO - INGLÉS",17,"")))))</f>
        <v>31</v>
      </c>
      <c r="X4365" t="s">
        <v>3962</v>
      </c>
    </row>
    <row r="4366" spans="1:24" x14ac:dyDescent="0.3">
      <c r="A4366" s="4">
        <v>46125</v>
      </c>
      <c r="B4366">
        <v>20130888</v>
      </c>
      <c r="C4366" t="s">
        <v>19</v>
      </c>
      <c r="D4366">
        <v>613613</v>
      </c>
      <c r="E4366" t="s">
        <v>20</v>
      </c>
      <c r="F4366">
        <v>33223668</v>
      </c>
      <c r="G4366" t="s">
        <v>4549</v>
      </c>
      <c r="H4366">
        <v>200184195</v>
      </c>
      <c r="I4366">
        <v>202632</v>
      </c>
      <c r="J4366">
        <v>1051655407</v>
      </c>
      <c r="K4366" t="s">
        <v>33</v>
      </c>
      <c r="L4366" t="s">
        <v>119</v>
      </c>
      <c r="M4366" t="s">
        <v>24</v>
      </c>
      <c r="N4366" t="s">
        <v>35</v>
      </c>
      <c r="O4366" t="s">
        <v>26</v>
      </c>
      <c r="P4366" t="s">
        <v>27</v>
      </c>
      <c r="Q4366" t="s">
        <v>28</v>
      </c>
      <c r="R4366" t="s">
        <v>29</v>
      </c>
      <c r="S4366" t="s">
        <v>793</v>
      </c>
      <c r="T4366">
        <f>_xlfn.XLOOKUP(X4366,Hoja2!D:D,Hoja2!A:A)</f>
        <v>1023974716</v>
      </c>
      <c r="U4366" t="str">
        <f>_xlfn.XLOOKUP(X4366,Hoja2!D:D,Hoja2!B:B)</f>
        <v>MARSHIA MILENA JIMéNEZ GóMEZ</v>
      </c>
      <c r="V4366" t="str">
        <f>_xlfn.XLOOKUP(X4366,Hoja2!D:D,Hoja2!C:C)</f>
        <v>PREGRADO</v>
      </c>
      <c r="W4366" s="9">
        <f>IF(V4366="pregrado",31,
IF(V4366="posgrados",31,
IF(V4366="rEINTEGROS",7,
IF(V4366="BIT",90,
IF(V4366="OP GRADO - INGLÉS",17,"")))))</f>
        <v>31</v>
      </c>
      <c r="X4366" t="s">
        <v>4016</v>
      </c>
    </row>
    <row r="4367" spans="1:24" x14ac:dyDescent="0.3">
      <c r="A4367" s="4">
        <v>46128</v>
      </c>
      <c r="B4367">
        <v>20131286</v>
      </c>
      <c r="C4367" t="s">
        <v>19</v>
      </c>
      <c r="D4367">
        <v>613616</v>
      </c>
      <c r="E4367" t="s">
        <v>20</v>
      </c>
      <c r="F4367">
        <v>1098762753</v>
      </c>
      <c r="G4367" t="s">
        <v>4641</v>
      </c>
      <c r="H4367">
        <v>100245155</v>
      </c>
      <c r="I4367">
        <v>202632</v>
      </c>
      <c r="J4367">
        <v>1007898555</v>
      </c>
      <c r="K4367" t="s">
        <v>33</v>
      </c>
      <c r="L4367" t="s">
        <v>219</v>
      </c>
      <c r="M4367" t="s">
        <v>24</v>
      </c>
      <c r="N4367" t="s">
        <v>35</v>
      </c>
      <c r="O4367" t="s">
        <v>26</v>
      </c>
      <c r="P4367" t="s">
        <v>27</v>
      </c>
      <c r="Q4367" t="s">
        <v>28</v>
      </c>
      <c r="R4367" t="s">
        <v>29</v>
      </c>
      <c r="S4367" t="s">
        <v>793</v>
      </c>
      <c r="T4367">
        <f>_xlfn.XLOOKUP(X4367,Hoja2!D:D,Hoja2!A:A)</f>
        <v>1015407851</v>
      </c>
      <c r="U4367" t="str">
        <f>_xlfn.XLOOKUP(X4367,Hoja2!D:D,Hoja2!B:B)</f>
        <v>Gina Paola Medina Flórez</v>
      </c>
      <c r="V4367" t="str">
        <f>_xlfn.XLOOKUP(X4367,Hoja2!D:D,Hoja2!C:C)</f>
        <v>PREGRADO</v>
      </c>
      <c r="W4367" s="9">
        <f>IF(V4367="pregrado",31,
IF(V4367="posgrados",31,
IF(V4367="rEINTEGROS",7,
IF(V4367="BIT",90,
IF(V4367="OP GRADO - INGLÉS",17,"")))))</f>
        <v>31</v>
      </c>
      <c r="X4367" t="s">
        <v>4924</v>
      </c>
    </row>
    <row r="4368" spans="1:24" x14ac:dyDescent="0.3">
      <c r="A4368" s="4">
        <v>46122</v>
      </c>
      <c r="B4368">
        <v>20130588</v>
      </c>
      <c r="C4368" t="s">
        <v>19</v>
      </c>
      <c r="D4368">
        <v>613620</v>
      </c>
      <c r="E4368" t="s">
        <v>20</v>
      </c>
      <c r="F4368">
        <v>1069494333</v>
      </c>
      <c r="G4368" t="s">
        <v>4485</v>
      </c>
      <c r="H4368">
        <v>100200511</v>
      </c>
      <c r="I4368">
        <v>202612</v>
      </c>
      <c r="J4368">
        <v>1069494333</v>
      </c>
      <c r="K4368" t="s">
        <v>23</v>
      </c>
      <c r="L4368" t="s">
        <v>204</v>
      </c>
      <c r="M4368" t="s">
        <v>24</v>
      </c>
      <c r="N4368" t="s">
        <v>35</v>
      </c>
      <c r="O4368" t="s">
        <v>26</v>
      </c>
      <c r="P4368" t="s">
        <v>27</v>
      </c>
      <c r="Q4368" t="s">
        <v>28</v>
      </c>
      <c r="R4368" t="s">
        <v>29</v>
      </c>
      <c r="S4368" t="s">
        <v>793</v>
      </c>
      <c r="T4368">
        <f>_xlfn.XLOOKUP(X4368,Hoja2!D:D,Hoja2!A:A)</f>
        <v>1024572316</v>
      </c>
      <c r="U4368" t="str">
        <f>_xlfn.XLOOKUP(X4368,Hoja2!D:D,Hoja2!B:B)</f>
        <v>HEIDY LORENA PRIETO AHUMADA</v>
      </c>
      <c r="V4368" t="str">
        <f>_xlfn.XLOOKUP(X4368,Hoja2!D:D,Hoja2!C:C)</f>
        <v>PREGRADO</v>
      </c>
      <c r="W4368" s="9">
        <f>IF(V4368="pregrado",31,
IF(V4368="posgrados",31,
IF(V4368="rEINTEGROS",7,
IF(V4368="BIT",90,
IF(V4368="OP GRADO - INGLÉS",17,"")))))</f>
        <v>31</v>
      </c>
      <c r="X4368" t="s">
        <v>4000</v>
      </c>
    </row>
    <row r="4369" spans="1:24" x14ac:dyDescent="0.3">
      <c r="A4369" s="4">
        <v>46112</v>
      </c>
      <c r="B4369">
        <v>20129856</v>
      </c>
      <c r="C4369" t="s">
        <v>19</v>
      </c>
      <c r="D4369">
        <v>613634</v>
      </c>
      <c r="E4369" t="s">
        <v>20</v>
      </c>
      <c r="F4369">
        <v>1124499024</v>
      </c>
      <c r="G4369" t="s">
        <v>4343</v>
      </c>
      <c r="H4369">
        <v>100249871</v>
      </c>
      <c r="I4369">
        <v>202632</v>
      </c>
      <c r="J4369">
        <v>1124494063</v>
      </c>
      <c r="K4369" t="s">
        <v>23</v>
      </c>
      <c r="L4369" t="s">
        <v>207</v>
      </c>
      <c r="M4369" t="s">
        <v>24</v>
      </c>
      <c r="N4369" t="s">
        <v>35</v>
      </c>
      <c r="O4369" t="s">
        <v>26</v>
      </c>
      <c r="P4369" t="s">
        <v>27</v>
      </c>
      <c r="Q4369" t="s">
        <v>28</v>
      </c>
      <c r="R4369" t="s">
        <v>29</v>
      </c>
      <c r="S4369" t="s">
        <v>793</v>
      </c>
      <c r="T4369">
        <f>_xlfn.XLOOKUP(X4369,Hoja2!D:D,Hoja2!A:A)</f>
        <v>1233513889</v>
      </c>
      <c r="U4369" t="str">
        <f>_xlfn.XLOOKUP(X4369,Hoja2!D:D,Hoja2!B:B)</f>
        <v>IVONNE JINETH RODRIGUEZ ROJAS</v>
      </c>
      <c r="V4369" t="str">
        <f>_xlfn.XLOOKUP(X4369,Hoja2!D:D,Hoja2!C:C)</f>
        <v>POSGRADOS</v>
      </c>
      <c r="W4369" s="9">
        <f>IF(V4369="pregrado",31,
IF(V4369="posgrados",31,
IF(V4369="rEINTEGROS",7,
IF(V4369="BIT",90,
IF(V4369="OP GRADO - INGLÉS",17,"")))))</f>
        <v>31</v>
      </c>
      <c r="X4369" t="s">
        <v>4035</v>
      </c>
    </row>
    <row r="4370" spans="1:24" x14ac:dyDescent="0.3">
      <c r="A4370" s="4">
        <v>46112</v>
      </c>
      <c r="B4370">
        <v>20129880</v>
      </c>
      <c r="C4370" t="s">
        <v>19</v>
      </c>
      <c r="D4370">
        <v>613652</v>
      </c>
      <c r="E4370" t="s">
        <v>20</v>
      </c>
      <c r="F4370">
        <v>27830271</v>
      </c>
      <c r="G4370" t="s">
        <v>4362</v>
      </c>
      <c r="H4370">
        <v>100249895</v>
      </c>
      <c r="I4370">
        <v>202612</v>
      </c>
      <c r="J4370">
        <v>27830271</v>
      </c>
      <c r="K4370" t="s">
        <v>23</v>
      </c>
      <c r="L4370" t="s">
        <v>221</v>
      </c>
      <c r="M4370" t="s">
        <v>24</v>
      </c>
      <c r="N4370" t="s">
        <v>25</v>
      </c>
      <c r="O4370" t="s">
        <v>26</v>
      </c>
      <c r="P4370" t="s">
        <v>27</v>
      </c>
      <c r="Q4370" t="s">
        <v>28</v>
      </c>
      <c r="R4370" t="s">
        <v>29</v>
      </c>
      <c r="S4370" t="s">
        <v>793</v>
      </c>
      <c r="T4370">
        <f>_xlfn.XLOOKUP(X4370,Hoja2!D:D,Hoja2!A:A)</f>
        <v>1003652550</v>
      </c>
      <c r="U4370" t="str">
        <f>_xlfn.XLOOKUP(X4370,Hoja2!D:D,Hoja2!B:B)</f>
        <v>NELSON JAVIER MORERA RINCON</v>
      </c>
      <c r="V4370" t="str">
        <f>_xlfn.XLOOKUP(X4370,Hoja2!D:D,Hoja2!C:C)</f>
        <v>PREGRADO</v>
      </c>
      <c r="W4370" s="9">
        <f>IF(V4370="pregrado",31,
IF(V4370="posgrados",31,
IF(V4370="rEINTEGROS",7,
IF(V4370="BIT",90,
IF(V4370="OP GRADO - INGLÉS",17,"")))))</f>
        <v>31</v>
      </c>
      <c r="X4370" t="s">
        <v>4059</v>
      </c>
    </row>
    <row r="4371" spans="1:24" x14ac:dyDescent="0.3">
      <c r="A4371" s="4">
        <v>46112</v>
      </c>
      <c r="B4371">
        <v>20129858</v>
      </c>
      <c r="C4371" t="s">
        <v>19</v>
      </c>
      <c r="D4371">
        <v>613658</v>
      </c>
      <c r="E4371" t="s">
        <v>20</v>
      </c>
      <c r="F4371">
        <v>1043650277</v>
      </c>
      <c r="G4371" t="s">
        <v>4357</v>
      </c>
      <c r="H4371">
        <v>100249882</v>
      </c>
      <c r="I4371">
        <v>202632</v>
      </c>
      <c r="J4371">
        <v>1043650277</v>
      </c>
      <c r="K4371" t="s">
        <v>23</v>
      </c>
      <c r="L4371" t="s">
        <v>219</v>
      </c>
      <c r="M4371" t="s">
        <v>24</v>
      </c>
      <c r="N4371" t="s">
        <v>35</v>
      </c>
      <c r="O4371" t="s">
        <v>26</v>
      </c>
      <c r="P4371" t="s">
        <v>27</v>
      </c>
      <c r="Q4371" t="s">
        <v>28</v>
      </c>
      <c r="R4371" t="s">
        <v>29</v>
      </c>
      <c r="S4371" t="s">
        <v>793</v>
      </c>
      <c r="T4371">
        <f>_xlfn.XLOOKUP(X4371,Hoja2!D:D,Hoja2!A:A)</f>
        <v>1015441103</v>
      </c>
      <c r="U4371" t="str">
        <f>_xlfn.XLOOKUP(X4371,Hoja2!D:D,Hoja2!B:B)</f>
        <v>PAOLA ANDREA CALDERON CETINA</v>
      </c>
      <c r="V4371" t="str">
        <f>_xlfn.XLOOKUP(X4371,Hoja2!D:D,Hoja2!C:C)</f>
        <v>PREGRADO</v>
      </c>
      <c r="W4371" s="9">
        <f>IF(V4371="pregrado",31,
IF(V4371="posgrados",31,
IF(V4371="rEINTEGROS",7,
IF(V4371="BIT",90,
IF(V4371="OP GRADO - INGLÉS",17,"")))))</f>
        <v>31</v>
      </c>
      <c r="X4371" t="s">
        <v>3961</v>
      </c>
    </row>
    <row r="4372" spans="1:24" x14ac:dyDescent="0.3">
      <c r="A4372" s="4">
        <v>46112</v>
      </c>
      <c r="B4372">
        <v>20129931</v>
      </c>
      <c r="C4372" t="s">
        <v>19</v>
      </c>
      <c r="D4372">
        <v>613685</v>
      </c>
      <c r="E4372" t="s">
        <v>20</v>
      </c>
      <c r="F4372">
        <v>73147976</v>
      </c>
      <c r="G4372" t="s">
        <v>4367</v>
      </c>
      <c r="H4372">
        <v>100249925</v>
      </c>
      <c r="I4372">
        <v>202632</v>
      </c>
      <c r="J4372">
        <v>1102121702</v>
      </c>
      <c r="K4372" t="s">
        <v>33</v>
      </c>
      <c r="L4372" t="s">
        <v>127</v>
      </c>
      <c r="M4372" t="s">
        <v>24</v>
      </c>
      <c r="N4372" t="s">
        <v>25</v>
      </c>
      <c r="O4372" t="s">
        <v>26</v>
      </c>
      <c r="P4372" t="s">
        <v>27</v>
      </c>
      <c r="Q4372" t="s">
        <v>28</v>
      </c>
      <c r="R4372" t="s">
        <v>29</v>
      </c>
      <c r="S4372" t="s">
        <v>793</v>
      </c>
      <c r="T4372">
        <f>_xlfn.XLOOKUP(X4372,Hoja2!D:D,Hoja2!A:A)</f>
        <v>1015441103</v>
      </c>
      <c r="U4372" t="str">
        <f>_xlfn.XLOOKUP(X4372,Hoja2!D:D,Hoja2!B:B)</f>
        <v>PAOLA ANDREA CALDERON CETINA</v>
      </c>
      <c r="V4372" t="str">
        <f>_xlfn.XLOOKUP(X4372,Hoja2!D:D,Hoja2!C:C)</f>
        <v>PREGRADO</v>
      </c>
      <c r="W4372" s="9">
        <f>IF(V4372="pregrado",31,
IF(V4372="posgrados",31,
IF(V4372="rEINTEGROS",7,
IF(V4372="BIT",90,
IF(V4372="OP GRADO - INGLÉS",17,"")))))</f>
        <v>31</v>
      </c>
      <c r="X4372" t="s">
        <v>3961</v>
      </c>
    </row>
    <row r="4373" spans="1:24" x14ac:dyDescent="0.3">
      <c r="A4373" s="4">
        <v>46112</v>
      </c>
      <c r="B4373">
        <v>20129967</v>
      </c>
      <c r="C4373" t="s">
        <v>19</v>
      </c>
      <c r="D4373">
        <v>613725</v>
      </c>
      <c r="E4373" t="s">
        <v>20</v>
      </c>
      <c r="F4373">
        <v>1004592690</v>
      </c>
      <c r="G4373" t="s">
        <v>4377</v>
      </c>
      <c r="H4373">
        <v>100249953</v>
      </c>
      <c r="I4373">
        <v>202632</v>
      </c>
      <c r="J4373">
        <v>1004592690</v>
      </c>
      <c r="K4373" t="s">
        <v>33</v>
      </c>
      <c r="L4373" t="s">
        <v>90</v>
      </c>
      <c r="M4373" t="s">
        <v>24</v>
      </c>
      <c r="N4373" t="s">
        <v>25</v>
      </c>
      <c r="O4373" t="s">
        <v>26</v>
      </c>
      <c r="P4373" t="s">
        <v>27</v>
      </c>
      <c r="Q4373" t="s">
        <v>28</v>
      </c>
      <c r="R4373" t="s">
        <v>29</v>
      </c>
      <c r="S4373" t="s">
        <v>793</v>
      </c>
      <c r="T4373">
        <f>_xlfn.XLOOKUP(X4373,Hoja2!D:D,Hoja2!A:A)</f>
        <v>1013595695</v>
      </c>
      <c r="U4373" t="str">
        <f>_xlfn.XLOOKUP(X4373,Hoja2!D:D,Hoja2!B:B)</f>
        <v>PAOLA ANDREA CALDERON CETINA</v>
      </c>
      <c r="V4373" t="str">
        <f>_xlfn.XLOOKUP(X4373,Hoja2!D:D,Hoja2!C:C)</f>
        <v>PREGRADO</v>
      </c>
      <c r="W4373" s="9">
        <f>IF(V4373="pregrado",31,
IF(V4373="posgrados",31,
IF(V4373="rEINTEGROS",7,
IF(V4373="BIT",90,
IF(V4373="OP GRADO - INGLÉS",17,"")))))</f>
        <v>31</v>
      </c>
      <c r="X4373" t="s">
        <v>3990</v>
      </c>
    </row>
    <row r="4374" spans="1:24" x14ac:dyDescent="0.3">
      <c r="A4374" s="4">
        <v>46112</v>
      </c>
      <c r="B4374">
        <v>20129956</v>
      </c>
      <c r="C4374" t="s">
        <v>19</v>
      </c>
      <c r="D4374">
        <v>613732</v>
      </c>
      <c r="E4374" t="s">
        <v>20</v>
      </c>
      <c r="F4374">
        <v>1013103726</v>
      </c>
      <c r="G4374" t="s">
        <v>4372</v>
      </c>
      <c r="H4374">
        <v>200265078</v>
      </c>
      <c r="I4374">
        <v>202632</v>
      </c>
      <c r="J4374">
        <v>1013103726</v>
      </c>
      <c r="K4374" t="s">
        <v>23</v>
      </c>
      <c r="L4374" t="s">
        <v>219</v>
      </c>
      <c r="M4374" t="s">
        <v>24</v>
      </c>
      <c r="N4374" t="s">
        <v>35</v>
      </c>
      <c r="O4374" t="s">
        <v>26</v>
      </c>
      <c r="P4374" t="s">
        <v>27</v>
      </c>
      <c r="Q4374" t="s">
        <v>28</v>
      </c>
      <c r="R4374" t="s">
        <v>29</v>
      </c>
      <c r="S4374" t="s">
        <v>793</v>
      </c>
      <c r="T4374">
        <f>_xlfn.XLOOKUP(X4374,Hoja2!D:D,Hoja2!A:A)</f>
        <v>1023975276</v>
      </c>
      <c r="U4374" t="str">
        <f>_xlfn.XLOOKUP(X4374,Hoja2!D:D,Hoja2!B:B)</f>
        <v>MARSHIA MILENA JIMéNEZ GóMEZ</v>
      </c>
      <c r="V4374" t="str">
        <f>_xlfn.XLOOKUP(X4374,Hoja2!D:D,Hoja2!C:C)</f>
        <v>PREGRADO</v>
      </c>
      <c r="W4374" s="9">
        <f>IF(V4374="pregrado",31,
IF(V4374="posgrados",31,
IF(V4374="rEINTEGROS",7,
IF(V4374="BIT",90,
IF(V4374="OP GRADO - INGLÉS",17,"")))))</f>
        <v>31</v>
      </c>
      <c r="X4374" t="s">
        <v>3962</v>
      </c>
    </row>
    <row r="4375" spans="1:24" x14ac:dyDescent="0.3">
      <c r="A4375" s="4">
        <v>46121</v>
      </c>
      <c r="B4375">
        <v>20130571</v>
      </c>
      <c r="C4375" t="s">
        <v>19</v>
      </c>
      <c r="D4375">
        <v>613743</v>
      </c>
      <c r="E4375" t="s">
        <v>20</v>
      </c>
      <c r="F4375">
        <v>1120374068</v>
      </c>
      <c r="G4375" t="s">
        <v>4482</v>
      </c>
      <c r="H4375">
        <v>100249967</v>
      </c>
      <c r="I4375">
        <v>202612</v>
      </c>
      <c r="J4375">
        <v>1016951781</v>
      </c>
      <c r="K4375" t="s">
        <v>23</v>
      </c>
      <c r="L4375" t="s">
        <v>204</v>
      </c>
      <c r="M4375" t="s">
        <v>24</v>
      </c>
      <c r="N4375" t="s">
        <v>35</v>
      </c>
      <c r="O4375" t="s">
        <v>26</v>
      </c>
      <c r="P4375" t="s">
        <v>27</v>
      </c>
      <c r="Q4375" t="s">
        <v>28</v>
      </c>
      <c r="R4375" t="s">
        <v>29</v>
      </c>
      <c r="S4375" t="s">
        <v>793</v>
      </c>
      <c r="T4375">
        <f>_xlfn.XLOOKUP(X4375,Hoja2!D:D,Hoja2!A:A)</f>
        <v>1020730718</v>
      </c>
      <c r="U4375" t="str">
        <f>_xlfn.XLOOKUP(X4375,Hoja2!D:D,Hoja2!B:B)</f>
        <v>HEIDY LORENA PRIETO AHUMADA</v>
      </c>
      <c r="V4375" t="str">
        <f>_xlfn.XLOOKUP(X4375,Hoja2!D:D,Hoja2!C:C)</f>
        <v>PREGRADO</v>
      </c>
      <c r="W4375" s="9">
        <f>IF(V4375="pregrado",31,
IF(V4375="posgrados",31,
IF(V4375="rEINTEGROS",7,
IF(V4375="BIT",90,
IF(V4375="OP GRADO - INGLÉS",17,"")))))</f>
        <v>31</v>
      </c>
      <c r="X4375" t="s">
        <v>3952</v>
      </c>
    </row>
    <row r="4376" spans="1:24" x14ac:dyDescent="0.3">
      <c r="A4376" s="4">
        <v>46113</v>
      </c>
      <c r="B4376">
        <v>20130040</v>
      </c>
      <c r="C4376" t="s">
        <v>19</v>
      </c>
      <c r="D4376">
        <v>613746</v>
      </c>
      <c r="E4376" t="s">
        <v>20</v>
      </c>
      <c r="F4376">
        <v>1023014455</v>
      </c>
      <c r="G4376" t="s">
        <v>4388</v>
      </c>
      <c r="H4376">
        <v>100249437</v>
      </c>
      <c r="I4376">
        <v>202632</v>
      </c>
      <c r="J4376">
        <v>1023014455</v>
      </c>
      <c r="K4376" t="s">
        <v>23</v>
      </c>
      <c r="L4376" t="s">
        <v>240</v>
      </c>
      <c r="M4376" t="s">
        <v>24</v>
      </c>
      <c r="N4376" t="s">
        <v>25</v>
      </c>
      <c r="O4376" t="s">
        <v>26</v>
      </c>
      <c r="P4376" t="s">
        <v>27</v>
      </c>
      <c r="Q4376" t="s">
        <v>28</v>
      </c>
      <c r="R4376" t="s">
        <v>29</v>
      </c>
      <c r="S4376" t="s">
        <v>793</v>
      </c>
      <c r="T4376">
        <f>_xlfn.XLOOKUP(X4376,Hoja2!D:D,Hoja2!A:A)</f>
        <v>1026298522</v>
      </c>
      <c r="U4376" t="str">
        <f>_xlfn.XLOOKUP(X4376,Hoja2!D:D,Hoja2!B:B)</f>
        <v>NELSON JAVIER MORERA RINCON</v>
      </c>
      <c r="V4376" t="str">
        <f>_xlfn.XLOOKUP(X4376,Hoja2!D:D,Hoja2!C:C)</f>
        <v>PREGRADO</v>
      </c>
      <c r="W4376" s="9">
        <f>IF(V4376="pregrado",31,
IF(V4376="posgrados",31,
IF(V4376="rEINTEGROS",7,
IF(V4376="BIT",90,
IF(V4376="OP GRADO - INGLÉS",17,"")))))</f>
        <v>31</v>
      </c>
      <c r="X4376" t="s">
        <v>4040</v>
      </c>
    </row>
    <row r="4377" spans="1:24" x14ac:dyDescent="0.3">
      <c r="A4377" s="4">
        <v>46113</v>
      </c>
      <c r="B4377">
        <v>20130021</v>
      </c>
      <c r="C4377" t="s">
        <v>19</v>
      </c>
      <c r="D4377">
        <v>613748</v>
      </c>
      <c r="E4377" t="s">
        <v>20</v>
      </c>
      <c r="F4377">
        <v>1010102337</v>
      </c>
      <c r="G4377" t="s">
        <v>4384</v>
      </c>
      <c r="H4377">
        <v>200264680</v>
      </c>
      <c r="I4377">
        <v>202632</v>
      </c>
      <c r="J4377">
        <v>1010102337</v>
      </c>
      <c r="K4377" t="s">
        <v>33</v>
      </c>
      <c r="L4377" t="s">
        <v>119</v>
      </c>
      <c r="M4377" t="s">
        <v>24</v>
      </c>
      <c r="N4377" t="s">
        <v>35</v>
      </c>
      <c r="O4377" t="s">
        <v>26</v>
      </c>
      <c r="P4377" t="s">
        <v>27</v>
      </c>
      <c r="Q4377" t="s">
        <v>28</v>
      </c>
      <c r="R4377" t="s">
        <v>29</v>
      </c>
      <c r="S4377" t="s">
        <v>793</v>
      </c>
      <c r="T4377">
        <f>_xlfn.XLOOKUP(X4377,Hoja2!D:D,Hoja2!A:A)</f>
        <v>1023975276</v>
      </c>
      <c r="U4377" t="str">
        <f>_xlfn.XLOOKUP(X4377,Hoja2!D:D,Hoja2!B:B)</f>
        <v>MARSHIA MILENA JIMéNEZ GóMEZ</v>
      </c>
      <c r="V4377" t="str">
        <f>_xlfn.XLOOKUP(X4377,Hoja2!D:D,Hoja2!C:C)</f>
        <v>PREGRADO</v>
      </c>
      <c r="W4377" s="9">
        <f>IF(V4377="pregrado",31,
IF(V4377="posgrados",31,
IF(V4377="rEINTEGROS",7,
IF(V4377="BIT",90,
IF(V4377="OP GRADO - INGLÉS",17,"")))))</f>
        <v>31</v>
      </c>
      <c r="X4377" t="s">
        <v>3962</v>
      </c>
    </row>
    <row r="4378" spans="1:24" x14ac:dyDescent="0.3">
      <c r="A4378" s="4">
        <v>46126</v>
      </c>
      <c r="B4378">
        <v>20130993</v>
      </c>
      <c r="C4378" t="s">
        <v>19</v>
      </c>
      <c r="D4378">
        <v>613751</v>
      </c>
      <c r="E4378" t="s">
        <v>20</v>
      </c>
      <c r="F4378">
        <v>1031120101</v>
      </c>
      <c r="G4378" t="s">
        <v>4571</v>
      </c>
      <c r="H4378">
        <v>100249972</v>
      </c>
      <c r="I4378">
        <v>202632</v>
      </c>
      <c r="J4378">
        <v>1031120101</v>
      </c>
      <c r="K4378" t="s">
        <v>33</v>
      </c>
      <c r="L4378" t="s">
        <v>240</v>
      </c>
      <c r="M4378" t="s">
        <v>24</v>
      </c>
      <c r="N4378" t="s">
        <v>35</v>
      </c>
      <c r="O4378" t="s">
        <v>26</v>
      </c>
      <c r="P4378" t="s">
        <v>27</v>
      </c>
      <c r="Q4378" t="s">
        <v>28</v>
      </c>
      <c r="R4378" t="s">
        <v>29</v>
      </c>
      <c r="S4378" t="s">
        <v>793</v>
      </c>
      <c r="T4378">
        <f>_xlfn.XLOOKUP(X4378,Hoja2!D:D,Hoja2!A:A)</f>
        <v>1000286877</v>
      </c>
      <c r="U4378" t="str">
        <f>_xlfn.XLOOKUP(X4378,Hoja2!D:D,Hoja2!B:B)</f>
        <v>Catalina Pacheco Burgos</v>
      </c>
      <c r="V4378" t="str">
        <f>_xlfn.XLOOKUP(X4378,Hoja2!D:D,Hoja2!C:C)</f>
        <v>PREGRADO</v>
      </c>
      <c r="W4378" s="9">
        <f>IF(V4378="pregrado",31,
IF(V4378="posgrados",31,
IF(V4378="rEINTEGROS",7,
IF(V4378="BIT",90,
IF(V4378="OP GRADO - INGLÉS",17,"")))))</f>
        <v>31</v>
      </c>
      <c r="X4378" t="s">
        <v>4930</v>
      </c>
    </row>
    <row r="4379" spans="1:24" x14ac:dyDescent="0.3">
      <c r="A4379" s="4">
        <v>46118</v>
      </c>
      <c r="B4379">
        <v>20130152</v>
      </c>
      <c r="C4379" t="s">
        <v>19</v>
      </c>
      <c r="D4379">
        <v>613776</v>
      </c>
      <c r="E4379" t="s">
        <v>20</v>
      </c>
      <c r="F4379">
        <v>1124864162</v>
      </c>
      <c r="G4379" t="s">
        <v>4402</v>
      </c>
      <c r="H4379">
        <v>100141152</v>
      </c>
      <c r="I4379">
        <v>202632</v>
      </c>
      <c r="J4379">
        <v>1124864162</v>
      </c>
      <c r="K4379" t="s">
        <v>33</v>
      </c>
      <c r="L4379" t="s">
        <v>127</v>
      </c>
      <c r="M4379" t="s">
        <v>24</v>
      </c>
      <c r="N4379" t="s">
        <v>25</v>
      </c>
      <c r="O4379" t="s">
        <v>26</v>
      </c>
      <c r="P4379" t="s">
        <v>27</v>
      </c>
      <c r="Q4379" t="s">
        <v>28</v>
      </c>
      <c r="R4379" t="s">
        <v>29</v>
      </c>
      <c r="S4379" t="s">
        <v>793</v>
      </c>
      <c r="T4379">
        <f>_xlfn.XLOOKUP(X4379,Hoja2!D:D,Hoja2!A:A)</f>
        <v>1007473661</v>
      </c>
      <c r="U4379" t="str">
        <f>_xlfn.XLOOKUP(X4379,Hoja2!D:D,Hoja2!B:B)</f>
        <v>PAOLA ANDREA CALDERON CETINA</v>
      </c>
      <c r="V4379" t="str">
        <f>_xlfn.XLOOKUP(X4379,Hoja2!D:D,Hoja2!C:C)</f>
        <v>PREGRADO</v>
      </c>
      <c r="W4379" s="9">
        <f>IF(V4379="pregrado",31,
IF(V4379="posgrados",31,
IF(V4379="rEINTEGROS",7,
IF(V4379="BIT",90,
IF(V4379="OP GRADO - INGLÉS",17,"")))))</f>
        <v>31</v>
      </c>
      <c r="X4379" t="s">
        <v>4058</v>
      </c>
    </row>
    <row r="4380" spans="1:24" x14ac:dyDescent="0.3">
      <c r="A4380" s="4">
        <v>46118</v>
      </c>
      <c r="B4380">
        <v>20130138</v>
      </c>
      <c r="C4380" t="s">
        <v>19</v>
      </c>
      <c r="D4380">
        <v>613808</v>
      </c>
      <c r="E4380" t="s">
        <v>20</v>
      </c>
      <c r="F4380">
        <v>1120560589</v>
      </c>
      <c r="G4380" t="s">
        <v>4400</v>
      </c>
      <c r="H4380">
        <v>100250035</v>
      </c>
      <c r="I4380">
        <v>202632</v>
      </c>
      <c r="J4380">
        <v>1120560589</v>
      </c>
      <c r="K4380" t="s">
        <v>33</v>
      </c>
      <c r="L4380" t="s">
        <v>207</v>
      </c>
      <c r="M4380" t="s">
        <v>24</v>
      </c>
      <c r="N4380" t="s">
        <v>25</v>
      </c>
      <c r="O4380" t="s">
        <v>26</v>
      </c>
      <c r="P4380" t="s">
        <v>27</v>
      </c>
      <c r="Q4380" t="s">
        <v>28</v>
      </c>
      <c r="R4380" t="s">
        <v>29</v>
      </c>
      <c r="S4380" t="s">
        <v>793</v>
      </c>
      <c r="T4380">
        <f>_xlfn.XLOOKUP(X4380,Hoja2!D:D,Hoja2!A:A)</f>
        <v>1003690112</v>
      </c>
      <c r="U4380" t="str">
        <f>_xlfn.XLOOKUP(X4380,Hoja2!D:D,Hoja2!B:B)</f>
        <v>PAOLA ANDREA CALDERON CETINA</v>
      </c>
      <c r="V4380" t="str">
        <f>_xlfn.XLOOKUP(X4380,Hoja2!D:D,Hoja2!C:C)</f>
        <v>PREGRADO</v>
      </c>
      <c r="W4380" s="9">
        <f>IF(V4380="pregrado",31,
IF(V4380="posgrados",31,
IF(V4380="rEINTEGROS",7,
IF(V4380="BIT",90,
IF(V4380="OP GRADO - INGLÉS",17,"")))))</f>
        <v>31</v>
      </c>
      <c r="X4380" t="s">
        <v>4061</v>
      </c>
    </row>
    <row r="4381" spans="1:24" x14ac:dyDescent="0.3">
      <c r="A4381" s="4">
        <v>46118</v>
      </c>
      <c r="B4381">
        <v>20130157</v>
      </c>
      <c r="C4381" t="s">
        <v>19</v>
      </c>
      <c r="D4381">
        <v>613828</v>
      </c>
      <c r="E4381" t="s">
        <v>20</v>
      </c>
      <c r="F4381">
        <v>34566286</v>
      </c>
      <c r="G4381" t="s">
        <v>4403</v>
      </c>
      <c r="H4381">
        <v>100250049</v>
      </c>
      <c r="I4381">
        <v>202632</v>
      </c>
      <c r="J4381">
        <v>34566286</v>
      </c>
      <c r="K4381" t="s">
        <v>23</v>
      </c>
      <c r="L4381" t="s">
        <v>240</v>
      </c>
      <c r="M4381" t="s">
        <v>24</v>
      </c>
      <c r="N4381" t="s">
        <v>25</v>
      </c>
      <c r="O4381" t="s">
        <v>26</v>
      </c>
      <c r="P4381" t="s">
        <v>27</v>
      </c>
      <c r="Q4381" t="s">
        <v>28</v>
      </c>
      <c r="R4381" t="s">
        <v>29</v>
      </c>
      <c r="S4381" t="s">
        <v>793</v>
      </c>
      <c r="T4381">
        <f>_xlfn.XLOOKUP(X4381,Hoja2!D:D,Hoja2!A:A)</f>
        <v>52342867</v>
      </c>
      <c r="U4381" t="str">
        <f>_xlfn.XLOOKUP(X4381,Hoja2!D:D,Hoja2!B:B)</f>
        <v>NELSON JAVIER MORERA RINCON</v>
      </c>
      <c r="V4381" t="str">
        <f>_xlfn.XLOOKUP(X4381,Hoja2!D:D,Hoja2!C:C)</f>
        <v>PREGRADO</v>
      </c>
      <c r="W4381" s="9">
        <f>IF(V4381="pregrado",31,
IF(V4381="posgrados",31,
IF(V4381="rEINTEGROS",7,
IF(V4381="BIT",90,
IF(V4381="OP GRADO - INGLÉS",17,"")))))</f>
        <v>31</v>
      </c>
      <c r="X4381" t="s">
        <v>4047</v>
      </c>
    </row>
    <row r="4382" spans="1:24" x14ac:dyDescent="0.3">
      <c r="A4382" s="4">
        <v>46122</v>
      </c>
      <c r="B4382">
        <v>20130607</v>
      </c>
      <c r="C4382" t="s">
        <v>19</v>
      </c>
      <c r="D4382">
        <v>613859</v>
      </c>
      <c r="E4382" t="s">
        <v>20</v>
      </c>
      <c r="F4382">
        <v>1098752329</v>
      </c>
      <c r="G4382" t="s">
        <v>4488</v>
      </c>
      <c r="H4382">
        <v>100250091</v>
      </c>
      <c r="I4382">
        <v>202632</v>
      </c>
      <c r="J4382">
        <v>1098752329</v>
      </c>
      <c r="K4382" t="s">
        <v>33</v>
      </c>
      <c r="L4382" t="s">
        <v>207</v>
      </c>
      <c r="M4382" t="s">
        <v>24</v>
      </c>
      <c r="N4382" t="s">
        <v>25</v>
      </c>
      <c r="O4382" t="s">
        <v>26</v>
      </c>
      <c r="P4382" t="s">
        <v>27</v>
      </c>
      <c r="Q4382" t="s">
        <v>28</v>
      </c>
      <c r="R4382" t="s">
        <v>29</v>
      </c>
      <c r="S4382" t="s">
        <v>793</v>
      </c>
      <c r="T4382">
        <f>_xlfn.XLOOKUP(X4382,Hoja2!D:D,Hoja2!A:A)</f>
        <v>1000286877</v>
      </c>
      <c r="U4382" t="str">
        <f>_xlfn.XLOOKUP(X4382,Hoja2!D:D,Hoja2!B:B)</f>
        <v>Catalina Pacheco Burgos</v>
      </c>
      <c r="V4382" t="str">
        <f>_xlfn.XLOOKUP(X4382,Hoja2!D:D,Hoja2!C:C)</f>
        <v>PREGRADO</v>
      </c>
      <c r="W4382" s="9">
        <f>IF(V4382="pregrado",31,
IF(V4382="posgrados",31,
IF(V4382="rEINTEGROS",7,
IF(V4382="BIT",90,
IF(V4382="OP GRADO - INGLÉS",17,"")))))</f>
        <v>31</v>
      </c>
      <c r="X4382" t="s">
        <v>4930</v>
      </c>
    </row>
    <row r="4383" spans="1:24" x14ac:dyDescent="0.3">
      <c r="A4383" s="4">
        <v>46118</v>
      </c>
      <c r="B4383">
        <v>20130197</v>
      </c>
      <c r="C4383" t="s">
        <v>19</v>
      </c>
      <c r="D4383">
        <v>613921</v>
      </c>
      <c r="E4383" t="s">
        <v>20</v>
      </c>
      <c r="F4383">
        <v>1143152146</v>
      </c>
      <c r="G4383" t="s">
        <v>4411</v>
      </c>
      <c r="H4383">
        <v>100250143</v>
      </c>
      <c r="I4383">
        <v>202632</v>
      </c>
      <c r="J4383">
        <v>1143152146</v>
      </c>
      <c r="K4383" t="s">
        <v>23</v>
      </c>
      <c r="L4383" t="s">
        <v>32</v>
      </c>
      <c r="M4383" t="s">
        <v>24</v>
      </c>
      <c r="N4383" t="s">
        <v>25</v>
      </c>
      <c r="O4383" t="s">
        <v>26</v>
      </c>
      <c r="P4383" t="s">
        <v>27</v>
      </c>
      <c r="Q4383" t="s">
        <v>28</v>
      </c>
      <c r="R4383" t="s">
        <v>29</v>
      </c>
      <c r="S4383" t="s">
        <v>793</v>
      </c>
      <c r="T4383">
        <f>_xlfn.XLOOKUP(X4383,Hoja2!D:D,Hoja2!A:A)</f>
        <v>1020730718</v>
      </c>
      <c r="U4383" t="str">
        <f>_xlfn.XLOOKUP(X4383,Hoja2!D:D,Hoja2!B:B)</f>
        <v>HEIDY LORENA PRIETO AHUMADA</v>
      </c>
      <c r="V4383" t="str">
        <f>_xlfn.XLOOKUP(X4383,Hoja2!D:D,Hoja2!C:C)</f>
        <v>PREGRADO</v>
      </c>
      <c r="W4383" s="9">
        <f>IF(V4383="pregrado",31,
IF(V4383="posgrados",31,
IF(V4383="rEINTEGROS",7,
IF(V4383="BIT",90,
IF(V4383="OP GRADO - INGLÉS",17,"")))))</f>
        <v>31</v>
      </c>
      <c r="X4383" t="s">
        <v>3952</v>
      </c>
    </row>
    <row r="4384" spans="1:24" x14ac:dyDescent="0.3">
      <c r="A4384" s="4">
        <v>46125</v>
      </c>
      <c r="B4384">
        <v>20130801</v>
      </c>
      <c r="C4384" t="s">
        <v>19</v>
      </c>
      <c r="D4384">
        <v>613945</v>
      </c>
      <c r="E4384" t="s">
        <v>20</v>
      </c>
      <c r="F4384">
        <v>1002185467</v>
      </c>
      <c r="G4384" t="s">
        <v>4527</v>
      </c>
      <c r="H4384">
        <v>100250160</v>
      </c>
      <c r="I4384">
        <v>202632</v>
      </c>
      <c r="J4384">
        <v>1002185467</v>
      </c>
      <c r="K4384" t="s">
        <v>33</v>
      </c>
      <c r="L4384" t="s">
        <v>207</v>
      </c>
      <c r="M4384" t="s">
        <v>24</v>
      </c>
      <c r="N4384" t="s">
        <v>25</v>
      </c>
      <c r="O4384" t="s">
        <v>26</v>
      </c>
      <c r="P4384" t="s">
        <v>27</v>
      </c>
      <c r="Q4384" t="s">
        <v>28</v>
      </c>
      <c r="R4384" t="s">
        <v>29</v>
      </c>
      <c r="S4384" t="s">
        <v>793</v>
      </c>
      <c r="T4384">
        <f>_xlfn.XLOOKUP(X4384,Hoja2!D:D,Hoja2!A:A)</f>
        <v>1025460711</v>
      </c>
      <c r="U4384" t="str">
        <f>_xlfn.XLOOKUP(X4384,Hoja2!D:D,Hoja2!B:B)</f>
        <v>PAOLA ANDREA CALDERON CETINA</v>
      </c>
      <c r="V4384" t="str">
        <f>_xlfn.XLOOKUP(X4384,Hoja2!D:D,Hoja2!C:C)</f>
        <v>PREGRADO</v>
      </c>
      <c r="W4384" s="9">
        <f>IF(V4384="pregrado",31,
IF(V4384="posgrados",31,
IF(V4384="rEINTEGROS",7,
IF(V4384="BIT",90,
IF(V4384="OP GRADO - INGLÉS",17,"")))))</f>
        <v>31</v>
      </c>
      <c r="X4384" t="s">
        <v>4062</v>
      </c>
    </row>
    <row r="4385" spans="1:24" x14ac:dyDescent="0.3">
      <c r="A4385" s="4">
        <v>46120</v>
      </c>
      <c r="B4385">
        <v>20130444</v>
      </c>
      <c r="C4385" t="s">
        <v>19</v>
      </c>
      <c r="D4385">
        <v>613946</v>
      </c>
      <c r="E4385" t="s">
        <v>20</v>
      </c>
      <c r="F4385">
        <v>80002936</v>
      </c>
      <c r="G4385" t="s">
        <v>4456</v>
      </c>
      <c r="H4385">
        <v>100250161</v>
      </c>
      <c r="I4385">
        <v>202632</v>
      </c>
      <c r="J4385">
        <v>1016012111</v>
      </c>
      <c r="K4385" t="s">
        <v>33</v>
      </c>
      <c r="L4385" t="s">
        <v>90</v>
      </c>
      <c r="M4385" t="s">
        <v>24</v>
      </c>
      <c r="N4385" t="s">
        <v>25</v>
      </c>
      <c r="O4385" t="s">
        <v>26</v>
      </c>
      <c r="P4385" t="s">
        <v>27</v>
      </c>
      <c r="Q4385" t="s">
        <v>28</v>
      </c>
      <c r="R4385" t="s">
        <v>29</v>
      </c>
      <c r="S4385" t="s">
        <v>793</v>
      </c>
      <c r="T4385">
        <f>_xlfn.XLOOKUP(X4385,Hoja2!D:D,Hoja2!A:A)</f>
        <v>1015441103</v>
      </c>
      <c r="U4385" t="str">
        <f>_xlfn.XLOOKUP(X4385,Hoja2!D:D,Hoja2!B:B)</f>
        <v>PAOLA ANDREA CALDERON CETINA</v>
      </c>
      <c r="V4385" t="str">
        <f>_xlfn.XLOOKUP(X4385,Hoja2!D:D,Hoja2!C:C)</f>
        <v>PREGRADO</v>
      </c>
      <c r="W4385" s="9">
        <f>IF(V4385="pregrado",31,
IF(V4385="posgrados",31,
IF(V4385="rEINTEGROS",7,
IF(V4385="BIT",90,
IF(V4385="OP GRADO - INGLÉS",17,"")))))</f>
        <v>31</v>
      </c>
      <c r="X4385" t="s">
        <v>3961</v>
      </c>
    </row>
    <row r="4386" spans="1:24" x14ac:dyDescent="0.3">
      <c r="A4386" s="4">
        <v>46129</v>
      </c>
      <c r="B4386">
        <v>20131446</v>
      </c>
      <c r="C4386" t="s">
        <v>19</v>
      </c>
      <c r="D4386">
        <v>613958</v>
      </c>
      <c r="E4386" t="s">
        <v>20</v>
      </c>
      <c r="F4386">
        <v>1077146222</v>
      </c>
      <c r="G4386" t="s">
        <v>4676</v>
      </c>
      <c r="H4386">
        <v>100250169</v>
      </c>
      <c r="I4386">
        <v>202632</v>
      </c>
      <c r="J4386">
        <v>1006450354</v>
      </c>
      <c r="K4386" t="s">
        <v>74</v>
      </c>
      <c r="L4386" t="s">
        <v>240</v>
      </c>
      <c r="M4386" t="s">
        <v>24</v>
      </c>
      <c r="N4386" t="s">
        <v>35</v>
      </c>
      <c r="O4386" t="s">
        <v>26</v>
      </c>
      <c r="P4386" t="s">
        <v>27</v>
      </c>
      <c r="Q4386" t="s">
        <v>28</v>
      </c>
      <c r="R4386" t="s">
        <v>29</v>
      </c>
      <c r="S4386" t="s">
        <v>793</v>
      </c>
      <c r="T4386">
        <f>_xlfn.XLOOKUP(X4386,Hoja2!D:D,Hoja2!A:A)</f>
        <v>1003690112</v>
      </c>
      <c r="U4386" t="str">
        <f>_xlfn.XLOOKUP(X4386,Hoja2!D:D,Hoja2!B:B)</f>
        <v>PAOLA ANDREA CALDERON CETINA</v>
      </c>
      <c r="V4386" t="str">
        <f>_xlfn.XLOOKUP(X4386,Hoja2!D:D,Hoja2!C:C)</f>
        <v>PREGRADO</v>
      </c>
      <c r="W4386" s="9">
        <f>IF(V4386="pregrado",31,
IF(V4386="posgrados",31,
IF(V4386="rEINTEGROS",7,
IF(V4386="BIT",90,
IF(V4386="OP GRADO - INGLÉS",17,"")))))</f>
        <v>31</v>
      </c>
      <c r="X4386" t="s">
        <v>4061</v>
      </c>
    </row>
    <row r="4387" spans="1:24" x14ac:dyDescent="0.3">
      <c r="A4387" s="4">
        <v>46125</v>
      </c>
      <c r="B4387">
        <v>20130788</v>
      </c>
      <c r="C4387" t="s">
        <v>19</v>
      </c>
      <c r="D4387">
        <v>613961</v>
      </c>
      <c r="E4387" t="s">
        <v>20</v>
      </c>
      <c r="F4387">
        <v>78301778</v>
      </c>
      <c r="G4387" t="s">
        <v>4522</v>
      </c>
      <c r="H4387">
        <v>100250171</v>
      </c>
      <c r="I4387">
        <v>202612</v>
      </c>
      <c r="J4387">
        <v>1010101945</v>
      </c>
      <c r="K4387" t="s">
        <v>23</v>
      </c>
      <c r="L4387" t="s">
        <v>221</v>
      </c>
      <c r="M4387" t="s">
        <v>24</v>
      </c>
      <c r="N4387" t="s">
        <v>35</v>
      </c>
      <c r="O4387" t="s">
        <v>26</v>
      </c>
      <c r="P4387" t="s">
        <v>27</v>
      </c>
      <c r="Q4387" t="s">
        <v>28</v>
      </c>
      <c r="R4387" t="s">
        <v>29</v>
      </c>
      <c r="S4387" t="s">
        <v>793</v>
      </c>
      <c r="T4387">
        <f>_xlfn.XLOOKUP(X4387,Hoja2!D:D,Hoja2!A:A)</f>
        <v>45555807</v>
      </c>
      <c r="U4387" t="str">
        <f>_xlfn.XLOOKUP(X4387,Hoja2!D:D,Hoja2!B:B)</f>
        <v>NELSON JAVIER MORERA RINCON</v>
      </c>
      <c r="V4387" t="str">
        <f>_xlfn.XLOOKUP(X4387,Hoja2!D:D,Hoja2!C:C)</f>
        <v>PREGRADO</v>
      </c>
      <c r="W4387" s="9">
        <f>IF(V4387="pregrado",31,
IF(V4387="posgrados",31,
IF(V4387="rEINTEGROS",7,
IF(V4387="BIT",90,
IF(V4387="OP GRADO - INGLÉS",17,"")))))</f>
        <v>31</v>
      </c>
      <c r="X4387" t="s">
        <v>4027</v>
      </c>
    </row>
    <row r="4388" spans="1:24" x14ac:dyDescent="0.3">
      <c r="A4388" s="4">
        <v>46119</v>
      </c>
      <c r="B4388">
        <v>20130286</v>
      </c>
      <c r="C4388" t="s">
        <v>19</v>
      </c>
      <c r="D4388">
        <v>613967</v>
      </c>
      <c r="E4388" t="s">
        <v>20</v>
      </c>
      <c r="F4388">
        <v>28930095</v>
      </c>
      <c r="G4388" t="s">
        <v>4430</v>
      </c>
      <c r="H4388">
        <v>100250177</v>
      </c>
      <c r="I4388">
        <v>202632</v>
      </c>
      <c r="J4388">
        <v>1005839588</v>
      </c>
      <c r="K4388" t="s">
        <v>23</v>
      </c>
      <c r="L4388" t="s">
        <v>90</v>
      </c>
      <c r="M4388" t="s">
        <v>24</v>
      </c>
      <c r="N4388" t="s">
        <v>35</v>
      </c>
      <c r="O4388" t="s">
        <v>26</v>
      </c>
      <c r="P4388" t="s">
        <v>27</v>
      </c>
      <c r="Q4388" t="s">
        <v>28</v>
      </c>
      <c r="R4388" t="s">
        <v>29</v>
      </c>
      <c r="S4388" t="s">
        <v>793</v>
      </c>
      <c r="T4388">
        <f>_xlfn.XLOOKUP(X4388,Hoja2!D:D,Hoja2!A:A)</f>
        <v>1003690112</v>
      </c>
      <c r="U4388" t="str">
        <f>_xlfn.XLOOKUP(X4388,Hoja2!D:D,Hoja2!B:B)</f>
        <v>PAOLA ANDREA CALDERON CETINA</v>
      </c>
      <c r="V4388" t="str">
        <f>_xlfn.XLOOKUP(X4388,Hoja2!D:D,Hoja2!C:C)</f>
        <v>PREGRADO</v>
      </c>
      <c r="W4388" s="9">
        <f>IF(V4388="pregrado",31,
IF(V4388="posgrados",31,
IF(V4388="rEINTEGROS",7,
IF(V4388="BIT",90,
IF(V4388="OP GRADO - INGLÉS",17,"")))))</f>
        <v>31</v>
      </c>
      <c r="X4388" t="s">
        <v>4061</v>
      </c>
    </row>
    <row r="4389" spans="1:24" x14ac:dyDescent="0.3">
      <c r="A4389" s="4">
        <v>46119</v>
      </c>
      <c r="B4389">
        <v>20130261</v>
      </c>
      <c r="C4389" t="s">
        <v>19</v>
      </c>
      <c r="D4389">
        <v>613971</v>
      </c>
      <c r="E4389" t="s">
        <v>20</v>
      </c>
      <c r="F4389">
        <v>1076738470</v>
      </c>
      <c r="G4389" t="s">
        <v>4425</v>
      </c>
      <c r="H4389">
        <v>100250181</v>
      </c>
      <c r="I4389">
        <v>202632</v>
      </c>
      <c r="J4389">
        <v>1076738470</v>
      </c>
      <c r="K4389" t="s">
        <v>33</v>
      </c>
      <c r="L4389" t="s">
        <v>90</v>
      </c>
      <c r="M4389" t="s">
        <v>24</v>
      </c>
      <c r="N4389" t="s">
        <v>25</v>
      </c>
      <c r="O4389" t="s">
        <v>26</v>
      </c>
      <c r="P4389" t="s">
        <v>27</v>
      </c>
      <c r="Q4389" t="s">
        <v>28</v>
      </c>
      <c r="R4389" t="s">
        <v>29</v>
      </c>
      <c r="S4389" t="s">
        <v>793</v>
      </c>
      <c r="T4389">
        <f>_xlfn.XLOOKUP(X4389,Hoja2!D:D,Hoja2!A:A)</f>
        <v>1003690112</v>
      </c>
      <c r="U4389" t="str">
        <f>_xlfn.XLOOKUP(X4389,Hoja2!D:D,Hoja2!B:B)</f>
        <v>PAOLA ANDREA CALDERON CETINA</v>
      </c>
      <c r="V4389" t="str">
        <f>_xlfn.XLOOKUP(X4389,Hoja2!D:D,Hoja2!C:C)</f>
        <v>PREGRADO</v>
      </c>
      <c r="W4389" s="9">
        <f>IF(V4389="pregrado",31,
IF(V4389="posgrados",31,
IF(V4389="rEINTEGROS",7,
IF(V4389="BIT",90,
IF(V4389="OP GRADO - INGLÉS",17,"")))))</f>
        <v>31</v>
      </c>
      <c r="X4389" t="s">
        <v>4061</v>
      </c>
    </row>
    <row r="4390" spans="1:24" x14ac:dyDescent="0.3">
      <c r="A4390" s="4">
        <v>46119</v>
      </c>
      <c r="B4390">
        <v>20130285</v>
      </c>
      <c r="C4390" t="s">
        <v>19</v>
      </c>
      <c r="D4390">
        <v>613983</v>
      </c>
      <c r="E4390" t="s">
        <v>20</v>
      </c>
      <c r="F4390">
        <v>98432176</v>
      </c>
      <c r="G4390" t="s">
        <v>4429</v>
      </c>
      <c r="H4390">
        <v>100250193</v>
      </c>
      <c r="I4390">
        <v>202632</v>
      </c>
      <c r="J4390">
        <v>98432176</v>
      </c>
      <c r="K4390" t="s">
        <v>33</v>
      </c>
      <c r="L4390" t="s">
        <v>219</v>
      </c>
      <c r="M4390" t="s">
        <v>24</v>
      </c>
      <c r="N4390" t="s">
        <v>35</v>
      </c>
      <c r="O4390" t="s">
        <v>26</v>
      </c>
      <c r="P4390" t="s">
        <v>27</v>
      </c>
      <c r="Q4390" t="s">
        <v>28</v>
      </c>
      <c r="R4390" t="s">
        <v>29</v>
      </c>
      <c r="S4390" t="s">
        <v>793</v>
      </c>
      <c r="T4390">
        <f>_xlfn.XLOOKUP(X4390,Hoja2!D:D,Hoja2!A:A)</f>
        <v>45555807</v>
      </c>
      <c r="U4390" t="str">
        <f>_xlfn.XLOOKUP(X4390,Hoja2!D:D,Hoja2!B:B)</f>
        <v>NELSON JAVIER MORERA RINCON</v>
      </c>
      <c r="V4390" t="str">
        <f>_xlfn.XLOOKUP(X4390,Hoja2!D:D,Hoja2!C:C)</f>
        <v>PREGRADO</v>
      </c>
      <c r="W4390" s="9">
        <f>IF(V4390="pregrado",31,
IF(V4390="posgrados",31,
IF(V4390="rEINTEGROS",7,
IF(V4390="BIT",90,
IF(V4390="OP GRADO - INGLÉS",17,"")))))</f>
        <v>31</v>
      </c>
      <c r="X4390" t="s">
        <v>4027</v>
      </c>
    </row>
    <row r="4391" spans="1:24" x14ac:dyDescent="0.3">
      <c r="A4391" s="4">
        <v>46130</v>
      </c>
      <c r="B4391">
        <v>20131579</v>
      </c>
      <c r="C4391" t="s">
        <v>19</v>
      </c>
      <c r="D4391">
        <v>613991</v>
      </c>
      <c r="E4391" t="s">
        <v>20</v>
      </c>
      <c r="F4391">
        <v>1007900976</v>
      </c>
      <c r="G4391" t="s">
        <v>4702</v>
      </c>
      <c r="H4391">
        <v>100250205</v>
      </c>
      <c r="I4391">
        <v>202632</v>
      </c>
      <c r="J4391">
        <v>1007900976</v>
      </c>
      <c r="K4391" t="s">
        <v>33</v>
      </c>
      <c r="L4391" t="s">
        <v>127</v>
      </c>
      <c r="M4391" t="s">
        <v>24</v>
      </c>
      <c r="N4391" t="s">
        <v>25</v>
      </c>
      <c r="O4391" t="s">
        <v>26</v>
      </c>
      <c r="P4391" t="s">
        <v>27</v>
      </c>
      <c r="Q4391" t="s">
        <v>28</v>
      </c>
      <c r="R4391" t="s">
        <v>29</v>
      </c>
      <c r="S4391" t="s">
        <v>793</v>
      </c>
      <c r="T4391">
        <f>_xlfn.XLOOKUP(X4391,Hoja2!D:D,Hoja2!A:A)</f>
        <v>1099215811</v>
      </c>
      <c r="U4391" t="str">
        <f>_xlfn.XLOOKUP(X4391,Hoja2!D:D,Hoja2!B:B)</f>
        <v>Heidy Lorena Prieto Ahumada</v>
      </c>
      <c r="V4391" t="str">
        <f>_xlfn.XLOOKUP(X4391,Hoja2!D:D,Hoja2!C:C)</f>
        <v>PREGRADO</v>
      </c>
      <c r="W4391" s="9">
        <f>IF(V4391="pregrado",31,
IF(V4391="posgrados",31,
IF(V4391="rEINTEGROS",7,
IF(V4391="BIT",90,
IF(V4391="OP GRADO - INGLÉS",17,"")))))</f>
        <v>31</v>
      </c>
      <c r="X4391" t="s">
        <v>4928</v>
      </c>
    </row>
    <row r="4392" spans="1:24" x14ac:dyDescent="0.3">
      <c r="A4392" s="4">
        <v>46121</v>
      </c>
      <c r="B4392">
        <v>20130493</v>
      </c>
      <c r="C4392" t="s">
        <v>19</v>
      </c>
      <c r="D4392">
        <v>613992</v>
      </c>
      <c r="E4392" t="s">
        <v>20</v>
      </c>
      <c r="F4392">
        <v>1087414582</v>
      </c>
      <c r="G4392" t="s">
        <v>4468</v>
      </c>
      <c r="H4392">
        <v>100250206</v>
      </c>
      <c r="I4392">
        <v>202632</v>
      </c>
      <c r="J4392">
        <v>1087414582</v>
      </c>
      <c r="K4392" t="s">
        <v>23</v>
      </c>
      <c r="L4392" t="s">
        <v>240</v>
      </c>
      <c r="M4392" t="s">
        <v>24</v>
      </c>
      <c r="N4392" t="s">
        <v>35</v>
      </c>
      <c r="O4392" t="s">
        <v>26</v>
      </c>
      <c r="P4392" t="s">
        <v>27</v>
      </c>
      <c r="Q4392" t="s">
        <v>28</v>
      </c>
      <c r="R4392" t="s">
        <v>29</v>
      </c>
      <c r="S4392" t="s">
        <v>793</v>
      </c>
      <c r="T4392">
        <f>_xlfn.XLOOKUP(X4392,Hoja2!D:D,Hoja2!A:A)</f>
        <v>10006855461</v>
      </c>
      <c r="U4392" t="str">
        <f>_xlfn.XLOOKUP(X4392,Hoja2!D:D,Hoja2!B:B)</f>
        <v>NELSON JAVIER MORERA RINCON</v>
      </c>
      <c r="V4392" t="str">
        <f>_xlfn.XLOOKUP(X4392,Hoja2!D:D,Hoja2!C:C)</f>
        <v>PREGRADO</v>
      </c>
      <c r="W4392" s="9">
        <f>IF(V4392="pregrado",31,
IF(V4392="posgrados",31,
IF(V4392="rEINTEGROS",7,
IF(V4392="BIT",90,
IF(V4392="OP GRADO - INGLÉS",17,"")))))</f>
        <v>31</v>
      </c>
      <c r="X4392" t="s">
        <v>3993</v>
      </c>
    </row>
    <row r="4393" spans="1:24" x14ac:dyDescent="0.3">
      <c r="A4393" s="4">
        <v>46119</v>
      </c>
      <c r="B4393">
        <v>20130243</v>
      </c>
      <c r="C4393" t="s">
        <v>19</v>
      </c>
      <c r="D4393">
        <v>614002</v>
      </c>
      <c r="E4393" t="s">
        <v>20</v>
      </c>
      <c r="F4393">
        <v>1125758895</v>
      </c>
      <c r="G4393" t="s">
        <v>4421</v>
      </c>
      <c r="H4393">
        <v>100250207</v>
      </c>
      <c r="I4393">
        <v>202632</v>
      </c>
      <c r="J4393">
        <v>1125758895</v>
      </c>
      <c r="K4393" t="s">
        <v>33</v>
      </c>
      <c r="L4393" t="s">
        <v>32</v>
      </c>
      <c r="M4393" t="s">
        <v>24</v>
      </c>
      <c r="N4393" t="s">
        <v>35</v>
      </c>
      <c r="O4393" t="s">
        <v>26</v>
      </c>
      <c r="P4393" t="s">
        <v>27</v>
      </c>
      <c r="Q4393" t="s">
        <v>28</v>
      </c>
      <c r="R4393" t="s">
        <v>29</v>
      </c>
      <c r="S4393" t="s">
        <v>793</v>
      </c>
      <c r="T4393">
        <f>_xlfn.XLOOKUP(X4393,Hoja2!D:D,Hoja2!A:A)</f>
        <v>10306009131</v>
      </c>
      <c r="U4393" t="str">
        <f>_xlfn.XLOOKUP(X4393,Hoja2!D:D,Hoja2!B:B)</f>
        <v>PAOLA ANDREA CALDERON CETINA</v>
      </c>
      <c r="V4393" t="str">
        <f>_xlfn.XLOOKUP(X4393,Hoja2!D:D,Hoja2!C:C)</f>
        <v>PREGRADO</v>
      </c>
      <c r="W4393" s="9">
        <f>IF(V4393="pregrado",31,
IF(V4393="posgrados",31,
IF(V4393="rEINTEGROS",7,
IF(V4393="BIT",90,
IF(V4393="OP GRADO - INGLÉS",17,"")))))</f>
        <v>31</v>
      </c>
      <c r="X4393" t="s">
        <v>3978</v>
      </c>
    </row>
    <row r="4394" spans="1:24" x14ac:dyDescent="0.3">
      <c r="A4394" s="4">
        <v>46119</v>
      </c>
      <c r="B4394">
        <v>20130244</v>
      </c>
      <c r="C4394" t="s">
        <v>19</v>
      </c>
      <c r="D4394">
        <v>614006</v>
      </c>
      <c r="E4394" t="s">
        <v>20</v>
      </c>
      <c r="F4394">
        <v>1019092057</v>
      </c>
      <c r="G4394" t="s">
        <v>4422</v>
      </c>
      <c r="H4394">
        <v>100235191</v>
      </c>
      <c r="I4394">
        <v>202612</v>
      </c>
      <c r="J4394">
        <v>1019092057</v>
      </c>
      <c r="K4394" t="s">
        <v>33</v>
      </c>
      <c r="L4394" t="s">
        <v>204</v>
      </c>
      <c r="M4394" t="s">
        <v>24</v>
      </c>
      <c r="N4394" t="s">
        <v>25</v>
      </c>
      <c r="O4394" t="s">
        <v>26</v>
      </c>
      <c r="P4394" t="s">
        <v>27</v>
      </c>
      <c r="Q4394" t="s">
        <v>28</v>
      </c>
      <c r="R4394" t="s">
        <v>29</v>
      </c>
      <c r="S4394" t="s">
        <v>793</v>
      </c>
      <c r="T4394">
        <f>_xlfn.XLOOKUP(X4394,Hoja2!D:D,Hoja2!A:A)</f>
        <v>1001192723</v>
      </c>
      <c r="U4394" t="str">
        <f>_xlfn.XLOOKUP(X4394,Hoja2!D:D,Hoja2!B:B)</f>
        <v>HEIDY LORENA PRIETO AHUMADA</v>
      </c>
      <c r="V4394" t="str">
        <f>_xlfn.XLOOKUP(X4394,Hoja2!D:D,Hoja2!C:C)</f>
        <v>PREGRADO</v>
      </c>
      <c r="W4394" s="9">
        <f>IF(V4394="pregrado",31,
IF(V4394="posgrados",31,
IF(V4394="rEINTEGROS",7,
IF(V4394="BIT",90,
IF(V4394="OP GRADO - INGLÉS",17,"")))))</f>
        <v>31</v>
      </c>
      <c r="X4394" t="s">
        <v>3940</v>
      </c>
    </row>
    <row r="4395" spans="1:24" x14ac:dyDescent="0.3">
      <c r="A4395" s="4">
        <v>46125</v>
      </c>
      <c r="B4395">
        <v>20130855</v>
      </c>
      <c r="C4395" t="s">
        <v>19</v>
      </c>
      <c r="D4395">
        <v>614026</v>
      </c>
      <c r="E4395" t="s">
        <v>20</v>
      </c>
      <c r="F4395">
        <v>52878636</v>
      </c>
      <c r="G4395" t="s">
        <v>4540</v>
      </c>
      <c r="H4395">
        <v>100250243</v>
      </c>
      <c r="I4395">
        <v>202632</v>
      </c>
      <c r="J4395">
        <v>52878636</v>
      </c>
      <c r="K4395" t="s">
        <v>33</v>
      </c>
      <c r="L4395" t="s">
        <v>32</v>
      </c>
      <c r="M4395" t="s">
        <v>24</v>
      </c>
      <c r="N4395" t="s">
        <v>25</v>
      </c>
      <c r="O4395" t="s">
        <v>26</v>
      </c>
      <c r="P4395" t="s">
        <v>27</v>
      </c>
      <c r="Q4395" t="s">
        <v>28</v>
      </c>
      <c r="R4395" t="s">
        <v>29</v>
      </c>
      <c r="S4395" t="s">
        <v>793</v>
      </c>
      <c r="T4395">
        <f>_xlfn.XLOOKUP(X4395,Hoja2!D:D,Hoja2!A:A)</f>
        <v>1001192723</v>
      </c>
      <c r="U4395" t="str">
        <f>_xlfn.XLOOKUP(X4395,Hoja2!D:D,Hoja2!B:B)</f>
        <v>HEIDY LORENA PRIETO AHUMADA</v>
      </c>
      <c r="V4395" t="str">
        <f>_xlfn.XLOOKUP(X4395,Hoja2!D:D,Hoja2!C:C)</f>
        <v>PREGRADO</v>
      </c>
      <c r="W4395" s="9">
        <f>IF(V4395="pregrado",31,
IF(V4395="posgrados",31,
IF(V4395="rEINTEGROS",7,
IF(V4395="BIT",90,
IF(V4395="OP GRADO - INGLÉS",17,"")))))</f>
        <v>31</v>
      </c>
      <c r="X4395" t="s">
        <v>3940</v>
      </c>
    </row>
    <row r="4396" spans="1:24" x14ac:dyDescent="0.3">
      <c r="A4396" s="4">
        <v>46122</v>
      </c>
      <c r="B4396">
        <v>20130579</v>
      </c>
      <c r="C4396" t="s">
        <v>19</v>
      </c>
      <c r="D4396">
        <v>614032</v>
      </c>
      <c r="E4396" t="s">
        <v>20</v>
      </c>
      <c r="F4396">
        <v>1030654261</v>
      </c>
      <c r="G4396" t="s">
        <v>4483</v>
      </c>
      <c r="H4396">
        <v>200262927</v>
      </c>
      <c r="I4396">
        <v>202632</v>
      </c>
      <c r="J4396">
        <v>1066722942</v>
      </c>
      <c r="K4396" t="s">
        <v>33</v>
      </c>
      <c r="L4396" t="s">
        <v>119</v>
      </c>
      <c r="M4396" t="s">
        <v>24</v>
      </c>
      <c r="N4396" t="s">
        <v>25</v>
      </c>
      <c r="O4396" t="s">
        <v>26</v>
      </c>
      <c r="P4396" t="s">
        <v>27</v>
      </c>
      <c r="Q4396" t="s">
        <v>28</v>
      </c>
      <c r="R4396" t="s">
        <v>29</v>
      </c>
      <c r="S4396" t="s">
        <v>793</v>
      </c>
      <c r="T4396">
        <f>_xlfn.XLOOKUP(X4396,Hoja2!D:D,Hoja2!A:A)</f>
        <v>1000251314</v>
      </c>
      <c r="U4396" t="str">
        <f>_xlfn.XLOOKUP(X4396,Hoja2!D:D,Hoja2!B:B)</f>
        <v>MARSHIA MILENA JIMéNEZ GóMEZ</v>
      </c>
      <c r="V4396" t="str">
        <f>_xlfn.XLOOKUP(X4396,Hoja2!D:D,Hoja2!C:C)</f>
        <v>PREGRADO</v>
      </c>
      <c r="W4396" s="9">
        <f>IF(V4396="pregrado",31,
IF(V4396="posgrados",31,
IF(V4396="rEINTEGROS",7,
IF(V4396="BIT",90,
IF(V4396="OP GRADO - INGLÉS",17,"")))))</f>
        <v>31</v>
      </c>
      <c r="X4396" t="s">
        <v>4024</v>
      </c>
    </row>
    <row r="4397" spans="1:24" x14ac:dyDescent="0.3">
      <c r="A4397" s="4">
        <v>46120</v>
      </c>
      <c r="B4397">
        <v>20130329</v>
      </c>
      <c r="C4397" t="s">
        <v>19</v>
      </c>
      <c r="D4397">
        <v>614040</v>
      </c>
      <c r="E4397" t="s">
        <v>20</v>
      </c>
      <c r="F4397">
        <v>16185938</v>
      </c>
      <c r="G4397" t="s">
        <v>4436</v>
      </c>
      <c r="H4397">
        <v>100221241</v>
      </c>
      <c r="I4397">
        <v>202632</v>
      </c>
      <c r="J4397">
        <v>16185938</v>
      </c>
      <c r="K4397" t="s">
        <v>33</v>
      </c>
      <c r="L4397" t="s">
        <v>119</v>
      </c>
      <c r="M4397" t="s">
        <v>24</v>
      </c>
      <c r="N4397" t="s">
        <v>35</v>
      </c>
      <c r="O4397" t="s">
        <v>26</v>
      </c>
      <c r="P4397" t="s">
        <v>27</v>
      </c>
      <c r="Q4397" t="s">
        <v>28</v>
      </c>
      <c r="R4397" t="s">
        <v>29</v>
      </c>
      <c r="S4397" t="s">
        <v>793</v>
      </c>
      <c r="T4397">
        <f>_xlfn.XLOOKUP(X4397,Hoja2!D:D,Hoja2!A:A)</f>
        <v>1023975276</v>
      </c>
      <c r="U4397" t="str">
        <f>_xlfn.XLOOKUP(X4397,Hoja2!D:D,Hoja2!B:B)</f>
        <v>MARSHIA MILENA JIMéNEZ GóMEZ</v>
      </c>
      <c r="V4397" t="str">
        <f>_xlfn.XLOOKUP(X4397,Hoja2!D:D,Hoja2!C:C)</f>
        <v>PREGRADO</v>
      </c>
      <c r="W4397" s="9">
        <f>IF(V4397="pregrado",31,
IF(V4397="posgrados",31,
IF(V4397="rEINTEGROS",7,
IF(V4397="BIT",90,
IF(V4397="OP GRADO - INGLÉS",17,"")))))</f>
        <v>31</v>
      </c>
      <c r="X4397" t="s">
        <v>3962</v>
      </c>
    </row>
    <row r="4398" spans="1:24" x14ac:dyDescent="0.3">
      <c r="A4398" s="4">
        <v>46133</v>
      </c>
      <c r="B4398">
        <v>20131840</v>
      </c>
      <c r="C4398" t="s">
        <v>19</v>
      </c>
      <c r="D4398">
        <v>614042</v>
      </c>
      <c r="E4398" t="s">
        <v>20</v>
      </c>
      <c r="F4398">
        <v>1124035362</v>
      </c>
      <c r="G4398" t="s">
        <v>4757</v>
      </c>
      <c r="H4398">
        <v>200256827</v>
      </c>
      <c r="I4398">
        <v>202632</v>
      </c>
      <c r="J4398">
        <v>1124035362</v>
      </c>
      <c r="K4398" t="s">
        <v>33</v>
      </c>
      <c r="L4398" t="s">
        <v>119</v>
      </c>
      <c r="M4398" t="s">
        <v>24</v>
      </c>
      <c r="N4398" t="s">
        <v>35</v>
      </c>
      <c r="O4398" t="s">
        <v>26</v>
      </c>
      <c r="P4398" t="s">
        <v>27</v>
      </c>
      <c r="Q4398" t="s">
        <v>28</v>
      </c>
      <c r="R4398" t="s">
        <v>29</v>
      </c>
      <c r="S4398" t="s">
        <v>793</v>
      </c>
      <c r="T4398">
        <f>_xlfn.XLOOKUP(X4398,Hoja2!D:D,Hoja2!A:A)</f>
        <v>53040709</v>
      </c>
      <c r="U4398" t="str">
        <f>_xlfn.XLOOKUP(X4398,Hoja2!D:D,Hoja2!B:B)</f>
        <v>MARSHIA MILENA JIMéNEZ GóMEZ</v>
      </c>
      <c r="V4398" t="str">
        <f>_xlfn.XLOOKUP(X4398,Hoja2!D:D,Hoja2!C:C)</f>
        <v>PREGRADO</v>
      </c>
      <c r="W4398" s="9">
        <f>IF(V4398="pregrado",31,
IF(V4398="posgrados",31,
IF(V4398="rEINTEGROS",7,
IF(V4398="BIT",90,
IF(V4398="OP GRADO - INGLÉS",17,"")))))</f>
        <v>31</v>
      </c>
      <c r="X4398" t="s">
        <v>3994</v>
      </c>
    </row>
    <row r="4399" spans="1:24" x14ac:dyDescent="0.3">
      <c r="A4399" s="4">
        <v>46120</v>
      </c>
      <c r="B4399">
        <v>20130369</v>
      </c>
      <c r="C4399" t="s">
        <v>19</v>
      </c>
      <c r="D4399">
        <v>614043</v>
      </c>
      <c r="E4399" t="s">
        <v>20</v>
      </c>
      <c r="F4399">
        <v>45504772</v>
      </c>
      <c r="G4399" t="s">
        <v>4444</v>
      </c>
      <c r="H4399">
        <v>100250253</v>
      </c>
      <c r="I4399">
        <v>202632</v>
      </c>
      <c r="J4399">
        <v>1047479000</v>
      </c>
      <c r="K4399" t="s">
        <v>33</v>
      </c>
      <c r="L4399" t="s">
        <v>207</v>
      </c>
      <c r="M4399" t="s">
        <v>24</v>
      </c>
      <c r="N4399" t="s">
        <v>25</v>
      </c>
      <c r="O4399" t="s">
        <v>26</v>
      </c>
      <c r="P4399" t="s">
        <v>27</v>
      </c>
      <c r="Q4399" t="s">
        <v>28</v>
      </c>
      <c r="R4399" t="s">
        <v>29</v>
      </c>
      <c r="S4399" t="s">
        <v>793</v>
      </c>
      <c r="T4399">
        <f>_xlfn.XLOOKUP(X4399,Hoja2!D:D,Hoja2!A:A)</f>
        <v>1002500634</v>
      </c>
      <c r="U4399" t="str">
        <f>_xlfn.XLOOKUP(X4399,Hoja2!D:D,Hoja2!B:B)</f>
        <v>CATALINA PACHECO BURGOS</v>
      </c>
      <c r="V4399" t="str">
        <f>_xlfn.XLOOKUP(X4399,Hoja2!D:D,Hoja2!C:C)</f>
        <v>PREGRADO</v>
      </c>
      <c r="W4399" s="9">
        <f>IF(V4399="pregrado",31,
IF(V4399="posgrados",31,
IF(V4399="rEINTEGROS",7,
IF(V4399="BIT",90,
IF(V4399="OP GRADO - INGLÉS",17,"")))))</f>
        <v>31</v>
      </c>
      <c r="X4399" t="s">
        <v>4026</v>
      </c>
    </row>
    <row r="4400" spans="1:24" x14ac:dyDescent="0.3">
      <c r="A4400" s="4">
        <v>46123</v>
      </c>
      <c r="B4400">
        <v>20130741</v>
      </c>
      <c r="C4400" t="s">
        <v>19</v>
      </c>
      <c r="D4400">
        <v>614044</v>
      </c>
      <c r="E4400" t="s">
        <v>20</v>
      </c>
      <c r="F4400">
        <v>10938487</v>
      </c>
      <c r="G4400" t="s">
        <v>4512</v>
      </c>
      <c r="H4400">
        <v>200268906</v>
      </c>
      <c r="I4400">
        <v>202632</v>
      </c>
      <c r="J4400">
        <v>1067165734</v>
      </c>
      <c r="K4400" t="s">
        <v>23</v>
      </c>
      <c r="L4400" t="s">
        <v>101</v>
      </c>
      <c r="M4400" t="s">
        <v>24</v>
      </c>
      <c r="N4400" t="s">
        <v>35</v>
      </c>
      <c r="O4400" t="s">
        <v>26</v>
      </c>
      <c r="P4400" t="s">
        <v>27</v>
      </c>
      <c r="Q4400" t="s">
        <v>28</v>
      </c>
      <c r="R4400" t="s">
        <v>29</v>
      </c>
      <c r="S4400" t="s">
        <v>793</v>
      </c>
      <c r="T4400">
        <f>_xlfn.XLOOKUP(X4400,Hoja2!D:D,Hoja2!A:A)</f>
        <v>53040709</v>
      </c>
      <c r="U4400" t="str">
        <f>_xlfn.XLOOKUP(X4400,Hoja2!D:D,Hoja2!B:B)</f>
        <v>MARSHIA MILENA JIMéNEZ GóMEZ</v>
      </c>
      <c r="V4400" t="str">
        <f>_xlfn.XLOOKUP(X4400,Hoja2!D:D,Hoja2!C:C)</f>
        <v>PREGRADO</v>
      </c>
      <c r="W4400" s="9">
        <f>IF(V4400="pregrado",31,
IF(V4400="posgrados",31,
IF(V4400="rEINTEGROS",7,
IF(V4400="BIT",90,
IF(V4400="OP GRADO - INGLÉS",17,"")))))</f>
        <v>31</v>
      </c>
      <c r="X4400" t="s">
        <v>3994</v>
      </c>
    </row>
    <row r="4401" spans="1:24" x14ac:dyDescent="0.3">
      <c r="A4401" s="4">
        <v>46120</v>
      </c>
      <c r="B4401">
        <v>20130350</v>
      </c>
      <c r="C4401" t="s">
        <v>19</v>
      </c>
      <c r="D4401">
        <v>614055</v>
      </c>
      <c r="E4401" t="s">
        <v>20</v>
      </c>
      <c r="F4401">
        <v>41240892</v>
      </c>
      <c r="G4401" t="s">
        <v>4439</v>
      </c>
      <c r="H4401">
        <v>100250267</v>
      </c>
      <c r="I4401">
        <v>202632</v>
      </c>
      <c r="J4401">
        <v>1120560236</v>
      </c>
      <c r="K4401" t="s">
        <v>33</v>
      </c>
      <c r="L4401" t="s">
        <v>207</v>
      </c>
      <c r="M4401" t="s">
        <v>24</v>
      </c>
      <c r="N4401" t="s">
        <v>25</v>
      </c>
      <c r="O4401" t="s">
        <v>26</v>
      </c>
      <c r="P4401" t="s">
        <v>27</v>
      </c>
      <c r="Q4401" t="s">
        <v>28</v>
      </c>
      <c r="R4401" t="s">
        <v>29</v>
      </c>
      <c r="S4401" t="s">
        <v>793</v>
      </c>
      <c r="T4401">
        <f>_xlfn.XLOOKUP(X4401,Hoja2!D:D,Hoja2!A:A)</f>
        <v>1003690112</v>
      </c>
      <c r="U4401" t="str">
        <f>_xlfn.XLOOKUP(X4401,Hoja2!D:D,Hoja2!B:B)</f>
        <v>PAOLA ANDREA CALDERON CETINA</v>
      </c>
      <c r="V4401" t="str">
        <f>_xlfn.XLOOKUP(X4401,Hoja2!D:D,Hoja2!C:C)</f>
        <v>PREGRADO</v>
      </c>
      <c r="W4401" s="9">
        <f>IF(V4401="pregrado",31,
IF(V4401="posgrados",31,
IF(V4401="rEINTEGROS",7,
IF(V4401="BIT",90,
IF(V4401="OP GRADO - INGLÉS",17,"")))))</f>
        <v>31</v>
      </c>
      <c r="X4401" t="s">
        <v>4061</v>
      </c>
    </row>
    <row r="4402" spans="1:24" x14ac:dyDescent="0.3">
      <c r="A4402" s="4">
        <v>46125</v>
      </c>
      <c r="B4402">
        <v>20130838</v>
      </c>
      <c r="C4402" t="s">
        <v>19</v>
      </c>
      <c r="D4402">
        <v>614056</v>
      </c>
      <c r="E4402" t="s">
        <v>20</v>
      </c>
      <c r="F4402">
        <v>1101685486</v>
      </c>
      <c r="G4402" t="s">
        <v>4533</v>
      </c>
      <c r="H4402">
        <v>200260395</v>
      </c>
      <c r="I4402">
        <v>202632</v>
      </c>
      <c r="J4402">
        <v>1101685486</v>
      </c>
      <c r="K4402" t="s">
        <v>23</v>
      </c>
      <c r="L4402" t="s">
        <v>101</v>
      </c>
      <c r="M4402" t="s">
        <v>24</v>
      </c>
      <c r="N4402" t="s">
        <v>35</v>
      </c>
      <c r="O4402" t="s">
        <v>26</v>
      </c>
      <c r="P4402" t="s">
        <v>27</v>
      </c>
      <c r="Q4402" t="s">
        <v>28</v>
      </c>
      <c r="R4402" t="s">
        <v>29</v>
      </c>
      <c r="S4402" t="s">
        <v>793</v>
      </c>
      <c r="T4402">
        <f>_xlfn.XLOOKUP(X4402,Hoja2!D:D,Hoja2!A:A)</f>
        <v>10245841021</v>
      </c>
      <c r="U4402" t="str">
        <f>_xlfn.XLOOKUP(X4402,Hoja2!D:D,Hoja2!B:B)</f>
        <v>PAOLA ANDREA CALDERON CETINA</v>
      </c>
      <c r="V4402" t="str">
        <f>_xlfn.XLOOKUP(X4402,Hoja2!D:D,Hoja2!C:C)</f>
        <v>PREGRADO</v>
      </c>
      <c r="W4402" s="9">
        <f>IF(V4402="pregrado",31,
IF(V4402="posgrados",31,
IF(V4402="rEINTEGROS",7,
IF(V4402="BIT",90,
IF(V4402="OP GRADO - INGLÉS",17,"")))))</f>
        <v>31</v>
      </c>
      <c r="X4402" t="s">
        <v>3987</v>
      </c>
    </row>
    <row r="4403" spans="1:24" x14ac:dyDescent="0.3">
      <c r="A4403" s="4">
        <v>46121</v>
      </c>
      <c r="B4403">
        <v>20130541</v>
      </c>
      <c r="C4403" t="s">
        <v>19</v>
      </c>
      <c r="D4403">
        <v>614070</v>
      </c>
      <c r="E4403" t="s">
        <v>20</v>
      </c>
      <c r="F4403">
        <v>1084790397</v>
      </c>
      <c r="G4403" t="s">
        <v>4476</v>
      </c>
      <c r="H4403">
        <v>100250283</v>
      </c>
      <c r="I4403">
        <v>202632</v>
      </c>
      <c r="J4403">
        <v>80901929</v>
      </c>
      <c r="K4403" t="s">
        <v>23</v>
      </c>
      <c r="L4403" t="s">
        <v>90</v>
      </c>
      <c r="M4403" t="s">
        <v>24</v>
      </c>
      <c r="N4403" t="s">
        <v>35</v>
      </c>
      <c r="O4403" t="s">
        <v>26</v>
      </c>
      <c r="P4403" t="s">
        <v>27</v>
      </c>
      <c r="Q4403" t="s">
        <v>28</v>
      </c>
      <c r="R4403" t="s">
        <v>29</v>
      </c>
      <c r="S4403" t="s">
        <v>793</v>
      </c>
      <c r="T4403">
        <f>_xlfn.XLOOKUP(X4403,Hoja2!D:D,Hoja2!A:A)</f>
        <v>1023370559</v>
      </c>
      <c r="U4403" t="str">
        <f>_xlfn.XLOOKUP(X4403,Hoja2!D:D,Hoja2!B:B)</f>
        <v>PAOLA ANDREA CALDERON CETINA</v>
      </c>
      <c r="V4403" t="str">
        <f>_xlfn.XLOOKUP(X4403,Hoja2!D:D,Hoja2!C:C)</f>
        <v>PREGRADO</v>
      </c>
      <c r="W4403" s="9">
        <f>IF(V4403="pregrado",31,
IF(V4403="posgrados",31,
IF(V4403="rEINTEGROS",7,
IF(V4403="BIT",90,
IF(V4403="OP GRADO - INGLÉS",17,"")))))</f>
        <v>31</v>
      </c>
      <c r="X4403" t="s">
        <v>4017</v>
      </c>
    </row>
    <row r="4404" spans="1:24" x14ac:dyDescent="0.3">
      <c r="A4404" s="4">
        <v>46128</v>
      </c>
      <c r="B4404">
        <v>20131269</v>
      </c>
      <c r="C4404" t="s">
        <v>19</v>
      </c>
      <c r="D4404">
        <v>614071</v>
      </c>
      <c r="E4404" t="s">
        <v>20</v>
      </c>
      <c r="F4404">
        <v>1082833236</v>
      </c>
      <c r="G4404" t="s">
        <v>4635</v>
      </c>
      <c r="H4404">
        <v>100250284</v>
      </c>
      <c r="I4404">
        <v>202612</v>
      </c>
      <c r="J4404">
        <v>1082833236</v>
      </c>
      <c r="K4404" t="s">
        <v>33</v>
      </c>
      <c r="L4404" t="s">
        <v>204</v>
      </c>
      <c r="M4404" t="s">
        <v>24</v>
      </c>
      <c r="N4404" t="s">
        <v>35</v>
      </c>
      <c r="O4404" t="s">
        <v>26</v>
      </c>
      <c r="P4404" t="s">
        <v>27</v>
      </c>
      <c r="Q4404" t="s">
        <v>28</v>
      </c>
      <c r="R4404" t="s">
        <v>29</v>
      </c>
      <c r="S4404" t="s">
        <v>793</v>
      </c>
      <c r="T4404">
        <f>_xlfn.XLOOKUP(X4404,Hoja2!D:D,Hoja2!A:A)</f>
        <v>1032394283</v>
      </c>
      <c r="U4404" t="str">
        <f>_xlfn.XLOOKUP(X4404,Hoja2!D:D,Hoja2!B:B)</f>
        <v>HEIDY LORENA PRIETO AHUMADA</v>
      </c>
      <c r="V4404" t="str">
        <f>_xlfn.XLOOKUP(X4404,Hoja2!D:D,Hoja2!C:C)</f>
        <v>PREGRADO</v>
      </c>
      <c r="W4404" s="9">
        <f>IF(V4404="pregrado",31,
IF(V4404="posgrados",31,
IF(V4404="rEINTEGROS",7,
IF(V4404="BIT",90,
IF(V4404="OP GRADO - INGLÉS",17,"")))))</f>
        <v>31</v>
      </c>
      <c r="X4404" t="s">
        <v>4034</v>
      </c>
    </row>
    <row r="4405" spans="1:24" x14ac:dyDescent="0.3">
      <c r="A4405" s="4">
        <v>46120</v>
      </c>
      <c r="B4405">
        <v>20130360</v>
      </c>
      <c r="C4405" t="s">
        <v>19</v>
      </c>
      <c r="D4405">
        <v>614099</v>
      </c>
      <c r="E4405" t="s">
        <v>20</v>
      </c>
      <c r="F4405">
        <v>1101873744</v>
      </c>
      <c r="G4405" t="s">
        <v>4443</v>
      </c>
      <c r="H4405">
        <v>100250311</v>
      </c>
      <c r="I4405">
        <v>202632</v>
      </c>
      <c r="J4405">
        <v>1101873744</v>
      </c>
      <c r="K4405" t="s">
        <v>23</v>
      </c>
      <c r="L4405" t="s">
        <v>240</v>
      </c>
      <c r="M4405" t="s">
        <v>24</v>
      </c>
      <c r="N4405" t="s">
        <v>35</v>
      </c>
      <c r="O4405" t="s">
        <v>26</v>
      </c>
      <c r="P4405" t="s">
        <v>27</v>
      </c>
      <c r="Q4405" t="s">
        <v>28</v>
      </c>
      <c r="R4405" t="s">
        <v>29</v>
      </c>
      <c r="S4405" t="s">
        <v>793</v>
      </c>
      <c r="T4405">
        <f>_xlfn.XLOOKUP(X4405,Hoja2!D:D,Hoja2!A:A)</f>
        <v>1001277801</v>
      </c>
      <c r="U4405" t="str">
        <f>_xlfn.XLOOKUP(X4405,Hoja2!D:D,Hoja2!B:B)</f>
        <v>NELSON JAVIER MORERA RINCON</v>
      </c>
      <c r="V4405" t="str">
        <f>_xlfn.XLOOKUP(X4405,Hoja2!D:D,Hoja2!C:C)</f>
        <v>PREGRADO</v>
      </c>
      <c r="W4405" s="9">
        <f>IF(V4405="pregrado",31,
IF(V4405="posgrados",31,
IF(V4405="rEINTEGROS",7,
IF(V4405="BIT",90,
IF(V4405="OP GRADO - INGLÉS",17,"")))))</f>
        <v>31</v>
      </c>
      <c r="X4405" t="s">
        <v>4002</v>
      </c>
    </row>
    <row r="4406" spans="1:24" x14ac:dyDescent="0.3">
      <c r="A4406" s="4">
        <v>46121</v>
      </c>
      <c r="B4406">
        <v>20130470</v>
      </c>
      <c r="C4406" t="s">
        <v>19</v>
      </c>
      <c r="D4406">
        <v>614117</v>
      </c>
      <c r="E4406" t="s">
        <v>20</v>
      </c>
      <c r="F4406">
        <v>1002328962</v>
      </c>
      <c r="G4406" t="s">
        <v>4462</v>
      </c>
      <c r="H4406">
        <v>100250333</v>
      </c>
      <c r="I4406">
        <v>202632</v>
      </c>
      <c r="J4406">
        <v>1002328962</v>
      </c>
      <c r="K4406" t="s">
        <v>33</v>
      </c>
      <c r="L4406" t="s">
        <v>207</v>
      </c>
      <c r="M4406" t="s">
        <v>24</v>
      </c>
      <c r="N4406" t="s">
        <v>25</v>
      </c>
      <c r="O4406" t="s">
        <v>26</v>
      </c>
      <c r="P4406" t="s">
        <v>27</v>
      </c>
      <c r="Q4406" t="s">
        <v>28</v>
      </c>
      <c r="R4406" t="s">
        <v>29</v>
      </c>
      <c r="S4406" t="s">
        <v>793</v>
      </c>
      <c r="T4406">
        <f>_xlfn.XLOOKUP(X4406,Hoja2!D:D,Hoja2!A:A)</f>
        <v>63501040</v>
      </c>
      <c r="U4406" t="str">
        <f>_xlfn.XLOOKUP(X4406,Hoja2!D:D,Hoja2!B:B)</f>
        <v>HEIDY LORENA PRIETO AHUMADA</v>
      </c>
      <c r="V4406" t="str">
        <f>_xlfn.XLOOKUP(X4406,Hoja2!D:D,Hoja2!C:C)</f>
        <v>PREGRADO</v>
      </c>
      <c r="W4406" s="9">
        <f>IF(V4406="pregrado",31,
IF(V4406="posgrados",31,
IF(V4406="rEINTEGROS",7,
IF(V4406="BIT",90,
IF(V4406="OP GRADO - INGLÉS",17,"")))))</f>
        <v>31</v>
      </c>
      <c r="X4406" t="s">
        <v>4087</v>
      </c>
    </row>
    <row r="4407" spans="1:24" x14ac:dyDescent="0.3">
      <c r="A4407" s="4">
        <v>46128</v>
      </c>
      <c r="B4407">
        <v>20131276</v>
      </c>
      <c r="C4407" t="s">
        <v>19</v>
      </c>
      <c r="D4407">
        <v>614130</v>
      </c>
      <c r="E4407" t="s">
        <v>20</v>
      </c>
      <c r="F4407">
        <v>1065908941</v>
      </c>
      <c r="G4407" t="s">
        <v>4637</v>
      </c>
      <c r="H4407">
        <v>200096797</v>
      </c>
      <c r="I4407">
        <v>202632</v>
      </c>
      <c r="J4407">
        <v>1065908941</v>
      </c>
      <c r="K4407" t="s">
        <v>33</v>
      </c>
      <c r="L4407" t="s">
        <v>119</v>
      </c>
      <c r="M4407" t="s">
        <v>24</v>
      </c>
      <c r="N4407" t="s">
        <v>35</v>
      </c>
      <c r="O4407" t="s">
        <v>26</v>
      </c>
      <c r="P4407" t="s">
        <v>27</v>
      </c>
      <c r="Q4407" t="s">
        <v>28</v>
      </c>
      <c r="R4407" t="s">
        <v>29</v>
      </c>
      <c r="S4407" t="s">
        <v>793</v>
      </c>
      <c r="T4407">
        <f>_xlfn.XLOOKUP(X4407,Hoja2!D:D,Hoja2!A:A)</f>
        <v>1023367706</v>
      </c>
      <c r="U4407" t="str">
        <f>_xlfn.XLOOKUP(X4407,Hoja2!D:D,Hoja2!B:B)</f>
        <v>MARSHIA MILENA JIMéNEZ GóMEZ</v>
      </c>
      <c r="V4407" t="str">
        <f>_xlfn.XLOOKUP(X4407,Hoja2!D:D,Hoja2!C:C)</f>
        <v>PREGRADO</v>
      </c>
      <c r="W4407" s="9">
        <f>IF(V4407="pregrado",31,
IF(V4407="posgrados",31,
IF(V4407="rEINTEGROS",7,
IF(V4407="BIT",90,
IF(V4407="OP GRADO - INGLÉS",17,"")))))</f>
        <v>31</v>
      </c>
      <c r="X4407" t="s">
        <v>4039</v>
      </c>
    </row>
    <row r="4408" spans="1:24" x14ac:dyDescent="0.3">
      <c r="A4408" s="4">
        <v>46122</v>
      </c>
      <c r="B4408">
        <v>20130658</v>
      </c>
      <c r="C4408" t="s">
        <v>19</v>
      </c>
      <c r="D4408">
        <v>614132</v>
      </c>
      <c r="E4408" t="s">
        <v>20</v>
      </c>
      <c r="F4408">
        <v>52440759</v>
      </c>
      <c r="G4408" t="s">
        <v>4497</v>
      </c>
      <c r="H4408">
        <v>100239338</v>
      </c>
      <c r="I4408">
        <v>202632</v>
      </c>
      <c r="J4408">
        <v>52440759</v>
      </c>
      <c r="K4408" t="s">
        <v>33</v>
      </c>
      <c r="L4408" t="s">
        <v>207</v>
      </c>
      <c r="M4408" t="s">
        <v>24</v>
      </c>
      <c r="N4408" t="s">
        <v>38</v>
      </c>
      <c r="O4408" t="s">
        <v>26</v>
      </c>
      <c r="P4408" t="s">
        <v>27</v>
      </c>
      <c r="Q4408" t="s">
        <v>28</v>
      </c>
      <c r="R4408" t="s">
        <v>29</v>
      </c>
      <c r="S4408" t="s">
        <v>793</v>
      </c>
      <c r="T4408">
        <f>_xlfn.XLOOKUP(X4408,Hoja2!D:D,Hoja2!A:A)</f>
        <v>1006505929</v>
      </c>
      <c r="U4408" t="str">
        <f>_xlfn.XLOOKUP(X4408,Hoja2!D:D,Hoja2!B:B)</f>
        <v>CATALINA PACHECO BURGOS</v>
      </c>
      <c r="V4408" t="str">
        <f>_xlfn.XLOOKUP(X4408,Hoja2!D:D,Hoja2!C:C)</f>
        <v>PREGRADO</v>
      </c>
      <c r="W4408" s="9">
        <f>IF(V4408="pregrado",31,
IF(V4408="posgrados",31,
IF(V4408="rEINTEGROS",7,
IF(V4408="BIT",90,
IF(V4408="OP GRADO - INGLÉS",17,"")))))</f>
        <v>31</v>
      </c>
      <c r="X4408" t="s">
        <v>4013</v>
      </c>
    </row>
    <row r="4409" spans="1:24" x14ac:dyDescent="0.3">
      <c r="A4409" s="4">
        <v>46122</v>
      </c>
      <c r="B4409">
        <v>20130702</v>
      </c>
      <c r="C4409" t="s">
        <v>19</v>
      </c>
      <c r="D4409">
        <v>614139</v>
      </c>
      <c r="E4409" t="s">
        <v>20</v>
      </c>
      <c r="F4409">
        <v>10200544</v>
      </c>
      <c r="G4409" t="s">
        <v>4504</v>
      </c>
      <c r="H4409">
        <v>200264892</v>
      </c>
      <c r="I4409">
        <v>202632</v>
      </c>
      <c r="J4409">
        <v>33992867</v>
      </c>
      <c r="K4409" t="s">
        <v>23</v>
      </c>
      <c r="L4409" t="s">
        <v>119</v>
      </c>
      <c r="M4409" t="s">
        <v>24</v>
      </c>
      <c r="N4409" t="s">
        <v>35</v>
      </c>
      <c r="O4409" t="s">
        <v>26</v>
      </c>
      <c r="P4409" t="s">
        <v>27</v>
      </c>
      <c r="Q4409" t="s">
        <v>28</v>
      </c>
      <c r="R4409" t="s">
        <v>29</v>
      </c>
      <c r="S4409" t="s">
        <v>793</v>
      </c>
      <c r="T4409">
        <f>_xlfn.XLOOKUP(X4409,Hoja2!D:D,Hoja2!A:A)</f>
        <v>1023367706</v>
      </c>
      <c r="U4409" t="str">
        <f>_xlfn.XLOOKUP(X4409,Hoja2!D:D,Hoja2!B:B)</f>
        <v>MARSHIA MILENA JIMéNEZ GóMEZ</v>
      </c>
      <c r="V4409" t="str">
        <f>_xlfn.XLOOKUP(X4409,Hoja2!D:D,Hoja2!C:C)</f>
        <v>PREGRADO</v>
      </c>
      <c r="W4409" s="9">
        <f>IF(V4409="pregrado",31,
IF(V4409="posgrados",31,
IF(V4409="rEINTEGROS",7,
IF(V4409="BIT",90,
IF(V4409="OP GRADO - INGLÉS",17,"")))))</f>
        <v>31</v>
      </c>
      <c r="X4409" t="s">
        <v>4039</v>
      </c>
    </row>
    <row r="4410" spans="1:24" x14ac:dyDescent="0.3">
      <c r="A4410" s="4">
        <v>46126</v>
      </c>
      <c r="B4410">
        <v>20131087</v>
      </c>
      <c r="C4410" t="s">
        <v>19</v>
      </c>
      <c r="D4410">
        <v>614143</v>
      </c>
      <c r="E4410" t="s">
        <v>20</v>
      </c>
      <c r="F4410">
        <v>79595704</v>
      </c>
      <c r="G4410" t="s">
        <v>4596</v>
      </c>
      <c r="H4410">
        <v>100250356</v>
      </c>
      <c r="I4410">
        <v>202632</v>
      </c>
      <c r="J4410">
        <v>79595704</v>
      </c>
      <c r="K4410" t="s">
        <v>23</v>
      </c>
      <c r="L4410" t="s">
        <v>240</v>
      </c>
      <c r="M4410" t="s">
        <v>24</v>
      </c>
      <c r="N4410" t="s">
        <v>35</v>
      </c>
      <c r="O4410" t="s">
        <v>26</v>
      </c>
      <c r="P4410" t="s">
        <v>27</v>
      </c>
      <c r="Q4410" t="s">
        <v>28</v>
      </c>
      <c r="R4410" t="s">
        <v>29</v>
      </c>
      <c r="S4410" t="s">
        <v>793</v>
      </c>
      <c r="T4410">
        <f>_xlfn.XLOOKUP(X4410,Hoja2!D:D,Hoja2!A:A)</f>
        <v>1030651078</v>
      </c>
      <c r="U4410" t="str">
        <f>_xlfn.XLOOKUP(X4410,Hoja2!D:D,Hoja2!B:B)</f>
        <v>NELSON JAVIER MORERA RINCON</v>
      </c>
      <c r="V4410" t="str">
        <f>_xlfn.XLOOKUP(X4410,Hoja2!D:D,Hoja2!C:C)</f>
        <v>PREGRADO</v>
      </c>
      <c r="W4410" s="9">
        <f>IF(V4410="pregrado",31,
IF(V4410="posgrados",31,
IF(V4410="rEINTEGROS",7,
IF(V4410="BIT",90,
IF(V4410="OP GRADO - INGLÉS",17,"")))))</f>
        <v>31</v>
      </c>
      <c r="X4410" t="s">
        <v>4085</v>
      </c>
    </row>
    <row r="4411" spans="1:24" x14ac:dyDescent="0.3">
      <c r="A4411" s="4">
        <v>46127</v>
      </c>
      <c r="B4411">
        <v>20131188</v>
      </c>
      <c r="C4411" t="s">
        <v>19</v>
      </c>
      <c r="D4411">
        <v>614170</v>
      </c>
      <c r="E4411" t="s">
        <v>20</v>
      </c>
      <c r="F4411">
        <v>1110538124</v>
      </c>
      <c r="G4411" t="s">
        <v>4620</v>
      </c>
      <c r="H4411">
        <v>200268791</v>
      </c>
      <c r="I4411">
        <v>202632</v>
      </c>
      <c r="J4411">
        <v>1110538124</v>
      </c>
      <c r="K4411" t="s">
        <v>23</v>
      </c>
      <c r="L4411" t="s">
        <v>219</v>
      </c>
      <c r="M4411" t="s">
        <v>24</v>
      </c>
      <c r="N4411" t="s">
        <v>35</v>
      </c>
      <c r="O4411" t="s">
        <v>26</v>
      </c>
      <c r="P4411" t="s">
        <v>27</v>
      </c>
      <c r="Q4411" t="s">
        <v>28</v>
      </c>
      <c r="R4411" t="s">
        <v>29</v>
      </c>
      <c r="S4411" t="s">
        <v>793</v>
      </c>
      <c r="T4411">
        <f>_xlfn.XLOOKUP(X4411,Hoja2!D:D,Hoja2!A:A)</f>
        <v>1014283217</v>
      </c>
      <c r="U4411" t="str">
        <f>_xlfn.XLOOKUP(X4411,Hoja2!D:D,Hoja2!B:B)</f>
        <v>MARSHIA MILENA JIMéNEZ GóMEZ</v>
      </c>
      <c r="V4411" t="str">
        <f>_xlfn.XLOOKUP(X4411,Hoja2!D:D,Hoja2!C:C)</f>
        <v>PREGRADO</v>
      </c>
      <c r="W4411" s="9">
        <f>IF(V4411="pregrado",31,
IF(V4411="posgrados",31,
IF(V4411="rEINTEGROS",7,
IF(V4411="BIT",90,
IF(V4411="OP GRADO - INGLÉS",17,"")))))</f>
        <v>31</v>
      </c>
      <c r="X4411" t="s">
        <v>4023</v>
      </c>
    </row>
    <row r="4412" spans="1:24" x14ac:dyDescent="0.3">
      <c r="A4412" s="4">
        <v>46122</v>
      </c>
      <c r="B4412">
        <v>20130589</v>
      </c>
      <c r="C4412" t="s">
        <v>19</v>
      </c>
      <c r="D4412">
        <v>614180</v>
      </c>
      <c r="E4412" t="s">
        <v>20</v>
      </c>
      <c r="F4412">
        <v>1038104624</v>
      </c>
      <c r="G4412" t="s">
        <v>4486</v>
      </c>
      <c r="H4412">
        <v>100250385</v>
      </c>
      <c r="I4412">
        <v>202632</v>
      </c>
      <c r="J4412">
        <v>1038104624</v>
      </c>
      <c r="K4412" t="s">
        <v>33</v>
      </c>
      <c r="L4412" t="s">
        <v>207</v>
      </c>
      <c r="M4412" t="s">
        <v>24</v>
      </c>
      <c r="N4412" t="s">
        <v>25</v>
      </c>
      <c r="O4412" t="s">
        <v>26</v>
      </c>
      <c r="P4412" t="s">
        <v>27</v>
      </c>
      <c r="Q4412" t="s">
        <v>28</v>
      </c>
      <c r="R4412" t="s">
        <v>29</v>
      </c>
      <c r="S4412" t="s">
        <v>793</v>
      </c>
      <c r="T4412">
        <f>_xlfn.XLOOKUP(X4412,Hoja2!D:D,Hoja2!A:A)</f>
        <v>1001315142</v>
      </c>
      <c r="U4412" t="str">
        <f>_xlfn.XLOOKUP(X4412,Hoja2!D:D,Hoja2!B:B)</f>
        <v>CATALINA PACHECO BURGOS</v>
      </c>
      <c r="V4412" t="str">
        <f>_xlfn.XLOOKUP(X4412,Hoja2!D:D,Hoja2!C:C)</f>
        <v>PREGRADO</v>
      </c>
      <c r="W4412" s="9">
        <f>IF(V4412="pregrado",31,
IF(V4412="posgrados",31,
IF(V4412="rEINTEGROS",7,
IF(V4412="BIT",90,
IF(V4412="OP GRADO - INGLÉS",17,"")))))</f>
        <v>31</v>
      </c>
      <c r="X4412" t="s">
        <v>4064</v>
      </c>
    </row>
    <row r="4413" spans="1:24" x14ac:dyDescent="0.3">
      <c r="A4413" s="4">
        <v>46123</v>
      </c>
      <c r="B4413">
        <v>20130726</v>
      </c>
      <c r="C4413" t="s">
        <v>19</v>
      </c>
      <c r="D4413">
        <v>614186</v>
      </c>
      <c r="E4413" t="s">
        <v>20</v>
      </c>
      <c r="F4413">
        <v>1031167077</v>
      </c>
      <c r="G4413" t="s">
        <v>4509</v>
      </c>
      <c r="H4413">
        <v>100250386</v>
      </c>
      <c r="I4413">
        <v>202612</v>
      </c>
      <c r="J4413">
        <v>1001270915</v>
      </c>
      <c r="K4413" t="s">
        <v>23</v>
      </c>
      <c r="L4413" t="s">
        <v>221</v>
      </c>
      <c r="M4413" t="s">
        <v>24</v>
      </c>
      <c r="N4413" t="s">
        <v>35</v>
      </c>
      <c r="O4413" t="s">
        <v>26</v>
      </c>
      <c r="P4413" t="s">
        <v>27</v>
      </c>
      <c r="Q4413" t="s">
        <v>28</v>
      </c>
      <c r="R4413" t="s">
        <v>29</v>
      </c>
      <c r="S4413" t="s">
        <v>793</v>
      </c>
      <c r="T4413">
        <f>_xlfn.XLOOKUP(X4413,Hoja2!D:D,Hoja2!A:A)</f>
        <v>1003652550</v>
      </c>
      <c r="U4413" t="str">
        <f>_xlfn.XLOOKUP(X4413,Hoja2!D:D,Hoja2!B:B)</f>
        <v>NELSON JAVIER MORERA RINCON</v>
      </c>
      <c r="V4413" t="str">
        <f>_xlfn.XLOOKUP(X4413,Hoja2!D:D,Hoja2!C:C)</f>
        <v>PREGRADO</v>
      </c>
      <c r="W4413" s="9">
        <f>IF(V4413="pregrado",31,
IF(V4413="posgrados",31,
IF(V4413="rEINTEGROS",7,
IF(V4413="BIT",90,
IF(V4413="OP GRADO - INGLÉS",17,"")))))</f>
        <v>31</v>
      </c>
      <c r="X4413" t="s">
        <v>4059</v>
      </c>
    </row>
    <row r="4414" spans="1:24" x14ac:dyDescent="0.3">
      <c r="A4414" s="4">
        <v>46122</v>
      </c>
      <c r="B4414">
        <v>20130613</v>
      </c>
      <c r="C4414" t="s">
        <v>19</v>
      </c>
      <c r="D4414">
        <v>614210</v>
      </c>
      <c r="E4414" t="s">
        <v>20</v>
      </c>
      <c r="F4414">
        <v>1003432763</v>
      </c>
      <c r="G4414" t="s">
        <v>4490</v>
      </c>
      <c r="H4414">
        <v>100250411</v>
      </c>
      <c r="I4414">
        <v>202632</v>
      </c>
      <c r="J4414">
        <v>1003432763</v>
      </c>
      <c r="K4414" t="s">
        <v>33</v>
      </c>
      <c r="L4414" t="s">
        <v>90</v>
      </c>
      <c r="M4414" t="s">
        <v>24</v>
      </c>
      <c r="N4414" t="s">
        <v>25</v>
      </c>
      <c r="O4414" t="s">
        <v>26</v>
      </c>
      <c r="P4414" t="s">
        <v>27</v>
      </c>
      <c r="Q4414" t="s">
        <v>28</v>
      </c>
      <c r="R4414" t="s">
        <v>29</v>
      </c>
      <c r="S4414" t="s">
        <v>793</v>
      </c>
      <c r="T4414">
        <f>_xlfn.XLOOKUP(X4414,Hoja2!D:D,Hoja2!A:A)</f>
        <v>1013595695</v>
      </c>
      <c r="U4414" t="str">
        <f>_xlfn.XLOOKUP(X4414,Hoja2!D:D,Hoja2!B:B)</f>
        <v>PAOLA ANDREA CALDERON CETINA</v>
      </c>
      <c r="V4414" t="str">
        <f>_xlfn.XLOOKUP(X4414,Hoja2!D:D,Hoja2!C:C)</f>
        <v>PREGRADO</v>
      </c>
      <c r="W4414" s="9">
        <f>IF(V4414="pregrado",31,
IF(V4414="posgrados",31,
IF(V4414="rEINTEGROS",7,
IF(V4414="BIT",90,
IF(V4414="OP GRADO - INGLÉS",17,"")))))</f>
        <v>31</v>
      </c>
      <c r="X4414" t="s">
        <v>3990</v>
      </c>
    </row>
    <row r="4415" spans="1:24" x14ac:dyDescent="0.3">
      <c r="A4415" s="4">
        <v>46126</v>
      </c>
      <c r="B4415">
        <v>20130957</v>
      </c>
      <c r="C4415" t="s">
        <v>19</v>
      </c>
      <c r="D4415">
        <v>614212</v>
      </c>
      <c r="E4415" t="s">
        <v>20</v>
      </c>
      <c r="F4415">
        <v>1113526187</v>
      </c>
      <c r="G4415" t="s">
        <v>4563</v>
      </c>
      <c r="H4415">
        <v>100250413</v>
      </c>
      <c r="I4415">
        <v>202632</v>
      </c>
      <c r="J4415">
        <v>1113526187</v>
      </c>
      <c r="K4415" t="s">
        <v>33</v>
      </c>
      <c r="L4415" t="s">
        <v>127</v>
      </c>
      <c r="M4415" t="s">
        <v>24</v>
      </c>
      <c r="N4415" t="s">
        <v>25</v>
      </c>
      <c r="O4415" t="s">
        <v>26</v>
      </c>
      <c r="P4415" t="s">
        <v>27</v>
      </c>
      <c r="Q4415" t="s">
        <v>28</v>
      </c>
      <c r="R4415" t="s">
        <v>29</v>
      </c>
      <c r="S4415" t="s">
        <v>793</v>
      </c>
      <c r="T4415">
        <f>_xlfn.XLOOKUP(X4415,Hoja2!D:D,Hoja2!A:A)</f>
        <v>39666517</v>
      </c>
      <c r="U4415" t="str">
        <f>_xlfn.XLOOKUP(X4415,Hoja2!D:D,Hoja2!B:B)</f>
        <v>PAOLA ANDREA CALDERON CETINA</v>
      </c>
      <c r="V4415" t="str">
        <f>_xlfn.XLOOKUP(X4415,Hoja2!D:D,Hoja2!C:C)</f>
        <v>PREGRADO</v>
      </c>
      <c r="W4415" s="9">
        <f>IF(V4415="pregrado",31,
IF(V4415="posgrados",31,
IF(V4415="rEINTEGROS",7,
IF(V4415="BIT",90,
IF(V4415="OP GRADO - INGLÉS",17,"")))))</f>
        <v>31</v>
      </c>
      <c r="X4415" t="s">
        <v>4025</v>
      </c>
    </row>
    <row r="4416" spans="1:24" x14ac:dyDescent="0.3">
      <c r="A4416" s="4">
        <v>46121</v>
      </c>
      <c r="B4416">
        <v>20130475</v>
      </c>
      <c r="C4416" t="s">
        <v>19</v>
      </c>
      <c r="D4416">
        <v>614222</v>
      </c>
      <c r="E4416" t="s">
        <v>20</v>
      </c>
      <c r="F4416">
        <v>1013099032</v>
      </c>
      <c r="G4416" t="s">
        <v>4464</v>
      </c>
      <c r="H4416">
        <v>100250434</v>
      </c>
      <c r="I4416">
        <v>202632</v>
      </c>
      <c r="J4416">
        <v>1013099032</v>
      </c>
      <c r="K4416" t="s">
        <v>23</v>
      </c>
      <c r="L4416" t="s">
        <v>90</v>
      </c>
      <c r="M4416" t="s">
        <v>24</v>
      </c>
      <c r="N4416" t="s">
        <v>35</v>
      </c>
      <c r="O4416" t="s">
        <v>26</v>
      </c>
      <c r="P4416" t="s">
        <v>27</v>
      </c>
      <c r="Q4416" t="s">
        <v>28</v>
      </c>
      <c r="R4416" t="s">
        <v>29</v>
      </c>
      <c r="S4416" t="s">
        <v>793</v>
      </c>
      <c r="T4416">
        <f>_xlfn.XLOOKUP(X4416,Hoja2!D:D,Hoja2!A:A)</f>
        <v>1003690112</v>
      </c>
      <c r="U4416" t="str">
        <f>_xlfn.XLOOKUP(X4416,Hoja2!D:D,Hoja2!B:B)</f>
        <v>PAOLA ANDREA CALDERON CETINA</v>
      </c>
      <c r="V4416" t="str">
        <f>_xlfn.XLOOKUP(X4416,Hoja2!D:D,Hoja2!C:C)</f>
        <v>PREGRADO</v>
      </c>
      <c r="W4416" s="9">
        <f>IF(V4416="pregrado",31,
IF(V4416="posgrados",31,
IF(V4416="rEINTEGROS",7,
IF(V4416="BIT",90,
IF(V4416="OP GRADO - INGLÉS",17,"")))))</f>
        <v>31</v>
      </c>
      <c r="X4416" t="s">
        <v>4061</v>
      </c>
    </row>
    <row r="4417" spans="1:24" x14ac:dyDescent="0.3">
      <c r="A4417" s="4">
        <v>46121</v>
      </c>
      <c r="B4417">
        <v>20130533</v>
      </c>
      <c r="C4417" t="s">
        <v>19</v>
      </c>
      <c r="D4417">
        <v>614253</v>
      </c>
      <c r="E4417" t="s">
        <v>20</v>
      </c>
      <c r="F4417">
        <v>1027150968</v>
      </c>
      <c r="G4417" t="s">
        <v>4475</v>
      </c>
      <c r="H4417">
        <v>100250469</v>
      </c>
      <c r="I4417">
        <v>202632</v>
      </c>
      <c r="J4417">
        <v>1027150968</v>
      </c>
      <c r="K4417" t="s">
        <v>23</v>
      </c>
      <c r="L4417" t="s">
        <v>127</v>
      </c>
      <c r="M4417" t="s">
        <v>24</v>
      </c>
      <c r="N4417" t="s">
        <v>35</v>
      </c>
      <c r="O4417" t="s">
        <v>26</v>
      </c>
      <c r="P4417" t="s">
        <v>27</v>
      </c>
      <c r="Q4417" t="s">
        <v>28</v>
      </c>
      <c r="R4417" t="s">
        <v>29</v>
      </c>
      <c r="S4417" t="s">
        <v>793</v>
      </c>
      <c r="T4417">
        <f>_xlfn.XLOOKUP(X4417,Hoja2!D:D,Hoja2!A:A)</f>
        <v>1023970223</v>
      </c>
      <c r="U4417" t="str">
        <f>_xlfn.XLOOKUP(X4417,Hoja2!D:D,Hoja2!B:B)</f>
        <v>PAOLA ANDREA CALDERON CETINA</v>
      </c>
      <c r="V4417" t="str">
        <f>_xlfn.XLOOKUP(X4417,Hoja2!D:D,Hoja2!C:C)</f>
        <v>PREGRADO</v>
      </c>
      <c r="W4417" s="9">
        <f>IF(V4417="pregrado",31,
IF(V4417="posgrados",31,
IF(V4417="rEINTEGROS",7,
IF(V4417="BIT",90,
IF(V4417="OP GRADO - INGLÉS",17,"")))))</f>
        <v>31</v>
      </c>
      <c r="X4417" t="s">
        <v>4070</v>
      </c>
    </row>
    <row r="4418" spans="1:24" x14ac:dyDescent="0.3">
      <c r="A4418" s="4">
        <v>46121</v>
      </c>
      <c r="B4418">
        <v>20130557</v>
      </c>
      <c r="C4418" t="s">
        <v>19</v>
      </c>
      <c r="D4418">
        <v>614255</v>
      </c>
      <c r="E4418" t="s">
        <v>20</v>
      </c>
      <c r="F4418">
        <v>294964</v>
      </c>
      <c r="G4418" t="s">
        <v>4479</v>
      </c>
      <c r="H4418">
        <v>100250471</v>
      </c>
      <c r="I4418">
        <v>202612</v>
      </c>
      <c r="J4418">
        <v>294964</v>
      </c>
      <c r="K4418" t="s">
        <v>23</v>
      </c>
      <c r="L4418" t="s">
        <v>221</v>
      </c>
      <c r="M4418" t="s">
        <v>24</v>
      </c>
      <c r="N4418" t="s">
        <v>35</v>
      </c>
      <c r="O4418" t="s">
        <v>26</v>
      </c>
      <c r="P4418" t="s">
        <v>27</v>
      </c>
      <c r="Q4418" t="s">
        <v>28</v>
      </c>
      <c r="R4418" t="s">
        <v>29</v>
      </c>
      <c r="S4418" t="s">
        <v>793</v>
      </c>
      <c r="T4418">
        <f>_xlfn.XLOOKUP(X4418,Hoja2!D:D,Hoja2!A:A)</f>
        <v>1001277801</v>
      </c>
      <c r="U4418" t="str">
        <f>_xlfn.XLOOKUP(X4418,Hoja2!D:D,Hoja2!B:B)</f>
        <v>NELSON JAVIER MORERA RINCON</v>
      </c>
      <c r="V4418" t="str">
        <f>_xlfn.XLOOKUP(X4418,Hoja2!D:D,Hoja2!C:C)</f>
        <v>PREGRADO</v>
      </c>
      <c r="W4418" s="9">
        <f>IF(V4418="pregrado",31,
IF(V4418="posgrados",31,
IF(V4418="rEINTEGROS",7,
IF(V4418="BIT",90,
IF(V4418="OP GRADO - INGLÉS",17,"")))))</f>
        <v>31</v>
      </c>
      <c r="X4418" t="s">
        <v>4002</v>
      </c>
    </row>
    <row r="4419" spans="1:24" x14ac:dyDescent="0.3">
      <c r="A4419" s="4">
        <v>46125</v>
      </c>
      <c r="B4419">
        <v>20130871</v>
      </c>
      <c r="C4419" t="s">
        <v>19</v>
      </c>
      <c r="D4419">
        <v>614262</v>
      </c>
      <c r="E4419" t="s">
        <v>20</v>
      </c>
      <c r="F4419">
        <v>1143114565</v>
      </c>
      <c r="G4419" t="s">
        <v>2709</v>
      </c>
      <c r="H4419">
        <v>200269189</v>
      </c>
      <c r="I4419">
        <v>202632</v>
      </c>
      <c r="J4419">
        <v>38682063</v>
      </c>
      <c r="K4419" t="s">
        <v>23</v>
      </c>
      <c r="L4419" t="s">
        <v>119</v>
      </c>
      <c r="M4419" t="s">
        <v>24</v>
      </c>
      <c r="N4419" t="s">
        <v>35</v>
      </c>
      <c r="O4419" t="s">
        <v>26</v>
      </c>
      <c r="P4419" t="s">
        <v>27</v>
      </c>
      <c r="Q4419" t="s">
        <v>28</v>
      </c>
      <c r="R4419" t="s">
        <v>29</v>
      </c>
      <c r="S4419" t="s">
        <v>793</v>
      </c>
      <c r="T4419">
        <f>_xlfn.XLOOKUP(X4419,Hoja2!D:D,Hoja2!A:A)</f>
        <v>1023975276</v>
      </c>
      <c r="U4419" t="str">
        <f>_xlfn.XLOOKUP(X4419,Hoja2!D:D,Hoja2!B:B)</f>
        <v>MARSHIA MILENA JIMéNEZ GóMEZ</v>
      </c>
      <c r="V4419" t="str">
        <f>_xlfn.XLOOKUP(X4419,Hoja2!D:D,Hoja2!C:C)</f>
        <v>PREGRADO</v>
      </c>
      <c r="W4419" s="9">
        <f>IF(V4419="pregrado",31,
IF(V4419="posgrados",31,
IF(V4419="rEINTEGROS",7,
IF(V4419="BIT",90,
IF(V4419="OP GRADO - INGLÉS",17,"")))))</f>
        <v>31</v>
      </c>
      <c r="X4419" t="s">
        <v>3962</v>
      </c>
    </row>
    <row r="4420" spans="1:24" x14ac:dyDescent="0.3">
      <c r="A4420" s="4">
        <v>46122</v>
      </c>
      <c r="B4420">
        <v>20130700</v>
      </c>
      <c r="C4420" t="s">
        <v>19</v>
      </c>
      <c r="D4420">
        <v>614269</v>
      </c>
      <c r="E4420" t="s">
        <v>20</v>
      </c>
      <c r="F4420">
        <v>1079935782</v>
      </c>
      <c r="G4420" t="s">
        <v>4503</v>
      </c>
      <c r="H4420">
        <v>100250486</v>
      </c>
      <c r="I4420">
        <v>202612</v>
      </c>
      <c r="J4420">
        <v>1079935782</v>
      </c>
      <c r="K4420" t="s">
        <v>23</v>
      </c>
      <c r="L4420" t="s">
        <v>221</v>
      </c>
      <c r="M4420" t="s">
        <v>24</v>
      </c>
      <c r="N4420" t="s">
        <v>35</v>
      </c>
      <c r="O4420" t="s">
        <v>26</v>
      </c>
      <c r="P4420" t="s">
        <v>27</v>
      </c>
      <c r="Q4420" t="s">
        <v>28</v>
      </c>
      <c r="R4420" t="s">
        <v>29</v>
      </c>
      <c r="S4420" t="s">
        <v>793</v>
      </c>
      <c r="T4420">
        <f>_xlfn.XLOOKUP(X4420,Hoja2!D:D,Hoja2!A:A)</f>
        <v>45555807</v>
      </c>
      <c r="U4420" t="str">
        <f>_xlfn.XLOOKUP(X4420,Hoja2!D:D,Hoja2!B:B)</f>
        <v>NELSON JAVIER MORERA RINCON</v>
      </c>
      <c r="V4420" t="str">
        <f>_xlfn.XLOOKUP(X4420,Hoja2!D:D,Hoja2!C:C)</f>
        <v>PREGRADO</v>
      </c>
      <c r="W4420" s="9">
        <f>IF(V4420="pregrado",31,
IF(V4420="posgrados",31,
IF(V4420="rEINTEGROS",7,
IF(V4420="BIT",90,
IF(V4420="OP GRADO - INGLÉS",17,"")))))</f>
        <v>31</v>
      </c>
      <c r="X4420" t="s">
        <v>4027</v>
      </c>
    </row>
    <row r="4421" spans="1:24" x14ac:dyDescent="0.3">
      <c r="A4421" s="4">
        <v>46139</v>
      </c>
      <c r="B4421">
        <v>20132346</v>
      </c>
      <c r="C4421" t="s">
        <v>19</v>
      </c>
      <c r="D4421">
        <v>614277</v>
      </c>
      <c r="E4421" t="s">
        <v>20</v>
      </c>
      <c r="F4421">
        <v>51830277</v>
      </c>
      <c r="G4421" t="s">
        <v>4867</v>
      </c>
      <c r="H4421">
        <v>100160979</v>
      </c>
      <c r="I4421">
        <v>202612</v>
      </c>
      <c r="J4421">
        <v>1000287701</v>
      </c>
      <c r="K4421" t="s">
        <v>33</v>
      </c>
      <c r="L4421" t="s">
        <v>204</v>
      </c>
      <c r="M4421" t="s">
        <v>24</v>
      </c>
      <c r="N4421" t="s">
        <v>38</v>
      </c>
      <c r="O4421" t="s">
        <v>26</v>
      </c>
      <c r="P4421" t="s">
        <v>27</v>
      </c>
      <c r="Q4421" t="s">
        <v>28</v>
      </c>
      <c r="R4421" t="s">
        <v>29</v>
      </c>
      <c r="S4421" t="s">
        <v>793</v>
      </c>
      <c r="T4421">
        <f>_xlfn.XLOOKUP(X4421,Hoja2!D:D,Hoja2!A:A)</f>
        <v>1032394283</v>
      </c>
      <c r="U4421" t="str">
        <f>_xlfn.XLOOKUP(X4421,Hoja2!D:D,Hoja2!B:B)</f>
        <v>HEIDY LORENA PRIETO AHUMADA</v>
      </c>
      <c r="V4421" t="str">
        <f>_xlfn.XLOOKUP(X4421,Hoja2!D:D,Hoja2!C:C)</f>
        <v>PREGRADO</v>
      </c>
      <c r="W4421" s="9">
        <f>IF(V4421="pregrado",31,
IF(V4421="posgrados",31,
IF(V4421="rEINTEGROS",7,
IF(V4421="BIT",90,
IF(V4421="OP GRADO - INGLÉS",17,"")))))</f>
        <v>31</v>
      </c>
      <c r="X4421" t="s">
        <v>4034</v>
      </c>
    </row>
    <row r="4422" spans="1:24" x14ac:dyDescent="0.3">
      <c r="A4422" s="4">
        <v>46128</v>
      </c>
      <c r="B4422">
        <v>20131383</v>
      </c>
      <c r="C4422" t="s">
        <v>19</v>
      </c>
      <c r="D4422">
        <v>614278</v>
      </c>
      <c r="E4422" t="s">
        <v>20</v>
      </c>
      <c r="F4422">
        <v>1027962423</v>
      </c>
      <c r="G4422" t="s">
        <v>4657</v>
      </c>
      <c r="H4422">
        <v>100250493</v>
      </c>
      <c r="I4422">
        <v>202612</v>
      </c>
      <c r="J4422">
        <v>1027962423</v>
      </c>
      <c r="K4422" t="s">
        <v>33</v>
      </c>
      <c r="L4422" t="s">
        <v>221</v>
      </c>
      <c r="M4422" t="s">
        <v>24</v>
      </c>
      <c r="N4422" t="s">
        <v>25</v>
      </c>
      <c r="O4422" t="s">
        <v>26</v>
      </c>
      <c r="P4422" t="s">
        <v>27</v>
      </c>
      <c r="Q4422" t="s">
        <v>28</v>
      </c>
      <c r="R4422" t="s">
        <v>29</v>
      </c>
      <c r="S4422" t="s">
        <v>793</v>
      </c>
      <c r="T4422">
        <f>_xlfn.XLOOKUP(X4422,Hoja2!D:D,Hoja2!A:A)</f>
        <v>1000777598</v>
      </c>
      <c r="U4422" t="str">
        <f>_xlfn.XLOOKUP(X4422,Hoja2!D:D,Hoja2!B:B)</f>
        <v>Catalina Pacheco Burgos</v>
      </c>
      <c r="V4422" t="str">
        <f>_xlfn.XLOOKUP(X4422,Hoja2!D:D,Hoja2!C:C)</f>
        <v>PREGRADO</v>
      </c>
      <c r="W4422" s="9">
        <f>IF(V4422="pregrado",31,
IF(V4422="posgrados",31,
IF(V4422="rEINTEGROS",7,
IF(V4422="BIT",90,
IF(V4422="OP GRADO - INGLÉS",17,"")))))</f>
        <v>31</v>
      </c>
      <c r="X4422" t="s">
        <v>4925</v>
      </c>
    </row>
    <row r="4423" spans="1:24" x14ac:dyDescent="0.3">
      <c r="A4423" s="4">
        <v>46122</v>
      </c>
      <c r="B4423">
        <v>20130628</v>
      </c>
      <c r="C4423" t="s">
        <v>19</v>
      </c>
      <c r="D4423">
        <v>614280</v>
      </c>
      <c r="E4423" t="s">
        <v>20</v>
      </c>
      <c r="F4423">
        <v>3226035</v>
      </c>
      <c r="G4423" t="s">
        <v>4492</v>
      </c>
      <c r="H4423">
        <v>100250495</v>
      </c>
      <c r="I4423">
        <v>202632</v>
      </c>
      <c r="J4423">
        <v>1000464423</v>
      </c>
      <c r="K4423" t="s">
        <v>33</v>
      </c>
      <c r="L4423" t="s">
        <v>90</v>
      </c>
      <c r="M4423" t="s">
        <v>24</v>
      </c>
      <c r="N4423" t="s">
        <v>38</v>
      </c>
      <c r="O4423" t="s">
        <v>26</v>
      </c>
      <c r="P4423" t="s">
        <v>27</v>
      </c>
      <c r="Q4423" t="s">
        <v>28</v>
      </c>
      <c r="R4423" t="s">
        <v>29</v>
      </c>
      <c r="S4423" t="s">
        <v>793</v>
      </c>
      <c r="T4423">
        <f>_xlfn.XLOOKUP(X4423,Hoja2!D:D,Hoja2!A:A)</f>
        <v>1007473661</v>
      </c>
      <c r="U4423" t="str">
        <f>_xlfn.XLOOKUP(X4423,Hoja2!D:D,Hoja2!B:B)</f>
        <v>PAOLA ANDREA CALDERON CETINA</v>
      </c>
      <c r="V4423" t="str">
        <f>_xlfn.XLOOKUP(X4423,Hoja2!D:D,Hoja2!C:C)</f>
        <v>PREGRADO</v>
      </c>
      <c r="W4423" s="9">
        <f>IF(V4423="pregrado",31,
IF(V4423="posgrados",31,
IF(V4423="rEINTEGROS",7,
IF(V4423="BIT",90,
IF(V4423="OP GRADO - INGLÉS",17,"")))))</f>
        <v>31</v>
      </c>
      <c r="X4423" t="s">
        <v>4058</v>
      </c>
    </row>
    <row r="4424" spans="1:24" x14ac:dyDescent="0.3">
      <c r="A4424" s="4">
        <v>46125</v>
      </c>
      <c r="B4424">
        <v>20130874</v>
      </c>
      <c r="C4424" t="s">
        <v>19</v>
      </c>
      <c r="D4424">
        <v>614292</v>
      </c>
      <c r="E4424" t="s">
        <v>20</v>
      </c>
      <c r="F4424">
        <v>1071328614</v>
      </c>
      <c r="G4424" t="s">
        <v>4543</v>
      </c>
      <c r="H4424">
        <v>100250509</v>
      </c>
      <c r="I4424">
        <v>202632</v>
      </c>
      <c r="J4424">
        <v>1071328614</v>
      </c>
      <c r="K4424" t="s">
        <v>23</v>
      </c>
      <c r="L4424" t="s">
        <v>207</v>
      </c>
      <c r="M4424" t="s">
        <v>24</v>
      </c>
      <c r="N4424" t="s">
        <v>35</v>
      </c>
      <c r="O4424" t="s">
        <v>26</v>
      </c>
      <c r="P4424" t="s">
        <v>27</v>
      </c>
      <c r="Q4424" t="s">
        <v>28</v>
      </c>
      <c r="R4424" t="s">
        <v>29</v>
      </c>
      <c r="S4424" t="s">
        <v>793</v>
      </c>
      <c r="T4424">
        <f>_xlfn.XLOOKUP(X4424,Hoja2!D:D,Hoja2!A:A)</f>
        <v>80021358</v>
      </c>
      <c r="U4424" t="str">
        <f>_xlfn.XLOOKUP(X4424,Hoja2!D:D,Hoja2!B:B)</f>
        <v>CATALINA PACHECO BURGOS</v>
      </c>
      <c r="V4424" t="str">
        <f>_xlfn.XLOOKUP(X4424,Hoja2!D:D,Hoja2!C:C)</f>
        <v>PREGRADO</v>
      </c>
      <c r="W4424" s="9">
        <f>IF(V4424="pregrado",31,
IF(V4424="posgrados",31,
IF(V4424="rEINTEGROS",7,
IF(V4424="BIT",90,
IF(V4424="OP GRADO - INGLÉS",17,"")))))</f>
        <v>31</v>
      </c>
      <c r="X4424" t="s">
        <v>3995</v>
      </c>
    </row>
    <row r="4425" spans="1:24" x14ac:dyDescent="0.3">
      <c r="A4425" s="4">
        <v>46121</v>
      </c>
      <c r="B4425">
        <v>20130553</v>
      </c>
      <c r="C4425" t="s">
        <v>19</v>
      </c>
      <c r="D4425">
        <v>614301</v>
      </c>
      <c r="E4425" t="s">
        <v>20</v>
      </c>
      <c r="F4425">
        <v>1006791116</v>
      </c>
      <c r="G4425" t="s">
        <v>4478</v>
      </c>
      <c r="H4425">
        <v>200270256</v>
      </c>
      <c r="I4425">
        <v>202632</v>
      </c>
      <c r="J4425">
        <v>1006791116</v>
      </c>
      <c r="K4425" t="s">
        <v>23</v>
      </c>
      <c r="L4425" t="s">
        <v>101</v>
      </c>
      <c r="M4425" t="s">
        <v>24</v>
      </c>
      <c r="N4425" t="s">
        <v>35</v>
      </c>
      <c r="O4425" t="s">
        <v>26</v>
      </c>
      <c r="P4425" t="s">
        <v>27</v>
      </c>
      <c r="Q4425" t="s">
        <v>28</v>
      </c>
      <c r="R4425" t="s">
        <v>29</v>
      </c>
      <c r="S4425" t="s">
        <v>793</v>
      </c>
      <c r="T4425">
        <f>_xlfn.XLOOKUP(X4425,Hoja2!D:D,Hoja2!A:A)</f>
        <v>1023975276</v>
      </c>
      <c r="U4425" t="str">
        <f>_xlfn.XLOOKUP(X4425,Hoja2!D:D,Hoja2!B:B)</f>
        <v>MARSHIA MILENA JIMéNEZ GóMEZ</v>
      </c>
      <c r="V4425" t="str">
        <f>_xlfn.XLOOKUP(X4425,Hoja2!D:D,Hoja2!C:C)</f>
        <v>PREGRADO</v>
      </c>
      <c r="W4425" s="9">
        <f>IF(V4425="pregrado",31,
IF(V4425="posgrados",31,
IF(V4425="rEINTEGROS",7,
IF(V4425="BIT",90,
IF(V4425="OP GRADO - INGLÉS",17,"")))))</f>
        <v>31</v>
      </c>
      <c r="X4425" t="s">
        <v>3962</v>
      </c>
    </row>
    <row r="4426" spans="1:24" x14ac:dyDescent="0.3">
      <c r="A4426" s="4">
        <v>46126</v>
      </c>
      <c r="B4426">
        <v>20130973</v>
      </c>
      <c r="C4426" t="s">
        <v>19</v>
      </c>
      <c r="D4426">
        <v>614306</v>
      </c>
      <c r="E4426" t="s">
        <v>20</v>
      </c>
      <c r="F4426">
        <v>1013103755</v>
      </c>
      <c r="G4426" t="s">
        <v>4568</v>
      </c>
      <c r="H4426">
        <v>100250522</v>
      </c>
      <c r="I4426">
        <v>202632</v>
      </c>
      <c r="J4426">
        <v>1013103755</v>
      </c>
      <c r="K4426" t="s">
        <v>33</v>
      </c>
      <c r="L4426" t="s">
        <v>32</v>
      </c>
      <c r="M4426" t="s">
        <v>24</v>
      </c>
      <c r="N4426" t="s">
        <v>35</v>
      </c>
      <c r="O4426" t="s">
        <v>26</v>
      </c>
      <c r="P4426" t="s">
        <v>27</v>
      </c>
      <c r="Q4426" t="s">
        <v>28</v>
      </c>
      <c r="R4426" t="s">
        <v>29</v>
      </c>
      <c r="S4426" t="s">
        <v>793</v>
      </c>
      <c r="T4426">
        <f>_xlfn.XLOOKUP(X4426,Hoja2!D:D,Hoja2!A:A)</f>
        <v>1118531834</v>
      </c>
      <c r="U4426" t="str">
        <f>_xlfn.XLOOKUP(X4426,Hoja2!D:D,Hoja2!B:B)</f>
        <v>HEIDY LORENA PRIETO AHUMADA</v>
      </c>
      <c r="V4426" t="str">
        <f>_xlfn.XLOOKUP(X4426,Hoja2!D:D,Hoja2!C:C)</f>
        <v>PREGRADO</v>
      </c>
      <c r="W4426" s="9">
        <f>IF(V4426="pregrado",31,
IF(V4426="posgrados",31,
IF(V4426="rEINTEGROS",7,
IF(V4426="BIT",90,
IF(V4426="OP GRADO - INGLÉS",17,"")))))</f>
        <v>31</v>
      </c>
      <c r="X4426" t="s">
        <v>3996</v>
      </c>
    </row>
    <row r="4427" spans="1:24" x14ac:dyDescent="0.3">
      <c r="A4427" s="4">
        <v>46122</v>
      </c>
      <c r="B4427">
        <v>20130644</v>
      </c>
      <c r="C4427" t="s">
        <v>19</v>
      </c>
      <c r="D4427">
        <v>614309</v>
      </c>
      <c r="E4427" t="s">
        <v>20</v>
      </c>
      <c r="F4427">
        <v>1007743354</v>
      </c>
      <c r="G4427" t="s">
        <v>4494</v>
      </c>
      <c r="H4427">
        <v>100250526</v>
      </c>
      <c r="I4427">
        <v>202632</v>
      </c>
      <c r="J4427">
        <v>1007743354</v>
      </c>
      <c r="K4427" t="s">
        <v>33</v>
      </c>
      <c r="L4427" t="s">
        <v>207</v>
      </c>
      <c r="M4427" t="s">
        <v>24</v>
      </c>
      <c r="N4427" t="s">
        <v>25</v>
      </c>
      <c r="O4427" t="s">
        <v>26</v>
      </c>
      <c r="P4427" t="s">
        <v>27</v>
      </c>
      <c r="Q4427" t="s">
        <v>28</v>
      </c>
      <c r="R4427" t="s">
        <v>29</v>
      </c>
      <c r="S4427" t="s">
        <v>793</v>
      </c>
      <c r="T4427">
        <f>_xlfn.XLOOKUP(X4427,Hoja2!D:D,Hoja2!A:A)</f>
        <v>1000578914</v>
      </c>
      <c r="U4427" t="str">
        <f>_xlfn.XLOOKUP(X4427,Hoja2!D:D,Hoja2!B:B)</f>
        <v>HEIDY LORENA PRIETO AHUMADA</v>
      </c>
      <c r="V4427" t="str">
        <f>_xlfn.XLOOKUP(X4427,Hoja2!D:D,Hoja2!C:C)</f>
        <v>PREGRADO</v>
      </c>
      <c r="W4427" s="9">
        <f>IF(V4427="pregrado",31,
IF(V4427="posgrados",31,
IF(V4427="rEINTEGROS",7,
IF(V4427="BIT",90,
IF(V4427="OP GRADO - INGLÉS",17,"")))))</f>
        <v>31</v>
      </c>
      <c r="X4427" t="s">
        <v>4060</v>
      </c>
    </row>
    <row r="4428" spans="1:24" x14ac:dyDescent="0.3">
      <c r="A4428" s="4">
        <v>46123</v>
      </c>
      <c r="B4428">
        <v>20130725</v>
      </c>
      <c r="C4428" t="s">
        <v>19</v>
      </c>
      <c r="D4428">
        <v>614345</v>
      </c>
      <c r="E4428" t="s">
        <v>20</v>
      </c>
      <c r="F4428">
        <v>32582047</v>
      </c>
      <c r="G4428" t="s">
        <v>4508</v>
      </c>
      <c r="H4428">
        <v>100219611</v>
      </c>
      <c r="I4428">
        <v>202612</v>
      </c>
      <c r="J4428">
        <v>1048289909</v>
      </c>
      <c r="K4428" t="s">
        <v>23</v>
      </c>
      <c r="L4428" t="s">
        <v>221</v>
      </c>
      <c r="M4428" t="s">
        <v>24</v>
      </c>
      <c r="N4428" t="s">
        <v>25</v>
      </c>
      <c r="O4428" t="s">
        <v>26</v>
      </c>
      <c r="P4428" t="s">
        <v>27</v>
      </c>
      <c r="Q4428" t="s">
        <v>28</v>
      </c>
      <c r="R4428" t="s">
        <v>29</v>
      </c>
      <c r="S4428" t="s">
        <v>793</v>
      </c>
      <c r="T4428">
        <f>_xlfn.XLOOKUP(X4428,Hoja2!D:D,Hoja2!A:A)</f>
        <v>1001277801</v>
      </c>
      <c r="U4428" t="str">
        <f>_xlfn.XLOOKUP(X4428,Hoja2!D:D,Hoja2!B:B)</f>
        <v>NELSON JAVIER MORERA RINCON</v>
      </c>
      <c r="V4428" t="str">
        <f>_xlfn.XLOOKUP(X4428,Hoja2!D:D,Hoja2!C:C)</f>
        <v>PREGRADO</v>
      </c>
      <c r="W4428" s="9">
        <f>IF(V4428="pregrado",31,
IF(V4428="posgrados",31,
IF(V4428="rEINTEGROS",7,
IF(V4428="BIT",90,
IF(V4428="OP GRADO - INGLÉS",17,"")))))</f>
        <v>31</v>
      </c>
      <c r="X4428" t="s">
        <v>4002</v>
      </c>
    </row>
    <row r="4429" spans="1:24" x14ac:dyDescent="0.3">
      <c r="A4429" s="4">
        <v>46125</v>
      </c>
      <c r="B4429">
        <v>20130819</v>
      </c>
      <c r="C4429" t="s">
        <v>19</v>
      </c>
      <c r="D4429">
        <v>614349</v>
      </c>
      <c r="E4429" t="s">
        <v>20</v>
      </c>
      <c r="F4429">
        <v>1129509130</v>
      </c>
      <c r="G4429" t="s">
        <v>4529</v>
      </c>
      <c r="H4429">
        <v>100250566</v>
      </c>
      <c r="I4429">
        <v>202632</v>
      </c>
      <c r="J4429">
        <v>1129509130</v>
      </c>
      <c r="K4429" t="s">
        <v>33</v>
      </c>
      <c r="L4429" t="s">
        <v>207</v>
      </c>
      <c r="M4429" t="s">
        <v>24</v>
      </c>
      <c r="N4429" t="s">
        <v>25</v>
      </c>
      <c r="O4429" t="s">
        <v>26</v>
      </c>
      <c r="P4429" t="s">
        <v>27</v>
      </c>
      <c r="Q4429" t="s">
        <v>28</v>
      </c>
      <c r="R4429" t="s">
        <v>29</v>
      </c>
      <c r="S4429" t="s">
        <v>793</v>
      </c>
      <c r="T4429">
        <f>_xlfn.XLOOKUP(X4429,Hoja2!D:D,Hoja2!A:A)</f>
        <v>1118531834</v>
      </c>
      <c r="U4429" t="str">
        <f>_xlfn.XLOOKUP(X4429,Hoja2!D:D,Hoja2!B:B)</f>
        <v>HEIDY LORENA PRIETO AHUMADA</v>
      </c>
      <c r="V4429" t="str">
        <f>_xlfn.XLOOKUP(X4429,Hoja2!D:D,Hoja2!C:C)</f>
        <v>PREGRADO</v>
      </c>
      <c r="W4429" s="9">
        <f>IF(V4429="pregrado",31,
IF(V4429="posgrados",31,
IF(V4429="rEINTEGROS",7,
IF(V4429="BIT",90,
IF(V4429="OP GRADO - INGLÉS",17,"")))))</f>
        <v>31</v>
      </c>
      <c r="X4429" t="s">
        <v>3996</v>
      </c>
    </row>
    <row r="4430" spans="1:24" x14ac:dyDescent="0.3">
      <c r="A4430" s="4">
        <v>46122</v>
      </c>
      <c r="B4430">
        <v>20130669</v>
      </c>
      <c r="C4430" t="s">
        <v>19</v>
      </c>
      <c r="D4430">
        <v>614360</v>
      </c>
      <c r="E4430" t="s">
        <v>20</v>
      </c>
      <c r="F4430">
        <v>1062959629</v>
      </c>
      <c r="G4430" t="s">
        <v>4499</v>
      </c>
      <c r="H4430">
        <v>100250584</v>
      </c>
      <c r="I4430">
        <v>202632</v>
      </c>
      <c r="J4430">
        <v>1062959629</v>
      </c>
      <c r="K4430" t="s">
        <v>33</v>
      </c>
      <c r="L4430" t="s">
        <v>90</v>
      </c>
      <c r="M4430" t="s">
        <v>24</v>
      </c>
      <c r="N4430" t="s">
        <v>25</v>
      </c>
      <c r="O4430" t="s">
        <v>26</v>
      </c>
      <c r="P4430" t="s">
        <v>27</v>
      </c>
      <c r="Q4430" t="s">
        <v>28</v>
      </c>
      <c r="R4430" t="s">
        <v>29</v>
      </c>
      <c r="S4430" t="s">
        <v>793</v>
      </c>
      <c r="T4430">
        <f>_xlfn.XLOOKUP(X4430,Hoja2!D:D,Hoja2!A:A)</f>
        <v>10245841021</v>
      </c>
      <c r="U4430" t="str">
        <f>_xlfn.XLOOKUP(X4430,Hoja2!D:D,Hoja2!B:B)</f>
        <v>PAOLA ANDREA CALDERON CETINA</v>
      </c>
      <c r="V4430" t="str">
        <f>_xlfn.XLOOKUP(X4430,Hoja2!D:D,Hoja2!C:C)</f>
        <v>PREGRADO</v>
      </c>
      <c r="W4430" s="9">
        <f>IF(V4430="pregrado",31,
IF(V4430="posgrados",31,
IF(V4430="rEINTEGROS",7,
IF(V4430="BIT",90,
IF(V4430="OP GRADO - INGLÉS",17,"")))))</f>
        <v>31</v>
      </c>
      <c r="X4430" t="s">
        <v>3987</v>
      </c>
    </row>
    <row r="4431" spans="1:24" x14ac:dyDescent="0.3">
      <c r="A4431" s="4">
        <v>46123</v>
      </c>
      <c r="B4431">
        <v>20130736</v>
      </c>
      <c r="C4431" t="s">
        <v>19</v>
      </c>
      <c r="D4431">
        <v>614363</v>
      </c>
      <c r="E4431" t="s">
        <v>20</v>
      </c>
      <c r="F4431">
        <v>1033342396</v>
      </c>
      <c r="G4431" t="s">
        <v>4511</v>
      </c>
      <c r="H4431">
        <v>100240104</v>
      </c>
      <c r="I4431">
        <v>202632</v>
      </c>
      <c r="J4431">
        <v>1033336418</v>
      </c>
      <c r="K4431" t="s">
        <v>23</v>
      </c>
      <c r="L4431" t="s">
        <v>240</v>
      </c>
      <c r="M4431" t="s">
        <v>24</v>
      </c>
      <c r="N4431" t="s">
        <v>35</v>
      </c>
      <c r="O4431" t="s">
        <v>26</v>
      </c>
      <c r="P4431" t="s">
        <v>27</v>
      </c>
      <c r="Q4431" t="s">
        <v>28</v>
      </c>
      <c r="R4431" t="s">
        <v>29</v>
      </c>
      <c r="S4431" t="s">
        <v>793</v>
      </c>
      <c r="T4431">
        <f>_xlfn.XLOOKUP(X4431,Hoja2!D:D,Hoja2!A:A)</f>
        <v>52342867</v>
      </c>
      <c r="U4431" t="str">
        <f>_xlfn.XLOOKUP(X4431,Hoja2!D:D,Hoja2!B:B)</f>
        <v>NELSON JAVIER MORERA RINCON</v>
      </c>
      <c r="V4431" t="str">
        <f>_xlfn.XLOOKUP(X4431,Hoja2!D:D,Hoja2!C:C)</f>
        <v>PREGRADO</v>
      </c>
      <c r="W4431" s="9">
        <f>IF(V4431="pregrado",31,
IF(V4431="posgrados",31,
IF(V4431="rEINTEGROS",7,
IF(V4431="BIT",90,
IF(V4431="OP GRADO - INGLÉS",17,"")))))</f>
        <v>31</v>
      </c>
      <c r="X4431" t="s">
        <v>4047</v>
      </c>
    </row>
    <row r="4432" spans="1:24" x14ac:dyDescent="0.3">
      <c r="A4432" s="4">
        <v>46126</v>
      </c>
      <c r="B4432">
        <v>20131008</v>
      </c>
      <c r="C4432" t="s">
        <v>19</v>
      </c>
      <c r="D4432">
        <v>614397</v>
      </c>
      <c r="E4432" t="s">
        <v>20</v>
      </c>
      <c r="F4432">
        <v>1054549609</v>
      </c>
      <c r="G4432" t="s">
        <v>4576</v>
      </c>
      <c r="H4432">
        <v>100250611</v>
      </c>
      <c r="I4432">
        <v>202632</v>
      </c>
      <c r="J4432">
        <v>1054549609</v>
      </c>
      <c r="K4432" t="s">
        <v>83</v>
      </c>
      <c r="L4432" t="s">
        <v>51</v>
      </c>
      <c r="M4432" t="s">
        <v>24</v>
      </c>
      <c r="N4432" t="s">
        <v>25</v>
      </c>
      <c r="O4432" t="s">
        <v>26</v>
      </c>
      <c r="P4432" t="s">
        <v>27</v>
      </c>
      <c r="Q4432" t="s">
        <v>28</v>
      </c>
      <c r="R4432" t="s">
        <v>29</v>
      </c>
      <c r="S4432" t="s">
        <v>793</v>
      </c>
      <c r="T4432">
        <f>_xlfn.XLOOKUP(X4432,Hoja2!D:D,Hoja2!A:A)</f>
        <v>1001315142</v>
      </c>
      <c r="U4432" t="str">
        <f>_xlfn.XLOOKUP(X4432,Hoja2!D:D,Hoja2!B:B)</f>
        <v>CATALINA PACHECO BURGOS</v>
      </c>
      <c r="V4432" t="str">
        <f>_xlfn.XLOOKUP(X4432,Hoja2!D:D,Hoja2!C:C)</f>
        <v>PREGRADO</v>
      </c>
      <c r="W4432" s="9">
        <f>IF(V4432="pregrado",31,
IF(V4432="posgrados",31,
IF(V4432="rEINTEGROS",7,
IF(V4432="BIT",90,
IF(V4432="OP GRADO - INGLÉS",17,"")))))</f>
        <v>31</v>
      </c>
      <c r="X4432" t="s">
        <v>4064</v>
      </c>
    </row>
    <row r="4433" spans="1:24" x14ac:dyDescent="0.3">
      <c r="A4433" s="4">
        <v>46125</v>
      </c>
      <c r="B4433">
        <v>20130796</v>
      </c>
      <c r="C4433" t="s">
        <v>19</v>
      </c>
      <c r="D4433">
        <v>614398</v>
      </c>
      <c r="E4433" t="s">
        <v>20</v>
      </c>
      <c r="F4433">
        <v>1123628801</v>
      </c>
      <c r="G4433" t="s">
        <v>4526</v>
      </c>
      <c r="H4433">
        <v>100250612</v>
      </c>
      <c r="I4433">
        <v>202612</v>
      </c>
      <c r="J4433">
        <v>1123628801</v>
      </c>
      <c r="K4433" t="s">
        <v>23</v>
      </c>
      <c r="L4433" t="s">
        <v>204</v>
      </c>
      <c r="M4433" t="s">
        <v>24</v>
      </c>
      <c r="N4433" t="s">
        <v>35</v>
      </c>
      <c r="O4433" t="s">
        <v>26</v>
      </c>
      <c r="P4433" t="s">
        <v>27</v>
      </c>
      <c r="Q4433" t="s">
        <v>28</v>
      </c>
      <c r="R4433" t="s">
        <v>29</v>
      </c>
      <c r="S4433" t="s">
        <v>793</v>
      </c>
      <c r="T4433">
        <f>_xlfn.XLOOKUP(X4433,Hoja2!D:D,Hoja2!A:A)</f>
        <v>1118531834</v>
      </c>
      <c r="U4433" t="str">
        <f>_xlfn.XLOOKUP(X4433,Hoja2!D:D,Hoja2!B:B)</f>
        <v>HEIDY LORENA PRIETO AHUMADA</v>
      </c>
      <c r="V4433" t="str">
        <f>_xlfn.XLOOKUP(X4433,Hoja2!D:D,Hoja2!C:C)</f>
        <v>PREGRADO</v>
      </c>
      <c r="W4433" s="9">
        <f>IF(V4433="pregrado",31,
IF(V4433="posgrados",31,
IF(V4433="rEINTEGROS",7,
IF(V4433="BIT",90,
IF(V4433="OP GRADO - INGLÉS",17,"")))))</f>
        <v>31</v>
      </c>
      <c r="X4433" t="s">
        <v>3996</v>
      </c>
    </row>
    <row r="4434" spans="1:24" x14ac:dyDescent="0.3">
      <c r="A4434" s="4">
        <v>46124</v>
      </c>
      <c r="B4434">
        <v>20130780</v>
      </c>
      <c r="C4434" t="s">
        <v>19</v>
      </c>
      <c r="D4434">
        <v>614412</v>
      </c>
      <c r="E4434" t="s">
        <v>20</v>
      </c>
      <c r="F4434">
        <v>1001780600</v>
      </c>
      <c r="G4434" t="s">
        <v>4520</v>
      </c>
      <c r="H4434">
        <v>100248956</v>
      </c>
      <c r="I4434">
        <v>202632</v>
      </c>
      <c r="J4434">
        <v>1001780600</v>
      </c>
      <c r="K4434" t="s">
        <v>23</v>
      </c>
      <c r="L4434" t="s">
        <v>90</v>
      </c>
      <c r="M4434" t="s">
        <v>24</v>
      </c>
      <c r="N4434" t="s">
        <v>35</v>
      </c>
      <c r="O4434" t="s">
        <v>26</v>
      </c>
      <c r="P4434" t="s">
        <v>27</v>
      </c>
      <c r="Q4434" t="s">
        <v>28</v>
      </c>
      <c r="R4434" t="s">
        <v>29</v>
      </c>
      <c r="S4434" t="s">
        <v>793</v>
      </c>
      <c r="T4434">
        <f>_xlfn.XLOOKUP(X4434,Hoja2!D:D,Hoja2!A:A)</f>
        <v>1023929839</v>
      </c>
      <c r="U4434" t="str">
        <f>_xlfn.XLOOKUP(X4434,Hoja2!D:D,Hoja2!B:B)</f>
        <v>PAOLA ANDREA CALDERON CETINA</v>
      </c>
      <c r="V4434" t="str">
        <f>_xlfn.XLOOKUP(X4434,Hoja2!D:D,Hoja2!C:C)</f>
        <v>PREGRADO</v>
      </c>
      <c r="W4434" s="9">
        <f>IF(V4434="pregrado",31,
IF(V4434="posgrados",31,
IF(V4434="rEINTEGROS",7,
IF(V4434="BIT",90,
IF(V4434="OP GRADO - INGLÉS",17,"")))))</f>
        <v>31</v>
      </c>
      <c r="X4434" t="s">
        <v>3932</v>
      </c>
    </row>
    <row r="4435" spans="1:24" x14ac:dyDescent="0.3">
      <c r="A4435" s="4">
        <v>46124</v>
      </c>
      <c r="B4435">
        <v>20130776</v>
      </c>
      <c r="C4435" t="s">
        <v>19</v>
      </c>
      <c r="D4435">
        <v>614418</v>
      </c>
      <c r="E4435" t="s">
        <v>20</v>
      </c>
      <c r="F4435">
        <v>12930422</v>
      </c>
      <c r="G4435" t="s">
        <v>4517</v>
      </c>
      <c r="H4435">
        <v>100096235</v>
      </c>
      <c r="I4435">
        <v>202632</v>
      </c>
      <c r="J4435">
        <v>1087702255</v>
      </c>
      <c r="K4435" t="s">
        <v>23</v>
      </c>
      <c r="L4435" t="s">
        <v>240</v>
      </c>
      <c r="M4435" t="s">
        <v>24</v>
      </c>
      <c r="N4435" t="s">
        <v>35</v>
      </c>
      <c r="O4435" t="s">
        <v>26</v>
      </c>
      <c r="P4435" t="s">
        <v>27</v>
      </c>
      <c r="Q4435" t="s">
        <v>28</v>
      </c>
      <c r="R4435" t="s">
        <v>29</v>
      </c>
      <c r="S4435" t="s">
        <v>793</v>
      </c>
      <c r="T4435">
        <f>_xlfn.XLOOKUP(X4435,Hoja2!D:D,Hoja2!A:A)</f>
        <v>52342867</v>
      </c>
      <c r="U4435" t="str">
        <f>_xlfn.XLOOKUP(X4435,Hoja2!D:D,Hoja2!B:B)</f>
        <v>NELSON JAVIER MORERA RINCON</v>
      </c>
      <c r="V4435" t="str">
        <f>_xlfn.XLOOKUP(X4435,Hoja2!D:D,Hoja2!C:C)</f>
        <v>PREGRADO</v>
      </c>
      <c r="W4435" s="9">
        <f>IF(V4435="pregrado",31,
IF(V4435="posgrados",31,
IF(V4435="rEINTEGROS",7,
IF(V4435="BIT",90,
IF(V4435="OP GRADO - INGLÉS",17,"")))))</f>
        <v>31</v>
      </c>
      <c r="X4435" t="s">
        <v>4047</v>
      </c>
    </row>
    <row r="4436" spans="1:24" x14ac:dyDescent="0.3">
      <c r="A4436" s="4">
        <v>46128</v>
      </c>
      <c r="B4436">
        <v>20131364</v>
      </c>
      <c r="C4436" t="s">
        <v>19</v>
      </c>
      <c r="D4436">
        <v>614426</v>
      </c>
      <c r="E4436" t="s">
        <v>20</v>
      </c>
      <c r="F4436">
        <v>1077227975</v>
      </c>
      <c r="G4436" t="s">
        <v>4651</v>
      </c>
      <c r="H4436">
        <v>100250644</v>
      </c>
      <c r="I4436">
        <v>202632</v>
      </c>
      <c r="J4436">
        <v>1077227975</v>
      </c>
      <c r="K4436" t="s">
        <v>23</v>
      </c>
      <c r="L4436" t="s">
        <v>90</v>
      </c>
      <c r="M4436" t="s">
        <v>24</v>
      </c>
      <c r="N4436" t="s">
        <v>35</v>
      </c>
      <c r="O4436" t="s">
        <v>26</v>
      </c>
      <c r="P4436" t="s">
        <v>27</v>
      </c>
      <c r="Q4436" t="s">
        <v>28</v>
      </c>
      <c r="R4436" t="s">
        <v>29</v>
      </c>
      <c r="S4436" t="s">
        <v>793</v>
      </c>
      <c r="T4436">
        <f>_xlfn.XLOOKUP(X4436,Hoja2!D:D,Hoja2!A:A)</f>
        <v>10306009131</v>
      </c>
      <c r="U4436" t="str">
        <f>_xlfn.XLOOKUP(X4436,Hoja2!D:D,Hoja2!B:B)</f>
        <v>PAOLA ANDREA CALDERON CETINA</v>
      </c>
      <c r="V4436" t="str">
        <f>_xlfn.XLOOKUP(X4436,Hoja2!D:D,Hoja2!C:C)</f>
        <v>PREGRADO</v>
      </c>
      <c r="W4436" s="9">
        <f>IF(V4436="pregrado",31,
IF(V4436="posgrados",31,
IF(V4436="rEINTEGROS",7,
IF(V4436="BIT",90,
IF(V4436="OP GRADO - INGLÉS",17,"")))))</f>
        <v>31</v>
      </c>
      <c r="X4436" t="s">
        <v>3978</v>
      </c>
    </row>
    <row r="4437" spans="1:24" x14ac:dyDescent="0.3">
      <c r="A4437" s="4">
        <v>46125</v>
      </c>
      <c r="B4437">
        <v>20130908</v>
      </c>
      <c r="C4437" t="s">
        <v>19</v>
      </c>
      <c r="D4437">
        <v>614427</v>
      </c>
      <c r="E4437" t="s">
        <v>20</v>
      </c>
      <c r="F4437">
        <v>1088017119</v>
      </c>
      <c r="G4437" t="s">
        <v>4556</v>
      </c>
      <c r="H4437">
        <v>200270737</v>
      </c>
      <c r="I4437">
        <v>202632</v>
      </c>
      <c r="J4437">
        <v>1088017119</v>
      </c>
      <c r="K4437" t="s">
        <v>23</v>
      </c>
      <c r="L4437" t="s">
        <v>219</v>
      </c>
      <c r="M4437" t="s">
        <v>24</v>
      </c>
      <c r="N4437" t="s">
        <v>25</v>
      </c>
      <c r="O4437" t="s">
        <v>26</v>
      </c>
      <c r="P4437" t="s">
        <v>27</v>
      </c>
      <c r="Q4437" t="s">
        <v>28</v>
      </c>
      <c r="R4437" t="s">
        <v>29</v>
      </c>
      <c r="S4437" t="s">
        <v>793</v>
      </c>
      <c r="T4437">
        <f>_xlfn.XLOOKUP(X4437,Hoja2!D:D,Hoja2!A:A)</f>
        <v>10245841021</v>
      </c>
      <c r="U4437" t="str">
        <f>_xlfn.XLOOKUP(X4437,Hoja2!D:D,Hoja2!B:B)</f>
        <v>PAOLA ANDREA CALDERON CETINA</v>
      </c>
      <c r="V4437" t="str">
        <f>_xlfn.XLOOKUP(X4437,Hoja2!D:D,Hoja2!C:C)</f>
        <v>PREGRADO</v>
      </c>
      <c r="W4437" s="9">
        <f>IF(V4437="pregrado",31,
IF(V4437="posgrados",31,
IF(V4437="rEINTEGROS",7,
IF(V4437="BIT",90,
IF(V4437="OP GRADO - INGLÉS",17,"")))))</f>
        <v>31</v>
      </c>
      <c r="X4437" t="s">
        <v>3987</v>
      </c>
    </row>
    <row r="4438" spans="1:24" x14ac:dyDescent="0.3">
      <c r="A4438" s="4">
        <v>46127</v>
      </c>
      <c r="B4438">
        <v>20131221</v>
      </c>
      <c r="C4438" t="s">
        <v>19</v>
      </c>
      <c r="D4438">
        <v>614432</v>
      </c>
      <c r="E4438" t="s">
        <v>20</v>
      </c>
      <c r="F4438">
        <v>1106774813</v>
      </c>
      <c r="G4438" t="s">
        <v>4628</v>
      </c>
      <c r="H4438">
        <v>200271018</v>
      </c>
      <c r="I4438">
        <v>202632</v>
      </c>
      <c r="J4438">
        <v>1106775818</v>
      </c>
      <c r="K4438" t="s">
        <v>23</v>
      </c>
      <c r="L4438" t="s">
        <v>3922</v>
      </c>
      <c r="M4438" t="s">
        <v>24</v>
      </c>
      <c r="N4438" t="s">
        <v>35</v>
      </c>
      <c r="O4438" t="s">
        <v>26</v>
      </c>
      <c r="P4438" t="s">
        <v>27</v>
      </c>
      <c r="Q4438" t="s">
        <v>28</v>
      </c>
      <c r="R4438" t="s">
        <v>29</v>
      </c>
      <c r="S4438" t="s">
        <v>793</v>
      </c>
      <c r="T4438">
        <f>_xlfn.XLOOKUP(X4438,Hoja2!D:D,Hoja2!A:A)</f>
        <v>39658730</v>
      </c>
      <c r="U4438" t="str">
        <f>_xlfn.XLOOKUP(X4438,Hoja2!D:D,Hoja2!B:B)</f>
        <v>MARSHIA MILENA JIMéNEZ GóMEZ</v>
      </c>
      <c r="V4438" t="str">
        <f>_xlfn.XLOOKUP(X4438,Hoja2!D:D,Hoja2!C:C)</f>
        <v>PREGRADO</v>
      </c>
      <c r="W4438" s="9">
        <f>IF(V4438="pregrado",31,
IF(V4438="posgrados",31,
IF(V4438="rEINTEGROS",7,
IF(V4438="BIT",90,
IF(V4438="OP GRADO - INGLÉS",17,"")))))</f>
        <v>31</v>
      </c>
      <c r="X4438" t="s">
        <v>4003</v>
      </c>
    </row>
    <row r="4439" spans="1:24" x14ac:dyDescent="0.3">
      <c r="A4439" s="4">
        <v>46125</v>
      </c>
      <c r="B4439">
        <v>20130842</v>
      </c>
      <c r="C4439" t="s">
        <v>19</v>
      </c>
      <c r="D4439">
        <v>614433</v>
      </c>
      <c r="E4439" t="s">
        <v>20</v>
      </c>
      <c r="F4439">
        <v>1034322925</v>
      </c>
      <c r="G4439" t="s">
        <v>4535</v>
      </c>
      <c r="H4439">
        <v>200270959</v>
      </c>
      <c r="I4439">
        <v>202632</v>
      </c>
      <c r="J4439">
        <v>1034322925</v>
      </c>
      <c r="K4439" t="s">
        <v>23</v>
      </c>
      <c r="L4439" t="s">
        <v>219</v>
      </c>
      <c r="M4439" t="s">
        <v>24</v>
      </c>
      <c r="N4439" t="s">
        <v>35</v>
      </c>
      <c r="O4439" t="s">
        <v>26</v>
      </c>
      <c r="P4439" t="s">
        <v>27</v>
      </c>
      <c r="Q4439" t="s">
        <v>28</v>
      </c>
      <c r="R4439" t="s">
        <v>29</v>
      </c>
      <c r="S4439" t="s">
        <v>793</v>
      </c>
      <c r="T4439">
        <f>_xlfn.XLOOKUP(X4439,Hoja2!D:D,Hoja2!A:A)</f>
        <v>1057586591</v>
      </c>
      <c r="U4439" t="str">
        <f>_xlfn.XLOOKUP(X4439,Hoja2!D:D,Hoja2!B:B)</f>
        <v>MARSHIA MILENA JIMéNEZ GóMEZ</v>
      </c>
      <c r="V4439" t="str">
        <f>_xlfn.XLOOKUP(X4439,Hoja2!D:D,Hoja2!C:C)</f>
        <v>PREGRADO</v>
      </c>
      <c r="W4439" s="9">
        <f>IF(V4439="pregrado",31,
IF(V4439="posgrados",31,
IF(V4439="rEINTEGROS",7,
IF(V4439="BIT",90,
IF(V4439="OP GRADO - INGLÉS",17,"")))))</f>
        <v>31</v>
      </c>
      <c r="X4439" t="s">
        <v>3988</v>
      </c>
    </row>
    <row r="4440" spans="1:24" x14ac:dyDescent="0.3">
      <c r="A4440" s="4">
        <v>46127</v>
      </c>
      <c r="B4440">
        <v>20131122</v>
      </c>
      <c r="C4440" t="s">
        <v>19</v>
      </c>
      <c r="D4440">
        <v>614438</v>
      </c>
      <c r="E4440" t="s">
        <v>20</v>
      </c>
      <c r="F4440">
        <v>1076383364</v>
      </c>
      <c r="G4440" t="s">
        <v>4605</v>
      </c>
      <c r="H4440">
        <v>200057025</v>
      </c>
      <c r="I4440">
        <v>202632</v>
      </c>
      <c r="J4440">
        <v>1076383364</v>
      </c>
      <c r="K4440" t="s">
        <v>33</v>
      </c>
      <c r="L4440" t="s">
        <v>119</v>
      </c>
      <c r="M4440" t="s">
        <v>24</v>
      </c>
      <c r="N4440" t="s">
        <v>35</v>
      </c>
      <c r="O4440" t="s">
        <v>26</v>
      </c>
      <c r="P4440" t="s">
        <v>27</v>
      </c>
      <c r="Q4440" t="s">
        <v>28</v>
      </c>
      <c r="R4440" t="s">
        <v>29</v>
      </c>
      <c r="S4440" t="s">
        <v>793</v>
      </c>
      <c r="T4440">
        <f>_xlfn.XLOOKUP(X4440,Hoja2!D:D,Hoja2!A:A)</f>
        <v>1023975276</v>
      </c>
      <c r="U4440" t="str">
        <f>_xlfn.XLOOKUP(X4440,Hoja2!D:D,Hoja2!B:B)</f>
        <v>MARSHIA MILENA JIMéNEZ GóMEZ</v>
      </c>
      <c r="V4440" t="str">
        <f>_xlfn.XLOOKUP(X4440,Hoja2!D:D,Hoja2!C:C)</f>
        <v>PREGRADO</v>
      </c>
      <c r="W4440" s="9">
        <f>IF(V4440="pregrado",31,
IF(V4440="posgrados",31,
IF(V4440="rEINTEGROS",7,
IF(V4440="BIT",90,
IF(V4440="OP GRADO - INGLÉS",17,"")))))</f>
        <v>31</v>
      </c>
      <c r="X4440" t="s">
        <v>3962</v>
      </c>
    </row>
    <row r="4441" spans="1:24" x14ac:dyDescent="0.3">
      <c r="A4441" s="4">
        <v>46129</v>
      </c>
      <c r="B4441">
        <v>20131487</v>
      </c>
      <c r="C4441" t="s">
        <v>19</v>
      </c>
      <c r="D4441">
        <v>614462</v>
      </c>
      <c r="E4441" t="s">
        <v>20</v>
      </c>
      <c r="F4441">
        <v>1082414768</v>
      </c>
      <c r="G4441" t="s">
        <v>4682</v>
      </c>
      <c r="H4441">
        <v>200271052</v>
      </c>
      <c r="I4441">
        <v>202632</v>
      </c>
      <c r="J4441">
        <v>1082414768</v>
      </c>
      <c r="K4441" t="s">
        <v>33</v>
      </c>
      <c r="L4441" t="s">
        <v>101</v>
      </c>
      <c r="M4441" t="s">
        <v>24</v>
      </c>
      <c r="N4441" t="s">
        <v>4198</v>
      </c>
      <c r="O4441" t="s">
        <v>26</v>
      </c>
      <c r="P4441" t="s">
        <v>4135</v>
      </c>
      <c r="Q4441" t="s">
        <v>28</v>
      </c>
      <c r="R4441" t="s">
        <v>29</v>
      </c>
      <c r="S4441" t="s">
        <v>793</v>
      </c>
      <c r="T4441">
        <f>_xlfn.XLOOKUP(X4441,Hoja2!D:D,Hoja2!A:A)</f>
        <v>1010081108</v>
      </c>
      <c r="U4441" t="str">
        <f>_xlfn.XLOOKUP(X4441,Hoja2!D:D,Hoja2!B:B)</f>
        <v>HEIDY LORENA PRIETO AHUMADA</v>
      </c>
      <c r="V4441" t="str">
        <f>_xlfn.XLOOKUP(X4441,Hoja2!D:D,Hoja2!C:C)</f>
        <v>PREGRADO</v>
      </c>
      <c r="W4441" s="9">
        <f>IF(V4441="pregrado",31,
IF(V4441="posgrados",31,
IF(V4441="rEINTEGROS",7,
IF(V4441="BIT",90,
IF(V4441="OP GRADO - INGLÉS",17,"")))))</f>
        <v>31</v>
      </c>
      <c r="X4441" t="s">
        <v>4009</v>
      </c>
    </row>
    <row r="4442" spans="1:24" x14ac:dyDescent="0.3">
      <c r="A4442" s="4">
        <v>46125</v>
      </c>
      <c r="B4442">
        <v>20130885</v>
      </c>
      <c r="C4442" t="s">
        <v>19</v>
      </c>
      <c r="D4442">
        <v>614463</v>
      </c>
      <c r="E4442" t="s">
        <v>20</v>
      </c>
      <c r="F4442">
        <v>39691745</v>
      </c>
      <c r="G4442" t="s">
        <v>4548</v>
      </c>
      <c r="H4442">
        <v>100250688</v>
      </c>
      <c r="I4442">
        <v>202632</v>
      </c>
      <c r="J4442">
        <v>1075678460</v>
      </c>
      <c r="K4442" t="s">
        <v>74</v>
      </c>
      <c r="L4442" t="s">
        <v>207</v>
      </c>
      <c r="M4442" t="s">
        <v>24</v>
      </c>
      <c r="N4442" t="s">
        <v>35</v>
      </c>
      <c r="O4442" t="s">
        <v>26</v>
      </c>
      <c r="P4442" t="s">
        <v>27</v>
      </c>
      <c r="Q4442" t="s">
        <v>28</v>
      </c>
      <c r="R4442" t="s">
        <v>29</v>
      </c>
      <c r="S4442" t="s">
        <v>793</v>
      </c>
      <c r="T4442">
        <f>_xlfn.XLOOKUP(X4442,Hoja2!D:D,Hoja2!A:A)</f>
        <v>53178431</v>
      </c>
      <c r="U4442" t="str">
        <f>_xlfn.XLOOKUP(X4442,Hoja2!D:D,Hoja2!B:B)</f>
        <v>HEIDY LORENA PRIETO AHUMADA</v>
      </c>
      <c r="V4442" t="str">
        <f>_xlfn.XLOOKUP(X4442,Hoja2!D:D,Hoja2!C:C)</f>
        <v>PREGRADO</v>
      </c>
      <c r="W4442" s="9">
        <f>IF(V4442="pregrado",31,
IF(V4442="posgrados",31,
IF(V4442="rEINTEGROS",7,
IF(V4442="BIT",90,
IF(V4442="OP GRADO - INGLÉS",17,"")))))</f>
        <v>31</v>
      </c>
      <c r="X4442" t="s">
        <v>3949</v>
      </c>
    </row>
    <row r="4443" spans="1:24" x14ac:dyDescent="0.3">
      <c r="A4443" s="4">
        <v>46125</v>
      </c>
      <c r="B4443">
        <v>20130898</v>
      </c>
      <c r="C4443" t="s">
        <v>19</v>
      </c>
      <c r="D4443">
        <v>614467</v>
      </c>
      <c r="E4443" t="s">
        <v>20</v>
      </c>
      <c r="F4443">
        <v>18147210</v>
      </c>
      <c r="G4443" t="s">
        <v>4553</v>
      </c>
      <c r="H4443">
        <v>100250692</v>
      </c>
      <c r="I4443">
        <v>202632</v>
      </c>
      <c r="J4443">
        <v>18147210</v>
      </c>
      <c r="K4443" t="s">
        <v>33</v>
      </c>
      <c r="L4443" t="s">
        <v>127</v>
      </c>
      <c r="M4443" t="s">
        <v>24</v>
      </c>
      <c r="N4443" t="s">
        <v>25</v>
      </c>
      <c r="O4443" t="s">
        <v>26</v>
      </c>
      <c r="P4443" t="s">
        <v>27</v>
      </c>
      <c r="Q4443" t="s">
        <v>28</v>
      </c>
      <c r="R4443" t="s">
        <v>29</v>
      </c>
      <c r="S4443" t="s">
        <v>793</v>
      </c>
      <c r="T4443">
        <f>_xlfn.XLOOKUP(X4443,Hoja2!D:D,Hoja2!A:A)</f>
        <v>10306009131</v>
      </c>
      <c r="U4443" t="str">
        <f>_xlfn.XLOOKUP(X4443,Hoja2!D:D,Hoja2!B:B)</f>
        <v>PAOLA ANDREA CALDERON CETINA</v>
      </c>
      <c r="V4443" t="str">
        <f>_xlfn.XLOOKUP(X4443,Hoja2!D:D,Hoja2!C:C)</f>
        <v>PREGRADO</v>
      </c>
      <c r="W4443" s="9">
        <f>IF(V4443="pregrado",31,
IF(V4443="posgrados",31,
IF(V4443="rEINTEGROS",7,
IF(V4443="BIT",90,
IF(V4443="OP GRADO - INGLÉS",17,"")))))</f>
        <v>31</v>
      </c>
      <c r="X4443" t="s">
        <v>3978</v>
      </c>
    </row>
    <row r="4444" spans="1:24" x14ac:dyDescent="0.3">
      <c r="A4444" s="4">
        <v>46127</v>
      </c>
      <c r="B4444">
        <v>20131125</v>
      </c>
      <c r="C4444" t="s">
        <v>19</v>
      </c>
      <c r="D4444">
        <v>614476</v>
      </c>
      <c r="E4444" t="s">
        <v>20</v>
      </c>
      <c r="F4444">
        <v>1032449035</v>
      </c>
      <c r="G4444" t="s">
        <v>4606</v>
      </c>
      <c r="H4444">
        <v>200271049</v>
      </c>
      <c r="I4444">
        <v>202632</v>
      </c>
      <c r="J4444">
        <v>1032449035</v>
      </c>
      <c r="K4444" t="s">
        <v>23</v>
      </c>
      <c r="L4444" t="s">
        <v>3922</v>
      </c>
      <c r="M4444" t="s">
        <v>24</v>
      </c>
      <c r="N4444" t="s">
        <v>35</v>
      </c>
      <c r="O4444" t="s">
        <v>26</v>
      </c>
      <c r="P4444" t="s">
        <v>27</v>
      </c>
      <c r="Q4444" t="s">
        <v>28</v>
      </c>
      <c r="R4444" t="s">
        <v>29</v>
      </c>
      <c r="S4444" t="s">
        <v>793</v>
      </c>
      <c r="T4444">
        <f>_xlfn.XLOOKUP(X4444,Hoja2!D:D,Hoja2!A:A)</f>
        <v>1023367706</v>
      </c>
      <c r="U4444" t="str">
        <f>_xlfn.XLOOKUP(X4444,Hoja2!D:D,Hoja2!B:B)</f>
        <v>MARSHIA MILENA JIMéNEZ GóMEZ</v>
      </c>
      <c r="V4444" t="str">
        <f>_xlfn.XLOOKUP(X4444,Hoja2!D:D,Hoja2!C:C)</f>
        <v>PREGRADO</v>
      </c>
      <c r="W4444" s="9">
        <f>IF(V4444="pregrado",31,
IF(V4444="posgrados",31,
IF(V4444="rEINTEGROS",7,
IF(V4444="BIT",90,
IF(V4444="OP GRADO - INGLÉS",17,"")))))</f>
        <v>31</v>
      </c>
      <c r="X4444" t="s">
        <v>4039</v>
      </c>
    </row>
    <row r="4445" spans="1:24" x14ac:dyDescent="0.3">
      <c r="A4445" s="4">
        <v>46125</v>
      </c>
      <c r="B4445">
        <v>20130892</v>
      </c>
      <c r="C4445" t="s">
        <v>19</v>
      </c>
      <c r="D4445">
        <v>614485</v>
      </c>
      <c r="E4445" t="s">
        <v>20</v>
      </c>
      <c r="F4445">
        <v>1003630392</v>
      </c>
      <c r="G4445" t="s">
        <v>4552</v>
      </c>
      <c r="H4445">
        <v>100250713</v>
      </c>
      <c r="I4445">
        <v>202632</v>
      </c>
      <c r="J4445">
        <v>1003630392</v>
      </c>
      <c r="K4445" t="s">
        <v>33</v>
      </c>
      <c r="L4445" t="s">
        <v>127</v>
      </c>
      <c r="M4445" t="s">
        <v>24</v>
      </c>
      <c r="N4445" t="s">
        <v>25</v>
      </c>
      <c r="O4445" t="s">
        <v>26</v>
      </c>
      <c r="P4445" t="s">
        <v>27</v>
      </c>
      <c r="Q4445" t="s">
        <v>28</v>
      </c>
      <c r="R4445" t="s">
        <v>29</v>
      </c>
      <c r="S4445" t="s">
        <v>793</v>
      </c>
      <c r="T4445">
        <f>_xlfn.XLOOKUP(X4445,Hoja2!D:D,Hoja2!A:A)</f>
        <v>10306009131</v>
      </c>
      <c r="U4445" t="str">
        <f>_xlfn.XLOOKUP(X4445,Hoja2!D:D,Hoja2!B:B)</f>
        <v>PAOLA ANDREA CALDERON CETINA</v>
      </c>
      <c r="V4445" t="str">
        <f>_xlfn.XLOOKUP(X4445,Hoja2!D:D,Hoja2!C:C)</f>
        <v>PREGRADO</v>
      </c>
      <c r="W4445" s="9">
        <f>IF(V4445="pregrado",31,
IF(V4445="posgrados",31,
IF(V4445="rEINTEGROS",7,
IF(V4445="BIT",90,
IF(V4445="OP GRADO - INGLÉS",17,"")))))</f>
        <v>31</v>
      </c>
      <c r="X4445" t="s">
        <v>3978</v>
      </c>
    </row>
    <row r="4446" spans="1:24" x14ac:dyDescent="0.3">
      <c r="A4446" s="4">
        <v>46125</v>
      </c>
      <c r="B4446">
        <v>20130932</v>
      </c>
      <c r="C4446" t="s">
        <v>19</v>
      </c>
      <c r="D4446">
        <v>614486</v>
      </c>
      <c r="E4446" t="s">
        <v>20</v>
      </c>
      <c r="F4446">
        <v>1192800101</v>
      </c>
      <c r="G4446" t="s">
        <v>4560</v>
      </c>
      <c r="H4446">
        <v>200270601</v>
      </c>
      <c r="I4446">
        <v>202632</v>
      </c>
      <c r="J4446">
        <v>1192800101</v>
      </c>
      <c r="K4446" t="s">
        <v>23</v>
      </c>
      <c r="L4446" t="s">
        <v>101</v>
      </c>
      <c r="M4446" t="s">
        <v>24</v>
      </c>
      <c r="N4446" t="s">
        <v>35</v>
      </c>
      <c r="O4446" t="s">
        <v>26</v>
      </c>
      <c r="P4446" t="s">
        <v>27</v>
      </c>
      <c r="Q4446" t="s">
        <v>28</v>
      </c>
      <c r="R4446" t="s">
        <v>29</v>
      </c>
      <c r="S4446" t="s">
        <v>793</v>
      </c>
      <c r="T4446">
        <f>_xlfn.XLOOKUP(X4446,Hoja2!D:D,Hoja2!A:A)</f>
        <v>1023975276</v>
      </c>
      <c r="U4446" t="str">
        <f>_xlfn.XLOOKUP(X4446,Hoja2!D:D,Hoja2!B:B)</f>
        <v>MARSHIA MILENA JIMéNEZ GóMEZ</v>
      </c>
      <c r="V4446" t="str">
        <f>_xlfn.XLOOKUP(X4446,Hoja2!D:D,Hoja2!C:C)</f>
        <v>PREGRADO</v>
      </c>
      <c r="W4446" s="9">
        <f>IF(V4446="pregrado",31,
IF(V4446="posgrados",31,
IF(V4446="rEINTEGROS",7,
IF(V4446="BIT",90,
IF(V4446="OP GRADO - INGLÉS",17,"")))))</f>
        <v>31</v>
      </c>
      <c r="X4446" t="s">
        <v>3962</v>
      </c>
    </row>
    <row r="4447" spans="1:24" x14ac:dyDescent="0.3">
      <c r="A4447" s="4">
        <v>46127</v>
      </c>
      <c r="B4447">
        <v>20131169</v>
      </c>
      <c r="C4447" t="s">
        <v>19</v>
      </c>
      <c r="D4447">
        <v>614491</v>
      </c>
      <c r="E4447" t="s">
        <v>20</v>
      </c>
      <c r="F4447">
        <v>1105391253</v>
      </c>
      <c r="G4447" t="s">
        <v>4615</v>
      </c>
      <c r="H4447">
        <v>100250578</v>
      </c>
      <c r="I4447">
        <v>202632</v>
      </c>
      <c r="J4447">
        <v>1105391253</v>
      </c>
      <c r="K4447" t="s">
        <v>33</v>
      </c>
      <c r="L4447" t="s">
        <v>127</v>
      </c>
      <c r="M4447" t="s">
        <v>24</v>
      </c>
      <c r="N4447" t="s">
        <v>25</v>
      </c>
      <c r="O4447" t="s">
        <v>26</v>
      </c>
      <c r="P4447" t="s">
        <v>27</v>
      </c>
      <c r="Q4447" t="s">
        <v>28</v>
      </c>
      <c r="R4447" t="s">
        <v>29</v>
      </c>
      <c r="S4447" t="s">
        <v>793</v>
      </c>
      <c r="T4447">
        <f>_xlfn.XLOOKUP(X4447,Hoja2!D:D,Hoja2!A:A)</f>
        <v>1026299972</v>
      </c>
      <c r="U4447" t="str">
        <f>_xlfn.XLOOKUP(X4447,Hoja2!D:D,Hoja2!B:B)</f>
        <v>PAOLA ANDREA CALDERON CETINA</v>
      </c>
      <c r="V4447" t="str">
        <f>_xlfn.XLOOKUP(X4447,Hoja2!D:D,Hoja2!C:C)</f>
        <v>PREGRADO</v>
      </c>
      <c r="W4447" s="9">
        <f>IF(V4447="pregrado",31,
IF(V4447="posgrados",31,
IF(V4447="rEINTEGROS",7,
IF(V4447="BIT",90,
IF(V4447="OP GRADO - INGLÉS",17,"")))))</f>
        <v>31</v>
      </c>
      <c r="X4447" t="s">
        <v>4052</v>
      </c>
    </row>
    <row r="4448" spans="1:24" x14ac:dyDescent="0.3">
      <c r="A4448" s="4">
        <v>46125</v>
      </c>
      <c r="B4448">
        <v>20130910</v>
      </c>
      <c r="C4448" t="s">
        <v>19</v>
      </c>
      <c r="D4448">
        <v>614497</v>
      </c>
      <c r="E4448" t="s">
        <v>20</v>
      </c>
      <c r="F4448">
        <v>53167944</v>
      </c>
      <c r="G4448" t="s">
        <v>4557</v>
      </c>
      <c r="H4448">
        <v>200266238</v>
      </c>
      <c r="I4448">
        <v>202632</v>
      </c>
      <c r="J4448">
        <v>53167944</v>
      </c>
      <c r="K4448" t="s">
        <v>23</v>
      </c>
      <c r="L4448" t="s">
        <v>3922</v>
      </c>
      <c r="M4448" t="s">
        <v>24</v>
      </c>
      <c r="N4448" t="s">
        <v>35</v>
      </c>
      <c r="O4448" t="s">
        <v>26</v>
      </c>
      <c r="P4448" t="s">
        <v>27</v>
      </c>
      <c r="Q4448" t="s">
        <v>28</v>
      </c>
      <c r="R4448" t="s">
        <v>29</v>
      </c>
      <c r="S4448" t="s">
        <v>793</v>
      </c>
      <c r="T4448">
        <f>_xlfn.XLOOKUP(X4448,Hoja2!D:D,Hoja2!A:A)</f>
        <v>1023367706</v>
      </c>
      <c r="U4448" t="str">
        <f>_xlfn.XLOOKUP(X4448,Hoja2!D:D,Hoja2!B:B)</f>
        <v>MARSHIA MILENA JIMéNEZ GóMEZ</v>
      </c>
      <c r="V4448" t="str">
        <f>_xlfn.XLOOKUP(X4448,Hoja2!D:D,Hoja2!C:C)</f>
        <v>PREGRADO</v>
      </c>
      <c r="W4448" s="9">
        <f>IF(V4448="pregrado",31,
IF(V4448="posgrados",31,
IF(V4448="rEINTEGROS",7,
IF(V4448="BIT",90,
IF(V4448="OP GRADO - INGLÉS",17,"")))))</f>
        <v>31</v>
      </c>
      <c r="X4448" t="s">
        <v>4039</v>
      </c>
    </row>
    <row r="4449" spans="1:24" x14ac:dyDescent="0.3">
      <c r="A4449" s="4">
        <v>46125</v>
      </c>
      <c r="B4449">
        <v>20130840</v>
      </c>
      <c r="C4449" t="s">
        <v>19</v>
      </c>
      <c r="D4449">
        <v>614500</v>
      </c>
      <c r="E4449" t="s">
        <v>20</v>
      </c>
      <c r="F4449">
        <v>1006418766</v>
      </c>
      <c r="G4449" t="s">
        <v>4534</v>
      </c>
      <c r="H4449">
        <v>100250626</v>
      </c>
      <c r="I4449">
        <v>202632</v>
      </c>
      <c r="J4449">
        <v>1006418766</v>
      </c>
      <c r="K4449" t="s">
        <v>33</v>
      </c>
      <c r="L4449" t="s">
        <v>240</v>
      </c>
      <c r="M4449" t="s">
        <v>24</v>
      </c>
      <c r="N4449" t="s">
        <v>25</v>
      </c>
      <c r="O4449" t="s">
        <v>26</v>
      </c>
      <c r="P4449" t="s">
        <v>27</v>
      </c>
      <c r="Q4449" t="s">
        <v>28</v>
      </c>
      <c r="R4449" t="s">
        <v>29</v>
      </c>
      <c r="S4449" t="s">
        <v>793</v>
      </c>
      <c r="T4449">
        <f>_xlfn.XLOOKUP(X4449,Hoja2!D:D,Hoja2!A:A)</f>
        <v>1019115186</v>
      </c>
      <c r="U4449" t="str">
        <f>_xlfn.XLOOKUP(X4449,Hoja2!D:D,Hoja2!B:B)</f>
        <v>HEIDY LORENA PRIETO AHUMADA</v>
      </c>
      <c r="V4449" t="str">
        <f>_xlfn.XLOOKUP(X4449,Hoja2!D:D,Hoja2!C:C)</f>
        <v>PREGRADO</v>
      </c>
      <c r="W4449" s="9">
        <f>IF(V4449="pregrado",31,
IF(V4449="posgrados",31,
IF(V4449="rEINTEGROS",7,
IF(V4449="BIT",90,
IF(V4449="OP GRADO - INGLÉS",17,"")))))</f>
        <v>31</v>
      </c>
      <c r="X4449" t="s">
        <v>4005</v>
      </c>
    </row>
    <row r="4450" spans="1:24" x14ac:dyDescent="0.3">
      <c r="A4450" s="4">
        <v>46125</v>
      </c>
      <c r="B4450">
        <v>20130922</v>
      </c>
      <c r="C4450" t="s">
        <v>19</v>
      </c>
      <c r="D4450">
        <v>614506</v>
      </c>
      <c r="E4450" t="s">
        <v>20</v>
      </c>
      <c r="F4450">
        <v>40384663</v>
      </c>
      <c r="G4450" t="s">
        <v>4559</v>
      </c>
      <c r="H4450">
        <v>100250732</v>
      </c>
      <c r="I4450">
        <v>202632</v>
      </c>
      <c r="J4450">
        <v>1032478075</v>
      </c>
      <c r="K4450" t="s">
        <v>33</v>
      </c>
      <c r="L4450" t="s">
        <v>127</v>
      </c>
      <c r="M4450" t="s">
        <v>24</v>
      </c>
      <c r="N4450" t="s">
        <v>25</v>
      </c>
      <c r="O4450" t="s">
        <v>26</v>
      </c>
      <c r="P4450" t="s">
        <v>27</v>
      </c>
      <c r="Q4450" t="s">
        <v>28</v>
      </c>
      <c r="R4450" t="s">
        <v>29</v>
      </c>
      <c r="S4450" t="s">
        <v>793</v>
      </c>
      <c r="T4450">
        <f>_xlfn.XLOOKUP(X4450,Hoja2!D:D,Hoja2!A:A)</f>
        <v>1015441103</v>
      </c>
      <c r="U4450" t="str">
        <f>_xlfn.XLOOKUP(X4450,Hoja2!D:D,Hoja2!B:B)</f>
        <v>PAOLA ANDREA CALDERON CETINA</v>
      </c>
      <c r="V4450" t="str">
        <f>_xlfn.XLOOKUP(X4450,Hoja2!D:D,Hoja2!C:C)</f>
        <v>PREGRADO</v>
      </c>
      <c r="W4450" s="9">
        <f>IF(V4450="pregrado",31,
IF(V4450="posgrados",31,
IF(V4450="rEINTEGROS",7,
IF(V4450="BIT",90,
IF(V4450="OP GRADO - INGLÉS",17,"")))))</f>
        <v>31</v>
      </c>
      <c r="X4450" t="s">
        <v>3961</v>
      </c>
    </row>
    <row r="4451" spans="1:24" x14ac:dyDescent="0.3">
      <c r="A4451" s="4">
        <v>46127</v>
      </c>
      <c r="B4451">
        <v>20131152</v>
      </c>
      <c r="C4451" t="s">
        <v>19</v>
      </c>
      <c r="D4451">
        <v>614511</v>
      </c>
      <c r="E4451" t="s">
        <v>20</v>
      </c>
      <c r="F4451">
        <v>1216729959</v>
      </c>
      <c r="G4451" t="s">
        <v>4612</v>
      </c>
      <c r="H4451">
        <v>100250740</v>
      </c>
      <c r="I4451">
        <v>202632</v>
      </c>
      <c r="J4451">
        <v>1000534793</v>
      </c>
      <c r="K4451" t="s">
        <v>33</v>
      </c>
      <c r="L4451" t="s">
        <v>32</v>
      </c>
      <c r="M4451" t="s">
        <v>24</v>
      </c>
      <c r="N4451" t="s">
        <v>35</v>
      </c>
      <c r="O4451" t="s">
        <v>26</v>
      </c>
      <c r="P4451" t="s">
        <v>27</v>
      </c>
      <c r="Q4451" t="s">
        <v>28</v>
      </c>
      <c r="R4451" t="s">
        <v>29</v>
      </c>
      <c r="S4451" t="s">
        <v>793</v>
      </c>
      <c r="T4451">
        <f>_xlfn.XLOOKUP(X4451,Hoja2!D:D,Hoja2!A:A)</f>
        <v>1000625316</v>
      </c>
      <c r="U4451" t="str">
        <f>_xlfn.XLOOKUP(X4451,Hoja2!D:D,Hoja2!B:B)</f>
        <v>GINA PAOLA MEDINA FLOREZ</v>
      </c>
      <c r="V4451" t="str">
        <f>_xlfn.XLOOKUP(X4451,Hoja2!D:D,Hoja2!C:C)</f>
        <v>PREGRADO</v>
      </c>
      <c r="W4451" s="9">
        <f>IF(V4451="pregrado",31,
IF(V4451="posgrados",31,
IF(V4451="rEINTEGROS",7,
IF(V4451="BIT",90,
IF(V4451="OP GRADO - INGLÉS",17,"")))))</f>
        <v>31</v>
      </c>
      <c r="X4451" t="s">
        <v>3980</v>
      </c>
    </row>
    <row r="4452" spans="1:24" x14ac:dyDescent="0.3">
      <c r="A4452" s="4">
        <v>46135</v>
      </c>
      <c r="B4452">
        <v>20132015</v>
      </c>
      <c r="C4452" t="s">
        <v>19</v>
      </c>
      <c r="D4452">
        <v>614512</v>
      </c>
      <c r="E4452" t="s">
        <v>20</v>
      </c>
      <c r="F4452">
        <v>1193537873</v>
      </c>
      <c r="G4452" t="s">
        <v>4799</v>
      </c>
      <c r="H4452">
        <v>100250742</v>
      </c>
      <c r="I4452">
        <v>202632</v>
      </c>
      <c r="J4452">
        <v>1193537873</v>
      </c>
      <c r="K4452" t="s">
        <v>33</v>
      </c>
      <c r="L4452" t="s">
        <v>127</v>
      </c>
      <c r="M4452" t="s">
        <v>24</v>
      </c>
      <c r="N4452" t="s">
        <v>35</v>
      </c>
      <c r="O4452" t="s">
        <v>26</v>
      </c>
      <c r="P4452" t="s">
        <v>27</v>
      </c>
      <c r="Q4452" t="s">
        <v>28</v>
      </c>
      <c r="R4452" t="s">
        <v>29</v>
      </c>
      <c r="S4452" t="s">
        <v>793</v>
      </c>
      <c r="T4452">
        <f>_xlfn.XLOOKUP(X4452,Hoja2!D:D,Hoja2!A:A)</f>
        <v>1057582137</v>
      </c>
      <c r="U4452" t="str">
        <f>_xlfn.XLOOKUP(X4452,Hoja2!D:D,Hoja2!B:B)</f>
        <v>Paola Andrea Calderon Cetina</v>
      </c>
      <c r="V4452" t="str">
        <f>_xlfn.XLOOKUP(X4452,Hoja2!D:D,Hoja2!C:C)</f>
        <v>PREGRADO</v>
      </c>
      <c r="W4452" s="9">
        <f>IF(V4452="pregrado",31,
IF(V4452="posgrados",31,
IF(V4452="rEINTEGROS",7,
IF(V4452="BIT",90,
IF(V4452="OP GRADO - INGLÉS",17,"")))))</f>
        <v>31</v>
      </c>
      <c r="X4452" t="s">
        <v>4929</v>
      </c>
    </row>
    <row r="4453" spans="1:24" x14ac:dyDescent="0.3">
      <c r="A4453" s="4">
        <v>46132</v>
      </c>
      <c r="B4453">
        <v>20131647</v>
      </c>
      <c r="C4453" t="s">
        <v>19</v>
      </c>
      <c r="D4453">
        <v>614528</v>
      </c>
      <c r="E4453" t="s">
        <v>20</v>
      </c>
      <c r="F4453">
        <v>1002229488</v>
      </c>
      <c r="G4453" t="s">
        <v>4717</v>
      </c>
      <c r="H4453">
        <v>100250761</v>
      </c>
      <c r="I4453">
        <v>202632</v>
      </c>
      <c r="J4453">
        <v>1002229488</v>
      </c>
      <c r="K4453" t="s">
        <v>33</v>
      </c>
      <c r="L4453" t="s">
        <v>207</v>
      </c>
      <c r="M4453" t="s">
        <v>24</v>
      </c>
      <c r="N4453" t="s">
        <v>25</v>
      </c>
      <c r="O4453" t="s">
        <v>26</v>
      </c>
      <c r="P4453" t="s">
        <v>27</v>
      </c>
      <c r="Q4453" t="s">
        <v>28</v>
      </c>
      <c r="R4453" t="s">
        <v>29</v>
      </c>
      <c r="S4453" t="s">
        <v>793</v>
      </c>
      <c r="T4453">
        <f>_xlfn.XLOOKUP(X4453,Hoja2!D:D,Hoja2!A:A)</f>
        <v>1001315142</v>
      </c>
      <c r="U4453" t="str">
        <f>_xlfn.XLOOKUP(X4453,Hoja2!D:D,Hoja2!B:B)</f>
        <v>CATALINA PACHECO BURGOS</v>
      </c>
      <c r="V4453" t="str">
        <f>_xlfn.XLOOKUP(X4453,Hoja2!D:D,Hoja2!C:C)</f>
        <v>PREGRADO</v>
      </c>
      <c r="W4453" s="9">
        <f>IF(V4453="pregrado",31,
IF(V4453="posgrados",31,
IF(V4453="rEINTEGROS",7,
IF(V4453="BIT",90,
IF(V4453="OP GRADO - INGLÉS",17,"")))))</f>
        <v>31</v>
      </c>
      <c r="X4453" t="s">
        <v>4064</v>
      </c>
    </row>
    <row r="4454" spans="1:24" x14ac:dyDescent="0.3">
      <c r="A4454" s="4">
        <v>46126</v>
      </c>
      <c r="B4454">
        <v>20131018</v>
      </c>
      <c r="C4454" t="s">
        <v>19</v>
      </c>
      <c r="D4454">
        <v>614529</v>
      </c>
      <c r="E4454" t="s">
        <v>20</v>
      </c>
      <c r="F4454">
        <v>69026698</v>
      </c>
      <c r="G4454" t="s">
        <v>4580</v>
      </c>
      <c r="H4454">
        <v>100250763</v>
      </c>
      <c r="I4454">
        <v>202632</v>
      </c>
      <c r="J4454">
        <v>1123314537</v>
      </c>
      <c r="K4454" t="s">
        <v>33</v>
      </c>
      <c r="L4454" t="s">
        <v>240</v>
      </c>
      <c r="M4454" t="s">
        <v>24</v>
      </c>
      <c r="N4454" t="s">
        <v>25</v>
      </c>
      <c r="O4454" t="s">
        <v>26</v>
      </c>
      <c r="P4454" t="s">
        <v>27</v>
      </c>
      <c r="Q4454" t="s">
        <v>28</v>
      </c>
      <c r="R4454" t="s">
        <v>29</v>
      </c>
      <c r="S4454" t="s">
        <v>793</v>
      </c>
      <c r="T4454">
        <f>_xlfn.XLOOKUP(X4454,Hoja2!D:D,Hoja2!A:A)</f>
        <v>1019115186</v>
      </c>
      <c r="U4454" t="str">
        <f>_xlfn.XLOOKUP(X4454,Hoja2!D:D,Hoja2!B:B)</f>
        <v>HEIDY LORENA PRIETO AHUMADA</v>
      </c>
      <c r="V4454" t="str">
        <f>_xlfn.XLOOKUP(X4454,Hoja2!D:D,Hoja2!C:C)</f>
        <v>PREGRADO</v>
      </c>
      <c r="W4454" s="9">
        <f>IF(V4454="pregrado",31,
IF(V4454="posgrados",31,
IF(V4454="rEINTEGROS",7,
IF(V4454="BIT",90,
IF(V4454="OP GRADO - INGLÉS",17,"")))))</f>
        <v>31</v>
      </c>
      <c r="X4454" t="s">
        <v>4005</v>
      </c>
    </row>
    <row r="4455" spans="1:24" x14ac:dyDescent="0.3">
      <c r="A4455" s="4">
        <v>46126</v>
      </c>
      <c r="B4455">
        <v>20131024</v>
      </c>
      <c r="C4455" t="s">
        <v>19</v>
      </c>
      <c r="D4455">
        <v>614538</v>
      </c>
      <c r="E4455" t="s">
        <v>20</v>
      </c>
      <c r="F4455">
        <v>1045720837</v>
      </c>
      <c r="G4455" t="s">
        <v>4582</v>
      </c>
      <c r="H4455">
        <v>100250773</v>
      </c>
      <c r="I4455">
        <v>202632</v>
      </c>
      <c r="J4455">
        <v>1045720837</v>
      </c>
      <c r="K4455" t="s">
        <v>23</v>
      </c>
      <c r="L4455" t="s">
        <v>32</v>
      </c>
      <c r="M4455" t="s">
        <v>24</v>
      </c>
      <c r="N4455" t="s">
        <v>25</v>
      </c>
      <c r="O4455" t="s">
        <v>26</v>
      </c>
      <c r="P4455" t="s">
        <v>27</v>
      </c>
      <c r="Q4455" t="s">
        <v>28</v>
      </c>
      <c r="R4455" t="s">
        <v>29</v>
      </c>
      <c r="S4455" t="s">
        <v>793</v>
      </c>
      <c r="T4455">
        <f>_xlfn.XLOOKUP(X4455,Hoja2!D:D,Hoja2!A:A)</f>
        <v>1020730718</v>
      </c>
      <c r="U4455" t="str">
        <f>_xlfn.XLOOKUP(X4455,Hoja2!D:D,Hoja2!B:B)</f>
        <v>HEIDY LORENA PRIETO AHUMADA</v>
      </c>
      <c r="V4455" t="str">
        <f>_xlfn.XLOOKUP(X4455,Hoja2!D:D,Hoja2!C:C)</f>
        <v>PREGRADO</v>
      </c>
      <c r="W4455" s="9">
        <f>IF(V4455="pregrado",31,
IF(V4455="posgrados",31,
IF(V4455="rEINTEGROS",7,
IF(V4455="BIT",90,
IF(V4455="OP GRADO - INGLÉS",17,"")))))</f>
        <v>31</v>
      </c>
      <c r="X4455" t="s">
        <v>3952</v>
      </c>
    </row>
    <row r="4456" spans="1:24" x14ac:dyDescent="0.3">
      <c r="A4456" s="4">
        <v>46126</v>
      </c>
      <c r="B4456">
        <v>20131049</v>
      </c>
      <c r="C4456" t="s">
        <v>19</v>
      </c>
      <c r="D4456">
        <v>614559</v>
      </c>
      <c r="E4456" t="s">
        <v>20</v>
      </c>
      <c r="F4456">
        <v>1111194073</v>
      </c>
      <c r="G4456" t="s">
        <v>4586</v>
      </c>
      <c r="H4456">
        <v>200259246</v>
      </c>
      <c r="I4456">
        <v>202632</v>
      </c>
      <c r="J4456">
        <v>1111194073</v>
      </c>
      <c r="K4456" t="s">
        <v>33</v>
      </c>
      <c r="L4456" t="s">
        <v>3922</v>
      </c>
      <c r="M4456" t="s">
        <v>24</v>
      </c>
      <c r="N4456" t="s">
        <v>25</v>
      </c>
      <c r="O4456" t="s">
        <v>26</v>
      </c>
      <c r="P4456" t="s">
        <v>27</v>
      </c>
      <c r="Q4456" t="s">
        <v>28</v>
      </c>
      <c r="R4456" t="s">
        <v>29</v>
      </c>
      <c r="S4456" t="s">
        <v>793</v>
      </c>
      <c r="T4456">
        <f>_xlfn.XLOOKUP(X4456,Hoja2!D:D,Hoja2!A:A)</f>
        <v>1023975276</v>
      </c>
      <c r="U4456" t="str">
        <f>_xlfn.XLOOKUP(X4456,Hoja2!D:D,Hoja2!B:B)</f>
        <v>MARSHIA MILENA JIMéNEZ GóMEZ</v>
      </c>
      <c r="V4456" t="str">
        <f>_xlfn.XLOOKUP(X4456,Hoja2!D:D,Hoja2!C:C)</f>
        <v>PREGRADO</v>
      </c>
      <c r="W4456" s="9">
        <f>IF(V4456="pregrado",31,
IF(V4456="posgrados",31,
IF(V4456="rEINTEGROS",7,
IF(V4456="BIT",90,
IF(V4456="OP GRADO - INGLÉS",17,"")))))</f>
        <v>31</v>
      </c>
      <c r="X4456" t="s">
        <v>3962</v>
      </c>
    </row>
    <row r="4457" spans="1:24" x14ac:dyDescent="0.3">
      <c r="A4457" s="4">
        <v>46126</v>
      </c>
      <c r="B4457">
        <v>20131026</v>
      </c>
      <c r="C4457" t="s">
        <v>19</v>
      </c>
      <c r="D4457">
        <v>614560</v>
      </c>
      <c r="E4457" t="s">
        <v>20</v>
      </c>
      <c r="F4457">
        <v>56082941</v>
      </c>
      <c r="G4457" t="s">
        <v>4583</v>
      </c>
      <c r="H4457">
        <v>200271006</v>
      </c>
      <c r="I4457">
        <v>202632</v>
      </c>
      <c r="J4457">
        <v>1006816978</v>
      </c>
      <c r="K4457" t="s">
        <v>23</v>
      </c>
      <c r="L4457" t="s">
        <v>101</v>
      </c>
      <c r="M4457" t="s">
        <v>24</v>
      </c>
      <c r="N4457" t="s">
        <v>35</v>
      </c>
      <c r="O4457" t="s">
        <v>26</v>
      </c>
      <c r="P4457" t="s">
        <v>27</v>
      </c>
      <c r="Q4457" t="s">
        <v>28</v>
      </c>
      <c r="R4457" t="s">
        <v>29</v>
      </c>
      <c r="S4457" t="s">
        <v>793</v>
      </c>
      <c r="T4457">
        <f>_xlfn.XLOOKUP(X4457,Hoja2!D:D,Hoja2!A:A)</f>
        <v>1023367706</v>
      </c>
      <c r="U4457" t="str">
        <f>_xlfn.XLOOKUP(X4457,Hoja2!D:D,Hoja2!B:B)</f>
        <v>MARSHIA MILENA JIMéNEZ GóMEZ</v>
      </c>
      <c r="V4457" t="str">
        <f>_xlfn.XLOOKUP(X4457,Hoja2!D:D,Hoja2!C:C)</f>
        <v>PREGRADO</v>
      </c>
      <c r="W4457" s="9">
        <f>IF(V4457="pregrado",31,
IF(V4457="posgrados",31,
IF(V4457="rEINTEGROS",7,
IF(V4457="BIT",90,
IF(V4457="OP GRADO - INGLÉS",17,"")))))</f>
        <v>31</v>
      </c>
      <c r="X4457" t="s">
        <v>4039</v>
      </c>
    </row>
    <row r="4458" spans="1:24" x14ac:dyDescent="0.3">
      <c r="A4458" s="4">
        <v>46127</v>
      </c>
      <c r="B4458">
        <v>20131191</v>
      </c>
      <c r="C4458" t="s">
        <v>19</v>
      </c>
      <c r="D4458">
        <v>614565</v>
      </c>
      <c r="E4458" t="s">
        <v>20</v>
      </c>
      <c r="F4458">
        <v>1061795355</v>
      </c>
      <c r="G4458" t="s">
        <v>4622</v>
      </c>
      <c r="H4458">
        <v>100250792</v>
      </c>
      <c r="I4458">
        <v>202632</v>
      </c>
      <c r="J4458">
        <v>1061795355</v>
      </c>
      <c r="K4458" t="s">
        <v>23</v>
      </c>
      <c r="L4458" t="s">
        <v>240</v>
      </c>
      <c r="M4458" t="s">
        <v>24</v>
      </c>
      <c r="N4458" t="s">
        <v>35</v>
      </c>
      <c r="O4458" t="s">
        <v>26</v>
      </c>
      <c r="P4458" t="s">
        <v>27</v>
      </c>
      <c r="Q4458" t="s">
        <v>28</v>
      </c>
      <c r="R4458" t="s">
        <v>29</v>
      </c>
      <c r="S4458" t="s">
        <v>793</v>
      </c>
      <c r="T4458">
        <f>_xlfn.XLOOKUP(X4458,Hoja2!D:D,Hoja2!A:A)</f>
        <v>45555807</v>
      </c>
      <c r="U4458" t="str">
        <f>_xlfn.XLOOKUP(X4458,Hoja2!D:D,Hoja2!B:B)</f>
        <v>NELSON JAVIER MORERA RINCON</v>
      </c>
      <c r="V4458" t="str">
        <f>_xlfn.XLOOKUP(X4458,Hoja2!D:D,Hoja2!C:C)</f>
        <v>PREGRADO</v>
      </c>
      <c r="W4458" s="9">
        <f>IF(V4458="pregrado",31,
IF(V4458="posgrados",31,
IF(V4458="rEINTEGROS",7,
IF(V4458="BIT",90,
IF(V4458="OP GRADO - INGLÉS",17,"")))))</f>
        <v>31</v>
      </c>
      <c r="X4458" t="s">
        <v>4027</v>
      </c>
    </row>
    <row r="4459" spans="1:24" x14ac:dyDescent="0.3">
      <c r="A4459" s="4">
        <v>46132</v>
      </c>
      <c r="B4459">
        <v>20131743</v>
      </c>
      <c r="C4459" t="s">
        <v>19</v>
      </c>
      <c r="D4459">
        <v>614570</v>
      </c>
      <c r="E4459" t="s">
        <v>20</v>
      </c>
      <c r="F4459">
        <v>1109840411</v>
      </c>
      <c r="G4459" t="s">
        <v>4734</v>
      </c>
      <c r="H4459">
        <v>100177348</v>
      </c>
      <c r="I4459">
        <v>202632</v>
      </c>
      <c r="J4459">
        <v>93478176</v>
      </c>
      <c r="K4459" t="s">
        <v>33</v>
      </c>
      <c r="L4459" t="s">
        <v>219</v>
      </c>
      <c r="M4459" t="s">
        <v>24</v>
      </c>
      <c r="N4459" t="s">
        <v>35</v>
      </c>
      <c r="O4459" t="s">
        <v>26</v>
      </c>
      <c r="P4459" t="s">
        <v>27</v>
      </c>
      <c r="Q4459" t="s">
        <v>28</v>
      </c>
      <c r="R4459" t="s">
        <v>29</v>
      </c>
      <c r="S4459" t="s">
        <v>793</v>
      </c>
      <c r="T4459">
        <f>_xlfn.XLOOKUP(X4459,Hoja2!D:D,Hoja2!A:A)</f>
        <v>53040709</v>
      </c>
      <c r="U4459" t="str">
        <f>_xlfn.XLOOKUP(X4459,Hoja2!D:D,Hoja2!B:B)</f>
        <v>MARSHIA MILENA JIMéNEZ GóMEZ</v>
      </c>
      <c r="V4459" t="str">
        <f>_xlfn.XLOOKUP(X4459,Hoja2!D:D,Hoja2!C:C)</f>
        <v>PREGRADO</v>
      </c>
      <c r="W4459" s="9">
        <f>IF(V4459="pregrado",31,
IF(V4459="posgrados",31,
IF(V4459="rEINTEGROS",7,
IF(V4459="BIT",90,
IF(V4459="OP GRADO - INGLÉS",17,"")))))</f>
        <v>31</v>
      </c>
      <c r="X4459" t="s">
        <v>3994</v>
      </c>
    </row>
    <row r="4460" spans="1:24" x14ac:dyDescent="0.3">
      <c r="A4460" s="4">
        <v>46141</v>
      </c>
      <c r="B4460">
        <v>20132519</v>
      </c>
      <c r="C4460" t="s">
        <v>19</v>
      </c>
      <c r="D4460">
        <v>614571</v>
      </c>
      <c r="E4460" t="s">
        <v>20</v>
      </c>
      <c r="F4460">
        <v>1018414795</v>
      </c>
      <c r="G4460" t="s">
        <v>4887</v>
      </c>
      <c r="H4460">
        <v>100250807</v>
      </c>
      <c r="I4460">
        <v>202632</v>
      </c>
      <c r="J4460">
        <v>1001181048</v>
      </c>
      <c r="K4460" t="s">
        <v>33</v>
      </c>
      <c r="L4460" t="s">
        <v>240</v>
      </c>
      <c r="M4460" t="s">
        <v>24</v>
      </c>
      <c r="N4460" t="s">
        <v>38</v>
      </c>
      <c r="O4460" t="s">
        <v>26</v>
      </c>
      <c r="P4460" t="s">
        <v>27</v>
      </c>
      <c r="Q4460" t="s">
        <v>28</v>
      </c>
      <c r="R4460" t="s">
        <v>29</v>
      </c>
      <c r="S4460" t="s">
        <v>793</v>
      </c>
      <c r="T4460">
        <f>_xlfn.XLOOKUP(X4460,Hoja2!D:D,Hoja2!A:A)</f>
        <v>52342867</v>
      </c>
      <c r="U4460" t="str">
        <f>_xlfn.XLOOKUP(X4460,Hoja2!D:D,Hoja2!B:B)</f>
        <v>NELSON JAVIER MORERA RINCON</v>
      </c>
      <c r="V4460" t="str">
        <f>_xlfn.XLOOKUP(X4460,Hoja2!D:D,Hoja2!C:C)</f>
        <v>PREGRADO</v>
      </c>
      <c r="W4460" s="9">
        <f>IF(V4460="pregrado",31,
IF(V4460="posgrados",31,
IF(V4460="rEINTEGROS",7,
IF(V4460="BIT",90,
IF(V4460="OP GRADO - INGLÉS",17,"")))))</f>
        <v>31</v>
      </c>
      <c r="X4460" t="s">
        <v>4047</v>
      </c>
    </row>
    <row r="4461" spans="1:24" x14ac:dyDescent="0.3">
      <c r="A4461" s="4">
        <v>46127</v>
      </c>
      <c r="B4461">
        <v>20131102</v>
      </c>
      <c r="C4461" t="s">
        <v>19</v>
      </c>
      <c r="D4461">
        <v>614578</v>
      </c>
      <c r="E4461" t="s">
        <v>20</v>
      </c>
      <c r="F4461">
        <v>36173777</v>
      </c>
      <c r="G4461" t="s">
        <v>4601</v>
      </c>
      <c r="H4461">
        <v>100104668</v>
      </c>
      <c r="I4461">
        <v>202632</v>
      </c>
      <c r="J4461">
        <v>1075281048</v>
      </c>
      <c r="K4461" t="s">
        <v>23</v>
      </c>
      <c r="L4461" t="s">
        <v>127</v>
      </c>
      <c r="M4461" t="s">
        <v>24</v>
      </c>
      <c r="N4461" t="s">
        <v>35</v>
      </c>
      <c r="O4461" t="s">
        <v>26</v>
      </c>
      <c r="P4461" t="s">
        <v>27</v>
      </c>
      <c r="Q4461" t="s">
        <v>28</v>
      </c>
      <c r="R4461" t="s">
        <v>29</v>
      </c>
      <c r="S4461" t="s">
        <v>793</v>
      </c>
      <c r="T4461">
        <f>_xlfn.XLOOKUP(X4461,Hoja2!D:D,Hoja2!A:A)</f>
        <v>10245841021</v>
      </c>
      <c r="U4461" t="str">
        <f>_xlfn.XLOOKUP(X4461,Hoja2!D:D,Hoja2!B:B)</f>
        <v>PAOLA ANDREA CALDERON CETINA</v>
      </c>
      <c r="V4461" t="str">
        <f>_xlfn.XLOOKUP(X4461,Hoja2!D:D,Hoja2!C:C)</f>
        <v>PREGRADO</v>
      </c>
      <c r="W4461" s="9">
        <f>IF(V4461="pregrado",31,
IF(V4461="posgrados",31,
IF(V4461="rEINTEGROS",7,
IF(V4461="BIT",90,
IF(V4461="OP GRADO - INGLÉS",17,"")))))</f>
        <v>31</v>
      </c>
      <c r="X4461" t="s">
        <v>3987</v>
      </c>
    </row>
    <row r="4462" spans="1:24" x14ac:dyDescent="0.3">
      <c r="A4462" s="4">
        <v>46126</v>
      </c>
      <c r="B4462">
        <v>20131094</v>
      </c>
      <c r="C4462" t="s">
        <v>19</v>
      </c>
      <c r="D4462">
        <v>614579</v>
      </c>
      <c r="E4462" t="s">
        <v>20</v>
      </c>
      <c r="F4462">
        <v>53052105</v>
      </c>
      <c r="G4462" t="s">
        <v>4597</v>
      </c>
      <c r="H4462">
        <v>100250824</v>
      </c>
      <c r="I4462">
        <v>202632</v>
      </c>
      <c r="J4462">
        <v>80865269</v>
      </c>
      <c r="K4462" t="s">
        <v>23</v>
      </c>
      <c r="L4462" t="s">
        <v>240</v>
      </c>
      <c r="M4462" t="s">
        <v>24</v>
      </c>
      <c r="N4462" t="s">
        <v>35</v>
      </c>
      <c r="O4462" t="s">
        <v>26</v>
      </c>
      <c r="P4462" t="s">
        <v>27</v>
      </c>
      <c r="Q4462" t="s">
        <v>28</v>
      </c>
      <c r="R4462" t="s">
        <v>29</v>
      </c>
      <c r="S4462" t="s">
        <v>793</v>
      </c>
      <c r="T4462">
        <f>_xlfn.XLOOKUP(X4462,Hoja2!D:D,Hoja2!A:A)</f>
        <v>45555807</v>
      </c>
      <c r="U4462" t="str">
        <f>_xlfn.XLOOKUP(X4462,Hoja2!D:D,Hoja2!B:B)</f>
        <v>NELSON JAVIER MORERA RINCON</v>
      </c>
      <c r="V4462" t="str">
        <f>_xlfn.XLOOKUP(X4462,Hoja2!D:D,Hoja2!C:C)</f>
        <v>PREGRADO</v>
      </c>
      <c r="W4462" s="9">
        <f>IF(V4462="pregrado",31,
IF(V4462="posgrados",31,
IF(V4462="rEINTEGROS",7,
IF(V4462="BIT",90,
IF(V4462="OP GRADO - INGLÉS",17,"")))))</f>
        <v>31</v>
      </c>
      <c r="X4462" t="s">
        <v>4027</v>
      </c>
    </row>
    <row r="4463" spans="1:24" x14ac:dyDescent="0.3">
      <c r="A4463" s="4">
        <v>46126</v>
      </c>
      <c r="B4463">
        <v>20131028</v>
      </c>
      <c r="C4463" t="s">
        <v>19</v>
      </c>
      <c r="D4463">
        <v>614580</v>
      </c>
      <c r="E4463" t="s">
        <v>20</v>
      </c>
      <c r="F4463">
        <v>1102832825</v>
      </c>
      <c r="G4463" t="s">
        <v>4584</v>
      </c>
      <c r="H4463">
        <v>100213004</v>
      </c>
      <c r="I4463">
        <v>202632</v>
      </c>
      <c r="J4463">
        <v>1005660260</v>
      </c>
      <c r="K4463" t="s">
        <v>33</v>
      </c>
      <c r="L4463" t="s">
        <v>127</v>
      </c>
      <c r="M4463" t="s">
        <v>24</v>
      </c>
      <c r="N4463" t="s">
        <v>25</v>
      </c>
      <c r="O4463" t="s">
        <v>26</v>
      </c>
      <c r="P4463" t="s">
        <v>27</v>
      </c>
      <c r="Q4463" t="s">
        <v>28</v>
      </c>
      <c r="R4463" t="s">
        <v>29</v>
      </c>
      <c r="S4463" t="s">
        <v>793</v>
      </c>
      <c r="T4463">
        <f>_xlfn.XLOOKUP(X4463,Hoja2!D:D,Hoja2!A:A)</f>
        <v>1003690112</v>
      </c>
      <c r="U4463" t="str">
        <f>_xlfn.XLOOKUP(X4463,Hoja2!D:D,Hoja2!B:B)</f>
        <v>PAOLA ANDREA CALDERON CETINA</v>
      </c>
      <c r="V4463" t="str">
        <f>_xlfn.XLOOKUP(X4463,Hoja2!D:D,Hoja2!C:C)</f>
        <v>PREGRADO</v>
      </c>
      <c r="W4463" s="9">
        <f>IF(V4463="pregrado",31,
IF(V4463="posgrados",31,
IF(V4463="rEINTEGROS",7,
IF(V4463="BIT",90,
IF(V4463="OP GRADO - INGLÉS",17,"")))))</f>
        <v>31</v>
      </c>
      <c r="X4463" t="s">
        <v>4061</v>
      </c>
    </row>
    <row r="4464" spans="1:24" x14ac:dyDescent="0.3">
      <c r="A4464" s="4">
        <v>46129</v>
      </c>
      <c r="B4464">
        <v>20131536</v>
      </c>
      <c r="C4464" t="s">
        <v>19</v>
      </c>
      <c r="D4464">
        <v>614584</v>
      </c>
      <c r="E4464" t="s">
        <v>20</v>
      </c>
      <c r="F4464">
        <v>1027520667</v>
      </c>
      <c r="G4464" t="s">
        <v>4690</v>
      </c>
      <c r="H4464">
        <v>100250828</v>
      </c>
      <c r="I4464">
        <v>202632</v>
      </c>
      <c r="J4464">
        <v>1027520667</v>
      </c>
      <c r="K4464" t="s">
        <v>33</v>
      </c>
      <c r="L4464" t="s">
        <v>90</v>
      </c>
      <c r="M4464" t="s">
        <v>24</v>
      </c>
      <c r="N4464" t="s">
        <v>38</v>
      </c>
      <c r="O4464" t="s">
        <v>26</v>
      </c>
      <c r="P4464" t="s">
        <v>27</v>
      </c>
      <c r="Q4464" t="s">
        <v>28</v>
      </c>
      <c r="R4464" t="s">
        <v>29</v>
      </c>
      <c r="S4464" t="s">
        <v>793</v>
      </c>
      <c r="T4464">
        <f>_xlfn.XLOOKUP(X4464,Hoja2!D:D,Hoja2!A:A)</f>
        <v>1016110979</v>
      </c>
      <c r="U4464" t="str">
        <f>_xlfn.XLOOKUP(X4464,Hoja2!D:D,Hoja2!B:B)</f>
        <v>JEISSON FABIAN MOLINA CIRO</v>
      </c>
      <c r="V4464" t="str">
        <f>_xlfn.XLOOKUP(X4464,Hoja2!D:D,Hoja2!C:C)</f>
        <v>REINTEGROS</v>
      </c>
      <c r="W4464" s="9">
        <f>IF(V4464="pregrado",31,
IF(V4464="posgrados",31,
IF(V4464="rEINTEGROS",7,
IF(V4464="BIT",90,
IF(V4464="OP GRADO - INGLÉS",17,"")))))</f>
        <v>7</v>
      </c>
      <c r="X4464" t="s">
        <v>4051</v>
      </c>
    </row>
    <row r="4465" spans="1:24" x14ac:dyDescent="0.3">
      <c r="A4465" s="4">
        <v>46126</v>
      </c>
      <c r="B4465">
        <v>20131002</v>
      </c>
      <c r="C4465" t="s">
        <v>19</v>
      </c>
      <c r="D4465">
        <v>614591</v>
      </c>
      <c r="E4465" t="s">
        <v>20</v>
      </c>
      <c r="F4465">
        <v>1233901778</v>
      </c>
      <c r="G4465" t="s">
        <v>4575</v>
      </c>
      <c r="H4465">
        <v>100250838</v>
      </c>
      <c r="I4465">
        <v>202632</v>
      </c>
      <c r="J4465">
        <v>1233901778</v>
      </c>
      <c r="K4465" t="s">
        <v>33</v>
      </c>
      <c r="L4465" t="s">
        <v>207</v>
      </c>
      <c r="M4465" t="s">
        <v>24</v>
      </c>
      <c r="N4465" t="s">
        <v>25</v>
      </c>
      <c r="O4465" t="s">
        <v>26</v>
      </c>
      <c r="P4465" t="s">
        <v>27</v>
      </c>
      <c r="Q4465" t="s">
        <v>28</v>
      </c>
      <c r="R4465" t="s">
        <v>29</v>
      </c>
      <c r="S4465" t="s">
        <v>793</v>
      </c>
      <c r="T4465">
        <f>_xlfn.XLOOKUP(X4465,Hoja2!D:D,Hoja2!A:A)</f>
        <v>1000286877</v>
      </c>
      <c r="U4465" t="str">
        <f>_xlfn.XLOOKUP(X4465,Hoja2!D:D,Hoja2!B:B)</f>
        <v>Catalina Pacheco Burgos</v>
      </c>
      <c r="V4465" t="str">
        <f>_xlfn.XLOOKUP(X4465,Hoja2!D:D,Hoja2!C:C)</f>
        <v>PREGRADO</v>
      </c>
      <c r="W4465" s="9">
        <f>IF(V4465="pregrado",31,
IF(V4465="posgrados",31,
IF(V4465="rEINTEGROS",7,
IF(V4465="BIT",90,
IF(V4465="OP GRADO - INGLÉS",17,"")))))</f>
        <v>31</v>
      </c>
      <c r="X4465" t="s">
        <v>4930</v>
      </c>
    </row>
    <row r="4466" spans="1:24" x14ac:dyDescent="0.3">
      <c r="A4466" s="4">
        <v>46127</v>
      </c>
      <c r="B4466">
        <v>20131190</v>
      </c>
      <c r="C4466" t="s">
        <v>19</v>
      </c>
      <c r="D4466">
        <v>614604</v>
      </c>
      <c r="E4466" t="s">
        <v>20</v>
      </c>
      <c r="F4466">
        <v>17902515</v>
      </c>
      <c r="G4466" t="s">
        <v>4621</v>
      </c>
      <c r="H4466">
        <v>100250845</v>
      </c>
      <c r="I4466">
        <v>202632</v>
      </c>
      <c r="J4466">
        <v>17902515</v>
      </c>
      <c r="K4466" t="s">
        <v>23</v>
      </c>
      <c r="L4466" t="s">
        <v>240</v>
      </c>
      <c r="M4466" t="s">
        <v>24</v>
      </c>
      <c r="N4466" t="s">
        <v>35</v>
      </c>
      <c r="O4466" t="s">
        <v>26</v>
      </c>
      <c r="P4466" t="s">
        <v>27</v>
      </c>
      <c r="Q4466" t="s">
        <v>28</v>
      </c>
      <c r="R4466" t="s">
        <v>29</v>
      </c>
      <c r="S4466" t="s">
        <v>793</v>
      </c>
      <c r="T4466">
        <f>_xlfn.XLOOKUP(X4466,Hoja2!D:D,Hoja2!A:A)</f>
        <v>1026298522</v>
      </c>
      <c r="U4466" t="str">
        <f>_xlfn.XLOOKUP(X4466,Hoja2!D:D,Hoja2!B:B)</f>
        <v>NELSON JAVIER MORERA RINCON</v>
      </c>
      <c r="V4466" t="str">
        <f>_xlfn.XLOOKUP(X4466,Hoja2!D:D,Hoja2!C:C)</f>
        <v>PREGRADO</v>
      </c>
      <c r="W4466" s="9">
        <f>IF(V4466="pregrado",31,
IF(V4466="posgrados",31,
IF(V4466="rEINTEGROS",7,
IF(V4466="BIT",90,
IF(V4466="OP GRADO - INGLÉS",17,"")))))</f>
        <v>31</v>
      </c>
      <c r="X4466" t="s">
        <v>4040</v>
      </c>
    </row>
    <row r="4467" spans="1:24" x14ac:dyDescent="0.3">
      <c r="A4467" s="4">
        <v>46133</v>
      </c>
      <c r="B4467">
        <v>20131857</v>
      </c>
      <c r="C4467" t="s">
        <v>19</v>
      </c>
      <c r="D4467">
        <v>614608</v>
      </c>
      <c r="E4467" t="s">
        <v>20</v>
      </c>
      <c r="F4467">
        <v>1047375150</v>
      </c>
      <c r="G4467" t="s">
        <v>4761</v>
      </c>
      <c r="H4467">
        <v>200272364</v>
      </c>
      <c r="I4467">
        <v>202632</v>
      </c>
      <c r="J4467">
        <v>1128060186</v>
      </c>
      <c r="K4467" t="s">
        <v>33</v>
      </c>
      <c r="L4467" t="s">
        <v>119</v>
      </c>
      <c r="M4467" t="s">
        <v>24</v>
      </c>
      <c r="N4467" t="s">
        <v>4198</v>
      </c>
      <c r="O4467" t="s">
        <v>26</v>
      </c>
      <c r="P4467" t="s">
        <v>4135</v>
      </c>
      <c r="Q4467" t="s">
        <v>28</v>
      </c>
      <c r="R4467" t="s">
        <v>29</v>
      </c>
      <c r="S4467" t="s">
        <v>793</v>
      </c>
      <c r="T4467">
        <f>_xlfn.XLOOKUP(X4467,Hoja2!D:D,Hoja2!A:A)</f>
        <v>1010081108</v>
      </c>
      <c r="U4467" t="str">
        <f>_xlfn.XLOOKUP(X4467,Hoja2!D:D,Hoja2!B:B)</f>
        <v>HEIDY LORENA PRIETO AHUMADA</v>
      </c>
      <c r="V4467" t="str">
        <f>_xlfn.XLOOKUP(X4467,Hoja2!D:D,Hoja2!C:C)</f>
        <v>PREGRADO</v>
      </c>
      <c r="W4467" s="9">
        <f>IF(V4467="pregrado",31,
IF(V4467="posgrados",31,
IF(V4467="rEINTEGROS",7,
IF(V4467="BIT",90,
IF(V4467="OP GRADO - INGLÉS",17,"")))))</f>
        <v>31</v>
      </c>
      <c r="X4467" t="s">
        <v>4009</v>
      </c>
    </row>
    <row r="4468" spans="1:24" x14ac:dyDescent="0.3">
      <c r="A4468" s="4">
        <v>46133</v>
      </c>
      <c r="B4468">
        <v>20131803</v>
      </c>
      <c r="C4468" t="s">
        <v>19</v>
      </c>
      <c r="D4468">
        <v>614613</v>
      </c>
      <c r="E4468" t="s">
        <v>20</v>
      </c>
      <c r="F4468">
        <v>11935030</v>
      </c>
      <c r="G4468" t="s">
        <v>4749</v>
      </c>
      <c r="H4468">
        <v>100250850</v>
      </c>
      <c r="I4468">
        <v>202632</v>
      </c>
      <c r="J4468">
        <v>1028005107</v>
      </c>
      <c r="K4468" t="s">
        <v>74</v>
      </c>
      <c r="L4468" t="s">
        <v>90</v>
      </c>
      <c r="M4468" t="s">
        <v>24</v>
      </c>
      <c r="N4468" t="s">
        <v>35</v>
      </c>
      <c r="O4468" t="s">
        <v>26</v>
      </c>
      <c r="P4468" t="s">
        <v>27</v>
      </c>
      <c r="Q4468" t="s">
        <v>28</v>
      </c>
      <c r="R4468" t="s">
        <v>29</v>
      </c>
      <c r="S4468" t="s">
        <v>793</v>
      </c>
      <c r="T4468">
        <f>_xlfn.XLOOKUP(X4468,Hoja2!D:D,Hoja2!A:A)</f>
        <v>1057582137</v>
      </c>
      <c r="U4468" t="str">
        <f>_xlfn.XLOOKUP(X4468,Hoja2!D:D,Hoja2!B:B)</f>
        <v>Paola Andrea Calderon Cetina</v>
      </c>
      <c r="V4468" t="str">
        <f>_xlfn.XLOOKUP(X4468,Hoja2!D:D,Hoja2!C:C)</f>
        <v>PREGRADO</v>
      </c>
      <c r="W4468" s="9">
        <f>IF(V4468="pregrado",31,
IF(V4468="posgrados",31,
IF(V4468="rEINTEGROS",7,
IF(V4468="BIT",90,
IF(V4468="OP GRADO - INGLÉS",17,"")))))</f>
        <v>31</v>
      </c>
      <c r="X4468" t="s">
        <v>4929</v>
      </c>
    </row>
    <row r="4469" spans="1:24" x14ac:dyDescent="0.3">
      <c r="A4469" s="4">
        <v>46127</v>
      </c>
      <c r="B4469">
        <v>20131099</v>
      </c>
      <c r="C4469" t="s">
        <v>19</v>
      </c>
      <c r="D4469">
        <v>614614</v>
      </c>
      <c r="E4469" t="s">
        <v>20</v>
      </c>
      <c r="F4469">
        <v>1112480923</v>
      </c>
      <c r="G4469" t="s">
        <v>4599</v>
      </c>
      <c r="H4469">
        <v>200270124</v>
      </c>
      <c r="I4469">
        <v>202632</v>
      </c>
      <c r="J4469">
        <v>1112480923</v>
      </c>
      <c r="K4469" t="s">
        <v>33</v>
      </c>
      <c r="L4469" t="s">
        <v>119</v>
      </c>
      <c r="M4469" t="s">
        <v>24</v>
      </c>
      <c r="N4469" t="s">
        <v>35</v>
      </c>
      <c r="O4469" t="s">
        <v>26</v>
      </c>
      <c r="P4469" t="s">
        <v>27</v>
      </c>
      <c r="Q4469" t="s">
        <v>28</v>
      </c>
      <c r="R4469" t="s">
        <v>29</v>
      </c>
      <c r="S4469" t="s">
        <v>793</v>
      </c>
      <c r="T4469">
        <f>_xlfn.XLOOKUP(X4469,Hoja2!D:D,Hoja2!A:A)</f>
        <v>1000251314</v>
      </c>
      <c r="U4469" t="str">
        <f>_xlfn.XLOOKUP(X4469,Hoja2!D:D,Hoja2!B:B)</f>
        <v>MARSHIA MILENA JIMéNEZ GóMEZ</v>
      </c>
      <c r="V4469" t="str">
        <f>_xlfn.XLOOKUP(X4469,Hoja2!D:D,Hoja2!C:C)</f>
        <v>PREGRADO</v>
      </c>
      <c r="W4469" s="9">
        <f>IF(V4469="pregrado",31,
IF(V4469="posgrados",31,
IF(V4469="rEINTEGROS",7,
IF(V4469="BIT",90,
IF(V4469="OP GRADO - INGLÉS",17,"")))))</f>
        <v>31</v>
      </c>
      <c r="X4469" t="s">
        <v>4024</v>
      </c>
    </row>
    <row r="4470" spans="1:24" x14ac:dyDescent="0.3">
      <c r="A4470" s="4">
        <v>46129</v>
      </c>
      <c r="B4470">
        <v>20131440</v>
      </c>
      <c r="C4470" t="s">
        <v>19</v>
      </c>
      <c r="D4470">
        <v>614638</v>
      </c>
      <c r="E4470" t="s">
        <v>20</v>
      </c>
      <c r="F4470">
        <v>45775833</v>
      </c>
      <c r="G4470" t="s">
        <v>4674</v>
      </c>
      <c r="H4470">
        <v>100250872</v>
      </c>
      <c r="I4470">
        <v>202612</v>
      </c>
      <c r="J4470">
        <v>45775833</v>
      </c>
      <c r="K4470" t="s">
        <v>33</v>
      </c>
      <c r="L4470" t="s">
        <v>204</v>
      </c>
      <c r="M4470" t="s">
        <v>24</v>
      </c>
      <c r="N4470" t="s">
        <v>25</v>
      </c>
      <c r="O4470" t="s">
        <v>26</v>
      </c>
      <c r="P4470" t="s">
        <v>27</v>
      </c>
      <c r="Q4470" t="s">
        <v>28</v>
      </c>
      <c r="R4470" t="s">
        <v>29</v>
      </c>
      <c r="S4470" t="s">
        <v>793</v>
      </c>
      <c r="T4470">
        <f>_xlfn.XLOOKUP(X4470,Hoja2!D:D,Hoja2!A:A)</f>
        <v>1000183349</v>
      </c>
      <c r="U4470" t="str">
        <f>_xlfn.XLOOKUP(X4470,Hoja2!D:D,Hoja2!B:B)</f>
        <v>JOVANNY ALEXANDER BENAVIDES APRAEZ</v>
      </c>
      <c r="V4470" t="str">
        <f>_xlfn.XLOOKUP(X4470,Hoja2!D:D,Hoja2!C:C)</f>
        <v>PREGRADO</v>
      </c>
      <c r="W4470" s="9">
        <f>IF(V4470="pregrado",31,
IF(V4470="posgrados",31,
IF(V4470="rEINTEGROS",7,
IF(V4470="BIT",90,
IF(V4470="OP GRADO - INGLÉS",17,"")))))</f>
        <v>31</v>
      </c>
      <c r="X4470" t="s">
        <v>4083</v>
      </c>
    </row>
    <row r="4471" spans="1:24" x14ac:dyDescent="0.3">
      <c r="A4471" s="4">
        <v>46127</v>
      </c>
      <c r="B4471">
        <v>20131197</v>
      </c>
      <c r="C4471" t="s">
        <v>19</v>
      </c>
      <c r="D4471">
        <v>614644</v>
      </c>
      <c r="E4471" t="s">
        <v>20</v>
      </c>
      <c r="F4471">
        <v>1000932485</v>
      </c>
      <c r="G4471" t="s">
        <v>4623</v>
      </c>
      <c r="H4471">
        <v>100250878</v>
      </c>
      <c r="I4471">
        <v>202632</v>
      </c>
      <c r="J4471">
        <v>1000932485</v>
      </c>
      <c r="K4471" t="s">
        <v>23</v>
      </c>
      <c r="L4471" t="s">
        <v>90</v>
      </c>
      <c r="M4471" t="s">
        <v>24</v>
      </c>
      <c r="N4471" t="s">
        <v>35</v>
      </c>
      <c r="O4471" t="s">
        <v>26</v>
      </c>
      <c r="P4471" t="s">
        <v>27</v>
      </c>
      <c r="Q4471" t="s">
        <v>28</v>
      </c>
      <c r="R4471" t="s">
        <v>29</v>
      </c>
      <c r="S4471" t="s">
        <v>793</v>
      </c>
      <c r="T4471">
        <f>_xlfn.XLOOKUP(X4471,Hoja2!D:D,Hoja2!A:A)</f>
        <v>39666517</v>
      </c>
      <c r="U4471" t="str">
        <f>_xlfn.XLOOKUP(X4471,Hoja2!D:D,Hoja2!B:B)</f>
        <v>PAOLA ANDREA CALDERON CETINA</v>
      </c>
      <c r="V4471" t="str">
        <f>_xlfn.XLOOKUP(X4471,Hoja2!D:D,Hoja2!C:C)</f>
        <v>PREGRADO</v>
      </c>
      <c r="W4471" s="9">
        <f>IF(V4471="pregrado",31,
IF(V4471="posgrados",31,
IF(V4471="rEINTEGROS",7,
IF(V4471="BIT",90,
IF(V4471="OP GRADO - INGLÉS",17,"")))))</f>
        <v>31</v>
      </c>
      <c r="X4471" t="s">
        <v>4025</v>
      </c>
    </row>
    <row r="4472" spans="1:24" x14ac:dyDescent="0.3">
      <c r="A4472" s="4">
        <v>46132</v>
      </c>
      <c r="B4472">
        <v>20131753</v>
      </c>
      <c r="C4472" t="s">
        <v>19</v>
      </c>
      <c r="D4472">
        <v>614646</v>
      </c>
      <c r="E4472" t="s">
        <v>20</v>
      </c>
      <c r="F4472">
        <v>1021673786</v>
      </c>
      <c r="G4472" t="s">
        <v>4736</v>
      </c>
      <c r="H4472">
        <v>100250881</v>
      </c>
      <c r="I4472">
        <v>202632</v>
      </c>
      <c r="J4472">
        <v>1021673786</v>
      </c>
      <c r="K4472" t="s">
        <v>74</v>
      </c>
      <c r="L4472" t="s">
        <v>90</v>
      </c>
      <c r="M4472" t="s">
        <v>24</v>
      </c>
      <c r="N4472" t="s">
        <v>35</v>
      </c>
      <c r="O4472" t="s">
        <v>26</v>
      </c>
      <c r="P4472" t="s">
        <v>27</v>
      </c>
      <c r="Q4472" t="s">
        <v>28</v>
      </c>
      <c r="R4472" t="s">
        <v>29</v>
      </c>
      <c r="S4472" t="s">
        <v>793</v>
      </c>
      <c r="T4472">
        <f>_xlfn.XLOOKUP(X4472,Hoja2!D:D,Hoja2!A:A)</f>
        <v>39666517</v>
      </c>
      <c r="U4472" t="str">
        <f>_xlfn.XLOOKUP(X4472,Hoja2!D:D,Hoja2!B:B)</f>
        <v>PAOLA ANDREA CALDERON CETINA</v>
      </c>
      <c r="V4472" t="str">
        <f>_xlfn.XLOOKUP(X4472,Hoja2!D:D,Hoja2!C:C)</f>
        <v>PREGRADO</v>
      </c>
      <c r="W4472" s="9">
        <f>IF(V4472="pregrado",31,
IF(V4472="posgrados",31,
IF(V4472="rEINTEGROS",7,
IF(V4472="BIT",90,
IF(V4472="OP GRADO - INGLÉS",17,"")))))</f>
        <v>31</v>
      </c>
      <c r="X4472" t="s">
        <v>4025</v>
      </c>
    </row>
    <row r="4473" spans="1:24" x14ac:dyDescent="0.3">
      <c r="A4473" s="4">
        <v>46128</v>
      </c>
      <c r="B4473">
        <v>20131271</v>
      </c>
      <c r="C4473" t="s">
        <v>19</v>
      </c>
      <c r="D4473">
        <v>614655</v>
      </c>
      <c r="E4473" t="s">
        <v>20</v>
      </c>
      <c r="F4473">
        <v>1025532469</v>
      </c>
      <c r="G4473" t="s">
        <v>4636</v>
      </c>
      <c r="H4473">
        <v>100250896</v>
      </c>
      <c r="I4473">
        <v>202632</v>
      </c>
      <c r="J4473">
        <v>1025532469</v>
      </c>
      <c r="K4473" t="s">
        <v>33</v>
      </c>
      <c r="L4473" t="s">
        <v>90</v>
      </c>
      <c r="M4473" t="s">
        <v>24</v>
      </c>
      <c r="N4473" t="s">
        <v>38</v>
      </c>
      <c r="O4473" t="s">
        <v>26</v>
      </c>
      <c r="P4473" t="s">
        <v>27</v>
      </c>
      <c r="Q4473" t="s">
        <v>28</v>
      </c>
      <c r="R4473" t="s">
        <v>29</v>
      </c>
      <c r="S4473" t="s">
        <v>793</v>
      </c>
      <c r="T4473">
        <f>_xlfn.XLOOKUP(X4473,Hoja2!D:D,Hoja2!A:A)</f>
        <v>1015441103</v>
      </c>
      <c r="U4473" t="str">
        <f>_xlfn.XLOOKUP(X4473,Hoja2!D:D,Hoja2!B:B)</f>
        <v>PAOLA ANDREA CALDERON CETINA</v>
      </c>
      <c r="V4473" t="str">
        <f>_xlfn.XLOOKUP(X4473,Hoja2!D:D,Hoja2!C:C)</f>
        <v>PREGRADO</v>
      </c>
      <c r="W4473" s="9">
        <f>IF(V4473="pregrado",31,
IF(V4473="posgrados",31,
IF(V4473="rEINTEGROS",7,
IF(V4473="BIT",90,
IF(V4473="OP GRADO - INGLÉS",17,"")))))</f>
        <v>31</v>
      </c>
      <c r="X4473" t="s">
        <v>3961</v>
      </c>
    </row>
    <row r="4474" spans="1:24" x14ac:dyDescent="0.3">
      <c r="A4474" s="4">
        <v>46127</v>
      </c>
      <c r="B4474">
        <v>20131107</v>
      </c>
      <c r="C4474" t="s">
        <v>19</v>
      </c>
      <c r="D4474">
        <v>614668</v>
      </c>
      <c r="E4474" t="s">
        <v>20</v>
      </c>
      <c r="F4474">
        <v>1090149238</v>
      </c>
      <c r="G4474" t="s">
        <v>4603</v>
      </c>
      <c r="H4474">
        <v>100250924</v>
      </c>
      <c r="I4474">
        <v>202612</v>
      </c>
      <c r="J4474">
        <v>1090149238</v>
      </c>
      <c r="K4474" t="s">
        <v>33</v>
      </c>
      <c r="L4474" t="s">
        <v>204</v>
      </c>
      <c r="M4474" t="s">
        <v>24</v>
      </c>
      <c r="N4474" t="s">
        <v>25</v>
      </c>
      <c r="O4474" t="s">
        <v>26</v>
      </c>
      <c r="P4474" t="s">
        <v>27</v>
      </c>
      <c r="Q4474" t="s">
        <v>28</v>
      </c>
      <c r="R4474" t="s">
        <v>29</v>
      </c>
      <c r="S4474" t="s">
        <v>793</v>
      </c>
      <c r="T4474">
        <f>_xlfn.XLOOKUP(X4474,Hoja2!D:D,Hoja2!A:A)</f>
        <v>52182207</v>
      </c>
      <c r="U4474" t="str">
        <f>_xlfn.XLOOKUP(X4474,Hoja2!D:D,Hoja2!B:B)</f>
        <v>HEIDY LORENA PRIETO AHUMADA</v>
      </c>
      <c r="V4474" t="str">
        <f>_xlfn.XLOOKUP(X4474,Hoja2!D:D,Hoja2!C:C)</f>
        <v>PREGRADO</v>
      </c>
      <c r="W4474" s="9">
        <f>IF(V4474="pregrado",31,
IF(V4474="posgrados",31,
IF(V4474="rEINTEGROS",7,
IF(V4474="BIT",90,
IF(V4474="OP GRADO - INGLÉS",17,"")))))</f>
        <v>31</v>
      </c>
      <c r="X4474" t="s">
        <v>3946</v>
      </c>
    </row>
    <row r="4475" spans="1:24" x14ac:dyDescent="0.3">
      <c r="A4475" s="4">
        <v>46128</v>
      </c>
      <c r="B4475">
        <v>20131301</v>
      </c>
      <c r="C4475" t="s">
        <v>19</v>
      </c>
      <c r="D4475">
        <v>614669</v>
      </c>
      <c r="E4475" t="s">
        <v>20</v>
      </c>
      <c r="F4475">
        <v>1144097540</v>
      </c>
      <c r="G4475" t="s">
        <v>4643</v>
      </c>
      <c r="H4475">
        <v>100250925</v>
      </c>
      <c r="I4475">
        <v>202632</v>
      </c>
      <c r="J4475">
        <v>1144097540</v>
      </c>
      <c r="K4475" t="s">
        <v>23</v>
      </c>
      <c r="L4475" t="s">
        <v>207</v>
      </c>
      <c r="M4475" t="s">
        <v>24</v>
      </c>
      <c r="N4475" t="s">
        <v>35</v>
      </c>
      <c r="O4475" t="s">
        <v>26</v>
      </c>
      <c r="P4475" t="s">
        <v>27</v>
      </c>
      <c r="Q4475" t="s">
        <v>28</v>
      </c>
      <c r="R4475" t="s">
        <v>29</v>
      </c>
      <c r="S4475" t="s">
        <v>793</v>
      </c>
      <c r="T4475">
        <f>_xlfn.XLOOKUP(X4475,Hoja2!D:D,Hoja2!A:A)</f>
        <v>1019115186</v>
      </c>
      <c r="U4475" t="str">
        <f>_xlfn.XLOOKUP(X4475,Hoja2!D:D,Hoja2!B:B)</f>
        <v>HEIDY LORENA PRIETO AHUMADA</v>
      </c>
      <c r="V4475" t="str">
        <f>_xlfn.XLOOKUP(X4475,Hoja2!D:D,Hoja2!C:C)</f>
        <v>PREGRADO</v>
      </c>
      <c r="W4475" s="9">
        <f>IF(V4475="pregrado",31,
IF(V4475="posgrados",31,
IF(V4475="rEINTEGROS",7,
IF(V4475="BIT",90,
IF(V4475="OP GRADO - INGLÉS",17,"")))))</f>
        <v>31</v>
      </c>
      <c r="X4475" t="s">
        <v>4005</v>
      </c>
    </row>
    <row r="4476" spans="1:24" x14ac:dyDescent="0.3">
      <c r="A4476" s="4">
        <v>46127</v>
      </c>
      <c r="B4476">
        <v>20131121</v>
      </c>
      <c r="C4476" t="s">
        <v>19</v>
      </c>
      <c r="D4476">
        <v>614674</v>
      </c>
      <c r="E4476" t="s">
        <v>20</v>
      </c>
      <c r="F4476">
        <v>66765003</v>
      </c>
      <c r="G4476" t="s">
        <v>4604</v>
      </c>
      <c r="H4476">
        <v>100250937</v>
      </c>
      <c r="I4476">
        <v>202632</v>
      </c>
      <c r="J4476">
        <v>1006326833</v>
      </c>
      <c r="K4476" t="s">
        <v>33</v>
      </c>
      <c r="L4476" t="s">
        <v>127</v>
      </c>
      <c r="M4476" t="s">
        <v>24</v>
      </c>
      <c r="N4476" t="s">
        <v>25</v>
      </c>
      <c r="O4476" t="s">
        <v>26</v>
      </c>
      <c r="P4476" t="s">
        <v>27</v>
      </c>
      <c r="Q4476" t="s">
        <v>28</v>
      </c>
      <c r="R4476" t="s">
        <v>29</v>
      </c>
      <c r="S4476" t="s">
        <v>793</v>
      </c>
      <c r="T4476">
        <f>_xlfn.XLOOKUP(X4476,Hoja2!D:D,Hoja2!A:A)</f>
        <v>1015441103</v>
      </c>
      <c r="U4476" t="str">
        <f>_xlfn.XLOOKUP(X4476,Hoja2!D:D,Hoja2!B:B)</f>
        <v>PAOLA ANDREA CALDERON CETINA</v>
      </c>
      <c r="V4476" t="str">
        <f>_xlfn.XLOOKUP(X4476,Hoja2!D:D,Hoja2!C:C)</f>
        <v>PREGRADO</v>
      </c>
      <c r="W4476" s="9">
        <f>IF(V4476="pregrado",31,
IF(V4476="posgrados",31,
IF(V4476="rEINTEGROS",7,
IF(V4476="BIT",90,
IF(V4476="OP GRADO - INGLÉS",17,"")))))</f>
        <v>31</v>
      </c>
      <c r="X4476" t="s">
        <v>3961</v>
      </c>
    </row>
    <row r="4477" spans="1:24" x14ac:dyDescent="0.3">
      <c r="A4477" s="4">
        <v>46127</v>
      </c>
      <c r="B4477">
        <v>20131185</v>
      </c>
      <c r="C4477" t="s">
        <v>19</v>
      </c>
      <c r="D4477">
        <v>614675</v>
      </c>
      <c r="E4477" t="s">
        <v>20</v>
      </c>
      <c r="F4477">
        <v>1118876129</v>
      </c>
      <c r="G4477" t="s">
        <v>4618</v>
      </c>
      <c r="H4477">
        <v>100250939</v>
      </c>
      <c r="I4477">
        <v>202612</v>
      </c>
      <c r="J4477">
        <v>1118876129</v>
      </c>
      <c r="K4477" t="s">
        <v>23</v>
      </c>
      <c r="L4477" t="s">
        <v>221</v>
      </c>
      <c r="M4477" t="s">
        <v>24</v>
      </c>
      <c r="N4477" t="s">
        <v>35</v>
      </c>
      <c r="O4477" t="s">
        <v>26</v>
      </c>
      <c r="P4477" t="s">
        <v>27</v>
      </c>
      <c r="Q4477" t="s">
        <v>28</v>
      </c>
      <c r="R4477" t="s">
        <v>29</v>
      </c>
      <c r="S4477" t="s">
        <v>793</v>
      </c>
      <c r="T4477">
        <f>_xlfn.XLOOKUP(X4477,Hoja2!D:D,Hoja2!A:A)</f>
        <v>1026298522</v>
      </c>
      <c r="U4477" t="str">
        <f>_xlfn.XLOOKUP(X4477,Hoja2!D:D,Hoja2!B:B)</f>
        <v>NELSON JAVIER MORERA RINCON</v>
      </c>
      <c r="V4477" t="str">
        <f>_xlfn.XLOOKUP(X4477,Hoja2!D:D,Hoja2!C:C)</f>
        <v>PREGRADO</v>
      </c>
      <c r="W4477" s="9">
        <f>IF(V4477="pregrado",31,
IF(V4477="posgrados",31,
IF(V4477="rEINTEGROS",7,
IF(V4477="BIT",90,
IF(V4477="OP GRADO - INGLÉS",17,"")))))</f>
        <v>31</v>
      </c>
      <c r="X4477" t="s">
        <v>4040</v>
      </c>
    </row>
    <row r="4478" spans="1:24" x14ac:dyDescent="0.3">
      <c r="A4478" s="4">
        <v>46129</v>
      </c>
      <c r="B4478">
        <v>20131436</v>
      </c>
      <c r="C4478" t="s">
        <v>19</v>
      </c>
      <c r="D4478">
        <v>614682</v>
      </c>
      <c r="E4478" t="s">
        <v>20</v>
      </c>
      <c r="F4478">
        <v>1026302610</v>
      </c>
      <c r="G4478" t="s">
        <v>4673</v>
      </c>
      <c r="H4478">
        <v>100250944</v>
      </c>
      <c r="I4478">
        <v>202632</v>
      </c>
      <c r="J4478">
        <v>1026302610</v>
      </c>
      <c r="K4478" t="s">
        <v>33</v>
      </c>
      <c r="L4478" t="s">
        <v>32</v>
      </c>
      <c r="M4478" t="s">
        <v>24</v>
      </c>
      <c r="N4478" t="s">
        <v>25</v>
      </c>
      <c r="O4478" t="s">
        <v>26</v>
      </c>
      <c r="P4478" t="s">
        <v>27</v>
      </c>
      <c r="Q4478" t="s">
        <v>28</v>
      </c>
      <c r="R4478" t="s">
        <v>29</v>
      </c>
      <c r="S4478" t="s">
        <v>793</v>
      </c>
      <c r="T4478">
        <f>_xlfn.XLOOKUP(X4478,Hoja2!D:D,Hoja2!A:A)</f>
        <v>80219471</v>
      </c>
      <c r="U4478" t="str">
        <f>_xlfn.XLOOKUP(X4478,Hoja2!D:D,Hoja2!B:B)</f>
        <v>HEIDY LORENA PRIETO AHUMADA</v>
      </c>
      <c r="V4478" t="str">
        <f>_xlfn.XLOOKUP(X4478,Hoja2!D:D,Hoja2!C:C)</f>
        <v>PREGRADO</v>
      </c>
      <c r="W4478" s="9">
        <f>IF(V4478="pregrado",31,
IF(V4478="posgrados",31,
IF(V4478="rEINTEGROS",7,
IF(V4478="BIT",90,
IF(V4478="OP GRADO - INGLÉS",17,"")))))</f>
        <v>31</v>
      </c>
      <c r="X4478" t="s">
        <v>4030</v>
      </c>
    </row>
    <row r="4479" spans="1:24" x14ac:dyDescent="0.3">
      <c r="A4479" s="4">
        <v>46133</v>
      </c>
      <c r="B4479">
        <v>20131800</v>
      </c>
      <c r="C4479" t="s">
        <v>19</v>
      </c>
      <c r="D4479">
        <v>614691</v>
      </c>
      <c r="E4479" t="s">
        <v>20</v>
      </c>
      <c r="F4479">
        <v>92555546</v>
      </c>
      <c r="G4479" t="s">
        <v>4748</v>
      </c>
      <c r="H4479">
        <v>100250958</v>
      </c>
      <c r="I4479">
        <v>202632</v>
      </c>
      <c r="J4479">
        <v>1103501753</v>
      </c>
      <c r="K4479" t="s">
        <v>33</v>
      </c>
      <c r="L4479" t="s">
        <v>90</v>
      </c>
      <c r="M4479" t="s">
        <v>24</v>
      </c>
      <c r="N4479" t="s">
        <v>35</v>
      </c>
      <c r="O4479" t="s">
        <v>26</v>
      </c>
      <c r="P4479" t="s">
        <v>27</v>
      </c>
      <c r="Q4479" t="s">
        <v>28</v>
      </c>
      <c r="R4479" t="s">
        <v>29</v>
      </c>
      <c r="S4479" t="s">
        <v>793</v>
      </c>
      <c r="T4479">
        <f>_xlfn.XLOOKUP(X4479,Hoja2!D:D,Hoja2!A:A)</f>
        <v>1057582137</v>
      </c>
      <c r="U4479" t="str">
        <f>_xlfn.XLOOKUP(X4479,Hoja2!D:D,Hoja2!B:B)</f>
        <v>Paola Andrea Calderon Cetina</v>
      </c>
      <c r="V4479" t="str">
        <f>_xlfn.XLOOKUP(X4479,Hoja2!D:D,Hoja2!C:C)</f>
        <v>PREGRADO</v>
      </c>
      <c r="W4479" s="9">
        <f>IF(V4479="pregrado",31,
IF(V4479="posgrados",31,
IF(V4479="rEINTEGROS",7,
IF(V4479="BIT",90,
IF(V4479="OP GRADO - INGLÉS",17,"")))))</f>
        <v>31</v>
      </c>
      <c r="X4479" t="s">
        <v>4929</v>
      </c>
    </row>
    <row r="4480" spans="1:24" x14ac:dyDescent="0.3">
      <c r="A4480" s="4">
        <v>46127</v>
      </c>
      <c r="B4480">
        <v>20131228</v>
      </c>
      <c r="C4480" t="s">
        <v>19</v>
      </c>
      <c r="D4480">
        <v>614699</v>
      </c>
      <c r="E4480" t="s">
        <v>20</v>
      </c>
      <c r="F4480">
        <v>40041572</v>
      </c>
      <c r="G4480" t="s">
        <v>4631</v>
      </c>
      <c r="H4480">
        <v>100250965</v>
      </c>
      <c r="I4480">
        <v>202632</v>
      </c>
      <c r="J4480">
        <v>1055524069</v>
      </c>
      <c r="K4480" t="s">
        <v>33</v>
      </c>
      <c r="L4480" t="s">
        <v>90</v>
      </c>
      <c r="M4480" t="s">
        <v>24</v>
      </c>
      <c r="N4480" t="s">
        <v>25</v>
      </c>
      <c r="O4480" t="s">
        <v>26</v>
      </c>
      <c r="P4480" t="s">
        <v>27</v>
      </c>
      <c r="Q4480" t="s">
        <v>28</v>
      </c>
      <c r="R4480" t="s">
        <v>29</v>
      </c>
      <c r="S4480" t="s">
        <v>793</v>
      </c>
      <c r="T4480">
        <f>_xlfn.XLOOKUP(X4480,Hoja2!D:D,Hoja2!A:A)</f>
        <v>39666517</v>
      </c>
      <c r="U4480" t="str">
        <f>_xlfn.XLOOKUP(X4480,Hoja2!D:D,Hoja2!B:B)</f>
        <v>PAOLA ANDREA CALDERON CETINA</v>
      </c>
      <c r="V4480" t="str">
        <f>_xlfn.XLOOKUP(X4480,Hoja2!D:D,Hoja2!C:C)</f>
        <v>PREGRADO</v>
      </c>
      <c r="W4480" s="9">
        <f>IF(V4480="pregrado",31,
IF(V4480="posgrados",31,
IF(V4480="rEINTEGROS",7,
IF(V4480="BIT",90,
IF(V4480="OP GRADO - INGLÉS",17,"")))))</f>
        <v>31</v>
      </c>
      <c r="X4480" t="s">
        <v>4025</v>
      </c>
    </row>
    <row r="4481" spans="1:24" x14ac:dyDescent="0.3">
      <c r="A4481" s="4">
        <v>46135</v>
      </c>
      <c r="B4481">
        <v>20132039</v>
      </c>
      <c r="C4481" t="s">
        <v>19</v>
      </c>
      <c r="D4481">
        <v>614704</v>
      </c>
      <c r="E4481" t="s">
        <v>20</v>
      </c>
      <c r="F4481">
        <v>14472651</v>
      </c>
      <c r="G4481" t="s">
        <v>4805</v>
      </c>
      <c r="H4481">
        <v>100129237</v>
      </c>
      <c r="I4481">
        <v>202612</v>
      </c>
      <c r="J4481">
        <v>1111759353</v>
      </c>
      <c r="K4481" t="s">
        <v>23</v>
      </c>
      <c r="L4481" t="s">
        <v>221</v>
      </c>
      <c r="M4481" t="s">
        <v>24</v>
      </c>
      <c r="N4481" t="s">
        <v>35</v>
      </c>
      <c r="O4481" t="s">
        <v>26</v>
      </c>
      <c r="P4481" t="s">
        <v>27</v>
      </c>
      <c r="Q4481" t="s">
        <v>28</v>
      </c>
      <c r="R4481" t="s">
        <v>29</v>
      </c>
      <c r="S4481" t="s">
        <v>793</v>
      </c>
      <c r="T4481">
        <f>_xlfn.XLOOKUP(X4481,Hoja2!D:D,Hoja2!A:A)</f>
        <v>1013662799</v>
      </c>
      <c r="U4481" t="str">
        <f>_xlfn.XLOOKUP(X4481,Hoja2!D:D,Hoja2!B:B)</f>
        <v>NELSON JAVIER MORERA RINCON</v>
      </c>
      <c r="V4481" t="str">
        <f>_xlfn.XLOOKUP(X4481,Hoja2!D:D,Hoja2!C:C)</f>
        <v>PREGRADO</v>
      </c>
      <c r="W4481" s="9">
        <f>IF(V4481="pregrado",31,
IF(V4481="posgrados",31,
IF(V4481="rEINTEGROS",7,
IF(V4481="BIT",90,
IF(V4481="OP GRADO - INGLÉS",17,"")))))</f>
        <v>31</v>
      </c>
      <c r="X4481" t="s">
        <v>4021</v>
      </c>
    </row>
    <row r="4482" spans="1:24" x14ac:dyDescent="0.3">
      <c r="A4482" s="4">
        <v>46127</v>
      </c>
      <c r="B4482">
        <v>20131213</v>
      </c>
      <c r="C4482" t="s">
        <v>19</v>
      </c>
      <c r="D4482">
        <v>614708</v>
      </c>
      <c r="E4482" t="s">
        <v>20</v>
      </c>
      <c r="F4482">
        <v>1233695571</v>
      </c>
      <c r="G4482" t="s">
        <v>4626</v>
      </c>
      <c r="H4482">
        <v>200270306</v>
      </c>
      <c r="I4482">
        <v>202632</v>
      </c>
      <c r="J4482">
        <v>1233695571</v>
      </c>
      <c r="K4482" t="s">
        <v>23</v>
      </c>
      <c r="L4482" t="s">
        <v>219</v>
      </c>
      <c r="M4482" t="s">
        <v>24</v>
      </c>
      <c r="N4482" t="s">
        <v>35</v>
      </c>
      <c r="O4482" t="s">
        <v>26</v>
      </c>
      <c r="P4482" t="s">
        <v>27</v>
      </c>
      <c r="Q4482" t="s">
        <v>28</v>
      </c>
      <c r="R4482" t="s">
        <v>29</v>
      </c>
      <c r="S4482" t="s">
        <v>793</v>
      </c>
      <c r="T4482">
        <f>_xlfn.XLOOKUP(X4482,Hoja2!D:D,Hoja2!A:A)</f>
        <v>1099215811</v>
      </c>
      <c r="U4482" t="str">
        <f>_xlfn.XLOOKUP(X4482,Hoja2!D:D,Hoja2!B:B)</f>
        <v>Heidy Lorena Prieto Ahumada</v>
      </c>
      <c r="V4482" t="str">
        <f>_xlfn.XLOOKUP(X4482,Hoja2!D:D,Hoja2!C:C)</f>
        <v>PREGRADO</v>
      </c>
      <c r="W4482" s="9">
        <f>IF(V4482="pregrado",31,
IF(V4482="posgrados",31,
IF(V4482="rEINTEGROS",7,
IF(V4482="BIT",90,
IF(V4482="OP GRADO - INGLÉS",17,"")))))</f>
        <v>31</v>
      </c>
      <c r="X4482" t="s">
        <v>4928</v>
      </c>
    </row>
    <row r="4483" spans="1:24" x14ac:dyDescent="0.3">
      <c r="A4483" s="4">
        <v>46128</v>
      </c>
      <c r="B4483">
        <v>20131365</v>
      </c>
      <c r="C4483" t="s">
        <v>19</v>
      </c>
      <c r="D4483">
        <v>614711</v>
      </c>
      <c r="E4483" t="s">
        <v>20</v>
      </c>
      <c r="F4483">
        <v>1040040022</v>
      </c>
      <c r="G4483" t="s">
        <v>4652</v>
      </c>
      <c r="H4483">
        <v>100250981</v>
      </c>
      <c r="I4483">
        <v>202612</v>
      </c>
      <c r="J4483">
        <v>1040040022</v>
      </c>
      <c r="K4483" t="s">
        <v>23</v>
      </c>
      <c r="L4483" t="s">
        <v>221</v>
      </c>
      <c r="M4483" t="s">
        <v>24</v>
      </c>
      <c r="N4483" t="s">
        <v>35</v>
      </c>
      <c r="O4483" t="s">
        <v>26</v>
      </c>
      <c r="P4483" t="s">
        <v>27</v>
      </c>
      <c r="Q4483" t="s">
        <v>28</v>
      </c>
      <c r="R4483" t="s">
        <v>29</v>
      </c>
      <c r="S4483" t="s">
        <v>793</v>
      </c>
      <c r="T4483">
        <f>_xlfn.XLOOKUP(X4483,Hoja2!D:D,Hoja2!A:A)</f>
        <v>10006855461</v>
      </c>
      <c r="U4483" t="str">
        <f>_xlfn.XLOOKUP(X4483,Hoja2!D:D,Hoja2!B:B)</f>
        <v>NELSON JAVIER MORERA RINCON</v>
      </c>
      <c r="V4483" t="str">
        <f>_xlfn.XLOOKUP(X4483,Hoja2!D:D,Hoja2!C:C)</f>
        <v>PREGRADO</v>
      </c>
      <c r="W4483" s="9">
        <f>IF(V4483="pregrado",31,
IF(V4483="posgrados",31,
IF(V4483="rEINTEGROS",7,
IF(V4483="BIT",90,
IF(V4483="OP GRADO - INGLÉS",17,"")))))</f>
        <v>31</v>
      </c>
      <c r="X4483" t="s">
        <v>3993</v>
      </c>
    </row>
    <row r="4484" spans="1:24" x14ac:dyDescent="0.3">
      <c r="A4484" s="4">
        <v>46134</v>
      </c>
      <c r="B4484">
        <v>20131918</v>
      </c>
      <c r="C4484" t="s">
        <v>19</v>
      </c>
      <c r="D4484">
        <v>614716</v>
      </c>
      <c r="E4484" t="s">
        <v>20</v>
      </c>
      <c r="F4484">
        <v>11431741</v>
      </c>
      <c r="G4484" t="s">
        <v>4775</v>
      </c>
      <c r="H4484">
        <v>100250985</v>
      </c>
      <c r="I4484">
        <v>202632</v>
      </c>
      <c r="J4484">
        <v>1070961609</v>
      </c>
      <c r="K4484" t="s">
        <v>83</v>
      </c>
      <c r="L4484" t="s">
        <v>240</v>
      </c>
      <c r="M4484" t="s">
        <v>24</v>
      </c>
      <c r="N4484" t="s">
        <v>25</v>
      </c>
      <c r="O4484" t="s">
        <v>26</v>
      </c>
      <c r="P4484" t="s">
        <v>27</v>
      </c>
      <c r="Q4484" t="s">
        <v>28</v>
      </c>
      <c r="R4484" t="s">
        <v>29</v>
      </c>
      <c r="S4484" t="s">
        <v>793</v>
      </c>
      <c r="T4484">
        <f>_xlfn.XLOOKUP(X4484,Hoja2!D:D,Hoja2!A:A)</f>
        <v>1030570122</v>
      </c>
      <c r="U4484" t="str">
        <f>_xlfn.XLOOKUP(X4484,Hoja2!D:D,Hoja2!B:B)</f>
        <v>NELSON JAVIER MORERA RINCON</v>
      </c>
      <c r="V4484" t="str">
        <f>_xlfn.XLOOKUP(X4484,Hoja2!D:D,Hoja2!C:C)</f>
        <v>PREGRADO</v>
      </c>
      <c r="W4484" s="9">
        <f>IF(V4484="pregrado",31,
IF(V4484="posgrados",31,
IF(V4484="rEINTEGROS",7,
IF(V4484="BIT",90,
IF(V4484="OP GRADO - INGLÉS",17,"")))))</f>
        <v>31</v>
      </c>
      <c r="X4484" t="s">
        <v>4015</v>
      </c>
    </row>
    <row r="4485" spans="1:24" x14ac:dyDescent="0.3">
      <c r="A4485" s="4">
        <v>46127</v>
      </c>
      <c r="B4485">
        <v>20131163</v>
      </c>
      <c r="C4485" t="s">
        <v>19</v>
      </c>
      <c r="D4485">
        <v>614719</v>
      </c>
      <c r="E4485" t="s">
        <v>20</v>
      </c>
      <c r="F4485">
        <v>87710864</v>
      </c>
      <c r="G4485" t="s">
        <v>4613</v>
      </c>
      <c r="H4485">
        <v>100250951</v>
      </c>
      <c r="I4485">
        <v>202632</v>
      </c>
      <c r="J4485">
        <v>1085897172</v>
      </c>
      <c r="K4485" t="s">
        <v>23</v>
      </c>
      <c r="L4485" t="s">
        <v>240</v>
      </c>
      <c r="M4485" t="s">
        <v>24</v>
      </c>
      <c r="N4485" t="s">
        <v>35</v>
      </c>
      <c r="O4485" t="s">
        <v>26</v>
      </c>
      <c r="P4485" t="s">
        <v>27</v>
      </c>
      <c r="Q4485" t="s">
        <v>28</v>
      </c>
      <c r="R4485" t="s">
        <v>29</v>
      </c>
      <c r="S4485" t="s">
        <v>793</v>
      </c>
      <c r="T4485">
        <f>_xlfn.XLOOKUP(X4485,Hoja2!D:D,Hoja2!A:A)</f>
        <v>1013662799</v>
      </c>
      <c r="U4485" t="str">
        <f>_xlfn.XLOOKUP(X4485,Hoja2!D:D,Hoja2!B:B)</f>
        <v>NELSON JAVIER MORERA RINCON</v>
      </c>
      <c r="V4485" t="str">
        <f>_xlfn.XLOOKUP(X4485,Hoja2!D:D,Hoja2!C:C)</f>
        <v>PREGRADO</v>
      </c>
      <c r="W4485" s="9">
        <f>IF(V4485="pregrado",31,
IF(V4485="posgrados",31,
IF(V4485="rEINTEGROS",7,
IF(V4485="BIT",90,
IF(V4485="OP GRADO - INGLÉS",17,"")))))</f>
        <v>31</v>
      </c>
      <c r="X4485" t="s">
        <v>4021</v>
      </c>
    </row>
    <row r="4486" spans="1:24" x14ac:dyDescent="0.3">
      <c r="A4486" s="4">
        <v>46135</v>
      </c>
      <c r="B4486">
        <v>20132075</v>
      </c>
      <c r="C4486" t="s">
        <v>19</v>
      </c>
      <c r="D4486">
        <v>614736</v>
      </c>
      <c r="E4486" t="s">
        <v>20</v>
      </c>
      <c r="F4486">
        <v>1022392357</v>
      </c>
      <c r="G4486" t="s">
        <v>4818</v>
      </c>
      <c r="H4486">
        <v>100251014</v>
      </c>
      <c r="I4486">
        <v>202632</v>
      </c>
      <c r="J4486">
        <v>1022392357</v>
      </c>
      <c r="K4486" t="s">
        <v>23</v>
      </c>
      <c r="L4486" t="s">
        <v>51</v>
      </c>
      <c r="M4486" t="s">
        <v>24</v>
      </c>
      <c r="N4486" t="s">
        <v>35</v>
      </c>
      <c r="O4486" t="s">
        <v>26</v>
      </c>
      <c r="P4486" t="s">
        <v>27</v>
      </c>
      <c r="Q4486" t="s">
        <v>28</v>
      </c>
      <c r="R4486" t="s">
        <v>29</v>
      </c>
      <c r="S4486" t="s">
        <v>793</v>
      </c>
      <c r="T4486">
        <f>_xlfn.XLOOKUP(X4486,Hoja2!D:D,Hoja2!A:A)</f>
        <v>1002500634</v>
      </c>
      <c r="U4486" t="str">
        <f>_xlfn.XLOOKUP(X4486,Hoja2!D:D,Hoja2!B:B)</f>
        <v>CATALINA PACHECO BURGOS</v>
      </c>
      <c r="V4486" t="str">
        <f>_xlfn.XLOOKUP(X4486,Hoja2!D:D,Hoja2!C:C)</f>
        <v>PREGRADO</v>
      </c>
      <c r="W4486" s="9">
        <f>IF(V4486="pregrado",31,
IF(V4486="posgrados",31,
IF(V4486="rEINTEGROS",7,
IF(V4486="BIT",90,
IF(V4486="OP GRADO - INGLÉS",17,"")))))</f>
        <v>31</v>
      </c>
      <c r="X4486" t="s">
        <v>4026</v>
      </c>
    </row>
    <row r="4487" spans="1:24" x14ac:dyDescent="0.3">
      <c r="A4487" s="4">
        <v>46136</v>
      </c>
      <c r="B4487">
        <v>20132150</v>
      </c>
      <c r="C4487" t="s">
        <v>19</v>
      </c>
      <c r="D4487">
        <v>614756</v>
      </c>
      <c r="E4487" t="s">
        <v>20</v>
      </c>
      <c r="F4487">
        <v>1002460181</v>
      </c>
      <c r="G4487" t="s">
        <v>4833</v>
      </c>
      <c r="H4487">
        <v>200083471</v>
      </c>
      <c r="I4487">
        <v>202632</v>
      </c>
      <c r="J4487">
        <v>1002460181</v>
      </c>
      <c r="K4487" t="s">
        <v>33</v>
      </c>
      <c r="L4487" t="s">
        <v>119</v>
      </c>
      <c r="M4487" t="s">
        <v>24</v>
      </c>
      <c r="N4487" t="s">
        <v>35</v>
      </c>
      <c r="O4487" t="s">
        <v>26</v>
      </c>
      <c r="P4487" t="s">
        <v>27</v>
      </c>
      <c r="Q4487" t="s">
        <v>28</v>
      </c>
      <c r="R4487" t="s">
        <v>29</v>
      </c>
      <c r="S4487" t="s">
        <v>793</v>
      </c>
      <c r="T4487">
        <f>_xlfn.XLOOKUP(X4487,Hoja2!D:D,Hoja2!A:A)</f>
        <v>52876433</v>
      </c>
      <c r="U4487" t="str">
        <f>_xlfn.XLOOKUP(X4487,Hoja2!D:D,Hoja2!B:B)</f>
        <v>CATALINA PACHECO BURGOS</v>
      </c>
      <c r="V4487" t="str">
        <f>_xlfn.XLOOKUP(X4487,Hoja2!D:D,Hoja2!C:C)</f>
        <v>PREGRADO</v>
      </c>
      <c r="W4487" s="9">
        <f>IF(V4487="pregrado",31,
IF(V4487="posgrados",31,
IF(V4487="rEINTEGROS",7,
IF(V4487="BIT",90,
IF(V4487="OP GRADO - INGLÉS",17,"")))))</f>
        <v>31</v>
      </c>
      <c r="X4487" t="s">
        <v>4078</v>
      </c>
    </row>
    <row r="4488" spans="1:24" x14ac:dyDescent="0.3">
      <c r="A4488" s="4">
        <v>46127</v>
      </c>
      <c r="B4488">
        <v>20131200</v>
      </c>
      <c r="C4488" t="s">
        <v>19</v>
      </c>
      <c r="D4488">
        <v>614781</v>
      </c>
      <c r="E4488" t="s">
        <v>20</v>
      </c>
      <c r="F4488">
        <v>1007400329</v>
      </c>
      <c r="G4488" t="s">
        <v>4624</v>
      </c>
      <c r="H4488">
        <v>100251051</v>
      </c>
      <c r="I4488">
        <v>202632</v>
      </c>
      <c r="J4488">
        <v>1007400329</v>
      </c>
      <c r="K4488" t="s">
        <v>33</v>
      </c>
      <c r="L4488" t="s">
        <v>127</v>
      </c>
      <c r="M4488" t="s">
        <v>24</v>
      </c>
      <c r="N4488" t="s">
        <v>25</v>
      </c>
      <c r="O4488" t="s">
        <v>26</v>
      </c>
      <c r="P4488" t="s">
        <v>27</v>
      </c>
      <c r="Q4488" t="s">
        <v>28</v>
      </c>
      <c r="R4488" t="s">
        <v>29</v>
      </c>
      <c r="S4488" t="s">
        <v>793</v>
      </c>
      <c r="T4488">
        <f>_xlfn.XLOOKUP(X4488,Hoja2!D:D,Hoja2!A:A)</f>
        <v>10245841021</v>
      </c>
      <c r="U4488" t="str">
        <f>_xlfn.XLOOKUP(X4488,Hoja2!D:D,Hoja2!B:B)</f>
        <v>PAOLA ANDREA CALDERON CETINA</v>
      </c>
      <c r="V4488" t="str">
        <f>_xlfn.XLOOKUP(X4488,Hoja2!D:D,Hoja2!C:C)</f>
        <v>PREGRADO</v>
      </c>
      <c r="W4488" s="9">
        <f>IF(V4488="pregrado",31,
IF(V4488="posgrados",31,
IF(V4488="rEINTEGROS",7,
IF(V4488="BIT",90,
IF(V4488="OP GRADO - INGLÉS",17,"")))))</f>
        <v>31</v>
      </c>
      <c r="X4488" t="s">
        <v>3987</v>
      </c>
    </row>
    <row r="4489" spans="1:24" x14ac:dyDescent="0.3">
      <c r="A4489" s="4">
        <v>46128</v>
      </c>
      <c r="B4489">
        <v>20131266</v>
      </c>
      <c r="C4489" t="s">
        <v>19</v>
      </c>
      <c r="D4489">
        <v>614795</v>
      </c>
      <c r="E4489" t="s">
        <v>20</v>
      </c>
      <c r="F4489">
        <v>1087841374</v>
      </c>
      <c r="G4489" t="s">
        <v>4634</v>
      </c>
      <c r="H4489">
        <v>100251065</v>
      </c>
      <c r="I4489">
        <v>202632</v>
      </c>
      <c r="J4489">
        <v>1193243885</v>
      </c>
      <c r="K4489" t="s">
        <v>33</v>
      </c>
      <c r="L4489" t="s">
        <v>90</v>
      </c>
      <c r="M4489" t="s">
        <v>24</v>
      </c>
      <c r="N4489" t="s">
        <v>25</v>
      </c>
      <c r="O4489" t="s">
        <v>26</v>
      </c>
      <c r="P4489" t="s">
        <v>27</v>
      </c>
      <c r="Q4489" t="s">
        <v>28</v>
      </c>
      <c r="R4489" t="s">
        <v>29</v>
      </c>
      <c r="S4489" t="s">
        <v>793</v>
      </c>
      <c r="T4489">
        <f>_xlfn.XLOOKUP(X4489,Hoja2!D:D,Hoja2!A:A)</f>
        <v>39666517</v>
      </c>
      <c r="U4489" t="str">
        <f>_xlfn.XLOOKUP(X4489,Hoja2!D:D,Hoja2!B:B)</f>
        <v>PAOLA ANDREA CALDERON CETINA</v>
      </c>
      <c r="V4489" t="str">
        <f>_xlfn.XLOOKUP(X4489,Hoja2!D:D,Hoja2!C:C)</f>
        <v>PREGRADO</v>
      </c>
      <c r="W4489" s="9">
        <f>IF(V4489="pregrado",31,
IF(V4489="posgrados",31,
IF(V4489="rEINTEGROS",7,
IF(V4489="BIT",90,
IF(V4489="OP GRADO - INGLÉS",17,"")))))</f>
        <v>31</v>
      </c>
      <c r="X4489" t="s">
        <v>4025</v>
      </c>
    </row>
    <row r="4490" spans="1:24" x14ac:dyDescent="0.3">
      <c r="A4490" s="4">
        <v>46132</v>
      </c>
      <c r="B4490">
        <v>20131650</v>
      </c>
      <c r="C4490" t="s">
        <v>19</v>
      </c>
      <c r="D4490">
        <v>614820</v>
      </c>
      <c r="E4490" t="s">
        <v>20</v>
      </c>
      <c r="F4490">
        <v>1104135585</v>
      </c>
      <c r="G4490" t="s">
        <v>4718</v>
      </c>
      <c r="H4490">
        <v>100251094</v>
      </c>
      <c r="I4490">
        <v>202612</v>
      </c>
      <c r="J4490">
        <v>1104135585</v>
      </c>
      <c r="K4490" t="s">
        <v>23</v>
      </c>
      <c r="L4490" t="s">
        <v>221</v>
      </c>
      <c r="M4490" t="s">
        <v>24</v>
      </c>
      <c r="N4490" t="s">
        <v>25</v>
      </c>
      <c r="O4490" t="s">
        <v>26</v>
      </c>
      <c r="P4490" t="s">
        <v>27</v>
      </c>
      <c r="Q4490" t="s">
        <v>28</v>
      </c>
      <c r="R4490" t="s">
        <v>29</v>
      </c>
      <c r="S4490" t="s">
        <v>793</v>
      </c>
      <c r="T4490">
        <f>_xlfn.XLOOKUP(X4490,Hoja2!D:D,Hoja2!A:A)</f>
        <v>1073692626</v>
      </c>
      <c r="U4490" t="str">
        <f>_xlfn.XLOOKUP(X4490,Hoja2!D:D,Hoja2!B:B)</f>
        <v>NELSON JAVIER MORERA RINCON</v>
      </c>
      <c r="V4490" t="str">
        <f>_xlfn.XLOOKUP(X4490,Hoja2!D:D,Hoja2!C:C)</f>
        <v>PREGRADO</v>
      </c>
      <c r="W4490" s="9">
        <f>IF(V4490="pregrado",31,
IF(V4490="posgrados",31,
IF(V4490="rEINTEGROS",7,
IF(V4490="BIT",90,
IF(V4490="OP GRADO - INGLÉS",17,"")))))</f>
        <v>31</v>
      </c>
      <c r="X4490" t="s">
        <v>4014</v>
      </c>
    </row>
    <row r="4491" spans="1:24" x14ac:dyDescent="0.3">
      <c r="A4491" s="4">
        <v>46135</v>
      </c>
      <c r="B4491">
        <v>20132027</v>
      </c>
      <c r="C4491" t="s">
        <v>19</v>
      </c>
      <c r="D4491">
        <v>614821</v>
      </c>
      <c r="E4491" t="s">
        <v>20</v>
      </c>
      <c r="F4491">
        <v>15904920</v>
      </c>
      <c r="G4491" t="s">
        <v>4802</v>
      </c>
      <c r="H4491">
        <v>200273003</v>
      </c>
      <c r="I4491">
        <v>202632</v>
      </c>
      <c r="J4491">
        <v>1053857064</v>
      </c>
      <c r="K4491" t="s">
        <v>23</v>
      </c>
      <c r="L4491" t="s">
        <v>101</v>
      </c>
      <c r="M4491" t="s">
        <v>24</v>
      </c>
      <c r="N4491" t="s">
        <v>35</v>
      </c>
      <c r="O4491" t="s">
        <v>26</v>
      </c>
      <c r="P4491" t="s">
        <v>27</v>
      </c>
      <c r="Q4491" t="s">
        <v>28</v>
      </c>
      <c r="R4491" t="s">
        <v>29</v>
      </c>
      <c r="S4491" t="s">
        <v>793</v>
      </c>
      <c r="T4491">
        <f>_xlfn.XLOOKUP(X4491,Hoja2!D:D,Hoja2!A:A)</f>
        <v>1023975276</v>
      </c>
      <c r="U4491" t="str">
        <f>_xlfn.XLOOKUP(X4491,Hoja2!D:D,Hoja2!B:B)</f>
        <v>MARSHIA MILENA JIMéNEZ GóMEZ</v>
      </c>
      <c r="V4491" t="str">
        <f>_xlfn.XLOOKUP(X4491,Hoja2!D:D,Hoja2!C:C)</f>
        <v>PREGRADO</v>
      </c>
      <c r="W4491" s="9">
        <f>IF(V4491="pregrado",31,
IF(V4491="posgrados",31,
IF(V4491="rEINTEGROS",7,
IF(V4491="BIT",90,
IF(V4491="OP GRADO - INGLÉS",17,"")))))</f>
        <v>31</v>
      </c>
      <c r="X4491" t="s">
        <v>3962</v>
      </c>
    </row>
    <row r="4492" spans="1:24" x14ac:dyDescent="0.3">
      <c r="A4492" s="4">
        <v>46130</v>
      </c>
      <c r="B4492">
        <v>20131610</v>
      </c>
      <c r="C4492" t="s">
        <v>19</v>
      </c>
      <c r="D4492">
        <v>614830</v>
      </c>
      <c r="E4492" t="s">
        <v>20</v>
      </c>
      <c r="F4492">
        <v>1038436522</v>
      </c>
      <c r="G4492" t="s">
        <v>4708</v>
      </c>
      <c r="H4492">
        <v>100251103</v>
      </c>
      <c r="I4492">
        <v>202612</v>
      </c>
      <c r="J4492">
        <v>1001161396</v>
      </c>
      <c r="K4492" t="s">
        <v>74</v>
      </c>
      <c r="L4492" t="s">
        <v>221</v>
      </c>
      <c r="M4492" t="s">
        <v>24</v>
      </c>
      <c r="N4492" t="s">
        <v>35</v>
      </c>
      <c r="O4492" t="s">
        <v>26</v>
      </c>
      <c r="P4492" t="s">
        <v>27</v>
      </c>
      <c r="Q4492" t="s">
        <v>28</v>
      </c>
      <c r="R4492" t="s">
        <v>29</v>
      </c>
      <c r="S4492" t="s">
        <v>793</v>
      </c>
      <c r="T4492">
        <f>_xlfn.XLOOKUP(X4492,Hoja2!D:D,Hoja2!A:A)</f>
        <v>52342867</v>
      </c>
      <c r="U4492" t="str">
        <f>_xlfn.XLOOKUP(X4492,Hoja2!D:D,Hoja2!B:B)</f>
        <v>NELSON JAVIER MORERA RINCON</v>
      </c>
      <c r="V4492" t="str">
        <f>_xlfn.XLOOKUP(X4492,Hoja2!D:D,Hoja2!C:C)</f>
        <v>PREGRADO</v>
      </c>
      <c r="W4492" s="9">
        <f>IF(V4492="pregrado",31,
IF(V4492="posgrados",31,
IF(V4492="rEINTEGROS",7,
IF(V4492="BIT",90,
IF(V4492="OP GRADO - INGLÉS",17,"")))))</f>
        <v>31</v>
      </c>
      <c r="X4492" t="s">
        <v>4047</v>
      </c>
    </row>
    <row r="4493" spans="1:24" x14ac:dyDescent="0.3">
      <c r="A4493" s="4">
        <v>46129</v>
      </c>
      <c r="B4493">
        <v>20131432</v>
      </c>
      <c r="C4493" t="s">
        <v>19</v>
      </c>
      <c r="D4493">
        <v>614836</v>
      </c>
      <c r="E4493" t="s">
        <v>20</v>
      </c>
      <c r="F4493">
        <v>1000128840</v>
      </c>
      <c r="G4493" t="s">
        <v>4672</v>
      </c>
      <c r="H4493">
        <v>100251109</v>
      </c>
      <c r="I4493">
        <v>202632</v>
      </c>
      <c r="J4493">
        <v>1000128840</v>
      </c>
      <c r="K4493" t="s">
        <v>33</v>
      </c>
      <c r="L4493" t="s">
        <v>207</v>
      </c>
      <c r="M4493" t="s">
        <v>24</v>
      </c>
      <c r="N4493" t="s">
        <v>25</v>
      </c>
      <c r="O4493" t="s">
        <v>26</v>
      </c>
      <c r="P4493" t="s">
        <v>27</v>
      </c>
      <c r="Q4493" t="s">
        <v>28</v>
      </c>
      <c r="R4493" t="s">
        <v>29</v>
      </c>
      <c r="S4493" t="s">
        <v>793</v>
      </c>
      <c r="T4493">
        <f>_xlfn.XLOOKUP(X4493,Hoja2!D:D,Hoja2!A:A)</f>
        <v>1002500634</v>
      </c>
      <c r="U4493" t="str">
        <f>_xlfn.XLOOKUP(X4493,Hoja2!D:D,Hoja2!B:B)</f>
        <v>CATALINA PACHECO BURGOS</v>
      </c>
      <c r="V4493" t="str">
        <f>_xlfn.XLOOKUP(X4493,Hoja2!D:D,Hoja2!C:C)</f>
        <v>PREGRADO</v>
      </c>
      <c r="W4493" s="9">
        <f>IF(V4493="pregrado",31,
IF(V4493="posgrados",31,
IF(V4493="rEINTEGROS",7,
IF(V4493="BIT",90,
IF(V4493="OP GRADO - INGLÉS",17,"")))))</f>
        <v>31</v>
      </c>
      <c r="X4493" t="s">
        <v>4026</v>
      </c>
    </row>
    <row r="4494" spans="1:24" x14ac:dyDescent="0.3">
      <c r="A4494" s="4">
        <v>46133</v>
      </c>
      <c r="B4494">
        <v>20131763</v>
      </c>
      <c r="C4494" t="s">
        <v>19</v>
      </c>
      <c r="D4494">
        <v>614842</v>
      </c>
      <c r="E4494" t="s">
        <v>20</v>
      </c>
      <c r="F4494">
        <v>1075663058</v>
      </c>
      <c r="G4494" t="s">
        <v>4737</v>
      </c>
      <c r="H4494">
        <v>100251114</v>
      </c>
      <c r="I4494">
        <v>202632</v>
      </c>
      <c r="J4494">
        <v>1075663058</v>
      </c>
      <c r="K4494" t="s">
        <v>33</v>
      </c>
      <c r="L4494" t="s">
        <v>207</v>
      </c>
      <c r="M4494" t="s">
        <v>24</v>
      </c>
      <c r="N4494" t="s">
        <v>25</v>
      </c>
      <c r="O4494" t="s">
        <v>26</v>
      </c>
      <c r="P4494" t="s">
        <v>27</v>
      </c>
      <c r="Q4494" t="s">
        <v>28</v>
      </c>
      <c r="R4494" t="s">
        <v>29</v>
      </c>
      <c r="S4494" t="s">
        <v>793</v>
      </c>
      <c r="T4494">
        <f>_xlfn.XLOOKUP(X4494,Hoja2!D:D,Hoja2!A:A)</f>
        <v>1002500634</v>
      </c>
      <c r="U4494" t="str">
        <f>_xlfn.XLOOKUP(X4494,Hoja2!D:D,Hoja2!B:B)</f>
        <v>CATALINA PACHECO BURGOS</v>
      </c>
      <c r="V4494" t="str">
        <f>_xlfn.XLOOKUP(X4494,Hoja2!D:D,Hoja2!C:C)</f>
        <v>PREGRADO</v>
      </c>
      <c r="W4494" s="9">
        <f>IF(V4494="pregrado",31,
IF(V4494="posgrados",31,
IF(V4494="rEINTEGROS",7,
IF(V4494="BIT",90,
IF(V4494="OP GRADO - INGLÉS",17,"")))))</f>
        <v>31</v>
      </c>
      <c r="X4494" t="s">
        <v>4026</v>
      </c>
    </row>
    <row r="4495" spans="1:24" x14ac:dyDescent="0.3">
      <c r="A4495" s="4">
        <v>46139</v>
      </c>
      <c r="B4495">
        <v>20132309</v>
      </c>
      <c r="C4495" t="s">
        <v>19</v>
      </c>
      <c r="D4495">
        <v>614850</v>
      </c>
      <c r="E4495" t="s">
        <v>20</v>
      </c>
      <c r="F4495">
        <v>22028923</v>
      </c>
      <c r="G4495" t="s">
        <v>4858</v>
      </c>
      <c r="H4495">
        <v>100251119</v>
      </c>
      <c r="I4495">
        <v>202632</v>
      </c>
      <c r="J4495">
        <v>1020116410</v>
      </c>
      <c r="K4495" t="s">
        <v>33</v>
      </c>
      <c r="L4495" t="s">
        <v>90</v>
      </c>
      <c r="M4495" t="s">
        <v>24</v>
      </c>
      <c r="N4495" t="s">
        <v>4859</v>
      </c>
      <c r="O4495" t="s">
        <v>26</v>
      </c>
      <c r="P4495" t="s">
        <v>4183</v>
      </c>
      <c r="Q4495" t="s">
        <v>28</v>
      </c>
      <c r="R4495" t="s">
        <v>29</v>
      </c>
      <c r="S4495" t="s">
        <v>793</v>
      </c>
      <c r="T4495">
        <f>_xlfn.XLOOKUP(X4495,Hoja2!D:D,Hoja2!A:A)</f>
        <v>1010081108</v>
      </c>
      <c r="U4495" t="str">
        <f>_xlfn.XLOOKUP(X4495,Hoja2!D:D,Hoja2!B:B)</f>
        <v>HEIDY LORENA PRIETO AHUMADA</v>
      </c>
      <c r="V4495" t="str">
        <f>_xlfn.XLOOKUP(X4495,Hoja2!D:D,Hoja2!C:C)</f>
        <v>PREGRADO</v>
      </c>
      <c r="W4495" s="9">
        <f>IF(V4495="pregrado",31,
IF(V4495="posgrados",31,
IF(V4495="rEINTEGROS",7,
IF(V4495="BIT",90,
IF(V4495="OP GRADO - INGLÉS",17,"")))))</f>
        <v>31</v>
      </c>
      <c r="X4495" t="s">
        <v>4009</v>
      </c>
    </row>
    <row r="4496" spans="1:24" x14ac:dyDescent="0.3">
      <c r="A4496" s="4">
        <v>46128</v>
      </c>
      <c r="B4496">
        <v>20131379</v>
      </c>
      <c r="C4496" t="s">
        <v>19</v>
      </c>
      <c r="D4496">
        <v>614854</v>
      </c>
      <c r="E4496" t="s">
        <v>20</v>
      </c>
      <c r="F4496">
        <v>1193083800</v>
      </c>
      <c r="G4496" t="s">
        <v>4655</v>
      </c>
      <c r="H4496">
        <v>100251124</v>
      </c>
      <c r="I4496">
        <v>202632</v>
      </c>
      <c r="J4496">
        <v>1193083800</v>
      </c>
      <c r="K4496" t="s">
        <v>23</v>
      </c>
      <c r="L4496" t="s">
        <v>240</v>
      </c>
      <c r="M4496" t="s">
        <v>24</v>
      </c>
      <c r="N4496" t="s">
        <v>35</v>
      </c>
      <c r="O4496" t="s">
        <v>26</v>
      </c>
      <c r="P4496" t="s">
        <v>27</v>
      </c>
      <c r="Q4496" t="s">
        <v>28</v>
      </c>
      <c r="R4496" t="s">
        <v>29</v>
      </c>
      <c r="S4496" t="s">
        <v>793</v>
      </c>
      <c r="T4496">
        <f>_xlfn.XLOOKUP(X4496,Hoja2!D:D,Hoja2!A:A)</f>
        <v>1030651078</v>
      </c>
      <c r="U4496" t="str">
        <f>_xlfn.XLOOKUP(X4496,Hoja2!D:D,Hoja2!B:B)</f>
        <v>NELSON JAVIER MORERA RINCON</v>
      </c>
      <c r="V4496" t="str">
        <f>_xlfn.XLOOKUP(X4496,Hoja2!D:D,Hoja2!C:C)</f>
        <v>PREGRADO</v>
      </c>
      <c r="W4496" s="9">
        <f>IF(V4496="pregrado",31,
IF(V4496="posgrados",31,
IF(V4496="rEINTEGROS",7,
IF(V4496="BIT",90,
IF(V4496="OP GRADO - INGLÉS",17,"")))))</f>
        <v>31</v>
      </c>
      <c r="X4496" t="s">
        <v>4085</v>
      </c>
    </row>
    <row r="4497" spans="1:24" x14ac:dyDescent="0.3">
      <c r="A4497" s="4">
        <v>46128</v>
      </c>
      <c r="B4497">
        <v>20131352</v>
      </c>
      <c r="C4497" t="s">
        <v>19</v>
      </c>
      <c r="D4497">
        <v>614855</v>
      </c>
      <c r="E4497" t="s">
        <v>20</v>
      </c>
      <c r="F4497">
        <v>1090370261</v>
      </c>
      <c r="G4497" t="s">
        <v>4648</v>
      </c>
      <c r="H4497">
        <v>100251125</v>
      </c>
      <c r="I4497">
        <v>202632</v>
      </c>
      <c r="J4497">
        <v>1004806121</v>
      </c>
      <c r="K4497" t="s">
        <v>33</v>
      </c>
      <c r="L4497" t="s">
        <v>32</v>
      </c>
      <c r="M4497" t="s">
        <v>24</v>
      </c>
      <c r="N4497" t="s">
        <v>25</v>
      </c>
      <c r="O4497" t="s">
        <v>26</v>
      </c>
      <c r="P4497" t="s">
        <v>27</v>
      </c>
      <c r="Q4497" t="s">
        <v>28</v>
      </c>
      <c r="R4497" t="s">
        <v>29</v>
      </c>
      <c r="S4497" t="s">
        <v>793</v>
      </c>
      <c r="T4497">
        <f>_xlfn.XLOOKUP(X4497,Hoja2!D:D,Hoja2!A:A)</f>
        <v>1013662799</v>
      </c>
      <c r="U4497" t="str">
        <f>_xlfn.XLOOKUP(X4497,Hoja2!D:D,Hoja2!B:B)</f>
        <v>NELSON JAVIER MORERA RINCON</v>
      </c>
      <c r="V4497" t="str">
        <f>_xlfn.XLOOKUP(X4497,Hoja2!D:D,Hoja2!C:C)</f>
        <v>PREGRADO</v>
      </c>
      <c r="W4497" s="9">
        <f>IF(V4497="pregrado",31,
IF(V4497="posgrados",31,
IF(V4497="rEINTEGROS",7,
IF(V4497="BIT",90,
IF(V4497="OP GRADO - INGLÉS",17,"")))))</f>
        <v>31</v>
      </c>
      <c r="X4497" t="s">
        <v>4021</v>
      </c>
    </row>
    <row r="4498" spans="1:24" x14ac:dyDescent="0.3">
      <c r="A4498" s="4">
        <v>46128</v>
      </c>
      <c r="B4498">
        <v>20131387</v>
      </c>
      <c r="C4498" t="s">
        <v>19</v>
      </c>
      <c r="D4498">
        <v>614870</v>
      </c>
      <c r="E4498" t="s">
        <v>20</v>
      </c>
      <c r="F4498">
        <v>1003619107</v>
      </c>
      <c r="G4498" t="s">
        <v>4659</v>
      </c>
      <c r="H4498">
        <v>100251137</v>
      </c>
      <c r="I4498">
        <v>202612</v>
      </c>
      <c r="J4498">
        <v>1003619107</v>
      </c>
      <c r="K4498" t="s">
        <v>33</v>
      </c>
      <c r="L4498" t="s">
        <v>204</v>
      </c>
      <c r="M4498" t="s">
        <v>24</v>
      </c>
      <c r="N4498" t="s">
        <v>25</v>
      </c>
      <c r="O4498" t="s">
        <v>26</v>
      </c>
      <c r="P4498" t="s">
        <v>27</v>
      </c>
      <c r="Q4498" t="s">
        <v>28</v>
      </c>
      <c r="R4498" t="s">
        <v>29</v>
      </c>
      <c r="S4498" t="s">
        <v>793</v>
      </c>
      <c r="T4498">
        <f>_xlfn.XLOOKUP(X4498,Hoja2!D:D,Hoja2!A:A)</f>
        <v>1001192723</v>
      </c>
      <c r="U4498" t="str">
        <f>_xlfn.XLOOKUP(X4498,Hoja2!D:D,Hoja2!B:B)</f>
        <v>HEIDY LORENA PRIETO AHUMADA</v>
      </c>
      <c r="V4498" t="str">
        <f>_xlfn.XLOOKUP(X4498,Hoja2!D:D,Hoja2!C:C)</f>
        <v>PREGRADO</v>
      </c>
      <c r="W4498" s="9">
        <f>IF(V4498="pregrado",31,
IF(V4498="posgrados",31,
IF(V4498="rEINTEGROS",7,
IF(V4498="BIT",90,
IF(V4498="OP GRADO - INGLÉS",17,"")))))</f>
        <v>31</v>
      </c>
      <c r="X4498" t="s">
        <v>3940</v>
      </c>
    </row>
    <row r="4499" spans="1:24" x14ac:dyDescent="0.3">
      <c r="A4499" s="4">
        <v>46128</v>
      </c>
      <c r="B4499">
        <v>20131380</v>
      </c>
      <c r="C4499" t="s">
        <v>19</v>
      </c>
      <c r="D4499">
        <v>614881</v>
      </c>
      <c r="E4499" t="s">
        <v>20</v>
      </c>
      <c r="F4499">
        <v>1020500434</v>
      </c>
      <c r="G4499" t="s">
        <v>4656</v>
      </c>
      <c r="H4499">
        <v>200272864</v>
      </c>
      <c r="I4499">
        <v>202632</v>
      </c>
      <c r="J4499">
        <v>6390410</v>
      </c>
      <c r="K4499" t="s">
        <v>23</v>
      </c>
      <c r="L4499" t="s">
        <v>219</v>
      </c>
      <c r="M4499" t="s">
        <v>24</v>
      </c>
      <c r="N4499" t="s">
        <v>35</v>
      </c>
      <c r="O4499" t="s">
        <v>26</v>
      </c>
      <c r="P4499" t="s">
        <v>27</v>
      </c>
      <c r="Q4499" t="s">
        <v>28</v>
      </c>
      <c r="R4499" t="s">
        <v>29</v>
      </c>
      <c r="S4499" t="s">
        <v>793</v>
      </c>
      <c r="T4499">
        <f>_xlfn.XLOOKUP(X4499,Hoja2!D:D,Hoja2!A:A)</f>
        <v>10245841021</v>
      </c>
      <c r="U4499" t="str">
        <f>_xlfn.XLOOKUP(X4499,Hoja2!D:D,Hoja2!B:B)</f>
        <v>PAOLA ANDREA CALDERON CETINA</v>
      </c>
      <c r="V4499" t="str">
        <f>_xlfn.XLOOKUP(X4499,Hoja2!D:D,Hoja2!C:C)</f>
        <v>PREGRADO</v>
      </c>
      <c r="W4499" s="9">
        <f>IF(V4499="pregrado",31,
IF(V4499="posgrados",31,
IF(V4499="rEINTEGROS",7,
IF(V4499="BIT",90,
IF(V4499="OP GRADO - INGLÉS",17,"")))))</f>
        <v>31</v>
      </c>
      <c r="X4499" t="s">
        <v>3987</v>
      </c>
    </row>
    <row r="4500" spans="1:24" x14ac:dyDescent="0.3">
      <c r="A4500" s="4">
        <v>46129</v>
      </c>
      <c r="B4500">
        <v>20131413</v>
      </c>
      <c r="C4500" t="s">
        <v>19</v>
      </c>
      <c r="D4500">
        <v>614883</v>
      </c>
      <c r="E4500" t="s">
        <v>20</v>
      </c>
      <c r="F4500">
        <v>1007667943</v>
      </c>
      <c r="G4500" t="s">
        <v>4670</v>
      </c>
      <c r="H4500">
        <v>100251144</v>
      </c>
      <c r="I4500">
        <v>202632</v>
      </c>
      <c r="J4500">
        <v>1007667943</v>
      </c>
      <c r="K4500" t="s">
        <v>33</v>
      </c>
      <c r="L4500" t="s">
        <v>127</v>
      </c>
      <c r="M4500" t="s">
        <v>24</v>
      </c>
      <c r="N4500" t="s">
        <v>25</v>
      </c>
      <c r="O4500" t="s">
        <v>26</v>
      </c>
      <c r="P4500" t="s">
        <v>27</v>
      </c>
      <c r="Q4500" t="s">
        <v>28</v>
      </c>
      <c r="R4500" t="s">
        <v>29</v>
      </c>
      <c r="S4500" t="s">
        <v>793</v>
      </c>
      <c r="T4500">
        <f>_xlfn.XLOOKUP(X4500,Hoja2!D:D,Hoja2!A:A)</f>
        <v>10245841021</v>
      </c>
      <c r="U4500" t="str">
        <f>_xlfn.XLOOKUP(X4500,Hoja2!D:D,Hoja2!B:B)</f>
        <v>PAOLA ANDREA CALDERON CETINA</v>
      </c>
      <c r="V4500" t="str">
        <f>_xlfn.XLOOKUP(X4500,Hoja2!D:D,Hoja2!C:C)</f>
        <v>PREGRADO</v>
      </c>
      <c r="W4500" s="9">
        <f>IF(V4500="pregrado",31,
IF(V4500="posgrados",31,
IF(V4500="rEINTEGROS",7,
IF(V4500="BIT",90,
IF(V4500="OP GRADO - INGLÉS",17,"")))))</f>
        <v>31</v>
      </c>
      <c r="X4500" t="s">
        <v>3987</v>
      </c>
    </row>
    <row r="4501" spans="1:24" x14ac:dyDescent="0.3">
      <c r="A4501" s="4">
        <v>46130</v>
      </c>
      <c r="B4501">
        <v>20131584</v>
      </c>
      <c r="C4501" t="s">
        <v>19</v>
      </c>
      <c r="D4501">
        <v>614893</v>
      </c>
      <c r="E4501" t="s">
        <v>20</v>
      </c>
      <c r="F4501">
        <v>1006887687</v>
      </c>
      <c r="G4501" t="s">
        <v>4704</v>
      </c>
      <c r="H4501">
        <v>100251157</v>
      </c>
      <c r="I4501">
        <v>202632</v>
      </c>
      <c r="J4501">
        <v>1006887687</v>
      </c>
      <c r="K4501" t="s">
        <v>23</v>
      </c>
      <c r="L4501" t="s">
        <v>240</v>
      </c>
      <c r="M4501" t="s">
        <v>24</v>
      </c>
      <c r="N4501" t="s">
        <v>35</v>
      </c>
      <c r="O4501" t="s">
        <v>26</v>
      </c>
      <c r="P4501" t="s">
        <v>27</v>
      </c>
      <c r="Q4501" t="s">
        <v>28</v>
      </c>
      <c r="R4501" t="s">
        <v>29</v>
      </c>
      <c r="S4501" t="s">
        <v>793</v>
      </c>
      <c r="T4501">
        <f>_xlfn.XLOOKUP(X4501,Hoja2!D:D,Hoja2!A:A)</f>
        <v>1001277801</v>
      </c>
      <c r="U4501" t="str">
        <f>_xlfn.XLOOKUP(X4501,Hoja2!D:D,Hoja2!B:B)</f>
        <v>NELSON JAVIER MORERA RINCON</v>
      </c>
      <c r="V4501" t="str">
        <f>_xlfn.XLOOKUP(X4501,Hoja2!D:D,Hoja2!C:C)</f>
        <v>PREGRADO</v>
      </c>
      <c r="W4501" s="9">
        <f>IF(V4501="pregrado",31,
IF(V4501="posgrados",31,
IF(V4501="rEINTEGROS",7,
IF(V4501="BIT",90,
IF(V4501="OP GRADO - INGLÉS",17,"")))))</f>
        <v>31</v>
      </c>
      <c r="X4501" t="s">
        <v>4002</v>
      </c>
    </row>
    <row r="4502" spans="1:24" x14ac:dyDescent="0.3">
      <c r="A4502" s="4">
        <v>46129</v>
      </c>
      <c r="B4502">
        <v>20131430</v>
      </c>
      <c r="C4502" t="s">
        <v>19</v>
      </c>
      <c r="D4502">
        <v>614900</v>
      </c>
      <c r="E4502" t="s">
        <v>20</v>
      </c>
      <c r="F4502">
        <v>42789116</v>
      </c>
      <c r="G4502" t="s">
        <v>4671</v>
      </c>
      <c r="H4502">
        <v>100251136</v>
      </c>
      <c r="I4502">
        <v>202612</v>
      </c>
      <c r="J4502">
        <v>1017273193</v>
      </c>
      <c r="K4502" t="s">
        <v>33</v>
      </c>
      <c r="L4502" t="s">
        <v>204</v>
      </c>
      <c r="M4502" t="s">
        <v>24</v>
      </c>
      <c r="N4502" t="s">
        <v>25</v>
      </c>
      <c r="O4502" t="s">
        <v>26</v>
      </c>
      <c r="P4502" t="s">
        <v>27</v>
      </c>
      <c r="Q4502" t="s">
        <v>28</v>
      </c>
      <c r="R4502" t="s">
        <v>29</v>
      </c>
      <c r="S4502" t="s">
        <v>793</v>
      </c>
      <c r="T4502">
        <f>_xlfn.XLOOKUP(X4502,Hoja2!D:D,Hoja2!A:A)</f>
        <v>1007473661</v>
      </c>
      <c r="U4502" t="str">
        <f>_xlfn.XLOOKUP(X4502,Hoja2!D:D,Hoja2!B:B)</f>
        <v>PAOLA ANDREA CALDERON CETINA</v>
      </c>
      <c r="V4502" t="str">
        <f>_xlfn.XLOOKUP(X4502,Hoja2!D:D,Hoja2!C:C)</f>
        <v>PREGRADO</v>
      </c>
      <c r="W4502" s="9">
        <f>IF(V4502="pregrado",31,
IF(V4502="posgrados",31,
IF(V4502="rEINTEGROS",7,
IF(V4502="BIT",90,
IF(V4502="OP GRADO - INGLÉS",17,"")))))</f>
        <v>31</v>
      </c>
      <c r="X4502" t="s">
        <v>4058</v>
      </c>
    </row>
    <row r="4503" spans="1:24" x14ac:dyDescent="0.3">
      <c r="A4503" s="4">
        <v>46133</v>
      </c>
      <c r="B4503">
        <v>20131775</v>
      </c>
      <c r="C4503" t="s">
        <v>19</v>
      </c>
      <c r="D4503">
        <v>614917</v>
      </c>
      <c r="E4503" t="s">
        <v>20</v>
      </c>
      <c r="F4503">
        <v>1020727575</v>
      </c>
      <c r="G4503" t="s">
        <v>4741</v>
      </c>
      <c r="H4503">
        <v>200268420</v>
      </c>
      <c r="I4503">
        <v>202632</v>
      </c>
      <c r="J4503">
        <v>1020727575</v>
      </c>
      <c r="K4503" t="s">
        <v>23</v>
      </c>
      <c r="L4503" t="s">
        <v>119</v>
      </c>
      <c r="M4503" t="s">
        <v>24</v>
      </c>
      <c r="N4503" t="s">
        <v>35</v>
      </c>
      <c r="O4503" t="s">
        <v>26</v>
      </c>
      <c r="P4503" t="s">
        <v>27</v>
      </c>
      <c r="Q4503" t="s">
        <v>28</v>
      </c>
      <c r="R4503" t="s">
        <v>29</v>
      </c>
      <c r="S4503" t="s">
        <v>793</v>
      </c>
      <c r="T4503">
        <f>_xlfn.XLOOKUP(X4503,Hoja2!D:D,Hoja2!A:A)</f>
        <v>1099215811</v>
      </c>
      <c r="U4503" t="str">
        <f>_xlfn.XLOOKUP(X4503,Hoja2!D:D,Hoja2!B:B)</f>
        <v>Heidy Lorena Prieto Ahumada</v>
      </c>
      <c r="V4503" t="str">
        <f>_xlfn.XLOOKUP(X4503,Hoja2!D:D,Hoja2!C:C)</f>
        <v>PREGRADO</v>
      </c>
      <c r="W4503" s="9">
        <f>IF(V4503="pregrado",31,
IF(V4503="posgrados",31,
IF(V4503="rEINTEGROS",7,
IF(V4503="BIT",90,
IF(V4503="OP GRADO - INGLÉS",17,"")))))</f>
        <v>31</v>
      </c>
      <c r="X4503" t="s">
        <v>4928</v>
      </c>
    </row>
    <row r="4504" spans="1:24" x14ac:dyDescent="0.3">
      <c r="A4504" s="4">
        <v>46129</v>
      </c>
      <c r="B4504">
        <v>20131470</v>
      </c>
      <c r="C4504" t="s">
        <v>19</v>
      </c>
      <c r="D4504">
        <v>614925</v>
      </c>
      <c r="E4504" t="s">
        <v>20</v>
      </c>
      <c r="F4504">
        <v>1007561462</v>
      </c>
      <c r="G4504" t="s">
        <v>4678</v>
      </c>
      <c r="H4504">
        <v>100251204</v>
      </c>
      <c r="I4504">
        <v>202632</v>
      </c>
      <c r="J4504">
        <v>1007561462</v>
      </c>
      <c r="K4504" t="s">
        <v>33</v>
      </c>
      <c r="L4504" t="s">
        <v>127</v>
      </c>
      <c r="M4504" t="s">
        <v>24</v>
      </c>
      <c r="N4504" t="s">
        <v>25</v>
      </c>
      <c r="O4504" t="s">
        <v>26</v>
      </c>
      <c r="P4504" t="s">
        <v>27</v>
      </c>
      <c r="Q4504" t="s">
        <v>28</v>
      </c>
      <c r="R4504" t="s">
        <v>29</v>
      </c>
      <c r="S4504" t="s">
        <v>793</v>
      </c>
      <c r="T4504">
        <f>_xlfn.XLOOKUP(X4504,Hoja2!D:D,Hoja2!A:A)</f>
        <v>10245841021</v>
      </c>
      <c r="U4504" t="str">
        <f>_xlfn.XLOOKUP(X4504,Hoja2!D:D,Hoja2!B:B)</f>
        <v>PAOLA ANDREA CALDERON CETINA</v>
      </c>
      <c r="V4504" t="str">
        <f>_xlfn.XLOOKUP(X4504,Hoja2!D:D,Hoja2!C:C)</f>
        <v>PREGRADO</v>
      </c>
      <c r="W4504" s="9">
        <f>IF(V4504="pregrado",31,
IF(V4504="posgrados",31,
IF(V4504="rEINTEGROS",7,
IF(V4504="BIT",90,
IF(V4504="OP GRADO - INGLÉS",17,"")))))</f>
        <v>31</v>
      </c>
      <c r="X4504" t="s">
        <v>3987</v>
      </c>
    </row>
    <row r="4505" spans="1:24" x14ac:dyDescent="0.3">
      <c r="A4505" s="4">
        <v>46149</v>
      </c>
      <c r="B4505">
        <v>20133016</v>
      </c>
      <c r="C4505" t="s">
        <v>19</v>
      </c>
      <c r="D4505">
        <v>614926</v>
      </c>
      <c r="E4505" t="s">
        <v>20</v>
      </c>
      <c r="F4505">
        <v>1069487403</v>
      </c>
      <c r="G4505" t="s">
        <v>4915</v>
      </c>
      <c r="H4505">
        <v>200234487</v>
      </c>
      <c r="I4505">
        <v>202632</v>
      </c>
      <c r="J4505">
        <v>1069487403</v>
      </c>
      <c r="K4505" t="s">
        <v>33</v>
      </c>
      <c r="L4505" t="s">
        <v>119</v>
      </c>
      <c r="M4505" t="s">
        <v>24</v>
      </c>
      <c r="N4505" t="s">
        <v>4441</v>
      </c>
      <c r="O4505" t="s">
        <v>26</v>
      </c>
      <c r="P4505" t="s">
        <v>4135</v>
      </c>
      <c r="Q4505" t="s">
        <v>28</v>
      </c>
      <c r="R4505" t="s">
        <v>29</v>
      </c>
      <c r="S4505" t="s">
        <v>793</v>
      </c>
      <c r="T4505">
        <f>_xlfn.XLOOKUP(X4505,Hoja2!D:D,Hoja2!A:A)</f>
        <v>1010081108</v>
      </c>
      <c r="U4505" t="str">
        <f>_xlfn.XLOOKUP(X4505,Hoja2!D:D,Hoja2!B:B)</f>
        <v>HEIDY LORENA PRIETO AHUMADA</v>
      </c>
      <c r="V4505" t="str">
        <f>_xlfn.XLOOKUP(X4505,Hoja2!D:D,Hoja2!C:C)</f>
        <v>PREGRADO</v>
      </c>
      <c r="W4505" s="9">
        <f>IF(V4505="pregrado",31,
IF(V4505="posgrados",31,
IF(V4505="rEINTEGROS",7,
IF(V4505="BIT",90,
IF(V4505="OP GRADO - INGLÉS",17,"")))))</f>
        <v>31</v>
      </c>
      <c r="X4505" t="s">
        <v>4009</v>
      </c>
    </row>
    <row r="4506" spans="1:24" x14ac:dyDescent="0.3">
      <c r="A4506" s="4">
        <v>46129</v>
      </c>
      <c r="B4506">
        <v>20131483</v>
      </c>
      <c r="C4506" t="s">
        <v>19</v>
      </c>
      <c r="D4506">
        <v>614936</v>
      </c>
      <c r="E4506" t="s">
        <v>20</v>
      </c>
      <c r="F4506">
        <v>7631908</v>
      </c>
      <c r="G4506" t="s">
        <v>4681</v>
      </c>
      <c r="H4506">
        <v>100251219</v>
      </c>
      <c r="I4506">
        <v>202612</v>
      </c>
      <c r="J4506">
        <v>1004369293</v>
      </c>
      <c r="K4506" t="s">
        <v>23</v>
      </c>
      <c r="L4506" t="s">
        <v>221</v>
      </c>
      <c r="M4506" t="s">
        <v>24</v>
      </c>
      <c r="N4506" t="s">
        <v>35</v>
      </c>
      <c r="O4506" t="s">
        <v>26</v>
      </c>
      <c r="P4506" t="s">
        <v>27</v>
      </c>
      <c r="Q4506" t="s">
        <v>28</v>
      </c>
      <c r="R4506" t="s">
        <v>29</v>
      </c>
      <c r="S4506" t="s">
        <v>793</v>
      </c>
      <c r="T4506">
        <f>_xlfn.XLOOKUP(X4506,Hoja2!D:D,Hoja2!A:A)</f>
        <v>1001277801</v>
      </c>
      <c r="U4506" t="str">
        <f>_xlfn.XLOOKUP(X4506,Hoja2!D:D,Hoja2!B:B)</f>
        <v>NELSON JAVIER MORERA RINCON</v>
      </c>
      <c r="V4506" t="str">
        <f>_xlfn.XLOOKUP(X4506,Hoja2!D:D,Hoja2!C:C)</f>
        <v>PREGRADO</v>
      </c>
      <c r="W4506" s="9">
        <f>IF(V4506="pregrado",31,
IF(V4506="posgrados",31,
IF(V4506="rEINTEGROS",7,
IF(V4506="BIT",90,
IF(V4506="OP GRADO - INGLÉS",17,"")))))</f>
        <v>31</v>
      </c>
      <c r="X4506" t="s">
        <v>4002</v>
      </c>
    </row>
    <row r="4507" spans="1:24" x14ac:dyDescent="0.3">
      <c r="A4507" s="4">
        <v>46129</v>
      </c>
      <c r="B4507">
        <v>20131494</v>
      </c>
      <c r="C4507" t="s">
        <v>19</v>
      </c>
      <c r="D4507">
        <v>614937</v>
      </c>
      <c r="E4507" t="s">
        <v>20</v>
      </c>
      <c r="F4507">
        <v>1111200542</v>
      </c>
      <c r="G4507" t="s">
        <v>4684</v>
      </c>
      <c r="H4507">
        <v>100251220</v>
      </c>
      <c r="I4507">
        <v>202632</v>
      </c>
      <c r="J4507">
        <v>1061172305</v>
      </c>
      <c r="K4507" t="s">
        <v>33</v>
      </c>
      <c r="L4507" t="s">
        <v>90</v>
      </c>
      <c r="M4507" t="s">
        <v>24</v>
      </c>
      <c r="N4507" t="s">
        <v>25</v>
      </c>
      <c r="O4507" t="s">
        <v>26</v>
      </c>
      <c r="P4507" t="s">
        <v>27</v>
      </c>
      <c r="Q4507" t="s">
        <v>28</v>
      </c>
      <c r="R4507" t="s">
        <v>29</v>
      </c>
      <c r="S4507" t="s">
        <v>793</v>
      </c>
      <c r="T4507">
        <f>_xlfn.XLOOKUP(X4507,Hoja2!D:D,Hoja2!A:A)</f>
        <v>10245841021</v>
      </c>
      <c r="U4507" t="str">
        <f>_xlfn.XLOOKUP(X4507,Hoja2!D:D,Hoja2!B:B)</f>
        <v>PAOLA ANDREA CALDERON CETINA</v>
      </c>
      <c r="V4507" t="str">
        <f>_xlfn.XLOOKUP(X4507,Hoja2!D:D,Hoja2!C:C)</f>
        <v>PREGRADO</v>
      </c>
      <c r="W4507" s="9">
        <f>IF(V4507="pregrado",31,
IF(V4507="posgrados",31,
IF(V4507="rEINTEGROS",7,
IF(V4507="BIT",90,
IF(V4507="OP GRADO - INGLÉS",17,"")))))</f>
        <v>31</v>
      </c>
      <c r="X4507" t="s">
        <v>3987</v>
      </c>
    </row>
    <row r="4508" spans="1:24" x14ac:dyDescent="0.3">
      <c r="A4508" s="4">
        <v>46132</v>
      </c>
      <c r="B4508">
        <v>20131721</v>
      </c>
      <c r="C4508" t="s">
        <v>19</v>
      </c>
      <c r="D4508">
        <v>614944</v>
      </c>
      <c r="E4508" t="s">
        <v>20</v>
      </c>
      <c r="F4508">
        <v>1007112201</v>
      </c>
      <c r="G4508" t="s">
        <v>4730</v>
      </c>
      <c r="H4508">
        <v>100251229</v>
      </c>
      <c r="I4508">
        <v>202632</v>
      </c>
      <c r="J4508">
        <v>1007112201</v>
      </c>
      <c r="K4508" t="s">
        <v>33</v>
      </c>
      <c r="L4508" t="s">
        <v>207</v>
      </c>
      <c r="M4508" t="s">
        <v>24</v>
      </c>
      <c r="N4508" t="s">
        <v>25</v>
      </c>
      <c r="O4508" t="s">
        <v>26</v>
      </c>
      <c r="P4508" t="s">
        <v>27</v>
      </c>
      <c r="Q4508" t="s">
        <v>28</v>
      </c>
      <c r="R4508" t="s">
        <v>29</v>
      </c>
      <c r="S4508" t="s">
        <v>793</v>
      </c>
      <c r="T4508">
        <f>_xlfn.XLOOKUP(X4508,Hoja2!D:D,Hoja2!A:A)</f>
        <v>52876433</v>
      </c>
      <c r="U4508" t="str">
        <f>_xlfn.XLOOKUP(X4508,Hoja2!D:D,Hoja2!B:B)</f>
        <v>CATALINA PACHECO BURGOS</v>
      </c>
      <c r="V4508" t="str">
        <f>_xlfn.XLOOKUP(X4508,Hoja2!D:D,Hoja2!C:C)</f>
        <v>PREGRADO</v>
      </c>
      <c r="W4508" s="9">
        <f>IF(V4508="pregrado",31,
IF(V4508="posgrados",31,
IF(V4508="rEINTEGROS",7,
IF(V4508="BIT",90,
IF(V4508="OP GRADO - INGLÉS",17,"")))))</f>
        <v>31</v>
      </c>
      <c r="X4508" t="s">
        <v>4078</v>
      </c>
    </row>
    <row r="4509" spans="1:24" x14ac:dyDescent="0.3">
      <c r="A4509" s="4">
        <v>46129</v>
      </c>
      <c r="B4509">
        <v>20131495</v>
      </c>
      <c r="C4509" t="s">
        <v>19</v>
      </c>
      <c r="D4509">
        <v>614946</v>
      </c>
      <c r="E4509" t="s">
        <v>20</v>
      </c>
      <c r="F4509">
        <v>1010206437</v>
      </c>
      <c r="G4509" t="s">
        <v>4685</v>
      </c>
      <c r="H4509">
        <v>100208056</v>
      </c>
      <c r="I4509">
        <v>202612</v>
      </c>
      <c r="J4509">
        <v>1026274237</v>
      </c>
      <c r="K4509" t="s">
        <v>23</v>
      </c>
      <c r="L4509" t="s">
        <v>204</v>
      </c>
      <c r="M4509" t="s">
        <v>24</v>
      </c>
      <c r="N4509" t="s">
        <v>35</v>
      </c>
      <c r="O4509" t="s">
        <v>26</v>
      </c>
      <c r="P4509" t="s">
        <v>27</v>
      </c>
      <c r="Q4509" t="s">
        <v>28</v>
      </c>
      <c r="R4509" t="s">
        <v>29</v>
      </c>
      <c r="S4509" t="s">
        <v>793</v>
      </c>
      <c r="T4509">
        <f>_xlfn.XLOOKUP(X4509,Hoja2!D:D,Hoja2!A:A)</f>
        <v>1019115186</v>
      </c>
      <c r="U4509" t="str">
        <f>_xlfn.XLOOKUP(X4509,Hoja2!D:D,Hoja2!B:B)</f>
        <v>HEIDY LORENA PRIETO AHUMADA</v>
      </c>
      <c r="V4509" t="str">
        <f>_xlfn.XLOOKUP(X4509,Hoja2!D:D,Hoja2!C:C)</f>
        <v>PREGRADO</v>
      </c>
      <c r="W4509" s="9">
        <f>IF(V4509="pregrado",31,
IF(V4509="posgrados",31,
IF(V4509="rEINTEGROS",7,
IF(V4509="BIT",90,
IF(V4509="OP GRADO - INGLÉS",17,"")))))</f>
        <v>31</v>
      </c>
      <c r="X4509" t="s">
        <v>4005</v>
      </c>
    </row>
    <row r="4510" spans="1:24" x14ac:dyDescent="0.3">
      <c r="A4510" s="4">
        <v>46130</v>
      </c>
      <c r="B4510">
        <v>20131588</v>
      </c>
      <c r="C4510" t="s">
        <v>19</v>
      </c>
      <c r="D4510">
        <v>614947</v>
      </c>
      <c r="E4510" t="s">
        <v>20</v>
      </c>
      <c r="F4510">
        <v>1060506519</v>
      </c>
      <c r="G4510" t="s">
        <v>4705</v>
      </c>
      <c r="H4510">
        <v>100251236</v>
      </c>
      <c r="I4510">
        <v>202632</v>
      </c>
      <c r="J4510">
        <v>1060506519</v>
      </c>
      <c r="K4510" t="s">
        <v>33</v>
      </c>
      <c r="L4510" t="s">
        <v>127</v>
      </c>
      <c r="M4510" t="s">
        <v>24</v>
      </c>
      <c r="N4510" t="s">
        <v>38</v>
      </c>
      <c r="O4510" t="s">
        <v>26</v>
      </c>
      <c r="P4510" t="s">
        <v>27</v>
      </c>
      <c r="Q4510" t="s">
        <v>28</v>
      </c>
      <c r="R4510" t="s">
        <v>29</v>
      </c>
      <c r="S4510" t="s">
        <v>793</v>
      </c>
      <c r="T4510">
        <f>_xlfn.XLOOKUP(X4510,Hoja2!D:D,Hoja2!A:A)</f>
        <v>80219471</v>
      </c>
      <c r="U4510" t="str">
        <f>_xlfn.XLOOKUP(X4510,Hoja2!D:D,Hoja2!B:B)</f>
        <v>HEIDY LORENA PRIETO AHUMADA</v>
      </c>
      <c r="V4510" t="str">
        <f>_xlfn.XLOOKUP(X4510,Hoja2!D:D,Hoja2!C:C)</f>
        <v>PREGRADO</v>
      </c>
      <c r="W4510" s="9">
        <f>IF(V4510="pregrado",31,
IF(V4510="posgrados",31,
IF(V4510="rEINTEGROS",7,
IF(V4510="BIT",90,
IF(V4510="OP GRADO - INGLÉS",17,"")))))</f>
        <v>31</v>
      </c>
      <c r="X4510" t="s">
        <v>4030</v>
      </c>
    </row>
    <row r="4511" spans="1:24" x14ac:dyDescent="0.3">
      <c r="A4511" s="4">
        <v>46132</v>
      </c>
      <c r="B4511">
        <v>20131663</v>
      </c>
      <c r="C4511" t="s">
        <v>19</v>
      </c>
      <c r="D4511">
        <v>614958</v>
      </c>
      <c r="E4511" t="s">
        <v>20</v>
      </c>
      <c r="F4511">
        <v>1014476984</v>
      </c>
      <c r="G4511" t="s">
        <v>4720</v>
      </c>
      <c r="H4511">
        <v>100251249</v>
      </c>
      <c r="I4511">
        <v>202632</v>
      </c>
      <c r="J4511">
        <v>1014476984</v>
      </c>
      <c r="K4511" t="s">
        <v>33</v>
      </c>
      <c r="L4511" t="s">
        <v>90</v>
      </c>
      <c r="M4511" t="s">
        <v>24</v>
      </c>
      <c r="N4511" t="s">
        <v>25</v>
      </c>
      <c r="O4511" t="s">
        <v>26</v>
      </c>
      <c r="P4511" t="s">
        <v>27</v>
      </c>
      <c r="Q4511" t="s">
        <v>28</v>
      </c>
      <c r="R4511" t="s">
        <v>29</v>
      </c>
      <c r="S4511" t="s">
        <v>793</v>
      </c>
      <c r="T4511">
        <f>_xlfn.XLOOKUP(X4511,Hoja2!D:D,Hoja2!A:A)</f>
        <v>1003690112</v>
      </c>
      <c r="U4511" t="str">
        <f>_xlfn.XLOOKUP(X4511,Hoja2!D:D,Hoja2!B:B)</f>
        <v>PAOLA ANDREA CALDERON CETINA</v>
      </c>
      <c r="V4511" t="str">
        <f>_xlfn.XLOOKUP(X4511,Hoja2!D:D,Hoja2!C:C)</f>
        <v>PREGRADO</v>
      </c>
      <c r="W4511" s="9">
        <f>IF(V4511="pregrado",31,
IF(V4511="posgrados",31,
IF(V4511="rEINTEGROS",7,
IF(V4511="BIT",90,
IF(V4511="OP GRADO - INGLÉS",17,"")))))</f>
        <v>31</v>
      </c>
      <c r="X4511" t="s">
        <v>4061</v>
      </c>
    </row>
    <row r="4512" spans="1:24" x14ac:dyDescent="0.3">
      <c r="A4512" s="4">
        <v>46132</v>
      </c>
      <c r="B4512">
        <v>20131633</v>
      </c>
      <c r="C4512" t="s">
        <v>19</v>
      </c>
      <c r="D4512">
        <v>614969</v>
      </c>
      <c r="E4512" t="s">
        <v>20</v>
      </c>
      <c r="F4512">
        <v>1121209093</v>
      </c>
      <c r="G4512" t="s">
        <v>4715</v>
      </c>
      <c r="H4512">
        <v>100251263</v>
      </c>
      <c r="I4512">
        <v>202632</v>
      </c>
      <c r="J4512">
        <v>1121209093</v>
      </c>
      <c r="K4512" t="s">
        <v>23</v>
      </c>
      <c r="L4512" t="s">
        <v>240</v>
      </c>
      <c r="M4512" t="s">
        <v>24</v>
      </c>
      <c r="N4512" t="s">
        <v>35</v>
      </c>
      <c r="O4512" t="s">
        <v>26</v>
      </c>
      <c r="P4512" t="s">
        <v>27</v>
      </c>
      <c r="Q4512" t="s">
        <v>28</v>
      </c>
      <c r="R4512" t="s">
        <v>29</v>
      </c>
      <c r="S4512" t="s">
        <v>793</v>
      </c>
      <c r="T4512">
        <f>_xlfn.XLOOKUP(X4512,Hoja2!D:D,Hoja2!A:A)</f>
        <v>1073692626</v>
      </c>
      <c r="U4512" t="str">
        <f>_xlfn.XLOOKUP(X4512,Hoja2!D:D,Hoja2!B:B)</f>
        <v>NELSON JAVIER MORERA RINCON</v>
      </c>
      <c r="V4512" t="str">
        <f>_xlfn.XLOOKUP(X4512,Hoja2!D:D,Hoja2!C:C)</f>
        <v>PREGRADO</v>
      </c>
      <c r="W4512" s="9">
        <f>IF(V4512="pregrado",31,
IF(V4512="posgrados",31,
IF(V4512="rEINTEGROS",7,
IF(V4512="BIT",90,
IF(V4512="OP GRADO - INGLÉS",17,"")))))</f>
        <v>31</v>
      </c>
      <c r="X4512" t="s">
        <v>4014</v>
      </c>
    </row>
    <row r="4513" spans="1:24" x14ac:dyDescent="0.3">
      <c r="A4513" s="4">
        <v>46130</v>
      </c>
      <c r="B4513">
        <v>20131615</v>
      </c>
      <c r="C4513" t="s">
        <v>19</v>
      </c>
      <c r="D4513">
        <v>614971</v>
      </c>
      <c r="E4513" t="s">
        <v>20</v>
      </c>
      <c r="F4513">
        <v>20284418</v>
      </c>
      <c r="G4513" t="s">
        <v>4709</v>
      </c>
      <c r="H4513">
        <v>100251267</v>
      </c>
      <c r="I4513">
        <v>202632</v>
      </c>
      <c r="J4513">
        <v>1021666910</v>
      </c>
      <c r="K4513" t="s">
        <v>23</v>
      </c>
      <c r="L4513" t="s">
        <v>207</v>
      </c>
      <c r="M4513" t="s">
        <v>24</v>
      </c>
      <c r="N4513" t="s">
        <v>35</v>
      </c>
      <c r="O4513" t="s">
        <v>26</v>
      </c>
      <c r="P4513" t="s">
        <v>27</v>
      </c>
      <c r="Q4513" t="s">
        <v>28</v>
      </c>
      <c r="R4513" t="s">
        <v>29</v>
      </c>
      <c r="S4513" t="s">
        <v>793</v>
      </c>
      <c r="T4513">
        <f>_xlfn.XLOOKUP(X4513,Hoja2!D:D,Hoja2!A:A)</f>
        <v>10123971531</v>
      </c>
      <c r="U4513" t="str">
        <f>_xlfn.XLOOKUP(X4513,Hoja2!D:D,Hoja2!B:B)</f>
        <v>GINA PAOLA MEDINA FLOREZ</v>
      </c>
      <c r="V4513" t="str">
        <f>_xlfn.XLOOKUP(X4513,Hoja2!D:D,Hoja2!C:C)</f>
        <v>PREGRADO</v>
      </c>
      <c r="W4513" s="9">
        <f>IF(V4513="pregrado",31,
IF(V4513="posgrados",31,
IF(V4513="rEINTEGROS",7,
IF(V4513="BIT",90,
IF(V4513="OP GRADO - INGLÉS",17,"")))))</f>
        <v>31</v>
      </c>
      <c r="X4513" t="s">
        <v>3943</v>
      </c>
    </row>
    <row r="4514" spans="1:24" x14ac:dyDescent="0.3">
      <c r="A4514" s="4">
        <v>46132</v>
      </c>
      <c r="B4514">
        <v>20131631</v>
      </c>
      <c r="C4514" t="s">
        <v>19</v>
      </c>
      <c r="D4514">
        <v>614976</v>
      </c>
      <c r="E4514" t="s">
        <v>20</v>
      </c>
      <c r="F4514">
        <v>98645678</v>
      </c>
      <c r="G4514" t="s">
        <v>4713</v>
      </c>
      <c r="H4514">
        <v>100251273</v>
      </c>
      <c r="I4514">
        <v>202612</v>
      </c>
      <c r="J4514">
        <v>98645678</v>
      </c>
      <c r="K4514" t="s">
        <v>23</v>
      </c>
      <c r="L4514" t="s">
        <v>221</v>
      </c>
      <c r="M4514" t="s">
        <v>24</v>
      </c>
      <c r="N4514" t="s">
        <v>35</v>
      </c>
      <c r="O4514" t="s">
        <v>26</v>
      </c>
      <c r="P4514" t="s">
        <v>27</v>
      </c>
      <c r="Q4514" t="s">
        <v>28</v>
      </c>
      <c r="R4514" t="s">
        <v>29</v>
      </c>
      <c r="S4514" t="s">
        <v>793</v>
      </c>
      <c r="T4514">
        <f>_xlfn.XLOOKUP(X4514,Hoja2!D:D,Hoja2!A:A)</f>
        <v>1013662799</v>
      </c>
      <c r="U4514" t="str">
        <f>_xlfn.XLOOKUP(X4514,Hoja2!D:D,Hoja2!B:B)</f>
        <v>NELSON JAVIER MORERA RINCON</v>
      </c>
      <c r="V4514" t="str">
        <f>_xlfn.XLOOKUP(X4514,Hoja2!D:D,Hoja2!C:C)</f>
        <v>PREGRADO</v>
      </c>
      <c r="W4514" s="9">
        <f>IF(V4514="pregrado",31,
IF(V4514="posgrados",31,
IF(V4514="rEINTEGROS",7,
IF(V4514="BIT",90,
IF(V4514="OP GRADO - INGLÉS",17,"")))))</f>
        <v>31</v>
      </c>
      <c r="X4514" t="s">
        <v>4021</v>
      </c>
    </row>
    <row r="4515" spans="1:24" x14ac:dyDescent="0.3">
      <c r="A4515" s="4">
        <v>46129</v>
      </c>
      <c r="B4515">
        <v>20131547</v>
      </c>
      <c r="C4515" t="s">
        <v>19</v>
      </c>
      <c r="D4515">
        <v>614984</v>
      </c>
      <c r="E4515" t="s">
        <v>20</v>
      </c>
      <c r="F4515">
        <v>52768774</v>
      </c>
      <c r="G4515" t="s">
        <v>4691</v>
      </c>
      <c r="H4515">
        <v>100247722</v>
      </c>
      <c r="I4515">
        <v>202632</v>
      </c>
      <c r="J4515">
        <v>1233503166</v>
      </c>
      <c r="K4515" t="s">
        <v>23</v>
      </c>
      <c r="L4515" t="s">
        <v>240</v>
      </c>
      <c r="M4515" t="s">
        <v>24</v>
      </c>
      <c r="N4515" t="s">
        <v>35</v>
      </c>
      <c r="O4515" t="s">
        <v>26</v>
      </c>
      <c r="P4515" t="s">
        <v>27</v>
      </c>
      <c r="Q4515" t="s">
        <v>28</v>
      </c>
      <c r="R4515" t="s">
        <v>29</v>
      </c>
      <c r="S4515" t="s">
        <v>793</v>
      </c>
      <c r="T4515">
        <f>_xlfn.XLOOKUP(X4515,Hoja2!D:D,Hoja2!A:A)</f>
        <v>1018496066</v>
      </c>
      <c r="U4515" t="str">
        <f>_xlfn.XLOOKUP(X4515,Hoja2!D:D,Hoja2!B:B)</f>
        <v>JOVANNY ALEXANDER BENAVIDES APRAEZ</v>
      </c>
      <c r="V4515" t="str">
        <f>_xlfn.XLOOKUP(X4515,Hoja2!D:D,Hoja2!C:C)</f>
        <v>PREGRADO</v>
      </c>
      <c r="W4515" s="9">
        <f>IF(V4515="pregrado",31,
IF(V4515="posgrados",31,
IF(V4515="rEINTEGROS",7,
IF(V4515="BIT",90,
IF(V4515="OP GRADO - INGLÉS",17,"")))))</f>
        <v>31</v>
      </c>
      <c r="X4515" t="s">
        <v>4006</v>
      </c>
    </row>
    <row r="4516" spans="1:24" x14ac:dyDescent="0.3">
      <c r="A4516" s="4">
        <v>46129</v>
      </c>
      <c r="B4516">
        <v>20131551</v>
      </c>
      <c r="C4516" t="s">
        <v>19</v>
      </c>
      <c r="D4516">
        <v>614989</v>
      </c>
      <c r="E4516" t="s">
        <v>20</v>
      </c>
      <c r="F4516">
        <v>1047233902</v>
      </c>
      <c r="G4516" t="s">
        <v>4693</v>
      </c>
      <c r="H4516">
        <v>100250942</v>
      </c>
      <c r="I4516">
        <v>202632</v>
      </c>
      <c r="J4516">
        <v>1047233902</v>
      </c>
      <c r="K4516" t="s">
        <v>33</v>
      </c>
      <c r="L4516" t="s">
        <v>240</v>
      </c>
      <c r="M4516" t="s">
        <v>24</v>
      </c>
      <c r="N4516" t="s">
        <v>605</v>
      </c>
      <c r="O4516" t="s">
        <v>26</v>
      </c>
      <c r="P4516" t="s">
        <v>27</v>
      </c>
      <c r="Q4516" t="s">
        <v>28</v>
      </c>
      <c r="R4516" t="s">
        <v>29</v>
      </c>
      <c r="S4516" t="s">
        <v>793</v>
      </c>
      <c r="T4516">
        <f>_xlfn.XLOOKUP(X4516,Hoja2!D:D,Hoja2!A:A)</f>
        <v>1013662799</v>
      </c>
      <c r="U4516" t="str">
        <f>_xlfn.XLOOKUP(X4516,Hoja2!D:D,Hoja2!B:B)</f>
        <v>NELSON JAVIER MORERA RINCON</v>
      </c>
      <c r="V4516" t="str">
        <f>_xlfn.XLOOKUP(X4516,Hoja2!D:D,Hoja2!C:C)</f>
        <v>PREGRADO</v>
      </c>
      <c r="W4516" s="9">
        <f>IF(V4516="pregrado",31,
IF(V4516="posgrados",31,
IF(V4516="rEINTEGROS",7,
IF(V4516="BIT",90,
IF(V4516="OP GRADO - INGLÉS",17,"")))))</f>
        <v>31</v>
      </c>
      <c r="X4516" t="s">
        <v>4021</v>
      </c>
    </row>
    <row r="4517" spans="1:24" x14ac:dyDescent="0.3">
      <c r="A4517" s="4">
        <v>46130</v>
      </c>
      <c r="B4517">
        <v>20131582</v>
      </c>
      <c r="C4517" t="s">
        <v>19</v>
      </c>
      <c r="D4517">
        <v>615006</v>
      </c>
      <c r="E4517" t="s">
        <v>20</v>
      </c>
      <c r="F4517">
        <v>1013604706</v>
      </c>
      <c r="G4517" t="s">
        <v>4703</v>
      </c>
      <c r="H4517">
        <v>100251300</v>
      </c>
      <c r="I4517">
        <v>202612</v>
      </c>
      <c r="J4517">
        <v>1013604706</v>
      </c>
      <c r="K4517" t="s">
        <v>23</v>
      </c>
      <c r="L4517" t="s">
        <v>221</v>
      </c>
      <c r="M4517" t="s">
        <v>24</v>
      </c>
      <c r="N4517" t="s">
        <v>35</v>
      </c>
      <c r="O4517" t="s">
        <v>26</v>
      </c>
      <c r="P4517" t="s">
        <v>27</v>
      </c>
      <c r="Q4517" t="s">
        <v>28</v>
      </c>
      <c r="R4517" t="s">
        <v>29</v>
      </c>
      <c r="S4517" t="s">
        <v>793</v>
      </c>
      <c r="T4517">
        <f>_xlfn.XLOOKUP(X4517,Hoja2!D:D,Hoja2!A:A)</f>
        <v>45555807</v>
      </c>
      <c r="U4517" t="str">
        <f>_xlfn.XLOOKUP(X4517,Hoja2!D:D,Hoja2!B:B)</f>
        <v>NELSON JAVIER MORERA RINCON</v>
      </c>
      <c r="V4517" t="str">
        <f>_xlfn.XLOOKUP(X4517,Hoja2!D:D,Hoja2!C:C)</f>
        <v>PREGRADO</v>
      </c>
      <c r="W4517" s="9">
        <f>IF(V4517="pregrado",31,
IF(V4517="posgrados",31,
IF(V4517="rEINTEGROS",7,
IF(V4517="BIT",90,
IF(V4517="OP GRADO - INGLÉS",17,"")))))</f>
        <v>31</v>
      </c>
      <c r="X4517" t="s">
        <v>4027</v>
      </c>
    </row>
    <row r="4518" spans="1:24" x14ac:dyDescent="0.3">
      <c r="A4518" s="4">
        <v>46132</v>
      </c>
      <c r="B4518">
        <v>20131653</v>
      </c>
      <c r="C4518" t="s">
        <v>19</v>
      </c>
      <c r="D4518">
        <v>615007</v>
      </c>
      <c r="E4518" t="s">
        <v>20</v>
      </c>
      <c r="F4518">
        <v>1006069616</v>
      </c>
      <c r="G4518" t="s">
        <v>4719</v>
      </c>
      <c r="H4518">
        <v>100098947</v>
      </c>
      <c r="I4518">
        <v>202632</v>
      </c>
      <c r="J4518">
        <v>1006069616</v>
      </c>
      <c r="K4518" t="s">
        <v>23</v>
      </c>
      <c r="L4518" t="s">
        <v>240</v>
      </c>
      <c r="M4518" t="s">
        <v>24</v>
      </c>
      <c r="N4518" t="s">
        <v>35</v>
      </c>
      <c r="O4518" t="s">
        <v>26</v>
      </c>
      <c r="P4518" t="s">
        <v>27</v>
      </c>
      <c r="Q4518" t="s">
        <v>28</v>
      </c>
      <c r="R4518" t="s">
        <v>29</v>
      </c>
      <c r="S4518" t="s">
        <v>793</v>
      </c>
      <c r="T4518">
        <f>_xlfn.XLOOKUP(X4518,Hoja2!D:D,Hoja2!A:A)</f>
        <v>1026298522</v>
      </c>
      <c r="U4518" t="str">
        <f>_xlfn.XLOOKUP(X4518,Hoja2!D:D,Hoja2!B:B)</f>
        <v>NELSON JAVIER MORERA RINCON</v>
      </c>
      <c r="V4518" t="str">
        <f>_xlfn.XLOOKUP(X4518,Hoja2!D:D,Hoja2!C:C)</f>
        <v>PREGRADO</v>
      </c>
      <c r="W4518" s="9">
        <f>IF(V4518="pregrado",31,
IF(V4518="posgrados",31,
IF(V4518="rEINTEGROS",7,
IF(V4518="BIT",90,
IF(V4518="OP GRADO - INGLÉS",17,"")))))</f>
        <v>31</v>
      </c>
      <c r="X4518" t="s">
        <v>4040</v>
      </c>
    </row>
    <row r="4519" spans="1:24" x14ac:dyDescent="0.3">
      <c r="A4519" s="4">
        <v>46132</v>
      </c>
      <c r="B4519">
        <v>20131678</v>
      </c>
      <c r="C4519" t="s">
        <v>19</v>
      </c>
      <c r="D4519">
        <v>615012</v>
      </c>
      <c r="E4519" t="s">
        <v>20</v>
      </c>
      <c r="F4519">
        <v>1007680029</v>
      </c>
      <c r="G4519" t="s">
        <v>4722</v>
      </c>
      <c r="H4519">
        <v>100251306</v>
      </c>
      <c r="I4519">
        <v>202632</v>
      </c>
      <c r="J4519">
        <v>1007680029</v>
      </c>
      <c r="K4519" t="s">
        <v>23</v>
      </c>
      <c r="L4519" t="s">
        <v>240</v>
      </c>
      <c r="M4519" t="s">
        <v>24</v>
      </c>
      <c r="N4519" t="s">
        <v>35</v>
      </c>
      <c r="O4519" t="s">
        <v>26</v>
      </c>
      <c r="P4519" t="s">
        <v>27</v>
      </c>
      <c r="Q4519" t="s">
        <v>28</v>
      </c>
      <c r="R4519" t="s">
        <v>29</v>
      </c>
      <c r="S4519" t="s">
        <v>793</v>
      </c>
      <c r="T4519">
        <f>_xlfn.XLOOKUP(X4519,Hoja2!D:D,Hoja2!A:A)</f>
        <v>1026298522</v>
      </c>
      <c r="U4519" t="str">
        <f>_xlfn.XLOOKUP(X4519,Hoja2!D:D,Hoja2!B:B)</f>
        <v>NELSON JAVIER MORERA RINCON</v>
      </c>
      <c r="V4519" t="str">
        <f>_xlfn.XLOOKUP(X4519,Hoja2!D:D,Hoja2!C:C)</f>
        <v>PREGRADO</v>
      </c>
      <c r="W4519" s="9">
        <f>IF(V4519="pregrado",31,
IF(V4519="posgrados",31,
IF(V4519="rEINTEGROS",7,
IF(V4519="BIT",90,
IF(V4519="OP GRADO - INGLÉS",17,"")))))</f>
        <v>31</v>
      </c>
      <c r="X4519" t="s">
        <v>4040</v>
      </c>
    </row>
    <row r="4520" spans="1:24" x14ac:dyDescent="0.3">
      <c r="A4520" s="4">
        <v>46134</v>
      </c>
      <c r="B4520">
        <v>20131973</v>
      </c>
      <c r="C4520" t="s">
        <v>19</v>
      </c>
      <c r="D4520">
        <v>615030</v>
      </c>
      <c r="E4520" t="s">
        <v>20</v>
      </c>
      <c r="F4520">
        <v>25717931</v>
      </c>
      <c r="G4520" t="s">
        <v>4791</v>
      </c>
      <c r="H4520">
        <v>100250906</v>
      </c>
      <c r="I4520">
        <v>202612</v>
      </c>
      <c r="J4520">
        <v>67025909</v>
      </c>
      <c r="K4520" t="s">
        <v>74</v>
      </c>
      <c r="L4520" t="s">
        <v>221</v>
      </c>
      <c r="M4520" t="s">
        <v>24</v>
      </c>
      <c r="N4520" t="s">
        <v>35</v>
      </c>
      <c r="O4520" t="s">
        <v>26</v>
      </c>
      <c r="P4520" t="s">
        <v>27</v>
      </c>
      <c r="Q4520" t="s">
        <v>28</v>
      </c>
      <c r="R4520" t="s">
        <v>29</v>
      </c>
      <c r="S4520" t="s">
        <v>793</v>
      </c>
      <c r="T4520">
        <f>_xlfn.XLOOKUP(X4520,Hoja2!D:D,Hoja2!A:A)</f>
        <v>10006855461</v>
      </c>
      <c r="U4520" t="str">
        <f>_xlfn.XLOOKUP(X4520,Hoja2!D:D,Hoja2!B:B)</f>
        <v>NELSON JAVIER MORERA RINCON</v>
      </c>
      <c r="V4520" t="str">
        <f>_xlfn.XLOOKUP(X4520,Hoja2!D:D,Hoja2!C:C)</f>
        <v>PREGRADO</v>
      </c>
      <c r="W4520" s="9">
        <f>IF(V4520="pregrado",31,
IF(V4520="posgrados",31,
IF(V4520="rEINTEGROS",7,
IF(V4520="BIT",90,
IF(V4520="OP GRADO - INGLÉS",17,"")))))</f>
        <v>31</v>
      </c>
      <c r="X4520" t="s">
        <v>3993</v>
      </c>
    </row>
    <row r="4521" spans="1:24" x14ac:dyDescent="0.3">
      <c r="A4521" s="4">
        <v>46135</v>
      </c>
      <c r="B4521">
        <v>20132085</v>
      </c>
      <c r="C4521" t="s">
        <v>19</v>
      </c>
      <c r="D4521">
        <v>615032</v>
      </c>
      <c r="E4521" t="s">
        <v>20</v>
      </c>
      <c r="F4521">
        <v>98136701</v>
      </c>
      <c r="G4521" t="s">
        <v>4821</v>
      </c>
      <c r="H4521">
        <v>100251329</v>
      </c>
      <c r="I4521">
        <v>202632</v>
      </c>
      <c r="J4521">
        <v>98136701</v>
      </c>
      <c r="K4521" t="s">
        <v>23</v>
      </c>
      <c r="L4521" t="s">
        <v>240</v>
      </c>
      <c r="M4521" t="s">
        <v>24</v>
      </c>
      <c r="N4521" t="s">
        <v>35</v>
      </c>
      <c r="O4521" t="s">
        <v>26</v>
      </c>
      <c r="P4521" t="s">
        <v>27</v>
      </c>
      <c r="Q4521" t="s">
        <v>28</v>
      </c>
      <c r="R4521" t="s">
        <v>29</v>
      </c>
      <c r="S4521" t="s">
        <v>793</v>
      </c>
      <c r="T4521">
        <f>_xlfn.XLOOKUP(X4521,Hoja2!D:D,Hoja2!A:A)</f>
        <v>10006855461</v>
      </c>
      <c r="U4521" t="str">
        <f>_xlfn.XLOOKUP(X4521,Hoja2!D:D,Hoja2!B:B)</f>
        <v>NELSON JAVIER MORERA RINCON</v>
      </c>
      <c r="V4521" t="str">
        <f>_xlfn.XLOOKUP(X4521,Hoja2!D:D,Hoja2!C:C)</f>
        <v>PREGRADO</v>
      </c>
      <c r="W4521" s="9">
        <f>IF(V4521="pregrado",31,
IF(V4521="posgrados",31,
IF(V4521="rEINTEGROS",7,
IF(V4521="BIT",90,
IF(V4521="OP GRADO - INGLÉS",17,"")))))</f>
        <v>31</v>
      </c>
      <c r="X4521" t="s">
        <v>3993</v>
      </c>
    </row>
    <row r="4522" spans="1:24" x14ac:dyDescent="0.3">
      <c r="A4522" s="4">
        <v>46132</v>
      </c>
      <c r="B4522">
        <v>20131704</v>
      </c>
      <c r="C4522" t="s">
        <v>19</v>
      </c>
      <c r="D4522">
        <v>615038</v>
      </c>
      <c r="E4522" t="s">
        <v>20</v>
      </c>
      <c r="F4522">
        <v>1090501208</v>
      </c>
      <c r="G4522" t="s">
        <v>4727</v>
      </c>
      <c r="H4522">
        <v>100246816</v>
      </c>
      <c r="I4522">
        <v>202632</v>
      </c>
      <c r="J4522">
        <v>1093589313</v>
      </c>
      <c r="K4522" t="s">
        <v>33</v>
      </c>
      <c r="L4522" t="s">
        <v>90</v>
      </c>
      <c r="M4522" t="s">
        <v>24</v>
      </c>
      <c r="N4522" t="s">
        <v>35</v>
      </c>
      <c r="O4522" t="s">
        <v>26</v>
      </c>
      <c r="P4522" t="s">
        <v>27</v>
      </c>
      <c r="Q4522" t="s">
        <v>28</v>
      </c>
      <c r="R4522" t="s">
        <v>29</v>
      </c>
      <c r="S4522" t="s">
        <v>793</v>
      </c>
      <c r="T4522">
        <f>_xlfn.XLOOKUP(X4522,Hoja2!D:D,Hoja2!A:A)</f>
        <v>10245841021</v>
      </c>
      <c r="U4522" t="str">
        <f>_xlfn.XLOOKUP(X4522,Hoja2!D:D,Hoja2!B:B)</f>
        <v>PAOLA ANDREA CALDERON CETINA</v>
      </c>
      <c r="V4522" t="str">
        <f>_xlfn.XLOOKUP(X4522,Hoja2!D:D,Hoja2!C:C)</f>
        <v>PREGRADO</v>
      </c>
      <c r="W4522" s="9">
        <f>IF(V4522="pregrado",31,
IF(V4522="posgrados",31,
IF(V4522="rEINTEGROS",7,
IF(V4522="BIT",90,
IF(V4522="OP GRADO - INGLÉS",17,"")))))</f>
        <v>31</v>
      </c>
      <c r="X4522" t="s">
        <v>3987</v>
      </c>
    </row>
    <row r="4523" spans="1:24" x14ac:dyDescent="0.3">
      <c r="A4523" s="4">
        <v>46133</v>
      </c>
      <c r="B4523">
        <v>20131766</v>
      </c>
      <c r="C4523" t="s">
        <v>19</v>
      </c>
      <c r="D4523">
        <v>615072</v>
      </c>
      <c r="E4523" t="s">
        <v>20</v>
      </c>
      <c r="F4523">
        <v>1098728337</v>
      </c>
      <c r="G4523" t="s">
        <v>4738</v>
      </c>
      <c r="H4523">
        <v>100251380</v>
      </c>
      <c r="I4523">
        <v>202632</v>
      </c>
      <c r="J4523">
        <v>1098728337</v>
      </c>
      <c r="K4523" t="s">
        <v>74</v>
      </c>
      <c r="L4523" t="s">
        <v>240</v>
      </c>
      <c r="M4523" t="s">
        <v>24</v>
      </c>
      <c r="N4523" t="s">
        <v>35</v>
      </c>
      <c r="O4523" t="s">
        <v>26</v>
      </c>
      <c r="P4523" t="s">
        <v>27</v>
      </c>
      <c r="Q4523" t="s">
        <v>28</v>
      </c>
      <c r="R4523" t="s">
        <v>29</v>
      </c>
      <c r="S4523" t="s">
        <v>793</v>
      </c>
      <c r="T4523">
        <f>_xlfn.XLOOKUP(X4523,Hoja2!D:D,Hoja2!A:A)</f>
        <v>1013662799</v>
      </c>
      <c r="U4523" t="str">
        <f>_xlfn.XLOOKUP(X4523,Hoja2!D:D,Hoja2!B:B)</f>
        <v>NELSON JAVIER MORERA RINCON</v>
      </c>
      <c r="V4523" t="str">
        <f>_xlfn.XLOOKUP(X4523,Hoja2!D:D,Hoja2!C:C)</f>
        <v>PREGRADO</v>
      </c>
      <c r="W4523" s="9">
        <f>IF(V4523="pregrado",31,
IF(V4523="posgrados",31,
IF(V4523="rEINTEGROS",7,
IF(V4523="BIT",90,
IF(V4523="OP GRADO - INGLÉS",17,"")))))</f>
        <v>31</v>
      </c>
      <c r="X4523" t="s">
        <v>4021</v>
      </c>
    </row>
    <row r="4524" spans="1:24" x14ac:dyDescent="0.3">
      <c r="A4524" s="4">
        <v>46139</v>
      </c>
      <c r="B4524">
        <v>20132284</v>
      </c>
      <c r="C4524" t="s">
        <v>19</v>
      </c>
      <c r="D4524">
        <v>615079</v>
      </c>
      <c r="E4524" t="s">
        <v>20</v>
      </c>
      <c r="F4524">
        <v>1143145738</v>
      </c>
      <c r="G4524" t="s">
        <v>4852</v>
      </c>
      <c r="H4524">
        <v>100055747</v>
      </c>
      <c r="I4524">
        <v>202632</v>
      </c>
      <c r="J4524">
        <v>1140850966</v>
      </c>
      <c r="K4524" t="s">
        <v>23</v>
      </c>
      <c r="L4524" t="s">
        <v>240</v>
      </c>
      <c r="M4524" t="s">
        <v>24</v>
      </c>
      <c r="N4524" t="s">
        <v>605</v>
      </c>
      <c r="O4524" t="s">
        <v>26</v>
      </c>
      <c r="P4524" t="s">
        <v>27</v>
      </c>
      <c r="Q4524" t="s">
        <v>28</v>
      </c>
      <c r="R4524" t="s">
        <v>29</v>
      </c>
      <c r="S4524" t="s">
        <v>793</v>
      </c>
      <c r="T4524">
        <f>_xlfn.XLOOKUP(X4524,Hoja2!D:D,Hoja2!A:A)</f>
        <v>1015428862</v>
      </c>
      <c r="U4524" t="str">
        <f>_xlfn.XLOOKUP(X4524,Hoja2!D:D,Hoja2!B:B)</f>
        <v>NELSON JAVIER MORERA RINCON</v>
      </c>
      <c r="V4524" t="str">
        <f>_xlfn.XLOOKUP(X4524,Hoja2!D:D,Hoja2!C:C)</f>
        <v>PREGRADO</v>
      </c>
      <c r="W4524" s="9">
        <f>IF(V4524="pregrado",31,
IF(V4524="posgrados",31,
IF(V4524="rEINTEGROS",7,
IF(V4524="BIT",90,
IF(V4524="OP GRADO - INGLÉS",17,"")))))</f>
        <v>31</v>
      </c>
      <c r="X4524" t="s">
        <v>4048</v>
      </c>
    </row>
    <row r="4525" spans="1:24" x14ac:dyDescent="0.3">
      <c r="A4525" s="4">
        <v>46132</v>
      </c>
      <c r="B4525">
        <v>20131733</v>
      </c>
      <c r="C4525" t="s">
        <v>19</v>
      </c>
      <c r="D4525">
        <v>615091</v>
      </c>
      <c r="E4525" t="s">
        <v>20</v>
      </c>
      <c r="F4525">
        <v>1105782445</v>
      </c>
      <c r="G4525" t="s">
        <v>4732</v>
      </c>
      <c r="H4525">
        <v>200273402</v>
      </c>
      <c r="I4525">
        <v>202632</v>
      </c>
      <c r="J4525">
        <v>1105782445</v>
      </c>
      <c r="K4525" t="s">
        <v>23</v>
      </c>
      <c r="L4525" t="s">
        <v>119</v>
      </c>
      <c r="M4525" t="s">
        <v>24</v>
      </c>
      <c r="N4525" t="s">
        <v>25</v>
      </c>
      <c r="O4525" t="s">
        <v>26</v>
      </c>
      <c r="P4525" t="s">
        <v>27</v>
      </c>
      <c r="Q4525" t="s">
        <v>28</v>
      </c>
      <c r="R4525" t="s">
        <v>29</v>
      </c>
      <c r="S4525" t="s">
        <v>793</v>
      </c>
      <c r="T4525">
        <f>_xlfn.XLOOKUP(X4525,Hoja2!D:D,Hoja2!A:A)</f>
        <v>1077967131</v>
      </c>
      <c r="U4525" t="str">
        <f>_xlfn.XLOOKUP(X4525,Hoja2!D:D,Hoja2!B:B)</f>
        <v>MARSHIA MILENA JIMéNEZ GóMEZ</v>
      </c>
      <c r="V4525" t="str">
        <f>_xlfn.XLOOKUP(X4525,Hoja2!D:D,Hoja2!C:C)</f>
        <v>PREGRADO</v>
      </c>
      <c r="W4525" s="9">
        <f>IF(V4525="pregrado",31,
IF(V4525="posgrados",31,
IF(V4525="rEINTEGROS",7,
IF(V4525="BIT",90,
IF(V4525="OP GRADO - INGLÉS",17,"")))))</f>
        <v>31</v>
      </c>
      <c r="X4525" t="s">
        <v>4011</v>
      </c>
    </row>
    <row r="4526" spans="1:24" x14ac:dyDescent="0.3">
      <c r="A4526" s="4">
        <v>46133</v>
      </c>
      <c r="B4526">
        <v>20131799</v>
      </c>
      <c r="C4526" t="s">
        <v>19</v>
      </c>
      <c r="D4526">
        <v>615107</v>
      </c>
      <c r="E4526" t="s">
        <v>20</v>
      </c>
      <c r="F4526">
        <v>38885611</v>
      </c>
      <c r="G4526" t="s">
        <v>4747</v>
      </c>
      <c r="H4526">
        <v>100251408</v>
      </c>
      <c r="I4526">
        <v>202612</v>
      </c>
      <c r="J4526">
        <v>38885611</v>
      </c>
      <c r="K4526" t="s">
        <v>23</v>
      </c>
      <c r="L4526" t="s">
        <v>221</v>
      </c>
      <c r="M4526" t="s">
        <v>24</v>
      </c>
      <c r="N4526" t="s">
        <v>35</v>
      </c>
      <c r="O4526" t="s">
        <v>26</v>
      </c>
      <c r="P4526" t="s">
        <v>27</v>
      </c>
      <c r="Q4526" t="s">
        <v>28</v>
      </c>
      <c r="R4526" t="s">
        <v>29</v>
      </c>
      <c r="S4526" t="s">
        <v>793</v>
      </c>
      <c r="T4526">
        <f>_xlfn.XLOOKUP(X4526,Hoja2!D:D,Hoja2!A:A)</f>
        <v>45555807</v>
      </c>
      <c r="U4526" t="str">
        <f>_xlfn.XLOOKUP(X4526,Hoja2!D:D,Hoja2!B:B)</f>
        <v>NELSON JAVIER MORERA RINCON</v>
      </c>
      <c r="V4526" t="str">
        <f>_xlfn.XLOOKUP(X4526,Hoja2!D:D,Hoja2!C:C)</f>
        <v>PREGRADO</v>
      </c>
      <c r="W4526" s="9">
        <f>IF(V4526="pregrado",31,
IF(V4526="posgrados",31,
IF(V4526="rEINTEGROS",7,
IF(V4526="BIT",90,
IF(V4526="OP GRADO - INGLÉS",17,"")))))</f>
        <v>31</v>
      </c>
      <c r="X4526" t="s">
        <v>4027</v>
      </c>
    </row>
    <row r="4527" spans="1:24" x14ac:dyDescent="0.3">
      <c r="A4527" s="4">
        <v>46141</v>
      </c>
      <c r="B4527">
        <v>20132612</v>
      </c>
      <c r="C4527" t="s">
        <v>19</v>
      </c>
      <c r="D4527">
        <v>615114</v>
      </c>
      <c r="E4527" t="s">
        <v>20</v>
      </c>
      <c r="F4527">
        <v>37270047</v>
      </c>
      <c r="G4527" t="s">
        <v>4891</v>
      </c>
      <c r="H4527">
        <v>100251419</v>
      </c>
      <c r="I4527">
        <v>202632</v>
      </c>
      <c r="J4527">
        <v>37270047</v>
      </c>
      <c r="K4527" t="s">
        <v>33</v>
      </c>
      <c r="L4527" t="s">
        <v>32</v>
      </c>
      <c r="M4527" t="s">
        <v>24</v>
      </c>
      <c r="N4527" t="s">
        <v>25</v>
      </c>
      <c r="O4527" t="s">
        <v>26</v>
      </c>
      <c r="P4527" t="s">
        <v>27</v>
      </c>
      <c r="Q4527" t="s">
        <v>28</v>
      </c>
      <c r="R4527" t="s">
        <v>29</v>
      </c>
      <c r="S4527" t="s">
        <v>793</v>
      </c>
      <c r="T4527">
        <f>_xlfn.XLOOKUP(X4527,Hoja2!D:D,Hoja2!A:A)</f>
        <v>1032394283</v>
      </c>
      <c r="U4527" t="str">
        <f>_xlfn.XLOOKUP(X4527,Hoja2!D:D,Hoja2!B:B)</f>
        <v>HEIDY LORENA PRIETO AHUMADA</v>
      </c>
      <c r="V4527" t="str">
        <f>_xlfn.XLOOKUP(X4527,Hoja2!D:D,Hoja2!C:C)</f>
        <v>PREGRADO</v>
      </c>
      <c r="W4527" s="9">
        <f>IF(V4527="pregrado",31,
IF(V4527="posgrados",31,
IF(V4527="rEINTEGROS",7,
IF(V4527="BIT",90,
IF(V4527="OP GRADO - INGLÉS",17,"")))))</f>
        <v>31</v>
      </c>
      <c r="X4527" t="s">
        <v>4034</v>
      </c>
    </row>
    <row r="4528" spans="1:24" x14ac:dyDescent="0.3">
      <c r="A4528" s="4">
        <v>46133</v>
      </c>
      <c r="B4528">
        <v>20131827</v>
      </c>
      <c r="C4528" t="s">
        <v>19</v>
      </c>
      <c r="D4528">
        <v>615115</v>
      </c>
      <c r="E4528" t="s">
        <v>20</v>
      </c>
      <c r="F4528">
        <v>1002538266</v>
      </c>
      <c r="G4528" t="s">
        <v>4756</v>
      </c>
      <c r="H4528">
        <v>100251421</v>
      </c>
      <c r="I4528">
        <v>202632</v>
      </c>
      <c r="J4528">
        <v>1002538266</v>
      </c>
      <c r="K4528" t="s">
        <v>23</v>
      </c>
      <c r="L4528" t="s">
        <v>90</v>
      </c>
      <c r="M4528" t="s">
        <v>24</v>
      </c>
      <c r="N4528" t="s">
        <v>35</v>
      </c>
      <c r="O4528" t="s">
        <v>26</v>
      </c>
      <c r="P4528" t="s">
        <v>27</v>
      </c>
      <c r="Q4528" t="s">
        <v>28</v>
      </c>
      <c r="R4528" t="s">
        <v>29</v>
      </c>
      <c r="S4528" t="s">
        <v>793</v>
      </c>
      <c r="T4528">
        <f>_xlfn.XLOOKUP(X4528,Hoja2!D:D,Hoja2!A:A)</f>
        <v>10306009131</v>
      </c>
      <c r="U4528" t="str">
        <f>_xlfn.XLOOKUP(X4528,Hoja2!D:D,Hoja2!B:B)</f>
        <v>PAOLA ANDREA CALDERON CETINA</v>
      </c>
      <c r="V4528" t="str">
        <f>_xlfn.XLOOKUP(X4528,Hoja2!D:D,Hoja2!C:C)</f>
        <v>PREGRADO</v>
      </c>
      <c r="W4528" s="9">
        <f>IF(V4528="pregrado",31,
IF(V4528="posgrados",31,
IF(V4528="rEINTEGROS",7,
IF(V4528="BIT",90,
IF(V4528="OP GRADO - INGLÉS",17,"")))))</f>
        <v>31</v>
      </c>
      <c r="X4528" t="s">
        <v>3978</v>
      </c>
    </row>
    <row r="4529" spans="1:24" x14ac:dyDescent="0.3">
      <c r="A4529" s="4">
        <v>46133</v>
      </c>
      <c r="B4529">
        <v>20131776</v>
      </c>
      <c r="C4529" t="s">
        <v>19</v>
      </c>
      <c r="D4529">
        <v>615121</v>
      </c>
      <c r="E4529" t="s">
        <v>20</v>
      </c>
      <c r="F4529">
        <v>93138422</v>
      </c>
      <c r="G4529" t="s">
        <v>4742</v>
      </c>
      <c r="H4529">
        <v>200271005</v>
      </c>
      <c r="I4529">
        <v>202632</v>
      </c>
      <c r="J4529">
        <v>93138422</v>
      </c>
      <c r="K4529" t="s">
        <v>23</v>
      </c>
      <c r="L4529" t="s">
        <v>219</v>
      </c>
      <c r="M4529" t="s">
        <v>24</v>
      </c>
      <c r="N4529" t="s">
        <v>25</v>
      </c>
      <c r="O4529" t="s">
        <v>26</v>
      </c>
      <c r="P4529" t="s">
        <v>27</v>
      </c>
      <c r="Q4529" t="s">
        <v>28</v>
      </c>
      <c r="R4529" t="s">
        <v>29</v>
      </c>
      <c r="S4529" t="s">
        <v>793</v>
      </c>
      <c r="T4529">
        <f>_xlfn.XLOOKUP(X4529,Hoja2!D:D,Hoja2!A:A)</f>
        <v>10245841021</v>
      </c>
      <c r="U4529" t="str">
        <f>_xlfn.XLOOKUP(X4529,Hoja2!D:D,Hoja2!B:B)</f>
        <v>PAOLA ANDREA CALDERON CETINA</v>
      </c>
      <c r="V4529" t="str">
        <f>_xlfn.XLOOKUP(X4529,Hoja2!D:D,Hoja2!C:C)</f>
        <v>PREGRADO</v>
      </c>
      <c r="W4529" s="9">
        <f>IF(V4529="pregrado",31,
IF(V4529="posgrados",31,
IF(V4529="rEINTEGROS",7,
IF(V4529="BIT",90,
IF(V4529="OP GRADO - INGLÉS",17,"")))))</f>
        <v>31</v>
      </c>
      <c r="X4529" t="s">
        <v>3987</v>
      </c>
    </row>
    <row r="4530" spans="1:24" x14ac:dyDescent="0.3">
      <c r="A4530" s="4">
        <v>46133</v>
      </c>
      <c r="B4530">
        <v>20131812</v>
      </c>
      <c r="C4530" t="s">
        <v>19</v>
      </c>
      <c r="D4530">
        <v>615132</v>
      </c>
      <c r="E4530" t="s">
        <v>20</v>
      </c>
      <c r="F4530">
        <v>13447620</v>
      </c>
      <c r="G4530" t="s">
        <v>4752</v>
      </c>
      <c r="H4530">
        <v>100251428</v>
      </c>
      <c r="I4530">
        <v>202632</v>
      </c>
      <c r="J4530">
        <v>1090454733</v>
      </c>
      <c r="K4530" t="s">
        <v>23</v>
      </c>
      <c r="L4530" t="s">
        <v>240</v>
      </c>
      <c r="M4530" t="s">
        <v>24</v>
      </c>
      <c r="N4530" t="s">
        <v>35</v>
      </c>
      <c r="O4530" t="s">
        <v>26</v>
      </c>
      <c r="P4530" t="s">
        <v>27</v>
      </c>
      <c r="Q4530" t="s">
        <v>28</v>
      </c>
      <c r="R4530" t="s">
        <v>29</v>
      </c>
      <c r="S4530" t="s">
        <v>793</v>
      </c>
      <c r="T4530">
        <f>_xlfn.XLOOKUP(X4530,Hoja2!D:D,Hoja2!A:A)</f>
        <v>1073692626</v>
      </c>
      <c r="U4530" t="str">
        <f>_xlfn.XLOOKUP(X4530,Hoja2!D:D,Hoja2!B:B)</f>
        <v>NELSON JAVIER MORERA RINCON</v>
      </c>
      <c r="V4530" t="str">
        <f>_xlfn.XLOOKUP(X4530,Hoja2!D:D,Hoja2!C:C)</f>
        <v>PREGRADO</v>
      </c>
      <c r="W4530" s="9">
        <f>IF(V4530="pregrado",31,
IF(V4530="posgrados",31,
IF(V4530="rEINTEGROS",7,
IF(V4530="BIT",90,
IF(V4530="OP GRADO - INGLÉS",17,"")))))</f>
        <v>31</v>
      </c>
      <c r="X4530" t="s">
        <v>4014</v>
      </c>
    </row>
    <row r="4531" spans="1:24" x14ac:dyDescent="0.3">
      <c r="A4531" s="4">
        <v>46133</v>
      </c>
      <c r="B4531">
        <v>20131777</v>
      </c>
      <c r="C4531" t="s">
        <v>19</v>
      </c>
      <c r="D4531">
        <v>615148</v>
      </c>
      <c r="E4531" t="s">
        <v>20</v>
      </c>
      <c r="F4531">
        <v>1004926121</v>
      </c>
      <c r="G4531" t="s">
        <v>4743</v>
      </c>
      <c r="H4531">
        <v>200274894</v>
      </c>
      <c r="I4531">
        <v>202632</v>
      </c>
      <c r="J4531">
        <v>1004926121</v>
      </c>
      <c r="K4531" t="s">
        <v>23</v>
      </c>
      <c r="L4531" t="s">
        <v>119</v>
      </c>
      <c r="M4531" t="s">
        <v>24</v>
      </c>
      <c r="N4531" t="s">
        <v>35</v>
      </c>
      <c r="O4531" t="s">
        <v>26</v>
      </c>
      <c r="P4531" t="s">
        <v>27</v>
      </c>
      <c r="Q4531" t="s">
        <v>28</v>
      </c>
      <c r="R4531" t="s">
        <v>29</v>
      </c>
      <c r="S4531" t="s">
        <v>793</v>
      </c>
      <c r="T4531">
        <f>_xlfn.XLOOKUP(X4531,Hoja2!D:D,Hoja2!A:A)</f>
        <v>52446712</v>
      </c>
      <c r="U4531" t="str">
        <f>_xlfn.XLOOKUP(X4531,Hoja2!D:D,Hoja2!B:B)</f>
        <v>MARSHIA MILENA JIMéNEZ GóMEZ</v>
      </c>
      <c r="V4531" t="str">
        <f>_xlfn.XLOOKUP(X4531,Hoja2!D:D,Hoja2!C:C)</f>
        <v>PREGRADO</v>
      </c>
      <c r="W4531" s="9">
        <f>IF(V4531="pregrado",31,
IF(V4531="posgrados",31,
IF(V4531="rEINTEGROS",7,
IF(V4531="BIT",90,
IF(V4531="OP GRADO - INGLÉS",17,"")))))</f>
        <v>31</v>
      </c>
      <c r="X4531" t="s">
        <v>4041</v>
      </c>
    </row>
    <row r="4532" spans="1:24" x14ac:dyDescent="0.3">
      <c r="A4532" s="4">
        <v>46133</v>
      </c>
      <c r="B4532">
        <v>20131851</v>
      </c>
      <c r="C4532" t="s">
        <v>19</v>
      </c>
      <c r="D4532">
        <v>615149</v>
      </c>
      <c r="E4532" t="s">
        <v>20</v>
      </c>
      <c r="F4532">
        <v>1027526773</v>
      </c>
      <c r="G4532" t="s">
        <v>4760</v>
      </c>
      <c r="H4532">
        <v>100223495</v>
      </c>
      <c r="I4532">
        <v>202612</v>
      </c>
      <c r="J4532">
        <v>1027526773</v>
      </c>
      <c r="K4532" t="s">
        <v>23</v>
      </c>
      <c r="L4532" t="s">
        <v>204</v>
      </c>
      <c r="M4532" t="s">
        <v>24</v>
      </c>
      <c r="N4532" t="s">
        <v>38</v>
      </c>
      <c r="O4532" t="s">
        <v>26</v>
      </c>
      <c r="P4532" t="s">
        <v>27</v>
      </c>
      <c r="Q4532" t="s">
        <v>28</v>
      </c>
      <c r="R4532" t="s">
        <v>29</v>
      </c>
      <c r="S4532" t="s">
        <v>793</v>
      </c>
      <c r="T4532">
        <f>_xlfn.XLOOKUP(X4532,Hoja2!D:D,Hoja2!A:A)</f>
        <v>1019115186</v>
      </c>
      <c r="U4532" t="str">
        <f>_xlfn.XLOOKUP(X4532,Hoja2!D:D,Hoja2!B:B)</f>
        <v>HEIDY LORENA PRIETO AHUMADA</v>
      </c>
      <c r="V4532" t="str">
        <f>_xlfn.XLOOKUP(X4532,Hoja2!D:D,Hoja2!C:C)</f>
        <v>PREGRADO</v>
      </c>
      <c r="W4532" s="9">
        <f>IF(V4532="pregrado",31,
IF(V4532="posgrados",31,
IF(V4532="rEINTEGROS",7,
IF(V4532="BIT",90,
IF(V4532="OP GRADO - INGLÉS",17,"")))))</f>
        <v>31</v>
      </c>
      <c r="X4532" t="s">
        <v>4005</v>
      </c>
    </row>
    <row r="4533" spans="1:24" x14ac:dyDescent="0.3">
      <c r="A4533" s="4">
        <v>46133</v>
      </c>
      <c r="B4533">
        <v>20131797</v>
      </c>
      <c r="C4533" t="s">
        <v>19</v>
      </c>
      <c r="D4533">
        <v>615155</v>
      </c>
      <c r="E4533" t="s">
        <v>20</v>
      </c>
      <c r="F4533">
        <v>1014661602</v>
      </c>
      <c r="G4533" t="s">
        <v>4746</v>
      </c>
      <c r="H4533">
        <v>100251457</v>
      </c>
      <c r="I4533">
        <v>202632</v>
      </c>
      <c r="J4533">
        <v>1014661602</v>
      </c>
      <c r="K4533" t="s">
        <v>23</v>
      </c>
      <c r="L4533" t="s">
        <v>90</v>
      </c>
      <c r="M4533" t="s">
        <v>24</v>
      </c>
      <c r="N4533" t="s">
        <v>35</v>
      </c>
      <c r="O4533" t="s">
        <v>26</v>
      </c>
      <c r="P4533" t="s">
        <v>27</v>
      </c>
      <c r="Q4533" t="s">
        <v>28</v>
      </c>
      <c r="R4533" t="s">
        <v>29</v>
      </c>
      <c r="S4533" t="s">
        <v>793</v>
      </c>
      <c r="T4533">
        <f>_xlfn.XLOOKUP(X4533,Hoja2!D:D,Hoja2!A:A)</f>
        <v>1025460711</v>
      </c>
      <c r="U4533" t="str">
        <f>_xlfn.XLOOKUP(X4533,Hoja2!D:D,Hoja2!B:B)</f>
        <v>PAOLA ANDREA CALDERON CETINA</v>
      </c>
      <c r="V4533" t="str">
        <f>_xlfn.XLOOKUP(X4533,Hoja2!D:D,Hoja2!C:C)</f>
        <v>PREGRADO</v>
      </c>
      <c r="W4533" s="9">
        <f>IF(V4533="pregrado",31,
IF(V4533="posgrados",31,
IF(V4533="rEINTEGROS",7,
IF(V4533="BIT",90,
IF(V4533="OP GRADO - INGLÉS",17,"")))))</f>
        <v>31</v>
      </c>
      <c r="X4533" t="s">
        <v>4062</v>
      </c>
    </row>
    <row r="4534" spans="1:24" x14ac:dyDescent="0.3">
      <c r="A4534" s="4">
        <v>46134</v>
      </c>
      <c r="B4534">
        <v>20131882</v>
      </c>
      <c r="C4534" t="s">
        <v>19</v>
      </c>
      <c r="D4534">
        <v>615177</v>
      </c>
      <c r="E4534" t="s">
        <v>20</v>
      </c>
      <c r="F4534">
        <v>1068417521</v>
      </c>
      <c r="G4534" t="s">
        <v>4766</v>
      </c>
      <c r="H4534">
        <v>200273579</v>
      </c>
      <c r="I4534">
        <v>202632</v>
      </c>
      <c r="J4534">
        <v>1068417521</v>
      </c>
      <c r="K4534" t="s">
        <v>33</v>
      </c>
      <c r="L4534" t="s">
        <v>219</v>
      </c>
      <c r="M4534" t="s">
        <v>24</v>
      </c>
      <c r="N4534" t="s">
        <v>35</v>
      </c>
      <c r="O4534" t="s">
        <v>26</v>
      </c>
      <c r="P4534" t="s">
        <v>27</v>
      </c>
      <c r="Q4534" t="s">
        <v>28</v>
      </c>
      <c r="R4534" t="s">
        <v>29</v>
      </c>
      <c r="S4534" t="s">
        <v>793</v>
      </c>
      <c r="T4534">
        <f>_xlfn.XLOOKUP(X4534,Hoja2!D:D,Hoja2!A:A)</f>
        <v>1000973717</v>
      </c>
      <c r="U4534" t="str">
        <f>_xlfn.XLOOKUP(X4534,Hoja2!D:D,Hoja2!B:B)</f>
        <v>MARSHIA MILENA JIMéNEZ GóMEZ</v>
      </c>
      <c r="V4534" t="str">
        <f>_xlfn.XLOOKUP(X4534,Hoja2!D:D,Hoja2!C:C)</f>
        <v>PREGRADO</v>
      </c>
      <c r="W4534" s="9">
        <f>IF(V4534="pregrado",31,
IF(V4534="posgrados",31,
IF(V4534="rEINTEGROS",7,
IF(V4534="BIT",90,
IF(V4534="OP GRADO - INGLÉS",17,"")))))</f>
        <v>31</v>
      </c>
      <c r="X4534" t="s">
        <v>4073</v>
      </c>
    </row>
    <row r="4535" spans="1:24" x14ac:dyDescent="0.3">
      <c r="A4535" s="4">
        <v>46134</v>
      </c>
      <c r="B4535">
        <v>20131902</v>
      </c>
      <c r="C4535" t="s">
        <v>19</v>
      </c>
      <c r="D4535">
        <v>615186</v>
      </c>
      <c r="E4535" t="s">
        <v>20</v>
      </c>
      <c r="F4535">
        <v>36295250</v>
      </c>
      <c r="G4535" t="s">
        <v>4770</v>
      </c>
      <c r="H4535">
        <v>100251472</v>
      </c>
      <c r="I4535">
        <v>202632</v>
      </c>
      <c r="J4535">
        <v>36295250</v>
      </c>
      <c r="K4535" t="s">
        <v>23</v>
      </c>
      <c r="L4535" t="s">
        <v>240</v>
      </c>
      <c r="M4535" t="s">
        <v>24</v>
      </c>
      <c r="N4535" t="s">
        <v>35</v>
      </c>
      <c r="O4535" t="s">
        <v>26</v>
      </c>
      <c r="P4535" t="s">
        <v>27</v>
      </c>
      <c r="Q4535" t="s">
        <v>28</v>
      </c>
      <c r="R4535" t="s">
        <v>29</v>
      </c>
      <c r="S4535" t="s">
        <v>793</v>
      </c>
      <c r="T4535">
        <f>_xlfn.XLOOKUP(X4535,Hoja2!D:D,Hoja2!A:A)</f>
        <v>53071696</v>
      </c>
      <c r="U4535" t="str">
        <f>_xlfn.XLOOKUP(X4535,Hoja2!D:D,Hoja2!B:B)</f>
        <v>NELSON JAVIER MORERA RINCON</v>
      </c>
      <c r="V4535" t="str">
        <f>_xlfn.XLOOKUP(X4535,Hoja2!D:D,Hoja2!C:C)</f>
        <v>PREGRADO</v>
      </c>
      <c r="W4535" s="9">
        <f>IF(V4535="pregrado",31,
IF(V4535="posgrados",31,
IF(V4535="rEINTEGROS",7,
IF(V4535="BIT",90,
IF(V4535="OP GRADO - INGLÉS",17,"")))))</f>
        <v>31</v>
      </c>
      <c r="X4535" t="s">
        <v>4012</v>
      </c>
    </row>
    <row r="4536" spans="1:24" x14ac:dyDescent="0.3">
      <c r="A4536" s="4">
        <v>46134</v>
      </c>
      <c r="B4536">
        <v>20131893</v>
      </c>
      <c r="C4536" t="s">
        <v>19</v>
      </c>
      <c r="D4536">
        <v>615196</v>
      </c>
      <c r="E4536" t="s">
        <v>20</v>
      </c>
      <c r="F4536">
        <v>1002808362</v>
      </c>
      <c r="G4536" t="s">
        <v>4768</v>
      </c>
      <c r="H4536">
        <v>100251484</v>
      </c>
      <c r="I4536">
        <v>202612</v>
      </c>
      <c r="J4536">
        <v>1002808362</v>
      </c>
      <c r="K4536" t="s">
        <v>23</v>
      </c>
      <c r="L4536" t="s">
        <v>221</v>
      </c>
      <c r="M4536" t="s">
        <v>24</v>
      </c>
      <c r="N4536" t="s">
        <v>35</v>
      </c>
      <c r="O4536" t="s">
        <v>26</v>
      </c>
      <c r="P4536" t="s">
        <v>27</v>
      </c>
      <c r="Q4536" t="s">
        <v>28</v>
      </c>
      <c r="R4536" t="s">
        <v>29</v>
      </c>
      <c r="S4536" t="s">
        <v>793</v>
      </c>
      <c r="T4536">
        <f>_xlfn.XLOOKUP(X4536,Hoja2!D:D,Hoja2!A:A)</f>
        <v>53071696</v>
      </c>
      <c r="U4536" t="str">
        <f>_xlfn.XLOOKUP(X4536,Hoja2!D:D,Hoja2!B:B)</f>
        <v>NELSON JAVIER MORERA RINCON</v>
      </c>
      <c r="V4536" t="str">
        <f>_xlfn.XLOOKUP(X4536,Hoja2!D:D,Hoja2!C:C)</f>
        <v>PREGRADO</v>
      </c>
      <c r="W4536" s="9">
        <f>IF(V4536="pregrado",31,
IF(V4536="posgrados",31,
IF(V4536="rEINTEGROS",7,
IF(V4536="BIT",90,
IF(V4536="OP GRADO - INGLÉS",17,"")))))</f>
        <v>31</v>
      </c>
      <c r="X4536" t="s">
        <v>4012</v>
      </c>
    </row>
    <row r="4537" spans="1:24" x14ac:dyDescent="0.3">
      <c r="A4537" s="4">
        <v>46135</v>
      </c>
      <c r="B4537">
        <v>20131995</v>
      </c>
      <c r="C4537" t="s">
        <v>19</v>
      </c>
      <c r="D4537">
        <v>615197</v>
      </c>
      <c r="E4537" t="s">
        <v>20</v>
      </c>
      <c r="F4537">
        <v>1007581137</v>
      </c>
      <c r="G4537" t="s">
        <v>4795</v>
      </c>
      <c r="H4537">
        <v>200274129</v>
      </c>
      <c r="I4537">
        <v>202632</v>
      </c>
      <c r="J4537">
        <v>1007581137</v>
      </c>
      <c r="K4537" t="s">
        <v>23</v>
      </c>
      <c r="L4537" t="s">
        <v>119</v>
      </c>
      <c r="M4537" t="s">
        <v>24</v>
      </c>
      <c r="N4537" t="s">
        <v>35</v>
      </c>
      <c r="O4537" t="s">
        <v>26</v>
      </c>
      <c r="P4537" t="s">
        <v>27</v>
      </c>
      <c r="Q4537" t="s">
        <v>28</v>
      </c>
      <c r="R4537" t="s">
        <v>29</v>
      </c>
      <c r="S4537" t="s">
        <v>793</v>
      </c>
      <c r="T4537">
        <f>_xlfn.XLOOKUP(X4537,Hoja2!D:D,Hoja2!A:A)</f>
        <v>1099215811</v>
      </c>
      <c r="U4537" t="str">
        <f>_xlfn.XLOOKUP(X4537,Hoja2!D:D,Hoja2!B:B)</f>
        <v>Heidy Lorena Prieto Ahumada</v>
      </c>
      <c r="V4537" t="str">
        <f>_xlfn.XLOOKUP(X4537,Hoja2!D:D,Hoja2!C:C)</f>
        <v>PREGRADO</v>
      </c>
      <c r="W4537" s="9">
        <f>IF(V4537="pregrado",31,
IF(V4537="posgrados",31,
IF(V4537="rEINTEGROS",7,
IF(V4537="BIT",90,
IF(V4537="OP GRADO - INGLÉS",17,"")))))</f>
        <v>31</v>
      </c>
      <c r="X4537" t="s">
        <v>4928</v>
      </c>
    </row>
    <row r="4538" spans="1:24" x14ac:dyDescent="0.3">
      <c r="A4538" s="4">
        <v>46134</v>
      </c>
      <c r="B4538">
        <v>20131933</v>
      </c>
      <c r="C4538" t="s">
        <v>19</v>
      </c>
      <c r="D4538">
        <v>615199</v>
      </c>
      <c r="E4538" t="s">
        <v>20</v>
      </c>
      <c r="F4538">
        <v>1062282147</v>
      </c>
      <c r="G4538" t="s">
        <v>4781</v>
      </c>
      <c r="H4538">
        <v>100251487</v>
      </c>
      <c r="I4538">
        <v>202632</v>
      </c>
      <c r="J4538">
        <v>1062282147</v>
      </c>
      <c r="K4538" t="s">
        <v>33</v>
      </c>
      <c r="L4538" t="s">
        <v>127</v>
      </c>
      <c r="M4538" t="s">
        <v>24</v>
      </c>
      <c r="N4538" t="s">
        <v>25</v>
      </c>
      <c r="O4538" t="s">
        <v>26</v>
      </c>
      <c r="P4538" t="s">
        <v>27</v>
      </c>
      <c r="Q4538" t="s">
        <v>28</v>
      </c>
      <c r="R4538" t="s">
        <v>29</v>
      </c>
      <c r="S4538" t="s">
        <v>793</v>
      </c>
      <c r="T4538">
        <f>_xlfn.XLOOKUP(X4538,Hoja2!D:D,Hoja2!A:A)</f>
        <v>1007473661</v>
      </c>
      <c r="U4538" t="str">
        <f>_xlfn.XLOOKUP(X4538,Hoja2!D:D,Hoja2!B:B)</f>
        <v>PAOLA ANDREA CALDERON CETINA</v>
      </c>
      <c r="V4538" t="str">
        <f>_xlfn.XLOOKUP(X4538,Hoja2!D:D,Hoja2!C:C)</f>
        <v>PREGRADO</v>
      </c>
      <c r="W4538" s="9">
        <f>IF(V4538="pregrado",31,
IF(V4538="posgrados",31,
IF(V4538="rEINTEGROS",7,
IF(V4538="BIT",90,
IF(V4538="OP GRADO - INGLÉS",17,"")))))</f>
        <v>31</v>
      </c>
      <c r="X4538" t="s">
        <v>4058</v>
      </c>
    </row>
    <row r="4539" spans="1:24" x14ac:dyDescent="0.3">
      <c r="A4539" s="4">
        <v>46133</v>
      </c>
      <c r="B4539">
        <v>20131844</v>
      </c>
      <c r="C4539" t="s">
        <v>19</v>
      </c>
      <c r="D4539">
        <v>615202</v>
      </c>
      <c r="E4539" t="s">
        <v>20</v>
      </c>
      <c r="F4539">
        <v>1045728232</v>
      </c>
      <c r="G4539" t="s">
        <v>4758</v>
      </c>
      <c r="H4539">
        <v>100251493</v>
      </c>
      <c r="I4539">
        <v>202632</v>
      </c>
      <c r="J4539">
        <v>1045728232</v>
      </c>
      <c r="K4539" t="s">
        <v>33</v>
      </c>
      <c r="L4539" t="s">
        <v>127</v>
      </c>
      <c r="M4539" t="s">
        <v>24</v>
      </c>
      <c r="N4539" t="s">
        <v>25</v>
      </c>
      <c r="O4539" t="s">
        <v>26</v>
      </c>
      <c r="P4539" t="s">
        <v>27</v>
      </c>
      <c r="Q4539" t="s">
        <v>28</v>
      </c>
      <c r="R4539" t="s">
        <v>29</v>
      </c>
      <c r="S4539" t="s">
        <v>793</v>
      </c>
      <c r="T4539">
        <f>_xlfn.XLOOKUP(X4539,Hoja2!D:D,Hoja2!A:A)</f>
        <v>1023970223</v>
      </c>
      <c r="U4539" t="str">
        <f>_xlfn.XLOOKUP(X4539,Hoja2!D:D,Hoja2!B:B)</f>
        <v>PAOLA ANDREA CALDERON CETINA</v>
      </c>
      <c r="V4539" t="str">
        <f>_xlfn.XLOOKUP(X4539,Hoja2!D:D,Hoja2!C:C)</f>
        <v>PREGRADO</v>
      </c>
      <c r="W4539" s="9">
        <f>IF(V4539="pregrado",31,
IF(V4539="posgrados",31,
IF(V4539="rEINTEGROS",7,
IF(V4539="BIT",90,
IF(V4539="OP GRADO - INGLÉS",17,"")))))</f>
        <v>31</v>
      </c>
      <c r="X4539" t="s">
        <v>4070</v>
      </c>
    </row>
    <row r="4540" spans="1:24" x14ac:dyDescent="0.3">
      <c r="A4540" s="4">
        <v>46134</v>
      </c>
      <c r="B4540">
        <v>20131954</v>
      </c>
      <c r="C4540" t="s">
        <v>19</v>
      </c>
      <c r="D4540">
        <v>615216</v>
      </c>
      <c r="E4540" t="s">
        <v>20</v>
      </c>
      <c r="F4540">
        <v>1017211818</v>
      </c>
      <c r="G4540" t="s">
        <v>4785</v>
      </c>
      <c r="H4540">
        <v>100251514</v>
      </c>
      <c r="I4540">
        <v>202632</v>
      </c>
      <c r="J4540">
        <v>1017211818</v>
      </c>
      <c r="K4540" t="s">
        <v>23</v>
      </c>
      <c r="L4540" t="s">
        <v>240</v>
      </c>
      <c r="M4540" t="s">
        <v>24</v>
      </c>
      <c r="N4540" t="s">
        <v>35</v>
      </c>
      <c r="O4540" t="s">
        <v>26</v>
      </c>
      <c r="P4540" t="s">
        <v>27</v>
      </c>
      <c r="Q4540" t="s">
        <v>28</v>
      </c>
      <c r="R4540" t="s">
        <v>29</v>
      </c>
      <c r="S4540" t="s">
        <v>793</v>
      </c>
      <c r="T4540">
        <f>_xlfn.XLOOKUP(X4540,Hoja2!D:D,Hoja2!A:A)</f>
        <v>10822473081</v>
      </c>
      <c r="U4540" t="str">
        <f>_xlfn.XLOOKUP(X4540,Hoja2!D:D,Hoja2!B:B)</f>
        <v>NELSON JAVIER MORERA RINCON</v>
      </c>
      <c r="V4540" t="str">
        <f>_xlfn.XLOOKUP(X4540,Hoja2!D:D,Hoja2!C:C)</f>
        <v>PREGRADO</v>
      </c>
      <c r="W4540" s="9">
        <f>IF(V4540="pregrado",31,
IF(V4540="posgrados",31,
IF(V4540="rEINTEGROS",7,
IF(V4540="BIT",90,
IF(V4540="OP GRADO - INGLÉS",17,"")))))</f>
        <v>31</v>
      </c>
      <c r="X4540" t="s">
        <v>4007</v>
      </c>
    </row>
    <row r="4541" spans="1:24" x14ac:dyDescent="0.3">
      <c r="A4541" s="4">
        <v>46134</v>
      </c>
      <c r="B4541">
        <v>20131958</v>
      </c>
      <c r="C4541" t="s">
        <v>19</v>
      </c>
      <c r="D4541">
        <v>615222</v>
      </c>
      <c r="E4541" t="s">
        <v>20</v>
      </c>
      <c r="F4541">
        <v>1036668266</v>
      </c>
      <c r="G4541" t="s">
        <v>4787</v>
      </c>
      <c r="H4541">
        <v>100251522</v>
      </c>
      <c r="I4541">
        <v>202632</v>
      </c>
      <c r="J4541">
        <v>1036668266</v>
      </c>
      <c r="K4541" t="s">
        <v>23</v>
      </c>
      <c r="L4541" t="s">
        <v>207</v>
      </c>
      <c r="M4541" t="s">
        <v>24</v>
      </c>
      <c r="N4541" t="s">
        <v>25</v>
      </c>
      <c r="O4541" t="s">
        <v>26</v>
      </c>
      <c r="P4541" t="s">
        <v>27</v>
      </c>
      <c r="Q4541" t="s">
        <v>28</v>
      </c>
      <c r="R4541" t="s">
        <v>29</v>
      </c>
      <c r="S4541" t="s">
        <v>793</v>
      </c>
      <c r="T4541">
        <f>_xlfn.XLOOKUP(X4541,Hoja2!D:D,Hoja2!A:A)</f>
        <v>10822473081</v>
      </c>
      <c r="U4541" t="str">
        <f>_xlfn.XLOOKUP(X4541,Hoja2!D:D,Hoja2!B:B)</f>
        <v>NELSON JAVIER MORERA RINCON</v>
      </c>
      <c r="V4541" t="str">
        <f>_xlfn.XLOOKUP(X4541,Hoja2!D:D,Hoja2!C:C)</f>
        <v>PREGRADO</v>
      </c>
      <c r="W4541" s="9">
        <f>IF(V4541="pregrado",31,
IF(V4541="posgrados",31,
IF(V4541="rEINTEGROS",7,
IF(V4541="BIT",90,
IF(V4541="OP GRADO - INGLÉS",17,"")))))</f>
        <v>31</v>
      </c>
      <c r="X4541" t="s">
        <v>4007</v>
      </c>
    </row>
    <row r="4542" spans="1:24" x14ac:dyDescent="0.3">
      <c r="A4542" s="4">
        <v>46139</v>
      </c>
      <c r="B4542">
        <v>20132340</v>
      </c>
      <c r="C4542" t="s">
        <v>19</v>
      </c>
      <c r="D4542">
        <v>615228</v>
      </c>
      <c r="E4542" t="s">
        <v>20</v>
      </c>
      <c r="F4542">
        <v>1052967850</v>
      </c>
      <c r="G4542" t="s">
        <v>4864</v>
      </c>
      <c r="H4542">
        <v>100251538</v>
      </c>
      <c r="I4542">
        <v>202612</v>
      </c>
      <c r="J4542">
        <v>1124316455</v>
      </c>
      <c r="K4542" t="s">
        <v>23</v>
      </c>
      <c r="L4542" t="s">
        <v>221</v>
      </c>
      <c r="M4542" t="s">
        <v>24</v>
      </c>
      <c r="N4542" t="s">
        <v>35</v>
      </c>
      <c r="O4542" t="s">
        <v>26</v>
      </c>
      <c r="P4542" t="s">
        <v>27</v>
      </c>
      <c r="Q4542" t="s">
        <v>28</v>
      </c>
      <c r="R4542" t="s">
        <v>29</v>
      </c>
      <c r="S4542" t="s">
        <v>793</v>
      </c>
      <c r="T4542">
        <f>_xlfn.XLOOKUP(X4542,Hoja2!D:D,Hoja2!A:A)</f>
        <v>1013662799</v>
      </c>
      <c r="U4542" t="str">
        <f>_xlfn.XLOOKUP(X4542,Hoja2!D:D,Hoja2!B:B)</f>
        <v>NELSON JAVIER MORERA RINCON</v>
      </c>
      <c r="V4542" t="str">
        <f>_xlfn.XLOOKUP(X4542,Hoja2!D:D,Hoja2!C:C)</f>
        <v>PREGRADO</v>
      </c>
      <c r="W4542" s="9">
        <f>IF(V4542="pregrado",31,
IF(V4542="posgrados",31,
IF(V4542="rEINTEGROS",7,
IF(V4542="BIT",90,
IF(V4542="OP GRADO - INGLÉS",17,"")))))</f>
        <v>31</v>
      </c>
      <c r="X4542" t="s">
        <v>4021</v>
      </c>
    </row>
    <row r="4543" spans="1:24" x14ac:dyDescent="0.3">
      <c r="A4543" s="4">
        <v>46134</v>
      </c>
      <c r="B4543">
        <v>20131974</v>
      </c>
      <c r="C4543" t="s">
        <v>19</v>
      </c>
      <c r="D4543">
        <v>615230</v>
      </c>
      <c r="E4543" t="s">
        <v>20</v>
      </c>
      <c r="F4543">
        <v>1007240075</v>
      </c>
      <c r="G4543" t="s">
        <v>4792</v>
      </c>
      <c r="H4543">
        <v>100173494</v>
      </c>
      <c r="I4543">
        <v>202632</v>
      </c>
      <c r="J4543">
        <v>1007240075</v>
      </c>
      <c r="K4543" t="s">
        <v>23</v>
      </c>
      <c r="L4543" t="s">
        <v>240</v>
      </c>
      <c r="M4543" t="s">
        <v>24</v>
      </c>
      <c r="N4543" t="s">
        <v>35</v>
      </c>
      <c r="O4543" t="s">
        <v>26</v>
      </c>
      <c r="P4543" t="s">
        <v>27</v>
      </c>
      <c r="Q4543" t="s">
        <v>28</v>
      </c>
      <c r="R4543" t="s">
        <v>29</v>
      </c>
      <c r="S4543" t="s">
        <v>793</v>
      </c>
      <c r="T4543">
        <f>_xlfn.XLOOKUP(X4543,Hoja2!D:D,Hoja2!A:A)</f>
        <v>1030651078</v>
      </c>
      <c r="U4543" t="str">
        <f>_xlfn.XLOOKUP(X4543,Hoja2!D:D,Hoja2!B:B)</f>
        <v>NELSON JAVIER MORERA RINCON</v>
      </c>
      <c r="V4543" t="str">
        <f>_xlfn.XLOOKUP(X4543,Hoja2!D:D,Hoja2!C:C)</f>
        <v>PREGRADO</v>
      </c>
      <c r="W4543" s="9">
        <f>IF(V4543="pregrado",31,
IF(V4543="posgrados",31,
IF(V4543="rEINTEGROS",7,
IF(V4543="BIT",90,
IF(V4543="OP GRADO - INGLÉS",17,"")))))</f>
        <v>31</v>
      </c>
      <c r="X4543" t="s">
        <v>4085</v>
      </c>
    </row>
    <row r="4544" spans="1:24" x14ac:dyDescent="0.3">
      <c r="A4544" s="4">
        <v>46134</v>
      </c>
      <c r="B4544">
        <v>20131980</v>
      </c>
      <c r="C4544" t="s">
        <v>19</v>
      </c>
      <c r="D4544">
        <v>615232</v>
      </c>
      <c r="E4544" t="s">
        <v>20</v>
      </c>
      <c r="F4544">
        <v>40328364</v>
      </c>
      <c r="G4544" t="s">
        <v>4793</v>
      </c>
      <c r="H4544">
        <v>100251542</v>
      </c>
      <c r="I4544">
        <v>202632</v>
      </c>
      <c r="J4544">
        <v>40328364</v>
      </c>
      <c r="K4544" t="s">
        <v>23</v>
      </c>
      <c r="L4544" t="s">
        <v>240</v>
      </c>
      <c r="M4544" t="s">
        <v>24</v>
      </c>
      <c r="N4544" t="s">
        <v>35</v>
      </c>
      <c r="O4544" t="s">
        <v>26</v>
      </c>
      <c r="P4544" t="s">
        <v>27</v>
      </c>
      <c r="Q4544" t="s">
        <v>28</v>
      </c>
      <c r="R4544" t="s">
        <v>29</v>
      </c>
      <c r="S4544" t="s">
        <v>793</v>
      </c>
      <c r="T4544">
        <f>_xlfn.XLOOKUP(X4544,Hoja2!D:D,Hoja2!A:A)</f>
        <v>1030651078</v>
      </c>
      <c r="U4544" t="str">
        <f>_xlfn.XLOOKUP(X4544,Hoja2!D:D,Hoja2!B:B)</f>
        <v>NELSON JAVIER MORERA RINCON</v>
      </c>
      <c r="V4544" t="str">
        <f>_xlfn.XLOOKUP(X4544,Hoja2!D:D,Hoja2!C:C)</f>
        <v>PREGRADO</v>
      </c>
      <c r="W4544" s="9">
        <f>IF(V4544="pregrado",31,
IF(V4544="posgrados",31,
IF(V4544="rEINTEGROS",7,
IF(V4544="BIT",90,
IF(V4544="OP GRADO - INGLÉS",17,"")))))</f>
        <v>31</v>
      </c>
      <c r="X4544" t="s">
        <v>4085</v>
      </c>
    </row>
    <row r="4545" spans="1:24" x14ac:dyDescent="0.3">
      <c r="A4545" s="4">
        <v>46134</v>
      </c>
      <c r="B4545">
        <v>20131938</v>
      </c>
      <c r="C4545" t="s">
        <v>19</v>
      </c>
      <c r="D4545">
        <v>615238</v>
      </c>
      <c r="E4545" t="s">
        <v>20</v>
      </c>
      <c r="F4545">
        <v>84090874</v>
      </c>
      <c r="G4545" t="s">
        <v>4782</v>
      </c>
      <c r="H4545">
        <v>100251550</v>
      </c>
      <c r="I4545">
        <v>202612</v>
      </c>
      <c r="J4545">
        <v>1029861067</v>
      </c>
      <c r="K4545" t="s">
        <v>23</v>
      </c>
      <c r="L4545" t="s">
        <v>204</v>
      </c>
      <c r="M4545" t="s">
        <v>24</v>
      </c>
      <c r="N4545" t="s">
        <v>35</v>
      </c>
      <c r="O4545" t="s">
        <v>26</v>
      </c>
      <c r="P4545" t="s">
        <v>27</v>
      </c>
      <c r="Q4545" t="s">
        <v>28</v>
      </c>
      <c r="R4545" t="s">
        <v>29</v>
      </c>
      <c r="S4545" t="s">
        <v>793</v>
      </c>
      <c r="T4545">
        <f>_xlfn.XLOOKUP(X4545,Hoja2!D:D,Hoja2!A:A)</f>
        <v>52182207</v>
      </c>
      <c r="U4545" t="str">
        <f>_xlfn.XLOOKUP(X4545,Hoja2!D:D,Hoja2!B:B)</f>
        <v>HEIDY LORENA PRIETO AHUMADA</v>
      </c>
      <c r="V4545" t="str">
        <f>_xlfn.XLOOKUP(X4545,Hoja2!D:D,Hoja2!C:C)</f>
        <v>PREGRADO</v>
      </c>
      <c r="W4545" s="9">
        <f>IF(V4545="pregrado",31,
IF(V4545="posgrados",31,
IF(V4545="rEINTEGROS",7,
IF(V4545="BIT",90,
IF(V4545="OP GRADO - INGLÉS",17,"")))))</f>
        <v>31</v>
      </c>
      <c r="X4545" t="s">
        <v>3946</v>
      </c>
    </row>
    <row r="4546" spans="1:24" x14ac:dyDescent="0.3">
      <c r="A4546" s="4">
        <v>46134</v>
      </c>
      <c r="B4546">
        <v>20131898</v>
      </c>
      <c r="C4546" t="s">
        <v>19</v>
      </c>
      <c r="D4546">
        <v>615245</v>
      </c>
      <c r="E4546" t="s">
        <v>20</v>
      </c>
      <c r="F4546">
        <v>1020797614</v>
      </c>
      <c r="G4546" t="s">
        <v>4769</v>
      </c>
      <c r="H4546">
        <v>100251557</v>
      </c>
      <c r="I4546">
        <v>202612</v>
      </c>
      <c r="J4546">
        <v>1062428591</v>
      </c>
      <c r="K4546" t="s">
        <v>23</v>
      </c>
      <c r="L4546" t="s">
        <v>221</v>
      </c>
      <c r="M4546" t="s">
        <v>24</v>
      </c>
      <c r="N4546" t="s">
        <v>35</v>
      </c>
      <c r="O4546" t="s">
        <v>26</v>
      </c>
      <c r="P4546" t="s">
        <v>27</v>
      </c>
      <c r="Q4546" t="s">
        <v>28</v>
      </c>
      <c r="R4546" t="s">
        <v>29</v>
      </c>
      <c r="S4546" t="s">
        <v>793</v>
      </c>
      <c r="T4546">
        <f>_xlfn.XLOOKUP(X4546,Hoja2!D:D,Hoja2!A:A)</f>
        <v>1024572316</v>
      </c>
      <c r="U4546" t="str">
        <f>_xlfn.XLOOKUP(X4546,Hoja2!D:D,Hoja2!B:B)</f>
        <v>HEIDY LORENA PRIETO AHUMADA</v>
      </c>
      <c r="V4546" t="str">
        <f>_xlfn.XLOOKUP(X4546,Hoja2!D:D,Hoja2!C:C)</f>
        <v>PREGRADO</v>
      </c>
      <c r="W4546" s="9">
        <f>IF(V4546="pregrado",31,
IF(V4546="posgrados",31,
IF(V4546="rEINTEGROS",7,
IF(V4546="BIT",90,
IF(V4546="OP GRADO - INGLÉS",17,"")))))</f>
        <v>31</v>
      </c>
      <c r="X4546" t="s">
        <v>4000</v>
      </c>
    </row>
    <row r="4547" spans="1:24" x14ac:dyDescent="0.3">
      <c r="A4547" s="4">
        <v>46136</v>
      </c>
      <c r="B4547">
        <v>20132159</v>
      </c>
      <c r="C4547" t="s">
        <v>19</v>
      </c>
      <c r="D4547">
        <v>615247</v>
      </c>
      <c r="E4547" t="s">
        <v>20</v>
      </c>
      <c r="F4547">
        <v>1077468402</v>
      </c>
      <c r="G4547" t="s">
        <v>4835</v>
      </c>
      <c r="H4547">
        <v>100251559</v>
      </c>
      <c r="I4547">
        <v>202612</v>
      </c>
      <c r="J4547">
        <v>1077468402</v>
      </c>
      <c r="K4547" t="s">
        <v>23</v>
      </c>
      <c r="L4547" t="s">
        <v>204</v>
      </c>
      <c r="M4547" t="s">
        <v>24</v>
      </c>
      <c r="N4547" t="s">
        <v>25</v>
      </c>
      <c r="O4547" t="s">
        <v>26</v>
      </c>
      <c r="P4547" t="s">
        <v>27</v>
      </c>
      <c r="Q4547" t="s">
        <v>28</v>
      </c>
      <c r="R4547" t="s">
        <v>29</v>
      </c>
      <c r="S4547" t="s">
        <v>793</v>
      </c>
      <c r="T4547">
        <f>_xlfn.XLOOKUP(X4547,Hoja2!D:D,Hoja2!A:A)</f>
        <v>1032394283</v>
      </c>
      <c r="U4547" t="str">
        <f>_xlfn.XLOOKUP(X4547,Hoja2!D:D,Hoja2!B:B)</f>
        <v>HEIDY LORENA PRIETO AHUMADA</v>
      </c>
      <c r="V4547" t="str">
        <f>_xlfn.XLOOKUP(X4547,Hoja2!D:D,Hoja2!C:C)</f>
        <v>PREGRADO</v>
      </c>
      <c r="W4547" s="9">
        <f>IF(V4547="pregrado",31,
IF(V4547="posgrados",31,
IF(V4547="rEINTEGROS",7,
IF(V4547="BIT",90,
IF(V4547="OP GRADO - INGLÉS",17,"")))))</f>
        <v>31</v>
      </c>
      <c r="X4547" t="s">
        <v>4034</v>
      </c>
    </row>
    <row r="4548" spans="1:24" x14ac:dyDescent="0.3">
      <c r="A4548" s="4">
        <v>46149</v>
      </c>
      <c r="B4548">
        <v>20133105</v>
      </c>
      <c r="C4548" t="s">
        <v>19</v>
      </c>
      <c r="D4548">
        <v>615260</v>
      </c>
      <c r="E4548" t="s">
        <v>20</v>
      </c>
      <c r="F4548">
        <v>23063187</v>
      </c>
      <c r="G4548" t="s">
        <v>4919</v>
      </c>
      <c r="H4548">
        <v>200275259</v>
      </c>
      <c r="I4548">
        <v>202632</v>
      </c>
      <c r="J4548">
        <v>18859157</v>
      </c>
      <c r="K4548" t="s">
        <v>33</v>
      </c>
      <c r="L4548" t="s">
        <v>101</v>
      </c>
      <c r="M4548" t="s">
        <v>24</v>
      </c>
      <c r="N4548" t="s">
        <v>4441</v>
      </c>
      <c r="O4548" t="s">
        <v>26</v>
      </c>
      <c r="P4548" t="s">
        <v>4135</v>
      </c>
      <c r="Q4548" t="s">
        <v>28</v>
      </c>
      <c r="R4548" t="s">
        <v>29</v>
      </c>
      <c r="S4548" t="s">
        <v>793</v>
      </c>
      <c r="T4548">
        <f>_xlfn.XLOOKUP(X4548,Hoja2!D:D,Hoja2!A:A)</f>
        <v>1010081108</v>
      </c>
      <c r="U4548" t="str">
        <f>_xlfn.XLOOKUP(X4548,Hoja2!D:D,Hoja2!B:B)</f>
        <v>HEIDY LORENA PRIETO AHUMADA</v>
      </c>
      <c r="V4548" t="str">
        <f>_xlfn.XLOOKUP(X4548,Hoja2!D:D,Hoja2!C:C)</f>
        <v>PREGRADO</v>
      </c>
      <c r="W4548" s="9">
        <f>IF(V4548="pregrado",31,
IF(V4548="posgrados",31,
IF(V4548="rEINTEGROS",7,
IF(V4548="BIT",90,
IF(V4548="OP GRADO - INGLÉS",17,"")))))</f>
        <v>31</v>
      </c>
      <c r="X4548" t="s">
        <v>4009</v>
      </c>
    </row>
    <row r="4549" spans="1:24" x14ac:dyDescent="0.3">
      <c r="A4549" s="4">
        <v>46141</v>
      </c>
      <c r="B4549">
        <v>20132545</v>
      </c>
      <c r="C4549" t="s">
        <v>19</v>
      </c>
      <c r="D4549">
        <v>615262</v>
      </c>
      <c r="E4549" t="s">
        <v>20</v>
      </c>
      <c r="F4549">
        <v>1010127030</v>
      </c>
      <c r="G4549" t="s">
        <v>4889</v>
      </c>
      <c r="H4549">
        <v>200274937</v>
      </c>
      <c r="I4549">
        <v>202632</v>
      </c>
      <c r="J4549">
        <v>1010127030</v>
      </c>
      <c r="K4549" t="s">
        <v>33</v>
      </c>
      <c r="L4549" t="s">
        <v>119</v>
      </c>
      <c r="M4549" t="s">
        <v>24</v>
      </c>
      <c r="N4549" t="s">
        <v>4441</v>
      </c>
      <c r="O4549" t="s">
        <v>26</v>
      </c>
      <c r="P4549" t="s">
        <v>4135</v>
      </c>
      <c r="Q4549" t="s">
        <v>28</v>
      </c>
      <c r="R4549" t="s">
        <v>29</v>
      </c>
      <c r="S4549" t="s">
        <v>793</v>
      </c>
      <c r="T4549">
        <f>_xlfn.XLOOKUP(X4549,Hoja2!D:D,Hoja2!A:A)</f>
        <v>1010081108</v>
      </c>
      <c r="U4549" t="str">
        <f>_xlfn.XLOOKUP(X4549,Hoja2!D:D,Hoja2!B:B)</f>
        <v>HEIDY LORENA PRIETO AHUMADA</v>
      </c>
      <c r="V4549" t="str">
        <f>_xlfn.XLOOKUP(X4549,Hoja2!D:D,Hoja2!C:C)</f>
        <v>PREGRADO</v>
      </c>
      <c r="W4549" s="9">
        <f>IF(V4549="pregrado",31,
IF(V4549="posgrados",31,
IF(V4549="rEINTEGROS",7,
IF(V4549="BIT",90,
IF(V4549="OP GRADO - INGLÉS",17,"")))))</f>
        <v>31</v>
      </c>
      <c r="X4549" t="s">
        <v>4009</v>
      </c>
    </row>
    <row r="4550" spans="1:24" x14ac:dyDescent="0.3">
      <c r="A4550" s="4">
        <v>46139</v>
      </c>
      <c r="B4550">
        <v>20132329</v>
      </c>
      <c r="C4550" t="s">
        <v>19</v>
      </c>
      <c r="D4550">
        <v>615263</v>
      </c>
      <c r="E4550" t="s">
        <v>20</v>
      </c>
      <c r="F4550">
        <v>53094347</v>
      </c>
      <c r="G4550" t="s">
        <v>4861</v>
      </c>
      <c r="H4550">
        <v>100251568</v>
      </c>
      <c r="I4550">
        <v>202632</v>
      </c>
      <c r="J4550">
        <v>1106227603</v>
      </c>
      <c r="K4550" t="s">
        <v>33</v>
      </c>
      <c r="L4550" t="s">
        <v>127</v>
      </c>
      <c r="M4550" t="s">
        <v>24</v>
      </c>
      <c r="N4550" t="s">
        <v>25</v>
      </c>
      <c r="O4550" t="s">
        <v>26</v>
      </c>
      <c r="P4550" t="s">
        <v>27</v>
      </c>
      <c r="Q4550" t="s">
        <v>28</v>
      </c>
      <c r="R4550" t="s">
        <v>29</v>
      </c>
      <c r="S4550" t="s">
        <v>793</v>
      </c>
      <c r="T4550">
        <f>_xlfn.XLOOKUP(X4550,Hoja2!D:D,Hoja2!A:A)</f>
        <v>10245841021</v>
      </c>
      <c r="U4550" t="str">
        <f>_xlfn.XLOOKUP(X4550,Hoja2!D:D,Hoja2!B:B)</f>
        <v>PAOLA ANDREA CALDERON CETINA</v>
      </c>
      <c r="V4550" t="str">
        <f>_xlfn.XLOOKUP(X4550,Hoja2!D:D,Hoja2!C:C)</f>
        <v>PREGRADO</v>
      </c>
      <c r="W4550" s="9">
        <f>IF(V4550="pregrado",31,
IF(V4550="posgrados",31,
IF(V4550="rEINTEGROS",7,
IF(V4550="BIT",90,
IF(V4550="OP GRADO - INGLÉS",17,"")))))</f>
        <v>31</v>
      </c>
      <c r="X4550" t="s">
        <v>3987</v>
      </c>
    </row>
    <row r="4551" spans="1:24" x14ac:dyDescent="0.3">
      <c r="A4551" s="4">
        <v>46134</v>
      </c>
      <c r="B4551">
        <v>20131920</v>
      </c>
      <c r="C4551" t="s">
        <v>19</v>
      </c>
      <c r="D4551">
        <v>615265</v>
      </c>
      <c r="E4551" t="s">
        <v>20</v>
      </c>
      <c r="F4551">
        <v>1000328939</v>
      </c>
      <c r="G4551" t="s">
        <v>4777</v>
      </c>
      <c r="H4551">
        <v>100251569</v>
      </c>
      <c r="I4551">
        <v>202632</v>
      </c>
      <c r="J4551">
        <v>1000328939</v>
      </c>
      <c r="K4551" t="s">
        <v>33</v>
      </c>
      <c r="L4551" t="s">
        <v>51</v>
      </c>
      <c r="M4551" t="s">
        <v>24</v>
      </c>
      <c r="N4551" t="s">
        <v>25</v>
      </c>
      <c r="O4551" t="s">
        <v>26</v>
      </c>
      <c r="P4551" t="s">
        <v>27</v>
      </c>
      <c r="Q4551" t="s">
        <v>28</v>
      </c>
      <c r="R4551" t="s">
        <v>29</v>
      </c>
      <c r="S4551" t="s">
        <v>793</v>
      </c>
      <c r="T4551">
        <f>_xlfn.XLOOKUP(X4551,Hoja2!D:D,Hoja2!A:A)</f>
        <v>1026299972</v>
      </c>
      <c r="U4551" t="str">
        <f>_xlfn.XLOOKUP(X4551,Hoja2!D:D,Hoja2!B:B)</f>
        <v>PAOLA ANDREA CALDERON CETINA</v>
      </c>
      <c r="V4551" t="str">
        <f>_xlfn.XLOOKUP(X4551,Hoja2!D:D,Hoja2!C:C)</f>
        <v>PREGRADO</v>
      </c>
      <c r="W4551" s="9">
        <f>IF(V4551="pregrado",31,
IF(V4551="posgrados",31,
IF(V4551="rEINTEGROS",7,
IF(V4551="BIT",90,
IF(V4551="OP GRADO - INGLÉS",17,"")))))</f>
        <v>31</v>
      </c>
      <c r="X4551" t="s">
        <v>4052</v>
      </c>
    </row>
    <row r="4552" spans="1:24" x14ac:dyDescent="0.3">
      <c r="A4552" s="4">
        <v>46139</v>
      </c>
      <c r="B4552">
        <v>20132305</v>
      </c>
      <c r="C4552" t="s">
        <v>19</v>
      </c>
      <c r="D4552">
        <v>615277</v>
      </c>
      <c r="E4552" t="s">
        <v>20</v>
      </c>
      <c r="F4552">
        <v>1035859064</v>
      </c>
      <c r="G4552" t="s">
        <v>4856</v>
      </c>
      <c r="H4552">
        <v>100251591</v>
      </c>
      <c r="I4552">
        <v>202632</v>
      </c>
      <c r="J4552">
        <v>1035859064</v>
      </c>
      <c r="K4552" t="s">
        <v>74</v>
      </c>
      <c r="L4552" t="s">
        <v>240</v>
      </c>
      <c r="M4552" t="s">
        <v>24</v>
      </c>
      <c r="N4552" t="s">
        <v>35</v>
      </c>
      <c r="O4552" t="s">
        <v>26</v>
      </c>
      <c r="P4552" t="s">
        <v>27</v>
      </c>
      <c r="Q4552" t="s">
        <v>28</v>
      </c>
      <c r="R4552" t="s">
        <v>29</v>
      </c>
      <c r="S4552" t="s">
        <v>793</v>
      </c>
      <c r="T4552">
        <f>_xlfn.XLOOKUP(X4552,Hoja2!D:D,Hoja2!A:A)</f>
        <v>45555807</v>
      </c>
      <c r="U4552" t="str">
        <f>_xlfn.XLOOKUP(X4552,Hoja2!D:D,Hoja2!B:B)</f>
        <v>NELSON JAVIER MORERA RINCON</v>
      </c>
      <c r="V4552" t="str">
        <f>_xlfn.XLOOKUP(X4552,Hoja2!D:D,Hoja2!C:C)</f>
        <v>PREGRADO</v>
      </c>
      <c r="W4552" s="9">
        <f>IF(V4552="pregrado",31,
IF(V4552="posgrados",31,
IF(V4552="rEINTEGROS",7,
IF(V4552="BIT",90,
IF(V4552="OP GRADO - INGLÉS",17,"")))))</f>
        <v>31</v>
      </c>
      <c r="X4552" t="s">
        <v>4027</v>
      </c>
    </row>
    <row r="4553" spans="1:24" x14ac:dyDescent="0.3">
      <c r="A4553" s="4">
        <v>46142</v>
      </c>
      <c r="B4553">
        <v>20132642</v>
      </c>
      <c r="C4553" t="s">
        <v>19</v>
      </c>
      <c r="D4553">
        <v>615278</v>
      </c>
      <c r="E4553" t="s">
        <v>20</v>
      </c>
      <c r="F4553">
        <v>52953094</v>
      </c>
      <c r="G4553" t="s">
        <v>4895</v>
      </c>
      <c r="H4553">
        <v>100251594</v>
      </c>
      <c r="I4553">
        <v>202612</v>
      </c>
      <c r="J4553">
        <v>52953094</v>
      </c>
      <c r="K4553" t="s">
        <v>33</v>
      </c>
      <c r="L4553" t="s">
        <v>204</v>
      </c>
      <c r="M4553" t="s">
        <v>24</v>
      </c>
      <c r="N4553" t="s">
        <v>38</v>
      </c>
      <c r="O4553" t="s">
        <v>26</v>
      </c>
      <c r="P4553" t="s">
        <v>27</v>
      </c>
      <c r="Q4553" t="s">
        <v>28</v>
      </c>
      <c r="R4553" t="s">
        <v>29</v>
      </c>
      <c r="S4553" t="s">
        <v>793</v>
      </c>
      <c r="T4553">
        <f>_xlfn.XLOOKUP(X4553,Hoja2!D:D,Hoja2!A:A)</f>
        <v>1019115186</v>
      </c>
      <c r="U4553" t="str">
        <f>_xlfn.XLOOKUP(X4553,Hoja2!D:D,Hoja2!B:B)</f>
        <v>HEIDY LORENA PRIETO AHUMADA</v>
      </c>
      <c r="V4553" t="str">
        <f>_xlfn.XLOOKUP(X4553,Hoja2!D:D,Hoja2!C:C)</f>
        <v>PREGRADO</v>
      </c>
      <c r="W4553" s="9">
        <f>IF(V4553="pregrado",31,
IF(V4553="posgrados",31,
IF(V4553="rEINTEGROS",7,
IF(V4553="BIT",90,
IF(V4553="OP GRADO - INGLÉS",17,"")))))</f>
        <v>31</v>
      </c>
      <c r="X4553" t="s">
        <v>4005</v>
      </c>
    </row>
    <row r="4554" spans="1:24" x14ac:dyDescent="0.3">
      <c r="A4554" s="4">
        <v>46136</v>
      </c>
      <c r="B4554">
        <v>20132142</v>
      </c>
      <c r="C4554" t="s">
        <v>19</v>
      </c>
      <c r="D4554">
        <v>615283</v>
      </c>
      <c r="E4554" t="s">
        <v>20</v>
      </c>
      <c r="F4554">
        <v>1090464083</v>
      </c>
      <c r="G4554" t="s">
        <v>4831</v>
      </c>
      <c r="H4554">
        <v>200275726</v>
      </c>
      <c r="I4554">
        <v>202632</v>
      </c>
      <c r="J4554">
        <v>1090464083</v>
      </c>
      <c r="K4554" t="s">
        <v>33</v>
      </c>
      <c r="L4554" t="s">
        <v>119</v>
      </c>
      <c r="M4554" t="s">
        <v>24</v>
      </c>
      <c r="N4554" t="s">
        <v>35</v>
      </c>
      <c r="O4554" t="s">
        <v>26</v>
      </c>
      <c r="P4554" t="s">
        <v>27</v>
      </c>
      <c r="Q4554" t="s">
        <v>28</v>
      </c>
      <c r="R4554" t="s">
        <v>29</v>
      </c>
      <c r="S4554" t="s">
        <v>793</v>
      </c>
      <c r="T4554">
        <f>_xlfn.XLOOKUP(X4554,Hoja2!D:D,Hoja2!A:A)</f>
        <v>1014283217</v>
      </c>
      <c r="U4554" t="str">
        <f>_xlfn.XLOOKUP(X4554,Hoja2!D:D,Hoja2!B:B)</f>
        <v>MARSHIA MILENA JIMéNEZ GóMEZ</v>
      </c>
      <c r="V4554" t="str">
        <f>_xlfn.XLOOKUP(X4554,Hoja2!D:D,Hoja2!C:C)</f>
        <v>PREGRADO</v>
      </c>
      <c r="W4554" s="9">
        <f>IF(V4554="pregrado",31,
IF(V4554="posgrados",31,
IF(V4554="rEINTEGROS",7,
IF(V4554="BIT",90,
IF(V4554="OP GRADO - INGLÉS",17,"")))))</f>
        <v>31</v>
      </c>
      <c r="X4554" t="s">
        <v>4023</v>
      </c>
    </row>
    <row r="4555" spans="1:24" x14ac:dyDescent="0.3">
      <c r="A4555" s="4">
        <v>46142</v>
      </c>
      <c r="B4555">
        <v>20132671</v>
      </c>
      <c r="C4555" t="s">
        <v>19</v>
      </c>
      <c r="D4555">
        <v>615289</v>
      </c>
      <c r="E4555" t="s">
        <v>20</v>
      </c>
      <c r="F4555">
        <v>56074527</v>
      </c>
      <c r="G4555" t="s">
        <v>4897</v>
      </c>
      <c r="H4555">
        <v>100251610</v>
      </c>
      <c r="I4555">
        <v>202632</v>
      </c>
      <c r="J4555">
        <v>1122396228</v>
      </c>
      <c r="K4555" t="s">
        <v>23</v>
      </c>
      <c r="L4555" t="s">
        <v>240</v>
      </c>
      <c r="M4555" t="s">
        <v>24</v>
      </c>
      <c r="N4555" t="s">
        <v>35</v>
      </c>
      <c r="O4555" t="s">
        <v>26</v>
      </c>
      <c r="P4555" t="s">
        <v>27</v>
      </c>
      <c r="Q4555" t="s">
        <v>28</v>
      </c>
      <c r="R4555" t="s">
        <v>29</v>
      </c>
      <c r="S4555" t="s">
        <v>793</v>
      </c>
      <c r="T4555">
        <f>_xlfn.XLOOKUP(X4555,Hoja2!D:D,Hoja2!A:A)</f>
        <v>1015428862</v>
      </c>
      <c r="U4555" t="str">
        <f>_xlfn.XLOOKUP(X4555,Hoja2!D:D,Hoja2!B:B)</f>
        <v>NELSON JAVIER MORERA RINCON</v>
      </c>
      <c r="V4555" t="str">
        <f>_xlfn.XLOOKUP(X4555,Hoja2!D:D,Hoja2!C:C)</f>
        <v>PREGRADO</v>
      </c>
      <c r="W4555" s="9">
        <f>IF(V4555="pregrado",31,
IF(V4555="posgrados",31,
IF(V4555="rEINTEGROS",7,
IF(V4555="BIT",90,
IF(V4555="OP GRADO - INGLÉS",17,"")))))</f>
        <v>31</v>
      </c>
      <c r="X4555" t="s">
        <v>4048</v>
      </c>
    </row>
    <row r="4556" spans="1:24" x14ac:dyDescent="0.3">
      <c r="A4556" s="4">
        <v>46149</v>
      </c>
      <c r="B4556">
        <v>20133017</v>
      </c>
      <c r="C4556" t="s">
        <v>19</v>
      </c>
      <c r="D4556">
        <v>615292</v>
      </c>
      <c r="E4556" t="s">
        <v>20</v>
      </c>
      <c r="F4556">
        <v>1069468107</v>
      </c>
      <c r="G4556" t="s">
        <v>4916</v>
      </c>
      <c r="H4556">
        <v>200245441</v>
      </c>
      <c r="I4556">
        <v>202632</v>
      </c>
      <c r="J4556">
        <v>1069486316</v>
      </c>
      <c r="K4556" t="s">
        <v>33</v>
      </c>
      <c r="L4556" t="s">
        <v>119</v>
      </c>
      <c r="M4556" t="s">
        <v>24</v>
      </c>
      <c r="N4556" t="s">
        <v>4441</v>
      </c>
      <c r="O4556" t="s">
        <v>26</v>
      </c>
      <c r="P4556" t="s">
        <v>4135</v>
      </c>
      <c r="Q4556" t="s">
        <v>28</v>
      </c>
      <c r="R4556" t="s">
        <v>29</v>
      </c>
      <c r="S4556" t="s">
        <v>793</v>
      </c>
      <c r="T4556">
        <f>_xlfn.XLOOKUP(X4556,Hoja2!D:D,Hoja2!A:A)</f>
        <v>1010081108</v>
      </c>
      <c r="U4556" t="str">
        <f>_xlfn.XLOOKUP(X4556,Hoja2!D:D,Hoja2!B:B)</f>
        <v>HEIDY LORENA PRIETO AHUMADA</v>
      </c>
      <c r="V4556" t="str">
        <f>_xlfn.XLOOKUP(X4556,Hoja2!D:D,Hoja2!C:C)</f>
        <v>PREGRADO</v>
      </c>
      <c r="W4556" s="9">
        <f>IF(V4556="pregrado",31,
IF(V4556="posgrados",31,
IF(V4556="rEINTEGROS",7,
IF(V4556="BIT",90,
IF(V4556="OP GRADO - INGLÉS",17,"")))))</f>
        <v>31</v>
      </c>
      <c r="X4556" t="s">
        <v>4009</v>
      </c>
    </row>
    <row r="4557" spans="1:24" x14ac:dyDescent="0.3">
      <c r="A4557" s="4">
        <v>46141</v>
      </c>
      <c r="B4557">
        <v>20132595</v>
      </c>
      <c r="C4557" t="s">
        <v>19</v>
      </c>
      <c r="D4557">
        <v>615295</v>
      </c>
      <c r="E4557" t="s">
        <v>20</v>
      </c>
      <c r="F4557">
        <v>1111801064</v>
      </c>
      <c r="G4557" t="s">
        <v>4890</v>
      </c>
      <c r="H4557">
        <v>100251624</v>
      </c>
      <c r="I4557">
        <v>202632</v>
      </c>
      <c r="J4557">
        <v>1111801064</v>
      </c>
      <c r="K4557" t="s">
        <v>33</v>
      </c>
      <c r="L4557" t="s">
        <v>207</v>
      </c>
      <c r="M4557" t="s">
        <v>24</v>
      </c>
      <c r="N4557" t="s">
        <v>25</v>
      </c>
      <c r="O4557" t="s">
        <v>26</v>
      </c>
      <c r="P4557" t="s">
        <v>27</v>
      </c>
      <c r="Q4557" t="s">
        <v>28</v>
      </c>
      <c r="R4557" t="s">
        <v>29</v>
      </c>
      <c r="S4557" t="s">
        <v>793</v>
      </c>
      <c r="T4557">
        <f>_xlfn.XLOOKUP(X4557,Hoja2!D:D,Hoja2!A:A)</f>
        <v>80021358</v>
      </c>
      <c r="U4557" t="str">
        <f>_xlfn.XLOOKUP(X4557,Hoja2!D:D,Hoja2!B:B)</f>
        <v>CATALINA PACHECO BURGOS</v>
      </c>
      <c r="V4557" t="str">
        <f>_xlfn.XLOOKUP(X4557,Hoja2!D:D,Hoja2!C:C)</f>
        <v>PREGRADO</v>
      </c>
      <c r="W4557" s="9">
        <f>IF(V4557="pregrado",31,
IF(V4557="posgrados",31,
IF(V4557="rEINTEGROS",7,
IF(V4557="BIT",90,
IF(V4557="OP GRADO - INGLÉS",17,"")))))</f>
        <v>31</v>
      </c>
      <c r="X4557" t="s">
        <v>3995</v>
      </c>
    </row>
    <row r="4558" spans="1:24" x14ac:dyDescent="0.3">
      <c r="A4558" s="4">
        <v>46136</v>
      </c>
      <c r="B4558">
        <v>20132121</v>
      </c>
      <c r="C4558" t="s">
        <v>19</v>
      </c>
      <c r="D4558">
        <v>615335</v>
      </c>
      <c r="E4558" t="s">
        <v>20</v>
      </c>
      <c r="F4558">
        <v>1106307178</v>
      </c>
      <c r="G4558" t="s">
        <v>4826</v>
      </c>
      <c r="H4558">
        <v>100251669</v>
      </c>
      <c r="I4558">
        <v>202612</v>
      </c>
      <c r="J4558">
        <v>1077847517</v>
      </c>
      <c r="K4558" t="s">
        <v>23</v>
      </c>
      <c r="L4558" t="s">
        <v>221</v>
      </c>
      <c r="M4558" t="s">
        <v>24</v>
      </c>
      <c r="N4558" t="s">
        <v>35</v>
      </c>
      <c r="O4558" t="s">
        <v>26</v>
      </c>
      <c r="P4558" t="s">
        <v>27</v>
      </c>
      <c r="Q4558" t="s">
        <v>28</v>
      </c>
      <c r="R4558" t="s">
        <v>29</v>
      </c>
      <c r="S4558" t="s">
        <v>793</v>
      </c>
      <c r="T4558">
        <f>_xlfn.XLOOKUP(X4558,Hoja2!D:D,Hoja2!A:A)</f>
        <v>53071696</v>
      </c>
      <c r="U4558" t="str">
        <f>_xlfn.XLOOKUP(X4558,Hoja2!D:D,Hoja2!B:B)</f>
        <v>NELSON JAVIER MORERA RINCON</v>
      </c>
      <c r="V4558" t="str">
        <f>_xlfn.XLOOKUP(X4558,Hoja2!D:D,Hoja2!C:C)</f>
        <v>PREGRADO</v>
      </c>
      <c r="W4558" s="9">
        <f>IF(V4558="pregrado",31,
IF(V4558="posgrados",31,
IF(V4558="rEINTEGROS",7,
IF(V4558="BIT",90,
IF(V4558="OP GRADO - INGLÉS",17,"")))))</f>
        <v>31</v>
      </c>
      <c r="X4558" t="s">
        <v>4012</v>
      </c>
    </row>
    <row r="4559" spans="1:24" x14ac:dyDescent="0.3">
      <c r="A4559" s="4">
        <v>46142</v>
      </c>
      <c r="B4559">
        <v>20132638</v>
      </c>
      <c r="C4559" t="s">
        <v>19</v>
      </c>
      <c r="D4559">
        <v>615341</v>
      </c>
      <c r="E4559" t="s">
        <v>20</v>
      </c>
      <c r="F4559">
        <v>1032414360</v>
      </c>
      <c r="G4559" t="s">
        <v>4894</v>
      </c>
      <c r="H4559">
        <v>100251679</v>
      </c>
      <c r="I4559">
        <v>202632</v>
      </c>
      <c r="J4559">
        <v>1032414360</v>
      </c>
      <c r="K4559" t="s">
        <v>33</v>
      </c>
      <c r="L4559" t="s">
        <v>127</v>
      </c>
      <c r="M4559" t="s">
        <v>24</v>
      </c>
      <c r="N4559" t="s">
        <v>35</v>
      </c>
      <c r="O4559" t="s">
        <v>26</v>
      </c>
      <c r="P4559" t="s">
        <v>27</v>
      </c>
      <c r="Q4559" t="s">
        <v>28</v>
      </c>
      <c r="R4559" t="s">
        <v>29</v>
      </c>
      <c r="S4559" t="s">
        <v>793</v>
      </c>
      <c r="T4559">
        <f>_xlfn.XLOOKUP(X4559,Hoja2!D:D,Hoja2!A:A)</f>
        <v>1023929839</v>
      </c>
      <c r="U4559" t="str">
        <f>_xlfn.XLOOKUP(X4559,Hoja2!D:D,Hoja2!B:B)</f>
        <v>PAOLA ANDREA CALDERON CETINA</v>
      </c>
      <c r="V4559" t="str">
        <f>_xlfn.XLOOKUP(X4559,Hoja2!D:D,Hoja2!C:C)</f>
        <v>PREGRADO</v>
      </c>
      <c r="W4559" s="9">
        <f>IF(V4559="pregrado",31,
IF(V4559="posgrados",31,
IF(V4559="rEINTEGROS",7,
IF(V4559="BIT",90,
IF(V4559="OP GRADO - INGLÉS",17,"")))))</f>
        <v>31</v>
      </c>
      <c r="X4559" t="s">
        <v>3932</v>
      </c>
    </row>
    <row r="4560" spans="1:24" x14ac:dyDescent="0.3">
      <c r="A4560" s="4">
        <v>46135</v>
      </c>
      <c r="B4560">
        <v>20132060</v>
      </c>
      <c r="C4560" t="s">
        <v>19</v>
      </c>
      <c r="D4560">
        <v>615343</v>
      </c>
      <c r="E4560" t="s">
        <v>20</v>
      </c>
      <c r="F4560">
        <v>1099738817</v>
      </c>
      <c r="G4560" t="s">
        <v>4812</v>
      </c>
      <c r="H4560">
        <v>200273432</v>
      </c>
      <c r="I4560">
        <v>202632</v>
      </c>
      <c r="J4560">
        <v>1099738817</v>
      </c>
      <c r="K4560" t="s">
        <v>23</v>
      </c>
      <c r="L4560" t="s">
        <v>119</v>
      </c>
      <c r="M4560" t="s">
        <v>24</v>
      </c>
      <c r="N4560" t="s">
        <v>35</v>
      </c>
      <c r="O4560" t="s">
        <v>26</v>
      </c>
      <c r="P4560" t="s">
        <v>27</v>
      </c>
      <c r="Q4560" t="s">
        <v>28</v>
      </c>
      <c r="R4560" t="s">
        <v>29</v>
      </c>
      <c r="S4560" t="s">
        <v>793</v>
      </c>
      <c r="T4560">
        <f>_xlfn.XLOOKUP(X4560,Hoja2!D:D,Hoja2!A:A)</f>
        <v>1000973717</v>
      </c>
      <c r="U4560" t="str">
        <f>_xlfn.XLOOKUP(X4560,Hoja2!D:D,Hoja2!B:B)</f>
        <v>MARSHIA MILENA JIMéNEZ GóMEZ</v>
      </c>
      <c r="V4560" t="str">
        <f>_xlfn.XLOOKUP(X4560,Hoja2!D:D,Hoja2!C:C)</f>
        <v>PREGRADO</v>
      </c>
      <c r="W4560" s="9">
        <f>IF(V4560="pregrado",31,
IF(V4560="posgrados",31,
IF(V4560="rEINTEGROS",7,
IF(V4560="BIT",90,
IF(V4560="OP GRADO - INGLÉS",17,"")))))</f>
        <v>31</v>
      </c>
      <c r="X4560" t="s">
        <v>4073</v>
      </c>
    </row>
    <row r="4561" spans="1:24" x14ac:dyDescent="0.3">
      <c r="A4561" s="4">
        <v>46135</v>
      </c>
      <c r="B4561">
        <v>20132040</v>
      </c>
      <c r="C4561" t="s">
        <v>19</v>
      </c>
      <c r="D4561">
        <v>615350</v>
      </c>
      <c r="E4561" t="s">
        <v>20</v>
      </c>
      <c r="F4561">
        <v>1000331320</v>
      </c>
      <c r="G4561" t="s">
        <v>4806</v>
      </c>
      <c r="H4561">
        <v>100106809</v>
      </c>
      <c r="I4561">
        <v>202632</v>
      </c>
      <c r="J4561">
        <v>1000331320</v>
      </c>
      <c r="K4561" t="s">
        <v>74</v>
      </c>
      <c r="L4561" t="s">
        <v>219</v>
      </c>
      <c r="M4561" t="s">
        <v>24</v>
      </c>
      <c r="N4561" t="s">
        <v>35</v>
      </c>
      <c r="O4561" t="s">
        <v>26</v>
      </c>
      <c r="P4561" t="s">
        <v>27</v>
      </c>
      <c r="Q4561" t="s">
        <v>28</v>
      </c>
      <c r="R4561" t="s">
        <v>29</v>
      </c>
      <c r="S4561" t="s">
        <v>793</v>
      </c>
      <c r="T4561">
        <f>_xlfn.XLOOKUP(X4561,Hoja2!D:D,Hoja2!A:A)</f>
        <v>1000973717</v>
      </c>
      <c r="U4561" t="str">
        <f>_xlfn.XLOOKUP(X4561,Hoja2!D:D,Hoja2!B:B)</f>
        <v>MARSHIA MILENA JIMéNEZ GóMEZ</v>
      </c>
      <c r="V4561" t="str">
        <f>_xlfn.XLOOKUP(X4561,Hoja2!D:D,Hoja2!C:C)</f>
        <v>PREGRADO</v>
      </c>
      <c r="W4561" s="9">
        <f>IF(V4561="pregrado",31,
IF(V4561="posgrados",31,
IF(V4561="rEINTEGROS",7,
IF(V4561="BIT",90,
IF(V4561="OP GRADO - INGLÉS",17,"")))))</f>
        <v>31</v>
      </c>
      <c r="X4561" t="s">
        <v>4073</v>
      </c>
    </row>
    <row r="4562" spans="1:24" x14ac:dyDescent="0.3">
      <c r="A4562" s="4">
        <v>46135</v>
      </c>
      <c r="B4562">
        <v>20132046</v>
      </c>
      <c r="C4562" t="s">
        <v>19</v>
      </c>
      <c r="D4562">
        <v>615355</v>
      </c>
      <c r="E4562" t="s">
        <v>20</v>
      </c>
      <c r="F4562">
        <v>1014476099</v>
      </c>
      <c r="G4562" t="s">
        <v>4807</v>
      </c>
      <c r="H4562">
        <v>100241720</v>
      </c>
      <c r="I4562">
        <v>202612</v>
      </c>
      <c r="J4562">
        <v>1014476099</v>
      </c>
      <c r="K4562" t="s">
        <v>33</v>
      </c>
      <c r="L4562" t="s">
        <v>204</v>
      </c>
      <c r="M4562" t="s">
        <v>24</v>
      </c>
      <c r="N4562" t="s">
        <v>38</v>
      </c>
      <c r="O4562" t="s">
        <v>26</v>
      </c>
      <c r="P4562" t="s">
        <v>27</v>
      </c>
      <c r="Q4562" t="s">
        <v>28</v>
      </c>
      <c r="R4562" t="s">
        <v>29</v>
      </c>
      <c r="S4562" t="s">
        <v>793</v>
      </c>
      <c r="T4562">
        <f>_xlfn.XLOOKUP(X4562,Hoja2!D:D,Hoja2!A:A)</f>
        <v>53178431</v>
      </c>
      <c r="U4562" t="str">
        <f>_xlfn.XLOOKUP(X4562,Hoja2!D:D,Hoja2!B:B)</f>
        <v>HEIDY LORENA PRIETO AHUMADA</v>
      </c>
      <c r="V4562" t="str">
        <f>_xlfn.XLOOKUP(X4562,Hoja2!D:D,Hoja2!C:C)</f>
        <v>PREGRADO</v>
      </c>
      <c r="W4562" s="9">
        <f>IF(V4562="pregrado",31,
IF(V4562="posgrados",31,
IF(V4562="rEINTEGROS",7,
IF(V4562="BIT",90,
IF(V4562="OP GRADO - INGLÉS",17,"")))))</f>
        <v>31</v>
      </c>
      <c r="X4562" t="s">
        <v>3949</v>
      </c>
    </row>
    <row r="4563" spans="1:24" x14ac:dyDescent="0.3">
      <c r="A4563" s="4">
        <v>46146</v>
      </c>
      <c r="B4563">
        <v>20132772</v>
      </c>
      <c r="C4563" t="s">
        <v>19</v>
      </c>
      <c r="D4563">
        <v>615369</v>
      </c>
      <c r="E4563" t="s">
        <v>20</v>
      </c>
      <c r="F4563">
        <v>92257967</v>
      </c>
      <c r="G4563" t="s">
        <v>4907</v>
      </c>
      <c r="H4563">
        <v>100201435</v>
      </c>
      <c r="I4563">
        <v>202632</v>
      </c>
      <c r="J4563">
        <v>1102880551</v>
      </c>
      <c r="K4563" t="s">
        <v>33</v>
      </c>
      <c r="L4563" t="s">
        <v>101</v>
      </c>
      <c r="M4563" t="s">
        <v>24</v>
      </c>
      <c r="N4563" t="s">
        <v>4441</v>
      </c>
      <c r="O4563" t="s">
        <v>26</v>
      </c>
      <c r="P4563" t="s">
        <v>4135</v>
      </c>
      <c r="Q4563" t="s">
        <v>28</v>
      </c>
      <c r="R4563" t="s">
        <v>29</v>
      </c>
      <c r="S4563" t="s">
        <v>793</v>
      </c>
      <c r="T4563">
        <f>_xlfn.XLOOKUP(X4563,Hoja2!D:D,Hoja2!A:A)</f>
        <v>1010081108</v>
      </c>
      <c r="U4563" t="str">
        <f>_xlfn.XLOOKUP(X4563,Hoja2!D:D,Hoja2!B:B)</f>
        <v>HEIDY LORENA PRIETO AHUMADA</v>
      </c>
      <c r="V4563" t="str">
        <f>_xlfn.XLOOKUP(X4563,Hoja2!D:D,Hoja2!C:C)</f>
        <v>PREGRADO</v>
      </c>
      <c r="W4563" s="9">
        <f>IF(V4563="pregrado",31,
IF(V4563="posgrados",31,
IF(V4563="rEINTEGROS",7,
IF(V4563="BIT",90,
IF(V4563="OP GRADO - INGLÉS",17,"")))))</f>
        <v>31</v>
      </c>
      <c r="X4563" t="s">
        <v>4009</v>
      </c>
    </row>
    <row r="4564" spans="1:24" x14ac:dyDescent="0.3">
      <c r="A4564" s="4">
        <v>46135</v>
      </c>
      <c r="B4564">
        <v>20132063</v>
      </c>
      <c r="C4564" t="s">
        <v>19</v>
      </c>
      <c r="D4564">
        <v>615371</v>
      </c>
      <c r="E4564" t="s">
        <v>20</v>
      </c>
      <c r="F4564">
        <v>36294553</v>
      </c>
      <c r="G4564" t="s">
        <v>4813</v>
      </c>
      <c r="H4564">
        <v>200274346</v>
      </c>
      <c r="I4564">
        <v>202632</v>
      </c>
      <c r="J4564">
        <v>36294553</v>
      </c>
      <c r="K4564" t="s">
        <v>74</v>
      </c>
      <c r="L4564" t="s">
        <v>119</v>
      </c>
      <c r="M4564" t="s">
        <v>24</v>
      </c>
      <c r="N4564" t="s">
        <v>35</v>
      </c>
      <c r="O4564" t="s">
        <v>26</v>
      </c>
      <c r="P4564" t="s">
        <v>27</v>
      </c>
      <c r="Q4564" t="s">
        <v>28</v>
      </c>
      <c r="R4564" t="s">
        <v>29</v>
      </c>
      <c r="S4564" t="s">
        <v>793</v>
      </c>
      <c r="T4564">
        <f>_xlfn.XLOOKUP(X4564,Hoja2!D:D,Hoja2!A:A)</f>
        <v>1023367706</v>
      </c>
      <c r="U4564" t="str">
        <f>_xlfn.XLOOKUP(X4564,Hoja2!D:D,Hoja2!B:B)</f>
        <v>MARSHIA MILENA JIMéNEZ GóMEZ</v>
      </c>
      <c r="V4564" t="str">
        <f>_xlfn.XLOOKUP(X4564,Hoja2!D:D,Hoja2!C:C)</f>
        <v>PREGRADO</v>
      </c>
      <c r="W4564" s="9">
        <f>IF(V4564="pregrado",31,
IF(V4564="posgrados",31,
IF(V4564="rEINTEGROS",7,
IF(V4564="BIT",90,
IF(V4564="OP GRADO - INGLÉS",17,"")))))</f>
        <v>31</v>
      </c>
      <c r="X4564" t="s">
        <v>4039</v>
      </c>
    </row>
    <row r="4565" spans="1:24" x14ac:dyDescent="0.3">
      <c r="A4565" s="4">
        <v>46136</v>
      </c>
      <c r="B4565">
        <v>20132192</v>
      </c>
      <c r="C4565" t="s">
        <v>19</v>
      </c>
      <c r="D4565">
        <v>615392</v>
      </c>
      <c r="E4565" t="s">
        <v>20</v>
      </c>
      <c r="F4565">
        <v>37398982</v>
      </c>
      <c r="G4565" t="s">
        <v>4838</v>
      </c>
      <c r="H4565">
        <v>100251718</v>
      </c>
      <c r="I4565">
        <v>202632</v>
      </c>
      <c r="J4565">
        <v>1194714926</v>
      </c>
      <c r="K4565" t="s">
        <v>33</v>
      </c>
      <c r="L4565" t="s">
        <v>32</v>
      </c>
      <c r="M4565" t="s">
        <v>24</v>
      </c>
      <c r="N4565" t="s">
        <v>35</v>
      </c>
      <c r="O4565" t="s">
        <v>26</v>
      </c>
      <c r="P4565" t="s">
        <v>27</v>
      </c>
      <c r="Q4565" t="s">
        <v>28</v>
      </c>
      <c r="R4565" t="s">
        <v>29</v>
      </c>
      <c r="S4565" t="s">
        <v>793</v>
      </c>
      <c r="T4565">
        <f>_xlfn.XLOOKUP(X4565,Hoja2!D:D,Hoja2!A:A)</f>
        <v>10306009131</v>
      </c>
      <c r="U4565" t="str">
        <f>_xlfn.XLOOKUP(X4565,Hoja2!D:D,Hoja2!B:B)</f>
        <v>PAOLA ANDREA CALDERON CETINA</v>
      </c>
      <c r="V4565" t="str">
        <f>_xlfn.XLOOKUP(X4565,Hoja2!D:D,Hoja2!C:C)</f>
        <v>PREGRADO</v>
      </c>
      <c r="W4565" s="9">
        <f>IF(V4565="pregrado",31,
IF(V4565="posgrados",31,
IF(V4565="rEINTEGROS",7,
IF(V4565="BIT",90,
IF(V4565="OP GRADO - INGLÉS",17,"")))))</f>
        <v>31</v>
      </c>
      <c r="X4565" t="s">
        <v>3978</v>
      </c>
    </row>
    <row r="4566" spans="1:24" x14ac:dyDescent="0.3">
      <c r="A4566" s="4">
        <v>46140</v>
      </c>
      <c r="B4566">
        <v>20132422</v>
      </c>
      <c r="C4566" t="s">
        <v>19</v>
      </c>
      <c r="D4566">
        <v>615407</v>
      </c>
      <c r="E4566" t="s">
        <v>20</v>
      </c>
      <c r="F4566">
        <v>3849494</v>
      </c>
      <c r="G4566" t="s">
        <v>4880</v>
      </c>
      <c r="H4566">
        <v>200274946</v>
      </c>
      <c r="I4566">
        <v>202632</v>
      </c>
      <c r="J4566">
        <v>3836674</v>
      </c>
      <c r="K4566" t="s">
        <v>83</v>
      </c>
      <c r="L4566" t="s">
        <v>101</v>
      </c>
      <c r="M4566" t="s">
        <v>24</v>
      </c>
      <c r="N4566" t="s">
        <v>35</v>
      </c>
      <c r="O4566" t="s">
        <v>26</v>
      </c>
      <c r="P4566" t="s">
        <v>27</v>
      </c>
      <c r="Q4566" t="s">
        <v>28</v>
      </c>
      <c r="R4566" t="s">
        <v>29</v>
      </c>
      <c r="S4566" t="s">
        <v>793</v>
      </c>
      <c r="T4566">
        <f>_xlfn.XLOOKUP(X4566,Hoja2!D:D,Hoja2!A:A)</f>
        <v>1000973717</v>
      </c>
      <c r="U4566" t="str">
        <f>_xlfn.XLOOKUP(X4566,Hoja2!D:D,Hoja2!B:B)</f>
        <v>MARSHIA MILENA JIMéNEZ GóMEZ</v>
      </c>
      <c r="V4566" t="str">
        <f>_xlfn.XLOOKUP(X4566,Hoja2!D:D,Hoja2!C:C)</f>
        <v>PREGRADO</v>
      </c>
      <c r="W4566" s="9">
        <f>IF(V4566="pregrado",31,
IF(V4566="posgrados",31,
IF(V4566="rEINTEGROS",7,
IF(V4566="BIT",90,
IF(V4566="OP GRADO - INGLÉS",17,"")))))</f>
        <v>31</v>
      </c>
      <c r="X4566" t="s">
        <v>4073</v>
      </c>
    </row>
    <row r="4567" spans="1:24" x14ac:dyDescent="0.3">
      <c r="A4567" s="4">
        <v>46136</v>
      </c>
      <c r="B4567">
        <v>20132208</v>
      </c>
      <c r="C4567" t="s">
        <v>19</v>
      </c>
      <c r="D4567">
        <v>615414</v>
      </c>
      <c r="E4567" t="s">
        <v>20</v>
      </c>
      <c r="F4567">
        <v>1045076937</v>
      </c>
      <c r="G4567" t="s">
        <v>4842</v>
      </c>
      <c r="H4567">
        <v>100251747</v>
      </c>
      <c r="I4567">
        <v>202632</v>
      </c>
      <c r="J4567">
        <v>1045076937</v>
      </c>
      <c r="K4567" t="s">
        <v>23</v>
      </c>
      <c r="L4567" t="s">
        <v>207</v>
      </c>
      <c r="M4567" t="s">
        <v>24</v>
      </c>
      <c r="N4567" t="s">
        <v>35</v>
      </c>
      <c r="O4567" t="s">
        <v>26</v>
      </c>
      <c r="P4567" t="s">
        <v>27</v>
      </c>
      <c r="Q4567" t="s">
        <v>28</v>
      </c>
      <c r="R4567" t="s">
        <v>29</v>
      </c>
      <c r="S4567" t="s">
        <v>793</v>
      </c>
      <c r="T4567">
        <f>_xlfn.XLOOKUP(X4567,Hoja2!D:D,Hoja2!A:A)</f>
        <v>1000578914</v>
      </c>
      <c r="U4567" t="str">
        <f>_xlfn.XLOOKUP(X4567,Hoja2!D:D,Hoja2!B:B)</f>
        <v>HEIDY LORENA PRIETO AHUMADA</v>
      </c>
      <c r="V4567" t="str">
        <f>_xlfn.XLOOKUP(X4567,Hoja2!D:D,Hoja2!C:C)</f>
        <v>PREGRADO</v>
      </c>
      <c r="W4567" s="9">
        <f>IF(V4567="pregrado",31,
IF(V4567="posgrados",31,
IF(V4567="rEINTEGROS",7,
IF(V4567="BIT",90,
IF(V4567="OP GRADO - INGLÉS",17,"")))))</f>
        <v>31</v>
      </c>
      <c r="X4567" t="s">
        <v>4060</v>
      </c>
    </row>
    <row r="4568" spans="1:24" x14ac:dyDescent="0.3">
      <c r="A4568" s="4">
        <v>46137</v>
      </c>
      <c r="B4568">
        <v>20132231</v>
      </c>
      <c r="C4568" t="s">
        <v>19</v>
      </c>
      <c r="D4568">
        <v>615425</v>
      </c>
      <c r="E4568" t="s">
        <v>20</v>
      </c>
      <c r="F4568">
        <v>1116663592</v>
      </c>
      <c r="G4568" t="s">
        <v>4845</v>
      </c>
      <c r="H4568">
        <v>200276163</v>
      </c>
      <c r="I4568">
        <v>202632</v>
      </c>
      <c r="J4568">
        <v>1116663337</v>
      </c>
      <c r="K4568" t="s">
        <v>23</v>
      </c>
      <c r="L4568" t="s">
        <v>119</v>
      </c>
      <c r="M4568" t="s">
        <v>24</v>
      </c>
      <c r="N4568" t="s">
        <v>35</v>
      </c>
      <c r="O4568" t="s">
        <v>26</v>
      </c>
      <c r="P4568" t="s">
        <v>27</v>
      </c>
      <c r="Q4568" t="s">
        <v>28</v>
      </c>
      <c r="R4568" t="s">
        <v>29</v>
      </c>
      <c r="S4568" t="s">
        <v>793</v>
      </c>
      <c r="T4568">
        <f>_xlfn.XLOOKUP(X4568,Hoja2!D:D,Hoja2!A:A)</f>
        <v>1000001980</v>
      </c>
      <c r="U4568" t="str">
        <f>_xlfn.XLOOKUP(X4568,Hoja2!D:D,Hoja2!B:B)</f>
        <v>GINA PAOLA MEDINA FLOREZ</v>
      </c>
      <c r="V4568" t="str">
        <f>_xlfn.XLOOKUP(X4568,Hoja2!D:D,Hoja2!C:C)</f>
        <v>PREGRADO</v>
      </c>
      <c r="W4568" s="9">
        <f>IF(V4568="pregrado",31,
IF(V4568="posgrados",31,
IF(V4568="rEINTEGROS",7,
IF(V4568="BIT",90,
IF(V4568="OP GRADO - INGLÉS",17,"")))))</f>
        <v>31</v>
      </c>
      <c r="X4568" t="s">
        <v>3968</v>
      </c>
    </row>
    <row r="4569" spans="1:24" x14ac:dyDescent="0.3">
      <c r="A4569" s="4">
        <v>46136</v>
      </c>
      <c r="B4569">
        <v>20132126</v>
      </c>
      <c r="C4569" t="s">
        <v>19</v>
      </c>
      <c r="D4569">
        <v>615432</v>
      </c>
      <c r="E4569" t="s">
        <v>20</v>
      </c>
      <c r="F4569">
        <v>1007564001</v>
      </c>
      <c r="G4569" t="s">
        <v>4827</v>
      </c>
      <c r="H4569">
        <v>100251763</v>
      </c>
      <c r="I4569">
        <v>202632</v>
      </c>
      <c r="J4569">
        <v>1007564001</v>
      </c>
      <c r="K4569" t="s">
        <v>33</v>
      </c>
      <c r="L4569" t="s">
        <v>32</v>
      </c>
      <c r="M4569" t="s">
        <v>24</v>
      </c>
      <c r="N4569" t="s">
        <v>25</v>
      </c>
      <c r="O4569" t="s">
        <v>26</v>
      </c>
      <c r="P4569" t="s">
        <v>27</v>
      </c>
      <c r="Q4569" t="s">
        <v>28</v>
      </c>
      <c r="R4569" t="s">
        <v>29</v>
      </c>
      <c r="S4569" t="s">
        <v>793</v>
      </c>
      <c r="T4569">
        <f>_xlfn.XLOOKUP(X4569,Hoja2!D:D,Hoja2!A:A)</f>
        <v>1001315142</v>
      </c>
      <c r="U4569" t="str">
        <f>_xlfn.XLOOKUP(X4569,Hoja2!D:D,Hoja2!B:B)</f>
        <v>CATALINA PACHECO BURGOS</v>
      </c>
      <c r="V4569" t="str">
        <f>_xlfn.XLOOKUP(X4569,Hoja2!D:D,Hoja2!C:C)</f>
        <v>PREGRADO</v>
      </c>
      <c r="W4569" s="9">
        <f>IF(V4569="pregrado",31,
IF(V4569="posgrados",31,
IF(V4569="rEINTEGROS",7,
IF(V4569="BIT",90,
IF(V4569="OP GRADO - INGLÉS",17,"")))))</f>
        <v>31</v>
      </c>
      <c r="X4569" t="s">
        <v>4064</v>
      </c>
    </row>
    <row r="4570" spans="1:24" x14ac:dyDescent="0.3">
      <c r="A4570" s="4">
        <v>46136</v>
      </c>
      <c r="B4570">
        <v>20132194</v>
      </c>
      <c r="C4570" t="s">
        <v>19</v>
      </c>
      <c r="D4570">
        <v>615448</v>
      </c>
      <c r="E4570" t="s">
        <v>20</v>
      </c>
      <c r="F4570">
        <v>5568588</v>
      </c>
      <c r="G4570" t="s">
        <v>4840</v>
      </c>
      <c r="H4570">
        <v>100251796</v>
      </c>
      <c r="I4570">
        <v>202612</v>
      </c>
      <c r="J4570">
        <v>1020724501</v>
      </c>
      <c r="K4570" t="s">
        <v>23</v>
      </c>
      <c r="L4570" t="s">
        <v>221</v>
      </c>
      <c r="M4570" t="s">
        <v>24</v>
      </c>
      <c r="N4570">
        <v>0</v>
      </c>
      <c r="O4570" t="s">
        <v>26</v>
      </c>
      <c r="P4570" t="s">
        <v>27</v>
      </c>
      <c r="Q4570" t="s">
        <v>28</v>
      </c>
      <c r="R4570" t="s">
        <v>29</v>
      </c>
      <c r="S4570" t="s">
        <v>793</v>
      </c>
      <c r="T4570">
        <f>_xlfn.XLOOKUP(X4570,Hoja2!D:D,Hoja2!A:A)</f>
        <v>10123971531</v>
      </c>
      <c r="U4570" t="str">
        <f>_xlfn.XLOOKUP(X4570,Hoja2!D:D,Hoja2!B:B)</f>
        <v>GINA PAOLA MEDINA FLOREZ</v>
      </c>
      <c r="V4570" t="str">
        <f>_xlfn.XLOOKUP(X4570,Hoja2!D:D,Hoja2!C:C)</f>
        <v>PREGRADO</v>
      </c>
      <c r="W4570" s="9">
        <f>IF(V4570="pregrado",31,
IF(V4570="posgrados",31,
IF(V4570="rEINTEGROS",7,
IF(V4570="BIT",90,
IF(V4570="OP GRADO - INGLÉS",17,"")))))</f>
        <v>31</v>
      </c>
      <c r="X4570" t="s">
        <v>3943</v>
      </c>
    </row>
    <row r="4571" spans="1:24" x14ac:dyDescent="0.3">
      <c r="A4571" s="4">
        <v>46136</v>
      </c>
      <c r="B4571">
        <v>20132139</v>
      </c>
      <c r="C4571" t="s">
        <v>19</v>
      </c>
      <c r="D4571">
        <v>615450</v>
      </c>
      <c r="E4571" t="s">
        <v>20</v>
      </c>
      <c r="F4571">
        <v>1123320048</v>
      </c>
      <c r="G4571" t="s">
        <v>4830</v>
      </c>
      <c r="H4571">
        <v>200273858</v>
      </c>
      <c r="I4571">
        <v>202632</v>
      </c>
      <c r="J4571">
        <v>1123320048</v>
      </c>
      <c r="K4571" t="s">
        <v>23</v>
      </c>
      <c r="L4571" t="s">
        <v>219</v>
      </c>
      <c r="M4571" t="s">
        <v>24</v>
      </c>
      <c r="N4571" t="s">
        <v>35</v>
      </c>
      <c r="O4571" t="s">
        <v>26</v>
      </c>
      <c r="P4571" t="s">
        <v>27</v>
      </c>
      <c r="Q4571" t="s">
        <v>28</v>
      </c>
      <c r="R4571" t="s">
        <v>29</v>
      </c>
      <c r="S4571" t="s">
        <v>793</v>
      </c>
      <c r="T4571">
        <f>_xlfn.XLOOKUP(X4571,Hoja2!D:D,Hoja2!A:A)</f>
        <v>1000973717</v>
      </c>
      <c r="U4571" t="str">
        <f>_xlfn.XLOOKUP(X4571,Hoja2!D:D,Hoja2!B:B)</f>
        <v>MARSHIA MILENA JIMéNEZ GóMEZ</v>
      </c>
      <c r="V4571" t="str">
        <f>_xlfn.XLOOKUP(X4571,Hoja2!D:D,Hoja2!C:C)</f>
        <v>PREGRADO</v>
      </c>
      <c r="W4571" s="9">
        <f>IF(V4571="pregrado",31,
IF(V4571="posgrados",31,
IF(V4571="rEINTEGROS",7,
IF(V4571="BIT",90,
IF(V4571="OP GRADO - INGLÉS",17,"")))))</f>
        <v>31</v>
      </c>
      <c r="X4571" t="s">
        <v>4073</v>
      </c>
    </row>
    <row r="4572" spans="1:24" x14ac:dyDescent="0.3">
      <c r="A4572" s="4">
        <v>46136</v>
      </c>
      <c r="B4572">
        <v>20132173</v>
      </c>
      <c r="C4572" t="s">
        <v>19</v>
      </c>
      <c r="D4572">
        <v>615477</v>
      </c>
      <c r="E4572" t="s">
        <v>20</v>
      </c>
      <c r="F4572">
        <v>1100952155</v>
      </c>
      <c r="G4572" t="s">
        <v>4837</v>
      </c>
      <c r="H4572">
        <v>100251821</v>
      </c>
      <c r="I4572">
        <v>202632</v>
      </c>
      <c r="J4572">
        <v>1100952155</v>
      </c>
      <c r="K4572" t="s">
        <v>23</v>
      </c>
      <c r="L4572" t="s">
        <v>219</v>
      </c>
      <c r="M4572" t="s">
        <v>24</v>
      </c>
      <c r="N4572" t="s">
        <v>25</v>
      </c>
      <c r="O4572" t="s">
        <v>26</v>
      </c>
      <c r="P4572" t="s">
        <v>27</v>
      </c>
      <c r="Q4572" t="s">
        <v>28</v>
      </c>
      <c r="R4572" t="s">
        <v>29</v>
      </c>
      <c r="S4572" t="s">
        <v>793</v>
      </c>
      <c r="T4572">
        <f>_xlfn.XLOOKUP(X4572,Hoja2!D:D,Hoja2!A:A)</f>
        <v>1016110979</v>
      </c>
      <c r="U4572" t="str">
        <f>_xlfn.XLOOKUP(X4572,Hoja2!D:D,Hoja2!B:B)</f>
        <v>JEISSON FABIAN MOLINA CIRO</v>
      </c>
      <c r="V4572" t="str">
        <f>_xlfn.XLOOKUP(X4572,Hoja2!D:D,Hoja2!C:C)</f>
        <v>REINTEGROS</v>
      </c>
      <c r="W4572" s="9">
        <f>IF(V4572="pregrado",31,
IF(V4572="posgrados",31,
IF(V4572="rEINTEGROS",7,
IF(V4572="BIT",90,
IF(V4572="OP GRADO - INGLÉS",17,"")))))</f>
        <v>7</v>
      </c>
      <c r="X4572" t="s">
        <v>4051</v>
      </c>
    </row>
    <row r="4573" spans="1:24" x14ac:dyDescent="0.3">
      <c r="A4573" s="4">
        <v>46136</v>
      </c>
      <c r="B4573">
        <v>20132172</v>
      </c>
      <c r="C4573" t="s">
        <v>19</v>
      </c>
      <c r="D4573">
        <v>615497</v>
      </c>
      <c r="E4573" t="s">
        <v>20</v>
      </c>
      <c r="F4573">
        <v>1019036369</v>
      </c>
      <c r="G4573" t="s">
        <v>4836</v>
      </c>
      <c r="H4573">
        <v>100251792</v>
      </c>
      <c r="I4573">
        <v>202632</v>
      </c>
      <c r="J4573">
        <v>1019036369</v>
      </c>
      <c r="K4573" t="s">
        <v>23</v>
      </c>
      <c r="L4573" t="s">
        <v>207</v>
      </c>
      <c r="M4573" t="s">
        <v>24</v>
      </c>
      <c r="N4573" t="s">
        <v>35</v>
      </c>
      <c r="O4573" t="s">
        <v>26</v>
      </c>
      <c r="P4573" t="s">
        <v>27</v>
      </c>
      <c r="Q4573" t="s">
        <v>28</v>
      </c>
      <c r="R4573" t="s">
        <v>29</v>
      </c>
      <c r="S4573" t="s">
        <v>793</v>
      </c>
      <c r="T4573">
        <f>_xlfn.XLOOKUP(X4573,Hoja2!D:D,Hoja2!A:A)</f>
        <v>1032678391</v>
      </c>
      <c r="U4573" t="str">
        <f>_xlfn.XLOOKUP(X4573,Hoja2!D:D,Hoja2!B:B)</f>
        <v>Nelson Javier Morera Rincon</v>
      </c>
      <c r="V4573" t="str">
        <f>_xlfn.XLOOKUP(X4573,Hoja2!D:D,Hoja2!C:C)</f>
        <v>PREGRADO</v>
      </c>
      <c r="W4573" s="9">
        <f>IF(V4573="pregrado",31,
IF(V4573="posgrados",31,
IF(V4573="rEINTEGROS",7,
IF(V4573="BIT",90,
IF(V4573="OP GRADO - INGLÉS",17,"")))))</f>
        <v>31</v>
      </c>
      <c r="X4573" t="s">
        <v>4927</v>
      </c>
    </row>
    <row r="4574" spans="1:24" x14ac:dyDescent="0.3">
      <c r="A4574" s="4">
        <v>46142</v>
      </c>
      <c r="B4574">
        <v>20132674</v>
      </c>
      <c r="C4574" t="s">
        <v>19</v>
      </c>
      <c r="D4574">
        <v>615503</v>
      </c>
      <c r="E4574" t="s">
        <v>20</v>
      </c>
      <c r="F4574">
        <v>1095833710</v>
      </c>
      <c r="G4574" t="s">
        <v>4898</v>
      </c>
      <c r="H4574">
        <v>200273486</v>
      </c>
      <c r="I4574">
        <v>202632</v>
      </c>
      <c r="J4574">
        <v>1095833710</v>
      </c>
      <c r="K4574" t="s">
        <v>33</v>
      </c>
      <c r="L4574" t="s">
        <v>219</v>
      </c>
      <c r="M4574" t="s">
        <v>24</v>
      </c>
      <c r="N4574" t="s">
        <v>35</v>
      </c>
      <c r="O4574" t="s">
        <v>26</v>
      </c>
      <c r="P4574" t="s">
        <v>27</v>
      </c>
      <c r="Q4574" t="s">
        <v>28</v>
      </c>
      <c r="R4574" t="s">
        <v>29</v>
      </c>
      <c r="S4574" t="s">
        <v>793</v>
      </c>
      <c r="T4574">
        <f>_xlfn.XLOOKUP(X4574,Hoja2!D:D,Hoja2!A:A)</f>
        <v>1014283217</v>
      </c>
      <c r="U4574" t="str">
        <f>_xlfn.XLOOKUP(X4574,Hoja2!D:D,Hoja2!B:B)</f>
        <v>MARSHIA MILENA JIMéNEZ GóMEZ</v>
      </c>
      <c r="V4574" t="str">
        <f>_xlfn.XLOOKUP(X4574,Hoja2!D:D,Hoja2!C:C)</f>
        <v>PREGRADO</v>
      </c>
      <c r="W4574" s="9">
        <f>IF(V4574="pregrado",31,
IF(V4574="posgrados",31,
IF(V4574="rEINTEGROS",7,
IF(V4574="BIT",90,
IF(V4574="OP GRADO - INGLÉS",17,"")))))</f>
        <v>31</v>
      </c>
      <c r="X4574" t="s">
        <v>4023</v>
      </c>
    </row>
    <row r="4575" spans="1:24" x14ac:dyDescent="0.3">
      <c r="A4575" s="4">
        <v>46139</v>
      </c>
      <c r="B4575">
        <v>20132295</v>
      </c>
      <c r="C4575" t="s">
        <v>19</v>
      </c>
      <c r="D4575">
        <v>615509</v>
      </c>
      <c r="E4575" t="s">
        <v>20</v>
      </c>
      <c r="F4575">
        <v>1003672074</v>
      </c>
      <c r="G4575" t="s">
        <v>4855</v>
      </c>
      <c r="H4575">
        <v>100251849</v>
      </c>
      <c r="I4575">
        <v>202612</v>
      </c>
      <c r="J4575">
        <v>1003672074</v>
      </c>
      <c r="K4575" t="s">
        <v>23</v>
      </c>
      <c r="L4575" t="s">
        <v>221</v>
      </c>
      <c r="M4575" t="s">
        <v>24</v>
      </c>
      <c r="N4575" t="s">
        <v>35</v>
      </c>
      <c r="O4575" t="s">
        <v>26</v>
      </c>
      <c r="P4575" t="s">
        <v>27</v>
      </c>
      <c r="Q4575" t="s">
        <v>28</v>
      </c>
      <c r="R4575" t="s">
        <v>29</v>
      </c>
      <c r="S4575" t="s">
        <v>793</v>
      </c>
      <c r="T4575">
        <f>_xlfn.XLOOKUP(X4575,Hoja2!D:D,Hoja2!A:A)</f>
        <v>53071696</v>
      </c>
      <c r="U4575" t="str">
        <f>_xlfn.XLOOKUP(X4575,Hoja2!D:D,Hoja2!B:B)</f>
        <v>NELSON JAVIER MORERA RINCON</v>
      </c>
      <c r="V4575" t="str">
        <f>_xlfn.XLOOKUP(X4575,Hoja2!D:D,Hoja2!C:C)</f>
        <v>PREGRADO</v>
      </c>
      <c r="W4575" s="9">
        <f>IF(V4575="pregrado",31,
IF(V4575="posgrados",31,
IF(V4575="rEINTEGROS",7,
IF(V4575="BIT",90,
IF(V4575="OP GRADO - INGLÉS",17,"")))))</f>
        <v>31</v>
      </c>
      <c r="X4575" t="s">
        <v>4012</v>
      </c>
    </row>
    <row r="4576" spans="1:24" x14ac:dyDescent="0.3">
      <c r="A4576" s="4">
        <v>46139</v>
      </c>
      <c r="B4576">
        <v>20132272</v>
      </c>
      <c r="C4576" t="s">
        <v>19</v>
      </c>
      <c r="D4576">
        <v>615529</v>
      </c>
      <c r="E4576" t="s">
        <v>20</v>
      </c>
      <c r="F4576">
        <v>1004533281</v>
      </c>
      <c r="G4576" t="s">
        <v>4849</v>
      </c>
      <c r="H4576">
        <v>100251864</v>
      </c>
      <c r="I4576">
        <v>202632</v>
      </c>
      <c r="J4576">
        <v>1004533281</v>
      </c>
      <c r="K4576" t="s">
        <v>23</v>
      </c>
      <c r="L4576" t="s">
        <v>240</v>
      </c>
      <c r="M4576" t="s">
        <v>24</v>
      </c>
      <c r="N4576" t="s">
        <v>35</v>
      </c>
      <c r="O4576" t="s">
        <v>26</v>
      </c>
      <c r="P4576" t="s">
        <v>27</v>
      </c>
      <c r="Q4576" t="s">
        <v>28</v>
      </c>
      <c r="R4576" t="s">
        <v>29</v>
      </c>
      <c r="S4576" t="s">
        <v>793</v>
      </c>
      <c r="T4576">
        <f>_xlfn.XLOOKUP(X4576,Hoja2!D:D,Hoja2!A:A)</f>
        <v>79635092</v>
      </c>
      <c r="U4576" t="str">
        <f>_xlfn.XLOOKUP(X4576,Hoja2!D:D,Hoja2!B:B)</f>
        <v>MARSHIA MILENA JIMéNEZ GóMEZ</v>
      </c>
      <c r="V4576" t="str">
        <f>_xlfn.XLOOKUP(X4576,Hoja2!D:D,Hoja2!C:C)</f>
        <v>PREGRADO</v>
      </c>
      <c r="W4576" s="9">
        <f>IF(V4576="pregrado",31,
IF(V4576="posgrados",31,
IF(V4576="rEINTEGROS",7,
IF(V4576="BIT",90,
IF(V4576="OP GRADO - INGLÉS",17,"")))))</f>
        <v>31</v>
      </c>
      <c r="X4576" t="s">
        <v>4079</v>
      </c>
    </row>
    <row r="4577" spans="1:24" x14ac:dyDescent="0.3">
      <c r="A4577" s="4">
        <v>46140</v>
      </c>
      <c r="B4577">
        <v>20132441</v>
      </c>
      <c r="C4577" t="s">
        <v>19</v>
      </c>
      <c r="D4577">
        <v>615533</v>
      </c>
      <c r="E4577" t="s">
        <v>20</v>
      </c>
      <c r="F4577">
        <v>31625001</v>
      </c>
      <c r="G4577" t="s">
        <v>4882</v>
      </c>
      <c r="H4577">
        <v>100251868</v>
      </c>
      <c r="I4577">
        <v>202632</v>
      </c>
      <c r="J4577">
        <v>1143832944</v>
      </c>
      <c r="K4577" t="s">
        <v>23</v>
      </c>
      <c r="L4577" t="s">
        <v>32</v>
      </c>
      <c r="M4577" t="s">
        <v>24</v>
      </c>
      <c r="N4577" t="s">
        <v>35</v>
      </c>
      <c r="O4577" t="s">
        <v>26</v>
      </c>
      <c r="P4577" t="s">
        <v>27</v>
      </c>
      <c r="Q4577" t="s">
        <v>28</v>
      </c>
      <c r="R4577" t="s">
        <v>29</v>
      </c>
      <c r="S4577" t="s">
        <v>793</v>
      </c>
      <c r="T4577">
        <f>_xlfn.XLOOKUP(X4577,Hoja2!D:D,Hoja2!A:A)</f>
        <v>80219471</v>
      </c>
      <c r="U4577" t="str">
        <f>_xlfn.XLOOKUP(X4577,Hoja2!D:D,Hoja2!B:B)</f>
        <v>HEIDY LORENA PRIETO AHUMADA</v>
      </c>
      <c r="V4577" t="str">
        <f>_xlfn.XLOOKUP(X4577,Hoja2!D:D,Hoja2!C:C)</f>
        <v>PREGRADO</v>
      </c>
      <c r="W4577" s="9">
        <f>IF(V4577="pregrado",31,
IF(V4577="posgrados",31,
IF(V4577="rEINTEGROS",7,
IF(V4577="BIT",90,
IF(V4577="OP GRADO - INGLÉS",17,"")))))</f>
        <v>31</v>
      </c>
      <c r="X4577" t="s">
        <v>4030</v>
      </c>
    </row>
    <row r="4578" spans="1:24" x14ac:dyDescent="0.3">
      <c r="A4578" s="4">
        <v>46140</v>
      </c>
      <c r="B4578">
        <v>20132381</v>
      </c>
      <c r="C4578" t="s">
        <v>19</v>
      </c>
      <c r="D4578">
        <v>615542</v>
      </c>
      <c r="E4578" t="s">
        <v>20</v>
      </c>
      <c r="F4578">
        <v>1080042461</v>
      </c>
      <c r="G4578" t="s">
        <v>4874</v>
      </c>
      <c r="H4578">
        <v>100251879</v>
      </c>
      <c r="I4578">
        <v>202632</v>
      </c>
      <c r="J4578">
        <v>1080042461</v>
      </c>
      <c r="K4578" t="s">
        <v>23</v>
      </c>
      <c r="L4578" t="s">
        <v>240</v>
      </c>
      <c r="M4578" t="s">
        <v>24</v>
      </c>
      <c r="N4578" t="s">
        <v>25</v>
      </c>
      <c r="O4578" t="s">
        <v>26</v>
      </c>
      <c r="P4578" t="s">
        <v>27</v>
      </c>
      <c r="Q4578" t="s">
        <v>28</v>
      </c>
      <c r="R4578" t="s">
        <v>29</v>
      </c>
      <c r="S4578" t="s">
        <v>793</v>
      </c>
      <c r="T4578">
        <f>_xlfn.XLOOKUP(X4578,Hoja2!D:D,Hoja2!A:A)</f>
        <v>1030651078</v>
      </c>
      <c r="U4578" t="str">
        <f>_xlfn.XLOOKUP(X4578,Hoja2!D:D,Hoja2!B:B)</f>
        <v>NELSON JAVIER MORERA RINCON</v>
      </c>
      <c r="V4578" t="str">
        <f>_xlfn.XLOOKUP(X4578,Hoja2!D:D,Hoja2!C:C)</f>
        <v>PREGRADO</v>
      </c>
      <c r="W4578" s="9">
        <f>IF(V4578="pregrado",31,
IF(V4578="posgrados",31,
IF(V4578="rEINTEGROS",7,
IF(V4578="BIT",90,
IF(V4578="OP GRADO - INGLÉS",17,"")))))</f>
        <v>31</v>
      </c>
      <c r="X4578" t="s">
        <v>4085</v>
      </c>
    </row>
    <row r="4579" spans="1:24" x14ac:dyDescent="0.3">
      <c r="A4579" s="4">
        <v>46139</v>
      </c>
      <c r="B4579">
        <v>20132332</v>
      </c>
      <c r="C4579" t="s">
        <v>19</v>
      </c>
      <c r="D4579">
        <v>615547</v>
      </c>
      <c r="E4579" t="s">
        <v>20</v>
      </c>
      <c r="F4579">
        <v>1024598205</v>
      </c>
      <c r="G4579" t="s">
        <v>4862</v>
      </c>
      <c r="H4579">
        <v>100192831</v>
      </c>
      <c r="I4579">
        <v>202632</v>
      </c>
      <c r="J4579">
        <v>1024598205</v>
      </c>
      <c r="K4579" t="s">
        <v>23</v>
      </c>
      <c r="L4579" t="s">
        <v>127</v>
      </c>
      <c r="M4579" t="s">
        <v>24</v>
      </c>
      <c r="N4579">
        <v>0</v>
      </c>
      <c r="O4579" t="s">
        <v>26</v>
      </c>
      <c r="P4579" t="s">
        <v>27</v>
      </c>
      <c r="Q4579" t="s">
        <v>28</v>
      </c>
      <c r="R4579" t="s">
        <v>29</v>
      </c>
      <c r="S4579" t="s">
        <v>793</v>
      </c>
      <c r="T4579">
        <f>_xlfn.XLOOKUP(X4579,Hoja2!D:D,Hoja2!A:A)</f>
        <v>1014273794</v>
      </c>
      <c r="U4579" t="str">
        <f>_xlfn.XLOOKUP(X4579,Hoja2!D:D,Hoja2!B:B)</f>
        <v>JOVANNY ALEXANDER BENAVIDES APRAEZ</v>
      </c>
      <c r="V4579" t="str">
        <f>_xlfn.XLOOKUP(X4579,Hoja2!D:D,Hoja2!C:C)</f>
        <v>PREGRADO</v>
      </c>
      <c r="W4579" s="9">
        <f>IF(V4579="pregrado",31,
IF(V4579="posgrados",31,
IF(V4579="rEINTEGROS",7,
IF(V4579="BIT",90,
IF(V4579="OP GRADO - INGLÉS",17,"")))))</f>
        <v>31</v>
      </c>
      <c r="X4579" t="s">
        <v>4004</v>
      </c>
    </row>
    <row r="4580" spans="1:24" x14ac:dyDescent="0.3">
      <c r="A4580" s="4">
        <v>46139</v>
      </c>
      <c r="B4580">
        <v>20132324</v>
      </c>
      <c r="C4580" t="s">
        <v>19</v>
      </c>
      <c r="D4580">
        <v>615608</v>
      </c>
      <c r="E4580" t="s">
        <v>20</v>
      </c>
      <c r="F4580">
        <v>1116667982</v>
      </c>
      <c r="G4580" t="s">
        <v>4860</v>
      </c>
      <c r="H4580">
        <v>200053394</v>
      </c>
      <c r="I4580">
        <v>202632</v>
      </c>
      <c r="J4580">
        <v>1116667982</v>
      </c>
      <c r="K4580" t="s">
        <v>23</v>
      </c>
      <c r="L4580" t="s">
        <v>119</v>
      </c>
      <c r="M4580" t="s">
        <v>24</v>
      </c>
      <c r="N4580" t="s">
        <v>35</v>
      </c>
      <c r="O4580" t="s">
        <v>26</v>
      </c>
      <c r="P4580" t="s">
        <v>27</v>
      </c>
      <c r="Q4580" t="s">
        <v>28</v>
      </c>
      <c r="R4580" t="s">
        <v>29</v>
      </c>
      <c r="S4580" t="s">
        <v>793</v>
      </c>
      <c r="T4580">
        <f>_xlfn.XLOOKUP(X4580,Hoja2!D:D,Hoja2!A:A)</f>
        <v>1000001980</v>
      </c>
      <c r="U4580" t="str">
        <f>_xlfn.XLOOKUP(X4580,Hoja2!D:D,Hoja2!B:B)</f>
        <v>GINA PAOLA MEDINA FLOREZ</v>
      </c>
      <c r="V4580" t="str">
        <f>_xlfn.XLOOKUP(X4580,Hoja2!D:D,Hoja2!C:C)</f>
        <v>PREGRADO</v>
      </c>
      <c r="W4580" s="9">
        <f>IF(V4580="pregrado",31,
IF(V4580="posgrados",31,
IF(V4580="rEINTEGROS",7,
IF(V4580="BIT",90,
IF(V4580="OP GRADO - INGLÉS",17,"")))))</f>
        <v>31</v>
      </c>
      <c r="X4580" t="s">
        <v>3968</v>
      </c>
    </row>
  </sheetData>
  <conditionalFormatting sqref="A1">
    <cfRule type="duplicateValues" dxfId="15" priority="21"/>
    <cfRule type="duplicateValues" dxfId="14" priority="22"/>
  </conditionalFormatting>
  <conditionalFormatting sqref="B1">
    <cfRule type="duplicateValues" dxfId="13" priority="23"/>
  </conditionalFormatting>
  <conditionalFormatting sqref="F1">
    <cfRule type="duplicateValues" dxfId="12" priority="24"/>
    <cfRule type="duplicateValues" dxfId="11" priority="25"/>
  </conditionalFormatting>
  <conditionalFormatting sqref="B1">
    <cfRule type="duplicateValues" dxfId="10" priority="26"/>
  </conditionalFormatting>
  <conditionalFormatting sqref="B1">
    <cfRule type="duplicateValues" dxfId="9" priority="43"/>
  </conditionalFormatting>
  <conditionalFormatting sqref="D1:D1048576">
    <cfRule type="duplicateValues" dxfId="8" priority="1"/>
    <cfRule type="duplicateValues" dxfId="7" priority="2"/>
  </conditionalFormatting>
  <conditionalFormatting sqref="D2:D1723">
    <cfRule type="duplicateValues" dxfId="6" priority="165"/>
  </conditionalFormatting>
  <conditionalFormatting sqref="F2:F1723">
    <cfRule type="duplicateValues" dxfId="5" priority="166"/>
  </conditionalFormatting>
  <conditionalFormatting sqref="B2:B3742">
    <cfRule type="duplicateValues" dxfId="4" priority="662"/>
    <cfRule type="duplicateValues" dxfId="3" priority="663"/>
    <cfRule type="duplicateValues" dxfId="2" priority="664"/>
    <cfRule type="duplicateValues" dxfId="1" priority="665"/>
    <cfRule type="duplicateValues" dxfId="0" priority="66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160B-EB59-4F3A-A01F-066177D533FC}">
  <dimension ref="A1:D3813"/>
  <sheetViews>
    <sheetView topLeftCell="A3775" workbookViewId="0">
      <selection activeCell="B3800" sqref="B3800"/>
    </sheetView>
  </sheetViews>
  <sheetFormatPr baseColWidth="10" defaultRowHeight="14.4" x14ac:dyDescent="0.3"/>
  <cols>
    <col min="1" max="1" width="12" bestFit="1" customWidth="1"/>
    <col min="2" max="2" width="37.77734375" bestFit="1" customWidth="1"/>
    <col min="3" max="3" width="17.77734375" bestFit="1" customWidth="1"/>
    <col min="4" max="4" width="33.44140625" bestFit="1" customWidth="1"/>
  </cols>
  <sheetData>
    <row r="1" spans="1:4" ht="15" x14ac:dyDescent="0.35">
      <c r="A1" s="2" t="s">
        <v>4096</v>
      </c>
      <c r="B1" s="2" t="s">
        <v>4107</v>
      </c>
      <c r="C1" s="2" t="s">
        <v>3926</v>
      </c>
      <c r="D1" s="2" t="s">
        <v>3925</v>
      </c>
    </row>
    <row r="2" spans="1:4" x14ac:dyDescent="0.3">
      <c r="A2">
        <v>39658730</v>
      </c>
      <c r="B2" t="s">
        <v>3963</v>
      </c>
      <c r="C2" t="s">
        <v>3934</v>
      </c>
      <c r="D2" t="s">
        <v>4003</v>
      </c>
    </row>
    <row r="3" spans="1:4" x14ac:dyDescent="0.3">
      <c r="A3">
        <v>39658730</v>
      </c>
      <c r="B3" t="s">
        <v>3963</v>
      </c>
      <c r="C3" t="s">
        <v>3934</v>
      </c>
      <c r="D3" t="s">
        <v>4003</v>
      </c>
    </row>
    <row r="4" spans="1:4" x14ac:dyDescent="0.3">
      <c r="A4">
        <v>39658730</v>
      </c>
      <c r="B4" t="s">
        <v>3963</v>
      </c>
      <c r="C4" t="s">
        <v>3934</v>
      </c>
      <c r="D4" t="s">
        <v>4003</v>
      </c>
    </row>
    <row r="5" spans="1:4" x14ac:dyDescent="0.3">
      <c r="A5">
        <v>39658730</v>
      </c>
      <c r="B5" t="s">
        <v>3963</v>
      </c>
      <c r="C5" t="s">
        <v>3934</v>
      </c>
      <c r="D5" t="s">
        <v>4003</v>
      </c>
    </row>
    <row r="6" spans="1:4" x14ac:dyDescent="0.3">
      <c r="A6">
        <v>39658730</v>
      </c>
      <c r="B6" t="s">
        <v>3963</v>
      </c>
      <c r="C6" t="s">
        <v>3934</v>
      </c>
      <c r="D6" t="s">
        <v>4003</v>
      </c>
    </row>
    <row r="7" spans="1:4" x14ac:dyDescent="0.3">
      <c r="A7">
        <v>39658730</v>
      </c>
      <c r="B7" t="s">
        <v>3963</v>
      </c>
      <c r="C7" t="s">
        <v>3934</v>
      </c>
      <c r="D7" t="s">
        <v>4003</v>
      </c>
    </row>
    <row r="8" spans="1:4" x14ac:dyDescent="0.3">
      <c r="A8">
        <v>39658730</v>
      </c>
      <c r="B8" t="s">
        <v>3963</v>
      </c>
      <c r="C8" t="s">
        <v>3934</v>
      </c>
      <c r="D8" t="s">
        <v>4003</v>
      </c>
    </row>
    <row r="9" spans="1:4" x14ac:dyDescent="0.3">
      <c r="A9">
        <v>39658730</v>
      </c>
      <c r="B9" t="s">
        <v>3963</v>
      </c>
      <c r="C9" t="s">
        <v>3934</v>
      </c>
      <c r="D9" t="s">
        <v>4003</v>
      </c>
    </row>
    <row r="10" spans="1:4" x14ac:dyDescent="0.3">
      <c r="A10">
        <v>39658730</v>
      </c>
      <c r="B10" t="s">
        <v>3963</v>
      </c>
      <c r="C10" t="s">
        <v>3934</v>
      </c>
      <c r="D10" t="s">
        <v>4003</v>
      </c>
    </row>
    <row r="11" spans="1:4" x14ac:dyDescent="0.3">
      <c r="A11">
        <v>39658730</v>
      </c>
      <c r="B11" t="s">
        <v>3963</v>
      </c>
      <c r="C11" t="s">
        <v>3934</v>
      </c>
      <c r="D11" t="s">
        <v>4003</v>
      </c>
    </row>
    <row r="12" spans="1:4" x14ac:dyDescent="0.3">
      <c r="A12">
        <v>39658730</v>
      </c>
      <c r="B12" t="s">
        <v>3963</v>
      </c>
      <c r="C12" t="s">
        <v>3934</v>
      </c>
      <c r="D12" t="s">
        <v>4003</v>
      </c>
    </row>
    <row r="13" spans="1:4" x14ac:dyDescent="0.3">
      <c r="A13">
        <v>39666517</v>
      </c>
      <c r="B13" t="s">
        <v>3933</v>
      </c>
      <c r="C13" t="s">
        <v>3934</v>
      </c>
      <c r="D13" t="s">
        <v>4025</v>
      </c>
    </row>
    <row r="14" spans="1:4" x14ac:dyDescent="0.3">
      <c r="A14">
        <v>39666517</v>
      </c>
      <c r="B14" t="s">
        <v>3933</v>
      </c>
      <c r="C14" t="s">
        <v>3934</v>
      </c>
      <c r="D14" t="s">
        <v>4025</v>
      </c>
    </row>
    <row r="15" spans="1:4" x14ac:dyDescent="0.3">
      <c r="A15">
        <v>39666517</v>
      </c>
      <c r="B15" t="s">
        <v>3933</v>
      </c>
      <c r="C15" t="s">
        <v>3934</v>
      </c>
      <c r="D15" t="s">
        <v>4025</v>
      </c>
    </row>
    <row r="16" spans="1:4" x14ac:dyDescent="0.3">
      <c r="A16">
        <v>39666517</v>
      </c>
      <c r="B16" t="s">
        <v>3933</v>
      </c>
      <c r="C16" t="s">
        <v>3934</v>
      </c>
      <c r="D16" t="s">
        <v>4025</v>
      </c>
    </row>
    <row r="17" spans="1:4" x14ac:dyDescent="0.3">
      <c r="A17">
        <v>39666517</v>
      </c>
      <c r="B17" t="s">
        <v>3933</v>
      </c>
      <c r="C17" t="s">
        <v>3934</v>
      </c>
      <c r="D17" t="s">
        <v>4025</v>
      </c>
    </row>
    <row r="18" spans="1:4" x14ac:dyDescent="0.3">
      <c r="A18">
        <v>39666517</v>
      </c>
      <c r="B18" t="s">
        <v>3933</v>
      </c>
      <c r="C18" t="s">
        <v>3934</v>
      </c>
      <c r="D18" t="s">
        <v>4025</v>
      </c>
    </row>
    <row r="19" spans="1:4" x14ac:dyDescent="0.3">
      <c r="A19">
        <v>39666517</v>
      </c>
      <c r="B19" t="s">
        <v>3933</v>
      </c>
      <c r="C19" t="s">
        <v>3934</v>
      </c>
      <c r="D19" t="s">
        <v>4025</v>
      </c>
    </row>
    <row r="20" spans="1:4" x14ac:dyDescent="0.3">
      <c r="A20">
        <v>39666517</v>
      </c>
      <c r="B20" t="s">
        <v>3933</v>
      </c>
      <c r="C20" t="s">
        <v>3934</v>
      </c>
      <c r="D20" t="s">
        <v>4025</v>
      </c>
    </row>
    <row r="21" spans="1:4" x14ac:dyDescent="0.3">
      <c r="A21">
        <v>39666517</v>
      </c>
      <c r="B21" t="s">
        <v>3933</v>
      </c>
      <c r="C21" t="s">
        <v>3934</v>
      </c>
      <c r="D21" t="s">
        <v>4025</v>
      </c>
    </row>
    <row r="22" spans="1:4" x14ac:dyDescent="0.3">
      <c r="A22">
        <v>39666517</v>
      </c>
      <c r="B22" t="s">
        <v>3933</v>
      </c>
      <c r="C22" t="s">
        <v>3934</v>
      </c>
      <c r="D22" t="s">
        <v>4025</v>
      </c>
    </row>
    <row r="23" spans="1:4" x14ac:dyDescent="0.3">
      <c r="A23">
        <v>39666517</v>
      </c>
      <c r="B23" t="s">
        <v>3933</v>
      </c>
      <c r="C23" t="s">
        <v>3934</v>
      </c>
      <c r="D23" t="s">
        <v>4025</v>
      </c>
    </row>
    <row r="24" spans="1:4" x14ac:dyDescent="0.3">
      <c r="A24">
        <v>39666517</v>
      </c>
      <c r="B24" t="s">
        <v>3933</v>
      </c>
      <c r="C24" t="s">
        <v>3934</v>
      </c>
      <c r="D24" t="s">
        <v>4025</v>
      </c>
    </row>
    <row r="25" spans="1:4" x14ac:dyDescent="0.3">
      <c r="A25">
        <v>39666517</v>
      </c>
      <c r="B25" t="s">
        <v>3933</v>
      </c>
      <c r="C25" t="s">
        <v>3934</v>
      </c>
      <c r="D25" t="s">
        <v>4025</v>
      </c>
    </row>
    <row r="26" spans="1:4" x14ac:dyDescent="0.3">
      <c r="A26">
        <v>39666517</v>
      </c>
      <c r="B26" t="s">
        <v>3933</v>
      </c>
      <c r="C26" t="s">
        <v>3934</v>
      </c>
      <c r="D26" t="s">
        <v>4025</v>
      </c>
    </row>
    <row r="27" spans="1:4" x14ac:dyDescent="0.3">
      <c r="A27">
        <v>39666517</v>
      </c>
      <c r="B27" t="s">
        <v>3933</v>
      </c>
      <c r="C27" t="s">
        <v>3934</v>
      </c>
      <c r="D27" t="s">
        <v>4025</v>
      </c>
    </row>
    <row r="28" spans="1:4" x14ac:dyDescent="0.3">
      <c r="A28">
        <v>39666517</v>
      </c>
      <c r="B28" t="s">
        <v>3933</v>
      </c>
      <c r="C28" t="s">
        <v>3934</v>
      </c>
      <c r="D28" t="s">
        <v>4025</v>
      </c>
    </row>
    <row r="29" spans="1:4" x14ac:dyDescent="0.3">
      <c r="A29">
        <v>39666517</v>
      </c>
      <c r="B29" t="s">
        <v>3933</v>
      </c>
      <c r="C29" t="s">
        <v>3934</v>
      </c>
      <c r="D29" t="s">
        <v>4025</v>
      </c>
    </row>
    <row r="30" spans="1:4" x14ac:dyDescent="0.3">
      <c r="A30">
        <v>39666517</v>
      </c>
      <c r="B30" t="s">
        <v>3933</v>
      </c>
      <c r="C30" t="s">
        <v>3934</v>
      </c>
      <c r="D30" t="s">
        <v>4025</v>
      </c>
    </row>
    <row r="31" spans="1:4" x14ac:dyDescent="0.3">
      <c r="A31">
        <v>39666517</v>
      </c>
      <c r="B31" t="s">
        <v>3933</v>
      </c>
      <c r="C31" t="s">
        <v>3934</v>
      </c>
      <c r="D31" t="s">
        <v>4025</v>
      </c>
    </row>
    <row r="32" spans="1:4" x14ac:dyDescent="0.3">
      <c r="A32">
        <v>45555807</v>
      </c>
      <c r="B32" t="s">
        <v>3965</v>
      </c>
      <c r="C32" t="s">
        <v>3934</v>
      </c>
      <c r="D32" t="s">
        <v>4027</v>
      </c>
    </row>
    <row r="33" spans="1:4" x14ac:dyDescent="0.3">
      <c r="A33">
        <v>45555807</v>
      </c>
      <c r="B33" t="s">
        <v>3965</v>
      </c>
      <c r="C33" t="s">
        <v>3934</v>
      </c>
      <c r="D33" t="s">
        <v>4027</v>
      </c>
    </row>
    <row r="34" spans="1:4" x14ac:dyDescent="0.3">
      <c r="A34">
        <v>45555807</v>
      </c>
      <c r="B34" t="s">
        <v>3965</v>
      </c>
      <c r="C34" t="s">
        <v>3934</v>
      </c>
      <c r="D34" t="s">
        <v>4027</v>
      </c>
    </row>
    <row r="35" spans="1:4" x14ac:dyDescent="0.3">
      <c r="A35">
        <v>45555807</v>
      </c>
      <c r="B35" t="s">
        <v>3965</v>
      </c>
      <c r="C35" t="s">
        <v>3934</v>
      </c>
      <c r="D35" t="s">
        <v>4027</v>
      </c>
    </row>
    <row r="36" spans="1:4" x14ac:dyDescent="0.3">
      <c r="A36">
        <v>45555807</v>
      </c>
      <c r="B36" t="s">
        <v>3965</v>
      </c>
      <c r="C36" t="s">
        <v>3934</v>
      </c>
      <c r="D36" t="s">
        <v>4027</v>
      </c>
    </row>
    <row r="37" spans="1:4" x14ac:dyDescent="0.3">
      <c r="A37">
        <v>45555807</v>
      </c>
      <c r="B37" t="s">
        <v>3965</v>
      </c>
      <c r="C37" t="s">
        <v>3934</v>
      </c>
      <c r="D37" t="s">
        <v>4027</v>
      </c>
    </row>
    <row r="38" spans="1:4" x14ac:dyDescent="0.3">
      <c r="A38">
        <v>45555807</v>
      </c>
      <c r="B38" t="s">
        <v>3965</v>
      </c>
      <c r="C38" t="s">
        <v>3934</v>
      </c>
      <c r="D38" t="s">
        <v>4027</v>
      </c>
    </row>
    <row r="39" spans="1:4" x14ac:dyDescent="0.3">
      <c r="A39">
        <v>45555807</v>
      </c>
      <c r="B39" t="s">
        <v>3965</v>
      </c>
      <c r="C39" t="s">
        <v>3934</v>
      </c>
      <c r="D39" t="s">
        <v>4027</v>
      </c>
    </row>
    <row r="40" spans="1:4" x14ac:dyDescent="0.3">
      <c r="A40">
        <v>45555807</v>
      </c>
      <c r="B40" t="s">
        <v>3965</v>
      </c>
      <c r="C40" t="s">
        <v>3934</v>
      </c>
      <c r="D40" t="s">
        <v>4027</v>
      </c>
    </row>
    <row r="41" spans="1:4" x14ac:dyDescent="0.3">
      <c r="A41">
        <v>45555807</v>
      </c>
      <c r="B41" t="s">
        <v>3965</v>
      </c>
      <c r="C41" t="s">
        <v>3934</v>
      </c>
      <c r="D41" t="s">
        <v>4027</v>
      </c>
    </row>
    <row r="42" spans="1:4" x14ac:dyDescent="0.3">
      <c r="A42">
        <v>45555807</v>
      </c>
      <c r="B42" t="s">
        <v>3965</v>
      </c>
      <c r="C42" t="s">
        <v>3934</v>
      </c>
      <c r="D42" t="s">
        <v>4027</v>
      </c>
    </row>
    <row r="43" spans="1:4" x14ac:dyDescent="0.3">
      <c r="A43">
        <v>45555807</v>
      </c>
      <c r="B43" t="s">
        <v>3965</v>
      </c>
      <c r="C43" t="s">
        <v>3934</v>
      </c>
      <c r="D43" t="s">
        <v>4027</v>
      </c>
    </row>
    <row r="44" spans="1:4" x14ac:dyDescent="0.3">
      <c r="A44">
        <v>45555807</v>
      </c>
      <c r="B44" t="s">
        <v>3965</v>
      </c>
      <c r="C44" t="s">
        <v>3934</v>
      </c>
      <c r="D44" t="s">
        <v>4027</v>
      </c>
    </row>
    <row r="45" spans="1:4" x14ac:dyDescent="0.3">
      <c r="A45">
        <v>45555807</v>
      </c>
      <c r="B45" t="s">
        <v>3965</v>
      </c>
      <c r="C45" t="s">
        <v>3934</v>
      </c>
      <c r="D45" t="s">
        <v>4027</v>
      </c>
    </row>
    <row r="46" spans="1:4" x14ac:dyDescent="0.3">
      <c r="A46">
        <v>45555807</v>
      </c>
      <c r="B46" t="s">
        <v>3965</v>
      </c>
      <c r="C46" t="s">
        <v>3934</v>
      </c>
      <c r="D46" t="s">
        <v>4027</v>
      </c>
    </row>
    <row r="47" spans="1:4" x14ac:dyDescent="0.3">
      <c r="A47">
        <v>45555807</v>
      </c>
      <c r="B47" t="s">
        <v>3965</v>
      </c>
      <c r="C47" t="s">
        <v>3934</v>
      </c>
      <c r="D47" t="s">
        <v>4027</v>
      </c>
    </row>
    <row r="48" spans="1:4" x14ac:dyDescent="0.3">
      <c r="A48">
        <v>45555807</v>
      </c>
      <c r="B48" t="s">
        <v>3965</v>
      </c>
      <c r="C48" t="s">
        <v>3934</v>
      </c>
      <c r="D48" t="s">
        <v>4027</v>
      </c>
    </row>
    <row r="49" spans="1:4" x14ac:dyDescent="0.3">
      <c r="A49">
        <v>45555807</v>
      </c>
      <c r="B49" t="s">
        <v>3965</v>
      </c>
      <c r="C49" t="s">
        <v>3934</v>
      </c>
      <c r="D49" t="s">
        <v>4027</v>
      </c>
    </row>
    <row r="50" spans="1:4" x14ac:dyDescent="0.3">
      <c r="A50">
        <v>45555807</v>
      </c>
      <c r="B50" t="s">
        <v>3965</v>
      </c>
      <c r="C50" t="s">
        <v>3934</v>
      </c>
      <c r="D50" t="s">
        <v>4027</v>
      </c>
    </row>
    <row r="51" spans="1:4" x14ac:dyDescent="0.3">
      <c r="A51">
        <v>45555807</v>
      </c>
      <c r="B51" t="s">
        <v>3965</v>
      </c>
      <c r="C51" t="s">
        <v>3934</v>
      </c>
      <c r="D51" t="s">
        <v>4027</v>
      </c>
    </row>
    <row r="52" spans="1:4" x14ac:dyDescent="0.3">
      <c r="A52">
        <v>45555807</v>
      </c>
      <c r="B52" t="s">
        <v>3965</v>
      </c>
      <c r="C52" t="s">
        <v>3934</v>
      </c>
      <c r="D52" t="s">
        <v>4027</v>
      </c>
    </row>
    <row r="53" spans="1:4" x14ac:dyDescent="0.3">
      <c r="A53">
        <v>45555807</v>
      </c>
      <c r="B53" t="s">
        <v>3965</v>
      </c>
      <c r="C53" t="s">
        <v>3934</v>
      </c>
      <c r="D53" t="s">
        <v>4027</v>
      </c>
    </row>
    <row r="54" spans="1:4" x14ac:dyDescent="0.3">
      <c r="A54">
        <v>45555807</v>
      </c>
      <c r="B54" t="s">
        <v>3965</v>
      </c>
      <c r="C54" t="s">
        <v>3934</v>
      </c>
      <c r="D54" t="s">
        <v>4027</v>
      </c>
    </row>
    <row r="55" spans="1:4" x14ac:dyDescent="0.3">
      <c r="A55">
        <v>45555807</v>
      </c>
      <c r="B55" t="s">
        <v>3965</v>
      </c>
      <c r="C55" t="s">
        <v>3934</v>
      </c>
      <c r="D55" t="s">
        <v>4027</v>
      </c>
    </row>
    <row r="56" spans="1:4" x14ac:dyDescent="0.3">
      <c r="A56">
        <v>45555807</v>
      </c>
      <c r="B56" t="s">
        <v>3965</v>
      </c>
      <c r="C56" t="s">
        <v>3934</v>
      </c>
      <c r="D56" t="s">
        <v>4027</v>
      </c>
    </row>
    <row r="57" spans="1:4" x14ac:dyDescent="0.3">
      <c r="A57">
        <v>45555807</v>
      </c>
      <c r="B57" t="s">
        <v>3965</v>
      </c>
      <c r="C57" t="s">
        <v>3934</v>
      </c>
      <c r="D57" t="s">
        <v>4027</v>
      </c>
    </row>
    <row r="58" spans="1:4" x14ac:dyDescent="0.3">
      <c r="A58">
        <v>45555807</v>
      </c>
      <c r="B58" t="s">
        <v>3965</v>
      </c>
      <c r="C58" t="s">
        <v>3934</v>
      </c>
      <c r="D58" t="s">
        <v>4027</v>
      </c>
    </row>
    <row r="59" spans="1:4" x14ac:dyDescent="0.3">
      <c r="A59">
        <v>45555807</v>
      </c>
      <c r="B59" t="s">
        <v>3965</v>
      </c>
      <c r="C59" t="s">
        <v>3934</v>
      </c>
      <c r="D59" t="s">
        <v>4027</v>
      </c>
    </row>
    <row r="60" spans="1:4" x14ac:dyDescent="0.3">
      <c r="A60">
        <v>45555807</v>
      </c>
      <c r="B60" t="s">
        <v>3965</v>
      </c>
      <c r="C60" t="s">
        <v>3934</v>
      </c>
      <c r="D60" t="s">
        <v>4027</v>
      </c>
    </row>
    <row r="61" spans="1:4" x14ac:dyDescent="0.3">
      <c r="A61">
        <v>45555807</v>
      </c>
      <c r="B61" t="s">
        <v>3965</v>
      </c>
      <c r="C61" t="s">
        <v>3934</v>
      </c>
      <c r="D61" t="s">
        <v>4027</v>
      </c>
    </row>
    <row r="62" spans="1:4" x14ac:dyDescent="0.3">
      <c r="A62">
        <v>45555807</v>
      </c>
      <c r="B62" t="s">
        <v>3965</v>
      </c>
      <c r="C62" t="s">
        <v>3934</v>
      </c>
      <c r="D62" t="s">
        <v>4027</v>
      </c>
    </row>
    <row r="63" spans="1:4" x14ac:dyDescent="0.3">
      <c r="A63">
        <v>45555807</v>
      </c>
      <c r="B63" t="s">
        <v>3965</v>
      </c>
      <c r="C63" t="s">
        <v>3934</v>
      </c>
      <c r="D63" t="s">
        <v>4027</v>
      </c>
    </row>
    <row r="64" spans="1:4" x14ac:dyDescent="0.3">
      <c r="A64">
        <v>45555807</v>
      </c>
      <c r="B64" t="s">
        <v>3965</v>
      </c>
      <c r="C64" t="s">
        <v>3934</v>
      </c>
      <c r="D64" t="s">
        <v>4027</v>
      </c>
    </row>
    <row r="65" spans="1:4" x14ac:dyDescent="0.3">
      <c r="A65">
        <v>45555807</v>
      </c>
      <c r="B65" t="s">
        <v>3965</v>
      </c>
      <c r="C65" t="s">
        <v>3934</v>
      </c>
      <c r="D65" t="s">
        <v>4027</v>
      </c>
    </row>
    <row r="66" spans="1:4" x14ac:dyDescent="0.3">
      <c r="A66">
        <v>45555807</v>
      </c>
      <c r="B66" t="s">
        <v>3965</v>
      </c>
      <c r="C66" t="s">
        <v>3934</v>
      </c>
      <c r="D66" t="s">
        <v>4027</v>
      </c>
    </row>
    <row r="67" spans="1:4" x14ac:dyDescent="0.3">
      <c r="A67">
        <v>51951991</v>
      </c>
      <c r="B67" t="s">
        <v>3936</v>
      </c>
      <c r="C67" t="s">
        <v>3937</v>
      </c>
      <c r="D67" t="s">
        <v>4049</v>
      </c>
    </row>
    <row r="68" spans="1:4" x14ac:dyDescent="0.3">
      <c r="A68">
        <v>51951991</v>
      </c>
      <c r="B68" t="s">
        <v>3936</v>
      </c>
      <c r="C68" t="s">
        <v>3937</v>
      </c>
      <c r="D68" t="s">
        <v>4049</v>
      </c>
    </row>
    <row r="69" spans="1:4" x14ac:dyDescent="0.3">
      <c r="A69">
        <v>51951991</v>
      </c>
      <c r="B69" t="s">
        <v>3936</v>
      </c>
      <c r="C69" t="s">
        <v>3937</v>
      </c>
      <c r="D69" t="s">
        <v>4049</v>
      </c>
    </row>
    <row r="70" spans="1:4" x14ac:dyDescent="0.3">
      <c r="A70">
        <v>51951991</v>
      </c>
      <c r="B70" t="s">
        <v>3936</v>
      </c>
      <c r="C70" t="s">
        <v>3937</v>
      </c>
      <c r="D70" t="s">
        <v>4049</v>
      </c>
    </row>
    <row r="71" spans="1:4" x14ac:dyDescent="0.3">
      <c r="A71">
        <v>51951991</v>
      </c>
      <c r="B71" t="s">
        <v>3936</v>
      </c>
      <c r="C71" t="s">
        <v>3937</v>
      </c>
      <c r="D71" t="s">
        <v>4049</v>
      </c>
    </row>
    <row r="72" spans="1:4" x14ac:dyDescent="0.3">
      <c r="A72">
        <v>51951991</v>
      </c>
      <c r="B72" t="s">
        <v>3936</v>
      </c>
      <c r="C72" t="s">
        <v>3937</v>
      </c>
      <c r="D72" t="s">
        <v>4049</v>
      </c>
    </row>
    <row r="73" spans="1:4" x14ac:dyDescent="0.3">
      <c r="A73">
        <v>51951991</v>
      </c>
      <c r="B73" t="s">
        <v>3936</v>
      </c>
      <c r="C73" t="s">
        <v>3937</v>
      </c>
      <c r="D73" t="s">
        <v>4049</v>
      </c>
    </row>
    <row r="74" spans="1:4" x14ac:dyDescent="0.3">
      <c r="A74">
        <v>51951991</v>
      </c>
      <c r="B74" t="s">
        <v>3936</v>
      </c>
      <c r="C74" t="s">
        <v>3937</v>
      </c>
      <c r="D74" t="s">
        <v>4049</v>
      </c>
    </row>
    <row r="75" spans="1:4" x14ac:dyDescent="0.3">
      <c r="A75">
        <v>51951991</v>
      </c>
      <c r="B75" t="s">
        <v>3936</v>
      </c>
      <c r="C75" t="s">
        <v>3937</v>
      </c>
      <c r="D75" t="s">
        <v>4049</v>
      </c>
    </row>
    <row r="76" spans="1:4" x14ac:dyDescent="0.3">
      <c r="A76">
        <v>51951991</v>
      </c>
      <c r="B76" t="s">
        <v>3936</v>
      </c>
      <c r="C76" t="s">
        <v>3937</v>
      </c>
      <c r="D76" t="s">
        <v>4049</v>
      </c>
    </row>
    <row r="77" spans="1:4" x14ac:dyDescent="0.3">
      <c r="A77">
        <v>51951991</v>
      </c>
      <c r="B77" t="s">
        <v>3936</v>
      </c>
      <c r="C77" t="s">
        <v>3937</v>
      </c>
      <c r="D77" t="s">
        <v>4049</v>
      </c>
    </row>
    <row r="78" spans="1:4" x14ac:dyDescent="0.3">
      <c r="A78">
        <v>51951991</v>
      </c>
      <c r="B78" t="s">
        <v>3936</v>
      </c>
      <c r="C78" t="s">
        <v>3937</v>
      </c>
      <c r="D78" t="s">
        <v>4049</v>
      </c>
    </row>
    <row r="79" spans="1:4" x14ac:dyDescent="0.3">
      <c r="A79">
        <v>51951991</v>
      </c>
      <c r="B79" t="s">
        <v>3936</v>
      </c>
      <c r="C79" t="s">
        <v>3937</v>
      </c>
      <c r="D79" t="s">
        <v>4049</v>
      </c>
    </row>
    <row r="80" spans="1:4" x14ac:dyDescent="0.3">
      <c r="A80">
        <v>51951991</v>
      </c>
      <c r="B80" t="s">
        <v>3936</v>
      </c>
      <c r="C80" t="s">
        <v>3937</v>
      </c>
      <c r="D80" t="s">
        <v>4049</v>
      </c>
    </row>
    <row r="81" spans="1:4" x14ac:dyDescent="0.3">
      <c r="A81">
        <v>51951991</v>
      </c>
      <c r="B81" t="s">
        <v>3936</v>
      </c>
      <c r="C81" t="s">
        <v>3937</v>
      </c>
      <c r="D81" t="s">
        <v>4049</v>
      </c>
    </row>
    <row r="82" spans="1:4" x14ac:dyDescent="0.3">
      <c r="A82">
        <v>51951991</v>
      </c>
      <c r="B82" t="s">
        <v>3936</v>
      </c>
      <c r="C82" t="s">
        <v>3937</v>
      </c>
      <c r="D82" t="s">
        <v>4049</v>
      </c>
    </row>
    <row r="83" spans="1:4" x14ac:dyDescent="0.3">
      <c r="A83">
        <v>51951991</v>
      </c>
      <c r="B83" t="s">
        <v>3936</v>
      </c>
      <c r="C83" t="s">
        <v>3937</v>
      </c>
      <c r="D83" t="s">
        <v>4049</v>
      </c>
    </row>
    <row r="84" spans="1:4" x14ac:dyDescent="0.3">
      <c r="A84">
        <v>51951991</v>
      </c>
      <c r="B84" t="s">
        <v>3936</v>
      </c>
      <c r="C84" t="s">
        <v>3937</v>
      </c>
      <c r="D84" t="s">
        <v>4049</v>
      </c>
    </row>
    <row r="85" spans="1:4" x14ac:dyDescent="0.3">
      <c r="A85">
        <v>51951991</v>
      </c>
      <c r="B85" t="s">
        <v>3936</v>
      </c>
      <c r="C85" t="s">
        <v>3937</v>
      </c>
      <c r="D85" t="s">
        <v>4049</v>
      </c>
    </row>
    <row r="86" spans="1:4" x14ac:dyDescent="0.3">
      <c r="A86">
        <v>51951991</v>
      </c>
      <c r="B86" t="s">
        <v>3936</v>
      </c>
      <c r="C86" t="s">
        <v>3937</v>
      </c>
      <c r="D86" t="s">
        <v>4049</v>
      </c>
    </row>
    <row r="87" spans="1:4" x14ac:dyDescent="0.3">
      <c r="A87">
        <v>51951991</v>
      </c>
      <c r="B87" t="s">
        <v>3936</v>
      </c>
      <c r="C87" t="s">
        <v>3937</v>
      </c>
      <c r="D87" t="s">
        <v>4049</v>
      </c>
    </row>
    <row r="88" spans="1:4" x14ac:dyDescent="0.3">
      <c r="A88">
        <v>52032666</v>
      </c>
      <c r="B88" t="s">
        <v>3948</v>
      </c>
      <c r="C88" t="s">
        <v>3937</v>
      </c>
      <c r="D88" t="s">
        <v>3983</v>
      </c>
    </row>
    <row r="89" spans="1:4" x14ac:dyDescent="0.3">
      <c r="A89">
        <v>52032666</v>
      </c>
      <c r="B89" t="s">
        <v>3948</v>
      </c>
      <c r="C89" t="s">
        <v>3937</v>
      </c>
      <c r="D89" t="s">
        <v>3983</v>
      </c>
    </row>
    <row r="90" spans="1:4" x14ac:dyDescent="0.3">
      <c r="A90">
        <v>52032666</v>
      </c>
      <c r="B90" t="s">
        <v>3948</v>
      </c>
      <c r="C90" t="s">
        <v>3937</v>
      </c>
      <c r="D90" t="s">
        <v>3983</v>
      </c>
    </row>
    <row r="91" spans="1:4" x14ac:dyDescent="0.3">
      <c r="A91">
        <v>52032666</v>
      </c>
      <c r="B91" t="s">
        <v>3948</v>
      </c>
      <c r="C91" t="s">
        <v>3937</v>
      </c>
      <c r="D91" t="s">
        <v>3983</v>
      </c>
    </row>
    <row r="92" spans="1:4" x14ac:dyDescent="0.3">
      <c r="A92">
        <v>52032666</v>
      </c>
      <c r="B92" t="s">
        <v>3948</v>
      </c>
      <c r="C92" t="s">
        <v>3937</v>
      </c>
      <c r="D92" t="s">
        <v>3983</v>
      </c>
    </row>
    <row r="93" spans="1:4" x14ac:dyDescent="0.3">
      <c r="A93">
        <v>52032666</v>
      </c>
      <c r="B93" t="s">
        <v>3948</v>
      </c>
      <c r="C93" t="s">
        <v>3937</v>
      </c>
      <c r="D93" t="s">
        <v>3983</v>
      </c>
    </row>
    <row r="94" spans="1:4" x14ac:dyDescent="0.3">
      <c r="A94">
        <v>52032666</v>
      </c>
      <c r="B94" t="s">
        <v>3948</v>
      </c>
      <c r="C94" t="s">
        <v>3937</v>
      </c>
      <c r="D94" t="s">
        <v>3983</v>
      </c>
    </row>
    <row r="95" spans="1:4" x14ac:dyDescent="0.3">
      <c r="A95">
        <v>52032666</v>
      </c>
      <c r="B95" t="s">
        <v>3948</v>
      </c>
      <c r="C95" t="s">
        <v>3937</v>
      </c>
      <c r="D95" t="s">
        <v>3983</v>
      </c>
    </row>
    <row r="96" spans="1:4" x14ac:dyDescent="0.3">
      <c r="A96">
        <v>52032666</v>
      </c>
      <c r="B96" t="s">
        <v>3948</v>
      </c>
      <c r="C96" t="s">
        <v>3937</v>
      </c>
      <c r="D96" t="s">
        <v>3983</v>
      </c>
    </row>
    <row r="97" spans="1:4" x14ac:dyDescent="0.3">
      <c r="A97">
        <v>52032666</v>
      </c>
      <c r="B97" t="s">
        <v>3948</v>
      </c>
      <c r="C97" t="s">
        <v>3937</v>
      </c>
      <c r="D97" t="s">
        <v>3983</v>
      </c>
    </row>
    <row r="98" spans="1:4" x14ac:dyDescent="0.3">
      <c r="A98">
        <v>52032666</v>
      </c>
      <c r="B98" t="s">
        <v>3948</v>
      </c>
      <c r="C98" t="s">
        <v>3937</v>
      </c>
      <c r="D98" t="s">
        <v>3983</v>
      </c>
    </row>
    <row r="99" spans="1:4" x14ac:dyDescent="0.3">
      <c r="A99">
        <v>52032666</v>
      </c>
      <c r="B99" t="s">
        <v>3948</v>
      </c>
      <c r="C99" t="s">
        <v>3937</v>
      </c>
      <c r="D99" t="s">
        <v>3983</v>
      </c>
    </row>
    <row r="100" spans="1:4" x14ac:dyDescent="0.3">
      <c r="A100">
        <v>52032666</v>
      </c>
      <c r="B100" t="s">
        <v>3948</v>
      </c>
      <c r="C100" t="s">
        <v>3937</v>
      </c>
      <c r="D100" t="s">
        <v>3983</v>
      </c>
    </row>
    <row r="101" spans="1:4" x14ac:dyDescent="0.3">
      <c r="A101">
        <v>52032666</v>
      </c>
      <c r="B101" t="s">
        <v>3948</v>
      </c>
      <c r="C101" t="s">
        <v>3937</v>
      </c>
      <c r="D101" t="s">
        <v>3983</v>
      </c>
    </row>
    <row r="102" spans="1:4" x14ac:dyDescent="0.3">
      <c r="A102">
        <v>52032666</v>
      </c>
      <c r="B102" t="s">
        <v>3948</v>
      </c>
      <c r="C102" t="s">
        <v>3937</v>
      </c>
      <c r="D102" t="s">
        <v>3983</v>
      </c>
    </row>
    <row r="103" spans="1:4" x14ac:dyDescent="0.3">
      <c r="A103">
        <v>52032666</v>
      </c>
      <c r="B103" t="s">
        <v>3948</v>
      </c>
      <c r="C103" t="s">
        <v>3937</v>
      </c>
      <c r="D103" t="s">
        <v>3983</v>
      </c>
    </row>
    <row r="104" spans="1:4" x14ac:dyDescent="0.3">
      <c r="A104">
        <v>52032666</v>
      </c>
      <c r="B104" t="s">
        <v>3948</v>
      </c>
      <c r="C104" t="s">
        <v>3937</v>
      </c>
      <c r="D104" t="s">
        <v>3983</v>
      </c>
    </row>
    <row r="105" spans="1:4" x14ac:dyDescent="0.3">
      <c r="A105">
        <v>52032666</v>
      </c>
      <c r="B105" t="s">
        <v>3948</v>
      </c>
      <c r="C105" t="s">
        <v>3937</v>
      </c>
      <c r="D105" t="s">
        <v>3983</v>
      </c>
    </row>
    <row r="106" spans="1:4" x14ac:dyDescent="0.3">
      <c r="A106">
        <v>52032666</v>
      </c>
      <c r="B106" t="s">
        <v>3948</v>
      </c>
      <c r="C106" t="s">
        <v>3937</v>
      </c>
      <c r="D106" t="s">
        <v>3983</v>
      </c>
    </row>
    <row r="107" spans="1:4" x14ac:dyDescent="0.3">
      <c r="A107">
        <v>52032666</v>
      </c>
      <c r="B107" t="s">
        <v>3948</v>
      </c>
      <c r="C107" t="s">
        <v>3937</v>
      </c>
      <c r="D107" t="s">
        <v>3983</v>
      </c>
    </row>
    <row r="108" spans="1:4" x14ac:dyDescent="0.3">
      <c r="A108">
        <v>52032666</v>
      </c>
      <c r="B108" t="s">
        <v>3948</v>
      </c>
      <c r="C108" t="s">
        <v>3937</v>
      </c>
      <c r="D108" t="s">
        <v>3983</v>
      </c>
    </row>
    <row r="109" spans="1:4" x14ac:dyDescent="0.3">
      <c r="A109">
        <v>52032666</v>
      </c>
      <c r="B109" t="s">
        <v>3948</v>
      </c>
      <c r="C109" t="s">
        <v>3937</v>
      </c>
      <c r="D109" t="s">
        <v>3983</v>
      </c>
    </row>
    <row r="110" spans="1:4" x14ac:dyDescent="0.3">
      <c r="A110">
        <v>52032666</v>
      </c>
      <c r="B110" t="s">
        <v>3948</v>
      </c>
      <c r="C110" t="s">
        <v>3937</v>
      </c>
      <c r="D110" t="s">
        <v>3983</v>
      </c>
    </row>
    <row r="111" spans="1:4" x14ac:dyDescent="0.3">
      <c r="A111">
        <v>52032666</v>
      </c>
      <c r="B111" t="s">
        <v>3948</v>
      </c>
      <c r="C111" t="s">
        <v>3937</v>
      </c>
      <c r="D111" t="s">
        <v>3983</v>
      </c>
    </row>
    <row r="112" spans="1:4" x14ac:dyDescent="0.3">
      <c r="A112">
        <v>52032666</v>
      </c>
      <c r="B112" t="s">
        <v>3948</v>
      </c>
      <c r="C112" t="s">
        <v>3937</v>
      </c>
      <c r="D112" t="s">
        <v>3983</v>
      </c>
    </row>
    <row r="113" spans="1:4" x14ac:dyDescent="0.3">
      <c r="A113">
        <v>52032666</v>
      </c>
      <c r="B113" t="s">
        <v>3948</v>
      </c>
      <c r="C113" t="s">
        <v>3937</v>
      </c>
      <c r="D113" t="s">
        <v>3983</v>
      </c>
    </row>
    <row r="114" spans="1:4" x14ac:dyDescent="0.3">
      <c r="A114">
        <v>52032666</v>
      </c>
      <c r="B114" t="s">
        <v>3948</v>
      </c>
      <c r="C114" t="s">
        <v>3937</v>
      </c>
      <c r="D114" t="s">
        <v>3983</v>
      </c>
    </row>
    <row r="115" spans="1:4" x14ac:dyDescent="0.3">
      <c r="A115">
        <v>52032666</v>
      </c>
      <c r="B115" t="s">
        <v>3948</v>
      </c>
      <c r="C115" t="s">
        <v>3937</v>
      </c>
      <c r="D115" t="s">
        <v>3983</v>
      </c>
    </row>
    <row r="116" spans="1:4" x14ac:dyDescent="0.3">
      <c r="A116">
        <v>52032666</v>
      </c>
      <c r="B116" t="s">
        <v>3948</v>
      </c>
      <c r="C116" t="s">
        <v>3937</v>
      </c>
      <c r="D116" t="s">
        <v>3983</v>
      </c>
    </row>
    <row r="117" spans="1:4" x14ac:dyDescent="0.3">
      <c r="A117">
        <v>52032666</v>
      </c>
      <c r="B117" t="s">
        <v>3948</v>
      </c>
      <c r="C117" t="s">
        <v>3937</v>
      </c>
      <c r="D117" t="s">
        <v>3983</v>
      </c>
    </row>
    <row r="118" spans="1:4" x14ac:dyDescent="0.3">
      <c r="A118">
        <v>52032666</v>
      </c>
      <c r="B118" t="s">
        <v>3948</v>
      </c>
      <c r="C118" t="s">
        <v>3937</v>
      </c>
      <c r="D118" t="s">
        <v>3983</v>
      </c>
    </row>
    <row r="119" spans="1:4" x14ac:dyDescent="0.3">
      <c r="A119">
        <v>52032666</v>
      </c>
      <c r="B119" t="s">
        <v>3948</v>
      </c>
      <c r="C119" t="s">
        <v>3937</v>
      </c>
      <c r="D119" t="s">
        <v>3983</v>
      </c>
    </row>
    <row r="120" spans="1:4" x14ac:dyDescent="0.3">
      <c r="A120">
        <v>52032666</v>
      </c>
      <c r="B120" t="s">
        <v>3948</v>
      </c>
      <c r="C120" t="s">
        <v>3937</v>
      </c>
      <c r="D120" t="s">
        <v>3983</v>
      </c>
    </row>
    <row r="121" spans="1:4" x14ac:dyDescent="0.3">
      <c r="A121">
        <v>52032666</v>
      </c>
      <c r="B121" t="s">
        <v>3948</v>
      </c>
      <c r="C121" t="s">
        <v>3937</v>
      </c>
      <c r="D121" t="s">
        <v>3983</v>
      </c>
    </row>
    <row r="122" spans="1:4" x14ac:dyDescent="0.3">
      <c r="A122">
        <v>52032666</v>
      </c>
      <c r="B122" t="s">
        <v>3948</v>
      </c>
      <c r="C122" t="s">
        <v>3937</v>
      </c>
      <c r="D122" t="s">
        <v>3983</v>
      </c>
    </row>
    <row r="123" spans="1:4" x14ac:dyDescent="0.3">
      <c r="A123">
        <v>52032666</v>
      </c>
      <c r="B123" t="s">
        <v>3948</v>
      </c>
      <c r="C123" t="s">
        <v>3937</v>
      </c>
      <c r="D123" t="s">
        <v>3983</v>
      </c>
    </row>
    <row r="124" spans="1:4" x14ac:dyDescent="0.3">
      <c r="A124">
        <v>52032666</v>
      </c>
      <c r="B124" t="s">
        <v>3948</v>
      </c>
      <c r="C124" t="s">
        <v>3937</v>
      </c>
      <c r="D124" t="s">
        <v>3983</v>
      </c>
    </row>
    <row r="125" spans="1:4" x14ac:dyDescent="0.3">
      <c r="A125">
        <v>52032666</v>
      </c>
      <c r="B125" t="s">
        <v>3948</v>
      </c>
      <c r="C125" t="s">
        <v>3937</v>
      </c>
      <c r="D125" t="s">
        <v>3983</v>
      </c>
    </row>
    <row r="126" spans="1:4" x14ac:dyDescent="0.3">
      <c r="A126">
        <v>52032666</v>
      </c>
      <c r="B126" t="s">
        <v>3948</v>
      </c>
      <c r="C126" t="s">
        <v>3937</v>
      </c>
      <c r="D126" t="s">
        <v>3983</v>
      </c>
    </row>
    <row r="127" spans="1:4" x14ac:dyDescent="0.3">
      <c r="A127">
        <v>52032666</v>
      </c>
      <c r="B127" t="s">
        <v>3948</v>
      </c>
      <c r="C127" t="s">
        <v>3937</v>
      </c>
      <c r="D127" t="s">
        <v>3983</v>
      </c>
    </row>
    <row r="128" spans="1:4" x14ac:dyDescent="0.3">
      <c r="A128">
        <v>52032666</v>
      </c>
      <c r="B128" t="s">
        <v>3948</v>
      </c>
      <c r="C128" t="s">
        <v>3937</v>
      </c>
      <c r="D128" t="s">
        <v>3983</v>
      </c>
    </row>
    <row r="129" spans="1:4" x14ac:dyDescent="0.3">
      <c r="A129">
        <v>52032666</v>
      </c>
      <c r="B129" t="s">
        <v>3948</v>
      </c>
      <c r="C129" t="s">
        <v>3937</v>
      </c>
      <c r="D129" t="s">
        <v>3983</v>
      </c>
    </row>
    <row r="130" spans="1:4" x14ac:dyDescent="0.3">
      <c r="A130">
        <v>52032666</v>
      </c>
      <c r="B130" t="s">
        <v>3948</v>
      </c>
      <c r="C130" t="s">
        <v>3937</v>
      </c>
      <c r="D130" t="s">
        <v>3983</v>
      </c>
    </row>
    <row r="131" spans="1:4" x14ac:dyDescent="0.3">
      <c r="A131">
        <v>52032666</v>
      </c>
      <c r="B131" t="s">
        <v>3948</v>
      </c>
      <c r="C131" t="s">
        <v>3937</v>
      </c>
      <c r="D131" t="s">
        <v>3983</v>
      </c>
    </row>
    <row r="132" spans="1:4" x14ac:dyDescent="0.3">
      <c r="A132">
        <v>52032666</v>
      </c>
      <c r="B132" t="s">
        <v>3948</v>
      </c>
      <c r="C132" t="s">
        <v>3937</v>
      </c>
      <c r="D132" t="s">
        <v>3983</v>
      </c>
    </row>
    <row r="133" spans="1:4" x14ac:dyDescent="0.3">
      <c r="A133">
        <v>52032666</v>
      </c>
      <c r="B133" t="s">
        <v>3948</v>
      </c>
      <c r="C133" t="s">
        <v>3937</v>
      </c>
      <c r="D133" t="s">
        <v>3983</v>
      </c>
    </row>
    <row r="134" spans="1:4" x14ac:dyDescent="0.3">
      <c r="A134">
        <v>52032666</v>
      </c>
      <c r="B134" t="s">
        <v>3948</v>
      </c>
      <c r="C134" t="s">
        <v>3937</v>
      </c>
      <c r="D134" t="s">
        <v>3983</v>
      </c>
    </row>
    <row r="135" spans="1:4" x14ac:dyDescent="0.3">
      <c r="A135">
        <v>52032666</v>
      </c>
      <c r="B135" t="s">
        <v>3948</v>
      </c>
      <c r="C135" t="s">
        <v>3937</v>
      </c>
      <c r="D135" t="s">
        <v>3983</v>
      </c>
    </row>
    <row r="136" spans="1:4" x14ac:dyDescent="0.3">
      <c r="A136">
        <v>52032666</v>
      </c>
      <c r="B136" t="s">
        <v>3948</v>
      </c>
      <c r="C136" t="s">
        <v>3937</v>
      </c>
      <c r="D136" t="s">
        <v>3983</v>
      </c>
    </row>
    <row r="137" spans="1:4" x14ac:dyDescent="0.3">
      <c r="A137">
        <v>52032666</v>
      </c>
      <c r="B137" t="s">
        <v>3948</v>
      </c>
      <c r="C137" t="s">
        <v>3937</v>
      </c>
      <c r="D137" t="s">
        <v>3983</v>
      </c>
    </row>
    <row r="138" spans="1:4" x14ac:dyDescent="0.3">
      <c r="A138">
        <v>52032666</v>
      </c>
      <c r="B138" t="s">
        <v>3948</v>
      </c>
      <c r="C138" t="s">
        <v>3937</v>
      </c>
      <c r="D138" t="s">
        <v>3983</v>
      </c>
    </row>
    <row r="139" spans="1:4" x14ac:dyDescent="0.3">
      <c r="A139">
        <v>52032666</v>
      </c>
      <c r="B139" t="s">
        <v>3948</v>
      </c>
      <c r="C139" t="s">
        <v>3937</v>
      </c>
      <c r="D139" t="s">
        <v>3983</v>
      </c>
    </row>
    <row r="140" spans="1:4" x14ac:dyDescent="0.3">
      <c r="A140">
        <v>52032666</v>
      </c>
      <c r="B140" t="s">
        <v>3948</v>
      </c>
      <c r="C140" t="s">
        <v>3937</v>
      </c>
      <c r="D140" t="s">
        <v>3983</v>
      </c>
    </row>
    <row r="141" spans="1:4" x14ac:dyDescent="0.3">
      <c r="A141">
        <v>52032666</v>
      </c>
      <c r="B141" t="s">
        <v>3948</v>
      </c>
      <c r="C141" t="s">
        <v>3937</v>
      </c>
      <c r="D141" t="s">
        <v>3983</v>
      </c>
    </row>
    <row r="142" spans="1:4" x14ac:dyDescent="0.3">
      <c r="A142">
        <v>52032666</v>
      </c>
      <c r="B142" t="s">
        <v>3948</v>
      </c>
      <c r="C142" t="s">
        <v>3937</v>
      </c>
      <c r="D142" t="s">
        <v>3983</v>
      </c>
    </row>
    <row r="143" spans="1:4" x14ac:dyDescent="0.3">
      <c r="A143">
        <v>52032666</v>
      </c>
      <c r="B143" t="s">
        <v>3948</v>
      </c>
      <c r="C143" t="s">
        <v>3937</v>
      </c>
      <c r="D143" t="s">
        <v>3983</v>
      </c>
    </row>
    <row r="144" spans="1:4" x14ac:dyDescent="0.3">
      <c r="A144">
        <v>52032666</v>
      </c>
      <c r="B144" t="s">
        <v>3948</v>
      </c>
      <c r="C144" t="s">
        <v>3937</v>
      </c>
      <c r="D144" t="s">
        <v>3983</v>
      </c>
    </row>
    <row r="145" spans="1:4" x14ac:dyDescent="0.3">
      <c r="A145">
        <v>52168054</v>
      </c>
      <c r="B145" t="s">
        <v>3977</v>
      </c>
      <c r="C145" t="s">
        <v>3970</v>
      </c>
      <c r="D145" t="s">
        <v>4057</v>
      </c>
    </row>
    <row r="146" spans="1:4" x14ac:dyDescent="0.3">
      <c r="A146">
        <v>52168054</v>
      </c>
      <c r="B146" t="s">
        <v>3977</v>
      </c>
      <c r="C146" t="s">
        <v>3970</v>
      </c>
      <c r="D146" t="s">
        <v>4057</v>
      </c>
    </row>
    <row r="147" spans="1:4" x14ac:dyDescent="0.3">
      <c r="A147">
        <v>52168054</v>
      </c>
      <c r="B147" t="s">
        <v>3977</v>
      </c>
      <c r="C147" t="s">
        <v>3970</v>
      </c>
      <c r="D147" t="s">
        <v>4057</v>
      </c>
    </row>
    <row r="148" spans="1:4" x14ac:dyDescent="0.3">
      <c r="A148">
        <v>52168054</v>
      </c>
      <c r="B148" t="s">
        <v>3977</v>
      </c>
      <c r="C148" t="s">
        <v>3970</v>
      </c>
      <c r="D148" t="s">
        <v>4057</v>
      </c>
    </row>
    <row r="149" spans="1:4" x14ac:dyDescent="0.3">
      <c r="A149">
        <v>52168054</v>
      </c>
      <c r="B149" t="s">
        <v>3977</v>
      </c>
      <c r="C149" t="s">
        <v>3970</v>
      </c>
      <c r="D149" t="s">
        <v>4057</v>
      </c>
    </row>
    <row r="150" spans="1:4" x14ac:dyDescent="0.3">
      <c r="A150">
        <v>52168054</v>
      </c>
      <c r="B150" t="s">
        <v>3977</v>
      </c>
      <c r="C150" t="s">
        <v>3970</v>
      </c>
      <c r="D150" t="s">
        <v>4057</v>
      </c>
    </row>
    <row r="151" spans="1:4" x14ac:dyDescent="0.3">
      <c r="A151">
        <v>52168054</v>
      </c>
      <c r="B151" t="s">
        <v>3977</v>
      </c>
      <c r="C151" t="s">
        <v>3970</v>
      </c>
      <c r="D151" t="s">
        <v>4057</v>
      </c>
    </row>
    <row r="152" spans="1:4" x14ac:dyDescent="0.3">
      <c r="A152">
        <v>52168054</v>
      </c>
      <c r="B152" t="s">
        <v>3977</v>
      </c>
      <c r="C152" t="s">
        <v>3970</v>
      </c>
      <c r="D152" t="s">
        <v>4057</v>
      </c>
    </row>
    <row r="153" spans="1:4" x14ac:dyDescent="0.3">
      <c r="A153">
        <v>52168054</v>
      </c>
      <c r="B153" t="s">
        <v>3977</v>
      </c>
      <c r="C153" t="s">
        <v>3970</v>
      </c>
      <c r="D153" t="s">
        <v>4057</v>
      </c>
    </row>
    <row r="154" spans="1:4" x14ac:dyDescent="0.3">
      <c r="A154">
        <v>52168054</v>
      </c>
      <c r="B154" t="s">
        <v>3977</v>
      </c>
      <c r="C154" t="s">
        <v>3970</v>
      </c>
      <c r="D154" t="s">
        <v>4057</v>
      </c>
    </row>
    <row r="155" spans="1:4" x14ac:dyDescent="0.3">
      <c r="A155">
        <v>52168054</v>
      </c>
      <c r="B155" t="s">
        <v>3977</v>
      </c>
      <c r="C155" t="s">
        <v>3970</v>
      </c>
      <c r="D155" t="s">
        <v>4057</v>
      </c>
    </row>
    <row r="156" spans="1:4" x14ac:dyDescent="0.3">
      <c r="A156">
        <v>52168054</v>
      </c>
      <c r="B156" t="s">
        <v>3977</v>
      </c>
      <c r="C156" t="s">
        <v>3970</v>
      </c>
      <c r="D156" t="s">
        <v>4057</v>
      </c>
    </row>
    <row r="157" spans="1:4" x14ac:dyDescent="0.3">
      <c r="A157">
        <v>52168054</v>
      </c>
      <c r="B157" t="s">
        <v>3977</v>
      </c>
      <c r="C157" t="s">
        <v>3970</v>
      </c>
      <c r="D157" t="s">
        <v>4057</v>
      </c>
    </row>
    <row r="158" spans="1:4" x14ac:dyDescent="0.3">
      <c r="A158">
        <v>52168054</v>
      </c>
      <c r="B158" t="s">
        <v>3977</v>
      </c>
      <c r="C158" t="s">
        <v>3970</v>
      </c>
      <c r="D158" t="s">
        <v>4057</v>
      </c>
    </row>
    <row r="159" spans="1:4" x14ac:dyDescent="0.3">
      <c r="A159">
        <v>52168054</v>
      </c>
      <c r="B159" t="s">
        <v>3977</v>
      </c>
      <c r="C159" t="s">
        <v>3970</v>
      </c>
      <c r="D159" t="s">
        <v>4057</v>
      </c>
    </row>
    <row r="160" spans="1:4" x14ac:dyDescent="0.3">
      <c r="A160">
        <v>52168054</v>
      </c>
      <c r="B160" t="s">
        <v>3977</v>
      </c>
      <c r="C160" t="s">
        <v>3970</v>
      </c>
      <c r="D160" t="s">
        <v>4057</v>
      </c>
    </row>
    <row r="161" spans="1:4" x14ac:dyDescent="0.3">
      <c r="A161">
        <v>52168054</v>
      </c>
      <c r="B161" t="s">
        <v>3977</v>
      </c>
      <c r="C161" t="s">
        <v>3970</v>
      </c>
      <c r="D161" t="s">
        <v>4057</v>
      </c>
    </row>
    <row r="162" spans="1:4" x14ac:dyDescent="0.3">
      <c r="A162">
        <v>52168054</v>
      </c>
      <c r="B162" t="s">
        <v>3977</v>
      </c>
      <c r="C162" t="s">
        <v>3970</v>
      </c>
      <c r="D162" t="s">
        <v>4057</v>
      </c>
    </row>
    <row r="163" spans="1:4" x14ac:dyDescent="0.3">
      <c r="A163">
        <v>52168054</v>
      </c>
      <c r="B163" t="s">
        <v>3977</v>
      </c>
      <c r="C163" t="s">
        <v>3970</v>
      </c>
      <c r="D163" t="s">
        <v>4057</v>
      </c>
    </row>
    <row r="164" spans="1:4" x14ac:dyDescent="0.3">
      <c r="A164">
        <v>52168054</v>
      </c>
      <c r="B164" t="s">
        <v>3977</v>
      </c>
      <c r="C164" t="s">
        <v>3970</v>
      </c>
      <c r="D164" t="s">
        <v>4057</v>
      </c>
    </row>
    <row r="165" spans="1:4" x14ac:dyDescent="0.3">
      <c r="A165">
        <v>52168054</v>
      </c>
      <c r="B165" t="s">
        <v>3977</v>
      </c>
      <c r="C165" t="s">
        <v>3970</v>
      </c>
      <c r="D165" t="s">
        <v>4057</v>
      </c>
    </row>
    <row r="166" spans="1:4" x14ac:dyDescent="0.3">
      <c r="A166">
        <v>52168054</v>
      </c>
      <c r="B166" t="s">
        <v>3977</v>
      </c>
      <c r="C166" t="s">
        <v>3970</v>
      </c>
      <c r="D166" t="s">
        <v>4057</v>
      </c>
    </row>
    <row r="167" spans="1:4" x14ac:dyDescent="0.3">
      <c r="A167">
        <v>52168054</v>
      </c>
      <c r="B167" t="s">
        <v>3977</v>
      </c>
      <c r="C167" t="s">
        <v>3970</v>
      </c>
      <c r="D167" t="s">
        <v>4057</v>
      </c>
    </row>
    <row r="168" spans="1:4" x14ac:dyDescent="0.3">
      <c r="A168">
        <v>52168054</v>
      </c>
      <c r="B168" t="s">
        <v>3977</v>
      </c>
      <c r="C168" t="s">
        <v>3970</v>
      </c>
      <c r="D168" t="s">
        <v>4057</v>
      </c>
    </row>
    <row r="169" spans="1:4" x14ac:dyDescent="0.3">
      <c r="A169">
        <v>52168054</v>
      </c>
      <c r="B169" t="s">
        <v>3977</v>
      </c>
      <c r="C169" t="s">
        <v>3970</v>
      </c>
      <c r="D169" t="s">
        <v>4057</v>
      </c>
    </row>
    <row r="170" spans="1:4" x14ac:dyDescent="0.3">
      <c r="A170">
        <v>52168054</v>
      </c>
      <c r="B170" t="s">
        <v>3977</v>
      </c>
      <c r="C170" t="s">
        <v>3970</v>
      </c>
      <c r="D170" t="s">
        <v>4057</v>
      </c>
    </row>
    <row r="171" spans="1:4" x14ac:dyDescent="0.3">
      <c r="A171">
        <v>52168054</v>
      </c>
      <c r="B171" t="s">
        <v>3977</v>
      </c>
      <c r="C171" t="s">
        <v>3970</v>
      </c>
      <c r="D171" t="s">
        <v>4057</v>
      </c>
    </row>
    <row r="172" spans="1:4" x14ac:dyDescent="0.3">
      <c r="A172">
        <v>52168054</v>
      </c>
      <c r="B172" t="s">
        <v>3977</v>
      </c>
      <c r="C172" t="s">
        <v>3970</v>
      </c>
      <c r="D172" t="s">
        <v>4057</v>
      </c>
    </row>
    <row r="173" spans="1:4" x14ac:dyDescent="0.3">
      <c r="A173">
        <v>52168054</v>
      </c>
      <c r="B173" t="s">
        <v>3977</v>
      </c>
      <c r="C173" t="s">
        <v>3970</v>
      </c>
      <c r="D173" t="s">
        <v>4057</v>
      </c>
    </row>
    <row r="174" spans="1:4" x14ac:dyDescent="0.3">
      <c r="A174">
        <v>52168054</v>
      </c>
      <c r="B174" t="s">
        <v>3977</v>
      </c>
      <c r="C174" t="s">
        <v>3970</v>
      </c>
      <c r="D174" t="s">
        <v>4057</v>
      </c>
    </row>
    <row r="175" spans="1:4" x14ac:dyDescent="0.3">
      <c r="A175">
        <v>52168054</v>
      </c>
      <c r="B175" t="s">
        <v>3977</v>
      </c>
      <c r="C175" t="s">
        <v>3970</v>
      </c>
      <c r="D175" t="s">
        <v>4057</v>
      </c>
    </row>
    <row r="176" spans="1:4" x14ac:dyDescent="0.3">
      <c r="A176">
        <v>52168054</v>
      </c>
      <c r="B176" t="s">
        <v>3977</v>
      </c>
      <c r="C176" t="s">
        <v>3970</v>
      </c>
      <c r="D176" t="s">
        <v>4057</v>
      </c>
    </row>
    <row r="177" spans="1:4" x14ac:dyDescent="0.3">
      <c r="A177">
        <v>52168054</v>
      </c>
      <c r="B177" t="s">
        <v>3977</v>
      </c>
      <c r="C177" t="s">
        <v>3970</v>
      </c>
      <c r="D177" t="s">
        <v>4057</v>
      </c>
    </row>
    <row r="178" spans="1:4" x14ac:dyDescent="0.3">
      <c r="A178">
        <v>52168054</v>
      </c>
      <c r="B178" t="s">
        <v>3977</v>
      </c>
      <c r="C178" t="s">
        <v>3970</v>
      </c>
      <c r="D178" t="s">
        <v>4057</v>
      </c>
    </row>
    <row r="179" spans="1:4" x14ac:dyDescent="0.3">
      <c r="A179">
        <v>52168054</v>
      </c>
      <c r="B179" t="s">
        <v>3977</v>
      </c>
      <c r="C179" t="s">
        <v>3970</v>
      </c>
      <c r="D179" t="s">
        <v>4057</v>
      </c>
    </row>
    <row r="180" spans="1:4" x14ac:dyDescent="0.3">
      <c r="A180">
        <v>52168054</v>
      </c>
      <c r="B180" t="s">
        <v>3977</v>
      </c>
      <c r="C180" t="s">
        <v>3970</v>
      </c>
      <c r="D180" t="s">
        <v>4057</v>
      </c>
    </row>
    <row r="181" spans="1:4" x14ac:dyDescent="0.3">
      <c r="A181">
        <v>52168054</v>
      </c>
      <c r="B181" t="s">
        <v>3977</v>
      </c>
      <c r="C181" t="s">
        <v>3970</v>
      </c>
      <c r="D181" t="s">
        <v>4057</v>
      </c>
    </row>
    <row r="182" spans="1:4" x14ac:dyDescent="0.3">
      <c r="A182">
        <v>52168054</v>
      </c>
      <c r="B182" t="s">
        <v>3977</v>
      </c>
      <c r="C182" t="s">
        <v>3970</v>
      </c>
      <c r="D182" t="s">
        <v>4057</v>
      </c>
    </row>
    <row r="183" spans="1:4" x14ac:dyDescent="0.3">
      <c r="A183">
        <v>52168054</v>
      </c>
      <c r="B183" t="s">
        <v>3977</v>
      </c>
      <c r="C183" t="s">
        <v>3970</v>
      </c>
      <c r="D183" t="s">
        <v>4057</v>
      </c>
    </row>
    <row r="184" spans="1:4" x14ac:dyDescent="0.3">
      <c r="A184">
        <v>52168054</v>
      </c>
      <c r="B184" t="s">
        <v>3977</v>
      </c>
      <c r="C184" t="s">
        <v>3970</v>
      </c>
      <c r="D184" t="s">
        <v>4057</v>
      </c>
    </row>
    <row r="185" spans="1:4" x14ac:dyDescent="0.3">
      <c r="A185">
        <v>52168054</v>
      </c>
      <c r="B185" t="s">
        <v>3977</v>
      </c>
      <c r="C185" t="s">
        <v>3970</v>
      </c>
      <c r="D185" t="s">
        <v>4057</v>
      </c>
    </row>
    <row r="186" spans="1:4" x14ac:dyDescent="0.3">
      <c r="A186">
        <v>52168054</v>
      </c>
      <c r="B186" t="s">
        <v>3977</v>
      </c>
      <c r="C186" t="s">
        <v>3970</v>
      </c>
      <c r="D186" t="s">
        <v>4057</v>
      </c>
    </row>
    <row r="187" spans="1:4" x14ac:dyDescent="0.3">
      <c r="A187">
        <v>52168054</v>
      </c>
      <c r="B187" t="s">
        <v>3977</v>
      </c>
      <c r="C187" t="s">
        <v>3970</v>
      </c>
      <c r="D187" t="s">
        <v>4057</v>
      </c>
    </row>
    <row r="188" spans="1:4" x14ac:dyDescent="0.3">
      <c r="A188">
        <v>52168054</v>
      </c>
      <c r="B188" t="s">
        <v>3977</v>
      </c>
      <c r="C188" t="s">
        <v>3970</v>
      </c>
      <c r="D188" t="s">
        <v>4057</v>
      </c>
    </row>
    <row r="189" spans="1:4" x14ac:dyDescent="0.3">
      <c r="A189">
        <v>52168054</v>
      </c>
      <c r="B189" t="s">
        <v>3977</v>
      </c>
      <c r="C189" t="s">
        <v>3970</v>
      </c>
      <c r="D189" t="s">
        <v>4057</v>
      </c>
    </row>
    <row r="190" spans="1:4" x14ac:dyDescent="0.3">
      <c r="A190">
        <v>52168054</v>
      </c>
      <c r="B190" t="s">
        <v>3977</v>
      </c>
      <c r="C190" t="s">
        <v>3970</v>
      </c>
      <c r="D190" t="s">
        <v>4057</v>
      </c>
    </row>
    <row r="191" spans="1:4" x14ac:dyDescent="0.3">
      <c r="A191">
        <v>52168054</v>
      </c>
      <c r="B191" t="s">
        <v>3977</v>
      </c>
      <c r="C191" t="s">
        <v>3970</v>
      </c>
      <c r="D191" t="s">
        <v>4057</v>
      </c>
    </row>
    <row r="192" spans="1:4" x14ac:dyDescent="0.3">
      <c r="A192">
        <v>52168054</v>
      </c>
      <c r="B192" t="s">
        <v>3977</v>
      </c>
      <c r="C192" t="s">
        <v>3970</v>
      </c>
      <c r="D192" t="s">
        <v>4057</v>
      </c>
    </row>
    <row r="193" spans="1:4" x14ac:dyDescent="0.3">
      <c r="A193">
        <v>52168054</v>
      </c>
      <c r="B193" t="s">
        <v>3977</v>
      </c>
      <c r="C193" t="s">
        <v>3970</v>
      </c>
      <c r="D193" t="s">
        <v>4057</v>
      </c>
    </row>
    <row r="194" spans="1:4" x14ac:dyDescent="0.3">
      <c r="A194">
        <v>52168054</v>
      </c>
      <c r="B194" t="s">
        <v>3977</v>
      </c>
      <c r="C194" t="s">
        <v>3970</v>
      </c>
      <c r="D194" t="s">
        <v>4057</v>
      </c>
    </row>
    <row r="195" spans="1:4" x14ac:dyDescent="0.3">
      <c r="A195">
        <v>52168054</v>
      </c>
      <c r="B195" t="s">
        <v>3977</v>
      </c>
      <c r="C195" t="s">
        <v>3970</v>
      </c>
      <c r="D195" t="s">
        <v>4057</v>
      </c>
    </row>
    <row r="196" spans="1:4" x14ac:dyDescent="0.3">
      <c r="A196">
        <v>52168054</v>
      </c>
      <c r="B196" t="s">
        <v>3977</v>
      </c>
      <c r="C196" t="s">
        <v>3970</v>
      </c>
      <c r="D196" t="s">
        <v>4057</v>
      </c>
    </row>
    <row r="197" spans="1:4" x14ac:dyDescent="0.3">
      <c r="A197">
        <v>52168054</v>
      </c>
      <c r="B197" t="s">
        <v>3977</v>
      </c>
      <c r="C197" t="s">
        <v>3970</v>
      </c>
      <c r="D197" t="s">
        <v>4057</v>
      </c>
    </row>
    <row r="198" spans="1:4" x14ac:dyDescent="0.3">
      <c r="A198">
        <v>52168054</v>
      </c>
      <c r="B198" t="s">
        <v>3977</v>
      </c>
      <c r="C198" t="s">
        <v>3970</v>
      </c>
      <c r="D198" t="s">
        <v>4057</v>
      </c>
    </row>
    <row r="199" spans="1:4" x14ac:dyDescent="0.3">
      <c r="A199">
        <v>52168054</v>
      </c>
      <c r="B199" t="s">
        <v>3977</v>
      </c>
      <c r="C199" t="s">
        <v>3970</v>
      </c>
      <c r="D199" t="s">
        <v>4057</v>
      </c>
    </row>
    <row r="200" spans="1:4" x14ac:dyDescent="0.3">
      <c r="A200">
        <v>52168054</v>
      </c>
      <c r="B200" t="s">
        <v>3977</v>
      </c>
      <c r="C200" t="s">
        <v>3970</v>
      </c>
      <c r="D200" t="s">
        <v>4057</v>
      </c>
    </row>
    <row r="201" spans="1:4" x14ac:dyDescent="0.3">
      <c r="A201">
        <v>52168054</v>
      </c>
      <c r="B201" t="s">
        <v>3977</v>
      </c>
      <c r="C201" t="s">
        <v>3970</v>
      </c>
      <c r="D201" t="s">
        <v>4057</v>
      </c>
    </row>
    <row r="202" spans="1:4" x14ac:dyDescent="0.3">
      <c r="A202">
        <v>52168054</v>
      </c>
      <c r="B202" t="s">
        <v>3977</v>
      </c>
      <c r="C202" t="s">
        <v>3970</v>
      </c>
      <c r="D202" t="s">
        <v>4057</v>
      </c>
    </row>
    <row r="203" spans="1:4" x14ac:dyDescent="0.3">
      <c r="A203">
        <v>52168054</v>
      </c>
      <c r="B203" t="s">
        <v>3977</v>
      </c>
      <c r="C203" t="s">
        <v>3970</v>
      </c>
      <c r="D203" t="s">
        <v>4057</v>
      </c>
    </row>
    <row r="204" spans="1:4" x14ac:dyDescent="0.3">
      <c r="A204">
        <v>52168054</v>
      </c>
      <c r="B204" t="s">
        <v>3977</v>
      </c>
      <c r="C204" t="s">
        <v>3970</v>
      </c>
      <c r="D204" t="s">
        <v>4057</v>
      </c>
    </row>
    <row r="205" spans="1:4" x14ac:dyDescent="0.3">
      <c r="A205">
        <v>52168054</v>
      </c>
      <c r="B205" t="s">
        <v>3977</v>
      </c>
      <c r="C205" t="s">
        <v>3970</v>
      </c>
      <c r="D205" t="s">
        <v>4057</v>
      </c>
    </row>
    <row r="206" spans="1:4" x14ac:dyDescent="0.3">
      <c r="A206">
        <v>52168054</v>
      </c>
      <c r="B206" t="s">
        <v>3977</v>
      </c>
      <c r="C206" t="s">
        <v>3970</v>
      </c>
      <c r="D206" t="s">
        <v>4057</v>
      </c>
    </row>
    <row r="207" spans="1:4" x14ac:dyDescent="0.3">
      <c r="A207">
        <v>52168054</v>
      </c>
      <c r="B207" t="s">
        <v>3977</v>
      </c>
      <c r="C207" t="s">
        <v>3970</v>
      </c>
      <c r="D207" t="s">
        <v>4057</v>
      </c>
    </row>
    <row r="208" spans="1:4" x14ac:dyDescent="0.3">
      <c r="A208">
        <v>52168054</v>
      </c>
      <c r="B208" t="s">
        <v>3977</v>
      </c>
      <c r="C208" t="s">
        <v>3970</v>
      </c>
      <c r="D208" t="s">
        <v>4057</v>
      </c>
    </row>
    <row r="209" spans="1:4" x14ac:dyDescent="0.3">
      <c r="A209">
        <v>52168054</v>
      </c>
      <c r="B209" t="s">
        <v>3977</v>
      </c>
      <c r="C209" t="s">
        <v>3970</v>
      </c>
      <c r="D209" t="s">
        <v>4057</v>
      </c>
    </row>
    <row r="210" spans="1:4" x14ac:dyDescent="0.3">
      <c r="A210">
        <v>52168054</v>
      </c>
      <c r="B210" t="s">
        <v>3977</v>
      </c>
      <c r="C210" t="s">
        <v>3970</v>
      </c>
      <c r="D210" t="s">
        <v>4057</v>
      </c>
    </row>
    <row r="211" spans="1:4" x14ac:dyDescent="0.3">
      <c r="A211">
        <v>52182207</v>
      </c>
      <c r="B211" t="s">
        <v>3941</v>
      </c>
      <c r="C211" t="s">
        <v>3934</v>
      </c>
      <c r="D211" t="s">
        <v>3946</v>
      </c>
    </row>
    <row r="212" spans="1:4" x14ac:dyDescent="0.3">
      <c r="A212">
        <v>52182207</v>
      </c>
      <c r="B212" t="s">
        <v>3941</v>
      </c>
      <c r="C212" t="s">
        <v>3934</v>
      </c>
      <c r="D212" t="s">
        <v>3946</v>
      </c>
    </row>
    <row r="213" spans="1:4" x14ac:dyDescent="0.3">
      <c r="A213">
        <v>52182207</v>
      </c>
      <c r="B213" t="s">
        <v>3941</v>
      </c>
      <c r="C213" t="s">
        <v>3934</v>
      </c>
      <c r="D213" t="s">
        <v>3946</v>
      </c>
    </row>
    <row r="214" spans="1:4" x14ac:dyDescent="0.3">
      <c r="A214">
        <v>52182207</v>
      </c>
      <c r="B214" t="s">
        <v>3941</v>
      </c>
      <c r="C214" t="s">
        <v>3934</v>
      </c>
      <c r="D214" t="s">
        <v>3946</v>
      </c>
    </row>
    <row r="215" spans="1:4" x14ac:dyDescent="0.3">
      <c r="A215">
        <v>52182207</v>
      </c>
      <c r="B215" t="s">
        <v>3941</v>
      </c>
      <c r="C215" t="s">
        <v>3934</v>
      </c>
      <c r="D215" t="s">
        <v>3946</v>
      </c>
    </row>
    <row r="216" spans="1:4" x14ac:dyDescent="0.3">
      <c r="A216">
        <v>52182207</v>
      </c>
      <c r="B216" t="s">
        <v>3941</v>
      </c>
      <c r="C216" t="s">
        <v>3934</v>
      </c>
      <c r="D216" t="s">
        <v>3946</v>
      </c>
    </row>
    <row r="217" spans="1:4" x14ac:dyDescent="0.3">
      <c r="A217">
        <v>52182207</v>
      </c>
      <c r="B217" t="s">
        <v>3941</v>
      </c>
      <c r="C217" t="s">
        <v>3934</v>
      </c>
      <c r="D217" t="s">
        <v>3946</v>
      </c>
    </row>
    <row r="218" spans="1:4" x14ac:dyDescent="0.3">
      <c r="A218">
        <v>52182207</v>
      </c>
      <c r="B218" t="s">
        <v>3941</v>
      </c>
      <c r="C218" t="s">
        <v>3934</v>
      </c>
      <c r="D218" t="s">
        <v>3946</v>
      </c>
    </row>
    <row r="219" spans="1:4" x14ac:dyDescent="0.3">
      <c r="A219">
        <v>52182207</v>
      </c>
      <c r="B219" t="s">
        <v>3941</v>
      </c>
      <c r="C219" t="s">
        <v>3934</v>
      </c>
      <c r="D219" t="s">
        <v>3946</v>
      </c>
    </row>
    <row r="220" spans="1:4" x14ac:dyDescent="0.3">
      <c r="A220">
        <v>52182207</v>
      </c>
      <c r="B220" t="s">
        <v>3941</v>
      </c>
      <c r="C220" t="s">
        <v>3934</v>
      </c>
      <c r="D220" t="s">
        <v>3946</v>
      </c>
    </row>
    <row r="221" spans="1:4" x14ac:dyDescent="0.3">
      <c r="A221">
        <v>52182207</v>
      </c>
      <c r="B221" t="s">
        <v>3941</v>
      </c>
      <c r="C221" t="s">
        <v>3934</v>
      </c>
      <c r="D221" t="s">
        <v>3946</v>
      </c>
    </row>
    <row r="222" spans="1:4" x14ac:dyDescent="0.3">
      <c r="A222">
        <v>52182207</v>
      </c>
      <c r="B222" t="s">
        <v>3941</v>
      </c>
      <c r="C222" t="s">
        <v>3934</v>
      </c>
      <c r="D222" t="s">
        <v>3946</v>
      </c>
    </row>
    <row r="223" spans="1:4" x14ac:dyDescent="0.3">
      <c r="A223">
        <v>52182207</v>
      </c>
      <c r="B223" t="s">
        <v>3941</v>
      </c>
      <c r="C223" t="s">
        <v>3934</v>
      </c>
      <c r="D223" t="s">
        <v>3946</v>
      </c>
    </row>
    <row r="224" spans="1:4" x14ac:dyDescent="0.3">
      <c r="A224">
        <v>52182207</v>
      </c>
      <c r="B224" t="s">
        <v>3941</v>
      </c>
      <c r="C224" t="s">
        <v>3934</v>
      </c>
      <c r="D224" t="s">
        <v>3946</v>
      </c>
    </row>
    <row r="225" spans="1:4" x14ac:dyDescent="0.3">
      <c r="A225">
        <v>52182207</v>
      </c>
      <c r="B225" t="s">
        <v>3941</v>
      </c>
      <c r="C225" t="s">
        <v>3934</v>
      </c>
      <c r="D225" t="s">
        <v>3946</v>
      </c>
    </row>
    <row r="226" spans="1:4" x14ac:dyDescent="0.3">
      <c r="A226">
        <v>52182207</v>
      </c>
      <c r="B226" t="s">
        <v>3941</v>
      </c>
      <c r="C226" t="s">
        <v>3934</v>
      </c>
      <c r="D226" t="s">
        <v>3946</v>
      </c>
    </row>
    <row r="227" spans="1:4" x14ac:dyDescent="0.3">
      <c r="A227">
        <v>52182207</v>
      </c>
      <c r="B227" t="s">
        <v>3941</v>
      </c>
      <c r="C227" t="s">
        <v>3934</v>
      </c>
      <c r="D227" t="s">
        <v>3946</v>
      </c>
    </row>
    <row r="228" spans="1:4" x14ac:dyDescent="0.3">
      <c r="A228">
        <v>52182207</v>
      </c>
      <c r="B228" t="s">
        <v>3941</v>
      </c>
      <c r="C228" t="s">
        <v>3934</v>
      </c>
      <c r="D228" t="s">
        <v>3946</v>
      </c>
    </row>
    <row r="229" spans="1:4" x14ac:dyDescent="0.3">
      <c r="A229">
        <v>52182207</v>
      </c>
      <c r="B229" t="s">
        <v>3941</v>
      </c>
      <c r="C229" t="s">
        <v>3934</v>
      </c>
      <c r="D229" t="s">
        <v>3946</v>
      </c>
    </row>
    <row r="230" spans="1:4" x14ac:dyDescent="0.3">
      <c r="A230">
        <v>52182207</v>
      </c>
      <c r="B230" t="s">
        <v>3941</v>
      </c>
      <c r="C230" t="s">
        <v>3934</v>
      </c>
      <c r="D230" t="s">
        <v>3946</v>
      </c>
    </row>
    <row r="231" spans="1:4" x14ac:dyDescent="0.3">
      <c r="A231">
        <v>52182207</v>
      </c>
      <c r="B231" t="s">
        <v>3941</v>
      </c>
      <c r="C231" t="s">
        <v>3934</v>
      </c>
      <c r="D231" t="s">
        <v>3946</v>
      </c>
    </row>
    <row r="232" spans="1:4" x14ac:dyDescent="0.3">
      <c r="A232">
        <v>52182207</v>
      </c>
      <c r="B232" t="s">
        <v>3941</v>
      </c>
      <c r="C232" t="s">
        <v>3934</v>
      </c>
      <c r="D232" t="s">
        <v>3946</v>
      </c>
    </row>
    <row r="233" spans="1:4" x14ac:dyDescent="0.3">
      <c r="A233">
        <v>52182207</v>
      </c>
      <c r="B233" t="s">
        <v>3941</v>
      </c>
      <c r="C233" t="s">
        <v>3934</v>
      </c>
      <c r="D233" t="s">
        <v>3946</v>
      </c>
    </row>
    <row r="234" spans="1:4" x14ac:dyDescent="0.3">
      <c r="A234">
        <v>52182207</v>
      </c>
      <c r="B234" t="s">
        <v>3941</v>
      </c>
      <c r="C234" t="s">
        <v>3934</v>
      </c>
      <c r="D234" t="s">
        <v>3946</v>
      </c>
    </row>
    <row r="235" spans="1:4" x14ac:dyDescent="0.3">
      <c r="A235">
        <v>52182207</v>
      </c>
      <c r="B235" t="s">
        <v>3941</v>
      </c>
      <c r="C235" t="s">
        <v>3934</v>
      </c>
      <c r="D235" t="s">
        <v>3946</v>
      </c>
    </row>
    <row r="236" spans="1:4" x14ac:dyDescent="0.3">
      <c r="A236">
        <v>52221286</v>
      </c>
      <c r="B236" t="s">
        <v>4055</v>
      </c>
      <c r="C236" t="s">
        <v>4056</v>
      </c>
      <c r="D236" t="s">
        <v>4076</v>
      </c>
    </row>
    <row r="237" spans="1:4" x14ac:dyDescent="0.3">
      <c r="A237">
        <v>52221286</v>
      </c>
      <c r="B237" t="s">
        <v>4055</v>
      </c>
      <c r="C237" t="s">
        <v>4056</v>
      </c>
      <c r="D237" t="s">
        <v>4076</v>
      </c>
    </row>
    <row r="238" spans="1:4" x14ac:dyDescent="0.3">
      <c r="A238">
        <v>52221286</v>
      </c>
      <c r="B238" t="s">
        <v>4055</v>
      </c>
      <c r="C238" t="s">
        <v>4056</v>
      </c>
      <c r="D238" t="s">
        <v>4076</v>
      </c>
    </row>
    <row r="239" spans="1:4" x14ac:dyDescent="0.3">
      <c r="A239">
        <v>52221286</v>
      </c>
      <c r="B239" t="s">
        <v>4055</v>
      </c>
      <c r="C239" t="s">
        <v>4056</v>
      </c>
      <c r="D239" t="s">
        <v>4076</v>
      </c>
    </row>
    <row r="240" spans="1:4" x14ac:dyDescent="0.3">
      <c r="A240">
        <v>52221286</v>
      </c>
      <c r="B240" t="s">
        <v>4055</v>
      </c>
      <c r="C240" t="s">
        <v>4056</v>
      </c>
      <c r="D240" t="s">
        <v>4076</v>
      </c>
    </row>
    <row r="241" spans="1:4" x14ac:dyDescent="0.3">
      <c r="A241">
        <v>52221286</v>
      </c>
      <c r="B241" t="s">
        <v>4055</v>
      </c>
      <c r="C241" t="s">
        <v>4056</v>
      </c>
      <c r="D241" t="s">
        <v>4076</v>
      </c>
    </row>
    <row r="242" spans="1:4" x14ac:dyDescent="0.3">
      <c r="A242">
        <v>52221286</v>
      </c>
      <c r="B242" t="s">
        <v>4055</v>
      </c>
      <c r="C242" t="s">
        <v>4056</v>
      </c>
      <c r="D242" t="s">
        <v>4076</v>
      </c>
    </row>
    <row r="243" spans="1:4" x14ac:dyDescent="0.3">
      <c r="A243">
        <v>52221286</v>
      </c>
      <c r="B243" t="s">
        <v>4055</v>
      </c>
      <c r="C243" t="s">
        <v>4056</v>
      </c>
      <c r="D243" t="s">
        <v>4076</v>
      </c>
    </row>
    <row r="244" spans="1:4" x14ac:dyDescent="0.3">
      <c r="A244">
        <v>52221286</v>
      </c>
      <c r="B244" t="s">
        <v>4055</v>
      </c>
      <c r="C244" t="s">
        <v>4056</v>
      </c>
      <c r="D244" t="s">
        <v>4076</v>
      </c>
    </row>
    <row r="245" spans="1:4" x14ac:dyDescent="0.3">
      <c r="A245">
        <v>52221286</v>
      </c>
      <c r="B245" t="s">
        <v>4055</v>
      </c>
      <c r="C245" t="s">
        <v>4056</v>
      </c>
      <c r="D245" t="s">
        <v>4076</v>
      </c>
    </row>
    <row r="246" spans="1:4" x14ac:dyDescent="0.3">
      <c r="A246">
        <v>52221286</v>
      </c>
      <c r="B246" t="s">
        <v>4055</v>
      </c>
      <c r="C246" t="s">
        <v>4056</v>
      </c>
      <c r="D246" t="s">
        <v>4076</v>
      </c>
    </row>
    <row r="247" spans="1:4" x14ac:dyDescent="0.3">
      <c r="A247">
        <v>52221286</v>
      </c>
      <c r="B247" t="s">
        <v>4055</v>
      </c>
      <c r="C247" t="s">
        <v>4056</v>
      </c>
      <c r="D247" t="s">
        <v>4076</v>
      </c>
    </row>
    <row r="248" spans="1:4" x14ac:dyDescent="0.3">
      <c r="A248">
        <v>52221286</v>
      </c>
      <c r="B248" t="s">
        <v>4055</v>
      </c>
      <c r="C248" t="s">
        <v>4056</v>
      </c>
      <c r="D248" t="s">
        <v>4076</v>
      </c>
    </row>
    <row r="249" spans="1:4" x14ac:dyDescent="0.3">
      <c r="A249">
        <v>52221286</v>
      </c>
      <c r="B249" t="s">
        <v>4055</v>
      </c>
      <c r="C249" t="s">
        <v>4056</v>
      </c>
      <c r="D249" t="s">
        <v>4076</v>
      </c>
    </row>
    <row r="250" spans="1:4" x14ac:dyDescent="0.3">
      <c r="A250">
        <v>52221286</v>
      </c>
      <c r="B250" t="s">
        <v>4055</v>
      </c>
      <c r="C250" t="s">
        <v>4056</v>
      </c>
      <c r="D250" t="s">
        <v>4076</v>
      </c>
    </row>
    <row r="251" spans="1:4" x14ac:dyDescent="0.3">
      <c r="A251">
        <v>52221286</v>
      </c>
      <c r="B251" t="s">
        <v>4055</v>
      </c>
      <c r="C251" t="s">
        <v>4056</v>
      </c>
      <c r="D251" t="s">
        <v>4076</v>
      </c>
    </row>
    <row r="252" spans="1:4" x14ac:dyDescent="0.3">
      <c r="A252">
        <v>52221286</v>
      </c>
      <c r="B252" t="s">
        <v>4055</v>
      </c>
      <c r="C252" t="s">
        <v>4056</v>
      </c>
      <c r="D252" t="s">
        <v>4076</v>
      </c>
    </row>
    <row r="253" spans="1:4" x14ac:dyDescent="0.3">
      <c r="A253">
        <v>52221286</v>
      </c>
      <c r="B253" t="s">
        <v>4055</v>
      </c>
      <c r="C253" t="s">
        <v>4056</v>
      </c>
      <c r="D253" t="s">
        <v>4076</v>
      </c>
    </row>
    <row r="254" spans="1:4" x14ac:dyDescent="0.3">
      <c r="A254">
        <v>52221286</v>
      </c>
      <c r="B254" t="s">
        <v>4055</v>
      </c>
      <c r="C254" t="s">
        <v>4056</v>
      </c>
      <c r="D254" t="s">
        <v>4076</v>
      </c>
    </row>
    <row r="255" spans="1:4" x14ac:dyDescent="0.3">
      <c r="A255">
        <v>52342867</v>
      </c>
      <c r="B255" t="s">
        <v>3965</v>
      </c>
      <c r="C255" t="s">
        <v>3934</v>
      </c>
      <c r="D255" t="s">
        <v>4047</v>
      </c>
    </row>
    <row r="256" spans="1:4" x14ac:dyDescent="0.3">
      <c r="A256">
        <v>52342867</v>
      </c>
      <c r="B256" t="s">
        <v>3965</v>
      </c>
      <c r="C256" t="s">
        <v>3934</v>
      </c>
      <c r="D256" t="s">
        <v>4047</v>
      </c>
    </row>
    <row r="257" spans="1:4" x14ac:dyDescent="0.3">
      <c r="A257">
        <v>52342867</v>
      </c>
      <c r="B257" t="s">
        <v>3965</v>
      </c>
      <c r="C257" t="s">
        <v>3934</v>
      </c>
      <c r="D257" t="s">
        <v>4047</v>
      </c>
    </row>
    <row r="258" spans="1:4" x14ac:dyDescent="0.3">
      <c r="A258">
        <v>52342867</v>
      </c>
      <c r="B258" t="s">
        <v>3965</v>
      </c>
      <c r="C258" t="s">
        <v>3934</v>
      </c>
      <c r="D258" t="s">
        <v>4047</v>
      </c>
    </row>
    <row r="259" spans="1:4" x14ac:dyDescent="0.3">
      <c r="A259">
        <v>52342867</v>
      </c>
      <c r="B259" t="s">
        <v>3965</v>
      </c>
      <c r="C259" t="s">
        <v>3934</v>
      </c>
      <c r="D259" t="s">
        <v>4047</v>
      </c>
    </row>
    <row r="260" spans="1:4" x14ac:dyDescent="0.3">
      <c r="A260">
        <v>52342867</v>
      </c>
      <c r="B260" t="s">
        <v>3965</v>
      </c>
      <c r="C260" t="s">
        <v>3934</v>
      </c>
      <c r="D260" t="s">
        <v>4047</v>
      </c>
    </row>
    <row r="261" spans="1:4" x14ac:dyDescent="0.3">
      <c r="A261">
        <v>52342867</v>
      </c>
      <c r="B261" t="s">
        <v>3965</v>
      </c>
      <c r="C261" t="s">
        <v>3934</v>
      </c>
      <c r="D261" t="s">
        <v>4047</v>
      </c>
    </row>
    <row r="262" spans="1:4" x14ac:dyDescent="0.3">
      <c r="A262">
        <v>52342867</v>
      </c>
      <c r="B262" t="s">
        <v>3965</v>
      </c>
      <c r="C262" t="s">
        <v>3934</v>
      </c>
      <c r="D262" t="s">
        <v>4047</v>
      </c>
    </row>
    <row r="263" spans="1:4" x14ac:dyDescent="0.3">
      <c r="A263">
        <v>52342867</v>
      </c>
      <c r="B263" t="s">
        <v>3965</v>
      </c>
      <c r="C263" t="s">
        <v>3934</v>
      </c>
      <c r="D263" t="s">
        <v>4047</v>
      </c>
    </row>
    <row r="264" spans="1:4" x14ac:dyDescent="0.3">
      <c r="A264">
        <v>52342867</v>
      </c>
      <c r="B264" t="s">
        <v>3965</v>
      </c>
      <c r="C264" t="s">
        <v>3934</v>
      </c>
      <c r="D264" t="s">
        <v>4047</v>
      </c>
    </row>
    <row r="265" spans="1:4" x14ac:dyDescent="0.3">
      <c r="A265">
        <v>52342867</v>
      </c>
      <c r="B265" t="s">
        <v>3965</v>
      </c>
      <c r="C265" t="s">
        <v>3934</v>
      </c>
      <c r="D265" t="s">
        <v>4047</v>
      </c>
    </row>
    <row r="266" spans="1:4" x14ac:dyDescent="0.3">
      <c r="A266">
        <v>52342867</v>
      </c>
      <c r="B266" t="s">
        <v>3965</v>
      </c>
      <c r="C266" t="s">
        <v>3934</v>
      </c>
      <c r="D266" t="s">
        <v>4047</v>
      </c>
    </row>
    <row r="267" spans="1:4" x14ac:dyDescent="0.3">
      <c r="A267">
        <v>52342867</v>
      </c>
      <c r="B267" t="s">
        <v>3965</v>
      </c>
      <c r="C267" t="s">
        <v>3934</v>
      </c>
      <c r="D267" t="s">
        <v>4047</v>
      </c>
    </row>
    <row r="268" spans="1:4" x14ac:dyDescent="0.3">
      <c r="A268">
        <v>52342867</v>
      </c>
      <c r="B268" t="s">
        <v>3965</v>
      </c>
      <c r="C268" t="s">
        <v>3934</v>
      </c>
      <c r="D268" t="s">
        <v>4047</v>
      </c>
    </row>
    <row r="269" spans="1:4" x14ac:dyDescent="0.3">
      <c r="A269">
        <v>52342867</v>
      </c>
      <c r="B269" t="s">
        <v>3965</v>
      </c>
      <c r="C269" t="s">
        <v>3934</v>
      </c>
      <c r="D269" t="s">
        <v>4047</v>
      </c>
    </row>
    <row r="270" spans="1:4" x14ac:dyDescent="0.3">
      <c r="A270">
        <v>52342867</v>
      </c>
      <c r="B270" t="s">
        <v>3965</v>
      </c>
      <c r="C270" t="s">
        <v>3934</v>
      </c>
      <c r="D270" t="s">
        <v>4047</v>
      </c>
    </row>
    <row r="271" spans="1:4" x14ac:dyDescent="0.3">
      <c r="A271">
        <v>52342867</v>
      </c>
      <c r="B271" t="s">
        <v>3965</v>
      </c>
      <c r="C271" t="s">
        <v>3934</v>
      </c>
      <c r="D271" t="s">
        <v>4047</v>
      </c>
    </row>
    <row r="272" spans="1:4" x14ac:dyDescent="0.3">
      <c r="A272">
        <v>52342867</v>
      </c>
      <c r="B272" t="s">
        <v>3965</v>
      </c>
      <c r="C272" t="s">
        <v>3934</v>
      </c>
      <c r="D272" t="s">
        <v>4047</v>
      </c>
    </row>
    <row r="273" spans="1:4" x14ac:dyDescent="0.3">
      <c r="A273">
        <v>52342867</v>
      </c>
      <c r="B273" t="s">
        <v>3965</v>
      </c>
      <c r="C273" t="s">
        <v>3934</v>
      </c>
      <c r="D273" t="s">
        <v>4047</v>
      </c>
    </row>
    <row r="274" spans="1:4" x14ac:dyDescent="0.3">
      <c r="A274">
        <v>52342867</v>
      </c>
      <c r="B274" t="s">
        <v>3965</v>
      </c>
      <c r="C274" t="s">
        <v>3934</v>
      </c>
      <c r="D274" t="s">
        <v>4047</v>
      </c>
    </row>
    <row r="275" spans="1:4" x14ac:dyDescent="0.3">
      <c r="A275">
        <v>52342867</v>
      </c>
      <c r="B275" t="s">
        <v>3965</v>
      </c>
      <c r="C275" t="s">
        <v>3934</v>
      </c>
      <c r="D275" t="s">
        <v>4047</v>
      </c>
    </row>
    <row r="276" spans="1:4" x14ac:dyDescent="0.3">
      <c r="A276">
        <v>52342867</v>
      </c>
      <c r="B276" t="s">
        <v>3965</v>
      </c>
      <c r="C276" t="s">
        <v>3934</v>
      </c>
      <c r="D276" t="s">
        <v>4047</v>
      </c>
    </row>
    <row r="277" spans="1:4" x14ac:dyDescent="0.3">
      <c r="A277">
        <v>52342867</v>
      </c>
      <c r="B277" t="s">
        <v>3965</v>
      </c>
      <c r="C277" t="s">
        <v>3934</v>
      </c>
      <c r="D277" t="s">
        <v>4047</v>
      </c>
    </row>
    <row r="278" spans="1:4" x14ac:dyDescent="0.3">
      <c r="A278">
        <v>52392617</v>
      </c>
      <c r="B278" t="s">
        <v>3965</v>
      </c>
      <c r="C278" t="s">
        <v>3934</v>
      </c>
      <c r="D278" t="s">
        <v>4053</v>
      </c>
    </row>
    <row r="279" spans="1:4" x14ac:dyDescent="0.3">
      <c r="A279">
        <v>52392617</v>
      </c>
      <c r="B279" t="s">
        <v>3965</v>
      </c>
      <c r="C279" t="s">
        <v>3934</v>
      </c>
      <c r="D279" t="s">
        <v>4053</v>
      </c>
    </row>
    <row r="280" spans="1:4" x14ac:dyDescent="0.3">
      <c r="A280">
        <v>52392617</v>
      </c>
      <c r="B280" t="s">
        <v>3965</v>
      </c>
      <c r="C280" t="s">
        <v>3934</v>
      </c>
      <c r="D280" t="s">
        <v>4053</v>
      </c>
    </row>
    <row r="281" spans="1:4" x14ac:dyDescent="0.3">
      <c r="A281">
        <v>52392617</v>
      </c>
      <c r="B281" t="s">
        <v>3965</v>
      </c>
      <c r="C281" t="s">
        <v>3934</v>
      </c>
      <c r="D281" t="s">
        <v>4053</v>
      </c>
    </row>
    <row r="282" spans="1:4" x14ac:dyDescent="0.3">
      <c r="A282">
        <v>52392617</v>
      </c>
      <c r="B282" t="s">
        <v>3965</v>
      </c>
      <c r="C282" t="s">
        <v>3934</v>
      </c>
      <c r="D282" t="s">
        <v>4053</v>
      </c>
    </row>
    <row r="283" spans="1:4" x14ac:dyDescent="0.3">
      <c r="A283">
        <v>52392617</v>
      </c>
      <c r="B283" t="s">
        <v>3965</v>
      </c>
      <c r="C283" t="s">
        <v>3934</v>
      </c>
      <c r="D283" t="s">
        <v>4053</v>
      </c>
    </row>
    <row r="284" spans="1:4" x14ac:dyDescent="0.3">
      <c r="A284">
        <v>52392617</v>
      </c>
      <c r="B284" t="s">
        <v>3965</v>
      </c>
      <c r="C284" t="s">
        <v>3934</v>
      </c>
      <c r="D284" t="s">
        <v>4053</v>
      </c>
    </row>
    <row r="285" spans="1:4" x14ac:dyDescent="0.3">
      <c r="A285">
        <v>52392617</v>
      </c>
      <c r="B285" t="s">
        <v>3965</v>
      </c>
      <c r="C285" t="s">
        <v>3934</v>
      </c>
      <c r="D285" t="s">
        <v>4053</v>
      </c>
    </row>
    <row r="286" spans="1:4" x14ac:dyDescent="0.3">
      <c r="A286">
        <v>52392617</v>
      </c>
      <c r="B286" t="s">
        <v>3965</v>
      </c>
      <c r="C286" t="s">
        <v>3934</v>
      </c>
      <c r="D286" t="s">
        <v>4053</v>
      </c>
    </row>
    <row r="287" spans="1:4" x14ac:dyDescent="0.3">
      <c r="A287">
        <v>52392617</v>
      </c>
      <c r="B287" t="s">
        <v>3965</v>
      </c>
      <c r="C287" t="s">
        <v>3934</v>
      </c>
      <c r="D287" t="s">
        <v>4053</v>
      </c>
    </row>
    <row r="288" spans="1:4" x14ac:dyDescent="0.3">
      <c r="A288">
        <v>52392617</v>
      </c>
      <c r="B288" t="s">
        <v>3965</v>
      </c>
      <c r="C288" t="s">
        <v>3934</v>
      </c>
      <c r="D288" t="s">
        <v>4053</v>
      </c>
    </row>
    <row r="289" spans="1:4" x14ac:dyDescent="0.3">
      <c r="A289">
        <v>52392617</v>
      </c>
      <c r="B289" t="s">
        <v>3965</v>
      </c>
      <c r="C289" t="s">
        <v>3934</v>
      </c>
      <c r="D289" t="s">
        <v>4053</v>
      </c>
    </row>
    <row r="290" spans="1:4" x14ac:dyDescent="0.3">
      <c r="A290">
        <v>52392617</v>
      </c>
      <c r="B290" t="s">
        <v>3965</v>
      </c>
      <c r="C290" t="s">
        <v>3934</v>
      </c>
      <c r="D290" t="s">
        <v>4053</v>
      </c>
    </row>
    <row r="291" spans="1:4" x14ac:dyDescent="0.3">
      <c r="A291">
        <v>52392617</v>
      </c>
      <c r="B291" t="s">
        <v>3965</v>
      </c>
      <c r="C291" t="s">
        <v>3934</v>
      </c>
      <c r="D291" t="s">
        <v>4053</v>
      </c>
    </row>
    <row r="292" spans="1:4" x14ac:dyDescent="0.3">
      <c r="A292">
        <v>52392617</v>
      </c>
      <c r="B292" t="s">
        <v>3965</v>
      </c>
      <c r="C292" t="s">
        <v>3934</v>
      </c>
      <c r="D292" t="s">
        <v>4053</v>
      </c>
    </row>
    <row r="293" spans="1:4" x14ac:dyDescent="0.3">
      <c r="A293">
        <v>52392617</v>
      </c>
      <c r="B293" t="s">
        <v>3965</v>
      </c>
      <c r="C293" t="s">
        <v>3934</v>
      </c>
      <c r="D293" t="s">
        <v>4053</v>
      </c>
    </row>
    <row r="294" spans="1:4" x14ac:dyDescent="0.3">
      <c r="A294">
        <v>52392617</v>
      </c>
      <c r="B294" t="s">
        <v>3965</v>
      </c>
      <c r="C294" t="s">
        <v>3934</v>
      </c>
      <c r="D294" t="s">
        <v>4053</v>
      </c>
    </row>
    <row r="295" spans="1:4" x14ac:dyDescent="0.3">
      <c r="A295">
        <v>52392617</v>
      </c>
      <c r="B295" t="s">
        <v>3965</v>
      </c>
      <c r="C295" t="s">
        <v>3934</v>
      </c>
      <c r="D295" t="s">
        <v>4053</v>
      </c>
    </row>
    <row r="296" spans="1:4" x14ac:dyDescent="0.3">
      <c r="A296">
        <v>52392617</v>
      </c>
      <c r="B296" t="s">
        <v>3965</v>
      </c>
      <c r="C296" t="s">
        <v>3934</v>
      </c>
      <c r="D296" t="s">
        <v>4053</v>
      </c>
    </row>
    <row r="297" spans="1:4" x14ac:dyDescent="0.3">
      <c r="A297">
        <v>52392617</v>
      </c>
      <c r="B297" t="s">
        <v>3965</v>
      </c>
      <c r="C297" t="s">
        <v>3934</v>
      </c>
      <c r="D297" t="s">
        <v>4053</v>
      </c>
    </row>
    <row r="298" spans="1:4" x14ac:dyDescent="0.3">
      <c r="A298">
        <v>52446712</v>
      </c>
      <c r="B298" t="s">
        <v>3963</v>
      </c>
      <c r="C298" t="s">
        <v>3934</v>
      </c>
      <c r="D298" t="s">
        <v>4041</v>
      </c>
    </row>
    <row r="299" spans="1:4" x14ac:dyDescent="0.3">
      <c r="A299">
        <v>52446712</v>
      </c>
      <c r="B299" t="s">
        <v>3963</v>
      </c>
      <c r="C299" t="s">
        <v>3934</v>
      </c>
      <c r="D299" t="s">
        <v>4041</v>
      </c>
    </row>
    <row r="300" spans="1:4" x14ac:dyDescent="0.3">
      <c r="A300">
        <v>52446712</v>
      </c>
      <c r="B300" t="s">
        <v>3963</v>
      </c>
      <c r="C300" t="s">
        <v>3934</v>
      </c>
      <c r="D300" t="s">
        <v>4041</v>
      </c>
    </row>
    <row r="301" spans="1:4" x14ac:dyDescent="0.3">
      <c r="A301">
        <v>52446712</v>
      </c>
      <c r="B301" t="s">
        <v>3963</v>
      </c>
      <c r="C301" t="s">
        <v>3934</v>
      </c>
      <c r="D301" t="s">
        <v>4041</v>
      </c>
    </row>
    <row r="302" spans="1:4" x14ac:dyDescent="0.3">
      <c r="A302">
        <v>52446712</v>
      </c>
      <c r="B302" t="s">
        <v>3963</v>
      </c>
      <c r="C302" t="s">
        <v>3934</v>
      </c>
      <c r="D302" t="s">
        <v>4041</v>
      </c>
    </row>
    <row r="303" spans="1:4" x14ac:dyDescent="0.3">
      <c r="A303">
        <v>52446712</v>
      </c>
      <c r="B303" t="s">
        <v>3963</v>
      </c>
      <c r="C303" t="s">
        <v>3934</v>
      </c>
      <c r="D303" t="s">
        <v>4041</v>
      </c>
    </row>
    <row r="304" spans="1:4" x14ac:dyDescent="0.3">
      <c r="A304">
        <v>52446712</v>
      </c>
      <c r="B304" t="s">
        <v>3963</v>
      </c>
      <c r="C304" t="s">
        <v>3934</v>
      </c>
      <c r="D304" t="s">
        <v>4041</v>
      </c>
    </row>
    <row r="305" spans="1:4" x14ac:dyDescent="0.3">
      <c r="A305">
        <v>52446712</v>
      </c>
      <c r="B305" t="s">
        <v>3963</v>
      </c>
      <c r="C305" t="s">
        <v>3934</v>
      </c>
      <c r="D305" t="s">
        <v>4041</v>
      </c>
    </row>
    <row r="306" spans="1:4" x14ac:dyDescent="0.3">
      <c r="A306">
        <v>52446712</v>
      </c>
      <c r="B306" t="s">
        <v>3963</v>
      </c>
      <c r="C306" t="s">
        <v>3934</v>
      </c>
      <c r="D306" t="s">
        <v>4041</v>
      </c>
    </row>
    <row r="307" spans="1:4" x14ac:dyDescent="0.3">
      <c r="A307">
        <v>52446712</v>
      </c>
      <c r="B307" t="s">
        <v>3963</v>
      </c>
      <c r="C307" t="s">
        <v>3934</v>
      </c>
      <c r="D307" t="s">
        <v>4041</v>
      </c>
    </row>
    <row r="308" spans="1:4" x14ac:dyDescent="0.3">
      <c r="A308">
        <v>52446712</v>
      </c>
      <c r="B308" t="s">
        <v>3963</v>
      </c>
      <c r="C308" t="s">
        <v>3934</v>
      </c>
      <c r="D308" t="s">
        <v>4041</v>
      </c>
    </row>
    <row r="309" spans="1:4" x14ac:dyDescent="0.3">
      <c r="A309">
        <v>52446712</v>
      </c>
      <c r="B309" t="s">
        <v>3963</v>
      </c>
      <c r="C309" t="s">
        <v>3934</v>
      </c>
      <c r="D309" t="s">
        <v>4041</v>
      </c>
    </row>
    <row r="310" spans="1:4" x14ac:dyDescent="0.3">
      <c r="A310">
        <v>52446712</v>
      </c>
      <c r="B310" t="s">
        <v>3963</v>
      </c>
      <c r="C310" t="s">
        <v>3934</v>
      </c>
      <c r="D310" t="s">
        <v>4041</v>
      </c>
    </row>
    <row r="311" spans="1:4" x14ac:dyDescent="0.3">
      <c r="A311">
        <v>52446712</v>
      </c>
      <c r="B311" t="s">
        <v>3963</v>
      </c>
      <c r="C311" t="s">
        <v>3934</v>
      </c>
      <c r="D311" t="s">
        <v>4041</v>
      </c>
    </row>
    <row r="312" spans="1:4" x14ac:dyDescent="0.3">
      <c r="A312">
        <v>52446712</v>
      </c>
      <c r="B312" t="s">
        <v>3963</v>
      </c>
      <c r="C312" t="s">
        <v>3934</v>
      </c>
      <c r="D312" t="s">
        <v>4041</v>
      </c>
    </row>
    <row r="313" spans="1:4" x14ac:dyDescent="0.3">
      <c r="A313">
        <v>52446712</v>
      </c>
      <c r="B313" t="s">
        <v>3963</v>
      </c>
      <c r="C313" t="s">
        <v>3934</v>
      </c>
      <c r="D313" t="s">
        <v>4041</v>
      </c>
    </row>
    <row r="314" spans="1:4" x14ac:dyDescent="0.3">
      <c r="A314">
        <v>52446712</v>
      </c>
      <c r="B314" t="s">
        <v>3963</v>
      </c>
      <c r="C314" t="s">
        <v>3934</v>
      </c>
      <c r="D314" t="s">
        <v>4041</v>
      </c>
    </row>
    <row r="315" spans="1:4" x14ac:dyDescent="0.3">
      <c r="A315">
        <v>52446712</v>
      </c>
      <c r="B315" t="s">
        <v>3963</v>
      </c>
      <c r="C315" t="s">
        <v>3934</v>
      </c>
      <c r="D315" t="s">
        <v>4041</v>
      </c>
    </row>
    <row r="316" spans="1:4" x14ac:dyDescent="0.3">
      <c r="A316">
        <v>52446712</v>
      </c>
      <c r="B316" t="s">
        <v>3963</v>
      </c>
      <c r="C316" t="s">
        <v>3934</v>
      </c>
      <c r="D316" t="s">
        <v>4041</v>
      </c>
    </row>
    <row r="317" spans="1:4" x14ac:dyDescent="0.3">
      <c r="A317">
        <v>52446712</v>
      </c>
      <c r="B317" t="s">
        <v>3963</v>
      </c>
      <c r="C317" t="s">
        <v>3934</v>
      </c>
      <c r="D317" t="s">
        <v>4041</v>
      </c>
    </row>
    <row r="318" spans="1:4" x14ac:dyDescent="0.3">
      <c r="A318">
        <v>52446712</v>
      </c>
      <c r="B318" t="s">
        <v>3963</v>
      </c>
      <c r="C318" t="s">
        <v>3934</v>
      </c>
      <c r="D318" t="s">
        <v>4041</v>
      </c>
    </row>
    <row r="319" spans="1:4" x14ac:dyDescent="0.3">
      <c r="A319">
        <v>52446712</v>
      </c>
      <c r="B319" t="s">
        <v>3963</v>
      </c>
      <c r="C319" t="s">
        <v>3934</v>
      </c>
      <c r="D319" t="s">
        <v>4041</v>
      </c>
    </row>
    <row r="320" spans="1:4" x14ac:dyDescent="0.3">
      <c r="A320">
        <v>52446712</v>
      </c>
      <c r="B320" t="s">
        <v>3963</v>
      </c>
      <c r="C320" t="s">
        <v>3934</v>
      </c>
      <c r="D320" t="s">
        <v>4041</v>
      </c>
    </row>
    <row r="321" spans="1:4" x14ac:dyDescent="0.3">
      <c r="A321">
        <v>52446712</v>
      </c>
      <c r="B321" t="s">
        <v>3963</v>
      </c>
      <c r="C321" t="s">
        <v>3934</v>
      </c>
      <c r="D321" t="s">
        <v>4041</v>
      </c>
    </row>
    <row r="322" spans="1:4" x14ac:dyDescent="0.3">
      <c r="A322">
        <v>52759865</v>
      </c>
      <c r="B322" t="s">
        <v>3936</v>
      </c>
      <c r="C322" t="s">
        <v>3937</v>
      </c>
      <c r="D322" t="s">
        <v>4105</v>
      </c>
    </row>
    <row r="323" spans="1:4" x14ac:dyDescent="0.3">
      <c r="A323">
        <v>52759865</v>
      </c>
      <c r="B323" t="s">
        <v>3936</v>
      </c>
      <c r="C323" t="s">
        <v>3937</v>
      </c>
      <c r="D323" t="s">
        <v>4105</v>
      </c>
    </row>
    <row r="324" spans="1:4" x14ac:dyDescent="0.3">
      <c r="A324">
        <v>52759865</v>
      </c>
      <c r="B324" t="s">
        <v>3936</v>
      </c>
      <c r="C324" t="s">
        <v>3937</v>
      </c>
      <c r="D324" t="s">
        <v>4105</v>
      </c>
    </row>
    <row r="325" spans="1:4" x14ac:dyDescent="0.3">
      <c r="A325">
        <v>52759865</v>
      </c>
      <c r="B325" t="s">
        <v>3936</v>
      </c>
      <c r="C325" t="s">
        <v>3937</v>
      </c>
      <c r="D325" t="s">
        <v>4105</v>
      </c>
    </row>
    <row r="326" spans="1:4" x14ac:dyDescent="0.3">
      <c r="A326">
        <v>52759865</v>
      </c>
      <c r="B326" t="s">
        <v>3936</v>
      </c>
      <c r="C326" t="s">
        <v>3937</v>
      </c>
      <c r="D326" t="s">
        <v>4105</v>
      </c>
    </row>
    <row r="327" spans="1:4" x14ac:dyDescent="0.3">
      <c r="A327">
        <v>52759865</v>
      </c>
      <c r="B327" t="s">
        <v>3936</v>
      </c>
      <c r="C327" t="s">
        <v>3937</v>
      </c>
      <c r="D327" t="s">
        <v>4105</v>
      </c>
    </row>
    <row r="328" spans="1:4" x14ac:dyDescent="0.3">
      <c r="A328">
        <v>52759865</v>
      </c>
      <c r="B328" t="s">
        <v>3936</v>
      </c>
      <c r="C328" t="s">
        <v>3937</v>
      </c>
      <c r="D328" t="s">
        <v>4105</v>
      </c>
    </row>
    <row r="329" spans="1:4" x14ac:dyDescent="0.3">
      <c r="A329">
        <v>52759865</v>
      </c>
      <c r="B329" t="s">
        <v>3936</v>
      </c>
      <c r="C329" t="s">
        <v>3937</v>
      </c>
      <c r="D329" t="s">
        <v>4105</v>
      </c>
    </row>
    <row r="330" spans="1:4" x14ac:dyDescent="0.3">
      <c r="A330">
        <v>52759865</v>
      </c>
      <c r="B330" t="s">
        <v>3936</v>
      </c>
      <c r="C330" t="s">
        <v>3937</v>
      </c>
      <c r="D330" t="s">
        <v>4105</v>
      </c>
    </row>
    <row r="331" spans="1:4" x14ac:dyDescent="0.3">
      <c r="A331">
        <v>52834109</v>
      </c>
      <c r="B331" t="s">
        <v>4019</v>
      </c>
      <c r="C331" t="s">
        <v>4020</v>
      </c>
      <c r="D331" t="s">
        <v>4018</v>
      </c>
    </row>
    <row r="332" spans="1:4" x14ac:dyDescent="0.3">
      <c r="A332">
        <v>52834109</v>
      </c>
      <c r="B332" t="s">
        <v>4019</v>
      </c>
      <c r="C332" t="s">
        <v>4020</v>
      </c>
      <c r="D332" t="s">
        <v>4018</v>
      </c>
    </row>
    <row r="333" spans="1:4" x14ac:dyDescent="0.3">
      <c r="A333">
        <v>52834109</v>
      </c>
      <c r="B333" t="s">
        <v>4019</v>
      </c>
      <c r="C333" t="s">
        <v>4020</v>
      </c>
      <c r="D333" t="s">
        <v>4018</v>
      </c>
    </row>
    <row r="334" spans="1:4" x14ac:dyDescent="0.3">
      <c r="A334">
        <v>52834109</v>
      </c>
      <c r="B334" t="s">
        <v>4019</v>
      </c>
      <c r="C334" t="s">
        <v>4020</v>
      </c>
      <c r="D334" t="s">
        <v>4018</v>
      </c>
    </row>
    <row r="335" spans="1:4" x14ac:dyDescent="0.3">
      <c r="A335">
        <v>52834109</v>
      </c>
      <c r="B335" t="s">
        <v>4019</v>
      </c>
      <c r="C335" t="s">
        <v>4020</v>
      </c>
      <c r="D335" t="s">
        <v>4018</v>
      </c>
    </row>
    <row r="336" spans="1:4" x14ac:dyDescent="0.3">
      <c r="A336">
        <v>52834109</v>
      </c>
      <c r="B336" t="s">
        <v>4019</v>
      </c>
      <c r="C336" t="s">
        <v>4020</v>
      </c>
      <c r="D336" t="s">
        <v>4018</v>
      </c>
    </row>
    <row r="337" spans="1:4" x14ac:dyDescent="0.3">
      <c r="A337">
        <v>52834109</v>
      </c>
      <c r="B337" t="s">
        <v>4019</v>
      </c>
      <c r="C337" t="s">
        <v>4020</v>
      </c>
      <c r="D337" t="s">
        <v>4018</v>
      </c>
    </row>
    <row r="338" spans="1:4" x14ac:dyDescent="0.3">
      <c r="A338">
        <v>52834109</v>
      </c>
      <c r="B338" t="s">
        <v>4019</v>
      </c>
      <c r="C338" t="s">
        <v>4020</v>
      </c>
      <c r="D338" t="s">
        <v>4018</v>
      </c>
    </row>
    <row r="339" spans="1:4" x14ac:dyDescent="0.3">
      <c r="A339">
        <v>52834109</v>
      </c>
      <c r="B339" t="s">
        <v>4019</v>
      </c>
      <c r="C339" t="s">
        <v>4020</v>
      </c>
      <c r="D339" t="s">
        <v>4018</v>
      </c>
    </row>
    <row r="340" spans="1:4" x14ac:dyDescent="0.3">
      <c r="A340">
        <v>52834109</v>
      </c>
      <c r="B340" t="s">
        <v>4019</v>
      </c>
      <c r="C340" t="s">
        <v>4020</v>
      </c>
      <c r="D340" t="s">
        <v>4018</v>
      </c>
    </row>
    <row r="341" spans="1:4" x14ac:dyDescent="0.3">
      <c r="A341">
        <v>52834109</v>
      </c>
      <c r="B341" t="s">
        <v>4019</v>
      </c>
      <c r="C341" t="s">
        <v>4020</v>
      </c>
      <c r="D341" t="s">
        <v>4018</v>
      </c>
    </row>
    <row r="342" spans="1:4" x14ac:dyDescent="0.3">
      <c r="A342">
        <v>52834109</v>
      </c>
      <c r="B342" t="s">
        <v>4019</v>
      </c>
      <c r="C342" t="s">
        <v>4020</v>
      </c>
      <c r="D342" t="s">
        <v>4018</v>
      </c>
    </row>
    <row r="343" spans="1:4" x14ac:dyDescent="0.3">
      <c r="A343">
        <v>52834109</v>
      </c>
      <c r="B343" t="s">
        <v>4019</v>
      </c>
      <c r="C343" t="s">
        <v>4020</v>
      </c>
      <c r="D343" t="s">
        <v>4018</v>
      </c>
    </row>
    <row r="344" spans="1:4" x14ac:dyDescent="0.3">
      <c r="A344">
        <v>52834109</v>
      </c>
      <c r="B344" t="s">
        <v>4019</v>
      </c>
      <c r="C344" t="s">
        <v>4020</v>
      </c>
      <c r="D344" t="s">
        <v>4018</v>
      </c>
    </row>
    <row r="345" spans="1:4" x14ac:dyDescent="0.3">
      <c r="A345">
        <v>52834109</v>
      </c>
      <c r="B345" t="s">
        <v>4019</v>
      </c>
      <c r="C345" t="s">
        <v>4020</v>
      </c>
      <c r="D345" t="s">
        <v>4018</v>
      </c>
    </row>
    <row r="346" spans="1:4" x14ac:dyDescent="0.3">
      <c r="A346">
        <v>52834109</v>
      </c>
      <c r="B346" t="s">
        <v>4019</v>
      </c>
      <c r="C346" t="s">
        <v>4020</v>
      </c>
      <c r="D346" t="s">
        <v>4018</v>
      </c>
    </row>
    <row r="347" spans="1:4" x14ac:dyDescent="0.3">
      <c r="A347">
        <v>52834109</v>
      </c>
      <c r="B347" t="s">
        <v>4019</v>
      </c>
      <c r="C347" t="s">
        <v>4020</v>
      </c>
      <c r="D347" t="s">
        <v>4018</v>
      </c>
    </row>
    <row r="348" spans="1:4" x14ac:dyDescent="0.3">
      <c r="A348">
        <v>52834109</v>
      </c>
      <c r="B348" t="s">
        <v>4019</v>
      </c>
      <c r="C348" t="s">
        <v>4020</v>
      </c>
      <c r="D348" t="s">
        <v>4018</v>
      </c>
    </row>
    <row r="349" spans="1:4" x14ac:dyDescent="0.3">
      <c r="A349">
        <v>52834109</v>
      </c>
      <c r="B349" t="s">
        <v>4019</v>
      </c>
      <c r="C349" t="s">
        <v>4020</v>
      </c>
      <c r="D349" t="s">
        <v>4018</v>
      </c>
    </row>
    <row r="350" spans="1:4" x14ac:dyDescent="0.3">
      <c r="A350">
        <v>52834109</v>
      </c>
      <c r="B350" t="s">
        <v>4019</v>
      </c>
      <c r="C350" t="s">
        <v>4020</v>
      </c>
      <c r="D350" t="s">
        <v>4018</v>
      </c>
    </row>
    <row r="351" spans="1:4" x14ac:dyDescent="0.3">
      <c r="A351">
        <v>52834109</v>
      </c>
      <c r="B351" t="s">
        <v>4019</v>
      </c>
      <c r="C351" t="s">
        <v>4020</v>
      </c>
      <c r="D351" t="s">
        <v>4018</v>
      </c>
    </row>
    <row r="352" spans="1:4" x14ac:dyDescent="0.3">
      <c r="A352">
        <v>52834109</v>
      </c>
      <c r="B352" t="s">
        <v>4019</v>
      </c>
      <c r="C352" t="s">
        <v>4020</v>
      </c>
      <c r="D352" t="s">
        <v>4018</v>
      </c>
    </row>
    <row r="353" spans="1:4" x14ac:dyDescent="0.3">
      <c r="A353">
        <v>52834109</v>
      </c>
      <c r="B353" t="s">
        <v>4019</v>
      </c>
      <c r="C353" t="s">
        <v>4020</v>
      </c>
      <c r="D353" t="s">
        <v>4018</v>
      </c>
    </row>
    <row r="354" spans="1:4" x14ac:dyDescent="0.3">
      <c r="A354">
        <v>52834109</v>
      </c>
      <c r="B354" t="s">
        <v>4019</v>
      </c>
      <c r="C354" t="s">
        <v>4020</v>
      </c>
      <c r="D354" t="s">
        <v>4018</v>
      </c>
    </row>
    <row r="355" spans="1:4" x14ac:dyDescent="0.3">
      <c r="A355">
        <v>52834109</v>
      </c>
      <c r="B355" t="s">
        <v>4019</v>
      </c>
      <c r="C355" t="s">
        <v>4020</v>
      </c>
      <c r="D355" t="s">
        <v>4018</v>
      </c>
    </row>
    <row r="356" spans="1:4" x14ac:dyDescent="0.3">
      <c r="A356">
        <v>52834109</v>
      </c>
      <c r="B356" t="s">
        <v>4019</v>
      </c>
      <c r="C356" t="s">
        <v>4020</v>
      </c>
      <c r="D356" t="s">
        <v>4018</v>
      </c>
    </row>
    <row r="357" spans="1:4" x14ac:dyDescent="0.3">
      <c r="A357">
        <v>52834109</v>
      </c>
      <c r="B357" t="s">
        <v>4019</v>
      </c>
      <c r="C357" t="s">
        <v>4020</v>
      </c>
      <c r="D357" t="s">
        <v>4018</v>
      </c>
    </row>
    <row r="358" spans="1:4" x14ac:dyDescent="0.3">
      <c r="A358">
        <v>52834109</v>
      </c>
      <c r="B358" t="s">
        <v>4019</v>
      </c>
      <c r="C358" t="s">
        <v>4020</v>
      </c>
      <c r="D358" t="s">
        <v>4018</v>
      </c>
    </row>
    <row r="359" spans="1:4" x14ac:dyDescent="0.3">
      <c r="A359">
        <v>52834109</v>
      </c>
      <c r="B359" t="s">
        <v>4019</v>
      </c>
      <c r="C359" t="s">
        <v>4020</v>
      </c>
      <c r="D359" t="s">
        <v>4018</v>
      </c>
    </row>
    <row r="360" spans="1:4" x14ac:dyDescent="0.3">
      <c r="A360">
        <v>52834109</v>
      </c>
      <c r="B360" t="s">
        <v>4019</v>
      </c>
      <c r="C360" t="s">
        <v>4020</v>
      </c>
      <c r="D360" t="s">
        <v>4018</v>
      </c>
    </row>
    <row r="361" spans="1:4" x14ac:dyDescent="0.3">
      <c r="A361">
        <v>52834109</v>
      </c>
      <c r="B361" t="s">
        <v>4019</v>
      </c>
      <c r="C361" t="s">
        <v>4020</v>
      </c>
      <c r="D361" t="s">
        <v>4018</v>
      </c>
    </row>
    <row r="362" spans="1:4" x14ac:dyDescent="0.3">
      <c r="A362">
        <v>52834109</v>
      </c>
      <c r="B362" t="s">
        <v>4019</v>
      </c>
      <c r="C362" t="s">
        <v>4020</v>
      </c>
      <c r="D362" t="s">
        <v>4018</v>
      </c>
    </row>
    <row r="363" spans="1:4" x14ac:dyDescent="0.3">
      <c r="A363">
        <v>52834109</v>
      </c>
      <c r="B363" t="s">
        <v>4019</v>
      </c>
      <c r="C363" t="s">
        <v>4020</v>
      </c>
      <c r="D363" t="s">
        <v>4018</v>
      </c>
    </row>
    <row r="364" spans="1:4" x14ac:dyDescent="0.3">
      <c r="A364">
        <v>52834109</v>
      </c>
      <c r="B364" t="s">
        <v>4019</v>
      </c>
      <c r="C364" t="s">
        <v>4020</v>
      </c>
      <c r="D364" t="s">
        <v>4018</v>
      </c>
    </row>
    <row r="365" spans="1:4" x14ac:dyDescent="0.3">
      <c r="A365">
        <v>52834109</v>
      </c>
      <c r="B365" t="s">
        <v>4019</v>
      </c>
      <c r="C365" t="s">
        <v>4020</v>
      </c>
      <c r="D365" t="s">
        <v>4018</v>
      </c>
    </row>
    <row r="366" spans="1:4" x14ac:dyDescent="0.3">
      <c r="A366">
        <v>52834109</v>
      </c>
      <c r="B366" t="s">
        <v>4019</v>
      </c>
      <c r="C366" t="s">
        <v>4020</v>
      </c>
      <c r="D366" t="s">
        <v>4018</v>
      </c>
    </row>
    <row r="367" spans="1:4" x14ac:dyDescent="0.3">
      <c r="A367">
        <v>52834109</v>
      </c>
      <c r="B367" t="s">
        <v>4019</v>
      </c>
      <c r="C367" t="s">
        <v>4020</v>
      </c>
      <c r="D367" t="s">
        <v>4018</v>
      </c>
    </row>
    <row r="368" spans="1:4" x14ac:dyDescent="0.3">
      <c r="A368">
        <v>52834109</v>
      </c>
      <c r="B368" t="s">
        <v>4019</v>
      </c>
      <c r="C368" t="s">
        <v>4020</v>
      </c>
      <c r="D368" t="s">
        <v>4018</v>
      </c>
    </row>
    <row r="369" spans="1:4" x14ac:dyDescent="0.3">
      <c r="A369">
        <v>52834109</v>
      </c>
      <c r="B369" t="s">
        <v>4019</v>
      </c>
      <c r="C369" t="s">
        <v>4020</v>
      </c>
      <c r="D369" t="s">
        <v>4018</v>
      </c>
    </row>
    <row r="370" spans="1:4" x14ac:dyDescent="0.3">
      <c r="A370">
        <v>52834109</v>
      </c>
      <c r="B370" t="s">
        <v>4019</v>
      </c>
      <c r="C370" t="s">
        <v>4020</v>
      </c>
      <c r="D370" t="s">
        <v>4018</v>
      </c>
    </row>
    <row r="371" spans="1:4" x14ac:dyDescent="0.3">
      <c r="A371">
        <v>52834109</v>
      </c>
      <c r="B371" t="s">
        <v>4019</v>
      </c>
      <c r="C371" t="s">
        <v>4020</v>
      </c>
      <c r="D371" t="s">
        <v>4018</v>
      </c>
    </row>
    <row r="372" spans="1:4" x14ac:dyDescent="0.3">
      <c r="A372">
        <v>52834109</v>
      </c>
      <c r="B372" t="s">
        <v>4019</v>
      </c>
      <c r="C372" t="s">
        <v>4020</v>
      </c>
      <c r="D372" t="s">
        <v>4018</v>
      </c>
    </row>
    <row r="373" spans="1:4" x14ac:dyDescent="0.3">
      <c r="A373">
        <v>52834109</v>
      </c>
      <c r="B373" t="s">
        <v>4019</v>
      </c>
      <c r="C373" t="s">
        <v>4020</v>
      </c>
      <c r="D373" t="s">
        <v>4018</v>
      </c>
    </row>
    <row r="374" spans="1:4" x14ac:dyDescent="0.3">
      <c r="A374">
        <v>52834109</v>
      </c>
      <c r="B374" t="s">
        <v>4019</v>
      </c>
      <c r="C374" t="s">
        <v>4020</v>
      </c>
      <c r="D374" t="s">
        <v>4018</v>
      </c>
    </row>
    <row r="375" spans="1:4" x14ac:dyDescent="0.3">
      <c r="A375">
        <v>52834109</v>
      </c>
      <c r="B375" t="s">
        <v>4019</v>
      </c>
      <c r="C375" t="s">
        <v>4020</v>
      </c>
      <c r="D375" t="s">
        <v>4018</v>
      </c>
    </row>
    <row r="376" spans="1:4" x14ac:dyDescent="0.3">
      <c r="A376">
        <v>52834109</v>
      </c>
      <c r="B376" t="s">
        <v>4019</v>
      </c>
      <c r="C376" t="s">
        <v>4020</v>
      </c>
      <c r="D376" t="s">
        <v>4018</v>
      </c>
    </row>
    <row r="377" spans="1:4" x14ac:dyDescent="0.3">
      <c r="A377">
        <v>52834109</v>
      </c>
      <c r="B377" t="s">
        <v>4019</v>
      </c>
      <c r="C377" t="s">
        <v>4020</v>
      </c>
      <c r="D377" t="s">
        <v>4018</v>
      </c>
    </row>
    <row r="378" spans="1:4" x14ac:dyDescent="0.3">
      <c r="A378">
        <v>52834109</v>
      </c>
      <c r="B378" t="s">
        <v>4019</v>
      </c>
      <c r="C378" t="s">
        <v>4020</v>
      </c>
      <c r="D378" t="s">
        <v>4018</v>
      </c>
    </row>
    <row r="379" spans="1:4" x14ac:dyDescent="0.3">
      <c r="A379">
        <v>52834109</v>
      </c>
      <c r="B379" t="s">
        <v>4019</v>
      </c>
      <c r="C379" t="s">
        <v>4020</v>
      </c>
      <c r="D379" t="s">
        <v>4018</v>
      </c>
    </row>
    <row r="380" spans="1:4" x14ac:dyDescent="0.3">
      <c r="A380">
        <v>52834109</v>
      </c>
      <c r="B380" t="s">
        <v>4019</v>
      </c>
      <c r="C380" t="s">
        <v>4020</v>
      </c>
      <c r="D380" t="s">
        <v>4018</v>
      </c>
    </row>
    <row r="381" spans="1:4" x14ac:dyDescent="0.3">
      <c r="A381">
        <v>52834109</v>
      </c>
      <c r="B381" t="s">
        <v>4019</v>
      </c>
      <c r="C381" t="s">
        <v>4020</v>
      </c>
      <c r="D381" t="s">
        <v>4018</v>
      </c>
    </row>
    <row r="382" spans="1:4" x14ac:dyDescent="0.3">
      <c r="A382">
        <v>52834109</v>
      </c>
      <c r="B382" t="s">
        <v>4019</v>
      </c>
      <c r="C382" t="s">
        <v>4020</v>
      </c>
      <c r="D382" t="s">
        <v>4018</v>
      </c>
    </row>
    <row r="383" spans="1:4" x14ac:dyDescent="0.3">
      <c r="A383">
        <v>52834109</v>
      </c>
      <c r="B383" t="s">
        <v>4019</v>
      </c>
      <c r="C383" t="s">
        <v>4020</v>
      </c>
      <c r="D383" t="s">
        <v>4018</v>
      </c>
    </row>
    <row r="384" spans="1:4" x14ac:dyDescent="0.3">
      <c r="A384">
        <v>52834109</v>
      </c>
      <c r="B384" t="s">
        <v>4019</v>
      </c>
      <c r="C384" t="s">
        <v>4020</v>
      </c>
      <c r="D384" t="s">
        <v>4018</v>
      </c>
    </row>
    <row r="385" spans="1:4" x14ac:dyDescent="0.3">
      <c r="A385">
        <v>52834109</v>
      </c>
      <c r="B385" t="s">
        <v>4019</v>
      </c>
      <c r="C385" t="s">
        <v>4020</v>
      </c>
      <c r="D385" t="s">
        <v>4018</v>
      </c>
    </row>
    <row r="386" spans="1:4" x14ac:dyDescent="0.3">
      <c r="A386">
        <v>52834109</v>
      </c>
      <c r="B386" t="s">
        <v>4019</v>
      </c>
      <c r="C386" t="s">
        <v>4020</v>
      </c>
      <c r="D386" t="s">
        <v>4018</v>
      </c>
    </row>
    <row r="387" spans="1:4" x14ac:dyDescent="0.3">
      <c r="A387">
        <v>52834109</v>
      </c>
      <c r="B387" t="s">
        <v>4019</v>
      </c>
      <c r="C387" t="s">
        <v>4020</v>
      </c>
      <c r="D387" t="s">
        <v>4018</v>
      </c>
    </row>
    <row r="388" spans="1:4" x14ac:dyDescent="0.3">
      <c r="A388">
        <v>52834109</v>
      </c>
      <c r="B388" t="s">
        <v>4019</v>
      </c>
      <c r="C388" t="s">
        <v>4020</v>
      </c>
      <c r="D388" t="s">
        <v>4018</v>
      </c>
    </row>
    <row r="389" spans="1:4" x14ac:dyDescent="0.3">
      <c r="A389">
        <v>52834109</v>
      </c>
      <c r="B389" t="s">
        <v>4019</v>
      </c>
      <c r="C389" t="s">
        <v>4020</v>
      </c>
      <c r="D389" t="s">
        <v>4018</v>
      </c>
    </row>
    <row r="390" spans="1:4" x14ac:dyDescent="0.3">
      <c r="A390">
        <v>52834109</v>
      </c>
      <c r="B390" t="s">
        <v>4019</v>
      </c>
      <c r="C390" t="s">
        <v>4020</v>
      </c>
      <c r="D390" t="s">
        <v>4018</v>
      </c>
    </row>
    <row r="391" spans="1:4" x14ac:dyDescent="0.3">
      <c r="A391">
        <v>52834109</v>
      </c>
      <c r="B391" t="s">
        <v>4019</v>
      </c>
      <c r="C391" t="s">
        <v>4020</v>
      </c>
      <c r="D391" t="s">
        <v>4018</v>
      </c>
    </row>
    <row r="392" spans="1:4" x14ac:dyDescent="0.3">
      <c r="A392">
        <v>52834109</v>
      </c>
      <c r="B392" t="s">
        <v>4019</v>
      </c>
      <c r="C392" t="s">
        <v>4020</v>
      </c>
      <c r="D392" t="s">
        <v>4018</v>
      </c>
    </row>
    <row r="393" spans="1:4" x14ac:dyDescent="0.3">
      <c r="A393">
        <v>52834109</v>
      </c>
      <c r="B393" t="s">
        <v>4019</v>
      </c>
      <c r="C393" t="s">
        <v>4020</v>
      </c>
      <c r="D393" t="s">
        <v>4018</v>
      </c>
    </row>
    <row r="394" spans="1:4" x14ac:dyDescent="0.3">
      <c r="A394">
        <v>52834109</v>
      </c>
      <c r="B394" t="s">
        <v>4019</v>
      </c>
      <c r="C394" t="s">
        <v>4020</v>
      </c>
      <c r="D394" t="s">
        <v>4018</v>
      </c>
    </row>
    <row r="395" spans="1:4" x14ac:dyDescent="0.3">
      <c r="A395">
        <v>52834109</v>
      </c>
      <c r="B395" t="s">
        <v>4019</v>
      </c>
      <c r="C395" t="s">
        <v>4020</v>
      </c>
      <c r="D395" t="s">
        <v>4018</v>
      </c>
    </row>
    <row r="396" spans="1:4" x14ac:dyDescent="0.3">
      <c r="A396">
        <v>52834109</v>
      </c>
      <c r="B396" t="s">
        <v>4019</v>
      </c>
      <c r="C396" t="s">
        <v>4020</v>
      </c>
      <c r="D396" t="s">
        <v>4018</v>
      </c>
    </row>
    <row r="397" spans="1:4" x14ac:dyDescent="0.3">
      <c r="A397">
        <v>52834109</v>
      </c>
      <c r="B397" t="s">
        <v>4019</v>
      </c>
      <c r="C397" t="s">
        <v>4020</v>
      </c>
      <c r="D397" t="s">
        <v>4018</v>
      </c>
    </row>
    <row r="398" spans="1:4" x14ac:dyDescent="0.3">
      <c r="A398">
        <v>52834109</v>
      </c>
      <c r="B398" t="s">
        <v>4019</v>
      </c>
      <c r="C398" t="s">
        <v>4020</v>
      </c>
      <c r="D398" t="s">
        <v>4018</v>
      </c>
    </row>
    <row r="399" spans="1:4" x14ac:dyDescent="0.3">
      <c r="A399">
        <v>52834109</v>
      </c>
      <c r="B399" t="s">
        <v>4019</v>
      </c>
      <c r="C399" t="s">
        <v>4020</v>
      </c>
      <c r="D399" t="s">
        <v>4018</v>
      </c>
    </row>
    <row r="400" spans="1:4" x14ac:dyDescent="0.3">
      <c r="A400">
        <v>52834109</v>
      </c>
      <c r="B400" t="s">
        <v>4019</v>
      </c>
      <c r="C400" t="s">
        <v>4020</v>
      </c>
      <c r="D400" t="s">
        <v>4018</v>
      </c>
    </row>
    <row r="401" spans="1:4" x14ac:dyDescent="0.3">
      <c r="A401">
        <v>52834109</v>
      </c>
      <c r="B401" t="s">
        <v>4019</v>
      </c>
      <c r="C401" t="s">
        <v>4020</v>
      </c>
      <c r="D401" t="s">
        <v>4018</v>
      </c>
    </row>
    <row r="402" spans="1:4" x14ac:dyDescent="0.3">
      <c r="A402">
        <v>52834109</v>
      </c>
      <c r="B402" t="s">
        <v>4019</v>
      </c>
      <c r="C402" t="s">
        <v>4020</v>
      </c>
      <c r="D402" t="s">
        <v>4018</v>
      </c>
    </row>
    <row r="403" spans="1:4" x14ac:dyDescent="0.3">
      <c r="A403">
        <v>52834109</v>
      </c>
      <c r="B403" t="s">
        <v>4019</v>
      </c>
      <c r="C403" t="s">
        <v>4020</v>
      </c>
      <c r="D403" t="s">
        <v>4018</v>
      </c>
    </row>
    <row r="404" spans="1:4" x14ac:dyDescent="0.3">
      <c r="A404">
        <v>52834109</v>
      </c>
      <c r="B404" t="s">
        <v>4019</v>
      </c>
      <c r="C404" t="s">
        <v>4020</v>
      </c>
      <c r="D404" t="s">
        <v>4018</v>
      </c>
    </row>
    <row r="405" spans="1:4" x14ac:dyDescent="0.3">
      <c r="A405">
        <v>52834109</v>
      </c>
      <c r="B405" t="s">
        <v>4019</v>
      </c>
      <c r="C405" t="s">
        <v>4020</v>
      </c>
      <c r="D405" t="s">
        <v>4018</v>
      </c>
    </row>
    <row r="406" spans="1:4" x14ac:dyDescent="0.3">
      <c r="A406">
        <v>52834109</v>
      </c>
      <c r="B406" t="s">
        <v>4019</v>
      </c>
      <c r="C406" t="s">
        <v>4020</v>
      </c>
      <c r="D406" t="s">
        <v>4018</v>
      </c>
    </row>
    <row r="407" spans="1:4" x14ac:dyDescent="0.3">
      <c r="A407">
        <v>52834109</v>
      </c>
      <c r="B407" t="s">
        <v>4019</v>
      </c>
      <c r="C407" t="s">
        <v>4020</v>
      </c>
      <c r="D407" t="s">
        <v>4018</v>
      </c>
    </row>
    <row r="408" spans="1:4" x14ac:dyDescent="0.3">
      <c r="A408">
        <v>52834109</v>
      </c>
      <c r="B408" t="s">
        <v>4019</v>
      </c>
      <c r="C408" t="s">
        <v>4020</v>
      </c>
      <c r="D408" t="s">
        <v>4018</v>
      </c>
    </row>
    <row r="409" spans="1:4" x14ac:dyDescent="0.3">
      <c r="A409">
        <v>52834109</v>
      </c>
      <c r="B409" t="s">
        <v>4019</v>
      </c>
      <c r="C409" t="s">
        <v>4020</v>
      </c>
      <c r="D409" t="s">
        <v>4018</v>
      </c>
    </row>
    <row r="410" spans="1:4" x14ac:dyDescent="0.3">
      <c r="A410">
        <v>52876433</v>
      </c>
      <c r="B410" t="s">
        <v>3986</v>
      </c>
      <c r="C410" t="s">
        <v>3934</v>
      </c>
      <c r="D410" t="s">
        <v>4078</v>
      </c>
    </row>
    <row r="411" spans="1:4" x14ac:dyDescent="0.3">
      <c r="A411">
        <v>52876433</v>
      </c>
      <c r="B411" t="s">
        <v>3986</v>
      </c>
      <c r="C411" t="s">
        <v>3934</v>
      </c>
      <c r="D411" t="s">
        <v>4078</v>
      </c>
    </row>
    <row r="412" spans="1:4" x14ac:dyDescent="0.3">
      <c r="A412">
        <v>52876433</v>
      </c>
      <c r="B412" t="s">
        <v>3986</v>
      </c>
      <c r="C412" t="s">
        <v>3934</v>
      </c>
      <c r="D412" t="s">
        <v>4078</v>
      </c>
    </row>
    <row r="413" spans="1:4" x14ac:dyDescent="0.3">
      <c r="A413">
        <v>52876433</v>
      </c>
      <c r="B413" t="s">
        <v>3986</v>
      </c>
      <c r="C413" t="s">
        <v>3934</v>
      </c>
      <c r="D413" t="s">
        <v>4078</v>
      </c>
    </row>
    <row r="414" spans="1:4" x14ac:dyDescent="0.3">
      <c r="A414">
        <v>52876433</v>
      </c>
      <c r="B414" t="s">
        <v>3986</v>
      </c>
      <c r="C414" t="s">
        <v>3934</v>
      </c>
      <c r="D414" t="s">
        <v>4078</v>
      </c>
    </row>
    <row r="415" spans="1:4" x14ac:dyDescent="0.3">
      <c r="A415">
        <v>52876433</v>
      </c>
      <c r="B415" t="s">
        <v>3986</v>
      </c>
      <c r="C415" t="s">
        <v>3934</v>
      </c>
      <c r="D415" t="s">
        <v>4078</v>
      </c>
    </row>
    <row r="416" spans="1:4" x14ac:dyDescent="0.3">
      <c r="A416">
        <v>52876433</v>
      </c>
      <c r="B416" t="s">
        <v>3986</v>
      </c>
      <c r="C416" t="s">
        <v>3934</v>
      </c>
      <c r="D416" t="s">
        <v>4078</v>
      </c>
    </row>
    <row r="417" spans="1:4" x14ac:dyDescent="0.3">
      <c r="A417">
        <v>52876433</v>
      </c>
      <c r="B417" t="s">
        <v>3986</v>
      </c>
      <c r="C417" t="s">
        <v>3934</v>
      </c>
      <c r="D417" t="s">
        <v>4078</v>
      </c>
    </row>
    <row r="418" spans="1:4" x14ac:dyDescent="0.3">
      <c r="A418">
        <v>52876433</v>
      </c>
      <c r="B418" t="s">
        <v>3986</v>
      </c>
      <c r="C418" t="s">
        <v>3934</v>
      </c>
      <c r="D418" t="s">
        <v>4078</v>
      </c>
    </row>
    <row r="419" spans="1:4" x14ac:dyDescent="0.3">
      <c r="A419">
        <v>52876433</v>
      </c>
      <c r="B419" t="s">
        <v>3986</v>
      </c>
      <c r="C419" t="s">
        <v>3934</v>
      </c>
      <c r="D419" t="s">
        <v>4078</v>
      </c>
    </row>
    <row r="420" spans="1:4" x14ac:dyDescent="0.3">
      <c r="A420">
        <v>52876433</v>
      </c>
      <c r="B420" t="s">
        <v>3986</v>
      </c>
      <c r="C420" t="s">
        <v>3934</v>
      </c>
      <c r="D420" t="s">
        <v>4078</v>
      </c>
    </row>
    <row r="421" spans="1:4" x14ac:dyDescent="0.3">
      <c r="A421">
        <v>52876433</v>
      </c>
      <c r="B421" t="s">
        <v>3986</v>
      </c>
      <c r="C421" t="s">
        <v>3934</v>
      </c>
      <c r="D421" t="s">
        <v>4078</v>
      </c>
    </row>
    <row r="422" spans="1:4" x14ac:dyDescent="0.3">
      <c r="A422">
        <v>52876433</v>
      </c>
      <c r="B422" t="s">
        <v>3986</v>
      </c>
      <c r="C422" t="s">
        <v>3934</v>
      </c>
      <c r="D422" t="s">
        <v>4078</v>
      </c>
    </row>
    <row r="423" spans="1:4" x14ac:dyDescent="0.3">
      <c r="A423">
        <v>52876433</v>
      </c>
      <c r="B423" t="s">
        <v>3986</v>
      </c>
      <c r="C423" t="s">
        <v>3934</v>
      </c>
      <c r="D423" t="s">
        <v>4078</v>
      </c>
    </row>
    <row r="424" spans="1:4" x14ac:dyDescent="0.3">
      <c r="A424">
        <v>52876433</v>
      </c>
      <c r="B424" t="s">
        <v>3986</v>
      </c>
      <c r="C424" t="s">
        <v>3934</v>
      </c>
      <c r="D424" t="s">
        <v>4078</v>
      </c>
    </row>
    <row r="425" spans="1:4" x14ac:dyDescent="0.3">
      <c r="A425">
        <v>52876433</v>
      </c>
      <c r="B425" t="s">
        <v>3986</v>
      </c>
      <c r="C425" t="s">
        <v>3934</v>
      </c>
      <c r="D425" t="s">
        <v>4078</v>
      </c>
    </row>
    <row r="426" spans="1:4" x14ac:dyDescent="0.3">
      <c r="A426">
        <v>52916205</v>
      </c>
      <c r="B426" t="s">
        <v>3936</v>
      </c>
      <c r="C426" t="s">
        <v>3937</v>
      </c>
      <c r="D426" t="s">
        <v>4032</v>
      </c>
    </row>
    <row r="427" spans="1:4" x14ac:dyDescent="0.3">
      <c r="A427">
        <v>52916205</v>
      </c>
      <c r="B427" t="s">
        <v>3936</v>
      </c>
      <c r="C427" t="s">
        <v>3937</v>
      </c>
      <c r="D427" t="s">
        <v>4032</v>
      </c>
    </row>
    <row r="428" spans="1:4" x14ac:dyDescent="0.3">
      <c r="A428">
        <v>52916205</v>
      </c>
      <c r="B428" t="s">
        <v>3936</v>
      </c>
      <c r="C428" t="s">
        <v>3937</v>
      </c>
      <c r="D428" t="s">
        <v>4032</v>
      </c>
    </row>
    <row r="429" spans="1:4" x14ac:dyDescent="0.3">
      <c r="A429">
        <v>52916205</v>
      </c>
      <c r="B429" t="s">
        <v>3936</v>
      </c>
      <c r="C429" t="s">
        <v>3937</v>
      </c>
      <c r="D429" t="s">
        <v>4032</v>
      </c>
    </row>
    <row r="430" spans="1:4" x14ac:dyDescent="0.3">
      <c r="A430">
        <v>52916205</v>
      </c>
      <c r="B430" t="s">
        <v>3936</v>
      </c>
      <c r="C430" t="s">
        <v>3937</v>
      </c>
      <c r="D430" t="s">
        <v>4032</v>
      </c>
    </row>
    <row r="431" spans="1:4" x14ac:dyDescent="0.3">
      <c r="A431">
        <v>52916205</v>
      </c>
      <c r="B431" t="s">
        <v>3936</v>
      </c>
      <c r="C431" t="s">
        <v>3937</v>
      </c>
      <c r="D431" t="s">
        <v>4032</v>
      </c>
    </row>
    <row r="432" spans="1:4" x14ac:dyDescent="0.3">
      <c r="A432">
        <v>52916205</v>
      </c>
      <c r="B432" t="s">
        <v>3936</v>
      </c>
      <c r="C432" t="s">
        <v>3937</v>
      </c>
      <c r="D432" t="s">
        <v>4032</v>
      </c>
    </row>
    <row r="433" spans="1:4" x14ac:dyDescent="0.3">
      <c r="A433">
        <v>52916205</v>
      </c>
      <c r="B433" t="s">
        <v>3936</v>
      </c>
      <c r="C433" t="s">
        <v>3937</v>
      </c>
      <c r="D433" t="s">
        <v>4032</v>
      </c>
    </row>
    <row r="434" spans="1:4" x14ac:dyDescent="0.3">
      <c r="A434">
        <v>52916205</v>
      </c>
      <c r="B434" t="s">
        <v>3936</v>
      </c>
      <c r="C434" t="s">
        <v>3937</v>
      </c>
      <c r="D434" t="s">
        <v>4032</v>
      </c>
    </row>
    <row r="435" spans="1:4" x14ac:dyDescent="0.3">
      <c r="A435">
        <v>52916205</v>
      </c>
      <c r="B435" t="s">
        <v>3936</v>
      </c>
      <c r="C435" t="s">
        <v>3937</v>
      </c>
      <c r="D435" t="s">
        <v>4032</v>
      </c>
    </row>
    <row r="436" spans="1:4" x14ac:dyDescent="0.3">
      <c r="A436">
        <v>52916205</v>
      </c>
      <c r="B436" t="s">
        <v>3936</v>
      </c>
      <c r="C436" t="s">
        <v>3937</v>
      </c>
      <c r="D436" t="s">
        <v>4032</v>
      </c>
    </row>
    <row r="437" spans="1:4" x14ac:dyDescent="0.3">
      <c r="A437">
        <v>52916205</v>
      </c>
      <c r="B437" t="s">
        <v>3936</v>
      </c>
      <c r="C437" t="s">
        <v>3937</v>
      </c>
      <c r="D437" t="s">
        <v>4032</v>
      </c>
    </row>
    <row r="438" spans="1:4" x14ac:dyDescent="0.3">
      <c r="A438">
        <v>52916205</v>
      </c>
      <c r="B438" t="s">
        <v>3936</v>
      </c>
      <c r="C438" t="s">
        <v>3937</v>
      </c>
      <c r="D438" t="s">
        <v>4032</v>
      </c>
    </row>
    <row r="439" spans="1:4" x14ac:dyDescent="0.3">
      <c r="A439">
        <v>52916205</v>
      </c>
      <c r="B439" t="s">
        <v>3936</v>
      </c>
      <c r="C439" t="s">
        <v>3937</v>
      </c>
      <c r="D439" t="s">
        <v>4032</v>
      </c>
    </row>
    <row r="440" spans="1:4" x14ac:dyDescent="0.3">
      <c r="A440">
        <v>52916205</v>
      </c>
      <c r="B440" t="s">
        <v>3936</v>
      </c>
      <c r="C440" t="s">
        <v>3937</v>
      </c>
      <c r="D440" t="s">
        <v>4032</v>
      </c>
    </row>
    <row r="441" spans="1:4" x14ac:dyDescent="0.3">
      <c r="A441">
        <v>52916205</v>
      </c>
      <c r="B441" t="s">
        <v>3936</v>
      </c>
      <c r="C441" t="s">
        <v>3937</v>
      </c>
      <c r="D441" t="s">
        <v>4032</v>
      </c>
    </row>
    <row r="442" spans="1:4" x14ac:dyDescent="0.3">
      <c r="A442">
        <v>52916205</v>
      </c>
      <c r="B442" t="s">
        <v>3936</v>
      </c>
      <c r="C442" t="s">
        <v>3937</v>
      </c>
      <c r="D442" t="s">
        <v>4032</v>
      </c>
    </row>
    <row r="443" spans="1:4" x14ac:dyDescent="0.3">
      <c r="A443">
        <v>52916205</v>
      </c>
      <c r="B443" t="s">
        <v>3936</v>
      </c>
      <c r="C443" t="s">
        <v>3937</v>
      </c>
      <c r="D443" t="s">
        <v>4032</v>
      </c>
    </row>
    <row r="444" spans="1:4" x14ac:dyDescent="0.3">
      <c r="A444">
        <v>52916205</v>
      </c>
      <c r="B444" t="s">
        <v>3936</v>
      </c>
      <c r="C444" t="s">
        <v>3937</v>
      </c>
      <c r="D444" t="s">
        <v>4032</v>
      </c>
    </row>
    <row r="445" spans="1:4" x14ac:dyDescent="0.3">
      <c r="A445">
        <v>52916205</v>
      </c>
      <c r="B445" t="s">
        <v>3936</v>
      </c>
      <c r="C445" t="s">
        <v>3937</v>
      </c>
      <c r="D445" t="s">
        <v>4032</v>
      </c>
    </row>
    <row r="446" spans="1:4" x14ac:dyDescent="0.3">
      <c r="A446">
        <v>52916205</v>
      </c>
      <c r="B446" t="s">
        <v>3936</v>
      </c>
      <c r="C446" t="s">
        <v>3937</v>
      </c>
      <c r="D446" t="s">
        <v>4032</v>
      </c>
    </row>
    <row r="447" spans="1:4" x14ac:dyDescent="0.3">
      <c r="A447">
        <v>52916205</v>
      </c>
      <c r="B447" t="s">
        <v>3936</v>
      </c>
      <c r="C447" t="s">
        <v>3937</v>
      </c>
      <c r="D447" t="s">
        <v>4032</v>
      </c>
    </row>
    <row r="448" spans="1:4" x14ac:dyDescent="0.3">
      <c r="A448">
        <v>52916205</v>
      </c>
      <c r="B448" t="s">
        <v>3936</v>
      </c>
      <c r="C448" t="s">
        <v>3937</v>
      </c>
      <c r="D448" t="s">
        <v>4032</v>
      </c>
    </row>
    <row r="449" spans="1:4" x14ac:dyDescent="0.3">
      <c r="A449">
        <v>52916205</v>
      </c>
      <c r="B449" t="s">
        <v>3936</v>
      </c>
      <c r="C449" t="s">
        <v>3937</v>
      </c>
      <c r="D449" t="s">
        <v>4032</v>
      </c>
    </row>
    <row r="450" spans="1:4" x14ac:dyDescent="0.3">
      <c r="A450">
        <v>52916205</v>
      </c>
      <c r="B450" t="s">
        <v>3936</v>
      </c>
      <c r="C450" t="s">
        <v>3937</v>
      </c>
      <c r="D450" t="s">
        <v>4032</v>
      </c>
    </row>
    <row r="451" spans="1:4" x14ac:dyDescent="0.3">
      <c r="A451">
        <v>52916205</v>
      </c>
      <c r="B451" t="s">
        <v>3936</v>
      </c>
      <c r="C451" t="s">
        <v>3937</v>
      </c>
      <c r="D451" t="s">
        <v>4032</v>
      </c>
    </row>
    <row r="452" spans="1:4" x14ac:dyDescent="0.3">
      <c r="A452">
        <v>52916205</v>
      </c>
      <c r="B452" t="s">
        <v>3936</v>
      </c>
      <c r="C452" t="s">
        <v>3937</v>
      </c>
      <c r="D452" t="s">
        <v>4032</v>
      </c>
    </row>
    <row r="453" spans="1:4" x14ac:dyDescent="0.3">
      <c r="A453">
        <v>52916205</v>
      </c>
      <c r="B453" t="s">
        <v>3936</v>
      </c>
      <c r="C453" t="s">
        <v>3937</v>
      </c>
      <c r="D453" t="s">
        <v>4032</v>
      </c>
    </row>
    <row r="454" spans="1:4" x14ac:dyDescent="0.3">
      <c r="A454">
        <v>52916205</v>
      </c>
      <c r="B454" t="s">
        <v>3936</v>
      </c>
      <c r="C454" t="s">
        <v>3937</v>
      </c>
      <c r="D454" t="s">
        <v>4032</v>
      </c>
    </row>
    <row r="455" spans="1:4" x14ac:dyDescent="0.3">
      <c r="A455">
        <v>52916205</v>
      </c>
      <c r="B455" t="s">
        <v>3936</v>
      </c>
      <c r="C455" t="s">
        <v>3937</v>
      </c>
      <c r="D455" t="s">
        <v>4032</v>
      </c>
    </row>
    <row r="456" spans="1:4" x14ac:dyDescent="0.3">
      <c r="A456">
        <v>52916205</v>
      </c>
      <c r="B456" t="s">
        <v>3936</v>
      </c>
      <c r="C456" t="s">
        <v>3937</v>
      </c>
      <c r="D456" t="s">
        <v>4032</v>
      </c>
    </row>
    <row r="457" spans="1:4" x14ac:dyDescent="0.3">
      <c r="A457">
        <v>52965969</v>
      </c>
      <c r="B457" t="s">
        <v>3936</v>
      </c>
      <c r="C457" t="s">
        <v>3937</v>
      </c>
      <c r="D457" t="s">
        <v>3960</v>
      </c>
    </row>
    <row r="458" spans="1:4" x14ac:dyDescent="0.3">
      <c r="A458">
        <v>52965969</v>
      </c>
      <c r="B458" t="s">
        <v>3936</v>
      </c>
      <c r="C458" t="s">
        <v>3937</v>
      </c>
      <c r="D458" t="s">
        <v>3960</v>
      </c>
    </row>
    <row r="459" spans="1:4" x14ac:dyDescent="0.3">
      <c r="A459">
        <v>52965969</v>
      </c>
      <c r="B459" t="s">
        <v>3936</v>
      </c>
      <c r="C459" t="s">
        <v>3937</v>
      </c>
      <c r="D459" t="s">
        <v>3960</v>
      </c>
    </row>
    <row r="460" spans="1:4" x14ac:dyDescent="0.3">
      <c r="A460">
        <v>52965969</v>
      </c>
      <c r="B460" t="s">
        <v>3936</v>
      </c>
      <c r="C460" t="s">
        <v>3937</v>
      </c>
      <c r="D460" t="s">
        <v>3960</v>
      </c>
    </row>
    <row r="461" spans="1:4" x14ac:dyDescent="0.3">
      <c r="A461">
        <v>52965969</v>
      </c>
      <c r="B461" t="s">
        <v>3936</v>
      </c>
      <c r="C461" t="s">
        <v>3937</v>
      </c>
      <c r="D461" t="s">
        <v>3960</v>
      </c>
    </row>
    <row r="462" spans="1:4" x14ac:dyDescent="0.3">
      <c r="A462">
        <v>52965969</v>
      </c>
      <c r="B462" t="s">
        <v>3936</v>
      </c>
      <c r="C462" t="s">
        <v>3937</v>
      </c>
      <c r="D462" t="s">
        <v>3960</v>
      </c>
    </row>
    <row r="463" spans="1:4" x14ac:dyDescent="0.3">
      <c r="A463">
        <v>52965969</v>
      </c>
      <c r="B463" t="s">
        <v>3936</v>
      </c>
      <c r="C463" t="s">
        <v>3937</v>
      </c>
      <c r="D463" t="s">
        <v>3960</v>
      </c>
    </row>
    <row r="464" spans="1:4" x14ac:dyDescent="0.3">
      <c r="A464">
        <v>52965969</v>
      </c>
      <c r="B464" t="s">
        <v>3936</v>
      </c>
      <c r="C464" t="s">
        <v>3937</v>
      </c>
      <c r="D464" t="s">
        <v>3960</v>
      </c>
    </row>
    <row r="465" spans="1:4" x14ac:dyDescent="0.3">
      <c r="A465">
        <v>52965969</v>
      </c>
      <c r="B465" t="s">
        <v>3936</v>
      </c>
      <c r="C465" t="s">
        <v>3937</v>
      </c>
      <c r="D465" t="s">
        <v>3960</v>
      </c>
    </row>
    <row r="466" spans="1:4" x14ac:dyDescent="0.3">
      <c r="A466">
        <v>52965969</v>
      </c>
      <c r="B466" t="s">
        <v>3936</v>
      </c>
      <c r="C466" t="s">
        <v>3937</v>
      </c>
      <c r="D466" t="s">
        <v>3960</v>
      </c>
    </row>
    <row r="467" spans="1:4" x14ac:dyDescent="0.3">
      <c r="A467">
        <v>52965969</v>
      </c>
      <c r="B467" t="s">
        <v>3936</v>
      </c>
      <c r="C467" t="s">
        <v>3937</v>
      </c>
      <c r="D467" t="s">
        <v>3960</v>
      </c>
    </row>
    <row r="468" spans="1:4" x14ac:dyDescent="0.3">
      <c r="A468">
        <v>52965969</v>
      </c>
      <c r="B468" t="s">
        <v>3936</v>
      </c>
      <c r="C468" t="s">
        <v>3937</v>
      </c>
      <c r="D468" t="s">
        <v>3960</v>
      </c>
    </row>
    <row r="469" spans="1:4" x14ac:dyDescent="0.3">
      <c r="A469">
        <v>52965969</v>
      </c>
      <c r="B469" t="s">
        <v>3936</v>
      </c>
      <c r="C469" t="s">
        <v>3937</v>
      </c>
      <c r="D469" t="s">
        <v>3960</v>
      </c>
    </row>
    <row r="470" spans="1:4" x14ac:dyDescent="0.3">
      <c r="A470">
        <v>52965969</v>
      </c>
      <c r="B470" t="s">
        <v>3936</v>
      </c>
      <c r="C470" t="s">
        <v>3937</v>
      </c>
      <c r="D470" t="s">
        <v>3960</v>
      </c>
    </row>
    <row r="471" spans="1:4" x14ac:dyDescent="0.3">
      <c r="A471">
        <v>52965969</v>
      </c>
      <c r="B471" t="s">
        <v>3936</v>
      </c>
      <c r="C471" t="s">
        <v>3937</v>
      </c>
      <c r="D471" t="s">
        <v>3960</v>
      </c>
    </row>
    <row r="472" spans="1:4" x14ac:dyDescent="0.3">
      <c r="A472">
        <v>52965969</v>
      </c>
      <c r="B472" t="s">
        <v>3936</v>
      </c>
      <c r="C472" t="s">
        <v>3937</v>
      </c>
      <c r="D472" t="s">
        <v>3960</v>
      </c>
    </row>
    <row r="473" spans="1:4" x14ac:dyDescent="0.3">
      <c r="A473">
        <v>52965969</v>
      </c>
      <c r="B473" t="s">
        <v>3936</v>
      </c>
      <c r="C473" t="s">
        <v>3937</v>
      </c>
      <c r="D473" t="s">
        <v>3960</v>
      </c>
    </row>
    <row r="474" spans="1:4" x14ac:dyDescent="0.3">
      <c r="A474">
        <v>52965969</v>
      </c>
      <c r="B474" t="s">
        <v>3936</v>
      </c>
      <c r="C474" t="s">
        <v>3937</v>
      </c>
      <c r="D474" t="s">
        <v>3960</v>
      </c>
    </row>
    <row r="475" spans="1:4" x14ac:dyDescent="0.3">
      <c r="A475">
        <v>52965969</v>
      </c>
      <c r="B475" t="s">
        <v>3936</v>
      </c>
      <c r="C475" t="s">
        <v>3937</v>
      </c>
      <c r="D475" t="s">
        <v>3960</v>
      </c>
    </row>
    <row r="476" spans="1:4" x14ac:dyDescent="0.3">
      <c r="A476">
        <v>52965969</v>
      </c>
      <c r="B476" t="s">
        <v>3936</v>
      </c>
      <c r="C476" t="s">
        <v>3937</v>
      </c>
      <c r="D476" t="s">
        <v>3960</v>
      </c>
    </row>
    <row r="477" spans="1:4" x14ac:dyDescent="0.3">
      <c r="A477">
        <v>52965969</v>
      </c>
      <c r="B477" t="s">
        <v>3936</v>
      </c>
      <c r="C477" t="s">
        <v>3937</v>
      </c>
      <c r="D477" t="s">
        <v>3960</v>
      </c>
    </row>
    <row r="478" spans="1:4" x14ac:dyDescent="0.3">
      <c r="A478">
        <v>52965969</v>
      </c>
      <c r="B478" t="s">
        <v>3936</v>
      </c>
      <c r="C478" t="s">
        <v>3937</v>
      </c>
      <c r="D478" t="s">
        <v>3960</v>
      </c>
    </row>
    <row r="479" spans="1:4" x14ac:dyDescent="0.3">
      <c r="A479">
        <v>52965969</v>
      </c>
      <c r="B479" t="s">
        <v>3936</v>
      </c>
      <c r="C479" t="s">
        <v>3937</v>
      </c>
      <c r="D479" t="s">
        <v>3960</v>
      </c>
    </row>
    <row r="480" spans="1:4" x14ac:dyDescent="0.3">
      <c r="A480">
        <v>52965969</v>
      </c>
      <c r="B480" t="s">
        <v>3936</v>
      </c>
      <c r="C480" t="s">
        <v>3937</v>
      </c>
      <c r="D480" t="s">
        <v>3960</v>
      </c>
    </row>
    <row r="481" spans="1:4" x14ac:dyDescent="0.3">
      <c r="A481">
        <v>52965969</v>
      </c>
      <c r="B481" t="s">
        <v>3936</v>
      </c>
      <c r="C481" t="s">
        <v>3937</v>
      </c>
      <c r="D481" t="s">
        <v>3960</v>
      </c>
    </row>
    <row r="482" spans="1:4" x14ac:dyDescent="0.3">
      <c r="A482">
        <v>52965969</v>
      </c>
      <c r="B482" t="s">
        <v>3936</v>
      </c>
      <c r="C482" t="s">
        <v>3937</v>
      </c>
      <c r="D482" t="s">
        <v>3960</v>
      </c>
    </row>
    <row r="483" spans="1:4" x14ac:dyDescent="0.3">
      <c r="A483">
        <v>52965969</v>
      </c>
      <c r="B483" t="s">
        <v>3936</v>
      </c>
      <c r="C483" t="s">
        <v>3937</v>
      </c>
      <c r="D483" t="s">
        <v>3960</v>
      </c>
    </row>
    <row r="484" spans="1:4" x14ac:dyDescent="0.3">
      <c r="A484">
        <v>52965969</v>
      </c>
      <c r="B484" t="s">
        <v>3936</v>
      </c>
      <c r="C484" t="s">
        <v>3937</v>
      </c>
      <c r="D484" t="s">
        <v>3960</v>
      </c>
    </row>
    <row r="485" spans="1:4" x14ac:dyDescent="0.3">
      <c r="A485">
        <v>52965969</v>
      </c>
      <c r="B485" t="s">
        <v>3936</v>
      </c>
      <c r="C485" t="s">
        <v>3937</v>
      </c>
      <c r="D485" t="s">
        <v>3960</v>
      </c>
    </row>
    <row r="486" spans="1:4" x14ac:dyDescent="0.3">
      <c r="A486">
        <v>52965969</v>
      </c>
      <c r="B486" t="s">
        <v>3936</v>
      </c>
      <c r="C486" t="s">
        <v>3937</v>
      </c>
      <c r="D486" t="s">
        <v>3960</v>
      </c>
    </row>
    <row r="487" spans="1:4" x14ac:dyDescent="0.3">
      <c r="A487">
        <v>53006215</v>
      </c>
      <c r="B487" t="s">
        <v>3965</v>
      </c>
      <c r="C487" t="s">
        <v>3934</v>
      </c>
      <c r="D487" t="s">
        <v>4042</v>
      </c>
    </row>
    <row r="488" spans="1:4" x14ac:dyDescent="0.3">
      <c r="A488">
        <v>53006215</v>
      </c>
      <c r="B488" t="s">
        <v>3965</v>
      </c>
      <c r="C488" t="s">
        <v>3934</v>
      </c>
      <c r="D488" t="s">
        <v>4042</v>
      </c>
    </row>
    <row r="489" spans="1:4" x14ac:dyDescent="0.3">
      <c r="A489">
        <v>53006215</v>
      </c>
      <c r="B489" t="s">
        <v>3965</v>
      </c>
      <c r="C489" t="s">
        <v>3934</v>
      </c>
      <c r="D489" t="s">
        <v>4042</v>
      </c>
    </row>
    <row r="490" spans="1:4" x14ac:dyDescent="0.3">
      <c r="A490">
        <v>53006215</v>
      </c>
      <c r="B490" t="s">
        <v>3965</v>
      </c>
      <c r="C490" t="s">
        <v>3934</v>
      </c>
      <c r="D490" t="s">
        <v>4042</v>
      </c>
    </row>
    <row r="491" spans="1:4" x14ac:dyDescent="0.3">
      <c r="A491">
        <v>53006215</v>
      </c>
      <c r="B491" t="s">
        <v>3965</v>
      </c>
      <c r="C491" t="s">
        <v>3934</v>
      </c>
      <c r="D491" t="s">
        <v>4042</v>
      </c>
    </row>
    <row r="492" spans="1:4" x14ac:dyDescent="0.3">
      <c r="A492">
        <v>53006215</v>
      </c>
      <c r="B492" t="s">
        <v>3965</v>
      </c>
      <c r="C492" t="s">
        <v>3934</v>
      </c>
      <c r="D492" t="s">
        <v>4042</v>
      </c>
    </row>
    <row r="493" spans="1:4" x14ac:dyDescent="0.3">
      <c r="A493">
        <v>53006215</v>
      </c>
      <c r="B493" t="s">
        <v>3965</v>
      </c>
      <c r="C493" t="s">
        <v>3934</v>
      </c>
      <c r="D493" t="s">
        <v>4042</v>
      </c>
    </row>
    <row r="494" spans="1:4" x14ac:dyDescent="0.3">
      <c r="A494">
        <v>53006215</v>
      </c>
      <c r="B494" t="s">
        <v>3965</v>
      </c>
      <c r="C494" t="s">
        <v>3934</v>
      </c>
      <c r="D494" t="s">
        <v>4042</v>
      </c>
    </row>
    <row r="495" spans="1:4" x14ac:dyDescent="0.3">
      <c r="A495">
        <v>53006215</v>
      </c>
      <c r="B495" t="s">
        <v>3965</v>
      </c>
      <c r="C495" t="s">
        <v>3934</v>
      </c>
      <c r="D495" t="s">
        <v>4042</v>
      </c>
    </row>
    <row r="496" spans="1:4" x14ac:dyDescent="0.3">
      <c r="A496">
        <v>53006215</v>
      </c>
      <c r="B496" t="s">
        <v>3965</v>
      </c>
      <c r="C496" t="s">
        <v>3934</v>
      </c>
      <c r="D496" t="s">
        <v>4042</v>
      </c>
    </row>
    <row r="497" spans="1:4" x14ac:dyDescent="0.3">
      <c r="A497">
        <v>53006215</v>
      </c>
      <c r="B497" t="s">
        <v>3965</v>
      </c>
      <c r="C497" t="s">
        <v>3934</v>
      </c>
      <c r="D497" t="s">
        <v>4042</v>
      </c>
    </row>
    <row r="498" spans="1:4" x14ac:dyDescent="0.3">
      <c r="A498">
        <v>53006215</v>
      </c>
      <c r="B498" t="s">
        <v>3965</v>
      </c>
      <c r="C498" t="s">
        <v>3934</v>
      </c>
      <c r="D498" t="s">
        <v>4042</v>
      </c>
    </row>
    <row r="499" spans="1:4" x14ac:dyDescent="0.3">
      <c r="A499">
        <v>53006215</v>
      </c>
      <c r="B499" t="s">
        <v>3965</v>
      </c>
      <c r="C499" t="s">
        <v>3934</v>
      </c>
      <c r="D499" t="s">
        <v>4042</v>
      </c>
    </row>
    <row r="500" spans="1:4" x14ac:dyDescent="0.3">
      <c r="A500">
        <v>53006215</v>
      </c>
      <c r="B500" t="s">
        <v>3965</v>
      </c>
      <c r="C500" t="s">
        <v>3934</v>
      </c>
      <c r="D500" t="s">
        <v>4042</v>
      </c>
    </row>
    <row r="501" spans="1:4" x14ac:dyDescent="0.3">
      <c r="A501">
        <v>53006215</v>
      </c>
      <c r="B501" t="s">
        <v>3965</v>
      </c>
      <c r="C501" t="s">
        <v>3934</v>
      </c>
      <c r="D501" t="s">
        <v>4042</v>
      </c>
    </row>
    <row r="502" spans="1:4" x14ac:dyDescent="0.3">
      <c r="A502">
        <v>53006215</v>
      </c>
      <c r="B502" t="s">
        <v>3965</v>
      </c>
      <c r="C502" t="s">
        <v>3934</v>
      </c>
      <c r="D502" t="s">
        <v>4042</v>
      </c>
    </row>
    <row r="503" spans="1:4" x14ac:dyDescent="0.3">
      <c r="A503">
        <v>53006215</v>
      </c>
      <c r="B503" t="s">
        <v>3965</v>
      </c>
      <c r="C503" t="s">
        <v>3934</v>
      </c>
      <c r="D503" t="s">
        <v>4042</v>
      </c>
    </row>
    <row r="504" spans="1:4" x14ac:dyDescent="0.3">
      <c r="A504">
        <v>53006215</v>
      </c>
      <c r="B504" t="s">
        <v>3965</v>
      </c>
      <c r="C504" t="s">
        <v>3934</v>
      </c>
      <c r="D504" t="s">
        <v>4042</v>
      </c>
    </row>
    <row r="505" spans="1:4" x14ac:dyDescent="0.3">
      <c r="A505">
        <v>53006215</v>
      </c>
      <c r="B505" t="s">
        <v>3965</v>
      </c>
      <c r="C505" t="s">
        <v>3934</v>
      </c>
      <c r="D505" t="s">
        <v>4042</v>
      </c>
    </row>
    <row r="506" spans="1:4" x14ac:dyDescent="0.3">
      <c r="A506">
        <v>53006215</v>
      </c>
      <c r="B506" t="s">
        <v>3965</v>
      </c>
      <c r="C506" t="s">
        <v>3934</v>
      </c>
      <c r="D506" t="s">
        <v>4042</v>
      </c>
    </row>
    <row r="507" spans="1:4" x14ac:dyDescent="0.3">
      <c r="A507">
        <v>53006215</v>
      </c>
      <c r="B507" t="s">
        <v>3965</v>
      </c>
      <c r="C507" t="s">
        <v>3934</v>
      </c>
      <c r="D507" t="s">
        <v>4042</v>
      </c>
    </row>
    <row r="508" spans="1:4" x14ac:dyDescent="0.3">
      <c r="A508">
        <v>53006215</v>
      </c>
      <c r="B508" t="s">
        <v>3965</v>
      </c>
      <c r="C508" t="s">
        <v>3934</v>
      </c>
      <c r="D508" t="s">
        <v>4042</v>
      </c>
    </row>
    <row r="509" spans="1:4" x14ac:dyDescent="0.3">
      <c r="A509">
        <v>53006215</v>
      </c>
      <c r="B509" t="s">
        <v>3965</v>
      </c>
      <c r="C509" t="s">
        <v>3934</v>
      </c>
      <c r="D509" t="s">
        <v>4042</v>
      </c>
    </row>
    <row r="510" spans="1:4" x14ac:dyDescent="0.3">
      <c r="A510">
        <v>53006215</v>
      </c>
      <c r="B510" t="s">
        <v>3965</v>
      </c>
      <c r="C510" t="s">
        <v>3934</v>
      </c>
      <c r="D510" t="s">
        <v>4042</v>
      </c>
    </row>
    <row r="511" spans="1:4" x14ac:dyDescent="0.3">
      <c r="A511">
        <v>53006215</v>
      </c>
      <c r="B511" t="s">
        <v>3965</v>
      </c>
      <c r="C511" t="s">
        <v>3934</v>
      </c>
      <c r="D511" t="s">
        <v>4042</v>
      </c>
    </row>
    <row r="512" spans="1:4" x14ac:dyDescent="0.3">
      <c r="A512">
        <v>53006215</v>
      </c>
      <c r="B512" t="s">
        <v>3965</v>
      </c>
      <c r="C512" t="s">
        <v>3934</v>
      </c>
      <c r="D512" t="s">
        <v>4042</v>
      </c>
    </row>
    <row r="513" spans="1:4" x14ac:dyDescent="0.3">
      <c r="A513">
        <v>53040709</v>
      </c>
      <c r="B513" t="s">
        <v>3963</v>
      </c>
      <c r="C513" t="s">
        <v>3934</v>
      </c>
      <c r="D513" t="s">
        <v>3994</v>
      </c>
    </row>
    <row r="514" spans="1:4" x14ac:dyDescent="0.3">
      <c r="A514">
        <v>53040709</v>
      </c>
      <c r="B514" t="s">
        <v>3963</v>
      </c>
      <c r="C514" t="s">
        <v>3934</v>
      </c>
      <c r="D514" t="s">
        <v>3994</v>
      </c>
    </row>
    <row r="515" spans="1:4" x14ac:dyDescent="0.3">
      <c r="A515">
        <v>53040709</v>
      </c>
      <c r="B515" t="s">
        <v>3963</v>
      </c>
      <c r="C515" t="s">
        <v>3934</v>
      </c>
      <c r="D515" t="s">
        <v>3994</v>
      </c>
    </row>
    <row r="516" spans="1:4" x14ac:dyDescent="0.3">
      <c r="A516">
        <v>53040709</v>
      </c>
      <c r="B516" t="s">
        <v>3963</v>
      </c>
      <c r="C516" t="s">
        <v>3934</v>
      </c>
      <c r="D516" t="s">
        <v>3994</v>
      </c>
    </row>
    <row r="517" spans="1:4" x14ac:dyDescent="0.3">
      <c r="A517">
        <v>53040709</v>
      </c>
      <c r="B517" t="s">
        <v>3963</v>
      </c>
      <c r="C517" t="s">
        <v>3934</v>
      </c>
      <c r="D517" t="s">
        <v>3994</v>
      </c>
    </row>
    <row r="518" spans="1:4" x14ac:dyDescent="0.3">
      <c r="A518">
        <v>53040709</v>
      </c>
      <c r="B518" t="s">
        <v>3963</v>
      </c>
      <c r="C518" t="s">
        <v>3934</v>
      </c>
      <c r="D518" t="s">
        <v>3994</v>
      </c>
    </row>
    <row r="519" spans="1:4" x14ac:dyDescent="0.3">
      <c r="A519">
        <v>53040709</v>
      </c>
      <c r="B519" t="s">
        <v>3963</v>
      </c>
      <c r="C519" t="s">
        <v>3934</v>
      </c>
      <c r="D519" t="s">
        <v>3994</v>
      </c>
    </row>
    <row r="520" spans="1:4" x14ac:dyDescent="0.3">
      <c r="A520">
        <v>53040709</v>
      </c>
      <c r="B520" t="s">
        <v>3963</v>
      </c>
      <c r="C520" t="s">
        <v>3934</v>
      </c>
      <c r="D520" t="s">
        <v>3994</v>
      </c>
    </row>
    <row r="521" spans="1:4" x14ac:dyDescent="0.3">
      <c r="A521">
        <v>53040709</v>
      </c>
      <c r="B521" t="s">
        <v>3963</v>
      </c>
      <c r="C521" t="s">
        <v>3934</v>
      </c>
      <c r="D521" t="s">
        <v>3994</v>
      </c>
    </row>
    <row r="522" spans="1:4" x14ac:dyDescent="0.3">
      <c r="A522">
        <v>53040709</v>
      </c>
      <c r="B522" t="s">
        <v>3963</v>
      </c>
      <c r="C522" t="s">
        <v>3934</v>
      </c>
      <c r="D522" t="s">
        <v>3994</v>
      </c>
    </row>
    <row r="523" spans="1:4" x14ac:dyDescent="0.3">
      <c r="A523">
        <v>53040709</v>
      </c>
      <c r="B523" t="s">
        <v>3963</v>
      </c>
      <c r="C523" t="s">
        <v>3934</v>
      </c>
      <c r="D523" t="s">
        <v>3994</v>
      </c>
    </row>
    <row r="524" spans="1:4" x14ac:dyDescent="0.3">
      <c r="A524">
        <v>53040709</v>
      </c>
      <c r="B524" t="s">
        <v>3963</v>
      </c>
      <c r="C524" t="s">
        <v>3934</v>
      </c>
      <c r="D524" t="s">
        <v>3994</v>
      </c>
    </row>
    <row r="525" spans="1:4" x14ac:dyDescent="0.3">
      <c r="A525">
        <v>53040709</v>
      </c>
      <c r="B525" t="s">
        <v>3963</v>
      </c>
      <c r="C525" t="s">
        <v>3934</v>
      </c>
      <c r="D525" t="s">
        <v>3994</v>
      </c>
    </row>
    <row r="526" spans="1:4" x14ac:dyDescent="0.3">
      <c r="A526">
        <v>53040709</v>
      </c>
      <c r="B526" t="s">
        <v>3963</v>
      </c>
      <c r="C526" t="s">
        <v>3934</v>
      </c>
      <c r="D526" t="s">
        <v>3994</v>
      </c>
    </row>
    <row r="527" spans="1:4" x14ac:dyDescent="0.3">
      <c r="A527">
        <v>53040709</v>
      </c>
      <c r="B527" t="s">
        <v>3963</v>
      </c>
      <c r="C527" t="s">
        <v>3934</v>
      </c>
      <c r="D527" t="s">
        <v>3994</v>
      </c>
    </row>
    <row r="528" spans="1:4" x14ac:dyDescent="0.3">
      <c r="A528">
        <v>53040709</v>
      </c>
      <c r="B528" t="s">
        <v>3963</v>
      </c>
      <c r="C528" t="s">
        <v>3934</v>
      </c>
      <c r="D528" t="s">
        <v>3994</v>
      </c>
    </row>
    <row r="529" spans="1:4" x14ac:dyDescent="0.3">
      <c r="A529">
        <v>53040709</v>
      </c>
      <c r="B529" t="s">
        <v>3963</v>
      </c>
      <c r="C529" t="s">
        <v>3934</v>
      </c>
      <c r="D529" t="s">
        <v>3994</v>
      </c>
    </row>
    <row r="530" spans="1:4" x14ac:dyDescent="0.3">
      <c r="A530">
        <v>53040709</v>
      </c>
      <c r="B530" t="s">
        <v>3963</v>
      </c>
      <c r="C530" t="s">
        <v>3934</v>
      </c>
      <c r="D530" t="s">
        <v>3994</v>
      </c>
    </row>
    <row r="531" spans="1:4" x14ac:dyDescent="0.3">
      <c r="A531">
        <v>53040709</v>
      </c>
      <c r="B531" t="s">
        <v>3963</v>
      </c>
      <c r="C531" t="s">
        <v>3934</v>
      </c>
      <c r="D531" t="s">
        <v>3994</v>
      </c>
    </row>
    <row r="532" spans="1:4" x14ac:dyDescent="0.3">
      <c r="A532">
        <v>53040709</v>
      </c>
      <c r="B532" t="s">
        <v>3963</v>
      </c>
      <c r="C532" t="s">
        <v>3934</v>
      </c>
      <c r="D532" t="s">
        <v>3994</v>
      </c>
    </row>
    <row r="533" spans="1:4" x14ac:dyDescent="0.3">
      <c r="A533">
        <v>53040709</v>
      </c>
      <c r="B533" t="s">
        <v>3963</v>
      </c>
      <c r="C533" t="s">
        <v>3934</v>
      </c>
      <c r="D533" t="s">
        <v>3994</v>
      </c>
    </row>
    <row r="534" spans="1:4" x14ac:dyDescent="0.3">
      <c r="A534">
        <v>53040709</v>
      </c>
      <c r="B534" t="s">
        <v>3963</v>
      </c>
      <c r="C534" t="s">
        <v>3934</v>
      </c>
      <c r="D534" t="s">
        <v>3994</v>
      </c>
    </row>
    <row r="535" spans="1:4" x14ac:dyDescent="0.3">
      <c r="A535">
        <v>53040709</v>
      </c>
      <c r="B535" t="s">
        <v>3963</v>
      </c>
      <c r="C535" t="s">
        <v>3934</v>
      </c>
      <c r="D535" t="s">
        <v>3994</v>
      </c>
    </row>
    <row r="536" spans="1:4" x14ac:dyDescent="0.3">
      <c r="A536">
        <v>53040709</v>
      </c>
      <c r="B536" t="s">
        <v>3963</v>
      </c>
      <c r="C536" t="s">
        <v>3934</v>
      </c>
      <c r="D536" t="s">
        <v>3994</v>
      </c>
    </row>
    <row r="537" spans="1:4" x14ac:dyDescent="0.3">
      <c r="A537">
        <v>53040709</v>
      </c>
      <c r="B537" t="s">
        <v>3963</v>
      </c>
      <c r="C537" t="s">
        <v>3934</v>
      </c>
      <c r="D537" t="s">
        <v>3994</v>
      </c>
    </row>
    <row r="538" spans="1:4" x14ac:dyDescent="0.3">
      <c r="A538">
        <v>53040709</v>
      </c>
      <c r="B538" t="s">
        <v>3963</v>
      </c>
      <c r="C538" t="s">
        <v>3934</v>
      </c>
      <c r="D538" t="s">
        <v>3994</v>
      </c>
    </row>
    <row r="539" spans="1:4" x14ac:dyDescent="0.3">
      <c r="A539">
        <v>53040709</v>
      </c>
      <c r="B539" t="s">
        <v>3963</v>
      </c>
      <c r="C539" t="s">
        <v>3934</v>
      </c>
      <c r="D539" t="s">
        <v>3994</v>
      </c>
    </row>
    <row r="540" spans="1:4" x14ac:dyDescent="0.3">
      <c r="A540">
        <v>53040709</v>
      </c>
      <c r="B540" t="s">
        <v>3963</v>
      </c>
      <c r="C540" t="s">
        <v>3934</v>
      </c>
      <c r="D540" t="s">
        <v>3994</v>
      </c>
    </row>
    <row r="541" spans="1:4" x14ac:dyDescent="0.3">
      <c r="A541">
        <v>53040709</v>
      </c>
      <c r="B541" t="s">
        <v>3963</v>
      </c>
      <c r="C541" t="s">
        <v>3934</v>
      </c>
      <c r="D541" t="s">
        <v>3994</v>
      </c>
    </row>
    <row r="542" spans="1:4" x14ac:dyDescent="0.3">
      <c r="A542">
        <v>53061994</v>
      </c>
      <c r="B542" t="s">
        <v>3941</v>
      </c>
      <c r="C542" t="s">
        <v>3934</v>
      </c>
      <c r="D542" t="s">
        <v>3950</v>
      </c>
    </row>
    <row r="543" spans="1:4" x14ac:dyDescent="0.3">
      <c r="A543">
        <v>53061994</v>
      </c>
      <c r="B543" t="s">
        <v>3941</v>
      </c>
      <c r="C543" t="s">
        <v>3934</v>
      </c>
      <c r="D543" t="s">
        <v>3950</v>
      </c>
    </row>
    <row r="544" spans="1:4" x14ac:dyDescent="0.3">
      <c r="A544">
        <v>53061994</v>
      </c>
      <c r="B544" t="s">
        <v>3941</v>
      </c>
      <c r="C544" t="s">
        <v>3934</v>
      </c>
      <c r="D544" t="s">
        <v>3950</v>
      </c>
    </row>
    <row r="545" spans="1:4" x14ac:dyDescent="0.3">
      <c r="A545">
        <v>53061994</v>
      </c>
      <c r="B545" t="s">
        <v>3941</v>
      </c>
      <c r="C545" t="s">
        <v>3934</v>
      </c>
      <c r="D545" t="s">
        <v>3950</v>
      </c>
    </row>
    <row r="546" spans="1:4" x14ac:dyDescent="0.3">
      <c r="A546">
        <v>53061994</v>
      </c>
      <c r="B546" t="s">
        <v>3941</v>
      </c>
      <c r="C546" t="s">
        <v>3934</v>
      </c>
      <c r="D546" t="s">
        <v>3950</v>
      </c>
    </row>
    <row r="547" spans="1:4" x14ac:dyDescent="0.3">
      <c r="A547">
        <v>53061994</v>
      </c>
      <c r="B547" t="s">
        <v>3941</v>
      </c>
      <c r="C547" t="s">
        <v>3934</v>
      </c>
      <c r="D547" t="s">
        <v>3950</v>
      </c>
    </row>
    <row r="548" spans="1:4" x14ac:dyDescent="0.3">
      <c r="A548">
        <v>53061994</v>
      </c>
      <c r="B548" t="s">
        <v>3941</v>
      </c>
      <c r="C548" t="s">
        <v>3934</v>
      </c>
      <c r="D548" t="s">
        <v>3950</v>
      </c>
    </row>
    <row r="549" spans="1:4" x14ac:dyDescent="0.3">
      <c r="A549">
        <v>53061994</v>
      </c>
      <c r="B549" t="s">
        <v>3941</v>
      </c>
      <c r="C549" t="s">
        <v>3934</v>
      </c>
      <c r="D549" t="s">
        <v>3950</v>
      </c>
    </row>
    <row r="550" spans="1:4" x14ac:dyDescent="0.3">
      <c r="A550">
        <v>53061994</v>
      </c>
      <c r="B550" t="s">
        <v>3941</v>
      </c>
      <c r="C550" t="s">
        <v>3934</v>
      </c>
      <c r="D550" t="s">
        <v>3950</v>
      </c>
    </row>
    <row r="551" spans="1:4" x14ac:dyDescent="0.3">
      <c r="A551">
        <v>53061994</v>
      </c>
      <c r="B551" t="s">
        <v>3941</v>
      </c>
      <c r="C551" t="s">
        <v>3934</v>
      </c>
      <c r="D551" t="s">
        <v>3950</v>
      </c>
    </row>
    <row r="552" spans="1:4" x14ac:dyDescent="0.3">
      <c r="A552">
        <v>53061994</v>
      </c>
      <c r="B552" t="s">
        <v>3941</v>
      </c>
      <c r="C552" t="s">
        <v>3934</v>
      </c>
      <c r="D552" t="s">
        <v>3950</v>
      </c>
    </row>
    <row r="553" spans="1:4" x14ac:dyDescent="0.3">
      <c r="A553">
        <v>53061994</v>
      </c>
      <c r="B553" t="s">
        <v>3941</v>
      </c>
      <c r="C553" t="s">
        <v>3934</v>
      </c>
      <c r="D553" t="s">
        <v>3950</v>
      </c>
    </row>
    <row r="554" spans="1:4" x14ac:dyDescent="0.3">
      <c r="A554">
        <v>53061994</v>
      </c>
      <c r="B554" t="s">
        <v>3941</v>
      </c>
      <c r="C554" t="s">
        <v>3934</v>
      </c>
      <c r="D554" t="s">
        <v>3950</v>
      </c>
    </row>
    <row r="555" spans="1:4" x14ac:dyDescent="0.3">
      <c r="A555">
        <v>53061994</v>
      </c>
      <c r="B555" t="s">
        <v>3941</v>
      </c>
      <c r="C555" t="s">
        <v>3934</v>
      </c>
      <c r="D555" t="s">
        <v>3950</v>
      </c>
    </row>
    <row r="556" spans="1:4" x14ac:dyDescent="0.3">
      <c r="A556">
        <v>53061994</v>
      </c>
      <c r="B556" t="s">
        <v>3941</v>
      </c>
      <c r="C556" t="s">
        <v>3934</v>
      </c>
      <c r="D556" t="s">
        <v>3950</v>
      </c>
    </row>
    <row r="557" spans="1:4" x14ac:dyDescent="0.3">
      <c r="A557">
        <v>53061994</v>
      </c>
      <c r="B557" t="s">
        <v>3941</v>
      </c>
      <c r="C557" t="s">
        <v>3934</v>
      </c>
      <c r="D557" t="s">
        <v>3950</v>
      </c>
    </row>
    <row r="558" spans="1:4" x14ac:dyDescent="0.3">
      <c r="A558">
        <v>53061994</v>
      </c>
      <c r="B558" t="s">
        <v>3941</v>
      </c>
      <c r="C558" t="s">
        <v>3934</v>
      </c>
      <c r="D558" t="s">
        <v>3950</v>
      </c>
    </row>
    <row r="559" spans="1:4" x14ac:dyDescent="0.3">
      <c r="A559">
        <v>53061994</v>
      </c>
      <c r="B559" t="s">
        <v>3941</v>
      </c>
      <c r="C559" t="s">
        <v>3934</v>
      </c>
      <c r="D559" t="s">
        <v>3950</v>
      </c>
    </row>
    <row r="560" spans="1:4" x14ac:dyDescent="0.3">
      <c r="A560">
        <v>53061994</v>
      </c>
      <c r="B560" t="s">
        <v>3941</v>
      </c>
      <c r="C560" t="s">
        <v>3934</v>
      </c>
      <c r="D560" t="s">
        <v>3950</v>
      </c>
    </row>
    <row r="561" spans="1:4" x14ac:dyDescent="0.3">
      <c r="A561">
        <v>53061994</v>
      </c>
      <c r="B561" t="s">
        <v>3941</v>
      </c>
      <c r="C561" t="s">
        <v>3934</v>
      </c>
      <c r="D561" t="s">
        <v>3950</v>
      </c>
    </row>
    <row r="562" spans="1:4" x14ac:dyDescent="0.3">
      <c r="A562">
        <v>53061994</v>
      </c>
      <c r="B562" t="s">
        <v>3941</v>
      </c>
      <c r="C562" t="s">
        <v>3934</v>
      </c>
      <c r="D562" t="s">
        <v>3950</v>
      </c>
    </row>
    <row r="563" spans="1:4" x14ac:dyDescent="0.3">
      <c r="A563">
        <v>53061994</v>
      </c>
      <c r="B563" t="s">
        <v>3941</v>
      </c>
      <c r="C563" t="s">
        <v>3934</v>
      </c>
      <c r="D563" t="s">
        <v>3950</v>
      </c>
    </row>
    <row r="564" spans="1:4" x14ac:dyDescent="0.3">
      <c r="A564">
        <v>53071696</v>
      </c>
      <c r="B564" t="s">
        <v>3965</v>
      </c>
      <c r="C564" t="s">
        <v>3934</v>
      </c>
      <c r="D564" t="s">
        <v>4012</v>
      </c>
    </row>
    <row r="565" spans="1:4" x14ac:dyDescent="0.3">
      <c r="A565">
        <v>53071696</v>
      </c>
      <c r="B565" t="s">
        <v>3965</v>
      </c>
      <c r="C565" t="s">
        <v>3934</v>
      </c>
      <c r="D565" t="s">
        <v>4012</v>
      </c>
    </row>
    <row r="566" spans="1:4" x14ac:dyDescent="0.3">
      <c r="A566">
        <v>53071696</v>
      </c>
      <c r="B566" t="s">
        <v>3965</v>
      </c>
      <c r="C566" t="s">
        <v>3934</v>
      </c>
      <c r="D566" t="s">
        <v>4012</v>
      </c>
    </row>
    <row r="567" spans="1:4" x14ac:dyDescent="0.3">
      <c r="A567">
        <v>53071696</v>
      </c>
      <c r="B567" t="s">
        <v>3965</v>
      </c>
      <c r="C567" t="s">
        <v>3934</v>
      </c>
      <c r="D567" t="s">
        <v>4012</v>
      </c>
    </row>
    <row r="568" spans="1:4" x14ac:dyDescent="0.3">
      <c r="A568">
        <v>53071696</v>
      </c>
      <c r="B568" t="s">
        <v>3965</v>
      </c>
      <c r="C568" t="s">
        <v>3934</v>
      </c>
      <c r="D568" t="s">
        <v>4012</v>
      </c>
    </row>
    <row r="569" spans="1:4" x14ac:dyDescent="0.3">
      <c r="A569">
        <v>53071696</v>
      </c>
      <c r="B569" t="s">
        <v>3965</v>
      </c>
      <c r="C569" t="s">
        <v>3934</v>
      </c>
      <c r="D569" t="s">
        <v>4012</v>
      </c>
    </row>
    <row r="570" spans="1:4" x14ac:dyDescent="0.3">
      <c r="A570">
        <v>53071696</v>
      </c>
      <c r="B570" t="s">
        <v>3965</v>
      </c>
      <c r="C570" t="s">
        <v>3934</v>
      </c>
      <c r="D570" t="s">
        <v>4012</v>
      </c>
    </row>
    <row r="571" spans="1:4" x14ac:dyDescent="0.3">
      <c r="A571">
        <v>53071696</v>
      </c>
      <c r="B571" t="s">
        <v>3965</v>
      </c>
      <c r="C571" t="s">
        <v>3934</v>
      </c>
      <c r="D571" t="s">
        <v>4012</v>
      </c>
    </row>
    <row r="572" spans="1:4" x14ac:dyDescent="0.3">
      <c r="A572">
        <v>53071696</v>
      </c>
      <c r="B572" t="s">
        <v>3965</v>
      </c>
      <c r="C572" t="s">
        <v>3934</v>
      </c>
      <c r="D572" t="s">
        <v>4012</v>
      </c>
    </row>
    <row r="573" spans="1:4" x14ac:dyDescent="0.3">
      <c r="A573">
        <v>53071696</v>
      </c>
      <c r="B573" t="s">
        <v>3965</v>
      </c>
      <c r="C573" t="s">
        <v>3934</v>
      </c>
      <c r="D573" t="s">
        <v>4012</v>
      </c>
    </row>
    <row r="574" spans="1:4" x14ac:dyDescent="0.3">
      <c r="A574">
        <v>53071696</v>
      </c>
      <c r="B574" t="s">
        <v>3965</v>
      </c>
      <c r="C574" t="s">
        <v>3934</v>
      </c>
      <c r="D574" t="s">
        <v>4012</v>
      </c>
    </row>
    <row r="575" spans="1:4" x14ac:dyDescent="0.3">
      <c r="A575">
        <v>53071696</v>
      </c>
      <c r="B575" t="s">
        <v>3965</v>
      </c>
      <c r="C575" t="s">
        <v>3934</v>
      </c>
      <c r="D575" t="s">
        <v>4012</v>
      </c>
    </row>
    <row r="576" spans="1:4" x14ac:dyDescent="0.3">
      <c r="A576">
        <v>53071696</v>
      </c>
      <c r="B576" t="s">
        <v>3965</v>
      </c>
      <c r="C576" t="s">
        <v>3934</v>
      </c>
      <c r="D576" t="s">
        <v>4012</v>
      </c>
    </row>
    <row r="577" spans="1:4" x14ac:dyDescent="0.3">
      <c r="A577">
        <v>53071696</v>
      </c>
      <c r="B577" t="s">
        <v>3965</v>
      </c>
      <c r="C577" t="s">
        <v>3934</v>
      </c>
      <c r="D577" t="s">
        <v>4012</v>
      </c>
    </row>
    <row r="578" spans="1:4" x14ac:dyDescent="0.3">
      <c r="A578">
        <v>53071696</v>
      </c>
      <c r="B578" t="s">
        <v>3965</v>
      </c>
      <c r="C578" t="s">
        <v>3934</v>
      </c>
      <c r="D578" t="s">
        <v>4012</v>
      </c>
    </row>
    <row r="579" spans="1:4" x14ac:dyDescent="0.3">
      <c r="A579">
        <v>53071696</v>
      </c>
      <c r="B579" t="s">
        <v>3965</v>
      </c>
      <c r="C579" t="s">
        <v>3934</v>
      </c>
      <c r="D579" t="s">
        <v>4012</v>
      </c>
    </row>
    <row r="580" spans="1:4" x14ac:dyDescent="0.3">
      <c r="A580">
        <v>53071696</v>
      </c>
      <c r="B580" t="s">
        <v>3965</v>
      </c>
      <c r="C580" t="s">
        <v>3934</v>
      </c>
      <c r="D580" t="s">
        <v>4012</v>
      </c>
    </row>
    <row r="581" spans="1:4" x14ac:dyDescent="0.3">
      <c r="A581">
        <v>53071696</v>
      </c>
      <c r="B581" t="s">
        <v>3965</v>
      </c>
      <c r="C581" t="s">
        <v>3934</v>
      </c>
      <c r="D581" t="s">
        <v>4012</v>
      </c>
    </row>
    <row r="582" spans="1:4" x14ac:dyDescent="0.3">
      <c r="A582">
        <v>53071696</v>
      </c>
      <c r="B582" t="s">
        <v>3965</v>
      </c>
      <c r="C582" t="s">
        <v>3934</v>
      </c>
      <c r="D582" t="s">
        <v>4012</v>
      </c>
    </row>
    <row r="583" spans="1:4" x14ac:dyDescent="0.3">
      <c r="A583">
        <v>53114739</v>
      </c>
      <c r="B583" t="s">
        <v>3986</v>
      </c>
      <c r="C583" t="s">
        <v>3934</v>
      </c>
      <c r="D583" t="s">
        <v>4104</v>
      </c>
    </row>
    <row r="584" spans="1:4" x14ac:dyDescent="0.3">
      <c r="A584">
        <v>53114739</v>
      </c>
      <c r="B584" t="s">
        <v>3986</v>
      </c>
      <c r="C584" t="s">
        <v>3934</v>
      </c>
      <c r="D584" t="s">
        <v>4104</v>
      </c>
    </row>
    <row r="585" spans="1:4" x14ac:dyDescent="0.3">
      <c r="A585">
        <v>53116792</v>
      </c>
      <c r="B585" t="s">
        <v>3936</v>
      </c>
      <c r="C585" t="s">
        <v>3937</v>
      </c>
      <c r="D585" t="s">
        <v>4008</v>
      </c>
    </row>
    <row r="586" spans="1:4" x14ac:dyDescent="0.3">
      <c r="A586">
        <v>53116792</v>
      </c>
      <c r="B586" t="s">
        <v>3936</v>
      </c>
      <c r="C586" t="s">
        <v>3937</v>
      </c>
      <c r="D586" t="s">
        <v>4008</v>
      </c>
    </row>
    <row r="587" spans="1:4" x14ac:dyDescent="0.3">
      <c r="A587">
        <v>53116792</v>
      </c>
      <c r="B587" t="s">
        <v>3936</v>
      </c>
      <c r="C587" t="s">
        <v>3937</v>
      </c>
      <c r="D587" t="s">
        <v>4008</v>
      </c>
    </row>
    <row r="588" spans="1:4" x14ac:dyDescent="0.3">
      <c r="A588">
        <v>53116792</v>
      </c>
      <c r="B588" t="s">
        <v>3936</v>
      </c>
      <c r="C588" t="s">
        <v>3937</v>
      </c>
      <c r="D588" t="s">
        <v>4008</v>
      </c>
    </row>
    <row r="589" spans="1:4" x14ac:dyDescent="0.3">
      <c r="A589">
        <v>53116792</v>
      </c>
      <c r="B589" t="s">
        <v>3936</v>
      </c>
      <c r="C589" t="s">
        <v>3937</v>
      </c>
      <c r="D589" t="s">
        <v>4008</v>
      </c>
    </row>
    <row r="590" spans="1:4" x14ac:dyDescent="0.3">
      <c r="A590">
        <v>53116792</v>
      </c>
      <c r="B590" t="s">
        <v>3936</v>
      </c>
      <c r="C590" t="s">
        <v>3937</v>
      </c>
      <c r="D590" t="s">
        <v>4008</v>
      </c>
    </row>
    <row r="591" spans="1:4" x14ac:dyDescent="0.3">
      <c r="A591">
        <v>53116792</v>
      </c>
      <c r="B591" t="s">
        <v>3936</v>
      </c>
      <c r="C591" t="s">
        <v>3937</v>
      </c>
      <c r="D591" t="s">
        <v>4008</v>
      </c>
    </row>
    <row r="592" spans="1:4" x14ac:dyDescent="0.3">
      <c r="A592">
        <v>53116792</v>
      </c>
      <c r="B592" t="s">
        <v>3936</v>
      </c>
      <c r="C592" t="s">
        <v>3937</v>
      </c>
      <c r="D592" t="s">
        <v>4008</v>
      </c>
    </row>
    <row r="593" spans="1:4" x14ac:dyDescent="0.3">
      <c r="A593">
        <v>53116792</v>
      </c>
      <c r="B593" t="s">
        <v>3936</v>
      </c>
      <c r="C593" t="s">
        <v>3937</v>
      </c>
      <c r="D593" t="s">
        <v>4008</v>
      </c>
    </row>
    <row r="594" spans="1:4" x14ac:dyDescent="0.3">
      <c r="A594">
        <v>53116792</v>
      </c>
      <c r="B594" t="s">
        <v>3936</v>
      </c>
      <c r="C594" t="s">
        <v>3937</v>
      </c>
      <c r="D594" t="s">
        <v>4008</v>
      </c>
    </row>
    <row r="595" spans="1:4" x14ac:dyDescent="0.3">
      <c r="A595">
        <v>53116792</v>
      </c>
      <c r="B595" t="s">
        <v>3936</v>
      </c>
      <c r="C595" t="s">
        <v>3937</v>
      </c>
      <c r="D595" t="s">
        <v>4008</v>
      </c>
    </row>
    <row r="596" spans="1:4" x14ac:dyDescent="0.3">
      <c r="A596">
        <v>53116792</v>
      </c>
      <c r="B596" t="s">
        <v>3936</v>
      </c>
      <c r="C596" t="s">
        <v>3937</v>
      </c>
      <c r="D596" t="s">
        <v>4008</v>
      </c>
    </row>
    <row r="597" spans="1:4" x14ac:dyDescent="0.3">
      <c r="A597">
        <v>53116792</v>
      </c>
      <c r="B597" t="s">
        <v>3936</v>
      </c>
      <c r="C597" t="s">
        <v>3937</v>
      </c>
      <c r="D597" t="s">
        <v>4008</v>
      </c>
    </row>
    <row r="598" spans="1:4" x14ac:dyDescent="0.3">
      <c r="A598">
        <v>53116792</v>
      </c>
      <c r="B598" t="s">
        <v>3936</v>
      </c>
      <c r="C598" t="s">
        <v>3937</v>
      </c>
      <c r="D598" t="s">
        <v>4008</v>
      </c>
    </row>
    <row r="599" spans="1:4" x14ac:dyDescent="0.3">
      <c r="A599">
        <v>53116792</v>
      </c>
      <c r="B599" t="s">
        <v>3936</v>
      </c>
      <c r="C599" t="s">
        <v>3937</v>
      </c>
      <c r="D599" t="s">
        <v>4008</v>
      </c>
    </row>
    <row r="600" spans="1:4" x14ac:dyDescent="0.3">
      <c r="A600">
        <v>53116792</v>
      </c>
      <c r="B600" t="s">
        <v>3936</v>
      </c>
      <c r="C600" t="s">
        <v>3937</v>
      </c>
      <c r="D600" t="s">
        <v>4008</v>
      </c>
    </row>
    <row r="601" spans="1:4" x14ac:dyDescent="0.3">
      <c r="A601">
        <v>53116792</v>
      </c>
      <c r="B601" t="s">
        <v>3936</v>
      </c>
      <c r="C601" t="s">
        <v>3937</v>
      </c>
      <c r="D601" t="s">
        <v>4008</v>
      </c>
    </row>
    <row r="602" spans="1:4" x14ac:dyDescent="0.3">
      <c r="A602">
        <v>53116792</v>
      </c>
      <c r="B602" t="s">
        <v>3936</v>
      </c>
      <c r="C602" t="s">
        <v>3937</v>
      </c>
      <c r="D602" t="s">
        <v>4008</v>
      </c>
    </row>
    <row r="603" spans="1:4" x14ac:dyDescent="0.3">
      <c r="A603">
        <v>53116792</v>
      </c>
      <c r="B603" t="s">
        <v>3936</v>
      </c>
      <c r="C603" t="s">
        <v>3937</v>
      </c>
      <c r="D603" t="s">
        <v>4008</v>
      </c>
    </row>
    <row r="604" spans="1:4" x14ac:dyDescent="0.3">
      <c r="A604">
        <v>53116792</v>
      </c>
      <c r="B604" t="s">
        <v>3936</v>
      </c>
      <c r="C604" t="s">
        <v>3937</v>
      </c>
      <c r="D604" t="s">
        <v>4008</v>
      </c>
    </row>
    <row r="605" spans="1:4" x14ac:dyDescent="0.3">
      <c r="A605">
        <v>53116792</v>
      </c>
      <c r="B605" t="s">
        <v>3936</v>
      </c>
      <c r="C605" t="s">
        <v>3937</v>
      </c>
      <c r="D605" t="s">
        <v>4008</v>
      </c>
    </row>
    <row r="606" spans="1:4" x14ac:dyDescent="0.3">
      <c r="A606">
        <v>53116792</v>
      </c>
      <c r="B606" t="s">
        <v>3936</v>
      </c>
      <c r="C606" t="s">
        <v>3937</v>
      </c>
      <c r="D606" t="s">
        <v>4008</v>
      </c>
    </row>
    <row r="607" spans="1:4" x14ac:dyDescent="0.3">
      <c r="A607">
        <v>53116792</v>
      </c>
      <c r="B607" t="s">
        <v>3936</v>
      </c>
      <c r="C607" t="s">
        <v>3937</v>
      </c>
      <c r="D607" t="s">
        <v>4008</v>
      </c>
    </row>
    <row r="608" spans="1:4" x14ac:dyDescent="0.3">
      <c r="A608">
        <v>53116792</v>
      </c>
      <c r="B608" t="s">
        <v>3936</v>
      </c>
      <c r="C608" t="s">
        <v>3937</v>
      </c>
      <c r="D608" t="s">
        <v>4008</v>
      </c>
    </row>
    <row r="609" spans="1:4" x14ac:dyDescent="0.3">
      <c r="A609">
        <v>53116792</v>
      </c>
      <c r="B609" t="s">
        <v>3936</v>
      </c>
      <c r="C609" t="s">
        <v>3937</v>
      </c>
      <c r="D609" t="s">
        <v>4008</v>
      </c>
    </row>
    <row r="610" spans="1:4" x14ac:dyDescent="0.3">
      <c r="A610">
        <v>53116792</v>
      </c>
      <c r="B610" t="s">
        <v>3936</v>
      </c>
      <c r="C610" t="s">
        <v>3937</v>
      </c>
      <c r="D610" t="s">
        <v>4008</v>
      </c>
    </row>
    <row r="611" spans="1:4" x14ac:dyDescent="0.3">
      <c r="A611">
        <v>53116792</v>
      </c>
      <c r="B611" t="s">
        <v>3936</v>
      </c>
      <c r="C611" t="s">
        <v>3937</v>
      </c>
      <c r="D611" t="s">
        <v>4008</v>
      </c>
    </row>
    <row r="612" spans="1:4" x14ac:dyDescent="0.3">
      <c r="A612">
        <v>53116792</v>
      </c>
      <c r="B612" t="s">
        <v>3936</v>
      </c>
      <c r="C612" t="s">
        <v>3937</v>
      </c>
      <c r="D612" t="s">
        <v>4008</v>
      </c>
    </row>
    <row r="613" spans="1:4" x14ac:dyDescent="0.3">
      <c r="A613">
        <v>53116792</v>
      </c>
      <c r="B613" t="s">
        <v>3936</v>
      </c>
      <c r="C613" t="s">
        <v>3937</v>
      </c>
      <c r="D613" t="s">
        <v>4008</v>
      </c>
    </row>
    <row r="614" spans="1:4" x14ac:dyDescent="0.3">
      <c r="A614">
        <v>53116792</v>
      </c>
      <c r="B614" t="s">
        <v>3936</v>
      </c>
      <c r="C614" t="s">
        <v>3937</v>
      </c>
      <c r="D614" t="s">
        <v>4008</v>
      </c>
    </row>
    <row r="615" spans="1:4" x14ac:dyDescent="0.3">
      <c r="A615">
        <v>53139409</v>
      </c>
      <c r="B615" t="s">
        <v>3944</v>
      </c>
      <c r="C615" t="s">
        <v>3934</v>
      </c>
      <c r="D615" t="s">
        <v>3955</v>
      </c>
    </row>
    <row r="616" spans="1:4" x14ac:dyDescent="0.3">
      <c r="A616">
        <v>53139409</v>
      </c>
      <c r="B616" t="s">
        <v>3944</v>
      </c>
      <c r="C616" t="s">
        <v>3934</v>
      </c>
      <c r="D616" t="s">
        <v>3955</v>
      </c>
    </row>
    <row r="617" spans="1:4" x14ac:dyDescent="0.3">
      <c r="A617">
        <v>53139409</v>
      </c>
      <c r="B617" t="s">
        <v>3944</v>
      </c>
      <c r="C617" t="s">
        <v>3934</v>
      </c>
      <c r="D617" t="s">
        <v>3955</v>
      </c>
    </row>
    <row r="618" spans="1:4" x14ac:dyDescent="0.3">
      <c r="A618">
        <v>53139409</v>
      </c>
      <c r="B618" t="s">
        <v>3944</v>
      </c>
      <c r="C618" t="s">
        <v>3934</v>
      </c>
      <c r="D618" t="s">
        <v>3955</v>
      </c>
    </row>
    <row r="619" spans="1:4" x14ac:dyDescent="0.3">
      <c r="A619">
        <v>53139409</v>
      </c>
      <c r="B619" t="s">
        <v>3944</v>
      </c>
      <c r="C619" t="s">
        <v>3934</v>
      </c>
      <c r="D619" t="s">
        <v>3955</v>
      </c>
    </row>
    <row r="620" spans="1:4" x14ac:dyDescent="0.3">
      <c r="A620">
        <v>53139409</v>
      </c>
      <c r="B620" t="s">
        <v>3944</v>
      </c>
      <c r="C620" t="s">
        <v>3934</v>
      </c>
      <c r="D620" t="s">
        <v>3955</v>
      </c>
    </row>
    <row r="621" spans="1:4" x14ac:dyDescent="0.3">
      <c r="A621">
        <v>53139409</v>
      </c>
      <c r="B621" t="s">
        <v>3944</v>
      </c>
      <c r="C621" t="s">
        <v>3934</v>
      </c>
      <c r="D621" t="s">
        <v>3955</v>
      </c>
    </row>
    <row r="622" spans="1:4" x14ac:dyDescent="0.3">
      <c r="A622">
        <v>53139409</v>
      </c>
      <c r="B622" t="s">
        <v>3944</v>
      </c>
      <c r="C622" t="s">
        <v>3934</v>
      </c>
      <c r="D622" t="s">
        <v>3955</v>
      </c>
    </row>
    <row r="623" spans="1:4" x14ac:dyDescent="0.3">
      <c r="A623">
        <v>53139409</v>
      </c>
      <c r="B623" t="s">
        <v>3944</v>
      </c>
      <c r="C623" t="s">
        <v>3934</v>
      </c>
      <c r="D623" t="s">
        <v>3955</v>
      </c>
    </row>
    <row r="624" spans="1:4" x14ac:dyDescent="0.3">
      <c r="A624">
        <v>53139409</v>
      </c>
      <c r="B624" t="s">
        <v>3944</v>
      </c>
      <c r="C624" t="s">
        <v>3934</v>
      </c>
      <c r="D624" t="s">
        <v>3955</v>
      </c>
    </row>
    <row r="625" spans="1:4" x14ac:dyDescent="0.3">
      <c r="A625">
        <v>53139409</v>
      </c>
      <c r="B625" t="s">
        <v>3944</v>
      </c>
      <c r="C625" t="s">
        <v>3934</v>
      </c>
      <c r="D625" t="s">
        <v>3955</v>
      </c>
    </row>
    <row r="626" spans="1:4" x14ac:dyDescent="0.3">
      <c r="A626">
        <v>53139409</v>
      </c>
      <c r="B626" t="s">
        <v>3944</v>
      </c>
      <c r="C626" t="s">
        <v>3934</v>
      </c>
      <c r="D626" t="s">
        <v>3955</v>
      </c>
    </row>
    <row r="627" spans="1:4" x14ac:dyDescent="0.3">
      <c r="A627">
        <v>53139409</v>
      </c>
      <c r="B627" t="s">
        <v>3944</v>
      </c>
      <c r="C627" t="s">
        <v>3934</v>
      </c>
      <c r="D627" t="s">
        <v>3955</v>
      </c>
    </row>
    <row r="628" spans="1:4" x14ac:dyDescent="0.3">
      <c r="A628">
        <v>53139409</v>
      </c>
      <c r="B628" t="s">
        <v>3944</v>
      </c>
      <c r="C628" t="s">
        <v>3934</v>
      </c>
      <c r="D628" t="s">
        <v>3955</v>
      </c>
    </row>
    <row r="629" spans="1:4" x14ac:dyDescent="0.3">
      <c r="A629">
        <v>53139409</v>
      </c>
      <c r="B629" t="s">
        <v>3944</v>
      </c>
      <c r="C629" t="s">
        <v>3934</v>
      </c>
      <c r="D629" t="s">
        <v>3955</v>
      </c>
    </row>
    <row r="630" spans="1:4" x14ac:dyDescent="0.3">
      <c r="A630">
        <v>53139409</v>
      </c>
      <c r="B630" t="s">
        <v>3944</v>
      </c>
      <c r="C630" t="s">
        <v>3934</v>
      </c>
      <c r="D630" t="s">
        <v>3955</v>
      </c>
    </row>
    <row r="631" spans="1:4" x14ac:dyDescent="0.3">
      <c r="A631">
        <v>53139409</v>
      </c>
      <c r="B631" t="s">
        <v>3944</v>
      </c>
      <c r="C631" t="s">
        <v>3934</v>
      </c>
      <c r="D631" t="s">
        <v>3955</v>
      </c>
    </row>
    <row r="632" spans="1:4" x14ac:dyDescent="0.3">
      <c r="A632">
        <v>53139409</v>
      </c>
      <c r="B632" t="s">
        <v>3944</v>
      </c>
      <c r="C632" t="s">
        <v>3934</v>
      </c>
      <c r="D632" t="s">
        <v>3955</v>
      </c>
    </row>
    <row r="633" spans="1:4" x14ac:dyDescent="0.3">
      <c r="A633">
        <v>53139409</v>
      </c>
      <c r="B633" t="s">
        <v>3944</v>
      </c>
      <c r="C633" t="s">
        <v>3934</v>
      </c>
      <c r="D633" t="s">
        <v>3955</v>
      </c>
    </row>
    <row r="634" spans="1:4" x14ac:dyDescent="0.3">
      <c r="A634">
        <v>53139409</v>
      </c>
      <c r="B634" t="s">
        <v>3944</v>
      </c>
      <c r="C634" t="s">
        <v>3934</v>
      </c>
      <c r="D634" t="s">
        <v>3955</v>
      </c>
    </row>
    <row r="635" spans="1:4" x14ac:dyDescent="0.3">
      <c r="A635">
        <v>53139409</v>
      </c>
      <c r="B635" t="s">
        <v>3944</v>
      </c>
      <c r="C635" t="s">
        <v>3934</v>
      </c>
      <c r="D635" t="s">
        <v>3955</v>
      </c>
    </row>
    <row r="636" spans="1:4" x14ac:dyDescent="0.3">
      <c r="A636">
        <v>53139409</v>
      </c>
      <c r="B636" t="s">
        <v>3944</v>
      </c>
      <c r="C636" t="s">
        <v>3934</v>
      </c>
      <c r="D636" t="s">
        <v>3955</v>
      </c>
    </row>
    <row r="637" spans="1:4" x14ac:dyDescent="0.3">
      <c r="A637">
        <v>53139409</v>
      </c>
      <c r="B637" t="s">
        <v>3944</v>
      </c>
      <c r="C637" t="s">
        <v>3934</v>
      </c>
      <c r="D637" t="s">
        <v>3955</v>
      </c>
    </row>
    <row r="638" spans="1:4" x14ac:dyDescent="0.3">
      <c r="A638">
        <v>53139409</v>
      </c>
      <c r="B638" t="s">
        <v>3944</v>
      </c>
      <c r="C638" t="s">
        <v>3934</v>
      </c>
      <c r="D638" t="s">
        <v>3955</v>
      </c>
    </row>
    <row r="639" spans="1:4" x14ac:dyDescent="0.3">
      <c r="A639">
        <v>53139409</v>
      </c>
      <c r="B639" t="s">
        <v>3944</v>
      </c>
      <c r="C639" t="s">
        <v>3934</v>
      </c>
      <c r="D639" t="s">
        <v>3955</v>
      </c>
    </row>
    <row r="640" spans="1:4" x14ac:dyDescent="0.3">
      <c r="A640">
        <v>53139409</v>
      </c>
      <c r="B640" t="s">
        <v>3944</v>
      </c>
      <c r="C640" t="s">
        <v>3934</v>
      </c>
      <c r="D640" t="s">
        <v>3955</v>
      </c>
    </row>
    <row r="641" spans="1:4" x14ac:dyDescent="0.3">
      <c r="A641">
        <v>53139409</v>
      </c>
      <c r="B641" t="s">
        <v>3944</v>
      </c>
      <c r="C641" t="s">
        <v>3934</v>
      </c>
      <c r="D641" t="s">
        <v>3955</v>
      </c>
    </row>
    <row r="642" spans="1:4" x14ac:dyDescent="0.3">
      <c r="A642">
        <v>53139409</v>
      </c>
      <c r="B642" t="s">
        <v>3944</v>
      </c>
      <c r="C642" t="s">
        <v>3934</v>
      </c>
      <c r="D642" t="s">
        <v>3955</v>
      </c>
    </row>
    <row r="643" spans="1:4" x14ac:dyDescent="0.3">
      <c r="A643">
        <v>53139409</v>
      </c>
      <c r="B643" t="s">
        <v>3944</v>
      </c>
      <c r="C643" t="s">
        <v>3934</v>
      </c>
      <c r="D643" t="s">
        <v>3955</v>
      </c>
    </row>
    <row r="644" spans="1:4" x14ac:dyDescent="0.3">
      <c r="A644">
        <v>53139409</v>
      </c>
      <c r="B644" t="s">
        <v>3944</v>
      </c>
      <c r="C644" t="s">
        <v>3934</v>
      </c>
      <c r="D644" t="s">
        <v>3955</v>
      </c>
    </row>
    <row r="645" spans="1:4" x14ac:dyDescent="0.3">
      <c r="A645">
        <v>53139409</v>
      </c>
      <c r="B645" t="s">
        <v>3944</v>
      </c>
      <c r="C645" t="s">
        <v>3934</v>
      </c>
      <c r="D645" t="s">
        <v>3955</v>
      </c>
    </row>
    <row r="646" spans="1:4" x14ac:dyDescent="0.3">
      <c r="A646">
        <v>53139409</v>
      </c>
      <c r="B646" t="s">
        <v>3944</v>
      </c>
      <c r="C646" t="s">
        <v>3934</v>
      </c>
      <c r="D646" t="s">
        <v>3955</v>
      </c>
    </row>
    <row r="647" spans="1:4" x14ac:dyDescent="0.3">
      <c r="A647">
        <v>53139409</v>
      </c>
      <c r="B647" t="s">
        <v>3944</v>
      </c>
      <c r="C647" t="s">
        <v>3934</v>
      </c>
      <c r="D647" t="s">
        <v>3955</v>
      </c>
    </row>
    <row r="648" spans="1:4" x14ac:dyDescent="0.3">
      <c r="A648">
        <v>53178431</v>
      </c>
      <c r="B648" t="s">
        <v>3941</v>
      </c>
      <c r="C648" t="s">
        <v>3934</v>
      </c>
      <c r="D648" t="s">
        <v>3949</v>
      </c>
    </row>
    <row r="649" spans="1:4" x14ac:dyDescent="0.3">
      <c r="A649">
        <v>53178431</v>
      </c>
      <c r="B649" t="s">
        <v>3941</v>
      </c>
      <c r="C649" t="s">
        <v>3934</v>
      </c>
      <c r="D649" t="s">
        <v>3949</v>
      </c>
    </row>
    <row r="650" spans="1:4" x14ac:dyDescent="0.3">
      <c r="A650">
        <v>53178431</v>
      </c>
      <c r="B650" t="s">
        <v>3941</v>
      </c>
      <c r="C650" t="s">
        <v>3934</v>
      </c>
      <c r="D650" t="s">
        <v>3949</v>
      </c>
    </row>
    <row r="651" spans="1:4" x14ac:dyDescent="0.3">
      <c r="A651">
        <v>53178431</v>
      </c>
      <c r="B651" t="s">
        <v>3941</v>
      </c>
      <c r="C651" t="s">
        <v>3934</v>
      </c>
      <c r="D651" t="s">
        <v>3949</v>
      </c>
    </row>
    <row r="652" spans="1:4" x14ac:dyDescent="0.3">
      <c r="A652">
        <v>53178431</v>
      </c>
      <c r="B652" t="s">
        <v>3941</v>
      </c>
      <c r="C652" t="s">
        <v>3934</v>
      </c>
      <c r="D652" t="s">
        <v>3949</v>
      </c>
    </row>
    <row r="653" spans="1:4" x14ac:dyDescent="0.3">
      <c r="A653">
        <v>53178431</v>
      </c>
      <c r="B653" t="s">
        <v>3941</v>
      </c>
      <c r="C653" t="s">
        <v>3934</v>
      </c>
      <c r="D653" t="s">
        <v>3949</v>
      </c>
    </row>
    <row r="654" spans="1:4" x14ac:dyDescent="0.3">
      <c r="A654">
        <v>53178431</v>
      </c>
      <c r="B654" t="s">
        <v>3941</v>
      </c>
      <c r="C654" t="s">
        <v>3934</v>
      </c>
      <c r="D654" t="s">
        <v>3949</v>
      </c>
    </row>
    <row r="655" spans="1:4" x14ac:dyDescent="0.3">
      <c r="A655">
        <v>53178431</v>
      </c>
      <c r="B655" t="s">
        <v>3941</v>
      </c>
      <c r="C655" t="s">
        <v>3934</v>
      </c>
      <c r="D655" t="s">
        <v>3949</v>
      </c>
    </row>
    <row r="656" spans="1:4" x14ac:dyDescent="0.3">
      <c r="A656">
        <v>53178431</v>
      </c>
      <c r="B656" t="s">
        <v>3941</v>
      </c>
      <c r="C656" t="s">
        <v>3934</v>
      </c>
      <c r="D656" t="s">
        <v>3949</v>
      </c>
    </row>
    <row r="657" spans="1:4" x14ac:dyDescent="0.3">
      <c r="A657">
        <v>53178431</v>
      </c>
      <c r="B657" t="s">
        <v>3941</v>
      </c>
      <c r="C657" t="s">
        <v>3934</v>
      </c>
      <c r="D657" t="s">
        <v>3949</v>
      </c>
    </row>
    <row r="658" spans="1:4" x14ac:dyDescent="0.3">
      <c r="A658">
        <v>53178431</v>
      </c>
      <c r="B658" t="s">
        <v>3941</v>
      </c>
      <c r="C658" t="s">
        <v>3934</v>
      </c>
      <c r="D658" t="s">
        <v>3949</v>
      </c>
    </row>
    <row r="659" spans="1:4" x14ac:dyDescent="0.3">
      <c r="A659">
        <v>53178431</v>
      </c>
      <c r="B659" t="s">
        <v>3941</v>
      </c>
      <c r="C659" t="s">
        <v>3934</v>
      </c>
      <c r="D659" t="s">
        <v>3949</v>
      </c>
    </row>
    <row r="660" spans="1:4" x14ac:dyDescent="0.3">
      <c r="A660">
        <v>53178431</v>
      </c>
      <c r="B660" t="s">
        <v>3941</v>
      </c>
      <c r="C660" t="s">
        <v>3934</v>
      </c>
      <c r="D660" t="s">
        <v>3949</v>
      </c>
    </row>
    <row r="661" spans="1:4" x14ac:dyDescent="0.3">
      <c r="A661">
        <v>53178431</v>
      </c>
      <c r="B661" t="s">
        <v>3941</v>
      </c>
      <c r="C661" t="s">
        <v>3934</v>
      </c>
      <c r="D661" t="s">
        <v>3949</v>
      </c>
    </row>
    <row r="662" spans="1:4" x14ac:dyDescent="0.3">
      <c r="A662">
        <v>53178431</v>
      </c>
      <c r="B662" t="s">
        <v>3941</v>
      </c>
      <c r="C662" t="s">
        <v>3934</v>
      </c>
      <c r="D662" t="s">
        <v>3949</v>
      </c>
    </row>
    <row r="663" spans="1:4" x14ac:dyDescent="0.3">
      <c r="A663">
        <v>53178431</v>
      </c>
      <c r="B663" t="s">
        <v>3941</v>
      </c>
      <c r="C663" t="s">
        <v>3934</v>
      </c>
      <c r="D663" t="s">
        <v>3949</v>
      </c>
    </row>
    <row r="664" spans="1:4" x14ac:dyDescent="0.3">
      <c r="A664">
        <v>53178431</v>
      </c>
      <c r="B664" t="s">
        <v>3941</v>
      </c>
      <c r="C664" t="s">
        <v>3934</v>
      </c>
      <c r="D664" t="s">
        <v>3949</v>
      </c>
    </row>
    <row r="665" spans="1:4" x14ac:dyDescent="0.3">
      <c r="A665">
        <v>53178431</v>
      </c>
      <c r="B665" t="s">
        <v>3941</v>
      </c>
      <c r="C665" t="s">
        <v>3934</v>
      </c>
      <c r="D665" t="s">
        <v>3949</v>
      </c>
    </row>
    <row r="666" spans="1:4" x14ac:dyDescent="0.3">
      <c r="A666">
        <v>53178431</v>
      </c>
      <c r="B666" t="s">
        <v>3941</v>
      </c>
      <c r="C666" t="s">
        <v>3934</v>
      </c>
      <c r="D666" t="s">
        <v>3949</v>
      </c>
    </row>
    <row r="667" spans="1:4" x14ac:dyDescent="0.3">
      <c r="A667">
        <v>53178431</v>
      </c>
      <c r="B667" t="s">
        <v>3941</v>
      </c>
      <c r="C667" t="s">
        <v>3934</v>
      </c>
      <c r="D667" t="s">
        <v>3949</v>
      </c>
    </row>
    <row r="668" spans="1:4" x14ac:dyDescent="0.3">
      <c r="A668">
        <v>53178431</v>
      </c>
      <c r="B668" t="s">
        <v>3941</v>
      </c>
      <c r="C668" t="s">
        <v>3934</v>
      </c>
      <c r="D668" t="s">
        <v>3949</v>
      </c>
    </row>
    <row r="669" spans="1:4" x14ac:dyDescent="0.3">
      <c r="A669">
        <v>53178431</v>
      </c>
      <c r="B669" t="s">
        <v>3941</v>
      </c>
      <c r="C669" t="s">
        <v>3934</v>
      </c>
      <c r="D669" t="s">
        <v>3949</v>
      </c>
    </row>
    <row r="670" spans="1:4" x14ac:dyDescent="0.3">
      <c r="A670">
        <v>53178431</v>
      </c>
      <c r="B670" t="s">
        <v>3941</v>
      </c>
      <c r="C670" t="s">
        <v>3934</v>
      </c>
      <c r="D670" t="s">
        <v>3949</v>
      </c>
    </row>
    <row r="671" spans="1:4" x14ac:dyDescent="0.3">
      <c r="A671">
        <v>60345453</v>
      </c>
      <c r="B671" t="s">
        <v>4019</v>
      </c>
      <c r="C671" t="s">
        <v>4020</v>
      </c>
      <c r="D671" t="s">
        <v>4063</v>
      </c>
    </row>
    <row r="672" spans="1:4" x14ac:dyDescent="0.3">
      <c r="A672">
        <v>60345453</v>
      </c>
      <c r="B672" t="s">
        <v>4019</v>
      </c>
      <c r="C672" t="s">
        <v>4020</v>
      </c>
      <c r="D672" t="s">
        <v>4063</v>
      </c>
    </row>
    <row r="673" spans="1:4" x14ac:dyDescent="0.3">
      <c r="A673">
        <v>60345453</v>
      </c>
      <c r="B673" t="s">
        <v>4019</v>
      </c>
      <c r="C673" t="s">
        <v>4020</v>
      </c>
      <c r="D673" t="s">
        <v>4063</v>
      </c>
    </row>
    <row r="674" spans="1:4" x14ac:dyDescent="0.3">
      <c r="A674">
        <v>60345453</v>
      </c>
      <c r="B674" t="s">
        <v>4019</v>
      </c>
      <c r="C674" t="s">
        <v>4020</v>
      </c>
      <c r="D674" t="s">
        <v>4063</v>
      </c>
    </row>
    <row r="675" spans="1:4" x14ac:dyDescent="0.3">
      <c r="A675">
        <v>60345453</v>
      </c>
      <c r="B675" t="s">
        <v>4019</v>
      </c>
      <c r="C675" t="s">
        <v>4020</v>
      </c>
      <c r="D675" t="s">
        <v>4063</v>
      </c>
    </row>
    <row r="676" spans="1:4" x14ac:dyDescent="0.3">
      <c r="A676">
        <v>60345453</v>
      </c>
      <c r="B676" t="s">
        <v>4019</v>
      </c>
      <c r="C676" t="s">
        <v>4020</v>
      </c>
      <c r="D676" t="s">
        <v>4063</v>
      </c>
    </row>
    <row r="677" spans="1:4" x14ac:dyDescent="0.3">
      <c r="A677">
        <v>60345453</v>
      </c>
      <c r="B677" t="s">
        <v>4019</v>
      </c>
      <c r="C677" t="s">
        <v>4020</v>
      </c>
      <c r="D677" t="s">
        <v>4063</v>
      </c>
    </row>
    <row r="678" spans="1:4" x14ac:dyDescent="0.3">
      <c r="A678">
        <v>60345453</v>
      </c>
      <c r="B678" t="s">
        <v>4019</v>
      </c>
      <c r="C678" t="s">
        <v>4020</v>
      </c>
      <c r="D678" t="s">
        <v>4063</v>
      </c>
    </row>
    <row r="679" spans="1:4" x14ac:dyDescent="0.3">
      <c r="A679">
        <v>60345453</v>
      </c>
      <c r="B679" t="s">
        <v>4019</v>
      </c>
      <c r="C679" t="s">
        <v>4020</v>
      </c>
      <c r="D679" t="s">
        <v>4063</v>
      </c>
    </row>
    <row r="680" spans="1:4" x14ac:dyDescent="0.3">
      <c r="A680">
        <v>60345453</v>
      </c>
      <c r="B680" t="s">
        <v>4019</v>
      </c>
      <c r="C680" t="s">
        <v>4020</v>
      </c>
      <c r="D680" t="s">
        <v>4063</v>
      </c>
    </row>
    <row r="681" spans="1:4" x14ac:dyDescent="0.3">
      <c r="A681">
        <v>60345453</v>
      </c>
      <c r="B681" t="s">
        <v>4019</v>
      </c>
      <c r="C681" t="s">
        <v>4020</v>
      </c>
      <c r="D681" t="s">
        <v>4063</v>
      </c>
    </row>
    <row r="682" spans="1:4" x14ac:dyDescent="0.3">
      <c r="A682">
        <v>60345453</v>
      </c>
      <c r="B682" t="s">
        <v>4019</v>
      </c>
      <c r="C682" t="s">
        <v>4020</v>
      </c>
      <c r="D682" t="s">
        <v>4063</v>
      </c>
    </row>
    <row r="683" spans="1:4" x14ac:dyDescent="0.3">
      <c r="A683">
        <v>60345453</v>
      </c>
      <c r="B683" t="s">
        <v>4019</v>
      </c>
      <c r="C683" t="s">
        <v>4020</v>
      </c>
      <c r="D683" t="s">
        <v>4063</v>
      </c>
    </row>
    <row r="684" spans="1:4" x14ac:dyDescent="0.3">
      <c r="A684">
        <v>60345453</v>
      </c>
      <c r="B684" t="s">
        <v>4019</v>
      </c>
      <c r="C684" t="s">
        <v>4020</v>
      </c>
      <c r="D684" t="s">
        <v>4063</v>
      </c>
    </row>
    <row r="685" spans="1:4" x14ac:dyDescent="0.3">
      <c r="A685">
        <v>60345453</v>
      </c>
      <c r="B685" t="s">
        <v>4019</v>
      </c>
      <c r="C685" t="s">
        <v>4020</v>
      </c>
      <c r="D685" t="s">
        <v>4063</v>
      </c>
    </row>
    <row r="686" spans="1:4" x14ac:dyDescent="0.3">
      <c r="A686">
        <v>60345453</v>
      </c>
      <c r="B686" t="s">
        <v>4019</v>
      </c>
      <c r="C686" t="s">
        <v>4020</v>
      </c>
      <c r="D686" t="s">
        <v>4063</v>
      </c>
    </row>
    <row r="687" spans="1:4" x14ac:dyDescent="0.3">
      <c r="A687">
        <v>60345453</v>
      </c>
      <c r="B687" t="s">
        <v>4019</v>
      </c>
      <c r="C687" t="s">
        <v>4020</v>
      </c>
      <c r="D687" t="s">
        <v>4063</v>
      </c>
    </row>
    <row r="688" spans="1:4" x14ac:dyDescent="0.3">
      <c r="A688">
        <v>60345453</v>
      </c>
      <c r="B688" t="s">
        <v>4019</v>
      </c>
      <c r="C688" t="s">
        <v>4020</v>
      </c>
      <c r="D688" t="s">
        <v>4063</v>
      </c>
    </row>
    <row r="689" spans="1:4" x14ac:dyDescent="0.3">
      <c r="A689">
        <v>60345453</v>
      </c>
      <c r="B689" t="s">
        <v>4019</v>
      </c>
      <c r="C689" t="s">
        <v>4020</v>
      </c>
      <c r="D689" t="s">
        <v>4063</v>
      </c>
    </row>
    <row r="690" spans="1:4" x14ac:dyDescent="0.3">
      <c r="A690">
        <v>60345453</v>
      </c>
      <c r="B690" t="s">
        <v>4019</v>
      </c>
      <c r="C690" t="s">
        <v>4020</v>
      </c>
      <c r="D690" t="s">
        <v>4063</v>
      </c>
    </row>
    <row r="691" spans="1:4" x14ac:dyDescent="0.3">
      <c r="A691">
        <v>60345453</v>
      </c>
      <c r="B691" t="s">
        <v>4019</v>
      </c>
      <c r="C691" t="s">
        <v>4020</v>
      </c>
      <c r="D691" t="s">
        <v>4063</v>
      </c>
    </row>
    <row r="692" spans="1:4" x14ac:dyDescent="0.3">
      <c r="A692">
        <v>60345453</v>
      </c>
      <c r="B692" t="s">
        <v>4019</v>
      </c>
      <c r="C692" t="s">
        <v>4020</v>
      </c>
      <c r="D692" t="s">
        <v>4063</v>
      </c>
    </row>
    <row r="693" spans="1:4" x14ac:dyDescent="0.3">
      <c r="A693">
        <v>60345453</v>
      </c>
      <c r="B693" t="s">
        <v>4019</v>
      </c>
      <c r="C693" t="s">
        <v>4020</v>
      </c>
      <c r="D693" t="s">
        <v>4063</v>
      </c>
    </row>
    <row r="694" spans="1:4" x14ac:dyDescent="0.3">
      <c r="A694">
        <v>60345453</v>
      </c>
      <c r="B694" t="s">
        <v>4019</v>
      </c>
      <c r="C694" t="s">
        <v>4020</v>
      </c>
      <c r="D694" t="s">
        <v>4063</v>
      </c>
    </row>
    <row r="695" spans="1:4" x14ac:dyDescent="0.3">
      <c r="A695">
        <v>60345453</v>
      </c>
      <c r="B695" t="s">
        <v>4019</v>
      </c>
      <c r="C695" t="s">
        <v>4020</v>
      </c>
      <c r="D695" t="s">
        <v>4063</v>
      </c>
    </row>
    <row r="696" spans="1:4" x14ac:dyDescent="0.3">
      <c r="A696">
        <v>60345453</v>
      </c>
      <c r="B696" t="s">
        <v>4019</v>
      </c>
      <c r="C696" t="s">
        <v>4020</v>
      </c>
      <c r="D696" t="s">
        <v>4063</v>
      </c>
    </row>
    <row r="697" spans="1:4" x14ac:dyDescent="0.3">
      <c r="A697">
        <v>60345453</v>
      </c>
      <c r="B697" t="s">
        <v>4019</v>
      </c>
      <c r="C697" t="s">
        <v>4020</v>
      </c>
      <c r="D697" t="s">
        <v>4063</v>
      </c>
    </row>
    <row r="698" spans="1:4" x14ac:dyDescent="0.3">
      <c r="A698">
        <v>60345453</v>
      </c>
      <c r="B698" t="s">
        <v>4019</v>
      </c>
      <c r="C698" t="s">
        <v>4020</v>
      </c>
      <c r="D698" t="s">
        <v>4063</v>
      </c>
    </row>
    <row r="699" spans="1:4" x14ac:dyDescent="0.3">
      <c r="A699">
        <v>60345453</v>
      </c>
      <c r="B699" t="s">
        <v>4019</v>
      </c>
      <c r="C699" t="s">
        <v>4020</v>
      </c>
      <c r="D699" t="s">
        <v>4063</v>
      </c>
    </row>
    <row r="700" spans="1:4" x14ac:dyDescent="0.3">
      <c r="A700">
        <v>60345453</v>
      </c>
      <c r="B700" t="s">
        <v>4019</v>
      </c>
      <c r="C700" t="s">
        <v>4020</v>
      </c>
      <c r="D700" t="s">
        <v>4063</v>
      </c>
    </row>
    <row r="701" spans="1:4" x14ac:dyDescent="0.3">
      <c r="A701">
        <v>60345453</v>
      </c>
      <c r="B701" t="s">
        <v>4019</v>
      </c>
      <c r="C701" t="s">
        <v>4020</v>
      </c>
      <c r="D701" t="s">
        <v>4063</v>
      </c>
    </row>
    <row r="702" spans="1:4" x14ac:dyDescent="0.3">
      <c r="A702">
        <v>60345453</v>
      </c>
      <c r="B702" t="s">
        <v>4019</v>
      </c>
      <c r="C702" t="s">
        <v>4020</v>
      </c>
      <c r="D702" t="s">
        <v>4063</v>
      </c>
    </row>
    <row r="703" spans="1:4" x14ac:dyDescent="0.3">
      <c r="A703">
        <v>60345453</v>
      </c>
      <c r="B703" t="s">
        <v>4019</v>
      </c>
      <c r="C703" t="s">
        <v>4020</v>
      </c>
      <c r="D703" t="s">
        <v>4063</v>
      </c>
    </row>
    <row r="704" spans="1:4" x14ac:dyDescent="0.3">
      <c r="A704">
        <v>60345453</v>
      </c>
      <c r="B704" t="s">
        <v>4019</v>
      </c>
      <c r="C704" t="s">
        <v>4020</v>
      </c>
      <c r="D704" t="s">
        <v>4063</v>
      </c>
    </row>
    <row r="705" spans="1:4" x14ac:dyDescent="0.3">
      <c r="A705">
        <v>60345453</v>
      </c>
      <c r="B705" t="s">
        <v>4019</v>
      </c>
      <c r="C705" t="s">
        <v>4020</v>
      </c>
      <c r="D705" t="s">
        <v>4063</v>
      </c>
    </row>
    <row r="706" spans="1:4" x14ac:dyDescent="0.3">
      <c r="A706">
        <v>60345453</v>
      </c>
      <c r="B706" t="s">
        <v>4019</v>
      </c>
      <c r="C706" t="s">
        <v>4020</v>
      </c>
      <c r="D706" t="s">
        <v>4063</v>
      </c>
    </row>
    <row r="707" spans="1:4" x14ac:dyDescent="0.3">
      <c r="A707">
        <v>60345453</v>
      </c>
      <c r="B707" t="s">
        <v>4019</v>
      </c>
      <c r="C707" t="s">
        <v>4020</v>
      </c>
      <c r="D707" t="s">
        <v>4063</v>
      </c>
    </row>
    <row r="708" spans="1:4" x14ac:dyDescent="0.3">
      <c r="A708">
        <v>60345453</v>
      </c>
      <c r="B708" t="s">
        <v>4019</v>
      </c>
      <c r="C708" t="s">
        <v>4020</v>
      </c>
      <c r="D708" t="s">
        <v>4063</v>
      </c>
    </row>
    <row r="709" spans="1:4" x14ac:dyDescent="0.3">
      <c r="A709">
        <v>60345453</v>
      </c>
      <c r="B709" t="s">
        <v>4019</v>
      </c>
      <c r="C709" t="s">
        <v>4020</v>
      </c>
      <c r="D709" t="s">
        <v>4063</v>
      </c>
    </row>
    <row r="710" spans="1:4" x14ac:dyDescent="0.3">
      <c r="A710">
        <v>60345453</v>
      </c>
      <c r="B710" t="s">
        <v>4019</v>
      </c>
      <c r="C710" t="s">
        <v>4020</v>
      </c>
      <c r="D710" t="s">
        <v>4063</v>
      </c>
    </row>
    <row r="711" spans="1:4" x14ac:dyDescent="0.3">
      <c r="A711">
        <v>60345453</v>
      </c>
      <c r="B711" t="s">
        <v>4019</v>
      </c>
      <c r="C711" t="s">
        <v>4020</v>
      </c>
      <c r="D711" t="s">
        <v>4063</v>
      </c>
    </row>
    <row r="712" spans="1:4" x14ac:dyDescent="0.3">
      <c r="A712">
        <v>60345453</v>
      </c>
      <c r="B712" t="s">
        <v>4019</v>
      </c>
      <c r="C712" t="s">
        <v>4020</v>
      </c>
      <c r="D712" t="s">
        <v>4063</v>
      </c>
    </row>
    <row r="713" spans="1:4" x14ac:dyDescent="0.3">
      <c r="A713">
        <v>60345453</v>
      </c>
      <c r="B713" t="s">
        <v>4019</v>
      </c>
      <c r="C713" t="s">
        <v>4020</v>
      </c>
      <c r="D713" t="s">
        <v>4063</v>
      </c>
    </row>
    <row r="714" spans="1:4" x14ac:dyDescent="0.3">
      <c r="A714">
        <v>60345453</v>
      </c>
      <c r="B714" t="s">
        <v>4019</v>
      </c>
      <c r="C714" t="s">
        <v>4020</v>
      </c>
      <c r="D714" t="s">
        <v>4063</v>
      </c>
    </row>
    <row r="715" spans="1:4" x14ac:dyDescent="0.3">
      <c r="A715">
        <v>60345453</v>
      </c>
      <c r="B715" t="s">
        <v>4019</v>
      </c>
      <c r="C715" t="s">
        <v>4020</v>
      </c>
      <c r="D715" t="s">
        <v>4063</v>
      </c>
    </row>
    <row r="716" spans="1:4" x14ac:dyDescent="0.3">
      <c r="A716">
        <v>60345453</v>
      </c>
      <c r="B716" t="s">
        <v>4019</v>
      </c>
      <c r="C716" t="s">
        <v>4020</v>
      </c>
      <c r="D716" t="s">
        <v>4063</v>
      </c>
    </row>
    <row r="717" spans="1:4" x14ac:dyDescent="0.3">
      <c r="A717">
        <v>60345453</v>
      </c>
      <c r="B717" t="s">
        <v>4019</v>
      </c>
      <c r="C717" t="s">
        <v>4020</v>
      </c>
      <c r="D717" t="s">
        <v>4063</v>
      </c>
    </row>
    <row r="718" spans="1:4" x14ac:dyDescent="0.3">
      <c r="A718">
        <v>60345453</v>
      </c>
      <c r="B718" t="s">
        <v>4019</v>
      </c>
      <c r="C718" t="s">
        <v>4020</v>
      </c>
      <c r="D718" t="s">
        <v>4063</v>
      </c>
    </row>
    <row r="719" spans="1:4" x14ac:dyDescent="0.3">
      <c r="A719">
        <v>63501040</v>
      </c>
      <c r="B719" t="s">
        <v>3941</v>
      </c>
      <c r="C719" t="s">
        <v>3934</v>
      </c>
      <c r="D719" t="s">
        <v>4087</v>
      </c>
    </row>
    <row r="720" spans="1:4" x14ac:dyDescent="0.3">
      <c r="A720">
        <v>63501040</v>
      </c>
      <c r="B720" t="s">
        <v>3941</v>
      </c>
      <c r="C720" t="s">
        <v>3934</v>
      </c>
      <c r="D720" t="s">
        <v>4087</v>
      </c>
    </row>
    <row r="721" spans="1:4" x14ac:dyDescent="0.3">
      <c r="A721">
        <v>63501040</v>
      </c>
      <c r="B721" t="s">
        <v>3941</v>
      </c>
      <c r="C721" t="s">
        <v>3934</v>
      </c>
      <c r="D721" t="s">
        <v>4087</v>
      </c>
    </row>
    <row r="722" spans="1:4" x14ac:dyDescent="0.3">
      <c r="A722">
        <v>63501040</v>
      </c>
      <c r="B722" t="s">
        <v>3941</v>
      </c>
      <c r="C722" t="s">
        <v>3934</v>
      </c>
      <c r="D722" t="s">
        <v>4087</v>
      </c>
    </row>
    <row r="723" spans="1:4" x14ac:dyDescent="0.3">
      <c r="A723">
        <v>79635092</v>
      </c>
      <c r="B723" t="s">
        <v>3963</v>
      </c>
      <c r="C723" t="s">
        <v>3934</v>
      </c>
      <c r="D723" t="s">
        <v>4079</v>
      </c>
    </row>
    <row r="724" spans="1:4" x14ac:dyDescent="0.3">
      <c r="A724">
        <v>79635092</v>
      </c>
      <c r="B724" t="s">
        <v>3963</v>
      </c>
      <c r="C724" t="s">
        <v>3934</v>
      </c>
      <c r="D724" t="s">
        <v>4079</v>
      </c>
    </row>
    <row r="725" spans="1:4" x14ac:dyDescent="0.3">
      <c r="A725">
        <v>79635092</v>
      </c>
      <c r="B725" t="s">
        <v>3963</v>
      </c>
      <c r="C725" t="s">
        <v>3934</v>
      </c>
      <c r="D725" t="s">
        <v>4079</v>
      </c>
    </row>
    <row r="726" spans="1:4" x14ac:dyDescent="0.3">
      <c r="A726">
        <v>79635092</v>
      </c>
      <c r="B726" t="s">
        <v>3963</v>
      </c>
      <c r="C726" t="s">
        <v>3934</v>
      </c>
      <c r="D726" t="s">
        <v>4079</v>
      </c>
    </row>
    <row r="727" spans="1:4" x14ac:dyDescent="0.3">
      <c r="A727">
        <v>79635092</v>
      </c>
      <c r="B727" t="s">
        <v>3963</v>
      </c>
      <c r="C727" t="s">
        <v>3934</v>
      </c>
      <c r="D727" t="s">
        <v>4079</v>
      </c>
    </row>
    <row r="728" spans="1:4" x14ac:dyDescent="0.3">
      <c r="A728">
        <v>79635092</v>
      </c>
      <c r="B728" t="s">
        <v>3963</v>
      </c>
      <c r="C728" t="s">
        <v>3934</v>
      </c>
      <c r="D728" t="s">
        <v>4079</v>
      </c>
    </row>
    <row r="729" spans="1:4" x14ac:dyDescent="0.3">
      <c r="A729">
        <v>79635092</v>
      </c>
      <c r="B729" t="s">
        <v>3963</v>
      </c>
      <c r="C729" t="s">
        <v>3934</v>
      </c>
      <c r="D729" t="s">
        <v>4079</v>
      </c>
    </row>
    <row r="730" spans="1:4" x14ac:dyDescent="0.3">
      <c r="A730">
        <v>79635092</v>
      </c>
      <c r="B730" t="s">
        <v>3963</v>
      </c>
      <c r="C730" t="s">
        <v>3934</v>
      </c>
      <c r="D730" t="s">
        <v>4079</v>
      </c>
    </row>
    <row r="731" spans="1:4" x14ac:dyDescent="0.3">
      <c r="A731">
        <v>79635092</v>
      </c>
      <c r="B731" t="s">
        <v>3963</v>
      </c>
      <c r="C731" t="s">
        <v>3934</v>
      </c>
      <c r="D731" t="s">
        <v>4079</v>
      </c>
    </row>
    <row r="732" spans="1:4" x14ac:dyDescent="0.3">
      <c r="A732">
        <v>79635092</v>
      </c>
      <c r="B732" t="s">
        <v>3963</v>
      </c>
      <c r="C732" t="s">
        <v>3934</v>
      </c>
      <c r="D732" t="s">
        <v>4079</v>
      </c>
    </row>
    <row r="733" spans="1:4" x14ac:dyDescent="0.3">
      <c r="A733">
        <v>79635092</v>
      </c>
      <c r="B733" t="s">
        <v>3963</v>
      </c>
      <c r="C733" t="s">
        <v>3934</v>
      </c>
      <c r="D733" t="s">
        <v>4079</v>
      </c>
    </row>
    <row r="734" spans="1:4" x14ac:dyDescent="0.3">
      <c r="A734">
        <v>79635092</v>
      </c>
      <c r="B734" t="s">
        <v>3963</v>
      </c>
      <c r="C734" t="s">
        <v>3934</v>
      </c>
      <c r="D734" t="s">
        <v>4079</v>
      </c>
    </row>
    <row r="735" spans="1:4" x14ac:dyDescent="0.3">
      <c r="A735">
        <v>79635092</v>
      </c>
      <c r="B735" t="s">
        <v>3963</v>
      </c>
      <c r="C735" t="s">
        <v>3934</v>
      </c>
      <c r="D735" t="s">
        <v>4079</v>
      </c>
    </row>
    <row r="736" spans="1:4" x14ac:dyDescent="0.3">
      <c r="A736">
        <v>79635092</v>
      </c>
      <c r="B736" t="s">
        <v>3963</v>
      </c>
      <c r="C736" t="s">
        <v>3934</v>
      </c>
      <c r="D736" t="s">
        <v>4079</v>
      </c>
    </row>
    <row r="737" spans="1:4" x14ac:dyDescent="0.3">
      <c r="A737">
        <v>79786913</v>
      </c>
      <c r="B737" t="s">
        <v>3939</v>
      </c>
      <c r="C737" t="s">
        <v>3934</v>
      </c>
      <c r="D737" t="s">
        <v>4010</v>
      </c>
    </row>
    <row r="738" spans="1:4" x14ac:dyDescent="0.3">
      <c r="A738">
        <v>79786913</v>
      </c>
      <c r="B738" t="s">
        <v>3939</v>
      </c>
      <c r="C738" t="s">
        <v>3934</v>
      </c>
      <c r="D738" t="s">
        <v>4010</v>
      </c>
    </row>
    <row r="739" spans="1:4" x14ac:dyDescent="0.3">
      <c r="A739">
        <v>79786913</v>
      </c>
      <c r="B739" t="s">
        <v>3939</v>
      </c>
      <c r="C739" t="s">
        <v>3934</v>
      </c>
      <c r="D739" t="s">
        <v>4010</v>
      </c>
    </row>
    <row r="740" spans="1:4" x14ac:dyDescent="0.3">
      <c r="A740">
        <v>79786913</v>
      </c>
      <c r="B740" t="s">
        <v>3939</v>
      </c>
      <c r="C740" t="s">
        <v>3934</v>
      </c>
      <c r="D740" t="s">
        <v>4010</v>
      </c>
    </row>
    <row r="741" spans="1:4" x14ac:dyDescent="0.3">
      <c r="A741">
        <v>79786913</v>
      </c>
      <c r="B741" t="s">
        <v>3939</v>
      </c>
      <c r="C741" t="s">
        <v>3934</v>
      </c>
      <c r="D741" t="s">
        <v>4010</v>
      </c>
    </row>
    <row r="742" spans="1:4" x14ac:dyDescent="0.3">
      <c r="A742">
        <v>79786913</v>
      </c>
      <c r="B742" t="s">
        <v>3939</v>
      </c>
      <c r="C742" t="s">
        <v>3934</v>
      </c>
      <c r="D742" t="s">
        <v>4010</v>
      </c>
    </row>
    <row r="743" spans="1:4" x14ac:dyDescent="0.3">
      <c r="A743">
        <v>79786913</v>
      </c>
      <c r="B743" t="s">
        <v>3939</v>
      </c>
      <c r="C743" t="s">
        <v>3934</v>
      </c>
      <c r="D743" t="s">
        <v>4010</v>
      </c>
    </row>
    <row r="744" spans="1:4" x14ac:dyDescent="0.3">
      <c r="A744">
        <v>79786913</v>
      </c>
      <c r="B744" t="s">
        <v>3939</v>
      </c>
      <c r="C744" t="s">
        <v>3934</v>
      </c>
      <c r="D744" t="s">
        <v>4010</v>
      </c>
    </row>
    <row r="745" spans="1:4" x14ac:dyDescent="0.3">
      <c r="A745">
        <v>79786913</v>
      </c>
      <c r="B745" t="s">
        <v>3939</v>
      </c>
      <c r="C745" t="s">
        <v>3934</v>
      </c>
      <c r="D745" t="s">
        <v>4010</v>
      </c>
    </row>
    <row r="746" spans="1:4" x14ac:dyDescent="0.3">
      <c r="A746">
        <v>79786913</v>
      </c>
      <c r="B746" t="s">
        <v>3939</v>
      </c>
      <c r="C746" t="s">
        <v>3934</v>
      </c>
      <c r="D746" t="s">
        <v>4010</v>
      </c>
    </row>
    <row r="747" spans="1:4" x14ac:dyDescent="0.3">
      <c r="A747">
        <v>79786913</v>
      </c>
      <c r="B747" t="s">
        <v>3939</v>
      </c>
      <c r="C747" t="s">
        <v>3934</v>
      </c>
      <c r="D747" t="s">
        <v>4010</v>
      </c>
    </row>
    <row r="748" spans="1:4" x14ac:dyDescent="0.3">
      <c r="A748">
        <v>79789547</v>
      </c>
      <c r="B748" t="s">
        <v>4019</v>
      </c>
      <c r="C748" t="s">
        <v>4020</v>
      </c>
      <c r="D748" t="s">
        <v>4093</v>
      </c>
    </row>
    <row r="749" spans="1:4" x14ac:dyDescent="0.3">
      <c r="A749">
        <v>79789547</v>
      </c>
      <c r="B749" t="s">
        <v>4019</v>
      </c>
      <c r="C749" t="s">
        <v>4020</v>
      </c>
      <c r="D749" t="s">
        <v>4093</v>
      </c>
    </row>
    <row r="750" spans="1:4" x14ac:dyDescent="0.3">
      <c r="A750">
        <v>80021358</v>
      </c>
      <c r="B750" t="s">
        <v>3986</v>
      </c>
      <c r="C750" t="s">
        <v>3934</v>
      </c>
      <c r="D750" t="s">
        <v>3995</v>
      </c>
    </row>
    <row r="751" spans="1:4" x14ac:dyDescent="0.3">
      <c r="A751">
        <v>80021358</v>
      </c>
      <c r="B751" t="s">
        <v>3986</v>
      </c>
      <c r="C751" t="s">
        <v>3934</v>
      </c>
      <c r="D751" t="s">
        <v>3995</v>
      </c>
    </row>
    <row r="752" spans="1:4" x14ac:dyDescent="0.3">
      <c r="A752">
        <v>80021358</v>
      </c>
      <c r="B752" t="s">
        <v>3986</v>
      </c>
      <c r="C752" t="s">
        <v>3934</v>
      </c>
      <c r="D752" t="s">
        <v>3995</v>
      </c>
    </row>
    <row r="753" spans="1:4" x14ac:dyDescent="0.3">
      <c r="A753">
        <v>80021358</v>
      </c>
      <c r="B753" t="s">
        <v>3986</v>
      </c>
      <c r="C753" t="s">
        <v>3934</v>
      </c>
      <c r="D753" t="s">
        <v>3995</v>
      </c>
    </row>
    <row r="754" spans="1:4" x14ac:dyDescent="0.3">
      <c r="A754">
        <v>80021358</v>
      </c>
      <c r="B754" t="s">
        <v>3986</v>
      </c>
      <c r="C754" t="s">
        <v>3934</v>
      </c>
      <c r="D754" t="s">
        <v>3995</v>
      </c>
    </row>
    <row r="755" spans="1:4" x14ac:dyDescent="0.3">
      <c r="A755">
        <v>80021358</v>
      </c>
      <c r="B755" t="s">
        <v>3986</v>
      </c>
      <c r="C755" t="s">
        <v>3934</v>
      </c>
      <c r="D755" t="s">
        <v>3995</v>
      </c>
    </row>
    <row r="756" spans="1:4" x14ac:dyDescent="0.3">
      <c r="A756">
        <v>80021358</v>
      </c>
      <c r="B756" t="s">
        <v>3986</v>
      </c>
      <c r="C756" t="s">
        <v>3934</v>
      </c>
      <c r="D756" t="s">
        <v>3995</v>
      </c>
    </row>
    <row r="757" spans="1:4" x14ac:dyDescent="0.3">
      <c r="A757">
        <v>80021358</v>
      </c>
      <c r="B757" t="s">
        <v>3986</v>
      </c>
      <c r="C757" t="s">
        <v>3934</v>
      </c>
      <c r="D757" t="s">
        <v>3995</v>
      </c>
    </row>
    <row r="758" spans="1:4" x14ac:dyDescent="0.3">
      <c r="A758">
        <v>80021358</v>
      </c>
      <c r="B758" t="s">
        <v>3986</v>
      </c>
      <c r="C758" t="s">
        <v>3934</v>
      </c>
      <c r="D758" t="s">
        <v>3995</v>
      </c>
    </row>
    <row r="759" spans="1:4" x14ac:dyDescent="0.3">
      <c r="A759">
        <v>80021358</v>
      </c>
      <c r="B759" t="s">
        <v>3986</v>
      </c>
      <c r="C759" t="s">
        <v>3934</v>
      </c>
      <c r="D759" t="s">
        <v>3995</v>
      </c>
    </row>
    <row r="760" spans="1:4" x14ac:dyDescent="0.3">
      <c r="A760">
        <v>80021358</v>
      </c>
      <c r="B760" t="s">
        <v>3986</v>
      </c>
      <c r="C760" t="s">
        <v>3934</v>
      </c>
      <c r="D760" t="s">
        <v>3995</v>
      </c>
    </row>
    <row r="761" spans="1:4" x14ac:dyDescent="0.3">
      <c r="A761">
        <v>80021358</v>
      </c>
      <c r="B761" t="s">
        <v>3986</v>
      </c>
      <c r="C761" t="s">
        <v>3934</v>
      </c>
      <c r="D761" t="s">
        <v>3995</v>
      </c>
    </row>
    <row r="762" spans="1:4" x14ac:dyDescent="0.3">
      <c r="A762">
        <v>80021358</v>
      </c>
      <c r="B762" t="s">
        <v>3986</v>
      </c>
      <c r="C762" t="s">
        <v>3934</v>
      </c>
      <c r="D762" t="s">
        <v>3995</v>
      </c>
    </row>
    <row r="763" spans="1:4" x14ac:dyDescent="0.3">
      <c r="A763">
        <v>80021358</v>
      </c>
      <c r="B763" t="s">
        <v>3986</v>
      </c>
      <c r="C763" t="s">
        <v>3934</v>
      </c>
      <c r="D763" t="s">
        <v>3995</v>
      </c>
    </row>
    <row r="764" spans="1:4" x14ac:dyDescent="0.3">
      <c r="A764">
        <v>80021358</v>
      </c>
      <c r="B764" t="s">
        <v>3986</v>
      </c>
      <c r="C764" t="s">
        <v>3934</v>
      </c>
      <c r="D764" t="s">
        <v>3995</v>
      </c>
    </row>
    <row r="765" spans="1:4" x14ac:dyDescent="0.3">
      <c r="A765">
        <v>80021358</v>
      </c>
      <c r="B765" t="s">
        <v>3986</v>
      </c>
      <c r="C765" t="s">
        <v>3934</v>
      </c>
      <c r="D765" t="s">
        <v>3995</v>
      </c>
    </row>
    <row r="766" spans="1:4" x14ac:dyDescent="0.3">
      <c r="A766">
        <v>80021358</v>
      </c>
      <c r="B766" t="s">
        <v>3986</v>
      </c>
      <c r="C766" t="s">
        <v>3934</v>
      </c>
      <c r="D766" t="s">
        <v>3995</v>
      </c>
    </row>
    <row r="767" spans="1:4" x14ac:dyDescent="0.3">
      <c r="A767">
        <v>80021358</v>
      </c>
      <c r="B767" t="s">
        <v>3986</v>
      </c>
      <c r="C767" t="s">
        <v>3934</v>
      </c>
      <c r="D767" t="s">
        <v>3995</v>
      </c>
    </row>
    <row r="768" spans="1:4" x14ac:dyDescent="0.3">
      <c r="A768">
        <v>80021358</v>
      </c>
      <c r="B768" t="s">
        <v>3986</v>
      </c>
      <c r="C768" t="s">
        <v>3934</v>
      </c>
      <c r="D768" t="s">
        <v>3995</v>
      </c>
    </row>
    <row r="769" spans="1:4" x14ac:dyDescent="0.3">
      <c r="A769">
        <v>80021358</v>
      </c>
      <c r="B769" t="s">
        <v>3986</v>
      </c>
      <c r="C769" t="s">
        <v>3934</v>
      </c>
      <c r="D769" t="s">
        <v>3995</v>
      </c>
    </row>
    <row r="770" spans="1:4" x14ac:dyDescent="0.3">
      <c r="A770">
        <v>80021358</v>
      </c>
      <c r="B770" t="s">
        <v>3986</v>
      </c>
      <c r="C770" t="s">
        <v>3934</v>
      </c>
      <c r="D770" t="s">
        <v>3995</v>
      </c>
    </row>
    <row r="771" spans="1:4" x14ac:dyDescent="0.3">
      <c r="A771">
        <v>80219471</v>
      </c>
      <c r="B771" t="s">
        <v>3941</v>
      </c>
      <c r="C771" t="s">
        <v>3934</v>
      </c>
      <c r="D771" t="s">
        <v>4030</v>
      </c>
    </row>
    <row r="772" spans="1:4" x14ac:dyDescent="0.3">
      <c r="A772">
        <v>80219471</v>
      </c>
      <c r="B772" t="s">
        <v>3941</v>
      </c>
      <c r="C772" t="s">
        <v>3934</v>
      </c>
      <c r="D772" t="s">
        <v>4030</v>
      </c>
    </row>
    <row r="773" spans="1:4" x14ac:dyDescent="0.3">
      <c r="A773">
        <v>80219471</v>
      </c>
      <c r="B773" t="s">
        <v>3941</v>
      </c>
      <c r="C773" t="s">
        <v>3934</v>
      </c>
      <c r="D773" t="s">
        <v>4030</v>
      </c>
    </row>
    <row r="774" spans="1:4" x14ac:dyDescent="0.3">
      <c r="A774">
        <v>80219471</v>
      </c>
      <c r="B774" t="s">
        <v>3941</v>
      </c>
      <c r="C774" t="s">
        <v>3934</v>
      </c>
      <c r="D774" t="s">
        <v>4030</v>
      </c>
    </row>
    <row r="775" spans="1:4" x14ac:dyDescent="0.3">
      <c r="A775">
        <v>80219471</v>
      </c>
      <c r="B775" t="s">
        <v>3941</v>
      </c>
      <c r="C775" t="s">
        <v>3934</v>
      </c>
      <c r="D775" t="s">
        <v>4030</v>
      </c>
    </row>
    <row r="776" spans="1:4" x14ac:dyDescent="0.3">
      <c r="A776">
        <v>80219471</v>
      </c>
      <c r="B776" t="s">
        <v>3941</v>
      </c>
      <c r="C776" t="s">
        <v>3934</v>
      </c>
      <c r="D776" t="s">
        <v>4030</v>
      </c>
    </row>
    <row r="777" spans="1:4" x14ac:dyDescent="0.3">
      <c r="A777">
        <v>80219471</v>
      </c>
      <c r="B777" t="s">
        <v>3941</v>
      </c>
      <c r="C777" t="s">
        <v>3934</v>
      </c>
      <c r="D777" t="s">
        <v>4030</v>
      </c>
    </row>
    <row r="778" spans="1:4" x14ac:dyDescent="0.3">
      <c r="A778">
        <v>80219471</v>
      </c>
      <c r="B778" t="s">
        <v>3941</v>
      </c>
      <c r="C778" t="s">
        <v>3934</v>
      </c>
      <c r="D778" t="s">
        <v>4030</v>
      </c>
    </row>
    <row r="779" spans="1:4" x14ac:dyDescent="0.3">
      <c r="A779">
        <v>80219471</v>
      </c>
      <c r="B779" t="s">
        <v>3941</v>
      </c>
      <c r="C779" t="s">
        <v>3934</v>
      </c>
      <c r="D779" t="s">
        <v>4030</v>
      </c>
    </row>
    <row r="780" spans="1:4" x14ac:dyDescent="0.3">
      <c r="A780">
        <v>80219471</v>
      </c>
      <c r="B780" t="s">
        <v>3941</v>
      </c>
      <c r="C780" t="s">
        <v>3934</v>
      </c>
      <c r="D780" t="s">
        <v>4030</v>
      </c>
    </row>
    <row r="781" spans="1:4" x14ac:dyDescent="0.3">
      <c r="A781">
        <v>80219471</v>
      </c>
      <c r="B781" t="s">
        <v>3941</v>
      </c>
      <c r="C781" t="s">
        <v>3934</v>
      </c>
      <c r="D781" t="s">
        <v>4030</v>
      </c>
    </row>
    <row r="782" spans="1:4" x14ac:dyDescent="0.3">
      <c r="A782">
        <v>80219471</v>
      </c>
      <c r="B782" t="s">
        <v>3941</v>
      </c>
      <c r="C782" t="s">
        <v>3934</v>
      </c>
      <c r="D782" t="s">
        <v>4030</v>
      </c>
    </row>
    <row r="783" spans="1:4" x14ac:dyDescent="0.3">
      <c r="A783">
        <v>80219471</v>
      </c>
      <c r="B783" t="s">
        <v>3941</v>
      </c>
      <c r="C783" t="s">
        <v>3934</v>
      </c>
      <c r="D783" t="s">
        <v>4030</v>
      </c>
    </row>
    <row r="784" spans="1:4" x14ac:dyDescent="0.3">
      <c r="A784">
        <v>80219471</v>
      </c>
      <c r="B784" t="s">
        <v>3941</v>
      </c>
      <c r="C784" t="s">
        <v>3934</v>
      </c>
      <c r="D784" t="s">
        <v>4030</v>
      </c>
    </row>
    <row r="785" spans="1:4" x14ac:dyDescent="0.3">
      <c r="A785">
        <v>80219471</v>
      </c>
      <c r="B785" t="s">
        <v>3941</v>
      </c>
      <c r="C785" t="s">
        <v>3934</v>
      </c>
      <c r="D785" t="s">
        <v>4030</v>
      </c>
    </row>
    <row r="786" spans="1:4" x14ac:dyDescent="0.3">
      <c r="A786">
        <v>80219471</v>
      </c>
      <c r="B786" t="s">
        <v>3941</v>
      </c>
      <c r="C786" t="s">
        <v>3934</v>
      </c>
      <c r="D786" t="s">
        <v>4030</v>
      </c>
    </row>
    <row r="787" spans="1:4" x14ac:dyDescent="0.3">
      <c r="A787">
        <v>80219471</v>
      </c>
      <c r="B787" t="s">
        <v>3941</v>
      </c>
      <c r="C787" t="s">
        <v>3934</v>
      </c>
      <c r="D787" t="s">
        <v>4030</v>
      </c>
    </row>
    <row r="788" spans="1:4" x14ac:dyDescent="0.3">
      <c r="A788">
        <v>80219471</v>
      </c>
      <c r="B788" t="s">
        <v>3941</v>
      </c>
      <c r="C788" t="s">
        <v>3934</v>
      </c>
      <c r="D788" t="s">
        <v>4030</v>
      </c>
    </row>
    <row r="789" spans="1:4" x14ac:dyDescent="0.3">
      <c r="A789">
        <v>80219471</v>
      </c>
      <c r="B789" t="s">
        <v>3941</v>
      </c>
      <c r="C789" t="s">
        <v>3934</v>
      </c>
      <c r="D789" t="s">
        <v>4030</v>
      </c>
    </row>
    <row r="790" spans="1:4" x14ac:dyDescent="0.3">
      <c r="A790">
        <v>80219471</v>
      </c>
      <c r="B790" t="s">
        <v>3941</v>
      </c>
      <c r="C790" t="s">
        <v>3934</v>
      </c>
      <c r="D790" t="s">
        <v>4030</v>
      </c>
    </row>
    <row r="791" spans="1:4" x14ac:dyDescent="0.3">
      <c r="A791">
        <v>80219471</v>
      </c>
      <c r="B791" t="s">
        <v>3941</v>
      </c>
      <c r="C791" t="s">
        <v>3934</v>
      </c>
      <c r="D791" t="s">
        <v>4030</v>
      </c>
    </row>
    <row r="792" spans="1:4" x14ac:dyDescent="0.3">
      <c r="A792">
        <v>80219471</v>
      </c>
      <c r="B792" t="s">
        <v>3941</v>
      </c>
      <c r="C792" t="s">
        <v>3934</v>
      </c>
      <c r="D792" t="s">
        <v>4030</v>
      </c>
    </row>
    <row r="793" spans="1:4" x14ac:dyDescent="0.3">
      <c r="A793">
        <v>80219471</v>
      </c>
      <c r="B793" t="s">
        <v>3941</v>
      </c>
      <c r="C793" t="s">
        <v>3934</v>
      </c>
      <c r="D793" t="s">
        <v>4030</v>
      </c>
    </row>
    <row r="794" spans="1:4" x14ac:dyDescent="0.3">
      <c r="A794">
        <v>80219471</v>
      </c>
      <c r="B794" t="s">
        <v>3941</v>
      </c>
      <c r="C794" t="s">
        <v>3934</v>
      </c>
      <c r="D794" t="s">
        <v>4030</v>
      </c>
    </row>
    <row r="795" spans="1:4" x14ac:dyDescent="0.3">
      <c r="A795">
        <v>80219471</v>
      </c>
      <c r="B795" t="s">
        <v>3941</v>
      </c>
      <c r="C795" t="s">
        <v>3934</v>
      </c>
      <c r="D795" t="s">
        <v>4030</v>
      </c>
    </row>
    <row r="796" spans="1:4" x14ac:dyDescent="0.3">
      <c r="A796">
        <v>80219471</v>
      </c>
      <c r="B796" t="s">
        <v>3941</v>
      </c>
      <c r="C796" t="s">
        <v>3934</v>
      </c>
      <c r="D796" t="s">
        <v>4030</v>
      </c>
    </row>
    <row r="797" spans="1:4" x14ac:dyDescent="0.3">
      <c r="A797">
        <v>80219471</v>
      </c>
      <c r="B797" t="s">
        <v>3941</v>
      </c>
      <c r="C797" t="s">
        <v>3934</v>
      </c>
      <c r="D797" t="s">
        <v>4030</v>
      </c>
    </row>
    <row r="798" spans="1:4" x14ac:dyDescent="0.3">
      <c r="A798">
        <v>80219471</v>
      </c>
      <c r="B798" t="s">
        <v>3941</v>
      </c>
      <c r="C798" t="s">
        <v>3934</v>
      </c>
      <c r="D798" t="s">
        <v>4030</v>
      </c>
    </row>
    <row r="799" spans="1:4" x14ac:dyDescent="0.3">
      <c r="A799">
        <v>80219471</v>
      </c>
      <c r="B799" t="s">
        <v>3941</v>
      </c>
      <c r="C799" t="s">
        <v>3934</v>
      </c>
      <c r="D799" t="s">
        <v>4030</v>
      </c>
    </row>
    <row r="800" spans="1:4" x14ac:dyDescent="0.3">
      <c r="A800">
        <v>524883151</v>
      </c>
      <c r="B800" t="s">
        <v>3965</v>
      </c>
      <c r="C800" t="s">
        <v>3934</v>
      </c>
      <c r="D800" t="s">
        <v>4046</v>
      </c>
    </row>
    <row r="801" spans="1:4" x14ac:dyDescent="0.3">
      <c r="A801">
        <v>524883151</v>
      </c>
      <c r="B801" t="s">
        <v>3965</v>
      </c>
      <c r="C801" t="s">
        <v>3934</v>
      </c>
      <c r="D801" t="s">
        <v>4046</v>
      </c>
    </row>
    <row r="802" spans="1:4" x14ac:dyDescent="0.3">
      <c r="A802">
        <v>1000001980</v>
      </c>
      <c r="B802" t="s">
        <v>3944</v>
      </c>
      <c r="C802" t="s">
        <v>3934</v>
      </c>
      <c r="D802" t="s">
        <v>3968</v>
      </c>
    </row>
    <row r="803" spans="1:4" x14ac:dyDescent="0.3">
      <c r="A803">
        <v>1000001980</v>
      </c>
      <c r="B803" t="s">
        <v>3944</v>
      </c>
      <c r="C803" t="s">
        <v>3934</v>
      </c>
      <c r="D803" t="s">
        <v>3968</v>
      </c>
    </row>
    <row r="804" spans="1:4" x14ac:dyDescent="0.3">
      <c r="A804">
        <v>1000001980</v>
      </c>
      <c r="B804" t="s">
        <v>3944</v>
      </c>
      <c r="C804" t="s">
        <v>3934</v>
      </c>
      <c r="D804" t="s">
        <v>3968</v>
      </c>
    </row>
    <row r="805" spans="1:4" x14ac:dyDescent="0.3">
      <c r="A805">
        <v>1000001980</v>
      </c>
      <c r="B805" t="s">
        <v>3944</v>
      </c>
      <c r="C805" t="s">
        <v>3934</v>
      </c>
      <c r="D805" t="s">
        <v>3968</v>
      </c>
    </row>
    <row r="806" spans="1:4" x14ac:dyDescent="0.3">
      <c r="A806">
        <v>1000001980</v>
      </c>
      <c r="B806" t="s">
        <v>3944</v>
      </c>
      <c r="C806" t="s">
        <v>3934</v>
      </c>
      <c r="D806" t="s">
        <v>3968</v>
      </c>
    </row>
    <row r="807" spans="1:4" x14ac:dyDescent="0.3">
      <c r="A807">
        <v>1000001980</v>
      </c>
      <c r="B807" t="s">
        <v>3944</v>
      </c>
      <c r="C807" t="s">
        <v>3934</v>
      </c>
      <c r="D807" t="s">
        <v>3968</v>
      </c>
    </row>
    <row r="808" spans="1:4" x14ac:dyDescent="0.3">
      <c r="A808">
        <v>1000001980</v>
      </c>
      <c r="B808" t="s">
        <v>3944</v>
      </c>
      <c r="C808" t="s">
        <v>3934</v>
      </c>
      <c r="D808" t="s">
        <v>3968</v>
      </c>
    </row>
    <row r="809" spans="1:4" x14ac:dyDescent="0.3">
      <c r="A809">
        <v>1000001980</v>
      </c>
      <c r="B809" t="s">
        <v>3944</v>
      </c>
      <c r="C809" t="s">
        <v>3934</v>
      </c>
      <c r="D809" t="s">
        <v>3968</v>
      </c>
    </row>
    <row r="810" spans="1:4" x14ac:dyDescent="0.3">
      <c r="A810">
        <v>1000001980</v>
      </c>
      <c r="B810" t="s">
        <v>3944</v>
      </c>
      <c r="C810" t="s">
        <v>3934</v>
      </c>
      <c r="D810" t="s">
        <v>3968</v>
      </c>
    </row>
    <row r="811" spans="1:4" x14ac:dyDescent="0.3">
      <c r="A811">
        <v>1000001980</v>
      </c>
      <c r="B811" t="s">
        <v>3944</v>
      </c>
      <c r="C811" t="s">
        <v>3934</v>
      </c>
      <c r="D811" t="s">
        <v>3968</v>
      </c>
    </row>
    <row r="812" spans="1:4" x14ac:dyDescent="0.3">
      <c r="A812">
        <v>1000001980</v>
      </c>
      <c r="B812" t="s">
        <v>3944</v>
      </c>
      <c r="C812" t="s">
        <v>3934</v>
      </c>
      <c r="D812" t="s">
        <v>3968</v>
      </c>
    </row>
    <row r="813" spans="1:4" x14ac:dyDescent="0.3">
      <c r="A813">
        <v>1000001980</v>
      </c>
      <c r="B813" t="s">
        <v>3944</v>
      </c>
      <c r="C813" t="s">
        <v>3934</v>
      </c>
      <c r="D813" t="s">
        <v>3968</v>
      </c>
    </row>
    <row r="814" spans="1:4" x14ac:dyDescent="0.3">
      <c r="A814">
        <v>1000001980</v>
      </c>
      <c r="B814" t="s">
        <v>3944</v>
      </c>
      <c r="C814" t="s">
        <v>3934</v>
      </c>
      <c r="D814" t="s">
        <v>3968</v>
      </c>
    </row>
    <row r="815" spans="1:4" x14ac:dyDescent="0.3">
      <c r="A815">
        <v>1000001980</v>
      </c>
      <c r="B815" t="s">
        <v>3944</v>
      </c>
      <c r="C815" t="s">
        <v>3934</v>
      </c>
      <c r="D815" t="s">
        <v>3968</v>
      </c>
    </row>
    <row r="816" spans="1:4" x14ac:dyDescent="0.3">
      <c r="A816">
        <v>1000001980</v>
      </c>
      <c r="B816" t="s">
        <v>3944</v>
      </c>
      <c r="C816" t="s">
        <v>3934</v>
      </c>
      <c r="D816" t="s">
        <v>3968</v>
      </c>
    </row>
    <row r="817" spans="1:4" x14ac:dyDescent="0.3">
      <c r="A817">
        <v>1000001980</v>
      </c>
      <c r="B817" t="s">
        <v>3944</v>
      </c>
      <c r="C817" t="s">
        <v>3934</v>
      </c>
      <c r="D817" t="s">
        <v>3968</v>
      </c>
    </row>
    <row r="818" spans="1:4" x14ac:dyDescent="0.3">
      <c r="A818">
        <v>1000001980</v>
      </c>
      <c r="B818" t="s">
        <v>3944</v>
      </c>
      <c r="C818" t="s">
        <v>3934</v>
      </c>
      <c r="D818" t="s">
        <v>3968</v>
      </c>
    </row>
    <row r="819" spans="1:4" x14ac:dyDescent="0.3">
      <c r="A819">
        <v>1000001980</v>
      </c>
      <c r="B819" t="s">
        <v>3944</v>
      </c>
      <c r="C819" t="s">
        <v>3934</v>
      </c>
      <c r="D819" t="s">
        <v>3968</v>
      </c>
    </row>
    <row r="820" spans="1:4" x14ac:dyDescent="0.3">
      <c r="A820">
        <v>1000001980</v>
      </c>
      <c r="B820" t="s">
        <v>3944</v>
      </c>
      <c r="C820" t="s">
        <v>3934</v>
      </c>
      <c r="D820" t="s">
        <v>3968</v>
      </c>
    </row>
    <row r="821" spans="1:4" x14ac:dyDescent="0.3">
      <c r="A821">
        <v>1000001980</v>
      </c>
      <c r="B821" t="s">
        <v>3944</v>
      </c>
      <c r="C821" t="s">
        <v>3934</v>
      </c>
      <c r="D821" t="s">
        <v>3968</v>
      </c>
    </row>
    <row r="822" spans="1:4" x14ac:dyDescent="0.3">
      <c r="A822">
        <v>1000001980</v>
      </c>
      <c r="B822" t="s">
        <v>3944</v>
      </c>
      <c r="C822" t="s">
        <v>3934</v>
      </c>
      <c r="D822" t="s">
        <v>3968</v>
      </c>
    </row>
    <row r="823" spans="1:4" x14ac:dyDescent="0.3">
      <c r="A823">
        <v>1000001980</v>
      </c>
      <c r="B823" t="s">
        <v>3944</v>
      </c>
      <c r="C823" t="s">
        <v>3934</v>
      </c>
      <c r="D823" t="s">
        <v>3968</v>
      </c>
    </row>
    <row r="824" spans="1:4" x14ac:dyDescent="0.3">
      <c r="A824">
        <v>1000001980</v>
      </c>
      <c r="B824" t="s">
        <v>3944</v>
      </c>
      <c r="C824" t="s">
        <v>3934</v>
      </c>
      <c r="D824" t="s">
        <v>3968</v>
      </c>
    </row>
    <row r="825" spans="1:4" x14ac:dyDescent="0.3">
      <c r="A825">
        <v>1000001980</v>
      </c>
      <c r="B825" t="s">
        <v>3944</v>
      </c>
      <c r="C825" t="s">
        <v>3934</v>
      </c>
      <c r="D825" t="s">
        <v>3968</v>
      </c>
    </row>
    <row r="826" spans="1:4" x14ac:dyDescent="0.3">
      <c r="A826">
        <v>1000007991</v>
      </c>
      <c r="B826" t="s">
        <v>4055</v>
      </c>
      <c r="C826" t="s">
        <v>4056</v>
      </c>
      <c r="D826" t="s">
        <v>4054</v>
      </c>
    </row>
    <row r="827" spans="1:4" x14ac:dyDescent="0.3">
      <c r="A827">
        <v>1000007991</v>
      </c>
      <c r="B827" t="s">
        <v>4055</v>
      </c>
      <c r="C827" t="s">
        <v>4056</v>
      </c>
      <c r="D827" t="s">
        <v>4054</v>
      </c>
    </row>
    <row r="828" spans="1:4" x14ac:dyDescent="0.3">
      <c r="A828">
        <v>1000120140</v>
      </c>
      <c r="B828" t="s">
        <v>3936</v>
      </c>
      <c r="C828" t="s">
        <v>3937</v>
      </c>
      <c r="D828" t="s">
        <v>3935</v>
      </c>
    </row>
    <row r="829" spans="1:4" x14ac:dyDescent="0.3">
      <c r="A829">
        <v>1000120140</v>
      </c>
      <c r="B829" t="s">
        <v>3936</v>
      </c>
      <c r="C829" t="s">
        <v>3937</v>
      </c>
      <c r="D829" t="s">
        <v>3935</v>
      </c>
    </row>
    <row r="830" spans="1:4" x14ac:dyDescent="0.3">
      <c r="A830">
        <v>1000120140</v>
      </c>
      <c r="B830" t="s">
        <v>3936</v>
      </c>
      <c r="C830" t="s">
        <v>3937</v>
      </c>
      <c r="D830" t="s">
        <v>3935</v>
      </c>
    </row>
    <row r="831" spans="1:4" x14ac:dyDescent="0.3">
      <c r="A831">
        <v>1000120140</v>
      </c>
      <c r="B831" t="s">
        <v>3936</v>
      </c>
      <c r="C831" t="s">
        <v>3937</v>
      </c>
      <c r="D831" t="s">
        <v>3935</v>
      </c>
    </row>
    <row r="832" spans="1:4" x14ac:dyDescent="0.3">
      <c r="A832">
        <v>1000120140</v>
      </c>
      <c r="B832" t="s">
        <v>3936</v>
      </c>
      <c r="C832" t="s">
        <v>3937</v>
      </c>
      <c r="D832" t="s">
        <v>3935</v>
      </c>
    </row>
    <row r="833" spans="1:4" x14ac:dyDescent="0.3">
      <c r="A833">
        <v>1000120140</v>
      </c>
      <c r="B833" t="s">
        <v>3936</v>
      </c>
      <c r="C833" t="s">
        <v>3937</v>
      </c>
      <c r="D833" t="s">
        <v>3935</v>
      </c>
    </row>
    <row r="834" spans="1:4" x14ac:dyDescent="0.3">
      <c r="A834">
        <v>1000120140</v>
      </c>
      <c r="B834" t="s">
        <v>3936</v>
      </c>
      <c r="C834" t="s">
        <v>3937</v>
      </c>
      <c r="D834" t="s">
        <v>3935</v>
      </c>
    </row>
    <row r="835" spans="1:4" x14ac:dyDescent="0.3">
      <c r="A835">
        <v>1000120140</v>
      </c>
      <c r="B835" t="s">
        <v>3936</v>
      </c>
      <c r="C835" t="s">
        <v>3937</v>
      </c>
      <c r="D835" t="s">
        <v>3935</v>
      </c>
    </row>
    <row r="836" spans="1:4" x14ac:dyDescent="0.3">
      <c r="A836">
        <v>1000120140</v>
      </c>
      <c r="B836" t="s">
        <v>3936</v>
      </c>
      <c r="C836" t="s">
        <v>3937</v>
      </c>
      <c r="D836" t="s">
        <v>3935</v>
      </c>
    </row>
    <row r="837" spans="1:4" x14ac:dyDescent="0.3">
      <c r="A837">
        <v>1000120140</v>
      </c>
      <c r="B837" t="s">
        <v>3936</v>
      </c>
      <c r="C837" t="s">
        <v>3937</v>
      </c>
      <c r="D837" t="s">
        <v>3935</v>
      </c>
    </row>
    <row r="838" spans="1:4" x14ac:dyDescent="0.3">
      <c r="A838">
        <v>1000120140</v>
      </c>
      <c r="B838" t="s">
        <v>3936</v>
      </c>
      <c r="C838" t="s">
        <v>3937</v>
      </c>
      <c r="D838" t="s">
        <v>3935</v>
      </c>
    </row>
    <row r="839" spans="1:4" x14ac:dyDescent="0.3">
      <c r="A839">
        <v>1000120140</v>
      </c>
      <c r="B839" t="s">
        <v>3936</v>
      </c>
      <c r="C839" t="s">
        <v>3937</v>
      </c>
      <c r="D839" t="s">
        <v>3935</v>
      </c>
    </row>
    <row r="840" spans="1:4" x14ac:dyDescent="0.3">
      <c r="A840">
        <v>1000120140</v>
      </c>
      <c r="B840" t="s">
        <v>3936</v>
      </c>
      <c r="C840" t="s">
        <v>3937</v>
      </c>
      <c r="D840" t="s">
        <v>3935</v>
      </c>
    </row>
    <row r="841" spans="1:4" x14ac:dyDescent="0.3">
      <c r="A841">
        <v>1000120140</v>
      </c>
      <c r="B841" t="s">
        <v>3936</v>
      </c>
      <c r="C841" t="s">
        <v>3937</v>
      </c>
      <c r="D841" t="s">
        <v>3935</v>
      </c>
    </row>
    <row r="842" spans="1:4" x14ac:dyDescent="0.3">
      <c r="A842">
        <v>1000120140</v>
      </c>
      <c r="B842" t="s">
        <v>3936</v>
      </c>
      <c r="C842" t="s">
        <v>3937</v>
      </c>
      <c r="D842" t="s">
        <v>3935</v>
      </c>
    </row>
    <row r="843" spans="1:4" x14ac:dyDescent="0.3">
      <c r="A843">
        <v>1000120140</v>
      </c>
      <c r="B843" t="s">
        <v>3936</v>
      </c>
      <c r="C843" t="s">
        <v>3937</v>
      </c>
      <c r="D843" t="s">
        <v>3935</v>
      </c>
    </row>
    <row r="844" spans="1:4" x14ac:dyDescent="0.3">
      <c r="A844">
        <v>1000120140</v>
      </c>
      <c r="B844" t="s">
        <v>3936</v>
      </c>
      <c r="C844" t="s">
        <v>3937</v>
      </c>
      <c r="D844" t="s">
        <v>3935</v>
      </c>
    </row>
    <row r="845" spans="1:4" x14ac:dyDescent="0.3">
      <c r="A845">
        <v>1000120140</v>
      </c>
      <c r="B845" t="s">
        <v>3936</v>
      </c>
      <c r="C845" t="s">
        <v>3937</v>
      </c>
      <c r="D845" t="s">
        <v>3935</v>
      </c>
    </row>
    <row r="846" spans="1:4" x14ac:dyDescent="0.3">
      <c r="A846">
        <v>1000120140</v>
      </c>
      <c r="B846" t="s">
        <v>3936</v>
      </c>
      <c r="C846" t="s">
        <v>3937</v>
      </c>
      <c r="D846" t="s">
        <v>3935</v>
      </c>
    </row>
    <row r="847" spans="1:4" x14ac:dyDescent="0.3">
      <c r="A847">
        <v>1000120140</v>
      </c>
      <c r="B847" t="s">
        <v>3936</v>
      </c>
      <c r="C847" t="s">
        <v>3937</v>
      </c>
      <c r="D847" t="s">
        <v>3935</v>
      </c>
    </row>
    <row r="848" spans="1:4" x14ac:dyDescent="0.3">
      <c r="A848">
        <v>1000120140</v>
      </c>
      <c r="B848" t="s">
        <v>3936</v>
      </c>
      <c r="C848" t="s">
        <v>3937</v>
      </c>
      <c r="D848" t="s">
        <v>3935</v>
      </c>
    </row>
    <row r="849" spans="1:4" x14ac:dyDescent="0.3">
      <c r="A849">
        <v>1000120140</v>
      </c>
      <c r="B849" t="s">
        <v>3936</v>
      </c>
      <c r="C849" t="s">
        <v>3937</v>
      </c>
      <c r="D849" t="s">
        <v>3935</v>
      </c>
    </row>
    <row r="850" spans="1:4" x14ac:dyDescent="0.3">
      <c r="A850">
        <v>1000120140</v>
      </c>
      <c r="B850" t="s">
        <v>3936</v>
      </c>
      <c r="C850" t="s">
        <v>3937</v>
      </c>
      <c r="D850" t="s">
        <v>3935</v>
      </c>
    </row>
    <row r="851" spans="1:4" x14ac:dyDescent="0.3">
      <c r="A851">
        <v>1000120140</v>
      </c>
      <c r="B851" t="s">
        <v>3936</v>
      </c>
      <c r="C851" t="s">
        <v>3937</v>
      </c>
      <c r="D851" t="s">
        <v>3935</v>
      </c>
    </row>
    <row r="852" spans="1:4" x14ac:dyDescent="0.3">
      <c r="A852">
        <v>1000120140</v>
      </c>
      <c r="B852" t="s">
        <v>3936</v>
      </c>
      <c r="C852" t="s">
        <v>3937</v>
      </c>
      <c r="D852" t="s">
        <v>3935</v>
      </c>
    </row>
    <row r="853" spans="1:4" x14ac:dyDescent="0.3">
      <c r="A853">
        <v>1000120140</v>
      </c>
      <c r="B853" t="s">
        <v>3936</v>
      </c>
      <c r="C853" t="s">
        <v>3937</v>
      </c>
      <c r="D853" t="s">
        <v>3935</v>
      </c>
    </row>
    <row r="854" spans="1:4" x14ac:dyDescent="0.3">
      <c r="A854">
        <v>1000120140</v>
      </c>
      <c r="B854" t="s">
        <v>3936</v>
      </c>
      <c r="C854" t="s">
        <v>3937</v>
      </c>
      <c r="D854" t="s">
        <v>3935</v>
      </c>
    </row>
    <row r="855" spans="1:4" x14ac:dyDescent="0.3">
      <c r="A855">
        <v>1000120140</v>
      </c>
      <c r="B855" t="s">
        <v>3936</v>
      </c>
      <c r="C855" t="s">
        <v>3937</v>
      </c>
      <c r="D855" t="s">
        <v>3935</v>
      </c>
    </row>
    <row r="856" spans="1:4" x14ac:dyDescent="0.3">
      <c r="A856">
        <v>1000120140</v>
      </c>
      <c r="B856" t="s">
        <v>3936</v>
      </c>
      <c r="C856" t="s">
        <v>3937</v>
      </c>
      <c r="D856" t="s">
        <v>3935</v>
      </c>
    </row>
    <row r="857" spans="1:4" x14ac:dyDescent="0.3">
      <c r="A857">
        <v>1000120140</v>
      </c>
      <c r="B857" t="s">
        <v>3936</v>
      </c>
      <c r="C857" t="s">
        <v>3937</v>
      </c>
      <c r="D857" t="s">
        <v>3935</v>
      </c>
    </row>
    <row r="858" spans="1:4" x14ac:dyDescent="0.3">
      <c r="A858">
        <v>1000120140</v>
      </c>
      <c r="B858" t="s">
        <v>3936</v>
      </c>
      <c r="C858" t="s">
        <v>3937</v>
      </c>
      <c r="D858" t="s">
        <v>3935</v>
      </c>
    </row>
    <row r="859" spans="1:4" x14ac:dyDescent="0.3">
      <c r="A859">
        <v>1000120140</v>
      </c>
      <c r="B859" t="s">
        <v>3936</v>
      </c>
      <c r="C859" t="s">
        <v>3937</v>
      </c>
      <c r="D859" t="s">
        <v>3935</v>
      </c>
    </row>
    <row r="860" spans="1:4" x14ac:dyDescent="0.3">
      <c r="A860">
        <v>1000120140</v>
      </c>
      <c r="B860" t="s">
        <v>3936</v>
      </c>
      <c r="C860" t="s">
        <v>3937</v>
      </c>
      <c r="D860" t="s">
        <v>3935</v>
      </c>
    </row>
    <row r="861" spans="1:4" x14ac:dyDescent="0.3">
      <c r="A861">
        <v>1000120140</v>
      </c>
      <c r="B861" t="s">
        <v>3936</v>
      </c>
      <c r="C861" t="s">
        <v>3937</v>
      </c>
      <c r="D861" t="s">
        <v>3935</v>
      </c>
    </row>
    <row r="862" spans="1:4" x14ac:dyDescent="0.3">
      <c r="A862">
        <v>1000120140</v>
      </c>
      <c r="B862" t="s">
        <v>3936</v>
      </c>
      <c r="C862" t="s">
        <v>3937</v>
      </c>
      <c r="D862" t="s">
        <v>3935</v>
      </c>
    </row>
    <row r="863" spans="1:4" x14ac:dyDescent="0.3">
      <c r="A863">
        <v>1000120140</v>
      </c>
      <c r="B863" t="s">
        <v>3936</v>
      </c>
      <c r="C863" t="s">
        <v>3937</v>
      </c>
      <c r="D863" t="s">
        <v>3935</v>
      </c>
    </row>
    <row r="864" spans="1:4" x14ac:dyDescent="0.3">
      <c r="A864">
        <v>1000120140</v>
      </c>
      <c r="B864" t="s">
        <v>3936</v>
      </c>
      <c r="C864" t="s">
        <v>3937</v>
      </c>
      <c r="D864" t="s">
        <v>3935</v>
      </c>
    </row>
    <row r="865" spans="1:4" x14ac:dyDescent="0.3">
      <c r="A865">
        <v>1000120140</v>
      </c>
      <c r="B865" t="s">
        <v>3936</v>
      </c>
      <c r="C865" t="s">
        <v>3937</v>
      </c>
      <c r="D865" t="s">
        <v>3935</v>
      </c>
    </row>
    <row r="866" spans="1:4" x14ac:dyDescent="0.3">
      <c r="A866">
        <v>1000120140</v>
      </c>
      <c r="B866" t="s">
        <v>3936</v>
      </c>
      <c r="C866" t="s">
        <v>3937</v>
      </c>
      <c r="D866" t="s">
        <v>3935</v>
      </c>
    </row>
    <row r="867" spans="1:4" x14ac:dyDescent="0.3">
      <c r="A867">
        <v>1000120140</v>
      </c>
      <c r="B867" t="s">
        <v>3936</v>
      </c>
      <c r="C867" t="s">
        <v>3937</v>
      </c>
      <c r="D867" t="s">
        <v>3935</v>
      </c>
    </row>
    <row r="868" spans="1:4" x14ac:dyDescent="0.3">
      <c r="A868">
        <v>1000120140</v>
      </c>
      <c r="B868" t="s">
        <v>3936</v>
      </c>
      <c r="C868" t="s">
        <v>3937</v>
      </c>
      <c r="D868" t="s">
        <v>3935</v>
      </c>
    </row>
    <row r="869" spans="1:4" x14ac:dyDescent="0.3">
      <c r="A869">
        <v>1000120140</v>
      </c>
      <c r="B869" t="s">
        <v>3936</v>
      </c>
      <c r="C869" t="s">
        <v>3937</v>
      </c>
      <c r="D869" t="s">
        <v>3935</v>
      </c>
    </row>
    <row r="870" spans="1:4" x14ac:dyDescent="0.3">
      <c r="A870">
        <v>1000120140</v>
      </c>
      <c r="B870" t="s">
        <v>3936</v>
      </c>
      <c r="C870" t="s">
        <v>3937</v>
      </c>
      <c r="D870" t="s">
        <v>3935</v>
      </c>
    </row>
    <row r="871" spans="1:4" x14ac:dyDescent="0.3">
      <c r="A871">
        <v>1000120140</v>
      </c>
      <c r="B871" t="s">
        <v>3936</v>
      </c>
      <c r="C871" t="s">
        <v>3937</v>
      </c>
      <c r="D871" t="s">
        <v>3935</v>
      </c>
    </row>
    <row r="872" spans="1:4" x14ac:dyDescent="0.3">
      <c r="A872">
        <v>1000120140</v>
      </c>
      <c r="B872" t="s">
        <v>3936</v>
      </c>
      <c r="C872" t="s">
        <v>3937</v>
      </c>
      <c r="D872" t="s">
        <v>3935</v>
      </c>
    </row>
    <row r="873" spans="1:4" x14ac:dyDescent="0.3">
      <c r="A873">
        <v>1000120140</v>
      </c>
      <c r="B873" t="s">
        <v>3936</v>
      </c>
      <c r="C873" t="s">
        <v>3937</v>
      </c>
      <c r="D873" t="s">
        <v>3935</v>
      </c>
    </row>
    <row r="874" spans="1:4" x14ac:dyDescent="0.3">
      <c r="A874">
        <v>1000120140</v>
      </c>
      <c r="B874" t="s">
        <v>3936</v>
      </c>
      <c r="C874" t="s">
        <v>3937</v>
      </c>
      <c r="D874" t="s">
        <v>3935</v>
      </c>
    </row>
    <row r="875" spans="1:4" x14ac:dyDescent="0.3">
      <c r="A875">
        <v>1000120140</v>
      </c>
      <c r="B875" t="s">
        <v>3936</v>
      </c>
      <c r="C875" t="s">
        <v>3937</v>
      </c>
      <c r="D875" t="s">
        <v>3935</v>
      </c>
    </row>
    <row r="876" spans="1:4" x14ac:dyDescent="0.3">
      <c r="A876">
        <v>1000120140</v>
      </c>
      <c r="B876" t="s">
        <v>3936</v>
      </c>
      <c r="C876" t="s">
        <v>3937</v>
      </c>
      <c r="D876" t="s">
        <v>3935</v>
      </c>
    </row>
    <row r="877" spans="1:4" x14ac:dyDescent="0.3">
      <c r="A877">
        <v>1000120140</v>
      </c>
      <c r="B877" t="s">
        <v>3936</v>
      </c>
      <c r="C877" t="s">
        <v>3937</v>
      </c>
      <c r="D877" t="s">
        <v>3935</v>
      </c>
    </row>
    <row r="878" spans="1:4" x14ac:dyDescent="0.3">
      <c r="A878">
        <v>1000120140</v>
      </c>
      <c r="B878" t="s">
        <v>3936</v>
      </c>
      <c r="C878" t="s">
        <v>3937</v>
      </c>
      <c r="D878" t="s">
        <v>3935</v>
      </c>
    </row>
    <row r="879" spans="1:4" x14ac:dyDescent="0.3">
      <c r="A879">
        <v>1000120140</v>
      </c>
      <c r="B879" t="s">
        <v>3936</v>
      </c>
      <c r="C879" t="s">
        <v>3937</v>
      </c>
      <c r="D879" t="s">
        <v>3935</v>
      </c>
    </row>
    <row r="880" spans="1:4" x14ac:dyDescent="0.3">
      <c r="A880">
        <v>1000183349</v>
      </c>
      <c r="B880" t="s">
        <v>3939</v>
      </c>
      <c r="C880" t="s">
        <v>3934</v>
      </c>
      <c r="D880" t="s">
        <v>4083</v>
      </c>
    </row>
    <row r="881" spans="1:4" x14ac:dyDescent="0.3">
      <c r="A881">
        <v>1000183349</v>
      </c>
      <c r="B881" t="s">
        <v>3939</v>
      </c>
      <c r="C881" t="s">
        <v>3934</v>
      </c>
      <c r="D881" t="s">
        <v>4083</v>
      </c>
    </row>
    <row r="882" spans="1:4" x14ac:dyDescent="0.3">
      <c r="A882">
        <v>1000183349</v>
      </c>
      <c r="B882" t="s">
        <v>3939</v>
      </c>
      <c r="C882" t="s">
        <v>3934</v>
      </c>
      <c r="D882" t="s">
        <v>4083</v>
      </c>
    </row>
    <row r="883" spans="1:4" x14ac:dyDescent="0.3">
      <c r="A883">
        <v>1000183349</v>
      </c>
      <c r="B883" t="s">
        <v>3939</v>
      </c>
      <c r="C883" t="s">
        <v>3934</v>
      </c>
      <c r="D883" t="s">
        <v>4083</v>
      </c>
    </row>
    <row r="884" spans="1:4" x14ac:dyDescent="0.3">
      <c r="A884">
        <v>1000183349</v>
      </c>
      <c r="B884" t="s">
        <v>3939</v>
      </c>
      <c r="C884" t="s">
        <v>3934</v>
      </c>
      <c r="D884" t="s">
        <v>4083</v>
      </c>
    </row>
    <row r="885" spans="1:4" x14ac:dyDescent="0.3">
      <c r="A885">
        <v>1000183349</v>
      </c>
      <c r="B885" t="s">
        <v>3939</v>
      </c>
      <c r="C885" t="s">
        <v>3934</v>
      </c>
      <c r="D885" t="s">
        <v>4083</v>
      </c>
    </row>
    <row r="886" spans="1:4" x14ac:dyDescent="0.3">
      <c r="A886">
        <v>1000183349</v>
      </c>
      <c r="B886" t="s">
        <v>3939</v>
      </c>
      <c r="C886" t="s">
        <v>3934</v>
      </c>
      <c r="D886" t="s">
        <v>4083</v>
      </c>
    </row>
    <row r="887" spans="1:4" x14ac:dyDescent="0.3">
      <c r="A887">
        <v>1000183349</v>
      </c>
      <c r="B887" t="s">
        <v>3939</v>
      </c>
      <c r="C887" t="s">
        <v>3934</v>
      </c>
      <c r="D887" t="s">
        <v>4083</v>
      </c>
    </row>
    <row r="888" spans="1:4" x14ac:dyDescent="0.3">
      <c r="A888">
        <v>1000251314</v>
      </c>
      <c r="B888" t="s">
        <v>3963</v>
      </c>
      <c r="C888" t="s">
        <v>3934</v>
      </c>
      <c r="D888" t="s">
        <v>4024</v>
      </c>
    </row>
    <row r="889" spans="1:4" x14ac:dyDescent="0.3">
      <c r="A889">
        <v>1000251314</v>
      </c>
      <c r="B889" t="s">
        <v>3963</v>
      </c>
      <c r="C889" t="s">
        <v>3934</v>
      </c>
      <c r="D889" t="s">
        <v>4024</v>
      </c>
    </row>
    <row r="890" spans="1:4" x14ac:dyDescent="0.3">
      <c r="A890">
        <v>1000251314</v>
      </c>
      <c r="B890" t="s">
        <v>3963</v>
      </c>
      <c r="C890" t="s">
        <v>3934</v>
      </c>
      <c r="D890" t="s">
        <v>4024</v>
      </c>
    </row>
    <row r="891" spans="1:4" x14ac:dyDescent="0.3">
      <c r="A891">
        <v>1000251314</v>
      </c>
      <c r="B891" t="s">
        <v>3963</v>
      </c>
      <c r="C891" t="s">
        <v>3934</v>
      </c>
      <c r="D891" t="s">
        <v>4024</v>
      </c>
    </row>
    <row r="892" spans="1:4" x14ac:dyDescent="0.3">
      <c r="A892">
        <v>1000251314</v>
      </c>
      <c r="B892" t="s">
        <v>3963</v>
      </c>
      <c r="C892" t="s">
        <v>3934</v>
      </c>
      <c r="D892" t="s">
        <v>4024</v>
      </c>
    </row>
    <row r="893" spans="1:4" x14ac:dyDescent="0.3">
      <c r="A893">
        <v>1000251314</v>
      </c>
      <c r="B893" t="s">
        <v>3963</v>
      </c>
      <c r="C893" t="s">
        <v>3934</v>
      </c>
      <c r="D893" t="s">
        <v>4024</v>
      </c>
    </row>
    <row r="894" spans="1:4" x14ac:dyDescent="0.3">
      <c r="A894">
        <v>1000251314</v>
      </c>
      <c r="B894" t="s">
        <v>3963</v>
      </c>
      <c r="C894" t="s">
        <v>3934</v>
      </c>
      <c r="D894" t="s">
        <v>4024</v>
      </c>
    </row>
    <row r="895" spans="1:4" x14ac:dyDescent="0.3">
      <c r="A895">
        <v>1000251314</v>
      </c>
      <c r="B895" t="s">
        <v>3963</v>
      </c>
      <c r="C895" t="s">
        <v>3934</v>
      </c>
      <c r="D895" t="s">
        <v>4024</v>
      </c>
    </row>
    <row r="896" spans="1:4" x14ac:dyDescent="0.3">
      <c r="A896">
        <v>1000251314</v>
      </c>
      <c r="B896" t="s">
        <v>3963</v>
      </c>
      <c r="C896" t="s">
        <v>3934</v>
      </c>
      <c r="D896" t="s">
        <v>4024</v>
      </c>
    </row>
    <row r="897" spans="1:4" x14ac:dyDescent="0.3">
      <c r="A897">
        <v>1000251314</v>
      </c>
      <c r="B897" t="s">
        <v>3963</v>
      </c>
      <c r="C897" t="s">
        <v>3934</v>
      </c>
      <c r="D897" t="s">
        <v>4024</v>
      </c>
    </row>
    <row r="898" spans="1:4" x14ac:dyDescent="0.3">
      <c r="A898">
        <v>1000251314</v>
      </c>
      <c r="B898" t="s">
        <v>3963</v>
      </c>
      <c r="C898" t="s">
        <v>3934</v>
      </c>
      <c r="D898" t="s">
        <v>4024</v>
      </c>
    </row>
    <row r="899" spans="1:4" x14ac:dyDescent="0.3">
      <c r="A899">
        <v>1000251314</v>
      </c>
      <c r="B899" t="s">
        <v>3963</v>
      </c>
      <c r="C899" t="s">
        <v>3934</v>
      </c>
      <c r="D899" t="s">
        <v>4024</v>
      </c>
    </row>
    <row r="900" spans="1:4" x14ac:dyDescent="0.3">
      <c r="A900">
        <v>1000251314</v>
      </c>
      <c r="B900" t="s">
        <v>3963</v>
      </c>
      <c r="C900" t="s">
        <v>3934</v>
      </c>
      <c r="D900" t="s">
        <v>4024</v>
      </c>
    </row>
    <row r="901" spans="1:4" x14ac:dyDescent="0.3">
      <c r="A901">
        <v>1000251314</v>
      </c>
      <c r="B901" t="s">
        <v>3963</v>
      </c>
      <c r="C901" t="s">
        <v>3934</v>
      </c>
      <c r="D901" t="s">
        <v>4024</v>
      </c>
    </row>
    <row r="902" spans="1:4" x14ac:dyDescent="0.3">
      <c r="A902">
        <v>1000251314</v>
      </c>
      <c r="B902" t="s">
        <v>3963</v>
      </c>
      <c r="C902" t="s">
        <v>3934</v>
      </c>
      <c r="D902" t="s">
        <v>4024</v>
      </c>
    </row>
    <row r="903" spans="1:4" x14ac:dyDescent="0.3">
      <c r="A903">
        <v>1000251314</v>
      </c>
      <c r="B903" t="s">
        <v>3963</v>
      </c>
      <c r="C903" t="s">
        <v>3934</v>
      </c>
      <c r="D903" t="s">
        <v>4024</v>
      </c>
    </row>
    <row r="904" spans="1:4" x14ac:dyDescent="0.3">
      <c r="A904">
        <v>1000251314</v>
      </c>
      <c r="B904" t="s">
        <v>3963</v>
      </c>
      <c r="C904" t="s">
        <v>3934</v>
      </c>
      <c r="D904" t="s">
        <v>4024</v>
      </c>
    </row>
    <row r="905" spans="1:4" x14ac:dyDescent="0.3">
      <c r="A905">
        <v>1000251314</v>
      </c>
      <c r="B905" t="s">
        <v>3963</v>
      </c>
      <c r="C905" t="s">
        <v>3934</v>
      </c>
      <c r="D905" t="s">
        <v>4024</v>
      </c>
    </row>
    <row r="906" spans="1:4" x14ac:dyDescent="0.3">
      <c r="A906">
        <v>1000251314</v>
      </c>
      <c r="B906" t="s">
        <v>3963</v>
      </c>
      <c r="C906" t="s">
        <v>3934</v>
      </c>
      <c r="D906" t="s">
        <v>4024</v>
      </c>
    </row>
    <row r="907" spans="1:4" x14ac:dyDescent="0.3">
      <c r="A907">
        <v>1000251314</v>
      </c>
      <c r="B907" t="s">
        <v>3963</v>
      </c>
      <c r="C907" t="s">
        <v>3934</v>
      </c>
      <c r="D907" t="s">
        <v>4024</v>
      </c>
    </row>
    <row r="908" spans="1:4" x14ac:dyDescent="0.3">
      <c r="A908">
        <v>1000251314</v>
      </c>
      <c r="B908" t="s">
        <v>3963</v>
      </c>
      <c r="C908" t="s">
        <v>3934</v>
      </c>
      <c r="D908" t="s">
        <v>4024</v>
      </c>
    </row>
    <row r="909" spans="1:4" x14ac:dyDescent="0.3">
      <c r="A909">
        <v>1000251314</v>
      </c>
      <c r="B909" t="s">
        <v>3963</v>
      </c>
      <c r="C909" t="s">
        <v>3934</v>
      </c>
      <c r="D909" t="s">
        <v>4024</v>
      </c>
    </row>
    <row r="910" spans="1:4" x14ac:dyDescent="0.3">
      <c r="A910">
        <v>1000251314</v>
      </c>
      <c r="B910" t="s">
        <v>3963</v>
      </c>
      <c r="C910" t="s">
        <v>3934</v>
      </c>
      <c r="D910" t="s">
        <v>4024</v>
      </c>
    </row>
    <row r="911" spans="1:4" x14ac:dyDescent="0.3">
      <c r="A911">
        <v>1000251314</v>
      </c>
      <c r="B911" t="s">
        <v>3963</v>
      </c>
      <c r="C911" t="s">
        <v>3934</v>
      </c>
      <c r="D911" t="s">
        <v>4024</v>
      </c>
    </row>
    <row r="912" spans="1:4" x14ac:dyDescent="0.3">
      <c r="A912">
        <v>1000251314</v>
      </c>
      <c r="B912" t="s">
        <v>3963</v>
      </c>
      <c r="C912" t="s">
        <v>3934</v>
      </c>
      <c r="D912" t="s">
        <v>4024</v>
      </c>
    </row>
    <row r="913" spans="1:4" x14ac:dyDescent="0.3">
      <c r="A913">
        <v>1000251314</v>
      </c>
      <c r="B913" t="s">
        <v>3963</v>
      </c>
      <c r="C913" t="s">
        <v>3934</v>
      </c>
      <c r="D913" t="s">
        <v>4024</v>
      </c>
    </row>
    <row r="914" spans="1:4" x14ac:dyDescent="0.3">
      <c r="A914">
        <v>1000251314</v>
      </c>
      <c r="B914" t="s">
        <v>3963</v>
      </c>
      <c r="C914" t="s">
        <v>3934</v>
      </c>
      <c r="D914" t="s">
        <v>4024</v>
      </c>
    </row>
    <row r="915" spans="1:4" x14ac:dyDescent="0.3">
      <c r="A915">
        <v>1000251314</v>
      </c>
      <c r="B915" t="s">
        <v>3963</v>
      </c>
      <c r="C915" t="s">
        <v>3934</v>
      </c>
      <c r="D915" t="s">
        <v>4024</v>
      </c>
    </row>
    <row r="916" spans="1:4" x14ac:dyDescent="0.3">
      <c r="A916">
        <v>1000251314</v>
      </c>
      <c r="B916" t="s">
        <v>3963</v>
      </c>
      <c r="C916" t="s">
        <v>3934</v>
      </c>
      <c r="D916" t="s">
        <v>4024</v>
      </c>
    </row>
    <row r="917" spans="1:4" x14ac:dyDescent="0.3">
      <c r="A917">
        <v>1000251314</v>
      </c>
      <c r="B917" t="s">
        <v>3963</v>
      </c>
      <c r="C917" t="s">
        <v>3934</v>
      </c>
      <c r="D917" t="s">
        <v>4024</v>
      </c>
    </row>
    <row r="918" spans="1:4" x14ac:dyDescent="0.3">
      <c r="A918">
        <v>1000251314</v>
      </c>
      <c r="B918" t="s">
        <v>3963</v>
      </c>
      <c r="C918" t="s">
        <v>3934</v>
      </c>
      <c r="D918" t="s">
        <v>4024</v>
      </c>
    </row>
    <row r="919" spans="1:4" x14ac:dyDescent="0.3">
      <c r="A919">
        <v>1000251314</v>
      </c>
      <c r="B919" t="s">
        <v>3963</v>
      </c>
      <c r="C919" t="s">
        <v>3934</v>
      </c>
      <c r="D919" t="s">
        <v>4024</v>
      </c>
    </row>
    <row r="920" spans="1:4" x14ac:dyDescent="0.3">
      <c r="A920">
        <v>1000286877</v>
      </c>
      <c r="B920" t="s">
        <v>3986</v>
      </c>
      <c r="C920" t="s">
        <v>3934</v>
      </c>
      <c r="D920" t="s">
        <v>4100</v>
      </c>
    </row>
    <row r="921" spans="1:4" x14ac:dyDescent="0.3">
      <c r="A921">
        <v>1000286877</v>
      </c>
      <c r="B921" t="s">
        <v>3986</v>
      </c>
      <c r="C921" t="s">
        <v>3934</v>
      </c>
      <c r="D921" t="s">
        <v>4100</v>
      </c>
    </row>
    <row r="922" spans="1:4" x14ac:dyDescent="0.3">
      <c r="A922">
        <v>1000286877</v>
      </c>
      <c r="B922" t="s">
        <v>3986</v>
      </c>
      <c r="C922" t="s">
        <v>3934</v>
      </c>
      <c r="D922" t="s">
        <v>4100</v>
      </c>
    </row>
    <row r="923" spans="1:4" x14ac:dyDescent="0.3">
      <c r="A923">
        <v>1000286877</v>
      </c>
      <c r="B923" t="s">
        <v>3986</v>
      </c>
      <c r="C923" t="s">
        <v>3934</v>
      </c>
      <c r="D923" t="s">
        <v>4100</v>
      </c>
    </row>
    <row r="924" spans="1:4" x14ac:dyDescent="0.3">
      <c r="A924">
        <v>1000286877</v>
      </c>
      <c r="B924" t="s">
        <v>3986</v>
      </c>
      <c r="C924" t="s">
        <v>3934</v>
      </c>
      <c r="D924" t="s">
        <v>4100</v>
      </c>
    </row>
    <row r="925" spans="1:4" x14ac:dyDescent="0.3">
      <c r="A925">
        <v>1000286877</v>
      </c>
      <c r="B925" t="s">
        <v>3986</v>
      </c>
      <c r="C925" t="s">
        <v>3934</v>
      </c>
      <c r="D925" t="s">
        <v>4100</v>
      </c>
    </row>
    <row r="926" spans="1:4" x14ac:dyDescent="0.3">
      <c r="A926">
        <v>1000286877</v>
      </c>
      <c r="B926" t="s">
        <v>3986</v>
      </c>
      <c r="C926" t="s">
        <v>3934</v>
      </c>
      <c r="D926" t="s">
        <v>4100</v>
      </c>
    </row>
    <row r="927" spans="1:4" x14ac:dyDescent="0.3">
      <c r="A927">
        <v>1000286877</v>
      </c>
      <c r="B927" t="s">
        <v>3986</v>
      </c>
      <c r="C927" t="s">
        <v>3934</v>
      </c>
      <c r="D927" t="s">
        <v>4100</v>
      </c>
    </row>
    <row r="928" spans="1:4" x14ac:dyDescent="0.3">
      <c r="A928">
        <v>1000286877</v>
      </c>
      <c r="B928" t="s">
        <v>3986</v>
      </c>
      <c r="C928" t="s">
        <v>3934</v>
      </c>
      <c r="D928" t="s">
        <v>4100</v>
      </c>
    </row>
    <row r="929" spans="1:4" x14ac:dyDescent="0.3">
      <c r="A929">
        <v>1000286877</v>
      </c>
      <c r="B929" t="s">
        <v>3986</v>
      </c>
      <c r="C929" t="s">
        <v>3934</v>
      </c>
      <c r="D929" t="s">
        <v>4100</v>
      </c>
    </row>
    <row r="930" spans="1:4" x14ac:dyDescent="0.3">
      <c r="A930">
        <v>1000286877</v>
      </c>
      <c r="B930" t="s">
        <v>3986</v>
      </c>
      <c r="C930" t="s">
        <v>3934</v>
      </c>
      <c r="D930" t="s">
        <v>4100</v>
      </c>
    </row>
    <row r="931" spans="1:4" x14ac:dyDescent="0.3">
      <c r="A931">
        <v>1000286877</v>
      </c>
      <c r="B931" t="s">
        <v>3986</v>
      </c>
      <c r="C931" t="s">
        <v>3934</v>
      </c>
      <c r="D931" t="s">
        <v>4100</v>
      </c>
    </row>
    <row r="932" spans="1:4" x14ac:dyDescent="0.3">
      <c r="A932">
        <v>1000286877</v>
      </c>
      <c r="B932" t="s">
        <v>3986</v>
      </c>
      <c r="C932" t="s">
        <v>3934</v>
      </c>
      <c r="D932" t="s">
        <v>4100</v>
      </c>
    </row>
    <row r="933" spans="1:4" x14ac:dyDescent="0.3">
      <c r="A933">
        <v>1000286877</v>
      </c>
      <c r="B933" t="s">
        <v>3986</v>
      </c>
      <c r="C933" t="s">
        <v>3934</v>
      </c>
      <c r="D933" t="s">
        <v>4100</v>
      </c>
    </row>
    <row r="934" spans="1:4" x14ac:dyDescent="0.3">
      <c r="A934">
        <v>1000286877</v>
      </c>
      <c r="B934" t="s">
        <v>3986</v>
      </c>
      <c r="C934" t="s">
        <v>3934</v>
      </c>
      <c r="D934" t="s">
        <v>4100</v>
      </c>
    </row>
    <row r="935" spans="1:4" x14ac:dyDescent="0.3">
      <c r="A935">
        <v>1000349074</v>
      </c>
      <c r="B935" t="s">
        <v>3944</v>
      </c>
      <c r="C935" t="s">
        <v>3934</v>
      </c>
      <c r="D935" t="s">
        <v>4036</v>
      </c>
    </row>
    <row r="936" spans="1:4" x14ac:dyDescent="0.3">
      <c r="A936">
        <v>1000349074</v>
      </c>
      <c r="B936" t="s">
        <v>3944</v>
      </c>
      <c r="C936" t="s">
        <v>3934</v>
      </c>
      <c r="D936" t="s">
        <v>4036</v>
      </c>
    </row>
    <row r="937" spans="1:4" x14ac:dyDescent="0.3">
      <c r="A937">
        <v>1000349074</v>
      </c>
      <c r="B937" t="s">
        <v>3944</v>
      </c>
      <c r="C937" t="s">
        <v>3934</v>
      </c>
      <c r="D937" t="s">
        <v>4036</v>
      </c>
    </row>
    <row r="938" spans="1:4" x14ac:dyDescent="0.3">
      <c r="A938">
        <v>1000349074</v>
      </c>
      <c r="B938" t="s">
        <v>3944</v>
      </c>
      <c r="C938" t="s">
        <v>3934</v>
      </c>
      <c r="D938" t="s">
        <v>4036</v>
      </c>
    </row>
    <row r="939" spans="1:4" x14ac:dyDescent="0.3">
      <c r="A939">
        <v>1000349074</v>
      </c>
      <c r="B939" t="s">
        <v>3944</v>
      </c>
      <c r="C939" t="s">
        <v>3934</v>
      </c>
      <c r="D939" t="s">
        <v>4036</v>
      </c>
    </row>
    <row r="940" spans="1:4" x14ac:dyDescent="0.3">
      <c r="A940">
        <v>1000349074</v>
      </c>
      <c r="B940" t="s">
        <v>3944</v>
      </c>
      <c r="C940" t="s">
        <v>3934</v>
      </c>
      <c r="D940" t="s">
        <v>4036</v>
      </c>
    </row>
    <row r="941" spans="1:4" x14ac:dyDescent="0.3">
      <c r="A941">
        <v>1000349074</v>
      </c>
      <c r="B941" t="s">
        <v>3944</v>
      </c>
      <c r="C941" t="s">
        <v>3934</v>
      </c>
      <c r="D941" t="s">
        <v>4036</v>
      </c>
    </row>
    <row r="942" spans="1:4" x14ac:dyDescent="0.3">
      <c r="A942">
        <v>1000349074</v>
      </c>
      <c r="B942" t="s">
        <v>3944</v>
      </c>
      <c r="C942" t="s">
        <v>3934</v>
      </c>
      <c r="D942" t="s">
        <v>4036</v>
      </c>
    </row>
    <row r="943" spans="1:4" x14ac:dyDescent="0.3">
      <c r="A943">
        <v>1000349074</v>
      </c>
      <c r="B943" t="s">
        <v>3944</v>
      </c>
      <c r="C943" t="s">
        <v>3934</v>
      </c>
      <c r="D943" t="s">
        <v>4036</v>
      </c>
    </row>
    <row r="944" spans="1:4" x14ac:dyDescent="0.3">
      <c r="A944">
        <v>1000349074</v>
      </c>
      <c r="B944" t="s">
        <v>3944</v>
      </c>
      <c r="C944" t="s">
        <v>3934</v>
      </c>
      <c r="D944" t="s">
        <v>4036</v>
      </c>
    </row>
    <row r="945" spans="1:4" x14ac:dyDescent="0.3">
      <c r="A945">
        <v>1000349074</v>
      </c>
      <c r="B945" t="s">
        <v>3944</v>
      </c>
      <c r="C945" t="s">
        <v>3934</v>
      </c>
      <c r="D945" t="s">
        <v>4036</v>
      </c>
    </row>
    <row r="946" spans="1:4" x14ac:dyDescent="0.3">
      <c r="A946">
        <v>1000349074</v>
      </c>
      <c r="B946" t="s">
        <v>3944</v>
      </c>
      <c r="C946" t="s">
        <v>3934</v>
      </c>
      <c r="D946" t="s">
        <v>4036</v>
      </c>
    </row>
    <row r="947" spans="1:4" x14ac:dyDescent="0.3">
      <c r="A947">
        <v>1000349074</v>
      </c>
      <c r="B947" t="s">
        <v>3944</v>
      </c>
      <c r="C947" t="s">
        <v>3934</v>
      </c>
      <c r="D947" t="s">
        <v>4036</v>
      </c>
    </row>
    <row r="948" spans="1:4" x14ac:dyDescent="0.3">
      <c r="A948">
        <v>1000349074</v>
      </c>
      <c r="B948" t="s">
        <v>3944</v>
      </c>
      <c r="C948" t="s">
        <v>3934</v>
      </c>
      <c r="D948" t="s">
        <v>4036</v>
      </c>
    </row>
    <row r="949" spans="1:4" x14ac:dyDescent="0.3">
      <c r="A949">
        <v>1000349074</v>
      </c>
      <c r="B949" t="s">
        <v>3944</v>
      </c>
      <c r="C949" t="s">
        <v>3934</v>
      </c>
      <c r="D949" t="s">
        <v>4036</v>
      </c>
    </row>
    <row r="950" spans="1:4" x14ac:dyDescent="0.3">
      <c r="A950">
        <v>1000349074</v>
      </c>
      <c r="B950" t="s">
        <v>3944</v>
      </c>
      <c r="C950" t="s">
        <v>3934</v>
      </c>
      <c r="D950" t="s">
        <v>4036</v>
      </c>
    </row>
    <row r="951" spans="1:4" x14ac:dyDescent="0.3">
      <c r="A951">
        <v>1000349074</v>
      </c>
      <c r="B951" t="s">
        <v>3944</v>
      </c>
      <c r="C951" t="s">
        <v>3934</v>
      </c>
      <c r="D951" t="s">
        <v>4036</v>
      </c>
    </row>
    <row r="952" spans="1:4" x14ac:dyDescent="0.3">
      <c r="A952">
        <v>1000349074</v>
      </c>
      <c r="B952" t="s">
        <v>3944</v>
      </c>
      <c r="C952" t="s">
        <v>3934</v>
      </c>
      <c r="D952" t="s">
        <v>4036</v>
      </c>
    </row>
    <row r="953" spans="1:4" x14ac:dyDescent="0.3">
      <c r="A953">
        <v>1000350862</v>
      </c>
      <c r="B953" t="s">
        <v>3963</v>
      </c>
      <c r="C953" t="s">
        <v>3934</v>
      </c>
      <c r="D953" t="s">
        <v>4071</v>
      </c>
    </row>
    <row r="954" spans="1:4" x14ac:dyDescent="0.3">
      <c r="A954">
        <v>1000350862</v>
      </c>
      <c r="B954" t="s">
        <v>3963</v>
      </c>
      <c r="C954" t="s">
        <v>3934</v>
      </c>
      <c r="D954" t="s">
        <v>4071</v>
      </c>
    </row>
    <row r="955" spans="1:4" x14ac:dyDescent="0.3">
      <c r="A955">
        <v>1000350862</v>
      </c>
      <c r="B955" t="s">
        <v>3963</v>
      </c>
      <c r="C955" t="s">
        <v>3934</v>
      </c>
      <c r="D955" t="s">
        <v>4071</v>
      </c>
    </row>
    <row r="956" spans="1:4" x14ac:dyDescent="0.3">
      <c r="A956">
        <v>1000350862</v>
      </c>
      <c r="B956" t="s">
        <v>3963</v>
      </c>
      <c r="C956" t="s">
        <v>3934</v>
      </c>
      <c r="D956" t="s">
        <v>4071</v>
      </c>
    </row>
    <row r="957" spans="1:4" x14ac:dyDescent="0.3">
      <c r="A957">
        <v>1000350862</v>
      </c>
      <c r="B957" t="s">
        <v>3963</v>
      </c>
      <c r="C957" t="s">
        <v>3934</v>
      </c>
      <c r="D957" t="s">
        <v>4071</v>
      </c>
    </row>
    <row r="958" spans="1:4" x14ac:dyDescent="0.3">
      <c r="A958">
        <v>1000350862</v>
      </c>
      <c r="B958" t="s">
        <v>3963</v>
      </c>
      <c r="C958" t="s">
        <v>3934</v>
      </c>
      <c r="D958" t="s">
        <v>4071</v>
      </c>
    </row>
    <row r="959" spans="1:4" x14ac:dyDescent="0.3">
      <c r="A959">
        <v>1000350862</v>
      </c>
      <c r="B959" t="s">
        <v>3963</v>
      </c>
      <c r="C959" t="s">
        <v>3934</v>
      </c>
      <c r="D959" t="s">
        <v>4071</v>
      </c>
    </row>
    <row r="960" spans="1:4" x14ac:dyDescent="0.3">
      <c r="A960">
        <v>1000350862</v>
      </c>
      <c r="B960" t="s">
        <v>3963</v>
      </c>
      <c r="C960" t="s">
        <v>3934</v>
      </c>
      <c r="D960" t="s">
        <v>4071</v>
      </c>
    </row>
    <row r="961" spans="1:4" x14ac:dyDescent="0.3">
      <c r="A961">
        <v>1000350862</v>
      </c>
      <c r="B961" t="s">
        <v>3963</v>
      </c>
      <c r="C961" t="s">
        <v>3934</v>
      </c>
      <c r="D961" t="s">
        <v>4071</v>
      </c>
    </row>
    <row r="962" spans="1:4" x14ac:dyDescent="0.3">
      <c r="A962">
        <v>1000350862</v>
      </c>
      <c r="B962" t="s">
        <v>3963</v>
      </c>
      <c r="C962" t="s">
        <v>3934</v>
      </c>
      <c r="D962" t="s">
        <v>4071</v>
      </c>
    </row>
    <row r="963" spans="1:4" x14ac:dyDescent="0.3">
      <c r="A963">
        <v>1000350862</v>
      </c>
      <c r="B963" t="s">
        <v>3963</v>
      </c>
      <c r="C963" t="s">
        <v>3934</v>
      </c>
      <c r="D963" t="s">
        <v>4071</v>
      </c>
    </row>
    <row r="964" spans="1:4" x14ac:dyDescent="0.3">
      <c r="A964">
        <v>1000350862</v>
      </c>
      <c r="B964" t="s">
        <v>3963</v>
      </c>
      <c r="C964" t="s">
        <v>3934</v>
      </c>
      <c r="D964" t="s">
        <v>4071</v>
      </c>
    </row>
    <row r="965" spans="1:4" x14ac:dyDescent="0.3">
      <c r="A965">
        <v>1000350862</v>
      </c>
      <c r="B965" t="s">
        <v>3963</v>
      </c>
      <c r="C965" t="s">
        <v>3934</v>
      </c>
      <c r="D965" t="s">
        <v>4071</v>
      </c>
    </row>
    <row r="966" spans="1:4" x14ac:dyDescent="0.3">
      <c r="A966">
        <v>1000350862</v>
      </c>
      <c r="B966" t="s">
        <v>3963</v>
      </c>
      <c r="C966" t="s">
        <v>3934</v>
      </c>
      <c r="D966" t="s">
        <v>4071</v>
      </c>
    </row>
    <row r="967" spans="1:4" x14ac:dyDescent="0.3">
      <c r="A967">
        <v>1000350862</v>
      </c>
      <c r="B967" t="s">
        <v>3963</v>
      </c>
      <c r="C967" t="s">
        <v>3934</v>
      </c>
      <c r="D967" t="s">
        <v>4071</v>
      </c>
    </row>
    <row r="968" spans="1:4" x14ac:dyDescent="0.3">
      <c r="A968">
        <v>1000350862</v>
      </c>
      <c r="B968" t="s">
        <v>3963</v>
      </c>
      <c r="C968" t="s">
        <v>3934</v>
      </c>
      <c r="D968" t="s">
        <v>4071</v>
      </c>
    </row>
    <row r="969" spans="1:4" x14ac:dyDescent="0.3">
      <c r="A969">
        <v>1000350862</v>
      </c>
      <c r="B969" t="s">
        <v>3963</v>
      </c>
      <c r="C969" t="s">
        <v>3934</v>
      </c>
      <c r="D969" t="s">
        <v>4071</v>
      </c>
    </row>
    <row r="970" spans="1:4" x14ac:dyDescent="0.3">
      <c r="A970">
        <v>1000350862</v>
      </c>
      <c r="B970" t="s">
        <v>3963</v>
      </c>
      <c r="C970" t="s">
        <v>3934</v>
      </c>
      <c r="D970" t="s">
        <v>4071</v>
      </c>
    </row>
    <row r="971" spans="1:4" x14ac:dyDescent="0.3">
      <c r="A971">
        <v>1000578914</v>
      </c>
      <c r="B971" t="s">
        <v>3941</v>
      </c>
      <c r="C971" t="s">
        <v>3934</v>
      </c>
      <c r="D971" t="s">
        <v>4060</v>
      </c>
    </row>
    <row r="972" spans="1:4" x14ac:dyDescent="0.3">
      <c r="A972">
        <v>1000578914</v>
      </c>
      <c r="B972" t="s">
        <v>3941</v>
      </c>
      <c r="C972" t="s">
        <v>3934</v>
      </c>
      <c r="D972" t="s">
        <v>4060</v>
      </c>
    </row>
    <row r="973" spans="1:4" x14ac:dyDescent="0.3">
      <c r="A973">
        <v>1000578914</v>
      </c>
      <c r="B973" t="s">
        <v>3941</v>
      </c>
      <c r="C973" t="s">
        <v>3934</v>
      </c>
      <c r="D973" t="s">
        <v>4060</v>
      </c>
    </row>
    <row r="974" spans="1:4" x14ac:dyDescent="0.3">
      <c r="A974">
        <v>1000578914</v>
      </c>
      <c r="B974" t="s">
        <v>3941</v>
      </c>
      <c r="C974" t="s">
        <v>3934</v>
      </c>
      <c r="D974" t="s">
        <v>4060</v>
      </c>
    </row>
    <row r="975" spans="1:4" x14ac:dyDescent="0.3">
      <c r="A975">
        <v>1000578914</v>
      </c>
      <c r="B975" t="s">
        <v>3941</v>
      </c>
      <c r="C975" t="s">
        <v>3934</v>
      </c>
      <c r="D975" t="s">
        <v>4060</v>
      </c>
    </row>
    <row r="976" spans="1:4" x14ac:dyDescent="0.3">
      <c r="A976">
        <v>1000578914</v>
      </c>
      <c r="B976" t="s">
        <v>3941</v>
      </c>
      <c r="C976" t="s">
        <v>3934</v>
      </c>
      <c r="D976" t="s">
        <v>4060</v>
      </c>
    </row>
    <row r="977" spans="1:4" x14ac:dyDescent="0.3">
      <c r="A977">
        <v>1000578914</v>
      </c>
      <c r="B977" t="s">
        <v>3941</v>
      </c>
      <c r="C977" t="s">
        <v>3934</v>
      </c>
      <c r="D977" t="s">
        <v>4060</v>
      </c>
    </row>
    <row r="978" spans="1:4" x14ac:dyDescent="0.3">
      <c r="A978">
        <v>1000578914</v>
      </c>
      <c r="B978" t="s">
        <v>3941</v>
      </c>
      <c r="C978" t="s">
        <v>3934</v>
      </c>
      <c r="D978" t="s">
        <v>4060</v>
      </c>
    </row>
    <row r="979" spans="1:4" x14ac:dyDescent="0.3">
      <c r="A979">
        <v>1000578914</v>
      </c>
      <c r="B979" t="s">
        <v>3941</v>
      </c>
      <c r="C979" t="s">
        <v>3934</v>
      </c>
      <c r="D979" t="s">
        <v>4060</v>
      </c>
    </row>
    <row r="980" spans="1:4" x14ac:dyDescent="0.3">
      <c r="A980">
        <v>1000578914</v>
      </c>
      <c r="B980" t="s">
        <v>3941</v>
      </c>
      <c r="C980" t="s">
        <v>3934</v>
      </c>
      <c r="D980" t="s">
        <v>4060</v>
      </c>
    </row>
    <row r="981" spans="1:4" x14ac:dyDescent="0.3">
      <c r="A981">
        <v>1000578914</v>
      </c>
      <c r="B981" t="s">
        <v>3941</v>
      </c>
      <c r="C981" t="s">
        <v>3934</v>
      </c>
      <c r="D981" t="s">
        <v>4060</v>
      </c>
    </row>
    <row r="982" spans="1:4" x14ac:dyDescent="0.3">
      <c r="A982">
        <v>1000578914</v>
      </c>
      <c r="B982" t="s">
        <v>3941</v>
      </c>
      <c r="C982" t="s">
        <v>3934</v>
      </c>
      <c r="D982" t="s">
        <v>4060</v>
      </c>
    </row>
    <row r="983" spans="1:4" x14ac:dyDescent="0.3">
      <c r="A983">
        <v>1000578914</v>
      </c>
      <c r="B983" t="s">
        <v>3941</v>
      </c>
      <c r="C983" t="s">
        <v>3934</v>
      </c>
      <c r="D983" t="s">
        <v>4060</v>
      </c>
    </row>
    <row r="984" spans="1:4" x14ac:dyDescent="0.3">
      <c r="A984">
        <v>1000578914</v>
      </c>
      <c r="B984" t="s">
        <v>3941</v>
      </c>
      <c r="C984" t="s">
        <v>3934</v>
      </c>
      <c r="D984" t="s">
        <v>4060</v>
      </c>
    </row>
    <row r="985" spans="1:4" x14ac:dyDescent="0.3">
      <c r="A985">
        <v>1000578914</v>
      </c>
      <c r="B985" t="s">
        <v>3941</v>
      </c>
      <c r="C985" t="s">
        <v>3934</v>
      </c>
      <c r="D985" t="s">
        <v>4060</v>
      </c>
    </row>
    <row r="986" spans="1:4" x14ac:dyDescent="0.3">
      <c r="A986">
        <v>1000625316</v>
      </c>
      <c r="B986" t="s">
        <v>3944</v>
      </c>
      <c r="C986" t="s">
        <v>3934</v>
      </c>
      <c r="D986" t="s">
        <v>3980</v>
      </c>
    </row>
    <row r="987" spans="1:4" x14ac:dyDescent="0.3">
      <c r="A987">
        <v>1000625316</v>
      </c>
      <c r="B987" t="s">
        <v>3944</v>
      </c>
      <c r="C987" t="s">
        <v>3934</v>
      </c>
      <c r="D987" t="s">
        <v>3980</v>
      </c>
    </row>
    <row r="988" spans="1:4" x14ac:dyDescent="0.3">
      <c r="A988">
        <v>1000625316</v>
      </c>
      <c r="B988" t="s">
        <v>3944</v>
      </c>
      <c r="C988" t="s">
        <v>3934</v>
      </c>
      <c r="D988" t="s">
        <v>3980</v>
      </c>
    </row>
    <row r="989" spans="1:4" x14ac:dyDescent="0.3">
      <c r="A989">
        <v>1000625316</v>
      </c>
      <c r="B989" t="s">
        <v>3944</v>
      </c>
      <c r="C989" t="s">
        <v>3934</v>
      </c>
      <c r="D989" t="s">
        <v>3980</v>
      </c>
    </row>
    <row r="990" spans="1:4" x14ac:dyDescent="0.3">
      <c r="A990">
        <v>1000625316</v>
      </c>
      <c r="B990" t="s">
        <v>3944</v>
      </c>
      <c r="C990" t="s">
        <v>3934</v>
      </c>
      <c r="D990" t="s">
        <v>3980</v>
      </c>
    </row>
    <row r="991" spans="1:4" x14ac:dyDescent="0.3">
      <c r="A991">
        <v>1000625316</v>
      </c>
      <c r="B991" t="s">
        <v>3944</v>
      </c>
      <c r="C991" t="s">
        <v>3934</v>
      </c>
      <c r="D991" t="s">
        <v>3980</v>
      </c>
    </row>
    <row r="992" spans="1:4" x14ac:dyDescent="0.3">
      <c r="A992">
        <v>1000625316</v>
      </c>
      <c r="B992" t="s">
        <v>3944</v>
      </c>
      <c r="C992" t="s">
        <v>3934</v>
      </c>
      <c r="D992" t="s">
        <v>3980</v>
      </c>
    </row>
    <row r="993" spans="1:4" x14ac:dyDescent="0.3">
      <c r="A993">
        <v>1000625316</v>
      </c>
      <c r="B993" t="s">
        <v>3944</v>
      </c>
      <c r="C993" t="s">
        <v>3934</v>
      </c>
      <c r="D993" t="s">
        <v>3980</v>
      </c>
    </row>
    <row r="994" spans="1:4" x14ac:dyDescent="0.3">
      <c r="A994">
        <v>1000625316</v>
      </c>
      <c r="B994" t="s">
        <v>3944</v>
      </c>
      <c r="C994" t="s">
        <v>3934</v>
      </c>
      <c r="D994" t="s">
        <v>3980</v>
      </c>
    </row>
    <row r="995" spans="1:4" x14ac:dyDescent="0.3">
      <c r="A995">
        <v>1000625316</v>
      </c>
      <c r="B995" t="s">
        <v>3944</v>
      </c>
      <c r="C995" t="s">
        <v>3934</v>
      </c>
      <c r="D995" t="s">
        <v>3980</v>
      </c>
    </row>
    <row r="996" spans="1:4" x14ac:dyDescent="0.3">
      <c r="A996">
        <v>1000625316</v>
      </c>
      <c r="B996" t="s">
        <v>3944</v>
      </c>
      <c r="C996" t="s">
        <v>3934</v>
      </c>
      <c r="D996" t="s">
        <v>3980</v>
      </c>
    </row>
    <row r="997" spans="1:4" x14ac:dyDescent="0.3">
      <c r="A997">
        <v>1000625316</v>
      </c>
      <c r="B997" t="s">
        <v>3944</v>
      </c>
      <c r="C997" t="s">
        <v>3934</v>
      </c>
      <c r="D997" t="s">
        <v>3980</v>
      </c>
    </row>
    <row r="998" spans="1:4" x14ac:dyDescent="0.3">
      <c r="A998">
        <v>1000625316</v>
      </c>
      <c r="B998" t="s">
        <v>3944</v>
      </c>
      <c r="C998" t="s">
        <v>3934</v>
      </c>
      <c r="D998" t="s">
        <v>3980</v>
      </c>
    </row>
    <row r="999" spans="1:4" x14ac:dyDescent="0.3">
      <c r="A999">
        <v>1000625316</v>
      </c>
      <c r="B999" t="s">
        <v>3944</v>
      </c>
      <c r="C999" t="s">
        <v>3934</v>
      </c>
      <c r="D999" t="s">
        <v>3980</v>
      </c>
    </row>
    <row r="1000" spans="1:4" x14ac:dyDescent="0.3">
      <c r="A1000">
        <v>1000625316</v>
      </c>
      <c r="B1000" t="s">
        <v>3944</v>
      </c>
      <c r="C1000" t="s">
        <v>3934</v>
      </c>
      <c r="D1000" t="s">
        <v>3980</v>
      </c>
    </row>
    <row r="1001" spans="1:4" x14ac:dyDescent="0.3">
      <c r="A1001">
        <v>1000625316</v>
      </c>
      <c r="B1001" t="s">
        <v>3944</v>
      </c>
      <c r="C1001" t="s">
        <v>3934</v>
      </c>
      <c r="D1001" t="s">
        <v>3980</v>
      </c>
    </row>
    <row r="1002" spans="1:4" x14ac:dyDescent="0.3">
      <c r="A1002">
        <v>1000625316</v>
      </c>
      <c r="B1002" t="s">
        <v>3944</v>
      </c>
      <c r="C1002" t="s">
        <v>3934</v>
      </c>
      <c r="D1002" t="s">
        <v>3980</v>
      </c>
    </row>
    <row r="1003" spans="1:4" x14ac:dyDescent="0.3">
      <c r="A1003">
        <v>1000625316</v>
      </c>
      <c r="B1003" t="s">
        <v>3944</v>
      </c>
      <c r="C1003" t="s">
        <v>3934</v>
      </c>
      <c r="D1003" t="s">
        <v>3980</v>
      </c>
    </row>
    <row r="1004" spans="1:4" x14ac:dyDescent="0.3">
      <c r="A1004">
        <v>1000625316</v>
      </c>
      <c r="B1004" t="s">
        <v>3944</v>
      </c>
      <c r="C1004" t="s">
        <v>3934</v>
      </c>
      <c r="D1004" t="s">
        <v>3980</v>
      </c>
    </row>
    <row r="1005" spans="1:4" x14ac:dyDescent="0.3">
      <c r="A1005">
        <v>1000625316</v>
      </c>
      <c r="B1005" t="s">
        <v>3944</v>
      </c>
      <c r="C1005" t="s">
        <v>3934</v>
      </c>
      <c r="D1005" t="s">
        <v>3980</v>
      </c>
    </row>
    <row r="1006" spans="1:4" x14ac:dyDescent="0.3">
      <c r="A1006">
        <v>1000625316</v>
      </c>
      <c r="B1006" t="s">
        <v>3944</v>
      </c>
      <c r="C1006" t="s">
        <v>3934</v>
      </c>
      <c r="D1006" t="s">
        <v>3980</v>
      </c>
    </row>
    <row r="1007" spans="1:4" x14ac:dyDescent="0.3">
      <c r="A1007">
        <v>1000625316</v>
      </c>
      <c r="B1007" t="s">
        <v>3944</v>
      </c>
      <c r="C1007" t="s">
        <v>3934</v>
      </c>
      <c r="D1007" t="s">
        <v>3980</v>
      </c>
    </row>
    <row r="1008" spans="1:4" x14ac:dyDescent="0.3">
      <c r="A1008">
        <v>1000625316</v>
      </c>
      <c r="B1008" t="s">
        <v>3944</v>
      </c>
      <c r="C1008" t="s">
        <v>3934</v>
      </c>
      <c r="D1008" t="s">
        <v>3980</v>
      </c>
    </row>
    <row r="1009" spans="1:4" x14ac:dyDescent="0.3">
      <c r="A1009">
        <v>1000625316</v>
      </c>
      <c r="B1009" t="s">
        <v>3944</v>
      </c>
      <c r="C1009" t="s">
        <v>3934</v>
      </c>
      <c r="D1009" t="s">
        <v>3980</v>
      </c>
    </row>
    <row r="1010" spans="1:4" x14ac:dyDescent="0.3">
      <c r="A1010">
        <v>1000625316</v>
      </c>
      <c r="B1010" t="s">
        <v>3944</v>
      </c>
      <c r="C1010" t="s">
        <v>3934</v>
      </c>
      <c r="D1010" t="s">
        <v>3980</v>
      </c>
    </row>
    <row r="1011" spans="1:4" x14ac:dyDescent="0.3">
      <c r="A1011">
        <v>1000625316</v>
      </c>
      <c r="B1011" t="s">
        <v>3944</v>
      </c>
      <c r="C1011" t="s">
        <v>3934</v>
      </c>
      <c r="D1011" t="s">
        <v>3980</v>
      </c>
    </row>
    <row r="1012" spans="1:4" x14ac:dyDescent="0.3">
      <c r="A1012">
        <v>1000625316</v>
      </c>
      <c r="B1012" t="s">
        <v>3944</v>
      </c>
      <c r="C1012" t="s">
        <v>3934</v>
      </c>
      <c r="D1012" t="s">
        <v>3980</v>
      </c>
    </row>
    <row r="1013" spans="1:4" x14ac:dyDescent="0.3">
      <c r="A1013">
        <v>1000625316</v>
      </c>
      <c r="B1013" t="s">
        <v>3944</v>
      </c>
      <c r="C1013" t="s">
        <v>3934</v>
      </c>
      <c r="D1013" t="s">
        <v>3980</v>
      </c>
    </row>
    <row r="1014" spans="1:4" x14ac:dyDescent="0.3">
      <c r="A1014">
        <v>1000625316</v>
      </c>
      <c r="B1014" t="s">
        <v>3944</v>
      </c>
      <c r="C1014" t="s">
        <v>3934</v>
      </c>
      <c r="D1014" t="s">
        <v>3980</v>
      </c>
    </row>
    <row r="1015" spans="1:4" x14ac:dyDescent="0.3">
      <c r="A1015">
        <v>1000625316</v>
      </c>
      <c r="B1015" t="s">
        <v>3944</v>
      </c>
      <c r="C1015" t="s">
        <v>3934</v>
      </c>
      <c r="D1015" t="s">
        <v>3980</v>
      </c>
    </row>
    <row r="1016" spans="1:4" x14ac:dyDescent="0.3">
      <c r="A1016">
        <v>1000625316</v>
      </c>
      <c r="B1016" t="s">
        <v>3944</v>
      </c>
      <c r="C1016" t="s">
        <v>3934</v>
      </c>
      <c r="D1016" t="s">
        <v>3980</v>
      </c>
    </row>
    <row r="1017" spans="1:4" x14ac:dyDescent="0.3">
      <c r="A1017">
        <v>1000777598</v>
      </c>
      <c r="B1017" t="s">
        <v>3986</v>
      </c>
      <c r="C1017" t="s">
        <v>3934</v>
      </c>
      <c r="D1017" t="s">
        <v>4103</v>
      </c>
    </row>
    <row r="1018" spans="1:4" x14ac:dyDescent="0.3">
      <c r="A1018">
        <v>1000777598</v>
      </c>
      <c r="B1018" t="s">
        <v>3986</v>
      </c>
      <c r="C1018" t="s">
        <v>3934</v>
      </c>
      <c r="D1018" t="s">
        <v>4103</v>
      </c>
    </row>
    <row r="1019" spans="1:4" x14ac:dyDescent="0.3">
      <c r="A1019">
        <v>1000777598</v>
      </c>
      <c r="B1019" t="s">
        <v>3986</v>
      </c>
      <c r="C1019" t="s">
        <v>3934</v>
      </c>
      <c r="D1019" t="s">
        <v>4103</v>
      </c>
    </row>
    <row r="1020" spans="1:4" x14ac:dyDescent="0.3">
      <c r="A1020">
        <v>1000777598</v>
      </c>
      <c r="B1020" t="s">
        <v>3986</v>
      </c>
      <c r="C1020" t="s">
        <v>3934</v>
      </c>
      <c r="D1020" t="s">
        <v>4103</v>
      </c>
    </row>
    <row r="1021" spans="1:4" x14ac:dyDescent="0.3">
      <c r="A1021">
        <v>1000777598</v>
      </c>
      <c r="B1021" t="s">
        <v>3986</v>
      </c>
      <c r="C1021" t="s">
        <v>3934</v>
      </c>
      <c r="D1021" t="s">
        <v>4103</v>
      </c>
    </row>
    <row r="1022" spans="1:4" x14ac:dyDescent="0.3">
      <c r="A1022">
        <v>1000777598</v>
      </c>
      <c r="B1022" t="s">
        <v>3986</v>
      </c>
      <c r="C1022" t="s">
        <v>3934</v>
      </c>
      <c r="D1022" t="s">
        <v>4103</v>
      </c>
    </row>
    <row r="1023" spans="1:4" x14ac:dyDescent="0.3">
      <c r="A1023">
        <v>1000777598</v>
      </c>
      <c r="B1023" t="s">
        <v>3986</v>
      </c>
      <c r="C1023" t="s">
        <v>3934</v>
      </c>
      <c r="D1023" t="s">
        <v>4103</v>
      </c>
    </row>
    <row r="1024" spans="1:4" x14ac:dyDescent="0.3">
      <c r="A1024">
        <v>1000777598</v>
      </c>
      <c r="B1024" t="s">
        <v>3986</v>
      </c>
      <c r="C1024" t="s">
        <v>3934</v>
      </c>
      <c r="D1024" t="s">
        <v>4103</v>
      </c>
    </row>
    <row r="1025" spans="1:4" x14ac:dyDescent="0.3">
      <c r="A1025">
        <v>1000777598</v>
      </c>
      <c r="B1025" t="s">
        <v>3986</v>
      </c>
      <c r="C1025" t="s">
        <v>3934</v>
      </c>
      <c r="D1025" t="s">
        <v>4103</v>
      </c>
    </row>
    <row r="1026" spans="1:4" x14ac:dyDescent="0.3">
      <c r="A1026">
        <v>1000777598</v>
      </c>
      <c r="B1026" t="s">
        <v>3986</v>
      </c>
      <c r="C1026" t="s">
        <v>3934</v>
      </c>
      <c r="D1026" t="s">
        <v>4103</v>
      </c>
    </row>
    <row r="1027" spans="1:4" x14ac:dyDescent="0.3">
      <c r="A1027">
        <v>1000777598</v>
      </c>
      <c r="B1027" t="s">
        <v>3986</v>
      </c>
      <c r="C1027" t="s">
        <v>3934</v>
      </c>
      <c r="D1027" t="s">
        <v>4103</v>
      </c>
    </row>
    <row r="1028" spans="1:4" x14ac:dyDescent="0.3">
      <c r="A1028">
        <v>1000777598</v>
      </c>
      <c r="B1028" t="s">
        <v>3963</v>
      </c>
      <c r="C1028" t="s">
        <v>3934</v>
      </c>
      <c r="D1028" t="s">
        <v>4103</v>
      </c>
    </row>
    <row r="1029" spans="1:4" x14ac:dyDescent="0.3">
      <c r="A1029">
        <v>1000788047</v>
      </c>
      <c r="B1029" t="s">
        <v>4055</v>
      </c>
      <c r="C1029" t="s">
        <v>4056</v>
      </c>
      <c r="D1029" t="s">
        <v>4068</v>
      </c>
    </row>
    <row r="1030" spans="1:4" x14ac:dyDescent="0.3">
      <c r="A1030">
        <v>1000788047</v>
      </c>
      <c r="B1030" t="s">
        <v>4055</v>
      </c>
      <c r="C1030" t="s">
        <v>4056</v>
      </c>
      <c r="D1030" t="s">
        <v>4068</v>
      </c>
    </row>
    <row r="1031" spans="1:4" x14ac:dyDescent="0.3">
      <c r="A1031">
        <v>1000788047</v>
      </c>
      <c r="B1031" t="s">
        <v>4055</v>
      </c>
      <c r="C1031" t="s">
        <v>4056</v>
      </c>
      <c r="D1031" t="s">
        <v>4068</v>
      </c>
    </row>
    <row r="1032" spans="1:4" x14ac:dyDescent="0.3">
      <c r="A1032">
        <v>1000788047</v>
      </c>
      <c r="B1032" t="s">
        <v>4055</v>
      </c>
      <c r="C1032" t="s">
        <v>4056</v>
      </c>
      <c r="D1032" t="s">
        <v>4068</v>
      </c>
    </row>
    <row r="1033" spans="1:4" x14ac:dyDescent="0.3">
      <c r="A1033">
        <v>1000788047</v>
      </c>
      <c r="B1033" t="s">
        <v>4055</v>
      </c>
      <c r="C1033" t="s">
        <v>4056</v>
      </c>
      <c r="D1033" t="s">
        <v>4068</v>
      </c>
    </row>
    <row r="1034" spans="1:4" x14ac:dyDescent="0.3">
      <c r="A1034">
        <v>1000788047</v>
      </c>
      <c r="B1034" t="s">
        <v>4055</v>
      </c>
      <c r="C1034" t="s">
        <v>4056</v>
      </c>
      <c r="D1034" t="s">
        <v>4068</v>
      </c>
    </row>
    <row r="1035" spans="1:4" x14ac:dyDescent="0.3">
      <c r="A1035">
        <v>1000788047</v>
      </c>
      <c r="B1035" t="s">
        <v>4055</v>
      </c>
      <c r="C1035" t="s">
        <v>4056</v>
      </c>
      <c r="D1035" t="s">
        <v>4068</v>
      </c>
    </row>
    <row r="1036" spans="1:4" x14ac:dyDescent="0.3">
      <c r="A1036">
        <v>1000788047</v>
      </c>
      <c r="B1036" t="s">
        <v>4055</v>
      </c>
      <c r="C1036" t="s">
        <v>4056</v>
      </c>
      <c r="D1036" t="s">
        <v>4068</v>
      </c>
    </row>
    <row r="1037" spans="1:4" x14ac:dyDescent="0.3">
      <c r="A1037">
        <v>1000788047</v>
      </c>
      <c r="B1037" t="s">
        <v>4055</v>
      </c>
      <c r="C1037" t="s">
        <v>4056</v>
      </c>
      <c r="D1037" t="s">
        <v>4068</v>
      </c>
    </row>
    <row r="1038" spans="1:4" x14ac:dyDescent="0.3">
      <c r="A1038">
        <v>1000788047</v>
      </c>
      <c r="B1038" t="s">
        <v>4055</v>
      </c>
      <c r="C1038" t="s">
        <v>4056</v>
      </c>
      <c r="D1038" t="s">
        <v>4068</v>
      </c>
    </row>
    <row r="1039" spans="1:4" x14ac:dyDescent="0.3">
      <c r="A1039">
        <v>1000857610</v>
      </c>
      <c r="B1039" t="s">
        <v>3941</v>
      </c>
      <c r="C1039" t="s">
        <v>3934</v>
      </c>
      <c r="D1039" t="s">
        <v>3942</v>
      </c>
    </row>
    <row r="1040" spans="1:4" x14ac:dyDescent="0.3">
      <c r="A1040">
        <v>1000857610</v>
      </c>
      <c r="B1040" t="s">
        <v>3941</v>
      </c>
      <c r="C1040" t="s">
        <v>3934</v>
      </c>
      <c r="D1040" t="s">
        <v>3942</v>
      </c>
    </row>
    <row r="1041" spans="1:4" x14ac:dyDescent="0.3">
      <c r="A1041">
        <v>1000934874</v>
      </c>
      <c r="B1041" t="s">
        <v>3977</v>
      </c>
      <c r="C1041" t="s">
        <v>3970</v>
      </c>
      <c r="D1041" t="s">
        <v>3999</v>
      </c>
    </row>
    <row r="1042" spans="1:4" x14ac:dyDescent="0.3">
      <c r="A1042">
        <v>1000934874</v>
      </c>
      <c r="B1042" t="s">
        <v>3977</v>
      </c>
      <c r="C1042" t="s">
        <v>3970</v>
      </c>
      <c r="D1042" t="s">
        <v>3999</v>
      </c>
    </row>
    <row r="1043" spans="1:4" x14ac:dyDescent="0.3">
      <c r="A1043">
        <v>1000934874</v>
      </c>
      <c r="B1043" t="s">
        <v>3977</v>
      </c>
      <c r="C1043" t="s">
        <v>3970</v>
      </c>
      <c r="D1043" t="s">
        <v>3999</v>
      </c>
    </row>
    <row r="1044" spans="1:4" x14ac:dyDescent="0.3">
      <c r="A1044">
        <v>1000934874</v>
      </c>
      <c r="B1044" t="s">
        <v>3977</v>
      </c>
      <c r="C1044" t="s">
        <v>3970</v>
      </c>
      <c r="D1044" t="s">
        <v>3999</v>
      </c>
    </row>
    <row r="1045" spans="1:4" x14ac:dyDescent="0.3">
      <c r="A1045">
        <v>1000934874</v>
      </c>
      <c r="B1045" t="s">
        <v>3977</v>
      </c>
      <c r="C1045" t="s">
        <v>3970</v>
      </c>
      <c r="D1045" t="s">
        <v>3999</v>
      </c>
    </row>
    <row r="1046" spans="1:4" x14ac:dyDescent="0.3">
      <c r="A1046">
        <v>1000934874</v>
      </c>
      <c r="B1046" t="s">
        <v>3977</v>
      </c>
      <c r="C1046" t="s">
        <v>3970</v>
      </c>
      <c r="D1046" t="s">
        <v>3999</v>
      </c>
    </row>
    <row r="1047" spans="1:4" x14ac:dyDescent="0.3">
      <c r="A1047">
        <v>1000934874</v>
      </c>
      <c r="B1047" t="s">
        <v>3977</v>
      </c>
      <c r="C1047" t="s">
        <v>3970</v>
      </c>
      <c r="D1047" t="s">
        <v>3999</v>
      </c>
    </row>
    <row r="1048" spans="1:4" x14ac:dyDescent="0.3">
      <c r="A1048">
        <v>1000934874</v>
      </c>
      <c r="B1048" t="s">
        <v>3977</v>
      </c>
      <c r="C1048" t="s">
        <v>3970</v>
      </c>
      <c r="D1048" t="s">
        <v>3999</v>
      </c>
    </row>
    <row r="1049" spans="1:4" x14ac:dyDescent="0.3">
      <c r="A1049">
        <v>1000934874</v>
      </c>
      <c r="B1049" t="s">
        <v>3977</v>
      </c>
      <c r="C1049" t="s">
        <v>3970</v>
      </c>
      <c r="D1049" t="s">
        <v>3999</v>
      </c>
    </row>
    <row r="1050" spans="1:4" x14ac:dyDescent="0.3">
      <c r="A1050">
        <v>1000934874</v>
      </c>
      <c r="B1050" t="s">
        <v>3977</v>
      </c>
      <c r="C1050" t="s">
        <v>3970</v>
      </c>
      <c r="D1050" t="s">
        <v>3999</v>
      </c>
    </row>
    <row r="1051" spans="1:4" x14ac:dyDescent="0.3">
      <c r="A1051">
        <v>1000934874</v>
      </c>
      <c r="B1051" t="s">
        <v>3977</v>
      </c>
      <c r="C1051" t="s">
        <v>3970</v>
      </c>
      <c r="D1051" t="s">
        <v>3999</v>
      </c>
    </row>
    <row r="1052" spans="1:4" x14ac:dyDescent="0.3">
      <c r="A1052">
        <v>1000934874</v>
      </c>
      <c r="B1052" t="s">
        <v>3977</v>
      </c>
      <c r="C1052" t="s">
        <v>3970</v>
      </c>
      <c r="D1052" t="s">
        <v>3999</v>
      </c>
    </row>
    <row r="1053" spans="1:4" x14ac:dyDescent="0.3">
      <c r="A1053">
        <v>1000934874</v>
      </c>
      <c r="B1053" t="s">
        <v>3977</v>
      </c>
      <c r="C1053" t="s">
        <v>3970</v>
      </c>
      <c r="D1053" t="s">
        <v>3999</v>
      </c>
    </row>
    <row r="1054" spans="1:4" x14ac:dyDescent="0.3">
      <c r="A1054">
        <v>1000934874</v>
      </c>
      <c r="B1054" t="s">
        <v>3977</v>
      </c>
      <c r="C1054" t="s">
        <v>3970</v>
      </c>
      <c r="D1054" t="s">
        <v>3999</v>
      </c>
    </row>
    <row r="1055" spans="1:4" x14ac:dyDescent="0.3">
      <c r="A1055">
        <v>1000934874</v>
      </c>
      <c r="B1055" t="s">
        <v>3977</v>
      </c>
      <c r="C1055" t="s">
        <v>3970</v>
      </c>
      <c r="D1055" t="s">
        <v>3999</v>
      </c>
    </row>
    <row r="1056" spans="1:4" x14ac:dyDescent="0.3">
      <c r="A1056">
        <v>1000934874</v>
      </c>
      <c r="B1056" t="s">
        <v>3977</v>
      </c>
      <c r="C1056" t="s">
        <v>3970</v>
      </c>
      <c r="D1056" t="s">
        <v>3999</v>
      </c>
    </row>
    <row r="1057" spans="1:4" x14ac:dyDescent="0.3">
      <c r="A1057">
        <v>1000934874</v>
      </c>
      <c r="B1057" t="s">
        <v>3977</v>
      </c>
      <c r="C1057" t="s">
        <v>3970</v>
      </c>
      <c r="D1057" t="s">
        <v>3999</v>
      </c>
    </row>
    <row r="1058" spans="1:4" x14ac:dyDescent="0.3">
      <c r="A1058">
        <v>1000934874</v>
      </c>
      <c r="B1058" t="s">
        <v>3977</v>
      </c>
      <c r="C1058" t="s">
        <v>3970</v>
      </c>
      <c r="D1058" t="s">
        <v>3999</v>
      </c>
    </row>
    <row r="1059" spans="1:4" x14ac:dyDescent="0.3">
      <c r="A1059">
        <v>1000934874</v>
      </c>
      <c r="B1059" t="s">
        <v>3977</v>
      </c>
      <c r="C1059" t="s">
        <v>3970</v>
      </c>
      <c r="D1059" t="s">
        <v>3999</v>
      </c>
    </row>
    <row r="1060" spans="1:4" x14ac:dyDescent="0.3">
      <c r="A1060">
        <v>1000934874</v>
      </c>
      <c r="B1060" t="s">
        <v>3977</v>
      </c>
      <c r="C1060" t="s">
        <v>3970</v>
      </c>
      <c r="D1060" t="s">
        <v>3999</v>
      </c>
    </row>
    <row r="1061" spans="1:4" x14ac:dyDescent="0.3">
      <c r="A1061">
        <v>1000934874</v>
      </c>
      <c r="B1061" t="s">
        <v>3977</v>
      </c>
      <c r="C1061" t="s">
        <v>3970</v>
      </c>
      <c r="D1061" t="s">
        <v>3999</v>
      </c>
    </row>
    <row r="1062" spans="1:4" x14ac:dyDescent="0.3">
      <c r="A1062">
        <v>1000934874</v>
      </c>
      <c r="B1062" t="s">
        <v>3977</v>
      </c>
      <c r="C1062" t="s">
        <v>3970</v>
      </c>
      <c r="D1062" t="s">
        <v>3999</v>
      </c>
    </row>
    <row r="1063" spans="1:4" x14ac:dyDescent="0.3">
      <c r="A1063">
        <v>1000934874</v>
      </c>
      <c r="B1063" t="s">
        <v>3977</v>
      </c>
      <c r="C1063" t="s">
        <v>3970</v>
      </c>
      <c r="D1063" t="s">
        <v>3999</v>
      </c>
    </row>
    <row r="1064" spans="1:4" x14ac:dyDescent="0.3">
      <c r="A1064">
        <v>1000934874</v>
      </c>
      <c r="B1064" t="s">
        <v>3977</v>
      </c>
      <c r="C1064" t="s">
        <v>3970</v>
      </c>
      <c r="D1064" t="s">
        <v>3999</v>
      </c>
    </row>
    <row r="1065" spans="1:4" x14ac:dyDescent="0.3">
      <c r="A1065">
        <v>1000934874</v>
      </c>
      <c r="B1065" t="s">
        <v>3977</v>
      </c>
      <c r="C1065" t="s">
        <v>3970</v>
      </c>
      <c r="D1065" t="s">
        <v>3999</v>
      </c>
    </row>
    <row r="1066" spans="1:4" x14ac:dyDescent="0.3">
      <c r="A1066">
        <v>1000934874</v>
      </c>
      <c r="B1066" t="s">
        <v>3977</v>
      </c>
      <c r="C1066" t="s">
        <v>3970</v>
      </c>
      <c r="D1066" t="s">
        <v>3999</v>
      </c>
    </row>
    <row r="1067" spans="1:4" x14ac:dyDescent="0.3">
      <c r="A1067">
        <v>1000934874</v>
      </c>
      <c r="B1067" t="s">
        <v>3977</v>
      </c>
      <c r="C1067" t="s">
        <v>3970</v>
      </c>
      <c r="D1067" t="s">
        <v>3999</v>
      </c>
    </row>
    <row r="1068" spans="1:4" x14ac:dyDescent="0.3">
      <c r="A1068">
        <v>1000934874</v>
      </c>
      <c r="B1068" t="s">
        <v>3977</v>
      </c>
      <c r="C1068" t="s">
        <v>3970</v>
      </c>
      <c r="D1068" t="s">
        <v>3999</v>
      </c>
    </row>
    <row r="1069" spans="1:4" x14ac:dyDescent="0.3">
      <c r="A1069">
        <v>1000934874</v>
      </c>
      <c r="B1069" t="s">
        <v>3977</v>
      </c>
      <c r="C1069" t="s">
        <v>3970</v>
      </c>
      <c r="D1069" t="s">
        <v>3999</v>
      </c>
    </row>
    <row r="1070" spans="1:4" x14ac:dyDescent="0.3">
      <c r="A1070">
        <v>1000934874</v>
      </c>
      <c r="B1070" t="s">
        <v>3977</v>
      </c>
      <c r="C1070" t="s">
        <v>3970</v>
      </c>
      <c r="D1070" t="s">
        <v>3999</v>
      </c>
    </row>
    <row r="1071" spans="1:4" x14ac:dyDescent="0.3">
      <c r="A1071">
        <v>1000934874</v>
      </c>
      <c r="B1071" t="s">
        <v>3977</v>
      </c>
      <c r="C1071" t="s">
        <v>3970</v>
      </c>
      <c r="D1071" t="s">
        <v>3999</v>
      </c>
    </row>
    <row r="1072" spans="1:4" x14ac:dyDescent="0.3">
      <c r="A1072">
        <v>1000934874</v>
      </c>
      <c r="B1072" t="s">
        <v>3977</v>
      </c>
      <c r="C1072" t="s">
        <v>3970</v>
      </c>
      <c r="D1072" t="s">
        <v>3999</v>
      </c>
    </row>
    <row r="1073" spans="1:4" x14ac:dyDescent="0.3">
      <c r="A1073">
        <v>1000934874</v>
      </c>
      <c r="B1073" t="s">
        <v>3977</v>
      </c>
      <c r="C1073" t="s">
        <v>3970</v>
      </c>
      <c r="D1073" t="s">
        <v>3999</v>
      </c>
    </row>
    <row r="1074" spans="1:4" x14ac:dyDescent="0.3">
      <c r="A1074">
        <v>1000934874</v>
      </c>
      <c r="B1074" t="s">
        <v>3977</v>
      </c>
      <c r="C1074" t="s">
        <v>3970</v>
      </c>
      <c r="D1074" t="s">
        <v>3999</v>
      </c>
    </row>
    <row r="1075" spans="1:4" x14ac:dyDescent="0.3">
      <c r="A1075">
        <v>1000934874</v>
      </c>
      <c r="B1075" t="s">
        <v>3977</v>
      </c>
      <c r="C1075" t="s">
        <v>3970</v>
      </c>
      <c r="D1075" t="s">
        <v>3999</v>
      </c>
    </row>
    <row r="1076" spans="1:4" x14ac:dyDescent="0.3">
      <c r="A1076">
        <v>1000934874</v>
      </c>
      <c r="B1076" t="s">
        <v>3977</v>
      </c>
      <c r="C1076" t="s">
        <v>3970</v>
      </c>
      <c r="D1076" t="s">
        <v>3999</v>
      </c>
    </row>
    <row r="1077" spans="1:4" x14ac:dyDescent="0.3">
      <c r="A1077">
        <v>1000934874</v>
      </c>
      <c r="B1077" t="s">
        <v>3977</v>
      </c>
      <c r="C1077" t="s">
        <v>3970</v>
      </c>
      <c r="D1077" t="s">
        <v>3999</v>
      </c>
    </row>
    <row r="1078" spans="1:4" x14ac:dyDescent="0.3">
      <c r="A1078">
        <v>1000934874</v>
      </c>
      <c r="B1078" t="s">
        <v>3977</v>
      </c>
      <c r="C1078" t="s">
        <v>3970</v>
      </c>
      <c r="D1078" t="s">
        <v>3999</v>
      </c>
    </row>
    <row r="1079" spans="1:4" x14ac:dyDescent="0.3">
      <c r="A1079">
        <v>1000973717</v>
      </c>
      <c r="B1079" t="s">
        <v>3963</v>
      </c>
      <c r="C1079" t="s">
        <v>3934</v>
      </c>
      <c r="D1079" t="s">
        <v>4073</v>
      </c>
    </row>
    <row r="1080" spans="1:4" x14ac:dyDescent="0.3">
      <c r="A1080">
        <v>1000973717</v>
      </c>
      <c r="B1080" t="s">
        <v>3963</v>
      </c>
      <c r="C1080" t="s">
        <v>3934</v>
      </c>
      <c r="D1080" t="s">
        <v>4073</v>
      </c>
    </row>
    <row r="1081" spans="1:4" x14ac:dyDescent="0.3">
      <c r="A1081">
        <v>1000973717</v>
      </c>
      <c r="B1081" t="s">
        <v>3963</v>
      </c>
      <c r="C1081" t="s">
        <v>3934</v>
      </c>
      <c r="D1081" t="s">
        <v>4073</v>
      </c>
    </row>
    <row r="1082" spans="1:4" x14ac:dyDescent="0.3">
      <c r="A1082">
        <v>1000973717</v>
      </c>
      <c r="B1082" t="s">
        <v>3963</v>
      </c>
      <c r="C1082" t="s">
        <v>3934</v>
      </c>
      <c r="D1082" t="s">
        <v>4073</v>
      </c>
    </row>
    <row r="1083" spans="1:4" x14ac:dyDescent="0.3">
      <c r="A1083">
        <v>1000973717</v>
      </c>
      <c r="B1083" t="s">
        <v>3963</v>
      </c>
      <c r="C1083" t="s">
        <v>3934</v>
      </c>
      <c r="D1083" t="s">
        <v>4073</v>
      </c>
    </row>
    <row r="1084" spans="1:4" x14ac:dyDescent="0.3">
      <c r="A1084">
        <v>1000973717</v>
      </c>
      <c r="B1084" t="s">
        <v>3963</v>
      </c>
      <c r="C1084" t="s">
        <v>3934</v>
      </c>
      <c r="D1084" t="s">
        <v>4073</v>
      </c>
    </row>
    <row r="1085" spans="1:4" x14ac:dyDescent="0.3">
      <c r="A1085">
        <v>1000973717</v>
      </c>
      <c r="B1085" t="s">
        <v>3963</v>
      </c>
      <c r="C1085" t="s">
        <v>3934</v>
      </c>
      <c r="D1085" t="s">
        <v>4073</v>
      </c>
    </row>
    <row r="1086" spans="1:4" x14ac:dyDescent="0.3">
      <c r="A1086">
        <v>1000973717</v>
      </c>
      <c r="B1086" t="s">
        <v>3963</v>
      </c>
      <c r="C1086" t="s">
        <v>3934</v>
      </c>
      <c r="D1086" t="s">
        <v>4073</v>
      </c>
    </row>
    <row r="1087" spans="1:4" x14ac:dyDescent="0.3">
      <c r="A1087">
        <v>1000973717</v>
      </c>
      <c r="B1087" t="s">
        <v>3963</v>
      </c>
      <c r="C1087" t="s">
        <v>3934</v>
      </c>
      <c r="D1087" t="s">
        <v>4073</v>
      </c>
    </row>
    <row r="1088" spans="1:4" x14ac:dyDescent="0.3">
      <c r="A1088">
        <v>1000973717</v>
      </c>
      <c r="B1088" t="s">
        <v>3963</v>
      </c>
      <c r="C1088" t="s">
        <v>3934</v>
      </c>
      <c r="D1088" t="s">
        <v>4073</v>
      </c>
    </row>
    <row r="1089" spans="1:4" x14ac:dyDescent="0.3">
      <c r="A1089">
        <v>1000973717</v>
      </c>
      <c r="B1089" t="s">
        <v>3963</v>
      </c>
      <c r="C1089" t="s">
        <v>3934</v>
      </c>
      <c r="D1089" t="s">
        <v>4073</v>
      </c>
    </row>
    <row r="1090" spans="1:4" x14ac:dyDescent="0.3">
      <c r="A1090">
        <v>1000973717</v>
      </c>
      <c r="B1090" t="s">
        <v>3963</v>
      </c>
      <c r="C1090" t="s">
        <v>3934</v>
      </c>
      <c r="D1090" t="s">
        <v>4073</v>
      </c>
    </row>
    <row r="1091" spans="1:4" x14ac:dyDescent="0.3">
      <c r="A1091">
        <v>1000973717</v>
      </c>
      <c r="B1091" t="s">
        <v>3963</v>
      </c>
      <c r="C1091" t="s">
        <v>3934</v>
      </c>
      <c r="D1091" t="s">
        <v>4073</v>
      </c>
    </row>
    <row r="1092" spans="1:4" x14ac:dyDescent="0.3">
      <c r="A1092">
        <v>1001048359</v>
      </c>
      <c r="B1092" t="s">
        <v>3939</v>
      </c>
      <c r="C1092" t="s">
        <v>3934</v>
      </c>
      <c r="D1092" t="s">
        <v>4106</v>
      </c>
    </row>
    <row r="1093" spans="1:4" x14ac:dyDescent="0.3">
      <c r="A1093">
        <v>1001048359</v>
      </c>
      <c r="B1093" t="s">
        <v>3939</v>
      </c>
      <c r="C1093" t="s">
        <v>3934</v>
      </c>
      <c r="D1093" t="s">
        <v>4106</v>
      </c>
    </row>
    <row r="1094" spans="1:4" x14ac:dyDescent="0.3">
      <c r="A1094">
        <v>1001048359</v>
      </c>
      <c r="B1094" t="s">
        <v>3939</v>
      </c>
      <c r="C1094" t="s">
        <v>3934</v>
      </c>
      <c r="D1094" t="s">
        <v>4106</v>
      </c>
    </row>
    <row r="1095" spans="1:4" x14ac:dyDescent="0.3">
      <c r="A1095">
        <v>1001048359</v>
      </c>
      <c r="B1095" t="s">
        <v>3939</v>
      </c>
      <c r="C1095" t="s">
        <v>3934</v>
      </c>
      <c r="D1095" t="s">
        <v>4106</v>
      </c>
    </row>
    <row r="1096" spans="1:4" x14ac:dyDescent="0.3">
      <c r="A1096">
        <v>1001048359</v>
      </c>
      <c r="B1096" t="s">
        <v>3939</v>
      </c>
      <c r="C1096" t="s">
        <v>3934</v>
      </c>
      <c r="D1096" t="s">
        <v>4106</v>
      </c>
    </row>
    <row r="1097" spans="1:4" x14ac:dyDescent="0.3">
      <c r="A1097">
        <v>1001066645</v>
      </c>
      <c r="B1097" t="s">
        <v>3963</v>
      </c>
      <c r="C1097" t="s">
        <v>3934</v>
      </c>
      <c r="D1097" t="s">
        <v>4086</v>
      </c>
    </row>
    <row r="1098" spans="1:4" x14ac:dyDescent="0.3">
      <c r="A1098">
        <v>1001066645</v>
      </c>
      <c r="B1098" t="s">
        <v>3963</v>
      </c>
      <c r="C1098" t="s">
        <v>3934</v>
      </c>
      <c r="D1098" t="s">
        <v>4086</v>
      </c>
    </row>
    <row r="1099" spans="1:4" x14ac:dyDescent="0.3">
      <c r="A1099">
        <v>1001066645</v>
      </c>
      <c r="B1099" t="s">
        <v>3963</v>
      </c>
      <c r="C1099" t="s">
        <v>3934</v>
      </c>
      <c r="D1099" t="s">
        <v>4086</v>
      </c>
    </row>
    <row r="1100" spans="1:4" x14ac:dyDescent="0.3">
      <c r="A1100">
        <v>1001066645</v>
      </c>
      <c r="B1100" t="s">
        <v>3963</v>
      </c>
      <c r="C1100" t="s">
        <v>3934</v>
      </c>
      <c r="D1100" t="s">
        <v>4086</v>
      </c>
    </row>
    <row r="1101" spans="1:4" x14ac:dyDescent="0.3">
      <c r="A1101">
        <v>1001066645</v>
      </c>
      <c r="B1101" t="s">
        <v>3963</v>
      </c>
      <c r="C1101" t="s">
        <v>3934</v>
      </c>
      <c r="D1101" t="s">
        <v>4086</v>
      </c>
    </row>
    <row r="1102" spans="1:4" x14ac:dyDescent="0.3">
      <c r="A1102">
        <v>1001066645</v>
      </c>
      <c r="B1102" t="s">
        <v>3963</v>
      </c>
      <c r="C1102" t="s">
        <v>3934</v>
      </c>
      <c r="D1102" t="s">
        <v>4086</v>
      </c>
    </row>
    <row r="1103" spans="1:4" x14ac:dyDescent="0.3">
      <c r="A1103">
        <v>1001066645</v>
      </c>
      <c r="B1103" t="s">
        <v>3963</v>
      </c>
      <c r="C1103" t="s">
        <v>3934</v>
      </c>
      <c r="D1103" t="s">
        <v>4086</v>
      </c>
    </row>
    <row r="1104" spans="1:4" x14ac:dyDescent="0.3">
      <c r="A1104">
        <v>1001066645</v>
      </c>
      <c r="B1104" t="s">
        <v>3963</v>
      </c>
      <c r="C1104" t="s">
        <v>3934</v>
      </c>
      <c r="D1104" t="s">
        <v>4086</v>
      </c>
    </row>
    <row r="1105" spans="1:4" x14ac:dyDescent="0.3">
      <c r="A1105">
        <v>1001066645</v>
      </c>
      <c r="B1105" t="s">
        <v>3963</v>
      </c>
      <c r="C1105" t="s">
        <v>3934</v>
      </c>
      <c r="D1105" t="s">
        <v>4086</v>
      </c>
    </row>
    <row r="1106" spans="1:4" x14ac:dyDescent="0.3">
      <c r="A1106">
        <v>1001066645</v>
      </c>
      <c r="B1106" t="s">
        <v>3963</v>
      </c>
      <c r="C1106" t="s">
        <v>3934</v>
      </c>
      <c r="D1106" t="s">
        <v>4086</v>
      </c>
    </row>
    <row r="1107" spans="1:4" x14ac:dyDescent="0.3">
      <c r="A1107">
        <v>1001171202</v>
      </c>
      <c r="B1107" t="s">
        <v>3933</v>
      </c>
      <c r="C1107" t="s">
        <v>3934</v>
      </c>
      <c r="D1107" t="s">
        <v>3958</v>
      </c>
    </row>
    <row r="1108" spans="1:4" x14ac:dyDescent="0.3">
      <c r="A1108">
        <v>1001192723</v>
      </c>
      <c r="B1108" t="s">
        <v>3941</v>
      </c>
      <c r="C1108" t="s">
        <v>3934</v>
      </c>
      <c r="D1108" t="s">
        <v>3940</v>
      </c>
    </row>
    <row r="1109" spans="1:4" x14ac:dyDescent="0.3">
      <c r="A1109">
        <v>1001192723</v>
      </c>
      <c r="B1109" t="s">
        <v>3941</v>
      </c>
      <c r="C1109" t="s">
        <v>3934</v>
      </c>
      <c r="D1109" t="s">
        <v>3940</v>
      </c>
    </row>
    <row r="1110" spans="1:4" x14ac:dyDescent="0.3">
      <c r="A1110">
        <v>1001192723</v>
      </c>
      <c r="B1110" t="s">
        <v>3941</v>
      </c>
      <c r="C1110" t="s">
        <v>3934</v>
      </c>
      <c r="D1110" t="s">
        <v>3940</v>
      </c>
    </row>
    <row r="1111" spans="1:4" x14ac:dyDescent="0.3">
      <c r="A1111">
        <v>1001192723</v>
      </c>
      <c r="B1111" t="s">
        <v>3941</v>
      </c>
      <c r="C1111" t="s">
        <v>3934</v>
      </c>
      <c r="D1111" t="s">
        <v>3940</v>
      </c>
    </row>
    <row r="1112" spans="1:4" x14ac:dyDescent="0.3">
      <c r="A1112">
        <v>1001192723</v>
      </c>
      <c r="B1112" t="s">
        <v>3941</v>
      </c>
      <c r="C1112" t="s">
        <v>3934</v>
      </c>
      <c r="D1112" t="s">
        <v>3940</v>
      </c>
    </row>
    <row r="1113" spans="1:4" x14ac:dyDescent="0.3">
      <c r="A1113">
        <v>1001192723</v>
      </c>
      <c r="B1113" t="s">
        <v>3941</v>
      </c>
      <c r="C1113" t="s">
        <v>3934</v>
      </c>
      <c r="D1113" t="s">
        <v>3940</v>
      </c>
    </row>
    <row r="1114" spans="1:4" x14ac:dyDescent="0.3">
      <c r="A1114">
        <v>1001192723</v>
      </c>
      <c r="B1114" t="s">
        <v>3941</v>
      </c>
      <c r="C1114" t="s">
        <v>3934</v>
      </c>
      <c r="D1114" t="s">
        <v>3940</v>
      </c>
    </row>
    <row r="1115" spans="1:4" x14ac:dyDescent="0.3">
      <c r="A1115">
        <v>1001192723</v>
      </c>
      <c r="B1115" t="s">
        <v>3941</v>
      </c>
      <c r="C1115" t="s">
        <v>3934</v>
      </c>
      <c r="D1115" t="s">
        <v>3940</v>
      </c>
    </row>
    <row r="1116" spans="1:4" x14ac:dyDescent="0.3">
      <c r="A1116">
        <v>1001192723</v>
      </c>
      <c r="B1116" t="s">
        <v>3941</v>
      </c>
      <c r="C1116" t="s">
        <v>3934</v>
      </c>
      <c r="D1116" t="s">
        <v>3940</v>
      </c>
    </row>
    <row r="1117" spans="1:4" x14ac:dyDescent="0.3">
      <c r="A1117">
        <v>1001192723</v>
      </c>
      <c r="B1117" t="s">
        <v>3941</v>
      </c>
      <c r="C1117" t="s">
        <v>3934</v>
      </c>
      <c r="D1117" t="s">
        <v>3940</v>
      </c>
    </row>
    <row r="1118" spans="1:4" x14ac:dyDescent="0.3">
      <c r="A1118">
        <v>1001192723</v>
      </c>
      <c r="B1118" t="s">
        <v>3941</v>
      </c>
      <c r="C1118" t="s">
        <v>3934</v>
      </c>
      <c r="D1118" t="s">
        <v>3940</v>
      </c>
    </row>
    <row r="1119" spans="1:4" x14ac:dyDescent="0.3">
      <c r="A1119">
        <v>1001192723</v>
      </c>
      <c r="B1119" t="s">
        <v>3941</v>
      </c>
      <c r="C1119" t="s">
        <v>3934</v>
      </c>
      <c r="D1119" t="s">
        <v>3940</v>
      </c>
    </row>
    <row r="1120" spans="1:4" x14ac:dyDescent="0.3">
      <c r="A1120">
        <v>1001192723</v>
      </c>
      <c r="B1120" t="s">
        <v>3941</v>
      </c>
      <c r="C1120" t="s">
        <v>3934</v>
      </c>
      <c r="D1120" t="s">
        <v>3940</v>
      </c>
    </row>
    <row r="1121" spans="1:4" x14ac:dyDescent="0.3">
      <c r="A1121">
        <v>1001192723</v>
      </c>
      <c r="B1121" t="s">
        <v>3941</v>
      </c>
      <c r="C1121" t="s">
        <v>3934</v>
      </c>
      <c r="D1121" t="s">
        <v>3940</v>
      </c>
    </row>
    <row r="1122" spans="1:4" x14ac:dyDescent="0.3">
      <c r="A1122">
        <v>1001192723</v>
      </c>
      <c r="B1122" t="s">
        <v>3941</v>
      </c>
      <c r="C1122" t="s">
        <v>3934</v>
      </c>
      <c r="D1122" t="s">
        <v>3940</v>
      </c>
    </row>
    <row r="1123" spans="1:4" x14ac:dyDescent="0.3">
      <c r="A1123">
        <v>1001192723</v>
      </c>
      <c r="B1123" t="s">
        <v>3941</v>
      </c>
      <c r="C1123" t="s">
        <v>3934</v>
      </c>
      <c r="D1123" t="s">
        <v>3940</v>
      </c>
    </row>
    <row r="1124" spans="1:4" x14ac:dyDescent="0.3">
      <c r="A1124">
        <v>1001192723</v>
      </c>
      <c r="B1124" t="s">
        <v>3941</v>
      </c>
      <c r="C1124" t="s">
        <v>3934</v>
      </c>
      <c r="D1124" t="s">
        <v>3940</v>
      </c>
    </row>
    <row r="1125" spans="1:4" x14ac:dyDescent="0.3">
      <c r="A1125">
        <v>1001192723</v>
      </c>
      <c r="B1125" t="s">
        <v>3941</v>
      </c>
      <c r="C1125" t="s">
        <v>3934</v>
      </c>
      <c r="D1125" t="s">
        <v>3940</v>
      </c>
    </row>
    <row r="1126" spans="1:4" x14ac:dyDescent="0.3">
      <c r="A1126">
        <v>1001277801</v>
      </c>
      <c r="B1126" t="s">
        <v>3965</v>
      </c>
      <c r="C1126" t="s">
        <v>3934</v>
      </c>
      <c r="D1126" t="s">
        <v>4002</v>
      </c>
    </row>
    <row r="1127" spans="1:4" x14ac:dyDescent="0.3">
      <c r="A1127">
        <v>1001277801</v>
      </c>
      <c r="B1127" t="s">
        <v>3965</v>
      </c>
      <c r="C1127" t="s">
        <v>3934</v>
      </c>
      <c r="D1127" t="s">
        <v>4002</v>
      </c>
    </row>
    <row r="1128" spans="1:4" x14ac:dyDescent="0.3">
      <c r="A1128">
        <v>1001277801</v>
      </c>
      <c r="B1128" t="s">
        <v>3965</v>
      </c>
      <c r="C1128" t="s">
        <v>3934</v>
      </c>
      <c r="D1128" t="s">
        <v>4002</v>
      </c>
    </row>
    <row r="1129" spans="1:4" x14ac:dyDescent="0.3">
      <c r="A1129">
        <v>1001277801</v>
      </c>
      <c r="B1129" t="s">
        <v>3965</v>
      </c>
      <c r="C1129" t="s">
        <v>3934</v>
      </c>
      <c r="D1129" t="s">
        <v>4002</v>
      </c>
    </row>
    <row r="1130" spans="1:4" x14ac:dyDescent="0.3">
      <c r="A1130">
        <v>1001277801</v>
      </c>
      <c r="B1130" t="s">
        <v>3965</v>
      </c>
      <c r="C1130" t="s">
        <v>3934</v>
      </c>
      <c r="D1130" t="s">
        <v>4002</v>
      </c>
    </row>
    <row r="1131" spans="1:4" x14ac:dyDescent="0.3">
      <c r="A1131">
        <v>1001277801</v>
      </c>
      <c r="B1131" t="s">
        <v>3965</v>
      </c>
      <c r="C1131" t="s">
        <v>3934</v>
      </c>
      <c r="D1131" t="s">
        <v>4002</v>
      </c>
    </row>
    <row r="1132" spans="1:4" x14ac:dyDescent="0.3">
      <c r="A1132">
        <v>1001277801</v>
      </c>
      <c r="B1132" t="s">
        <v>3965</v>
      </c>
      <c r="C1132" t="s">
        <v>3934</v>
      </c>
      <c r="D1132" t="s">
        <v>4002</v>
      </c>
    </row>
    <row r="1133" spans="1:4" x14ac:dyDescent="0.3">
      <c r="A1133">
        <v>1001277801</v>
      </c>
      <c r="B1133" t="s">
        <v>3965</v>
      </c>
      <c r="C1133" t="s">
        <v>3934</v>
      </c>
      <c r="D1133" t="s">
        <v>4002</v>
      </c>
    </row>
    <row r="1134" spans="1:4" x14ac:dyDescent="0.3">
      <c r="A1134">
        <v>1001277801</v>
      </c>
      <c r="B1134" t="s">
        <v>3965</v>
      </c>
      <c r="C1134" t="s">
        <v>3934</v>
      </c>
      <c r="D1134" t="s">
        <v>4002</v>
      </c>
    </row>
    <row r="1135" spans="1:4" x14ac:dyDescent="0.3">
      <c r="A1135">
        <v>1001277801</v>
      </c>
      <c r="B1135" t="s">
        <v>3965</v>
      </c>
      <c r="C1135" t="s">
        <v>3934</v>
      </c>
      <c r="D1135" t="s">
        <v>4002</v>
      </c>
    </row>
    <row r="1136" spans="1:4" x14ac:dyDescent="0.3">
      <c r="A1136">
        <v>1001277801</v>
      </c>
      <c r="B1136" t="s">
        <v>3965</v>
      </c>
      <c r="C1136" t="s">
        <v>3934</v>
      </c>
      <c r="D1136" t="s">
        <v>4002</v>
      </c>
    </row>
    <row r="1137" spans="1:4" x14ac:dyDescent="0.3">
      <c r="A1137">
        <v>1001277801</v>
      </c>
      <c r="B1137" t="s">
        <v>3965</v>
      </c>
      <c r="C1137" t="s">
        <v>3934</v>
      </c>
      <c r="D1137" t="s">
        <v>4002</v>
      </c>
    </row>
    <row r="1138" spans="1:4" x14ac:dyDescent="0.3">
      <c r="A1138">
        <v>1001277801</v>
      </c>
      <c r="B1138" t="s">
        <v>3965</v>
      </c>
      <c r="C1138" t="s">
        <v>3934</v>
      </c>
      <c r="D1138" t="s">
        <v>4002</v>
      </c>
    </row>
    <row r="1139" spans="1:4" x14ac:dyDescent="0.3">
      <c r="A1139">
        <v>1001277801</v>
      </c>
      <c r="B1139" t="s">
        <v>3965</v>
      </c>
      <c r="C1139" t="s">
        <v>3934</v>
      </c>
      <c r="D1139" t="s">
        <v>4002</v>
      </c>
    </row>
    <row r="1140" spans="1:4" x14ac:dyDescent="0.3">
      <c r="A1140">
        <v>1001277801</v>
      </c>
      <c r="B1140" t="s">
        <v>3965</v>
      </c>
      <c r="C1140" t="s">
        <v>3934</v>
      </c>
      <c r="D1140" t="s">
        <v>4002</v>
      </c>
    </row>
    <row r="1141" spans="1:4" x14ac:dyDescent="0.3">
      <c r="A1141">
        <v>1001277801</v>
      </c>
      <c r="B1141" t="s">
        <v>3965</v>
      </c>
      <c r="C1141" t="s">
        <v>3934</v>
      </c>
      <c r="D1141" t="s">
        <v>4002</v>
      </c>
    </row>
    <row r="1142" spans="1:4" x14ac:dyDescent="0.3">
      <c r="A1142">
        <v>1001277801</v>
      </c>
      <c r="B1142" t="s">
        <v>3965</v>
      </c>
      <c r="C1142" t="s">
        <v>3934</v>
      </c>
      <c r="D1142" t="s">
        <v>4002</v>
      </c>
    </row>
    <row r="1143" spans="1:4" x14ac:dyDescent="0.3">
      <c r="A1143">
        <v>1001277801</v>
      </c>
      <c r="B1143" t="s">
        <v>3965</v>
      </c>
      <c r="C1143" t="s">
        <v>3934</v>
      </c>
      <c r="D1143" t="s">
        <v>4002</v>
      </c>
    </row>
    <row r="1144" spans="1:4" x14ac:dyDescent="0.3">
      <c r="A1144">
        <v>1001277801</v>
      </c>
      <c r="B1144" t="s">
        <v>3965</v>
      </c>
      <c r="C1144" t="s">
        <v>3934</v>
      </c>
      <c r="D1144" t="s">
        <v>4002</v>
      </c>
    </row>
    <row r="1145" spans="1:4" x14ac:dyDescent="0.3">
      <c r="A1145">
        <v>1001277801</v>
      </c>
      <c r="B1145" t="s">
        <v>3965</v>
      </c>
      <c r="C1145" t="s">
        <v>3934</v>
      </c>
      <c r="D1145" t="s">
        <v>4002</v>
      </c>
    </row>
    <row r="1146" spans="1:4" x14ac:dyDescent="0.3">
      <c r="A1146">
        <v>1001277801</v>
      </c>
      <c r="B1146" t="s">
        <v>3965</v>
      </c>
      <c r="C1146" t="s">
        <v>3934</v>
      </c>
      <c r="D1146" t="s">
        <v>4002</v>
      </c>
    </row>
    <row r="1147" spans="1:4" x14ac:dyDescent="0.3">
      <c r="A1147">
        <v>1001277801</v>
      </c>
      <c r="B1147" t="s">
        <v>3965</v>
      </c>
      <c r="C1147" t="s">
        <v>3934</v>
      </c>
      <c r="D1147" t="s">
        <v>4002</v>
      </c>
    </row>
    <row r="1148" spans="1:4" x14ac:dyDescent="0.3">
      <c r="A1148">
        <v>1001277801</v>
      </c>
      <c r="B1148" t="s">
        <v>3965</v>
      </c>
      <c r="C1148" t="s">
        <v>3934</v>
      </c>
      <c r="D1148" t="s">
        <v>4002</v>
      </c>
    </row>
    <row r="1149" spans="1:4" x14ac:dyDescent="0.3">
      <c r="A1149">
        <v>1001277801</v>
      </c>
      <c r="B1149" t="s">
        <v>3965</v>
      </c>
      <c r="C1149" t="s">
        <v>3934</v>
      </c>
      <c r="D1149" t="s">
        <v>4002</v>
      </c>
    </row>
    <row r="1150" spans="1:4" x14ac:dyDescent="0.3">
      <c r="A1150">
        <v>1001277801</v>
      </c>
      <c r="B1150" t="s">
        <v>3965</v>
      </c>
      <c r="C1150" t="s">
        <v>3934</v>
      </c>
      <c r="D1150" t="s">
        <v>4002</v>
      </c>
    </row>
    <row r="1151" spans="1:4" x14ac:dyDescent="0.3">
      <c r="A1151">
        <v>1001277801</v>
      </c>
      <c r="B1151" t="s">
        <v>3965</v>
      </c>
      <c r="C1151" t="s">
        <v>3934</v>
      </c>
      <c r="D1151" t="s">
        <v>4002</v>
      </c>
    </row>
    <row r="1152" spans="1:4" x14ac:dyDescent="0.3">
      <c r="A1152">
        <v>1001277801</v>
      </c>
      <c r="B1152" t="s">
        <v>3965</v>
      </c>
      <c r="C1152" t="s">
        <v>3934</v>
      </c>
      <c r="D1152" t="s">
        <v>4002</v>
      </c>
    </row>
    <row r="1153" spans="1:4" x14ac:dyDescent="0.3">
      <c r="A1153">
        <v>1001315142</v>
      </c>
      <c r="B1153" t="s">
        <v>3986</v>
      </c>
      <c r="C1153" t="s">
        <v>3934</v>
      </c>
      <c r="D1153" t="s">
        <v>4064</v>
      </c>
    </row>
    <row r="1154" spans="1:4" x14ac:dyDescent="0.3">
      <c r="A1154">
        <v>1001315142</v>
      </c>
      <c r="B1154" t="s">
        <v>3986</v>
      </c>
      <c r="C1154" t="s">
        <v>3934</v>
      </c>
      <c r="D1154" t="s">
        <v>4064</v>
      </c>
    </row>
    <row r="1155" spans="1:4" x14ac:dyDescent="0.3">
      <c r="A1155">
        <v>1001315142</v>
      </c>
      <c r="B1155" t="s">
        <v>3986</v>
      </c>
      <c r="C1155" t="s">
        <v>3934</v>
      </c>
      <c r="D1155" t="s">
        <v>4064</v>
      </c>
    </row>
    <row r="1156" spans="1:4" x14ac:dyDescent="0.3">
      <c r="A1156">
        <v>1001315142</v>
      </c>
      <c r="B1156" t="s">
        <v>3986</v>
      </c>
      <c r="C1156" t="s">
        <v>3934</v>
      </c>
      <c r="D1156" t="s">
        <v>4064</v>
      </c>
    </row>
    <row r="1157" spans="1:4" x14ac:dyDescent="0.3">
      <c r="A1157">
        <v>1001315142</v>
      </c>
      <c r="B1157" t="s">
        <v>3986</v>
      </c>
      <c r="C1157" t="s">
        <v>3934</v>
      </c>
      <c r="D1157" t="s">
        <v>4064</v>
      </c>
    </row>
    <row r="1158" spans="1:4" x14ac:dyDescent="0.3">
      <c r="A1158">
        <v>1001315142</v>
      </c>
      <c r="B1158" t="s">
        <v>3986</v>
      </c>
      <c r="C1158" t="s">
        <v>3934</v>
      </c>
      <c r="D1158" t="s">
        <v>4064</v>
      </c>
    </row>
    <row r="1159" spans="1:4" x14ac:dyDescent="0.3">
      <c r="A1159">
        <v>1001315142</v>
      </c>
      <c r="B1159" t="s">
        <v>3986</v>
      </c>
      <c r="C1159" t="s">
        <v>3934</v>
      </c>
      <c r="D1159" t="s">
        <v>4064</v>
      </c>
    </row>
    <row r="1160" spans="1:4" x14ac:dyDescent="0.3">
      <c r="A1160">
        <v>1001315142</v>
      </c>
      <c r="B1160" t="s">
        <v>3986</v>
      </c>
      <c r="C1160" t="s">
        <v>3934</v>
      </c>
      <c r="D1160" t="s">
        <v>4064</v>
      </c>
    </row>
    <row r="1161" spans="1:4" x14ac:dyDescent="0.3">
      <c r="A1161">
        <v>1001315142</v>
      </c>
      <c r="B1161" t="s">
        <v>3986</v>
      </c>
      <c r="C1161" t="s">
        <v>3934</v>
      </c>
      <c r="D1161" t="s">
        <v>4064</v>
      </c>
    </row>
    <row r="1162" spans="1:4" x14ac:dyDescent="0.3">
      <c r="A1162">
        <v>1001315142</v>
      </c>
      <c r="B1162" t="s">
        <v>3986</v>
      </c>
      <c r="C1162" t="s">
        <v>3934</v>
      </c>
      <c r="D1162" t="s">
        <v>4064</v>
      </c>
    </row>
    <row r="1163" spans="1:4" x14ac:dyDescent="0.3">
      <c r="A1163">
        <v>1001315142</v>
      </c>
      <c r="B1163" t="s">
        <v>3986</v>
      </c>
      <c r="C1163" t="s">
        <v>3934</v>
      </c>
      <c r="D1163" t="s">
        <v>4064</v>
      </c>
    </row>
    <row r="1164" spans="1:4" x14ac:dyDescent="0.3">
      <c r="A1164">
        <v>1001315142</v>
      </c>
      <c r="B1164" t="s">
        <v>3986</v>
      </c>
      <c r="C1164" t="s">
        <v>3934</v>
      </c>
      <c r="D1164" t="s">
        <v>4064</v>
      </c>
    </row>
    <row r="1165" spans="1:4" x14ac:dyDescent="0.3">
      <c r="A1165">
        <v>1001315142</v>
      </c>
      <c r="B1165" t="s">
        <v>3986</v>
      </c>
      <c r="C1165" t="s">
        <v>3934</v>
      </c>
      <c r="D1165" t="s">
        <v>4064</v>
      </c>
    </row>
    <row r="1166" spans="1:4" x14ac:dyDescent="0.3">
      <c r="A1166">
        <v>1002500634</v>
      </c>
      <c r="B1166" t="s">
        <v>3986</v>
      </c>
      <c r="C1166" t="s">
        <v>3934</v>
      </c>
      <c r="D1166" t="s">
        <v>4026</v>
      </c>
    </row>
    <row r="1167" spans="1:4" x14ac:dyDescent="0.3">
      <c r="A1167">
        <v>1002500634</v>
      </c>
      <c r="B1167" t="s">
        <v>3986</v>
      </c>
      <c r="C1167" t="s">
        <v>3934</v>
      </c>
      <c r="D1167" t="s">
        <v>4026</v>
      </c>
    </row>
    <row r="1168" spans="1:4" x14ac:dyDescent="0.3">
      <c r="A1168">
        <v>1002500634</v>
      </c>
      <c r="B1168" t="s">
        <v>3986</v>
      </c>
      <c r="C1168" t="s">
        <v>3934</v>
      </c>
      <c r="D1168" t="s">
        <v>4026</v>
      </c>
    </row>
    <row r="1169" spans="1:4" x14ac:dyDescent="0.3">
      <c r="A1169">
        <v>1002500634</v>
      </c>
      <c r="B1169" t="s">
        <v>3986</v>
      </c>
      <c r="C1169" t="s">
        <v>3934</v>
      </c>
      <c r="D1169" t="s">
        <v>4026</v>
      </c>
    </row>
    <row r="1170" spans="1:4" x14ac:dyDescent="0.3">
      <c r="A1170">
        <v>1002500634</v>
      </c>
      <c r="B1170" t="s">
        <v>3986</v>
      </c>
      <c r="C1170" t="s">
        <v>3934</v>
      </c>
      <c r="D1170" t="s">
        <v>4026</v>
      </c>
    </row>
    <row r="1171" spans="1:4" x14ac:dyDescent="0.3">
      <c r="A1171">
        <v>1002500634</v>
      </c>
      <c r="B1171" t="s">
        <v>3986</v>
      </c>
      <c r="C1171" t="s">
        <v>3934</v>
      </c>
      <c r="D1171" t="s">
        <v>4026</v>
      </c>
    </row>
    <row r="1172" spans="1:4" x14ac:dyDescent="0.3">
      <c r="A1172">
        <v>1002500634</v>
      </c>
      <c r="B1172" t="s">
        <v>3986</v>
      </c>
      <c r="C1172" t="s">
        <v>3934</v>
      </c>
      <c r="D1172" t="s">
        <v>4026</v>
      </c>
    </row>
    <row r="1173" spans="1:4" x14ac:dyDescent="0.3">
      <c r="A1173">
        <v>1002500634</v>
      </c>
      <c r="B1173" t="s">
        <v>3986</v>
      </c>
      <c r="C1173" t="s">
        <v>3934</v>
      </c>
      <c r="D1173" t="s">
        <v>4026</v>
      </c>
    </row>
    <row r="1174" spans="1:4" x14ac:dyDescent="0.3">
      <c r="A1174">
        <v>1002500634</v>
      </c>
      <c r="B1174" t="s">
        <v>3986</v>
      </c>
      <c r="C1174" t="s">
        <v>3934</v>
      </c>
      <c r="D1174" t="s">
        <v>4026</v>
      </c>
    </row>
    <row r="1175" spans="1:4" x14ac:dyDescent="0.3">
      <c r="A1175">
        <v>1002500634</v>
      </c>
      <c r="B1175" t="s">
        <v>3986</v>
      </c>
      <c r="C1175" t="s">
        <v>3934</v>
      </c>
      <c r="D1175" t="s">
        <v>4026</v>
      </c>
    </row>
    <row r="1176" spans="1:4" x14ac:dyDescent="0.3">
      <c r="A1176">
        <v>1002500634</v>
      </c>
      <c r="B1176" t="s">
        <v>3986</v>
      </c>
      <c r="C1176" t="s">
        <v>3934</v>
      </c>
      <c r="D1176" t="s">
        <v>4026</v>
      </c>
    </row>
    <row r="1177" spans="1:4" x14ac:dyDescent="0.3">
      <c r="A1177">
        <v>1002500634</v>
      </c>
      <c r="B1177" t="s">
        <v>3986</v>
      </c>
      <c r="C1177" t="s">
        <v>3934</v>
      </c>
      <c r="D1177" t="s">
        <v>4026</v>
      </c>
    </row>
    <row r="1178" spans="1:4" x14ac:dyDescent="0.3">
      <c r="A1178">
        <v>1002500634</v>
      </c>
      <c r="B1178" t="s">
        <v>3986</v>
      </c>
      <c r="C1178" t="s">
        <v>3934</v>
      </c>
      <c r="D1178" t="s">
        <v>4026</v>
      </c>
    </row>
    <row r="1179" spans="1:4" x14ac:dyDescent="0.3">
      <c r="A1179">
        <v>1002500634</v>
      </c>
      <c r="B1179" t="s">
        <v>3986</v>
      </c>
      <c r="C1179" t="s">
        <v>3934</v>
      </c>
      <c r="D1179" t="s">
        <v>4026</v>
      </c>
    </row>
    <row r="1180" spans="1:4" x14ac:dyDescent="0.3">
      <c r="A1180">
        <v>1002500634</v>
      </c>
      <c r="B1180" t="s">
        <v>3986</v>
      </c>
      <c r="C1180" t="s">
        <v>3934</v>
      </c>
      <c r="D1180" t="s">
        <v>4026</v>
      </c>
    </row>
    <row r="1181" spans="1:4" x14ac:dyDescent="0.3">
      <c r="A1181">
        <v>1002500634</v>
      </c>
      <c r="B1181" t="s">
        <v>3986</v>
      </c>
      <c r="C1181" t="s">
        <v>3934</v>
      </c>
      <c r="D1181" t="s">
        <v>4026</v>
      </c>
    </row>
    <row r="1182" spans="1:4" x14ac:dyDescent="0.3">
      <c r="A1182">
        <v>1002500634</v>
      </c>
      <c r="B1182" t="s">
        <v>3986</v>
      </c>
      <c r="C1182" t="s">
        <v>3934</v>
      </c>
      <c r="D1182" t="s">
        <v>4026</v>
      </c>
    </row>
    <row r="1183" spans="1:4" x14ac:dyDescent="0.3">
      <c r="A1183">
        <v>1002500634</v>
      </c>
      <c r="B1183" t="s">
        <v>3986</v>
      </c>
      <c r="C1183" t="s">
        <v>3934</v>
      </c>
      <c r="D1183" t="s">
        <v>4026</v>
      </c>
    </row>
    <row r="1184" spans="1:4" x14ac:dyDescent="0.3">
      <c r="A1184">
        <v>1002500634</v>
      </c>
      <c r="B1184" t="s">
        <v>3986</v>
      </c>
      <c r="C1184" t="s">
        <v>3934</v>
      </c>
      <c r="D1184" t="s">
        <v>4026</v>
      </c>
    </row>
    <row r="1185" spans="1:4" x14ac:dyDescent="0.3">
      <c r="A1185">
        <v>1003652550</v>
      </c>
      <c r="B1185" t="s">
        <v>3965</v>
      </c>
      <c r="C1185" t="s">
        <v>3934</v>
      </c>
      <c r="D1185" t="s">
        <v>4059</v>
      </c>
    </row>
    <row r="1186" spans="1:4" x14ac:dyDescent="0.3">
      <c r="A1186">
        <v>1003652550</v>
      </c>
      <c r="B1186" t="s">
        <v>3965</v>
      </c>
      <c r="C1186" t="s">
        <v>3934</v>
      </c>
      <c r="D1186" t="s">
        <v>4059</v>
      </c>
    </row>
    <row r="1187" spans="1:4" x14ac:dyDescent="0.3">
      <c r="A1187">
        <v>1003652550</v>
      </c>
      <c r="B1187" t="s">
        <v>3965</v>
      </c>
      <c r="C1187" t="s">
        <v>3934</v>
      </c>
      <c r="D1187" t="s">
        <v>4059</v>
      </c>
    </row>
    <row r="1188" spans="1:4" x14ac:dyDescent="0.3">
      <c r="A1188">
        <v>1003652550</v>
      </c>
      <c r="B1188" t="s">
        <v>3965</v>
      </c>
      <c r="C1188" t="s">
        <v>3934</v>
      </c>
      <c r="D1188" t="s">
        <v>4059</v>
      </c>
    </row>
    <row r="1189" spans="1:4" x14ac:dyDescent="0.3">
      <c r="A1189">
        <v>1003652550</v>
      </c>
      <c r="B1189" t="s">
        <v>3965</v>
      </c>
      <c r="C1189" t="s">
        <v>3934</v>
      </c>
      <c r="D1189" t="s">
        <v>4059</v>
      </c>
    </row>
    <row r="1190" spans="1:4" x14ac:dyDescent="0.3">
      <c r="A1190">
        <v>1003652550</v>
      </c>
      <c r="B1190" t="s">
        <v>3965</v>
      </c>
      <c r="C1190" t="s">
        <v>3934</v>
      </c>
      <c r="D1190" t="s">
        <v>4059</v>
      </c>
    </row>
    <row r="1191" spans="1:4" x14ac:dyDescent="0.3">
      <c r="A1191">
        <v>1003652550</v>
      </c>
      <c r="B1191" t="s">
        <v>3965</v>
      </c>
      <c r="C1191" t="s">
        <v>3934</v>
      </c>
      <c r="D1191" t="s">
        <v>4059</v>
      </c>
    </row>
    <row r="1192" spans="1:4" x14ac:dyDescent="0.3">
      <c r="A1192">
        <v>1003652550</v>
      </c>
      <c r="B1192" t="s">
        <v>3965</v>
      </c>
      <c r="C1192" t="s">
        <v>3934</v>
      </c>
      <c r="D1192" t="s">
        <v>4059</v>
      </c>
    </row>
    <row r="1193" spans="1:4" x14ac:dyDescent="0.3">
      <c r="A1193">
        <v>1003652550</v>
      </c>
      <c r="B1193" t="s">
        <v>3965</v>
      </c>
      <c r="C1193" t="s">
        <v>3934</v>
      </c>
      <c r="D1193" t="s">
        <v>4059</v>
      </c>
    </row>
    <row r="1194" spans="1:4" x14ac:dyDescent="0.3">
      <c r="A1194">
        <v>1003652550</v>
      </c>
      <c r="B1194" t="s">
        <v>3965</v>
      </c>
      <c r="C1194" t="s">
        <v>3934</v>
      </c>
      <c r="D1194" t="s">
        <v>4059</v>
      </c>
    </row>
    <row r="1195" spans="1:4" x14ac:dyDescent="0.3">
      <c r="A1195">
        <v>1003652550</v>
      </c>
      <c r="B1195" t="s">
        <v>3965</v>
      </c>
      <c r="C1195" t="s">
        <v>3934</v>
      </c>
      <c r="D1195" t="s">
        <v>4059</v>
      </c>
    </row>
    <row r="1196" spans="1:4" x14ac:dyDescent="0.3">
      <c r="A1196">
        <v>1003652550</v>
      </c>
      <c r="B1196" t="s">
        <v>3965</v>
      </c>
      <c r="C1196" t="s">
        <v>3934</v>
      </c>
      <c r="D1196" t="s">
        <v>4059</v>
      </c>
    </row>
    <row r="1197" spans="1:4" x14ac:dyDescent="0.3">
      <c r="A1197">
        <v>1003652550</v>
      </c>
      <c r="B1197" t="s">
        <v>3965</v>
      </c>
      <c r="C1197" t="s">
        <v>3934</v>
      </c>
      <c r="D1197" t="s">
        <v>4059</v>
      </c>
    </row>
    <row r="1198" spans="1:4" x14ac:dyDescent="0.3">
      <c r="A1198">
        <v>1003652550</v>
      </c>
      <c r="B1198" t="s">
        <v>3965</v>
      </c>
      <c r="C1198" t="s">
        <v>3934</v>
      </c>
      <c r="D1198" t="s">
        <v>4059</v>
      </c>
    </row>
    <row r="1199" spans="1:4" x14ac:dyDescent="0.3">
      <c r="A1199">
        <v>1003652550</v>
      </c>
      <c r="B1199" t="s">
        <v>3965</v>
      </c>
      <c r="C1199" t="s">
        <v>3934</v>
      </c>
      <c r="D1199" t="s">
        <v>4059</v>
      </c>
    </row>
    <row r="1200" spans="1:4" x14ac:dyDescent="0.3">
      <c r="A1200">
        <v>1003652550</v>
      </c>
      <c r="B1200" t="s">
        <v>3965</v>
      </c>
      <c r="C1200" t="s">
        <v>3934</v>
      </c>
      <c r="D1200" t="s">
        <v>4059</v>
      </c>
    </row>
    <row r="1201" spans="1:4" x14ac:dyDescent="0.3">
      <c r="A1201">
        <v>1003690112</v>
      </c>
      <c r="B1201" t="s">
        <v>3933</v>
      </c>
      <c r="C1201" t="s">
        <v>3934</v>
      </c>
      <c r="D1201" t="s">
        <v>4061</v>
      </c>
    </row>
    <row r="1202" spans="1:4" x14ac:dyDescent="0.3">
      <c r="A1202">
        <v>1003690112</v>
      </c>
      <c r="B1202" t="s">
        <v>3933</v>
      </c>
      <c r="C1202" t="s">
        <v>3934</v>
      </c>
      <c r="D1202" t="s">
        <v>4061</v>
      </c>
    </row>
    <row r="1203" spans="1:4" x14ac:dyDescent="0.3">
      <c r="A1203">
        <v>1003690112</v>
      </c>
      <c r="B1203" t="s">
        <v>3933</v>
      </c>
      <c r="C1203" t="s">
        <v>3934</v>
      </c>
      <c r="D1203" t="s">
        <v>4061</v>
      </c>
    </row>
    <row r="1204" spans="1:4" x14ac:dyDescent="0.3">
      <c r="A1204">
        <v>1003690112</v>
      </c>
      <c r="B1204" t="s">
        <v>3933</v>
      </c>
      <c r="C1204" t="s">
        <v>3934</v>
      </c>
      <c r="D1204" t="s">
        <v>4061</v>
      </c>
    </row>
    <row r="1205" spans="1:4" x14ac:dyDescent="0.3">
      <c r="A1205">
        <v>1003690112</v>
      </c>
      <c r="B1205" t="s">
        <v>3933</v>
      </c>
      <c r="C1205" t="s">
        <v>3934</v>
      </c>
      <c r="D1205" t="s">
        <v>4061</v>
      </c>
    </row>
    <row r="1206" spans="1:4" x14ac:dyDescent="0.3">
      <c r="A1206">
        <v>1003690112</v>
      </c>
      <c r="B1206" t="s">
        <v>3933</v>
      </c>
      <c r="C1206" t="s">
        <v>3934</v>
      </c>
      <c r="D1206" t="s">
        <v>4061</v>
      </c>
    </row>
    <row r="1207" spans="1:4" x14ac:dyDescent="0.3">
      <c r="A1207">
        <v>1003690112</v>
      </c>
      <c r="B1207" t="s">
        <v>3933</v>
      </c>
      <c r="C1207" t="s">
        <v>3934</v>
      </c>
      <c r="D1207" t="s">
        <v>4061</v>
      </c>
    </row>
    <row r="1208" spans="1:4" x14ac:dyDescent="0.3">
      <c r="A1208">
        <v>1003690112</v>
      </c>
      <c r="B1208" t="s">
        <v>3933</v>
      </c>
      <c r="C1208" t="s">
        <v>3934</v>
      </c>
      <c r="D1208" t="s">
        <v>4061</v>
      </c>
    </row>
    <row r="1209" spans="1:4" x14ac:dyDescent="0.3">
      <c r="A1209">
        <v>1003690112</v>
      </c>
      <c r="B1209" t="s">
        <v>3933</v>
      </c>
      <c r="C1209" t="s">
        <v>3934</v>
      </c>
      <c r="D1209" t="s">
        <v>4061</v>
      </c>
    </row>
    <row r="1210" spans="1:4" x14ac:dyDescent="0.3">
      <c r="A1210">
        <v>1003690112</v>
      </c>
      <c r="B1210" t="s">
        <v>3933</v>
      </c>
      <c r="C1210" t="s">
        <v>3934</v>
      </c>
      <c r="D1210" t="s">
        <v>4061</v>
      </c>
    </row>
    <row r="1211" spans="1:4" x14ac:dyDescent="0.3">
      <c r="A1211">
        <v>1003690112</v>
      </c>
      <c r="B1211" t="s">
        <v>3933</v>
      </c>
      <c r="C1211" t="s">
        <v>3934</v>
      </c>
      <c r="D1211" t="s">
        <v>4061</v>
      </c>
    </row>
    <row r="1212" spans="1:4" x14ac:dyDescent="0.3">
      <c r="A1212">
        <v>1003690112</v>
      </c>
      <c r="B1212" t="s">
        <v>3933</v>
      </c>
      <c r="C1212" t="s">
        <v>3934</v>
      </c>
      <c r="D1212" t="s">
        <v>4061</v>
      </c>
    </row>
    <row r="1213" spans="1:4" x14ac:dyDescent="0.3">
      <c r="A1213">
        <v>1003690112</v>
      </c>
      <c r="B1213" t="s">
        <v>3933</v>
      </c>
      <c r="C1213" t="s">
        <v>3934</v>
      </c>
      <c r="D1213" t="s">
        <v>4061</v>
      </c>
    </row>
    <row r="1214" spans="1:4" x14ac:dyDescent="0.3">
      <c r="A1214">
        <v>1006023129</v>
      </c>
      <c r="B1214" t="s">
        <v>3944</v>
      </c>
      <c r="C1214" t="s">
        <v>3934</v>
      </c>
      <c r="D1214" t="s">
        <v>3982</v>
      </c>
    </row>
    <row r="1215" spans="1:4" x14ac:dyDescent="0.3">
      <c r="A1215">
        <v>1006023129</v>
      </c>
      <c r="B1215" t="s">
        <v>3944</v>
      </c>
      <c r="C1215" t="s">
        <v>3934</v>
      </c>
      <c r="D1215" t="s">
        <v>3982</v>
      </c>
    </row>
    <row r="1216" spans="1:4" x14ac:dyDescent="0.3">
      <c r="A1216">
        <v>1006023129</v>
      </c>
      <c r="B1216" t="s">
        <v>3944</v>
      </c>
      <c r="C1216" t="s">
        <v>3934</v>
      </c>
      <c r="D1216" t="s">
        <v>3982</v>
      </c>
    </row>
    <row r="1217" spans="1:4" x14ac:dyDescent="0.3">
      <c r="A1217">
        <v>1006023129</v>
      </c>
      <c r="B1217" t="s">
        <v>3944</v>
      </c>
      <c r="C1217" t="s">
        <v>3934</v>
      </c>
      <c r="D1217" t="s">
        <v>3982</v>
      </c>
    </row>
    <row r="1218" spans="1:4" x14ac:dyDescent="0.3">
      <c r="A1218">
        <v>1006023129</v>
      </c>
      <c r="B1218" t="s">
        <v>3944</v>
      </c>
      <c r="C1218" t="s">
        <v>3934</v>
      </c>
      <c r="D1218" t="s">
        <v>3982</v>
      </c>
    </row>
    <row r="1219" spans="1:4" x14ac:dyDescent="0.3">
      <c r="A1219">
        <v>1006023129</v>
      </c>
      <c r="B1219" t="s">
        <v>3944</v>
      </c>
      <c r="C1219" t="s">
        <v>3934</v>
      </c>
      <c r="D1219" t="s">
        <v>3982</v>
      </c>
    </row>
    <row r="1220" spans="1:4" x14ac:dyDescent="0.3">
      <c r="A1220">
        <v>1006023129</v>
      </c>
      <c r="B1220" t="s">
        <v>3944</v>
      </c>
      <c r="C1220" t="s">
        <v>3934</v>
      </c>
      <c r="D1220" t="s">
        <v>3982</v>
      </c>
    </row>
    <row r="1221" spans="1:4" x14ac:dyDescent="0.3">
      <c r="A1221">
        <v>1006023129</v>
      </c>
      <c r="B1221" t="s">
        <v>3944</v>
      </c>
      <c r="C1221" t="s">
        <v>3934</v>
      </c>
      <c r="D1221" t="s">
        <v>3982</v>
      </c>
    </row>
    <row r="1222" spans="1:4" x14ac:dyDescent="0.3">
      <c r="A1222">
        <v>1006023129</v>
      </c>
      <c r="B1222" t="s">
        <v>3944</v>
      </c>
      <c r="C1222" t="s">
        <v>3934</v>
      </c>
      <c r="D1222" t="s">
        <v>3982</v>
      </c>
    </row>
    <row r="1223" spans="1:4" x14ac:dyDescent="0.3">
      <c r="A1223">
        <v>1006023129</v>
      </c>
      <c r="B1223" t="s">
        <v>3944</v>
      </c>
      <c r="C1223" t="s">
        <v>3934</v>
      </c>
      <c r="D1223" t="s">
        <v>3982</v>
      </c>
    </row>
    <row r="1224" spans="1:4" x14ac:dyDescent="0.3">
      <c r="A1224">
        <v>1006023129</v>
      </c>
      <c r="B1224" t="s">
        <v>3944</v>
      </c>
      <c r="C1224" t="s">
        <v>3934</v>
      </c>
      <c r="D1224" t="s">
        <v>3982</v>
      </c>
    </row>
    <row r="1225" spans="1:4" x14ac:dyDescent="0.3">
      <c r="A1225">
        <v>1006023129</v>
      </c>
      <c r="B1225" t="s">
        <v>3944</v>
      </c>
      <c r="C1225" t="s">
        <v>3934</v>
      </c>
      <c r="D1225" t="s">
        <v>3982</v>
      </c>
    </row>
    <row r="1226" spans="1:4" x14ac:dyDescent="0.3">
      <c r="A1226">
        <v>1006023129</v>
      </c>
      <c r="B1226" t="s">
        <v>3944</v>
      </c>
      <c r="C1226" t="s">
        <v>3934</v>
      </c>
      <c r="D1226" t="s">
        <v>3982</v>
      </c>
    </row>
    <row r="1227" spans="1:4" x14ac:dyDescent="0.3">
      <c r="A1227">
        <v>1006023129</v>
      </c>
      <c r="B1227" t="s">
        <v>3944</v>
      </c>
      <c r="C1227" t="s">
        <v>3934</v>
      </c>
      <c r="D1227" t="s">
        <v>3982</v>
      </c>
    </row>
    <row r="1228" spans="1:4" x14ac:dyDescent="0.3">
      <c r="A1228">
        <v>1006023129</v>
      </c>
      <c r="B1228" t="s">
        <v>3944</v>
      </c>
      <c r="C1228" t="s">
        <v>3934</v>
      </c>
      <c r="D1228" t="s">
        <v>3982</v>
      </c>
    </row>
    <row r="1229" spans="1:4" x14ac:dyDescent="0.3">
      <c r="A1229">
        <v>1006023129</v>
      </c>
      <c r="B1229" t="s">
        <v>3944</v>
      </c>
      <c r="C1229" t="s">
        <v>3934</v>
      </c>
      <c r="D1229" t="s">
        <v>3982</v>
      </c>
    </row>
    <row r="1230" spans="1:4" x14ac:dyDescent="0.3">
      <c r="A1230">
        <v>1006023129</v>
      </c>
      <c r="B1230" t="s">
        <v>3944</v>
      </c>
      <c r="C1230" t="s">
        <v>3934</v>
      </c>
      <c r="D1230" t="s">
        <v>3982</v>
      </c>
    </row>
    <row r="1231" spans="1:4" x14ac:dyDescent="0.3">
      <c r="A1231">
        <v>1006023129</v>
      </c>
      <c r="B1231" t="s">
        <v>3944</v>
      </c>
      <c r="C1231" t="s">
        <v>3934</v>
      </c>
      <c r="D1231" t="s">
        <v>3982</v>
      </c>
    </row>
    <row r="1232" spans="1:4" x14ac:dyDescent="0.3">
      <c r="A1232">
        <v>1006023129</v>
      </c>
      <c r="B1232" t="s">
        <v>3944</v>
      </c>
      <c r="C1232" t="s">
        <v>3934</v>
      </c>
      <c r="D1232" t="s">
        <v>3982</v>
      </c>
    </row>
    <row r="1233" spans="1:4" x14ac:dyDescent="0.3">
      <c r="A1233">
        <v>1006023129</v>
      </c>
      <c r="B1233" t="s">
        <v>3944</v>
      </c>
      <c r="C1233" t="s">
        <v>3934</v>
      </c>
      <c r="D1233" t="s">
        <v>3982</v>
      </c>
    </row>
    <row r="1234" spans="1:4" x14ac:dyDescent="0.3">
      <c r="A1234">
        <v>1006023129</v>
      </c>
      <c r="B1234" t="s">
        <v>3944</v>
      </c>
      <c r="C1234" t="s">
        <v>3934</v>
      </c>
      <c r="D1234" t="s">
        <v>3982</v>
      </c>
    </row>
    <row r="1235" spans="1:4" x14ac:dyDescent="0.3">
      <c r="A1235">
        <v>1006023129</v>
      </c>
      <c r="B1235" t="s">
        <v>3944</v>
      </c>
      <c r="C1235" t="s">
        <v>3934</v>
      </c>
      <c r="D1235" t="s">
        <v>3982</v>
      </c>
    </row>
    <row r="1236" spans="1:4" x14ac:dyDescent="0.3">
      <c r="A1236">
        <v>1006023129</v>
      </c>
      <c r="B1236" t="s">
        <v>3944</v>
      </c>
      <c r="C1236" t="s">
        <v>3934</v>
      </c>
      <c r="D1236" t="s">
        <v>3982</v>
      </c>
    </row>
    <row r="1237" spans="1:4" x14ac:dyDescent="0.3">
      <c r="A1237">
        <v>1006023129</v>
      </c>
      <c r="B1237" t="s">
        <v>3944</v>
      </c>
      <c r="C1237" t="s">
        <v>3934</v>
      </c>
      <c r="D1237" t="s">
        <v>3982</v>
      </c>
    </row>
    <row r="1238" spans="1:4" x14ac:dyDescent="0.3">
      <c r="A1238">
        <v>1006023129</v>
      </c>
      <c r="B1238" t="s">
        <v>3944</v>
      </c>
      <c r="C1238" t="s">
        <v>3934</v>
      </c>
      <c r="D1238" t="s">
        <v>3982</v>
      </c>
    </row>
    <row r="1239" spans="1:4" x14ac:dyDescent="0.3">
      <c r="A1239">
        <v>1006023129</v>
      </c>
      <c r="B1239" t="s">
        <v>3944</v>
      </c>
      <c r="C1239" t="s">
        <v>3934</v>
      </c>
      <c r="D1239" t="s">
        <v>3982</v>
      </c>
    </row>
    <row r="1240" spans="1:4" x14ac:dyDescent="0.3">
      <c r="A1240">
        <v>1006023129</v>
      </c>
      <c r="B1240" t="s">
        <v>3944</v>
      </c>
      <c r="C1240" t="s">
        <v>3934</v>
      </c>
      <c r="D1240" t="s">
        <v>3982</v>
      </c>
    </row>
    <row r="1241" spans="1:4" x14ac:dyDescent="0.3">
      <c r="A1241">
        <v>1006023129</v>
      </c>
      <c r="B1241" t="s">
        <v>3944</v>
      </c>
      <c r="C1241" t="s">
        <v>3934</v>
      </c>
      <c r="D1241" t="s">
        <v>3982</v>
      </c>
    </row>
    <row r="1242" spans="1:4" x14ac:dyDescent="0.3">
      <c r="A1242">
        <v>1006023129</v>
      </c>
      <c r="B1242" t="s">
        <v>3944</v>
      </c>
      <c r="C1242" t="s">
        <v>3934</v>
      </c>
      <c r="D1242" t="s">
        <v>3982</v>
      </c>
    </row>
    <row r="1243" spans="1:4" x14ac:dyDescent="0.3">
      <c r="A1243">
        <v>1006023129</v>
      </c>
      <c r="B1243" t="s">
        <v>3944</v>
      </c>
      <c r="C1243" t="s">
        <v>3934</v>
      </c>
      <c r="D1243" t="s">
        <v>3982</v>
      </c>
    </row>
    <row r="1244" spans="1:4" x14ac:dyDescent="0.3">
      <c r="A1244">
        <v>1006459732</v>
      </c>
      <c r="B1244" t="s">
        <v>3986</v>
      </c>
      <c r="C1244" t="s">
        <v>3934</v>
      </c>
      <c r="D1244" t="s">
        <v>4099</v>
      </c>
    </row>
    <row r="1245" spans="1:4" x14ac:dyDescent="0.3">
      <c r="A1245">
        <v>1006459732</v>
      </c>
      <c r="B1245" t="s">
        <v>3986</v>
      </c>
      <c r="C1245" t="s">
        <v>3934</v>
      </c>
      <c r="D1245" t="s">
        <v>4099</v>
      </c>
    </row>
    <row r="1246" spans="1:4" x14ac:dyDescent="0.3">
      <c r="A1246">
        <v>1006459732</v>
      </c>
      <c r="B1246" t="s">
        <v>3986</v>
      </c>
      <c r="C1246" t="s">
        <v>3934</v>
      </c>
      <c r="D1246" t="s">
        <v>4099</v>
      </c>
    </row>
    <row r="1247" spans="1:4" x14ac:dyDescent="0.3">
      <c r="A1247">
        <v>1006459732</v>
      </c>
      <c r="B1247" t="s">
        <v>3986</v>
      </c>
      <c r="C1247" t="s">
        <v>3934</v>
      </c>
      <c r="D1247" t="s">
        <v>4099</v>
      </c>
    </row>
    <row r="1248" spans="1:4" x14ac:dyDescent="0.3">
      <c r="A1248">
        <v>1006459732</v>
      </c>
      <c r="B1248" t="s">
        <v>3986</v>
      </c>
      <c r="C1248" t="s">
        <v>3934</v>
      </c>
      <c r="D1248" t="s">
        <v>4099</v>
      </c>
    </row>
    <row r="1249" spans="1:4" x14ac:dyDescent="0.3">
      <c r="A1249">
        <v>1006459732</v>
      </c>
      <c r="B1249" t="s">
        <v>3986</v>
      </c>
      <c r="C1249" t="s">
        <v>3934</v>
      </c>
      <c r="D1249" t="s">
        <v>4099</v>
      </c>
    </row>
    <row r="1250" spans="1:4" x14ac:dyDescent="0.3">
      <c r="A1250">
        <v>1006505929</v>
      </c>
      <c r="B1250" t="s">
        <v>3986</v>
      </c>
      <c r="C1250" t="s">
        <v>3934</v>
      </c>
      <c r="D1250" t="s">
        <v>4013</v>
      </c>
    </row>
    <row r="1251" spans="1:4" x14ac:dyDescent="0.3">
      <c r="A1251">
        <v>1006505929</v>
      </c>
      <c r="B1251" t="s">
        <v>3986</v>
      </c>
      <c r="C1251" t="s">
        <v>3934</v>
      </c>
      <c r="D1251" t="s">
        <v>4013</v>
      </c>
    </row>
    <row r="1252" spans="1:4" x14ac:dyDescent="0.3">
      <c r="A1252">
        <v>1006505929</v>
      </c>
      <c r="B1252" t="s">
        <v>3986</v>
      </c>
      <c r="C1252" t="s">
        <v>3934</v>
      </c>
      <c r="D1252" t="s">
        <v>4013</v>
      </c>
    </row>
    <row r="1253" spans="1:4" x14ac:dyDescent="0.3">
      <c r="A1253">
        <v>1006505929</v>
      </c>
      <c r="B1253" t="s">
        <v>3986</v>
      </c>
      <c r="C1253" t="s">
        <v>3934</v>
      </c>
      <c r="D1253" t="s">
        <v>4013</v>
      </c>
    </row>
    <row r="1254" spans="1:4" x14ac:dyDescent="0.3">
      <c r="A1254">
        <v>1006505929</v>
      </c>
      <c r="B1254" t="s">
        <v>3986</v>
      </c>
      <c r="C1254" t="s">
        <v>3934</v>
      </c>
      <c r="D1254" t="s">
        <v>4013</v>
      </c>
    </row>
    <row r="1255" spans="1:4" x14ac:dyDescent="0.3">
      <c r="A1255">
        <v>1006505929</v>
      </c>
      <c r="B1255" t="s">
        <v>3986</v>
      </c>
      <c r="C1255" t="s">
        <v>3934</v>
      </c>
      <c r="D1255" t="s">
        <v>4013</v>
      </c>
    </row>
    <row r="1256" spans="1:4" x14ac:dyDescent="0.3">
      <c r="A1256">
        <v>1006505929</v>
      </c>
      <c r="B1256" t="s">
        <v>3986</v>
      </c>
      <c r="C1256" t="s">
        <v>3934</v>
      </c>
      <c r="D1256" t="s">
        <v>4013</v>
      </c>
    </row>
    <row r="1257" spans="1:4" x14ac:dyDescent="0.3">
      <c r="A1257">
        <v>1006505929</v>
      </c>
      <c r="B1257" t="s">
        <v>3986</v>
      </c>
      <c r="C1257" t="s">
        <v>3934</v>
      </c>
      <c r="D1257" t="s">
        <v>4013</v>
      </c>
    </row>
    <row r="1258" spans="1:4" x14ac:dyDescent="0.3">
      <c r="A1258">
        <v>1006505929</v>
      </c>
      <c r="B1258" t="s">
        <v>3986</v>
      </c>
      <c r="C1258" t="s">
        <v>3934</v>
      </c>
      <c r="D1258" t="s">
        <v>4013</v>
      </c>
    </row>
    <row r="1259" spans="1:4" x14ac:dyDescent="0.3">
      <c r="A1259">
        <v>1006505929</v>
      </c>
      <c r="B1259" t="s">
        <v>3986</v>
      </c>
      <c r="C1259" t="s">
        <v>3934</v>
      </c>
      <c r="D1259" t="s">
        <v>4013</v>
      </c>
    </row>
    <row r="1260" spans="1:4" x14ac:dyDescent="0.3">
      <c r="A1260">
        <v>1007473661</v>
      </c>
      <c r="B1260" t="s">
        <v>3933</v>
      </c>
      <c r="C1260" t="s">
        <v>3934</v>
      </c>
      <c r="D1260" t="s">
        <v>4058</v>
      </c>
    </row>
    <row r="1261" spans="1:4" x14ac:dyDescent="0.3">
      <c r="A1261">
        <v>1007473661</v>
      </c>
      <c r="B1261" t="s">
        <v>3933</v>
      </c>
      <c r="C1261" t="s">
        <v>3934</v>
      </c>
      <c r="D1261" t="s">
        <v>4058</v>
      </c>
    </row>
    <row r="1262" spans="1:4" x14ac:dyDescent="0.3">
      <c r="A1262">
        <v>1007473661</v>
      </c>
      <c r="B1262" t="s">
        <v>3933</v>
      </c>
      <c r="C1262" t="s">
        <v>3934</v>
      </c>
      <c r="D1262" t="s">
        <v>4058</v>
      </c>
    </row>
    <row r="1263" spans="1:4" x14ac:dyDescent="0.3">
      <c r="A1263">
        <v>1007473661</v>
      </c>
      <c r="B1263" t="s">
        <v>3933</v>
      </c>
      <c r="C1263" t="s">
        <v>3934</v>
      </c>
      <c r="D1263" t="s">
        <v>4058</v>
      </c>
    </row>
    <row r="1264" spans="1:4" x14ac:dyDescent="0.3">
      <c r="A1264">
        <v>1007473661</v>
      </c>
      <c r="B1264" t="s">
        <v>3933</v>
      </c>
      <c r="C1264" t="s">
        <v>3934</v>
      </c>
      <c r="D1264" t="s">
        <v>4058</v>
      </c>
    </row>
    <row r="1265" spans="1:4" x14ac:dyDescent="0.3">
      <c r="A1265">
        <v>1007473661</v>
      </c>
      <c r="B1265" t="s">
        <v>3933</v>
      </c>
      <c r="C1265" t="s">
        <v>3934</v>
      </c>
      <c r="D1265" t="s">
        <v>4058</v>
      </c>
    </row>
    <row r="1266" spans="1:4" x14ac:dyDescent="0.3">
      <c r="A1266">
        <v>1007473661</v>
      </c>
      <c r="B1266" t="s">
        <v>3933</v>
      </c>
      <c r="C1266" t="s">
        <v>3934</v>
      </c>
      <c r="D1266" t="s">
        <v>4058</v>
      </c>
    </row>
    <row r="1267" spans="1:4" x14ac:dyDescent="0.3">
      <c r="A1267">
        <v>1007473661</v>
      </c>
      <c r="B1267" t="s">
        <v>3933</v>
      </c>
      <c r="C1267" t="s">
        <v>3934</v>
      </c>
      <c r="D1267" t="s">
        <v>4058</v>
      </c>
    </row>
    <row r="1268" spans="1:4" x14ac:dyDescent="0.3">
      <c r="A1268">
        <v>1007473661</v>
      </c>
      <c r="B1268" t="s">
        <v>3933</v>
      </c>
      <c r="C1268" t="s">
        <v>3934</v>
      </c>
      <c r="D1268" t="s">
        <v>4058</v>
      </c>
    </row>
    <row r="1269" spans="1:4" x14ac:dyDescent="0.3">
      <c r="A1269">
        <v>1007473661</v>
      </c>
      <c r="B1269" t="s">
        <v>3933</v>
      </c>
      <c r="C1269" t="s">
        <v>3934</v>
      </c>
      <c r="D1269" t="s">
        <v>4058</v>
      </c>
    </row>
    <row r="1270" spans="1:4" x14ac:dyDescent="0.3">
      <c r="A1270">
        <v>1007473661</v>
      </c>
      <c r="B1270" t="s">
        <v>3933</v>
      </c>
      <c r="C1270" t="s">
        <v>3934</v>
      </c>
      <c r="D1270" t="s">
        <v>4058</v>
      </c>
    </row>
    <row r="1271" spans="1:4" x14ac:dyDescent="0.3">
      <c r="A1271">
        <v>1007473661</v>
      </c>
      <c r="B1271" t="s">
        <v>3933</v>
      </c>
      <c r="C1271" t="s">
        <v>3934</v>
      </c>
      <c r="D1271" t="s">
        <v>4058</v>
      </c>
    </row>
    <row r="1272" spans="1:4" x14ac:dyDescent="0.3">
      <c r="A1272">
        <v>1007473661</v>
      </c>
      <c r="B1272" t="s">
        <v>3933</v>
      </c>
      <c r="C1272" t="s">
        <v>3934</v>
      </c>
      <c r="D1272" t="s">
        <v>4058</v>
      </c>
    </row>
    <row r="1273" spans="1:4" x14ac:dyDescent="0.3">
      <c r="A1273">
        <v>1007473661</v>
      </c>
      <c r="B1273" t="s">
        <v>3933</v>
      </c>
      <c r="C1273" t="s">
        <v>3934</v>
      </c>
      <c r="D1273" t="s">
        <v>4058</v>
      </c>
    </row>
    <row r="1274" spans="1:4" x14ac:dyDescent="0.3">
      <c r="A1274">
        <v>1007473661</v>
      </c>
      <c r="B1274" t="s">
        <v>3933</v>
      </c>
      <c r="C1274" t="s">
        <v>3934</v>
      </c>
      <c r="D1274" t="s">
        <v>4058</v>
      </c>
    </row>
    <row r="1275" spans="1:4" x14ac:dyDescent="0.3">
      <c r="A1275">
        <v>1007473661</v>
      </c>
      <c r="B1275" t="s">
        <v>3933</v>
      </c>
      <c r="C1275" t="s">
        <v>3934</v>
      </c>
      <c r="D1275" t="s">
        <v>4058</v>
      </c>
    </row>
    <row r="1276" spans="1:4" x14ac:dyDescent="0.3">
      <c r="A1276">
        <v>1007473661</v>
      </c>
      <c r="B1276" t="s">
        <v>3933</v>
      </c>
      <c r="C1276" t="s">
        <v>3934</v>
      </c>
      <c r="D1276" t="s">
        <v>4058</v>
      </c>
    </row>
    <row r="1277" spans="1:4" x14ac:dyDescent="0.3">
      <c r="A1277">
        <v>1007473661</v>
      </c>
      <c r="B1277" t="s">
        <v>3933</v>
      </c>
      <c r="C1277" t="s">
        <v>3934</v>
      </c>
      <c r="D1277" t="s">
        <v>4058</v>
      </c>
    </row>
    <row r="1278" spans="1:4" x14ac:dyDescent="0.3">
      <c r="A1278">
        <v>1007473661</v>
      </c>
      <c r="B1278" t="s">
        <v>3933</v>
      </c>
      <c r="C1278" t="s">
        <v>3934</v>
      </c>
      <c r="D1278" t="s">
        <v>4058</v>
      </c>
    </row>
    <row r="1279" spans="1:4" x14ac:dyDescent="0.3">
      <c r="A1279">
        <v>1007473661</v>
      </c>
      <c r="B1279" t="s">
        <v>3933</v>
      </c>
      <c r="C1279" t="s">
        <v>3934</v>
      </c>
      <c r="D1279" t="s">
        <v>4058</v>
      </c>
    </row>
    <row r="1280" spans="1:4" x14ac:dyDescent="0.3">
      <c r="A1280">
        <v>1007473661</v>
      </c>
      <c r="B1280" t="s">
        <v>3933</v>
      </c>
      <c r="C1280" t="s">
        <v>3934</v>
      </c>
      <c r="D1280" t="s">
        <v>4058</v>
      </c>
    </row>
    <row r="1281" spans="1:4" x14ac:dyDescent="0.3">
      <c r="A1281">
        <v>1007473661</v>
      </c>
      <c r="B1281" t="s">
        <v>3933</v>
      </c>
      <c r="C1281" t="s">
        <v>3934</v>
      </c>
      <c r="D1281" t="s">
        <v>4058</v>
      </c>
    </row>
    <row r="1282" spans="1:4" x14ac:dyDescent="0.3">
      <c r="A1282">
        <v>1007473661</v>
      </c>
      <c r="B1282" t="s">
        <v>3933</v>
      </c>
      <c r="C1282" t="s">
        <v>3934</v>
      </c>
      <c r="D1282" t="s">
        <v>4058</v>
      </c>
    </row>
    <row r="1283" spans="1:4" x14ac:dyDescent="0.3">
      <c r="A1283">
        <v>1007473661</v>
      </c>
      <c r="B1283" t="s">
        <v>3933</v>
      </c>
      <c r="C1283" t="s">
        <v>3934</v>
      </c>
      <c r="D1283" t="s">
        <v>4058</v>
      </c>
    </row>
    <row r="1284" spans="1:4" x14ac:dyDescent="0.3">
      <c r="A1284">
        <v>1007473661</v>
      </c>
      <c r="B1284" t="s">
        <v>3933</v>
      </c>
      <c r="C1284" t="s">
        <v>3934</v>
      </c>
      <c r="D1284" t="s">
        <v>4058</v>
      </c>
    </row>
    <row r="1285" spans="1:4" x14ac:dyDescent="0.3">
      <c r="A1285">
        <v>1007473661</v>
      </c>
      <c r="B1285" t="s">
        <v>3933</v>
      </c>
      <c r="C1285" t="s">
        <v>3934</v>
      </c>
      <c r="D1285" t="s">
        <v>4058</v>
      </c>
    </row>
    <row r="1286" spans="1:4" x14ac:dyDescent="0.3">
      <c r="A1286">
        <v>1007473661</v>
      </c>
      <c r="B1286" t="s">
        <v>3933</v>
      </c>
      <c r="C1286" t="s">
        <v>3934</v>
      </c>
      <c r="D1286" t="s">
        <v>4058</v>
      </c>
    </row>
    <row r="1287" spans="1:4" x14ac:dyDescent="0.3">
      <c r="A1287">
        <v>1007473661</v>
      </c>
      <c r="B1287" t="s">
        <v>3933</v>
      </c>
      <c r="C1287" t="s">
        <v>3934</v>
      </c>
      <c r="D1287" t="s">
        <v>4058</v>
      </c>
    </row>
    <row r="1288" spans="1:4" x14ac:dyDescent="0.3">
      <c r="A1288">
        <v>1007473661</v>
      </c>
      <c r="B1288" t="s">
        <v>3933</v>
      </c>
      <c r="C1288" t="s">
        <v>3934</v>
      </c>
      <c r="D1288" t="s">
        <v>4058</v>
      </c>
    </row>
    <row r="1289" spans="1:4" x14ac:dyDescent="0.3">
      <c r="A1289">
        <v>1007473661</v>
      </c>
      <c r="B1289" t="s">
        <v>3933</v>
      </c>
      <c r="C1289" t="s">
        <v>3934</v>
      </c>
      <c r="D1289" t="s">
        <v>4058</v>
      </c>
    </row>
    <row r="1290" spans="1:4" x14ac:dyDescent="0.3">
      <c r="A1290">
        <v>1007709034</v>
      </c>
      <c r="B1290" t="s">
        <v>3965</v>
      </c>
      <c r="C1290" t="s">
        <v>3934</v>
      </c>
      <c r="D1290" t="s">
        <v>3964</v>
      </c>
    </row>
    <row r="1291" spans="1:4" x14ac:dyDescent="0.3">
      <c r="A1291">
        <v>1007709034</v>
      </c>
      <c r="B1291" t="s">
        <v>3965</v>
      </c>
      <c r="C1291" t="s">
        <v>3934</v>
      </c>
      <c r="D1291" t="s">
        <v>3964</v>
      </c>
    </row>
    <row r="1292" spans="1:4" x14ac:dyDescent="0.3">
      <c r="A1292">
        <v>1007709034</v>
      </c>
      <c r="B1292" t="s">
        <v>3965</v>
      </c>
      <c r="C1292" t="s">
        <v>3934</v>
      </c>
      <c r="D1292" t="s">
        <v>3964</v>
      </c>
    </row>
    <row r="1293" spans="1:4" x14ac:dyDescent="0.3">
      <c r="A1293">
        <v>1007709034</v>
      </c>
      <c r="B1293" t="s">
        <v>3965</v>
      </c>
      <c r="C1293" t="s">
        <v>3934</v>
      </c>
      <c r="D1293" t="s">
        <v>3964</v>
      </c>
    </row>
    <row r="1294" spans="1:4" x14ac:dyDescent="0.3">
      <c r="A1294">
        <v>1007709034</v>
      </c>
      <c r="B1294" t="s">
        <v>3965</v>
      </c>
      <c r="C1294" t="s">
        <v>3934</v>
      </c>
      <c r="D1294" t="s">
        <v>3964</v>
      </c>
    </row>
    <row r="1295" spans="1:4" x14ac:dyDescent="0.3">
      <c r="A1295">
        <v>1007709034</v>
      </c>
      <c r="B1295" t="s">
        <v>3965</v>
      </c>
      <c r="C1295" t="s">
        <v>3934</v>
      </c>
      <c r="D1295" t="s">
        <v>3964</v>
      </c>
    </row>
    <row r="1296" spans="1:4" x14ac:dyDescent="0.3">
      <c r="A1296">
        <v>1007709034</v>
      </c>
      <c r="B1296" t="s">
        <v>3965</v>
      </c>
      <c r="C1296" t="s">
        <v>3934</v>
      </c>
      <c r="D1296" t="s">
        <v>3964</v>
      </c>
    </row>
    <row r="1297" spans="1:4" x14ac:dyDescent="0.3">
      <c r="A1297">
        <v>1007709034</v>
      </c>
      <c r="B1297" t="s">
        <v>3965</v>
      </c>
      <c r="C1297" t="s">
        <v>3934</v>
      </c>
      <c r="D1297" t="s">
        <v>3964</v>
      </c>
    </row>
    <row r="1298" spans="1:4" x14ac:dyDescent="0.3">
      <c r="A1298">
        <v>1007709034</v>
      </c>
      <c r="B1298" t="s">
        <v>3965</v>
      </c>
      <c r="C1298" t="s">
        <v>3934</v>
      </c>
      <c r="D1298" t="s">
        <v>3964</v>
      </c>
    </row>
    <row r="1299" spans="1:4" x14ac:dyDescent="0.3">
      <c r="A1299">
        <v>1007709034</v>
      </c>
      <c r="B1299" t="s">
        <v>3965</v>
      </c>
      <c r="C1299" t="s">
        <v>3934</v>
      </c>
      <c r="D1299" t="s">
        <v>3964</v>
      </c>
    </row>
    <row r="1300" spans="1:4" x14ac:dyDescent="0.3">
      <c r="A1300">
        <v>1007709034</v>
      </c>
      <c r="B1300" t="s">
        <v>3965</v>
      </c>
      <c r="C1300" t="s">
        <v>3934</v>
      </c>
      <c r="D1300" t="s">
        <v>3964</v>
      </c>
    </row>
    <row r="1301" spans="1:4" x14ac:dyDescent="0.3">
      <c r="A1301">
        <v>1007709034</v>
      </c>
      <c r="B1301" t="s">
        <v>3965</v>
      </c>
      <c r="C1301" t="s">
        <v>3934</v>
      </c>
      <c r="D1301" t="s">
        <v>3964</v>
      </c>
    </row>
    <row r="1302" spans="1:4" x14ac:dyDescent="0.3">
      <c r="A1302">
        <v>1007709034</v>
      </c>
      <c r="B1302" t="s">
        <v>3965</v>
      </c>
      <c r="C1302" t="s">
        <v>3934</v>
      </c>
      <c r="D1302" t="s">
        <v>3964</v>
      </c>
    </row>
    <row r="1303" spans="1:4" x14ac:dyDescent="0.3">
      <c r="A1303">
        <v>1007709034</v>
      </c>
      <c r="B1303" t="s">
        <v>3965</v>
      </c>
      <c r="C1303" t="s">
        <v>3934</v>
      </c>
      <c r="D1303" t="s">
        <v>3964</v>
      </c>
    </row>
    <row r="1304" spans="1:4" x14ac:dyDescent="0.3">
      <c r="A1304">
        <v>1007709034</v>
      </c>
      <c r="B1304" t="s">
        <v>3965</v>
      </c>
      <c r="C1304" t="s">
        <v>3934</v>
      </c>
      <c r="D1304" t="s">
        <v>3964</v>
      </c>
    </row>
    <row r="1305" spans="1:4" x14ac:dyDescent="0.3">
      <c r="A1305">
        <v>1007709034</v>
      </c>
      <c r="B1305" t="s">
        <v>3965</v>
      </c>
      <c r="C1305" t="s">
        <v>3934</v>
      </c>
      <c r="D1305" t="s">
        <v>3964</v>
      </c>
    </row>
    <row r="1306" spans="1:4" x14ac:dyDescent="0.3">
      <c r="A1306">
        <v>1007709034</v>
      </c>
      <c r="B1306" t="s">
        <v>3965</v>
      </c>
      <c r="C1306" t="s">
        <v>3934</v>
      </c>
      <c r="D1306" t="s">
        <v>3964</v>
      </c>
    </row>
    <row r="1307" spans="1:4" x14ac:dyDescent="0.3">
      <c r="A1307">
        <v>1007709034</v>
      </c>
      <c r="B1307" t="s">
        <v>3965</v>
      </c>
      <c r="C1307" t="s">
        <v>3934</v>
      </c>
      <c r="D1307" t="s">
        <v>3964</v>
      </c>
    </row>
    <row r="1308" spans="1:4" x14ac:dyDescent="0.3">
      <c r="A1308">
        <v>1010081108</v>
      </c>
      <c r="B1308" t="s">
        <v>3941</v>
      </c>
      <c r="C1308" t="s">
        <v>3934</v>
      </c>
      <c r="D1308" t="s">
        <v>4009</v>
      </c>
    </row>
    <row r="1309" spans="1:4" x14ac:dyDescent="0.3">
      <c r="A1309">
        <v>1010081108</v>
      </c>
      <c r="B1309" t="s">
        <v>3941</v>
      </c>
      <c r="C1309" t="s">
        <v>3934</v>
      </c>
      <c r="D1309" t="s">
        <v>4009</v>
      </c>
    </row>
    <row r="1310" spans="1:4" x14ac:dyDescent="0.3">
      <c r="A1310">
        <v>1010081108</v>
      </c>
      <c r="B1310" t="s">
        <v>3941</v>
      </c>
      <c r="C1310" t="s">
        <v>3934</v>
      </c>
      <c r="D1310" t="s">
        <v>4009</v>
      </c>
    </row>
    <row r="1311" spans="1:4" x14ac:dyDescent="0.3">
      <c r="A1311">
        <v>1010081108</v>
      </c>
      <c r="B1311" t="s">
        <v>3941</v>
      </c>
      <c r="C1311" t="s">
        <v>3934</v>
      </c>
      <c r="D1311" t="s">
        <v>4009</v>
      </c>
    </row>
    <row r="1312" spans="1:4" x14ac:dyDescent="0.3">
      <c r="A1312">
        <v>1010081108</v>
      </c>
      <c r="B1312" t="s">
        <v>3941</v>
      </c>
      <c r="C1312" t="s">
        <v>3934</v>
      </c>
      <c r="D1312" t="s">
        <v>4009</v>
      </c>
    </row>
    <row r="1313" spans="1:4" x14ac:dyDescent="0.3">
      <c r="A1313">
        <v>1010081108</v>
      </c>
      <c r="B1313" t="s">
        <v>3941</v>
      </c>
      <c r="C1313" t="s">
        <v>3934</v>
      </c>
      <c r="D1313" t="s">
        <v>4009</v>
      </c>
    </row>
    <row r="1314" spans="1:4" x14ac:dyDescent="0.3">
      <c r="A1314">
        <v>1010081108</v>
      </c>
      <c r="B1314" t="s">
        <v>3941</v>
      </c>
      <c r="C1314" t="s">
        <v>3934</v>
      </c>
      <c r="D1314" t="s">
        <v>4009</v>
      </c>
    </row>
    <row r="1315" spans="1:4" x14ac:dyDescent="0.3">
      <c r="A1315">
        <v>1010081108</v>
      </c>
      <c r="B1315" t="s">
        <v>3941</v>
      </c>
      <c r="C1315" t="s">
        <v>3934</v>
      </c>
      <c r="D1315" t="s">
        <v>4009</v>
      </c>
    </row>
    <row r="1316" spans="1:4" x14ac:dyDescent="0.3">
      <c r="A1316">
        <v>1010081108</v>
      </c>
      <c r="B1316" t="s">
        <v>3941</v>
      </c>
      <c r="C1316" t="s">
        <v>3934</v>
      </c>
      <c r="D1316" t="s">
        <v>4009</v>
      </c>
    </row>
    <row r="1317" spans="1:4" x14ac:dyDescent="0.3">
      <c r="A1317">
        <v>1010081108</v>
      </c>
      <c r="B1317" t="s">
        <v>3941</v>
      </c>
      <c r="C1317" t="s">
        <v>3934</v>
      </c>
      <c r="D1317" t="s">
        <v>4009</v>
      </c>
    </row>
    <row r="1318" spans="1:4" x14ac:dyDescent="0.3">
      <c r="A1318">
        <v>1010081108</v>
      </c>
      <c r="B1318" t="s">
        <v>3941</v>
      </c>
      <c r="C1318" t="s">
        <v>3934</v>
      </c>
      <c r="D1318" t="s">
        <v>4009</v>
      </c>
    </row>
    <row r="1319" spans="1:4" x14ac:dyDescent="0.3">
      <c r="A1319">
        <v>1010081108</v>
      </c>
      <c r="B1319" t="s">
        <v>3941</v>
      </c>
      <c r="C1319" t="s">
        <v>3934</v>
      </c>
      <c r="D1319" t="s">
        <v>4009</v>
      </c>
    </row>
    <row r="1320" spans="1:4" x14ac:dyDescent="0.3">
      <c r="A1320">
        <v>1010081108</v>
      </c>
      <c r="B1320" t="s">
        <v>3941</v>
      </c>
      <c r="C1320" t="s">
        <v>3934</v>
      </c>
      <c r="D1320" t="s">
        <v>4009</v>
      </c>
    </row>
    <row r="1321" spans="1:4" x14ac:dyDescent="0.3">
      <c r="A1321">
        <v>1010081108</v>
      </c>
      <c r="B1321" t="s">
        <v>3941</v>
      </c>
      <c r="C1321" t="s">
        <v>3934</v>
      </c>
      <c r="D1321" t="s">
        <v>4009</v>
      </c>
    </row>
    <row r="1322" spans="1:4" x14ac:dyDescent="0.3">
      <c r="A1322">
        <v>1010081108</v>
      </c>
      <c r="B1322" t="s">
        <v>3941</v>
      </c>
      <c r="C1322" t="s">
        <v>3934</v>
      </c>
      <c r="D1322" t="s">
        <v>4009</v>
      </c>
    </row>
    <row r="1323" spans="1:4" x14ac:dyDescent="0.3">
      <c r="A1323">
        <v>1010081108</v>
      </c>
      <c r="B1323" t="s">
        <v>3941</v>
      </c>
      <c r="C1323" t="s">
        <v>3934</v>
      </c>
      <c r="D1323" t="s">
        <v>4009</v>
      </c>
    </row>
    <row r="1324" spans="1:4" x14ac:dyDescent="0.3">
      <c r="A1324">
        <v>1010081108</v>
      </c>
      <c r="B1324" t="s">
        <v>3941</v>
      </c>
      <c r="C1324" t="s">
        <v>3934</v>
      </c>
      <c r="D1324" t="s">
        <v>4009</v>
      </c>
    </row>
    <row r="1325" spans="1:4" x14ac:dyDescent="0.3">
      <c r="A1325">
        <v>1010081108</v>
      </c>
      <c r="B1325" t="s">
        <v>3941</v>
      </c>
      <c r="C1325" t="s">
        <v>3934</v>
      </c>
      <c r="D1325" t="s">
        <v>4009</v>
      </c>
    </row>
    <row r="1326" spans="1:4" x14ac:dyDescent="0.3">
      <c r="A1326">
        <v>1010081108</v>
      </c>
      <c r="B1326" t="s">
        <v>3941</v>
      </c>
      <c r="C1326" t="s">
        <v>3934</v>
      </c>
      <c r="D1326" t="s">
        <v>4009</v>
      </c>
    </row>
    <row r="1327" spans="1:4" x14ac:dyDescent="0.3">
      <c r="A1327">
        <v>1010081108</v>
      </c>
      <c r="B1327" t="s">
        <v>3941</v>
      </c>
      <c r="C1327" t="s">
        <v>3934</v>
      </c>
      <c r="D1327" t="s">
        <v>4009</v>
      </c>
    </row>
    <row r="1328" spans="1:4" x14ac:dyDescent="0.3">
      <c r="A1328">
        <v>1010081108</v>
      </c>
      <c r="B1328" t="s">
        <v>3941</v>
      </c>
      <c r="C1328" t="s">
        <v>3934</v>
      </c>
      <c r="D1328" t="s">
        <v>4009</v>
      </c>
    </row>
    <row r="1329" spans="1:4" x14ac:dyDescent="0.3">
      <c r="A1329">
        <v>1010240716</v>
      </c>
      <c r="B1329" t="s">
        <v>3939</v>
      </c>
      <c r="C1329" t="s">
        <v>3934</v>
      </c>
      <c r="D1329" t="s">
        <v>3938</v>
      </c>
    </row>
    <row r="1330" spans="1:4" x14ac:dyDescent="0.3">
      <c r="A1330">
        <v>1010240716</v>
      </c>
      <c r="B1330" t="s">
        <v>3939</v>
      </c>
      <c r="C1330" t="s">
        <v>3934</v>
      </c>
      <c r="D1330" t="s">
        <v>3938</v>
      </c>
    </row>
    <row r="1331" spans="1:4" x14ac:dyDescent="0.3">
      <c r="A1331">
        <v>1010240716</v>
      </c>
      <c r="B1331" t="s">
        <v>3939</v>
      </c>
      <c r="C1331" t="s">
        <v>3934</v>
      </c>
      <c r="D1331" t="s">
        <v>3938</v>
      </c>
    </row>
    <row r="1332" spans="1:4" x14ac:dyDescent="0.3">
      <c r="A1332">
        <v>1010240716</v>
      </c>
      <c r="B1332" t="s">
        <v>3939</v>
      </c>
      <c r="C1332" t="s">
        <v>3934</v>
      </c>
      <c r="D1332" t="s">
        <v>3938</v>
      </c>
    </row>
    <row r="1333" spans="1:4" x14ac:dyDescent="0.3">
      <c r="A1333">
        <v>1010240716</v>
      </c>
      <c r="B1333" t="s">
        <v>3939</v>
      </c>
      <c r="C1333" t="s">
        <v>3934</v>
      </c>
      <c r="D1333" t="s">
        <v>3938</v>
      </c>
    </row>
    <row r="1334" spans="1:4" x14ac:dyDescent="0.3">
      <c r="A1334">
        <v>1010240716</v>
      </c>
      <c r="B1334" t="s">
        <v>3939</v>
      </c>
      <c r="C1334" t="s">
        <v>3934</v>
      </c>
      <c r="D1334" t="s">
        <v>3938</v>
      </c>
    </row>
    <row r="1335" spans="1:4" x14ac:dyDescent="0.3">
      <c r="A1335">
        <v>1010240716</v>
      </c>
      <c r="B1335" t="s">
        <v>3939</v>
      </c>
      <c r="C1335" t="s">
        <v>3934</v>
      </c>
      <c r="D1335" t="s">
        <v>3938</v>
      </c>
    </row>
    <row r="1336" spans="1:4" x14ac:dyDescent="0.3">
      <c r="A1336">
        <v>1010240716</v>
      </c>
      <c r="B1336" t="s">
        <v>3939</v>
      </c>
      <c r="C1336" t="s">
        <v>3934</v>
      </c>
      <c r="D1336" t="s">
        <v>3938</v>
      </c>
    </row>
    <row r="1337" spans="1:4" x14ac:dyDescent="0.3">
      <c r="A1337">
        <v>1010240716</v>
      </c>
      <c r="B1337" t="s">
        <v>3939</v>
      </c>
      <c r="C1337" t="s">
        <v>3934</v>
      </c>
      <c r="D1337" t="s">
        <v>3938</v>
      </c>
    </row>
    <row r="1338" spans="1:4" x14ac:dyDescent="0.3">
      <c r="A1338">
        <v>1010240716</v>
      </c>
      <c r="B1338" t="s">
        <v>3939</v>
      </c>
      <c r="C1338" t="s">
        <v>3934</v>
      </c>
      <c r="D1338" t="s">
        <v>3938</v>
      </c>
    </row>
    <row r="1339" spans="1:4" x14ac:dyDescent="0.3">
      <c r="A1339">
        <v>1010240716</v>
      </c>
      <c r="B1339" t="s">
        <v>3939</v>
      </c>
      <c r="C1339" t="s">
        <v>3934</v>
      </c>
      <c r="D1339" t="s">
        <v>3938</v>
      </c>
    </row>
    <row r="1340" spans="1:4" x14ac:dyDescent="0.3">
      <c r="A1340">
        <v>1010240716</v>
      </c>
      <c r="B1340" t="s">
        <v>3939</v>
      </c>
      <c r="C1340" t="s">
        <v>3934</v>
      </c>
      <c r="D1340" t="s">
        <v>3938</v>
      </c>
    </row>
    <row r="1341" spans="1:4" x14ac:dyDescent="0.3">
      <c r="A1341">
        <v>1010240716</v>
      </c>
      <c r="B1341" t="s">
        <v>3939</v>
      </c>
      <c r="C1341" t="s">
        <v>3934</v>
      </c>
      <c r="D1341" t="s">
        <v>3938</v>
      </c>
    </row>
    <row r="1342" spans="1:4" x14ac:dyDescent="0.3">
      <c r="A1342">
        <v>1010240716</v>
      </c>
      <c r="B1342" t="s">
        <v>3939</v>
      </c>
      <c r="C1342" t="s">
        <v>3934</v>
      </c>
      <c r="D1342" t="s">
        <v>3938</v>
      </c>
    </row>
    <row r="1343" spans="1:4" x14ac:dyDescent="0.3">
      <c r="A1343">
        <v>1010240716</v>
      </c>
      <c r="B1343" t="s">
        <v>3939</v>
      </c>
      <c r="C1343" t="s">
        <v>3934</v>
      </c>
      <c r="D1343" t="s">
        <v>3938</v>
      </c>
    </row>
    <row r="1344" spans="1:4" x14ac:dyDescent="0.3">
      <c r="A1344">
        <v>1010240716</v>
      </c>
      <c r="B1344" t="s">
        <v>3939</v>
      </c>
      <c r="C1344" t="s">
        <v>3934</v>
      </c>
      <c r="D1344" t="s">
        <v>3938</v>
      </c>
    </row>
    <row r="1345" spans="1:4" x14ac:dyDescent="0.3">
      <c r="A1345">
        <v>1010240716</v>
      </c>
      <c r="B1345" t="s">
        <v>3939</v>
      </c>
      <c r="C1345" t="s">
        <v>3934</v>
      </c>
      <c r="D1345" t="s">
        <v>3938</v>
      </c>
    </row>
    <row r="1346" spans="1:4" x14ac:dyDescent="0.3">
      <c r="A1346">
        <v>1010240716</v>
      </c>
      <c r="B1346" t="s">
        <v>3939</v>
      </c>
      <c r="C1346" t="s">
        <v>3934</v>
      </c>
      <c r="D1346" t="s">
        <v>3938</v>
      </c>
    </row>
    <row r="1347" spans="1:4" x14ac:dyDescent="0.3">
      <c r="A1347">
        <v>1010240716</v>
      </c>
      <c r="B1347" t="s">
        <v>3939</v>
      </c>
      <c r="C1347" t="s">
        <v>3934</v>
      </c>
      <c r="D1347" t="s">
        <v>3938</v>
      </c>
    </row>
    <row r="1348" spans="1:4" x14ac:dyDescent="0.3">
      <c r="A1348">
        <v>1010240716</v>
      </c>
      <c r="B1348" t="s">
        <v>3939</v>
      </c>
      <c r="C1348" t="s">
        <v>3934</v>
      </c>
      <c r="D1348" t="s">
        <v>3938</v>
      </c>
    </row>
    <row r="1349" spans="1:4" x14ac:dyDescent="0.3">
      <c r="A1349">
        <v>1012355141</v>
      </c>
      <c r="B1349" t="s">
        <v>3936</v>
      </c>
      <c r="C1349" t="s">
        <v>3937</v>
      </c>
      <c r="D1349" t="s">
        <v>4045</v>
      </c>
    </row>
    <row r="1350" spans="1:4" x14ac:dyDescent="0.3">
      <c r="A1350">
        <v>1012355141</v>
      </c>
      <c r="B1350" t="s">
        <v>3936</v>
      </c>
      <c r="C1350" t="s">
        <v>3937</v>
      </c>
      <c r="D1350" t="s">
        <v>4045</v>
      </c>
    </row>
    <row r="1351" spans="1:4" x14ac:dyDescent="0.3">
      <c r="A1351">
        <v>1012355141</v>
      </c>
      <c r="B1351" t="s">
        <v>3936</v>
      </c>
      <c r="C1351" t="s">
        <v>3937</v>
      </c>
      <c r="D1351" t="s">
        <v>4045</v>
      </c>
    </row>
    <row r="1352" spans="1:4" x14ac:dyDescent="0.3">
      <c r="A1352">
        <v>1012355141</v>
      </c>
      <c r="B1352" t="s">
        <v>3936</v>
      </c>
      <c r="C1352" t="s">
        <v>3937</v>
      </c>
      <c r="D1352" t="s">
        <v>4045</v>
      </c>
    </row>
    <row r="1353" spans="1:4" x14ac:dyDescent="0.3">
      <c r="A1353">
        <v>1012355141</v>
      </c>
      <c r="B1353" t="s">
        <v>3936</v>
      </c>
      <c r="C1353" t="s">
        <v>3937</v>
      </c>
      <c r="D1353" t="s">
        <v>4045</v>
      </c>
    </row>
    <row r="1354" spans="1:4" x14ac:dyDescent="0.3">
      <c r="A1354">
        <v>1012355141</v>
      </c>
      <c r="B1354" t="s">
        <v>3936</v>
      </c>
      <c r="C1354" t="s">
        <v>3937</v>
      </c>
      <c r="D1354" t="s">
        <v>4045</v>
      </c>
    </row>
    <row r="1355" spans="1:4" x14ac:dyDescent="0.3">
      <c r="A1355">
        <v>1012355141</v>
      </c>
      <c r="B1355" t="s">
        <v>3936</v>
      </c>
      <c r="C1355" t="s">
        <v>3937</v>
      </c>
      <c r="D1355" t="s">
        <v>4045</v>
      </c>
    </row>
    <row r="1356" spans="1:4" x14ac:dyDescent="0.3">
      <c r="A1356">
        <v>1012355141</v>
      </c>
      <c r="B1356" t="s">
        <v>3936</v>
      </c>
      <c r="C1356" t="s">
        <v>3937</v>
      </c>
      <c r="D1356" t="s">
        <v>4045</v>
      </c>
    </row>
    <row r="1357" spans="1:4" x14ac:dyDescent="0.3">
      <c r="A1357">
        <v>1012355141</v>
      </c>
      <c r="B1357" t="s">
        <v>3936</v>
      </c>
      <c r="C1357" t="s">
        <v>3937</v>
      </c>
      <c r="D1357" t="s">
        <v>4045</v>
      </c>
    </row>
    <row r="1358" spans="1:4" x14ac:dyDescent="0.3">
      <c r="A1358">
        <v>1012355141</v>
      </c>
      <c r="B1358" t="s">
        <v>3936</v>
      </c>
      <c r="C1358" t="s">
        <v>3937</v>
      </c>
      <c r="D1358" t="s">
        <v>4045</v>
      </c>
    </row>
    <row r="1359" spans="1:4" x14ac:dyDescent="0.3">
      <c r="A1359">
        <v>1012355141</v>
      </c>
      <c r="B1359" t="s">
        <v>3936</v>
      </c>
      <c r="C1359" t="s">
        <v>3937</v>
      </c>
      <c r="D1359" t="s">
        <v>4045</v>
      </c>
    </row>
    <row r="1360" spans="1:4" x14ac:dyDescent="0.3">
      <c r="A1360">
        <v>1012355141</v>
      </c>
      <c r="B1360" t="s">
        <v>3936</v>
      </c>
      <c r="C1360" t="s">
        <v>3937</v>
      </c>
      <c r="D1360" t="s">
        <v>4045</v>
      </c>
    </row>
    <row r="1361" spans="1:4" x14ac:dyDescent="0.3">
      <c r="A1361">
        <v>1012355141</v>
      </c>
      <c r="B1361" t="s">
        <v>3936</v>
      </c>
      <c r="C1361" t="s">
        <v>3937</v>
      </c>
      <c r="D1361" t="s">
        <v>4045</v>
      </c>
    </row>
    <row r="1362" spans="1:4" x14ac:dyDescent="0.3">
      <c r="A1362">
        <v>1012355141</v>
      </c>
      <c r="B1362" t="s">
        <v>3936</v>
      </c>
      <c r="C1362" t="s">
        <v>3937</v>
      </c>
      <c r="D1362" t="s">
        <v>4045</v>
      </c>
    </row>
    <row r="1363" spans="1:4" x14ac:dyDescent="0.3">
      <c r="A1363">
        <v>1012355141</v>
      </c>
      <c r="B1363" t="s">
        <v>3936</v>
      </c>
      <c r="C1363" t="s">
        <v>3937</v>
      </c>
      <c r="D1363" t="s">
        <v>4045</v>
      </c>
    </row>
    <row r="1364" spans="1:4" x14ac:dyDescent="0.3">
      <c r="A1364">
        <v>1012355141</v>
      </c>
      <c r="B1364" t="s">
        <v>3936</v>
      </c>
      <c r="C1364" t="s">
        <v>3937</v>
      </c>
      <c r="D1364" t="s">
        <v>4045</v>
      </c>
    </row>
    <row r="1365" spans="1:4" x14ac:dyDescent="0.3">
      <c r="A1365">
        <v>1012355141</v>
      </c>
      <c r="B1365" t="s">
        <v>3936</v>
      </c>
      <c r="C1365" t="s">
        <v>3937</v>
      </c>
      <c r="D1365" t="s">
        <v>4045</v>
      </c>
    </row>
    <row r="1366" spans="1:4" x14ac:dyDescent="0.3">
      <c r="A1366">
        <v>1012355141</v>
      </c>
      <c r="B1366" t="s">
        <v>3936</v>
      </c>
      <c r="C1366" t="s">
        <v>3937</v>
      </c>
      <c r="D1366" t="s">
        <v>4045</v>
      </c>
    </row>
    <row r="1367" spans="1:4" x14ac:dyDescent="0.3">
      <c r="A1367">
        <v>1012355141</v>
      </c>
      <c r="B1367" t="s">
        <v>3936</v>
      </c>
      <c r="C1367" t="s">
        <v>3937</v>
      </c>
      <c r="D1367" t="s">
        <v>4045</v>
      </c>
    </row>
    <row r="1368" spans="1:4" x14ac:dyDescent="0.3">
      <c r="A1368">
        <v>1012355141</v>
      </c>
      <c r="B1368" t="s">
        <v>3936</v>
      </c>
      <c r="C1368" t="s">
        <v>3937</v>
      </c>
      <c r="D1368" t="s">
        <v>4045</v>
      </c>
    </row>
    <row r="1369" spans="1:4" x14ac:dyDescent="0.3">
      <c r="A1369">
        <v>1012355141</v>
      </c>
      <c r="B1369" t="s">
        <v>3936</v>
      </c>
      <c r="C1369" t="s">
        <v>3937</v>
      </c>
      <c r="D1369" t="s">
        <v>4045</v>
      </c>
    </row>
    <row r="1370" spans="1:4" x14ac:dyDescent="0.3">
      <c r="A1370">
        <v>1012355141</v>
      </c>
      <c r="B1370" t="s">
        <v>3936</v>
      </c>
      <c r="C1370" t="s">
        <v>3937</v>
      </c>
      <c r="D1370" t="s">
        <v>4045</v>
      </c>
    </row>
    <row r="1371" spans="1:4" x14ac:dyDescent="0.3">
      <c r="A1371">
        <v>1012355141</v>
      </c>
      <c r="B1371" t="s">
        <v>3936</v>
      </c>
      <c r="C1371" t="s">
        <v>3937</v>
      </c>
      <c r="D1371" t="s">
        <v>4045</v>
      </c>
    </row>
    <row r="1372" spans="1:4" x14ac:dyDescent="0.3">
      <c r="A1372">
        <v>1012355141</v>
      </c>
      <c r="B1372" t="s">
        <v>3936</v>
      </c>
      <c r="C1372" t="s">
        <v>3937</v>
      </c>
      <c r="D1372" t="s">
        <v>4045</v>
      </c>
    </row>
    <row r="1373" spans="1:4" x14ac:dyDescent="0.3">
      <c r="A1373">
        <v>1012355141</v>
      </c>
      <c r="B1373" t="s">
        <v>3936</v>
      </c>
      <c r="C1373" t="s">
        <v>3937</v>
      </c>
      <c r="D1373" t="s">
        <v>4045</v>
      </c>
    </row>
    <row r="1374" spans="1:4" x14ac:dyDescent="0.3">
      <c r="A1374">
        <v>1012355141</v>
      </c>
      <c r="B1374" t="s">
        <v>3936</v>
      </c>
      <c r="C1374" t="s">
        <v>3937</v>
      </c>
      <c r="D1374" t="s">
        <v>4045</v>
      </c>
    </row>
    <row r="1375" spans="1:4" x14ac:dyDescent="0.3">
      <c r="A1375">
        <v>1012355141</v>
      </c>
      <c r="B1375" t="s">
        <v>3936</v>
      </c>
      <c r="C1375" t="s">
        <v>3937</v>
      </c>
      <c r="D1375" t="s">
        <v>4045</v>
      </c>
    </row>
    <row r="1376" spans="1:4" x14ac:dyDescent="0.3">
      <c r="A1376">
        <v>1012355141</v>
      </c>
      <c r="B1376" t="s">
        <v>3936</v>
      </c>
      <c r="C1376" t="s">
        <v>3937</v>
      </c>
      <c r="D1376" t="s">
        <v>4045</v>
      </c>
    </row>
    <row r="1377" spans="1:4" x14ac:dyDescent="0.3">
      <c r="A1377">
        <v>1012355141</v>
      </c>
      <c r="B1377" t="s">
        <v>3936</v>
      </c>
      <c r="C1377" t="s">
        <v>3937</v>
      </c>
      <c r="D1377" t="s">
        <v>4045</v>
      </c>
    </row>
    <row r="1378" spans="1:4" x14ac:dyDescent="0.3">
      <c r="A1378">
        <v>1012355141</v>
      </c>
      <c r="B1378" t="s">
        <v>3936</v>
      </c>
      <c r="C1378" t="s">
        <v>3937</v>
      </c>
      <c r="D1378" t="s">
        <v>4045</v>
      </c>
    </row>
    <row r="1379" spans="1:4" x14ac:dyDescent="0.3">
      <c r="A1379">
        <v>1012355141</v>
      </c>
      <c r="B1379" t="s">
        <v>3936</v>
      </c>
      <c r="C1379" t="s">
        <v>3937</v>
      </c>
      <c r="D1379" t="s">
        <v>4045</v>
      </c>
    </row>
    <row r="1380" spans="1:4" x14ac:dyDescent="0.3">
      <c r="A1380">
        <v>1012355141</v>
      </c>
      <c r="B1380" t="s">
        <v>3936</v>
      </c>
      <c r="C1380" t="s">
        <v>3937</v>
      </c>
      <c r="D1380" t="s">
        <v>4045</v>
      </c>
    </row>
    <row r="1381" spans="1:4" x14ac:dyDescent="0.3">
      <c r="A1381">
        <v>1012355141</v>
      </c>
      <c r="B1381" t="s">
        <v>3936</v>
      </c>
      <c r="C1381" t="s">
        <v>3937</v>
      </c>
      <c r="D1381" t="s">
        <v>4045</v>
      </c>
    </row>
    <row r="1382" spans="1:4" x14ac:dyDescent="0.3">
      <c r="A1382">
        <v>1012355141</v>
      </c>
      <c r="B1382" t="s">
        <v>3936</v>
      </c>
      <c r="C1382" t="s">
        <v>3937</v>
      </c>
      <c r="D1382" t="s">
        <v>4045</v>
      </c>
    </row>
    <row r="1383" spans="1:4" x14ac:dyDescent="0.3">
      <c r="A1383">
        <v>1012355141</v>
      </c>
      <c r="B1383" t="s">
        <v>3936</v>
      </c>
      <c r="C1383" t="s">
        <v>3937</v>
      </c>
      <c r="D1383" t="s">
        <v>4045</v>
      </c>
    </row>
    <row r="1384" spans="1:4" x14ac:dyDescent="0.3">
      <c r="A1384">
        <v>1012355141</v>
      </c>
      <c r="B1384" t="s">
        <v>3936</v>
      </c>
      <c r="C1384" t="s">
        <v>3937</v>
      </c>
      <c r="D1384" t="s">
        <v>4045</v>
      </c>
    </row>
    <row r="1385" spans="1:4" x14ac:dyDescent="0.3">
      <c r="A1385">
        <v>1012355141</v>
      </c>
      <c r="B1385" t="s">
        <v>3936</v>
      </c>
      <c r="C1385" t="s">
        <v>3937</v>
      </c>
      <c r="D1385" t="s">
        <v>4045</v>
      </c>
    </row>
    <row r="1386" spans="1:4" x14ac:dyDescent="0.3">
      <c r="A1386">
        <v>1012355141</v>
      </c>
      <c r="B1386" t="s">
        <v>3936</v>
      </c>
      <c r="C1386" t="s">
        <v>3937</v>
      </c>
      <c r="D1386" t="s">
        <v>4045</v>
      </c>
    </row>
    <row r="1387" spans="1:4" x14ac:dyDescent="0.3">
      <c r="A1387">
        <v>1012355141</v>
      </c>
      <c r="B1387" t="s">
        <v>3936</v>
      </c>
      <c r="C1387" t="s">
        <v>3937</v>
      </c>
      <c r="D1387" t="s">
        <v>4045</v>
      </c>
    </row>
    <row r="1388" spans="1:4" x14ac:dyDescent="0.3">
      <c r="A1388">
        <v>1012355141</v>
      </c>
      <c r="B1388" t="s">
        <v>3936</v>
      </c>
      <c r="C1388" t="s">
        <v>3937</v>
      </c>
      <c r="D1388" t="s">
        <v>4045</v>
      </c>
    </row>
    <row r="1389" spans="1:4" x14ac:dyDescent="0.3">
      <c r="A1389">
        <v>1012389748</v>
      </c>
      <c r="B1389" t="s">
        <v>3948</v>
      </c>
      <c r="C1389" t="s">
        <v>3937</v>
      </c>
      <c r="D1389" t="s">
        <v>4065</v>
      </c>
    </row>
    <row r="1390" spans="1:4" x14ac:dyDescent="0.3">
      <c r="A1390">
        <v>1012389748</v>
      </c>
      <c r="B1390" t="s">
        <v>3948</v>
      </c>
      <c r="C1390" t="s">
        <v>3937</v>
      </c>
      <c r="D1390" t="s">
        <v>4065</v>
      </c>
    </row>
    <row r="1391" spans="1:4" x14ac:dyDescent="0.3">
      <c r="A1391">
        <v>1012389748</v>
      </c>
      <c r="B1391" t="s">
        <v>3948</v>
      </c>
      <c r="C1391" t="s">
        <v>3937</v>
      </c>
      <c r="D1391" t="s">
        <v>4065</v>
      </c>
    </row>
    <row r="1392" spans="1:4" x14ac:dyDescent="0.3">
      <c r="A1392">
        <v>1012389748</v>
      </c>
      <c r="B1392" t="s">
        <v>3948</v>
      </c>
      <c r="C1392" t="s">
        <v>3937</v>
      </c>
      <c r="D1392" t="s">
        <v>4065</v>
      </c>
    </row>
    <row r="1393" spans="1:4" x14ac:dyDescent="0.3">
      <c r="A1393">
        <v>1012389748</v>
      </c>
      <c r="B1393" t="s">
        <v>3948</v>
      </c>
      <c r="C1393" t="s">
        <v>3937</v>
      </c>
      <c r="D1393" t="s">
        <v>4065</v>
      </c>
    </row>
    <row r="1394" spans="1:4" x14ac:dyDescent="0.3">
      <c r="A1394">
        <v>1012389748</v>
      </c>
      <c r="B1394" t="s">
        <v>3948</v>
      </c>
      <c r="C1394" t="s">
        <v>3937</v>
      </c>
      <c r="D1394" t="s">
        <v>4065</v>
      </c>
    </row>
    <row r="1395" spans="1:4" x14ac:dyDescent="0.3">
      <c r="A1395">
        <v>1012389748</v>
      </c>
      <c r="B1395" t="s">
        <v>3948</v>
      </c>
      <c r="C1395" t="s">
        <v>3937</v>
      </c>
      <c r="D1395" t="s">
        <v>4065</v>
      </c>
    </row>
    <row r="1396" spans="1:4" x14ac:dyDescent="0.3">
      <c r="A1396">
        <v>1012389748</v>
      </c>
      <c r="B1396" t="s">
        <v>3948</v>
      </c>
      <c r="C1396" t="s">
        <v>3937</v>
      </c>
      <c r="D1396" t="s">
        <v>4065</v>
      </c>
    </row>
    <row r="1397" spans="1:4" x14ac:dyDescent="0.3">
      <c r="A1397">
        <v>1012389748</v>
      </c>
      <c r="B1397" t="s">
        <v>3948</v>
      </c>
      <c r="C1397" t="s">
        <v>3937</v>
      </c>
      <c r="D1397" t="s">
        <v>4065</v>
      </c>
    </row>
    <row r="1398" spans="1:4" x14ac:dyDescent="0.3">
      <c r="A1398">
        <v>1012389748</v>
      </c>
      <c r="B1398" t="s">
        <v>3948</v>
      </c>
      <c r="C1398" t="s">
        <v>3937</v>
      </c>
      <c r="D1398" t="s">
        <v>4065</v>
      </c>
    </row>
    <row r="1399" spans="1:4" x14ac:dyDescent="0.3">
      <c r="A1399">
        <v>1012389748</v>
      </c>
      <c r="B1399" t="s">
        <v>3948</v>
      </c>
      <c r="C1399" t="s">
        <v>3937</v>
      </c>
      <c r="D1399" t="s">
        <v>4065</v>
      </c>
    </row>
    <row r="1400" spans="1:4" x14ac:dyDescent="0.3">
      <c r="A1400">
        <v>1012389748</v>
      </c>
      <c r="B1400" t="s">
        <v>3948</v>
      </c>
      <c r="C1400" t="s">
        <v>3937</v>
      </c>
      <c r="D1400" t="s">
        <v>4065</v>
      </c>
    </row>
    <row r="1401" spans="1:4" x14ac:dyDescent="0.3">
      <c r="A1401">
        <v>1012389748</v>
      </c>
      <c r="B1401" t="s">
        <v>3948</v>
      </c>
      <c r="C1401" t="s">
        <v>3937</v>
      </c>
      <c r="D1401" t="s">
        <v>4065</v>
      </c>
    </row>
    <row r="1402" spans="1:4" x14ac:dyDescent="0.3">
      <c r="A1402">
        <v>1012389748</v>
      </c>
      <c r="B1402" t="s">
        <v>3948</v>
      </c>
      <c r="C1402" t="s">
        <v>3937</v>
      </c>
      <c r="D1402" t="s">
        <v>4065</v>
      </c>
    </row>
    <row r="1403" spans="1:4" x14ac:dyDescent="0.3">
      <c r="A1403">
        <v>1012389748</v>
      </c>
      <c r="B1403" t="s">
        <v>3948</v>
      </c>
      <c r="C1403" t="s">
        <v>3937</v>
      </c>
      <c r="D1403" t="s">
        <v>4065</v>
      </c>
    </row>
    <row r="1404" spans="1:4" x14ac:dyDescent="0.3">
      <c r="A1404">
        <v>1012389748</v>
      </c>
      <c r="B1404" t="s">
        <v>3948</v>
      </c>
      <c r="C1404" t="s">
        <v>3937</v>
      </c>
      <c r="D1404" t="s">
        <v>4065</v>
      </c>
    </row>
    <row r="1405" spans="1:4" x14ac:dyDescent="0.3">
      <c r="A1405">
        <v>1012389748</v>
      </c>
      <c r="B1405" t="s">
        <v>3948</v>
      </c>
      <c r="C1405" t="s">
        <v>3937</v>
      </c>
      <c r="D1405" t="s">
        <v>4065</v>
      </c>
    </row>
    <row r="1406" spans="1:4" x14ac:dyDescent="0.3">
      <c r="A1406">
        <v>1012389748</v>
      </c>
      <c r="B1406" t="s">
        <v>3948</v>
      </c>
      <c r="C1406" t="s">
        <v>3937</v>
      </c>
      <c r="D1406" t="s">
        <v>4065</v>
      </c>
    </row>
    <row r="1407" spans="1:4" x14ac:dyDescent="0.3">
      <c r="A1407">
        <v>1012389748</v>
      </c>
      <c r="B1407" t="s">
        <v>3948</v>
      </c>
      <c r="C1407" t="s">
        <v>3937</v>
      </c>
      <c r="D1407" t="s">
        <v>4065</v>
      </c>
    </row>
    <row r="1408" spans="1:4" x14ac:dyDescent="0.3">
      <c r="A1408">
        <v>1012389748</v>
      </c>
      <c r="B1408" t="s">
        <v>3948</v>
      </c>
      <c r="C1408" t="s">
        <v>3937</v>
      </c>
      <c r="D1408" t="s">
        <v>4065</v>
      </c>
    </row>
    <row r="1409" spans="1:4" x14ac:dyDescent="0.3">
      <c r="A1409">
        <v>1012389748</v>
      </c>
      <c r="B1409" t="s">
        <v>3948</v>
      </c>
      <c r="C1409" t="s">
        <v>3937</v>
      </c>
      <c r="D1409" t="s">
        <v>4065</v>
      </c>
    </row>
    <row r="1410" spans="1:4" x14ac:dyDescent="0.3">
      <c r="A1410">
        <v>1012389748</v>
      </c>
      <c r="B1410" t="s">
        <v>3948</v>
      </c>
      <c r="C1410" t="s">
        <v>3937</v>
      </c>
      <c r="D1410" t="s">
        <v>4065</v>
      </c>
    </row>
    <row r="1411" spans="1:4" x14ac:dyDescent="0.3">
      <c r="A1411">
        <v>1012389748</v>
      </c>
      <c r="B1411" t="s">
        <v>3948</v>
      </c>
      <c r="C1411" t="s">
        <v>3937</v>
      </c>
      <c r="D1411" t="s">
        <v>4065</v>
      </c>
    </row>
    <row r="1412" spans="1:4" x14ac:dyDescent="0.3">
      <c r="A1412">
        <v>1012389748</v>
      </c>
      <c r="B1412" t="s">
        <v>3948</v>
      </c>
      <c r="C1412" t="s">
        <v>3937</v>
      </c>
      <c r="D1412" t="s">
        <v>4065</v>
      </c>
    </row>
    <row r="1413" spans="1:4" x14ac:dyDescent="0.3">
      <c r="A1413">
        <v>1012389748</v>
      </c>
      <c r="B1413" t="s">
        <v>3948</v>
      </c>
      <c r="C1413" t="s">
        <v>3937</v>
      </c>
      <c r="D1413" t="s">
        <v>4065</v>
      </c>
    </row>
    <row r="1414" spans="1:4" x14ac:dyDescent="0.3">
      <c r="A1414">
        <v>1012389748</v>
      </c>
      <c r="B1414" t="s">
        <v>3948</v>
      </c>
      <c r="C1414" t="s">
        <v>3937</v>
      </c>
      <c r="D1414" t="s">
        <v>4065</v>
      </c>
    </row>
    <row r="1415" spans="1:4" x14ac:dyDescent="0.3">
      <c r="A1415">
        <v>1012389748</v>
      </c>
      <c r="B1415" t="s">
        <v>3948</v>
      </c>
      <c r="C1415" t="s">
        <v>3937</v>
      </c>
      <c r="D1415" t="s">
        <v>4065</v>
      </c>
    </row>
    <row r="1416" spans="1:4" x14ac:dyDescent="0.3">
      <c r="A1416">
        <v>1012389748</v>
      </c>
      <c r="B1416" t="s">
        <v>3948</v>
      </c>
      <c r="C1416" t="s">
        <v>3937</v>
      </c>
      <c r="D1416" t="s">
        <v>4065</v>
      </c>
    </row>
    <row r="1417" spans="1:4" x14ac:dyDescent="0.3">
      <c r="A1417">
        <v>1012389748</v>
      </c>
      <c r="B1417" t="s">
        <v>3948</v>
      </c>
      <c r="C1417" t="s">
        <v>3937</v>
      </c>
      <c r="D1417" t="s">
        <v>4065</v>
      </c>
    </row>
    <row r="1418" spans="1:4" x14ac:dyDescent="0.3">
      <c r="A1418">
        <v>1012389748</v>
      </c>
      <c r="B1418" t="s">
        <v>3948</v>
      </c>
      <c r="C1418" t="s">
        <v>3937</v>
      </c>
      <c r="D1418" t="s">
        <v>4065</v>
      </c>
    </row>
    <row r="1419" spans="1:4" x14ac:dyDescent="0.3">
      <c r="A1419">
        <v>1012389748</v>
      </c>
      <c r="B1419" t="s">
        <v>3948</v>
      </c>
      <c r="C1419" t="s">
        <v>3937</v>
      </c>
      <c r="D1419" t="s">
        <v>4065</v>
      </c>
    </row>
    <row r="1420" spans="1:4" x14ac:dyDescent="0.3">
      <c r="A1420">
        <v>1012389748</v>
      </c>
      <c r="B1420" t="s">
        <v>3948</v>
      </c>
      <c r="C1420" t="s">
        <v>3937</v>
      </c>
      <c r="D1420" t="s">
        <v>4065</v>
      </c>
    </row>
    <row r="1421" spans="1:4" x14ac:dyDescent="0.3">
      <c r="A1421">
        <v>1013102684</v>
      </c>
      <c r="B1421" t="s">
        <v>3939</v>
      </c>
      <c r="C1421" t="s">
        <v>3934</v>
      </c>
      <c r="D1421" t="s">
        <v>4050</v>
      </c>
    </row>
    <row r="1422" spans="1:4" x14ac:dyDescent="0.3">
      <c r="A1422">
        <v>1013102684</v>
      </c>
      <c r="B1422" t="s">
        <v>3939</v>
      </c>
      <c r="C1422" t="s">
        <v>3934</v>
      </c>
      <c r="D1422" t="s">
        <v>4050</v>
      </c>
    </row>
    <row r="1423" spans="1:4" x14ac:dyDescent="0.3">
      <c r="A1423">
        <v>1013102684</v>
      </c>
      <c r="B1423" t="s">
        <v>3939</v>
      </c>
      <c r="C1423" t="s">
        <v>3934</v>
      </c>
      <c r="D1423" t="s">
        <v>4050</v>
      </c>
    </row>
    <row r="1424" spans="1:4" x14ac:dyDescent="0.3">
      <c r="A1424">
        <v>1013102684</v>
      </c>
      <c r="B1424" t="s">
        <v>3939</v>
      </c>
      <c r="C1424" t="s">
        <v>3934</v>
      </c>
      <c r="D1424" t="s">
        <v>4050</v>
      </c>
    </row>
    <row r="1425" spans="1:4" x14ac:dyDescent="0.3">
      <c r="A1425">
        <v>1013102684</v>
      </c>
      <c r="B1425" t="s">
        <v>3939</v>
      </c>
      <c r="C1425" t="s">
        <v>3934</v>
      </c>
      <c r="D1425" t="s">
        <v>4050</v>
      </c>
    </row>
    <row r="1426" spans="1:4" x14ac:dyDescent="0.3">
      <c r="A1426">
        <v>1013102684</v>
      </c>
      <c r="B1426" t="s">
        <v>3939</v>
      </c>
      <c r="C1426" t="s">
        <v>3934</v>
      </c>
      <c r="D1426" t="s">
        <v>4050</v>
      </c>
    </row>
    <row r="1427" spans="1:4" x14ac:dyDescent="0.3">
      <c r="A1427">
        <v>1013102684</v>
      </c>
      <c r="B1427" t="s">
        <v>3939</v>
      </c>
      <c r="C1427" t="s">
        <v>3934</v>
      </c>
      <c r="D1427" t="s">
        <v>4050</v>
      </c>
    </row>
    <row r="1428" spans="1:4" x14ac:dyDescent="0.3">
      <c r="A1428">
        <v>1013595695</v>
      </c>
      <c r="B1428" t="s">
        <v>3933</v>
      </c>
      <c r="C1428" t="s">
        <v>3934</v>
      </c>
      <c r="D1428" t="s">
        <v>3990</v>
      </c>
    </row>
    <row r="1429" spans="1:4" x14ac:dyDescent="0.3">
      <c r="A1429">
        <v>1013595695</v>
      </c>
      <c r="B1429" t="s">
        <v>3933</v>
      </c>
      <c r="C1429" t="s">
        <v>3934</v>
      </c>
      <c r="D1429" t="s">
        <v>3990</v>
      </c>
    </row>
    <row r="1430" spans="1:4" x14ac:dyDescent="0.3">
      <c r="A1430">
        <v>1013595695</v>
      </c>
      <c r="B1430" t="s">
        <v>3933</v>
      </c>
      <c r="C1430" t="s">
        <v>3934</v>
      </c>
      <c r="D1430" t="s">
        <v>3990</v>
      </c>
    </row>
    <row r="1431" spans="1:4" x14ac:dyDescent="0.3">
      <c r="A1431">
        <v>1013595695</v>
      </c>
      <c r="B1431" t="s">
        <v>3933</v>
      </c>
      <c r="C1431" t="s">
        <v>3934</v>
      </c>
      <c r="D1431" t="s">
        <v>3990</v>
      </c>
    </row>
    <row r="1432" spans="1:4" x14ac:dyDescent="0.3">
      <c r="A1432">
        <v>1013595695</v>
      </c>
      <c r="B1432" t="s">
        <v>3933</v>
      </c>
      <c r="C1432" t="s">
        <v>3934</v>
      </c>
      <c r="D1432" t="s">
        <v>3990</v>
      </c>
    </row>
    <row r="1433" spans="1:4" x14ac:dyDescent="0.3">
      <c r="A1433">
        <v>1013595695</v>
      </c>
      <c r="B1433" t="s">
        <v>3933</v>
      </c>
      <c r="C1433" t="s">
        <v>3934</v>
      </c>
      <c r="D1433" t="s">
        <v>3990</v>
      </c>
    </row>
    <row r="1434" spans="1:4" x14ac:dyDescent="0.3">
      <c r="A1434">
        <v>1013595695</v>
      </c>
      <c r="B1434" t="s">
        <v>3933</v>
      </c>
      <c r="C1434" t="s">
        <v>3934</v>
      </c>
      <c r="D1434" t="s">
        <v>3990</v>
      </c>
    </row>
    <row r="1435" spans="1:4" x14ac:dyDescent="0.3">
      <c r="A1435">
        <v>1013595695</v>
      </c>
      <c r="B1435" t="s">
        <v>3933</v>
      </c>
      <c r="C1435" t="s">
        <v>3934</v>
      </c>
      <c r="D1435" t="s">
        <v>3990</v>
      </c>
    </row>
    <row r="1436" spans="1:4" x14ac:dyDescent="0.3">
      <c r="A1436">
        <v>1013595695</v>
      </c>
      <c r="B1436" t="s">
        <v>3933</v>
      </c>
      <c r="C1436" t="s">
        <v>3934</v>
      </c>
      <c r="D1436" t="s">
        <v>3990</v>
      </c>
    </row>
    <row r="1437" spans="1:4" x14ac:dyDescent="0.3">
      <c r="A1437">
        <v>1013595695</v>
      </c>
      <c r="B1437" t="s">
        <v>3933</v>
      </c>
      <c r="C1437" t="s">
        <v>3934</v>
      </c>
      <c r="D1437" t="s">
        <v>3990</v>
      </c>
    </row>
    <row r="1438" spans="1:4" x14ac:dyDescent="0.3">
      <c r="A1438">
        <v>1013595695</v>
      </c>
      <c r="B1438" t="s">
        <v>3933</v>
      </c>
      <c r="C1438" t="s">
        <v>3934</v>
      </c>
      <c r="D1438" t="s">
        <v>3990</v>
      </c>
    </row>
    <row r="1439" spans="1:4" x14ac:dyDescent="0.3">
      <c r="A1439">
        <v>1013595695</v>
      </c>
      <c r="B1439" t="s">
        <v>3933</v>
      </c>
      <c r="C1439" t="s">
        <v>3934</v>
      </c>
      <c r="D1439" t="s">
        <v>3990</v>
      </c>
    </row>
    <row r="1440" spans="1:4" x14ac:dyDescent="0.3">
      <c r="A1440">
        <v>1013595695</v>
      </c>
      <c r="B1440" t="s">
        <v>3933</v>
      </c>
      <c r="C1440" t="s">
        <v>3934</v>
      </c>
      <c r="D1440" t="s">
        <v>3990</v>
      </c>
    </row>
    <row r="1441" spans="1:4" x14ac:dyDescent="0.3">
      <c r="A1441">
        <v>1013595695</v>
      </c>
      <c r="B1441" t="s">
        <v>3933</v>
      </c>
      <c r="C1441" t="s">
        <v>3934</v>
      </c>
      <c r="D1441" t="s">
        <v>3990</v>
      </c>
    </row>
    <row r="1442" spans="1:4" x14ac:dyDescent="0.3">
      <c r="A1442">
        <v>1013595695</v>
      </c>
      <c r="B1442" t="s">
        <v>3933</v>
      </c>
      <c r="C1442" t="s">
        <v>3934</v>
      </c>
      <c r="D1442" t="s">
        <v>3990</v>
      </c>
    </row>
    <row r="1443" spans="1:4" x14ac:dyDescent="0.3">
      <c r="A1443">
        <v>1013595695</v>
      </c>
      <c r="B1443" t="s">
        <v>3933</v>
      </c>
      <c r="C1443" t="s">
        <v>3934</v>
      </c>
      <c r="D1443" t="s">
        <v>3990</v>
      </c>
    </row>
    <row r="1444" spans="1:4" x14ac:dyDescent="0.3">
      <c r="A1444">
        <v>1013595695</v>
      </c>
      <c r="B1444" t="s">
        <v>3933</v>
      </c>
      <c r="C1444" t="s">
        <v>3934</v>
      </c>
      <c r="D1444" t="s">
        <v>3990</v>
      </c>
    </row>
    <row r="1445" spans="1:4" x14ac:dyDescent="0.3">
      <c r="A1445">
        <v>1013595695</v>
      </c>
      <c r="B1445" t="s">
        <v>3933</v>
      </c>
      <c r="C1445" t="s">
        <v>3934</v>
      </c>
      <c r="D1445" t="s">
        <v>3990</v>
      </c>
    </row>
    <row r="1446" spans="1:4" x14ac:dyDescent="0.3">
      <c r="A1446">
        <v>1013595695</v>
      </c>
      <c r="B1446" t="s">
        <v>3933</v>
      </c>
      <c r="C1446" t="s">
        <v>3934</v>
      </c>
      <c r="D1446" t="s">
        <v>3990</v>
      </c>
    </row>
    <row r="1447" spans="1:4" x14ac:dyDescent="0.3">
      <c r="A1447">
        <v>1013595695</v>
      </c>
      <c r="B1447" t="s">
        <v>3933</v>
      </c>
      <c r="C1447" t="s">
        <v>3934</v>
      </c>
      <c r="D1447" t="s">
        <v>3990</v>
      </c>
    </row>
    <row r="1448" spans="1:4" x14ac:dyDescent="0.3">
      <c r="A1448">
        <v>1013595695</v>
      </c>
      <c r="B1448" t="s">
        <v>3933</v>
      </c>
      <c r="C1448" t="s">
        <v>3934</v>
      </c>
      <c r="D1448" t="s">
        <v>3990</v>
      </c>
    </row>
    <row r="1449" spans="1:4" x14ac:dyDescent="0.3">
      <c r="A1449">
        <v>1013595695</v>
      </c>
      <c r="B1449" t="s">
        <v>3933</v>
      </c>
      <c r="C1449" t="s">
        <v>3934</v>
      </c>
      <c r="D1449" t="s">
        <v>3990</v>
      </c>
    </row>
    <row r="1450" spans="1:4" x14ac:dyDescent="0.3">
      <c r="A1450">
        <v>1013595695</v>
      </c>
      <c r="B1450" t="s">
        <v>3933</v>
      </c>
      <c r="C1450" t="s">
        <v>3934</v>
      </c>
      <c r="D1450" t="s">
        <v>3990</v>
      </c>
    </row>
    <row r="1451" spans="1:4" x14ac:dyDescent="0.3">
      <c r="A1451">
        <v>1013662799</v>
      </c>
      <c r="B1451" t="s">
        <v>3965</v>
      </c>
      <c r="C1451" t="s">
        <v>3934</v>
      </c>
      <c r="D1451" t="s">
        <v>4021</v>
      </c>
    </row>
    <row r="1452" spans="1:4" x14ac:dyDescent="0.3">
      <c r="A1452">
        <v>1013662799</v>
      </c>
      <c r="B1452" t="s">
        <v>3965</v>
      </c>
      <c r="C1452" t="s">
        <v>3934</v>
      </c>
      <c r="D1452" t="s">
        <v>4021</v>
      </c>
    </row>
    <row r="1453" spans="1:4" x14ac:dyDescent="0.3">
      <c r="A1453">
        <v>1013662799</v>
      </c>
      <c r="B1453" t="s">
        <v>3965</v>
      </c>
      <c r="C1453" t="s">
        <v>3934</v>
      </c>
      <c r="D1453" t="s">
        <v>4021</v>
      </c>
    </row>
    <row r="1454" spans="1:4" x14ac:dyDescent="0.3">
      <c r="A1454">
        <v>1013662799</v>
      </c>
      <c r="B1454" t="s">
        <v>3965</v>
      </c>
      <c r="C1454" t="s">
        <v>3934</v>
      </c>
      <c r="D1454" t="s">
        <v>4021</v>
      </c>
    </row>
    <row r="1455" spans="1:4" x14ac:dyDescent="0.3">
      <c r="A1455">
        <v>1013662799</v>
      </c>
      <c r="B1455" t="s">
        <v>3965</v>
      </c>
      <c r="C1455" t="s">
        <v>3934</v>
      </c>
      <c r="D1455" t="s">
        <v>4021</v>
      </c>
    </row>
    <row r="1456" spans="1:4" x14ac:dyDescent="0.3">
      <c r="A1456">
        <v>1013662799</v>
      </c>
      <c r="B1456" t="s">
        <v>3965</v>
      </c>
      <c r="C1456" t="s">
        <v>3934</v>
      </c>
      <c r="D1456" t="s">
        <v>4021</v>
      </c>
    </row>
    <row r="1457" spans="1:4" x14ac:dyDescent="0.3">
      <c r="A1457">
        <v>1013662799</v>
      </c>
      <c r="B1457" t="s">
        <v>3965</v>
      </c>
      <c r="C1457" t="s">
        <v>3934</v>
      </c>
      <c r="D1457" t="s">
        <v>4021</v>
      </c>
    </row>
    <row r="1458" spans="1:4" x14ac:dyDescent="0.3">
      <c r="A1458">
        <v>1013662799</v>
      </c>
      <c r="B1458" t="s">
        <v>3965</v>
      </c>
      <c r="C1458" t="s">
        <v>3934</v>
      </c>
      <c r="D1458" t="s">
        <v>4021</v>
      </c>
    </row>
    <row r="1459" spans="1:4" x14ac:dyDescent="0.3">
      <c r="A1459">
        <v>1013662799</v>
      </c>
      <c r="B1459" t="s">
        <v>3965</v>
      </c>
      <c r="C1459" t="s">
        <v>3934</v>
      </c>
      <c r="D1459" t="s">
        <v>4021</v>
      </c>
    </row>
    <row r="1460" spans="1:4" x14ac:dyDescent="0.3">
      <c r="A1460">
        <v>1013662799</v>
      </c>
      <c r="B1460" t="s">
        <v>3965</v>
      </c>
      <c r="C1460" t="s">
        <v>3934</v>
      </c>
      <c r="D1460" t="s">
        <v>4021</v>
      </c>
    </row>
    <row r="1461" spans="1:4" x14ac:dyDescent="0.3">
      <c r="A1461">
        <v>1013662799</v>
      </c>
      <c r="B1461" t="s">
        <v>3965</v>
      </c>
      <c r="C1461" t="s">
        <v>3934</v>
      </c>
      <c r="D1461" t="s">
        <v>4021</v>
      </c>
    </row>
    <row r="1462" spans="1:4" x14ac:dyDescent="0.3">
      <c r="A1462">
        <v>1013662799</v>
      </c>
      <c r="B1462" t="s">
        <v>3965</v>
      </c>
      <c r="C1462" t="s">
        <v>3934</v>
      </c>
      <c r="D1462" t="s">
        <v>4021</v>
      </c>
    </row>
    <row r="1463" spans="1:4" x14ac:dyDescent="0.3">
      <c r="A1463">
        <v>1013662799</v>
      </c>
      <c r="B1463" t="s">
        <v>3965</v>
      </c>
      <c r="C1463" t="s">
        <v>3934</v>
      </c>
      <c r="D1463" t="s">
        <v>4021</v>
      </c>
    </row>
    <row r="1464" spans="1:4" x14ac:dyDescent="0.3">
      <c r="A1464">
        <v>1013662799</v>
      </c>
      <c r="B1464" t="s">
        <v>3965</v>
      </c>
      <c r="C1464" t="s">
        <v>3934</v>
      </c>
      <c r="D1464" t="s">
        <v>4021</v>
      </c>
    </row>
    <row r="1465" spans="1:4" x14ac:dyDescent="0.3">
      <c r="A1465">
        <v>1013662799</v>
      </c>
      <c r="B1465" t="s">
        <v>3965</v>
      </c>
      <c r="C1465" t="s">
        <v>3934</v>
      </c>
      <c r="D1465" t="s">
        <v>4021</v>
      </c>
    </row>
    <row r="1466" spans="1:4" x14ac:dyDescent="0.3">
      <c r="A1466">
        <v>1013662799</v>
      </c>
      <c r="B1466" t="s">
        <v>3965</v>
      </c>
      <c r="C1466" t="s">
        <v>3934</v>
      </c>
      <c r="D1466" t="s">
        <v>4021</v>
      </c>
    </row>
    <row r="1467" spans="1:4" x14ac:dyDescent="0.3">
      <c r="A1467">
        <v>1013662799</v>
      </c>
      <c r="B1467" t="s">
        <v>3965</v>
      </c>
      <c r="C1467" t="s">
        <v>3934</v>
      </c>
      <c r="D1467" t="s">
        <v>4021</v>
      </c>
    </row>
    <row r="1468" spans="1:4" x14ac:dyDescent="0.3">
      <c r="A1468">
        <v>1013662799</v>
      </c>
      <c r="B1468" t="s">
        <v>3965</v>
      </c>
      <c r="C1468" t="s">
        <v>3934</v>
      </c>
      <c r="D1468" t="s">
        <v>4021</v>
      </c>
    </row>
    <row r="1469" spans="1:4" x14ac:dyDescent="0.3">
      <c r="A1469">
        <v>1013662799</v>
      </c>
      <c r="B1469" t="s">
        <v>3965</v>
      </c>
      <c r="C1469" t="s">
        <v>3934</v>
      </c>
      <c r="D1469" t="s">
        <v>4021</v>
      </c>
    </row>
    <row r="1470" spans="1:4" x14ac:dyDescent="0.3">
      <c r="A1470">
        <v>1013662799</v>
      </c>
      <c r="B1470" t="s">
        <v>3965</v>
      </c>
      <c r="C1470" t="s">
        <v>3934</v>
      </c>
      <c r="D1470" t="s">
        <v>4021</v>
      </c>
    </row>
    <row r="1471" spans="1:4" x14ac:dyDescent="0.3">
      <c r="A1471">
        <v>1013662799</v>
      </c>
      <c r="B1471" t="s">
        <v>3965</v>
      </c>
      <c r="C1471" t="s">
        <v>3934</v>
      </c>
      <c r="D1471" t="s">
        <v>4021</v>
      </c>
    </row>
    <row r="1472" spans="1:4" x14ac:dyDescent="0.3">
      <c r="A1472">
        <v>1013662799</v>
      </c>
      <c r="B1472" t="s">
        <v>3965</v>
      </c>
      <c r="C1472" t="s">
        <v>3934</v>
      </c>
      <c r="D1472" t="s">
        <v>4021</v>
      </c>
    </row>
    <row r="1473" spans="1:4" x14ac:dyDescent="0.3">
      <c r="A1473">
        <v>1013662799</v>
      </c>
      <c r="B1473" t="s">
        <v>3965</v>
      </c>
      <c r="C1473" t="s">
        <v>3934</v>
      </c>
      <c r="D1473" t="s">
        <v>4021</v>
      </c>
    </row>
    <row r="1474" spans="1:4" x14ac:dyDescent="0.3">
      <c r="A1474">
        <v>1013662799</v>
      </c>
      <c r="B1474" t="s">
        <v>3965</v>
      </c>
      <c r="C1474" t="s">
        <v>3934</v>
      </c>
      <c r="D1474" t="s">
        <v>4021</v>
      </c>
    </row>
    <row r="1475" spans="1:4" x14ac:dyDescent="0.3">
      <c r="A1475">
        <v>1013662799</v>
      </c>
      <c r="B1475" t="s">
        <v>3965</v>
      </c>
      <c r="C1475" t="s">
        <v>3934</v>
      </c>
      <c r="D1475" t="s">
        <v>4021</v>
      </c>
    </row>
    <row r="1476" spans="1:4" x14ac:dyDescent="0.3">
      <c r="A1476">
        <v>1013662799</v>
      </c>
      <c r="B1476" t="s">
        <v>3965</v>
      </c>
      <c r="C1476" t="s">
        <v>3934</v>
      </c>
      <c r="D1476" t="s">
        <v>4021</v>
      </c>
    </row>
    <row r="1477" spans="1:4" x14ac:dyDescent="0.3">
      <c r="A1477">
        <v>1013662799</v>
      </c>
      <c r="B1477" t="s">
        <v>3965</v>
      </c>
      <c r="C1477" t="s">
        <v>3934</v>
      </c>
      <c r="D1477" t="s">
        <v>4021</v>
      </c>
    </row>
    <row r="1478" spans="1:4" x14ac:dyDescent="0.3">
      <c r="A1478">
        <v>1013662799</v>
      </c>
      <c r="B1478" t="s">
        <v>3965</v>
      </c>
      <c r="C1478" t="s">
        <v>3934</v>
      </c>
      <c r="D1478" t="s">
        <v>4021</v>
      </c>
    </row>
    <row r="1479" spans="1:4" x14ac:dyDescent="0.3">
      <c r="A1479">
        <v>1013662799</v>
      </c>
      <c r="B1479" t="s">
        <v>3965</v>
      </c>
      <c r="C1479" t="s">
        <v>3934</v>
      </c>
      <c r="D1479" t="s">
        <v>4021</v>
      </c>
    </row>
    <row r="1480" spans="1:4" x14ac:dyDescent="0.3">
      <c r="A1480">
        <v>1013662799</v>
      </c>
      <c r="B1480" t="s">
        <v>3965</v>
      </c>
      <c r="C1480" t="s">
        <v>3934</v>
      </c>
      <c r="D1480" t="s">
        <v>4021</v>
      </c>
    </row>
    <row r="1481" spans="1:4" x14ac:dyDescent="0.3">
      <c r="A1481">
        <v>1013662799</v>
      </c>
      <c r="B1481" t="s">
        <v>3965</v>
      </c>
      <c r="C1481" t="s">
        <v>3934</v>
      </c>
      <c r="D1481" t="s">
        <v>4021</v>
      </c>
    </row>
    <row r="1482" spans="1:4" x14ac:dyDescent="0.3">
      <c r="A1482">
        <v>1013662799</v>
      </c>
      <c r="B1482" t="s">
        <v>3965</v>
      </c>
      <c r="C1482" t="s">
        <v>3934</v>
      </c>
      <c r="D1482" t="s">
        <v>4021</v>
      </c>
    </row>
    <row r="1483" spans="1:4" x14ac:dyDescent="0.3">
      <c r="A1483">
        <v>1013662799</v>
      </c>
      <c r="B1483" t="s">
        <v>3965</v>
      </c>
      <c r="C1483" t="s">
        <v>3934</v>
      </c>
      <c r="D1483" t="s">
        <v>4021</v>
      </c>
    </row>
    <row r="1484" spans="1:4" x14ac:dyDescent="0.3">
      <c r="A1484">
        <v>1013662799</v>
      </c>
      <c r="B1484" t="s">
        <v>3965</v>
      </c>
      <c r="C1484" t="s">
        <v>3934</v>
      </c>
      <c r="D1484" t="s">
        <v>4021</v>
      </c>
    </row>
    <row r="1485" spans="1:4" x14ac:dyDescent="0.3">
      <c r="A1485">
        <v>1013662799</v>
      </c>
      <c r="B1485" t="s">
        <v>3965</v>
      </c>
      <c r="C1485" t="s">
        <v>3934</v>
      </c>
      <c r="D1485" t="s">
        <v>4021</v>
      </c>
    </row>
    <row r="1486" spans="1:4" x14ac:dyDescent="0.3">
      <c r="A1486">
        <v>1013662799</v>
      </c>
      <c r="B1486" t="s">
        <v>3965</v>
      </c>
      <c r="C1486" t="s">
        <v>3934</v>
      </c>
      <c r="D1486" t="s">
        <v>4021</v>
      </c>
    </row>
    <row r="1487" spans="1:4" x14ac:dyDescent="0.3">
      <c r="A1487">
        <v>1013662799</v>
      </c>
      <c r="B1487" t="s">
        <v>3965</v>
      </c>
      <c r="C1487" t="s">
        <v>3934</v>
      </c>
      <c r="D1487" t="s">
        <v>4021</v>
      </c>
    </row>
    <row r="1488" spans="1:4" x14ac:dyDescent="0.3">
      <c r="A1488">
        <v>1013662799</v>
      </c>
      <c r="B1488" t="s">
        <v>3965</v>
      </c>
      <c r="C1488" t="s">
        <v>3934</v>
      </c>
      <c r="D1488" t="s">
        <v>4021</v>
      </c>
    </row>
    <row r="1489" spans="1:4" x14ac:dyDescent="0.3">
      <c r="A1489">
        <v>1013662799</v>
      </c>
      <c r="B1489" t="s">
        <v>3965</v>
      </c>
      <c r="C1489" t="s">
        <v>3934</v>
      </c>
      <c r="D1489" t="s">
        <v>4021</v>
      </c>
    </row>
    <row r="1490" spans="1:4" x14ac:dyDescent="0.3">
      <c r="A1490">
        <v>1013662799</v>
      </c>
      <c r="B1490" t="s">
        <v>3965</v>
      </c>
      <c r="C1490" t="s">
        <v>3934</v>
      </c>
      <c r="D1490" t="s">
        <v>4021</v>
      </c>
    </row>
    <row r="1491" spans="1:4" x14ac:dyDescent="0.3">
      <c r="A1491">
        <v>1013662799</v>
      </c>
      <c r="B1491" t="s">
        <v>3965</v>
      </c>
      <c r="C1491" t="s">
        <v>3934</v>
      </c>
      <c r="D1491" t="s">
        <v>4021</v>
      </c>
    </row>
    <row r="1492" spans="1:4" x14ac:dyDescent="0.3">
      <c r="A1492">
        <v>1013662799</v>
      </c>
      <c r="B1492" t="s">
        <v>3965</v>
      </c>
      <c r="C1492" t="s">
        <v>3934</v>
      </c>
      <c r="D1492" t="s">
        <v>4021</v>
      </c>
    </row>
    <row r="1493" spans="1:4" x14ac:dyDescent="0.3">
      <c r="A1493">
        <v>1013662799</v>
      </c>
      <c r="B1493" t="s">
        <v>3965</v>
      </c>
      <c r="C1493" t="s">
        <v>3934</v>
      </c>
      <c r="D1493" t="s">
        <v>4021</v>
      </c>
    </row>
    <row r="1494" spans="1:4" x14ac:dyDescent="0.3">
      <c r="A1494">
        <v>1013662799</v>
      </c>
      <c r="B1494" t="s">
        <v>3965</v>
      </c>
      <c r="C1494" t="s">
        <v>3934</v>
      </c>
      <c r="D1494" t="s">
        <v>4021</v>
      </c>
    </row>
    <row r="1495" spans="1:4" x14ac:dyDescent="0.3">
      <c r="A1495">
        <v>1013662799</v>
      </c>
      <c r="B1495" t="s">
        <v>3965</v>
      </c>
      <c r="C1495" t="s">
        <v>3934</v>
      </c>
      <c r="D1495" t="s">
        <v>4021</v>
      </c>
    </row>
    <row r="1496" spans="1:4" x14ac:dyDescent="0.3">
      <c r="A1496">
        <v>1013662799</v>
      </c>
      <c r="B1496" t="s">
        <v>3965</v>
      </c>
      <c r="C1496" t="s">
        <v>3934</v>
      </c>
      <c r="D1496" t="s">
        <v>4021</v>
      </c>
    </row>
    <row r="1497" spans="1:4" x14ac:dyDescent="0.3">
      <c r="A1497">
        <v>1013687925</v>
      </c>
      <c r="B1497" t="s">
        <v>3933</v>
      </c>
      <c r="C1497" t="s">
        <v>3934</v>
      </c>
      <c r="D1497" t="s">
        <v>3959</v>
      </c>
    </row>
    <row r="1498" spans="1:4" x14ac:dyDescent="0.3">
      <c r="A1498">
        <v>1013687925</v>
      </c>
      <c r="B1498" t="s">
        <v>3933</v>
      </c>
      <c r="C1498" t="s">
        <v>3934</v>
      </c>
      <c r="D1498" t="s">
        <v>3959</v>
      </c>
    </row>
    <row r="1499" spans="1:4" x14ac:dyDescent="0.3">
      <c r="A1499">
        <v>1013687925</v>
      </c>
      <c r="B1499" t="s">
        <v>3933</v>
      </c>
      <c r="C1499" t="s">
        <v>3934</v>
      </c>
      <c r="D1499" t="s">
        <v>3959</v>
      </c>
    </row>
    <row r="1500" spans="1:4" x14ac:dyDescent="0.3">
      <c r="A1500">
        <v>1013687925</v>
      </c>
      <c r="B1500" t="s">
        <v>3933</v>
      </c>
      <c r="C1500" t="s">
        <v>3934</v>
      </c>
      <c r="D1500" t="s">
        <v>3959</v>
      </c>
    </row>
    <row r="1501" spans="1:4" x14ac:dyDescent="0.3">
      <c r="A1501">
        <v>1013687925</v>
      </c>
      <c r="B1501" t="s">
        <v>3933</v>
      </c>
      <c r="C1501" t="s">
        <v>3934</v>
      </c>
      <c r="D1501" t="s">
        <v>3959</v>
      </c>
    </row>
    <row r="1502" spans="1:4" x14ac:dyDescent="0.3">
      <c r="A1502">
        <v>1013687925</v>
      </c>
      <c r="B1502" t="s">
        <v>3933</v>
      </c>
      <c r="C1502" t="s">
        <v>3934</v>
      </c>
      <c r="D1502" t="s">
        <v>3959</v>
      </c>
    </row>
    <row r="1503" spans="1:4" x14ac:dyDescent="0.3">
      <c r="A1503">
        <v>1013687925</v>
      </c>
      <c r="B1503" t="s">
        <v>3933</v>
      </c>
      <c r="C1503" t="s">
        <v>3934</v>
      </c>
      <c r="D1503" t="s">
        <v>3959</v>
      </c>
    </row>
    <row r="1504" spans="1:4" x14ac:dyDescent="0.3">
      <c r="A1504">
        <v>1013687925</v>
      </c>
      <c r="B1504" t="s">
        <v>3933</v>
      </c>
      <c r="C1504" t="s">
        <v>3934</v>
      </c>
      <c r="D1504" t="s">
        <v>3959</v>
      </c>
    </row>
    <row r="1505" spans="1:4" x14ac:dyDescent="0.3">
      <c r="A1505">
        <v>1013687925</v>
      </c>
      <c r="B1505" t="s">
        <v>3933</v>
      </c>
      <c r="C1505" t="s">
        <v>3934</v>
      </c>
      <c r="D1505" t="s">
        <v>3959</v>
      </c>
    </row>
    <row r="1506" spans="1:4" x14ac:dyDescent="0.3">
      <c r="A1506">
        <v>1013687925</v>
      </c>
      <c r="B1506" t="s">
        <v>3933</v>
      </c>
      <c r="C1506" t="s">
        <v>3934</v>
      </c>
      <c r="D1506" t="s">
        <v>3959</v>
      </c>
    </row>
    <row r="1507" spans="1:4" x14ac:dyDescent="0.3">
      <c r="A1507">
        <v>1013687925</v>
      </c>
      <c r="B1507" t="s">
        <v>3933</v>
      </c>
      <c r="C1507" t="s">
        <v>3934</v>
      </c>
      <c r="D1507" t="s">
        <v>3959</v>
      </c>
    </row>
    <row r="1508" spans="1:4" x14ac:dyDescent="0.3">
      <c r="A1508">
        <v>1013687925</v>
      </c>
      <c r="B1508" t="s">
        <v>3933</v>
      </c>
      <c r="C1508" t="s">
        <v>3934</v>
      </c>
      <c r="D1508" t="s">
        <v>3959</v>
      </c>
    </row>
    <row r="1509" spans="1:4" x14ac:dyDescent="0.3">
      <c r="A1509">
        <v>1013687925</v>
      </c>
      <c r="B1509" t="s">
        <v>3933</v>
      </c>
      <c r="C1509" t="s">
        <v>3934</v>
      </c>
      <c r="D1509" t="s">
        <v>3959</v>
      </c>
    </row>
    <row r="1510" spans="1:4" x14ac:dyDescent="0.3">
      <c r="A1510">
        <v>1013687925</v>
      </c>
      <c r="B1510" t="s">
        <v>3933</v>
      </c>
      <c r="C1510" t="s">
        <v>3934</v>
      </c>
      <c r="D1510" t="s">
        <v>3959</v>
      </c>
    </row>
    <row r="1511" spans="1:4" x14ac:dyDescent="0.3">
      <c r="A1511">
        <v>1013687925</v>
      </c>
      <c r="B1511" t="s">
        <v>3933</v>
      </c>
      <c r="C1511" t="s">
        <v>3934</v>
      </c>
      <c r="D1511" t="s">
        <v>3959</v>
      </c>
    </row>
    <row r="1512" spans="1:4" x14ac:dyDescent="0.3">
      <c r="A1512">
        <v>1013687925</v>
      </c>
      <c r="B1512" t="s">
        <v>3933</v>
      </c>
      <c r="C1512" t="s">
        <v>3934</v>
      </c>
      <c r="D1512" t="s">
        <v>3959</v>
      </c>
    </row>
    <row r="1513" spans="1:4" x14ac:dyDescent="0.3">
      <c r="A1513">
        <v>1013687925</v>
      </c>
      <c r="B1513" t="s">
        <v>3933</v>
      </c>
      <c r="C1513" t="s">
        <v>3934</v>
      </c>
      <c r="D1513" t="s">
        <v>3959</v>
      </c>
    </row>
    <row r="1514" spans="1:4" x14ac:dyDescent="0.3">
      <c r="A1514">
        <v>1013687925</v>
      </c>
      <c r="B1514" t="s">
        <v>3933</v>
      </c>
      <c r="C1514" t="s">
        <v>3934</v>
      </c>
      <c r="D1514" t="s">
        <v>3959</v>
      </c>
    </row>
    <row r="1515" spans="1:4" x14ac:dyDescent="0.3">
      <c r="A1515">
        <v>1013687925</v>
      </c>
      <c r="B1515" t="s">
        <v>3933</v>
      </c>
      <c r="C1515" t="s">
        <v>3934</v>
      </c>
      <c r="D1515" t="s">
        <v>3959</v>
      </c>
    </row>
    <row r="1516" spans="1:4" x14ac:dyDescent="0.3">
      <c r="A1516">
        <v>1014178931</v>
      </c>
      <c r="B1516" t="s">
        <v>3944</v>
      </c>
      <c r="C1516" t="s">
        <v>3934</v>
      </c>
      <c r="D1516" t="s">
        <v>3954</v>
      </c>
    </row>
    <row r="1517" spans="1:4" x14ac:dyDescent="0.3">
      <c r="A1517">
        <v>1014178931</v>
      </c>
      <c r="B1517" t="s">
        <v>3944</v>
      </c>
      <c r="C1517" t="s">
        <v>3934</v>
      </c>
      <c r="D1517" t="s">
        <v>3954</v>
      </c>
    </row>
    <row r="1518" spans="1:4" x14ac:dyDescent="0.3">
      <c r="A1518">
        <v>1014273794</v>
      </c>
      <c r="B1518" t="s">
        <v>3939</v>
      </c>
      <c r="C1518" t="s">
        <v>3934</v>
      </c>
      <c r="D1518" t="s">
        <v>4004</v>
      </c>
    </row>
    <row r="1519" spans="1:4" x14ac:dyDescent="0.3">
      <c r="A1519">
        <v>1014273794</v>
      </c>
      <c r="B1519" t="s">
        <v>3939</v>
      </c>
      <c r="C1519" t="s">
        <v>3934</v>
      </c>
      <c r="D1519" t="s">
        <v>4004</v>
      </c>
    </row>
    <row r="1520" spans="1:4" x14ac:dyDescent="0.3">
      <c r="A1520">
        <v>1014273794</v>
      </c>
      <c r="B1520" t="s">
        <v>3939</v>
      </c>
      <c r="C1520" t="s">
        <v>3934</v>
      </c>
      <c r="D1520" t="s">
        <v>4004</v>
      </c>
    </row>
    <row r="1521" spans="1:4" x14ac:dyDescent="0.3">
      <c r="A1521">
        <v>1014273794</v>
      </c>
      <c r="B1521" t="s">
        <v>3939</v>
      </c>
      <c r="C1521" t="s">
        <v>3934</v>
      </c>
      <c r="D1521" t="s">
        <v>4004</v>
      </c>
    </row>
    <row r="1522" spans="1:4" x14ac:dyDescent="0.3">
      <c r="A1522">
        <v>1014273794</v>
      </c>
      <c r="B1522" t="s">
        <v>3939</v>
      </c>
      <c r="C1522" t="s">
        <v>3934</v>
      </c>
      <c r="D1522" t="s">
        <v>4004</v>
      </c>
    </row>
    <row r="1523" spans="1:4" x14ac:dyDescent="0.3">
      <c r="A1523">
        <v>1014273794</v>
      </c>
      <c r="B1523" t="s">
        <v>3939</v>
      </c>
      <c r="C1523" t="s">
        <v>3934</v>
      </c>
      <c r="D1523" t="s">
        <v>4004</v>
      </c>
    </row>
    <row r="1524" spans="1:4" x14ac:dyDescent="0.3">
      <c r="A1524">
        <v>1014273794</v>
      </c>
      <c r="B1524" t="s">
        <v>3939</v>
      </c>
      <c r="C1524" t="s">
        <v>3934</v>
      </c>
      <c r="D1524" t="s">
        <v>4004</v>
      </c>
    </row>
    <row r="1525" spans="1:4" x14ac:dyDescent="0.3">
      <c r="A1525">
        <v>1014273794</v>
      </c>
      <c r="B1525" t="s">
        <v>3939</v>
      </c>
      <c r="C1525" t="s">
        <v>3934</v>
      </c>
      <c r="D1525" t="s">
        <v>4004</v>
      </c>
    </row>
    <row r="1526" spans="1:4" x14ac:dyDescent="0.3">
      <c r="A1526">
        <v>1014273794</v>
      </c>
      <c r="B1526" t="s">
        <v>3939</v>
      </c>
      <c r="C1526" t="s">
        <v>3934</v>
      </c>
      <c r="D1526" t="s">
        <v>4004</v>
      </c>
    </row>
    <row r="1527" spans="1:4" x14ac:dyDescent="0.3">
      <c r="A1527">
        <v>1014273794</v>
      </c>
      <c r="B1527" t="s">
        <v>3939</v>
      </c>
      <c r="C1527" t="s">
        <v>3934</v>
      </c>
      <c r="D1527" t="s">
        <v>4004</v>
      </c>
    </row>
    <row r="1528" spans="1:4" x14ac:dyDescent="0.3">
      <c r="A1528">
        <v>1014273794</v>
      </c>
      <c r="B1528" t="s">
        <v>3939</v>
      </c>
      <c r="C1528" t="s">
        <v>3934</v>
      </c>
      <c r="D1528" t="s">
        <v>4004</v>
      </c>
    </row>
    <row r="1529" spans="1:4" x14ac:dyDescent="0.3">
      <c r="A1529">
        <v>1014273794</v>
      </c>
      <c r="B1529" t="s">
        <v>3939</v>
      </c>
      <c r="C1529" t="s">
        <v>3934</v>
      </c>
      <c r="D1529" t="s">
        <v>4004</v>
      </c>
    </row>
    <row r="1530" spans="1:4" x14ac:dyDescent="0.3">
      <c r="A1530">
        <v>1014273794</v>
      </c>
      <c r="B1530" t="s">
        <v>3939</v>
      </c>
      <c r="C1530" t="s">
        <v>3934</v>
      </c>
      <c r="D1530" t="s">
        <v>4004</v>
      </c>
    </row>
    <row r="1531" spans="1:4" x14ac:dyDescent="0.3">
      <c r="A1531">
        <v>1014273794</v>
      </c>
      <c r="B1531" t="s">
        <v>3939</v>
      </c>
      <c r="C1531" t="s">
        <v>3934</v>
      </c>
      <c r="D1531" t="s">
        <v>4004</v>
      </c>
    </row>
    <row r="1532" spans="1:4" x14ac:dyDescent="0.3">
      <c r="A1532">
        <v>1014273794</v>
      </c>
      <c r="B1532" t="s">
        <v>3939</v>
      </c>
      <c r="C1532" t="s">
        <v>3934</v>
      </c>
      <c r="D1532" t="s">
        <v>4004</v>
      </c>
    </row>
    <row r="1533" spans="1:4" x14ac:dyDescent="0.3">
      <c r="A1533">
        <v>1014273794</v>
      </c>
      <c r="B1533" t="s">
        <v>3939</v>
      </c>
      <c r="C1533" t="s">
        <v>3934</v>
      </c>
      <c r="D1533" t="s">
        <v>4004</v>
      </c>
    </row>
    <row r="1534" spans="1:4" x14ac:dyDescent="0.3">
      <c r="A1534">
        <v>1014273794</v>
      </c>
      <c r="B1534" t="s">
        <v>3939</v>
      </c>
      <c r="C1534" t="s">
        <v>3934</v>
      </c>
      <c r="D1534" t="s">
        <v>4004</v>
      </c>
    </row>
    <row r="1535" spans="1:4" x14ac:dyDescent="0.3">
      <c r="A1535">
        <v>1014283217</v>
      </c>
      <c r="B1535" t="s">
        <v>3963</v>
      </c>
      <c r="C1535" t="s">
        <v>3934</v>
      </c>
      <c r="D1535" t="s">
        <v>4023</v>
      </c>
    </row>
    <row r="1536" spans="1:4" x14ac:dyDescent="0.3">
      <c r="A1536">
        <v>1014283217</v>
      </c>
      <c r="B1536" t="s">
        <v>3963</v>
      </c>
      <c r="C1536" t="s">
        <v>3934</v>
      </c>
      <c r="D1536" t="s">
        <v>4023</v>
      </c>
    </row>
    <row r="1537" spans="1:4" x14ac:dyDescent="0.3">
      <c r="A1537">
        <v>1014283217</v>
      </c>
      <c r="B1537" t="s">
        <v>3963</v>
      </c>
      <c r="C1537" t="s">
        <v>3934</v>
      </c>
      <c r="D1537" t="s">
        <v>4023</v>
      </c>
    </row>
    <row r="1538" spans="1:4" x14ac:dyDescent="0.3">
      <c r="A1538">
        <v>1014283217</v>
      </c>
      <c r="B1538" t="s">
        <v>3963</v>
      </c>
      <c r="C1538" t="s">
        <v>3934</v>
      </c>
      <c r="D1538" t="s">
        <v>4023</v>
      </c>
    </row>
    <row r="1539" spans="1:4" x14ac:dyDescent="0.3">
      <c r="A1539">
        <v>1014283217</v>
      </c>
      <c r="B1539" t="s">
        <v>3963</v>
      </c>
      <c r="C1539" t="s">
        <v>3934</v>
      </c>
      <c r="D1539" t="s">
        <v>4023</v>
      </c>
    </row>
    <row r="1540" spans="1:4" x14ac:dyDescent="0.3">
      <c r="A1540">
        <v>1014283217</v>
      </c>
      <c r="B1540" t="s">
        <v>3963</v>
      </c>
      <c r="C1540" t="s">
        <v>3934</v>
      </c>
      <c r="D1540" t="s">
        <v>4023</v>
      </c>
    </row>
    <row r="1541" spans="1:4" x14ac:dyDescent="0.3">
      <c r="A1541">
        <v>1014283217</v>
      </c>
      <c r="B1541" t="s">
        <v>3963</v>
      </c>
      <c r="C1541" t="s">
        <v>3934</v>
      </c>
      <c r="D1541" t="s">
        <v>4023</v>
      </c>
    </row>
    <row r="1542" spans="1:4" x14ac:dyDescent="0.3">
      <c r="A1542">
        <v>1014283217</v>
      </c>
      <c r="B1542" t="s">
        <v>3963</v>
      </c>
      <c r="C1542" t="s">
        <v>3934</v>
      </c>
      <c r="D1542" t="s">
        <v>4023</v>
      </c>
    </row>
    <row r="1543" spans="1:4" x14ac:dyDescent="0.3">
      <c r="A1543">
        <v>1014283217</v>
      </c>
      <c r="B1543" t="s">
        <v>3963</v>
      </c>
      <c r="C1543" t="s">
        <v>3934</v>
      </c>
      <c r="D1543" t="s">
        <v>4023</v>
      </c>
    </row>
    <row r="1544" spans="1:4" x14ac:dyDescent="0.3">
      <c r="A1544">
        <v>1014283217</v>
      </c>
      <c r="B1544" t="s">
        <v>3963</v>
      </c>
      <c r="C1544" t="s">
        <v>3934</v>
      </c>
      <c r="D1544" t="s">
        <v>4023</v>
      </c>
    </row>
    <row r="1545" spans="1:4" x14ac:dyDescent="0.3">
      <c r="A1545">
        <v>1014283217</v>
      </c>
      <c r="B1545" t="s">
        <v>3963</v>
      </c>
      <c r="C1545" t="s">
        <v>3934</v>
      </c>
      <c r="D1545" t="s">
        <v>4023</v>
      </c>
    </row>
    <row r="1546" spans="1:4" x14ac:dyDescent="0.3">
      <c r="A1546">
        <v>1014283217</v>
      </c>
      <c r="B1546" t="s">
        <v>3963</v>
      </c>
      <c r="C1546" t="s">
        <v>3934</v>
      </c>
      <c r="D1546" t="s">
        <v>4023</v>
      </c>
    </row>
    <row r="1547" spans="1:4" x14ac:dyDescent="0.3">
      <c r="A1547">
        <v>1014283217</v>
      </c>
      <c r="B1547" t="s">
        <v>3963</v>
      </c>
      <c r="C1547" t="s">
        <v>3934</v>
      </c>
      <c r="D1547" t="s">
        <v>4023</v>
      </c>
    </row>
    <row r="1548" spans="1:4" x14ac:dyDescent="0.3">
      <c r="A1548">
        <v>1014283217</v>
      </c>
      <c r="B1548" t="s">
        <v>3963</v>
      </c>
      <c r="C1548" t="s">
        <v>3934</v>
      </c>
      <c r="D1548" t="s">
        <v>4023</v>
      </c>
    </row>
    <row r="1549" spans="1:4" x14ac:dyDescent="0.3">
      <c r="A1549">
        <v>1014283217</v>
      </c>
      <c r="B1549" t="s">
        <v>3963</v>
      </c>
      <c r="C1549" t="s">
        <v>3934</v>
      </c>
      <c r="D1549" t="s">
        <v>4023</v>
      </c>
    </row>
    <row r="1550" spans="1:4" x14ac:dyDescent="0.3">
      <c r="A1550">
        <v>1014283217</v>
      </c>
      <c r="B1550" t="s">
        <v>3963</v>
      </c>
      <c r="C1550" t="s">
        <v>3934</v>
      </c>
      <c r="D1550" t="s">
        <v>4023</v>
      </c>
    </row>
    <row r="1551" spans="1:4" x14ac:dyDescent="0.3">
      <c r="A1551">
        <v>1014283217</v>
      </c>
      <c r="B1551" t="s">
        <v>3963</v>
      </c>
      <c r="C1551" t="s">
        <v>3934</v>
      </c>
      <c r="D1551" t="s">
        <v>4023</v>
      </c>
    </row>
    <row r="1552" spans="1:4" x14ac:dyDescent="0.3">
      <c r="A1552">
        <v>1014283217</v>
      </c>
      <c r="B1552" t="s">
        <v>3963</v>
      </c>
      <c r="C1552" t="s">
        <v>3934</v>
      </c>
      <c r="D1552" t="s">
        <v>4023</v>
      </c>
    </row>
    <row r="1553" spans="1:4" x14ac:dyDescent="0.3">
      <c r="A1553">
        <v>1014283217</v>
      </c>
      <c r="B1553" t="s">
        <v>3963</v>
      </c>
      <c r="C1553" t="s">
        <v>3934</v>
      </c>
      <c r="D1553" t="s">
        <v>4023</v>
      </c>
    </row>
    <row r="1554" spans="1:4" x14ac:dyDescent="0.3">
      <c r="A1554">
        <v>1014283217</v>
      </c>
      <c r="B1554" t="s">
        <v>3963</v>
      </c>
      <c r="C1554" t="s">
        <v>3934</v>
      </c>
      <c r="D1554" t="s">
        <v>4023</v>
      </c>
    </row>
    <row r="1555" spans="1:4" x14ac:dyDescent="0.3">
      <c r="A1555">
        <v>1014283217</v>
      </c>
      <c r="B1555" t="s">
        <v>3963</v>
      </c>
      <c r="C1555" t="s">
        <v>3934</v>
      </c>
      <c r="D1555" t="s">
        <v>4023</v>
      </c>
    </row>
    <row r="1556" spans="1:4" x14ac:dyDescent="0.3">
      <c r="A1556">
        <v>1014285426</v>
      </c>
      <c r="B1556" t="s">
        <v>4055</v>
      </c>
      <c r="C1556" t="s">
        <v>4056</v>
      </c>
      <c r="D1556" t="s">
        <v>4081</v>
      </c>
    </row>
    <row r="1557" spans="1:4" x14ac:dyDescent="0.3">
      <c r="A1557">
        <v>1014285426</v>
      </c>
      <c r="B1557" t="s">
        <v>4055</v>
      </c>
      <c r="C1557" t="s">
        <v>4056</v>
      </c>
      <c r="D1557" t="s">
        <v>4081</v>
      </c>
    </row>
    <row r="1558" spans="1:4" x14ac:dyDescent="0.3">
      <c r="A1558">
        <v>1014285426</v>
      </c>
      <c r="B1558" t="s">
        <v>4055</v>
      </c>
      <c r="C1558" t="s">
        <v>4056</v>
      </c>
      <c r="D1558" t="s">
        <v>4081</v>
      </c>
    </row>
    <row r="1559" spans="1:4" x14ac:dyDescent="0.3">
      <c r="A1559">
        <v>1014285426</v>
      </c>
      <c r="B1559" t="s">
        <v>4055</v>
      </c>
      <c r="C1559" t="s">
        <v>4056</v>
      </c>
      <c r="D1559" t="s">
        <v>4081</v>
      </c>
    </row>
    <row r="1560" spans="1:4" x14ac:dyDescent="0.3">
      <c r="A1560">
        <v>1014285873</v>
      </c>
      <c r="B1560" t="s">
        <v>3948</v>
      </c>
      <c r="C1560" t="s">
        <v>3937</v>
      </c>
      <c r="D1560" t="s">
        <v>3953</v>
      </c>
    </row>
    <row r="1561" spans="1:4" x14ac:dyDescent="0.3">
      <c r="A1561">
        <v>1014285873</v>
      </c>
      <c r="B1561" t="s">
        <v>3948</v>
      </c>
      <c r="C1561" t="s">
        <v>3937</v>
      </c>
      <c r="D1561" t="s">
        <v>3953</v>
      </c>
    </row>
    <row r="1562" spans="1:4" x14ac:dyDescent="0.3">
      <c r="A1562">
        <v>1014285873</v>
      </c>
      <c r="B1562" t="s">
        <v>3948</v>
      </c>
      <c r="C1562" t="s">
        <v>3937</v>
      </c>
      <c r="D1562" t="s">
        <v>3953</v>
      </c>
    </row>
    <row r="1563" spans="1:4" x14ac:dyDescent="0.3">
      <c r="A1563">
        <v>1014285873</v>
      </c>
      <c r="B1563" t="s">
        <v>3948</v>
      </c>
      <c r="C1563" t="s">
        <v>3937</v>
      </c>
      <c r="D1563" t="s">
        <v>3953</v>
      </c>
    </row>
    <row r="1564" spans="1:4" x14ac:dyDescent="0.3">
      <c r="A1564">
        <v>1014285873</v>
      </c>
      <c r="B1564" t="s">
        <v>3948</v>
      </c>
      <c r="C1564" t="s">
        <v>3937</v>
      </c>
      <c r="D1564" t="s">
        <v>3953</v>
      </c>
    </row>
    <row r="1565" spans="1:4" x14ac:dyDescent="0.3">
      <c r="A1565">
        <v>1014285873</v>
      </c>
      <c r="B1565" t="s">
        <v>3948</v>
      </c>
      <c r="C1565" t="s">
        <v>3937</v>
      </c>
      <c r="D1565" t="s">
        <v>3953</v>
      </c>
    </row>
    <row r="1566" spans="1:4" x14ac:dyDescent="0.3">
      <c r="A1566">
        <v>1014285873</v>
      </c>
      <c r="B1566" t="s">
        <v>3948</v>
      </c>
      <c r="C1566" t="s">
        <v>3937</v>
      </c>
      <c r="D1566" t="s">
        <v>3953</v>
      </c>
    </row>
    <row r="1567" spans="1:4" x14ac:dyDescent="0.3">
      <c r="A1567">
        <v>1014285873</v>
      </c>
      <c r="B1567" t="s">
        <v>3948</v>
      </c>
      <c r="C1567" t="s">
        <v>3937</v>
      </c>
      <c r="D1567" t="s">
        <v>3953</v>
      </c>
    </row>
    <row r="1568" spans="1:4" x14ac:dyDescent="0.3">
      <c r="A1568">
        <v>1014285873</v>
      </c>
      <c r="B1568" t="s">
        <v>3948</v>
      </c>
      <c r="C1568" t="s">
        <v>3937</v>
      </c>
      <c r="D1568" t="s">
        <v>3953</v>
      </c>
    </row>
    <row r="1569" spans="1:4" x14ac:dyDescent="0.3">
      <c r="A1569">
        <v>1014285873</v>
      </c>
      <c r="B1569" t="s">
        <v>3948</v>
      </c>
      <c r="C1569" t="s">
        <v>3937</v>
      </c>
      <c r="D1569" t="s">
        <v>3953</v>
      </c>
    </row>
    <row r="1570" spans="1:4" x14ac:dyDescent="0.3">
      <c r="A1570">
        <v>1014285873</v>
      </c>
      <c r="B1570" t="s">
        <v>3948</v>
      </c>
      <c r="C1570" t="s">
        <v>3937</v>
      </c>
      <c r="D1570" t="s">
        <v>3953</v>
      </c>
    </row>
    <row r="1571" spans="1:4" x14ac:dyDescent="0.3">
      <c r="A1571">
        <v>1014285873</v>
      </c>
      <c r="B1571" t="s">
        <v>3948</v>
      </c>
      <c r="C1571" t="s">
        <v>3937</v>
      </c>
      <c r="D1571" t="s">
        <v>3953</v>
      </c>
    </row>
    <row r="1572" spans="1:4" x14ac:dyDescent="0.3">
      <c r="A1572">
        <v>1014285873</v>
      </c>
      <c r="B1572" t="s">
        <v>3948</v>
      </c>
      <c r="C1572" t="s">
        <v>3937</v>
      </c>
      <c r="D1572" t="s">
        <v>3953</v>
      </c>
    </row>
    <row r="1573" spans="1:4" x14ac:dyDescent="0.3">
      <c r="A1573">
        <v>1014285873</v>
      </c>
      <c r="B1573" t="s">
        <v>3948</v>
      </c>
      <c r="C1573" t="s">
        <v>3937</v>
      </c>
      <c r="D1573" t="s">
        <v>3953</v>
      </c>
    </row>
    <row r="1574" spans="1:4" x14ac:dyDescent="0.3">
      <c r="A1574">
        <v>1014285873</v>
      </c>
      <c r="B1574" t="s">
        <v>3948</v>
      </c>
      <c r="C1574" t="s">
        <v>3937</v>
      </c>
      <c r="D1574" t="s">
        <v>3953</v>
      </c>
    </row>
    <row r="1575" spans="1:4" x14ac:dyDescent="0.3">
      <c r="A1575">
        <v>1014285873</v>
      </c>
      <c r="B1575" t="s">
        <v>3948</v>
      </c>
      <c r="C1575" t="s">
        <v>3937</v>
      </c>
      <c r="D1575" t="s">
        <v>3953</v>
      </c>
    </row>
    <row r="1576" spans="1:4" x14ac:dyDescent="0.3">
      <c r="A1576">
        <v>1014285873</v>
      </c>
      <c r="B1576" t="s">
        <v>3948</v>
      </c>
      <c r="C1576" t="s">
        <v>3937</v>
      </c>
      <c r="D1576" t="s">
        <v>3953</v>
      </c>
    </row>
    <row r="1577" spans="1:4" x14ac:dyDescent="0.3">
      <c r="A1577">
        <v>1014285873</v>
      </c>
      <c r="B1577" t="s">
        <v>3948</v>
      </c>
      <c r="C1577" t="s">
        <v>3937</v>
      </c>
      <c r="D1577" t="s">
        <v>3953</v>
      </c>
    </row>
    <row r="1578" spans="1:4" x14ac:dyDescent="0.3">
      <c r="A1578">
        <v>1014285873</v>
      </c>
      <c r="B1578" t="s">
        <v>3948</v>
      </c>
      <c r="C1578" t="s">
        <v>3937</v>
      </c>
      <c r="D1578" t="s">
        <v>3953</v>
      </c>
    </row>
    <row r="1579" spans="1:4" x14ac:dyDescent="0.3">
      <c r="A1579">
        <v>1014285873</v>
      </c>
      <c r="B1579" t="s">
        <v>3948</v>
      </c>
      <c r="C1579" t="s">
        <v>3937</v>
      </c>
      <c r="D1579" t="s">
        <v>3953</v>
      </c>
    </row>
    <row r="1580" spans="1:4" x14ac:dyDescent="0.3">
      <c r="A1580">
        <v>1014285873</v>
      </c>
      <c r="B1580" t="s">
        <v>3948</v>
      </c>
      <c r="C1580" t="s">
        <v>3937</v>
      </c>
      <c r="D1580" t="s">
        <v>3953</v>
      </c>
    </row>
    <row r="1581" spans="1:4" x14ac:dyDescent="0.3">
      <c r="A1581">
        <v>1014285873</v>
      </c>
      <c r="B1581" t="s">
        <v>3948</v>
      </c>
      <c r="C1581" t="s">
        <v>3937</v>
      </c>
      <c r="D1581" t="s">
        <v>3953</v>
      </c>
    </row>
    <row r="1582" spans="1:4" x14ac:dyDescent="0.3">
      <c r="A1582">
        <v>1014285873</v>
      </c>
      <c r="B1582" t="s">
        <v>3948</v>
      </c>
      <c r="C1582" t="s">
        <v>3937</v>
      </c>
      <c r="D1582" t="s">
        <v>3953</v>
      </c>
    </row>
    <row r="1583" spans="1:4" x14ac:dyDescent="0.3">
      <c r="A1583">
        <v>1014285873</v>
      </c>
      <c r="B1583" t="s">
        <v>3948</v>
      </c>
      <c r="C1583" t="s">
        <v>3937</v>
      </c>
      <c r="D1583" t="s">
        <v>3953</v>
      </c>
    </row>
    <row r="1584" spans="1:4" x14ac:dyDescent="0.3">
      <c r="A1584">
        <v>1014285873</v>
      </c>
      <c r="B1584" t="s">
        <v>3948</v>
      </c>
      <c r="C1584" t="s">
        <v>3937</v>
      </c>
      <c r="D1584" t="s">
        <v>3953</v>
      </c>
    </row>
    <row r="1585" spans="1:4" x14ac:dyDescent="0.3">
      <c r="A1585">
        <v>1014285873</v>
      </c>
      <c r="B1585" t="s">
        <v>3948</v>
      </c>
      <c r="C1585" t="s">
        <v>3937</v>
      </c>
      <c r="D1585" t="s">
        <v>3953</v>
      </c>
    </row>
    <row r="1586" spans="1:4" x14ac:dyDescent="0.3">
      <c r="A1586">
        <v>1014285873</v>
      </c>
      <c r="B1586" t="s">
        <v>3948</v>
      </c>
      <c r="C1586" t="s">
        <v>3937</v>
      </c>
      <c r="D1586" t="s">
        <v>3953</v>
      </c>
    </row>
    <row r="1587" spans="1:4" x14ac:dyDescent="0.3">
      <c r="A1587">
        <v>1014285873</v>
      </c>
      <c r="B1587" t="s">
        <v>3948</v>
      </c>
      <c r="C1587" t="s">
        <v>3937</v>
      </c>
      <c r="D1587" t="s">
        <v>3953</v>
      </c>
    </row>
    <row r="1588" spans="1:4" x14ac:dyDescent="0.3">
      <c r="A1588">
        <v>1014285873</v>
      </c>
      <c r="B1588" t="s">
        <v>3948</v>
      </c>
      <c r="C1588" t="s">
        <v>3937</v>
      </c>
      <c r="D1588" t="s">
        <v>3953</v>
      </c>
    </row>
    <row r="1589" spans="1:4" x14ac:dyDescent="0.3">
      <c r="A1589">
        <v>1014285873</v>
      </c>
      <c r="B1589" t="s">
        <v>3948</v>
      </c>
      <c r="C1589" t="s">
        <v>3937</v>
      </c>
      <c r="D1589" t="s">
        <v>3953</v>
      </c>
    </row>
    <row r="1590" spans="1:4" x14ac:dyDescent="0.3">
      <c r="A1590">
        <v>1014285873</v>
      </c>
      <c r="B1590" t="s">
        <v>3948</v>
      </c>
      <c r="C1590" t="s">
        <v>3937</v>
      </c>
      <c r="D1590" t="s">
        <v>3953</v>
      </c>
    </row>
    <row r="1591" spans="1:4" x14ac:dyDescent="0.3">
      <c r="A1591">
        <v>1014285873</v>
      </c>
      <c r="B1591" t="s">
        <v>3948</v>
      </c>
      <c r="C1591" t="s">
        <v>3937</v>
      </c>
      <c r="D1591" t="s">
        <v>3953</v>
      </c>
    </row>
    <row r="1592" spans="1:4" x14ac:dyDescent="0.3">
      <c r="A1592">
        <v>1014285873</v>
      </c>
      <c r="B1592" t="s">
        <v>3948</v>
      </c>
      <c r="C1592" t="s">
        <v>3937</v>
      </c>
      <c r="D1592" t="s">
        <v>3953</v>
      </c>
    </row>
    <row r="1593" spans="1:4" x14ac:dyDescent="0.3">
      <c r="A1593">
        <v>1014285873</v>
      </c>
      <c r="B1593" t="s">
        <v>3948</v>
      </c>
      <c r="C1593" t="s">
        <v>3937</v>
      </c>
      <c r="D1593" t="s">
        <v>3953</v>
      </c>
    </row>
    <row r="1594" spans="1:4" x14ac:dyDescent="0.3">
      <c r="A1594">
        <v>1014285873</v>
      </c>
      <c r="B1594" t="s">
        <v>3948</v>
      </c>
      <c r="C1594" t="s">
        <v>3937</v>
      </c>
      <c r="D1594" t="s">
        <v>3953</v>
      </c>
    </row>
    <row r="1595" spans="1:4" x14ac:dyDescent="0.3">
      <c r="A1595">
        <v>1014285873</v>
      </c>
      <c r="B1595" t="s">
        <v>3948</v>
      </c>
      <c r="C1595" t="s">
        <v>3937</v>
      </c>
      <c r="D1595" t="s">
        <v>3953</v>
      </c>
    </row>
    <row r="1596" spans="1:4" x14ac:dyDescent="0.3">
      <c r="A1596">
        <v>1014285873</v>
      </c>
      <c r="B1596" t="s">
        <v>3948</v>
      </c>
      <c r="C1596" t="s">
        <v>3937</v>
      </c>
      <c r="D1596" t="s">
        <v>3953</v>
      </c>
    </row>
    <row r="1597" spans="1:4" x14ac:dyDescent="0.3">
      <c r="A1597">
        <v>1014285873</v>
      </c>
      <c r="B1597" t="s">
        <v>3948</v>
      </c>
      <c r="C1597" t="s">
        <v>3937</v>
      </c>
      <c r="D1597" t="s">
        <v>3953</v>
      </c>
    </row>
    <row r="1598" spans="1:4" x14ac:dyDescent="0.3">
      <c r="A1598">
        <v>1014285873</v>
      </c>
      <c r="B1598" t="s">
        <v>3948</v>
      </c>
      <c r="C1598" t="s">
        <v>3937</v>
      </c>
      <c r="D1598" t="s">
        <v>3953</v>
      </c>
    </row>
    <row r="1599" spans="1:4" x14ac:dyDescent="0.3">
      <c r="A1599">
        <v>1014285873</v>
      </c>
      <c r="B1599" t="s">
        <v>3948</v>
      </c>
      <c r="C1599" t="s">
        <v>3937</v>
      </c>
      <c r="D1599" t="s">
        <v>3953</v>
      </c>
    </row>
    <row r="1600" spans="1:4" x14ac:dyDescent="0.3">
      <c r="A1600">
        <v>1014285873</v>
      </c>
      <c r="B1600" t="s">
        <v>3948</v>
      </c>
      <c r="C1600" t="s">
        <v>3937</v>
      </c>
      <c r="D1600" t="s">
        <v>3953</v>
      </c>
    </row>
    <row r="1601" spans="1:4" x14ac:dyDescent="0.3">
      <c r="A1601">
        <v>1014285873</v>
      </c>
      <c r="B1601" t="s">
        <v>3948</v>
      </c>
      <c r="C1601" t="s">
        <v>3937</v>
      </c>
      <c r="D1601" t="s">
        <v>3953</v>
      </c>
    </row>
    <row r="1602" spans="1:4" x14ac:dyDescent="0.3">
      <c r="A1602">
        <v>1014285873</v>
      </c>
      <c r="B1602" t="s">
        <v>3948</v>
      </c>
      <c r="C1602" t="s">
        <v>3937</v>
      </c>
      <c r="D1602" t="s">
        <v>3953</v>
      </c>
    </row>
    <row r="1603" spans="1:4" x14ac:dyDescent="0.3">
      <c r="A1603">
        <v>1014285873</v>
      </c>
      <c r="B1603" t="s">
        <v>3948</v>
      </c>
      <c r="C1603" t="s">
        <v>3937</v>
      </c>
      <c r="D1603" t="s">
        <v>3953</v>
      </c>
    </row>
    <row r="1604" spans="1:4" x14ac:dyDescent="0.3">
      <c r="A1604">
        <v>1014285873</v>
      </c>
      <c r="B1604" t="s">
        <v>3948</v>
      </c>
      <c r="C1604" t="s">
        <v>3937</v>
      </c>
      <c r="D1604" t="s">
        <v>3953</v>
      </c>
    </row>
    <row r="1605" spans="1:4" x14ac:dyDescent="0.3">
      <c r="A1605">
        <v>1014285873</v>
      </c>
      <c r="B1605" t="s">
        <v>3948</v>
      </c>
      <c r="C1605" t="s">
        <v>3937</v>
      </c>
      <c r="D1605" t="s">
        <v>3953</v>
      </c>
    </row>
    <row r="1606" spans="1:4" x14ac:dyDescent="0.3">
      <c r="A1606">
        <v>1014285873</v>
      </c>
      <c r="B1606" t="s">
        <v>3948</v>
      </c>
      <c r="C1606" t="s">
        <v>3937</v>
      </c>
      <c r="D1606" t="s">
        <v>3953</v>
      </c>
    </row>
    <row r="1607" spans="1:4" x14ac:dyDescent="0.3">
      <c r="A1607">
        <v>1014285873</v>
      </c>
      <c r="B1607" t="s">
        <v>3948</v>
      </c>
      <c r="C1607" t="s">
        <v>3937</v>
      </c>
      <c r="D1607" t="s">
        <v>3953</v>
      </c>
    </row>
    <row r="1608" spans="1:4" x14ac:dyDescent="0.3">
      <c r="A1608">
        <v>1014285873</v>
      </c>
      <c r="B1608" t="s">
        <v>3948</v>
      </c>
      <c r="C1608" t="s">
        <v>3937</v>
      </c>
      <c r="D1608" t="s">
        <v>3953</v>
      </c>
    </row>
    <row r="1609" spans="1:4" x14ac:dyDescent="0.3">
      <c r="A1609">
        <v>1014285873</v>
      </c>
      <c r="B1609" t="s">
        <v>3948</v>
      </c>
      <c r="C1609" t="s">
        <v>3937</v>
      </c>
      <c r="D1609" t="s">
        <v>3953</v>
      </c>
    </row>
    <row r="1610" spans="1:4" x14ac:dyDescent="0.3">
      <c r="A1610">
        <v>1014285873</v>
      </c>
      <c r="B1610" t="s">
        <v>3948</v>
      </c>
      <c r="C1610" t="s">
        <v>3937</v>
      </c>
      <c r="D1610" t="s">
        <v>3953</v>
      </c>
    </row>
    <row r="1611" spans="1:4" x14ac:dyDescent="0.3">
      <c r="A1611">
        <v>1014285873</v>
      </c>
      <c r="B1611" t="s">
        <v>3948</v>
      </c>
      <c r="C1611" t="s">
        <v>3937</v>
      </c>
      <c r="D1611" t="s">
        <v>3953</v>
      </c>
    </row>
    <row r="1612" spans="1:4" x14ac:dyDescent="0.3">
      <c r="A1612">
        <v>1014285873</v>
      </c>
      <c r="B1612" t="s">
        <v>3948</v>
      </c>
      <c r="C1612" t="s">
        <v>3937</v>
      </c>
      <c r="D1612" t="s">
        <v>3953</v>
      </c>
    </row>
    <row r="1613" spans="1:4" x14ac:dyDescent="0.3">
      <c r="A1613">
        <v>1014285873</v>
      </c>
      <c r="B1613" t="s">
        <v>3948</v>
      </c>
      <c r="C1613" t="s">
        <v>3937</v>
      </c>
      <c r="D1613" t="s">
        <v>3953</v>
      </c>
    </row>
    <row r="1614" spans="1:4" x14ac:dyDescent="0.3">
      <c r="A1614">
        <v>1014285873</v>
      </c>
      <c r="B1614" t="s">
        <v>3948</v>
      </c>
      <c r="C1614" t="s">
        <v>3937</v>
      </c>
      <c r="D1614" t="s">
        <v>3953</v>
      </c>
    </row>
    <row r="1615" spans="1:4" x14ac:dyDescent="0.3">
      <c r="A1615">
        <v>1014285873</v>
      </c>
      <c r="B1615" t="s">
        <v>3948</v>
      </c>
      <c r="C1615" t="s">
        <v>3937</v>
      </c>
      <c r="D1615" t="s">
        <v>3953</v>
      </c>
    </row>
    <row r="1616" spans="1:4" x14ac:dyDescent="0.3">
      <c r="A1616">
        <v>1014285873</v>
      </c>
      <c r="B1616" t="s">
        <v>3948</v>
      </c>
      <c r="C1616" t="s">
        <v>3937</v>
      </c>
      <c r="D1616" t="s">
        <v>3953</v>
      </c>
    </row>
    <row r="1617" spans="1:4" x14ac:dyDescent="0.3">
      <c r="A1617">
        <v>1014285873</v>
      </c>
      <c r="B1617" t="s">
        <v>3948</v>
      </c>
      <c r="C1617" t="s">
        <v>3937</v>
      </c>
      <c r="D1617" t="s">
        <v>3953</v>
      </c>
    </row>
    <row r="1618" spans="1:4" x14ac:dyDescent="0.3">
      <c r="A1618">
        <v>1014285873</v>
      </c>
      <c r="B1618" t="s">
        <v>3948</v>
      </c>
      <c r="C1618" t="s">
        <v>3937</v>
      </c>
      <c r="D1618" t="s">
        <v>3953</v>
      </c>
    </row>
    <row r="1619" spans="1:4" x14ac:dyDescent="0.3">
      <c r="A1619">
        <v>1014285873</v>
      </c>
      <c r="B1619" t="s">
        <v>3948</v>
      </c>
      <c r="C1619" t="s">
        <v>3937</v>
      </c>
      <c r="D1619" t="s">
        <v>3953</v>
      </c>
    </row>
    <row r="1620" spans="1:4" x14ac:dyDescent="0.3">
      <c r="A1620">
        <v>1014285873</v>
      </c>
      <c r="B1620" t="s">
        <v>3948</v>
      </c>
      <c r="C1620" t="s">
        <v>3937</v>
      </c>
      <c r="D1620" t="s">
        <v>3953</v>
      </c>
    </row>
    <row r="1621" spans="1:4" x14ac:dyDescent="0.3">
      <c r="A1621">
        <v>1014285873</v>
      </c>
      <c r="B1621" t="s">
        <v>3948</v>
      </c>
      <c r="C1621" t="s">
        <v>3937</v>
      </c>
      <c r="D1621" t="s">
        <v>3953</v>
      </c>
    </row>
    <row r="1622" spans="1:4" x14ac:dyDescent="0.3">
      <c r="A1622">
        <v>1014285873</v>
      </c>
      <c r="B1622" t="s">
        <v>3948</v>
      </c>
      <c r="C1622" t="s">
        <v>3937</v>
      </c>
      <c r="D1622" t="s">
        <v>3953</v>
      </c>
    </row>
    <row r="1623" spans="1:4" x14ac:dyDescent="0.3">
      <c r="A1623">
        <v>1014285873</v>
      </c>
      <c r="B1623" t="s">
        <v>3948</v>
      </c>
      <c r="C1623" t="s">
        <v>3937</v>
      </c>
      <c r="D1623" t="s">
        <v>3953</v>
      </c>
    </row>
    <row r="1624" spans="1:4" x14ac:dyDescent="0.3">
      <c r="A1624">
        <v>1014285873</v>
      </c>
      <c r="B1624" t="s">
        <v>3948</v>
      </c>
      <c r="C1624" t="s">
        <v>3937</v>
      </c>
      <c r="D1624" t="s">
        <v>3953</v>
      </c>
    </row>
    <row r="1625" spans="1:4" x14ac:dyDescent="0.3">
      <c r="A1625">
        <v>1014285873</v>
      </c>
      <c r="B1625" t="s">
        <v>3948</v>
      </c>
      <c r="C1625" t="s">
        <v>3937</v>
      </c>
      <c r="D1625" t="s">
        <v>3953</v>
      </c>
    </row>
    <row r="1626" spans="1:4" x14ac:dyDescent="0.3">
      <c r="A1626">
        <v>1014285873</v>
      </c>
      <c r="B1626" t="s">
        <v>3948</v>
      </c>
      <c r="C1626" t="s">
        <v>3937</v>
      </c>
      <c r="D1626" t="s">
        <v>3953</v>
      </c>
    </row>
    <row r="1627" spans="1:4" x14ac:dyDescent="0.3">
      <c r="A1627">
        <v>1014285873</v>
      </c>
      <c r="B1627" t="s">
        <v>3948</v>
      </c>
      <c r="C1627" t="s">
        <v>3937</v>
      </c>
      <c r="D1627" t="s">
        <v>3953</v>
      </c>
    </row>
    <row r="1628" spans="1:4" x14ac:dyDescent="0.3">
      <c r="A1628">
        <v>1014285873</v>
      </c>
      <c r="B1628" t="s">
        <v>3948</v>
      </c>
      <c r="C1628" t="s">
        <v>3937</v>
      </c>
      <c r="D1628" t="s">
        <v>3953</v>
      </c>
    </row>
    <row r="1629" spans="1:4" x14ac:dyDescent="0.3">
      <c r="A1629">
        <v>1014285873</v>
      </c>
      <c r="B1629" t="s">
        <v>3948</v>
      </c>
      <c r="C1629" t="s">
        <v>3937</v>
      </c>
      <c r="D1629" t="s">
        <v>3953</v>
      </c>
    </row>
    <row r="1630" spans="1:4" x14ac:dyDescent="0.3">
      <c r="A1630">
        <v>1014285873</v>
      </c>
      <c r="B1630" t="s">
        <v>3948</v>
      </c>
      <c r="C1630" t="s">
        <v>3937</v>
      </c>
      <c r="D1630" t="s">
        <v>3953</v>
      </c>
    </row>
    <row r="1631" spans="1:4" x14ac:dyDescent="0.3">
      <c r="A1631">
        <v>1014285873</v>
      </c>
      <c r="B1631" t="s">
        <v>3948</v>
      </c>
      <c r="C1631" t="s">
        <v>3937</v>
      </c>
      <c r="D1631" t="s">
        <v>3953</v>
      </c>
    </row>
    <row r="1632" spans="1:4" x14ac:dyDescent="0.3">
      <c r="A1632">
        <v>1014285873</v>
      </c>
      <c r="B1632" t="s">
        <v>3948</v>
      </c>
      <c r="C1632" t="s">
        <v>3937</v>
      </c>
      <c r="D1632" t="s">
        <v>3953</v>
      </c>
    </row>
    <row r="1633" spans="1:4" x14ac:dyDescent="0.3">
      <c r="A1633">
        <v>1014285873</v>
      </c>
      <c r="B1633" t="s">
        <v>3948</v>
      </c>
      <c r="C1633" t="s">
        <v>3937</v>
      </c>
      <c r="D1633" t="s">
        <v>3953</v>
      </c>
    </row>
    <row r="1634" spans="1:4" x14ac:dyDescent="0.3">
      <c r="A1634">
        <v>1014285873</v>
      </c>
      <c r="B1634" t="s">
        <v>3948</v>
      </c>
      <c r="C1634" t="s">
        <v>3937</v>
      </c>
      <c r="D1634" t="s">
        <v>3953</v>
      </c>
    </row>
    <row r="1635" spans="1:4" x14ac:dyDescent="0.3">
      <c r="A1635">
        <v>1014285873</v>
      </c>
      <c r="B1635" t="s">
        <v>3948</v>
      </c>
      <c r="C1635" t="s">
        <v>3937</v>
      </c>
      <c r="D1635" t="s">
        <v>3953</v>
      </c>
    </row>
    <row r="1636" spans="1:4" x14ac:dyDescent="0.3">
      <c r="A1636">
        <v>1014285873</v>
      </c>
      <c r="B1636" t="s">
        <v>3948</v>
      </c>
      <c r="C1636" t="s">
        <v>3937</v>
      </c>
      <c r="D1636" t="s">
        <v>3953</v>
      </c>
    </row>
    <row r="1637" spans="1:4" x14ac:dyDescent="0.3">
      <c r="A1637">
        <v>1014285873</v>
      </c>
      <c r="B1637" t="s">
        <v>3948</v>
      </c>
      <c r="C1637" t="s">
        <v>3937</v>
      </c>
      <c r="D1637" t="s">
        <v>3953</v>
      </c>
    </row>
    <row r="1638" spans="1:4" x14ac:dyDescent="0.3">
      <c r="A1638">
        <v>1014285873</v>
      </c>
      <c r="B1638" t="s">
        <v>3948</v>
      </c>
      <c r="C1638" t="s">
        <v>3937</v>
      </c>
      <c r="D1638" t="s">
        <v>3953</v>
      </c>
    </row>
    <row r="1639" spans="1:4" x14ac:dyDescent="0.3">
      <c r="A1639">
        <v>1014285873</v>
      </c>
      <c r="B1639" t="s">
        <v>3948</v>
      </c>
      <c r="C1639" t="s">
        <v>3937</v>
      </c>
      <c r="D1639" t="s">
        <v>3953</v>
      </c>
    </row>
    <row r="1640" spans="1:4" x14ac:dyDescent="0.3">
      <c r="A1640">
        <v>1014285873</v>
      </c>
      <c r="B1640" t="s">
        <v>3948</v>
      </c>
      <c r="C1640" t="s">
        <v>3937</v>
      </c>
      <c r="D1640" t="s">
        <v>3953</v>
      </c>
    </row>
    <row r="1641" spans="1:4" x14ac:dyDescent="0.3">
      <c r="A1641">
        <v>1014285873</v>
      </c>
      <c r="B1641" t="s">
        <v>3948</v>
      </c>
      <c r="C1641" t="s">
        <v>3937</v>
      </c>
      <c r="D1641" t="s">
        <v>3953</v>
      </c>
    </row>
    <row r="1642" spans="1:4" x14ac:dyDescent="0.3">
      <c r="A1642">
        <v>1014285873</v>
      </c>
      <c r="B1642" t="s">
        <v>3948</v>
      </c>
      <c r="C1642" t="s">
        <v>3937</v>
      </c>
      <c r="D1642" t="s">
        <v>3953</v>
      </c>
    </row>
    <row r="1643" spans="1:4" x14ac:dyDescent="0.3">
      <c r="A1643">
        <v>1014285873</v>
      </c>
      <c r="B1643" t="s">
        <v>3948</v>
      </c>
      <c r="C1643" t="s">
        <v>3937</v>
      </c>
      <c r="D1643" t="s">
        <v>3953</v>
      </c>
    </row>
    <row r="1644" spans="1:4" x14ac:dyDescent="0.3">
      <c r="A1644">
        <v>1014285873</v>
      </c>
      <c r="B1644" t="s">
        <v>3948</v>
      </c>
      <c r="C1644" t="s">
        <v>3937</v>
      </c>
      <c r="D1644" t="s">
        <v>3953</v>
      </c>
    </row>
    <row r="1645" spans="1:4" x14ac:dyDescent="0.3">
      <c r="A1645">
        <v>1014285873</v>
      </c>
      <c r="B1645" t="s">
        <v>3948</v>
      </c>
      <c r="C1645" t="s">
        <v>3937</v>
      </c>
      <c r="D1645" t="s">
        <v>3953</v>
      </c>
    </row>
    <row r="1646" spans="1:4" x14ac:dyDescent="0.3">
      <c r="A1646">
        <v>1014285873</v>
      </c>
      <c r="B1646" t="s">
        <v>3948</v>
      </c>
      <c r="C1646" t="s">
        <v>3937</v>
      </c>
      <c r="D1646" t="s">
        <v>3953</v>
      </c>
    </row>
    <row r="1647" spans="1:4" x14ac:dyDescent="0.3">
      <c r="A1647">
        <v>1015401969</v>
      </c>
      <c r="B1647" t="s">
        <v>3936</v>
      </c>
      <c r="C1647" t="s">
        <v>3937</v>
      </c>
      <c r="D1647" t="s">
        <v>3945</v>
      </c>
    </row>
    <row r="1648" spans="1:4" x14ac:dyDescent="0.3">
      <c r="A1648">
        <v>1015401969</v>
      </c>
      <c r="B1648" t="s">
        <v>3936</v>
      </c>
      <c r="C1648" t="s">
        <v>3937</v>
      </c>
      <c r="D1648" t="s">
        <v>3945</v>
      </c>
    </row>
    <row r="1649" spans="1:4" x14ac:dyDescent="0.3">
      <c r="A1649">
        <v>1015401969</v>
      </c>
      <c r="B1649" t="s">
        <v>3936</v>
      </c>
      <c r="C1649" t="s">
        <v>3937</v>
      </c>
      <c r="D1649" t="s">
        <v>3945</v>
      </c>
    </row>
    <row r="1650" spans="1:4" x14ac:dyDescent="0.3">
      <c r="A1650">
        <v>1015401969</v>
      </c>
      <c r="B1650" t="s">
        <v>3936</v>
      </c>
      <c r="C1650" t="s">
        <v>3937</v>
      </c>
      <c r="D1650" t="s">
        <v>3945</v>
      </c>
    </row>
    <row r="1651" spans="1:4" x14ac:dyDescent="0.3">
      <c r="A1651">
        <v>1015401969</v>
      </c>
      <c r="B1651" t="s">
        <v>3936</v>
      </c>
      <c r="C1651" t="s">
        <v>3937</v>
      </c>
      <c r="D1651" t="s">
        <v>3945</v>
      </c>
    </row>
    <row r="1652" spans="1:4" x14ac:dyDescent="0.3">
      <c r="A1652">
        <v>1015401969</v>
      </c>
      <c r="B1652" t="s">
        <v>3936</v>
      </c>
      <c r="C1652" t="s">
        <v>3937</v>
      </c>
      <c r="D1652" t="s">
        <v>3945</v>
      </c>
    </row>
    <row r="1653" spans="1:4" x14ac:dyDescent="0.3">
      <c r="A1653">
        <v>1015401969</v>
      </c>
      <c r="B1653" t="s">
        <v>3936</v>
      </c>
      <c r="C1653" t="s">
        <v>3937</v>
      </c>
      <c r="D1653" t="s">
        <v>3945</v>
      </c>
    </row>
    <row r="1654" spans="1:4" x14ac:dyDescent="0.3">
      <c r="A1654">
        <v>1015401969</v>
      </c>
      <c r="B1654" t="s">
        <v>3936</v>
      </c>
      <c r="C1654" t="s">
        <v>3937</v>
      </c>
      <c r="D1654" t="s">
        <v>3945</v>
      </c>
    </row>
    <row r="1655" spans="1:4" x14ac:dyDescent="0.3">
      <c r="A1655">
        <v>1015401969</v>
      </c>
      <c r="B1655" t="s">
        <v>3936</v>
      </c>
      <c r="C1655" t="s">
        <v>3937</v>
      </c>
      <c r="D1655" t="s">
        <v>3945</v>
      </c>
    </row>
    <row r="1656" spans="1:4" x14ac:dyDescent="0.3">
      <c r="A1656">
        <v>1015401969</v>
      </c>
      <c r="B1656" t="s">
        <v>3936</v>
      </c>
      <c r="C1656" t="s">
        <v>3937</v>
      </c>
      <c r="D1656" t="s">
        <v>3945</v>
      </c>
    </row>
    <row r="1657" spans="1:4" x14ac:dyDescent="0.3">
      <c r="A1657">
        <v>1015401969</v>
      </c>
      <c r="B1657" t="s">
        <v>3936</v>
      </c>
      <c r="C1657" t="s">
        <v>3937</v>
      </c>
      <c r="D1657" t="s">
        <v>3945</v>
      </c>
    </row>
    <row r="1658" spans="1:4" x14ac:dyDescent="0.3">
      <c r="A1658">
        <v>1015401969</v>
      </c>
      <c r="B1658" t="s">
        <v>3936</v>
      </c>
      <c r="C1658" t="s">
        <v>3937</v>
      </c>
      <c r="D1658" t="s">
        <v>3945</v>
      </c>
    </row>
    <row r="1659" spans="1:4" x14ac:dyDescent="0.3">
      <c r="A1659">
        <v>1015401969</v>
      </c>
      <c r="B1659" t="s">
        <v>3936</v>
      </c>
      <c r="C1659" t="s">
        <v>3937</v>
      </c>
      <c r="D1659" t="s">
        <v>3945</v>
      </c>
    </row>
    <row r="1660" spans="1:4" x14ac:dyDescent="0.3">
      <c r="A1660">
        <v>1015401969</v>
      </c>
      <c r="B1660" t="s">
        <v>3936</v>
      </c>
      <c r="C1660" t="s">
        <v>3937</v>
      </c>
      <c r="D1660" t="s">
        <v>3945</v>
      </c>
    </row>
    <row r="1661" spans="1:4" x14ac:dyDescent="0.3">
      <c r="A1661">
        <v>1015401969</v>
      </c>
      <c r="B1661" t="s">
        <v>3936</v>
      </c>
      <c r="C1661" t="s">
        <v>3937</v>
      </c>
      <c r="D1661" t="s">
        <v>3945</v>
      </c>
    </row>
    <row r="1662" spans="1:4" x14ac:dyDescent="0.3">
      <c r="A1662">
        <v>1015401969</v>
      </c>
      <c r="B1662" t="s">
        <v>3936</v>
      </c>
      <c r="C1662" t="s">
        <v>3937</v>
      </c>
      <c r="D1662" t="s">
        <v>3945</v>
      </c>
    </row>
    <row r="1663" spans="1:4" x14ac:dyDescent="0.3">
      <c r="A1663">
        <v>1015401969</v>
      </c>
      <c r="B1663" t="s">
        <v>3936</v>
      </c>
      <c r="C1663" t="s">
        <v>3937</v>
      </c>
      <c r="D1663" t="s">
        <v>3945</v>
      </c>
    </row>
    <row r="1664" spans="1:4" x14ac:dyDescent="0.3">
      <c r="A1664">
        <v>1015401969</v>
      </c>
      <c r="B1664" t="s">
        <v>3936</v>
      </c>
      <c r="C1664" t="s">
        <v>3937</v>
      </c>
      <c r="D1664" t="s">
        <v>3945</v>
      </c>
    </row>
    <row r="1665" spans="1:4" x14ac:dyDescent="0.3">
      <c r="A1665">
        <v>1015401969</v>
      </c>
      <c r="B1665" t="s">
        <v>3936</v>
      </c>
      <c r="C1665" t="s">
        <v>3937</v>
      </c>
      <c r="D1665" t="s">
        <v>3945</v>
      </c>
    </row>
    <row r="1666" spans="1:4" x14ac:dyDescent="0.3">
      <c r="A1666">
        <v>1015401969</v>
      </c>
      <c r="B1666" t="s">
        <v>3936</v>
      </c>
      <c r="C1666" t="s">
        <v>3937</v>
      </c>
      <c r="D1666" t="s">
        <v>3945</v>
      </c>
    </row>
    <row r="1667" spans="1:4" x14ac:dyDescent="0.3">
      <c r="A1667">
        <v>1015401969</v>
      </c>
      <c r="B1667" t="s">
        <v>3936</v>
      </c>
      <c r="C1667" t="s">
        <v>3937</v>
      </c>
      <c r="D1667" t="s">
        <v>3945</v>
      </c>
    </row>
    <row r="1668" spans="1:4" x14ac:dyDescent="0.3">
      <c r="A1668">
        <v>1015401969</v>
      </c>
      <c r="B1668" t="s">
        <v>3936</v>
      </c>
      <c r="C1668" t="s">
        <v>3937</v>
      </c>
      <c r="D1668" t="s">
        <v>3945</v>
      </c>
    </row>
    <row r="1669" spans="1:4" x14ac:dyDescent="0.3">
      <c r="A1669">
        <v>1015401969</v>
      </c>
      <c r="B1669" t="s">
        <v>3936</v>
      </c>
      <c r="C1669" t="s">
        <v>3937</v>
      </c>
      <c r="D1669" t="s">
        <v>3945</v>
      </c>
    </row>
    <row r="1670" spans="1:4" x14ac:dyDescent="0.3">
      <c r="A1670">
        <v>1015401969</v>
      </c>
      <c r="B1670" t="s">
        <v>3936</v>
      </c>
      <c r="C1670" t="s">
        <v>3937</v>
      </c>
      <c r="D1670" t="s">
        <v>3945</v>
      </c>
    </row>
    <row r="1671" spans="1:4" x14ac:dyDescent="0.3">
      <c r="A1671">
        <v>1015401969</v>
      </c>
      <c r="B1671" t="s">
        <v>3936</v>
      </c>
      <c r="C1671" t="s">
        <v>3937</v>
      </c>
      <c r="D1671" t="s">
        <v>3945</v>
      </c>
    </row>
    <row r="1672" spans="1:4" x14ac:dyDescent="0.3">
      <c r="A1672">
        <v>1015401969</v>
      </c>
      <c r="B1672" t="s">
        <v>3936</v>
      </c>
      <c r="C1672" t="s">
        <v>3937</v>
      </c>
      <c r="D1672" t="s">
        <v>3945</v>
      </c>
    </row>
    <row r="1673" spans="1:4" x14ac:dyDescent="0.3">
      <c r="A1673">
        <v>1015401969</v>
      </c>
      <c r="B1673" t="s">
        <v>3936</v>
      </c>
      <c r="C1673" t="s">
        <v>3937</v>
      </c>
      <c r="D1673" t="s">
        <v>3945</v>
      </c>
    </row>
    <row r="1674" spans="1:4" x14ac:dyDescent="0.3">
      <c r="A1674">
        <v>1015401969</v>
      </c>
      <c r="B1674" t="s">
        <v>3936</v>
      </c>
      <c r="C1674" t="s">
        <v>3937</v>
      </c>
      <c r="D1674" t="s">
        <v>3945</v>
      </c>
    </row>
    <row r="1675" spans="1:4" x14ac:dyDescent="0.3">
      <c r="A1675">
        <v>1015401969</v>
      </c>
      <c r="B1675" t="s">
        <v>3936</v>
      </c>
      <c r="C1675" t="s">
        <v>3937</v>
      </c>
      <c r="D1675" t="s">
        <v>3945</v>
      </c>
    </row>
    <row r="1676" spans="1:4" x14ac:dyDescent="0.3">
      <c r="A1676">
        <v>1015401969</v>
      </c>
      <c r="B1676" t="s">
        <v>3936</v>
      </c>
      <c r="C1676" t="s">
        <v>3937</v>
      </c>
      <c r="D1676" t="s">
        <v>3945</v>
      </c>
    </row>
    <row r="1677" spans="1:4" x14ac:dyDescent="0.3">
      <c r="A1677">
        <v>1015401969</v>
      </c>
      <c r="B1677" t="s">
        <v>3936</v>
      </c>
      <c r="C1677" t="s">
        <v>3937</v>
      </c>
      <c r="D1677" t="s">
        <v>3945</v>
      </c>
    </row>
    <row r="1678" spans="1:4" x14ac:dyDescent="0.3">
      <c r="A1678">
        <v>1015401969</v>
      </c>
      <c r="B1678" t="s">
        <v>3936</v>
      </c>
      <c r="C1678" t="s">
        <v>3937</v>
      </c>
      <c r="D1678" t="s">
        <v>3945</v>
      </c>
    </row>
    <row r="1679" spans="1:4" x14ac:dyDescent="0.3">
      <c r="A1679">
        <v>1015401969</v>
      </c>
      <c r="B1679" t="s">
        <v>3936</v>
      </c>
      <c r="C1679" t="s">
        <v>3937</v>
      </c>
      <c r="D1679" t="s">
        <v>3945</v>
      </c>
    </row>
    <row r="1680" spans="1:4" x14ac:dyDescent="0.3">
      <c r="A1680">
        <v>1015401969</v>
      </c>
      <c r="B1680" t="s">
        <v>3936</v>
      </c>
      <c r="C1680" t="s">
        <v>3937</v>
      </c>
      <c r="D1680" t="s">
        <v>3945</v>
      </c>
    </row>
    <row r="1681" spans="1:4" x14ac:dyDescent="0.3">
      <c r="A1681">
        <v>1015401969</v>
      </c>
      <c r="B1681" t="s">
        <v>3936</v>
      </c>
      <c r="C1681" t="s">
        <v>3937</v>
      </c>
      <c r="D1681" t="s">
        <v>3945</v>
      </c>
    </row>
    <row r="1682" spans="1:4" x14ac:dyDescent="0.3">
      <c r="A1682">
        <v>1015401969</v>
      </c>
      <c r="B1682" t="s">
        <v>3936</v>
      </c>
      <c r="C1682" t="s">
        <v>3937</v>
      </c>
      <c r="D1682" t="s">
        <v>3945</v>
      </c>
    </row>
    <row r="1683" spans="1:4" x14ac:dyDescent="0.3">
      <c r="A1683">
        <v>1015401969</v>
      </c>
      <c r="B1683" t="s">
        <v>3936</v>
      </c>
      <c r="C1683" t="s">
        <v>3937</v>
      </c>
      <c r="D1683" t="s">
        <v>3945</v>
      </c>
    </row>
    <row r="1684" spans="1:4" x14ac:dyDescent="0.3">
      <c r="A1684">
        <v>1015401969</v>
      </c>
      <c r="B1684" t="s">
        <v>3936</v>
      </c>
      <c r="C1684" t="s">
        <v>3937</v>
      </c>
      <c r="D1684" t="s">
        <v>3945</v>
      </c>
    </row>
    <row r="1685" spans="1:4" x14ac:dyDescent="0.3">
      <c r="A1685">
        <v>1015401969</v>
      </c>
      <c r="B1685" t="s">
        <v>3936</v>
      </c>
      <c r="C1685" t="s">
        <v>3937</v>
      </c>
      <c r="D1685" t="s">
        <v>3945</v>
      </c>
    </row>
    <row r="1686" spans="1:4" x14ac:dyDescent="0.3">
      <c r="A1686">
        <v>1015401969</v>
      </c>
      <c r="B1686" t="s">
        <v>3936</v>
      </c>
      <c r="C1686" t="s">
        <v>3937</v>
      </c>
      <c r="D1686" t="s">
        <v>3945</v>
      </c>
    </row>
    <row r="1687" spans="1:4" x14ac:dyDescent="0.3">
      <c r="A1687">
        <v>1015401969</v>
      </c>
      <c r="B1687" t="s">
        <v>3936</v>
      </c>
      <c r="C1687" t="s">
        <v>3937</v>
      </c>
      <c r="D1687" t="s">
        <v>3945</v>
      </c>
    </row>
    <row r="1688" spans="1:4" x14ac:dyDescent="0.3">
      <c r="A1688">
        <v>1015401969</v>
      </c>
      <c r="B1688" t="s">
        <v>3936</v>
      </c>
      <c r="C1688" t="s">
        <v>3937</v>
      </c>
      <c r="D1688" t="s">
        <v>3945</v>
      </c>
    </row>
    <row r="1689" spans="1:4" x14ac:dyDescent="0.3">
      <c r="A1689">
        <v>1015401969</v>
      </c>
      <c r="B1689" t="s">
        <v>3936</v>
      </c>
      <c r="C1689" t="s">
        <v>3937</v>
      </c>
      <c r="D1689" t="s">
        <v>3945</v>
      </c>
    </row>
    <row r="1690" spans="1:4" x14ac:dyDescent="0.3">
      <c r="A1690">
        <v>1015401969</v>
      </c>
      <c r="B1690" t="s">
        <v>3936</v>
      </c>
      <c r="C1690" t="s">
        <v>3937</v>
      </c>
      <c r="D1690" t="s">
        <v>3945</v>
      </c>
    </row>
    <row r="1691" spans="1:4" x14ac:dyDescent="0.3">
      <c r="A1691">
        <v>1015401969</v>
      </c>
      <c r="B1691" t="s">
        <v>3936</v>
      </c>
      <c r="C1691" t="s">
        <v>3937</v>
      </c>
      <c r="D1691" t="s">
        <v>3945</v>
      </c>
    </row>
    <row r="1692" spans="1:4" x14ac:dyDescent="0.3">
      <c r="A1692">
        <v>1015401969</v>
      </c>
      <c r="B1692" t="s">
        <v>3936</v>
      </c>
      <c r="C1692" t="s">
        <v>3937</v>
      </c>
      <c r="D1692" t="s">
        <v>3945</v>
      </c>
    </row>
    <row r="1693" spans="1:4" x14ac:dyDescent="0.3">
      <c r="A1693">
        <v>1015401969</v>
      </c>
      <c r="B1693" t="s">
        <v>3936</v>
      </c>
      <c r="C1693" t="s">
        <v>3937</v>
      </c>
      <c r="D1693" t="s">
        <v>3945</v>
      </c>
    </row>
    <row r="1694" spans="1:4" x14ac:dyDescent="0.3">
      <c r="A1694">
        <v>1015401969</v>
      </c>
      <c r="B1694" t="s">
        <v>3936</v>
      </c>
      <c r="C1694" t="s">
        <v>3937</v>
      </c>
      <c r="D1694" t="s">
        <v>3945</v>
      </c>
    </row>
    <row r="1695" spans="1:4" x14ac:dyDescent="0.3">
      <c r="A1695">
        <v>1015401969</v>
      </c>
      <c r="B1695" t="s">
        <v>3936</v>
      </c>
      <c r="C1695" t="s">
        <v>3937</v>
      </c>
      <c r="D1695" t="s">
        <v>3945</v>
      </c>
    </row>
    <row r="1696" spans="1:4" x14ac:dyDescent="0.3">
      <c r="A1696">
        <v>1015401969</v>
      </c>
      <c r="B1696" t="s">
        <v>3936</v>
      </c>
      <c r="C1696" t="s">
        <v>3937</v>
      </c>
      <c r="D1696" t="s">
        <v>3945</v>
      </c>
    </row>
    <row r="1697" spans="1:4" x14ac:dyDescent="0.3">
      <c r="A1697">
        <v>1015407851</v>
      </c>
      <c r="B1697" t="s">
        <v>3944</v>
      </c>
      <c r="C1697" t="s">
        <v>3934</v>
      </c>
      <c r="D1697" t="s">
        <v>4102</v>
      </c>
    </row>
    <row r="1698" spans="1:4" x14ac:dyDescent="0.3">
      <c r="A1698">
        <v>1015407851</v>
      </c>
      <c r="B1698" t="s">
        <v>3944</v>
      </c>
      <c r="C1698" t="s">
        <v>3934</v>
      </c>
      <c r="D1698" t="s">
        <v>4102</v>
      </c>
    </row>
    <row r="1699" spans="1:4" x14ac:dyDescent="0.3">
      <c r="A1699">
        <v>1015407851</v>
      </c>
      <c r="B1699" t="s">
        <v>3944</v>
      </c>
      <c r="C1699" t="s">
        <v>3934</v>
      </c>
      <c r="D1699" t="s">
        <v>4102</v>
      </c>
    </row>
    <row r="1700" spans="1:4" x14ac:dyDescent="0.3">
      <c r="A1700">
        <v>1015407851</v>
      </c>
      <c r="B1700" t="s">
        <v>3944</v>
      </c>
      <c r="C1700" t="s">
        <v>3934</v>
      </c>
      <c r="D1700" t="s">
        <v>4102</v>
      </c>
    </row>
    <row r="1701" spans="1:4" x14ac:dyDescent="0.3">
      <c r="A1701">
        <v>1015407851</v>
      </c>
      <c r="B1701" t="s">
        <v>3944</v>
      </c>
      <c r="C1701" t="s">
        <v>3934</v>
      </c>
      <c r="D1701" t="s">
        <v>4102</v>
      </c>
    </row>
    <row r="1702" spans="1:4" x14ac:dyDescent="0.3">
      <c r="A1702">
        <v>1015407851</v>
      </c>
      <c r="B1702" t="s">
        <v>3944</v>
      </c>
      <c r="C1702" t="s">
        <v>3934</v>
      </c>
      <c r="D1702" t="s">
        <v>4102</v>
      </c>
    </row>
    <row r="1703" spans="1:4" x14ac:dyDescent="0.3">
      <c r="A1703">
        <v>1015407851</v>
      </c>
      <c r="B1703" t="s">
        <v>3944</v>
      </c>
      <c r="C1703" t="s">
        <v>3934</v>
      </c>
      <c r="D1703" t="s">
        <v>4102</v>
      </c>
    </row>
    <row r="1704" spans="1:4" x14ac:dyDescent="0.3">
      <c r="A1704">
        <v>1015407851</v>
      </c>
      <c r="B1704" t="s">
        <v>3944</v>
      </c>
      <c r="C1704" t="s">
        <v>3934</v>
      </c>
      <c r="D1704" t="s">
        <v>4102</v>
      </c>
    </row>
    <row r="1705" spans="1:4" x14ac:dyDescent="0.3">
      <c r="A1705">
        <v>1015407851</v>
      </c>
      <c r="B1705" t="s">
        <v>3944</v>
      </c>
      <c r="C1705" t="s">
        <v>3934</v>
      </c>
      <c r="D1705" t="s">
        <v>4102</v>
      </c>
    </row>
    <row r="1706" spans="1:4" x14ac:dyDescent="0.3">
      <c r="A1706">
        <v>1015407851</v>
      </c>
      <c r="B1706" t="s">
        <v>3944</v>
      </c>
      <c r="C1706" t="s">
        <v>3934</v>
      </c>
      <c r="D1706" t="s">
        <v>4102</v>
      </c>
    </row>
    <row r="1707" spans="1:4" x14ac:dyDescent="0.3">
      <c r="A1707">
        <v>1015407851</v>
      </c>
      <c r="B1707" t="s">
        <v>3944</v>
      </c>
      <c r="C1707" t="s">
        <v>3934</v>
      </c>
      <c r="D1707" t="s">
        <v>4102</v>
      </c>
    </row>
    <row r="1708" spans="1:4" x14ac:dyDescent="0.3">
      <c r="A1708">
        <v>1015407851</v>
      </c>
      <c r="B1708" t="s">
        <v>3944</v>
      </c>
      <c r="C1708" t="s">
        <v>3934</v>
      </c>
      <c r="D1708" t="s">
        <v>4102</v>
      </c>
    </row>
    <row r="1709" spans="1:4" x14ac:dyDescent="0.3">
      <c r="A1709">
        <v>1015407851</v>
      </c>
      <c r="B1709" t="s">
        <v>3944</v>
      </c>
      <c r="C1709" t="s">
        <v>3934</v>
      </c>
      <c r="D1709" t="s">
        <v>4102</v>
      </c>
    </row>
    <row r="1710" spans="1:4" x14ac:dyDescent="0.3">
      <c r="A1710">
        <v>1015407851</v>
      </c>
      <c r="B1710" t="s">
        <v>3944</v>
      </c>
      <c r="C1710" t="s">
        <v>3934</v>
      </c>
      <c r="D1710" t="s">
        <v>4102</v>
      </c>
    </row>
    <row r="1711" spans="1:4" x14ac:dyDescent="0.3">
      <c r="A1711">
        <v>1015407851</v>
      </c>
      <c r="B1711" t="s">
        <v>3944</v>
      </c>
      <c r="C1711" t="s">
        <v>3934</v>
      </c>
      <c r="D1711" t="s">
        <v>4102</v>
      </c>
    </row>
    <row r="1712" spans="1:4" x14ac:dyDescent="0.3">
      <c r="A1712">
        <v>1015407851</v>
      </c>
      <c r="B1712" t="s">
        <v>3944</v>
      </c>
      <c r="C1712" t="s">
        <v>3934</v>
      </c>
      <c r="D1712" t="s">
        <v>4102</v>
      </c>
    </row>
    <row r="1713" spans="1:4" x14ac:dyDescent="0.3">
      <c r="A1713">
        <v>1015407851</v>
      </c>
      <c r="B1713" t="s">
        <v>3944</v>
      </c>
      <c r="C1713" t="s">
        <v>3934</v>
      </c>
      <c r="D1713" t="s">
        <v>4102</v>
      </c>
    </row>
    <row r="1714" spans="1:4" x14ac:dyDescent="0.3">
      <c r="A1714">
        <v>1015407851</v>
      </c>
      <c r="B1714" t="s">
        <v>3944</v>
      </c>
      <c r="C1714" t="s">
        <v>3934</v>
      </c>
      <c r="D1714" t="s">
        <v>4102</v>
      </c>
    </row>
    <row r="1715" spans="1:4" x14ac:dyDescent="0.3">
      <c r="A1715">
        <v>1015407851</v>
      </c>
      <c r="B1715" t="s">
        <v>3944</v>
      </c>
      <c r="C1715" t="s">
        <v>3934</v>
      </c>
      <c r="D1715" t="s">
        <v>4102</v>
      </c>
    </row>
    <row r="1716" spans="1:4" x14ac:dyDescent="0.3">
      <c r="A1716">
        <v>1015407851</v>
      </c>
      <c r="B1716" t="s">
        <v>3944</v>
      </c>
      <c r="C1716" t="s">
        <v>3934</v>
      </c>
      <c r="D1716" t="s">
        <v>4102</v>
      </c>
    </row>
    <row r="1717" spans="1:4" x14ac:dyDescent="0.3">
      <c r="A1717">
        <v>1015407851</v>
      </c>
      <c r="B1717" t="s">
        <v>3944</v>
      </c>
      <c r="C1717" t="s">
        <v>3934</v>
      </c>
      <c r="D1717" t="s">
        <v>4102</v>
      </c>
    </row>
    <row r="1718" spans="1:4" x14ac:dyDescent="0.3">
      <c r="A1718">
        <v>1015407851</v>
      </c>
      <c r="B1718" t="s">
        <v>3944</v>
      </c>
      <c r="C1718" t="s">
        <v>3934</v>
      </c>
      <c r="D1718" t="s">
        <v>4102</v>
      </c>
    </row>
    <row r="1719" spans="1:4" x14ac:dyDescent="0.3">
      <c r="A1719">
        <v>1015407851</v>
      </c>
      <c r="B1719" t="s">
        <v>3944</v>
      </c>
      <c r="C1719" t="s">
        <v>3934</v>
      </c>
      <c r="D1719" t="s">
        <v>4102</v>
      </c>
    </row>
    <row r="1720" spans="1:4" x14ac:dyDescent="0.3">
      <c r="A1720">
        <v>1015407851</v>
      </c>
      <c r="B1720" t="s">
        <v>3944</v>
      </c>
      <c r="C1720" t="s">
        <v>3934</v>
      </c>
      <c r="D1720" t="s">
        <v>4102</v>
      </c>
    </row>
    <row r="1721" spans="1:4" x14ac:dyDescent="0.3">
      <c r="A1721">
        <v>1015407851</v>
      </c>
      <c r="B1721" t="s">
        <v>3944</v>
      </c>
      <c r="C1721" t="s">
        <v>3934</v>
      </c>
      <c r="D1721" t="s">
        <v>4102</v>
      </c>
    </row>
    <row r="1722" spans="1:4" x14ac:dyDescent="0.3">
      <c r="A1722">
        <v>1015428862</v>
      </c>
      <c r="B1722" t="s">
        <v>3965</v>
      </c>
      <c r="C1722" t="s">
        <v>3934</v>
      </c>
      <c r="D1722" t="s">
        <v>4048</v>
      </c>
    </row>
    <row r="1723" spans="1:4" x14ac:dyDescent="0.3">
      <c r="A1723">
        <v>1015428862</v>
      </c>
      <c r="B1723" t="s">
        <v>3965</v>
      </c>
      <c r="C1723" t="s">
        <v>3934</v>
      </c>
      <c r="D1723" t="s">
        <v>4048</v>
      </c>
    </row>
    <row r="1724" spans="1:4" x14ac:dyDescent="0.3">
      <c r="A1724">
        <v>1015428862</v>
      </c>
      <c r="B1724" t="s">
        <v>3965</v>
      </c>
      <c r="C1724" t="s">
        <v>3934</v>
      </c>
      <c r="D1724" t="s">
        <v>4048</v>
      </c>
    </row>
    <row r="1725" spans="1:4" x14ac:dyDescent="0.3">
      <c r="A1725">
        <v>1015428862</v>
      </c>
      <c r="B1725" t="s">
        <v>3965</v>
      </c>
      <c r="C1725" t="s">
        <v>3934</v>
      </c>
      <c r="D1725" t="s">
        <v>4048</v>
      </c>
    </row>
    <row r="1726" spans="1:4" x14ac:dyDescent="0.3">
      <c r="A1726">
        <v>1015428862</v>
      </c>
      <c r="B1726" t="s">
        <v>3965</v>
      </c>
      <c r="C1726" t="s">
        <v>3934</v>
      </c>
      <c r="D1726" t="s">
        <v>4048</v>
      </c>
    </row>
    <row r="1727" spans="1:4" x14ac:dyDescent="0.3">
      <c r="A1727">
        <v>1015428862</v>
      </c>
      <c r="B1727" t="s">
        <v>3965</v>
      </c>
      <c r="C1727" t="s">
        <v>3934</v>
      </c>
      <c r="D1727" t="s">
        <v>4048</v>
      </c>
    </row>
    <row r="1728" spans="1:4" x14ac:dyDescent="0.3">
      <c r="A1728">
        <v>1015428862</v>
      </c>
      <c r="B1728" t="s">
        <v>3965</v>
      </c>
      <c r="C1728" t="s">
        <v>3934</v>
      </c>
      <c r="D1728" t="s">
        <v>4048</v>
      </c>
    </row>
    <row r="1729" spans="1:4" x14ac:dyDescent="0.3">
      <c r="A1729">
        <v>1015428862</v>
      </c>
      <c r="B1729" t="s">
        <v>3965</v>
      </c>
      <c r="C1729" t="s">
        <v>3934</v>
      </c>
      <c r="D1729" t="s">
        <v>4048</v>
      </c>
    </row>
    <row r="1730" spans="1:4" x14ac:dyDescent="0.3">
      <c r="A1730">
        <v>1015428862</v>
      </c>
      <c r="B1730" t="s">
        <v>3965</v>
      </c>
      <c r="C1730" t="s">
        <v>3934</v>
      </c>
      <c r="D1730" t="s">
        <v>4048</v>
      </c>
    </row>
    <row r="1731" spans="1:4" x14ac:dyDescent="0.3">
      <c r="A1731">
        <v>1015428862</v>
      </c>
      <c r="B1731" t="s">
        <v>3965</v>
      </c>
      <c r="C1731" t="s">
        <v>3934</v>
      </c>
      <c r="D1731" t="s">
        <v>4048</v>
      </c>
    </row>
    <row r="1732" spans="1:4" x14ac:dyDescent="0.3">
      <c r="A1732">
        <v>1015428862</v>
      </c>
      <c r="B1732" t="s">
        <v>3965</v>
      </c>
      <c r="C1732" t="s">
        <v>3934</v>
      </c>
      <c r="D1732" t="s">
        <v>4048</v>
      </c>
    </row>
    <row r="1733" spans="1:4" x14ac:dyDescent="0.3">
      <c r="A1733">
        <v>1015428862</v>
      </c>
      <c r="B1733" t="s">
        <v>3965</v>
      </c>
      <c r="C1733" t="s">
        <v>3934</v>
      </c>
      <c r="D1733" t="s">
        <v>4048</v>
      </c>
    </row>
    <row r="1734" spans="1:4" x14ac:dyDescent="0.3">
      <c r="A1734">
        <v>1015428862</v>
      </c>
      <c r="B1734" t="s">
        <v>3965</v>
      </c>
      <c r="C1734" t="s">
        <v>3934</v>
      </c>
      <c r="D1734" t="s">
        <v>4048</v>
      </c>
    </row>
    <row r="1735" spans="1:4" x14ac:dyDescent="0.3">
      <c r="A1735">
        <v>1015428862</v>
      </c>
      <c r="B1735" t="s">
        <v>3965</v>
      </c>
      <c r="C1735" t="s">
        <v>3934</v>
      </c>
      <c r="D1735" t="s">
        <v>4048</v>
      </c>
    </row>
    <row r="1736" spans="1:4" x14ac:dyDescent="0.3">
      <c r="A1736">
        <v>1015428862</v>
      </c>
      <c r="B1736" t="s">
        <v>3965</v>
      </c>
      <c r="C1736" t="s">
        <v>3934</v>
      </c>
      <c r="D1736" t="s">
        <v>4048</v>
      </c>
    </row>
    <row r="1737" spans="1:4" x14ac:dyDescent="0.3">
      <c r="A1737">
        <v>1015428862</v>
      </c>
      <c r="B1737" t="s">
        <v>3965</v>
      </c>
      <c r="C1737" t="s">
        <v>3934</v>
      </c>
      <c r="D1737" t="s">
        <v>4048</v>
      </c>
    </row>
    <row r="1738" spans="1:4" x14ac:dyDescent="0.3">
      <c r="A1738">
        <v>1015428862</v>
      </c>
      <c r="B1738" t="s">
        <v>3965</v>
      </c>
      <c r="C1738" t="s">
        <v>3934</v>
      </c>
      <c r="D1738" t="s">
        <v>4048</v>
      </c>
    </row>
    <row r="1739" spans="1:4" x14ac:dyDescent="0.3">
      <c r="A1739">
        <v>1015428862</v>
      </c>
      <c r="B1739" t="s">
        <v>3965</v>
      </c>
      <c r="C1739" t="s">
        <v>3934</v>
      </c>
      <c r="D1739" t="s">
        <v>4048</v>
      </c>
    </row>
    <row r="1740" spans="1:4" x14ac:dyDescent="0.3">
      <c r="A1740">
        <v>1015428862</v>
      </c>
      <c r="B1740" t="s">
        <v>3965</v>
      </c>
      <c r="C1740" t="s">
        <v>3934</v>
      </c>
      <c r="D1740" t="s">
        <v>4048</v>
      </c>
    </row>
    <row r="1741" spans="1:4" x14ac:dyDescent="0.3">
      <c r="A1741">
        <v>1015428862</v>
      </c>
      <c r="B1741" t="s">
        <v>3965</v>
      </c>
      <c r="C1741" t="s">
        <v>3934</v>
      </c>
      <c r="D1741" t="s">
        <v>4048</v>
      </c>
    </row>
    <row r="1742" spans="1:4" x14ac:dyDescent="0.3">
      <c r="A1742">
        <v>1015428862</v>
      </c>
      <c r="B1742" t="s">
        <v>3965</v>
      </c>
      <c r="C1742" t="s">
        <v>3934</v>
      </c>
      <c r="D1742" t="s">
        <v>4048</v>
      </c>
    </row>
    <row r="1743" spans="1:4" x14ac:dyDescent="0.3">
      <c r="A1743">
        <v>1015428862</v>
      </c>
      <c r="B1743" t="s">
        <v>3965</v>
      </c>
      <c r="C1743" t="s">
        <v>3934</v>
      </c>
      <c r="D1743" t="s">
        <v>4048</v>
      </c>
    </row>
    <row r="1744" spans="1:4" x14ac:dyDescent="0.3">
      <c r="A1744">
        <v>1015441103</v>
      </c>
      <c r="B1744" t="s">
        <v>3933</v>
      </c>
      <c r="C1744" t="s">
        <v>3934</v>
      </c>
      <c r="D1744" t="s">
        <v>3961</v>
      </c>
    </row>
    <row r="1745" spans="1:4" x14ac:dyDescent="0.3">
      <c r="A1745">
        <v>1015441103</v>
      </c>
      <c r="B1745" t="s">
        <v>3933</v>
      </c>
      <c r="C1745" t="s">
        <v>3934</v>
      </c>
      <c r="D1745" t="s">
        <v>3961</v>
      </c>
    </row>
    <row r="1746" spans="1:4" x14ac:dyDescent="0.3">
      <c r="A1746">
        <v>1015441103</v>
      </c>
      <c r="B1746" t="s">
        <v>3933</v>
      </c>
      <c r="C1746" t="s">
        <v>3934</v>
      </c>
      <c r="D1746" t="s">
        <v>3961</v>
      </c>
    </row>
    <row r="1747" spans="1:4" x14ac:dyDescent="0.3">
      <c r="A1747">
        <v>1015441103</v>
      </c>
      <c r="B1747" t="s">
        <v>3933</v>
      </c>
      <c r="C1747" t="s">
        <v>3934</v>
      </c>
      <c r="D1747" t="s">
        <v>3961</v>
      </c>
    </row>
    <row r="1748" spans="1:4" x14ac:dyDescent="0.3">
      <c r="A1748">
        <v>1015441103</v>
      </c>
      <c r="B1748" t="s">
        <v>3933</v>
      </c>
      <c r="C1748" t="s">
        <v>3934</v>
      </c>
      <c r="D1748" t="s">
        <v>3961</v>
      </c>
    </row>
    <row r="1749" spans="1:4" x14ac:dyDescent="0.3">
      <c r="A1749">
        <v>1015441103</v>
      </c>
      <c r="B1749" t="s">
        <v>3933</v>
      </c>
      <c r="C1749" t="s">
        <v>3934</v>
      </c>
      <c r="D1749" t="s">
        <v>3961</v>
      </c>
    </row>
    <row r="1750" spans="1:4" x14ac:dyDescent="0.3">
      <c r="A1750">
        <v>1015441103</v>
      </c>
      <c r="B1750" t="s">
        <v>3933</v>
      </c>
      <c r="C1750" t="s">
        <v>3934</v>
      </c>
      <c r="D1750" t="s">
        <v>3961</v>
      </c>
    </row>
    <row r="1751" spans="1:4" x14ac:dyDescent="0.3">
      <c r="A1751">
        <v>1015441103</v>
      </c>
      <c r="B1751" t="s">
        <v>3933</v>
      </c>
      <c r="C1751" t="s">
        <v>3934</v>
      </c>
      <c r="D1751" t="s">
        <v>3961</v>
      </c>
    </row>
    <row r="1752" spans="1:4" x14ac:dyDescent="0.3">
      <c r="A1752">
        <v>1015441103</v>
      </c>
      <c r="B1752" t="s">
        <v>3933</v>
      </c>
      <c r="C1752" t="s">
        <v>3934</v>
      </c>
      <c r="D1752" t="s">
        <v>3961</v>
      </c>
    </row>
    <row r="1753" spans="1:4" x14ac:dyDescent="0.3">
      <c r="A1753">
        <v>1015441103</v>
      </c>
      <c r="B1753" t="s">
        <v>3933</v>
      </c>
      <c r="C1753" t="s">
        <v>3934</v>
      </c>
      <c r="D1753" t="s">
        <v>3961</v>
      </c>
    </row>
    <row r="1754" spans="1:4" x14ac:dyDescent="0.3">
      <c r="A1754">
        <v>1015441103</v>
      </c>
      <c r="B1754" t="s">
        <v>3933</v>
      </c>
      <c r="C1754" t="s">
        <v>3934</v>
      </c>
      <c r="D1754" t="s">
        <v>3961</v>
      </c>
    </row>
    <row r="1755" spans="1:4" x14ac:dyDescent="0.3">
      <c r="A1755">
        <v>1015441103</v>
      </c>
      <c r="B1755" t="s">
        <v>3933</v>
      </c>
      <c r="C1755" t="s">
        <v>3934</v>
      </c>
      <c r="D1755" t="s">
        <v>3961</v>
      </c>
    </row>
    <row r="1756" spans="1:4" x14ac:dyDescent="0.3">
      <c r="A1756">
        <v>1015441103</v>
      </c>
      <c r="B1756" t="s">
        <v>3933</v>
      </c>
      <c r="C1756" t="s">
        <v>3934</v>
      </c>
      <c r="D1756" t="s">
        <v>3961</v>
      </c>
    </row>
    <row r="1757" spans="1:4" x14ac:dyDescent="0.3">
      <c r="A1757">
        <v>1015441103</v>
      </c>
      <c r="B1757" t="s">
        <v>3933</v>
      </c>
      <c r="C1757" t="s">
        <v>3934</v>
      </c>
      <c r="D1757" t="s">
        <v>3961</v>
      </c>
    </row>
    <row r="1758" spans="1:4" x14ac:dyDescent="0.3">
      <c r="A1758">
        <v>1015441103</v>
      </c>
      <c r="B1758" t="s">
        <v>3933</v>
      </c>
      <c r="C1758" t="s">
        <v>3934</v>
      </c>
      <c r="D1758" t="s">
        <v>3961</v>
      </c>
    </row>
    <row r="1759" spans="1:4" x14ac:dyDescent="0.3">
      <c r="A1759">
        <v>1015441103</v>
      </c>
      <c r="B1759" t="s">
        <v>3933</v>
      </c>
      <c r="C1759" t="s">
        <v>3934</v>
      </c>
      <c r="D1759" t="s">
        <v>3961</v>
      </c>
    </row>
    <row r="1760" spans="1:4" x14ac:dyDescent="0.3">
      <c r="A1760">
        <v>1015441103</v>
      </c>
      <c r="B1760" t="s">
        <v>3933</v>
      </c>
      <c r="C1760" t="s">
        <v>3934</v>
      </c>
      <c r="D1760" t="s">
        <v>3961</v>
      </c>
    </row>
    <row r="1761" spans="1:4" x14ac:dyDescent="0.3">
      <c r="A1761">
        <v>1015441103</v>
      </c>
      <c r="B1761" t="s">
        <v>3933</v>
      </c>
      <c r="C1761" t="s">
        <v>3934</v>
      </c>
      <c r="D1761" t="s">
        <v>3961</v>
      </c>
    </row>
    <row r="1762" spans="1:4" x14ac:dyDescent="0.3">
      <c r="A1762">
        <v>1015441103</v>
      </c>
      <c r="B1762" t="s">
        <v>3933</v>
      </c>
      <c r="C1762" t="s">
        <v>3934</v>
      </c>
      <c r="D1762" t="s">
        <v>3961</v>
      </c>
    </row>
    <row r="1763" spans="1:4" x14ac:dyDescent="0.3">
      <c r="A1763">
        <v>1015441103</v>
      </c>
      <c r="B1763" t="s">
        <v>3933</v>
      </c>
      <c r="C1763" t="s">
        <v>3934</v>
      </c>
      <c r="D1763" t="s">
        <v>3961</v>
      </c>
    </row>
    <row r="1764" spans="1:4" x14ac:dyDescent="0.3">
      <c r="A1764">
        <v>1015441103</v>
      </c>
      <c r="B1764" t="s">
        <v>3933</v>
      </c>
      <c r="C1764" t="s">
        <v>3934</v>
      </c>
      <c r="D1764" t="s">
        <v>3961</v>
      </c>
    </row>
    <row r="1765" spans="1:4" x14ac:dyDescent="0.3">
      <c r="A1765">
        <v>1015441103</v>
      </c>
      <c r="B1765" t="s">
        <v>3933</v>
      </c>
      <c r="C1765" t="s">
        <v>3934</v>
      </c>
      <c r="D1765" t="s">
        <v>3961</v>
      </c>
    </row>
    <row r="1766" spans="1:4" x14ac:dyDescent="0.3">
      <c r="A1766">
        <v>1015441103</v>
      </c>
      <c r="B1766" t="s">
        <v>3933</v>
      </c>
      <c r="C1766" t="s">
        <v>3934</v>
      </c>
      <c r="D1766" t="s">
        <v>3961</v>
      </c>
    </row>
    <row r="1767" spans="1:4" x14ac:dyDescent="0.3">
      <c r="A1767">
        <v>1015441103</v>
      </c>
      <c r="B1767" t="s">
        <v>3933</v>
      </c>
      <c r="C1767" t="s">
        <v>3934</v>
      </c>
      <c r="D1767" t="s">
        <v>3961</v>
      </c>
    </row>
    <row r="1768" spans="1:4" x14ac:dyDescent="0.3">
      <c r="A1768">
        <v>1015441103</v>
      </c>
      <c r="B1768" t="s">
        <v>3933</v>
      </c>
      <c r="C1768" t="s">
        <v>3934</v>
      </c>
      <c r="D1768" t="s">
        <v>3961</v>
      </c>
    </row>
    <row r="1769" spans="1:4" x14ac:dyDescent="0.3">
      <c r="A1769">
        <v>1015441103</v>
      </c>
      <c r="B1769" t="s">
        <v>3933</v>
      </c>
      <c r="C1769" t="s">
        <v>3934</v>
      </c>
      <c r="D1769" t="s">
        <v>3961</v>
      </c>
    </row>
    <row r="1770" spans="1:4" x14ac:dyDescent="0.3">
      <c r="A1770">
        <v>1015441103</v>
      </c>
      <c r="B1770" t="s">
        <v>3933</v>
      </c>
      <c r="C1770" t="s">
        <v>3934</v>
      </c>
      <c r="D1770" t="s">
        <v>3961</v>
      </c>
    </row>
    <row r="1771" spans="1:4" x14ac:dyDescent="0.3">
      <c r="A1771">
        <v>1015441103</v>
      </c>
      <c r="B1771" t="s">
        <v>3933</v>
      </c>
      <c r="C1771" t="s">
        <v>3934</v>
      </c>
      <c r="D1771" t="s">
        <v>3961</v>
      </c>
    </row>
    <row r="1772" spans="1:4" x14ac:dyDescent="0.3">
      <c r="A1772">
        <v>1015478965</v>
      </c>
      <c r="B1772" t="s">
        <v>3944</v>
      </c>
      <c r="C1772" t="s">
        <v>3934</v>
      </c>
      <c r="D1772" t="s">
        <v>3979</v>
      </c>
    </row>
    <row r="1773" spans="1:4" x14ac:dyDescent="0.3">
      <c r="A1773">
        <v>1015478965</v>
      </c>
      <c r="B1773" t="s">
        <v>3944</v>
      </c>
      <c r="C1773" t="s">
        <v>3934</v>
      </c>
      <c r="D1773" t="s">
        <v>3979</v>
      </c>
    </row>
    <row r="1774" spans="1:4" x14ac:dyDescent="0.3">
      <c r="A1774">
        <v>1015478965</v>
      </c>
      <c r="B1774" t="s">
        <v>3944</v>
      </c>
      <c r="C1774" t="s">
        <v>3934</v>
      </c>
      <c r="D1774" t="s">
        <v>3979</v>
      </c>
    </row>
    <row r="1775" spans="1:4" x14ac:dyDescent="0.3">
      <c r="A1775">
        <v>1015478965</v>
      </c>
      <c r="B1775" t="s">
        <v>3944</v>
      </c>
      <c r="C1775" t="s">
        <v>3934</v>
      </c>
      <c r="D1775" t="s">
        <v>3979</v>
      </c>
    </row>
    <row r="1776" spans="1:4" x14ac:dyDescent="0.3">
      <c r="A1776">
        <v>1015478965</v>
      </c>
      <c r="B1776" t="s">
        <v>3944</v>
      </c>
      <c r="C1776" t="s">
        <v>3934</v>
      </c>
      <c r="D1776" t="s">
        <v>3979</v>
      </c>
    </row>
    <row r="1777" spans="1:4" x14ac:dyDescent="0.3">
      <c r="A1777">
        <v>1015478965</v>
      </c>
      <c r="B1777" t="s">
        <v>3944</v>
      </c>
      <c r="C1777" t="s">
        <v>3934</v>
      </c>
      <c r="D1777" t="s">
        <v>3979</v>
      </c>
    </row>
    <row r="1778" spans="1:4" x14ac:dyDescent="0.3">
      <c r="A1778">
        <v>1015478965</v>
      </c>
      <c r="B1778" t="s">
        <v>3944</v>
      </c>
      <c r="C1778" t="s">
        <v>3934</v>
      </c>
      <c r="D1778" t="s">
        <v>3979</v>
      </c>
    </row>
    <row r="1779" spans="1:4" x14ac:dyDescent="0.3">
      <c r="A1779">
        <v>1015478965</v>
      </c>
      <c r="B1779" t="s">
        <v>3944</v>
      </c>
      <c r="C1779" t="s">
        <v>3934</v>
      </c>
      <c r="D1779" t="s">
        <v>3979</v>
      </c>
    </row>
    <row r="1780" spans="1:4" x14ac:dyDescent="0.3">
      <c r="A1780">
        <v>1015478965</v>
      </c>
      <c r="B1780" t="s">
        <v>3944</v>
      </c>
      <c r="C1780" t="s">
        <v>3934</v>
      </c>
      <c r="D1780" t="s">
        <v>3979</v>
      </c>
    </row>
    <row r="1781" spans="1:4" x14ac:dyDescent="0.3">
      <c r="A1781">
        <v>1015478965</v>
      </c>
      <c r="B1781" t="s">
        <v>3944</v>
      </c>
      <c r="C1781" t="s">
        <v>3934</v>
      </c>
      <c r="D1781" t="s">
        <v>3979</v>
      </c>
    </row>
    <row r="1782" spans="1:4" x14ac:dyDescent="0.3">
      <c r="A1782">
        <v>1015478965</v>
      </c>
      <c r="B1782" t="s">
        <v>3944</v>
      </c>
      <c r="C1782" t="s">
        <v>3934</v>
      </c>
      <c r="D1782" t="s">
        <v>3979</v>
      </c>
    </row>
    <row r="1783" spans="1:4" x14ac:dyDescent="0.3">
      <c r="A1783">
        <v>1015478965</v>
      </c>
      <c r="B1783" t="s">
        <v>3944</v>
      </c>
      <c r="C1783" t="s">
        <v>3934</v>
      </c>
      <c r="D1783" t="s">
        <v>3979</v>
      </c>
    </row>
    <row r="1784" spans="1:4" x14ac:dyDescent="0.3">
      <c r="A1784">
        <v>1015478965</v>
      </c>
      <c r="B1784" t="s">
        <v>3944</v>
      </c>
      <c r="C1784" t="s">
        <v>3934</v>
      </c>
      <c r="D1784" t="s">
        <v>3979</v>
      </c>
    </row>
    <row r="1785" spans="1:4" x14ac:dyDescent="0.3">
      <c r="A1785">
        <v>1015478965</v>
      </c>
      <c r="B1785" t="s">
        <v>3944</v>
      </c>
      <c r="C1785" t="s">
        <v>3934</v>
      </c>
      <c r="D1785" t="s">
        <v>3979</v>
      </c>
    </row>
    <row r="1786" spans="1:4" x14ac:dyDescent="0.3">
      <c r="A1786">
        <v>1015478965</v>
      </c>
      <c r="B1786" t="s">
        <v>3944</v>
      </c>
      <c r="C1786" t="s">
        <v>3934</v>
      </c>
      <c r="D1786" t="s">
        <v>3979</v>
      </c>
    </row>
    <row r="1787" spans="1:4" x14ac:dyDescent="0.3">
      <c r="A1787">
        <v>1015478965</v>
      </c>
      <c r="B1787" t="s">
        <v>3944</v>
      </c>
      <c r="C1787" t="s">
        <v>3934</v>
      </c>
      <c r="D1787" t="s">
        <v>3979</v>
      </c>
    </row>
    <row r="1788" spans="1:4" x14ac:dyDescent="0.3">
      <c r="A1788">
        <v>1015482247</v>
      </c>
      <c r="B1788" t="s">
        <v>3944</v>
      </c>
      <c r="C1788" t="s">
        <v>3934</v>
      </c>
      <c r="D1788" t="s">
        <v>3984</v>
      </c>
    </row>
    <row r="1789" spans="1:4" x14ac:dyDescent="0.3">
      <c r="A1789">
        <v>1015482247</v>
      </c>
      <c r="B1789" t="s">
        <v>3944</v>
      </c>
      <c r="C1789" t="s">
        <v>3934</v>
      </c>
      <c r="D1789" t="s">
        <v>3984</v>
      </c>
    </row>
    <row r="1790" spans="1:4" x14ac:dyDescent="0.3">
      <c r="A1790">
        <v>1015482247</v>
      </c>
      <c r="B1790" t="s">
        <v>3944</v>
      </c>
      <c r="C1790" t="s">
        <v>3934</v>
      </c>
      <c r="D1790" t="s">
        <v>3984</v>
      </c>
    </row>
    <row r="1791" spans="1:4" x14ac:dyDescent="0.3">
      <c r="A1791">
        <v>1015482247</v>
      </c>
      <c r="B1791" t="s">
        <v>3944</v>
      </c>
      <c r="C1791" t="s">
        <v>3934</v>
      </c>
      <c r="D1791" t="s">
        <v>3984</v>
      </c>
    </row>
    <row r="1792" spans="1:4" x14ac:dyDescent="0.3">
      <c r="A1792">
        <v>1015482247</v>
      </c>
      <c r="B1792" t="s">
        <v>3944</v>
      </c>
      <c r="C1792" t="s">
        <v>3934</v>
      </c>
      <c r="D1792" t="s">
        <v>3984</v>
      </c>
    </row>
    <row r="1793" spans="1:4" x14ac:dyDescent="0.3">
      <c r="A1793">
        <v>1015482247</v>
      </c>
      <c r="B1793" t="s">
        <v>3944</v>
      </c>
      <c r="C1793" t="s">
        <v>3934</v>
      </c>
      <c r="D1793" t="s">
        <v>3984</v>
      </c>
    </row>
    <row r="1794" spans="1:4" x14ac:dyDescent="0.3">
      <c r="A1794">
        <v>1015482247</v>
      </c>
      <c r="B1794" t="s">
        <v>3944</v>
      </c>
      <c r="C1794" t="s">
        <v>3934</v>
      </c>
      <c r="D1794" t="s">
        <v>3984</v>
      </c>
    </row>
    <row r="1795" spans="1:4" x14ac:dyDescent="0.3">
      <c r="A1795">
        <v>1015482247</v>
      </c>
      <c r="B1795" t="s">
        <v>3944</v>
      </c>
      <c r="C1795" t="s">
        <v>3934</v>
      </c>
      <c r="D1795" t="s">
        <v>3984</v>
      </c>
    </row>
    <row r="1796" spans="1:4" x14ac:dyDescent="0.3">
      <c r="A1796">
        <v>1015482247</v>
      </c>
      <c r="B1796" t="s">
        <v>3944</v>
      </c>
      <c r="C1796" t="s">
        <v>3934</v>
      </c>
      <c r="D1796" t="s">
        <v>3984</v>
      </c>
    </row>
    <row r="1797" spans="1:4" x14ac:dyDescent="0.3">
      <c r="A1797">
        <v>1015482247</v>
      </c>
      <c r="B1797" t="s">
        <v>3944</v>
      </c>
      <c r="C1797" t="s">
        <v>3934</v>
      </c>
      <c r="D1797" t="s">
        <v>3984</v>
      </c>
    </row>
    <row r="1798" spans="1:4" x14ac:dyDescent="0.3">
      <c r="A1798">
        <v>1015482247</v>
      </c>
      <c r="B1798" t="s">
        <v>3944</v>
      </c>
      <c r="C1798" t="s">
        <v>3934</v>
      </c>
      <c r="D1798" t="s">
        <v>3984</v>
      </c>
    </row>
    <row r="1799" spans="1:4" x14ac:dyDescent="0.3">
      <c r="A1799">
        <v>1015482247</v>
      </c>
      <c r="B1799" t="s">
        <v>3944</v>
      </c>
      <c r="C1799" t="s">
        <v>3934</v>
      </c>
      <c r="D1799" t="s">
        <v>3984</v>
      </c>
    </row>
    <row r="1800" spans="1:4" x14ac:dyDescent="0.3">
      <c r="A1800">
        <v>1015482247</v>
      </c>
      <c r="B1800" t="s">
        <v>3944</v>
      </c>
      <c r="C1800" t="s">
        <v>3934</v>
      </c>
      <c r="D1800" t="s">
        <v>3984</v>
      </c>
    </row>
    <row r="1801" spans="1:4" x14ac:dyDescent="0.3">
      <c r="A1801">
        <v>1015482247</v>
      </c>
      <c r="B1801" t="s">
        <v>3944</v>
      </c>
      <c r="C1801" t="s">
        <v>3934</v>
      </c>
      <c r="D1801" t="s">
        <v>3984</v>
      </c>
    </row>
    <row r="1802" spans="1:4" x14ac:dyDescent="0.3">
      <c r="A1802">
        <v>1015482247</v>
      </c>
      <c r="B1802" t="s">
        <v>3944</v>
      </c>
      <c r="C1802" t="s">
        <v>3934</v>
      </c>
      <c r="D1802" t="s">
        <v>3984</v>
      </c>
    </row>
    <row r="1803" spans="1:4" x14ac:dyDescent="0.3">
      <c r="A1803">
        <v>1015482247</v>
      </c>
      <c r="B1803" t="s">
        <v>3944</v>
      </c>
      <c r="C1803" t="s">
        <v>3934</v>
      </c>
      <c r="D1803" t="s">
        <v>3984</v>
      </c>
    </row>
    <row r="1804" spans="1:4" x14ac:dyDescent="0.3">
      <c r="A1804">
        <v>1015482247</v>
      </c>
      <c r="B1804" t="s">
        <v>3944</v>
      </c>
      <c r="C1804" t="s">
        <v>3934</v>
      </c>
      <c r="D1804" t="s">
        <v>3984</v>
      </c>
    </row>
    <row r="1805" spans="1:4" x14ac:dyDescent="0.3">
      <c r="A1805">
        <v>1015482247</v>
      </c>
      <c r="B1805" t="s">
        <v>3944</v>
      </c>
      <c r="C1805" t="s">
        <v>3934</v>
      </c>
      <c r="D1805" t="s">
        <v>3984</v>
      </c>
    </row>
    <row r="1806" spans="1:4" x14ac:dyDescent="0.3">
      <c r="A1806">
        <v>1015482247</v>
      </c>
      <c r="B1806" t="s">
        <v>3944</v>
      </c>
      <c r="C1806" t="s">
        <v>3934</v>
      </c>
      <c r="D1806" t="s">
        <v>3984</v>
      </c>
    </row>
    <row r="1807" spans="1:4" x14ac:dyDescent="0.3">
      <c r="A1807">
        <v>1015482247</v>
      </c>
      <c r="B1807" t="s">
        <v>3944</v>
      </c>
      <c r="C1807" t="s">
        <v>3934</v>
      </c>
      <c r="D1807" t="s">
        <v>3984</v>
      </c>
    </row>
    <row r="1808" spans="1:4" x14ac:dyDescent="0.3">
      <c r="A1808">
        <v>1016030683</v>
      </c>
      <c r="B1808" t="s">
        <v>3936</v>
      </c>
      <c r="C1808" t="s">
        <v>3937</v>
      </c>
      <c r="D1808" t="s">
        <v>3992</v>
      </c>
    </row>
    <row r="1809" spans="1:4" x14ac:dyDescent="0.3">
      <c r="A1809">
        <v>1016030683</v>
      </c>
      <c r="B1809" t="s">
        <v>3936</v>
      </c>
      <c r="C1809" t="s">
        <v>3937</v>
      </c>
      <c r="D1809" t="s">
        <v>3992</v>
      </c>
    </row>
    <row r="1810" spans="1:4" x14ac:dyDescent="0.3">
      <c r="A1810">
        <v>1016030683</v>
      </c>
      <c r="B1810" t="s">
        <v>3936</v>
      </c>
      <c r="C1810" t="s">
        <v>3937</v>
      </c>
      <c r="D1810" t="s">
        <v>3992</v>
      </c>
    </row>
    <row r="1811" spans="1:4" x14ac:dyDescent="0.3">
      <c r="A1811">
        <v>1016030683</v>
      </c>
      <c r="B1811" t="s">
        <v>3936</v>
      </c>
      <c r="C1811" t="s">
        <v>3937</v>
      </c>
      <c r="D1811" t="s">
        <v>3992</v>
      </c>
    </row>
    <row r="1812" spans="1:4" x14ac:dyDescent="0.3">
      <c r="A1812">
        <v>1016030683</v>
      </c>
      <c r="B1812" t="s">
        <v>3936</v>
      </c>
      <c r="C1812" t="s">
        <v>3937</v>
      </c>
      <c r="D1812" t="s">
        <v>3992</v>
      </c>
    </row>
    <row r="1813" spans="1:4" x14ac:dyDescent="0.3">
      <c r="A1813">
        <v>1016030683</v>
      </c>
      <c r="B1813" t="s">
        <v>3936</v>
      </c>
      <c r="C1813" t="s">
        <v>3937</v>
      </c>
      <c r="D1813" t="s">
        <v>3992</v>
      </c>
    </row>
    <row r="1814" spans="1:4" x14ac:dyDescent="0.3">
      <c r="A1814">
        <v>1016030683</v>
      </c>
      <c r="B1814" t="s">
        <v>3936</v>
      </c>
      <c r="C1814" t="s">
        <v>3937</v>
      </c>
      <c r="D1814" t="s">
        <v>3992</v>
      </c>
    </row>
    <row r="1815" spans="1:4" x14ac:dyDescent="0.3">
      <c r="A1815">
        <v>1016030683</v>
      </c>
      <c r="B1815" t="s">
        <v>3936</v>
      </c>
      <c r="C1815" t="s">
        <v>3937</v>
      </c>
      <c r="D1815" t="s">
        <v>3992</v>
      </c>
    </row>
    <row r="1816" spans="1:4" x14ac:dyDescent="0.3">
      <c r="A1816">
        <v>1016030683</v>
      </c>
      <c r="B1816" t="s">
        <v>3936</v>
      </c>
      <c r="C1816" t="s">
        <v>3937</v>
      </c>
      <c r="D1816" t="s">
        <v>3992</v>
      </c>
    </row>
    <row r="1817" spans="1:4" x14ac:dyDescent="0.3">
      <c r="A1817">
        <v>1016030683</v>
      </c>
      <c r="B1817" t="s">
        <v>3936</v>
      </c>
      <c r="C1817" t="s">
        <v>3937</v>
      </c>
      <c r="D1817" t="s">
        <v>3992</v>
      </c>
    </row>
    <row r="1818" spans="1:4" x14ac:dyDescent="0.3">
      <c r="A1818">
        <v>1016030683</v>
      </c>
      <c r="B1818" t="s">
        <v>3936</v>
      </c>
      <c r="C1818" t="s">
        <v>3937</v>
      </c>
      <c r="D1818" t="s">
        <v>3992</v>
      </c>
    </row>
    <row r="1819" spans="1:4" x14ac:dyDescent="0.3">
      <c r="A1819">
        <v>1016030683</v>
      </c>
      <c r="B1819" t="s">
        <v>3936</v>
      </c>
      <c r="C1819" t="s">
        <v>3937</v>
      </c>
      <c r="D1819" t="s">
        <v>3992</v>
      </c>
    </row>
    <row r="1820" spans="1:4" x14ac:dyDescent="0.3">
      <c r="A1820">
        <v>1016030683</v>
      </c>
      <c r="B1820" t="s">
        <v>3936</v>
      </c>
      <c r="C1820" t="s">
        <v>3937</v>
      </c>
      <c r="D1820" t="s">
        <v>3992</v>
      </c>
    </row>
    <row r="1821" spans="1:4" x14ac:dyDescent="0.3">
      <c r="A1821">
        <v>1016030683</v>
      </c>
      <c r="B1821" t="s">
        <v>3936</v>
      </c>
      <c r="C1821" t="s">
        <v>3937</v>
      </c>
      <c r="D1821" t="s">
        <v>3992</v>
      </c>
    </row>
    <row r="1822" spans="1:4" x14ac:dyDescent="0.3">
      <c r="A1822">
        <v>1016030683</v>
      </c>
      <c r="B1822" t="s">
        <v>3936</v>
      </c>
      <c r="C1822" t="s">
        <v>3937</v>
      </c>
      <c r="D1822" t="s">
        <v>3992</v>
      </c>
    </row>
    <row r="1823" spans="1:4" x14ac:dyDescent="0.3">
      <c r="A1823">
        <v>1016030683</v>
      </c>
      <c r="B1823" t="s">
        <v>3936</v>
      </c>
      <c r="C1823" t="s">
        <v>3937</v>
      </c>
      <c r="D1823" t="s">
        <v>3992</v>
      </c>
    </row>
    <row r="1824" spans="1:4" x14ac:dyDescent="0.3">
      <c r="A1824">
        <v>1016030683</v>
      </c>
      <c r="B1824" t="s">
        <v>3936</v>
      </c>
      <c r="C1824" t="s">
        <v>3937</v>
      </c>
      <c r="D1824" t="s">
        <v>3992</v>
      </c>
    </row>
    <row r="1825" spans="1:4" x14ac:dyDescent="0.3">
      <c r="A1825">
        <v>1016030683</v>
      </c>
      <c r="B1825" t="s">
        <v>3936</v>
      </c>
      <c r="C1825" t="s">
        <v>3937</v>
      </c>
      <c r="D1825" t="s">
        <v>3992</v>
      </c>
    </row>
    <row r="1826" spans="1:4" x14ac:dyDescent="0.3">
      <c r="A1826">
        <v>1016030683</v>
      </c>
      <c r="B1826" t="s">
        <v>3936</v>
      </c>
      <c r="C1826" t="s">
        <v>3937</v>
      </c>
      <c r="D1826" t="s">
        <v>3992</v>
      </c>
    </row>
    <row r="1827" spans="1:4" x14ac:dyDescent="0.3">
      <c r="A1827">
        <v>1016030683</v>
      </c>
      <c r="B1827" t="s">
        <v>3936</v>
      </c>
      <c r="C1827" t="s">
        <v>3937</v>
      </c>
      <c r="D1827" t="s">
        <v>3992</v>
      </c>
    </row>
    <row r="1828" spans="1:4" x14ac:dyDescent="0.3">
      <c r="A1828">
        <v>1016030683</v>
      </c>
      <c r="B1828" t="s">
        <v>3936</v>
      </c>
      <c r="C1828" t="s">
        <v>3937</v>
      </c>
      <c r="D1828" t="s">
        <v>3992</v>
      </c>
    </row>
    <row r="1829" spans="1:4" x14ac:dyDescent="0.3">
      <c r="A1829">
        <v>1016030683</v>
      </c>
      <c r="B1829" t="s">
        <v>3936</v>
      </c>
      <c r="C1829" t="s">
        <v>3937</v>
      </c>
      <c r="D1829" t="s">
        <v>3992</v>
      </c>
    </row>
    <row r="1830" spans="1:4" x14ac:dyDescent="0.3">
      <c r="A1830">
        <v>1016030683</v>
      </c>
      <c r="B1830" t="s">
        <v>3936</v>
      </c>
      <c r="C1830" t="s">
        <v>3937</v>
      </c>
      <c r="D1830" t="s">
        <v>3992</v>
      </c>
    </row>
    <row r="1831" spans="1:4" x14ac:dyDescent="0.3">
      <c r="A1831">
        <v>1016030683</v>
      </c>
      <c r="B1831" t="s">
        <v>3936</v>
      </c>
      <c r="C1831" t="s">
        <v>3937</v>
      </c>
      <c r="D1831" t="s">
        <v>3992</v>
      </c>
    </row>
    <row r="1832" spans="1:4" x14ac:dyDescent="0.3">
      <c r="A1832">
        <v>1016030683</v>
      </c>
      <c r="B1832" t="s">
        <v>3936</v>
      </c>
      <c r="C1832" t="s">
        <v>3937</v>
      </c>
      <c r="D1832" t="s">
        <v>3992</v>
      </c>
    </row>
    <row r="1833" spans="1:4" x14ac:dyDescent="0.3">
      <c r="A1833">
        <v>1016030683</v>
      </c>
      <c r="B1833" t="s">
        <v>3936</v>
      </c>
      <c r="C1833" t="s">
        <v>3937</v>
      </c>
      <c r="D1833" t="s">
        <v>3992</v>
      </c>
    </row>
    <row r="1834" spans="1:4" x14ac:dyDescent="0.3">
      <c r="A1834">
        <v>1016030683</v>
      </c>
      <c r="B1834" t="s">
        <v>3936</v>
      </c>
      <c r="C1834" t="s">
        <v>3937</v>
      </c>
      <c r="D1834" t="s">
        <v>3992</v>
      </c>
    </row>
    <row r="1835" spans="1:4" x14ac:dyDescent="0.3">
      <c r="A1835">
        <v>1016030683</v>
      </c>
      <c r="B1835" t="s">
        <v>3936</v>
      </c>
      <c r="C1835" t="s">
        <v>3937</v>
      </c>
      <c r="D1835" t="s">
        <v>3992</v>
      </c>
    </row>
    <row r="1836" spans="1:4" x14ac:dyDescent="0.3">
      <c r="A1836">
        <v>1016030683</v>
      </c>
      <c r="B1836" t="s">
        <v>3936</v>
      </c>
      <c r="C1836" t="s">
        <v>3937</v>
      </c>
      <c r="D1836" t="s">
        <v>3992</v>
      </c>
    </row>
    <row r="1837" spans="1:4" x14ac:dyDescent="0.3">
      <c r="A1837">
        <v>1016030683</v>
      </c>
      <c r="B1837" t="s">
        <v>3936</v>
      </c>
      <c r="C1837" t="s">
        <v>3937</v>
      </c>
      <c r="D1837" t="s">
        <v>3992</v>
      </c>
    </row>
    <row r="1838" spans="1:4" x14ac:dyDescent="0.3">
      <c r="A1838">
        <v>1016030683</v>
      </c>
      <c r="B1838" t="s">
        <v>3936</v>
      </c>
      <c r="C1838" t="s">
        <v>3937</v>
      </c>
      <c r="D1838" t="s">
        <v>3992</v>
      </c>
    </row>
    <row r="1839" spans="1:4" x14ac:dyDescent="0.3">
      <c r="A1839">
        <v>1016095309</v>
      </c>
      <c r="B1839" t="s">
        <v>3986</v>
      </c>
      <c r="C1839" t="s">
        <v>3934</v>
      </c>
      <c r="D1839" t="s">
        <v>3985</v>
      </c>
    </row>
    <row r="1840" spans="1:4" x14ac:dyDescent="0.3">
      <c r="A1840">
        <v>1016095309</v>
      </c>
      <c r="B1840" t="s">
        <v>3986</v>
      </c>
      <c r="C1840" t="s">
        <v>3934</v>
      </c>
      <c r="D1840" t="s">
        <v>3985</v>
      </c>
    </row>
    <row r="1841" spans="1:4" x14ac:dyDescent="0.3">
      <c r="A1841">
        <v>1016095309</v>
      </c>
      <c r="B1841" t="s">
        <v>3986</v>
      </c>
      <c r="C1841" t="s">
        <v>3934</v>
      </c>
      <c r="D1841" t="s">
        <v>3985</v>
      </c>
    </row>
    <row r="1842" spans="1:4" x14ac:dyDescent="0.3">
      <c r="A1842">
        <v>1016095309</v>
      </c>
      <c r="B1842" t="s">
        <v>3986</v>
      </c>
      <c r="C1842" t="s">
        <v>3934</v>
      </c>
      <c r="D1842" t="s">
        <v>3985</v>
      </c>
    </row>
    <row r="1843" spans="1:4" x14ac:dyDescent="0.3">
      <c r="A1843">
        <v>1016095309</v>
      </c>
      <c r="B1843" t="s">
        <v>3986</v>
      </c>
      <c r="C1843" t="s">
        <v>3934</v>
      </c>
      <c r="D1843" t="s">
        <v>3985</v>
      </c>
    </row>
    <row r="1844" spans="1:4" x14ac:dyDescent="0.3">
      <c r="A1844">
        <v>1016110979</v>
      </c>
      <c r="B1844" t="s">
        <v>3977</v>
      </c>
      <c r="C1844" t="s">
        <v>3970</v>
      </c>
      <c r="D1844" t="s">
        <v>4051</v>
      </c>
    </row>
    <row r="1845" spans="1:4" x14ac:dyDescent="0.3">
      <c r="A1845">
        <v>1016110979</v>
      </c>
      <c r="B1845" t="s">
        <v>3977</v>
      </c>
      <c r="C1845" t="s">
        <v>3970</v>
      </c>
      <c r="D1845" t="s">
        <v>4051</v>
      </c>
    </row>
    <row r="1846" spans="1:4" x14ac:dyDescent="0.3">
      <c r="A1846">
        <v>1016110979</v>
      </c>
      <c r="B1846" t="s">
        <v>3977</v>
      </c>
      <c r="C1846" t="s">
        <v>3970</v>
      </c>
      <c r="D1846" t="s">
        <v>4051</v>
      </c>
    </row>
    <row r="1847" spans="1:4" x14ac:dyDescent="0.3">
      <c r="A1847">
        <v>1016110979</v>
      </c>
      <c r="B1847" t="s">
        <v>3977</v>
      </c>
      <c r="C1847" t="s">
        <v>3970</v>
      </c>
      <c r="D1847" t="s">
        <v>4051</v>
      </c>
    </row>
    <row r="1848" spans="1:4" x14ac:dyDescent="0.3">
      <c r="A1848">
        <v>1016110979</v>
      </c>
      <c r="B1848" t="s">
        <v>3977</v>
      </c>
      <c r="C1848" t="s">
        <v>3970</v>
      </c>
      <c r="D1848" t="s">
        <v>4051</v>
      </c>
    </row>
    <row r="1849" spans="1:4" x14ac:dyDescent="0.3">
      <c r="A1849">
        <v>1016110979</v>
      </c>
      <c r="B1849" t="s">
        <v>3977</v>
      </c>
      <c r="C1849" t="s">
        <v>3970</v>
      </c>
      <c r="D1849" t="s">
        <v>4051</v>
      </c>
    </row>
    <row r="1850" spans="1:4" x14ac:dyDescent="0.3">
      <c r="A1850">
        <v>1016110979</v>
      </c>
      <c r="B1850" t="s">
        <v>3977</v>
      </c>
      <c r="C1850" t="s">
        <v>3970</v>
      </c>
      <c r="D1850" t="s">
        <v>4051</v>
      </c>
    </row>
    <row r="1851" spans="1:4" x14ac:dyDescent="0.3">
      <c r="A1851">
        <v>1016110979</v>
      </c>
      <c r="B1851" t="s">
        <v>3977</v>
      </c>
      <c r="C1851" t="s">
        <v>3970</v>
      </c>
      <c r="D1851" t="s">
        <v>4051</v>
      </c>
    </row>
    <row r="1852" spans="1:4" x14ac:dyDescent="0.3">
      <c r="A1852">
        <v>1016110979</v>
      </c>
      <c r="B1852" t="s">
        <v>3977</v>
      </c>
      <c r="C1852" t="s">
        <v>3970</v>
      </c>
      <c r="D1852" t="s">
        <v>4051</v>
      </c>
    </row>
    <row r="1853" spans="1:4" x14ac:dyDescent="0.3">
      <c r="A1853">
        <v>1016110979</v>
      </c>
      <c r="B1853" t="s">
        <v>3977</v>
      </c>
      <c r="C1853" t="s">
        <v>3970</v>
      </c>
      <c r="D1853" t="s">
        <v>4051</v>
      </c>
    </row>
    <row r="1854" spans="1:4" x14ac:dyDescent="0.3">
      <c r="A1854">
        <v>1016110979</v>
      </c>
      <c r="B1854" t="s">
        <v>3977</v>
      </c>
      <c r="C1854" t="s">
        <v>3970</v>
      </c>
      <c r="D1854" t="s">
        <v>4051</v>
      </c>
    </row>
    <row r="1855" spans="1:4" x14ac:dyDescent="0.3">
      <c r="A1855">
        <v>1016110979</v>
      </c>
      <c r="B1855" t="s">
        <v>3977</v>
      </c>
      <c r="C1855" t="s">
        <v>3970</v>
      </c>
      <c r="D1855" t="s">
        <v>4051</v>
      </c>
    </row>
    <row r="1856" spans="1:4" x14ac:dyDescent="0.3">
      <c r="A1856">
        <v>1016110979</v>
      </c>
      <c r="B1856" t="s">
        <v>3977</v>
      </c>
      <c r="C1856" t="s">
        <v>3970</v>
      </c>
      <c r="D1856" t="s">
        <v>4051</v>
      </c>
    </row>
    <row r="1857" spans="1:4" x14ac:dyDescent="0.3">
      <c r="A1857">
        <v>1016110979</v>
      </c>
      <c r="B1857" t="s">
        <v>3977</v>
      </c>
      <c r="C1857" t="s">
        <v>3970</v>
      </c>
      <c r="D1857" t="s">
        <v>4051</v>
      </c>
    </row>
    <row r="1858" spans="1:4" x14ac:dyDescent="0.3">
      <c r="A1858">
        <v>1016110979</v>
      </c>
      <c r="B1858" t="s">
        <v>3977</v>
      </c>
      <c r="C1858" t="s">
        <v>3970</v>
      </c>
      <c r="D1858" t="s">
        <v>4051</v>
      </c>
    </row>
    <row r="1859" spans="1:4" x14ac:dyDescent="0.3">
      <c r="A1859">
        <v>1016110979</v>
      </c>
      <c r="B1859" t="s">
        <v>3977</v>
      </c>
      <c r="C1859" t="s">
        <v>3970</v>
      </c>
      <c r="D1859" t="s">
        <v>4051</v>
      </c>
    </row>
    <row r="1860" spans="1:4" x14ac:dyDescent="0.3">
      <c r="A1860">
        <v>1016110979</v>
      </c>
      <c r="B1860" t="s">
        <v>3977</v>
      </c>
      <c r="C1860" t="s">
        <v>3970</v>
      </c>
      <c r="D1860" t="s">
        <v>4051</v>
      </c>
    </row>
    <row r="1861" spans="1:4" x14ac:dyDescent="0.3">
      <c r="A1861">
        <v>1016110979</v>
      </c>
      <c r="B1861" t="s">
        <v>3977</v>
      </c>
      <c r="C1861" t="s">
        <v>3970</v>
      </c>
      <c r="D1861" t="s">
        <v>4051</v>
      </c>
    </row>
    <row r="1862" spans="1:4" x14ac:dyDescent="0.3">
      <c r="A1862">
        <v>1016110979</v>
      </c>
      <c r="B1862" t="s">
        <v>3977</v>
      </c>
      <c r="C1862" t="s">
        <v>3970</v>
      </c>
      <c r="D1862" t="s">
        <v>4051</v>
      </c>
    </row>
    <row r="1863" spans="1:4" x14ac:dyDescent="0.3">
      <c r="A1863">
        <v>1018455773</v>
      </c>
      <c r="B1863" t="s">
        <v>3986</v>
      </c>
      <c r="C1863" t="s">
        <v>3934</v>
      </c>
      <c r="D1863" t="s">
        <v>4101</v>
      </c>
    </row>
    <row r="1864" spans="1:4" x14ac:dyDescent="0.3">
      <c r="A1864">
        <v>1018455773</v>
      </c>
      <c r="B1864" t="s">
        <v>3986</v>
      </c>
      <c r="C1864" t="s">
        <v>3934</v>
      </c>
      <c r="D1864" t="s">
        <v>4101</v>
      </c>
    </row>
    <row r="1865" spans="1:4" x14ac:dyDescent="0.3">
      <c r="A1865">
        <v>1018455773</v>
      </c>
      <c r="B1865" t="s">
        <v>3986</v>
      </c>
      <c r="C1865" t="s">
        <v>3934</v>
      </c>
      <c r="D1865" t="s">
        <v>4101</v>
      </c>
    </row>
    <row r="1866" spans="1:4" x14ac:dyDescent="0.3">
      <c r="A1866">
        <v>1018455773</v>
      </c>
      <c r="B1866" t="s">
        <v>3986</v>
      </c>
      <c r="C1866" t="s">
        <v>3934</v>
      </c>
      <c r="D1866" t="s">
        <v>4101</v>
      </c>
    </row>
    <row r="1867" spans="1:4" x14ac:dyDescent="0.3">
      <c r="A1867">
        <v>1018455773</v>
      </c>
      <c r="B1867" t="s">
        <v>3986</v>
      </c>
      <c r="C1867" t="s">
        <v>3934</v>
      </c>
      <c r="D1867" t="s">
        <v>4101</v>
      </c>
    </row>
    <row r="1868" spans="1:4" x14ac:dyDescent="0.3">
      <c r="A1868">
        <v>1018455773</v>
      </c>
      <c r="B1868" t="s">
        <v>3986</v>
      </c>
      <c r="C1868" t="s">
        <v>3934</v>
      </c>
      <c r="D1868" t="s">
        <v>4101</v>
      </c>
    </row>
    <row r="1869" spans="1:4" x14ac:dyDescent="0.3">
      <c r="A1869">
        <v>1018455773</v>
      </c>
      <c r="B1869" t="s">
        <v>3986</v>
      </c>
      <c r="C1869" t="s">
        <v>3934</v>
      </c>
      <c r="D1869" t="s">
        <v>4101</v>
      </c>
    </row>
    <row r="1870" spans="1:4" x14ac:dyDescent="0.3">
      <c r="A1870">
        <v>1018455773</v>
      </c>
      <c r="B1870" t="s">
        <v>3986</v>
      </c>
      <c r="C1870" t="s">
        <v>3934</v>
      </c>
      <c r="D1870" t="s">
        <v>4101</v>
      </c>
    </row>
    <row r="1871" spans="1:4" x14ac:dyDescent="0.3">
      <c r="A1871">
        <v>1018455773</v>
      </c>
      <c r="B1871" t="s">
        <v>3986</v>
      </c>
      <c r="C1871" t="s">
        <v>3934</v>
      </c>
      <c r="D1871" t="s">
        <v>4101</v>
      </c>
    </row>
    <row r="1872" spans="1:4" x14ac:dyDescent="0.3">
      <c r="A1872">
        <v>1018455773</v>
      </c>
      <c r="B1872" t="s">
        <v>3986</v>
      </c>
      <c r="C1872" t="s">
        <v>3934</v>
      </c>
      <c r="D1872" t="s">
        <v>4101</v>
      </c>
    </row>
    <row r="1873" spans="1:4" x14ac:dyDescent="0.3">
      <c r="A1873">
        <v>1018455773</v>
      </c>
      <c r="B1873" t="s">
        <v>3986</v>
      </c>
      <c r="C1873" t="s">
        <v>3934</v>
      </c>
      <c r="D1873" t="s">
        <v>4101</v>
      </c>
    </row>
    <row r="1874" spans="1:4" x14ac:dyDescent="0.3">
      <c r="A1874">
        <v>1018455773</v>
      </c>
      <c r="B1874" t="s">
        <v>3986</v>
      </c>
      <c r="C1874" t="s">
        <v>3934</v>
      </c>
      <c r="D1874" t="s">
        <v>4101</v>
      </c>
    </row>
    <row r="1875" spans="1:4" x14ac:dyDescent="0.3">
      <c r="A1875">
        <v>1018455773</v>
      </c>
      <c r="B1875" t="s">
        <v>3986</v>
      </c>
      <c r="C1875" t="s">
        <v>3934</v>
      </c>
      <c r="D1875" t="s">
        <v>4101</v>
      </c>
    </row>
    <row r="1876" spans="1:4" x14ac:dyDescent="0.3">
      <c r="A1876">
        <v>1018455773</v>
      </c>
      <c r="B1876" t="s">
        <v>3986</v>
      </c>
      <c r="C1876" t="s">
        <v>3934</v>
      </c>
      <c r="D1876" t="s">
        <v>4101</v>
      </c>
    </row>
    <row r="1877" spans="1:4" x14ac:dyDescent="0.3">
      <c r="A1877">
        <v>1018455773</v>
      </c>
      <c r="B1877" t="s">
        <v>3986</v>
      </c>
      <c r="C1877" t="s">
        <v>3934</v>
      </c>
      <c r="D1877" t="s">
        <v>4101</v>
      </c>
    </row>
    <row r="1878" spans="1:4" x14ac:dyDescent="0.3">
      <c r="A1878">
        <v>1018455773</v>
      </c>
      <c r="B1878" t="s">
        <v>3986</v>
      </c>
      <c r="C1878" t="s">
        <v>3934</v>
      </c>
      <c r="D1878" t="s">
        <v>4101</v>
      </c>
    </row>
    <row r="1879" spans="1:4" x14ac:dyDescent="0.3">
      <c r="A1879">
        <v>1018455773</v>
      </c>
      <c r="B1879" t="s">
        <v>3986</v>
      </c>
      <c r="C1879" t="s">
        <v>3934</v>
      </c>
      <c r="D1879" t="s">
        <v>4101</v>
      </c>
    </row>
    <row r="1880" spans="1:4" x14ac:dyDescent="0.3">
      <c r="A1880">
        <v>1018455773</v>
      </c>
      <c r="B1880" t="s">
        <v>3986</v>
      </c>
      <c r="C1880" t="s">
        <v>3934</v>
      </c>
      <c r="D1880" t="s">
        <v>4101</v>
      </c>
    </row>
    <row r="1881" spans="1:4" x14ac:dyDescent="0.3">
      <c r="A1881">
        <v>1018455773</v>
      </c>
      <c r="B1881" t="s">
        <v>3986</v>
      </c>
      <c r="C1881" t="s">
        <v>3934</v>
      </c>
      <c r="D1881" t="s">
        <v>4101</v>
      </c>
    </row>
    <row r="1882" spans="1:4" x14ac:dyDescent="0.3">
      <c r="A1882">
        <v>1018455773</v>
      </c>
      <c r="B1882" t="s">
        <v>3986</v>
      </c>
      <c r="C1882" t="s">
        <v>3934</v>
      </c>
      <c r="D1882" t="s">
        <v>4101</v>
      </c>
    </row>
    <row r="1883" spans="1:4" x14ac:dyDescent="0.3">
      <c r="A1883">
        <v>1018455773</v>
      </c>
      <c r="B1883" t="s">
        <v>3986</v>
      </c>
      <c r="C1883" t="s">
        <v>3934</v>
      </c>
      <c r="D1883" t="s">
        <v>4101</v>
      </c>
    </row>
    <row r="1884" spans="1:4" x14ac:dyDescent="0.3">
      <c r="A1884">
        <v>1018455773</v>
      </c>
      <c r="B1884" t="s">
        <v>3986</v>
      </c>
      <c r="C1884" t="s">
        <v>3934</v>
      </c>
      <c r="D1884" t="s">
        <v>4101</v>
      </c>
    </row>
    <row r="1885" spans="1:4" x14ac:dyDescent="0.3">
      <c r="A1885">
        <v>1018455773</v>
      </c>
      <c r="B1885" t="s">
        <v>3986</v>
      </c>
      <c r="C1885" t="s">
        <v>3934</v>
      </c>
      <c r="D1885" t="s">
        <v>4101</v>
      </c>
    </row>
    <row r="1886" spans="1:4" x14ac:dyDescent="0.3">
      <c r="A1886">
        <v>1018455773</v>
      </c>
      <c r="B1886" t="s">
        <v>3986</v>
      </c>
      <c r="C1886" t="s">
        <v>3934</v>
      </c>
      <c r="D1886" t="s">
        <v>4101</v>
      </c>
    </row>
    <row r="1887" spans="1:4" x14ac:dyDescent="0.3">
      <c r="A1887">
        <v>1018455773</v>
      </c>
      <c r="B1887" t="s">
        <v>3986</v>
      </c>
      <c r="C1887" t="s">
        <v>3934</v>
      </c>
      <c r="D1887" t="s">
        <v>4101</v>
      </c>
    </row>
    <row r="1888" spans="1:4" x14ac:dyDescent="0.3">
      <c r="A1888">
        <v>1018484247</v>
      </c>
      <c r="B1888" t="s">
        <v>4055</v>
      </c>
      <c r="C1888" t="s">
        <v>4056</v>
      </c>
      <c r="D1888" t="s">
        <v>4069</v>
      </c>
    </row>
    <row r="1889" spans="1:4" x14ac:dyDescent="0.3">
      <c r="A1889">
        <v>1018484247</v>
      </c>
      <c r="B1889" t="s">
        <v>4055</v>
      </c>
      <c r="C1889" t="s">
        <v>4056</v>
      </c>
      <c r="D1889" t="s">
        <v>4069</v>
      </c>
    </row>
    <row r="1890" spans="1:4" x14ac:dyDescent="0.3">
      <c r="A1890">
        <v>1018484247</v>
      </c>
      <c r="B1890" t="s">
        <v>4055</v>
      </c>
      <c r="C1890" t="s">
        <v>4056</v>
      </c>
      <c r="D1890" t="s">
        <v>4069</v>
      </c>
    </row>
    <row r="1891" spans="1:4" x14ac:dyDescent="0.3">
      <c r="A1891">
        <v>1018484247</v>
      </c>
      <c r="B1891" t="s">
        <v>4055</v>
      </c>
      <c r="C1891" t="s">
        <v>4056</v>
      </c>
      <c r="D1891" t="s">
        <v>4069</v>
      </c>
    </row>
    <row r="1892" spans="1:4" x14ac:dyDescent="0.3">
      <c r="A1892">
        <v>1018484247</v>
      </c>
      <c r="B1892" t="s">
        <v>4055</v>
      </c>
      <c r="C1892" t="s">
        <v>4056</v>
      </c>
      <c r="D1892" t="s">
        <v>4069</v>
      </c>
    </row>
    <row r="1893" spans="1:4" x14ac:dyDescent="0.3">
      <c r="A1893">
        <v>1018484247</v>
      </c>
      <c r="B1893" t="s">
        <v>4055</v>
      </c>
      <c r="C1893" t="s">
        <v>4056</v>
      </c>
      <c r="D1893" t="s">
        <v>4069</v>
      </c>
    </row>
    <row r="1894" spans="1:4" x14ac:dyDescent="0.3">
      <c r="A1894">
        <v>1018484247</v>
      </c>
      <c r="B1894" t="s">
        <v>4055</v>
      </c>
      <c r="C1894" t="s">
        <v>4056</v>
      </c>
      <c r="D1894" t="s">
        <v>4069</v>
      </c>
    </row>
    <row r="1895" spans="1:4" x14ac:dyDescent="0.3">
      <c r="A1895">
        <v>1018484247</v>
      </c>
      <c r="B1895" t="s">
        <v>4055</v>
      </c>
      <c r="C1895" t="s">
        <v>4056</v>
      </c>
      <c r="D1895" t="s">
        <v>4069</v>
      </c>
    </row>
    <row r="1896" spans="1:4" x14ac:dyDescent="0.3">
      <c r="A1896">
        <v>1018484247</v>
      </c>
      <c r="B1896" t="s">
        <v>4055</v>
      </c>
      <c r="C1896" t="s">
        <v>4056</v>
      </c>
      <c r="D1896" t="s">
        <v>4069</v>
      </c>
    </row>
    <row r="1897" spans="1:4" x14ac:dyDescent="0.3">
      <c r="A1897">
        <v>1018484247</v>
      </c>
      <c r="B1897" t="s">
        <v>4055</v>
      </c>
      <c r="C1897" t="s">
        <v>4056</v>
      </c>
      <c r="D1897" t="s">
        <v>4069</v>
      </c>
    </row>
    <row r="1898" spans="1:4" x14ac:dyDescent="0.3">
      <c r="A1898">
        <v>1018484247</v>
      </c>
      <c r="B1898" t="s">
        <v>4055</v>
      </c>
      <c r="C1898" t="s">
        <v>4056</v>
      </c>
      <c r="D1898" t="s">
        <v>4069</v>
      </c>
    </row>
    <row r="1899" spans="1:4" x14ac:dyDescent="0.3">
      <c r="A1899">
        <v>1018484247</v>
      </c>
      <c r="B1899" t="s">
        <v>4055</v>
      </c>
      <c r="C1899" t="s">
        <v>4056</v>
      </c>
      <c r="D1899" t="s">
        <v>4069</v>
      </c>
    </row>
    <row r="1900" spans="1:4" x14ac:dyDescent="0.3">
      <c r="A1900">
        <v>1018484247</v>
      </c>
      <c r="B1900" t="s">
        <v>4055</v>
      </c>
      <c r="C1900" t="s">
        <v>4056</v>
      </c>
      <c r="D1900" t="s">
        <v>4069</v>
      </c>
    </row>
    <row r="1901" spans="1:4" x14ac:dyDescent="0.3">
      <c r="A1901">
        <v>1018484247</v>
      </c>
      <c r="B1901" t="s">
        <v>4055</v>
      </c>
      <c r="C1901" t="s">
        <v>4056</v>
      </c>
      <c r="D1901" t="s">
        <v>4069</v>
      </c>
    </row>
    <row r="1902" spans="1:4" x14ac:dyDescent="0.3">
      <c r="A1902">
        <v>1018484247</v>
      </c>
      <c r="B1902" t="s">
        <v>4055</v>
      </c>
      <c r="C1902" t="s">
        <v>4056</v>
      </c>
      <c r="D1902" t="s">
        <v>4069</v>
      </c>
    </row>
    <row r="1903" spans="1:4" x14ac:dyDescent="0.3">
      <c r="A1903">
        <v>1018484247</v>
      </c>
      <c r="B1903" t="s">
        <v>4055</v>
      </c>
      <c r="C1903" t="s">
        <v>4056</v>
      </c>
      <c r="D1903" t="s">
        <v>4069</v>
      </c>
    </row>
    <row r="1904" spans="1:4" x14ac:dyDescent="0.3">
      <c r="A1904">
        <v>1018484247</v>
      </c>
      <c r="B1904" t="s">
        <v>4055</v>
      </c>
      <c r="C1904" t="s">
        <v>4056</v>
      </c>
      <c r="D1904" t="s">
        <v>4069</v>
      </c>
    </row>
    <row r="1905" spans="1:4" x14ac:dyDescent="0.3">
      <c r="A1905">
        <v>1018484247</v>
      </c>
      <c r="B1905" t="s">
        <v>4055</v>
      </c>
      <c r="C1905" t="s">
        <v>4056</v>
      </c>
      <c r="D1905" t="s">
        <v>4069</v>
      </c>
    </row>
    <row r="1906" spans="1:4" x14ac:dyDescent="0.3">
      <c r="A1906">
        <v>1018496066</v>
      </c>
      <c r="B1906" t="s">
        <v>3939</v>
      </c>
      <c r="C1906" t="s">
        <v>3934</v>
      </c>
      <c r="D1906" t="s">
        <v>4006</v>
      </c>
    </row>
    <row r="1907" spans="1:4" x14ac:dyDescent="0.3">
      <c r="A1907">
        <v>1018496066</v>
      </c>
      <c r="B1907" t="s">
        <v>3939</v>
      </c>
      <c r="C1907" t="s">
        <v>3934</v>
      </c>
      <c r="D1907" t="s">
        <v>4006</v>
      </c>
    </row>
    <row r="1908" spans="1:4" x14ac:dyDescent="0.3">
      <c r="A1908">
        <v>1018496066</v>
      </c>
      <c r="B1908" t="s">
        <v>3939</v>
      </c>
      <c r="C1908" t="s">
        <v>3934</v>
      </c>
      <c r="D1908" t="s">
        <v>4006</v>
      </c>
    </row>
    <row r="1909" spans="1:4" x14ac:dyDescent="0.3">
      <c r="A1909">
        <v>1018496066</v>
      </c>
      <c r="B1909" t="s">
        <v>3939</v>
      </c>
      <c r="C1909" t="s">
        <v>3934</v>
      </c>
      <c r="D1909" t="s">
        <v>4006</v>
      </c>
    </row>
    <row r="1910" spans="1:4" x14ac:dyDescent="0.3">
      <c r="A1910">
        <v>1018496066</v>
      </c>
      <c r="B1910" t="s">
        <v>3939</v>
      </c>
      <c r="C1910" t="s">
        <v>3934</v>
      </c>
      <c r="D1910" t="s">
        <v>4006</v>
      </c>
    </row>
    <row r="1911" spans="1:4" x14ac:dyDescent="0.3">
      <c r="A1911">
        <v>1018496066</v>
      </c>
      <c r="B1911" t="s">
        <v>3939</v>
      </c>
      <c r="C1911" t="s">
        <v>3934</v>
      </c>
      <c r="D1911" t="s">
        <v>4006</v>
      </c>
    </row>
    <row r="1912" spans="1:4" x14ac:dyDescent="0.3">
      <c r="A1912">
        <v>1018496066</v>
      </c>
      <c r="B1912" t="s">
        <v>3939</v>
      </c>
      <c r="C1912" t="s">
        <v>3934</v>
      </c>
      <c r="D1912" t="s">
        <v>4006</v>
      </c>
    </row>
    <row r="1913" spans="1:4" x14ac:dyDescent="0.3">
      <c r="A1913">
        <v>1018496066</v>
      </c>
      <c r="B1913" t="s">
        <v>3939</v>
      </c>
      <c r="C1913" t="s">
        <v>3934</v>
      </c>
      <c r="D1913" t="s">
        <v>4006</v>
      </c>
    </row>
    <row r="1914" spans="1:4" x14ac:dyDescent="0.3">
      <c r="A1914">
        <v>1018496066</v>
      </c>
      <c r="B1914" t="s">
        <v>3939</v>
      </c>
      <c r="C1914" t="s">
        <v>3934</v>
      </c>
      <c r="D1914" t="s">
        <v>4006</v>
      </c>
    </row>
    <row r="1915" spans="1:4" x14ac:dyDescent="0.3">
      <c r="A1915">
        <v>1018496066</v>
      </c>
      <c r="B1915" t="s">
        <v>3939</v>
      </c>
      <c r="C1915" t="s">
        <v>3934</v>
      </c>
      <c r="D1915" t="s">
        <v>4006</v>
      </c>
    </row>
    <row r="1916" spans="1:4" x14ac:dyDescent="0.3">
      <c r="A1916">
        <v>1018496066</v>
      </c>
      <c r="B1916" t="s">
        <v>3939</v>
      </c>
      <c r="C1916" t="s">
        <v>3934</v>
      </c>
      <c r="D1916" t="s">
        <v>4006</v>
      </c>
    </row>
    <row r="1917" spans="1:4" x14ac:dyDescent="0.3">
      <c r="A1917">
        <v>1018496066</v>
      </c>
      <c r="B1917" t="s">
        <v>3939</v>
      </c>
      <c r="C1917" t="s">
        <v>3934</v>
      </c>
      <c r="D1917" t="s">
        <v>4006</v>
      </c>
    </row>
    <row r="1918" spans="1:4" x14ac:dyDescent="0.3">
      <c r="A1918">
        <v>1018496066</v>
      </c>
      <c r="B1918" t="s">
        <v>3939</v>
      </c>
      <c r="C1918" t="s">
        <v>3934</v>
      </c>
      <c r="D1918" t="s">
        <v>4006</v>
      </c>
    </row>
    <row r="1919" spans="1:4" x14ac:dyDescent="0.3">
      <c r="A1919">
        <v>1018496066</v>
      </c>
      <c r="B1919" t="s">
        <v>3939</v>
      </c>
      <c r="C1919" t="s">
        <v>3934</v>
      </c>
      <c r="D1919" t="s">
        <v>4006</v>
      </c>
    </row>
    <row r="1920" spans="1:4" x14ac:dyDescent="0.3">
      <c r="A1920">
        <v>1018496066</v>
      </c>
      <c r="B1920" t="s">
        <v>3939</v>
      </c>
      <c r="C1920" t="s">
        <v>3934</v>
      </c>
      <c r="D1920" t="s">
        <v>4006</v>
      </c>
    </row>
    <row r="1921" spans="1:4" x14ac:dyDescent="0.3">
      <c r="A1921">
        <v>1018496066</v>
      </c>
      <c r="B1921" t="s">
        <v>3939</v>
      </c>
      <c r="C1921" t="s">
        <v>3934</v>
      </c>
      <c r="D1921" t="s">
        <v>4006</v>
      </c>
    </row>
    <row r="1922" spans="1:4" x14ac:dyDescent="0.3">
      <c r="A1922">
        <v>1018496066</v>
      </c>
      <c r="B1922" t="s">
        <v>3939</v>
      </c>
      <c r="C1922" t="s">
        <v>3934</v>
      </c>
      <c r="D1922" t="s">
        <v>4006</v>
      </c>
    </row>
    <row r="1923" spans="1:4" x14ac:dyDescent="0.3">
      <c r="A1923">
        <v>1018496066</v>
      </c>
      <c r="B1923" t="s">
        <v>3939</v>
      </c>
      <c r="C1923" t="s">
        <v>3934</v>
      </c>
      <c r="D1923" t="s">
        <v>4006</v>
      </c>
    </row>
    <row r="1924" spans="1:4" x14ac:dyDescent="0.3">
      <c r="A1924">
        <v>1018496066</v>
      </c>
      <c r="B1924" t="s">
        <v>3939</v>
      </c>
      <c r="C1924" t="s">
        <v>3934</v>
      </c>
      <c r="D1924" t="s">
        <v>4006</v>
      </c>
    </row>
    <row r="1925" spans="1:4" x14ac:dyDescent="0.3">
      <c r="A1925">
        <v>1018496066</v>
      </c>
      <c r="B1925" t="s">
        <v>3939</v>
      </c>
      <c r="C1925" t="s">
        <v>3934</v>
      </c>
      <c r="D1925" t="s">
        <v>4006</v>
      </c>
    </row>
    <row r="1926" spans="1:4" x14ac:dyDescent="0.3">
      <c r="A1926">
        <v>1018496066</v>
      </c>
      <c r="B1926" t="s">
        <v>3939</v>
      </c>
      <c r="C1926" t="s">
        <v>3934</v>
      </c>
      <c r="D1926" t="s">
        <v>4006</v>
      </c>
    </row>
    <row r="1927" spans="1:4" x14ac:dyDescent="0.3">
      <c r="A1927">
        <v>1018496066</v>
      </c>
      <c r="B1927" t="s">
        <v>3939</v>
      </c>
      <c r="C1927" t="s">
        <v>3934</v>
      </c>
      <c r="D1927" t="s">
        <v>4006</v>
      </c>
    </row>
    <row r="1928" spans="1:4" x14ac:dyDescent="0.3">
      <c r="A1928">
        <v>1018496066</v>
      </c>
      <c r="B1928" t="s">
        <v>3939</v>
      </c>
      <c r="C1928" t="s">
        <v>3934</v>
      </c>
      <c r="D1928" t="s">
        <v>4006</v>
      </c>
    </row>
    <row r="1929" spans="1:4" x14ac:dyDescent="0.3">
      <c r="A1929">
        <v>1019052150</v>
      </c>
      <c r="B1929" t="s">
        <v>4055</v>
      </c>
      <c r="C1929" t="s">
        <v>4056</v>
      </c>
      <c r="D1929" t="s">
        <v>4074</v>
      </c>
    </row>
    <row r="1930" spans="1:4" x14ac:dyDescent="0.3">
      <c r="A1930">
        <v>1019052150</v>
      </c>
      <c r="B1930" t="s">
        <v>4055</v>
      </c>
      <c r="C1930" t="s">
        <v>4056</v>
      </c>
      <c r="D1930" t="s">
        <v>4074</v>
      </c>
    </row>
    <row r="1931" spans="1:4" x14ac:dyDescent="0.3">
      <c r="A1931">
        <v>1019052150</v>
      </c>
      <c r="B1931" t="s">
        <v>4055</v>
      </c>
      <c r="C1931" t="s">
        <v>4056</v>
      </c>
      <c r="D1931" t="s">
        <v>4074</v>
      </c>
    </row>
    <row r="1932" spans="1:4" x14ac:dyDescent="0.3">
      <c r="A1932">
        <v>1019052150</v>
      </c>
      <c r="B1932" t="s">
        <v>4055</v>
      </c>
      <c r="C1932" t="s">
        <v>4056</v>
      </c>
      <c r="D1932" t="s">
        <v>4074</v>
      </c>
    </row>
    <row r="1933" spans="1:4" x14ac:dyDescent="0.3">
      <c r="A1933">
        <v>1019052150</v>
      </c>
      <c r="B1933" t="s">
        <v>4055</v>
      </c>
      <c r="C1933" t="s">
        <v>4056</v>
      </c>
      <c r="D1933" t="s">
        <v>4074</v>
      </c>
    </row>
    <row r="1934" spans="1:4" x14ac:dyDescent="0.3">
      <c r="A1934">
        <v>1019052150</v>
      </c>
      <c r="B1934" t="s">
        <v>4055</v>
      </c>
      <c r="C1934" t="s">
        <v>4056</v>
      </c>
      <c r="D1934" t="s">
        <v>4074</v>
      </c>
    </row>
    <row r="1935" spans="1:4" x14ac:dyDescent="0.3">
      <c r="A1935">
        <v>1019052150</v>
      </c>
      <c r="B1935" t="s">
        <v>4055</v>
      </c>
      <c r="C1935" t="s">
        <v>4056</v>
      </c>
      <c r="D1935" t="s">
        <v>4074</v>
      </c>
    </row>
    <row r="1936" spans="1:4" x14ac:dyDescent="0.3">
      <c r="A1936">
        <v>1019052150</v>
      </c>
      <c r="B1936" t="s">
        <v>4055</v>
      </c>
      <c r="C1936" t="s">
        <v>4056</v>
      </c>
      <c r="D1936" t="s">
        <v>4074</v>
      </c>
    </row>
    <row r="1937" spans="1:4" x14ac:dyDescent="0.3">
      <c r="A1937">
        <v>1019052150</v>
      </c>
      <c r="B1937" t="s">
        <v>4055</v>
      </c>
      <c r="C1937" t="s">
        <v>4056</v>
      </c>
      <c r="D1937" t="s">
        <v>4074</v>
      </c>
    </row>
    <row r="1938" spans="1:4" x14ac:dyDescent="0.3">
      <c r="A1938">
        <v>1019052150</v>
      </c>
      <c r="B1938" t="s">
        <v>4055</v>
      </c>
      <c r="C1938" t="s">
        <v>4056</v>
      </c>
      <c r="D1938" t="s">
        <v>4074</v>
      </c>
    </row>
    <row r="1939" spans="1:4" x14ac:dyDescent="0.3">
      <c r="A1939">
        <v>1019052150</v>
      </c>
      <c r="B1939" t="s">
        <v>4055</v>
      </c>
      <c r="C1939" t="s">
        <v>4056</v>
      </c>
      <c r="D1939" t="s">
        <v>4074</v>
      </c>
    </row>
    <row r="1940" spans="1:4" x14ac:dyDescent="0.3">
      <c r="A1940">
        <v>1019052150</v>
      </c>
      <c r="B1940" t="s">
        <v>4055</v>
      </c>
      <c r="C1940" t="s">
        <v>4056</v>
      </c>
      <c r="D1940" t="s">
        <v>4074</v>
      </c>
    </row>
    <row r="1941" spans="1:4" x14ac:dyDescent="0.3">
      <c r="A1941">
        <v>1019052150</v>
      </c>
      <c r="B1941" t="s">
        <v>4055</v>
      </c>
      <c r="C1941" t="s">
        <v>4056</v>
      </c>
      <c r="D1941" t="s">
        <v>4074</v>
      </c>
    </row>
    <row r="1942" spans="1:4" x14ac:dyDescent="0.3">
      <c r="A1942">
        <v>1019052150</v>
      </c>
      <c r="B1942" t="s">
        <v>4055</v>
      </c>
      <c r="C1942" t="s">
        <v>4056</v>
      </c>
      <c r="D1942" t="s">
        <v>4074</v>
      </c>
    </row>
    <row r="1943" spans="1:4" x14ac:dyDescent="0.3">
      <c r="A1943">
        <v>1019052150</v>
      </c>
      <c r="B1943" t="s">
        <v>4055</v>
      </c>
      <c r="C1943" t="s">
        <v>4056</v>
      </c>
      <c r="D1943" t="s">
        <v>4074</v>
      </c>
    </row>
    <row r="1944" spans="1:4" x14ac:dyDescent="0.3">
      <c r="A1944">
        <v>1019052150</v>
      </c>
      <c r="B1944" t="s">
        <v>4055</v>
      </c>
      <c r="C1944" t="s">
        <v>4056</v>
      </c>
      <c r="D1944" t="s">
        <v>4074</v>
      </c>
    </row>
    <row r="1945" spans="1:4" x14ac:dyDescent="0.3">
      <c r="A1945">
        <v>1019052150</v>
      </c>
      <c r="B1945" t="s">
        <v>4055</v>
      </c>
      <c r="C1945" t="s">
        <v>4056</v>
      </c>
      <c r="D1945" t="s">
        <v>4074</v>
      </c>
    </row>
    <row r="1946" spans="1:4" x14ac:dyDescent="0.3">
      <c r="A1946">
        <v>1019068131</v>
      </c>
      <c r="B1946" t="s">
        <v>3948</v>
      </c>
      <c r="C1946" t="s">
        <v>3937</v>
      </c>
      <c r="D1946" t="s">
        <v>4066</v>
      </c>
    </row>
    <row r="1947" spans="1:4" x14ac:dyDescent="0.3">
      <c r="A1947">
        <v>1019068131</v>
      </c>
      <c r="B1947" t="s">
        <v>3948</v>
      </c>
      <c r="C1947" t="s">
        <v>3937</v>
      </c>
      <c r="D1947" t="s">
        <v>4066</v>
      </c>
    </row>
    <row r="1948" spans="1:4" x14ac:dyDescent="0.3">
      <c r="A1948">
        <v>1019068131</v>
      </c>
      <c r="B1948" t="s">
        <v>3948</v>
      </c>
      <c r="C1948" t="s">
        <v>3937</v>
      </c>
      <c r="D1948" t="s">
        <v>4066</v>
      </c>
    </row>
    <row r="1949" spans="1:4" x14ac:dyDescent="0.3">
      <c r="A1949">
        <v>1019068131</v>
      </c>
      <c r="B1949" t="s">
        <v>3948</v>
      </c>
      <c r="C1949" t="s">
        <v>3937</v>
      </c>
      <c r="D1949" t="s">
        <v>4066</v>
      </c>
    </row>
    <row r="1950" spans="1:4" x14ac:dyDescent="0.3">
      <c r="A1950">
        <v>1019068131</v>
      </c>
      <c r="B1950" t="s">
        <v>3948</v>
      </c>
      <c r="C1950" t="s">
        <v>3937</v>
      </c>
      <c r="D1950" t="s">
        <v>4066</v>
      </c>
    </row>
    <row r="1951" spans="1:4" x14ac:dyDescent="0.3">
      <c r="A1951">
        <v>1019068131</v>
      </c>
      <c r="B1951" t="s">
        <v>3948</v>
      </c>
      <c r="C1951" t="s">
        <v>3937</v>
      </c>
      <c r="D1951" t="s">
        <v>4066</v>
      </c>
    </row>
    <row r="1952" spans="1:4" x14ac:dyDescent="0.3">
      <c r="A1952">
        <v>1019068131</v>
      </c>
      <c r="B1952" t="s">
        <v>3948</v>
      </c>
      <c r="C1952" t="s">
        <v>3937</v>
      </c>
      <c r="D1952" t="s">
        <v>4066</v>
      </c>
    </row>
    <row r="1953" spans="1:4" x14ac:dyDescent="0.3">
      <c r="A1953">
        <v>1019068131</v>
      </c>
      <c r="B1953" t="s">
        <v>3948</v>
      </c>
      <c r="C1953" t="s">
        <v>3937</v>
      </c>
      <c r="D1953" t="s">
        <v>4066</v>
      </c>
    </row>
    <row r="1954" spans="1:4" x14ac:dyDescent="0.3">
      <c r="A1954">
        <v>1019068131</v>
      </c>
      <c r="B1954" t="s">
        <v>3948</v>
      </c>
      <c r="C1954" t="s">
        <v>3937</v>
      </c>
      <c r="D1954" t="s">
        <v>4066</v>
      </c>
    </row>
    <row r="1955" spans="1:4" x14ac:dyDescent="0.3">
      <c r="A1955">
        <v>1019068131</v>
      </c>
      <c r="B1955" t="s">
        <v>3948</v>
      </c>
      <c r="C1955" t="s">
        <v>3937</v>
      </c>
      <c r="D1955" t="s">
        <v>4066</v>
      </c>
    </row>
    <row r="1956" spans="1:4" x14ac:dyDescent="0.3">
      <c r="A1956">
        <v>1019068131</v>
      </c>
      <c r="B1956" t="s">
        <v>3948</v>
      </c>
      <c r="C1956" t="s">
        <v>3937</v>
      </c>
      <c r="D1956" t="s">
        <v>4066</v>
      </c>
    </row>
    <row r="1957" spans="1:4" x14ac:dyDescent="0.3">
      <c r="A1957">
        <v>1019068131</v>
      </c>
      <c r="B1957" t="s">
        <v>3948</v>
      </c>
      <c r="C1957" t="s">
        <v>3937</v>
      </c>
      <c r="D1957" t="s">
        <v>4066</v>
      </c>
    </row>
    <row r="1958" spans="1:4" x14ac:dyDescent="0.3">
      <c r="A1958">
        <v>1019068131</v>
      </c>
      <c r="B1958" t="s">
        <v>3948</v>
      </c>
      <c r="C1958" t="s">
        <v>3937</v>
      </c>
      <c r="D1958" t="s">
        <v>4066</v>
      </c>
    </row>
    <row r="1959" spans="1:4" x14ac:dyDescent="0.3">
      <c r="A1959">
        <v>1019068131</v>
      </c>
      <c r="B1959" t="s">
        <v>3948</v>
      </c>
      <c r="C1959" t="s">
        <v>3937</v>
      </c>
      <c r="D1959" t="s">
        <v>4066</v>
      </c>
    </row>
    <row r="1960" spans="1:4" x14ac:dyDescent="0.3">
      <c r="A1960">
        <v>1019068131</v>
      </c>
      <c r="B1960" t="s">
        <v>3948</v>
      </c>
      <c r="C1960" t="s">
        <v>3937</v>
      </c>
      <c r="D1960" t="s">
        <v>4066</v>
      </c>
    </row>
    <row r="1961" spans="1:4" x14ac:dyDescent="0.3">
      <c r="A1961">
        <v>1019068131</v>
      </c>
      <c r="B1961" t="s">
        <v>3948</v>
      </c>
      <c r="C1961" t="s">
        <v>3937</v>
      </c>
      <c r="D1961" t="s">
        <v>4066</v>
      </c>
    </row>
    <row r="1962" spans="1:4" x14ac:dyDescent="0.3">
      <c r="A1962">
        <v>1019068131</v>
      </c>
      <c r="B1962" t="s">
        <v>3948</v>
      </c>
      <c r="C1962" t="s">
        <v>3937</v>
      </c>
      <c r="D1962" t="s">
        <v>4066</v>
      </c>
    </row>
    <row r="1963" spans="1:4" x14ac:dyDescent="0.3">
      <c r="A1963">
        <v>1019068131</v>
      </c>
      <c r="B1963" t="s">
        <v>3948</v>
      </c>
      <c r="C1963" t="s">
        <v>3937</v>
      </c>
      <c r="D1963" t="s">
        <v>4066</v>
      </c>
    </row>
    <row r="1964" spans="1:4" x14ac:dyDescent="0.3">
      <c r="A1964">
        <v>1019068131</v>
      </c>
      <c r="B1964" t="s">
        <v>3948</v>
      </c>
      <c r="C1964" t="s">
        <v>3937</v>
      </c>
      <c r="D1964" t="s">
        <v>4066</v>
      </c>
    </row>
    <row r="1965" spans="1:4" x14ac:dyDescent="0.3">
      <c r="A1965">
        <v>1019068131</v>
      </c>
      <c r="B1965" t="s">
        <v>3948</v>
      </c>
      <c r="C1965" t="s">
        <v>3937</v>
      </c>
      <c r="D1965" t="s">
        <v>4066</v>
      </c>
    </row>
    <row r="1966" spans="1:4" x14ac:dyDescent="0.3">
      <c r="A1966">
        <v>1019068131</v>
      </c>
      <c r="B1966" t="s">
        <v>3948</v>
      </c>
      <c r="C1966" t="s">
        <v>3937</v>
      </c>
      <c r="D1966" t="s">
        <v>4066</v>
      </c>
    </row>
    <row r="1967" spans="1:4" x14ac:dyDescent="0.3">
      <c r="A1967">
        <v>1019068131</v>
      </c>
      <c r="B1967" t="s">
        <v>3948</v>
      </c>
      <c r="C1967" t="s">
        <v>3937</v>
      </c>
      <c r="D1967" t="s">
        <v>4066</v>
      </c>
    </row>
    <row r="1968" spans="1:4" x14ac:dyDescent="0.3">
      <c r="A1968">
        <v>1019068131</v>
      </c>
      <c r="B1968" t="s">
        <v>3948</v>
      </c>
      <c r="C1968" t="s">
        <v>3937</v>
      </c>
      <c r="D1968" t="s">
        <v>4066</v>
      </c>
    </row>
    <row r="1969" spans="1:4" x14ac:dyDescent="0.3">
      <c r="A1969">
        <v>1019068131</v>
      </c>
      <c r="B1969" t="s">
        <v>3948</v>
      </c>
      <c r="C1969" t="s">
        <v>3937</v>
      </c>
      <c r="D1969" t="s">
        <v>4066</v>
      </c>
    </row>
    <row r="1970" spans="1:4" x14ac:dyDescent="0.3">
      <c r="A1970">
        <v>1019068131</v>
      </c>
      <c r="B1970" t="s">
        <v>3948</v>
      </c>
      <c r="C1970" t="s">
        <v>3937</v>
      </c>
      <c r="D1970" t="s">
        <v>4066</v>
      </c>
    </row>
    <row r="1971" spans="1:4" x14ac:dyDescent="0.3">
      <c r="A1971">
        <v>1019068131</v>
      </c>
      <c r="B1971" t="s">
        <v>3948</v>
      </c>
      <c r="C1971" t="s">
        <v>3937</v>
      </c>
      <c r="D1971" t="s">
        <v>4066</v>
      </c>
    </row>
    <row r="1972" spans="1:4" x14ac:dyDescent="0.3">
      <c r="A1972">
        <v>1019068131</v>
      </c>
      <c r="B1972" t="s">
        <v>3948</v>
      </c>
      <c r="C1972" t="s">
        <v>3937</v>
      </c>
      <c r="D1972" t="s">
        <v>4066</v>
      </c>
    </row>
    <row r="1973" spans="1:4" x14ac:dyDescent="0.3">
      <c r="A1973">
        <v>1019068131</v>
      </c>
      <c r="B1973" t="s">
        <v>3948</v>
      </c>
      <c r="C1973" t="s">
        <v>3937</v>
      </c>
      <c r="D1973" t="s">
        <v>4066</v>
      </c>
    </row>
    <row r="1974" spans="1:4" x14ac:dyDescent="0.3">
      <c r="A1974">
        <v>1019068131</v>
      </c>
      <c r="B1974" t="s">
        <v>3948</v>
      </c>
      <c r="C1974" t="s">
        <v>3937</v>
      </c>
      <c r="D1974" t="s">
        <v>4066</v>
      </c>
    </row>
    <row r="1975" spans="1:4" x14ac:dyDescent="0.3">
      <c r="A1975">
        <v>1019068131</v>
      </c>
      <c r="B1975" t="s">
        <v>3948</v>
      </c>
      <c r="C1975" t="s">
        <v>3937</v>
      </c>
      <c r="D1975" t="s">
        <v>4066</v>
      </c>
    </row>
    <row r="1976" spans="1:4" x14ac:dyDescent="0.3">
      <c r="A1976">
        <v>1019080589</v>
      </c>
      <c r="B1976" t="s">
        <v>3963</v>
      </c>
      <c r="C1976" t="s">
        <v>3934</v>
      </c>
      <c r="D1976" t="s">
        <v>4001</v>
      </c>
    </row>
    <row r="1977" spans="1:4" x14ac:dyDescent="0.3">
      <c r="A1977">
        <v>1019102787</v>
      </c>
      <c r="B1977" t="s">
        <v>3977</v>
      </c>
      <c r="C1977" t="s">
        <v>3970</v>
      </c>
      <c r="D1977" t="s">
        <v>3976</v>
      </c>
    </row>
    <row r="1978" spans="1:4" x14ac:dyDescent="0.3">
      <c r="A1978">
        <v>1019102787</v>
      </c>
      <c r="B1978" t="s">
        <v>3977</v>
      </c>
      <c r="C1978" t="s">
        <v>3970</v>
      </c>
      <c r="D1978" t="s">
        <v>3976</v>
      </c>
    </row>
    <row r="1979" spans="1:4" x14ac:dyDescent="0.3">
      <c r="A1979">
        <v>1019102787</v>
      </c>
      <c r="B1979" t="s">
        <v>3977</v>
      </c>
      <c r="C1979" t="s">
        <v>3970</v>
      </c>
      <c r="D1979" t="s">
        <v>3976</v>
      </c>
    </row>
    <row r="1980" spans="1:4" x14ac:dyDescent="0.3">
      <c r="A1980">
        <v>1019102787</v>
      </c>
      <c r="B1980" t="s">
        <v>3977</v>
      </c>
      <c r="C1980" t="s">
        <v>3970</v>
      </c>
      <c r="D1980" t="s">
        <v>3976</v>
      </c>
    </row>
    <row r="1981" spans="1:4" x14ac:dyDescent="0.3">
      <c r="A1981">
        <v>1019102787</v>
      </c>
      <c r="B1981" t="s">
        <v>3977</v>
      </c>
      <c r="C1981" t="s">
        <v>3970</v>
      </c>
      <c r="D1981" t="s">
        <v>3976</v>
      </c>
    </row>
    <row r="1982" spans="1:4" x14ac:dyDescent="0.3">
      <c r="A1982">
        <v>1019102787</v>
      </c>
      <c r="B1982" t="s">
        <v>3977</v>
      </c>
      <c r="C1982" t="s">
        <v>3970</v>
      </c>
      <c r="D1982" t="s">
        <v>3976</v>
      </c>
    </row>
    <row r="1983" spans="1:4" x14ac:dyDescent="0.3">
      <c r="A1983">
        <v>1019102787</v>
      </c>
      <c r="B1983" t="s">
        <v>3977</v>
      </c>
      <c r="C1983" t="s">
        <v>3970</v>
      </c>
      <c r="D1983" t="s">
        <v>3976</v>
      </c>
    </row>
    <row r="1984" spans="1:4" x14ac:dyDescent="0.3">
      <c r="A1984">
        <v>1019102787</v>
      </c>
      <c r="B1984" t="s">
        <v>3977</v>
      </c>
      <c r="C1984" t="s">
        <v>3970</v>
      </c>
      <c r="D1984" t="s">
        <v>3976</v>
      </c>
    </row>
    <row r="1985" spans="1:4" x14ac:dyDescent="0.3">
      <c r="A1985">
        <v>1019102787</v>
      </c>
      <c r="B1985" t="s">
        <v>3977</v>
      </c>
      <c r="C1985" t="s">
        <v>3970</v>
      </c>
      <c r="D1985" t="s">
        <v>3976</v>
      </c>
    </row>
    <row r="1986" spans="1:4" x14ac:dyDescent="0.3">
      <c r="A1986">
        <v>1019102787</v>
      </c>
      <c r="B1986" t="s">
        <v>3977</v>
      </c>
      <c r="C1986" t="s">
        <v>3970</v>
      </c>
      <c r="D1986" t="s">
        <v>3976</v>
      </c>
    </row>
    <row r="1987" spans="1:4" x14ac:dyDescent="0.3">
      <c r="A1987">
        <v>1019102787</v>
      </c>
      <c r="B1987" t="s">
        <v>3977</v>
      </c>
      <c r="C1987" t="s">
        <v>3970</v>
      </c>
      <c r="D1987" t="s">
        <v>3976</v>
      </c>
    </row>
    <row r="1988" spans="1:4" x14ac:dyDescent="0.3">
      <c r="A1988">
        <v>1019102787</v>
      </c>
      <c r="B1988" t="s">
        <v>3977</v>
      </c>
      <c r="C1988" t="s">
        <v>3970</v>
      </c>
      <c r="D1988" t="s">
        <v>3976</v>
      </c>
    </row>
    <row r="1989" spans="1:4" x14ac:dyDescent="0.3">
      <c r="A1989">
        <v>1019102787</v>
      </c>
      <c r="B1989" t="s">
        <v>3977</v>
      </c>
      <c r="C1989" t="s">
        <v>3970</v>
      </c>
      <c r="D1989" t="s">
        <v>3976</v>
      </c>
    </row>
    <row r="1990" spans="1:4" x14ac:dyDescent="0.3">
      <c r="A1990">
        <v>1019102787</v>
      </c>
      <c r="B1990" t="s">
        <v>3977</v>
      </c>
      <c r="C1990" t="s">
        <v>3970</v>
      </c>
      <c r="D1990" t="s">
        <v>3976</v>
      </c>
    </row>
    <row r="1991" spans="1:4" x14ac:dyDescent="0.3">
      <c r="A1991">
        <v>1019102787</v>
      </c>
      <c r="B1991" t="s">
        <v>3977</v>
      </c>
      <c r="C1991" t="s">
        <v>3970</v>
      </c>
      <c r="D1991" t="s">
        <v>3976</v>
      </c>
    </row>
    <row r="1992" spans="1:4" x14ac:dyDescent="0.3">
      <c r="A1992">
        <v>1019102787</v>
      </c>
      <c r="B1992" t="s">
        <v>3977</v>
      </c>
      <c r="C1992" t="s">
        <v>3970</v>
      </c>
      <c r="D1992" t="s">
        <v>3976</v>
      </c>
    </row>
    <row r="1993" spans="1:4" x14ac:dyDescent="0.3">
      <c r="A1993">
        <v>1019102787</v>
      </c>
      <c r="B1993" t="s">
        <v>3977</v>
      </c>
      <c r="C1993" t="s">
        <v>3970</v>
      </c>
      <c r="D1993" t="s">
        <v>3976</v>
      </c>
    </row>
    <row r="1994" spans="1:4" x14ac:dyDescent="0.3">
      <c r="A1994">
        <v>1019102787</v>
      </c>
      <c r="B1994" t="s">
        <v>3977</v>
      </c>
      <c r="C1994" t="s">
        <v>3970</v>
      </c>
      <c r="D1994" t="s">
        <v>3976</v>
      </c>
    </row>
    <row r="1995" spans="1:4" x14ac:dyDescent="0.3">
      <c r="A1995">
        <v>1019102787</v>
      </c>
      <c r="B1995" t="s">
        <v>3977</v>
      </c>
      <c r="C1995" t="s">
        <v>3970</v>
      </c>
      <c r="D1995" t="s">
        <v>3976</v>
      </c>
    </row>
    <row r="1996" spans="1:4" x14ac:dyDescent="0.3">
      <c r="A1996">
        <v>1019102787</v>
      </c>
      <c r="B1996" t="s">
        <v>3977</v>
      </c>
      <c r="C1996" t="s">
        <v>3970</v>
      </c>
      <c r="D1996" t="s">
        <v>3976</v>
      </c>
    </row>
    <row r="1997" spans="1:4" x14ac:dyDescent="0.3">
      <c r="A1997">
        <v>1019102787</v>
      </c>
      <c r="B1997" t="s">
        <v>3977</v>
      </c>
      <c r="C1997" t="s">
        <v>3970</v>
      </c>
      <c r="D1997" t="s">
        <v>3976</v>
      </c>
    </row>
    <row r="1998" spans="1:4" x14ac:dyDescent="0.3">
      <c r="A1998">
        <v>1019102787</v>
      </c>
      <c r="B1998" t="s">
        <v>3977</v>
      </c>
      <c r="C1998" t="s">
        <v>3970</v>
      </c>
      <c r="D1998" t="s">
        <v>3976</v>
      </c>
    </row>
    <row r="1999" spans="1:4" x14ac:dyDescent="0.3">
      <c r="A1999">
        <v>1019102787</v>
      </c>
      <c r="B1999" t="s">
        <v>3977</v>
      </c>
      <c r="C1999" t="s">
        <v>3970</v>
      </c>
      <c r="D1999" t="s">
        <v>3976</v>
      </c>
    </row>
    <row r="2000" spans="1:4" x14ac:dyDescent="0.3">
      <c r="A2000">
        <v>1019102787</v>
      </c>
      <c r="B2000" t="s">
        <v>3977</v>
      </c>
      <c r="C2000" t="s">
        <v>3970</v>
      </c>
      <c r="D2000" t="s">
        <v>3976</v>
      </c>
    </row>
    <row r="2001" spans="1:4" x14ac:dyDescent="0.3">
      <c r="A2001">
        <v>1019102787</v>
      </c>
      <c r="B2001" t="s">
        <v>3977</v>
      </c>
      <c r="C2001" t="s">
        <v>3970</v>
      </c>
      <c r="D2001" t="s">
        <v>3976</v>
      </c>
    </row>
    <row r="2002" spans="1:4" x14ac:dyDescent="0.3">
      <c r="A2002">
        <v>1019102787</v>
      </c>
      <c r="B2002" t="s">
        <v>3977</v>
      </c>
      <c r="C2002" t="s">
        <v>3970</v>
      </c>
      <c r="D2002" t="s">
        <v>3976</v>
      </c>
    </row>
    <row r="2003" spans="1:4" x14ac:dyDescent="0.3">
      <c r="A2003">
        <v>1019102787</v>
      </c>
      <c r="B2003" t="s">
        <v>3977</v>
      </c>
      <c r="C2003" t="s">
        <v>3970</v>
      </c>
      <c r="D2003" t="s">
        <v>3976</v>
      </c>
    </row>
    <row r="2004" spans="1:4" x14ac:dyDescent="0.3">
      <c r="A2004">
        <v>1019102787</v>
      </c>
      <c r="B2004" t="s">
        <v>3977</v>
      </c>
      <c r="C2004" t="s">
        <v>3970</v>
      </c>
      <c r="D2004" t="s">
        <v>3976</v>
      </c>
    </row>
    <row r="2005" spans="1:4" x14ac:dyDescent="0.3">
      <c r="A2005">
        <v>1019102787</v>
      </c>
      <c r="B2005" t="s">
        <v>3977</v>
      </c>
      <c r="C2005" t="s">
        <v>3970</v>
      </c>
      <c r="D2005" t="s">
        <v>3976</v>
      </c>
    </row>
    <row r="2006" spans="1:4" x14ac:dyDescent="0.3">
      <c r="A2006">
        <v>1019102787</v>
      </c>
      <c r="B2006" t="s">
        <v>3977</v>
      </c>
      <c r="C2006" t="s">
        <v>3970</v>
      </c>
      <c r="D2006" t="s">
        <v>3976</v>
      </c>
    </row>
    <row r="2007" spans="1:4" x14ac:dyDescent="0.3">
      <c r="A2007">
        <v>1019102787</v>
      </c>
      <c r="B2007" t="s">
        <v>3977</v>
      </c>
      <c r="C2007" t="s">
        <v>3970</v>
      </c>
      <c r="D2007" t="s">
        <v>3976</v>
      </c>
    </row>
    <row r="2008" spans="1:4" x14ac:dyDescent="0.3">
      <c r="A2008">
        <v>1019102787</v>
      </c>
      <c r="B2008" t="s">
        <v>3977</v>
      </c>
      <c r="C2008" t="s">
        <v>3970</v>
      </c>
      <c r="D2008" t="s">
        <v>3976</v>
      </c>
    </row>
    <row r="2009" spans="1:4" x14ac:dyDescent="0.3">
      <c r="A2009">
        <v>1019102787</v>
      </c>
      <c r="B2009" t="s">
        <v>3977</v>
      </c>
      <c r="C2009" t="s">
        <v>3970</v>
      </c>
      <c r="D2009" t="s">
        <v>3976</v>
      </c>
    </row>
    <row r="2010" spans="1:4" x14ac:dyDescent="0.3">
      <c r="A2010">
        <v>1019102787</v>
      </c>
      <c r="B2010" t="s">
        <v>3977</v>
      </c>
      <c r="C2010" t="s">
        <v>3970</v>
      </c>
      <c r="D2010" t="s">
        <v>3976</v>
      </c>
    </row>
    <row r="2011" spans="1:4" x14ac:dyDescent="0.3">
      <c r="A2011">
        <v>1019102787</v>
      </c>
      <c r="B2011" t="s">
        <v>3977</v>
      </c>
      <c r="C2011" t="s">
        <v>3970</v>
      </c>
      <c r="D2011" t="s">
        <v>3976</v>
      </c>
    </row>
    <row r="2012" spans="1:4" x14ac:dyDescent="0.3">
      <c r="A2012">
        <v>1019102787</v>
      </c>
      <c r="B2012" t="s">
        <v>3977</v>
      </c>
      <c r="C2012" t="s">
        <v>3970</v>
      </c>
      <c r="D2012" t="s">
        <v>3976</v>
      </c>
    </row>
    <row r="2013" spans="1:4" x14ac:dyDescent="0.3">
      <c r="A2013">
        <v>1019102787</v>
      </c>
      <c r="B2013" t="s">
        <v>3977</v>
      </c>
      <c r="C2013" t="s">
        <v>3970</v>
      </c>
      <c r="D2013" t="s">
        <v>3976</v>
      </c>
    </row>
    <row r="2014" spans="1:4" x14ac:dyDescent="0.3">
      <c r="A2014">
        <v>1019102787</v>
      </c>
      <c r="B2014" t="s">
        <v>3977</v>
      </c>
      <c r="C2014" t="s">
        <v>3970</v>
      </c>
      <c r="D2014" t="s">
        <v>3976</v>
      </c>
    </row>
    <row r="2015" spans="1:4" x14ac:dyDescent="0.3">
      <c r="A2015">
        <v>1019102787</v>
      </c>
      <c r="B2015" t="s">
        <v>3977</v>
      </c>
      <c r="C2015" t="s">
        <v>3970</v>
      </c>
      <c r="D2015" t="s">
        <v>3976</v>
      </c>
    </row>
    <row r="2016" spans="1:4" x14ac:dyDescent="0.3">
      <c r="A2016">
        <v>1019102787</v>
      </c>
      <c r="B2016" t="s">
        <v>3977</v>
      </c>
      <c r="C2016" t="s">
        <v>3970</v>
      </c>
      <c r="D2016" t="s">
        <v>3976</v>
      </c>
    </row>
    <row r="2017" spans="1:4" x14ac:dyDescent="0.3">
      <c r="A2017">
        <v>1019102787</v>
      </c>
      <c r="B2017" t="s">
        <v>3977</v>
      </c>
      <c r="C2017" t="s">
        <v>3970</v>
      </c>
      <c r="D2017" t="s">
        <v>3976</v>
      </c>
    </row>
    <row r="2018" spans="1:4" x14ac:dyDescent="0.3">
      <c r="A2018">
        <v>1019102787</v>
      </c>
      <c r="B2018" t="s">
        <v>3977</v>
      </c>
      <c r="C2018" t="s">
        <v>3970</v>
      </c>
      <c r="D2018" t="s">
        <v>3976</v>
      </c>
    </row>
    <row r="2019" spans="1:4" x14ac:dyDescent="0.3">
      <c r="A2019">
        <v>1019102787</v>
      </c>
      <c r="B2019" t="s">
        <v>3977</v>
      </c>
      <c r="C2019" t="s">
        <v>3970</v>
      </c>
      <c r="D2019" t="s">
        <v>3976</v>
      </c>
    </row>
    <row r="2020" spans="1:4" x14ac:dyDescent="0.3">
      <c r="A2020">
        <v>1019102787</v>
      </c>
      <c r="B2020" t="s">
        <v>3977</v>
      </c>
      <c r="C2020" t="s">
        <v>3970</v>
      </c>
      <c r="D2020" t="s">
        <v>3976</v>
      </c>
    </row>
    <row r="2021" spans="1:4" x14ac:dyDescent="0.3">
      <c r="A2021">
        <v>1019102787</v>
      </c>
      <c r="B2021" t="s">
        <v>3977</v>
      </c>
      <c r="C2021" t="s">
        <v>3970</v>
      </c>
      <c r="D2021" t="s">
        <v>3976</v>
      </c>
    </row>
    <row r="2022" spans="1:4" x14ac:dyDescent="0.3">
      <c r="A2022">
        <v>1019102787</v>
      </c>
      <c r="B2022" t="s">
        <v>3977</v>
      </c>
      <c r="C2022" t="s">
        <v>3970</v>
      </c>
      <c r="D2022" t="s">
        <v>3976</v>
      </c>
    </row>
    <row r="2023" spans="1:4" x14ac:dyDescent="0.3">
      <c r="A2023">
        <v>1019102787</v>
      </c>
      <c r="B2023" t="s">
        <v>3977</v>
      </c>
      <c r="C2023" t="s">
        <v>3970</v>
      </c>
      <c r="D2023" t="s">
        <v>3976</v>
      </c>
    </row>
    <row r="2024" spans="1:4" x14ac:dyDescent="0.3">
      <c r="A2024">
        <v>1019102787</v>
      </c>
      <c r="B2024" t="s">
        <v>3977</v>
      </c>
      <c r="C2024" t="s">
        <v>3970</v>
      </c>
      <c r="D2024" t="s">
        <v>3976</v>
      </c>
    </row>
    <row r="2025" spans="1:4" x14ac:dyDescent="0.3">
      <c r="A2025">
        <v>1019102787</v>
      </c>
      <c r="B2025" t="s">
        <v>3977</v>
      </c>
      <c r="C2025" t="s">
        <v>3970</v>
      </c>
      <c r="D2025" t="s">
        <v>3976</v>
      </c>
    </row>
    <row r="2026" spans="1:4" x14ac:dyDescent="0.3">
      <c r="A2026">
        <v>1019102787</v>
      </c>
      <c r="B2026" t="s">
        <v>3977</v>
      </c>
      <c r="C2026" t="s">
        <v>3970</v>
      </c>
      <c r="D2026" t="s">
        <v>3976</v>
      </c>
    </row>
    <row r="2027" spans="1:4" x14ac:dyDescent="0.3">
      <c r="A2027">
        <v>1019102787</v>
      </c>
      <c r="B2027" t="s">
        <v>3977</v>
      </c>
      <c r="C2027" t="s">
        <v>3970</v>
      </c>
      <c r="D2027" t="s">
        <v>3976</v>
      </c>
    </row>
    <row r="2028" spans="1:4" x14ac:dyDescent="0.3">
      <c r="A2028">
        <v>1019102787</v>
      </c>
      <c r="B2028" t="s">
        <v>3977</v>
      </c>
      <c r="C2028" t="s">
        <v>3970</v>
      </c>
      <c r="D2028" t="s">
        <v>3976</v>
      </c>
    </row>
    <row r="2029" spans="1:4" x14ac:dyDescent="0.3">
      <c r="A2029">
        <v>1019102787</v>
      </c>
      <c r="B2029" t="s">
        <v>3977</v>
      </c>
      <c r="C2029" t="s">
        <v>3970</v>
      </c>
      <c r="D2029" t="s">
        <v>3976</v>
      </c>
    </row>
    <row r="2030" spans="1:4" x14ac:dyDescent="0.3">
      <c r="A2030">
        <v>1019102787</v>
      </c>
      <c r="B2030" t="s">
        <v>3977</v>
      </c>
      <c r="C2030" t="s">
        <v>3970</v>
      </c>
      <c r="D2030" t="s">
        <v>3976</v>
      </c>
    </row>
    <row r="2031" spans="1:4" x14ac:dyDescent="0.3">
      <c r="A2031">
        <v>1019102787</v>
      </c>
      <c r="B2031" t="s">
        <v>3977</v>
      </c>
      <c r="C2031" t="s">
        <v>3970</v>
      </c>
      <c r="D2031" t="s">
        <v>3976</v>
      </c>
    </row>
    <row r="2032" spans="1:4" x14ac:dyDescent="0.3">
      <c r="A2032">
        <v>1019102787</v>
      </c>
      <c r="B2032" t="s">
        <v>3977</v>
      </c>
      <c r="C2032" t="s">
        <v>3970</v>
      </c>
      <c r="D2032" t="s">
        <v>3976</v>
      </c>
    </row>
    <row r="2033" spans="1:4" x14ac:dyDescent="0.3">
      <c r="A2033">
        <v>1019102787</v>
      </c>
      <c r="B2033" t="s">
        <v>3977</v>
      </c>
      <c r="C2033" t="s">
        <v>3970</v>
      </c>
      <c r="D2033" t="s">
        <v>3976</v>
      </c>
    </row>
    <row r="2034" spans="1:4" x14ac:dyDescent="0.3">
      <c r="A2034">
        <v>1019102787</v>
      </c>
      <c r="B2034" t="s">
        <v>3977</v>
      </c>
      <c r="C2034" t="s">
        <v>3970</v>
      </c>
      <c r="D2034" t="s">
        <v>3976</v>
      </c>
    </row>
    <row r="2035" spans="1:4" x14ac:dyDescent="0.3">
      <c r="A2035">
        <v>1019102787</v>
      </c>
      <c r="B2035" t="s">
        <v>3977</v>
      </c>
      <c r="C2035" t="s">
        <v>3970</v>
      </c>
      <c r="D2035" t="s">
        <v>3976</v>
      </c>
    </row>
    <row r="2036" spans="1:4" x14ac:dyDescent="0.3">
      <c r="A2036">
        <v>1019102787</v>
      </c>
      <c r="B2036" t="s">
        <v>3977</v>
      </c>
      <c r="C2036" t="s">
        <v>3970</v>
      </c>
      <c r="D2036" t="s">
        <v>3976</v>
      </c>
    </row>
    <row r="2037" spans="1:4" x14ac:dyDescent="0.3">
      <c r="A2037">
        <v>1019102787</v>
      </c>
      <c r="B2037" t="s">
        <v>3977</v>
      </c>
      <c r="C2037" t="s">
        <v>3970</v>
      </c>
      <c r="D2037" t="s">
        <v>3976</v>
      </c>
    </row>
    <row r="2038" spans="1:4" x14ac:dyDescent="0.3">
      <c r="A2038">
        <v>1019102787</v>
      </c>
      <c r="B2038" t="s">
        <v>3977</v>
      </c>
      <c r="C2038" t="s">
        <v>3970</v>
      </c>
      <c r="D2038" t="s">
        <v>3976</v>
      </c>
    </row>
    <row r="2039" spans="1:4" x14ac:dyDescent="0.3">
      <c r="A2039">
        <v>1019102787</v>
      </c>
      <c r="B2039" t="s">
        <v>3977</v>
      </c>
      <c r="C2039" t="s">
        <v>3970</v>
      </c>
      <c r="D2039" t="s">
        <v>3976</v>
      </c>
    </row>
    <row r="2040" spans="1:4" x14ac:dyDescent="0.3">
      <c r="A2040">
        <v>1019102787</v>
      </c>
      <c r="B2040" t="s">
        <v>3977</v>
      </c>
      <c r="C2040" t="s">
        <v>3970</v>
      </c>
      <c r="D2040" t="s">
        <v>3976</v>
      </c>
    </row>
    <row r="2041" spans="1:4" x14ac:dyDescent="0.3">
      <c r="A2041">
        <v>1019102787</v>
      </c>
      <c r="B2041" t="s">
        <v>3977</v>
      </c>
      <c r="C2041" t="s">
        <v>3970</v>
      </c>
      <c r="D2041" t="s">
        <v>3976</v>
      </c>
    </row>
    <row r="2042" spans="1:4" x14ac:dyDescent="0.3">
      <c r="A2042">
        <v>1019102787</v>
      </c>
      <c r="B2042" t="s">
        <v>3977</v>
      </c>
      <c r="C2042" t="s">
        <v>3970</v>
      </c>
      <c r="D2042" t="s">
        <v>3976</v>
      </c>
    </row>
    <row r="2043" spans="1:4" x14ac:dyDescent="0.3">
      <c r="A2043">
        <v>1019102787</v>
      </c>
      <c r="B2043" t="s">
        <v>3977</v>
      </c>
      <c r="C2043" t="s">
        <v>3970</v>
      </c>
      <c r="D2043" t="s">
        <v>3976</v>
      </c>
    </row>
    <row r="2044" spans="1:4" x14ac:dyDescent="0.3">
      <c r="A2044">
        <v>1019102787</v>
      </c>
      <c r="B2044" t="s">
        <v>3977</v>
      </c>
      <c r="C2044" t="s">
        <v>3970</v>
      </c>
      <c r="D2044" t="s">
        <v>3976</v>
      </c>
    </row>
    <row r="2045" spans="1:4" x14ac:dyDescent="0.3">
      <c r="A2045">
        <v>1019102787</v>
      </c>
      <c r="B2045" t="s">
        <v>3977</v>
      </c>
      <c r="C2045" t="s">
        <v>3970</v>
      </c>
      <c r="D2045" t="s">
        <v>3976</v>
      </c>
    </row>
    <row r="2046" spans="1:4" x14ac:dyDescent="0.3">
      <c r="A2046">
        <v>1019102787</v>
      </c>
      <c r="B2046" t="s">
        <v>3977</v>
      </c>
      <c r="C2046" t="s">
        <v>3970</v>
      </c>
      <c r="D2046" t="s">
        <v>3976</v>
      </c>
    </row>
    <row r="2047" spans="1:4" x14ac:dyDescent="0.3">
      <c r="A2047">
        <v>1019102787</v>
      </c>
      <c r="B2047" t="s">
        <v>3977</v>
      </c>
      <c r="C2047" t="s">
        <v>3970</v>
      </c>
      <c r="D2047" t="s">
        <v>3976</v>
      </c>
    </row>
    <row r="2048" spans="1:4" x14ac:dyDescent="0.3">
      <c r="A2048">
        <v>1019102787</v>
      </c>
      <c r="B2048" t="s">
        <v>3977</v>
      </c>
      <c r="C2048" t="s">
        <v>3970</v>
      </c>
      <c r="D2048" t="s">
        <v>3976</v>
      </c>
    </row>
    <row r="2049" spans="1:4" x14ac:dyDescent="0.3">
      <c r="A2049">
        <v>1019102787</v>
      </c>
      <c r="B2049" t="s">
        <v>3977</v>
      </c>
      <c r="C2049" t="s">
        <v>3970</v>
      </c>
      <c r="D2049" t="s">
        <v>3976</v>
      </c>
    </row>
    <row r="2050" spans="1:4" x14ac:dyDescent="0.3">
      <c r="A2050">
        <v>1019102787</v>
      </c>
      <c r="B2050" t="s">
        <v>3977</v>
      </c>
      <c r="C2050" t="s">
        <v>3970</v>
      </c>
      <c r="D2050" t="s">
        <v>3976</v>
      </c>
    </row>
    <row r="2051" spans="1:4" x14ac:dyDescent="0.3">
      <c r="A2051">
        <v>1019102787</v>
      </c>
      <c r="B2051" t="s">
        <v>3977</v>
      </c>
      <c r="C2051" t="s">
        <v>3970</v>
      </c>
      <c r="D2051" t="s">
        <v>3976</v>
      </c>
    </row>
    <row r="2052" spans="1:4" x14ac:dyDescent="0.3">
      <c r="A2052">
        <v>1019102787</v>
      </c>
      <c r="B2052" t="s">
        <v>3977</v>
      </c>
      <c r="C2052" t="s">
        <v>3970</v>
      </c>
      <c r="D2052" t="s">
        <v>3976</v>
      </c>
    </row>
    <row r="2053" spans="1:4" x14ac:dyDescent="0.3">
      <c r="A2053">
        <v>1019102787</v>
      </c>
      <c r="B2053" t="s">
        <v>3977</v>
      </c>
      <c r="C2053" t="s">
        <v>3970</v>
      </c>
      <c r="D2053" t="s">
        <v>3976</v>
      </c>
    </row>
    <row r="2054" spans="1:4" x14ac:dyDescent="0.3">
      <c r="A2054">
        <v>1019102787</v>
      </c>
      <c r="B2054" t="s">
        <v>3977</v>
      </c>
      <c r="C2054" t="s">
        <v>3970</v>
      </c>
      <c r="D2054" t="s">
        <v>3976</v>
      </c>
    </row>
    <row r="2055" spans="1:4" x14ac:dyDescent="0.3">
      <c r="A2055">
        <v>1019102787</v>
      </c>
      <c r="B2055" t="s">
        <v>3977</v>
      </c>
      <c r="C2055" t="s">
        <v>3970</v>
      </c>
      <c r="D2055" t="s">
        <v>3976</v>
      </c>
    </row>
    <row r="2056" spans="1:4" x14ac:dyDescent="0.3">
      <c r="A2056">
        <v>1019102787</v>
      </c>
      <c r="B2056" t="s">
        <v>3977</v>
      </c>
      <c r="C2056" t="s">
        <v>3970</v>
      </c>
      <c r="D2056" t="s">
        <v>3976</v>
      </c>
    </row>
    <row r="2057" spans="1:4" x14ac:dyDescent="0.3">
      <c r="A2057">
        <v>1019102787</v>
      </c>
      <c r="B2057" t="s">
        <v>3977</v>
      </c>
      <c r="C2057" t="s">
        <v>3970</v>
      </c>
      <c r="D2057" t="s">
        <v>3976</v>
      </c>
    </row>
    <row r="2058" spans="1:4" x14ac:dyDescent="0.3">
      <c r="A2058">
        <v>1019102787</v>
      </c>
      <c r="B2058" t="s">
        <v>3977</v>
      </c>
      <c r="C2058" t="s">
        <v>3970</v>
      </c>
      <c r="D2058" t="s">
        <v>3976</v>
      </c>
    </row>
    <row r="2059" spans="1:4" x14ac:dyDescent="0.3">
      <c r="A2059">
        <v>1019102787</v>
      </c>
      <c r="B2059" t="s">
        <v>3977</v>
      </c>
      <c r="C2059" t="s">
        <v>3970</v>
      </c>
      <c r="D2059" t="s">
        <v>3976</v>
      </c>
    </row>
    <row r="2060" spans="1:4" x14ac:dyDescent="0.3">
      <c r="A2060">
        <v>1019102787</v>
      </c>
      <c r="B2060" t="s">
        <v>3977</v>
      </c>
      <c r="C2060" t="s">
        <v>3970</v>
      </c>
      <c r="D2060" t="s">
        <v>3976</v>
      </c>
    </row>
    <row r="2061" spans="1:4" x14ac:dyDescent="0.3">
      <c r="A2061">
        <v>1019102787</v>
      </c>
      <c r="B2061" t="s">
        <v>3977</v>
      </c>
      <c r="C2061" t="s">
        <v>3970</v>
      </c>
      <c r="D2061" t="s">
        <v>3976</v>
      </c>
    </row>
    <row r="2062" spans="1:4" x14ac:dyDescent="0.3">
      <c r="A2062">
        <v>1019102787</v>
      </c>
      <c r="B2062" t="s">
        <v>3977</v>
      </c>
      <c r="C2062" t="s">
        <v>3970</v>
      </c>
      <c r="D2062" t="s">
        <v>3976</v>
      </c>
    </row>
    <row r="2063" spans="1:4" x14ac:dyDescent="0.3">
      <c r="A2063">
        <v>1019102787</v>
      </c>
      <c r="B2063" t="s">
        <v>3977</v>
      </c>
      <c r="C2063" t="s">
        <v>3970</v>
      </c>
      <c r="D2063" t="s">
        <v>3976</v>
      </c>
    </row>
    <row r="2064" spans="1:4" x14ac:dyDescent="0.3">
      <c r="A2064">
        <v>1019102787</v>
      </c>
      <c r="B2064" t="s">
        <v>3977</v>
      </c>
      <c r="C2064" t="s">
        <v>3970</v>
      </c>
      <c r="D2064" t="s">
        <v>3976</v>
      </c>
    </row>
    <row r="2065" spans="1:4" x14ac:dyDescent="0.3">
      <c r="A2065">
        <v>1019102787</v>
      </c>
      <c r="B2065" t="s">
        <v>3977</v>
      </c>
      <c r="C2065" t="s">
        <v>3970</v>
      </c>
      <c r="D2065" t="s">
        <v>3976</v>
      </c>
    </row>
    <row r="2066" spans="1:4" x14ac:dyDescent="0.3">
      <c r="A2066">
        <v>1019102787</v>
      </c>
      <c r="B2066" t="s">
        <v>3977</v>
      </c>
      <c r="C2066" t="s">
        <v>3970</v>
      </c>
      <c r="D2066" t="s">
        <v>3976</v>
      </c>
    </row>
    <row r="2067" spans="1:4" x14ac:dyDescent="0.3">
      <c r="A2067">
        <v>1019102787</v>
      </c>
      <c r="B2067" t="s">
        <v>3977</v>
      </c>
      <c r="C2067" t="s">
        <v>3970</v>
      </c>
      <c r="D2067" t="s">
        <v>3976</v>
      </c>
    </row>
    <row r="2068" spans="1:4" x14ac:dyDescent="0.3">
      <c r="A2068">
        <v>1019115186</v>
      </c>
      <c r="B2068" t="s">
        <v>3941</v>
      </c>
      <c r="C2068" t="s">
        <v>3934</v>
      </c>
      <c r="D2068" t="s">
        <v>4005</v>
      </c>
    </row>
    <row r="2069" spans="1:4" x14ac:dyDescent="0.3">
      <c r="A2069">
        <v>1019115186</v>
      </c>
      <c r="B2069" t="s">
        <v>3941</v>
      </c>
      <c r="C2069" t="s">
        <v>3934</v>
      </c>
      <c r="D2069" t="s">
        <v>4005</v>
      </c>
    </row>
    <row r="2070" spans="1:4" x14ac:dyDescent="0.3">
      <c r="A2070">
        <v>1019115186</v>
      </c>
      <c r="B2070" t="s">
        <v>3941</v>
      </c>
      <c r="C2070" t="s">
        <v>3934</v>
      </c>
      <c r="D2070" t="s">
        <v>4005</v>
      </c>
    </row>
    <row r="2071" spans="1:4" x14ac:dyDescent="0.3">
      <c r="A2071">
        <v>1019115186</v>
      </c>
      <c r="B2071" t="s">
        <v>3941</v>
      </c>
      <c r="C2071" t="s">
        <v>3934</v>
      </c>
      <c r="D2071" t="s">
        <v>4005</v>
      </c>
    </row>
    <row r="2072" spans="1:4" x14ac:dyDescent="0.3">
      <c r="A2072">
        <v>1019115186</v>
      </c>
      <c r="B2072" t="s">
        <v>3941</v>
      </c>
      <c r="C2072" t="s">
        <v>3934</v>
      </c>
      <c r="D2072" t="s">
        <v>4005</v>
      </c>
    </row>
    <row r="2073" spans="1:4" x14ac:dyDescent="0.3">
      <c r="A2073">
        <v>1019115186</v>
      </c>
      <c r="B2073" t="s">
        <v>3941</v>
      </c>
      <c r="C2073" t="s">
        <v>3934</v>
      </c>
      <c r="D2073" t="s">
        <v>4005</v>
      </c>
    </row>
    <row r="2074" spans="1:4" x14ac:dyDescent="0.3">
      <c r="A2074">
        <v>1019115186</v>
      </c>
      <c r="B2074" t="s">
        <v>3941</v>
      </c>
      <c r="C2074" t="s">
        <v>3934</v>
      </c>
      <c r="D2074" t="s">
        <v>4005</v>
      </c>
    </row>
    <row r="2075" spans="1:4" x14ac:dyDescent="0.3">
      <c r="A2075">
        <v>1019115186</v>
      </c>
      <c r="B2075" t="s">
        <v>3941</v>
      </c>
      <c r="C2075" t="s">
        <v>3934</v>
      </c>
      <c r="D2075" t="s">
        <v>4005</v>
      </c>
    </row>
    <row r="2076" spans="1:4" x14ac:dyDescent="0.3">
      <c r="A2076">
        <v>1019115186</v>
      </c>
      <c r="B2076" t="s">
        <v>3941</v>
      </c>
      <c r="C2076" t="s">
        <v>3934</v>
      </c>
      <c r="D2076" t="s">
        <v>4005</v>
      </c>
    </row>
    <row r="2077" spans="1:4" x14ac:dyDescent="0.3">
      <c r="A2077">
        <v>1019115186</v>
      </c>
      <c r="B2077" t="s">
        <v>3941</v>
      </c>
      <c r="C2077" t="s">
        <v>3934</v>
      </c>
      <c r="D2077" t="s">
        <v>4005</v>
      </c>
    </row>
    <row r="2078" spans="1:4" x14ac:dyDescent="0.3">
      <c r="A2078">
        <v>1019115186</v>
      </c>
      <c r="B2078" t="s">
        <v>3941</v>
      </c>
      <c r="C2078" t="s">
        <v>3934</v>
      </c>
      <c r="D2078" t="s">
        <v>4005</v>
      </c>
    </row>
    <row r="2079" spans="1:4" x14ac:dyDescent="0.3">
      <c r="A2079">
        <v>1019115186</v>
      </c>
      <c r="B2079" t="s">
        <v>3941</v>
      </c>
      <c r="C2079" t="s">
        <v>3934</v>
      </c>
      <c r="D2079" t="s">
        <v>4005</v>
      </c>
    </row>
    <row r="2080" spans="1:4" x14ac:dyDescent="0.3">
      <c r="A2080">
        <v>1019115186</v>
      </c>
      <c r="B2080" t="s">
        <v>3941</v>
      </c>
      <c r="C2080" t="s">
        <v>3934</v>
      </c>
      <c r="D2080" t="s">
        <v>4005</v>
      </c>
    </row>
    <row r="2081" spans="1:4" x14ac:dyDescent="0.3">
      <c r="A2081">
        <v>1019115186</v>
      </c>
      <c r="B2081" t="s">
        <v>3941</v>
      </c>
      <c r="C2081" t="s">
        <v>3934</v>
      </c>
      <c r="D2081" t="s">
        <v>4005</v>
      </c>
    </row>
    <row r="2082" spans="1:4" x14ac:dyDescent="0.3">
      <c r="A2082">
        <v>1019115186</v>
      </c>
      <c r="B2082" t="s">
        <v>3941</v>
      </c>
      <c r="C2082" t="s">
        <v>3934</v>
      </c>
      <c r="D2082" t="s">
        <v>4005</v>
      </c>
    </row>
    <row r="2083" spans="1:4" x14ac:dyDescent="0.3">
      <c r="A2083">
        <v>1019115186</v>
      </c>
      <c r="B2083" t="s">
        <v>3941</v>
      </c>
      <c r="C2083" t="s">
        <v>3934</v>
      </c>
      <c r="D2083" t="s">
        <v>4005</v>
      </c>
    </row>
    <row r="2084" spans="1:4" x14ac:dyDescent="0.3">
      <c r="A2084">
        <v>1019115186</v>
      </c>
      <c r="B2084" t="s">
        <v>3941</v>
      </c>
      <c r="C2084" t="s">
        <v>3934</v>
      </c>
      <c r="D2084" t="s">
        <v>4005</v>
      </c>
    </row>
    <row r="2085" spans="1:4" x14ac:dyDescent="0.3">
      <c r="A2085">
        <v>1019115186</v>
      </c>
      <c r="B2085" t="s">
        <v>3941</v>
      </c>
      <c r="C2085" t="s">
        <v>3934</v>
      </c>
      <c r="D2085" t="s">
        <v>4005</v>
      </c>
    </row>
    <row r="2086" spans="1:4" x14ac:dyDescent="0.3">
      <c r="A2086">
        <v>1019115186</v>
      </c>
      <c r="B2086" t="s">
        <v>3941</v>
      </c>
      <c r="C2086" t="s">
        <v>3934</v>
      </c>
      <c r="D2086" t="s">
        <v>4005</v>
      </c>
    </row>
    <row r="2087" spans="1:4" x14ac:dyDescent="0.3">
      <c r="A2087">
        <v>1019115186</v>
      </c>
      <c r="B2087" t="s">
        <v>3941</v>
      </c>
      <c r="C2087" t="s">
        <v>3934</v>
      </c>
      <c r="D2087" t="s">
        <v>4005</v>
      </c>
    </row>
    <row r="2088" spans="1:4" x14ac:dyDescent="0.3">
      <c r="A2088">
        <v>1019115186</v>
      </c>
      <c r="B2088" t="s">
        <v>3941</v>
      </c>
      <c r="C2088" t="s">
        <v>3934</v>
      </c>
      <c r="D2088" t="s">
        <v>4005</v>
      </c>
    </row>
    <row r="2089" spans="1:4" x14ac:dyDescent="0.3">
      <c r="A2089">
        <v>1019115186</v>
      </c>
      <c r="B2089" t="s">
        <v>3941</v>
      </c>
      <c r="C2089" t="s">
        <v>3934</v>
      </c>
      <c r="D2089" t="s">
        <v>4005</v>
      </c>
    </row>
    <row r="2090" spans="1:4" x14ac:dyDescent="0.3">
      <c r="A2090">
        <v>1019115186</v>
      </c>
      <c r="B2090" t="s">
        <v>3941</v>
      </c>
      <c r="C2090" t="s">
        <v>3934</v>
      </c>
      <c r="D2090" t="s">
        <v>4005</v>
      </c>
    </row>
    <row r="2091" spans="1:4" x14ac:dyDescent="0.3">
      <c r="A2091">
        <v>1019115186</v>
      </c>
      <c r="B2091" t="s">
        <v>3941</v>
      </c>
      <c r="C2091" t="s">
        <v>3934</v>
      </c>
      <c r="D2091" t="s">
        <v>4005</v>
      </c>
    </row>
    <row r="2092" spans="1:4" x14ac:dyDescent="0.3">
      <c r="A2092">
        <v>1019115186</v>
      </c>
      <c r="B2092" t="s">
        <v>3941</v>
      </c>
      <c r="C2092" t="s">
        <v>3934</v>
      </c>
      <c r="D2092" t="s">
        <v>4005</v>
      </c>
    </row>
    <row r="2093" spans="1:4" x14ac:dyDescent="0.3">
      <c r="A2093">
        <v>1020730718</v>
      </c>
      <c r="B2093" t="s">
        <v>3941</v>
      </c>
      <c r="C2093" t="s">
        <v>3934</v>
      </c>
      <c r="D2093" t="s">
        <v>3952</v>
      </c>
    </row>
    <row r="2094" spans="1:4" x14ac:dyDescent="0.3">
      <c r="A2094">
        <v>1020730718</v>
      </c>
      <c r="B2094" t="s">
        <v>3941</v>
      </c>
      <c r="C2094" t="s">
        <v>3934</v>
      </c>
      <c r="D2094" t="s">
        <v>3952</v>
      </c>
    </row>
    <row r="2095" spans="1:4" x14ac:dyDescent="0.3">
      <c r="A2095">
        <v>1020730718</v>
      </c>
      <c r="B2095" t="s">
        <v>3941</v>
      </c>
      <c r="C2095" t="s">
        <v>3934</v>
      </c>
      <c r="D2095" t="s">
        <v>3952</v>
      </c>
    </row>
    <row r="2096" spans="1:4" x14ac:dyDescent="0.3">
      <c r="A2096">
        <v>1020730718</v>
      </c>
      <c r="B2096" t="s">
        <v>3941</v>
      </c>
      <c r="C2096" t="s">
        <v>3934</v>
      </c>
      <c r="D2096" t="s">
        <v>3952</v>
      </c>
    </row>
    <row r="2097" spans="1:4" x14ac:dyDescent="0.3">
      <c r="A2097">
        <v>1020730718</v>
      </c>
      <c r="B2097" t="s">
        <v>3941</v>
      </c>
      <c r="C2097" t="s">
        <v>3934</v>
      </c>
      <c r="D2097" t="s">
        <v>3952</v>
      </c>
    </row>
    <row r="2098" spans="1:4" x14ac:dyDescent="0.3">
      <c r="A2098">
        <v>1020730718</v>
      </c>
      <c r="B2098" t="s">
        <v>3941</v>
      </c>
      <c r="C2098" t="s">
        <v>3934</v>
      </c>
      <c r="D2098" t="s">
        <v>3952</v>
      </c>
    </row>
    <row r="2099" spans="1:4" x14ac:dyDescent="0.3">
      <c r="A2099">
        <v>1020730718</v>
      </c>
      <c r="B2099" t="s">
        <v>3941</v>
      </c>
      <c r="C2099" t="s">
        <v>3934</v>
      </c>
      <c r="D2099" t="s">
        <v>3952</v>
      </c>
    </row>
    <row r="2100" spans="1:4" x14ac:dyDescent="0.3">
      <c r="A2100">
        <v>1020730718</v>
      </c>
      <c r="B2100" t="s">
        <v>3941</v>
      </c>
      <c r="C2100" t="s">
        <v>3934</v>
      </c>
      <c r="D2100" t="s">
        <v>3952</v>
      </c>
    </row>
    <row r="2101" spans="1:4" x14ac:dyDescent="0.3">
      <c r="A2101">
        <v>1020730718</v>
      </c>
      <c r="B2101" t="s">
        <v>3941</v>
      </c>
      <c r="C2101" t="s">
        <v>3934</v>
      </c>
      <c r="D2101" t="s">
        <v>3952</v>
      </c>
    </row>
    <row r="2102" spans="1:4" x14ac:dyDescent="0.3">
      <c r="A2102">
        <v>1020730718</v>
      </c>
      <c r="B2102" t="s">
        <v>3941</v>
      </c>
      <c r="C2102" t="s">
        <v>3934</v>
      </c>
      <c r="D2102" t="s">
        <v>3952</v>
      </c>
    </row>
    <row r="2103" spans="1:4" x14ac:dyDescent="0.3">
      <c r="A2103">
        <v>1020730718</v>
      </c>
      <c r="B2103" t="s">
        <v>3941</v>
      </c>
      <c r="C2103" t="s">
        <v>3934</v>
      </c>
      <c r="D2103" t="s">
        <v>3952</v>
      </c>
    </row>
    <row r="2104" spans="1:4" x14ac:dyDescent="0.3">
      <c r="A2104">
        <v>1020730718</v>
      </c>
      <c r="B2104" t="s">
        <v>3941</v>
      </c>
      <c r="C2104" t="s">
        <v>3934</v>
      </c>
      <c r="D2104" t="s">
        <v>3952</v>
      </c>
    </row>
    <row r="2105" spans="1:4" x14ac:dyDescent="0.3">
      <c r="A2105">
        <v>1020730718</v>
      </c>
      <c r="B2105" t="s">
        <v>3941</v>
      </c>
      <c r="C2105" t="s">
        <v>3934</v>
      </c>
      <c r="D2105" t="s">
        <v>3952</v>
      </c>
    </row>
    <row r="2106" spans="1:4" x14ac:dyDescent="0.3">
      <c r="A2106">
        <v>1020730718</v>
      </c>
      <c r="B2106" t="s">
        <v>3941</v>
      </c>
      <c r="C2106" t="s">
        <v>3934</v>
      </c>
      <c r="D2106" t="s">
        <v>3952</v>
      </c>
    </row>
    <row r="2107" spans="1:4" x14ac:dyDescent="0.3">
      <c r="A2107">
        <v>1020730718</v>
      </c>
      <c r="B2107" t="s">
        <v>3941</v>
      </c>
      <c r="C2107" t="s">
        <v>3934</v>
      </c>
      <c r="D2107" t="s">
        <v>3952</v>
      </c>
    </row>
    <row r="2108" spans="1:4" x14ac:dyDescent="0.3">
      <c r="A2108">
        <v>1020730718</v>
      </c>
      <c r="B2108" t="s">
        <v>3941</v>
      </c>
      <c r="C2108" t="s">
        <v>3934</v>
      </c>
      <c r="D2108" t="s">
        <v>3952</v>
      </c>
    </row>
    <row r="2109" spans="1:4" x14ac:dyDescent="0.3">
      <c r="A2109">
        <v>1020730718</v>
      </c>
      <c r="B2109" t="s">
        <v>3941</v>
      </c>
      <c r="C2109" t="s">
        <v>3934</v>
      </c>
      <c r="D2109" t="s">
        <v>3952</v>
      </c>
    </row>
    <row r="2110" spans="1:4" x14ac:dyDescent="0.3">
      <c r="A2110">
        <v>1020730718</v>
      </c>
      <c r="B2110" t="s">
        <v>3941</v>
      </c>
      <c r="C2110" t="s">
        <v>3934</v>
      </c>
      <c r="D2110" t="s">
        <v>3952</v>
      </c>
    </row>
    <row r="2111" spans="1:4" x14ac:dyDescent="0.3">
      <c r="A2111">
        <v>1020730718</v>
      </c>
      <c r="B2111" t="s">
        <v>3941</v>
      </c>
      <c r="C2111" t="s">
        <v>3934</v>
      </c>
      <c r="D2111" t="s">
        <v>3952</v>
      </c>
    </row>
    <row r="2112" spans="1:4" x14ac:dyDescent="0.3">
      <c r="A2112">
        <v>1020730718</v>
      </c>
      <c r="B2112" t="s">
        <v>3941</v>
      </c>
      <c r="C2112" t="s">
        <v>3934</v>
      </c>
      <c r="D2112" t="s">
        <v>3952</v>
      </c>
    </row>
    <row r="2113" spans="1:4" x14ac:dyDescent="0.3">
      <c r="A2113">
        <v>1020730718</v>
      </c>
      <c r="B2113" t="s">
        <v>3941</v>
      </c>
      <c r="C2113" t="s">
        <v>3934</v>
      </c>
      <c r="D2113" t="s">
        <v>3952</v>
      </c>
    </row>
    <row r="2114" spans="1:4" x14ac:dyDescent="0.3">
      <c r="A2114">
        <v>1020730718</v>
      </c>
      <c r="B2114" t="s">
        <v>3941</v>
      </c>
      <c r="C2114" t="s">
        <v>3934</v>
      </c>
      <c r="D2114" t="s">
        <v>3952</v>
      </c>
    </row>
    <row r="2115" spans="1:4" x14ac:dyDescent="0.3">
      <c r="A2115">
        <v>1020730718</v>
      </c>
      <c r="B2115" t="s">
        <v>3941</v>
      </c>
      <c r="C2115" t="s">
        <v>3934</v>
      </c>
      <c r="D2115" t="s">
        <v>3952</v>
      </c>
    </row>
    <row r="2116" spans="1:4" x14ac:dyDescent="0.3">
      <c r="A2116">
        <v>1020730718</v>
      </c>
      <c r="B2116" t="s">
        <v>3941</v>
      </c>
      <c r="C2116" t="s">
        <v>3934</v>
      </c>
      <c r="D2116" t="s">
        <v>3952</v>
      </c>
    </row>
    <row r="2117" spans="1:4" x14ac:dyDescent="0.3">
      <c r="A2117">
        <v>1020730718</v>
      </c>
      <c r="B2117" t="s">
        <v>3941</v>
      </c>
      <c r="C2117" t="s">
        <v>3934</v>
      </c>
      <c r="D2117" t="s">
        <v>3952</v>
      </c>
    </row>
    <row r="2118" spans="1:4" x14ac:dyDescent="0.3">
      <c r="A2118">
        <v>1020754225</v>
      </c>
      <c r="B2118" t="s">
        <v>3948</v>
      </c>
      <c r="C2118" t="s">
        <v>3937</v>
      </c>
      <c r="D2118" t="s">
        <v>3981</v>
      </c>
    </row>
    <row r="2119" spans="1:4" x14ac:dyDescent="0.3">
      <c r="A2119">
        <v>1020754225</v>
      </c>
      <c r="B2119" t="s">
        <v>3948</v>
      </c>
      <c r="C2119" t="s">
        <v>3937</v>
      </c>
      <c r="D2119" t="s">
        <v>3981</v>
      </c>
    </row>
    <row r="2120" spans="1:4" x14ac:dyDescent="0.3">
      <c r="A2120">
        <v>1020754225</v>
      </c>
      <c r="B2120" t="s">
        <v>3948</v>
      </c>
      <c r="C2120" t="s">
        <v>3937</v>
      </c>
      <c r="D2120" t="s">
        <v>3981</v>
      </c>
    </row>
    <row r="2121" spans="1:4" x14ac:dyDescent="0.3">
      <c r="A2121">
        <v>1020754225</v>
      </c>
      <c r="B2121" t="s">
        <v>3948</v>
      </c>
      <c r="C2121" t="s">
        <v>3937</v>
      </c>
      <c r="D2121" t="s">
        <v>3981</v>
      </c>
    </row>
    <row r="2122" spans="1:4" x14ac:dyDescent="0.3">
      <c r="A2122">
        <v>1020754225</v>
      </c>
      <c r="B2122" t="s">
        <v>3948</v>
      </c>
      <c r="C2122" t="s">
        <v>3937</v>
      </c>
      <c r="D2122" t="s">
        <v>3981</v>
      </c>
    </row>
    <row r="2123" spans="1:4" x14ac:dyDescent="0.3">
      <c r="A2123">
        <v>1020754225</v>
      </c>
      <c r="B2123" t="s">
        <v>3948</v>
      </c>
      <c r="C2123" t="s">
        <v>3937</v>
      </c>
      <c r="D2123" t="s">
        <v>3981</v>
      </c>
    </row>
    <row r="2124" spans="1:4" x14ac:dyDescent="0.3">
      <c r="A2124">
        <v>1020754225</v>
      </c>
      <c r="B2124" t="s">
        <v>3948</v>
      </c>
      <c r="C2124" t="s">
        <v>3937</v>
      </c>
      <c r="D2124" t="s">
        <v>3981</v>
      </c>
    </row>
    <row r="2125" spans="1:4" x14ac:dyDescent="0.3">
      <c r="A2125">
        <v>1020754225</v>
      </c>
      <c r="B2125" t="s">
        <v>3948</v>
      </c>
      <c r="C2125" t="s">
        <v>3937</v>
      </c>
      <c r="D2125" t="s">
        <v>3981</v>
      </c>
    </row>
    <row r="2126" spans="1:4" x14ac:dyDescent="0.3">
      <c r="A2126">
        <v>1020754225</v>
      </c>
      <c r="B2126" t="s">
        <v>3948</v>
      </c>
      <c r="C2126" t="s">
        <v>3937</v>
      </c>
      <c r="D2126" t="s">
        <v>3981</v>
      </c>
    </row>
    <row r="2127" spans="1:4" x14ac:dyDescent="0.3">
      <c r="A2127">
        <v>1020754225</v>
      </c>
      <c r="B2127" t="s">
        <v>3948</v>
      </c>
      <c r="C2127" t="s">
        <v>3937</v>
      </c>
      <c r="D2127" t="s">
        <v>3981</v>
      </c>
    </row>
    <row r="2128" spans="1:4" x14ac:dyDescent="0.3">
      <c r="A2128">
        <v>1020754225</v>
      </c>
      <c r="B2128" t="s">
        <v>3948</v>
      </c>
      <c r="C2128" t="s">
        <v>3937</v>
      </c>
      <c r="D2128" t="s">
        <v>3981</v>
      </c>
    </row>
    <row r="2129" spans="1:4" x14ac:dyDescent="0.3">
      <c r="A2129">
        <v>1020754225</v>
      </c>
      <c r="B2129" t="s">
        <v>3948</v>
      </c>
      <c r="C2129" t="s">
        <v>3937</v>
      </c>
      <c r="D2129" t="s">
        <v>3981</v>
      </c>
    </row>
    <row r="2130" spans="1:4" x14ac:dyDescent="0.3">
      <c r="A2130">
        <v>1020754225</v>
      </c>
      <c r="B2130" t="s">
        <v>3948</v>
      </c>
      <c r="C2130" t="s">
        <v>3937</v>
      </c>
      <c r="D2130" t="s">
        <v>3981</v>
      </c>
    </row>
    <row r="2131" spans="1:4" x14ac:dyDescent="0.3">
      <c r="A2131">
        <v>1020754225</v>
      </c>
      <c r="B2131" t="s">
        <v>3948</v>
      </c>
      <c r="C2131" t="s">
        <v>3937</v>
      </c>
      <c r="D2131" t="s">
        <v>3981</v>
      </c>
    </row>
    <row r="2132" spans="1:4" x14ac:dyDescent="0.3">
      <c r="A2132">
        <v>1020754225</v>
      </c>
      <c r="B2132" t="s">
        <v>3948</v>
      </c>
      <c r="C2132" t="s">
        <v>3937</v>
      </c>
      <c r="D2132" t="s">
        <v>3981</v>
      </c>
    </row>
    <row r="2133" spans="1:4" x14ac:dyDescent="0.3">
      <c r="A2133">
        <v>1020754225</v>
      </c>
      <c r="B2133" t="s">
        <v>3948</v>
      </c>
      <c r="C2133" t="s">
        <v>3937</v>
      </c>
      <c r="D2133" t="s">
        <v>3981</v>
      </c>
    </row>
    <row r="2134" spans="1:4" x14ac:dyDescent="0.3">
      <c r="A2134">
        <v>1020754225</v>
      </c>
      <c r="B2134" t="s">
        <v>3948</v>
      </c>
      <c r="C2134" t="s">
        <v>3937</v>
      </c>
      <c r="D2134" t="s">
        <v>3981</v>
      </c>
    </row>
    <row r="2135" spans="1:4" x14ac:dyDescent="0.3">
      <c r="A2135">
        <v>1020754225</v>
      </c>
      <c r="B2135" t="s">
        <v>3948</v>
      </c>
      <c r="C2135" t="s">
        <v>3937</v>
      </c>
      <c r="D2135" t="s">
        <v>3981</v>
      </c>
    </row>
    <row r="2136" spans="1:4" x14ac:dyDescent="0.3">
      <c r="A2136">
        <v>1020754225</v>
      </c>
      <c r="B2136" t="s">
        <v>3948</v>
      </c>
      <c r="C2136" t="s">
        <v>3937</v>
      </c>
      <c r="D2136" t="s">
        <v>3981</v>
      </c>
    </row>
    <row r="2137" spans="1:4" x14ac:dyDescent="0.3">
      <c r="A2137">
        <v>1020754225</v>
      </c>
      <c r="B2137" t="s">
        <v>3948</v>
      </c>
      <c r="C2137" t="s">
        <v>3937</v>
      </c>
      <c r="D2137" t="s">
        <v>3981</v>
      </c>
    </row>
    <row r="2138" spans="1:4" x14ac:dyDescent="0.3">
      <c r="A2138">
        <v>1020754225</v>
      </c>
      <c r="B2138" t="s">
        <v>3948</v>
      </c>
      <c r="C2138" t="s">
        <v>3937</v>
      </c>
      <c r="D2138" t="s">
        <v>3981</v>
      </c>
    </row>
    <row r="2139" spans="1:4" x14ac:dyDescent="0.3">
      <c r="A2139">
        <v>1020754225</v>
      </c>
      <c r="B2139" t="s">
        <v>3948</v>
      </c>
      <c r="C2139" t="s">
        <v>3937</v>
      </c>
      <c r="D2139" t="s">
        <v>3981</v>
      </c>
    </row>
    <row r="2140" spans="1:4" x14ac:dyDescent="0.3">
      <c r="A2140">
        <v>1020754225</v>
      </c>
      <c r="B2140" t="s">
        <v>3948</v>
      </c>
      <c r="C2140" t="s">
        <v>3937</v>
      </c>
      <c r="D2140" t="s">
        <v>3981</v>
      </c>
    </row>
    <row r="2141" spans="1:4" x14ac:dyDescent="0.3">
      <c r="A2141">
        <v>1020754225</v>
      </c>
      <c r="B2141" t="s">
        <v>3948</v>
      </c>
      <c r="C2141" t="s">
        <v>3937</v>
      </c>
      <c r="D2141" t="s">
        <v>3981</v>
      </c>
    </row>
    <row r="2142" spans="1:4" x14ac:dyDescent="0.3">
      <c r="A2142">
        <v>1020754225</v>
      </c>
      <c r="B2142" t="s">
        <v>3948</v>
      </c>
      <c r="C2142" t="s">
        <v>3937</v>
      </c>
      <c r="D2142" t="s">
        <v>3981</v>
      </c>
    </row>
    <row r="2143" spans="1:4" x14ac:dyDescent="0.3">
      <c r="A2143">
        <v>1020754225</v>
      </c>
      <c r="B2143" t="s">
        <v>3948</v>
      </c>
      <c r="C2143" t="s">
        <v>3937</v>
      </c>
      <c r="D2143" t="s">
        <v>3981</v>
      </c>
    </row>
    <row r="2144" spans="1:4" x14ac:dyDescent="0.3">
      <c r="A2144">
        <v>1020754225</v>
      </c>
      <c r="B2144" t="s">
        <v>3948</v>
      </c>
      <c r="C2144" t="s">
        <v>3937</v>
      </c>
      <c r="D2144" t="s">
        <v>3981</v>
      </c>
    </row>
    <row r="2145" spans="1:4" x14ac:dyDescent="0.3">
      <c r="A2145">
        <v>1020754225</v>
      </c>
      <c r="B2145" t="s">
        <v>3948</v>
      </c>
      <c r="C2145" t="s">
        <v>3937</v>
      </c>
      <c r="D2145" t="s">
        <v>3981</v>
      </c>
    </row>
    <row r="2146" spans="1:4" x14ac:dyDescent="0.3">
      <c r="A2146">
        <v>1020754225</v>
      </c>
      <c r="B2146" t="s">
        <v>3948</v>
      </c>
      <c r="C2146" t="s">
        <v>3937</v>
      </c>
      <c r="D2146" t="s">
        <v>3981</v>
      </c>
    </row>
    <row r="2147" spans="1:4" x14ac:dyDescent="0.3">
      <c r="A2147">
        <v>1020754225</v>
      </c>
      <c r="B2147" t="s">
        <v>3948</v>
      </c>
      <c r="C2147" t="s">
        <v>3937</v>
      </c>
      <c r="D2147" t="s">
        <v>3981</v>
      </c>
    </row>
    <row r="2148" spans="1:4" x14ac:dyDescent="0.3">
      <c r="A2148">
        <v>1020754225</v>
      </c>
      <c r="B2148" t="s">
        <v>3948</v>
      </c>
      <c r="C2148" t="s">
        <v>3937</v>
      </c>
      <c r="D2148" t="s">
        <v>3981</v>
      </c>
    </row>
    <row r="2149" spans="1:4" x14ac:dyDescent="0.3">
      <c r="A2149">
        <v>1020754225</v>
      </c>
      <c r="B2149" t="s">
        <v>3948</v>
      </c>
      <c r="C2149" t="s">
        <v>3937</v>
      </c>
      <c r="D2149" t="s">
        <v>3981</v>
      </c>
    </row>
    <row r="2150" spans="1:4" x14ac:dyDescent="0.3">
      <c r="A2150">
        <v>1020754225</v>
      </c>
      <c r="B2150" t="s">
        <v>3948</v>
      </c>
      <c r="C2150" t="s">
        <v>3937</v>
      </c>
      <c r="D2150" t="s">
        <v>3981</v>
      </c>
    </row>
    <row r="2151" spans="1:4" x14ac:dyDescent="0.3">
      <c r="A2151">
        <v>1020754225</v>
      </c>
      <c r="B2151" t="s">
        <v>3948</v>
      </c>
      <c r="C2151" t="s">
        <v>3937</v>
      </c>
      <c r="D2151" t="s">
        <v>3981</v>
      </c>
    </row>
    <row r="2152" spans="1:4" x14ac:dyDescent="0.3">
      <c r="A2152">
        <v>1020754225</v>
      </c>
      <c r="B2152" t="s">
        <v>3948</v>
      </c>
      <c r="C2152" t="s">
        <v>3937</v>
      </c>
      <c r="D2152" t="s">
        <v>3981</v>
      </c>
    </row>
    <row r="2153" spans="1:4" x14ac:dyDescent="0.3">
      <c r="A2153">
        <v>1020754225</v>
      </c>
      <c r="B2153" t="s">
        <v>3948</v>
      </c>
      <c r="C2153" t="s">
        <v>3937</v>
      </c>
      <c r="D2153" t="s">
        <v>3981</v>
      </c>
    </row>
    <row r="2154" spans="1:4" x14ac:dyDescent="0.3">
      <c r="A2154">
        <v>1020754225</v>
      </c>
      <c r="B2154" t="s">
        <v>3948</v>
      </c>
      <c r="C2154" t="s">
        <v>3937</v>
      </c>
      <c r="D2154" t="s">
        <v>3981</v>
      </c>
    </row>
    <row r="2155" spans="1:4" x14ac:dyDescent="0.3">
      <c r="A2155">
        <v>1020754225</v>
      </c>
      <c r="B2155" t="s">
        <v>3948</v>
      </c>
      <c r="C2155" t="s">
        <v>3937</v>
      </c>
      <c r="D2155" t="s">
        <v>3981</v>
      </c>
    </row>
    <row r="2156" spans="1:4" x14ac:dyDescent="0.3">
      <c r="A2156">
        <v>1020754225</v>
      </c>
      <c r="B2156" t="s">
        <v>3948</v>
      </c>
      <c r="C2156" t="s">
        <v>3937</v>
      </c>
      <c r="D2156" t="s">
        <v>3981</v>
      </c>
    </row>
    <row r="2157" spans="1:4" x14ac:dyDescent="0.3">
      <c r="A2157">
        <v>1020754225</v>
      </c>
      <c r="B2157" t="s">
        <v>3948</v>
      </c>
      <c r="C2157" t="s">
        <v>3937</v>
      </c>
      <c r="D2157" t="s">
        <v>3981</v>
      </c>
    </row>
    <row r="2158" spans="1:4" x14ac:dyDescent="0.3">
      <c r="A2158">
        <v>1020754225</v>
      </c>
      <c r="B2158" t="s">
        <v>3948</v>
      </c>
      <c r="C2158" t="s">
        <v>3937</v>
      </c>
      <c r="D2158" t="s">
        <v>3981</v>
      </c>
    </row>
    <row r="2159" spans="1:4" x14ac:dyDescent="0.3">
      <c r="A2159">
        <v>1020754225</v>
      </c>
      <c r="B2159" t="s">
        <v>3948</v>
      </c>
      <c r="C2159" t="s">
        <v>3937</v>
      </c>
      <c r="D2159" t="s">
        <v>3981</v>
      </c>
    </row>
    <row r="2160" spans="1:4" x14ac:dyDescent="0.3">
      <c r="A2160">
        <v>1020754225</v>
      </c>
      <c r="B2160" t="s">
        <v>3948</v>
      </c>
      <c r="C2160" t="s">
        <v>3937</v>
      </c>
      <c r="D2160" t="s">
        <v>3981</v>
      </c>
    </row>
    <row r="2161" spans="1:4" x14ac:dyDescent="0.3">
      <c r="A2161">
        <v>1020754225</v>
      </c>
      <c r="B2161" t="s">
        <v>3948</v>
      </c>
      <c r="C2161" t="s">
        <v>3937</v>
      </c>
      <c r="D2161" t="s">
        <v>3981</v>
      </c>
    </row>
    <row r="2162" spans="1:4" x14ac:dyDescent="0.3">
      <c r="A2162">
        <v>1020754225</v>
      </c>
      <c r="B2162" t="s">
        <v>3948</v>
      </c>
      <c r="C2162" t="s">
        <v>3937</v>
      </c>
      <c r="D2162" t="s">
        <v>3981</v>
      </c>
    </row>
    <row r="2163" spans="1:4" x14ac:dyDescent="0.3">
      <c r="A2163">
        <v>1020754225</v>
      </c>
      <c r="B2163" t="s">
        <v>3948</v>
      </c>
      <c r="C2163" t="s">
        <v>3937</v>
      </c>
      <c r="D2163" t="s">
        <v>3981</v>
      </c>
    </row>
    <row r="2164" spans="1:4" x14ac:dyDescent="0.3">
      <c r="A2164">
        <v>1020754225</v>
      </c>
      <c r="B2164" t="s">
        <v>3948</v>
      </c>
      <c r="C2164" t="s">
        <v>3937</v>
      </c>
      <c r="D2164" t="s">
        <v>3981</v>
      </c>
    </row>
    <row r="2165" spans="1:4" x14ac:dyDescent="0.3">
      <c r="A2165">
        <v>1020754225</v>
      </c>
      <c r="B2165" t="s">
        <v>3948</v>
      </c>
      <c r="C2165" t="s">
        <v>3937</v>
      </c>
      <c r="D2165" t="s">
        <v>3981</v>
      </c>
    </row>
    <row r="2166" spans="1:4" x14ac:dyDescent="0.3">
      <c r="A2166">
        <v>1020754225</v>
      </c>
      <c r="B2166" t="s">
        <v>3948</v>
      </c>
      <c r="C2166" t="s">
        <v>3937</v>
      </c>
      <c r="D2166" t="s">
        <v>3981</v>
      </c>
    </row>
    <row r="2167" spans="1:4" x14ac:dyDescent="0.3">
      <c r="A2167">
        <v>1020754225</v>
      </c>
      <c r="B2167" t="s">
        <v>3948</v>
      </c>
      <c r="C2167" t="s">
        <v>3937</v>
      </c>
      <c r="D2167" t="s">
        <v>3981</v>
      </c>
    </row>
    <row r="2168" spans="1:4" x14ac:dyDescent="0.3">
      <c r="A2168">
        <v>1020754225</v>
      </c>
      <c r="B2168" t="s">
        <v>3948</v>
      </c>
      <c r="C2168" t="s">
        <v>3937</v>
      </c>
      <c r="D2168" t="s">
        <v>3981</v>
      </c>
    </row>
    <row r="2169" spans="1:4" x14ac:dyDescent="0.3">
      <c r="A2169">
        <v>1020754225</v>
      </c>
      <c r="B2169" t="s">
        <v>3948</v>
      </c>
      <c r="C2169" t="s">
        <v>3937</v>
      </c>
      <c r="D2169" t="s">
        <v>3981</v>
      </c>
    </row>
    <row r="2170" spans="1:4" x14ac:dyDescent="0.3">
      <c r="A2170">
        <v>1020808943</v>
      </c>
      <c r="B2170" t="s">
        <v>4055</v>
      </c>
      <c r="C2170" t="s">
        <v>4056</v>
      </c>
      <c r="D2170" t="s">
        <v>4088</v>
      </c>
    </row>
    <row r="2171" spans="1:4" x14ac:dyDescent="0.3">
      <c r="A2171">
        <v>1020808943</v>
      </c>
      <c r="B2171" t="s">
        <v>4055</v>
      </c>
      <c r="C2171" t="s">
        <v>4056</v>
      </c>
      <c r="D2171" t="s">
        <v>4088</v>
      </c>
    </row>
    <row r="2172" spans="1:4" x14ac:dyDescent="0.3">
      <c r="A2172">
        <v>1020808943</v>
      </c>
      <c r="B2172" t="s">
        <v>4055</v>
      </c>
      <c r="C2172" t="s">
        <v>4056</v>
      </c>
      <c r="D2172" t="s">
        <v>4088</v>
      </c>
    </row>
    <row r="2173" spans="1:4" x14ac:dyDescent="0.3">
      <c r="A2173">
        <v>1020820287</v>
      </c>
      <c r="B2173" t="s">
        <v>3963</v>
      </c>
      <c r="C2173" t="s">
        <v>3934</v>
      </c>
      <c r="D2173" t="s">
        <v>4044</v>
      </c>
    </row>
    <row r="2174" spans="1:4" x14ac:dyDescent="0.3">
      <c r="A2174">
        <v>1020820287</v>
      </c>
      <c r="B2174" t="s">
        <v>3963</v>
      </c>
      <c r="C2174" t="s">
        <v>3934</v>
      </c>
      <c r="D2174" t="s">
        <v>4044</v>
      </c>
    </row>
    <row r="2175" spans="1:4" x14ac:dyDescent="0.3">
      <c r="A2175">
        <v>1020820287</v>
      </c>
      <c r="B2175" t="s">
        <v>3963</v>
      </c>
      <c r="C2175" t="s">
        <v>3934</v>
      </c>
      <c r="D2175" t="s">
        <v>4044</v>
      </c>
    </row>
    <row r="2176" spans="1:4" x14ac:dyDescent="0.3">
      <c r="A2176">
        <v>1020820287</v>
      </c>
      <c r="B2176" t="s">
        <v>3963</v>
      </c>
      <c r="C2176" t="s">
        <v>3934</v>
      </c>
      <c r="D2176" t="s">
        <v>4044</v>
      </c>
    </row>
    <row r="2177" spans="1:4" x14ac:dyDescent="0.3">
      <c r="A2177">
        <v>1020820287</v>
      </c>
      <c r="B2177" t="s">
        <v>3963</v>
      </c>
      <c r="C2177" t="s">
        <v>3934</v>
      </c>
      <c r="D2177" t="s">
        <v>4044</v>
      </c>
    </row>
    <row r="2178" spans="1:4" x14ac:dyDescent="0.3">
      <c r="A2178">
        <v>1020820287</v>
      </c>
      <c r="B2178" t="s">
        <v>3963</v>
      </c>
      <c r="C2178" t="s">
        <v>3934</v>
      </c>
      <c r="D2178" t="s">
        <v>4044</v>
      </c>
    </row>
    <row r="2179" spans="1:4" x14ac:dyDescent="0.3">
      <c r="A2179">
        <v>1020820287</v>
      </c>
      <c r="B2179" t="s">
        <v>3963</v>
      </c>
      <c r="C2179" t="s">
        <v>3934</v>
      </c>
      <c r="D2179" t="s">
        <v>4044</v>
      </c>
    </row>
    <row r="2180" spans="1:4" x14ac:dyDescent="0.3">
      <c r="A2180">
        <v>1020820287</v>
      </c>
      <c r="B2180" t="s">
        <v>3963</v>
      </c>
      <c r="C2180" t="s">
        <v>3934</v>
      </c>
      <c r="D2180" t="s">
        <v>4044</v>
      </c>
    </row>
    <row r="2181" spans="1:4" x14ac:dyDescent="0.3">
      <c r="A2181">
        <v>1020820287</v>
      </c>
      <c r="B2181" t="s">
        <v>3963</v>
      </c>
      <c r="C2181" t="s">
        <v>3934</v>
      </c>
      <c r="D2181" t="s">
        <v>4044</v>
      </c>
    </row>
    <row r="2182" spans="1:4" x14ac:dyDescent="0.3">
      <c r="A2182">
        <v>1020820287</v>
      </c>
      <c r="B2182" t="s">
        <v>3963</v>
      </c>
      <c r="C2182" t="s">
        <v>3934</v>
      </c>
      <c r="D2182" t="s">
        <v>4044</v>
      </c>
    </row>
    <row r="2183" spans="1:4" x14ac:dyDescent="0.3">
      <c r="A2183">
        <v>1020820287</v>
      </c>
      <c r="B2183" t="s">
        <v>3963</v>
      </c>
      <c r="C2183" t="s">
        <v>3934</v>
      </c>
      <c r="D2183" t="s">
        <v>4044</v>
      </c>
    </row>
    <row r="2184" spans="1:4" x14ac:dyDescent="0.3">
      <c r="A2184">
        <v>1020820287</v>
      </c>
      <c r="B2184" t="s">
        <v>3963</v>
      </c>
      <c r="C2184" t="s">
        <v>3934</v>
      </c>
      <c r="D2184" t="s">
        <v>4044</v>
      </c>
    </row>
    <row r="2185" spans="1:4" x14ac:dyDescent="0.3">
      <c r="A2185">
        <v>1020820287</v>
      </c>
      <c r="B2185" t="s">
        <v>3963</v>
      </c>
      <c r="C2185" t="s">
        <v>3934</v>
      </c>
      <c r="D2185" t="s">
        <v>4044</v>
      </c>
    </row>
    <row r="2186" spans="1:4" x14ac:dyDescent="0.3">
      <c r="A2186">
        <v>1020820287</v>
      </c>
      <c r="B2186" t="s">
        <v>3963</v>
      </c>
      <c r="C2186" t="s">
        <v>3934</v>
      </c>
      <c r="D2186" t="s">
        <v>4044</v>
      </c>
    </row>
    <row r="2187" spans="1:4" x14ac:dyDescent="0.3">
      <c r="A2187">
        <v>1022392610</v>
      </c>
      <c r="B2187" t="s">
        <v>3941</v>
      </c>
      <c r="C2187" t="s">
        <v>3934</v>
      </c>
      <c r="D2187" t="s">
        <v>4028</v>
      </c>
    </row>
    <row r="2188" spans="1:4" x14ac:dyDescent="0.3">
      <c r="A2188">
        <v>1022392610</v>
      </c>
      <c r="B2188" t="s">
        <v>3941</v>
      </c>
      <c r="C2188" t="s">
        <v>3934</v>
      </c>
      <c r="D2188" t="s">
        <v>4028</v>
      </c>
    </row>
    <row r="2189" spans="1:4" x14ac:dyDescent="0.3">
      <c r="A2189">
        <v>1022392610</v>
      </c>
      <c r="B2189" t="s">
        <v>3941</v>
      </c>
      <c r="C2189" t="s">
        <v>3934</v>
      </c>
      <c r="D2189" t="s">
        <v>4028</v>
      </c>
    </row>
    <row r="2190" spans="1:4" x14ac:dyDescent="0.3">
      <c r="A2190">
        <v>1022392610</v>
      </c>
      <c r="B2190" t="s">
        <v>3941</v>
      </c>
      <c r="C2190" t="s">
        <v>3934</v>
      </c>
      <c r="D2190" t="s">
        <v>4028</v>
      </c>
    </row>
    <row r="2191" spans="1:4" x14ac:dyDescent="0.3">
      <c r="A2191">
        <v>1022392610</v>
      </c>
      <c r="B2191" t="s">
        <v>3941</v>
      </c>
      <c r="C2191" t="s">
        <v>3934</v>
      </c>
      <c r="D2191" t="s">
        <v>4028</v>
      </c>
    </row>
    <row r="2192" spans="1:4" x14ac:dyDescent="0.3">
      <c r="A2192">
        <v>1022392610</v>
      </c>
      <c r="B2192" t="s">
        <v>3941</v>
      </c>
      <c r="C2192" t="s">
        <v>3934</v>
      </c>
      <c r="D2192" t="s">
        <v>4028</v>
      </c>
    </row>
    <row r="2193" spans="1:4" x14ac:dyDescent="0.3">
      <c r="A2193">
        <v>1022392610</v>
      </c>
      <c r="B2193" t="s">
        <v>3941</v>
      </c>
      <c r="C2193" t="s">
        <v>3934</v>
      </c>
      <c r="D2193" t="s">
        <v>4028</v>
      </c>
    </row>
    <row r="2194" spans="1:4" x14ac:dyDescent="0.3">
      <c r="A2194">
        <v>1022392610</v>
      </c>
      <c r="B2194" t="s">
        <v>3941</v>
      </c>
      <c r="C2194" t="s">
        <v>3934</v>
      </c>
      <c r="D2194" t="s">
        <v>4028</v>
      </c>
    </row>
    <row r="2195" spans="1:4" x14ac:dyDescent="0.3">
      <c r="A2195">
        <v>1022392610</v>
      </c>
      <c r="B2195" t="s">
        <v>3941</v>
      </c>
      <c r="C2195" t="s">
        <v>3934</v>
      </c>
      <c r="D2195" t="s">
        <v>4028</v>
      </c>
    </row>
    <row r="2196" spans="1:4" x14ac:dyDescent="0.3">
      <c r="A2196">
        <v>1022392610</v>
      </c>
      <c r="B2196" t="s">
        <v>3941</v>
      </c>
      <c r="C2196" t="s">
        <v>3934</v>
      </c>
      <c r="D2196" t="s">
        <v>4028</v>
      </c>
    </row>
    <row r="2197" spans="1:4" x14ac:dyDescent="0.3">
      <c r="A2197">
        <v>1022392610</v>
      </c>
      <c r="B2197" t="s">
        <v>3941</v>
      </c>
      <c r="C2197" t="s">
        <v>3934</v>
      </c>
      <c r="D2197" t="s">
        <v>4028</v>
      </c>
    </row>
    <row r="2198" spans="1:4" x14ac:dyDescent="0.3">
      <c r="A2198">
        <v>1022392610</v>
      </c>
      <c r="B2198" t="s">
        <v>3941</v>
      </c>
      <c r="C2198" t="s">
        <v>3934</v>
      </c>
      <c r="D2198" t="s">
        <v>4028</v>
      </c>
    </row>
    <row r="2199" spans="1:4" x14ac:dyDescent="0.3">
      <c r="A2199">
        <v>1022392610</v>
      </c>
      <c r="B2199" t="s">
        <v>3941</v>
      </c>
      <c r="C2199" t="s">
        <v>3934</v>
      </c>
      <c r="D2199" t="s">
        <v>4028</v>
      </c>
    </row>
    <row r="2200" spans="1:4" x14ac:dyDescent="0.3">
      <c r="A2200">
        <v>1022392610</v>
      </c>
      <c r="B2200" t="s">
        <v>3941</v>
      </c>
      <c r="C2200" t="s">
        <v>3934</v>
      </c>
      <c r="D2200" t="s">
        <v>4028</v>
      </c>
    </row>
    <row r="2201" spans="1:4" x14ac:dyDescent="0.3">
      <c r="A2201">
        <v>1022392610</v>
      </c>
      <c r="B2201" t="s">
        <v>3941</v>
      </c>
      <c r="C2201" t="s">
        <v>3934</v>
      </c>
      <c r="D2201" t="s">
        <v>4028</v>
      </c>
    </row>
    <row r="2202" spans="1:4" x14ac:dyDescent="0.3">
      <c r="A2202">
        <v>1022407392</v>
      </c>
      <c r="B2202" t="s">
        <v>3936</v>
      </c>
      <c r="C2202" t="s">
        <v>3937</v>
      </c>
      <c r="D2202" t="s">
        <v>3975</v>
      </c>
    </row>
    <row r="2203" spans="1:4" x14ac:dyDescent="0.3">
      <c r="A2203">
        <v>1022407392</v>
      </c>
      <c r="B2203" t="s">
        <v>3936</v>
      </c>
      <c r="C2203" t="s">
        <v>3937</v>
      </c>
      <c r="D2203" t="s">
        <v>3975</v>
      </c>
    </row>
    <row r="2204" spans="1:4" x14ac:dyDescent="0.3">
      <c r="A2204">
        <v>1022407392</v>
      </c>
      <c r="B2204" t="s">
        <v>3936</v>
      </c>
      <c r="C2204" t="s">
        <v>3937</v>
      </c>
      <c r="D2204" t="s">
        <v>3975</v>
      </c>
    </row>
    <row r="2205" spans="1:4" x14ac:dyDescent="0.3">
      <c r="A2205">
        <v>1022407392</v>
      </c>
      <c r="B2205" t="s">
        <v>3936</v>
      </c>
      <c r="C2205" t="s">
        <v>3937</v>
      </c>
      <c r="D2205" t="s">
        <v>3975</v>
      </c>
    </row>
    <row r="2206" spans="1:4" x14ac:dyDescent="0.3">
      <c r="A2206">
        <v>1022407392</v>
      </c>
      <c r="B2206" t="s">
        <v>3936</v>
      </c>
      <c r="C2206" t="s">
        <v>3937</v>
      </c>
      <c r="D2206" t="s">
        <v>3975</v>
      </c>
    </row>
    <row r="2207" spans="1:4" x14ac:dyDescent="0.3">
      <c r="A2207">
        <v>1022407392</v>
      </c>
      <c r="B2207" t="s">
        <v>3936</v>
      </c>
      <c r="C2207" t="s">
        <v>3937</v>
      </c>
      <c r="D2207" t="s">
        <v>3975</v>
      </c>
    </row>
    <row r="2208" spans="1:4" x14ac:dyDescent="0.3">
      <c r="A2208">
        <v>1022407392</v>
      </c>
      <c r="B2208" t="s">
        <v>3936</v>
      </c>
      <c r="C2208" t="s">
        <v>3937</v>
      </c>
      <c r="D2208" t="s">
        <v>3975</v>
      </c>
    </row>
    <row r="2209" spans="1:4" x14ac:dyDescent="0.3">
      <c r="A2209">
        <v>1022407392</v>
      </c>
      <c r="B2209" t="s">
        <v>3936</v>
      </c>
      <c r="C2209" t="s">
        <v>3937</v>
      </c>
      <c r="D2209" t="s">
        <v>3975</v>
      </c>
    </row>
    <row r="2210" spans="1:4" x14ac:dyDescent="0.3">
      <c r="A2210">
        <v>1022407392</v>
      </c>
      <c r="B2210" t="s">
        <v>3936</v>
      </c>
      <c r="C2210" t="s">
        <v>3937</v>
      </c>
      <c r="D2210" t="s">
        <v>3975</v>
      </c>
    </row>
    <row r="2211" spans="1:4" x14ac:dyDescent="0.3">
      <c r="A2211">
        <v>1022407392</v>
      </c>
      <c r="B2211" t="s">
        <v>3936</v>
      </c>
      <c r="C2211" t="s">
        <v>3937</v>
      </c>
      <c r="D2211" t="s">
        <v>3975</v>
      </c>
    </row>
    <row r="2212" spans="1:4" x14ac:dyDescent="0.3">
      <c r="A2212">
        <v>1022407392</v>
      </c>
      <c r="B2212" t="s">
        <v>3936</v>
      </c>
      <c r="C2212" t="s">
        <v>3937</v>
      </c>
      <c r="D2212" t="s">
        <v>3975</v>
      </c>
    </row>
    <row r="2213" spans="1:4" x14ac:dyDescent="0.3">
      <c r="A2213">
        <v>1022407392</v>
      </c>
      <c r="B2213" t="s">
        <v>3936</v>
      </c>
      <c r="C2213" t="s">
        <v>3937</v>
      </c>
      <c r="D2213" t="s">
        <v>3975</v>
      </c>
    </row>
    <row r="2214" spans="1:4" x14ac:dyDescent="0.3">
      <c r="A2214">
        <v>1022407392</v>
      </c>
      <c r="B2214" t="s">
        <v>3936</v>
      </c>
      <c r="C2214" t="s">
        <v>3937</v>
      </c>
      <c r="D2214" t="s">
        <v>3975</v>
      </c>
    </row>
    <row r="2215" spans="1:4" x14ac:dyDescent="0.3">
      <c r="A2215">
        <v>1022407392</v>
      </c>
      <c r="B2215" t="s">
        <v>3936</v>
      </c>
      <c r="C2215" t="s">
        <v>3937</v>
      </c>
      <c r="D2215" t="s">
        <v>3975</v>
      </c>
    </row>
    <row r="2216" spans="1:4" x14ac:dyDescent="0.3">
      <c r="A2216">
        <v>1022407392</v>
      </c>
      <c r="B2216" t="s">
        <v>3936</v>
      </c>
      <c r="C2216" t="s">
        <v>3937</v>
      </c>
      <c r="D2216" t="s">
        <v>3975</v>
      </c>
    </row>
    <row r="2217" spans="1:4" x14ac:dyDescent="0.3">
      <c r="A2217">
        <v>1022407392</v>
      </c>
      <c r="B2217" t="s">
        <v>3936</v>
      </c>
      <c r="C2217" t="s">
        <v>3937</v>
      </c>
      <c r="D2217" t="s">
        <v>3975</v>
      </c>
    </row>
    <row r="2218" spans="1:4" x14ac:dyDescent="0.3">
      <c r="A2218">
        <v>1022407392</v>
      </c>
      <c r="B2218" t="s">
        <v>3936</v>
      </c>
      <c r="C2218" t="s">
        <v>3937</v>
      </c>
      <c r="D2218" t="s">
        <v>3975</v>
      </c>
    </row>
    <row r="2219" spans="1:4" x14ac:dyDescent="0.3">
      <c r="A2219">
        <v>1022407392</v>
      </c>
      <c r="B2219" t="s">
        <v>3936</v>
      </c>
      <c r="C2219" t="s">
        <v>3937</v>
      </c>
      <c r="D2219" t="s">
        <v>3975</v>
      </c>
    </row>
    <row r="2220" spans="1:4" x14ac:dyDescent="0.3">
      <c r="A2220">
        <v>1022407392</v>
      </c>
      <c r="B2220" t="s">
        <v>3936</v>
      </c>
      <c r="C2220" t="s">
        <v>3937</v>
      </c>
      <c r="D2220" t="s">
        <v>3975</v>
      </c>
    </row>
    <row r="2221" spans="1:4" x14ac:dyDescent="0.3">
      <c r="A2221">
        <v>1022407392</v>
      </c>
      <c r="B2221" t="s">
        <v>3936</v>
      </c>
      <c r="C2221" t="s">
        <v>3937</v>
      </c>
      <c r="D2221" t="s">
        <v>3975</v>
      </c>
    </row>
    <row r="2222" spans="1:4" x14ac:dyDescent="0.3">
      <c r="A2222">
        <v>1022407392</v>
      </c>
      <c r="B2222" t="s">
        <v>3936</v>
      </c>
      <c r="C2222" t="s">
        <v>3937</v>
      </c>
      <c r="D2222" t="s">
        <v>3975</v>
      </c>
    </row>
    <row r="2223" spans="1:4" x14ac:dyDescent="0.3">
      <c r="A2223">
        <v>1022407392</v>
      </c>
      <c r="B2223" t="s">
        <v>3936</v>
      </c>
      <c r="C2223" t="s">
        <v>3937</v>
      </c>
      <c r="D2223" t="s">
        <v>3975</v>
      </c>
    </row>
    <row r="2224" spans="1:4" x14ac:dyDescent="0.3">
      <c r="A2224">
        <v>1022407392</v>
      </c>
      <c r="B2224" t="s">
        <v>3936</v>
      </c>
      <c r="C2224" t="s">
        <v>3937</v>
      </c>
      <c r="D2224" t="s">
        <v>3975</v>
      </c>
    </row>
    <row r="2225" spans="1:4" x14ac:dyDescent="0.3">
      <c r="A2225">
        <v>1022407392</v>
      </c>
      <c r="B2225" t="s">
        <v>3936</v>
      </c>
      <c r="C2225" t="s">
        <v>3937</v>
      </c>
      <c r="D2225" t="s">
        <v>3975</v>
      </c>
    </row>
    <row r="2226" spans="1:4" x14ac:dyDescent="0.3">
      <c r="A2226">
        <v>1022407392</v>
      </c>
      <c r="B2226" t="s">
        <v>3936</v>
      </c>
      <c r="C2226" t="s">
        <v>3937</v>
      </c>
      <c r="D2226" t="s">
        <v>3975</v>
      </c>
    </row>
    <row r="2227" spans="1:4" x14ac:dyDescent="0.3">
      <c r="A2227">
        <v>1022407392</v>
      </c>
      <c r="B2227" t="s">
        <v>3936</v>
      </c>
      <c r="C2227" t="s">
        <v>3937</v>
      </c>
      <c r="D2227" t="s">
        <v>3975</v>
      </c>
    </row>
    <row r="2228" spans="1:4" x14ac:dyDescent="0.3">
      <c r="A2228">
        <v>1022407392</v>
      </c>
      <c r="B2228" t="s">
        <v>3936</v>
      </c>
      <c r="C2228" t="s">
        <v>3937</v>
      </c>
      <c r="D2228" t="s">
        <v>3975</v>
      </c>
    </row>
    <row r="2229" spans="1:4" x14ac:dyDescent="0.3">
      <c r="A2229">
        <v>1022407392</v>
      </c>
      <c r="B2229" t="s">
        <v>3936</v>
      </c>
      <c r="C2229" t="s">
        <v>3937</v>
      </c>
      <c r="D2229" t="s">
        <v>3975</v>
      </c>
    </row>
    <row r="2230" spans="1:4" x14ac:dyDescent="0.3">
      <c r="A2230">
        <v>1022407392</v>
      </c>
      <c r="B2230" t="s">
        <v>3936</v>
      </c>
      <c r="C2230" t="s">
        <v>3937</v>
      </c>
      <c r="D2230" t="s">
        <v>3975</v>
      </c>
    </row>
    <row r="2231" spans="1:4" x14ac:dyDescent="0.3">
      <c r="A2231">
        <v>1022407392</v>
      </c>
      <c r="B2231" t="s">
        <v>3936</v>
      </c>
      <c r="C2231" t="s">
        <v>3937</v>
      </c>
      <c r="D2231" t="s">
        <v>3975</v>
      </c>
    </row>
    <row r="2232" spans="1:4" x14ac:dyDescent="0.3">
      <c r="A2232">
        <v>1022407392</v>
      </c>
      <c r="B2232" t="s">
        <v>3936</v>
      </c>
      <c r="C2232" t="s">
        <v>3937</v>
      </c>
      <c r="D2232" t="s">
        <v>3975</v>
      </c>
    </row>
    <row r="2233" spans="1:4" x14ac:dyDescent="0.3">
      <c r="A2233">
        <v>1022407392</v>
      </c>
      <c r="B2233" t="s">
        <v>3936</v>
      </c>
      <c r="C2233" t="s">
        <v>3937</v>
      </c>
      <c r="D2233" t="s">
        <v>3975</v>
      </c>
    </row>
    <row r="2234" spans="1:4" x14ac:dyDescent="0.3">
      <c r="A2234">
        <v>1022407392</v>
      </c>
      <c r="B2234" t="s">
        <v>3936</v>
      </c>
      <c r="C2234" t="s">
        <v>3937</v>
      </c>
      <c r="D2234" t="s">
        <v>3975</v>
      </c>
    </row>
    <row r="2235" spans="1:4" x14ac:dyDescent="0.3">
      <c r="A2235">
        <v>1022407392</v>
      </c>
      <c r="B2235" t="s">
        <v>3936</v>
      </c>
      <c r="C2235" t="s">
        <v>3937</v>
      </c>
      <c r="D2235" t="s">
        <v>3975</v>
      </c>
    </row>
    <row r="2236" spans="1:4" x14ac:dyDescent="0.3">
      <c r="A2236">
        <v>1022407392</v>
      </c>
      <c r="B2236" t="s">
        <v>3936</v>
      </c>
      <c r="C2236" t="s">
        <v>3937</v>
      </c>
      <c r="D2236" t="s">
        <v>3975</v>
      </c>
    </row>
    <row r="2237" spans="1:4" x14ac:dyDescent="0.3">
      <c r="A2237">
        <v>1022407392</v>
      </c>
      <c r="B2237" t="s">
        <v>3936</v>
      </c>
      <c r="C2237" t="s">
        <v>3937</v>
      </c>
      <c r="D2237" t="s">
        <v>3975</v>
      </c>
    </row>
    <row r="2238" spans="1:4" x14ac:dyDescent="0.3">
      <c r="A2238">
        <v>1022407392</v>
      </c>
      <c r="B2238" t="s">
        <v>3936</v>
      </c>
      <c r="C2238" t="s">
        <v>3937</v>
      </c>
      <c r="D2238" t="s">
        <v>3975</v>
      </c>
    </row>
    <row r="2239" spans="1:4" x14ac:dyDescent="0.3">
      <c r="A2239">
        <v>1022407392</v>
      </c>
      <c r="B2239" t="s">
        <v>3936</v>
      </c>
      <c r="C2239" t="s">
        <v>3937</v>
      </c>
      <c r="D2239" t="s">
        <v>3975</v>
      </c>
    </row>
    <row r="2240" spans="1:4" x14ac:dyDescent="0.3">
      <c r="A2240">
        <v>1022407392</v>
      </c>
      <c r="B2240" t="s">
        <v>3936</v>
      </c>
      <c r="C2240" t="s">
        <v>3937</v>
      </c>
      <c r="D2240" t="s">
        <v>3975</v>
      </c>
    </row>
    <row r="2241" spans="1:4" x14ac:dyDescent="0.3">
      <c r="A2241">
        <v>1022407392</v>
      </c>
      <c r="B2241" t="s">
        <v>3936</v>
      </c>
      <c r="C2241" t="s">
        <v>3937</v>
      </c>
      <c r="D2241" t="s">
        <v>3975</v>
      </c>
    </row>
    <row r="2242" spans="1:4" x14ac:dyDescent="0.3">
      <c r="A2242">
        <v>1022407392</v>
      </c>
      <c r="B2242" t="s">
        <v>3936</v>
      </c>
      <c r="C2242" t="s">
        <v>3937</v>
      </c>
      <c r="D2242" t="s">
        <v>3975</v>
      </c>
    </row>
    <row r="2243" spans="1:4" x14ac:dyDescent="0.3">
      <c r="A2243">
        <v>1022407392</v>
      </c>
      <c r="B2243" t="s">
        <v>3936</v>
      </c>
      <c r="C2243" t="s">
        <v>3937</v>
      </c>
      <c r="D2243" t="s">
        <v>3975</v>
      </c>
    </row>
    <row r="2244" spans="1:4" x14ac:dyDescent="0.3">
      <c r="A2244">
        <v>1022407392</v>
      </c>
      <c r="B2244" t="s">
        <v>3936</v>
      </c>
      <c r="C2244" t="s">
        <v>3937</v>
      </c>
      <c r="D2244" t="s">
        <v>3975</v>
      </c>
    </row>
    <row r="2245" spans="1:4" x14ac:dyDescent="0.3">
      <c r="A2245">
        <v>1022407392</v>
      </c>
      <c r="B2245" t="s">
        <v>3936</v>
      </c>
      <c r="C2245" t="s">
        <v>3937</v>
      </c>
      <c r="D2245" t="s">
        <v>3975</v>
      </c>
    </row>
    <row r="2246" spans="1:4" x14ac:dyDescent="0.3">
      <c r="A2246">
        <v>1022407392</v>
      </c>
      <c r="B2246" t="s">
        <v>3936</v>
      </c>
      <c r="C2246" t="s">
        <v>3937</v>
      </c>
      <c r="D2246" t="s">
        <v>3975</v>
      </c>
    </row>
    <row r="2247" spans="1:4" x14ac:dyDescent="0.3">
      <c r="A2247">
        <v>1022407392</v>
      </c>
      <c r="B2247" t="s">
        <v>3936</v>
      </c>
      <c r="C2247" t="s">
        <v>3937</v>
      </c>
      <c r="D2247" t="s">
        <v>3975</v>
      </c>
    </row>
    <row r="2248" spans="1:4" x14ac:dyDescent="0.3">
      <c r="A2248">
        <v>1022407392</v>
      </c>
      <c r="B2248" t="s">
        <v>3936</v>
      </c>
      <c r="C2248" t="s">
        <v>3937</v>
      </c>
      <c r="D2248" t="s">
        <v>3975</v>
      </c>
    </row>
    <row r="2249" spans="1:4" x14ac:dyDescent="0.3">
      <c r="A2249">
        <v>1022410450</v>
      </c>
      <c r="B2249" t="s">
        <v>3939</v>
      </c>
      <c r="C2249" t="s">
        <v>3934</v>
      </c>
      <c r="D2249" t="s">
        <v>4094</v>
      </c>
    </row>
    <row r="2250" spans="1:4" x14ac:dyDescent="0.3">
      <c r="A2250">
        <v>1022410450</v>
      </c>
      <c r="B2250" t="s">
        <v>3939</v>
      </c>
      <c r="C2250" t="s">
        <v>3934</v>
      </c>
      <c r="D2250" t="s">
        <v>4094</v>
      </c>
    </row>
    <row r="2251" spans="1:4" x14ac:dyDescent="0.3">
      <c r="A2251">
        <v>1022410450</v>
      </c>
      <c r="B2251" t="s">
        <v>3939</v>
      </c>
      <c r="C2251" t="s">
        <v>3934</v>
      </c>
      <c r="D2251" t="s">
        <v>4094</v>
      </c>
    </row>
    <row r="2252" spans="1:4" x14ac:dyDescent="0.3">
      <c r="A2252">
        <v>1022410450</v>
      </c>
      <c r="B2252" t="s">
        <v>3939</v>
      </c>
      <c r="C2252" t="s">
        <v>3934</v>
      </c>
      <c r="D2252" t="s">
        <v>4094</v>
      </c>
    </row>
    <row r="2253" spans="1:4" x14ac:dyDescent="0.3">
      <c r="A2253">
        <v>1022970491</v>
      </c>
      <c r="B2253" t="s">
        <v>3965</v>
      </c>
      <c r="C2253" t="s">
        <v>3934</v>
      </c>
      <c r="D2253" t="s">
        <v>4091</v>
      </c>
    </row>
    <row r="2254" spans="1:4" x14ac:dyDescent="0.3">
      <c r="A2254">
        <v>1023000285</v>
      </c>
      <c r="B2254" t="s">
        <v>3986</v>
      </c>
      <c r="C2254" t="s">
        <v>3934</v>
      </c>
      <c r="D2254" t="s">
        <v>4097</v>
      </c>
    </row>
    <row r="2255" spans="1:4" x14ac:dyDescent="0.3">
      <c r="A2255">
        <v>1023000285</v>
      </c>
      <c r="B2255" t="s">
        <v>3986</v>
      </c>
      <c r="C2255" t="s">
        <v>3934</v>
      </c>
      <c r="D2255" t="s">
        <v>4097</v>
      </c>
    </row>
    <row r="2256" spans="1:4" x14ac:dyDescent="0.3">
      <c r="A2256">
        <v>1023000285</v>
      </c>
      <c r="B2256" t="s">
        <v>3986</v>
      </c>
      <c r="C2256" t="s">
        <v>3934</v>
      </c>
      <c r="D2256" t="s">
        <v>4097</v>
      </c>
    </row>
    <row r="2257" spans="1:4" x14ac:dyDescent="0.3">
      <c r="A2257">
        <v>1023000285</v>
      </c>
      <c r="B2257" t="s">
        <v>3986</v>
      </c>
      <c r="C2257" t="s">
        <v>3934</v>
      </c>
      <c r="D2257" t="s">
        <v>4097</v>
      </c>
    </row>
    <row r="2258" spans="1:4" x14ac:dyDescent="0.3">
      <c r="A2258">
        <v>1023000285</v>
      </c>
      <c r="B2258" t="s">
        <v>3986</v>
      </c>
      <c r="C2258" t="s">
        <v>3934</v>
      </c>
      <c r="D2258" t="s">
        <v>4097</v>
      </c>
    </row>
    <row r="2259" spans="1:4" x14ac:dyDescent="0.3">
      <c r="A2259">
        <v>1023000285</v>
      </c>
      <c r="B2259" t="s">
        <v>3986</v>
      </c>
      <c r="C2259" t="s">
        <v>3934</v>
      </c>
      <c r="D2259" t="s">
        <v>4097</v>
      </c>
    </row>
    <row r="2260" spans="1:4" x14ac:dyDescent="0.3">
      <c r="A2260">
        <v>1023000285</v>
      </c>
      <c r="B2260" t="s">
        <v>3986</v>
      </c>
      <c r="C2260" t="s">
        <v>3934</v>
      </c>
      <c r="D2260" t="s">
        <v>4097</v>
      </c>
    </row>
    <row r="2261" spans="1:4" x14ac:dyDescent="0.3">
      <c r="A2261">
        <v>1023000285</v>
      </c>
      <c r="B2261" t="s">
        <v>3986</v>
      </c>
      <c r="C2261" t="s">
        <v>3934</v>
      </c>
      <c r="D2261" t="s">
        <v>4097</v>
      </c>
    </row>
    <row r="2262" spans="1:4" x14ac:dyDescent="0.3">
      <c r="A2262">
        <v>1023000285</v>
      </c>
      <c r="B2262" t="s">
        <v>3986</v>
      </c>
      <c r="C2262" t="s">
        <v>3934</v>
      </c>
      <c r="D2262" t="s">
        <v>4097</v>
      </c>
    </row>
    <row r="2263" spans="1:4" x14ac:dyDescent="0.3">
      <c r="A2263">
        <v>1023000285</v>
      </c>
      <c r="B2263" t="s">
        <v>3986</v>
      </c>
      <c r="C2263" t="s">
        <v>3934</v>
      </c>
      <c r="D2263" t="s">
        <v>4097</v>
      </c>
    </row>
    <row r="2264" spans="1:4" x14ac:dyDescent="0.3">
      <c r="A2264">
        <v>1023000285</v>
      </c>
      <c r="B2264" t="s">
        <v>3986</v>
      </c>
      <c r="C2264" t="s">
        <v>3934</v>
      </c>
      <c r="D2264" t="s">
        <v>4097</v>
      </c>
    </row>
    <row r="2265" spans="1:4" x14ac:dyDescent="0.3">
      <c r="A2265">
        <v>1023000285</v>
      </c>
      <c r="B2265" t="s">
        <v>3986</v>
      </c>
      <c r="C2265" t="s">
        <v>3934</v>
      </c>
      <c r="D2265" t="s">
        <v>4097</v>
      </c>
    </row>
    <row r="2266" spans="1:4" x14ac:dyDescent="0.3">
      <c r="A2266">
        <v>1023000938</v>
      </c>
      <c r="B2266" t="s">
        <v>3941</v>
      </c>
      <c r="C2266" t="s">
        <v>3934</v>
      </c>
      <c r="D2266" t="s">
        <v>3989</v>
      </c>
    </row>
    <row r="2267" spans="1:4" x14ac:dyDescent="0.3">
      <c r="A2267">
        <v>1023000938</v>
      </c>
      <c r="B2267" t="s">
        <v>3941</v>
      </c>
      <c r="C2267" t="s">
        <v>3934</v>
      </c>
      <c r="D2267" t="s">
        <v>3989</v>
      </c>
    </row>
    <row r="2268" spans="1:4" x14ac:dyDescent="0.3">
      <c r="A2268">
        <v>1023000938</v>
      </c>
      <c r="B2268" t="s">
        <v>3941</v>
      </c>
      <c r="C2268" t="s">
        <v>3934</v>
      </c>
      <c r="D2268" t="s">
        <v>3989</v>
      </c>
    </row>
    <row r="2269" spans="1:4" x14ac:dyDescent="0.3">
      <c r="A2269">
        <v>1023000938</v>
      </c>
      <c r="B2269" t="s">
        <v>3941</v>
      </c>
      <c r="C2269" t="s">
        <v>3934</v>
      </c>
      <c r="D2269" t="s">
        <v>3989</v>
      </c>
    </row>
    <row r="2270" spans="1:4" x14ac:dyDescent="0.3">
      <c r="A2270">
        <v>1023000938</v>
      </c>
      <c r="B2270" t="s">
        <v>3941</v>
      </c>
      <c r="C2270" t="s">
        <v>3934</v>
      </c>
      <c r="D2270" t="s">
        <v>3989</v>
      </c>
    </row>
    <row r="2271" spans="1:4" x14ac:dyDescent="0.3">
      <c r="A2271">
        <v>1023000938</v>
      </c>
      <c r="B2271" t="s">
        <v>3941</v>
      </c>
      <c r="C2271" t="s">
        <v>3934</v>
      </c>
      <c r="D2271" t="s">
        <v>3989</v>
      </c>
    </row>
    <row r="2272" spans="1:4" x14ac:dyDescent="0.3">
      <c r="A2272">
        <v>1023000938</v>
      </c>
      <c r="B2272" t="s">
        <v>3941</v>
      </c>
      <c r="C2272" t="s">
        <v>3934</v>
      </c>
      <c r="D2272" t="s">
        <v>3989</v>
      </c>
    </row>
    <row r="2273" spans="1:4" x14ac:dyDescent="0.3">
      <c r="A2273">
        <v>1023000938</v>
      </c>
      <c r="B2273" t="s">
        <v>3941</v>
      </c>
      <c r="C2273" t="s">
        <v>3934</v>
      </c>
      <c r="D2273" t="s">
        <v>3989</v>
      </c>
    </row>
    <row r="2274" spans="1:4" x14ac:dyDescent="0.3">
      <c r="A2274">
        <v>1023000938</v>
      </c>
      <c r="B2274" t="s">
        <v>3941</v>
      </c>
      <c r="C2274" t="s">
        <v>3934</v>
      </c>
      <c r="D2274" t="s">
        <v>3989</v>
      </c>
    </row>
    <row r="2275" spans="1:4" x14ac:dyDescent="0.3">
      <c r="A2275">
        <v>1023000938</v>
      </c>
      <c r="B2275" t="s">
        <v>3941</v>
      </c>
      <c r="C2275" t="s">
        <v>3934</v>
      </c>
      <c r="D2275" t="s">
        <v>3989</v>
      </c>
    </row>
    <row r="2276" spans="1:4" x14ac:dyDescent="0.3">
      <c r="A2276">
        <v>1023000938</v>
      </c>
      <c r="B2276" t="s">
        <v>3941</v>
      </c>
      <c r="C2276" t="s">
        <v>3934</v>
      </c>
      <c r="D2276" t="s">
        <v>3989</v>
      </c>
    </row>
    <row r="2277" spans="1:4" x14ac:dyDescent="0.3">
      <c r="A2277">
        <v>1023000938</v>
      </c>
      <c r="B2277" t="s">
        <v>3941</v>
      </c>
      <c r="C2277" t="s">
        <v>3934</v>
      </c>
      <c r="D2277" t="s">
        <v>3989</v>
      </c>
    </row>
    <row r="2278" spans="1:4" x14ac:dyDescent="0.3">
      <c r="A2278">
        <v>1023000938</v>
      </c>
      <c r="B2278" t="s">
        <v>3941</v>
      </c>
      <c r="C2278" t="s">
        <v>3934</v>
      </c>
      <c r="D2278" t="s">
        <v>3989</v>
      </c>
    </row>
    <row r="2279" spans="1:4" x14ac:dyDescent="0.3">
      <c r="A2279">
        <v>1023000938</v>
      </c>
      <c r="B2279" t="s">
        <v>3941</v>
      </c>
      <c r="C2279" t="s">
        <v>3934</v>
      </c>
      <c r="D2279" t="s">
        <v>3989</v>
      </c>
    </row>
    <row r="2280" spans="1:4" x14ac:dyDescent="0.3">
      <c r="A2280">
        <v>1023000938</v>
      </c>
      <c r="B2280" t="s">
        <v>3941</v>
      </c>
      <c r="C2280" t="s">
        <v>3934</v>
      </c>
      <c r="D2280" t="s">
        <v>3989</v>
      </c>
    </row>
    <row r="2281" spans="1:4" x14ac:dyDescent="0.3">
      <c r="A2281">
        <v>1023000938</v>
      </c>
      <c r="B2281" t="s">
        <v>3941</v>
      </c>
      <c r="C2281" t="s">
        <v>3934</v>
      </c>
      <c r="D2281" t="s">
        <v>3989</v>
      </c>
    </row>
    <row r="2282" spans="1:4" x14ac:dyDescent="0.3">
      <c r="A2282">
        <v>1023000938</v>
      </c>
      <c r="B2282" t="s">
        <v>3941</v>
      </c>
      <c r="C2282" t="s">
        <v>3934</v>
      </c>
      <c r="D2282" t="s">
        <v>3989</v>
      </c>
    </row>
    <row r="2283" spans="1:4" x14ac:dyDescent="0.3">
      <c r="A2283">
        <v>1023000938</v>
      </c>
      <c r="B2283" t="s">
        <v>3941</v>
      </c>
      <c r="C2283" t="s">
        <v>3934</v>
      </c>
      <c r="D2283" t="s">
        <v>3989</v>
      </c>
    </row>
    <row r="2284" spans="1:4" x14ac:dyDescent="0.3">
      <c r="A2284">
        <v>1023000938</v>
      </c>
      <c r="B2284" t="s">
        <v>3941</v>
      </c>
      <c r="C2284" t="s">
        <v>3934</v>
      </c>
      <c r="D2284" t="s">
        <v>3989</v>
      </c>
    </row>
    <row r="2285" spans="1:4" x14ac:dyDescent="0.3">
      <c r="A2285">
        <v>1023000938</v>
      </c>
      <c r="B2285" t="s">
        <v>3941</v>
      </c>
      <c r="C2285" t="s">
        <v>3934</v>
      </c>
      <c r="D2285" t="s">
        <v>3989</v>
      </c>
    </row>
    <row r="2286" spans="1:4" x14ac:dyDescent="0.3">
      <c r="A2286">
        <v>1023000938</v>
      </c>
      <c r="B2286" t="s">
        <v>3941</v>
      </c>
      <c r="C2286" t="s">
        <v>3934</v>
      </c>
      <c r="D2286" t="s">
        <v>3989</v>
      </c>
    </row>
    <row r="2287" spans="1:4" x14ac:dyDescent="0.3">
      <c r="A2287">
        <v>1023000938</v>
      </c>
      <c r="B2287" t="s">
        <v>3941</v>
      </c>
      <c r="C2287" t="s">
        <v>3934</v>
      </c>
      <c r="D2287" t="s">
        <v>3989</v>
      </c>
    </row>
    <row r="2288" spans="1:4" x14ac:dyDescent="0.3">
      <c r="A2288">
        <v>1023000938</v>
      </c>
      <c r="B2288" t="s">
        <v>3941</v>
      </c>
      <c r="C2288" t="s">
        <v>3934</v>
      </c>
      <c r="D2288" t="s">
        <v>3989</v>
      </c>
    </row>
    <row r="2289" spans="1:4" x14ac:dyDescent="0.3">
      <c r="A2289">
        <v>1023000938</v>
      </c>
      <c r="B2289" t="s">
        <v>3941</v>
      </c>
      <c r="C2289" t="s">
        <v>3934</v>
      </c>
      <c r="D2289" t="s">
        <v>3989</v>
      </c>
    </row>
    <row r="2290" spans="1:4" x14ac:dyDescent="0.3">
      <c r="A2290">
        <v>1023000938</v>
      </c>
      <c r="B2290" t="s">
        <v>3941</v>
      </c>
      <c r="C2290" t="s">
        <v>3934</v>
      </c>
      <c r="D2290" t="s">
        <v>3989</v>
      </c>
    </row>
    <row r="2291" spans="1:4" x14ac:dyDescent="0.3">
      <c r="A2291">
        <v>1023000938</v>
      </c>
      <c r="B2291" t="s">
        <v>3941</v>
      </c>
      <c r="C2291" t="s">
        <v>3934</v>
      </c>
      <c r="D2291" t="s">
        <v>3989</v>
      </c>
    </row>
    <row r="2292" spans="1:4" x14ac:dyDescent="0.3">
      <c r="A2292">
        <v>1023000938</v>
      </c>
      <c r="B2292" t="s">
        <v>3941</v>
      </c>
      <c r="C2292" t="s">
        <v>3934</v>
      </c>
      <c r="D2292" t="s">
        <v>3989</v>
      </c>
    </row>
    <row r="2293" spans="1:4" x14ac:dyDescent="0.3">
      <c r="A2293">
        <v>1023000938</v>
      </c>
      <c r="B2293" t="s">
        <v>3941</v>
      </c>
      <c r="C2293" t="s">
        <v>3934</v>
      </c>
      <c r="D2293" t="s">
        <v>3989</v>
      </c>
    </row>
    <row r="2294" spans="1:4" x14ac:dyDescent="0.3">
      <c r="A2294">
        <v>1023000938</v>
      </c>
      <c r="B2294" t="s">
        <v>3941</v>
      </c>
      <c r="C2294" t="s">
        <v>3934</v>
      </c>
      <c r="D2294" t="s">
        <v>3989</v>
      </c>
    </row>
    <row r="2295" spans="1:4" x14ac:dyDescent="0.3">
      <c r="A2295">
        <v>1023000938</v>
      </c>
      <c r="B2295" t="s">
        <v>3941</v>
      </c>
      <c r="C2295" t="s">
        <v>3934</v>
      </c>
      <c r="D2295" t="s">
        <v>3989</v>
      </c>
    </row>
    <row r="2296" spans="1:4" x14ac:dyDescent="0.3">
      <c r="A2296">
        <v>1023000938</v>
      </c>
      <c r="B2296" t="s">
        <v>3941</v>
      </c>
      <c r="C2296" t="s">
        <v>3934</v>
      </c>
      <c r="D2296" t="s">
        <v>3989</v>
      </c>
    </row>
    <row r="2297" spans="1:4" x14ac:dyDescent="0.3">
      <c r="A2297">
        <v>1023000938</v>
      </c>
      <c r="B2297" t="s">
        <v>3941</v>
      </c>
      <c r="C2297" t="s">
        <v>3934</v>
      </c>
      <c r="D2297" t="s">
        <v>3989</v>
      </c>
    </row>
    <row r="2298" spans="1:4" x14ac:dyDescent="0.3">
      <c r="A2298">
        <v>1023367706</v>
      </c>
      <c r="B2298" t="s">
        <v>3963</v>
      </c>
      <c r="C2298" t="s">
        <v>3934</v>
      </c>
      <c r="D2298" t="s">
        <v>4039</v>
      </c>
    </row>
    <row r="2299" spans="1:4" x14ac:dyDescent="0.3">
      <c r="A2299">
        <v>1023367706</v>
      </c>
      <c r="B2299" t="s">
        <v>3963</v>
      </c>
      <c r="C2299" t="s">
        <v>3934</v>
      </c>
      <c r="D2299" t="s">
        <v>4039</v>
      </c>
    </row>
    <row r="2300" spans="1:4" x14ac:dyDescent="0.3">
      <c r="A2300">
        <v>1023367706</v>
      </c>
      <c r="B2300" t="s">
        <v>3963</v>
      </c>
      <c r="C2300" t="s">
        <v>3934</v>
      </c>
      <c r="D2300" t="s">
        <v>4039</v>
      </c>
    </row>
    <row r="2301" spans="1:4" x14ac:dyDescent="0.3">
      <c r="A2301">
        <v>1023367706</v>
      </c>
      <c r="B2301" t="s">
        <v>3963</v>
      </c>
      <c r="C2301" t="s">
        <v>3934</v>
      </c>
      <c r="D2301" t="s">
        <v>4039</v>
      </c>
    </row>
    <row r="2302" spans="1:4" x14ac:dyDescent="0.3">
      <c r="A2302">
        <v>1023367706</v>
      </c>
      <c r="B2302" t="s">
        <v>3963</v>
      </c>
      <c r="C2302" t="s">
        <v>3934</v>
      </c>
      <c r="D2302" t="s">
        <v>4039</v>
      </c>
    </row>
    <row r="2303" spans="1:4" x14ac:dyDescent="0.3">
      <c r="A2303">
        <v>1023367706</v>
      </c>
      <c r="B2303" t="s">
        <v>3963</v>
      </c>
      <c r="C2303" t="s">
        <v>3934</v>
      </c>
      <c r="D2303" t="s">
        <v>4039</v>
      </c>
    </row>
    <row r="2304" spans="1:4" x14ac:dyDescent="0.3">
      <c r="A2304">
        <v>1023367706</v>
      </c>
      <c r="B2304" t="s">
        <v>3963</v>
      </c>
      <c r="C2304" t="s">
        <v>3934</v>
      </c>
      <c r="D2304" t="s">
        <v>4039</v>
      </c>
    </row>
    <row r="2305" spans="1:4" x14ac:dyDescent="0.3">
      <c r="A2305">
        <v>1023367706</v>
      </c>
      <c r="B2305" t="s">
        <v>3963</v>
      </c>
      <c r="C2305" t="s">
        <v>3934</v>
      </c>
      <c r="D2305" t="s">
        <v>4039</v>
      </c>
    </row>
    <row r="2306" spans="1:4" x14ac:dyDescent="0.3">
      <c r="A2306">
        <v>1023367706</v>
      </c>
      <c r="B2306" t="s">
        <v>3963</v>
      </c>
      <c r="C2306" t="s">
        <v>3934</v>
      </c>
      <c r="D2306" t="s">
        <v>4039</v>
      </c>
    </row>
    <row r="2307" spans="1:4" x14ac:dyDescent="0.3">
      <c r="A2307">
        <v>1023367706</v>
      </c>
      <c r="B2307" t="s">
        <v>3963</v>
      </c>
      <c r="C2307" t="s">
        <v>3934</v>
      </c>
      <c r="D2307" t="s">
        <v>4039</v>
      </c>
    </row>
    <row r="2308" spans="1:4" x14ac:dyDescent="0.3">
      <c r="A2308">
        <v>1023367706</v>
      </c>
      <c r="B2308" t="s">
        <v>3963</v>
      </c>
      <c r="C2308" t="s">
        <v>3934</v>
      </c>
      <c r="D2308" t="s">
        <v>4039</v>
      </c>
    </row>
    <row r="2309" spans="1:4" x14ac:dyDescent="0.3">
      <c r="A2309">
        <v>1023367706</v>
      </c>
      <c r="B2309" t="s">
        <v>3963</v>
      </c>
      <c r="C2309" t="s">
        <v>3934</v>
      </c>
      <c r="D2309" t="s">
        <v>4039</v>
      </c>
    </row>
    <row r="2310" spans="1:4" x14ac:dyDescent="0.3">
      <c r="A2310">
        <v>1023367706</v>
      </c>
      <c r="B2310" t="s">
        <v>3963</v>
      </c>
      <c r="C2310" t="s">
        <v>3934</v>
      </c>
      <c r="D2310" t="s">
        <v>4039</v>
      </c>
    </row>
    <row r="2311" spans="1:4" x14ac:dyDescent="0.3">
      <c r="A2311">
        <v>1023367706</v>
      </c>
      <c r="B2311" t="s">
        <v>3963</v>
      </c>
      <c r="C2311" t="s">
        <v>3934</v>
      </c>
      <c r="D2311" t="s">
        <v>4039</v>
      </c>
    </row>
    <row r="2312" spans="1:4" x14ac:dyDescent="0.3">
      <c r="A2312">
        <v>1023367706</v>
      </c>
      <c r="B2312" t="s">
        <v>3963</v>
      </c>
      <c r="C2312" t="s">
        <v>3934</v>
      </c>
      <c r="D2312" t="s">
        <v>4039</v>
      </c>
    </row>
    <row r="2313" spans="1:4" x14ac:dyDescent="0.3">
      <c r="A2313">
        <v>1023367706</v>
      </c>
      <c r="B2313" t="s">
        <v>3963</v>
      </c>
      <c r="C2313" t="s">
        <v>3934</v>
      </c>
      <c r="D2313" t="s">
        <v>4039</v>
      </c>
    </row>
    <row r="2314" spans="1:4" x14ac:dyDescent="0.3">
      <c r="A2314">
        <v>1023367706</v>
      </c>
      <c r="B2314" t="s">
        <v>3963</v>
      </c>
      <c r="C2314" t="s">
        <v>3934</v>
      </c>
      <c r="D2314" t="s">
        <v>4039</v>
      </c>
    </row>
    <row r="2315" spans="1:4" x14ac:dyDescent="0.3">
      <c r="A2315">
        <v>1023367706</v>
      </c>
      <c r="B2315" t="s">
        <v>3963</v>
      </c>
      <c r="C2315" t="s">
        <v>3934</v>
      </c>
      <c r="D2315" t="s">
        <v>4039</v>
      </c>
    </row>
    <row r="2316" spans="1:4" x14ac:dyDescent="0.3">
      <c r="A2316">
        <v>1023367706</v>
      </c>
      <c r="B2316" t="s">
        <v>3963</v>
      </c>
      <c r="C2316" t="s">
        <v>3934</v>
      </c>
      <c r="D2316" t="s">
        <v>4039</v>
      </c>
    </row>
    <row r="2317" spans="1:4" x14ac:dyDescent="0.3">
      <c r="A2317">
        <v>1023367706</v>
      </c>
      <c r="B2317" t="s">
        <v>3963</v>
      </c>
      <c r="C2317" t="s">
        <v>3934</v>
      </c>
      <c r="D2317" t="s">
        <v>4039</v>
      </c>
    </row>
    <row r="2318" spans="1:4" x14ac:dyDescent="0.3">
      <c r="A2318">
        <v>1023367706</v>
      </c>
      <c r="B2318" t="s">
        <v>3963</v>
      </c>
      <c r="C2318" t="s">
        <v>3934</v>
      </c>
      <c r="D2318" t="s">
        <v>4039</v>
      </c>
    </row>
    <row r="2319" spans="1:4" x14ac:dyDescent="0.3">
      <c r="A2319">
        <v>1023367706</v>
      </c>
      <c r="B2319" t="s">
        <v>3963</v>
      </c>
      <c r="C2319" t="s">
        <v>3934</v>
      </c>
      <c r="D2319" t="s">
        <v>4039</v>
      </c>
    </row>
    <row r="2320" spans="1:4" x14ac:dyDescent="0.3">
      <c r="A2320">
        <v>1023367706</v>
      </c>
      <c r="B2320" t="s">
        <v>3963</v>
      </c>
      <c r="C2320" t="s">
        <v>3934</v>
      </c>
      <c r="D2320" t="s">
        <v>4039</v>
      </c>
    </row>
    <row r="2321" spans="1:4" x14ac:dyDescent="0.3">
      <c r="A2321">
        <v>1023367706</v>
      </c>
      <c r="B2321" t="s">
        <v>3963</v>
      </c>
      <c r="C2321" t="s">
        <v>3934</v>
      </c>
      <c r="D2321" t="s">
        <v>4039</v>
      </c>
    </row>
    <row r="2322" spans="1:4" x14ac:dyDescent="0.3">
      <c r="A2322">
        <v>1023367706</v>
      </c>
      <c r="B2322" t="s">
        <v>3963</v>
      </c>
      <c r="C2322" t="s">
        <v>3934</v>
      </c>
      <c r="D2322" t="s">
        <v>4039</v>
      </c>
    </row>
    <row r="2323" spans="1:4" x14ac:dyDescent="0.3">
      <c r="A2323">
        <v>1023370559</v>
      </c>
      <c r="B2323" t="s">
        <v>3933</v>
      </c>
      <c r="C2323" t="s">
        <v>3934</v>
      </c>
      <c r="D2323" t="s">
        <v>4017</v>
      </c>
    </row>
    <row r="2324" spans="1:4" x14ac:dyDescent="0.3">
      <c r="A2324">
        <v>1023370559</v>
      </c>
      <c r="B2324" t="s">
        <v>3933</v>
      </c>
      <c r="C2324" t="s">
        <v>3934</v>
      </c>
      <c r="D2324" t="s">
        <v>4017</v>
      </c>
    </row>
    <row r="2325" spans="1:4" x14ac:dyDescent="0.3">
      <c r="A2325">
        <v>1023370559</v>
      </c>
      <c r="B2325" t="s">
        <v>3933</v>
      </c>
      <c r="C2325" t="s">
        <v>3934</v>
      </c>
      <c r="D2325" t="s">
        <v>4017</v>
      </c>
    </row>
    <row r="2326" spans="1:4" x14ac:dyDescent="0.3">
      <c r="A2326">
        <v>1023370559</v>
      </c>
      <c r="B2326" t="s">
        <v>3933</v>
      </c>
      <c r="C2326" t="s">
        <v>3934</v>
      </c>
      <c r="D2326" t="s">
        <v>4017</v>
      </c>
    </row>
    <row r="2327" spans="1:4" x14ac:dyDescent="0.3">
      <c r="A2327">
        <v>1023370559</v>
      </c>
      <c r="B2327" t="s">
        <v>3933</v>
      </c>
      <c r="C2327" t="s">
        <v>3934</v>
      </c>
      <c r="D2327" t="s">
        <v>4017</v>
      </c>
    </row>
    <row r="2328" spans="1:4" x14ac:dyDescent="0.3">
      <c r="A2328">
        <v>1023370559</v>
      </c>
      <c r="B2328" t="s">
        <v>3933</v>
      </c>
      <c r="C2328" t="s">
        <v>3934</v>
      </c>
      <c r="D2328" t="s">
        <v>4017</v>
      </c>
    </row>
    <row r="2329" spans="1:4" x14ac:dyDescent="0.3">
      <c r="A2329">
        <v>1023370559</v>
      </c>
      <c r="B2329" t="s">
        <v>3933</v>
      </c>
      <c r="C2329" t="s">
        <v>3934</v>
      </c>
      <c r="D2329" t="s">
        <v>4017</v>
      </c>
    </row>
    <row r="2330" spans="1:4" x14ac:dyDescent="0.3">
      <c r="A2330">
        <v>1023370559</v>
      </c>
      <c r="B2330" t="s">
        <v>3933</v>
      </c>
      <c r="C2330" t="s">
        <v>3934</v>
      </c>
      <c r="D2330" t="s">
        <v>4017</v>
      </c>
    </row>
    <row r="2331" spans="1:4" x14ac:dyDescent="0.3">
      <c r="A2331">
        <v>1023370559</v>
      </c>
      <c r="B2331" t="s">
        <v>3933</v>
      </c>
      <c r="C2331" t="s">
        <v>3934</v>
      </c>
      <c r="D2331" t="s">
        <v>4017</v>
      </c>
    </row>
    <row r="2332" spans="1:4" x14ac:dyDescent="0.3">
      <c r="A2332">
        <v>1023370559</v>
      </c>
      <c r="B2332" t="s">
        <v>3933</v>
      </c>
      <c r="C2332" t="s">
        <v>3934</v>
      </c>
      <c r="D2332" t="s">
        <v>4017</v>
      </c>
    </row>
    <row r="2333" spans="1:4" x14ac:dyDescent="0.3">
      <c r="A2333">
        <v>1023370559</v>
      </c>
      <c r="B2333" t="s">
        <v>3933</v>
      </c>
      <c r="C2333" t="s">
        <v>3934</v>
      </c>
      <c r="D2333" t="s">
        <v>4017</v>
      </c>
    </row>
    <row r="2334" spans="1:4" x14ac:dyDescent="0.3">
      <c r="A2334">
        <v>1023370559</v>
      </c>
      <c r="B2334" t="s">
        <v>3933</v>
      </c>
      <c r="C2334" t="s">
        <v>3934</v>
      </c>
      <c r="D2334" t="s">
        <v>4017</v>
      </c>
    </row>
    <row r="2335" spans="1:4" x14ac:dyDescent="0.3">
      <c r="A2335">
        <v>1023370559</v>
      </c>
      <c r="B2335" t="s">
        <v>3933</v>
      </c>
      <c r="C2335" t="s">
        <v>3934</v>
      </c>
      <c r="D2335" t="s">
        <v>4017</v>
      </c>
    </row>
    <row r="2336" spans="1:4" x14ac:dyDescent="0.3">
      <c r="A2336">
        <v>1023370559</v>
      </c>
      <c r="B2336" t="s">
        <v>3933</v>
      </c>
      <c r="C2336" t="s">
        <v>3934</v>
      </c>
      <c r="D2336" t="s">
        <v>4017</v>
      </c>
    </row>
    <row r="2337" spans="1:4" x14ac:dyDescent="0.3">
      <c r="A2337">
        <v>1023370559</v>
      </c>
      <c r="B2337" t="s">
        <v>3933</v>
      </c>
      <c r="C2337" t="s">
        <v>3934</v>
      </c>
      <c r="D2337" t="s">
        <v>4017</v>
      </c>
    </row>
    <row r="2338" spans="1:4" x14ac:dyDescent="0.3">
      <c r="A2338">
        <v>1023370559</v>
      </c>
      <c r="B2338" t="s">
        <v>3933</v>
      </c>
      <c r="C2338" t="s">
        <v>3934</v>
      </c>
      <c r="D2338" t="s">
        <v>4017</v>
      </c>
    </row>
    <row r="2339" spans="1:4" x14ac:dyDescent="0.3">
      <c r="A2339">
        <v>1023370559</v>
      </c>
      <c r="B2339" t="s">
        <v>3933</v>
      </c>
      <c r="C2339" t="s">
        <v>3934</v>
      </c>
      <c r="D2339" t="s">
        <v>4017</v>
      </c>
    </row>
    <row r="2340" spans="1:4" x14ac:dyDescent="0.3">
      <c r="A2340">
        <v>1023370559</v>
      </c>
      <c r="B2340" t="s">
        <v>3933</v>
      </c>
      <c r="C2340" t="s">
        <v>3934</v>
      </c>
      <c r="D2340" t="s">
        <v>4017</v>
      </c>
    </row>
    <row r="2341" spans="1:4" x14ac:dyDescent="0.3">
      <c r="A2341">
        <v>1023370559</v>
      </c>
      <c r="B2341" t="s">
        <v>3933</v>
      </c>
      <c r="C2341" t="s">
        <v>3934</v>
      </c>
      <c r="D2341" t="s">
        <v>4017</v>
      </c>
    </row>
    <row r="2342" spans="1:4" x14ac:dyDescent="0.3">
      <c r="A2342">
        <v>1023370559</v>
      </c>
      <c r="B2342" t="s">
        <v>3933</v>
      </c>
      <c r="C2342" t="s">
        <v>3934</v>
      </c>
      <c r="D2342" t="s">
        <v>4017</v>
      </c>
    </row>
    <row r="2343" spans="1:4" x14ac:dyDescent="0.3">
      <c r="A2343">
        <v>1023370559</v>
      </c>
      <c r="B2343" t="s">
        <v>3933</v>
      </c>
      <c r="C2343" t="s">
        <v>3934</v>
      </c>
      <c r="D2343" t="s">
        <v>4017</v>
      </c>
    </row>
    <row r="2344" spans="1:4" x14ac:dyDescent="0.3">
      <c r="A2344">
        <v>1023370559</v>
      </c>
      <c r="B2344" t="s">
        <v>3933</v>
      </c>
      <c r="C2344" t="s">
        <v>3934</v>
      </c>
      <c r="D2344" t="s">
        <v>4017</v>
      </c>
    </row>
    <row r="2345" spans="1:4" x14ac:dyDescent="0.3">
      <c r="A2345">
        <v>1023899450</v>
      </c>
      <c r="B2345" t="s">
        <v>3969</v>
      </c>
      <c r="C2345" t="s">
        <v>3970</v>
      </c>
      <c r="D2345" t="s">
        <v>3969</v>
      </c>
    </row>
    <row r="2346" spans="1:4" x14ac:dyDescent="0.3">
      <c r="A2346">
        <v>1023899450</v>
      </c>
      <c r="B2346" t="s">
        <v>3969</v>
      </c>
      <c r="C2346" t="s">
        <v>3970</v>
      </c>
      <c r="D2346" t="s">
        <v>3969</v>
      </c>
    </row>
    <row r="2347" spans="1:4" x14ac:dyDescent="0.3">
      <c r="A2347">
        <v>1023899450</v>
      </c>
      <c r="B2347" t="s">
        <v>3969</v>
      </c>
      <c r="C2347" t="s">
        <v>3970</v>
      </c>
      <c r="D2347" t="s">
        <v>3969</v>
      </c>
    </row>
    <row r="2348" spans="1:4" x14ac:dyDescent="0.3">
      <c r="A2348">
        <v>1023899450</v>
      </c>
      <c r="B2348" t="s">
        <v>3969</v>
      </c>
      <c r="C2348" t="s">
        <v>3970</v>
      </c>
      <c r="D2348" t="s">
        <v>3969</v>
      </c>
    </row>
    <row r="2349" spans="1:4" x14ac:dyDescent="0.3">
      <c r="A2349">
        <v>1023899450</v>
      </c>
      <c r="B2349" t="s">
        <v>3969</v>
      </c>
      <c r="C2349" t="s">
        <v>3970</v>
      </c>
      <c r="D2349" t="s">
        <v>3969</v>
      </c>
    </row>
    <row r="2350" spans="1:4" x14ac:dyDescent="0.3">
      <c r="A2350">
        <v>1023899450</v>
      </c>
      <c r="B2350" t="s">
        <v>3969</v>
      </c>
      <c r="C2350" t="s">
        <v>3970</v>
      </c>
      <c r="D2350" t="s">
        <v>3969</v>
      </c>
    </row>
    <row r="2351" spans="1:4" x14ac:dyDescent="0.3">
      <c r="A2351">
        <v>1023899450</v>
      </c>
      <c r="B2351" t="s">
        <v>3969</v>
      </c>
      <c r="C2351" t="s">
        <v>3970</v>
      </c>
      <c r="D2351" t="s">
        <v>3969</v>
      </c>
    </row>
    <row r="2352" spans="1:4" x14ac:dyDescent="0.3">
      <c r="A2352">
        <v>1023899450</v>
      </c>
      <c r="B2352" t="s">
        <v>3969</v>
      </c>
      <c r="C2352" t="s">
        <v>3970</v>
      </c>
      <c r="D2352" t="s">
        <v>3969</v>
      </c>
    </row>
    <row r="2353" spans="1:4" x14ac:dyDescent="0.3">
      <c r="A2353">
        <v>1023899450</v>
      </c>
      <c r="B2353" t="s">
        <v>3977</v>
      </c>
      <c r="C2353" t="s">
        <v>3970</v>
      </c>
      <c r="D2353" t="s">
        <v>3969</v>
      </c>
    </row>
    <row r="2354" spans="1:4" x14ac:dyDescent="0.3">
      <c r="A2354">
        <v>1023899450</v>
      </c>
      <c r="B2354" t="s">
        <v>3977</v>
      </c>
      <c r="C2354" t="s">
        <v>3970</v>
      </c>
      <c r="D2354" t="s">
        <v>3969</v>
      </c>
    </row>
    <row r="2355" spans="1:4" x14ac:dyDescent="0.3">
      <c r="A2355">
        <v>1023899450</v>
      </c>
      <c r="B2355" t="s">
        <v>3977</v>
      </c>
      <c r="C2355" t="s">
        <v>3970</v>
      </c>
      <c r="D2355" t="s">
        <v>3969</v>
      </c>
    </row>
    <row r="2356" spans="1:4" x14ac:dyDescent="0.3">
      <c r="A2356">
        <v>1023899450</v>
      </c>
      <c r="B2356" t="s">
        <v>3977</v>
      </c>
      <c r="C2356" t="s">
        <v>3970</v>
      </c>
      <c r="D2356" t="s">
        <v>3969</v>
      </c>
    </row>
    <row r="2357" spans="1:4" x14ac:dyDescent="0.3">
      <c r="A2357">
        <v>1023899450</v>
      </c>
      <c r="B2357" t="s">
        <v>3977</v>
      </c>
      <c r="C2357" t="s">
        <v>3970</v>
      </c>
      <c r="D2357" t="s">
        <v>3969</v>
      </c>
    </row>
    <row r="2358" spans="1:4" x14ac:dyDescent="0.3">
      <c r="A2358">
        <v>1023899450</v>
      </c>
      <c r="B2358" t="s">
        <v>3977</v>
      </c>
      <c r="C2358" t="s">
        <v>3970</v>
      </c>
      <c r="D2358" t="s">
        <v>3969</v>
      </c>
    </row>
    <row r="2359" spans="1:4" x14ac:dyDescent="0.3">
      <c r="A2359">
        <v>1023899450</v>
      </c>
      <c r="B2359" t="s">
        <v>3977</v>
      </c>
      <c r="C2359" t="s">
        <v>3970</v>
      </c>
      <c r="D2359" t="s">
        <v>3969</v>
      </c>
    </row>
    <row r="2360" spans="1:4" x14ac:dyDescent="0.3">
      <c r="A2360">
        <v>1023899450</v>
      </c>
      <c r="B2360" t="s">
        <v>3977</v>
      </c>
      <c r="C2360" t="s">
        <v>3970</v>
      </c>
      <c r="D2360" t="s">
        <v>3969</v>
      </c>
    </row>
    <row r="2361" spans="1:4" x14ac:dyDescent="0.3">
      <c r="A2361">
        <v>1023899450</v>
      </c>
      <c r="B2361" t="s">
        <v>3977</v>
      </c>
      <c r="C2361" t="s">
        <v>3970</v>
      </c>
      <c r="D2361" t="s">
        <v>3969</v>
      </c>
    </row>
    <row r="2362" spans="1:4" x14ac:dyDescent="0.3">
      <c r="A2362">
        <v>1023899450</v>
      </c>
      <c r="B2362" t="s">
        <v>3977</v>
      </c>
      <c r="C2362" t="s">
        <v>3970</v>
      </c>
      <c r="D2362" t="s">
        <v>3969</v>
      </c>
    </row>
    <row r="2363" spans="1:4" x14ac:dyDescent="0.3">
      <c r="A2363">
        <v>1023899450</v>
      </c>
      <c r="B2363" t="s">
        <v>3977</v>
      </c>
      <c r="C2363" t="s">
        <v>3970</v>
      </c>
      <c r="D2363" t="s">
        <v>3969</v>
      </c>
    </row>
    <row r="2364" spans="1:4" x14ac:dyDescent="0.3">
      <c r="A2364">
        <v>1023899450</v>
      </c>
      <c r="B2364" t="s">
        <v>3977</v>
      </c>
      <c r="C2364" t="s">
        <v>3970</v>
      </c>
      <c r="D2364" t="s">
        <v>3969</v>
      </c>
    </row>
    <row r="2365" spans="1:4" x14ac:dyDescent="0.3">
      <c r="A2365">
        <v>1023899450</v>
      </c>
      <c r="B2365" t="s">
        <v>3977</v>
      </c>
      <c r="C2365" t="s">
        <v>3970</v>
      </c>
      <c r="D2365" t="s">
        <v>3969</v>
      </c>
    </row>
    <row r="2366" spans="1:4" x14ac:dyDescent="0.3">
      <c r="A2366">
        <v>1023899450</v>
      </c>
      <c r="B2366" t="s">
        <v>3977</v>
      </c>
      <c r="C2366" t="s">
        <v>3970</v>
      </c>
      <c r="D2366" t="s">
        <v>3969</v>
      </c>
    </row>
    <row r="2367" spans="1:4" x14ac:dyDescent="0.3">
      <c r="A2367">
        <v>1023899450</v>
      </c>
      <c r="B2367" t="s">
        <v>3977</v>
      </c>
      <c r="C2367" t="s">
        <v>3970</v>
      </c>
      <c r="D2367" t="s">
        <v>3969</v>
      </c>
    </row>
    <row r="2368" spans="1:4" x14ac:dyDescent="0.3">
      <c r="A2368">
        <v>1023899450</v>
      </c>
      <c r="B2368" t="s">
        <v>3977</v>
      </c>
      <c r="C2368" t="s">
        <v>3970</v>
      </c>
      <c r="D2368" t="s">
        <v>3969</v>
      </c>
    </row>
    <row r="2369" spans="1:4" x14ac:dyDescent="0.3">
      <c r="A2369">
        <v>1023899450</v>
      </c>
      <c r="B2369" t="s">
        <v>3977</v>
      </c>
      <c r="C2369" t="s">
        <v>3970</v>
      </c>
      <c r="D2369" t="s">
        <v>3969</v>
      </c>
    </row>
    <row r="2370" spans="1:4" x14ac:dyDescent="0.3">
      <c r="A2370">
        <v>1023899450</v>
      </c>
      <c r="B2370" t="s">
        <v>3977</v>
      </c>
      <c r="C2370" t="s">
        <v>3970</v>
      </c>
      <c r="D2370" t="s">
        <v>3969</v>
      </c>
    </row>
    <row r="2371" spans="1:4" x14ac:dyDescent="0.3">
      <c r="A2371">
        <v>1023899450</v>
      </c>
      <c r="B2371" t="s">
        <v>3977</v>
      </c>
      <c r="C2371" t="s">
        <v>3970</v>
      </c>
      <c r="D2371" t="s">
        <v>3969</v>
      </c>
    </row>
    <row r="2372" spans="1:4" x14ac:dyDescent="0.3">
      <c r="A2372">
        <v>1023899450</v>
      </c>
      <c r="B2372" t="s">
        <v>3977</v>
      </c>
      <c r="C2372" t="s">
        <v>3970</v>
      </c>
      <c r="D2372" t="s">
        <v>3969</v>
      </c>
    </row>
    <row r="2373" spans="1:4" x14ac:dyDescent="0.3">
      <c r="A2373">
        <v>1023899450</v>
      </c>
      <c r="B2373" t="s">
        <v>3977</v>
      </c>
      <c r="C2373" t="s">
        <v>3970</v>
      </c>
      <c r="D2373" t="s">
        <v>3969</v>
      </c>
    </row>
    <row r="2374" spans="1:4" x14ac:dyDescent="0.3">
      <c r="A2374">
        <v>1023899450</v>
      </c>
      <c r="B2374" t="s">
        <v>3977</v>
      </c>
      <c r="C2374" t="s">
        <v>3970</v>
      </c>
      <c r="D2374" t="s">
        <v>3969</v>
      </c>
    </row>
    <row r="2375" spans="1:4" x14ac:dyDescent="0.3">
      <c r="A2375">
        <v>1023899450</v>
      </c>
      <c r="B2375" t="s">
        <v>3977</v>
      </c>
      <c r="C2375" t="s">
        <v>3970</v>
      </c>
      <c r="D2375" t="s">
        <v>3969</v>
      </c>
    </row>
    <row r="2376" spans="1:4" x14ac:dyDescent="0.3">
      <c r="A2376">
        <v>1023899450</v>
      </c>
      <c r="B2376" t="s">
        <v>3977</v>
      </c>
      <c r="C2376" t="s">
        <v>3970</v>
      </c>
      <c r="D2376" t="s">
        <v>3969</v>
      </c>
    </row>
    <row r="2377" spans="1:4" x14ac:dyDescent="0.3">
      <c r="A2377">
        <v>1023899450</v>
      </c>
      <c r="B2377" t="s">
        <v>3977</v>
      </c>
      <c r="C2377" t="s">
        <v>3970</v>
      </c>
      <c r="D2377" t="s">
        <v>3969</v>
      </c>
    </row>
    <row r="2378" spans="1:4" x14ac:dyDescent="0.3">
      <c r="A2378">
        <v>1023899450</v>
      </c>
      <c r="B2378" t="s">
        <v>3969</v>
      </c>
      <c r="C2378" t="s">
        <v>3970</v>
      </c>
      <c r="D2378" t="s">
        <v>3969</v>
      </c>
    </row>
    <row r="2379" spans="1:4" x14ac:dyDescent="0.3">
      <c r="A2379">
        <v>1023899450</v>
      </c>
      <c r="B2379" t="s">
        <v>3977</v>
      </c>
      <c r="C2379" t="s">
        <v>3970</v>
      </c>
      <c r="D2379" t="s">
        <v>3969</v>
      </c>
    </row>
    <row r="2380" spans="1:4" x14ac:dyDescent="0.3">
      <c r="A2380">
        <v>1023899450</v>
      </c>
      <c r="B2380" t="s">
        <v>3977</v>
      </c>
      <c r="C2380" t="s">
        <v>3970</v>
      </c>
      <c r="D2380" t="s">
        <v>3969</v>
      </c>
    </row>
    <row r="2381" spans="1:4" x14ac:dyDescent="0.3">
      <c r="A2381">
        <v>1023899450</v>
      </c>
      <c r="B2381" t="s">
        <v>3977</v>
      </c>
      <c r="C2381" t="s">
        <v>3970</v>
      </c>
      <c r="D2381" t="s">
        <v>3969</v>
      </c>
    </row>
    <row r="2382" spans="1:4" x14ac:dyDescent="0.3">
      <c r="A2382">
        <v>1023899450</v>
      </c>
      <c r="B2382" t="s">
        <v>3969</v>
      </c>
      <c r="C2382" t="s">
        <v>3970</v>
      </c>
      <c r="D2382" t="s">
        <v>3969</v>
      </c>
    </row>
    <row r="2383" spans="1:4" x14ac:dyDescent="0.3">
      <c r="A2383">
        <v>1023899450</v>
      </c>
      <c r="B2383" t="s">
        <v>3969</v>
      </c>
      <c r="C2383" t="s">
        <v>3970</v>
      </c>
      <c r="D2383" t="s">
        <v>3969</v>
      </c>
    </row>
    <row r="2384" spans="1:4" x14ac:dyDescent="0.3">
      <c r="A2384">
        <v>1023899450</v>
      </c>
      <c r="B2384" t="s">
        <v>3969</v>
      </c>
      <c r="C2384" t="s">
        <v>3970</v>
      </c>
      <c r="D2384" t="s">
        <v>3969</v>
      </c>
    </row>
    <row r="2385" spans="1:4" x14ac:dyDescent="0.3">
      <c r="A2385">
        <v>1023899450</v>
      </c>
      <c r="B2385" t="s">
        <v>3969</v>
      </c>
      <c r="C2385" t="s">
        <v>3970</v>
      </c>
      <c r="D2385" t="s">
        <v>3969</v>
      </c>
    </row>
    <row r="2386" spans="1:4" x14ac:dyDescent="0.3">
      <c r="A2386">
        <v>1023899450</v>
      </c>
      <c r="B2386" t="s">
        <v>3969</v>
      </c>
      <c r="C2386" t="s">
        <v>3970</v>
      </c>
      <c r="D2386" t="s">
        <v>3969</v>
      </c>
    </row>
    <row r="2387" spans="1:4" x14ac:dyDescent="0.3">
      <c r="A2387">
        <v>1023899450</v>
      </c>
      <c r="B2387" t="s">
        <v>3969</v>
      </c>
      <c r="C2387" t="s">
        <v>3970</v>
      </c>
      <c r="D2387" t="s">
        <v>3969</v>
      </c>
    </row>
    <row r="2388" spans="1:4" x14ac:dyDescent="0.3">
      <c r="A2388">
        <v>1023899450</v>
      </c>
      <c r="B2388" t="s">
        <v>3969</v>
      </c>
      <c r="C2388" t="s">
        <v>3970</v>
      </c>
      <c r="D2388" t="s">
        <v>3969</v>
      </c>
    </row>
    <row r="2389" spans="1:4" x14ac:dyDescent="0.3">
      <c r="A2389">
        <v>1023899450</v>
      </c>
      <c r="B2389" t="s">
        <v>3969</v>
      </c>
      <c r="C2389" t="s">
        <v>3970</v>
      </c>
      <c r="D2389" t="s">
        <v>3969</v>
      </c>
    </row>
    <row r="2390" spans="1:4" x14ac:dyDescent="0.3">
      <c r="A2390">
        <v>1023899450</v>
      </c>
      <c r="B2390" t="s">
        <v>3969</v>
      </c>
      <c r="C2390" t="s">
        <v>3970</v>
      </c>
      <c r="D2390" t="s">
        <v>3969</v>
      </c>
    </row>
    <row r="2391" spans="1:4" x14ac:dyDescent="0.3">
      <c r="A2391">
        <v>1023921046</v>
      </c>
      <c r="B2391" t="s">
        <v>3933</v>
      </c>
      <c r="C2391" t="s">
        <v>3934</v>
      </c>
      <c r="D2391" t="s">
        <v>4043</v>
      </c>
    </row>
    <row r="2392" spans="1:4" x14ac:dyDescent="0.3">
      <c r="A2392">
        <v>1023921046</v>
      </c>
      <c r="B2392" t="s">
        <v>3933</v>
      </c>
      <c r="C2392" t="s">
        <v>3934</v>
      </c>
      <c r="D2392" t="s">
        <v>4043</v>
      </c>
    </row>
    <row r="2393" spans="1:4" x14ac:dyDescent="0.3">
      <c r="A2393">
        <v>1023921046</v>
      </c>
      <c r="B2393" t="s">
        <v>3933</v>
      </c>
      <c r="C2393" t="s">
        <v>3934</v>
      </c>
      <c r="D2393" t="s">
        <v>4043</v>
      </c>
    </row>
    <row r="2394" spans="1:4" x14ac:dyDescent="0.3">
      <c r="A2394">
        <v>1023921046</v>
      </c>
      <c r="B2394" t="s">
        <v>3933</v>
      </c>
      <c r="C2394" t="s">
        <v>3934</v>
      </c>
      <c r="D2394" t="s">
        <v>4043</v>
      </c>
    </row>
    <row r="2395" spans="1:4" x14ac:dyDescent="0.3">
      <c r="A2395">
        <v>1023921046</v>
      </c>
      <c r="B2395" t="s">
        <v>3933</v>
      </c>
      <c r="C2395" t="s">
        <v>3934</v>
      </c>
      <c r="D2395" t="s">
        <v>4043</v>
      </c>
    </row>
    <row r="2396" spans="1:4" x14ac:dyDescent="0.3">
      <c r="A2396">
        <v>1023921046</v>
      </c>
      <c r="B2396" t="s">
        <v>3933</v>
      </c>
      <c r="C2396" t="s">
        <v>3934</v>
      </c>
      <c r="D2396" t="s">
        <v>4043</v>
      </c>
    </row>
    <row r="2397" spans="1:4" x14ac:dyDescent="0.3">
      <c r="A2397">
        <v>1023921046</v>
      </c>
      <c r="B2397" t="s">
        <v>3933</v>
      </c>
      <c r="C2397" t="s">
        <v>3934</v>
      </c>
      <c r="D2397" t="s">
        <v>4043</v>
      </c>
    </row>
    <row r="2398" spans="1:4" x14ac:dyDescent="0.3">
      <c r="A2398">
        <v>1023921046</v>
      </c>
      <c r="B2398" t="s">
        <v>3933</v>
      </c>
      <c r="C2398" t="s">
        <v>3934</v>
      </c>
      <c r="D2398" t="s">
        <v>4043</v>
      </c>
    </row>
    <row r="2399" spans="1:4" x14ac:dyDescent="0.3">
      <c r="A2399">
        <v>1023921046</v>
      </c>
      <c r="B2399" t="s">
        <v>3933</v>
      </c>
      <c r="C2399" t="s">
        <v>3934</v>
      </c>
      <c r="D2399" t="s">
        <v>4043</v>
      </c>
    </row>
    <row r="2400" spans="1:4" x14ac:dyDescent="0.3">
      <c r="A2400">
        <v>1023921046</v>
      </c>
      <c r="B2400" t="s">
        <v>3933</v>
      </c>
      <c r="C2400" t="s">
        <v>3934</v>
      </c>
      <c r="D2400" t="s">
        <v>4043</v>
      </c>
    </row>
    <row r="2401" spans="1:4" x14ac:dyDescent="0.3">
      <c r="A2401">
        <v>1023921046</v>
      </c>
      <c r="B2401" t="s">
        <v>3933</v>
      </c>
      <c r="C2401" t="s">
        <v>3934</v>
      </c>
      <c r="D2401" t="s">
        <v>4043</v>
      </c>
    </row>
    <row r="2402" spans="1:4" x14ac:dyDescent="0.3">
      <c r="A2402">
        <v>1023921046</v>
      </c>
      <c r="B2402" t="s">
        <v>3933</v>
      </c>
      <c r="C2402" t="s">
        <v>3934</v>
      </c>
      <c r="D2402" t="s">
        <v>4043</v>
      </c>
    </row>
    <row r="2403" spans="1:4" x14ac:dyDescent="0.3">
      <c r="A2403">
        <v>1023921046</v>
      </c>
      <c r="B2403" t="s">
        <v>3933</v>
      </c>
      <c r="C2403" t="s">
        <v>3934</v>
      </c>
      <c r="D2403" t="s">
        <v>4043</v>
      </c>
    </row>
    <row r="2404" spans="1:4" x14ac:dyDescent="0.3">
      <c r="A2404">
        <v>1023921046</v>
      </c>
      <c r="B2404" t="s">
        <v>3933</v>
      </c>
      <c r="C2404" t="s">
        <v>3934</v>
      </c>
      <c r="D2404" t="s">
        <v>4043</v>
      </c>
    </row>
    <row r="2405" spans="1:4" x14ac:dyDescent="0.3">
      <c r="A2405">
        <v>1023921046</v>
      </c>
      <c r="B2405" t="s">
        <v>3933</v>
      </c>
      <c r="C2405" t="s">
        <v>3934</v>
      </c>
      <c r="D2405" t="s">
        <v>4043</v>
      </c>
    </row>
    <row r="2406" spans="1:4" x14ac:dyDescent="0.3">
      <c r="A2406">
        <v>1023921046</v>
      </c>
      <c r="B2406" t="s">
        <v>3933</v>
      </c>
      <c r="C2406" t="s">
        <v>3934</v>
      </c>
      <c r="D2406" t="s">
        <v>4043</v>
      </c>
    </row>
    <row r="2407" spans="1:4" x14ac:dyDescent="0.3">
      <c r="A2407">
        <v>1023921046</v>
      </c>
      <c r="B2407" t="s">
        <v>3933</v>
      </c>
      <c r="C2407" t="s">
        <v>3934</v>
      </c>
      <c r="D2407" t="s">
        <v>4043</v>
      </c>
    </row>
    <row r="2408" spans="1:4" x14ac:dyDescent="0.3">
      <c r="A2408">
        <v>1023921046</v>
      </c>
      <c r="B2408" t="s">
        <v>3933</v>
      </c>
      <c r="C2408" t="s">
        <v>3934</v>
      </c>
      <c r="D2408" t="s">
        <v>4043</v>
      </c>
    </row>
    <row r="2409" spans="1:4" x14ac:dyDescent="0.3">
      <c r="A2409">
        <v>1023921046</v>
      </c>
      <c r="B2409" t="s">
        <v>3933</v>
      </c>
      <c r="C2409" t="s">
        <v>3934</v>
      </c>
      <c r="D2409" t="s">
        <v>4043</v>
      </c>
    </row>
    <row r="2410" spans="1:4" x14ac:dyDescent="0.3">
      <c r="A2410">
        <v>1023921046</v>
      </c>
      <c r="B2410" t="s">
        <v>3933</v>
      </c>
      <c r="C2410" t="s">
        <v>3934</v>
      </c>
      <c r="D2410" t="s">
        <v>4043</v>
      </c>
    </row>
    <row r="2411" spans="1:4" x14ac:dyDescent="0.3">
      <c r="A2411">
        <v>1023921046</v>
      </c>
      <c r="B2411" t="s">
        <v>3933</v>
      </c>
      <c r="C2411" t="s">
        <v>3934</v>
      </c>
      <c r="D2411" t="s">
        <v>4043</v>
      </c>
    </row>
    <row r="2412" spans="1:4" x14ac:dyDescent="0.3">
      <c r="A2412">
        <v>1023921046</v>
      </c>
      <c r="B2412" t="s">
        <v>3933</v>
      </c>
      <c r="C2412" t="s">
        <v>3934</v>
      </c>
      <c r="D2412" t="s">
        <v>4043</v>
      </c>
    </row>
    <row r="2413" spans="1:4" x14ac:dyDescent="0.3">
      <c r="A2413">
        <v>1023929839</v>
      </c>
      <c r="B2413" t="s">
        <v>3933</v>
      </c>
      <c r="C2413" t="s">
        <v>3934</v>
      </c>
      <c r="D2413" t="s">
        <v>3932</v>
      </c>
    </row>
    <row r="2414" spans="1:4" x14ac:dyDescent="0.3">
      <c r="A2414">
        <v>1023929839</v>
      </c>
      <c r="B2414" t="s">
        <v>3933</v>
      </c>
      <c r="C2414" t="s">
        <v>3934</v>
      </c>
      <c r="D2414" t="s">
        <v>3932</v>
      </c>
    </row>
    <row r="2415" spans="1:4" x14ac:dyDescent="0.3">
      <c r="A2415">
        <v>1023929839</v>
      </c>
      <c r="B2415" t="s">
        <v>3933</v>
      </c>
      <c r="C2415" t="s">
        <v>3934</v>
      </c>
      <c r="D2415" t="s">
        <v>3932</v>
      </c>
    </row>
    <row r="2416" spans="1:4" x14ac:dyDescent="0.3">
      <c r="A2416">
        <v>1023929839</v>
      </c>
      <c r="B2416" t="s">
        <v>3933</v>
      </c>
      <c r="C2416" t="s">
        <v>3934</v>
      </c>
      <c r="D2416" t="s">
        <v>3932</v>
      </c>
    </row>
    <row r="2417" spans="1:4" x14ac:dyDescent="0.3">
      <c r="A2417">
        <v>1023929839</v>
      </c>
      <c r="B2417" t="s">
        <v>3933</v>
      </c>
      <c r="C2417" t="s">
        <v>3934</v>
      </c>
      <c r="D2417" t="s">
        <v>3932</v>
      </c>
    </row>
    <row r="2418" spans="1:4" x14ac:dyDescent="0.3">
      <c r="A2418">
        <v>1023929839</v>
      </c>
      <c r="B2418" t="s">
        <v>3933</v>
      </c>
      <c r="C2418" t="s">
        <v>3934</v>
      </c>
      <c r="D2418" t="s">
        <v>3932</v>
      </c>
    </row>
    <row r="2419" spans="1:4" x14ac:dyDescent="0.3">
      <c r="A2419">
        <v>1023929839</v>
      </c>
      <c r="B2419" t="s">
        <v>3933</v>
      </c>
      <c r="C2419" t="s">
        <v>3934</v>
      </c>
      <c r="D2419" t="s">
        <v>3932</v>
      </c>
    </row>
    <row r="2420" spans="1:4" x14ac:dyDescent="0.3">
      <c r="A2420">
        <v>1023929839</v>
      </c>
      <c r="B2420" t="s">
        <v>3933</v>
      </c>
      <c r="C2420" t="s">
        <v>3934</v>
      </c>
      <c r="D2420" t="s">
        <v>3932</v>
      </c>
    </row>
    <row r="2421" spans="1:4" x14ac:dyDescent="0.3">
      <c r="A2421">
        <v>1023929839</v>
      </c>
      <c r="B2421" t="s">
        <v>3933</v>
      </c>
      <c r="C2421" t="s">
        <v>3934</v>
      </c>
      <c r="D2421" t="s">
        <v>3932</v>
      </c>
    </row>
    <row r="2422" spans="1:4" x14ac:dyDescent="0.3">
      <c r="A2422">
        <v>1023929839</v>
      </c>
      <c r="B2422" t="s">
        <v>3933</v>
      </c>
      <c r="C2422" t="s">
        <v>3934</v>
      </c>
      <c r="D2422" t="s">
        <v>3932</v>
      </c>
    </row>
    <row r="2423" spans="1:4" x14ac:dyDescent="0.3">
      <c r="A2423">
        <v>1023929839</v>
      </c>
      <c r="B2423" t="s">
        <v>3933</v>
      </c>
      <c r="C2423" t="s">
        <v>3934</v>
      </c>
      <c r="D2423" t="s">
        <v>3932</v>
      </c>
    </row>
    <row r="2424" spans="1:4" x14ac:dyDescent="0.3">
      <c r="A2424">
        <v>1023929839</v>
      </c>
      <c r="B2424" t="s">
        <v>3933</v>
      </c>
      <c r="C2424" t="s">
        <v>3934</v>
      </c>
      <c r="D2424" t="s">
        <v>3932</v>
      </c>
    </row>
    <row r="2425" spans="1:4" x14ac:dyDescent="0.3">
      <c r="A2425">
        <v>1023929839</v>
      </c>
      <c r="B2425" t="s">
        <v>3933</v>
      </c>
      <c r="C2425" t="s">
        <v>3934</v>
      </c>
      <c r="D2425" t="s">
        <v>3932</v>
      </c>
    </row>
    <row r="2426" spans="1:4" x14ac:dyDescent="0.3">
      <c r="A2426">
        <v>1023929839</v>
      </c>
      <c r="B2426" t="s">
        <v>3933</v>
      </c>
      <c r="C2426" t="s">
        <v>3934</v>
      </c>
      <c r="D2426" t="s">
        <v>3932</v>
      </c>
    </row>
    <row r="2427" spans="1:4" x14ac:dyDescent="0.3">
      <c r="A2427">
        <v>1023929839</v>
      </c>
      <c r="B2427" t="s">
        <v>3933</v>
      </c>
      <c r="C2427" t="s">
        <v>3934</v>
      </c>
      <c r="D2427" t="s">
        <v>3932</v>
      </c>
    </row>
    <row r="2428" spans="1:4" x14ac:dyDescent="0.3">
      <c r="A2428">
        <v>1023929839</v>
      </c>
      <c r="B2428" t="s">
        <v>3933</v>
      </c>
      <c r="C2428" t="s">
        <v>3934</v>
      </c>
      <c r="D2428" t="s">
        <v>3932</v>
      </c>
    </row>
    <row r="2429" spans="1:4" x14ac:dyDescent="0.3">
      <c r="A2429">
        <v>1023929839</v>
      </c>
      <c r="B2429" t="s">
        <v>3933</v>
      </c>
      <c r="C2429" t="s">
        <v>3934</v>
      </c>
      <c r="D2429" t="s">
        <v>3932</v>
      </c>
    </row>
    <row r="2430" spans="1:4" x14ac:dyDescent="0.3">
      <c r="A2430">
        <v>1023970223</v>
      </c>
      <c r="B2430" t="s">
        <v>3933</v>
      </c>
      <c r="C2430" t="s">
        <v>3934</v>
      </c>
      <c r="D2430" t="s">
        <v>4070</v>
      </c>
    </row>
    <row r="2431" spans="1:4" x14ac:dyDescent="0.3">
      <c r="A2431">
        <v>1023970223</v>
      </c>
      <c r="B2431" t="s">
        <v>3933</v>
      </c>
      <c r="C2431" t="s">
        <v>3934</v>
      </c>
      <c r="D2431" t="s">
        <v>4070</v>
      </c>
    </row>
    <row r="2432" spans="1:4" x14ac:dyDescent="0.3">
      <c r="A2432">
        <v>1023970223</v>
      </c>
      <c r="B2432" t="s">
        <v>3933</v>
      </c>
      <c r="C2432" t="s">
        <v>3934</v>
      </c>
      <c r="D2432" t="s">
        <v>4070</v>
      </c>
    </row>
    <row r="2433" spans="1:4" x14ac:dyDescent="0.3">
      <c r="A2433">
        <v>1023970223</v>
      </c>
      <c r="B2433" t="s">
        <v>3933</v>
      </c>
      <c r="C2433" t="s">
        <v>3934</v>
      </c>
      <c r="D2433" t="s">
        <v>4070</v>
      </c>
    </row>
    <row r="2434" spans="1:4" x14ac:dyDescent="0.3">
      <c r="A2434">
        <v>1023970223</v>
      </c>
      <c r="B2434" t="s">
        <v>3933</v>
      </c>
      <c r="C2434" t="s">
        <v>3934</v>
      </c>
      <c r="D2434" t="s">
        <v>4070</v>
      </c>
    </row>
    <row r="2435" spans="1:4" x14ac:dyDescent="0.3">
      <c r="A2435">
        <v>1023970223</v>
      </c>
      <c r="B2435" t="s">
        <v>3933</v>
      </c>
      <c r="C2435" t="s">
        <v>3934</v>
      </c>
      <c r="D2435" t="s">
        <v>4070</v>
      </c>
    </row>
    <row r="2436" spans="1:4" x14ac:dyDescent="0.3">
      <c r="A2436">
        <v>1023970223</v>
      </c>
      <c r="B2436" t="s">
        <v>3933</v>
      </c>
      <c r="C2436" t="s">
        <v>3934</v>
      </c>
      <c r="D2436" t="s">
        <v>4070</v>
      </c>
    </row>
    <row r="2437" spans="1:4" x14ac:dyDescent="0.3">
      <c r="A2437">
        <v>1023970223</v>
      </c>
      <c r="B2437" t="s">
        <v>3933</v>
      </c>
      <c r="C2437" t="s">
        <v>3934</v>
      </c>
      <c r="D2437" t="s">
        <v>4070</v>
      </c>
    </row>
    <row r="2438" spans="1:4" x14ac:dyDescent="0.3">
      <c r="A2438">
        <v>1023970223</v>
      </c>
      <c r="B2438" t="s">
        <v>3933</v>
      </c>
      <c r="C2438" t="s">
        <v>3934</v>
      </c>
      <c r="D2438" t="s">
        <v>4070</v>
      </c>
    </row>
    <row r="2439" spans="1:4" x14ac:dyDescent="0.3">
      <c r="A2439">
        <v>1023970223</v>
      </c>
      <c r="B2439" t="s">
        <v>3933</v>
      </c>
      <c r="C2439" t="s">
        <v>3934</v>
      </c>
      <c r="D2439" t="s">
        <v>4070</v>
      </c>
    </row>
    <row r="2440" spans="1:4" x14ac:dyDescent="0.3">
      <c r="A2440">
        <v>1023970223</v>
      </c>
      <c r="B2440" t="s">
        <v>3933</v>
      </c>
      <c r="C2440" t="s">
        <v>3934</v>
      </c>
      <c r="D2440" t="s">
        <v>4070</v>
      </c>
    </row>
    <row r="2441" spans="1:4" x14ac:dyDescent="0.3">
      <c r="A2441">
        <v>1023970223</v>
      </c>
      <c r="B2441" t="s">
        <v>3933</v>
      </c>
      <c r="C2441" t="s">
        <v>3934</v>
      </c>
      <c r="D2441" t="s">
        <v>4070</v>
      </c>
    </row>
    <row r="2442" spans="1:4" x14ac:dyDescent="0.3">
      <c r="A2442">
        <v>1023970223</v>
      </c>
      <c r="B2442" t="s">
        <v>3933</v>
      </c>
      <c r="C2442" t="s">
        <v>3934</v>
      </c>
      <c r="D2442" t="s">
        <v>4070</v>
      </c>
    </row>
    <row r="2443" spans="1:4" x14ac:dyDescent="0.3">
      <c r="A2443">
        <v>1023970223</v>
      </c>
      <c r="B2443" t="s">
        <v>3933</v>
      </c>
      <c r="C2443" t="s">
        <v>3934</v>
      </c>
      <c r="D2443" t="s">
        <v>4070</v>
      </c>
    </row>
    <row r="2444" spans="1:4" x14ac:dyDescent="0.3">
      <c r="A2444">
        <v>1023970223</v>
      </c>
      <c r="B2444" t="s">
        <v>3933</v>
      </c>
      <c r="C2444" t="s">
        <v>3934</v>
      </c>
      <c r="D2444" t="s">
        <v>4070</v>
      </c>
    </row>
    <row r="2445" spans="1:4" x14ac:dyDescent="0.3">
      <c r="A2445">
        <v>1023970223</v>
      </c>
      <c r="B2445" t="s">
        <v>3933</v>
      </c>
      <c r="C2445" t="s">
        <v>3934</v>
      </c>
      <c r="D2445" t="s">
        <v>4070</v>
      </c>
    </row>
    <row r="2446" spans="1:4" x14ac:dyDescent="0.3">
      <c r="A2446">
        <v>1023974716</v>
      </c>
      <c r="B2446" t="s">
        <v>3963</v>
      </c>
      <c r="C2446" t="s">
        <v>3934</v>
      </c>
      <c r="D2446" t="s">
        <v>4016</v>
      </c>
    </row>
    <row r="2447" spans="1:4" x14ac:dyDescent="0.3">
      <c r="A2447">
        <v>1023974716</v>
      </c>
      <c r="B2447" t="s">
        <v>3963</v>
      </c>
      <c r="C2447" t="s">
        <v>3934</v>
      </c>
      <c r="D2447" t="s">
        <v>4016</v>
      </c>
    </row>
    <row r="2448" spans="1:4" x14ac:dyDescent="0.3">
      <c r="A2448">
        <v>1023974716</v>
      </c>
      <c r="B2448" t="s">
        <v>3963</v>
      </c>
      <c r="C2448" t="s">
        <v>3934</v>
      </c>
      <c r="D2448" t="s">
        <v>4016</v>
      </c>
    </row>
    <row r="2449" spans="1:4" x14ac:dyDescent="0.3">
      <c r="A2449">
        <v>1023974716</v>
      </c>
      <c r="B2449" t="s">
        <v>3963</v>
      </c>
      <c r="C2449" t="s">
        <v>3934</v>
      </c>
      <c r="D2449" t="s">
        <v>4016</v>
      </c>
    </row>
    <row r="2450" spans="1:4" x14ac:dyDescent="0.3">
      <c r="A2450">
        <v>1023974716</v>
      </c>
      <c r="B2450" t="s">
        <v>3963</v>
      </c>
      <c r="C2450" t="s">
        <v>3934</v>
      </c>
      <c r="D2450" t="s">
        <v>4016</v>
      </c>
    </row>
    <row r="2451" spans="1:4" x14ac:dyDescent="0.3">
      <c r="A2451">
        <v>1023974716</v>
      </c>
      <c r="B2451" t="s">
        <v>3963</v>
      </c>
      <c r="C2451" t="s">
        <v>3934</v>
      </c>
      <c r="D2451" t="s">
        <v>4016</v>
      </c>
    </row>
    <row r="2452" spans="1:4" x14ac:dyDescent="0.3">
      <c r="A2452">
        <v>1023974716</v>
      </c>
      <c r="B2452" t="s">
        <v>3963</v>
      </c>
      <c r="C2452" t="s">
        <v>3934</v>
      </c>
      <c r="D2452" t="s">
        <v>4016</v>
      </c>
    </row>
    <row r="2453" spans="1:4" x14ac:dyDescent="0.3">
      <c r="A2453">
        <v>1023974716</v>
      </c>
      <c r="B2453" t="s">
        <v>3963</v>
      </c>
      <c r="C2453" t="s">
        <v>3934</v>
      </c>
      <c r="D2453" t="s">
        <v>4016</v>
      </c>
    </row>
    <row r="2454" spans="1:4" x14ac:dyDescent="0.3">
      <c r="A2454">
        <v>1023974716</v>
      </c>
      <c r="B2454" t="s">
        <v>3963</v>
      </c>
      <c r="C2454" t="s">
        <v>3934</v>
      </c>
      <c r="D2454" t="s">
        <v>4016</v>
      </c>
    </row>
    <row r="2455" spans="1:4" x14ac:dyDescent="0.3">
      <c r="A2455">
        <v>1023974716</v>
      </c>
      <c r="B2455" t="s">
        <v>3963</v>
      </c>
      <c r="C2455" t="s">
        <v>3934</v>
      </c>
      <c r="D2455" t="s">
        <v>4016</v>
      </c>
    </row>
    <row r="2456" spans="1:4" x14ac:dyDescent="0.3">
      <c r="A2456">
        <v>1023974716</v>
      </c>
      <c r="B2456" t="s">
        <v>3963</v>
      </c>
      <c r="C2456" t="s">
        <v>3934</v>
      </c>
      <c r="D2456" t="s">
        <v>4016</v>
      </c>
    </row>
    <row r="2457" spans="1:4" x14ac:dyDescent="0.3">
      <c r="A2457">
        <v>1023974716</v>
      </c>
      <c r="B2457" t="s">
        <v>3963</v>
      </c>
      <c r="C2457" t="s">
        <v>3934</v>
      </c>
      <c r="D2457" t="s">
        <v>4016</v>
      </c>
    </row>
    <row r="2458" spans="1:4" x14ac:dyDescent="0.3">
      <c r="A2458">
        <v>1023974716</v>
      </c>
      <c r="B2458" t="s">
        <v>3963</v>
      </c>
      <c r="C2458" t="s">
        <v>3934</v>
      </c>
      <c r="D2458" t="s">
        <v>4016</v>
      </c>
    </row>
    <row r="2459" spans="1:4" x14ac:dyDescent="0.3">
      <c r="A2459">
        <v>1023974716</v>
      </c>
      <c r="B2459" t="s">
        <v>3963</v>
      </c>
      <c r="C2459" t="s">
        <v>3934</v>
      </c>
      <c r="D2459" t="s">
        <v>4016</v>
      </c>
    </row>
    <row r="2460" spans="1:4" x14ac:dyDescent="0.3">
      <c r="A2460">
        <v>1023974716</v>
      </c>
      <c r="B2460" t="s">
        <v>3963</v>
      </c>
      <c r="C2460" t="s">
        <v>3934</v>
      </c>
      <c r="D2460" t="s">
        <v>4016</v>
      </c>
    </row>
    <row r="2461" spans="1:4" x14ac:dyDescent="0.3">
      <c r="A2461">
        <v>1023974716</v>
      </c>
      <c r="B2461" t="s">
        <v>3963</v>
      </c>
      <c r="C2461" t="s">
        <v>3934</v>
      </c>
      <c r="D2461" t="s">
        <v>4016</v>
      </c>
    </row>
    <row r="2462" spans="1:4" x14ac:dyDescent="0.3">
      <c r="A2462">
        <v>1023974716</v>
      </c>
      <c r="B2462" t="s">
        <v>3963</v>
      </c>
      <c r="C2462" t="s">
        <v>3934</v>
      </c>
      <c r="D2462" t="s">
        <v>4016</v>
      </c>
    </row>
    <row r="2463" spans="1:4" x14ac:dyDescent="0.3">
      <c r="A2463">
        <v>1023974716</v>
      </c>
      <c r="B2463" t="s">
        <v>3963</v>
      </c>
      <c r="C2463" t="s">
        <v>3934</v>
      </c>
      <c r="D2463" t="s">
        <v>4016</v>
      </c>
    </row>
    <row r="2464" spans="1:4" x14ac:dyDescent="0.3">
      <c r="A2464">
        <v>1023975276</v>
      </c>
      <c r="B2464" t="s">
        <v>3963</v>
      </c>
      <c r="C2464" t="s">
        <v>3934</v>
      </c>
      <c r="D2464" t="s">
        <v>3962</v>
      </c>
    </row>
    <row r="2465" spans="1:4" x14ac:dyDescent="0.3">
      <c r="A2465">
        <v>1023975276</v>
      </c>
      <c r="B2465" t="s">
        <v>3963</v>
      </c>
      <c r="C2465" t="s">
        <v>3934</v>
      </c>
      <c r="D2465" t="s">
        <v>3962</v>
      </c>
    </row>
    <row r="2466" spans="1:4" x14ac:dyDescent="0.3">
      <c r="A2466">
        <v>1023975276</v>
      </c>
      <c r="B2466" t="s">
        <v>3963</v>
      </c>
      <c r="C2466" t="s">
        <v>3934</v>
      </c>
      <c r="D2466" t="s">
        <v>3962</v>
      </c>
    </row>
    <row r="2467" spans="1:4" x14ac:dyDescent="0.3">
      <c r="A2467">
        <v>1023975276</v>
      </c>
      <c r="B2467" t="s">
        <v>3963</v>
      </c>
      <c r="C2467" t="s">
        <v>3934</v>
      </c>
      <c r="D2467" t="s">
        <v>3962</v>
      </c>
    </row>
    <row r="2468" spans="1:4" x14ac:dyDescent="0.3">
      <c r="A2468">
        <v>1023975276</v>
      </c>
      <c r="B2468" t="s">
        <v>3963</v>
      </c>
      <c r="C2468" t="s">
        <v>3934</v>
      </c>
      <c r="D2468" t="s">
        <v>3962</v>
      </c>
    </row>
    <row r="2469" spans="1:4" x14ac:dyDescent="0.3">
      <c r="A2469">
        <v>1023975276</v>
      </c>
      <c r="B2469" t="s">
        <v>3963</v>
      </c>
      <c r="C2469" t="s">
        <v>3934</v>
      </c>
      <c r="D2469" t="s">
        <v>3962</v>
      </c>
    </row>
    <row r="2470" spans="1:4" x14ac:dyDescent="0.3">
      <c r="A2470">
        <v>1023975276</v>
      </c>
      <c r="B2470" t="s">
        <v>3963</v>
      </c>
      <c r="C2470" t="s">
        <v>3934</v>
      </c>
      <c r="D2470" t="s">
        <v>3962</v>
      </c>
    </row>
    <row r="2471" spans="1:4" x14ac:dyDescent="0.3">
      <c r="A2471">
        <v>1023975276</v>
      </c>
      <c r="B2471" t="s">
        <v>3963</v>
      </c>
      <c r="C2471" t="s">
        <v>3934</v>
      </c>
      <c r="D2471" t="s">
        <v>3962</v>
      </c>
    </row>
    <row r="2472" spans="1:4" x14ac:dyDescent="0.3">
      <c r="A2472">
        <v>1023975276</v>
      </c>
      <c r="B2472" t="s">
        <v>3963</v>
      </c>
      <c r="C2472" t="s">
        <v>3934</v>
      </c>
      <c r="D2472" t="s">
        <v>3962</v>
      </c>
    </row>
    <row r="2473" spans="1:4" x14ac:dyDescent="0.3">
      <c r="A2473">
        <v>1023975276</v>
      </c>
      <c r="B2473" t="s">
        <v>3963</v>
      </c>
      <c r="C2473" t="s">
        <v>3934</v>
      </c>
      <c r="D2473" t="s">
        <v>3962</v>
      </c>
    </row>
    <row r="2474" spans="1:4" x14ac:dyDescent="0.3">
      <c r="A2474">
        <v>1023975276</v>
      </c>
      <c r="B2474" t="s">
        <v>3963</v>
      </c>
      <c r="C2474" t="s">
        <v>3934</v>
      </c>
      <c r="D2474" t="s">
        <v>3962</v>
      </c>
    </row>
    <row r="2475" spans="1:4" x14ac:dyDescent="0.3">
      <c r="A2475">
        <v>1023975276</v>
      </c>
      <c r="B2475" t="s">
        <v>3963</v>
      </c>
      <c r="C2475" t="s">
        <v>3934</v>
      </c>
      <c r="D2475" t="s">
        <v>3962</v>
      </c>
    </row>
    <row r="2476" spans="1:4" x14ac:dyDescent="0.3">
      <c r="A2476">
        <v>1023975276</v>
      </c>
      <c r="B2476" t="s">
        <v>3963</v>
      </c>
      <c r="C2476" t="s">
        <v>3934</v>
      </c>
      <c r="D2476" t="s">
        <v>3962</v>
      </c>
    </row>
    <row r="2477" spans="1:4" x14ac:dyDescent="0.3">
      <c r="A2477">
        <v>1023975276</v>
      </c>
      <c r="B2477" t="s">
        <v>3963</v>
      </c>
      <c r="C2477" t="s">
        <v>3934</v>
      </c>
      <c r="D2477" t="s">
        <v>3962</v>
      </c>
    </row>
    <row r="2478" spans="1:4" x14ac:dyDescent="0.3">
      <c r="A2478">
        <v>1023975276</v>
      </c>
      <c r="B2478" t="s">
        <v>3963</v>
      </c>
      <c r="C2478" t="s">
        <v>3934</v>
      </c>
      <c r="D2478" t="s">
        <v>3962</v>
      </c>
    </row>
    <row r="2479" spans="1:4" x14ac:dyDescent="0.3">
      <c r="A2479">
        <v>1023975276</v>
      </c>
      <c r="B2479" t="s">
        <v>3963</v>
      </c>
      <c r="C2479" t="s">
        <v>3934</v>
      </c>
      <c r="D2479" t="s">
        <v>3962</v>
      </c>
    </row>
    <row r="2480" spans="1:4" x14ac:dyDescent="0.3">
      <c r="A2480">
        <v>1023975276</v>
      </c>
      <c r="B2480" t="s">
        <v>3963</v>
      </c>
      <c r="C2480" t="s">
        <v>3934</v>
      </c>
      <c r="D2480" t="s">
        <v>3962</v>
      </c>
    </row>
    <row r="2481" spans="1:4" x14ac:dyDescent="0.3">
      <c r="A2481">
        <v>1023975276</v>
      </c>
      <c r="B2481" t="s">
        <v>3963</v>
      </c>
      <c r="C2481" t="s">
        <v>3934</v>
      </c>
      <c r="D2481" t="s">
        <v>3962</v>
      </c>
    </row>
    <row r="2482" spans="1:4" x14ac:dyDescent="0.3">
      <c r="A2482">
        <v>1023975276</v>
      </c>
      <c r="B2482" t="s">
        <v>3963</v>
      </c>
      <c r="C2482" t="s">
        <v>3934</v>
      </c>
      <c r="D2482" t="s">
        <v>3962</v>
      </c>
    </row>
    <row r="2483" spans="1:4" x14ac:dyDescent="0.3">
      <c r="A2483">
        <v>1023975276</v>
      </c>
      <c r="B2483" t="s">
        <v>3963</v>
      </c>
      <c r="C2483" t="s">
        <v>3934</v>
      </c>
      <c r="D2483" t="s">
        <v>3962</v>
      </c>
    </row>
    <row r="2484" spans="1:4" x14ac:dyDescent="0.3">
      <c r="A2484">
        <v>1023975276</v>
      </c>
      <c r="B2484" t="s">
        <v>3963</v>
      </c>
      <c r="C2484" t="s">
        <v>3934</v>
      </c>
      <c r="D2484" t="s">
        <v>3962</v>
      </c>
    </row>
    <row r="2485" spans="1:4" x14ac:dyDescent="0.3">
      <c r="A2485">
        <v>1023975276</v>
      </c>
      <c r="B2485" t="s">
        <v>3963</v>
      </c>
      <c r="C2485" t="s">
        <v>3934</v>
      </c>
      <c r="D2485" t="s">
        <v>3962</v>
      </c>
    </row>
    <row r="2486" spans="1:4" x14ac:dyDescent="0.3">
      <c r="A2486">
        <v>1023975276</v>
      </c>
      <c r="B2486" t="s">
        <v>3963</v>
      </c>
      <c r="C2486" t="s">
        <v>3934</v>
      </c>
      <c r="D2486" t="s">
        <v>3962</v>
      </c>
    </row>
    <row r="2487" spans="1:4" x14ac:dyDescent="0.3">
      <c r="A2487">
        <v>1023975276</v>
      </c>
      <c r="B2487" t="s">
        <v>3963</v>
      </c>
      <c r="C2487" t="s">
        <v>3934</v>
      </c>
      <c r="D2487" t="s">
        <v>3962</v>
      </c>
    </row>
    <row r="2488" spans="1:4" x14ac:dyDescent="0.3">
      <c r="A2488">
        <v>1023975276</v>
      </c>
      <c r="B2488" t="s">
        <v>3963</v>
      </c>
      <c r="C2488" t="s">
        <v>3934</v>
      </c>
      <c r="D2488" t="s">
        <v>3962</v>
      </c>
    </row>
    <row r="2489" spans="1:4" x14ac:dyDescent="0.3">
      <c r="A2489">
        <v>1023975276</v>
      </c>
      <c r="B2489" t="s">
        <v>3963</v>
      </c>
      <c r="C2489" t="s">
        <v>3934</v>
      </c>
      <c r="D2489" t="s">
        <v>3962</v>
      </c>
    </row>
    <row r="2490" spans="1:4" x14ac:dyDescent="0.3">
      <c r="A2490">
        <v>1023975276</v>
      </c>
      <c r="B2490" t="s">
        <v>3963</v>
      </c>
      <c r="C2490" t="s">
        <v>3934</v>
      </c>
      <c r="D2490" t="s">
        <v>3962</v>
      </c>
    </row>
    <row r="2491" spans="1:4" x14ac:dyDescent="0.3">
      <c r="A2491">
        <v>1023975276</v>
      </c>
      <c r="B2491" t="s">
        <v>3963</v>
      </c>
      <c r="C2491" t="s">
        <v>3934</v>
      </c>
      <c r="D2491" t="s">
        <v>3962</v>
      </c>
    </row>
    <row r="2492" spans="1:4" x14ac:dyDescent="0.3">
      <c r="A2492">
        <v>1023975276</v>
      </c>
      <c r="B2492" t="s">
        <v>3963</v>
      </c>
      <c r="C2492" t="s">
        <v>3934</v>
      </c>
      <c r="D2492" t="s">
        <v>3962</v>
      </c>
    </row>
    <row r="2493" spans="1:4" x14ac:dyDescent="0.3">
      <c r="A2493">
        <v>1023975276</v>
      </c>
      <c r="B2493" t="s">
        <v>3963</v>
      </c>
      <c r="C2493" t="s">
        <v>3934</v>
      </c>
      <c r="D2493" t="s">
        <v>3962</v>
      </c>
    </row>
    <row r="2494" spans="1:4" x14ac:dyDescent="0.3">
      <c r="A2494">
        <v>1023975276</v>
      </c>
      <c r="B2494" t="s">
        <v>3963</v>
      </c>
      <c r="C2494" t="s">
        <v>3934</v>
      </c>
      <c r="D2494" t="s">
        <v>3962</v>
      </c>
    </row>
    <row r="2495" spans="1:4" x14ac:dyDescent="0.3">
      <c r="A2495">
        <v>1023975276</v>
      </c>
      <c r="B2495" t="s">
        <v>3963</v>
      </c>
      <c r="C2495" t="s">
        <v>3934</v>
      </c>
      <c r="D2495" t="s">
        <v>3962</v>
      </c>
    </row>
    <row r="2496" spans="1:4" x14ac:dyDescent="0.3">
      <c r="A2496">
        <v>1023975276</v>
      </c>
      <c r="B2496" t="s">
        <v>3963</v>
      </c>
      <c r="C2496" t="s">
        <v>3934</v>
      </c>
      <c r="D2496" t="s">
        <v>3962</v>
      </c>
    </row>
    <row r="2497" spans="1:4" x14ac:dyDescent="0.3">
      <c r="A2497">
        <v>1023975276</v>
      </c>
      <c r="B2497" t="s">
        <v>3963</v>
      </c>
      <c r="C2497" t="s">
        <v>3934</v>
      </c>
      <c r="D2497" t="s">
        <v>3962</v>
      </c>
    </row>
    <row r="2498" spans="1:4" x14ac:dyDescent="0.3">
      <c r="A2498">
        <v>1023975276</v>
      </c>
      <c r="B2498" t="s">
        <v>3963</v>
      </c>
      <c r="C2498" t="s">
        <v>3934</v>
      </c>
      <c r="D2498" t="s">
        <v>3962</v>
      </c>
    </row>
    <row r="2499" spans="1:4" x14ac:dyDescent="0.3">
      <c r="A2499">
        <v>1023975276</v>
      </c>
      <c r="B2499" t="s">
        <v>3963</v>
      </c>
      <c r="C2499" t="s">
        <v>3934</v>
      </c>
      <c r="D2499" t="s">
        <v>3962</v>
      </c>
    </row>
    <row r="2500" spans="1:4" x14ac:dyDescent="0.3">
      <c r="A2500">
        <v>1023975276</v>
      </c>
      <c r="B2500" t="s">
        <v>3963</v>
      </c>
      <c r="C2500" t="s">
        <v>3934</v>
      </c>
      <c r="D2500" t="s">
        <v>3962</v>
      </c>
    </row>
    <row r="2501" spans="1:4" x14ac:dyDescent="0.3">
      <c r="A2501">
        <v>1023975276</v>
      </c>
      <c r="B2501" t="s">
        <v>3963</v>
      </c>
      <c r="C2501" t="s">
        <v>3934</v>
      </c>
      <c r="D2501" t="s">
        <v>3962</v>
      </c>
    </row>
    <row r="2502" spans="1:4" x14ac:dyDescent="0.3">
      <c r="A2502">
        <v>1023975276</v>
      </c>
      <c r="B2502" t="s">
        <v>3963</v>
      </c>
      <c r="C2502" t="s">
        <v>3934</v>
      </c>
      <c r="D2502" t="s">
        <v>3962</v>
      </c>
    </row>
    <row r="2503" spans="1:4" x14ac:dyDescent="0.3">
      <c r="A2503">
        <v>1023975276</v>
      </c>
      <c r="B2503" t="s">
        <v>3963</v>
      </c>
      <c r="C2503" t="s">
        <v>3934</v>
      </c>
      <c r="D2503" t="s">
        <v>3962</v>
      </c>
    </row>
    <row r="2504" spans="1:4" x14ac:dyDescent="0.3">
      <c r="A2504">
        <v>1023975276</v>
      </c>
      <c r="B2504" t="s">
        <v>3963</v>
      </c>
      <c r="C2504" t="s">
        <v>3934</v>
      </c>
      <c r="D2504" t="s">
        <v>3962</v>
      </c>
    </row>
    <row r="2505" spans="1:4" x14ac:dyDescent="0.3">
      <c r="A2505">
        <v>1023975276</v>
      </c>
      <c r="B2505" t="s">
        <v>3963</v>
      </c>
      <c r="C2505" t="s">
        <v>3934</v>
      </c>
      <c r="D2505" t="s">
        <v>3962</v>
      </c>
    </row>
    <row r="2506" spans="1:4" x14ac:dyDescent="0.3">
      <c r="A2506">
        <v>1023975276</v>
      </c>
      <c r="B2506" t="s">
        <v>3963</v>
      </c>
      <c r="C2506" t="s">
        <v>3934</v>
      </c>
      <c r="D2506" t="s">
        <v>3962</v>
      </c>
    </row>
    <row r="2507" spans="1:4" x14ac:dyDescent="0.3">
      <c r="A2507">
        <v>1023975276</v>
      </c>
      <c r="B2507" t="s">
        <v>3963</v>
      </c>
      <c r="C2507" t="s">
        <v>3934</v>
      </c>
      <c r="D2507" t="s">
        <v>3962</v>
      </c>
    </row>
    <row r="2508" spans="1:4" x14ac:dyDescent="0.3">
      <c r="A2508">
        <v>1023975276</v>
      </c>
      <c r="B2508" t="s">
        <v>3963</v>
      </c>
      <c r="C2508" t="s">
        <v>3934</v>
      </c>
      <c r="D2508" t="s">
        <v>3962</v>
      </c>
    </row>
    <row r="2509" spans="1:4" x14ac:dyDescent="0.3">
      <c r="A2509">
        <v>1023975276</v>
      </c>
      <c r="B2509" t="s">
        <v>3963</v>
      </c>
      <c r="C2509" t="s">
        <v>3934</v>
      </c>
      <c r="D2509" t="s">
        <v>3962</v>
      </c>
    </row>
    <row r="2510" spans="1:4" x14ac:dyDescent="0.3">
      <c r="A2510">
        <v>1023975276</v>
      </c>
      <c r="B2510" t="s">
        <v>3963</v>
      </c>
      <c r="C2510" t="s">
        <v>3934</v>
      </c>
      <c r="D2510" t="s">
        <v>3962</v>
      </c>
    </row>
    <row r="2511" spans="1:4" x14ac:dyDescent="0.3">
      <c r="A2511">
        <v>1023975276</v>
      </c>
      <c r="B2511" t="s">
        <v>3963</v>
      </c>
      <c r="C2511" t="s">
        <v>3934</v>
      </c>
      <c r="D2511" t="s">
        <v>3962</v>
      </c>
    </row>
    <row r="2512" spans="1:4" x14ac:dyDescent="0.3">
      <c r="A2512">
        <v>1023975276</v>
      </c>
      <c r="B2512" t="s">
        <v>3963</v>
      </c>
      <c r="C2512" t="s">
        <v>3934</v>
      </c>
      <c r="D2512" t="s">
        <v>3962</v>
      </c>
    </row>
    <row r="2513" spans="1:4" x14ac:dyDescent="0.3">
      <c r="A2513">
        <v>1023975276</v>
      </c>
      <c r="B2513" t="s">
        <v>3963</v>
      </c>
      <c r="C2513" t="s">
        <v>3934</v>
      </c>
      <c r="D2513" t="s">
        <v>3962</v>
      </c>
    </row>
    <row r="2514" spans="1:4" x14ac:dyDescent="0.3">
      <c r="A2514">
        <v>1023975276</v>
      </c>
      <c r="B2514" t="s">
        <v>3963</v>
      </c>
      <c r="C2514" t="s">
        <v>3934</v>
      </c>
      <c r="D2514" t="s">
        <v>3962</v>
      </c>
    </row>
    <row r="2515" spans="1:4" x14ac:dyDescent="0.3">
      <c r="A2515">
        <v>1023975276</v>
      </c>
      <c r="B2515" t="s">
        <v>3963</v>
      </c>
      <c r="C2515" t="s">
        <v>3934</v>
      </c>
      <c r="D2515" t="s">
        <v>3962</v>
      </c>
    </row>
    <row r="2516" spans="1:4" x14ac:dyDescent="0.3">
      <c r="A2516">
        <v>1023975276</v>
      </c>
      <c r="B2516" t="s">
        <v>3963</v>
      </c>
      <c r="C2516" t="s">
        <v>3934</v>
      </c>
      <c r="D2516" t="s">
        <v>3962</v>
      </c>
    </row>
    <row r="2517" spans="1:4" x14ac:dyDescent="0.3">
      <c r="A2517">
        <v>1023975276</v>
      </c>
      <c r="B2517" t="s">
        <v>3963</v>
      </c>
      <c r="C2517" t="s">
        <v>3934</v>
      </c>
      <c r="D2517" t="s">
        <v>3962</v>
      </c>
    </row>
    <row r="2518" spans="1:4" x14ac:dyDescent="0.3">
      <c r="A2518">
        <v>1023975276</v>
      </c>
      <c r="B2518" t="s">
        <v>3963</v>
      </c>
      <c r="C2518" t="s">
        <v>3934</v>
      </c>
      <c r="D2518" t="s">
        <v>3962</v>
      </c>
    </row>
    <row r="2519" spans="1:4" x14ac:dyDescent="0.3">
      <c r="A2519">
        <v>1023975276</v>
      </c>
      <c r="B2519" t="s">
        <v>3963</v>
      </c>
      <c r="C2519" t="s">
        <v>3934</v>
      </c>
      <c r="D2519" t="s">
        <v>3962</v>
      </c>
    </row>
    <row r="2520" spans="1:4" x14ac:dyDescent="0.3">
      <c r="A2520">
        <v>1023975276</v>
      </c>
      <c r="B2520" t="s">
        <v>3963</v>
      </c>
      <c r="C2520" t="s">
        <v>3934</v>
      </c>
      <c r="D2520" t="s">
        <v>3962</v>
      </c>
    </row>
    <row r="2521" spans="1:4" x14ac:dyDescent="0.3">
      <c r="A2521">
        <v>1023975276</v>
      </c>
      <c r="B2521" t="s">
        <v>3963</v>
      </c>
      <c r="C2521" t="s">
        <v>3934</v>
      </c>
      <c r="D2521" t="s">
        <v>3962</v>
      </c>
    </row>
    <row r="2522" spans="1:4" x14ac:dyDescent="0.3">
      <c r="A2522">
        <v>1023975276</v>
      </c>
      <c r="B2522" t="s">
        <v>3963</v>
      </c>
      <c r="C2522" t="s">
        <v>3934</v>
      </c>
      <c r="D2522" t="s">
        <v>3962</v>
      </c>
    </row>
    <row r="2523" spans="1:4" x14ac:dyDescent="0.3">
      <c r="A2523">
        <v>1023975276</v>
      </c>
      <c r="B2523" t="s">
        <v>3963</v>
      </c>
      <c r="C2523" t="s">
        <v>3934</v>
      </c>
      <c r="D2523" t="s">
        <v>3962</v>
      </c>
    </row>
    <row r="2524" spans="1:4" x14ac:dyDescent="0.3">
      <c r="A2524">
        <v>1023975276</v>
      </c>
      <c r="B2524" t="s">
        <v>3963</v>
      </c>
      <c r="C2524" t="s">
        <v>3934</v>
      </c>
      <c r="D2524" t="s">
        <v>3962</v>
      </c>
    </row>
    <row r="2525" spans="1:4" x14ac:dyDescent="0.3">
      <c r="A2525">
        <v>1023975276</v>
      </c>
      <c r="B2525" t="s">
        <v>3963</v>
      </c>
      <c r="C2525" t="s">
        <v>3934</v>
      </c>
      <c r="D2525" t="s">
        <v>3962</v>
      </c>
    </row>
    <row r="2526" spans="1:4" x14ac:dyDescent="0.3">
      <c r="A2526">
        <v>1023975276</v>
      </c>
      <c r="B2526" t="s">
        <v>3963</v>
      </c>
      <c r="C2526" t="s">
        <v>3934</v>
      </c>
      <c r="D2526" t="s">
        <v>3962</v>
      </c>
    </row>
    <row r="2527" spans="1:4" x14ac:dyDescent="0.3">
      <c r="A2527">
        <v>1023975276</v>
      </c>
      <c r="B2527" t="s">
        <v>3963</v>
      </c>
      <c r="C2527" t="s">
        <v>3934</v>
      </c>
      <c r="D2527" t="s">
        <v>3962</v>
      </c>
    </row>
    <row r="2528" spans="1:4" x14ac:dyDescent="0.3">
      <c r="A2528">
        <v>1023975276</v>
      </c>
      <c r="B2528" t="s">
        <v>3963</v>
      </c>
      <c r="C2528" t="s">
        <v>3934</v>
      </c>
      <c r="D2528" t="s">
        <v>3962</v>
      </c>
    </row>
    <row r="2529" spans="1:4" x14ac:dyDescent="0.3">
      <c r="A2529">
        <v>1023975276</v>
      </c>
      <c r="B2529" t="s">
        <v>3963</v>
      </c>
      <c r="C2529" t="s">
        <v>3934</v>
      </c>
      <c r="D2529" t="s">
        <v>3962</v>
      </c>
    </row>
    <row r="2530" spans="1:4" x14ac:dyDescent="0.3">
      <c r="A2530">
        <v>1024464496</v>
      </c>
      <c r="B2530" t="s">
        <v>4055</v>
      </c>
      <c r="C2530" t="s">
        <v>4056</v>
      </c>
      <c r="D2530" t="s">
        <v>4092</v>
      </c>
    </row>
    <row r="2531" spans="1:4" x14ac:dyDescent="0.3">
      <c r="A2531">
        <v>1024464496</v>
      </c>
      <c r="B2531" t="s">
        <v>4055</v>
      </c>
      <c r="C2531" t="s">
        <v>4056</v>
      </c>
      <c r="D2531" t="s">
        <v>4092</v>
      </c>
    </row>
    <row r="2532" spans="1:4" x14ac:dyDescent="0.3">
      <c r="A2532">
        <v>1024464496</v>
      </c>
      <c r="B2532" t="s">
        <v>4055</v>
      </c>
      <c r="C2532" t="s">
        <v>4056</v>
      </c>
      <c r="D2532" t="s">
        <v>4092</v>
      </c>
    </row>
    <row r="2533" spans="1:4" x14ac:dyDescent="0.3">
      <c r="A2533">
        <v>1024464496</v>
      </c>
      <c r="B2533" t="s">
        <v>4055</v>
      </c>
      <c r="C2533" t="s">
        <v>4056</v>
      </c>
      <c r="D2533" t="s">
        <v>4092</v>
      </c>
    </row>
    <row r="2534" spans="1:4" x14ac:dyDescent="0.3">
      <c r="A2534">
        <v>1024464496</v>
      </c>
      <c r="B2534" t="s">
        <v>4055</v>
      </c>
      <c r="C2534" t="s">
        <v>4056</v>
      </c>
      <c r="D2534" t="s">
        <v>4092</v>
      </c>
    </row>
    <row r="2535" spans="1:4" x14ac:dyDescent="0.3">
      <c r="A2535">
        <v>1024464496</v>
      </c>
      <c r="B2535" t="s">
        <v>4055</v>
      </c>
      <c r="C2535" t="s">
        <v>4056</v>
      </c>
      <c r="D2535" t="s">
        <v>4092</v>
      </c>
    </row>
    <row r="2536" spans="1:4" x14ac:dyDescent="0.3">
      <c r="A2536">
        <v>1024464496</v>
      </c>
      <c r="B2536" t="s">
        <v>4055</v>
      </c>
      <c r="C2536" t="s">
        <v>4056</v>
      </c>
      <c r="D2536" t="s">
        <v>4092</v>
      </c>
    </row>
    <row r="2537" spans="1:4" x14ac:dyDescent="0.3">
      <c r="A2537">
        <v>1024464496</v>
      </c>
      <c r="B2537" t="s">
        <v>4055</v>
      </c>
      <c r="C2537" t="s">
        <v>4056</v>
      </c>
      <c r="D2537" t="s">
        <v>4092</v>
      </c>
    </row>
    <row r="2538" spans="1:4" x14ac:dyDescent="0.3">
      <c r="A2538">
        <v>1024464496</v>
      </c>
      <c r="B2538" t="s">
        <v>4055</v>
      </c>
      <c r="C2538" t="s">
        <v>4056</v>
      </c>
      <c r="D2538" t="s">
        <v>4092</v>
      </c>
    </row>
    <row r="2539" spans="1:4" x14ac:dyDescent="0.3">
      <c r="A2539">
        <v>1024464496</v>
      </c>
      <c r="B2539" t="s">
        <v>4055</v>
      </c>
      <c r="C2539" t="s">
        <v>4056</v>
      </c>
      <c r="D2539" t="s">
        <v>4092</v>
      </c>
    </row>
    <row r="2540" spans="1:4" x14ac:dyDescent="0.3">
      <c r="A2540">
        <v>1024572316</v>
      </c>
      <c r="B2540" t="s">
        <v>3941</v>
      </c>
      <c r="C2540" t="s">
        <v>3934</v>
      </c>
      <c r="D2540" t="s">
        <v>4000</v>
      </c>
    </row>
    <row r="2541" spans="1:4" x14ac:dyDescent="0.3">
      <c r="A2541">
        <v>1024572316</v>
      </c>
      <c r="B2541" t="s">
        <v>3941</v>
      </c>
      <c r="C2541" t="s">
        <v>3934</v>
      </c>
      <c r="D2541" t="s">
        <v>4000</v>
      </c>
    </row>
    <row r="2542" spans="1:4" x14ac:dyDescent="0.3">
      <c r="A2542">
        <v>1024572316</v>
      </c>
      <c r="B2542" t="s">
        <v>3941</v>
      </c>
      <c r="C2542" t="s">
        <v>3934</v>
      </c>
      <c r="D2542" t="s">
        <v>4000</v>
      </c>
    </row>
    <row r="2543" spans="1:4" x14ac:dyDescent="0.3">
      <c r="A2543">
        <v>1024572316</v>
      </c>
      <c r="B2543" t="s">
        <v>3941</v>
      </c>
      <c r="C2543" t="s">
        <v>3934</v>
      </c>
      <c r="D2543" t="s">
        <v>4000</v>
      </c>
    </row>
    <row r="2544" spans="1:4" x14ac:dyDescent="0.3">
      <c r="A2544">
        <v>1024572316</v>
      </c>
      <c r="B2544" t="s">
        <v>3941</v>
      </c>
      <c r="C2544" t="s">
        <v>3934</v>
      </c>
      <c r="D2544" t="s">
        <v>4000</v>
      </c>
    </row>
    <row r="2545" spans="1:4" x14ac:dyDescent="0.3">
      <c r="A2545">
        <v>1024572316</v>
      </c>
      <c r="B2545" t="s">
        <v>3941</v>
      </c>
      <c r="C2545" t="s">
        <v>3934</v>
      </c>
      <c r="D2545" t="s">
        <v>4000</v>
      </c>
    </row>
    <row r="2546" spans="1:4" x14ac:dyDescent="0.3">
      <c r="A2546">
        <v>1024572316</v>
      </c>
      <c r="B2546" t="s">
        <v>3941</v>
      </c>
      <c r="C2546" t="s">
        <v>3934</v>
      </c>
      <c r="D2546" t="s">
        <v>4000</v>
      </c>
    </row>
    <row r="2547" spans="1:4" x14ac:dyDescent="0.3">
      <c r="A2547">
        <v>1024572316</v>
      </c>
      <c r="B2547" t="s">
        <v>3941</v>
      </c>
      <c r="C2547" t="s">
        <v>3934</v>
      </c>
      <c r="D2547" t="s">
        <v>4000</v>
      </c>
    </row>
    <row r="2548" spans="1:4" x14ac:dyDescent="0.3">
      <c r="A2548">
        <v>1025460711</v>
      </c>
      <c r="B2548" t="s">
        <v>3933</v>
      </c>
      <c r="C2548" t="s">
        <v>3934</v>
      </c>
      <c r="D2548" t="s">
        <v>4062</v>
      </c>
    </row>
    <row r="2549" spans="1:4" x14ac:dyDescent="0.3">
      <c r="A2549">
        <v>1025460711</v>
      </c>
      <c r="B2549" t="s">
        <v>3933</v>
      </c>
      <c r="C2549" t="s">
        <v>3934</v>
      </c>
      <c r="D2549" t="s">
        <v>4062</v>
      </c>
    </row>
    <row r="2550" spans="1:4" x14ac:dyDescent="0.3">
      <c r="A2550">
        <v>1025460711</v>
      </c>
      <c r="B2550" t="s">
        <v>3933</v>
      </c>
      <c r="C2550" t="s">
        <v>3934</v>
      </c>
      <c r="D2550" t="s">
        <v>4062</v>
      </c>
    </row>
    <row r="2551" spans="1:4" x14ac:dyDescent="0.3">
      <c r="A2551">
        <v>1025460711</v>
      </c>
      <c r="B2551" t="s">
        <v>3933</v>
      </c>
      <c r="C2551" t="s">
        <v>3934</v>
      </c>
      <c r="D2551" t="s">
        <v>4062</v>
      </c>
    </row>
    <row r="2552" spans="1:4" x14ac:dyDescent="0.3">
      <c r="A2552">
        <v>1025460711</v>
      </c>
      <c r="B2552" t="s">
        <v>3933</v>
      </c>
      <c r="C2552" t="s">
        <v>3934</v>
      </c>
      <c r="D2552" t="s">
        <v>4062</v>
      </c>
    </row>
    <row r="2553" spans="1:4" x14ac:dyDescent="0.3">
      <c r="A2553">
        <v>1025460711</v>
      </c>
      <c r="B2553" t="s">
        <v>3933</v>
      </c>
      <c r="C2553" t="s">
        <v>3934</v>
      </c>
      <c r="D2553" t="s">
        <v>4062</v>
      </c>
    </row>
    <row r="2554" spans="1:4" x14ac:dyDescent="0.3">
      <c r="A2554">
        <v>1025460711</v>
      </c>
      <c r="B2554" t="s">
        <v>3933</v>
      </c>
      <c r="C2554" t="s">
        <v>3934</v>
      </c>
      <c r="D2554" t="s">
        <v>4062</v>
      </c>
    </row>
    <row r="2555" spans="1:4" x14ac:dyDescent="0.3">
      <c r="A2555">
        <v>1025460711</v>
      </c>
      <c r="B2555" t="s">
        <v>3933</v>
      </c>
      <c r="C2555" t="s">
        <v>3934</v>
      </c>
      <c r="D2555" t="s">
        <v>4062</v>
      </c>
    </row>
    <row r="2556" spans="1:4" x14ac:dyDescent="0.3">
      <c r="A2556">
        <v>1025460711</v>
      </c>
      <c r="B2556" t="s">
        <v>3933</v>
      </c>
      <c r="C2556" t="s">
        <v>3934</v>
      </c>
      <c r="D2556" t="s">
        <v>4062</v>
      </c>
    </row>
    <row r="2557" spans="1:4" x14ac:dyDescent="0.3">
      <c r="A2557">
        <v>1025460711</v>
      </c>
      <c r="B2557" t="s">
        <v>3933</v>
      </c>
      <c r="C2557" t="s">
        <v>3934</v>
      </c>
      <c r="D2557" t="s">
        <v>4062</v>
      </c>
    </row>
    <row r="2558" spans="1:4" x14ac:dyDescent="0.3">
      <c r="A2558">
        <v>1025460711</v>
      </c>
      <c r="B2558" t="s">
        <v>3933</v>
      </c>
      <c r="C2558" t="s">
        <v>3934</v>
      </c>
      <c r="D2558" t="s">
        <v>4062</v>
      </c>
    </row>
    <row r="2559" spans="1:4" x14ac:dyDescent="0.3">
      <c r="A2559">
        <v>1025460711</v>
      </c>
      <c r="B2559" t="s">
        <v>3933</v>
      </c>
      <c r="C2559" t="s">
        <v>3934</v>
      </c>
      <c r="D2559" t="s">
        <v>4062</v>
      </c>
    </row>
    <row r="2560" spans="1:4" x14ac:dyDescent="0.3">
      <c r="A2560">
        <v>1025460711</v>
      </c>
      <c r="B2560" t="s">
        <v>3933</v>
      </c>
      <c r="C2560" t="s">
        <v>3934</v>
      </c>
      <c r="D2560" t="s">
        <v>4062</v>
      </c>
    </row>
    <row r="2561" spans="1:4" x14ac:dyDescent="0.3">
      <c r="A2561">
        <v>1025460711</v>
      </c>
      <c r="B2561" t="s">
        <v>3933</v>
      </c>
      <c r="C2561" t="s">
        <v>3934</v>
      </c>
      <c r="D2561" t="s">
        <v>4062</v>
      </c>
    </row>
    <row r="2562" spans="1:4" x14ac:dyDescent="0.3">
      <c r="A2562">
        <v>1025460711</v>
      </c>
      <c r="B2562" t="s">
        <v>3933</v>
      </c>
      <c r="C2562" t="s">
        <v>3934</v>
      </c>
      <c r="D2562" t="s">
        <v>4062</v>
      </c>
    </row>
    <row r="2563" spans="1:4" x14ac:dyDescent="0.3">
      <c r="A2563">
        <v>1025460711</v>
      </c>
      <c r="B2563" t="s">
        <v>3933</v>
      </c>
      <c r="C2563" t="s">
        <v>3934</v>
      </c>
      <c r="D2563" t="s">
        <v>4062</v>
      </c>
    </row>
    <row r="2564" spans="1:4" x14ac:dyDescent="0.3">
      <c r="A2564">
        <v>1025460711</v>
      </c>
      <c r="B2564" t="s">
        <v>3933</v>
      </c>
      <c r="C2564" t="s">
        <v>3934</v>
      </c>
      <c r="D2564" t="s">
        <v>4062</v>
      </c>
    </row>
    <row r="2565" spans="1:4" x14ac:dyDescent="0.3">
      <c r="A2565">
        <v>1025460711</v>
      </c>
      <c r="B2565" t="s">
        <v>3933</v>
      </c>
      <c r="C2565" t="s">
        <v>3934</v>
      </c>
      <c r="D2565" t="s">
        <v>4062</v>
      </c>
    </row>
    <row r="2566" spans="1:4" x14ac:dyDescent="0.3">
      <c r="A2566">
        <v>1025460711</v>
      </c>
      <c r="B2566" t="s">
        <v>3933</v>
      </c>
      <c r="C2566" t="s">
        <v>3934</v>
      </c>
      <c r="D2566" t="s">
        <v>4062</v>
      </c>
    </row>
    <row r="2567" spans="1:4" x14ac:dyDescent="0.3">
      <c r="A2567">
        <v>1025460711</v>
      </c>
      <c r="B2567" t="s">
        <v>3933</v>
      </c>
      <c r="C2567" t="s">
        <v>3934</v>
      </c>
      <c r="D2567" t="s">
        <v>4062</v>
      </c>
    </row>
    <row r="2568" spans="1:4" x14ac:dyDescent="0.3">
      <c r="A2568">
        <v>1026262709</v>
      </c>
      <c r="B2568" t="s">
        <v>3936</v>
      </c>
      <c r="C2568" t="s">
        <v>3937</v>
      </c>
      <c r="D2568" t="s">
        <v>4037</v>
      </c>
    </row>
    <row r="2569" spans="1:4" x14ac:dyDescent="0.3">
      <c r="A2569">
        <v>1026262709</v>
      </c>
      <c r="B2569" t="s">
        <v>3936</v>
      </c>
      <c r="C2569" t="s">
        <v>3937</v>
      </c>
      <c r="D2569" t="s">
        <v>4037</v>
      </c>
    </row>
    <row r="2570" spans="1:4" x14ac:dyDescent="0.3">
      <c r="A2570">
        <v>1026262709</v>
      </c>
      <c r="B2570" t="s">
        <v>3936</v>
      </c>
      <c r="C2570" t="s">
        <v>3937</v>
      </c>
      <c r="D2570" t="s">
        <v>4037</v>
      </c>
    </row>
    <row r="2571" spans="1:4" x14ac:dyDescent="0.3">
      <c r="A2571">
        <v>1026262709</v>
      </c>
      <c r="B2571" t="s">
        <v>3936</v>
      </c>
      <c r="C2571" t="s">
        <v>3937</v>
      </c>
      <c r="D2571" t="s">
        <v>4037</v>
      </c>
    </row>
    <row r="2572" spans="1:4" x14ac:dyDescent="0.3">
      <c r="A2572">
        <v>1026262709</v>
      </c>
      <c r="B2572" t="s">
        <v>3936</v>
      </c>
      <c r="C2572" t="s">
        <v>3937</v>
      </c>
      <c r="D2572" t="s">
        <v>4037</v>
      </c>
    </row>
    <row r="2573" spans="1:4" x14ac:dyDescent="0.3">
      <c r="A2573">
        <v>1026262709</v>
      </c>
      <c r="B2573" t="s">
        <v>3936</v>
      </c>
      <c r="C2573" t="s">
        <v>3937</v>
      </c>
      <c r="D2573" t="s">
        <v>4037</v>
      </c>
    </row>
    <row r="2574" spans="1:4" x14ac:dyDescent="0.3">
      <c r="A2574">
        <v>1026262709</v>
      </c>
      <c r="B2574" t="s">
        <v>3936</v>
      </c>
      <c r="C2574" t="s">
        <v>3937</v>
      </c>
      <c r="D2574" t="s">
        <v>4037</v>
      </c>
    </row>
    <row r="2575" spans="1:4" x14ac:dyDescent="0.3">
      <c r="A2575">
        <v>1026262709</v>
      </c>
      <c r="B2575" t="s">
        <v>3936</v>
      </c>
      <c r="C2575" t="s">
        <v>3937</v>
      </c>
      <c r="D2575" t="s">
        <v>4037</v>
      </c>
    </row>
    <row r="2576" spans="1:4" x14ac:dyDescent="0.3">
      <c r="A2576">
        <v>1026262709</v>
      </c>
      <c r="B2576" t="s">
        <v>3936</v>
      </c>
      <c r="C2576" t="s">
        <v>3937</v>
      </c>
      <c r="D2576" t="s">
        <v>4037</v>
      </c>
    </row>
    <row r="2577" spans="1:4" x14ac:dyDescent="0.3">
      <c r="A2577">
        <v>1026262709</v>
      </c>
      <c r="B2577" t="s">
        <v>3936</v>
      </c>
      <c r="C2577" t="s">
        <v>3937</v>
      </c>
      <c r="D2577" t="s">
        <v>4037</v>
      </c>
    </row>
    <row r="2578" spans="1:4" x14ac:dyDescent="0.3">
      <c r="A2578">
        <v>1026262709</v>
      </c>
      <c r="B2578" t="s">
        <v>3936</v>
      </c>
      <c r="C2578" t="s">
        <v>3937</v>
      </c>
      <c r="D2578" t="s">
        <v>4037</v>
      </c>
    </row>
    <row r="2579" spans="1:4" x14ac:dyDescent="0.3">
      <c r="A2579">
        <v>1026262709</v>
      </c>
      <c r="B2579" t="s">
        <v>3936</v>
      </c>
      <c r="C2579" t="s">
        <v>3937</v>
      </c>
      <c r="D2579" t="s">
        <v>4037</v>
      </c>
    </row>
    <row r="2580" spans="1:4" x14ac:dyDescent="0.3">
      <c r="A2580">
        <v>1026262709</v>
      </c>
      <c r="B2580" t="s">
        <v>3936</v>
      </c>
      <c r="C2580" t="s">
        <v>3937</v>
      </c>
      <c r="D2580" t="s">
        <v>4037</v>
      </c>
    </row>
    <row r="2581" spans="1:4" x14ac:dyDescent="0.3">
      <c r="A2581">
        <v>1026262709</v>
      </c>
      <c r="B2581" t="s">
        <v>3936</v>
      </c>
      <c r="C2581" t="s">
        <v>3937</v>
      </c>
      <c r="D2581" t="s">
        <v>4037</v>
      </c>
    </row>
    <row r="2582" spans="1:4" x14ac:dyDescent="0.3">
      <c r="A2582">
        <v>1026262709</v>
      </c>
      <c r="B2582" t="s">
        <v>3936</v>
      </c>
      <c r="C2582" t="s">
        <v>3937</v>
      </c>
      <c r="D2582" t="s">
        <v>4037</v>
      </c>
    </row>
    <row r="2583" spans="1:4" x14ac:dyDescent="0.3">
      <c r="A2583">
        <v>1026262709</v>
      </c>
      <c r="B2583" t="s">
        <v>3936</v>
      </c>
      <c r="C2583" t="s">
        <v>3937</v>
      </c>
      <c r="D2583" t="s">
        <v>4037</v>
      </c>
    </row>
    <row r="2584" spans="1:4" x14ac:dyDescent="0.3">
      <c r="A2584">
        <v>1026262709</v>
      </c>
      <c r="B2584" t="s">
        <v>3936</v>
      </c>
      <c r="C2584" t="s">
        <v>3937</v>
      </c>
      <c r="D2584" t="s">
        <v>4037</v>
      </c>
    </row>
    <row r="2585" spans="1:4" x14ac:dyDescent="0.3">
      <c r="A2585">
        <v>1026262709</v>
      </c>
      <c r="B2585" t="s">
        <v>3936</v>
      </c>
      <c r="C2585" t="s">
        <v>3937</v>
      </c>
      <c r="D2585" t="s">
        <v>4037</v>
      </c>
    </row>
    <row r="2586" spans="1:4" x14ac:dyDescent="0.3">
      <c r="A2586">
        <v>1026262709</v>
      </c>
      <c r="B2586" t="s">
        <v>3936</v>
      </c>
      <c r="C2586" t="s">
        <v>3937</v>
      </c>
      <c r="D2586" t="s">
        <v>4037</v>
      </c>
    </row>
    <row r="2587" spans="1:4" x14ac:dyDescent="0.3">
      <c r="A2587">
        <v>1026262709</v>
      </c>
      <c r="B2587" t="s">
        <v>3936</v>
      </c>
      <c r="C2587" t="s">
        <v>3937</v>
      </c>
      <c r="D2587" t="s">
        <v>4037</v>
      </c>
    </row>
    <row r="2588" spans="1:4" x14ac:dyDescent="0.3">
      <c r="A2588">
        <v>1026262709</v>
      </c>
      <c r="B2588" t="s">
        <v>3936</v>
      </c>
      <c r="C2588" t="s">
        <v>3937</v>
      </c>
      <c r="D2588" t="s">
        <v>4037</v>
      </c>
    </row>
    <row r="2589" spans="1:4" x14ac:dyDescent="0.3">
      <c r="A2589">
        <v>1026262709</v>
      </c>
      <c r="B2589" t="s">
        <v>3936</v>
      </c>
      <c r="C2589" t="s">
        <v>3937</v>
      </c>
      <c r="D2589" t="s">
        <v>4037</v>
      </c>
    </row>
    <row r="2590" spans="1:4" x14ac:dyDescent="0.3">
      <c r="A2590">
        <v>1026262709</v>
      </c>
      <c r="B2590" t="s">
        <v>3936</v>
      </c>
      <c r="C2590" t="s">
        <v>3937</v>
      </c>
      <c r="D2590" t="s">
        <v>4037</v>
      </c>
    </row>
    <row r="2591" spans="1:4" x14ac:dyDescent="0.3">
      <c r="A2591">
        <v>1026262709</v>
      </c>
      <c r="B2591" t="s">
        <v>3936</v>
      </c>
      <c r="C2591" t="s">
        <v>3937</v>
      </c>
      <c r="D2591" t="s">
        <v>4037</v>
      </c>
    </row>
    <row r="2592" spans="1:4" x14ac:dyDescent="0.3">
      <c r="A2592">
        <v>1026262709</v>
      </c>
      <c r="B2592" t="s">
        <v>3936</v>
      </c>
      <c r="C2592" t="s">
        <v>3937</v>
      </c>
      <c r="D2592" t="s">
        <v>4037</v>
      </c>
    </row>
    <row r="2593" spans="1:4" x14ac:dyDescent="0.3">
      <c r="A2593">
        <v>1026262709</v>
      </c>
      <c r="B2593" t="s">
        <v>3936</v>
      </c>
      <c r="C2593" t="s">
        <v>3937</v>
      </c>
      <c r="D2593" t="s">
        <v>4037</v>
      </c>
    </row>
    <row r="2594" spans="1:4" x14ac:dyDescent="0.3">
      <c r="A2594">
        <v>1026262709</v>
      </c>
      <c r="B2594" t="s">
        <v>3936</v>
      </c>
      <c r="C2594" t="s">
        <v>3937</v>
      </c>
      <c r="D2594" t="s">
        <v>4037</v>
      </c>
    </row>
    <row r="2595" spans="1:4" x14ac:dyDescent="0.3">
      <c r="A2595">
        <v>1026262709</v>
      </c>
      <c r="B2595" t="s">
        <v>3936</v>
      </c>
      <c r="C2595" t="s">
        <v>3937</v>
      </c>
      <c r="D2595" t="s">
        <v>4037</v>
      </c>
    </row>
    <row r="2596" spans="1:4" x14ac:dyDescent="0.3">
      <c r="A2596">
        <v>1026298522</v>
      </c>
      <c r="B2596" t="s">
        <v>3965</v>
      </c>
      <c r="C2596" t="s">
        <v>3934</v>
      </c>
      <c r="D2596" t="s">
        <v>4040</v>
      </c>
    </row>
    <row r="2597" spans="1:4" x14ac:dyDescent="0.3">
      <c r="A2597">
        <v>1026298522</v>
      </c>
      <c r="B2597" t="s">
        <v>3965</v>
      </c>
      <c r="C2597" t="s">
        <v>3934</v>
      </c>
      <c r="D2597" t="s">
        <v>4040</v>
      </c>
    </row>
    <row r="2598" spans="1:4" x14ac:dyDescent="0.3">
      <c r="A2598">
        <v>1026298522</v>
      </c>
      <c r="B2598" t="s">
        <v>3965</v>
      </c>
      <c r="C2598" t="s">
        <v>3934</v>
      </c>
      <c r="D2598" t="s">
        <v>4040</v>
      </c>
    </row>
    <row r="2599" spans="1:4" x14ac:dyDescent="0.3">
      <c r="A2599">
        <v>1026298522</v>
      </c>
      <c r="B2599" t="s">
        <v>3965</v>
      </c>
      <c r="C2599" t="s">
        <v>3934</v>
      </c>
      <c r="D2599" t="s">
        <v>4040</v>
      </c>
    </row>
    <row r="2600" spans="1:4" x14ac:dyDescent="0.3">
      <c r="A2600">
        <v>1026298522</v>
      </c>
      <c r="B2600" t="s">
        <v>3965</v>
      </c>
      <c r="C2600" t="s">
        <v>3934</v>
      </c>
      <c r="D2600" t="s">
        <v>4040</v>
      </c>
    </row>
    <row r="2601" spans="1:4" x14ac:dyDescent="0.3">
      <c r="A2601">
        <v>1026298522</v>
      </c>
      <c r="B2601" t="s">
        <v>3965</v>
      </c>
      <c r="C2601" t="s">
        <v>3934</v>
      </c>
      <c r="D2601" t="s">
        <v>4040</v>
      </c>
    </row>
    <row r="2602" spans="1:4" x14ac:dyDescent="0.3">
      <c r="A2602">
        <v>1026298522</v>
      </c>
      <c r="B2602" t="s">
        <v>3965</v>
      </c>
      <c r="C2602" t="s">
        <v>3934</v>
      </c>
      <c r="D2602" t="s">
        <v>4040</v>
      </c>
    </row>
    <row r="2603" spans="1:4" x14ac:dyDescent="0.3">
      <c r="A2603">
        <v>1026298522</v>
      </c>
      <c r="B2603" t="s">
        <v>3965</v>
      </c>
      <c r="C2603" t="s">
        <v>3934</v>
      </c>
      <c r="D2603" t="s">
        <v>4040</v>
      </c>
    </row>
    <row r="2604" spans="1:4" x14ac:dyDescent="0.3">
      <c r="A2604">
        <v>1026298522</v>
      </c>
      <c r="B2604" t="s">
        <v>3965</v>
      </c>
      <c r="C2604" t="s">
        <v>3934</v>
      </c>
      <c r="D2604" t="s">
        <v>4040</v>
      </c>
    </row>
    <row r="2605" spans="1:4" x14ac:dyDescent="0.3">
      <c r="A2605">
        <v>1026298522</v>
      </c>
      <c r="B2605" t="s">
        <v>3965</v>
      </c>
      <c r="C2605" t="s">
        <v>3934</v>
      </c>
      <c r="D2605" t="s">
        <v>4040</v>
      </c>
    </row>
    <row r="2606" spans="1:4" x14ac:dyDescent="0.3">
      <c r="A2606">
        <v>1026298522</v>
      </c>
      <c r="B2606" t="s">
        <v>3965</v>
      </c>
      <c r="C2606" t="s">
        <v>3934</v>
      </c>
      <c r="D2606" t="s">
        <v>4040</v>
      </c>
    </row>
    <row r="2607" spans="1:4" x14ac:dyDescent="0.3">
      <c r="A2607">
        <v>1026298522</v>
      </c>
      <c r="B2607" t="s">
        <v>3965</v>
      </c>
      <c r="C2607" t="s">
        <v>3934</v>
      </c>
      <c r="D2607" t="s">
        <v>4040</v>
      </c>
    </row>
    <row r="2608" spans="1:4" x14ac:dyDescent="0.3">
      <c r="A2608">
        <v>1026298522</v>
      </c>
      <c r="B2608" t="s">
        <v>3965</v>
      </c>
      <c r="C2608" t="s">
        <v>3934</v>
      </c>
      <c r="D2608" t="s">
        <v>4040</v>
      </c>
    </row>
    <row r="2609" spans="1:4" x14ac:dyDescent="0.3">
      <c r="A2609">
        <v>1026298522</v>
      </c>
      <c r="B2609" t="s">
        <v>3965</v>
      </c>
      <c r="C2609" t="s">
        <v>3934</v>
      </c>
      <c r="D2609" t="s">
        <v>4040</v>
      </c>
    </row>
    <row r="2610" spans="1:4" x14ac:dyDescent="0.3">
      <c r="A2610">
        <v>1026298522</v>
      </c>
      <c r="B2610" t="s">
        <v>3965</v>
      </c>
      <c r="C2610" t="s">
        <v>3934</v>
      </c>
      <c r="D2610" t="s">
        <v>4040</v>
      </c>
    </row>
    <row r="2611" spans="1:4" x14ac:dyDescent="0.3">
      <c r="A2611">
        <v>1026299972</v>
      </c>
      <c r="B2611" t="s">
        <v>3933</v>
      </c>
      <c r="C2611" t="s">
        <v>3934</v>
      </c>
      <c r="D2611" t="s">
        <v>4052</v>
      </c>
    </row>
    <row r="2612" spans="1:4" x14ac:dyDescent="0.3">
      <c r="A2612">
        <v>1026299972</v>
      </c>
      <c r="B2612" t="s">
        <v>3933</v>
      </c>
      <c r="C2612" t="s">
        <v>3934</v>
      </c>
      <c r="D2612" t="s">
        <v>4052</v>
      </c>
    </row>
    <row r="2613" spans="1:4" x14ac:dyDescent="0.3">
      <c r="A2613">
        <v>1026299972</v>
      </c>
      <c r="B2613" t="s">
        <v>3933</v>
      </c>
      <c r="C2613" t="s">
        <v>3934</v>
      </c>
      <c r="D2613" t="s">
        <v>4052</v>
      </c>
    </row>
    <row r="2614" spans="1:4" x14ac:dyDescent="0.3">
      <c r="A2614">
        <v>1026299972</v>
      </c>
      <c r="B2614" t="s">
        <v>3933</v>
      </c>
      <c r="C2614" t="s">
        <v>3934</v>
      </c>
      <c r="D2614" t="s">
        <v>4052</v>
      </c>
    </row>
    <row r="2615" spans="1:4" x14ac:dyDescent="0.3">
      <c r="A2615">
        <v>1026299972</v>
      </c>
      <c r="B2615" t="s">
        <v>3933</v>
      </c>
      <c r="C2615" t="s">
        <v>3934</v>
      </c>
      <c r="D2615" t="s">
        <v>4052</v>
      </c>
    </row>
    <row r="2616" spans="1:4" x14ac:dyDescent="0.3">
      <c r="A2616">
        <v>1026299972</v>
      </c>
      <c r="B2616" t="s">
        <v>3933</v>
      </c>
      <c r="C2616" t="s">
        <v>3934</v>
      </c>
      <c r="D2616" t="s">
        <v>4052</v>
      </c>
    </row>
    <row r="2617" spans="1:4" x14ac:dyDescent="0.3">
      <c r="A2617">
        <v>1026299972</v>
      </c>
      <c r="B2617" t="s">
        <v>3933</v>
      </c>
      <c r="C2617" t="s">
        <v>3934</v>
      </c>
      <c r="D2617" t="s">
        <v>4052</v>
      </c>
    </row>
    <row r="2618" spans="1:4" x14ac:dyDescent="0.3">
      <c r="A2618">
        <v>1026299972</v>
      </c>
      <c r="B2618" t="s">
        <v>3933</v>
      </c>
      <c r="C2618" t="s">
        <v>3934</v>
      </c>
      <c r="D2618" t="s">
        <v>4052</v>
      </c>
    </row>
    <row r="2619" spans="1:4" x14ac:dyDescent="0.3">
      <c r="A2619">
        <v>1026299972</v>
      </c>
      <c r="B2619" t="s">
        <v>3933</v>
      </c>
      <c r="C2619" t="s">
        <v>3934</v>
      </c>
      <c r="D2619" t="s">
        <v>4052</v>
      </c>
    </row>
    <row r="2620" spans="1:4" x14ac:dyDescent="0.3">
      <c r="A2620">
        <v>1026299972</v>
      </c>
      <c r="B2620" t="s">
        <v>3933</v>
      </c>
      <c r="C2620" t="s">
        <v>3934</v>
      </c>
      <c r="D2620" t="s">
        <v>4052</v>
      </c>
    </row>
    <row r="2621" spans="1:4" x14ac:dyDescent="0.3">
      <c r="A2621">
        <v>1026299972</v>
      </c>
      <c r="B2621" t="s">
        <v>3933</v>
      </c>
      <c r="C2621" t="s">
        <v>3934</v>
      </c>
      <c r="D2621" t="s">
        <v>4052</v>
      </c>
    </row>
    <row r="2622" spans="1:4" x14ac:dyDescent="0.3">
      <c r="A2622">
        <v>1026299972</v>
      </c>
      <c r="B2622" t="s">
        <v>3933</v>
      </c>
      <c r="C2622" t="s">
        <v>3934</v>
      </c>
      <c r="D2622" t="s">
        <v>4052</v>
      </c>
    </row>
    <row r="2623" spans="1:4" x14ac:dyDescent="0.3">
      <c r="A2623">
        <v>1026299972</v>
      </c>
      <c r="B2623" t="s">
        <v>3933</v>
      </c>
      <c r="C2623" t="s">
        <v>3934</v>
      </c>
      <c r="D2623" t="s">
        <v>4052</v>
      </c>
    </row>
    <row r="2624" spans="1:4" x14ac:dyDescent="0.3">
      <c r="A2624">
        <v>1026299972</v>
      </c>
      <c r="B2624" t="s">
        <v>3933</v>
      </c>
      <c r="C2624" t="s">
        <v>3934</v>
      </c>
      <c r="D2624" t="s">
        <v>4052</v>
      </c>
    </row>
    <row r="2625" spans="1:4" x14ac:dyDescent="0.3">
      <c r="A2625">
        <v>1030525993</v>
      </c>
      <c r="B2625" t="s">
        <v>3933</v>
      </c>
      <c r="C2625" t="s">
        <v>3934</v>
      </c>
      <c r="D2625" t="s">
        <v>3956</v>
      </c>
    </row>
    <row r="2626" spans="1:4" x14ac:dyDescent="0.3">
      <c r="A2626">
        <v>1030525993</v>
      </c>
      <c r="B2626" t="s">
        <v>3933</v>
      </c>
      <c r="C2626" t="s">
        <v>3934</v>
      </c>
      <c r="D2626" t="s">
        <v>3956</v>
      </c>
    </row>
    <row r="2627" spans="1:4" x14ac:dyDescent="0.3">
      <c r="A2627">
        <v>1030525993</v>
      </c>
      <c r="B2627" t="s">
        <v>3933</v>
      </c>
      <c r="C2627" t="s">
        <v>3934</v>
      </c>
      <c r="D2627" t="s">
        <v>3956</v>
      </c>
    </row>
    <row r="2628" spans="1:4" x14ac:dyDescent="0.3">
      <c r="A2628">
        <v>1030525993</v>
      </c>
      <c r="B2628" t="s">
        <v>3933</v>
      </c>
      <c r="C2628" t="s">
        <v>3934</v>
      </c>
      <c r="D2628" t="s">
        <v>3956</v>
      </c>
    </row>
    <row r="2629" spans="1:4" x14ac:dyDescent="0.3">
      <c r="A2629">
        <v>1030525993</v>
      </c>
      <c r="B2629" t="s">
        <v>3933</v>
      </c>
      <c r="C2629" t="s">
        <v>3934</v>
      </c>
      <c r="D2629" t="s">
        <v>3956</v>
      </c>
    </row>
    <row r="2630" spans="1:4" x14ac:dyDescent="0.3">
      <c r="A2630">
        <v>1030525993</v>
      </c>
      <c r="B2630" t="s">
        <v>3933</v>
      </c>
      <c r="C2630" t="s">
        <v>3934</v>
      </c>
      <c r="D2630" t="s">
        <v>3956</v>
      </c>
    </row>
    <row r="2631" spans="1:4" x14ac:dyDescent="0.3">
      <c r="A2631">
        <v>1030525993</v>
      </c>
      <c r="B2631" t="s">
        <v>3933</v>
      </c>
      <c r="C2631" t="s">
        <v>3934</v>
      </c>
      <c r="D2631" t="s">
        <v>3956</v>
      </c>
    </row>
    <row r="2632" spans="1:4" x14ac:dyDescent="0.3">
      <c r="A2632">
        <v>1030525993</v>
      </c>
      <c r="B2632" t="s">
        <v>3933</v>
      </c>
      <c r="C2632" t="s">
        <v>3934</v>
      </c>
      <c r="D2632" t="s">
        <v>3956</v>
      </c>
    </row>
    <row r="2633" spans="1:4" x14ac:dyDescent="0.3">
      <c r="A2633">
        <v>1030525993</v>
      </c>
      <c r="B2633" t="s">
        <v>3933</v>
      </c>
      <c r="C2633" t="s">
        <v>3934</v>
      </c>
      <c r="D2633" t="s">
        <v>3956</v>
      </c>
    </row>
    <row r="2634" spans="1:4" x14ac:dyDescent="0.3">
      <c r="A2634">
        <v>1030525993</v>
      </c>
      <c r="B2634" t="s">
        <v>3933</v>
      </c>
      <c r="C2634" t="s">
        <v>3934</v>
      </c>
      <c r="D2634" t="s">
        <v>3956</v>
      </c>
    </row>
    <row r="2635" spans="1:4" x14ac:dyDescent="0.3">
      <c r="A2635">
        <v>1030525993</v>
      </c>
      <c r="B2635" t="s">
        <v>3933</v>
      </c>
      <c r="C2635" t="s">
        <v>3934</v>
      </c>
      <c r="D2635" t="s">
        <v>3956</v>
      </c>
    </row>
    <row r="2636" spans="1:4" x14ac:dyDescent="0.3">
      <c r="A2636">
        <v>1030525993</v>
      </c>
      <c r="B2636" t="s">
        <v>3933</v>
      </c>
      <c r="C2636" t="s">
        <v>3934</v>
      </c>
      <c r="D2636" t="s">
        <v>3956</v>
      </c>
    </row>
    <row r="2637" spans="1:4" x14ac:dyDescent="0.3">
      <c r="A2637">
        <v>1030525993</v>
      </c>
      <c r="B2637" t="s">
        <v>3933</v>
      </c>
      <c r="C2637" t="s">
        <v>3934</v>
      </c>
      <c r="D2637" t="s">
        <v>3956</v>
      </c>
    </row>
    <row r="2638" spans="1:4" x14ac:dyDescent="0.3">
      <c r="A2638">
        <v>1030525993</v>
      </c>
      <c r="B2638" t="s">
        <v>3933</v>
      </c>
      <c r="C2638" t="s">
        <v>3934</v>
      </c>
      <c r="D2638" t="s">
        <v>3956</v>
      </c>
    </row>
    <row r="2639" spans="1:4" x14ac:dyDescent="0.3">
      <c r="A2639">
        <v>1030525993</v>
      </c>
      <c r="B2639" t="s">
        <v>3933</v>
      </c>
      <c r="C2639" t="s">
        <v>3934</v>
      </c>
      <c r="D2639" t="s">
        <v>3956</v>
      </c>
    </row>
    <row r="2640" spans="1:4" x14ac:dyDescent="0.3">
      <c r="A2640">
        <v>1030525993</v>
      </c>
      <c r="B2640" t="s">
        <v>3933</v>
      </c>
      <c r="C2640" t="s">
        <v>3934</v>
      </c>
      <c r="D2640" t="s">
        <v>3956</v>
      </c>
    </row>
    <row r="2641" spans="1:4" x14ac:dyDescent="0.3">
      <c r="A2641">
        <v>1030525993</v>
      </c>
      <c r="B2641" t="s">
        <v>3933</v>
      </c>
      <c r="C2641" t="s">
        <v>3934</v>
      </c>
      <c r="D2641" t="s">
        <v>3956</v>
      </c>
    </row>
    <row r="2642" spans="1:4" x14ac:dyDescent="0.3">
      <c r="A2642">
        <v>1030525993</v>
      </c>
      <c r="B2642" t="s">
        <v>3933</v>
      </c>
      <c r="C2642" t="s">
        <v>3934</v>
      </c>
      <c r="D2642" t="s">
        <v>3956</v>
      </c>
    </row>
    <row r="2643" spans="1:4" x14ac:dyDescent="0.3">
      <c r="A2643">
        <v>1030525993</v>
      </c>
      <c r="B2643" t="s">
        <v>3933</v>
      </c>
      <c r="C2643" t="s">
        <v>3934</v>
      </c>
      <c r="D2643" t="s">
        <v>3956</v>
      </c>
    </row>
    <row r="2644" spans="1:4" x14ac:dyDescent="0.3">
      <c r="A2644">
        <v>1030525993</v>
      </c>
      <c r="B2644" t="s">
        <v>3933</v>
      </c>
      <c r="C2644" t="s">
        <v>3934</v>
      </c>
      <c r="D2644" t="s">
        <v>3956</v>
      </c>
    </row>
    <row r="2645" spans="1:4" x14ac:dyDescent="0.3">
      <c r="A2645">
        <v>1030525993</v>
      </c>
      <c r="B2645" t="s">
        <v>3933</v>
      </c>
      <c r="C2645" t="s">
        <v>3934</v>
      </c>
      <c r="D2645" t="s">
        <v>3956</v>
      </c>
    </row>
    <row r="2646" spans="1:4" x14ac:dyDescent="0.3">
      <c r="A2646">
        <v>1030525993</v>
      </c>
      <c r="B2646" t="s">
        <v>3933</v>
      </c>
      <c r="C2646" t="s">
        <v>3934</v>
      </c>
      <c r="D2646" t="s">
        <v>3956</v>
      </c>
    </row>
    <row r="2647" spans="1:4" x14ac:dyDescent="0.3">
      <c r="A2647">
        <v>1030525993</v>
      </c>
      <c r="B2647" t="s">
        <v>3933</v>
      </c>
      <c r="C2647" t="s">
        <v>3934</v>
      </c>
      <c r="D2647" t="s">
        <v>3956</v>
      </c>
    </row>
    <row r="2648" spans="1:4" x14ac:dyDescent="0.3">
      <c r="A2648">
        <v>1030570122</v>
      </c>
      <c r="B2648" t="s">
        <v>3965</v>
      </c>
      <c r="C2648" t="s">
        <v>3934</v>
      </c>
      <c r="D2648" t="s">
        <v>4015</v>
      </c>
    </row>
    <row r="2649" spans="1:4" x14ac:dyDescent="0.3">
      <c r="A2649">
        <v>1030570122</v>
      </c>
      <c r="B2649" t="s">
        <v>3965</v>
      </c>
      <c r="C2649" t="s">
        <v>3934</v>
      </c>
      <c r="D2649" t="s">
        <v>4015</v>
      </c>
    </row>
    <row r="2650" spans="1:4" x14ac:dyDescent="0.3">
      <c r="A2650">
        <v>1030570122</v>
      </c>
      <c r="B2650" t="s">
        <v>3965</v>
      </c>
      <c r="C2650" t="s">
        <v>3934</v>
      </c>
      <c r="D2650" t="s">
        <v>4015</v>
      </c>
    </row>
    <row r="2651" spans="1:4" x14ac:dyDescent="0.3">
      <c r="A2651">
        <v>1030570122</v>
      </c>
      <c r="B2651" t="s">
        <v>3965</v>
      </c>
      <c r="C2651" t="s">
        <v>3934</v>
      </c>
      <c r="D2651" t="s">
        <v>4015</v>
      </c>
    </row>
    <row r="2652" spans="1:4" x14ac:dyDescent="0.3">
      <c r="A2652">
        <v>1030570122</v>
      </c>
      <c r="B2652" t="s">
        <v>3965</v>
      </c>
      <c r="C2652" t="s">
        <v>3934</v>
      </c>
      <c r="D2652" t="s">
        <v>4015</v>
      </c>
    </row>
    <row r="2653" spans="1:4" x14ac:dyDescent="0.3">
      <c r="A2653">
        <v>1030570122</v>
      </c>
      <c r="B2653" t="s">
        <v>3965</v>
      </c>
      <c r="C2653" t="s">
        <v>3934</v>
      </c>
      <c r="D2653" t="s">
        <v>4015</v>
      </c>
    </row>
    <row r="2654" spans="1:4" x14ac:dyDescent="0.3">
      <c r="A2654">
        <v>1030570122</v>
      </c>
      <c r="B2654" t="s">
        <v>3965</v>
      </c>
      <c r="C2654" t="s">
        <v>3934</v>
      </c>
      <c r="D2654" t="s">
        <v>4015</v>
      </c>
    </row>
    <row r="2655" spans="1:4" x14ac:dyDescent="0.3">
      <c r="A2655">
        <v>1030570122</v>
      </c>
      <c r="B2655" t="s">
        <v>3965</v>
      </c>
      <c r="C2655" t="s">
        <v>3934</v>
      </c>
      <c r="D2655" t="s">
        <v>4015</v>
      </c>
    </row>
    <row r="2656" spans="1:4" x14ac:dyDescent="0.3">
      <c r="A2656">
        <v>1030570122</v>
      </c>
      <c r="B2656" t="s">
        <v>3965</v>
      </c>
      <c r="C2656" t="s">
        <v>3934</v>
      </c>
      <c r="D2656" t="s">
        <v>4015</v>
      </c>
    </row>
    <row r="2657" spans="1:4" x14ac:dyDescent="0.3">
      <c r="A2657">
        <v>1030570122</v>
      </c>
      <c r="B2657" t="s">
        <v>3965</v>
      </c>
      <c r="C2657" t="s">
        <v>3934</v>
      </c>
      <c r="D2657" t="s">
        <v>4015</v>
      </c>
    </row>
    <row r="2658" spans="1:4" x14ac:dyDescent="0.3">
      <c r="A2658">
        <v>1030570122</v>
      </c>
      <c r="B2658" t="s">
        <v>3965</v>
      </c>
      <c r="C2658" t="s">
        <v>3934</v>
      </c>
      <c r="D2658" t="s">
        <v>4015</v>
      </c>
    </row>
    <row r="2659" spans="1:4" x14ac:dyDescent="0.3">
      <c r="A2659">
        <v>1030570122</v>
      </c>
      <c r="B2659" t="s">
        <v>3965</v>
      </c>
      <c r="C2659" t="s">
        <v>3934</v>
      </c>
      <c r="D2659" t="s">
        <v>4015</v>
      </c>
    </row>
    <row r="2660" spans="1:4" x14ac:dyDescent="0.3">
      <c r="A2660">
        <v>1030570122</v>
      </c>
      <c r="B2660" t="s">
        <v>3965</v>
      </c>
      <c r="C2660" t="s">
        <v>3934</v>
      </c>
      <c r="D2660" t="s">
        <v>4015</v>
      </c>
    </row>
    <row r="2661" spans="1:4" x14ac:dyDescent="0.3">
      <c r="A2661">
        <v>1030570122</v>
      </c>
      <c r="B2661" t="s">
        <v>3965</v>
      </c>
      <c r="C2661" t="s">
        <v>3934</v>
      </c>
      <c r="D2661" t="s">
        <v>4015</v>
      </c>
    </row>
    <row r="2662" spans="1:4" x14ac:dyDescent="0.3">
      <c r="A2662">
        <v>1030570122</v>
      </c>
      <c r="B2662" t="s">
        <v>3965</v>
      </c>
      <c r="C2662" t="s">
        <v>3934</v>
      </c>
      <c r="D2662" t="s">
        <v>4015</v>
      </c>
    </row>
    <row r="2663" spans="1:4" x14ac:dyDescent="0.3">
      <c r="A2663">
        <v>1030570122</v>
      </c>
      <c r="B2663" t="s">
        <v>3965</v>
      </c>
      <c r="C2663" t="s">
        <v>3934</v>
      </c>
      <c r="D2663" t="s">
        <v>4015</v>
      </c>
    </row>
    <row r="2664" spans="1:4" x14ac:dyDescent="0.3">
      <c r="A2664">
        <v>1030570122</v>
      </c>
      <c r="B2664" t="s">
        <v>3965</v>
      </c>
      <c r="C2664" t="s">
        <v>3934</v>
      </c>
      <c r="D2664" t="s">
        <v>4015</v>
      </c>
    </row>
    <row r="2665" spans="1:4" x14ac:dyDescent="0.3">
      <c r="A2665">
        <v>1030570122</v>
      </c>
      <c r="B2665" t="s">
        <v>3965</v>
      </c>
      <c r="C2665" t="s">
        <v>3934</v>
      </c>
      <c r="D2665" t="s">
        <v>4015</v>
      </c>
    </row>
    <row r="2666" spans="1:4" x14ac:dyDescent="0.3">
      <c r="A2666">
        <v>1030570122</v>
      </c>
      <c r="B2666" t="s">
        <v>3965</v>
      </c>
      <c r="C2666" t="s">
        <v>3934</v>
      </c>
      <c r="D2666" t="s">
        <v>4015</v>
      </c>
    </row>
    <row r="2667" spans="1:4" x14ac:dyDescent="0.3">
      <c r="A2667">
        <v>1030570122</v>
      </c>
      <c r="B2667" t="s">
        <v>3965</v>
      </c>
      <c r="C2667" t="s">
        <v>3934</v>
      </c>
      <c r="D2667" t="s">
        <v>4015</v>
      </c>
    </row>
    <row r="2668" spans="1:4" x14ac:dyDescent="0.3">
      <c r="A2668">
        <v>1030570122</v>
      </c>
      <c r="B2668" t="s">
        <v>3965</v>
      </c>
      <c r="C2668" t="s">
        <v>3934</v>
      </c>
      <c r="D2668" t="s">
        <v>4015</v>
      </c>
    </row>
    <row r="2669" spans="1:4" x14ac:dyDescent="0.3">
      <c r="A2669">
        <v>1030570122</v>
      </c>
      <c r="B2669" t="s">
        <v>3965</v>
      </c>
      <c r="C2669" t="s">
        <v>3934</v>
      </c>
      <c r="D2669" t="s">
        <v>4015</v>
      </c>
    </row>
    <row r="2670" spans="1:4" x14ac:dyDescent="0.3">
      <c r="A2670">
        <v>1030570122</v>
      </c>
      <c r="B2670" t="s">
        <v>3965</v>
      </c>
      <c r="C2670" t="s">
        <v>3934</v>
      </c>
      <c r="D2670" t="s">
        <v>4015</v>
      </c>
    </row>
    <row r="2671" spans="1:4" x14ac:dyDescent="0.3">
      <c r="A2671">
        <v>1030570122</v>
      </c>
      <c r="B2671" t="s">
        <v>3965</v>
      </c>
      <c r="C2671" t="s">
        <v>3934</v>
      </c>
      <c r="D2671" t="s">
        <v>4015</v>
      </c>
    </row>
    <row r="2672" spans="1:4" x14ac:dyDescent="0.3">
      <c r="A2672">
        <v>1030570122</v>
      </c>
      <c r="B2672" t="s">
        <v>3965</v>
      </c>
      <c r="C2672" t="s">
        <v>3934</v>
      </c>
      <c r="D2672" t="s">
        <v>4015</v>
      </c>
    </row>
    <row r="2673" spans="1:4" x14ac:dyDescent="0.3">
      <c r="A2673">
        <v>1030573476</v>
      </c>
      <c r="B2673" t="s">
        <v>3965</v>
      </c>
      <c r="C2673" t="s">
        <v>3934</v>
      </c>
      <c r="D2673" t="s">
        <v>4077</v>
      </c>
    </row>
    <row r="2674" spans="1:4" x14ac:dyDescent="0.3">
      <c r="A2674">
        <v>1030573476</v>
      </c>
      <c r="B2674" t="s">
        <v>3965</v>
      </c>
      <c r="C2674" t="s">
        <v>3934</v>
      </c>
      <c r="D2674" t="s">
        <v>4077</v>
      </c>
    </row>
    <row r="2675" spans="1:4" x14ac:dyDescent="0.3">
      <c r="A2675">
        <v>1030573476</v>
      </c>
      <c r="B2675" t="s">
        <v>3965</v>
      </c>
      <c r="C2675" t="s">
        <v>3934</v>
      </c>
      <c r="D2675" t="s">
        <v>4077</v>
      </c>
    </row>
    <row r="2676" spans="1:4" x14ac:dyDescent="0.3">
      <c r="A2676">
        <v>1030573476</v>
      </c>
      <c r="B2676" t="s">
        <v>3965</v>
      </c>
      <c r="C2676" t="s">
        <v>3934</v>
      </c>
      <c r="D2676" t="s">
        <v>4077</v>
      </c>
    </row>
    <row r="2677" spans="1:4" x14ac:dyDescent="0.3">
      <c r="A2677">
        <v>1030573476</v>
      </c>
      <c r="B2677" t="s">
        <v>3965</v>
      </c>
      <c r="C2677" t="s">
        <v>3934</v>
      </c>
      <c r="D2677" t="s">
        <v>4077</v>
      </c>
    </row>
    <row r="2678" spans="1:4" x14ac:dyDescent="0.3">
      <c r="A2678">
        <v>1030573476</v>
      </c>
      <c r="B2678" t="s">
        <v>3965</v>
      </c>
      <c r="C2678" t="s">
        <v>3934</v>
      </c>
      <c r="D2678" t="s">
        <v>4077</v>
      </c>
    </row>
    <row r="2679" spans="1:4" x14ac:dyDescent="0.3">
      <c r="A2679">
        <v>1030573476</v>
      </c>
      <c r="B2679" t="s">
        <v>3965</v>
      </c>
      <c r="C2679" t="s">
        <v>3934</v>
      </c>
      <c r="D2679" t="s">
        <v>4077</v>
      </c>
    </row>
    <row r="2680" spans="1:4" x14ac:dyDescent="0.3">
      <c r="A2680">
        <v>1030573476</v>
      </c>
      <c r="B2680" t="s">
        <v>3965</v>
      </c>
      <c r="C2680" t="s">
        <v>3934</v>
      </c>
      <c r="D2680" t="s">
        <v>4077</v>
      </c>
    </row>
    <row r="2681" spans="1:4" x14ac:dyDescent="0.3">
      <c r="A2681">
        <v>1030573476</v>
      </c>
      <c r="B2681" t="s">
        <v>3965</v>
      </c>
      <c r="C2681" t="s">
        <v>3934</v>
      </c>
      <c r="D2681" t="s">
        <v>4077</v>
      </c>
    </row>
    <row r="2682" spans="1:4" x14ac:dyDescent="0.3">
      <c r="A2682">
        <v>1030573476</v>
      </c>
      <c r="B2682" t="s">
        <v>3965</v>
      </c>
      <c r="C2682" t="s">
        <v>3934</v>
      </c>
      <c r="D2682" t="s">
        <v>4077</v>
      </c>
    </row>
    <row r="2683" spans="1:4" x14ac:dyDescent="0.3">
      <c r="A2683">
        <v>1030573476</v>
      </c>
      <c r="B2683" t="s">
        <v>3965</v>
      </c>
      <c r="C2683" t="s">
        <v>3934</v>
      </c>
      <c r="D2683" t="s">
        <v>4077</v>
      </c>
    </row>
    <row r="2684" spans="1:4" x14ac:dyDescent="0.3">
      <c r="A2684">
        <v>1030651078</v>
      </c>
      <c r="B2684" t="s">
        <v>3965</v>
      </c>
      <c r="C2684" t="s">
        <v>3934</v>
      </c>
      <c r="D2684" t="s">
        <v>4085</v>
      </c>
    </row>
    <row r="2685" spans="1:4" x14ac:dyDescent="0.3">
      <c r="A2685">
        <v>1030651078</v>
      </c>
      <c r="B2685" t="s">
        <v>3965</v>
      </c>
      <c r="C2685" t="s">
        <v>3934</v>
      </c>
      <c r="D2685" t="s">
        <v>4085</v>
      </c>
    </row>
    <row r="2686" spans="1:4" x14ac:dyDescent="0.3">
      <c r="A2686">
        <v>1030651078</v>
      </c>
      <c r="B2686" t="s">
        <v>3965</v>
      </c>
      <c r="C2686" t="s">
        <v>3934</v>
      </c>
      <c r="D2686" t="s">
        <v>4085</v>
      </c>
    </row>
    <row r="2687" spans="1:4" x14ac:dyDescent="0.3">
      <c r="A2687">
        <v>1030651078</v>
      </c>
      <c r="B2687" t="s">
        <v>3965</v>
      </c>
      <c r="C2687" t="s">
        <v>3934</v>
      </c>
      <c r="D2687" t="s">
        <v>4085</v>
      </c>
    </row>
    <row r="2688" spans="1:4" x14ac:dyDescent="0.3">
      <c r="A2688">
        <v>1030651078</v>
      </c>
      <c r="B2688" t="s">
        <v>3965</v>
      </c>
      <c r="C2688" t="s">
        <v>3934</v>
      </c>
      <c r="D2688" t="s">
        <v>4085</v>
      </c>
    </row>
    <row r="2689" spans="1:4" x14ac:dyDescent="0.3">
      <c r="A2689">
        <v>1030651078</v>
      </c>
      <c r="B2689" t="s">
        <v>3965</v>
      </c>
      <c r="C2689" t="s">
        <v>3934</v>
      </c>
      <c r="D2689" t="s">
        <v>4085</v>
      </c>
    </row>
    <row r="2690" spans="1:4" x14ac:dyDescent="0.3">
      <c r="A2690">
        <v>1030651078</v>
      </c>
      <c r="B2690" t="s">
        <v>3965</v>
      </c>
      <c r="C2690" t="s">
        <v>3934</v>
      </c>
      <c r="D2690" t="s">
        <v>4085</v>
      </c>
    </row>
    <row r="2691" spans="1:4" x14ac:dyDescent="0.3">
      <c r="A2691">
        <v>1030651078</v>
      </c>
      <c r="B2691" t="s">
        <v>3965</v>
      </c>
      <c r="C2691" t="s">
        <v>3934</v>
      </c>
      <c r="D2691" t="s">
        <v>4085</v>
      </c>
    </row>
    <row r="2692" spans="1:4" x14ac:dyDescent="0.3">
      <c r="A2692">
        <v>1030651078</v>
      </c>
      <c r="B2692" t="s">
        <v>3965</v>
      </c>
      <c r="C2692" t="s">
        <v>3934</v>
      </c>
      <c r="D2692" t="s">
        <v>4085</v>
      </c>
    </row>
    <row r="2693" spans="1:4" x14ac:dyDescent="0.3">
      <c r="A2693">
        <v>1030651078</v>
      </c>
      <c r="B2693" t="s">
        <v>3965</v>
      </c>
      <c r="C2693" t="s">
        <v>3934</v>
      </c>
      <c r="D2693" t="s">
        <v>4085</v>
      </c>
    </row>
    <row r="2694" spans="1:4" x14ac:dyDescent="0.3">
      <c r="A2694">
        <v>1030651078</v>
      </c>
      <c r="B2694" t="s">
        <v>3965</v>
      </c>
      <c r="C2694" t="s">
        <v>3934</v>
      </c>
      <c r="D2694" t="s">
        <v>4085</v>
      </c>
    </row>
    <row r="2695" spans="1:4" x14ac:dyDescent="0.3">
      <c r="A2695">
        <v>1030651078</v>
      </c>
      <c r="B2695" t="s">
        <v>3965</v>
      </c>
      <c r="C2695" t="s">
        <v>3934</v>
      </c>
      <c r="D2695" t="s">
        <v>4085</v>
      </c>
    </row>
    <row r="2696" spans="1:4" x14ac:dyDescent="0.3">
      <c r="A2696">
        <v>1030651078</v>
      </c>
      <c r="B2696" t="s">
        <v>3965</v>
      </c>
      <c r="C2696" t="s">
        <v>3934</v>
      </c>
      <c r="D2696" t="s">
        <v>4085</v>
      </c>
    </row>
    <row r="2697" spans="1:4" x14ac:dyDescent="0.3">
      <c r="A2697">
        <v>1030662450</v>
      </c>
      <c r="B2697" t="s">
        <v>3941</v>
      </c>
      <c r="C2697" t="s">
        <v>3934</v>
      </c>
      <c r="D2697" t="s">
        <v>3973</v>
      </c>
    </row>
    <row r="2698" spans="1:4" x14ac:dyDescent="0.3">
      <c r="A2698">
        <v>1031147887</v>
      </c>
      <c r="B2698" t="s">
        <v>3948</v>
      </c>
      <c r="C2698" t="s">
        <v>3937</v>
      </c>
      <c r="D2698" t="s">
        <v>3947</v>
      </c>
    </row>
    <row r="2699" spans="1:4" x14ac:dyDescent="0.3">
      <c r="A2699">
        <v>1031147887</v>
      </c>
      <c r="B2699" t="s">
        <v>3948</v>
      </c>
      <c r="C2699" t="s">
        <v>3937</v>
      </c>
      <c r="D2699" t="s">
        <v>3947</v>
      </c>
    </row>
    <row r="2700" spans="1:4" x14ac:dyDescent="0.3">
      <c r="A2700">
        <v>1031147887</v>
      </c>
      <c r="B2700" t="s">
        <v>3948</v>
      </c>
      <c r="C2700" t="s">
        <v>3937</v>
      </c>
      <c r="D2700" t="s">
        <v>3947</v>
      </c>
    </row>
    <row r="2701" spans="1:4" x14ac:dyDescent="0.3">
      <c r="A2701">
        <v>1031147887</v>
      </c>
      <c r="B2701" t="s">
        <v>3948</v>
      </c>
      <c r="C2701" t="s">
        <v>3937</v>
      </c>
      <c r="D2701" t="s">
        <v>3947</v>
      </c>
    </row>
    <row r="2702" spans="1:4" x14ac:dyDescent="0.3">
      <c r="A2702">
        <v>1031147887</v>
      </c>
      <c r="B2702" t="s">
        <v>3948</v>
      </c>
      <c r="C2702" t="s">
        <v>3937</v>
      </c>
      <c r="D2702" t="s">
        <v>3947</v>
      </c>
    </row>
    <row r="2703" spans="1:4" x14ac:dyDescent="0.3">
      <c r="A2703">
        <v>1031147887</v>
      </c>
      <c r="B2703" t="s">
        <v>3948</v>
      </c>
      <c r="C2703" t="s">
        <v>3937</v>
      </c>
      <c r="D2703" t="s">
        <v>3947</v>
      </c>
    </row>
    <row r="2704" spans="1:4" x14ac:dyDescent="0.3">
      <c r="A2704">
        <v>1031147887</v>
      </c>
      <c r="B2704" t="s">
        <v>3948</v>
      </c>
      <c r="C2704" t="s">
        <v>3937</v>
      </c>
      <c r="D2704" t="s">
        <v>3947</v>
      </c>
    </row>
    <row r="2705" spans="1:4" x14ac:dyDescent="0.3">
      <c r="A2705">
        <v>1031147887</v>
      </c>
      <c r="B2705" t="s">
        <v>3948</v>
      </c>
      <c r="C2705" t="s">
        <v>3937</v>
      </c>
      <c r="D2705" t="s">
        <v>3947</v>
      </c>
    </row>
    <row r="2706" spans="1:4" x14ac:dyDescent="0.3">
      <c r="A2706">
        <v>1031147887</v>
      </c>
      <c r="B2706" t="s">
        <v>3948</v>
      </c>
      <c r="C2706" t="s">
        <v>3937</v>
      </c>
      <c r="D2706" t="s">
        <v>3947</v>
      </c>
    </row>
    <row r="2707" spans="1:4" x14ac:dyDescent="0.3">
      <c r="A2707">
        <v>1031147887</v>
      </c>
      <c r="B2707" t="s">
        <v>3948</v>
      </c>
      <c r="C2707" t="s">
        <v>3937</v>
      </c>
      <c r="D2707" t="s">
        <v>3947</v>
      </c>
    </row>
    <row r="2708" spans="1:4" x14ac:dyDescent="0.3">
      <c r="A2708">
        <v>1031147887</v>
      </c>
      <c r="B2708" t="s">
        <v>3948</v>
      </c>
      <c r="C2708" t="s">
        <v>3937</v>
      </c>
      <c r="D2708" t="s">
        <v>3947</v>
      </c>
    </row>
    <row r="2709" spans="1:4" x14ac:dyDescent="0.3">
      <c r="A2709">
        <v>1031147887</v>
      </c>
      <c r="B2709" t="s">
        <v>3948</v>
      </c>
      <c r="C2709" t="s">
        <v>3937</v>
      </c>
      <c r="D2709" t="s">
        <v>3947</v>
      </c>
    </row>
    <row r="2710" spans="1:4" x14ac:dyDescent="0.3">
      <c r="A2710">
        <v>1031147887</v>
      </c>
      <c r="B2710" t="s">
        <v>3948</v>
      </c>
      <c r="C2710" t="s">
        <v>3937</v>
      </c>
      <c r="D2710" t="s">
        <v>3947</v>
      </c>
    </row>
    <row r="2711" spans="1:4" x14ac:dyDescent="0.3">
      <c r="A2711">
        <v>1031147887</v>
      </c>
      <c r="B2711" t="s">
        <v>3948</v>
      </c>
      <c r="C2711" t="s">
        <v>3937</v>
      </c>
      <c r="D2711" t="s">
        <v>3947</v>
      </c>
    </row>
    <row r="2712" spans="1:4" x14ac:dyDescent="0.3">
      <c r="A2712">
        <v>1031147887</v>
      </c>
      <c r="B2712" t="s">
        <v>3948</v>
      </c>
      <c r="C2712" t="s">
        <v>3937</v>
      </c>
      <c r="D2712" t="s">
        <v>3947</v>
      </c>
    </row>
    <row r="2713" spans="1:4" x14ac:dyDescent="0.3">
      <c r="A2713">
        <v>1031147887</v>
      </c>
      <c r="B2713" t="s">
        <v>3948</v>
      </c>
      <c r="C2713" t="s">
        <v>3937</v>
      </c>
      <c r="D2713" t="s">
        <v>3947</v>
      </c>
    </row>
    <row r="2714" spans="1:4" x14ac:dyDescent="0.3">
      <c r="A2714">
        <v>1031147887</v>
      </c>
      <c r="B2714" t="s">
        <v>3948</v>
      </c>
      <c r="C2714" t="s">
        <v>3937</v>
      </c>
      <c r="D2714" t="s">
        <v>3947</v>
      </c>
    </row>
    <row r="2715" spans="1:4" x14ac:dyDescent="0.3">
      <c r="A2715">
        <v>1031147887</v>
      </c>
      <c r="B2715" t="s">
        <v>3948</v>
      </c>
      <c r="C2715" t="s">
        <v>3937</v>
      </c>
      <c r="D2715" t="s">
        <v>3947</v>
      </c>
    </row>
    <row r="2716" spans="1:4" x14ac:dyDescent="0.3">
      <c r="A2716">
        <v>1031147887</v>
      </c>
      <c r="B2716" t="s">
        <v>3948</v>
      </c>
      <c r="C2716" t="s">
        <v>3937</v>
      </c>
      <c r="D2716" t="s">
        <v>3947</v>
      </c>
    </row>
    <row r="2717" spans="1:4" x14ac:dyDescent="0.3">
      <c r="A2717">
        <v>1031147887</v>
      </c>
      <c r="B2717" t="s">
        <v>3948</v>
      </c>
      <c r="C2717" t="s">
        <v>3937</v>
      </c>
      <c r="D2717" t="s">
        <v>3947</v>
      </c>
    </row>
    <row r="2718" spans="1:4" x14ac:dyDescent="0.3">
      <c r="A2718">
        <v>1031147887</v>
      </c>
      <c r="B2718" t="s">
        <v>3948</v>
      </c>
      <c r="C2718" t="s">
        <v>3937</v>
      </c>
      <c r="D2718" t="s">
        <v>3947</v>
      </c>
    </row>
    <row r="2719" spans="1:4" x14ac:dyDescent="0.3">
      <c r="A2719">
        <v>1031147887</v>
      </c>
      <c r="B2719" t="s">
        <v>3948</v>
      </c>
      <c r="C2719" t="s">
        <v>3937</v>
      </c>
      <c r="D2719" t="s">
        <v>3947</v>
      </c>
    </row>
    <row r="2720" spans="1:4" x14ac:dyDescent="0.3">
      <c r="A2720">
        <v>1031147887</v>
      </c>
      <c r="B2720" t="s">
        <v>3948</v>
      </c>
      <c r="C2720" t="s">
        <v>3937</v>
      </c>
      <c r="D2720" t="s">
        <v>3947</v>
      </c>
    </row>
    <row r="2721" spans="1:4" x14ac:dyDescent="0.3">
      <c r="A2721">
        <v>1031147887</v>
      </c>
      <c r="B2721" t="s">
        <v>3948</v>
      </c>
      <c r="C2721" t="s">
        <v>3937</v>
      </c>
      <c r="D2721" t="s">
        <v>3947</v>
      </c>
    </row>
    <row r="2722" spans="1:4" x14ac:dyDescent="0.3">
      <c r="A2722">
        <v>1031147887</v>
      </c>
      <c r="B2722" t="s">
        <v>3948</v>
      </c>
      <c r="C2722" t="s">
        <v>3937</v>
      </c>
      <c r="D2722" t="s">
        <v>3947</v>
      </c>
    </row>
    <row r="2723" spans="1:4" x14ac:dyDescent="0.3">
      <c r="A2723">
        <v>1031147887</v>
      </c>
      <c r="B2723" t="s">
        <v>3948</v>
      </c>
      <c r="C2723" t="s">
        <v>3937</v>
      </c>
      <c r="D2723" t="s">
        <v>3947</v>
      </c>
    </row>
    <row r="2724" spans="1:4" x14ac:dyDescent="0.3">
      <c r="A2724">
        <v>1031147887</v>
      </c>
      <c r="B2724" t="s">
        <v>3948</v>
      </c>
      <c r="C2724" t="s">
        <v>3937</v>
      </c>
      <c r="D2724" t="s">
        <v>3947</v>
      </c>
    </row>
    <row r="2725" spans="1:4" x14ac:dyDescent="0.3">
      <c r="A2725">
        <v>1031147887</v>
      </c>
      <c r="B2725" t="s">
        <v>3948</v>
      </c>
      <c r="C2725" t="s">
        <v>3937</v>
      </c>
      <c r="D2725" t="s">
        <v>3947</v>
      </c>
    </row>
    <row r="2726" spans="1:4" x14ac:dyDescent="0.3">
      <c r="A2726">
        <v>1031147887</v>
      </c>
      <c r="B2726" t="s">
        <v>3948</v>
      </c>
      <c r="C2726" t="s">
        <v>3937</v>
      </c>
      <c r="D2726" t="s">
        <v>3947</v>
      </c>
    </row>
    <row r="2727" spans="1:4" x14ac:dyDescent="0.3">
      <c r="A2727">
        <v>1031147887</v>
      </c>
      <c r="B2727" t="s">
        <v>3948</v>
      </c>
      <c r="C2727" t="s">
        <v>3937</v>
      </c>
      <c r="D2727" t="s">
        <v>3947</v>
      </c>
    </row>
    <row r="2728" spans="1:4" x14ac:dyDescent="0.3">
      <c r="A2728">
        <v>1031147887</v>
      </c>
      <c r="B2728" t="s">
        <v>3948</v>
      </c>
      <c r="C2728" t="s">
        <v>3937</v>
      </c>
      <c r="D2728" t="s">
        <v>3947</v>
      </c>
    </row>
    <row r="2729" spans="1:4" x14ac:dyDescent="0.3">
      <c r="A2729">
        <v>1031147887</v>
      </c>
      <c r="B2729" t="s">
        <v>3948</v>
      </c>
      <c r="C2729" t="s">
        <v>3937</v>
      </c>
      <c r="D2729" t="s">
        <v>3947</v>
      </c>
    </row>
    <row r="2730" spans="1:4" x14ac:dyDescent="0.3">
      <c r="A2730">
        <v>1031147887</v>
      </c>
      <c r="B2730" t="s">
        <v>3948</v>
      </c>
      <c r="C2730" t="s">
        <v>3937</v>
      </c>
      <c r="D2730" t="s">
        <v>3947</v>
      </c>
    </row>
    <row r="2731" spans="1:4" x14ac:dyDescent="0.3">
      <c r="A2731">
        <v>1031147887</v>
      </c>
      <c r="B2731" t="s">
        <v>3948</v>
      </c>
      <c r="C2731" t="s">
        <v>3937</v>
      </c>
      <c r="D2731" t="s">
        <v>3947</v>
      </c>
    </row>
    <row r="2732" spans="1:4" x14ac:dyDescent="0.3">
      <c r="A2732">
        <v>1031147887</v>
      </c>
      <c r="B2732" t="s">
        <v>3948</v>
      </c>
      <c r="C2732" t="s">
        <v>3937</v>
      </c>
      <c r="D2732" t="s">
        <v>3947</v>
      </c>
    </row>
    <row r="2733" spans="1:4" x14ac:dyDescent="0.3">
      <c r="A2733">
        <v>1031147887</v>
      </c>
      <c r="B2733" t="s">
        <v>3948</v>
      </c>
      <c r="C2733" t="s">
        <v>3937</v>
      </c>
      <c r="D2733" t="s">
        <v>3947</v>
      </c>
    </row>
    <row r="2734" spans="1:4" x14ac:dyDescent="0.3">
      <c r="A2734">
        <v>1031147887</v>
      </c>
      <c r="B2734" t="s">
        <v>3948</v>
      </c>
      <c r="C2734" t="s">
        <v>3937</v>
      </c>
      <c r="D2734" t="s">
        <v>3947</v>
      </c>
    </row>
    <row r="2735" spans="1:4" x14ac:dyDescent="0.3">
      <c r="A2735">
        <v>1031147887</v>
      </c>
      <c r="B2735" t="s">
        <v>3948</v>
      </c>
      <c r="C2735" t="s">
        <v>3937</v>
      </c>
      <c r="D2735" t="s">
        <v>3947</v>
      </c>
    </row>
    <row r="2736" spans="1:4" x14ac:dyDescent="0.3">
      <c r="A2736">
        <v>1031147887</v>
      </c>
      <c r="B2736" t="s">
        <v>3948</v>
      </c>
      <c r="C2736" t="s">
        <v>3937</v>
      </c>
      <c r="D2736" t="s">
        <v>3947</v>
      </c>
    </row>
    <row r="2737" spans="1:4" x14ac:dyDescent="0.3">
      <c r="A2737">
        <v>1031147887</v>
      </c>
      <c r="B2737" t="s">
        <v>3948</v>
      </c>
      <c r="C2737" t="s">
        <v>3937</v>
      </c>
      <c r="D2737" t="s">
        <v>3947</v>
      </c>
    </row>
    <row r="2738" spans="1:4" x14ac:dyDescent="0.3">
      <c r="A2738">
        <v>1031147887</v>
      </c>
      <c r="B2738" t="s">
        <v>3948</v>
      </c>
      <c r="C2738" t="s">
        <v>3937</v>
      </c>
      <c r="D2738" t="s">
        <v>3947</v>
      </c>
    </row>
    <row r="2739" spans="1:4" x14ac:dyDescent="0.3">
      <c r="A2739">
        <v>1031147887</v>
      </c>
      <c r="B2739" t="s">
        <v>3948</v>
      </c>
      <c r="C2739" t="s">
        <v>3937</v>
      </c>
      <c r="D2739" t="s">
        <v>3947</v>
      </c>
    </row>
    <row r="2740" spans="1:4" x14ac:dyDescent="0.3">
      <c r="A2740">
        <v>1031147887</v>
      </c>
      <c r="B2740" t="s">
        <v>3948</v>
      </c>
      <c r="C2740" t="s">
        <v>3937</v>
      </c>
      <c r="D2740" t="s">
        <v>3947</v>
      </c>
    </row>
    <row r="2741" spans="1:4" x14ac:dyDescent="0.3">
      <c r="A2741">
        <v>1031147887</v>
      </c>
      <c r="B2741" t="s">
        <v>3948</v>
      </c>
      <c r="C2741" t="s">
        <v>3937</v>
      </c>
      <c r="D2741" t="s">
        <v>3947</v>
      </c>
    </row>
    <row r="2742" spans="1:4" x14ac:dyDescent="0.3">
      <c r="A2742">
        <v>1031147887</v>
      </c>
      <c r="B2742" t="s">
        <v>3948</v>
      </c>
      <c r="C2742" t="s">
        <v>3937</v>
      </c>
      <c r="D2742" t="s">
        <v>3947</v>
      </c>
    </row>
    <row r="2743" spans="1:4" x14ac:dyDescent="0.3">
      <c r="A2743">
        <v>1031147887</v>
      </c>
      <c r="B2743" t="s">
        <v>3948</v>
      </c>
      <c r="C2743" t="s">
        <v>3937</v>
      </c>
      <c r="D2743" t="s">
        <v>3947</v>
      </c>
    </row>
    <row r="2744" spans="1:4" x14ac:dyDescent="0.3">
      <c r="A2744">
        <v>1031147887</v>
      </c>
      <c r="B2744" t="s">
        <v>3948</v>
      </c>
      <c r="C2744" t="s">
        <v>3937</v>
      </c>
      <c r="D2744" t="s">
        <v>3947</v>
      </c>
    </row>
    <row r="2745" spans="1:4" x14ac:dyDescent="0.3">
      <c r="A2745">
        <v>1031147887</v>
      </c>
      <c r="B2745" t="s">
        <v>3948</v>
      </c>
      <c r="C2745" t="s">
        <v>3937</v>
      </c>
      <c r="D2745" t="s">
        <v>3947</v>
      </c>
    </row>
    <row r="2746" spans="1:4" x14ac:dyDescent="0.3">
      <c r="A2746">
        <v>1031147887</v>
      </c>
      <c r="B2746" t="s">
        <v>3948</v>
      </c>
      <c r="C2746" t="s">
        <v>3937</v>
      </c>
      <c r="D2746" t="s">
        <v>3947</v>
      </c>
    </row>
    <row r="2747" spans="1:4" x14ac:dyDescent="0.3">
      <c r="A2747">
        <v>1031147887</v>
      </c>
      <c r="B2747" t="s">
        <v>3948</v>
      </c>
      <c r="C2747" t="s">
        <v>3937</v>
      </c>
      <c r="D2747" t="s">
        <v>3947</v>
      </c>
    </row>
    <row r="2748" spans="1:4" x14ac:dyDescent="0.3">
      <c r="A2748">
        <v>1031147887</v>
      </c>
      <c r="B2748" t="s">
        <v>3948</v>
      </c>
      <c r="C2748" t="s">
        <v>3937</v>
      </c>
      <c r="D2748" t="s">
        <v>3947</v>
      </c>
    </row>
    <row r="2749" spans="1:4" x14ac:dyDescent="0.3">
      <c r="A2749">
        <v>1031147887</v>
      </c>
      <c r="B2749" t="s">
        <v>3948</v>
      </c>
      <c r="C2749" t="s">
        <v>3937</v>
      </c>
      <c r="D2749" t="s">
        <v>3947</v>
      </c>
    </row>
    <row r="2750" spans="1:4" x14ac:dyDescent="0.3">
      <c r="A2750">
        <v>1031147887</v>
      </c>
      <c r="B2750" t="s">
        <v>3948</v>
      </c>
      <c r="C2750" t="s">
        <v>3937</v>
      </c>
      <c r="D2750" t="s">
        <v>3947</v>
      </c>
    </row>
    <row r="2751" spans="1:4" x14ac:dyDescent="0.3">
      <c r="A2751">
        <v>1031147887</v>
      </c>
      <c r="B2751" t="s">
        <v>3948</v>
      </c>
      <c r="C2751" t="s">
        <v>3937</v>
      </c>
      <c r="D2751" t="s">
        <v>3947</v>
      </c>
    </row>
    <row r="2752" spans="1:4" x14ac:dyDescent="0.3">
      <c r="A2752">
        <v>1031147887</v>
      </c>
      <c r="B2752" t="s">
        <v>3948</v>
      </c>
      <c r="C2752" t="s">
        <v>3937</v>
      </c>
      <c r="D2752" t="s">
        <v>3947</v>
      </c>
    </row>
    <row r="2753" spans="1:4" x14ac:dyDescent="0.3">
      <c r="A2753">
        <v>1031147887</v>
      </c>
      <c r="B2753" t="s">
        <v>3948</v>
      </c>
      <c r="C2753" t="s">
        <v>3937</v>
      </c>
      <c r="D2753" t="s">
        <v>3947</v>
      </c>
    </row>
    <row r="2754" spans="1:4" x14ac:dyDescent="0.3">
      <c r="A2754">
        <v>1032394283</v>
      </c>
      <c r="B2754" t="s">
        <v>3941</v>
      </c>
      <c r="C2754" t="s">
        <v>3934</v>
      </c>
      <c r="D2754" t="s">
        <v>4034</v>
      </c>
    </row>
    <row r="2755" spans="1:4" x14ac:dyDescent="0.3">
      <c r="A2755">
        <v>1032394283</v>
      </c>
      <c r="B2755" t="s">
        <v>3941</v>
      </c>
      <c r="C2755" t="s">
        <v>3934</v>
      </c>
      <c r="D2755" t="s">
        <v>4034</v>
      </c>
    </row>
    <row r="2756" spans="1:4" x14ac:dyDescent="0.3">
      <c r="A2756">
        <v>1032394283</v>
      </c>
      <c r="B2756" t="s">
        <v>3941</v>
      </c>
      <c r="C2756" t="s">
        <v>3934</v>
      </c>
      <c r="D2756" t="s">
        <v>4034</v>
      </c>
    </row>
    <row r="2757" spans="1:4" x14ac:dyDescent="0.3">
      <c r="A2757">
        <v>1032394283</v>
      </c>
      <c r="B2757" t="s">
        <v>3941</v>
      </c>
      <c r="C2757" t="s">
        <v>3934</v>
      </c>
      <c r="D2757" t="s">
        <v>4034</v>
      </c>
    </row>
    <row r="2758" spans="1:4" x14ac:dyDescent="0.3">
      <c r="A2758">
        <v>1032394283</v>
      </c>
      <c r="B2758" t="s">
        <v>3941</v>
      </c>
      <c r="C2758" t="s">
        <v>3934</v>
      </c>
      <c r="D2758" t="s">
        <v>4034</v>
      </c>
    </row>
    <row r="2759" spans="1:4" x14ac:dyDescent="0.3">
      <c r="A2759">
        <v>1032394283</v>
      </c>
      <c r="B2759" t="s">
        <v>3941</v>
      </c>
      <c r="C2759" t="s">
        <v>3934</v>
      </c>
      <c r="D2759" t="s">
        <v>4034</v>
      </c>
    </row>
    <row r="2760" spans="1:4" x14ac:dyDescent="0.3">
      <c r="A2760">
        <v>1032394283</v>
      </c>
      <c r="B2760" t="s">
        <v>3941</v>
      </c>
      <c r="C2760" t="s">
        <v>3934</v>
      </c>
      <c r="D2760" t="s">
        <v>4034</v>
      </c>
    </row>
    <row r="2761" spans="1:4" x14ac:dyDescent="0.3">
      <c r="A2761">
        <v>1032394283</v>
      </c>
      <c r="B2761" t="s">
        <v>3941</v>
      </c>
      <c r="C2761" t="s">
        <v>3934</v>
      </c>
      <c r="D2761" t="s">
        <v>4034</v>
      </c>
    </row>
    <row r="2762" spans="1:4" x14ac:dyDescent="0.3">
      <c r="A2762">
        <v>1032394283</v>
      </c>
      <c r="B2762" t="s">
        <v>3941</v>
      </c>
      <c r="C2762" t="s">
        <v>3934</v>
      </c>
      <c r="D2762" t="s">
        <v>4034</v>
      </c>
    </row>
    <row r="2763" spans="1:4" x14ac:dyDescent="0.3">
      <c r="A2763">
        <v>1032394283</v>
      </c>
      <c r="B2763" t="s">
        <v>3941</v>
      </c>
      <c r="C2763" t="s">
        <v>3934</v>
      </c>
      <c r="D2763" t="s">
        <v>4034</v>
      </c>
    </row>
    <row r="2764" spans="1:4" x14ac:dyDescent="0.3">
      <c r="A2764">
        <v>1032394283</v>
      </c>
      <c r="B2764" t="s">
        <v>3941</v>
      </c>
      <c r="C2764" t="s">
        <v>3934</v>
      </c>
      <c r="D2764" t="s">
        <v>4034</v>
      </c>
    </row>
    <row r="2765" spans="1:4" x14ac:dyDescent="0.3">
      <c r="A2765">
        <v>1032394283</v>
      </c>
      <c r="B2765" t="s">
        <v>3941</v>
      </c>
      <c r="C2765" t="s">
        <v>3934</v>
      </c>
      <c r="D2765" t="s">
        <v>4034</v>
      </c>
    </row>
    <row r="2766" spans="1:4" x14ac:dyDescent="0.3">
      <c r="A2766">
        <v>1032394283</v>
      </c>
      <c r="B2766" t="s">
        <v>3941</v>
      </c>
      <c r="C2766" t="s">
        <v>3934</v>
      </c>
      <c r="D2766" t="s">
        <v>4034</v>
      </c>
    </row>
    <row r="2767" spans="1:4" x14ac:dyDescent="0.3">
      <c r="A2767">
        <v>1032394283</v>
      </c>
      <c r="B2767" t="s">
        <v>3941</v>
      </c>
      <c r="C2767" t="s">
        <v>3934</v>
      </c>
      <c r="D2767" t="s">
        <v>4034</v>
      </c>
    </row>
    <row r="2768" spans="1:4" x14ac:dyDescent="0.3">
      <c r="A2768">
        <v>1032394283</v>
      </c>
      <c r="B2768" t="s">
        <v>3941</v>
      </c>
      <c r="C2768" t="s">
        <v>3934</v>
      </c>
      <c r="D2768" t="s">
        <v>4034</v>
      </c>
    </row>
    <row r="2769" spans="1:4" x14ac:dyDescent="0.3">
      <c r="A2769">
        <v>1032394283</v>
      </c>
      <c r="B2769" t="s">
        <v>3941</v>
      </c>
      <c r="C2769" t="s">
        <v>3934</v>
      </c>
      <c r="D2769" t="s">
        <v>4034</v>
      </c>
    </row>
    <row r="2770" spans="1:4" x14ac:dyDescent="0.3">
      <c r="A2770">
        <v>1032394283</v>
      </c>
      <c r="B2770" t="s">
        <v>3941</v>
      </c>
      <c r="C2770" t="s">
        <v>3934</v>
      </c>
      <c r="D2770" t="s">
        <v>4034</v>
      </c>
    </row>
    <row r="2771" spans="1:4" x14ac:dyDescent="0.3">
      <c r="A2771">
        <v>1032394283</v>
      </c>
      <c r="B2771" t="s">
        <v>3941</v>
      </c>
      <c r="C2771" t="s">
        <v>3934</v>
      </c>
      <c r="D2771" t="s">
        <v>4034</v>
      </c>
    </row>
    <row r="2772" spans="1:4" x14ac:dyDescent="0.3">
      <c r="A2772">
        <v>1032406382</v>
      </c>
      <c r="B2772" t="s">
        <v>3936</v>
      </c>
      <c r="C2772" t="s">
        <v>3937</v>
      </c>
      <c r="D2772" t="s">
        <v>3991</v>
      </c>
    </row>
    <row r="2773" spans="1:4" x14ac:dyDescent="0.3">
      <c r="A2773">
        <v>1032406382</v>
      </c>
      <c r="B2773" t="s">
        <v>3936</v>
      </c>
      <c r="C2773" t="s">
        <v>3937</v>
      </c>
      <c r="D2773" t="s">
        <v>3991</v>
      </c>
    </row>
    <row r="2774" spans="1:4" x14ac:dyDescent="0.3">
      <c r="A2774">
        <v>1032406382</v>
      </c>
      <c r="B2774" t="s">
        <v>3936</v>
      </c>
      <c r="C2774" t="s">
        <v>3937</v>
      </c>
      <c r="D2774" t="s">
        <v>3991</v>
      </c>
    </row>
    <row r="2775" spans="1:4" x14ac:dyDescent="0.3">
      <c r="A2775">
        <v>1032406382</v>
      </c>
      <c r="B2775" t="s">
        <v>3936</v>
      </c>
      <c r="C2775" t="s">
        <v>3937</v>
      </c>
      <c r="D2775" t="s">
        <v>3991</v>
      </c>
    </row>
    <row r="2776" spans="1:4" x14ac:dyDescent="0.3">
      <c r="A2776">
        <v>1032406382</v>
      </c>
      <c r="B2776" t="s">
        <v>3936</v>
      </c>
      <c r="C2776" t="s">
        <v>3937</v>
      </c>
      <c r="D2776" t="s">
        <v>3991</v>
      </c>
    </row>
    <row r="2777" spans="1:4" x14ac:dyDescent="0.3">
      <c r="A2777">
        <v>1032406382</v>
      </c>
      <c r="B2777" t="s">
        <v>3936</v>
      </c>
      <c r="C2777" t="s">
        <v>3937</v>
      </c>
      <c r="D2777" t="s">
        <v>3991</v>
      </c>
    </row>
    <row r="2778" spans="1:4" x14ac:dyDescent="0.3">
      <c r="A2778">
        <v>1032406382</v>
      </c>
      <c r="B2778" t="s">
        <v>3936</v>
      </c>
      <c r="C2778" t="s">
        <v>3937</v>
      </c>
      <c r="D2778" t="s">
        <v>3991</v>
      </c>
    </row>
    <row r="2779" spans="1:4" x14ac:dyDescent="0.3">
      <c r="A2779">
        <v>1032406382</v>
      </c>
      <c r="B2779" t="s">
        <v>3936</v>
      </c>
      <c r="C2779" t="s">
        <v>3937</v>
      </c>
      <c r="D2779" t="s">
        <v>3991</v>
      </c>
    </row>
    <row r="2780" spans="1:4" x14ac:dyDescent="0.3">
      <c r="A2780">
        <v>1032406382</v>
      </c>
      <c r="B2780" t="s">
        <v>3936</v>
      </c>
      <c r="C2780" t="s">
        <v>3937</v>
      </c>
      <c r="D2780" t="s">
        <v>3991</v>
      </c>
    </row>
    <row r="2781" spans="1:4" x14ac:dyDescent="0.3">
      <c r="A2781">
        <v>1032406382</v>
      </c>
      <c r="B2781" t="s">
        <v>3936</v>
      </c>
      <c r="C2781" t="s">
        <v>3937</v>
      </c>
      <c r="D2781" t="s">
        <v>3991</v>
      </c>
    </row>
    <row r="2782" spans="1:4" x14ac:dyDescent="0.3">
      <c r="A2782">
        <v>1032406382</v>
      </c>
      <c r="B2782" t="s">
        <v>3936</v>
      </c>
      <c r="C2782" t="s">
        <v>3937</v>
      </c>
      <c r="D2782" t="s">
        <v>3991</v>
      </c>
    </row>
    <row r="2783" spans="1:4" x14ac:dyDescent="0.3">
      <c r="A2783">
        <v>1032406382</v>
      </c>
      <c r="B2783" t="s">
        <v>3936</v>
      </c>
      <c r="C2783" t="s">
        <v>3937</v>
      </c>
      <c r="D2783" t="s">
        <v>3991</v>
      </c>
    </row>
    <row r="2784" spans="1:4" x14ac:dyDescent="0.3">
      <c r="A2784">
        <v>1032406382</v>
      </c>
      <c r="B2784" t="s">
        <v>3936</v>
      </c>
      <c r="C2784" t="s">
        <v>3937</v>
      </c>
      <c r="D2784" t="s">
        <v>3991</v>
      </c>
    </row>
    <row r="2785" spans="1:4" x14ac:dyDescent="0.3">
      <c r="A2785">
        <v>1032406382</v>
      </c>
      <c r="B2785" t="s">
        <v>3936</v>
      </c>
      <c r="C2785" t="s">
        <v>3937</v>
      </c>
      <c r="D2785" t="s">
        <v>3991</v>
      </c>
    </row>
    <row r="2786" spans="1:4" x14ac:dyDescent="0.3">
      <c r="A2786">
        <v>1032406382</v>
      </c>
      <c r="B2786" t="s">
        <v>3936</v>
      </c>
      <c r="C2786" t="s">
        <v>3937</v>
      </c>
      <c r="D2786" t="s">
        <v>3991</v>
      </c>
    </row>
    <row r="2787" spans="1:4" x14ac:dyDescent="0.3">
      <c r="A2787">
        <v>1032406382</v>
      </c>
      <c r="B2787" t="s">
        <v>3936</v>
      </c>
      <c r="C2787" t="s">
        <v>3937</v>
      </c>
      <c r="D2787" t="s">
        <v>3991</v>
      </c>
    </row>
    <row r="2788" spans="1:4" x14ac:dyDescent="0.3">
      <c r="A2788">
        <v>1032406382</v>
      </c>
      <c r="B2788" t="s">
        <v>3936</v>
      </c>
      <c r="C2788" t="s">
        <v>3937</v>
      </c>
      <c r="D2788" t="s">
        <v>3991</v>
      </c>
    </row>
    <row r="2789" spans="1:4" x14ac:dyDescent="0.3">
      <c r="A2789">
        <v>1032406382</v>
      </c>
      <c r="B2789" t="s">
        <v>3936</v>
      </c>
      <c r="C2789" t="s">
        <v>3937</v>
      </c>
      <c r="D2789" t="s">
        <v>3991</v>
      </c>
    </row>
    <row r="2790" spans="1:4" x14ac:dyDescent="0.3">
      <c r="A2790">
        <v>1032406382</v>
      </c>
      <c r="B2790" t="s">
        <v>3936</v>
      </c>
      <c r="C2790" t="s">
        <v>3937</v>
      </c>
      <c r="D2790" t="s">
        <v>3991</v>
      </c>
    </row>
    <row r="2791" spans="1:4" x14ac:dyDescent="0.3">
      <c r="A2791">
        <v>1032406382</v>
      </c>
      <c r="B2791" t="s">
        <v>3936</v>
      </c>
      <c r="C2791" t="s">
        <v>3937</v>
      </c>
      <c r="D2791" t="s">
        <v>3991</v>
      </c>
    </row>
    <row r="2792" spans="1:4" x14ac:dyDescent="0.3">
      <c r="A2792">
        <v>1032406382</v>
      </c>
      <c r="B2792" t="s">
        <v>3936</v>
      </c>
      <c r="C2792" t="s">
        <v>3937</v>
      </c>
      <c r="D2792" t="s">
        <v>3991</v>
      </c>
    </row>
    <row r="2793" spans="1:4" x14ac:dyDescent="0.3">
      <c r="A2793">
        <v>1032406382</v>
      </c>
      <c r="B2793" t="s">
        <v>3936</v>
      </c>
      <c r="C2793" t="s">
        <v>3937</v>
      </c>
      <c r="D2793" t="s">
        <v>3991</v>
      </c>
    </row>
    <row r="2794" spans="1:4" x14ac:dyDescent="0.3">
      <c r="A2794">
        <v>1032406382</v>
      </c>
      <c r="B2794" t="s">
        <v>3936</v>
      </c>
      <c r="C2794" t="s">
        <v>3937</v>
      </c>
      <c r="D2794" t="s">
        <v>3991</v>
      </c>
    </row>
    <row r="2795" spans="1:4" x14ac:dyDescent="0.3">
      <c r="A2795">
        <v>1032406382</v>
      </c>
      <c r="B2795" t="s">
        <v>3936</v>
      </c>
      <c r="C2795" t="s">
        <v>3937</v>
      </c>
      <c r="D2795" t="s">
        <v>3991</v>
      </c>
    </row>
    <row r="2796" spans="1:4" x14ac:dyDescent="0.3">
      <c r="A2796">
        <v>1032406382</v>
      </c>
      <c r="B2796" t="s">
        <v>3936</v>
      </c>
      <c r="C2796" t="s">
        <v>3937</v>
      </c>
      <c r="D2796" t="s">
        <v>3991</v>
      </c>
    </row>
    <row r="2797" spans="1:4" x14ac:dyDescent="0.3">
      <c r="A2797">
        <v>1032406382</v>
      </c>
      <c r="B2797" t="s">
        <v>3936</v>
      </c>
      <c r="C2797" t="s">
        <v>3937</v>
      </c>
      <c r="D2797" t="s">
        <v>3991</v>
      </c>
    </row>
    <row r="2798" spans="1:4" x14ac:dyDescent="0.3">
      <c r="A2798">
        <v>1032406382</v>
      </c>
      <c r="B2798" t="s">
        <v>3936</v>
      </c>
      <c r="C2798" t="s">
        <v>3937</v>
      </c>
      <c r="D2798" t="s">
        <v>3991</v>
      </c>
    </row>
    <row r="2799" spans="1:4" x14ac:dyDescent="0.3">
      <c r="A2799">
        <v>1032406382</v>
      </c>
      <c r="B2799" t="s">
        <v>3936</v>
      </c>
      <c r="C2799" t="s">
        <v>3937</v>
      </c>
      <c r="D2799" t="s">
        <v>3991</v>
      </c>
    </row>
    <row r="2800" spans="1:4" x14ac:dyDescent="0.3">
      <c r="A2800">
        <v>1032451737</v>
      </c>
      <c r="B2800" t="s">
        <v>3948</v>
      </c>
      <c r="C2800" t="s">
        <v>3937</v>
      </c>
      <c r="D2800" t="s">
        <v>4033</v>
      </c>
    </row>
    <row r="2801" spans="1:4" x14ac:dyDescent="0.3">
      <c r="A2801">
        <v>1032451737</v>
      </c>
      <c r="B2801" t="s">
        <v>3948</v>
      </c>
      <c r="C2801" t="s">
        <v>3937</v>
      </c>
      <c r="D2801" t="s">
        <v>4033</v>
      </c>
    </row>
    <row r="2802" spans="1:4" x14ac:dyDescent="0.3">
      <c r="A2802">
        <v>1032451737</v>
      </c>
      <c r="B2802" t="s">
        <v>3948</v>
      </c>
      <c r="C2802" t="s">
        <v>3937</v>
      </c>
      <c r="D2802" t="s">
        <v>4033</v>
      </c>
    </row>
    <row r="2803" spans="1:4" x14ac:dyDescent="0.3">
      <c r="A2803">
        <v>1032451737</v>
      </c>
      <c r="B2803" t="s">
        <v>3948</v>
      </c>
      <c r="C2803" t="s">
        <v>3937</v>
      </c>
      <c r="D2803" t="s">
        <v>4033</v>
      </c>
    </row>
    <row r="2804" spans="1:4" x14ac:dyDescent="0.3">
      <c r="A2804">
        <v>1032451737</v>
      </c>
      <c r="B2804" t="s">
        <v>3948</v>
      </c>
      <c r="C2804" t="s">
        <v>3937</v>
      </c>
      <c r="D2804" t="s">
        <v>4033</v>
      </c>
    </row>
    <row r="2805" spans="1:4" x14ac:dyDescent="0.3">
      <c r="A2805">
        <v>1032451737</v>
      </c>
      <c r="B2805" t="s">
        <v>3948</v>
      </c>
      <c r="C2805" t="s">
        <v>3937</v>
      </c>
      <c r="D2805" t="s">
        <v>4033</v>
      </c>
    </row>
    <row r="2806" spans="1:4" x14ac:dyDescent="0.3">
      <c r="A2806">
        <v>1032451737</v>
      </c>
      <c r="B2806" t="s">
        <v>3948</v>
      </c>
      <c r="C2806" t="s">
        <v>3937</v>
      </c>
      <c r="D2806" t="s">
        <v>4033</v>
      </c>
    </row>
    <row r="2807" spans="1:4" x14ac:dyDescent="0.3">
      <c r="A2807">
        <v>1032451737</v>
      </c>
      <c r="B2807" t="s">
        <v>3948</v>
      </c>
      <c r="C2807" t="s">
        <v>3937</v>
      </c>
      <c r="D2807" t="s">
        <v>4033</v>
      </c>
    </row>
    <row r="2808" spans="1:4" x14ac:dyDescent="0.3">
      <c r="A2808">
        <v>1032451737</v>
      </c>
      <c r="B2808" t="s">
        <v>3948</v>
      </c>
      <c r="C2808" t="s">
        <v>3937</v>
      </c>
      <c r="D2808" t="s">
        <v>4033</v>
      </c>
    </row>
    <row r="2809" spans="1:4" x14ac:dyDescent="0.3">
      <c r="A2809">
        <v>1032451737</v>
      </c>
      <c r="B2809" t="s">
        <v>3948</v>
      </c>
      <c r="C2809" t="s">
        <v>3937</v>
      </c>
      <c r="D2809" t="s">
        <v>4033</v>
      </c>
    </row>
    <row r="2810" spans="1:4" x14ac:dyDescent="0.3">
      <c r="A2810">
        <v>1032451737</v>
      </c>
      <c r="B2810" t="s">
        <v>3948</v>
      </c>
      <c r="C2810" t="s">
        <v>3937</v>
      </c>
      <c r="D2810" t="s">
        <v>4033</v>
      </c>
    </row>
    <row r="2811" spans="1:4" x14ac:dyDescent="0.3">
      <c r="A2811">
        <v>1032451737</v>
      </c>
      <c r="B2811" t="s">
        <v>3948</v>
      </c>
      <c r="C2811" t="s">
        <v>3937</v>
      </c>
      <c r="D2811" t="s">
        <v>4033</v>
      </c>
    </row>
    <row r="2812" spans="1:4" x14ac:dyDescent="0.3">
      <c r="A2812">
        <v>1032451737</v>
      </c>
      <c r="B2812" t="s">
        <v>3948</v>
      </c>
      <c r="C2812" t="s">
        <v>3937</v>
      </c>
      <c r="D2812" t="s">
        <v>4033</v>
      </c>
    </row>
    <row r="2813" spans="1:4" x14ac:dyDescent="0.3">
      <c r="A2813">
        <v>1032451737</v>
      </c>
      <c r="B2813" t="s">
        <v>3948</v>
      </c>
      <c r="C2813" t="s">
        <v>3937</v>
      </c>
      <c r="D2813" t="s">
        <v>4033</v>
      </c>
    </row>
    <row r="2814" spans="1:4" x14ac:dyDescent="0.3">
      <c r="A2814">
        <v>1032451737</v>
      </c>
      <c r="B2814" t="s">
        <v>3948</v>
      </c>
      <c r="C2814" t="s">
        <v>3937</v>
      </c>
      <c r="D2814" t="s">
        <v>4033</v>
      </c>
    </row>
    <row r="2815" spans="1:4" x14ac:dyDescent="0.3">
      <c r="A2815">
        <v>1032451737</v>
      </c>
      <c r="B2815" t="s">
        <v>3948</v>
      </c>
      <c r="C2815" t="s">
        <v>3937</v>
      </c>
      <c r="D2815" t="s">
        <v>4033</v>
      </c>
    </row>
    <row r="2816" spans="1:4" x14ac:dyDescent="0.3">
      <c r="A2816">
        <v>1032451737</v>
      </c>
      <c r="B2816" t="s">
        <v>3948</v>
      </c>
      <c r="C2816" t="s">
        <v>3937</v>
      </c>
      <c r="D2816" t="s">
        <v>4033</v>
      </c>
    </row>
    <row r="2817" spans="1:4" x14ac:dyDescent="0.3">
      <c r="A2817">
        <v>1032451737</v>
      </c>
      <c r="B2817" t="s">
        <v>3948</v>
      </c>
      <c r="C2817" t="s">
        <v>3937</v>
      </c>
      <c r="D2817" t="s">
        <v>4033</v>
      </c>
    </row>
    <row r="2818" spans="1:4" x14ac:dyDescent="0.3">
      <c r="A2818">
        <v>1032451737</v>
      </c>
      <c r="B2818" t="s">
        <v>3948</v>
      </c>
      <c r="C2818" t="s">
        <v>3937</v>
      </c>
      <c r="D2818" t="s">
        <v>4033</v>
      </c>
    </row>
    <row r="2819" spans="1:4" x14ac:dyDescent="0.3">
      <c r="A2819">
        <v>1032451737</v>
      </c>
      <c r="B2819" t="s">
        <v>3948</v>
      </c>
      <c r="C2819" t="s">
        <v>3937</v>
      </c>
      <c r="D2819" t="s">
        <v>4033</v>
      </c>
    </row>
    <row r="2820" spans="1:4" x14ac:dyDescent="0.3">
      <c r="A2820">
        <v>1032451737</v>
      </c>
      <c r="B2820" t="s">
        <v>3948</v>
      </c>
      <c r="C2820" t="s">
        <v>3937</v>
      </c>
      <c r="D2820" t="s">
        <v>4033</v>
      </c>
    </row>
    <row r="2821" spans="1:4" x14ac:dyDescent="0.3">
      <c r="A2821">
        <v>1032451737</v>
      </c>
      <c r="B2821" t="s">
        <v>3948</v>
      </c>
      <c r="C2821" t="s">
        <v>3937</v>
      </c>
      <c r="D2821" t="s">
        <v>4033</v>
      </c>
    </row>
    <row r="2822" spans="1:4" x14ac:dyDescent="0.3">
      <c r="A2822">
        <v>1032451737</v>
      </c>
      <c r="B2822" t="s">
        <v>3948</v>
      </c>
      <c r="C2822" t="s">
        <v>3937</v>
      </c>
      <c r="D2822" t="s">
        <v>4033</v>
      </c>
    </row>
    <row r="2823" spans="1:4" x14ac:dyDescent="0.3">
      <c r="A2823">
        <v>1032451737</v>
      </c>
      <c r="B2823" t="s">
        <v>3948</v>
      </c>
      <c r="C2823" t="s">
        <v>3937</v>
      </c>
      <c r="D2823" t="s">
        <v>4033</v>
      </c>
    </row>
    <row r="2824" spans="1:4" x14ac:dyDescent="0.3">
      <c r="A2824">
        <v>1032451737</v>
      </c>
      <c r="B2824" t="s">
        <v>3948</v>
      </c>
      <c r="C2824" t="s">
        <v>3937</v>
      </c>
      <c r="D2824" t="s">
        <v>4033</v>
      </c>
    </row>
    <row r="2825" spans="1:4" x14ac:dyDescent="0.3">
      <c r="A2825">
        <v>1032451737</v>
      </c>
      <c r="B2825" t="s">
        <v>3948</v>
      </c>
      <c r="C2825" t="s">
        <v>3937</v>
      </c>
      <c r="D2825" t="s">
        <v>4033</v>
      </c>
    </row>
    <row r="2826" spans="1:4" x14ac:dyDescent="0.3">
      <c r="A2826">
        <v>1032451737</v>
      </c>
      <c r="B2826" t="s">
        <v>3948</v>
      </c>
      <c r="C2826" t="s">
        <v>3937</v>
      </c>
      <c r="D2826" t="s">
        <v>4033</v>
      </c>
    </row>
    <row r="2827" spans="1:4" x14ac:dyDescent="0.3">
      <c r="A2827">
        <v>1032451737</v>
      </c>
      <c r="B2827" t="s">
        <v>3948</v>
      </c>
      <c r="C2827" t="s">
        <v>3937</v>
      </c>
      <c r="D2827" t="s">
        <v>4033</v>
      </c>
    </row>
    <row r="2828" spans="1:4" x14ac:dyDescent="0.3">
      <c r="A2828">
        <v>1032451737</v>
      </c>
      <c r="B2828" t="s">
        <v>3948</v>
      </c>
      <c r="C2828" t="s">
        <v>3937</v>
      </c>
      <c r="D2828" t="s">
        <v>4033</v>
      </c>
    </row>
    <row r="2829" spans="1:4" x14ac:dyDescent="0.3">
      <c r="A2829">
        <v>1032451737</v>
      </c>
      <c r="B2829" t="s">
        <v>3948</v>
      </c>
      <c r="C2829" t="s">
        <v>3937</v>
      </c>
      <c r="D2829" t="s">
        <v>4033</v>
      </c>
    </row>
    <row r="2830" spans="1:4" x14ac:dyDescent="0.3">
      <c r="A2830">
        <v>1032451737</v>
      </c>
      <c r="B2830" t="s">
        <v>3948</v>
      </c>
      <c r="C2830" t="s">
        <v>3937</v>
      </c>
      <c r="D2830" t="s">
        <v>4033</v>
      </c>
    </row>
    <row r="2831" spans="1:4" x14ac:dyDescent="0.3">
      <c r="A2831">
        <v>1032451737</v>
      </c>
      <c r="B2831" t="s">
        <v>3948</v>
      </c>
      <c r="C2831" t="s">
        <v>3937</v>
      </c>
      <c r="D2831" t="s">
        <v>4033</v>
      </c>
    </row>
    <row r="2832" spans="1:4" x14ac:dyDescent="0.3">
      <c r="A2832">
        <v>1032451737</v>
      </c>
      <c r="B2832" t="s">
        <v>3948</v>
      </c>
      <c r="C2832" t="s">
        <v>3937</v>
      </c>
      <c r="D2832" t="s">
        <v>4033</v>
      </c>
    </row>
    <row r="2833" spans="1:4" x14ac:dyDescent="0.3">
      <c r="A2833">
        <v>1032451737</v>
      </c>
      <c r="B2833" t="s">
        <v>3948</v>
      </c>
      <c r="C2833" t="s">
        <v>3937</v>
      </c>
      <c r="D2833" t="s">
        <v>4033</v>
      </c>
    </row>
    <row r="2834" spans="1:4" x14ac:dyDescent="0.3">
      <c r="A2834">
        <v>1032451737</v>
      </c>
      <c r="B2834" t="s">
        <v>3948</v>
      </c>
      <c r="C2834" t="s">
        <v>3937</v>
      </c>
      <c r="D2834" t="s">
        <v>4033</v>
      </c>
    </row>
    <row r="2835" spans="1:4" x14ac:dyDescent="0.3">
      <c r="A2835">
        <v>1032451737</v>
      </c>
      <c r="B2835" t="s">
        <v>3948</v>
      </c>
      <c r="C2835" t="s">
        <v>3937</v>
      </c>
      <c r="D2835" t="s">
        <v>4033</v>
      </c>
    </row>
    <row r="2836" spans="1:4" x14ac:dyDescent="0.3">
      <c r="A2836">
        <v>1032451737</v>
      </c>
      <c r="B2836" t="s">
        <v>3948</v>
      </c>
      <c r="C2836" t="s">
        <v>3937</v>
      </c>
      <c r="D2836" t="s">
        <v>4033</v>
      </c>
    </row>
    <row r="2837" spans="1:4" x14ac:dyDescent="0.3">
      <c r="A2837">
        <v>1032451737</v>
      </c>
      <c r="B2837" t="s">
        <v>3948</v>
      </c>
      <c r="C2837" t="s">
        <v>3937</v>
      </c>
      <c r="D2837" t="s">
        <v>4033</v>
      </c>
    </row>
    <row r="2838" spans="1:4" x14ac:dyDescent="0.3">
      <c r="A2838">
        <v>1032451737</v>
      </c>
      <c r="B2838" t="s">
        <v>3948</v>
      </c>
      <c r="C2838" t="s">
        <v>3937</v>
      </c>
      <c r="D2838" t="s">
        <v>4033</v>
      </c>
    </row>
    <row r="2839" spans="1:4" x14ac:dyDescent="0.3">
      <c r="A2839">
        <v>1032451737</v>
      </c>
      <c r="B2839" t="s">
        <v>3948</v>
      </c>
      <c r="C2839" t="s">
        <v>3937</v>
      </c>
      <c r="D2839" t="s">
        <v>4033</v>
      </c>
    </row>
    <row r="2840" spans="1:4" x14ac:dyDescent="0.3">
      <c r="A2840">
        <v>1032451737</v>
      </c>
      <c r="B2840" t="s">
        <v>3948</v>
      </c>
      <c r="C2840" t="s">
        <v>3937</v>
      </c>
      <c r="D2840" t="s">
        <v>4033</v>
      </c>
    </row>
    <row r="2841" spans="1:4" x14ac:dyDescent="0.3">
      <c r="A2841">
        <v>1032451737</v>
      </c>
      <c r="B2841" t="s">
        <v>3948</v>
      </c>
      <c r="C2841" t="s">
        <v>3937</v>
      </c>
      <c r="D2841" t="s">
        <v>4033</v>
      </c>
    </row>
    <row r="2842" spans="1:4" x14ac:dyDescent="0.3">
      <c r="A2842">
        <v>1032451737</v>
      </c>
      <c r="B2842" t="s">
        <v>3948</v>
      </c>
      <c r="C2842" t="s">
        <v>3937</v>
      </c>
      <c r="D2842" t="s">
        <v>4033</v>
      </c>
    </row>
    <row r="2843" spans="1:4" x14ac:dyDescent="0.3">
      <c r="A2843">
        <v>1032451737</v>
      </c>
      <c r="B2843" t="s">
        <v>3948</v>
      </c>
      <c r="C2843" t="s">
        <v>3937</v>
      </c>
      <c r="D2843" t="s">
        <v>4033</v>
      </c>
    </row>
    <row r="2844" spans="1:4" x14ac:dyDescent="0.3">
      <c r="A2844">
        <v>1032678391</v>
      </c>
      <c r="B2844" t="s">
        <v>3965</v>
      </c>
      <c r="C2844" t="s">
        <v>3934</v>
      </c>
      <c r="D2844" t="s">
        <v>4098</v>
      </c>
    </row>
    <row r="2845" spans="1:4" x14ac:dyDescent="0.3">
      <c r="A2845">
        <v>1032678391</v>
      </c>
      <c r="B2845" t="s">
        <v>3965</v>
      </c>
      <c r="C2845" t="s">
        <v>3934</v>
      </c>
      <c r="D2845" t="s">
        <v>4098</v>
      </c>
    </row>
    <row r="2846" spans="1:4" x14ac:dyDescent="0.3">
      <c r="A2846">
        <v>1032678391</v>
      </c>
      <c r="B2846" t="s">
        <v>3965</v>
      </c>
      <c r="C2846" t="s">
        <v>3934</v>
      </c>
      <c r="D2846" t="s">
        <v>4098</v>
      </c>
    </row>
    <row r="2847" spans="1:4" x14ac:dyDescent="0.3">
      <c r="A2847">
        <v>1032678391</v>
      </c>
      <c r="B2847" t="s">
        <v>3965</v>
      </c>
      <c r="C2847" t="s">
        <v>3934</v>
      </c>
      <c r="D2847" t="s">
        <v>4098</v>
      </c>
    </row>
    <row r="2848" spans="1:4" x14ac:dyDescent="0.3">
      <c r="A2848">
        <v>1032678391</v>
      </c>
      <c r="B2848" t="s">
        <v>3965</v>
      </c>
      <c r="C2848" t="s">
        <v>3934</v>
      </c>
      <c r="D2848" t="s">
        <v>4098</v>
      </c>
    </row>
    <row r="2849" spans="1:4" x14ac:dyDescent="0.3">
      <c r="A2849">
        <v>1032678391</v>
      </c>
      <c r="B2849" t="s">
        <v>3965</v>
      </c>
      <c r="C2849" t="s">
        <v>3934</v>
      </c>
      <c r="D2849" t="s">
        <v>4098</v>
      </c>
    </row>
    <row r="2850" spans="1:4" x14ac:dyDescent="0.3">
      <c r="A2850">
        <v>1032678391</v>
      </c>
      <c r="B2850" t="s">
        <v>3965</v>
      </c>
      <c r="C2850" t="s">
        <v>3934</v>
      </c>
      <c r="D2850" t="s">
        <v>4098</v>
      </c>
    </row>
    <row r="2851" spans="1:4" x14ac:dyDescent="0.3">
      <c r="A2851">
        <v>1032678391</v>
      </c>
      <c r="B2851" t="s">
        <v>3965</v>
      </c>
      <c r="C2851" t="s">
        <v>3934</v>
      </c>
      <c r="D2851" t="s">
        <v>4098</v>
      </c>
    </row>
    <row r="2852" spans="1:4" x14ac:dyDescent="0.3">
      <c r="A2852">
        <v>1032678391</v>
      </c>
      <c r="B2852" t="s">
        <v>3965</v>
      </c>
      <c r="C2852" t="s">
        <v>3934</v>
      </c>
      <c r="D2852" t="s">
        <v>4098</v>
      </c>
    </row>
    <row r="2853" spans="1:4" x14ac:dyDescent="0.3">
      <c r="A2853">
        <v>1032678391</v>
      </c>
      <c r="B2853" t="s">
        <v>3965</v>
      </c>
      <c r="C2853" t="s">
        <v>3934</v>
      </c>
      <c r="D2853" t="s">
        <v>4098</v>
      </c>
    </row>
    <row r="2854" spans="1:4" x14ac:dyDescent="0.3">
      <c r="A2854">
        <v>1032678391</v>
      </c>
      <c r="B2854" t="s">
        <v>3965</v>
      </c>
      <c r="C2854" t="s">
        <v>3934</v>
      </c>
      <c r="D2854" t="s">
        <v>4098</v>
      </c>
    </row>
    <row r="2855" spans="1:4" x14ac:dyDescent="0.3">
      <c r="A2855">
        <v>1032678391</v>
      </c>
      <c r="B2855" t="s">
        <v>3965</v>
      </c>
      <c r="C2855" t="s">
        <v>3934</v>
      </c>
      <c r="D2855" t="s">
        <v>4098</v>
      </c>
    </row>
    <row r="2856" spans="1:4" x14ac:dyDescent="0.3">
      <c r="A2856">
        <v>1032678391</v>
      </c>
      <c r="B2856" t="s">
        <v>3965</v>
      </c>
      <c r="C2856" t="s">
        <v>3934</v>
      </c>
      <c r="D2856" t="s">
        <v>4098</v>
      </c>
    </row>
    <row r="2857" spans="1:4" x14ac:dyDescent="0.3">
      <c r="A2857">
        <v>1032678391</v>
      </c>
      <c r="B2857" t="s">
        <v>3965</v>
      </c>
      <c r="C2857" t="s">
        <v>3934</v>
      </c>
      <c r="D2857" t="s">
        <v>4098</v>
      </c>
    </row>
    <row r="2858" spans="1:4" x14ac:dyDescent="0.3">
      <c r="A2858">
        <v>1032678391</v>
      </c>
      <c r="B2858" t="s">
        <v>3965</v>
      </c>
      <c r="C2858" t="s">
        <v>3934</v>
      </c>
      <c r="D2858" t="s">
        <v>4098</v>
      </c>
    </row>
    <row r="2859" spans="1:4" x14ac:dyDescent="0.3">
      <c r="A2859">
        <v>1032678391</v>
      </c>
      <c r="B2859" t="s">
        <v>3965</v>
      </c>
      <c r="C2859" t="s">
        <v>3934</v>
      </c>
      <c r="D2859" t="s">
        <v>4098</v>
      </c>
    </row>
    <row r="2860" spans="1:4" x14ac:dyDescent="0.3">
      <c r="A2860">
        <v>1032678391</v>
      </c>
      <c r="B2860" t="s">
        <v>3965</v>
      </c>
      <c r="C2860" t="s">
        <v>3934</v>
      </c>
      <c r="D2860" t="s">
        <v>4098</v>
      </c>
    </row>
    <row r="2861" spans="1:4" x14ac:dyDescent="0.3">
      <c r="A2861">
        <v>1032678391</v>
      </c>
      <c r="B2861" t="s">
        <v>3965</v>
      </c>
      <c r="C2861" t="s">
        <v>3934</v>
      </c>
      <c r="D2861" t="s">
        <v>4098</v>
      </c>
    </row>
    <row r="2862" spans="1:4" x14ac:dyDescent="0.3">
      <c r="A2862">
        <v>1032678391</v>
      </c>
      <c r="B2862" t="s">
        <v>3965</v>
      </c>
      <c r="C2862" t="s">
        <v>3934</v>
      </c>
      <c r="D2862" t="s">
        <v>4098</v>
      </c>
    </row>
    <row r="2863" spans="1:4" x14ac:dyDescent="0.3">
      <c r="A2863">
        <v>1032678391</v>
      </c>
      <c r="B2863" t="s">
        <v>3965</v>
      </c>
      <c r="C2863" t="s">
        <v>3934</v>
      </c>
      <c r="D2863" t="s">
        <v>4098</v>
      </c>
    </row>
    <row r="2864" spans="1:4" x14ac:dyDescent="0.3">
      <c r="A2864">
        <v>1032678391</v>
      </c>
      <c r="B2864" t="s">
        <v>3965</v>
      </c>
      <c r="C2864" t="s">
        <v>3934</v>
      </c>
      <c r="D2864" t="s">
        <v>4098</v>
      </c>
    </row>
    <row r="2865" spans="1:4" x14ac:dyDescent="0.3">
      <c r="A2865">
        <v>1032678391</v>
      </c>
      <c r="B2865" t="s">
        <v>3965</v>
      </c>
      <c r="C2865" t="s">
        <v>3934</v>
      </c>
      <c r="D2865" t="s">
        <v>4098</v>
      </c>
    </row>
    <row r="2866" spans="1:4" x14ac:dyDescent="0.3">
      <c r="A2866">
        <v>1032678391</v>
      </c>
      <c r="B2866" t="s">
        <v>3965</v>
      </c>
      <c r="C2866" t="s">
        <v>3934</v>
      </c>
      <c r="D2866" t="s">
        <v>4098</v>
      </c>
    </row>
    <row r="2867" spans="1:4" x14ac:dyDescent="0.3">
      <c r="A2867">
        <v>1032678391</v>
      </c>
      <c r="B2867" t="s">
        <v>3965</v>
      </c>
      <c r="C2867" t="s">
        <v>3934</v>
      </c>
      <c r="D2867" t="s">
        <v>4098</v>
      </c>
    </row>
    <row r="2868" spans="1:4" x14ac:dyDescent="0.3">
      <c r="A2868">
        <v>1032678391</v>
      </c>
      <c r="B2868" t="s">
        <v>3965</v>
      </c>
      <c r="C2868" t="s">
        <v>3934</v>
      </c>
      <c r="D2868" t="s">
        <v>4098</v>
      </c>
    </row>
    <row r="2869" spans="1:4" x14ac:dyDescent="0.3">
      <c r="A2869">
        <v>1032678391</v>
      </c>
      <c r="B2869" t="s">
        <v>3965</v>
      </c>
      <c r="C2869" t="s">
        <v>3934</v>
      </c>
      <c r="D2869" t="s">
        <v>4098</v>
      </c>
    </row>
    <row r="2870" spans="1:4" x14ac:dyDescent="0.3">
      <c r="A2870">
        <v>1032678391</v>
      </c>
      <c r="B2870" t="s">
        <v>3965</v>
      </c>
      <c r="C2870" t="s">
        <v>3934</v>
      </c>
      <c r="D2870" t="s">
        <v>4098</v>
      </c>
    </row>
    <row r="2871" spans="1:4" x14ac:dyDescent="0.3">
      <c r="A2871">
        <v>1032678391</v>
      </c>
      <c r="B2871" t="s">
        <v>3965</v>
      </c>
      <c r="C2871" t="s">
        <v>3934</v>
      </c>
      <c r="D2871" t="s">
        <v>4098</v>
      </c>
    </row>
    <row r="2872" spans="1:4" x14ac:dyDescent="0.3">
      <c r="A2872">
        <v>1033714104</v>
      </c>
      <c r="B2872" t="s">
        <v>4019</v>
      </c>
      <c r="C2872" t="s">
        <v>4020</v>
      </c>
      <c r="D2872" t="s">
        <v>4029</v>
      </c>
    </row>
    <row r="2873" spans="1:4" x14ac:dyDescent="0.3">
      <c r="A2873">
        <v>1033714104</v>
      </c>
      <c r="B2873" t="s">
        <v>4019</v>
      </c>
      <c r="C2873" t="s">
        <v>4020</v>
      </c>
      <c r="D2873" t="s">
        <v>4029</v>
      </c>
    </row>
    <row r="2874" spans="1:4" x14ac:dyDescent="0.3">
      <c r="A2874">
        <v>1033714104</v>
      </c>
      <c r="B2874" t="s">
        <v>4019</v>
      </c>
      <c r="C2874" t="s">
        <v>4020</v>
      </c>
      <c r="D2874" t="s">
        <v>4029</v>
      </c>
    </row>
    <row r="2875" spans="1:4" x14ac:dyDescent="0.3">
      <c r="A2875">
        <v>1033714104</v>
      </c>
      <c r="B2875" t="s">
        <v>4019</v>
      </c>
      <c r="C2875" t="s">
        <v>4020</v>
      </c>
      <c r="D2875" t="s">
        <v>4029</v>
      </c>
    </row>
    <row r="2876" spans="1:4" x14ac:dyDescent="0.3">
      <c r="A2876">
        <v>1033714104</v>
      </c>
      <c r="B2876" t="s">
        <v>4019</v>
      </c>
      <c r="C2876" t="s">
        <v>4020</v>
      </c>
      <c r="D2876" t="s">
        <v>4029</v>
      </c>
    </row>
    <row r="2877" spans="1:4" x14ac:dyDescent="0.3">
      <c r="A2877">
        <v>1033714104</v>
      </c>
      <c r="B2877" t="s">
        <v>4019</v>
      </c>
      <c r="C2877" t="s">
        <v>4020</v>
      </c>
      <c r="D2877" t="s">
        <v>4029</v>
      </c>
    </row>
    <row r="2878" spans="1:4" x14ac:dyDescent="0.3">
      <c r="A2878">
        <v>1033714104</v>
      </c>
      <c r="B2878" t="s">
        <v>4019</v>
      </c>
      <c r="C2878" t="s">
        <v>4020</v>
      </c>
      <c r="D2878" t="s">
        <v>4029</v>
      </c>
    </row>
    <row r="2879" spans="1:4" x14ac:dyDescent="0.3">
      <c r="A2879">
        <v>1033714104</v>
      </c>
      <c r="B2879" t="s">
        <v>4019</v>
      </c>
      <c r="C2879" t="s">
        <v>4020</v>
      </c>
      <c r="D2879" t="s">
        <v>4029</v>
      </c>
    </row>
    <row r="2880" spans="1:4" x14ac:dyDescent="0.3">
      <c r="A2880">
        <v>1033714104</v>
      </c>
      <c r="B2880" t="s">
        <v>4019</v>
      </c>
      <c r="C2880" t="s">
        <v>4020</v>
      </c>
      <c r="D2880" t="s">
        <v>4029</v>
      </c>
    </row>
    <row r="2881" spans="1:4" x14ac:dyDescent="0.3">
      <c r="A2881">
        <v>1033714104</v>
      </c>
      <c r="B2881" t="s">
        <v>4019</v>
      </c>
      <c r="C2881" t="s">
        <v>4020</v>
      </c>
      <c r="D2881" t="s">
        <v>4029</v>
      </c>
    </row>
    <row r="2882" spans="1:4" x14ac:dyDescent="0.3">
      <c r="A2882">
        <v>1033714104</v>
      </c>
      <c r="B2882" t="s">
        <v>4019</v>
      </c>
      <c r="C2882" t="s">
        <v>4020</v>
      </c>
      <c r="D2882" t="s">
        <v>4029</v>
      </c>
    </row>
    <row r="2883" spans="1:4" x14ac:dyDescent="0.3">
      <c r="A2883">
        <v>1033714104</v>
      </c>
      <c r="B2883" t="s">
        <v>4019</v>
      </c>
      <c r="C2883" t="s">
        <v>4020</v>
      </c>
      <c r="D2883" t="s">
        <v>4029</v>
      </c>
    </row>
    <row r="2884" spans="1:4" x14ac:dyDescent="0.3">
      <c r="A2884">
        <v>1033714104</v>
      </c>
      <c r="B2884" t="s">
        <v>4019</v>
      </c>
      <c r="C2884" t="s">
        <v>4020</v>
      </c>
      <c r="D2884" t="s">
        <v>4029</v>
      </c>
    </row>
    <row r="2885" spans="1:4" x14ac:dyDescent="0.3">
      <c r="A2885">
        <v>1033714104</v>
      </c>
      <c r="B2885" t="s">
        <v>4019</v>
      </c>
      <c r="C2885" t="s">
        <v>4020</v>
      </c>
      <c r="D2885" t="s">
        <v>4029</v>
      </c>
    </row>
    <row r="2886" spans="1:4" x14ac:dyDescent="0.3">
      <c r="A2886">
        <v>1033714104</v>
      </c>
      <c r="B2886" t="s">
        <v>4019</v>
      </c>
      <c r="C2886" t="s">
        <v>4020</v>
      </c>
      <c r="D2886" t="s">
        <v>4029</v>
      </c>
    </row>
    <row r="2887" spans="1:4" x14ac:dyDescent="0.3">
      <c r="A2887">
        <v>1033714104</v>
      </c>
      <c r="B2887" t="s">
        <v>4019</v>
      </c>
      <c r="C2887" t="s">
        <v>4020</v>
      </c>
      <c r="D2887" t="s">
        <v>4029</v>
      </c>
    </row>
    <row r="2888" spans="1:4" x14ac:dyDescent="0.3">
      <c r="A2888">
        <v>1033714104</v>
      </c>
      <c r="B2888" t="s">
        <v>4019</v>
      </c>
      <c r="C2888" t="s">
        <v>4020</v>
      </c>
      <c r="D2888" t="s">
        <v>4029</v>
      </c>
    </row>
    <row r="2889" spans="1:4" x14ac:dyDescent="0.3">
      <c r="A2889">
        <v>1033714104</v>
      </c>
      <c r="B2889" t="s">
        <v>4019</v>
      </c>
      <c r="C2889" t="s">
        <v>4020</v>
      </c>
      <c r="D2889" t="s">
        <v>4029</v>
      </c>
    </row>
    <row r="2890" spans="1:4" x14ac:dyDescent="0.3">
      <c r="A2890">
        <v>1033714104</v>
      </c>
      <c r="B2890" t="s">
        <v>4019</v>
      </c>
      <c r="C2890" t="s">
        <v>4020</v>
      </c>
      <c r="D2890" t="s">
        <v>4029</v>
      </c>
    </row>
    <row r="2891" spans="1:4" x14ac:dyDescent="0.3">
      <c r="A2891">
        <v>1033714104</v>
      </c>
      <c r="B2891" t="s">
        <v>4019</v>
      </c>
      <c r="C2891" t="s">
        <v>4020</v>
      </c>
      <c r="D2891" t="s">
        <v>4029</v>
      </c>
    </row>
    <row r="2892" spans="1:4" x14ac:dyDescent="0.3">
      <c r="A2892">
        <v>1033714104</v>
      </c>
      <c r="B2892" t="s">
        <v>4019</v>
      </c>
      <c r="C2892" t="s">
        <v>4020</v>
      </c>
      <c r="D2892" t="s">
        <v>4029</v>
      </c>
    </row>
    <row r="2893" spans="1:4" x14ac:dyDescent="0.3">
      <c r="A2893">
        <v>1033714104</v>
      </c>
      <c r="B2893" t="s">
        <v>4019</v>
      </c>
      <c r="C2893" t="s">
        <v>4020</v>
      </c>
      <c r="D2893" t="s">
        <v>4029</v>
      </c>
    </row>
    <row r="2894" spans="1:4" x14ac:dyDescent="0.3">
      <c r="A2894">
        <v>1033714104</v>
      </c>
      <c r="B2894" t="s">
        <v>4019</v>
      </c>
      <c r="C2894" t="s">
        <v>4020</v>
      </c>
      <c r="D2894" t="s">
        <v>4029</v>
      </c>
    </row>
    <row r="2895" spans="1:4" x14ac:dyDescent="0.3">
      <c r="A2895">
        <v>1033714104</v>
      </c>
      <c r="B2895" t="s">
        <v>4019</v>
      </c>
      <c r="C2895" t="s">
        <v>4020</v>
      </c>
      <c r="D2895" t="s">
        <v>4029</v>
      </c>
    </row>
    <row r="2896" spans="1:4" x14ac:dyDescent="0.3">
      <c r="A2896">
        <v>1033714104</v>
      </c>
      <c r="B2896" t="s">
        <v>4019</v>
      </c>
      <c r="C2896" t="s">
        <v>4020</v>
      </c>
      <c r="D2896" t="s">
        <v>4029</v>
      </c>
    </row>
    <row r="2897" spans="1:4" x14ac:dyDescent="0.3">
      <c r="A2897">
        <v>1033714104</v>
      </c>
      <c r="B2897" t="s">
        <v>4019</v>
      </c>
      <c r="C2897" t="s">
        <v>4020</v>
      </c>
      <c r="D2897" t="s">
        <v>4029</v>
      </c>
    </row>
    <row r="2898" spans="1:4" x14ac:dyDescent="0.3">
      <c r="A2898">
        <v>1033714104</v>
      </c>
      <c r="B2898" t="s">
        <v>4019</v>
      </c>
      <c r="C2898" t="s">
        <v>4020</v>
      </c>
      <c r="D2898" t="s">
        <v>4029</v>
      </c>
    </row>
    <row r="2899" spans="1:4" x14ac:dyDescent="0.3">
      <c r="A2899">
        <v>1033714104</v>
      </c>
      <c r="B2899" t="s">
        <v>4019</v>
      </c>
      <c r="C2899" t="s">
        <v>4020</v>
      </c>
      <c r="D2899" t="s">
        <v>4029</v>
      </c>
    </row>
    <row r="2900" spans="1:4" x14ac:dyDescent="0.3">
      <c r="A2900">
        <v>1033714104</v>
      </c>
      <c r="B2900" t="s">
        <v>4019</v>
      </c>
      <c r="C2900" t="s">
        <v>4020</v>
      </c>
      <c r="D2900" t="s">
        <v>4029</v>
      </c>
    </row>
    <row r="2901" spans="1:4" x14ac:dyDescent="0.3">
      <c r="A2901">
        <v>1033714104</v>
      </c>
      <c r="B2901" t="s">
        <v>4019</v>
      </c>
      <c r="C2901" t="s">
        <v>4020</v>
      </c>
      <c r="D2901" t="s">
        <v>4029</v>
      </c>
    </row>
    <row r="2902" spans="1:4" x14ac:dyDescent="0.3">
      <c r="A2902">
        <v>1033714104</v>
      </c>
      <c r="B2902" t="s">
        <v>4019</v>
      </c>
      <c r="C2902" t="s">
        <v>4020</v>
      </c>
      <c r="D2902" t="s">
        <v>4029</v>
      </c>
    </row>
    <row r="2903" spans="1:4" x14ac:dyDescent="0.3">
      <c r="A2903">
        <v>1033714104</v>
      </c>
      <c r="B2903" t="s">
        <v>4019</v>
      </c>
      <c r="C2903" t="s">
        <v>4020</v>
      </c>
      <c r="D2903" t="s">
        <v>4029</v>
      </c>
    </row>
    <row r="2904" spans="1:4" x14ac:dyDescent="0.3">
      <c r="A2904">
        <v>1033714104</v>
      </c>
      <c r="B2904" t="s">
        <v>4019</v>
      </c>
      <c r="C2904" t="s">
        <v>4020</v>
      </c>
      <c r="D2904" t="s">
        <v>4029</v>
      </c>
    </row>
    <row r="2905" spans="1:4" x14ac:dyDescent="0.3">
      <c r="A2905">
        <v>1033714104</v>
      </c>
      <c r="B2905" t="s">
        <v>4019</v>
      </c>
      <c r="C2905" t="s">
        <v>4020</v>
      </c>
      <c r="D2905" t="s">
        <v>4029</v>
      </c>
    </row>
    <row r="2906" spans="1:4" x14ac:dyDescent="0.3">
      <c r="A2906">
        <v>1033714104</v>
      </c>
      <c r="B2906" t="s">
        <v>4019</v>
      </c>
      <c r="C2906" t="s">
        <v>4020</v>
      </c>
      <c r="D2906" t="s">
        <v>4029</v>
      </c>
    </row>
    <row r="2907" spans="1:4" x14ac:dyDescent="0.3">
      <c r="A2907">
        <v>1033714104</v>
      </c>
      <c r="B2907" t="s">
        <v>4019</v>
      </c>
      <c r="C2907" t="s">
        <v>4020</v>
      </c>
      <c r="D2907" t="s">
        <v>4029</v>
      </c>
    </row>
    <row r="2908" spans="1:4" x14ac:dyDescent="0.3">
      <c r="A2908">
        <v>1033714104</v>
      </c>
      <c r="B2908" t="s">
        <v>4019</v>
      </c>
      <c r="C2908" t="s">
        <v>4020</v>
      </c>
      <c r="D2908" t="s">
        <v>4029</v>
      </c>
    </row>
    <row r="2909" spans="1:4" x14ac:dyDescent="0.3">
      <c r="A2909">
        <v>1033714104</v>
      </c>
      <c r="B2909" t="s">
        <v>4019</v>
      </c>
      <c r="C2909" t="s">
        <v>4020</v>
      </c>
      <c r="D2909" t="s">
        <v>4029</v>
      </c>
    </row>
    <row r="2910" spans="1:4" x14ac:dyDescent="0.3">
      <c r="A2910">
        <v>1033714104</v>
      </c>
      <c r="B2910" t="s">
        <v>4019</v>
      </c>
      <c r="C2910" t="s">
        <v>4020</v>
      </c>
      <c r="D2910" t="s">
        <v>4029</v>
      </c>
    </row>
    <row r="2911" spans="1:4" x14ac:dyDescent="0.3">
      <c r="A2911">
        <v>1033714104</v>
      </c>
      <c r="B2911" t="s">
        <v>4019</v>
      </c>
      <c r="C2911" t="s">
        <v>4020</v>
      </c>
      <c r="D2911" t="s">
        <v>4029</v>
      </c>
    </row>
    <row r="2912" spans="1:4" x14ac:dyDescent="0.3">
      <c r="A2912">
        <v>1033714104</v>
      </c>
      <c r="B2912" t="s">
        <v>4019</v>
      </c>
      <c r="C2912" t="s">
        <v>4020</v>
      </c>
      <c r="D2912" t="s">
        <v>4029</v>
      </c>
    </row>
    <row r="2913" spans="1:4" x14ac:dyDescent="0.3">
      <c r="A2913">
        <v>1033714104</v>
      </c>
      <c r="B2913" t="s">
        <v>4019</v>
      </c>
      <c r="C2913" t="s">
        <v>4020</v>
      </c>
      <c r="D2913" t="s">
        <v>4029</v>
      </c>
    </row>
    <row r="2914" spans="1:4" x14ac:dyDescent="0.3">
      <c r="A2914">
        <v>1033714104</v>
      </c>
      <c r="B2914" t="s">
        <v>4019</v>
      </c>
      <c r="C2914" t="s">
        <v>4020</v>
      </c>
      <c r="D2914" t="s">
        <v>4029</v>
      </c>
    </row>
    <row r="2915" spans="1:4" x14ac:dyDescent="0.3">
      <c r="A2915">
        <v>1033714104</v>
      </c>
      <c r="B2915" t="s">
        <v>4019</v>
      </c>
      <c r="C2915" t="s">
        <v>4020</v>
      </c>
      <c r="D2915" t="s">
        <v>4029</v>
      </c>
    </row>
    <row r="2916" spans="1:4" x14ac:dyDescent="0.3">
      <c r="A2916">
        <v>1033714104</v>
      </c>
      <c r="B2916" t="s">
        <v>4019</v>
      </c>
      <c r="C2916" t="s">
        <v>4020</v>
      </c>
      <c r="D2916" t="s">
        <v>4029</v>
      </c>
    </row>
    <row r="2917" spans="1:4" x14ac:dyDescent="0.3">
      <c r="A2917">
        <v>1033714104</v>
      </c>
      <c r="B2917" t="s">
        <v>4019</v>
      </c>
      <c r="C2917" t="s">
        <v>4020</v>
      </c>
      <c r="D2917" t="s">
        <v>4029</v>
      </c>
    </row>
    <row r="2918" spans="1:4" x14ac:dyDescent="0.3">
      <c r="A2918">
        <v>1033714104</v>
      </c>
      <c r="B2918" t="s">
        <v>4019</v>
      </c>
      <c r="C2918" t="s">
        <v>4020</v>
      </c>
      <c r="D2918" t="s">
        <v>4029</v>
      </c>
    </row>
    <row r="2919" spans="1:4" x14ac:dyDescent="0.3">
      <c r="A2919">
        <v>1033714104</v>
      </c>
      <c r="B2919" t="s">
        <v>4019</v>
      </c>
      <c r="C2919" t="s">
        <v>4020</v>
      </c>
      <c r="D2919" t="s">
        <v>4029</v>
      </c>
    </row>
    <row r="2920" spans="1:4" x14ac:dyDescent="0.3">
      <c r="A2920">
        <v>1033714104</v>
      </c>
      <c r="B2920" t="s">
        <v>4019</v>
      </c>
      <c r="C2920" t="s">
        <v>4020</v>
      </c>
      <c r="D2920" t="s">
        <v>4029</v>
      </c>
    </row>
    <row r="2921" spans="1:4" x14ac:dyDescent="0.3">
      <c r="A2921">
        <v>1033714104</v>
      </c>
      <c r="B2921" t="s">
        <v>4019</v>
      </c>
      <c r="C2921" t="s">
        <v>4020</v>
      </c>
      <c r="D2921" t="s">
        <v>4029</v>
      </c>
    </row>
    <row r="2922" spans="1:4" x14ac:dyDescent="0.3">
      <c r="A2922">
        <v>1033714104</v>
      </c>
      <c r="B2922" t="s">
        <v>4019</v>
      </c>
      <c r="C2922" t="s">
        <v>4020</v>
      </c>
      <c r="D2922" t="s">
        <v>4029</v>
      </c>
    </row>
    <row r="2923" spans="1:4" x14ac:dyDescent="0.3">
      <c r="A2923">
        <v>1033714104</v>
      </c>
      <c r="B2923" t="s">
        <v>4019</v>
      </c>
      <c r="C2923" t="s">
        <v>4020</v>
      </c>
      <c r="D2923" t="s">
        <v>4029</v>
      </c>
    </row>
    <row r="2924" spans="1:4" x14ac:dyDescent="0.3">
      <c r="A2924">
        <v>1033714104</v>
      </c>
      <c r="B2924" t="s">
        <v>4019</v>
      </c>
      <c r="C2924" t="s">
        <v>4020</v>
      </c>
      <c r="D2924" t="s">
        <v>4029</v>
      </c>
    </row>
    <row r="2925" spans="1:4" x14ac:dyDescent="0.3">
      <c r="A2925">
        <v>1033714104</v>
      </c>
      <c r="B2925" t="s">
        <v>4019</v>
      </c>
      <c r="C2925" t="s">
        <v>4020</v>
      </c>
      <c r="D2925" t="s">
        <v>4029</v>
      </c>
    </row>
    <row r="2926" spans="1:4" x14ac:dyDescent="0.3">
      <c r="A2926">
        <v>1033714104</v>
      </c>
      <c r="B2926" t="s">
        <v>4019</v>
      </c>
      <c r="C2926" t="s">
        <v>4020</v>
      </c>
      <c r="D2926" t="s">
        <v>4029</v>
      </c>
    </row>
    <row r="2927" spans="1:4" x14ac:dyDescent="0.3">
      <c r="A2927">
        <v>1033714104</v>
      </c>
      <c r="B2927" t="s">
        <v>4019</v>
      </c>
      <c r="C2927" t="s">
        <v>4020</v>
      </c>
      <c r="D2927" t="s">
        <v>4029</v>
      </c>
    </row>
    <row r="2928" spans="1:4" x14ac:dyDescent="0.3">
      <c r="A2928">
        <v>1033714104</v>
      </c>
      <c r="B2928" t="s">
        <v>4019</v>
      </c>
      <c r="C2928" t="s">
        <v>4020</v>
      </c>
      <c r="D2928" t="s">
        <v>4029</v>
      </c>
    </row>
    <row r="2929" spans="1:4" x14ac:dyDescent="0.3">
      <c r="A2929">
        <v>1033714104</v>
      </c>
      <c r="B2929" t="s">
        <v>4019</v>
      </c>
      <c r="C2929" t="s">
        <v>4020</v>
      </c>
      <c r="D2929" t="s">
        <v>4029</v>
      </c>
    </row>
    <row r="2930" spans="1:4" x14ac:dyDescent="0.3">
      <c r="A2930">
        <v>1033714104</v>
      </c>
      <c r="B2930" t="s">
        <v>4019</v>
      </c>
      <c r="C2930" t="s">
        <v>4020</v>
      </c>
      <c r="D2930" t="s">
        <v>4029</v>
      </c>
    </row>
    <row r="2931" spans="1:4" x14ac:dyDescent="0.3">
      <c r="A2931">
        <v>1033714104</v>
      </c>
      <c r="B2931" t="s">
        <v>4019</v>
      </c>
      <c r="C2931" t="s">
        <v>4020</v>
      </c>
      <c r="D2931" t="s">
        <v>4029</v>
      </c>
    </row>
    <row r="2932" spans="1:4" x14ac:dyDescent="0.3">
      <c r="A2932">
        <v>1033714104</v>
      </c>
      <c r="B2932" t="s">
        <v>4019</v>
      </c>
      <c r="C2932" t="s">
        <v>4020</v>
      </c>
      <c r="D2932" t="s">
        <v>4029</v>
      </c>
    </row>
    <row r="2933" spans="1:4" x14ac:dyDescent="0.3">
      <c r="A2933">
        <v>1033714104</v>
      </c>
      <c r="B2933" t="s">
        <v>4019</v>
      </c>
      <c r="C2933" t="s">
        <v>4020</v>
      </c>
      <c r="D2933" t="s">
        <v>4029</v>
      </c>
    </row>
    <row r="2934" spans="1:4" x14ac:dyDescent="0.3">
      <c r="A2934">
        <v>1033714104</v>
      </c>
      <c r="B2934" t="s">
        <v>4019</v>
      </c>
      <c r="C2934" t="s">
        <v>4020</v>
      </c>
      <c r="D2934" t="s">
        <v>4029</v>
      </c>
    </row>
    <row r="2935" spans="1:4" x14ac:dyDescent="0.3">
      <c r="A2935">
        <v>1033714104</v>
      </c>
      <c r="B2935" t="s">
        <v>4019</v>
      </c>
      <c r="C2935" t="s">
        <v>4020</v>
      </c>
      <c r="D2935" t="s">
        <v>4029</v>
      </c>
    </row>
    <row r="2936" spans="1:4" x14ac:dyDescent="0.3">
      <c r="A2936">
        <v>1033714104</v>
      </c>
      <c r="B2936" t="s">
        <v>4019</v>
      </c>
      <c r="C2936" t="s">
        <v>4020</v>
      </c>
      <c r="D2936" t="s">
        <v>4029</v>
      </c>
    </row>
    <row r="2937" spans="1:4" x14ac:dyDescent="0.3">
      <c r="A2937">
        <v>1033714104</v>
      </c>
      <c r="B2937" t="s">
        <v>4019</v>
      </c>
      <c r="C2937" t="s">
        <v>4020</v>
      </c>
      <c r="D2937" t="s">
        <v>4029</v>
      </c>
    </row>
    <row r="2938" spans="1:4" x14ac:dyDescent="0.3">
      <c r="A2938">
        <v>1033714104</v>
      </c>
      <c r="B2938" t="s">
        <v>4019</v>
      </c>
      <c r="C2938" t="s">
        <v>4020</v>
      </c>
      <c r="D2938" t="s">
        <v>4029</v>
      </c>
    </row>
    <row r="2939" spans="1:4" x14ac:dyDescent="0.3">
      <c r="A2939">
        <v>1033714104</v>
      </c>
      <c r="B2939" t="s">
        <v>4019</v>
      </c>
      <c r="C2939" t="s">
        <v>4020</v>
      </c>
      <c r="D2939" t="s">
        <v>4029</v>
      </c>
    </row>
    <row r="2940" spans="1:4" x14ac:dyDescent="0.3">
      <c r="A2940">
        <v>1033714104</v>
      </c>
      <c r="B2940" t="s">
        <v>4019</v>
      </c>
      <c r="C2940" t="s">
        <v>4020</v>
      </c>
      <c r="D2940" t="s">
        <v>4029</v>
      </c>
    </row>
    <row r="2941" spans="1:4" x14ac:dyDescent="0.3">
      <c r="A2941">
        <v>1033714104</v>
      </c>
      <c r="B2941" t="s">
        <v>4019</v>
      </c>
      <c r="C2941" t="s">
        <v>4020</v>
      </c>
      <c r="D2941" t="s">
        <v>4029</v>
      </c>
    </row>
    <row r="2942" spans="1:4" x14ac:dyDescent="0.3">
      <c r="A2942">
        <v>1033714104</v>
      </c>
      <c r="B2942" t="s">
        <v>4019</v>
      </c>
      <c r="C2942" t="s">
        <v>4020</v>
      </c>
      <c r="D2942" t="s">
        <v>4029</v>
      </c>
    </row>
    <row r="2943" spans="1:4" x14ac:dyDescent="0.3">
      <c r="A2943">
        <v>1033714104</v>
      </c>
      <c r="B2943" t="s">
        <v>4019</v>
      </c>
      <c r="C2943" t="s">
        <v>4020</v>
      </c>
      <c r="D2943" t="s">
        <v>4029</v>
      </c>
    </row>
    <row r="2944" spans="1:4" x14ac:dyDescent="0.3">
      <c r="A2944">
        <v>1033714104</v>
      </c>
      <c r="B2944" t="s">
        <v>4019</v>
      </c>
      <c r="C2944" t="s">
        <v>4020</v>
      </c>
      <c r="D2944" t="s">
        <v>4029</v>
      </c>
    </row>
    <row r="2945" spans="1:4" x14ac:dyDescent="0.3">
      <c r="A2945">
        <v>1033714104</v>
      </c>
      <c r="B2945" t="s">
        <v>4019</v>
      </c>
      <c r="C2945" t="s">
        <v>4020</v>
      </c>
      <c r="D2945" t="s">
        <v>4029</v>
      </c>
    </row>
    <row r="2946" spans="1:4" x14ac:dyDescent="0.3">
      <c r="A2946">
        <v>1033714104</v>
      </c>
      <c r="B2946" t="s">
        <v>4019</v>
      </c>
      <c r="C2946" t="s">
        <v>4020</v>
      </c>
      <c r="D2946" t="s">
        <v>4029</v>
      </c>
    </row>
    <row r="2947" spans="1:4" x14ac:dyDescent="0.3">
      <c r="A2947">
        <v>1033714104</v>
      </c>
      <c r="B2947" t="s">
        <v>4019</v>
      </c>
      <c r="C2947" t="s">
        <v>4020</v>
      </c>
      <c r="D2947" t="s">
        <v>4029</v>
      </c>
    </row>
    <row r="2948" spans="1:4" x14ac:dyDescent="0.3">
      <c r="A2948">
        <v>1033714104</v>
      </c>
      <c r="B2948" t="s">
        <v>4019</v>
      </c>
      <c r="C2948" t="s">
        <v>4020</v>
      </c>
      <c r="D2948" t="s">
        <v>4029</v>
      </c>
    </row>
    <row r="2949" spans="1:4" x14ac:dyDescent="0.3">
      <c r="A2949">
        <v>1033714104</v>
      </c>
      <c r="B2949" t="s">
        <v>4019</v>
      </c>
      <c r="C2949" t="s">
        <v>4020</v>
      </c>
      <c r="D2949" t="s">
        <v>4029</v>
      </c>
    </row>
    <row r="2950" spans="1:4" x14ac:dyDescent="0.3">
      <c r="A2950">
        <v>1033714104</v>
      </c>
      <c r="B2950" t="s">
        <v>4019</v>
      </c>
      <c r="C2950" t="s">
        <v>4020</v>
      </c>
      <c r="D2950" t="s">
        <v>4029</v>
      </c>
    </row>
    <row r="2951" spans="1:4" x14ac:dyDescent="0.3">
      <c r="A2951">
        <v>1033714104</v>
      </c>
      <c r="B2951" t="s">
        <v>4019</v>
      </c>
      <c r="C2951" t="s">
        <v>4020</v>
      </c>
      <c r="D2951" t="s">
        <v>4029</v>
      </c>
    </row>
    <row r="2952" spans="1:4" x14ac:dyDescent="0.3">
      <c r="A2952">
        <v>1033714104</v>
      </c>
      <c r="B2952" t="s">
        <v>4019</v>
      </c>
      <c r="C2952" t="s">
        <v>4020</v>
      </c>
      <c r="D2952" t="s">
        <v>4029</v>
      </c>
    </row>
    <row r="2953" spans="1:4" x14ac:dyDescent="0.3">
      <c r="A2953">
        <v>1033714104</v>
      </c>
      <c r="B2953" t="s">
        <v>4019</v>
      </c>
      <c r="C2953" t="s">
        <v>4020</v>
      </c>
      <c r="D2953" t="s">
        <v>4029</v>
      </c>
    </row>
    <row r="2954" spans="1:4" x14ac:dyDescent="0.3">
      <c r="A2954">
        <v>1033714104</v>
      </c>
      <c r="B2954" t="s">
        <v>4019</v>
      </c>
      <c r="C2954" t="s">
        <v>4020</v>
      </c>
      <c r="D2954" t="s">
        <v>4029</v>
      </c>
    </row>
    <row r="2955" spans="1:4" x14ac:dyDescent="0.3">
      <c r="A2955">
        <v>1033714104</v>
      </c>
      <c r="B2955" t="s">
        <v>4019</v>
      </c>
      <c r="C2955" t="s">
        <v>4020</v>
      </c>
      <c r="D2955" t="s">
        <v>4029</v>
      </c>
    </row>
    <row r="2956" spans="1:4" x14ac:dyDescent="0.3">
      <c r="A2956">
        <v>1033714104</v>
      </c>
      <c r="B2956" t="s">
        <v>4019</v>
      </c>
      <c r="C2956" t="s">
        <v>4020</v>
      </c>
      <c r="D2956" t="s">
        <v>4029</v>
      </c>
    </row>
    <row r="2957" spans="1:4" x14ac:dyDescent="0.3">
      <c r="A2957">
        <v>1033714104</v>
      </c>
      <c r="B2957" t="s">
        <v>4019</v>
      </c>
      <c r="C2957" t="s">
        <v>4020</v>
      </c>
      <c r="D2957" t="s">
        <v>4029</v>
      </c>
    </row>
    <row r="2958" spans="1:4" x14ac:dyDescent="0.3">
      <c r="A2958">
        <v>1033714104</v>
      </c>
      <c r="B2958" t="s">
        <v>4019</v>
      </c>
      <c r="C2958" t="s">
        <v>4020</v>
      </c>
      <c r="D2958" t="s">
        <v>4029</v>
      </c>
    </row>
    <row r="2959" spans="1:4" x14ac:dyDescent="0.3">
      <c r="A2959">
        <v>1033714104</v>
      </c>
      <c r="B2959" t="s">
        <v>4019</v>
      </c>
      <c r="C2959" t="s">
        <v>4020</v>
      </c>
      <c r="D2959" t="s">
        <v>4029</v>
      </c>
    </row>
    <row r="2960" spans="1:4" x14ac:dyDescent="0.3">
      <c r="A2960">
        <v>1033714104</v>
      </c>
      <c r="B2960" t="s">
        <v>4019</v>
      </c>
      <c r="C2960" t="s">
        <v>4020</v>
      </c>
      <c r="D2960" t="s">
        <v>4029</v>
      </c>
    </row>
    <row r="2961" spans="1:4" x14ac:dyDescent="0.3">
      <c r="A2961">
        <v>1033714104</v>
      </c>
      <c r="B2961" t="s">
        <v>4019</v>
      </c>
      <c r="C2961" t="s">
        <v>4020</v>
      </c>
      <c r="D2961" t="s">
        <v>4029</v>
      </c>
    </row>
    <row r="2962" spans="1:4" x14ac:dyDescent="0.3">
      <c r="A2962">
        <v>1033714104</v>
      </c>
      <c r="B2962" t="s">
        <v>4019</v>
      </c>
      <c r="C2962" t="s">
        <v>4020</v>
      </c>
      <c r="D2962" t="s">
        <v>4029</v>
      </c>
    </row>
    <row r="2963" spans="1:4" x14ac:dyDescent="0.3">
      <c r="A2963">
        <v>1033714104</v>
      </c>
      <c r="B2963" t="s">
        <v>4019</v>
      </c>
      <c r="C2963" t="s">
        <v>4020</v>
      </c>
      <c r="D2963" t="s">
        <v>4029</v>
      </c>
    </row>
    <row r="2964" spans="1:4" x14ac:dyDescent="0.3">
      <c r="A2964">
        <v>1033714104</v>
      </c>
      <c r="B2964" t="s">
        <v>4019</v>
      </c>
      <c r="C2964" t="s">
        <v>4020</v>
      </c>
      <c r="D2964" t="s">
        <v>4029</v>
      </c>
    </row>
    <row r="2965" spans="1:4" x14ac:dyDescent="0.3">
      <c r="A2965">
        <v>1033714104</v>
      </c>
      <c r="B2965" t="s">
        <v>4019</v>
      </c>
      <c r="C2965" t="s">
        <v>4020</v>
      </c>
      <c r="D2965" t="s">
        <v>4029</v>
      </c>
    </row>
    <row r="2966" spans="1:4" x14ac:dyDescent="0.3">
      <c r="A2966">
        <v>1033714104</v>
      </c>
      <c r="B2966" t="s">
        <v>4019</v>
      </c>
      <c r="C2966" t="s">
        <v>4020</v>
      </c>
      <c r="D2966" t="s">
        <v>4029</v>
      </c>
    </row>
    <row r="2967" spans="1:4" x14ac:dyDescent="0.3">
      <c r="A2967">
        <v>1033714104</v>
      </c>
      <c r="B2967" t="s">
        <v>4019</v>
      </c>
      <c r="C2967" t="s">
        <v>4020</v>
      </c>
      <c r="D2967" t="s">
        <v>4029</v>
      </c>
    </row>
    <row r="2968" spans="1:4" x14ac:dyDescent="0.3">
      <c r="A2968">
        <v>1033714104</v>
      </c>
      <c r="B2968" t="s">
        <v>4019</v>
      </c>
      <c r="C2968" t="s">
        <v>4020</v>
      </c>
      <c r="D2968" t="s">
        <v>4029</v>
      </c>
    </row>
    <row r="2969" spans="1:4" x14ac:dyDescent="0.3">
      <c r="A2969">
        <v>1033714104</v>
      </c>
      <c r="B2969" t="s">
        <v>4019</v>
      </c>
      <c r="C2969" t="s">
        <v>4020</v>
      </c>
      <c r="D2969" t="s">
        <v>4029</v>
      </c>
    </row>
    <row r="2970" spans="1:4" x14ac:dyDescent="0.3">
      <c r="A2970">
        <v>1033714104</v>
      </c>
      <c r="B2970" t="s">
        <v>4019</v>
      </c>
      <c r="C2970" t="s">
        <v>4020</v>
      </c>
      <c r="D2970" t="s">
        <v>4029</v>
      </c>
    </row>
    <row r="2971" spans="1:4" x14ac:dyDescent="0.3">
      <c r="A2971">
        <v>1033714104</v>
      </c>
      <c r="B2971" t="s">
        <v>4019</v>
      </c>
      <c r="C2971" t="s">
        <v>4020</v>
      </c>
      <c r="D2971" t="s">
        <v>4029</v>
      </c>
    </row>
    <row r="2972" spans="1:4" x14ac:dyDescent="0.3">
      <c r="A2972">
        <v>1033714104</v>
      </c>
      <c r="B2972" t="s">
        <v>4019</v>
      </c>
      <c r="C2972" t="s">
        <v>4020</v>
      </c>
      <c r="D2972" t="s">
        <v>4029</v>
      </c>
    </row>
    <row r="2973" spans="1:4" x14ac:dyDescent="0.3">
      <c r="A2973">
        <v>1033714104</v>
      </c>
      <c r="B2973" t="s">
        <v>4019</v>
      </c>
      <c r="C2973" t="s">
        <v>4020</v>
      </c>
      <c r="D2973" t="s">
        <v>4029</v>
      </c>
    </row>
    <row r="2974" spans="1:4" x14ac:dyDescent="0.3">
      <c r="A2974">
        <v>1033714104</v>
      </c>
      <c r="B2974" t="s">
        <v>4019</v>
      </c>
      <c r="C2974" t="s">
        <v>4020</v>
      </c>
      <c r="D2974" t="s">
        <v>4029</v>
      </c>
    </row>
    <row r="2975" spans="1:4" x14ac:dyDescent="0.3">
      <c r="A2975">
        <v>1033714104</v>
      </c>
      <c r="B2975" t="s">
        <v>4019</v>
      </c>
      <c r="C2975" t="s">
        <v>4020</v>
      </c>
      <c r="D2975" t="s">
        <v>4029</v>
      </c>
    </row>
    <row r="2976" spans="1:4" x14ac:dyDescent="0.3">
      <c r="A2976">
        <v>1033714104</v>
      </c>
      <c r="B2976" t="s">
        <v>4019</v>
      </c>
      <c r="C2976" t="s">
        <v>4020</v>
      </c>
      <c r="D2976" t="s">
        <v>4029</v>
      </c>
    </row>
    <row r="2977" spans="1:4" x14ac:dyDescent="0.3">
      <c r="A2977">
        <v>1033714104</v>
      </c>
      <c r="B2977" t="s">
        <v>4019</v>
      </c>
      <c r="C2977" t="s">
        <v>4020</v>
      </c>
      <c r="D2977" t="s">
        <v>4029</v>
      </c>
    </row>
    <row r="2978" spans="1:4" x14ac:dyDescent="0.3">
      <c r="A2978">
        <v>1033714104</v>
      </c>
      <c r="B2978" t="s">
        <v>4019</v>
      </c>
      <c r="C2978" t="s">
        <v>4020</v>
      </c>
      <c r="D2978" t="s">
        <v>4029</v>
      </c>
    </row>
    <row r="2979" spans="1:4" x14ac:dyDescent="0.3">
      <c r="A2979">
        <v>1033714104</v>
      </c>
      <c r="B2979" t="s">
        <v>4019</v>
      </c>
      <c r="C2979" t="s">
        <v>4020</v>
      </c>
      <c r="D2979" t="s">
        <v>4029</v>
      </c>
    </row>
    <row r="2980" spans="1:4" x14ac:dyDescent="0.3">
      <c r="A2980">
        <v>1033714104</v>
      </c>
      <c r="B2980" t="s">
        <v>4019</v>
      </c>
      <c r="C2980" t="s">
        <v>4020</v>
      </c>
      <c r="D2980" t="s">
        <v>4029</v>
      </c>
    </row>
    <row r="2981" spans="1:4" x14ac:dyDescent="0.3">
      <c r="A2981">
        <v>1033714104</v>
      </c>
      <c r="B2981" t="s">
        <v>4019</v>
      </c>
      <c r="C2981" t="s">
        <v>4020</v>
      </c>
      <c r="D2981" t="s">
        <v>4029</v>
      </c>
    </row>
    <row r="2982" spans="1:4" x14ac:dyDescent="0.3">
      <c r="A2982">
        <v>1033714104</v>
      </c>
      <c r="B2982" t="s">
        <v>4019</v>
      </c>
      <c r="C2982" t="s">
        <v>4020</v>
      </c>
      <c r="D2982" t="s">
        <v>4029</v>
      </c>
    </row>
    <row r="2983" spans="1:4" x14ac:dyDescent="0.3">
      <c r="A2983">
        <v>1033714104</v>
      </c>
      <c r="B2983" t="s">
        <v>4019</v>
      </c>
      <c r="C2983" t="s">
        <v>4020</v>
      </c>
      <c r="D2983" t="s">
        <v>4029</v>
      </c>
    </row>
    <row r="2984" spans="1:4" x14ac:dyDescent="0.3">
      <c r="A2984">
        <v>1033714104</v>
      </c>
      <c r="B2984" t="s">
        <v>4019</v>
      </c>
      <c r="C2984" t="s">
        <v>4020</v>
      </c>
      <c r="D2984" t="s">
        <v>4029</v>
      </c>
    </row>
    <row r="2985" spans="1:4" x14ac:dyDescent="0.3">
      <c r="A2985">
        <v>1033714104</v>
      </c>
      <c r="B2985" t="s">
        <v>4019</v>
      </c>
      <c r="C2985" t="s">
        <v>4020</v>
      </c>
      <c r="D2985" t="s">
        <v>4029</v>
      </c>
    </row>
    <row r="2986" spans="1:4" x14ac:dyDescent="0.3">
      <c r="A2986">
        <v>1033714104</v>
      </c>
      <c r="B2986" t="s">
        <v>4019</v>
      </c>
      <c r="C2986" t="s">
        <v>4020</v>
      </c>
      <c r="D2986" t="s">
        <v>4029</v>
      </c>
    </row>
    <row r="2987" spans="1:4" x14ac:dyDescent="0.3">
      <c r="A2987">
        <v>1033714104</v>
      </c>
      <c r="B2987" t="s">
        <v>4019</v>
      </c>
      <c r="C2987" t="s">
        <v>4020</v>
      </c>
      <c r="D2987" t="s">
        <v>4029</v>
      </c>
    </row>
    <row r="2988" spans="1:4" x14ac:dyDescent="0.3">
      <c r="A2988">
        <v>1033781417</v>
      </c>
      <c r="B2988" t="s">
        <v>3948</v>
      </c>
      <c r="C2988" t="s">
        <v>3937</v>
      </c>
      <c r="D2988" t="s">
        <v>4031</v>
      </c>
    </row>
    <row r="2989" spans="1:4" x14ac:dyDescent="0.3">
      <c r="A2989">
        <v>1033781417</v>
      </c>
      <c r="B2989" t="s">
        <v>3948</v>
      </c>
      <c r="C2989" t="s">
        <v>3937</v>
      </c>
      <c r="D2989" t="s">
        <v>4031</v>
      </c>
    </row>
    <row r="2990" spans="1:4" x14ac:dyDescent="0.3">
      <c r="A2990">
        <v>1033781417</v>
      </c>
      <c r="B2990" t="s">
        <v>3948</v>
      </c>
      <c r="C2990" t="s">
        <v>3937</v>
      </c>
      <c r="D2990" t="s">
        <v>4031</v>
      </c>
    </row>
    <row r="2991" spans="1:4" x14ac:dyDescent="0.3">
      <c r="A2991">
        <v>1033781417</v>
      </c>
      <c r="B2991" t="s">
        <v>3948</v>
      </c>
      <c r="C2991" t="s">
        <v>3937</v>
      </c>
      <c r="D2991" t="s">
        <v>4031</v>
      </c>
    </row>
    <row r="2992" spans="1:4" x14ac:dyDescent="0.3">
      <c r="A2992">
        <v>1033781417</v>
      </c>
      <c r="B2992" t="s">
        <v>3948</v>
      </c>
      <c r="C2992" t="s">
        <v>3937</v>
      </c>
      <c r="D2992" t="s">
        <v>4031</v>
      </c>
    </row>
    <row r="2993" spans="1:4" x14ac:dyDescent="0.3">
      <c r="A2993">
        <v>1033781417</v>
      </c>
      <c r="B2993" t="s">
        <v>3948</v>
      </c>
      <c r="C2993" t="s">
        <v>3937</v>
      </c>
      <c r="D2993" t="s">
        <v>4031</v>
      </c>
    </row>
    <row r="2994" spans="1:4" x14ac:dyDescent="0.3">
      <c r="A2994">
        <v>1033781417</v>
      </c>
      <c r="B2994" t="s">
        <v>3948</v>
      </c>
      <c r="C2994" t="s">
        <v>3937</v>
      </c>
      <c r="D2994" t="s">
        <v>4031</v>
      </c>
    </row>
    <row r="2995" spans="1:4" x14ac:dyDescent="0.3">
      <c r="A2995">
        <v>1033781417</v>
      </c>
      <c r="B2995" t="s">
        <v>3948</v>
      </c>
      <c r="C2995" t="s">
        <v>3937</v>
      </c>
      <c r="D2995" t="s">
        <v>4031</v>
      </c>
    </row>
    <row r="2996" spans="1:4" x14ac:dyDescent="0.3">
      <c r="A2996">
        <v>1033781417</v>
      </c>
      <c r="B2996" t="s">
        <v>3948</v>
      </c>
      <c r="C2996" t="s">
        <v>3937</v>
      </c>
      <c r="D2996" t="s">
        <v>4031</v>
      </c>
    </row>
    <row r="2997" spans="1:4" x14ac:dyDescent="0.3">
      <c r="A2997">
        <v>1033781417</v>
      </c>
      <c r="B2997" t="s">
        <v>3948</v>
      </c>
      <c r="C2997" t="s">
        <v>3937</v>
      </c>
      <c r="D2997" t="s">
        <v>4031</v>
      </c>
    </row>
    <row r="2998" spans="1:4" x14ac:dyDescent="0.3">
      <c r="A2998">
        <v>1033781417</v>
      </c>
      <c r="B2998" t="s">
        <v>3948</v>
      </c>
      <c r="C2998" t="s">
        <v>3937</v>
      </c>
      <c r="D2998" t="s">
        <v>4031</v>
      </c>
    </row>
    <row r="2999" spans="1:4" x14ac:dyDescent="0.3">
      <c r="A2999">
        <v>1033781417</v>
      </c>
      <c r="B2999" t="s">
        <v>3948</v>
      </c>
      <c r="C2999" t="s">
        <v>3937</v>
      </c>
      <c r="D2999" t="s">
        <v>4031</v>
      </c>
    </row>
    <row r="3000" spans="1:4" x14ac:dyDescent="0.3">
      <c r="A3000">
        <v>1033781417</v>
      </c>
      <c r="B3000" t="s">
        <v>3948</v>
      </c>
      <c r="C3000" t="s">
        <v>3937</v>
      </c>
      <c r="D3000" t="s">
        <v>4031</v>
      </c>
    </row>
    <row r="3001" spans="1:4" x14ac:dyDescent="0.3">
      <c r="A3001">
        <v>1033781417</v>
      </c>
      <c r="B3001" t="s">
        <v>3948</v>
      </c>
      <c r="C3001" t="s">
        <v>3937</v>
      </c>
      <c r="D3001" t="s">
        <v>4031</v>
      </c>
    </row>
    <row r="3002" spans="1:4" x14ac:dyDescent="0.3">
      <c r="A3002">
        <v>1033781417</v>
      </c>
      <c r="B3002" t="s">
        <v>3948</v>
      </c>
      <c r="C3002" t="s">
        <v>3937</v>
      </c>
      <c r="D3002" t="s">
        <v>4031</v>
      </c>
    </row>
    <row r="3003" spans="1:4" x14ac:dyDescent="0.3">
      <c r="A3003">
        <v>1033781417</v>
      </c>
      <c r="B3003" t="s">
        <v>3948</v>
      </c>
      <c r="C3003" t="s">
        <v>3937</v>
      </c>
      <c r="D3003" t="s">
        <v>4031</v>
      </c>
    </row>
    <row r="3004" spans="1:4" x14ac:dyDescent="0.3">
      <c r="A3004">
        <v>1033781417</v>
      </c>
      <c r="B3004" t="s">
        <v>3948</v>
      </c>
      <c r="C3004" t="s">
        <v>3937</v>
      </c>
      <c r="D3004" t="s">
        <v>4031</v>
      </c>
    </row>
    <row r="3005" spans="1:4" x14ac:dyDescent="0.3">
      <c r="A3005">
        <v>1033781417</v>
      </c>
      <c r="B3005" t="s">
        <v>3948</v>
      </c>
      <c r="C3005" t="s">
        <v>3937</v>
      </c>
      <c r="D3005" t="s">
        <v>4031</v>
      </c>
    </row>
    <row r="3006" spans="1:4" x14ac:dyDescent="0.3">
      <c r="A3006">
        <v>1033781417</v>
      </c>
      <c r="B3006" t="s">
        <v>3948</v>
      </c>
      <c r="C3006" t="s">
        <v>3937</v>
      </c>
      <c r="D3006" t="s">
        <v>4031</v>
      </c>
    </row>
    <row r="3007" spans="1:4" x14ac:dyDescent="0.3">
      <c r="A3007">
        <v>1033781417</v>
      </c>
      <c r="B3007" t="s">
        <v>3948</v>
      </c>
      <c r="C3007" t="s">
        <v>3937</v>
      </c>
      <c r="D3007" t="s">
        <v>4031</v>
      </c>
    </row>
    <row r="3008" spans="1:4" x14ac:dyDescent="0.3">
      <c r="A3008">
        <v>1033781417</v>
      </c>
      <c r="B3008" t="s">
        <v>3948</v>
      </c>
      <c r="C3008" t="s">
        <v>3937</v>
      </c>
      <c r="D3008" t="s">
        <v>4031</v>
      </c>
    </row>
    <row r="3009" spans="1:4" x14ac:dyDescent="0.3">
      <c r="A3009">
        <v>1033781417</v>
      </c>
      <c r="B3009" t="s">
        <v>3948</v>
      </c>
      <c r="C3009" t="s">
        <v>3937</v>
      </c>
      <c r="D3009" t="s">
        <v>4031</v>
      </c>
    </row>
    <row r="3010" spans="1:4" x14ac:dyDescent="0.3">
      <c r="A3010">
        <v>1033781417</v>
      </c>
      <c r="B3010" t="s">
        <v>3948</v>
      </c>
      <c r="C3010" t="s">
        <v>3937</v>
      </c>
      <c r="D3010" t="s">
        <v>4031</v>
      </c>
    </row>
    <row r="3011" spans="1:4" x14ac:dyDescent="0.3">
      <c r="A3011">
        <v>1033781417</v>
      </c>
      <c r="B3011" t="s">
        <v>3948</v>
      </c>
      <c r="C3011" t="s">
        <v>3937</v>
      </c>
      <c r="D3011" t="s">
        <v>4031</v>
      </c>
    </row>
    <row r="3012" spans="1:4" x14ac:dyDescent="0.3">
      <c r="A3012">
        <v>1033781417</v>
      </c>
      <c r="B3012" t="s">
        <v>3948</v>
      </c>
      <c r="C3012" t="s">
        <v>3937</v>
      </c>
      <c r="D3012" t="s">
        <v>4031</v>
      </c>
    </row>
    <row r="3013" spans="1:4" x14ac:dyDescent="0.3">
      <c r="A3013">
        <v>1033781417</v>
      </c>
      <c r="B3013" t="s">
        <v>3948</v>
      </c>
      <c r="C3013" t="s">
        <v>3937</v>
      </c>
      <c r="D3013" t="s">
        <v>4031</v>
      </c>
    </row>
    <row r="3014" spans="1:4" x14ac:dyDescent="0.3">
      <c r="A3014">
        <v>1033781417</v>
      </c>
      <c r="B3014" t="s">
        <v>3948</v>
      </c>
      <c r="C3014" t="s">
        <v>3937</v>
      </c>
      <c r="D3014" t="s">
        <v>4031</v>
      </c>
    </row>
    <row r="3015" spans="1:4" x14ac:dyDescent="0.3">
      <c r="A3015">
        <v>1033781417</v>
      </c>
      <c r="B3015" t="s">
        <v>3948</v>
      </c>
      <c r="C3015" t="s">
        <v>3937</v>
      </c>
      <c r="D3015" t="s">
        <v>4031</v>
      </c>
    </row>
    <row r="3016" spans="1:4" x14ac:dyDescent="0.3">
      <c r="A3016">
        <v>1033781417</v>
      </c>
      <c r="B3016" t="s">
        <v>3948</v>
      </c>
      <c r="C3016" t="s">
        <v>3937</v>
      </c>
      <c r="D3016" t="s">
        <v>4031</v>
      </c>
    </row>
    <row r="3017" spans="1:4" x14ac:dyDescent="0.3">
      <c r="A3017">
        <v>1033781417</v>
      </c>
      <c r="B3017" t="s">
        <v>3948</v>
      </c>
      <c r="C3017" t="s">
        <v>3937</v>
      </c>
      <c r="D3017" t="s">
        <v>4031</v>
      </c>
    </row>
    <row r="3018" spans="1:4" x14ac:dyDescent="0.3">
      <c r="A3018">
        <v>1033781417</v>
      </c>
      <c r="B3018" t="s">
        <v>3948</v>
      </c>
      <c r="C3018" t="s">
        <v>3937</v>
      </c>
      <c r="D3018" t="s">
        <v>4031</v>
      </c>
    </row>
    <row r="3019" spans="1:4" x14ac:dyDescent="0.3">
      <c r="A3019">
        <v>1033781417</v>
      </c>
      <c r="B3019" t="s">
        <v>3948</v>
      </c>
      <c r="C3019" t="s">
        <v>3937</v>
      </c>
      <c r="D3019" t="s">
        <v>4031</v>
      </c>
    </row>
    <row r="3020" spans="1:4" x14ac:dyDescent="0.3">
      <c r="A3020">
        <v>1033781417</v>
      </c>
      <c r="B3020" t="s">
        <v>3948</v>
      </c>
      <c r="C3020" t="s">
        <v>3937</v>
      </c>
      <c r="D3020" t="s">
        <v>4031</v>
      </c>
    </row>
    <row r="3021" spans="1:4" x14ac:dyDescent="0.3">
      <c r="A3021">
        <v>1033781417</v>
      </c>
      <c r="B3021" t="s">
        <v>3948</v>
      </c>
      <c r="C3021" t="s">
        <v>3937</v>
      </c>
      <c r="D3021" t="s">
        <v>4031</v>
      </c>
    </row>
    <row r="3022" spans="1:4" x14ac:dyDescent="0.3">
      <c r="A3022">
        <v>1033781417</v>
      </c>
      <c r="B3022" t="s">
        <v>3948</v>
      </c>
      <c r="C3022" t="s">
        <v>3937</v>
      </c>
      <c r="D3022" t="s">
        <v>4031</v>
      </c>
    </row>
    <row r="3023" spans="1:4" x14ac:dyDescent="0.3">
      <c r="A3023">
        <v>1033781417</v>
      </c>
      <c r="B3023" t="s">
        <v>3948</v>
      </c>
      <c r="C3023" t="s">
        <v>3937</v>
      </c>
      <c r="D3023" t="s">
        <v>4031</v>
      </c>
    </row>
    <row r="3024" spans="1:4" x14ac:dyDescent="0.3">
      <c r="A3024">
        <v>1033781417</v>
      </c>
      <c r="B3024" t="s">
        <v>3948</v>
      </c>
      <c r="C3024" t="s">
        <v>3937</v>
      </c>
      <c r="D3024" t="s">
        <v>4031</v>
      </c>
    </row>
    <row r="3025" spans="1:4" x14ac:dyDescent="0.3">
      <c r="A3025">
        <v>1033781417</v>
      </c>
      <c r="B3025" t="s">
        <v>3948</v>
      </c>
      <c r="C3025" t="s">
        <v>3937</v>
      </c>
      <c r="D3025" t="s">
        <v>4031</v>
      </c>
    </row>
    <row r="3026" spans="1:4" x14ac:dyDescent="0.3">
      <c r="A3026">
        <v>1033781417</v>
      </c>
      <c r="B3026" t="s">
        <v>3948</v>
      </c>
      <c r="C3026" t="s">
        <v>3937</v>
      </c>
      <c r="D3026" t="s">
        <v>4031</v>
      </c>
    </row>
    <row r="3027" spans="1:4" x14ac:dyDescent="0.3">
      <c r="A3027">
        <v>1033781417</v>
      </c>
      <c r="B3027" t="s">
        <v>3948</v>
      </c>
      <c r="C3027" t="s">
        <v>3937</v>
      </c>
      <c r="D3027" t="s">
        <v>4031</v>
      </c>
    </row>
    <row r="3028" spans="1:4" x14ac:dyDescent="0.3">
      <c r="A3028">
        <v>1033781417</v>
      </c>
      <c r="B3028" t="s">
        <v>3948</v>
      </c>
      <c r="C3028" t="s">
        <v>3937</v>
      </c>
      <c r="D3028" t="s">
        <v>4031</v>
      </c>
    </row>
    <row r="3029" spans="1:4" x14ac:dyDescent="0.3">
      <c r="A3029">
        <v>1033781417</v>
      </c>
      <c r="B3029" t="s">
        <v>3948</v>
      </c>
      <c r="C3029" t="s">
        <v>3937</v>
      </c>
      <c r="D3029" t="s">
        <v>4031</v>
      </c>
    </row>
    <row r="3030" spans="1:4" x14ac:dyDescent="0.3">
      <c r="A3030">
        <v>1033781417</v>
      </c>
      <c r="B3030" t="s">
        <v>3948</v>
      </c>
      <c r="C3030" t="s">
        <v>3937</v>
      </c>
      <c r="D3030" t="s">
        <v>4031</v>
      </c>
    </row>
    <row r="3031" spans="1:4" x14ac:dyDescent="0.3">
      <c r="A3031">
        <v>1033781417</v>
      </c>
      <c r="B3031" t="s">
        <v>3948</v>
      </c>
      <c r="C3031" t="s">
        <v>3937</v>
      </c>
      <c r="D3031" t="s">
        <v>4031</v>
      </c>
    </row>
    <row r="3032" spans="1:4" x14ac:dyDescent="0.3">
      <c r="A3032">
        <v>1033781417</v>
      </c>
      <c r="B3032" t="s">
        <v>3948</v>
      </c>
      <c r="C3032" t="s">
        <v>3937</v>
      </c>
      <c r="D3032" t="s">
        <v>4031</v>
      </c>
    </row>
    <row r="3033" spans="1:4" x14ac:dyDescent="0.3">
      <c r="A3033">
        <v>1033781417</v>
      </c>
      <c r="B3033" t="s">
        <v>3948</v>
      </c>
      <c r="C3033" t="s">
        <v>3937</v>
      </c>
      <c r="D3033" t="s">
        <v>4031</v>
      </c>
    </row>
    <row r="3034" spans="1:4" x14ac:dyDescent="0.3">
      <c r="A3034">
        <v>1033781417</v>
      </c>
      <c r="B3034" t="s">
        <v>3948</v>
      </c>
      <c r="C3034" t="s">
        <v>3937</v>
      </c>
      <c r="D3034" t="s">
        <v>4031</v>
      </c>
    </row>
    <row r="3035" spans="1:4" x14ac:dyDescent="0.3">
      <c r="A3035">
        <v>1033781417</v>
      </c>
      <c r="B3035" t="s">
        <v>3948</v>
      </c>
      <c r="C3035" t="s">
        <v>3937</v>
      </c>
      <c r="D3035" t="s">
        <v>4031</v>
      </c>
    </row>
    <row r="3036" spans="1:4" x14ac:dyDescent="0.3">
      <c r="A3036">
        <v>1033781417</v>
      </c>
      <c r="B3036" t="s">
        <v>3948</v>
      </c>
      <c r="C3036" t="s">
        <v>3937</v>
      </c>
      <c r="D3036" t="s">
        <v>4031</v>
      </c>
    </row>
    <row r="3037" spans="1:4" x14ac:dyDescent="0.3">
      <c r="A3037">
        <v>1033781417</v>
      </c>
      <c r="B3037" t="s">
        <v>3948</v>
      </c>
      <c r="C3037" t="s">
        <v>3937</v>
      </c>
      <c r="D3037" t="s">
        <v>4031</v>
      </c>
    </row>
    <row r="3038" spans="1:4" x14ac:dyDescent="0.3">
      <c r="A3038">
        <v>1033781417</v>
      </c>
      <c r="B3038" t="s">
        <v>3948</v>
      </c>
      <c r="C3038" t="s">
        <v>3937</v>
      </c>
      <c r="D3038" t="s">
        <v>4031</v>
      </c>
    </row>
    <row r="3039" spans="1:4" x14ac:dyDescent="0.3">
      <c r="A3039">
        <v>1033781417</v>
      </c>
      <c r="B3039" t="s">
        <v>3948</v>
      </c>
      <c r="C3039" t="s">
        <v>3937</v>
      </c>
      <c r="D3039" t="s">
        <v>4031</v>
      </c>
    </row>
    <row r="3040" spans="1:4" x14ac:dyDescent="0.3">
      <c r="A3040">
        <v>1033781417</v>
      </c>
      <c r="B3040" t="s">
        <v>3948</v>
      </c>
      <c r="C3040" t="s">
        <v>3937</v>
      </c>
      <c r="D3040" t="s">
        <v>4031</v>
      </c>
    </row>
    <row r="3041" spans="1:4" x14ac:dyDescent="0.3">
      <c r="A3041">
        <v>1033781417</v>
      </c>
      <c r="B3041" t="s">
        <v>3948</v>
      </c>
      <c r="C3041" t="s">
        <v>3937</v>
      </c>
      <c r="D3041" t="s">
        <v>4031</v>
      </c>
    </row>
    <row r="3042" spans="1:4" x14ac:dyDescent="0.3">
      <c r="A3042">
        <v>1033781417</v>
      </c>
      <c r="B3042" t="s">
        <v>3948</v>
      </c>
      <c r="C3042" t="s">
        <v>3937</v>
      </c>
      <c r="D3042" t="s">
        <v>4031</v>
      </c>
    </row>
    <row r="3043" spans="1:4" x14ac:dyDescent="0.3">
      <c r="A3043">
        <v>1033781417</v>
      </c>
      <c r="B3043" t="s">
        <v>3948</v>
      </c>
      <c r="C3043" t="s">
        <v>3937</v>
      </c>
      <c r="D3043" t="s">
        <v>4031</v>
      </c>
    </row>
    <row r="3044" spans="1:4" x14ac:dyDescent="0.3">
      <c r="A3044">
        <v>1033781417</v>
      </c>
      <c r="B3044" t="s">
        <v>3948</v>
      </c>
      <c r="C3044" t="s">
        <v>3937</v>
      </c>
      <c r="D3044" t="s">
        <v>4031</v>
      </c>
    </row>
    <row r="3045" spans="1:4" x14ac:dyDescent="0.3">
      <c r="A3045">
        <v>1033781417</v>
      </c>
      <c r="B3045" t="s">
        <v>3948</v>
      </c>
      <c r="C3045" t="s">
        <v>3937</v>
      </c>
      <c r="D3045" t="s">
        <v>4031</v>
      </c>
    </row>
    <row r="3046" spans="1:4" x14ac:dyDescent="0.3">
      <c r="A3046">
        <v>1033781417</v>
      </c>
      <c r="B3046" t="s">
        <v>3948</v>
      </c>
      <c r="C3046" t="s">
        <v>3937</v>
      </c>
      <c r="D3046" t="s">
        <v>4031</v>
      </c>
    </row>
    <row r="3047" spans="1:4" x14ac:dyDescent="0.3">
      <c r="A3047">
        <v>1033781417</v>
      </c>
      <c r="B3047" t="s">
        <v>3948</v>
      </c>
      <c r="C3047" t="s">
        <v>3937</v>
      </c>
      <c r="D3047" t="s">
        <v>4031</v>
      </c>
    </row>
    <row r="3048" spans="1:4" x14ac:dyDescent="0.3">
      <c r="A3048">
        <v>1033781417</v>
      </c>
      <c r="B3048" t="s">
        <v>3948</v>
      </c>
      <c r="C3048" t="s">
        <v>3937</v>
      </c>
      <c r="D3048" t="s">
        <v>4031</v>
      </c>
    </row>
    <row r="3049" spans="1:4" x14ac:dyDescent="0.3">
      <c r="A3049">
        <v>1033781417</v>
      </c>
      <c r="B3049" t="s">
        <v>3948</v>
      </c>
      <c r="C3049" t="s">
        <v>3937</v>
      </c>
      <c r="D3049" t="s">
        <v>4031</v>
      </c>
    </row>
    <row r="3050" spans="1:4" x14ac:dyDescent="0.3">
      <c r="A3050">
        <v>1033781417</v>
      </c>
      <c r="B3050" t="s">
        <v>3948</v>
      </c>
      <c r="C3050" t="s">
        <v>3937</v>
      </c>
      <c r="D3050" t="s">
        <v>4031</v>
      </c>
    </row>
    <row r="3051" spans="1:4" x14ac:dyDescent="0.3">
      <c r="A3051">
        <v>1033781417</v>
      </c>
      <c r="B3051" t="s">
        <v>3948</v>
      </c>
      <c r="C3051" t="s">
        <v>3937</v>
      </c>
      <c r="D3051" t="s">
        <v>4031</v>
      </c>
    </row>
    <row r="3052" spans="1:4" x14ac:dyDescent="0.3">
      <c r="A3052">
        <v>1033781417</v>
      </c>
      <c r="B3052" t="s">
        <v>3948</v>
      </c>
      <c r="C3052" t="s">
        <v>3937</v>
      </c>
      <c r="D3052" t="s">
        <v>4031</v>
      </c>
    </row>
    <row r="3053" spans="1:4" x14ac:dyDescent="0.3">
      <c r="A3053">
        <v>1033781417</v>
      </c>
      <c r="B3053" t="s">
        <v>3948</v>
      </c>
      <c r="C3053" t="s">
        <v>3937</v>
      </c>
      <c r="D3053" t="s">
        <v>4031</v>
      </c>
    </row>
    <row r="3054" spans="1:4" x14ac:dyDescent="0.3">
      <c r="A3054">
        <v>1033781417</v>
      </c>
      <c r="B3054" t="s">
        <v>3948</v>
      </c>
      <c r="C3054" t="s">
        <v>3937</v>
      </c>
      <c r="D3054" t="s">
        <v>4031</v>
      </c>
    </row>
    <row r="3055" spans="1:4" x14ac:dyDescent="0.3">
      <c r="A3055">
        <v>1033781417</v>
      </c>
      <c r="B3055" t="s">
        <v>3948</v>
      </c>
      <c r="C3055" t="s">
        <v>3937</v>
      </c>
      <c r="D3055" t="s">
        <v>4031</v>
      </c>
    </row>
    <row r="3056" spans="1:4" x14ac:dyDescent="0.3">
      <c r="A3056">
        <v>1033781417</v>
      </c>
      <c r="B3056" t="s">
        <v>3948</v>
      </c>
      <c r="C3056" t="s">
        <v>3937</v>
      </c>
      <c r="D3056" t="s">
        <v>4031</v>
      </c>
    </row>
    <row r="3057" spans="1:4" x14ac:dyDescent="0.3">
      <c r="A3057">
        <v>1033781417</v>
      </c>
      <c r="B3057" t="s">
        <v>3948</v>
      </c>
      <c r="C3057" t="s">
        <v>3937</v>
      </c>
      <c r="D3057" t="s">
        <v>4031</v>
      </c>
    </row>
    <row r="3058" spans="1:4" x14ac:dyDescent="0.3">
      <c r="A3058">
        <v>1033781417</v>
      </c>
      <c r="B3058" t="s">
        <v>3948</v>
      </c>
      <c r="C3058" t="s">
        <v>3937</v>
      </c>
      <c r="D3058" t="s">
        <v>4031</v>
      </c>
    </row>
    <row r="3059" spans="1:4" x14ac:dyDescent="0.3">
      <c r="A3059">
        <v>1033781417</v>
      </c>
      <c r="B3059" t="s">
        <v>3948</v>
      </c>
      <c r="C3059" t="s">
        <v>3937</v>
      </c>
      <c r="D3059" t="s">
        <v>4031</v>
      </c>
    </row>
    <row r="3060" spans="1:4" x14ac:dyDescent="0.3">
      <c r="A3060">
        <v>1033781417</v>
      </c>
      <c r="B3060" t="s">
        <v>3948</v>
      </c>
      <c r="C3060" t="s">
        <v>3937</v>
      </c>
      <c r="D3060" t="s">
        <v>4031</v>
      </c>
    </row>
    <row r="3061" spans="1:4" x14ac:dyDescent="0.3">
      <c r="A3061">
        <v>1033781417</v>
      </c>
      <c r="B3061" t="s">
        <v>3948</v>
      </c>
      <c r="C3061" t="s">
        <v>3937</v>
      </c>
      <c r="D3061" t="s">
        <v>4031</v>
      </c>
    </row>
    <row r="3062" spans="1:4" x14ac:dyDescent="0.3">
      <c r="A3062">
        <v>1033781417</v>
      </c>
      <c r="B3062" t="s">
        <v>3948</v>
      </c>
      <c r="C3062" t="s">
        <v>3937</v>
      </c>
      <c r="D3062" t="s">
        <v>4031</v>
      </c>
    </row>
    <row r="3063" spans="1:4" x14ac:dyDescent="0.3">
      <c r="A3063">
        <v>1033781417</v>
      </c>
      <c r="B3063" t="s">
        <v>3948</v>
      </c>
      <c r="C3063" t="s">
        <v>3937</v>
      </c>
      <c r="D3063" t="s">
        <v>4031</v>
      </c>
    </row>
    <row r="3064" spans="1:4" x14ac:dyDescent="0.3">
      <c r="A3064">
        <v>1033781417</v>
      </c>
      <c r="B3064" t="s">
        <v>3948</v>
      </c>
      <c r="C3064" t="s">
        <v>3937</v>
      </c>
      <c r="D3064" t="s">
        <v>4031</v>
      </c>
    </row>
    <row r="3065" spans="1:4" x14ac:dyDescent="0.3">
      <c r="A3065">
        <v>1033781417</v>
      </c>
      <c r="B3065" t="s">
        <v>3948</v>
      </c>
      <c r="C3065" t="s">
        <v>3937</v>
      </c>
      <c r="D3065" t="s">
        <v>4031</v>
      </c>
    </row>
    <row r="3066" spans="1:4" x14ac:dyDescent="0.3">
      <c r="A3066">
        <v>1033781417</v>
      </c>
      <c r="B3066" t="s">
        <v>3948</v>
      </c>
      <c r="C3066" t="s">
        <v>3937</v>
      </c>
      <c r="D3066" t="s">
        <v>4031</v>
      </c>
    </row>
    <row r="3067" spans="1:4" x14ac:dyDescent="0.3">
      <c r="A3067">
        <v>1033781417</v>
      </c>
      <c r="B3067" t="s">
        <v>3948</v>
      </c>
      <c r="C3067" t="s">
        <v>3937</v>
      </c>
      <c r="D3067" t="s">
        <v>4031</v>
      </c>
    </row>
    <row r="3068" spans="1:4" x14ac:dyDescent="0.3">
      <c r="A3068">
        <v>1033781417</v>
      </c>
      <c r="B3068" t="s">
        <v>3948</v>
      </c>
      <c r="C3068" t="s">
        <v>3937</v>
      </c>
      <c r="D3068" t="s">
        <v>4031</v>
      </c>
    </row>
    <row r="3069" spans="1:4" x14ac:dyDescent="0.3">
      <c r="A3069">
        <v>1033781417</v>
      </c>
      <c r="B3069" t="s">
        <v>3948</v>
      </c>
      <c r="C3069" t="s">
        <v>3937</v>
      </c>
      <c r="D3069" t="s">
        <v>4031</v>
      </c>
    </row>
    <row r="3070" spans="1:4" x14ac:dyDescent="0.3">
      <c r="A3070">
        <v>1033781417</v>
      </c>
      <c r="B3070" t="s">
        <v>3948</v>
      </c>
      <c r="C3070" t="s">
        <v>3937</v>
      </c>
      <c r="D3070" t="s">
        <v>4031</v>
      </c>
    </row>
    <row r="3071" spans="1:4" x14ac:dyDescent="0.3">
      <c r="A3071">
        <v>1033781417</v>
      </c>
      <c r="B3071" t="s">
        <v>3948</v>
      </c>
      <c r="C3071" t="s">
        <v>3937</v>
      </c>
      <c r="D3071" t="s">
        <v>4031</v>
      </c>
    </row>
    <row r="3072" spans="1:4" x14ac:dyDescent="0.3">
      <c r="A3072">
        <v>1033781417</v>
      </c>
      <c r="B3072" t="s">
        <v>3948</v>
      </c>
      <c r="C3072" t="s">
        <v>3937</v>
      </c>
      <c r="D3072" t="s">
        <v>4031</v>
      </c>
    </row>
    <row r="3073" spans="1:4" x14ac:dyDescent="0.3">
      <c r="A3073">
        <v>1033781417</v>
      </c>
      <c r="B3073" t="s">
        <v>3948</v>
      </c>
      <c r="C3073" t="s">
        <v>3937</v>
      </c>
      <c r="D3073" t="s">
        <v>4031</v>
      </c>
    </row>
    <row r="3074" spans="1:4" x14ac:dyDescent="0.3">
      <c r="A3074">
        <v>1033781417</v>
      </c>
      <c r="B3074" t="s">
        <v>3948</v>
      </c>
      <c r="C3074" t="s">
        <v>3937</v>
      </c>
      <c r="D3074" t="s">
        <v>4031</v>
      </c>
    </row>
    <row r="3075" spans="1:4" x14ac:dyDescent="0.3">
      <c r="A3075">
        <v>1033781417</v>
      </c>
      <c r="B3075" t="s">
        <v>3948</v>
      </c>
      <c r="C3075" t="s">
        <v>3937</v>
      </c>
      <c r="D3075" t="s">
        <v>4031</v>
      </c>
    </row>
    <row r="3076" spans="1:4" x14ac:dyDescent="0.3">
      <c r="A3076">
        <v>1033781417</v>
      </c>
      <c r="B3076" t="s">
        <v>3948</v>
      </c>
      <c r="C3076" t="s">
        <v>3937</v>
      </c>
      <c r="D3076" t="s">
        <v>4031</v>
      </c>
    </row>
    <row r="3077" spans="1:4" x14ac:dyDescent="0.3">
      <c r="A3077">
        <v>1033784244</v>
      </c>
      <c r="B3077" t="s">
        <v>3948</v>
      </c>
      <c r="C3077" t="s">
        <v>3937</v>
      </c>
      <c r="D3077" t="s">
        <v>4067</v>
      </c>
    </row>
    <row r="3078" spans="1:4" x14ac:dyDescent="0.3">
      <c r="A3078">
        <v>1033784244</v>
      </c>
      <c r="B3078" t="s">
        <v>3948</v>
      </c>
      <c r="C3078" t="s">
        <v>3937</v>
      </c>
      <c r="D3078" t="s">
        <v>4067</v>
      </c>
    </row>
    <row r="3079" spans="1:4" x14ac:dyDescent="0.3">
      <c r="A3079">
        <v>1033784244</v>
      </c>
      <c r="B3079" t="s">
        <v>3948</v>
      </c>
      <c r="C3079" t="s">
        <v>3937</v>
      </c>
      <c r="D3079" t="s">
        <v>4067</v>
      </c>
    </row>
    <row r="3080" spans="1:4" x14ac:dyDescent="0.3">
      <c r="A3080">
        <v>1033784244</v>
      </c>
      <c r="B3080" t="s">
        <v>3948</v>
      </c>
      <c r="C3080" t="s">
        <v>3937</v>
      </c>
      <c r="D3080" t="s">
        <v>4067</v>
      </c>
    </row>
    <row r="3081" spans="1:4" x14ac:dyDescent="0.3">
      <c r="A3081">
        <v>1033784244</v>
      </c>
      <c r="B3081" t="s">
        <v>3948</v>
      </c>
      <c r="C3081" t="s">
        <v>3937</v>
      </c>
      <c r="D3081" t="s">
        <v>4067</v>
      </c>
    </row>
    <row r="3082" spans="1:4" x14ac:dyDescent="0.3">
      <c r="A3082">
        <v>1033784244</v>
      </c>
      <c r="B3082" t="s">
        <v>3948</v>
      </c>
      <c r="C3082" t="s">
        <v>3937</v>
      </c>
      <c r="D3082" t="s">
        <v>4067</v>
      </c>
    </row>
    <row r="3083" spans="1:4" x14ac:dyDescent="0.3">
      <c r="A3083">
        <v>1033784244</v>
      </c>
      <c r="B3083" t="s">
        <v>3948</v>
      </c>
      <c r="C3083" t="s">
        <v>3937</v>
      </c>
      <c r="D3083" t="s">
        <v>4067</v>
      </c>
    </row>
    <row r="3084" spans="1:4" x14ac:dyDescent="0.3">
      <c r="A3084">
        <v>1033784244</v>
      </c>
      <c r="B3084" t="s">
        <v>3948</v>
      </c>
      <c r="C3084" t="s">
        <v>3937</v>
      </c>
      <c r="D3084" t="s">
        <v>4067</v>
      </c>
    </row>
    <row r="3085" spans="1:4" x14ac:dyDescent="0.3">
      <c r="A3085">
        <v>1033784244</v>
      </c>
      <c r="B3085" t="s">
        <v>3948</v>
      </c>
      <c r="C3085" t="s">
        <v>3937</v>
      </c>
      <c r="D3085" t="s">
        <v>4067</v>
      </c>
    </row>
    <row r="3086" spans="1:4" x14ac:dyDescent="0.3">
      <c r="A3086">
        <v>1033784244</v>
      </c>
      <c r="B3086" t="s">
        <v>3948</v>
      </c>
      <c r="C3086" t="s">
        <v>3937</v>
      </c>
      <c r="D3086" t="s">
        <v>4067</v>
      </c>
    </row>
    <row r="3087" spans="1:4" x14ac:dyDescent="0.3">
      <c r="A3087">
        <v>1033784244</v>
      </c>
      <c r="B3087" t="s">
        <v>3948</v>
      </c>
      <c r="C3087" t="s">
        <v>3937</v>
      </c>
      <c r="D3087" t="s">
        <v>4067</v>
      </c>
    </row>
    <row r="3088" spans="1:4" x14ac:dyDescent="0.3">
      <c r="A3088">
        <v>1033784244</v>
      </c>
      <c r="B3088" t="s">
        <v>3948</v>
      </c>
      <c r="C3088" t="s">
        <v>3937</v>
      </c>
      <c r="D3088" t="s">
        <v>4067</v>
      </c>
    </row>
    <row r="3089" spans="1:4" x14ac:dyDescent="0.3">
      <c r="A3089">
        <v>1033784244</v>
      </c>
      <c r="B3089" t="s">
        <v>3948</v>
      </c>
      <c r="C3089" t="s">
        <v>3937</v>
      </c>
      <c r="D3089" t="s">
        <v>4067</v>
      </c>
    </row>
    <row r="3090" spans="1:4" x14ac:dyDescent="0.3">
      <c r="A3090">
        <v>1033784244</v>
      </c>
      <c r="B3090" t="s">
        <v>3948</v>
      </c>
      <c r="C3090" t="s">
        <v>3937</v>
      </c>
      <c r="D3090" t="s">
        <v>4067</v>
      </c>
    </row>
    <row r="3091" spans="1:4" x14ac:dyDescent="0.3">
      <c r="A3091">
        <v>1033784244</v>
      </c>
      <c r="B3091" t="s">
        <v>3948</v>
      </c>
      <c r="C3091" t="s">
        <v>3937</v>
      </c>
      <c r="D3091" t="s">
        <v>4067</v>
      </c>
    </row>
    <row r="3092" spans="1:4" x14ac:dyDescent="0.3">
      <c r="A3092">
        <v>1033784244</v>
      </c>
      <c r="B3092" t="s">
        <v>3948</v>
      </c>
      <c r="C3092" t="s">
        <v>3937</v>
      </c>
      <c r="D3092" t="s">
        <v>4067</v>
      </c>
    </row>
    <row r="3093" spans="1:4" x14ac:dyDescent="0.3">
      <c r="A3093">
        <v>1033784244</v>
      </c>
      <c r="B3093" t="s">
        <v>3948</v>
      </c>
      <c r="C3093" t="s">
        <v>3937</v>
      </c>
      <c r="D3093" t="s">
        <v>4067</v>
      </c>
    </row>
    <row r="3094" spans="1:4" x14ac:dyDescent="0.3">
      <c r="A3094">
        <v>1033784244</v>
      </c>
      <c r="B3094" t="s">
        <v>3948</v>
      </c>
      <c r="C3094" t="s">
        <v>3937</v>
      </c>
      <c r="D3094" t="s">
        <v>4067</v>
      </c>
    </row>
    <row r="3095" spans="1:4" x14ac:dyDescent="0.3">
      <c r="A3095">
        <v>1033784244</v>
      </c>
      <c r="B3095" t="s">
        <v>3948</v>
      </c>
      <c r="C3095" t="s">
        <v>3937</v>
      </c>
      <c r="D3095" t="s">
        <v>4067</v>
      </c>
    </row>
    <row r="3096" spans="1:4" x14ac:dyDescent="0.3">
      <c r="A3096">
        <v>1033784244</v>
      </c>
      <c r="B3096" t="s">
        <v>3948</v>
      </c>
      <c r="C3096" t="s">
        <v>3937</v>
      </c>
      <c r="D3096" t="s">
        <v>4067</v>
      </c>
    </row>
    <row r="3097" spans="1:4" x14ac:dyDescent="0.3">
      <c r="A3097">
        <v>1033784244</v>
      </c>
      <c r="B3097" t="s">
        <v>3948</v>
      </c>
      <c r="C3097" t="s">
        <v>3937</v>
      </c>
      <c r="D3097" t="s">
        <v>4067</v>
      </c>
    </row>
    <row r="3098" spans="1:4" x14ac:dyDescent="0.3">
      <c r="A3098">
        <v>1033784244</v>
      </c>
      <c r="B3098" t="s">
        <v>3948</v>
      </c>
      <c r="C3098" t="s">
        <v>3937</v>
      </c>
      <c r="D3098" t="s">
        <v>4067</v>
      </c>
    </row>
    <row r="3099" spans="1:4" x14ac:dyDescent="0.3">
      <c r="A3099">
        <v>1033784244</v>
      </c>
      <c r="B3099" t="s">
        <v>3948</v>
      </c>
      <c r="C3099" t="s">
        <v>3937</v>
      </c>
      <c r="D3099" t="s">
        <v>4067</v>
      </c>
    </row>
    <row r="3100" spans="1:4" x14ac:dyDescent="0.3">
      <c r="A3100">
        <v>1033784244</v>
      </c>
      <c r="B3100" t="s">
        <v>3948</v>
      </c>
      <c r="C3100" t="s">
        <v>3937</v>
      </c>
      <c r="D3100" t="s">
        <v>4067</v>
      </c>
    </row>
    <row r="3101" spans="1:4" x14ac:dyDescent="0.3">
      <c r="A3101">
        <v>1033784244</v>
      </c>
      <c r="B3101" t="s">
        <v>3948</v>
      </c>
      <c r="C3101" t="s">
        <v>3937</v>
      </c>
      <c r="D3101" t="s">
        <v>4067</v>
      </c>
    </row>
    <row r="3102" spans="1:4" x14ac:dyDescent="0.3">
      <c r="A3102">
        <v>1033784244</v>
      </c>
      <c r="B3102" t="s">
        <v>3948</v>
      </c>
      <c r="C3102" t="s">
        <v>3937</v>
      </c>
      <c r="D3102" t="s">
        <v>4067</v>
      </c>
    </row>
    <row r="3103" spans="1:4" x14ac:dyDescent="0.3">
      <c r="A3103">
        <v>1033784244</v>
      </c>
      <c r="B3103" t="s">
        <v>3948</v>
      </c>
      <c r="C3103" t="s">
        <v>3937</v>
      </c>
      <c r="D3103" t="s">
        <v>4067</v>
      </c>
    </row>
    <row r="3104" spans="1:4" x14ac:dyDescent="0.3">
      <c r="A3104">
        <v>1033784244</v>
      </c>
      <c r="B3104" t="s">
        <v>3948</v>
      </c>
      <c r="C3104" t="s">
        <v>3937</v>
      </c>
      <c r="D3104" t="s">
        <v>4067</v>
      </c>
    </row>
    <row r="3105" spans="1:4" x14ac:dyDescent="0.3">
      <c r="A3105">
        <v>1033784244</v>
      </c>
      <c r="B3105" t="s">
        <v>3948</v>
      </c>
      <c r="C3105" t="s">
        <v>3937</v>
      </c>
      <c r="D3105" t="s">
        <v>4067</v>
      </c>
    </row>
    <row r="3106" spans="1:4" x14ac:dyDescent="0.3">
      <c r="A3106">
        <v>1033784244</v>
      </c>
      <c r="B3106" t="s">
        <v>3948</v>
      </c>
      <c r="C3106" t="s">
        <v>3937</v>
      </c>
      <c r="D3106" t="s">
        <v>4067</v>
      </c>
    </row>
    <row r="3107" spans="1:4" x14ac:dyDescent="0.3">
      <c r="A3107">
        <v>1033784244</v>
      </c>
      <c r="B3107" t="s">
        <v>3948</v>
      </c>
      <c r="C3107" t="s">
        <v>3937</v>
      </c>
      <c r="D3107" t="s">
        <v>4067</v>
      </c>
    </row>
    <row r="3108" spans="1:4" x14ac:dyDescent="0.3">
      <c r="A3108">
        <v>1033784244</v>
      </c>
      <c r="B3108" t="s">
        <v>3948</v>
      </c>
      <c r="C3108" t="s">
        <v>3937</v>
      </c>
      <c r="D3108" t="s">
        <v>4067</v>
      </c>
    </row>
    <row r="3109" spans="1:4" x14ac:dyDescent="0.3">
      <c r="A3109">
        <v>1033784244</v>
      </c>
      <c r="B3109" t="s">
        <v>3948</v>
      </c>
      <c r="C3109" t="s">
        <v>3937</v>
      </c>
      <c r="D3109" t="s">
        <v>4067</v>
      </c>
    </row>
    <row r="3110" spans="1:4" x14ac:dyDescent="0.3">
      <c r="A3110">
        <v>1033784244</v>
      </c>
      <c r="B3110" t="s">
        <v>3948</v>
      </c>
      <c r="C3110" t="s">
        <v>3937</v>
      </c>
      <c r="D3110" t="s">
        <v>4067</v>
      </c>
    </row>
    <row r="3111" spans="1:4" x14ac:dyDescent="0.3">
      <c r="A3111">
        <v>1033784244</v>
      </c>
      <c r="B3111" t="s">
        <v>3948</v>
      </c>
      <c r="C3111" t="s">
        <v>3937</v>
      </c>
      <c r="D3111" t="s">
        <v>4067</v>
      </c>
    </row>
    <row r="3112" spans="1:4" x14ac:dyDescent="0.3">
      <c r="A3112">
        <v>1033784244</v>
      </c>
      <c r="B3112" t="s">
        <v>3948</v>
      </c>
      <c r="C3112" t="s">
        <v>3937</v>
      </c>
      <c r="D3112" t="s">
        <v>4067</v>
      </c>
    </row>
    <row r="3113" spans="1:4" x14ac:dyDescent="0.3">
      <c r="A3113">
        <v>1033784244</v>
      </c>
      <c r="B3113" t="s">
        <v>3948</v>
      </c>
      <c r="C3113" t="s">
        <v>3937</v>
      </c>
      <c r="D3113" t="s">
        <v>4067</v>
      </c>
    </row>
    <row r="3114" spans="1:4" x14ac:dyDescent="0.3">
      <c r="A3114">
        <v>1033784244</v>
      </c>
      <c r="B3114" t="s">
        <v>3948</v>
      </c>
      <c r="C3114" t="s">
        <v>3937</v>
      </c>
      <c r="D3114" t="s">
        <v>4067</v>
      </c>
    </row>
    <row r="3115" spans="1:4" x14ac:dyDescent="0.3">
      <c r="A3115">
        <v>1033793185</v>
      </c>
      <c r="B3115" t="s">
        <v>3948</v>
      </c>
      <c r="C3115" t="s">
        <v>3937</v>
      </c>
      <c r="D3115" t="s">
        <v>4082</v>
      </c>
    </row>
    <row r="3116" spans="1:4" x14ac:dyDescent="0.3">
      <c r="A3116">
        <v>1033793185</v>
      </c>
      <c r="B3116" t="s">
        <v>3948</v>
      </c>
      <c r="C3116" t="s">
        <v>3937</v>
      </c>
      <c r="D3116" t="s">
        <v>4082</v>
      </c>
    </row>
    <row r="3117" spans="1:4" x14ac:dyDescent="0.3">
      <c r="A3117">
        <v>1033793185</v>
      </c>
      <c r="B3117" t="s">
        <v>3948</v>
      </c>
      <c r="C3117" t="s">
        <v>3937</v>
      </c>
      <c r="D3117" t="s">
        <v>4082</v>
      </c>
    </row>
    <row r="3118" spans="1:4" x14ac:dyDescent="0.3">
      <c r="A3118">
        <v>1033793185</v>
      </c>
      <c r="B3118" t="s">
        <v>3948</v>
      </c>
      <c r="C3118" t="s">
        <v>3937</v>
      </c>
      <c r="D3118" t="s">
        <v>4082</v>
      </c>
    </row>
    <row r="3119" spans="1:4" x14ac:dyDescent="0.3">
      <c r="A3119">
        <v>1033793185</v>
      </c>
      <c r="B3119" t="s">
        <v>3948</v>
      </c>
      <c r="C3119" t="s">
        <v>3937</v>
      </c>
      <c r="D3119" t="s">
        <v>4082</v>
      </c>
    </row>
    <row r="3120" spans="1:4" x14ac:dyDescent="0.3">
      <c r="A3120">
        <v>1033793185</v>
      </c>
      <c r="B3120" t="s">
        <v>3948</v>
      </c>
      <c r="C3120" t="s">
        <v>3937</v>
      </c>
      <c r="D3120" t="s">
        <v>4082</v>
      </c>
    </row>
    <row r="3121" spans="1:4" x14ac:dyDescent="0.3">
      <c r="A3121">
        <v>1033793185</v>
      </c>
      <c r="B3121" t="s">
        <v>3948</v>
      </c>
      <c r="C3121" t="s">
        <v>3937</v>
      </c>
      <c r="D3121" t="s">
        <v>4082</v>
      </c>
    </row>
    <row r="3122" spans="1:4" x14ac:dyDescent="0.3">
      <c r="A3122">
        <v>1033793185</v>
      </c>
      <c r="B3122" t="s">
        <v>3948</v>
      </c>
      <c r="C3122" t="s">
        <v>3937</v>
      </c>
      <c r="D3122" t="s">
        <v>4082</v>
      </c>
    </row>
    <row r="3123" spans="1:4" x14ac:dyDescent="0.3">
      <c r="A3123">
        <v>1033793185</v>
      </c>
      <c r="B3123" t="s">
        <v>3948</v>
      </c>
      <c r="C3123" t="s">
        <v>3937</v>
      </c>
      <c r="D3123" t="s">
        <v>4082</v>
      </c>
    </row>
    <row r="3124" spans="1:4" x14ac:dyDescent="0.3">
      <c r="A3124">
        <v>1033793185</v>
      </c>
      <c r="B3124" t="s">
        <v>3948</v>
      </c>
      <c r="C3124" t="s">
        <v>3937</v>
      </c>
      <c r="D3124" t="s">
        <v>4082</v>
      </c>
    </row>
    <row r="3125" spans="1:4" x14ac:dyDescent="0.3">
      <c r="A3125">
        <v>1033793185</v>
      </c>
      <c r="B3125" t="s">
        <v>3948</v>
      </c>
      <c r="C3125" t="s">
        <v>3937</v>
      </c>
      <c r="D3125" t="s">
        <v>4082</v>
      </c>
    </row>
    <row r="3126" spans="1:4" x14ac:dyDescent="0.3">
      <c r="A3126">
        <v>1033793185</v>
      </c>
      <c r="B3126" t="s">
        <v>3948</v>
      </c>
      <c r="C3126" t="s">
        <v>3937</v>
      </c>
      <c r="D3126" t="s">
        <v>4082</v>
      </c>
    </row>
    <row r="3127" spans="1:4" x14ac:dyDescent="0.3">
      <c r="A3127">
        <v>1033793185</v>
      </c>
      <c r="B3127" t="s">
        <v>3948</v>
      </c>
      <c r="C3127" t="s">
        <v>3937</v>
      </c>
      <c r="D3127" t="s">
        <v>4082</v>
      </c>
    </row>
    <row r="3128" spans="1:4" x14ac:dyDescent="0.3">
      <c r="A3128">
        <v>1033793185</v>
      </c>
      <c r="B3128" t="s">
        <v>3948</v>
      </c>
      <c r="C3128" t="s">
        <v>3937</v>
      </c>
      <c r="D3128" t="s">
        <v>4082</v>
      </c>
    </row>
    <row r="3129" spans="1:4" x14ac:dyDescent="0.3">
      <c r="A3129">
        <v>1033793185</v>
      </c>
      <c r="B3129" t="s">
        <v>3948</v>
      </c>
      <c r="C3129" t="s">
        <v>3937</v>
      </c>
      <c r="D3129" t="s">
        <v>4082</v>
      </c>
    </row>
    <row r="3130" spans="1:4" x14ac:dyDescent="0.3">
      <c r="A3130">
        <v>1033793185</v>
      </c>
      <c r="B3130" t="s">
        <v>3948</v>
      </c>
      <c r="C3130" t="s">
        <v>3937</v>
      </c>
      <c r="D3130" t="s">
        <v>4082</v>
      </c>
    </row>
    <row r="3131" spans="1:4" x14ac:dyDescent="0.3">
      <c r="A3131">
        <v>1033793185</v>
      </c>
      <c r="B3131" t="s">
        <v>3948</v>
      </c>
      <c r="C3131" t="s">
        <v>3937</v>
      </c>
      <c r="D3131" t="s">
        <v>4082</v>
      </c>
    </row>
    <row r="3132" spans="1:4" x14ac:dyDescent="0.3">
      <c r="A3132">
        <v>1033793185</v>
      </c>
      <c r="B3132" t="s">
        <v>3948</v>
      </c>
      <c r="C3132" t="s">
        <v>3937</v>
      </c>
      <c r="D3132" t="s">
        <v>4082</v>
      </c>
    </row>
    <row r="3133" spans="1:4" x14ac:dyDescent="0.3">
      <c r="A3133">
        <v>1033793185</v>
      </c>
      <c r="B3133" t="s">
        <v>3948</v>
      </c>
      <c r="C3133" t="s">
        <v>3937</v>
      </c>
      <c r="D3133" t="s">
        <v>4082</v>
      </c>
    </row>
    <row r="3134" spans="1:4" x14ac:dyDescent="0.3">
      <c r="A3134">
        <v>1033793185</v>
      </c>
      <c r="B3134" t="s">
        <v>3948</v>
      </c>
      <c r="C3134" t="s">
        <v>3937</v>
      </c>
      <c r="D3134" t="s">
        <v>4082</v>
      </c>
    </row>
    <row r="3135" spans="1:4" x14ac:dyDescent="0.3">
      <c r="A3135">
        <v>1033793185</v>
      </c>
      <c r="B3135" t="s">
        <v>3948</v>
      </c>
      <c r="C3135" t="s">
        <v>3937</v>
      </c>
      <c r="D3135" t="s">
        <v>4082</v>
      </c>
    </row>
    <row r="3136" spans="1:4" x14ac:dyDescent="0.3">
      <c r="A3136">
        <v>1033793185</v>
      </c>
      <c r="B3136" t="s">
        <v>3948</v>
      </c>
      <c r="C3136" t="s">
        <v>3937</v>
      </c>
      <c r="D3136" t="s">
        <v>4082</v>
      </c>
    </row>
    <row r="3137" spans="1:4" x14ac:dyDescent="0.3">
      <c r="A3137">
        <v>1033793185</v>
      </c>
      <c r="B3137" t="s">
        <v>3948</v>
      </c>
      <c r="C3137" t="s">
        <v>3937</v>
      </c>
      <c r="D3137" t="s">
        <v>4082</v>
      </c>
    </row>
    <row r="3138" spans="1:4" x14ac:dyDescent="0.3">
      <c r="A3138">
        <v>1033793185</v>
      </c>
      <c r="B3138" t="s">
        <v>3948</v>
      </c>
      <c r="C3138" t="s">
        <v>3937</v>
      </c>
      <c r="D3138" t="s">
        <v>4082</v>
      </c>
    </row>
    <row r="3139" spans="1:4" x14ac:dyDescent="0.3">
      <c r="A3139">
        <v>1033793185</v>
      </c>
      <c r="B3139" t="s">
        <v>3948</v>
      </c>
      <c r="C3139" t="s">
        <v>3937</v>
      </c>
      <c r="D3139" t="s">
        <v>4082</v>
      </c>
    </row>
    <row r="3140" spans="1:4" x14ac:dyDescent="0.3">
      <c r="A3140">
        <v>1033793185</v>
      </c>
      <c r="B3140" t="s">
        <v>3948</v>
      </c>
      <c r="C3140" t="s">
        <v>3937</v>
      </c>
      <c r="D3140" t="s">
        <v>4082</v>
      </c>
    </row>
    <row r="3141" spans="1:4" x14ac:dyDescent="0.3">
      <c r="A3141">
        <v>1033793185</v>
      </c>
      <c r="B3141" t="s">
        <v>3948</v>
      </c>
      <c r="C3141" t="s">
        <v>3937</v>
      </c>
      <c r="D3141" t="s">
        <v>4082</v>
      </c>
    </row>
    <row r="3142" spans="1:4" x14ac:dyDescent="0.3">
      <c r="A3142">
        <v>1033793185</v>
      </c>
      <c r="B3142" t="s">
        <v>3948</v>
      </c>
      <c r="C3142" t="s">
        <v>3937</v>
      </c>
      <c r="D3142" t="s">
        <v>4082</v>
      </c>
    </row>
    <row r="3143" spans="1:4" x14ac:dyDescent="0.3">
      <c r="A3143">
        <v>1033793185</v>
      </c>
      <c r="B3143" t="s">
        <v>3948</v>
      </c>
      <c r="C3143" t="s">
        <v>3937</v>
      </c>
      <c r="D3143" t="s">
        <v>4082</v>
      </c>
    </row>
    <row r="3144" spans="1:4" x14ac:dyDescent="0.3">
      <c r="A3144">
        <v>1033793185</v>
      </c>
      <c r="B3144" t="s">
        <v>3948</v>
      </c>
      <c r="C3144" t="s">
        <v>3937</v>
      </c>
      <c r="D3144" t="s">
        <v>4082</v>
      </c>
    </row>
    <row r="3145" spans="1:4" x14ac:dyDescent="0.3">
      <c r="A3145">
        <v>1033793185</v>
      </c>
      <c r="B3145" t="s">
        <v>3948</v>
      </c>
      <c r="C3145" t="s">
        <v>3937</v>
      </c>
      <c r="D3145" t="s">
        <v>4082</v>
      </c>
    </row>
    <row r="3146" spans="1:4" x14ac:dyDescent="0.3">
      <c r="A3146">
        <v>1033793185</v>
      </c>
      <c r="B3146" t="s">
        <v>3948</v>
      </c>
      <c r="C3146" t="s">
        <v>3937</v>
      </c>
      <c r="D3146" t="s">
        <v>4082</v>
      </c>
    </row>
    <row r="3147" spans="1:4" x14ac:dyDescent="0.3">
      <c r="A3147">
        <v>1033793185</v>
      </c>
      <c r="B3147" t="s">
        <v>3948</v>
      </c>
      <c r="C3147" t="s">
        <v>3937</v>
      </c>
      <c r="D3147" t="s">
        <v>4082</v>
      </c>
    </row>
    <row r="3148" spans="1:4" x14ac:dyDescent="0.3">
      <c r="A3148">
        <v>1033793185</v>
      </c>
      <c r="B3148" t="s">
        <v>3948</v>
      </c>
      <c r="C3148" t="s">
        <v>3937</v>
      </c>
      <c r="D3148" t="s">
        <v>4082</v>
      </c>
    </row>
    <row r="3149" spans="1:4" x14ac:dyDescent="0.3">
      <c r="A3149">
        <v>1033793185</v>
      </c>
      <c r="B3149" t="s">
        <v>3948</v>
      </c>
      <c r="C3149" t="s">
        <v>3937</v>
      </c>
      <c r="D3149" t="s">
        <v>4082</v>
      </c>
    </row>
    <row r="3150" spans="1:4" x14ac:dyDescent="0.3">
      <c r="A3150">
        <v>1033793185</v>
      </c>
      <c r="B3150" t="s">
        <v>3948</v>
      </c>
      <c r="C3150" t="s">
        <v>3937</v>
      </c>
      <c r="D3150" t="s">
        <v>4082</v>
      </c>
    </row>
    <row r="3151" spans="1:4" x14ac:dyDescent="0.3">
      <c r="A3151">
        <v>1033793185</v>
      </c>
      <c r="B3151" t="s">
        <v>3948</v>
      </c>
      <c r="C3151" t="s">
        <v>3937</v>
      </c>
      <c r="D3151" t="s">
        <v>4082</v>
      </c>
    </row>
    <row r="3152" spans="1:4" x14ac:dyDescent="0.3">
      <c r="A3152">
        <v>1033793185</v>
      </c>
      <c r="B3152" t="s">
        <v>3948</v>
      </c>
      <c r="C3152" t="s">
        <v>3937</v>
      </c>
      <c r="D3152" t="s">
        <v>4082</v>
      </c>
    </row>
    <row r="3153" spans="1:4" x14ac:dyDescent="0.3">
      <c r="A3153">
        <v>1033793185</v>
      </c>
      <c r="B3153" t="s">
        <v>3948</v>
      </c>
      <c r="C3153" t="s">
        <v>3937</v>
      </c>
      <c r="D3153" t="s">
        <v>4082</v>
      </c>
    </row>
    <row r="3154" spans="1:4" x14ac:dyDescent="0.3">
      <c r="A3154">
        <v>1033793185</v>
      </c>
      <c r="B3154" t="s">
        <v>3948</v>
      </c>
      <c r="C3154" t="s">
        <v>3937</v>
      </c>
      <c r="D3154" t="s">
        <v>4082</v>
      </c>
    </row>
    <row r="3155" spans="1:4" x14ac:dyDescent="0.3">
      <c r="A3155">
        <v>1033793185</v>
      </c>
      <c r="B3155" t="s">
        <v>3948</v>
      </c>
      <c r="C3155" t="s">
        <v>3937</v>
      </c>
      <c r="D3155" t="s">
        <v>4082</v>
      </c>
    </row>
    <row r="3156" spans="1:4" x14ac:dyDescent="0.3">
      <c r="A3156">
        <v>1033793185</v>
      </c>
      <c r="B3156" t="s">
        <v>3948</v>
      </c>
      <c r="C3156" t="s">
        <v>3937</v>
      </c>
      <c r="D3156" t="s">
        <v>4082</v>
      </c>
    </row>
    <row r="3157" spans="1:4" x14ac:dyDescent="0.3">
      <c r="A3157">
        <v>1033793185</v>
      </c>
      <c r="B3157" t="s">
        <v>3948</v>
      </c>
      <c r="C3157" t="s">
        <v>3937</v>
      </c>
      <c r="D3157" t="s">
        <v>4082</v>
      </c>
    </row>
    <row r="3158" spans="1:4" x14ac:dyDescent="0.3">
      <c r="A3158">
        <v>1033793185</v>
      </c>
      <c r="B3158" t="s">
        <v>3948</v>
      </c>
      <c r="C3158" t="s">
        <v>3937</v>
      </c>
      <c r="D3158" t="s">
        <v>4082</v>
      </c>
    </row>
    <row r="3159" spans="1:4" x14ac:dyDescent="0.3">
      <c r="A3159">
        <v>1033793185</v>
      </c>
      <c r="B3159" t="s">
        <v>3948</v>
      </c>
      <c r="C3159" t="s">
        <v>3937</v>
      </c>
      <c r="D3159" t="s">
        <v>4082</v>
      </c>
    </row>
    <row r="3160" spans="1:4" x14ac:dyDescent="0.3">
      <c r="A3160">
        <v>1033793185</v>
      </c>
      <c r="B3160" t="s">
        <v>3948</v>
      </c>
      <c r="C3160" t="s">
        <v>3937</v>
      </c>
      <c r="D3160" t="s">
        <v>4082</v>
      </c>
    </row>
    <row r="3161" spans="1:4" x14ac:dyDescent="0.3">
      <c r="A3161">
        <v>1033793185</v>
      </c>
      <c r="B3161" t="s">
        <v>3948</v>
      </c>
      <c r="C3161" t="s">
        <v>3937</v>
      </c>
      <c r="D3161" t="s">
        <v>4082</v>
      </c>
    </row>
    <row r="3162" spans="1:4" x14ac:dyDescent="0.3">
      <c r="A3162">
        <v>1033793185</v>
      </c>
      <c r="B3162" t="s">
        <v>3948</v>
      </c>
      <c r="C3162" t="s">
        <v>3937</v>
      </c>
      <c r="D3162" t="s">
        <v>4082</v>
      </c>
    </row>
    <row r="3163" spans="1:4" x14ac:dyDescent="0.3">
      <c r="A3163">
        <v>1033793185</v>
      </c>
      <c r="B3163" t="s">
        <v>3948</v>
      </c>
      <c r="C3163" t="s">
        <v>3937</v>
      </c>
      <c r="D3163" t="s">
        <v>4082</v>
      </c>
    </row>
    <row r="3164" spans="1:4" x14ac:dyDescent="0.3">
      <c r="A3164">
        <v>1033793185</v>
      </c>
      <c r="B3164" t="s">
        <v>3948</v>
      </c>
      <c r="C3164" t="s">
        <v>3937</v>
      </c>
      <c r="D3164" t="s">
        <v>4082</v>
      </c>
    </row>
    <row r="3165" spans="1:4" x14ac:dyDescent="0.3">
      <c r="A3165">
        <v>1057586591</v>
      </c>
      <c r="B3165" t="s">
        <v>3963</v>
      </c>
      <c r="C3165" t="s">
        <v>3934</v>
      </c>
      <c r="D3165" t="s">
        <v>3988</v>
      </c>
    </row>
    <row r="3166" spans="1:4" x14ac:dyDescent="0.3">
      <c r="A3166">
        <v>1057586591</v>
      </c>
      <c r="B3166" t="s">
        <v>3963</v>
      </c>
      <c r="C3166" t="s">
        <v>3934</v>
      </c>
      <c r="D3166" t="s">
        <v>3988</v>
      </c>
    </row>
    <row r="3167" spans="1:4" x14ac:dyDescent="0.3">
      <c r="A3167">
        <v>1057586591</v>
      </c>
      <c r="B3167" t="s">
        <v>3963</v>
      </c>
      <c r="C3167" t="s">
        <v>3934</v>
      </c>
      <c r="D3167" t="s">
        <v>3988</v>
      </c>
    </row>
    <row r="3168" spans="1:4" x14ac:dyDescent="0.3">
      <c r="A3168">
        <v>1057586591</v>
      </c>
      <c r="B3168" t="s">
        <v>3963</v>
      </c>
      <c r="C3168" t="s">
        <v>3934</v>
      </c>
      <c r="D3168" t="s">
        <v>3988</v>
      </c>
    </row>
    <row r="3169" spans="1:4" x14ac:dyDescent="0.3">
      <c r="A3169">
        <v>1057586591</v>
      </c>
      <c r="B3169" t="s">
        <v>3963</v>
      </c>
      <c r="C3169" t="s">
        <v>3934</v>
      </c>
      <c r="D3169" t="s">
        <v>3988</v>
      </c>
    </row>
    <row r="3170" spans="1:4" x14ac:dyDescent="0.3">
      <c r="A3170">
        <v>1057586591</v>
      </c>
      <c r="B3170" t="s">
        <v>3963</v>
      </c>
      <c r="C3170" t="s">
        <v>3934</v>
      </c>
      <c r="D3170" t="s">
        <v>3988</v>
      </c>
    </row>
    <row r="3171" spans="1:4" x14ac:dyDescent="0.3">
      <c r="A3171">
        <v>1057586591</v>
      </c>
      <c r="B3171" t="s">
        <v>3963</v>
      </c>
      <c r="C3171" t="s">
        <v>3934</v>
      </c>
      <c r="D3171" t="s">
        <v>3988</v>
      </c>
    </row>
    <row r="3172" spans="1:4" x14ac:dyDescent="0.3">
      <c r="A3172">
        <v>1057586591</v>
      </c>
      <c r="B3172" t="s">
        <v>3963</v>
      </c>
      <c r="C3172" t="s">
        <v>3934</v>
      </c>
      <c r="D3172" t="s">
        <v>3988</v>
      </c>
    </row>
    <row r="3173" spans="1:4" x14ac:dyDescent="0.3">
      <c r="A3173">
        <v>1057586591</v>
      </c>
      <c r="B3173" t="s">
        <v>3963</v>
      </c>
      <c r="C3173" t="s">
        <v>3934</v>
      </c>
      <c r="D3173" t="s">
        <v>3988</v>
      </c>
    </row>
    <row r="3174" spans="1:4" x14ac:dyDescent="0.3">
      <c r="A3174">
        <v>1057586591</v>
      </c>
      <c r="B3174" t="s">
        <v>3963</v>
      </c>
      <c r="C3174" t="s">
        <v>3934</v>
      </c>
      <c r="D3174" t="s">
        <v>3988</v>
      </c>
    </row>
    <row r="3175" spans="1:4" x14ac:dyDescent="0.3">
      <c r="A3175">
        <v>1065824282</v>
      </c>
      <c r="B3175" t="s">
        <v>4055</v>
      </c>
      <c r="C3175" t="s">
        <v>4056</v>
      </c>
      <c r="D3175" t="s">
        <v>4090</v>
      </c>
    </row>
    <row r="3176" spans="1:4" x14ac:dyDescent="0.3">
      <c r="A3176">
        <v>1065824282</v>
      </c>
      <c r="B3176" t="s">
        <v>4055</v>
      </c>
      <c r="C3176" t="s">
        <v>4056</v>
      </c>
      <c r="D3176" t="s">
        <v>4090</v>
      </c>
    </row>
    <row r="3177" spans="1:4" x14ac:dyDescent="0.3">
      <c r="A3177">
        <v>1065824282</v>
      </c>
      <c r="B3177" t="s">
        <v>4055</v>
      </c>
      <c r="C3177" t="s">
        <v>4056</v>
      </c>
      <c r="D3177" t="s">
        <v>4090</v>
      </c>
    </row>
    <row r="3178" spans="1:4" x14ac:dyDescent="0.3">
      <c r="A3178">
        <v>1065824282</v>
      </c>
      <c r="B3178" t="s">
        <v>4055</v>
      </c>
      <c r="C3178" t="s">
        <v>4056</v>
      </c>
      <c r="D3178" t="s">
        <v>4090</v>
      </c>
    </row>
    <row r="3179" spans="1:4" x14ac:dyDescent="0.3">
      <c r="A3179">
        <v>1065824282</v>
      </c>
      <c r="B3179" t="s">
        <v>4055</v>
      </c>
      <c r="C3179" t="s">
        <v>4056</v>
      </c>
      <c r="D3179" t="s">
        <v>4090</v>
      </c>
    </row>
    <row r="3180" spans="1:4" x14ac:dyDescent="0.3">
      <c r="A3180">
        <v>1070324945</v>
      </c>
      <c r="B3180" t="s">
        <v>3944</v>
      </c>
      <c r="C3180" t="s">
        <v>3934</v>
      </c>
      <c r="D3180" t="s">
        <v>3971</v>
      </c>
    </row>
    <row r="3181" spans="1:4" x14ac:dyDescent="0.3">
      <c r="A3181">
        <v>1070815435</v>
      </c>
      <c r="B3181" t="s">
        <v>3986</v>
      </c>
      <c r="C3181" t="s">
        <v>3934</v>
      </c>
      <c r="D3181" t="s">
        <v>4038</v>
      </c>
    </row>
    <row r="3182" spans="1:4" x14ac:dyDescent="0.3">
      <c r="A3182">
        <v>1070815435</v>
      </c>
      <c r="B3182" t="s">
        <v>3986</v>
      </c>
      <c r="C3182" t="s">
        <v>3934</v>
      </c>
      <c r="D3182" t="s">
        <v>4038</v>
      </c>
    </row>
    <row r="3183" spans="1:4" x14ac:dyDescent="0.3">
      <c r="A3183">
        <v>1070815435</v>
      </c>
      <c r="B3183" t="s">
        <v>3986</v>
      </c>
      <c r="C3183" t="s">
        <v>3934</v>
      </c>
      <c r="D3183" t="s">
        <v>4038</v>
      </c>
    </row>
    <row r="3184" spans="1:4" x14ac:dyDescent="0.3">
      <c r="A3184">
        <v>1070815435</v>
      </c>
      <c r="B3184" t="s">
        <v>3986</v>
      </c>
      <c r="C3184" t="s">
        <v>3934</v>
      </c>
      <c r="D3184" t="s">
        <v>4038</v>
      </c>
    </row>
    <row r="3185" spans="1:4" x14ac:dyDescent="0.3">
      <c r="A3185">
        <v>1070815435</v>
      </c>
      <c r="B3185" t="s">
        <v>3986</v>
      </c>
      <c r="C3185" t="s">
        <v>3934</v>
      </c>
      <c r="D3185" t="s">
        <v>4038</v>
      </c>
    </row>
    <row r="3186" spans="1:4" x14ac:dyDescent="0.3">
      <c r="A3186">
        <v>1070815435</v>
      </c>
      <c r="B3186" t="s">
        <v>3986</v>
      </c>
      <c r="C3186" t="s">
        <v>3934</v>
      </c>
      <c r="D3186" t="s">
        <v>4038</v>
      </c>
    </row>
    <row r="3187" spans="1:4" x14ac:dyDescent="0.3">
      <c r="A3187">
        <v>1070815435</v>
      </c>
      <c r="B3187" t="s">
        <v>3986</v>
      </c>
      <c r="C3187" t="s">
        <v>3934</v>
      </c>
      <c r="D3187" t="s">
        <v>4038</v>
      </c>
    </row>
    <row r="3188" spans="1:4" x14ac:dyDescent="0.3">
      <c r="A3188">
        <v>1070815435</v>
      </c>
      <c r="B3188" t="s">
        <v>3986</v>
      </c>
      <c r="C3188" t="s">
        <v>3934</v>
      </c>
      <c r="D3188" t="s">
        <v>4038</v>
      </c>
    </row>
    <row r="3189" spans="1:4" x14ac:dyDescent="0.3">
      <c r="A3189">
        <v>1070815435</v>
      </c>
      <c r="B3189" t="s">
        <v>3986</v>
      </c>
      <c r="C3189" t="s">
        <v>3934</v>
      </c>
      <c r="D3189" t="s">
        <v>4038</v>
      </c>
    </row>
    <row r="3190" spans="1:4" x14ac:dyDescent="0.3">
      <c r="A3190">
        <v>1070815435</v>
      </c>
      <c r="B3190" t="s">
        <v>3986</v>
      </c>
      <c r="C3190" t="s">
        <v>3934</v>
      </c>
      <c r="D3190" t="s">
        <v>4038</v>
      </c>
    </row>
    <row r="3191" spans="1:4" x14ac:dyDescent="0.3">
      <c r="A3191">
        <v>1070815435</v>
      </c>
      <c r="B3191" t="s">
        <v>3986</v>
      </c>
      <c r="C3191" t="s">
        <v>3934</v>
      </c>
      <c r="D3191" t="s">
        <v>4038</v>
      </c>
    </row>
    <row r="3192" spans="1:4" x14ac:dyDescent="0.3">
      <c r="A3192">
        <v>1070815435</v>
      </c>
      <c r="B3192" t="s">
        <v>3986</v>
      </c>
      <c r="C3192" t="s">
        <v>3934</v>
      </c>
      <c r="D3192" t="s">
        <v>4038</v>
      </c>
    </row>
    <row r="3193" spans="1:4" x14ac:dyDescent="0.3">
      <c r="A3193">
        <v>1070815435</v>
      </c>
      <c r="B3193" t="s">
        <v>3986</v>
      </c>
      <c r="C3193" t="s">
        <v>3934</v>
      </c>
      <c r="D3193" t="s">
        <v>4038</v>
      </c>
    </row>
    <row r="3194" spans="1:4" x14ac:dyDescent="0.3">
      <c r="A3194">
        <v>1070815435</v>
      </c>
      <c r="B3194" t="s">
        <v>3986</v>
      </c>
      <c r="C3194" t="s">
        <v>3934</v>
      </c>
      <c r="D3194" t="s">
        <v>4038</v>
      </c>
    </row>
    <row r="3195" spans="1:4" x14ac:dyDescent="0.3">
      <c r="A3195">
        <v>1070973852</v>
      </c>
      <c r="B3195" t="s">
        <v>3936</v>
      </c>
      <c r="C3195" t="s">
        <v>3937</v>
      </c>
      <c r="D3195" t="s">
        <v>3957</v>
      </c>
    </row>
    <row r="3196" spans="1:4" x14ac:dyDescent="0.3">
      <c r="A3196">
        <v>1070973852</v>
      </c>
      <c r="B3196" t="s">
        <v>3936</v>
      </c>
      <c r="C3196" t="s">
        <v>3937</v>
      </c>
      <c r="D3196" t="s">
        <v>3957</v>
      </c>
    </row>
    <row r="3197" spans="1:4" x14ac:dyDescent="0.3">
      <c r="A3197">
        <v>1070973852</v>
      </c>
      <c r="B3197" t="s">
        <v>3936</v>
      </c>
      <c r="C3197" t="s">
        <v>3937</v>
      </c>
      <c r="D3197" t="s">
        <v>3957</v>
      </c>
    </row>
    <row r="3198" spans="1:4" x14ac:dyDescent="0.3">
      <c r="A3198">
        <v>1070973852</v>
      </c>
      <c r="B3198" t="s">
        <v>3936</v>
      </c>
      <c r="C3198" t="s">
        <v>3937</v>
      </c>
      <c r="D3198" t="s">
        <v>3957</v>
      </c>
    </row>
    <row r="3199" spans="1:4" x14ac:dyDescent="0.3">
      <c r="A3199">
        <v>1070973852</v>
      </c>
      <c r="B3199" t="s">
        <v>3936</v>
      </c>
      <c r="C3199" t="s">
        <v>3937</v>
      </c>
      <c r="D3199" t="s">
        <v>3957</v>
      </c>
    </row>
    <row r="3200" spans="1:4" x14ac:dyDescent="0.3">
      <c r="A3200">
        <v>1070973852</v>
      </c>
      <c r="B3200" t="s">
        <v>3936</v>
      </c>
      <c r="C3200" t="s">
        <v>3937</v>
      </c>
      <c r="D3200" t="s">
        <v>3957</v>
      </c>
    </row>
    <row r="3201" spans="1:4" x14ac:dyDescent="0.3">
      <c r="A3201">
        <v>1070973852</v>
      </c>
      <c r="B3201" t="s">
        <v>3936</v>
      </c>
      <c r="C3201" t="s">
        <v>3937</v>
      </c>
      <c r="D3201" t="s">
        <v>3957</v>
      </c>
    </row>
    <row r="3202" spans="1:4" x14ac:dyDescent="0.3">
      <c r="A3202">
        <v>1070973852</v>
      </c>
      <c r="B3202" t="s">
        <v>3936</v>
      </c>
      <c r="C3202" t="s">
        <v>3937</v>
      </c>
      <c r="D3202" t="s">
        <v>3957</v>
      </c>
    </row>
    <row r="3203" spans="1:4" x14ac:dyDescent="0.3">
      <c r="A3203">
        <v>1070973852</v>
      </c>
      <c r="B3203" t="s">
        <v>3936</v>
      </c>
      <c r="C3203" t="s">
        <v>3937</v>
      </c>
      <c r="D3203" t="s">
        <v>3957</v>
      </c>
    </row>
    <row r="3204" spans="1:4" x14ac:dyDescent="0.3">
      <c r="A3204">
        <v>1070973852</v>
      </c>
      <c r="B3204" t="s">
        <v>3936</v>
      </c>
      <c r="C3204" t="s">
        <v>3937</v>
      </c>
      <c r="D3204" t="s">
        <v>3957</v>
      </c>
    </row>
    <row r="3205" spans="1:4" x14ac:dyDescent="0.3">
      <c r="A3205">
        <v>1070973852</v>
      </c>
      <c r="B3205" t="s">
        <v>3936</v>
      </c>
      <c r="C3205" t="s">
        <v>3937</v>
      </c>
      <c r="D3205" t="s">
        <v>3957</v>
      </c>
    </row>
    <row r="3206" spans="1:4" x14ac:dyDescent="0.3">
      <c r="A3206">
        <v>1070973852</v>
      </c>
      <c r="B3206" t="s">
        <v>3936</v>
      </c>
      <c r="C3206" t="s">
        <v>3937</v>
      </c>
      <c r="D3206" t="s">
        <v>3957</v>
      </c>
    </row>
    <row r="3207" spans="1:4" x14ac:dyDescent="0.3">
      <c r="A3207">
        <v>1070973852</v>
      </c>
      <c r="B3207" t="s">
        <v>3936</v>
      </c>
      <c r="C3207" t="s">
        <v>3937</v>
      </c>
      <c r="D3207" t="s">
        <v>3957</v>
      </c>
    </row>
    <row r="3208" spans="1:4" x14ac:dyDescent="0.3">
      <c r="A3208">
        <v>1070973852</v>
      </c>
      <c r="B3208" t="s">
        <v>3936</v>
      </c>
      <c r="C3208" t="s">
        <v>3937</v>
      </c>
      <c r="D3208" t="s">
        <v>3957</v>
      </c>
    </row>
    <row r="3209" spans="1:4" x14ac:dyDescent="0.3">
      <c r="A3209">
        <v>1070973852</v>
      </c>
      <c r="B3209" t="s">
        <v>3936</v>
      </c>
      <c r="C3209" t="s">
        <v>3937</v>
      </c>
      <c r="D3209" t="s">
        <v>3957</v>
      </c>
    </row>
    <row r="3210" spans="1:4" x14ac:dyDescent="0.3">
      <c r="A3210">
        <v>1070973852</v>
      </c>
      <c r="B3210" t="s">
        <v>3936</v>
      </c>
      <c r="C3210" t="s">
        <v>3937</v>
      </c>
      <c r="D3210" t="s">
        <v>3957</v>
      </c>
    </row>
    <row r="3211" spans="1:4" x14ac:dyDescent="0.3">
      <c r="A3211">
        <v>1070973852</v>
      </c>
      <c r="B3211" t="s">
        <v>3936</v>
      </c>
      <c r="C3211" t="s">
        <v>3937</v>
      </c>
      <c r="D3211" t="s">
        <v>3957</v>
      </c>
    </row>
    <row r="3212" spans="1:4" x14ac:dyDescent="0.3">
      <c r="A3212">
        <v>1070973852</v>
      </c>
      <c r="B3212" t="s">
        <v>3936</v>
      </c>
      <c r="C3212" t="s">
        <v>3937</v>
      </c>
      <c r="D3212" t="s">
        <v>3957</v>
      </c>
    </row>
    <row r="3213" spans="1:4" x14ac:dyDescent="0.3">
      <c r="A3213">
        <v>1070973852</v>
      </c>
      <c r="B3213" t="s">
        <v>3936</v>
      </c>
      <c r="C3213" t="s">
        <v>3937</v>
      </c>
      <c r="D3213" t="s">
        <v>3957</v>
      </c>
    </row>
    <row r="3214" spans="1:4" x14ac:dyDescent="0.3">
      <c r="A3214">
        <v>1070973852</v>
      </c>
      <c r="B3214" t="s">
        <v>3936</v>
      </c>
      <c r="C3214" t="s">
        <v>3937</v>
      </c>
      <c r="D3214" t="s">
        <v>3957</v>
      </c>
    </row>
    <row r="3215" spans="1:4" x14ac:dyDescent="0.3">
      <c r="A3215">
        <v>1070973852</v>
      </c>
      <c r="B3215" t="s">
        <v>3936</v>
      </c>
      <c r="C3215" t="s">
        <v>3937</v>
      </c>
      <c r="D3215" t="s">
        <v>3957</v>
      </c>
    </row>
    <row r="3216" spans="1:4" x14ac:dyDescent="0.3">
      <c r="A3216">
        <v>1070973852</v>
      </c>
      <c r="B3216" t="s">
        <v>3936</v>
      </c>
      <c r="C3216" t="s">
        <v>3937</v>
      </c>
      <c r="D3216" t="s">
        <v>3957</v>
      </c>
    </row>
    <row r="3217" spans="1:4" x14ac:dyDescent="0.3">
      <c r="A3217">
        <v>1070973852</v>
      </c>
      <c r="B3217" t="s">
        <v>3936</v>
      </c>
      <c r="C3217" t="s">
        <v>3937</v>
      </c>
      <c r="D3217" t="s">
        <v>3957</v>
      </c>
    </row>
    <row r="3218" spans="1:4" x14ac:dyDescent="0.3">
      <c r="A3218">
        <v>1070973852</v>
      </c>
      <c r="B3218" t="s">
        <v>3936</v>
      </c>
      <c r="C3218" t="s">
        <v>3937</v>
      </c>
      <c r="D3218" t="s">
        <v>3957</v>
      </c>
    </row>
    <row r="3219" spans="1:4" x14ac:dyDescent="0.3">
      <c r="A3219">
        <v>1070973852</v>
      </c>
      <c r="B3219" t="s">
        <v>3936</v>
      </c>
      <c r="C3219" t="s">
        <v>3937</v>
      </c>
      <c r="D3219" t="s">
        <v>3957</v>
      </c>
    </row>
    <row r="3220" spans="1:4" x14ac:dyDescent="0.3">
      <c r="A3220">
        <v>1070973852</v>
      </c>
      <c r="B3220" t="s">
        <v>3936</v>
      </c>
      <c r="C3220" t="s">
        <v>3937</v>
      </c>
      <c r="D3220" t="s">
        <v>3957</v>
      </c>
    </row>
    <row r="3221" spans="1:4" x14ac:dyDescent="0.3">
      <c r="A3221">
        <v>1070973852</v>
      </c>
      <c r="B3221" t="s">
        <v>3936</v>
      </c>
      <c r="C3221" t="s">
        <v>3937</v>
      </c>
      <c r="D3221" t="s">
        <v>3957</v>
      </c>
    </row>
    <row r="3222" spans="1:4" x14ac:dyDescent="0.3">
      <c r="A3222">
        <v>1070973852</v>
      </c>
      <c r="B3222" t="s">
        <v>3936</v>
      </c>
      <c r="C3222" t="s">
        <v>3937</v>
      </c>
      <c r="D3222" t="s">
        <v>3957</v>
      </c>
    </row>
    <row r="3223" spans="1:4" x14ac:dyDescent="0.3">
      <c r="A3223">
        <v>1070973852</v>
      </c>
      <c r="B3223" t="s">
        <v>3936</v>
      </c>
      <c r="C3223" t="s">
        <v>3937</v>
      </c>
      <c r="D3223" t="s">
        <v>3957</v>
      </c>
    </row>
    <row r="3224" spans="1:4" x14ac:dyDescent="0.3">
      <c r="A3224">
        <v>1070973852</v>
      </c>
      <c r="B3224" t="s">
        <v>3936</v>
      </c>
      <c r="C3224" t="s">
        <v>3937</v>
      </c>
      <c r="D3224" t="s">
        <v>3957</v>
      </c>
    </row>
    <row r="3225" spans="1:4" x14ac:dyDescent="0.3">
      <c r="A3225">
        <v>1070973852</v>
      </c>
      <c r="B3225" t="s">
        <v>3936</v>
      </c>
      <c r="C3225" t="s">
        <v>3937</v>
      </c>
      <c r="D3225" t="s">
        <v>3957</v>
      </c>
    </row>
    <row r="3226" spans="1:4" x14ac:dyDescent="0.3">
      <c r="A3226">
        <v>1070973852</v>
      </c>
      <c r="B3226" t="s">
        <v>3936</v>
      </c>
      <c r="C3226" t="s">
        <v>3937</v>
      </c>
      <c r="D3226" t="s">
        <v>3957</v>
      </c>
    </row>
    <row r="3227" spans="1:4" x14ac:dyDescent="0.3">
      <c r="A3227">
        <v>1070973852</v>
      </c>
      <c r="B3227" t="s">
        <v>3936</v>
      </c>
      <c r="C3227" t="s">
        <v>3937</v>
      </c>
      <c r="D3227" t="s">
        <v>3957</v>
      </c>
    </row>
    <row r="3228" spans="1:4" x14ac:dyDescent="0.3">
      <c r="A3228">
        <v>1070973852</v>
      </c>
      <c r="B3228" t="s">
        <v>3936</v>
      </c>
      <c r="C3228" t="s">
        <v>3937</v>
      </c>
      <c r="D3228" t="s">
        <v>3957</v>
      </c>
    </row>
    <row r="3229" spans="1:4" x14ac:dyDescent="0.3">
      <c r="A3229">
        <v>1070973852</v>
      </c>
      <c r="B3229" t="s">
        <v>3936</v>
      </c>
      <c r="C3229" t="s">
        <v>3937</v>
      </c>
      <c r="D3229" t="s">
        <v>3957</v>
      </c>
    </row>
    <row r="3230" spans="1:4" x14ac:dyDescent="0.3">
      <c r="A3230">
        <v>1070973852</v>
      </c>
      <c r="B3230" t="s">
        <v>3936</v>
      </c>
      <c r="C3230" t="s">
        <v>3937</v>
      </c>
      <c r="D3230" t="s">
        <v>3957</v>
      </c>
    </row>
    <row r="3231" spans="1:4" x14ac:dyDescent="0.3">
      <c r="A3231">
        <v>1070973852</v>
      </c>
      <c r="B3231" t="s">
        <v>3936</v>
      </c>
      <c r="C3231" t="s">
        <v>3937</v>
      </c>
      <c r="D3231" t="s">
        <v>3957</v>
      </c>
    </row>
    <row r="3232" spans="1:4" x14ac:dyDescent="0.3">
      <c r="A3232">
        <v>1070973852</v>
      </c>
      <c r="B3232" t="s">
        <v>3936</v>
      </c>
      <c r="C3232" t="s">
        <v>3937</v>
      </c>
      <c r="D3232" t="s">
        <v>3957</v>
      </c>
    </row>
    <row r="3233" spans="1:4" x14ac:dyDescent="0.3">
      <c r="A3233">
        <v>1070973852</v>
      </c>
      <c r="B3233" t="s">
        <v>3936</v>
      </c>
      <c r="C3233" t="s">
        <v>3937</v>
      </c>
      <c r="D3233" t="s">
        <v>3957</v>
      </c>
    </row>
    <row r="3234" spans="1:4" x14ac:dyDescent="0.3">
      <c r="A3234">
        <v>1070973852</v>
      </c>
      <c r="B3234" t="s">
        <v>3936</v>
      </c>
      <c r="C3234" t="s">
        <v>3937</v>
      </c>
      <c r="D3234" t="s">
        <v>3957</v>
      </c>
    </row>
    <row r="3235" spans="1:4" x14ac:dyDescent="0.3">
      <c r="A3235">
        <v>1070973852</v>
      </c>
      <c r="B3235" t="s">
        <v>3936</v>
      </c>
      <c r="C3235" t="s">
        <v>3937</v>
      </c>
      <c r="D3235" t="s">
        <v>3957</v>
      </c>
    </row>
    <row r="3236" spans="1:4" x14ac:dyDescent="0.3">
      <c r="A3236">
        <v>1070973852</v>
      </c>
      <c r="B3236" t="s">
        <v>3936</v>
      </c>
      <c r="C3236" t="s">
        <v>3937</v>
      </c>
      <c r="D3236" t="s">
        <v>3957</v>
      </c>
    </row>
    <row r="3237" spans="1:4" x14ac:dyDescent="0.3">
      <c r="A3237">
        <v>1070973852</v>
      </c>
      <c r="B3237" t="s">
        <v>3936</v>
      </c>
      <c r="C3237" t="s">
        <v>3937</v>
      </c>
      <c r="D3237" t="s">
        <v>3957</v>
      </c>
    </row>
    <row r="3238" spans="1:4" x14ac:dyDescent="0.3">
      <c r="A3238">
        <v>1070973852</v>
      </c>
      <c r="B3238" t="s">
        <v>3936</v>
      </c>
      <c r="C3238" t="s">
        <v>3937</v>
      </c>
      <c r="D3238" t="s">
        <v>3957</v>
      </c>
    </row>
    <row r="3239" spans="1:4" x14ac:dyDescent="0.3">
      <c r="A3239">
        <v>1070973852</v>
      </c>
      <c r="B3239" t="s">
        <v>3936</v>
      </c>
      <c r="C3239" t="s">
        <v>3937</v>
      </c>
      <c r="D3239" t="s">
        <v>3957</v>
      </c>
    </row>
    <row r="3240" spans="1:4" x14ac:dyDescent="0.3">
      <c r="A3240">
        <v>1070973852</v>
      </c>
      <c r="B3240" t="s">
        <v>3936</v>
      </c>
      <c r="C3240" t="s">
        <v>3937</v>
      </c>
      <c r="D3240" t="s">
        <v>3957</v>
      </c>
    </row>
    <row r="3241" spans="1:4" x14ac:dyDescent="0.3">
      <c r="A3241">
        <v>1072716186</v>
      </c>
      <c r="B3241" t="s">
        <v>3977</v>
      </c>
      <c r="C3241" t="s">
        <v>3970</v>
      </c>
      <c r="D3241" t="s">
        <v>4084</v>
      </c>
    </row>
    <row r="3242" spans="1:4" x14ac:dyDescent="0.3">
      <c r="A3242">
        <v>1072716186</v>
      </c>
      <c r="B3242" t="s">
        <v>3963</v>
      </c>
      <c r="C3242" t="s">
        <v>3934</v>
      </c>
      <c r="D3242" t="s">
        <v>4084</v>
      </c>
    </row>
    <row r="3243" spans="1:4" x14ac:dyDescent="0.3">
      <c r="A3243">
        <v>1072716186</v>
      </c>
      <c r="B3243" t="s">
        <v>3963</v>
      </c>
      <c r="C3243" t="s">
        <v>3934</v>
      </c>
      <c r="D3243" t="s">
        <v>4084</v>
      </c>
    </row>
    <row r="3244" spans="1:4" x14ac:dyDescent="0.3">
      <c r="A3244">
        <v>1072716186</v>
      </c>
      <c r="B3244" t="s">
        <v>3963</v>
      </c>
      <c r="C3244" t="s">
        <v>3934</v>
      </c>
      <c r="D3244" t="s">
        <v>4084</v>
      </c>
    </row>
    <row r="3245" spans="1:4" x14ac:dyDescent="0.3">
      <c r="A3245">
        <v>1073673268</v>
      </c>
      <c r="B3245" t="s">
        <v>3948</v>
      </c>
      <c r="C3245" t="s">
        <v>3937</v>
      </c>
      <c r="D3245" t="s">
        <v>4080</v>
      </c>
    </row>
    <row r="3246" spans="1:4" x14ac:dyDescent="0.3">
      <c r="A3246">
        <v>1073673268</v>
      </c>
      <c r="B3246" t="s">
        <v>3948</v>
      </c>
      <c r="C3246" t="s">
        <v>3937</v>
      </c>
      <c r="D3246" t="s">
        <v>4080</v>
      </c>
    </row>
    <row r="3247" spans="1:4" x14ac:dyDescent="0.3">
      <c r="A3247">
        <v>1073673268</v>
      </c>
      <c r="B3247" t="s">
        <v>3948</v>
      </c>
      <c r="C3247" t="s">
        <v>3937</v>
      </c>
      <c r="D3247" t="s">
        <v>4080</v>
      </c>
    </row>
    <row r="3248" spans="1:4" x14ac:dyDescent="0.3">
      <c r="A3248">
        <v>1073673268</v>
      </c>
      <c r="B3248" t="s">
        <v>3948</v>
      </c>
      <c r="C3248" t="s">
        <v>3937</v>
      </c>
      <c r="D3248" t="s">
        <v>4080</v>
      </c>
    </row>
    <row r="3249" spans="1:4" x14ac:dyDescent="0.3">
      <c r="A3249">
        <v>1073673268</v>
      </c>
      <c r="B3249" t="s">
        <v>3948</v>
      </c>
      <c r="C3249" t="s">
        <v>3937</v>
      </c>
      <c r="D3249" t="s">
        <v>4080</v>
      </c>
    </row>
    <row r="3250" spans="1:4" x14ac:dyDescent="0.3">
      <c r="A3250">
        <v>1073673268</v>
      </c>
      <c r="B3250" t="s">
        <v>3948</v>
      </c>
      <c r="C3250" t="s">
        <v>3937</v>
      </c>
      <c r="D3250" t="s">
        <v>4080</v>
      </c>
    </row>
    <row r="3251" spans="1:4" x14ac:dyDescent="0.3">
      <c r="A3251">
        <v>1073673268</v>
      </c>
      <c r="B3251" t="s">
        <v>3948</v>
      </c>
      <c r="C3251" t="s">
        <v>3937</v>
      </c>
      <c r="D3251" t="s">
        <v>4080</v>
      </c>
    </row>
    <row r="3252" spans="1:4" x14ac:dyDescent="0.3">
      <c r="A3252">
        <v>1073673268</v>
      </c>
      <c r="B3252" t="s">
        <v>3948</v>
      </c>
      <c r="C3252" t="s">
        <v>3937</v>
      </c>
      <c r="D3252" t="s">
        <v>4080</v>
      </c>
    </row>
    <row r="3253" spans="1:4" x14ac:dyDescent="0.3">
      <c r="A3253">
        <v>1073673268</v>
      </c>
      <c r="B3253" t="s">
        <v>3948</v>
      </c>
      <c r="C3253" t="s">
        <v>3937</v>
      </c>
      <c r="D3253" t="s">
        <v>4080</v>
      </c>
    </row>
    <row r="3254" spans="1:4" x14ac:dyDescent="0.3">
      <c r="A3254">
        <v>1073673268</v>
      </c>
      <c r="B3254" t="s">
        <v>3948</v>
      </c>
      <c r="C3254" t="s">
        <v>3937</v>
      </c>
      <c r="D3254" t="s">
        <v>4080</v>
      </c>
    </row>
    <row r="3255" spans="1:4" x14ac:dyDescent="0.3">
      <c r="A3255">
        <v>1073673268</v>
      </c>
      <c r="B3255" t="s">
        <v>3948</v>
      </c>
      <c r="C3255" t="s">
        <v>3937</v>
      </c>
      <c r="D3255" t="s">
        <v>4080</v>
      </c>
    </row>
    <row r="3256" spans="1:4" x14ac:dyDescent="0.3">
      <c r="A3256">
        <v>1073673268</v>
      </c>
      <c r="B3256" t="s">
        <v>3948</v>
      </c>
      <c r="C3256" t="s">
        <v>3937</v>
      </c>
      <c r="D3256" t="s">
        <v>4080</v>
      </c>
    </row>
    <row r="3257" spans="1:4" x14ac:dyDescent="0.3">
      <c r="A3257">
        <v>1073673268</v>
      </c>
      <c r="B3257" t="s">
        <v>3948</v>
      </c>
      <c r="C3257" t="s">
        <v>3937</v>
      </c>
      <c r="D3257" t="s">
        <v>4080</v>
      </c>
    </row>
    <row r="3258" spans="1:4" x14ac:dyDescent="0.3">
      <c r="A3258">
        <v>1073673268</v>
      </c>
      <c r="B3258" t="s">
        <v>3948</v>
      </c>
      <c r="C3258" t="s">
        <v>3937</v>
      </c>
      <c r="D3258" t="s">
        <v>4080</v>
      </c>
    </row>
    <row r="3259" spans="1:4" x14ac:dyDescent="0.3">
      <c r="A3259">
        <v>1073673268</v>
      </c>
      <c r="B3259" t="s">
        <v>3948</v>
      </c>
      <c r="C3259" t="s">
        <v>3937</v>
      </c>
      <c r="D3259" t="s">
        <v>4080</v>
      </c>
    </row>
    <row r="3260" spans="1:4" x14ac:dyDescent="0.3">
      <c r="A3260">
        <v>1073673268</v>
      </c>
      <c r="B3260" t="s">
        <v>3948</v>
      </c>
      <c r="C3260" t="s">
        <v>3937</v>
      </c>
      <c r="D3260" t="s">
        <v>4080</v>
      </c>
    </row>
    <row r="3261" spans="1:4" x14ac:dyDescent="0.3">
      <c r="A3261">
        <v>1073673268</v>
      </c>
      <c r="B3261" t="s">
        <v>3948</v>
      </c>
      <c r="C3261" t="s">
        <v>3937</v>
      </c>
      <c r="D3261" t="s">
        <v>4080</v>
      </c>
    </row>
    <row r="3262" spans="1:4" x14ac:dyDescent="0.3">
      <c r="A3262">
        <v>1073673268</v>
      </c>
      <c r="B3262" t="s">
        <v>3948</v>
      </c>
      <c r="C3262" t="s">
        <v>3937</v>
      </c>
      <c r="D3262" t="s">
        <v>4080</v>
      </c>
    </row>
    <row r="3263" spans="1:4" x14ac:dyDescent="0.3">
      <c r="A3263">
        <v>1073673268</v>
      </c>
      <c r="B3263" t="s">
        <v>3948</v>
      </c>
      <c r="C3263" t="s">
        <v>3937</v>
      </c>
      <c r="D3263" t="s">
        <v>4080</v>
      </c>
    </row>
    <row r="3264" spans="1:4" x14ac:dyDescent="0.3">
      <c r="A3264">
        <v>1073673268</v>
      </c>
      <c r="B3264" t="s">
        <v>3948</v>
      </c>
      <c r="C3264" t="s">
        <v>3937</v>
      </c>
      <c r="D3264" t="s">
        <v>4080</v>
      </c>
    </row>
    <row r="3265" spans="1:4" x14ac:dyDescent="0.3">
      <c r="A3265">
        <v>1073673268</v>
      </c>
      <c r="B3265" t="s">
        <v>3948</v>
      </c>
      <c r="C3265" t="s">
        <v>3937</v>
      </c>
      <c r="D3265" t="s">
        <v>4080</v>
      </c>
    </row>
    <row r="3266" spans="1:4" x14ac:dyDescent="0.3">
      <c r="A3266">
        <v>1073673268</v>
      </c>
      <c r="B3266" t="s">
        <v>3948</v>
      </c>
      <c r="C3266" t="s">
        <v>3937</v>
      </c>
      <c r="D3266" t="s">
        <v>4080</v>
      </c>
    </row>
    <row r="3267" spans="1:4" x14ac:dyDescent="0.3">
      <c r="A3267">
        <v>1073673268</v>
      </c>
      <c r="B3267" t="s">
        <v>3948</v>
      </c>
      <c r="C3267" t="s">
        <v>3937</v>
      </c>
      <c r="D3267" t="s">
        <v>4080</v>
      </c>
    </row>
    <row r="3268" spans="1:4" x14ac:dyDescent="0.3">
      <c r="A3268">
        <v>1073673268</v>
      </c>
      <c r="B3268" t="s">
        <v>3948</v>
      </c>
      <c r="C3268" t="s">
        <v>3937</v>
      </c>
      <c r="D3268" t="s">
        <v>4080</v>
      </c>
    </row>
    <row r="3269" spans="1:4" x14ac:dyDescent="0.3">
      <c r="A3269">
        <v>1073673268</v>
      </c>
      <c r="B3269" t="s">
        <v>3948</v>
      </c>
      <c r="C3269" t="s">
        <v>3937</v>
      </c>
      <c r="D3269" t="s">
        <v>4080</v>
      </c>
    </row>
    <row r="3270" spans="1:4" x14ac:dyDescent="0.3">
      <c r="A3270">
        <v>1073673268</v>
      </c>
      <c r="B3270" t="s">
        <v>3948</v>
      </c>
      <c r="C3270" t="s">
        <v>3937</v>
      </c>
      <c r="D3270" t="s">
        <v>4080</v>
      </c>
    </row>
    <row r="3271" spans="1:4" x14ac:dyDescent="0.3">
      <c r="A3271">
        <v>1073673268</v>
      </c>
      <c r="B3271" t="s">
        <v>3948</v>
      </c>
      <c r="C3271" t="s">
        <v>3937</v>
      </c>
      <c r="D3271" t="s">
        <v>4080</v>
      </c>
    </row>
    <row r="3272" spans="1:4" x14ac:dyDescent="0.3">
      <c r="A3272">
        <v>1073673268</v>
      </c>
      <c r="B3272" t="s">
        <v>3948</v>
      </c>
      <c r="C3272" t="s">
        <v>3937</v>
      </c>
      <c r="D3272" t="s">
        <v>4080</v>
      </c>
    </row>
    <row r="3273" spans="1:4" x14ac:dyDescent="0.3">
      <c r="A3273">
        <v>1073673268</v>
      </c>
      <c r="B3273" t="s">
        <v>3948</v>
      </c>
      <c r="C3273" t="s">
        <v>3937</v>
      </c>
      <c r="D3273" t="s">
        <v>4080</v>
      </c>
    </row>
    <row r="3274" spans="1:4" x14ac:dyDescent="0.3">
      <c r="A3274">
        <v>1073673268</v>
      </c>
      <c r="B3274" t="s">
        <v>3948</v>
      </c>
      <c r="C3274" t="s">
        <v>3937</v>
      </c>
      <c r="D3274" t="s">
        <v>4080</v>
      </c>
    </row>
    <row r="3275" spans="1:4" x14ac:dyDescent="0.3">
      <c r="A3275">
        <v>1073673268</v>
      </c>
      <c r="B3275" t="s">
        <v>3948</v>
      </c>
      <c r="C3275" t="s">
        <v>3937</v>
      </c>
      <c r="D3275" t="s">
        <v>4080</v>
      </c>
    </row>
    <row r="3276" spans="1:4" x14ac:dyDescent="0.3">
      <c r="A3276">
        <v>1073673268</v>
      </c>
      <c r="B3276" t="s">
        <v>3948</v>
      </c>
      <c r="C3276" t="s">
        <v>3937</v>
      </c>
      <c r="D3276" t="s">
        <v>4080</v>
      </c>
    </row>
    <row r="3277" spans="1:4" x14ac:dyDescent="0.3">
      <c r="A3277">
        <v>1073673268</v>
      </c>
      <c r="B3277" t="s">
        <v>3948</v>
      </c>
      <c r="C3277" t="s">
        <v>3937</v>
      </c>
      <c r="D3277" t="s">
        <v>4080</v>
      </c>
    </row>
    <row r="3278" spans="1:4" x14ac:dyDescent="0.3">
      <c r="A3278">
        <v>1073673268</v>
      </c>
      <c r="B3278" t="s">
        <v>3948</v>
      </c>
      <c r="C3278" t="s">
        <v>3937</v>
      </c>
      <c r="D3278" t="s">
        <v>4080</v>
      </c>
    </row>
    <row r="3279" spans="1:4" x14ac:dyDescent="0.3">
      <c r="A3279">
        <v>1073692626</v>
      </c>
      <c r="B3279" t="s">
        <v>3965</v>
      </c>
      <c r="C3279" t="s">
        <v>3934</v>
      </c>
      <c r="D3279" t="s">
        <v>4014</v>
      </c>
    </row>
    <row r="3280" spans="1:4" x14ac:dyDescent="0.3">
      <c r="A3280">
        <v>1073692626</v>
      </c>
      <c r="B3280" t="s">
        <v>3965</v>
      </c>
      <c r="C3280" t="s">
        <v>3934</v>
      </c>
      <c r="D3280" t="s">
        <v>4014</v>
      </c>
    </row>
    <row r="3281" spans="1:4" x14ac:dyDescent="0.3">
      <c r="A3281">
        <v>1073692626</v>
      </c>
      <c r="B3281" t="s">
        <v>3965</v>
      </c>
      <c r="C3281" t="s">
        <v>3934</v>
      </c>
      <c r="D3281" t="s">
        <v>4014</v>
      </c>
    </row>
    <row r="3282" spans="1:4" x14ac:dyDescent="0.3">
      <c r="A3282">
        <v>1073692626</v>
      </c>
      <c r="B3282" t="s">
        <v>3965</v>
      </c>
      <c r="C3282" t="s">
        <v>3934</v>
      </c>
      <c r="D3282" t="s">
        <v>4014</v>
      </c>
    </row>
    <row r="3283" spans="1:4" x14ac:dyDescent="0.3">
      <c r="A3283">
        <v>1073692626</v>
      </c>
      <c r="B3283" t="s">
        <v>3965</v>
      </c>
      <c r="C3283" t="s">
        <v>3934</v>
      </c>
      <c r="D3283" t="s">
        <v>4014</v>
      </c>
    </row>
    <row r="3284" spans="1:4" x14ac:dyDescent="0.3">
      <c r="A3284">
        <v>1073692626</v>
      </c>
      <c r="B3284" t="s">
        <v>3965</v>
      </c>
      <c r="C3284" t="s">
        <v>3934</v>
      </c>
      <c r="D3284" t="s">
        <v>4014</v>
      </c>
    </row>
    <row r="3285" spans="1:4" x14ac:dyDescent="0.3">
      <c r="A3285">
        <v>1073692626</v>
      </c>
      <c r="B3285" t="s">
        <v>3965</v>
      </c>
      <c r="C3285" t="s">
        <v>3934</v>
      </c>
      <c r="D3285" t="s">
        <v>4014</v>
      </c>
    </row>
    <row r="3286" spans="1:4" x14ac:dyDescent="0.3">
      <c r="A3286">
        <v>1073692626</v>
      </c>
      <c r="B3286" t="s">
        <v>3965</v>
      </c>
      <c r="C3286" t="s">
        <v>3934</v>
      </c>
      <c r="D3286" t="s">
        <v>4014</v>
      </c>
    </row>
    <row r="3287" spans="1:4" x14ac:dyDescent="0.3">
      <c r="A3287">
        <v>1073692626</v>
      </c>
      <c r="B3287" t="s">
        <v>3965</v>
      </c>
      <c r="C3287" t="s">
        <v>3934</v>
      </c>
      <c r="D3287" t="s">
        <v>4014</v>
      </c>
    </row>
    <row r="3288" spans="1:4" x14ac:dyDescent="0.3">
      <c r="A3288">
        <v>1073692626</v>
      </c>
      <c r="B3288" t="s">
        <v>3965</v>
      </c>
      <c r="C3288" t="s">
        <v>3934</v>
      </c>
      <c r="D3288" t="s">
        <v>4014</v>
      </c>
    </row>
    <row r="3289" spans="1:4" x14ac:dyDescent="0.3">
      <c r="A3289">
        <v>1073692626</v>
      </c>
      <c r="B3289" t="s">
        <v>3965</v>
      </c>
      <c r="C3289" t="s">
        <v>3934</v>
      </c>
      <c r="D3289" t="s">
        <v>4014</v>
      </c>
    </row>
    <row r="3290" spans="1:4" x14ac:dyDescent="0.3">
      <c r="A3290">
        <v>1073692626</v>
      </c>
      <c r="B3290" t="s">
        <v>3965</v>
      </c>
      <c r="C3290" t="s">
        <v>3934</v>
      </c>
      <c r="D3290" t="s">
        <v>4014</v>
      </c>
    </row>
    <row r="3291" spans="1:4" x14ac:dyDescent="0.3">
      <c r="A3291">
        <v>1073692626</v>
      </c>
      <c r="B3291" t="s">
        <v>3965</v>
      </c>
      <c r="C3291" t="s">
        <v>3934</v>
      </c>
      <c r="D3291" t="s">
        <v>4014</v>
      </c>
    </row>
    <row r="3292" spans="1:4" x14ac:dyDescent="0.3">
      <c r="A3292">
        <v>1073692626</v>
      </c>
      <c r="B3292" t="s">
        <v>3965</v>
      </c>
      <c r="C3292" t="s">
        <v>3934</v>
      </c>
      <c r="D3292" t="s">
        <v>4014</v>
      </c>
    </row>
    <row r="3293" spans="1:4" x14ac:dyDescent="0.3">
      <c r="A3293">
        <v>1073692626</v>
      </c>
      <c r="B3293" t="s">
        <v>3965</v>
      </c>
      <c r="C3293" t="s">
        <v>3934</v>
      </c>
      <c r="D3293" t="s">
        <v>4014</v>
      </c>
    </row>
    <row r="3294" spans="1:4" x14ac:dyDescent="0.3">
      <c r="A3294">
        <v>1073692626</v>
      </c>
      <c r="B3294" t="s">
        <v>3965</v>
      </c>
      <c r="C3294" t="s">
        <v>3934</v>
      </c>
      <c r="D3294" t="s">
        <v>4014</v>
      </c>
    </row>
    <row r="3295" spans="1:4" x14ac:dyDescent="0.3">
      <c r="A3295">
        <v>1073692626</v>
      </c>
      <c r="B3295" t="s">
        <v>3965</v>
      </c>
      <c r="C3295" t="s">
        <v>3934</v>
      </c>
      <c r="D3295" t="s">
        <v>4014</v>
      </c>
    </row>
    <row r="3296" spans="1:4" x14ac:dyDescent="0.3">
      <c r="A3296">
        <v>1073692626</v>
      </c>
      <c r="B3296" t="s">
        <v>3965</v>
      </c>
      <c r="C3296" t="s">
        <v>3934</v>
      </c>
      <c r="D3296" t="s">
        <v>4014</v>
      </c>
    </row>
    <row r="3297" spans="1:4" x14ac:dyDescent="0.3">
      <c r="A3297">
        <v>1073692626</v>
      </c>
      <c r="B3297" t="s">
        <v>3965</v>
      </c>
      <c r="C3297" t="s">
        <v>3934</v>
      </c>
      <c r="D3297" t="s">
        <v>4014</v>
      </c>
    </row>
    <row r="3298" spans="1:4" x14ac:dyDescent="0.3">
      <c r="A3298">
        <v>1073692626</v>
      </c>
      <c r="B3298" t="s">
        <v>3965</v>
      </c>
      <c r="C3298" t="s">
        <v>3934</v>
      </c>
      <c r="D3298" t="s">
        <v>4014</v>
      </c>
    </row>
    <row r="3299" spans="1:4" x14ac:dyDescent="0.3">
      <c r="A3299">
        <v>1073692626</v>
      </c>
      <c r="B3299" t="s">
        <v>3965</v>
      </c>
      <c r="C3299" t="s">
        <v>3934</v>
      </c>
      <c r="D3299" t="s">
        <v>4014</v>
      </c>
    </row>
    <row r="3300" spans="1:4" x14ac:dyDescent="0.3">
      <c r="A3300">
        <v>1073692626</v>
      </c>
      <c r="B3300" t="s">
        <v>3965</v>
      </c>
      <c r="C3300" t="s">
        <v>3934</v>
      </c>
      <c r="D3300" t="s">
        <v>4014</v>
      </c>
    </row>
    <row r="3301" spans="1:4" x14ac:dyDescent="0.3">
      <c r="A3301">
        <v>1073692626</v>
      </c>
      <c r="B3301" t="s">
        <v>3965</v>
      </c>
      <c r="C3301" t="s">
        <v>3934</v>
      </c>
      <c r="D3301" t="s">
        <v>4014</v>
      </c>
    </row>
    <row r="3302" spans="1:4" x14ac:dyDescent="0.3">
      <c r="A3302">
        <v>1073692626</v>
      </c>
      <c r="B3302" t="s">
        <v>3965</v>
      </c>
      <c r="C3302" t="s">
        <v>3934</v>
      </c>
      <c r="D3302" t="s">
        <v>4014</v>
      </c>
    </row>
    <row r="3303" spans="1:4" x14ac:dyDescent="0.3">
      <c r="A3303">
        <v>1073692626</v>
      </c>
      <c r="B3303" t="s">
        <v>3965</v>
      </c>
      <c r="C3303" t="s">
        <v>3934</v>
      </c>
      <c r="D3303" t="s">
        <v>4014</v>
      </c>
    </row>
    <row r="3304" spans="1:4" x14ac:dyDescent="0.3">
      <c r="A3304">
        <v>1073692626</v>
      </c>
      <c r="B3304" t="s">
        <v>3965</v>
      </c>
      <c r="C3304" t="s">
        <v>3934</v>
      </c>
      <c r="D3304" t="s">
        <v>4014</v>
      </c>
    </row>
    <row r="3305" spans="1:4" x14ac:dyDescent="0.3">
      <c r="A3305">
        <v>1073692626</v>
      </c>
      <c r="B3305" t="s">
        <v>3965</v>
      </c>
      <c r="C3305" t="s">
        <v>3934</v>
      </c>
      <c r="D3305" t="s">
        <v>4014</v>
      </c>
    </row>
    <row r="3306" spans="1:4" x14ac:dyDescent="0.3">
      <c r="A3306">
        <v>1073692626</v>
      </c>
      <c r="B3306" t="s">
        <v>3965</v>
      </c>
      <c r="C3306" t="s">
        <v>3934</v>
      </c>
      <c r="D3306" t="s">
        <v>4014</v>
      </c>
    </row>
    <row r="3307" spans="1:4" x14ac:dyDescent="0.3">
      <c r="A3307">
        <v>1073692626</v>
      </c>
      <c r="B3307" t="s">
        <v>3965</v>
      </c>
      <c r="C3307" t="s">
        <v>3934</v>
      </c>
      <c r="D3307" t="s">
        <v>4014</v>
      </c>
    </row>
    <row r="3308" spans="1:4" x14ac:dyDescent="0.3">
      <c r="A3308">
        <v>1073692626</v>
      </c>
      <c r="B3308" t="s">
        <v>3965</v>
      </c>
      <c r="C3308" t="s">
        <v>3934</v>
      </c>
      <c r="D3308" t="s">
        <v>4014</v>
      </c>
    </row>
    <row r="3309" spans="1:4" x14ac:dyDescent="0.3">
      <c r="A3309">
        <v>1073692626</v>
      </c>
      <c r="B3309" t="s">
        <v>3965</v>
      </c>
      <c r="C3309" t="s">
        <v>3934</v>
      </c>
      <c r="D3309" t="s">
        <v>4014</v>
      </c>
    </row>
    <row r="3310" spans="1:4" x14ac:dyDescent="0.3">
      <c r="A3310">
        <v>1073692626</v>
      </c>
      <c r="B3310" t="s">
        <v>3965</v>
      </c>
      <c r="C3310" t="s">
        <v>3934</v>
      </c>
      <c r="D3310" t="s">
        <v>4014</v>
      </c>
    </row>
    <row r="3311" spans="1:4" x14ac:dyDescent="0.3">
      <c r="A3311">
        <v>1073692626</v>
      </c>
      <c r="B3311" t="s">
        <v>3965</v>
      </c>
      <c r="C3311" t="s">
        <v>3934</v>
      </c>
      <c r="D3311" t="s">
        <v>4014</v>
      </c>
    </row>
    <row r="3312" spans="1:4" x14ac:dyDescent="0.3">
      <c r="A3312">
        <v>1073692626</v>
      </c>
      <c r="B3312" t="s">
        <v>3965</v>
      </c>
      <c r="C3312" t="s">
        <v>3934</v>
      </c>
      <c r="D3312" t="s">
        <v>4014</v>
      </c>
    </row>
    <row r="3313" spans="1:4" x14ac:dyDescent="0.3">
      <c r="A3313">
        <v>1073692626</v>
      </c>
      <c r="B3313" t="s">
        <v>3965</v>
      </c>
      <c r="C3313" t="s">
        <v>3934</v>
      </c>
      <c r="D3313" t="s">
        <v>4014</v>
      </c>
    </row>
    <row r="3314" spans="1:4" x14ac:dyDescent="0.3">
      <c r="A3314">
        <v>1073692626</v>
      </c>
      <c r="B3314" t="s">
        <v>3965</v>
      </c>
      <c r="C3314" t="s">
        <v>3934</v>
      </c>
      <c r="D3314" t="s">
        <v>4014</v>
      </c>
    </row>
    <row r="3315" spans="1:4" x14ac:dyDescent="0.3">
      <c r="A3315">
        <v>1073692626</v>
      </c>
      <c r="B3315" t="s">
        <v>3965</v>
      </c>
      <c r="C3315" t="s">
        <v>3934</v>
      </c>
      <c r="D3315" t="s">
        <v>4014</v>
      </c>
    </row>
    <row r="3316" spans="1:4" x14ac:dyDescent="0.3">
      <c r="A3316">
        <v>1073692626</v>
      </c>
      <c r="B3316" t="s">
        <v>3965</v>
      </c>
      <c r="C3316" t="s">
        <v>3934</v>
      </c>
      <c r="D3316" t="s">
        <v>4014</v>
      </c>
    </row>
    <row r="3317" spans="1:4" x14ac:dyDescent="0.3">
      <c r="A3317">
        <v>1073692626</v>
      </c>
      <c r="B3317" t="s">
        <v>3965</v>
      </c>
      <c r="C3317" t="s">
        <v>3934</v>
      </c>
      <c r="D3317" t="s">
        <v>4014</v>
      </c>
    </row>
    <row r="3318" spans="1:4" x14ac:dyDescent="0.3">
      <c r="A3318">
        <v>1073692626</v>
      </c>
      <c r="B3318" t="s">
        <v>3965</v>
      </c>
      <c r="C3318" t="s">
        <v>3934</v>
      </c>
      <c r="D3318" t="s">
        <v>4014</v>
      </c>
    </row>
    <row r="3319" spans="1:4" x14ac:dyDescent="0.3">
      <c r="A3319">
        <v>1073692626</v>
      </c>
      <c r="B3319" t="s">
        <v>3965</v>
      </c>
      <c r="C3319" t="s">
        <v>3934</v>
      </c>
      <c r="D3319" t="s">
        <v>4014</v>
      </c>
    </row>
    <row r="3320" spans="1:4" x14ac:dyDescent="0.3">
      <c r="A3320">
        <v>1073692626</v>
      </c>
      <c r="B3320" t="s">
        <v>3965</v>
      </c>
      <c r="C3320" t="s">
        <v>3934</v>
      </c>
      <c r="D3320" t="s">
        <v>4014</v>
      </c>
    </row>
    <row r="3321" spans="1:4" x14ac:dyDescent="0.3">
      <c r="A3321">
        <v>1073709943</v>
      </c>
      <c r="B3321" t="s">
        <v>3963</v>
      </c>
      <c r="C3321" t="s">
        <v>3934</v>
      </c>
      <c r="D3321" t="s">
        <v>4022</v>
      </c>
    </row>
    <row r="3322" spans="1:4" x14ac:dyDescent="0.3">
      <c r="A3322">
        <v>1073709943</v>
      </c>
      <c r="B3322" t="s">
        <v>3963</v>
      </c>
      <c r="C3322" t="s">
        <v>3934</v>
      </c>
      <c r="D3322" t="s">
        <v>4022</v>
      </c>
    </row>
    <row r="3323" spans="1:4" x14ac:dyDescent="0.3">
      <c r="A3323">
        <v>1074184614</v>
      </c>
      <c r="B3323" t="s">
        <v>3967</v>
      </c>
      <c r="C3323" t="s">
        <v>3934</v>
      </c>
      <c r="D3323" t="s">
        <v>3966</v>
      </c>
    </row>
    <row r="3324" spans="1:4" x14ac:dyDescent="0.3">
      <c r="A3324">
        <v>1075542872</v>
      </c>
      <c r="B3324" t="s">
        <v>3948</v>
      </c>
      <c r="C3324" t="s">
        <v>3937</v>
      </c>
      <c r="D3324" t="s">
        <v>3974</v>
      </c>
    </row>
    <row r="3325" spans="1:4" x14ac:dyDescent="0.3">
      <c r="A3325">
        <v>1075542872</v>
      </c>
      <c r="B3325" t="s">
        <v>3948</v>
      </c>
      <c r="C3325" t="s">
        <v>3937</v>
      </c>
      <c r="D3325" t="s">
        <v>3974</v>
      </c>
    </row>
    <row r="3326" spans="1:4" x14ac:dyDescent="0.3">
      <c r="A3326">
        <v>1075542872</v>
      </c>
      <c r="B3326" t="s">
        <v>3948</v>
      </c>
      <c r="C3326" t="s">
        <v>3937</v>
      </c>
      <c r="D3326" t="s">
        <v>3974</v>
      </c>
    </row>
    <row r="3327" spans="1:4" x14ac:dyDescent="0.3">
      <c r="A3327">
        <v>1075542872</v>
      </c>
      <c r="B3327" t="s">
        <v>3948</v>
      </c>
      <c r="C3327" t="s">
        <v>3937</v>
      </c>
      <c r="D3327" t="s">
        <v>3974</v>
      </c>
    </row>
    <row r="3328" spans="1:4" x14ac:dyDescent="0.3">
      <c r="A3328">
        <v>1075542872</v>
      </c>
      <c r="B3328" t="s">
        <v>3948</v>
      </c>
      <c r="C3328" t="s">
        <v>3937</v>
      </c>
      <c r="D3328" t="s">
        <v>3974</v>
      </c>
    </row>
    <row r="3329" spans="1:4" x14ac:dyDescent="0.3">
      <c r="A3329">
        <v>1075542872</v>
      </c>
      <c r="B3329" t="s">
        <v>3948</v>
      </c>
      <c r="C3329" t="s">
        <v>3937</v>
      </c>
      <c r="D3329" t="s">
        <v>3974</v>
      </c>
    </row>
    <row r="3330" spans="1:4" x14ac:dyDescent="0.3">
      <c r="A3330">
        <v>1075542872</v>
      </c>
      <c r="B3330" t="s">
        <v>3948</v>
      </c>
      <c r="C3330" t="s">
        <v>3937</v>
      </c>
      <c r="D3330" t="s">
        <v>3974</v>
      </c>
    </row>
    <row r="3331" spans="1:4" x14ac:dyDescent="0.3">
      <c r="A3331">
        <v>1075542872</v>
      </c>
      <c r="B3331" t="s">
        <v>3948</v>
      </c>
      <c r="C3331" t="s">
        <v>3937</v>
      </c>
      <c r="D3331" t="s">
        <v>3974</v>
      </c>
    </row>
    <row r="3332" spans="1:4" x14ac:dyDescent="0.3">
      <c r="A3332">
        <v>1075542872</v>
      </c>
      <c r="B3332" t="s">
        <v>3948</v>
      </c>
      <c r="C3332" t="s">
        <v>3937</v>
      </c>
      <c r="D3332" t="s">
        <v>3974</v>
      </c>
    </row>
    <row r="3333" spans="1:4" x14ac:dyDescent="0.3">
      <c r="A3333">
        <v>1075542872</v>
      </c>
      <c r="B3333" t="s">
        <v>3948</v>
      </c>
      <c r="C3333" t="s">
        <v>3937</v>
      </c>
      <c r="D3333" t="s">
        <v>3974</v>
      </c>
    </row>
    <row r="3334" spans="1:4" x14ac:dyDescent="0.3">
      <c r="A3334">
        <v>1075542872</v>
      </c>
      <c r="B3334" t="s">
        <v>3948</v>
      </c>
      <c r="C3334" t="s">
        <v>3937</v>
      </c>
      <c r="D3334" t="s">
        <v>3974</v>
      </c>
    </row>
    <row r="3335" spans="1:4" x14ac:dyDescent="0.3">
      <c r="A3335">
        <v>1075542872</v>
      </c>
      <c r="B3335" t="s">
        <v>3948</v>
      </c>
      <c r="C3335" t="s">
        <v>3937</v>
      </c>
      <c r="D3335" t="s">
        <v>3974</v>
      </c>
    </row>
    <row r="3336" spans="1:4" x14ac:dyDescent="0.3">
      <c r="A3336">
        <v>1075542872</v>
      </c>
      <c r="B3336" t="s">
        <v>3948</v>
      </c>
      <c r="C3336" t="s">
        <v>3937</v>
      </c>
      <c r="D3336" t="s">
        <v>3974</v>
      </c>
    </row>
    <row r="3337" spans="1:4" x14ac:dyDescent="0.3">
      <c r="A3337">
        <v>1075542872</v>
      </c>
      <c r="B3337" t="s">
        <v>3948</v>
      </c>
      <c r="C3337" t="s">
        <v>3937</v>
      </c>
      <c r="D3337" t="s">
        <v>3974</v>
      </c>
    </row>
    <row r="3338" spans="1:4" x14ac:dyDescent="0.3">
      <c r="A3338">
        <v>1075542872</v>
      </c>
      <c r="B3338" t="s">
        <v>3948</v>
      </c>
      <c r="C3338" t="s">
        <v>3937</v>
      </c>
      <c r="D3338" t="s">
        <v>3974</v>
      </c>
    </row>
    <row r="3339" spans="1:4" x14ac:dyDescent="0.3">
      <c r="A3339">
        <v>1075542872</v>
      </c>
      <c r="B3339" t="s">
        <v>3948</v>
      </c>
      <c r="C3339" t="s">
        <v>3937</v>
      </c>
      <c r="D3339" t="s">
        <v>3974</v>
      </c>
    </row>
    <row r="3340" spans="1:4" x14ac:dyDescent="0.3">
      <c r="A3340">
        <v>1075542872</v>
      </c>
      <c r="B3340" t="s">
        <v>3948</v>
      </c>
      <c r="C3340" t="s">
        <v>3937</v>
      </c>
      <c r="D3340" t="s">
        <v>3974</v>
      </c>
    </row>
    <row r="3341" spans="1:4" x14ac:dyDescent="0.3">
      <c r="A3341">
        <v>1075542872</v>
      </c>
      <c r="B3341" t="s">
        <v>3948</v>
      </c>
      <c r="C3341" t="s">
        <v>3937</v>
      </c>
      <c r="D3341" t="s">
        <v>3974</v>
      </c>
    </row>
    <row r="3342" spans="1:4" x14ac:dyDescent="0.3">
      <c r="A3342">
        <v>1075542872</v>
      </c>
      <c r="B3342" t="s">
        <v>3948</v>
      </c>
      <c r="C3342" t="s">
        <v>3937</v>
      </c>
      <c r="D3342" t="s">
        <v>3974</v>
      </c>
    </row>
    <row r="3343" spans="1:4" x14ac:dyDescent="0.3">
      <c r="A3343">
        <v>1075542872</v>
      </c>
      <c r="B3343" t="s">
        <v>3948</v>
      </c>
      <c r="C3343" t="s">
        <v>3937</v>
      </c>
      <c r="D3343" t="s">
        <v>3974</v>
      </c>
    </row>
    <row r="3344" spans="1:4" x14ac:dyDescent="0.3">
      <c r="A3344">
        <v>1075542872</v>
      </c>
      <c r="B3344" t="s">
        <v>3948</v>
      </c>
      <c r="C3344" t="s">
        <v>3937</v>
      </c>
      <c r="D3344" t="s">
        <v>3974</v>
      </c>
    </row>
    <row r="3345" spans="1:4" x14ac:dyDescent="0.3">
      <c r="A3345">
        <v>1075542872</v>
      </c>
      <c r="B3345" t="s">
        <v>3948</v>
      </c>
      <c r="C3345" t="s">
        <v>3937</v>
      </c>
      <c r="D3345" t="s">
        <v>3974</v>
      </c>
    </row>
    <row r="3346" spans="1:4" x14ac:dyDescent="0.3">
      <c r="A3346">
        <v>1075542872</v>
      </c>
      <c r="B3346" t="s">
        <v>3948</v>
      </c>
      <c r="C3346" t="s">
        <v>3937</v>
      </c>
      <c r="D3346" t="s">
        <v>3974</v>
      </c>
    </row>
    <row r="3347" spans="1:4" x14ac:dyDescent="0.3">
      <c r="A3347">
        <v>1075542872</v>
      </c>
      <c r="B3347" t="s">
        <v>3948</v>
      </c>
      <c r="C3347" t="s">
        <v>3937</v>
      </c>
      <c r="D3347" t="s">
        <v>3974</v>
      </c>
    </row>
    <row r="3348" spans="1:4" x14ac:dyDescent="0.3">
      <c r="A3348">
        <v>1075542872</v>
      </c>
      <c r="B3348" t="s">
        <v>3948</v>
      </c>
      <c r="C3348" t="s">
        <v>3937</v>
      </c>
      <c r="D3348" t="s">
        <v>3974</v>
      </c>
    </row>
    <row r="3349" spans="1:4" x14ac:dyDescent="0.3">
      <c r="A3349">
        <v>1075542872</v>
      </c>
      <c r="B3349" t="s">
        <v>3948</v>
      </c>
      <c r="C3349" t="s">
        <v>3937</v>
      </c>
      <c r="D3349" t="s">
        <v>3974</v>
      </c>
    </row>
    <row r="3350" spans="1:4" x14ac:dyDescent="0.3">
      <c r="A3350">
        <v>1075542872</v>
      </c>
      <c r="B3350" t="s">
        <v>3948</v>
      </c>
      <c r="C3350" t="s">
        <v>3937</v>
      </c>
      <c r="D3350" t="s">
        <v>3974</v>
      </c>
    </row>
    <row r="3351" spans="1:4" x14ac:dyDescent="0.3">
      <c r="A3351">
        <v>1075542872</v>
      </c>
      <c r="B3351" t="s">
        <v>3948</v>
      </c>
      <c r="C3351" t="s">
        <v>3937</v>
      </c>
      <c r="D3351" t="s">
        <v>3974</v>
      </c>
    </row>
    <row r="3352" spans="1:4" x14ac:dyDescent="0.3">
      <c r="A3352">
        <v>1075542872</v>
      </c>
      <c r="B3352" t="s">
        <v>3948</v>
      </c>
      <c r="C3352" t="s">
        <v>3937</v>
      </c>
      <c r="D3352" t="s">
        <v>3974</v>
      </c>
    </row>
    <row r="3353" spans="1:4" x14ac:dyDescent="0.3">
      <c r="A3353">
        <v>1075542872</v>
      </c>
      <c r="B3353" t="s">
        <v>3948</v>
      </c>
      <c r="C3353" t="s">
        <v>3937</v>
      </c>
      <c r="D3353" t="s">
        <v>3974</v>
      </c>
    </row>
    <row r="3354" spans="1:4" x14ac:dyDescent="0.3">
      <c r="A3354">
        <v>1075542872</v>
      </c>
      <c r="B3354" t="s">
        <v>3948</v>
      </c>
      <c r="C3354" t="s">
        <v>3937</v>
      </c>
      <c r="D3354" t="s">
        <v>3974</v>
      </c>
    </row>
    <row r="3355" spans="1:4" x14ac:dyDescent="0.3">
      <c r="A3355">
        <v>1075542872</v>
      </c>
      <c r="B3355" t="s">
        <v>3948</v>
      </c>
      <c r="C3355" t="s">
        <v>3937</v>
      </c>
      <c r="D3355" t="s">
        <v>3974</v>
      </c>
    </row>
    <row r="3356" spans="1:4" x14ac:dyDescent="0.3">
      <c r="A3356">
        <v>1075542872</v>
      </c>
      <c r="B3356" t="s">
        <v>3948</v>
      </c>
      <c r="C3356" t="s">
        <v>3937</v>
      </c>
      <c r="D3356" t="s">
        <v>3974</v>
      </c>
    </row>
    <row r="3357" spans="1:4" x14ac:dyDescent="0.3">
      <c r="A3357">
        <v>1075542872</v>
      </c>
      <c r="B3357" t="s">
        <v>3948</v>
      </c>
      <c r="C3357" t="s">
        <v>3937</v>
      </c>
      <c r="D3357" t="s">
        <v>3974</v>
      </c>
    </row>
    <row r="3358" spans="1:4" x14ac:dyDescent="0.3">
      <c r="A3358">
        <v>1075542872</v>
      </c>
      <c r="B3358" t="s">
        <v>3948</v>
      </c>
      <c r="C3358" t="s">
        <v>3937</v>
      </c>
      <c r="D3358" t="s">
        <v>3974</v>
      </c>
    </row>
    <row r="3359" spans="1:4" x14ac:dyDescent="0.3">
      <c r="A3359">
        <v>1075542872</v>
      </c>
      <c r="B3359" t="s">
        <v>3948</v>
      </c>
      <c r="C3359" t="s">
        <v>3937</v>
      </c>
      <c r="D3359" t="s">
        <v>3974</v>
      </c>
    </row>
    <row r="3360" spans="1:4" x14ac:dyDescent="0.3">
      <c r="A3360">
        <v>1075542872</v>
      </c>
      <c r="B3360" t="s">
        <v>3948</v>
      </c>
      <c r="C3360" t="s">
        <v>3937</v>
      </c>
      <c r="D3360" t="s">
        <v>3974</v>
      </c>
    </row>
    <row r="3361" spans="1:4" x14ac:dyDescent="0.3">
      <c r="A3361">
        <v>1075542872</v>
      </c>
      <c r="B3361" t="s">
        <v>3948</v>
      </c>
      <c r="C3361" t="s">
        <v>3937</v>
      </c>
      <c r="D3361" t="s">
        <v>3974</v>
      </c>
    </row>
    <row r="3362" spans="1:4" x14ac:dyDescent="0.3">
      <c r="A3362">
        <v>1077967131</v>
      </c>
      <c r="B3362" t="s">
        <v>3963</v>
      </c>
      <c r="C3362" t="s">
        <v>3934</v>
      </c>
      <c r="D3362" t="s">
        <v>4011</v>
      </c>
    </row>
    <row r="3363" spans="1:4" x14ac:dyDescent="0.3">
      <c r="A3363">
        <v>1077967131</v>
      </c>
      <c r="B3363" t="s">
        <v>3963</v>
      </c>
      <c r="C3363" t="s">
        <v>3934</v>
      </c>
      <c r="D3363" t="s">
        <v>4011</v>
      </c>
    </row>
    <row r="3364" spans="1:4" x14ac:dyDescent="0.3">
      <c r="A3364">
        <v>1077967131</v>
      </c>
      <c r="B3364" t="s">
        <v>3963</v>
      </c>
      <c r="C3364" t="s">
        <v>3934</v>
      </c>
      <c r="D3364" t="s">
        <v>4011</v>
      </c>
    </row>
    <row r="3365" spans="1:4" x14ac:dyDescent="0.3">
      <c r="A3365">
        <v>1077967131</v>
      </c>
      <c r="B3365" t="s">
        <v>3963</v>
      </c>
      <c r="C3365" t="s">
        <v>3934</v>
      </c>
      <c r="D3365" t="s">
        <v>4011</v>
      </c>
    </row>
    <row r="3366" spans="1:4" x14ac:dyDescent="0.3">
      <c r="A3366">
        <v>1077967131</v>
      </c>
      <c r="B3366" t="s">
        <v>3963</v>
      </c>
      <c r="C3366" t="s">
        <v>3934</v>
      </c>
      <c r="D3366" t="s">
        <v>4011</v>
      </c>
    </row>
    <row r="3367" spans="1:4" x14ac:dyDescent="0.3">
      <c r="A3367">
        <v>1077967131</v>
      </c>
      <c r="B3367" t="s">
        <v>3963</v>
      </c>
      <c r="C3367" t="s">
        <v>3934</v>
      </c>
      <c r="D3367" t="s">
        <v>4011</v>
      </c>
    </row>
    <row r="3368" spans="1:4" x14ac:dyDescent="0.3">
      <c r="A3368">
        <v>1077967131</v>
      </c>
      <c r="B3368" t="s">
        <v>3963</v>
      </c>
      <c r="C3368" t="s">
        <v>3934</v>
      </c>
      <c r="D3368" t="s">
        <v>4011</v>
      </c>
    </row>
    <row r="3369" spans="1:4" x14ac:dyDescent="0.3">
      <c r="A3369">
        <v>1077967131</v>
      </c>
      <c r="B3369" t="s">
        <v>3963</v>
      </c>
      <c r="C3369" t="s">
        <v>3934</v>
      </c>
      <c r="D3369" t="s">
        <v>4011</v>
      </c>
    </row>
    <row r="3370" spans="1:4" x14ac:dyDescent="0.3">
      <c r="A3370">
        <v>1077967131</v>
      </c>
      <c r="B3370" t="s">
        <v>3963</v>
      </c>
      <c r="C3370" t="s">
        <v>3934</v>
      </c>
      <c r="D3370" t="s">
        <v>4011</v>
      </c>
    </row>
    <row r="3371" spans="1:4" x14ac:dyDescent="0.3">
      <c r="A3371">
        <v>1077967131</v>
      </c>
      <c r="B3371" t="s">
        <v>3963</v>
      </c>
      <c r="C3371" t="s">
        <v>3934</v>
      </c>
      <c r="D3371" t="s">
        <v>4011</v>
      </c>
    </row>
    <row r="3372" spans="1:4" x14ac:dyDescent="0.3">
      <c r="A3372">
        <v>1077967131</v>
      </c>
      <c r="B3372" t="s">
        <v>3963</v>
      </c>
      <c r="C3372" t="s">
        <v>3934</v>
      </c>
      <c r="D3372" t="s">
        <v>4011</v>
      </c>
    </row>
    <row r="3373" spans="1:4" x14ac:dyDescent="0.3">
      <c r="A3373">
        <v>1077967131</v>
      </c>
      <c r="B3373" t="s">
        <v>3963</v>
      </c>
      <c r="C3373" t="s">
        <v>3934</v>
      </c>
      <c r="D3373" t="s">
        <v>4011</v>
      </c>
    </row>
    <row r="3374" spans="1:4" x14ac:dyDescent="0.3">
      <c r="A3374">
        <v>1077967131</v>
      </c>
      <c r="B3374" t="s">
        <v>3963</v>
      </c>
      <c r="C3374" t="s">
        <v>3934</v>
      </c>
      <c r="D3374" t="s">
        <v>4011</v>
      </c>
    </row>
    <row r="3375" spans="1:4" x14ac:dyDescent="0.3">
      <c r="A3375">
        <v>1077967131</v>
      </c>
      <c r="B3375" t="s">
        <v>3963</v>
      </c>
      <c r="C3375" t="s">
        <v>3934</v>
      </c>
      <c r="D3375" t="s">
        <v>4011</v>
      </c>
    </row>
    <row r="3376" spans="1:4" x14ac:dyDescent="0.3">
      <c r="A3376">
        <v>1077967131</v>
      </c>
      <c r="B3376" t="s">
        <v>3963</v>
      </c>
      <c r="C3376" t="s">
        <v>3934</v>
      </c>
      <c r="D3376" t="s">
        <v>4011</v>
      </c>
    </row>
    <row r="3377" spans="1:4" x14ac:dyDescent="0.3">
      <c r="A3377">
        <v>1077967131</v>
      </c>
      <c r="B3377" t="s">
        <v>3963</v>
      </c>
      <c r="C3377" t="s">
        <v>3934</v>
      </c>
      <c r="D3377" t="s">
        <v>4011</v>
      </c>
    </row>
    <row r="3378" spans="1:4" x14ac:dyDescent="0.3">
      <c r="A3378">
        <v>1077967131</v>
      </c>
      <c r="B3378" t="s">
        <v>3963</v>
      </c>
      <c r="C3378" t="s">
        <v>3934</v>
      </c>
      <c r="D3378" t="s">
        <v>4011</v>
      </c>
    </row>
    <row r="3379" spans="1:4" x14ac:dyDescent="0.3">
      <c r="A3379">
        <v>1077967131</v>
      </c>
      <c r="B3379" t="s">
        <v>3963</v>
      </c>
      <c r="C3379" t="s">
        <v>3934</v>
      </c>
      <c r="D3379" t="s">
        <v>4011</v>
      </c>
    </row>
    <row r="3380" spans="1:4" x14ac:dyDescent="0.3">
      <c r="A3380">
        <v>1077967131</v>
      </c>
      <c r="B3380" t="s">
        <v>3963</v>
      </c>
      <c r="C3380" t="s">
        <v>3934</v>
      </c>
      <c r="D3380" t="s">
        <v>4011</v>
      </c>
    </row>
    <row r="3381" spans="1:4" x14ac:dyDescent="0.3">
      <c r="A3381">
        <v>1077967131</v>
      </c>
      <c r="B3381" t="s">
        <v>3963</v>
      </c>
      <c r="C3381" t="s">
        <v>3934</v>
      </c>
      <c r="D3381" t="s">
        <v>4011</v>
      </c>
    </row>
    <row r="3382" spans="1:4" x14ac:dyDescent="0.3">
      <c r="A3382">
        <v>1077967131</v>
      </c>
      <c r="B3382" t="s">
        <v>3963</v>
      </c>
      <c r="C3382" t="s">
        <v>3934</v>
      </c>
      <c r="D3382" t="s">
        <v>4011</v>
      </c>
    </row>
    <row r="3383" spans="1:4" x14ac:dyDescent="0.3">
      <c r="A3383">
        <v>1077967131</v>
      </c>
      <c r="B3383" t="s">
        <v>3963</v>
      </c>
      <c r="C3383" t="s">
        <v>3934</v>
      </c>
      <c r="D3383" t="s">
        <v>4011</v>
      </c>
    </row>
    <row r="3384" spans="1:4" x14ac:dyDescent="0.3">
      <c r="A3384">
        <v>1077967131</v>
      </c>
      <c r="B3384" t="s">
        <v>3963</v>
      </c>
      <c r="C3384" t="s">
        <v>3934</v>
      </c>
      <c r="D3384" t="s">
        <v>4011</v>
      </c>
    </row>
    <row r="3385" spans="1:4" x14ac:dyDescent="0.3">
      <c r="A3385">
        <v>1077967131</v>
      </c>
      <c r="B3385" t="s">
        <v>3963</v>
      </c>
      <c r="C3385" t="s">
        <v>3934</v>
      </c>
      <c r="D3385" t="s">
        <v>4011</v>
      </c>
    </row>
    <row r="3386" spans="1:4" x14ac:dyDescent="0.3">
      <c r="A3386">
        <v>1082250716</v>
      </c>
      <c r="B3386" t="s">
        <v>3936</v>
      </c>
      <c r="C3386" t="s">
        <v>3937</v>
      </c>
      <c r="D3386" t="s">
        <v>3997</v>
      </c>
    </row>
    <row r="3387" spans="1:4" x14ac:dyDescent="0.3">
      <c r="A3387">
        <v>1082250716</v>
      </c>
      <c r="B3387" t="s">
        <v>3936</v>
      </c>
      <c r="C3387" t="s">
        <v>3937</v>
      </c>
      <c r="D3387" t="s">
        <v>3997</v>
      </c>
    </row>
    <row r="3388" spans="1:4" x14ac:dyDescent="0.3">
      <c r="A3388">
        <v>1082250716</v>
      </c>
      <c r="B3388" t="s">
        <v>3936</v>
      </c>
      <c r="C3388" t="s">
        <v>3937</v>
      </c>
      <c r="D3388" t="s">
        <v>3997</v>
      </c>
    </row>
    <row r="3389" spans="1:4" x14ac:dyDescent="0.3">
      <c r="A3389">
        <v>1082250716</v>
      </c>
      <c r="B3389" t="s">
        <v>3936</v>
      </c>
      <c r="C3389" t="s">
        <v>3937</v>
      </c>
      <c r="D3389" t="s">
        <v>3997</v>
      </c>
    </row>
    <row r="3390" spans="1:4" x14ac:dyDescent="0.3">
      <c r="A3390">
        <v>1082250716</v>
      </c>
      <c r="B3390" t="s">
        <v>3936</v>
      </c>
      <c r="C3390" t="s">
        <v>3937</v>
      </c>
      <c r="D3390" t="s">
        <v>3997</v>
      </c>
    </row>
    <row r="3391" spans="1:4" x14ac:dyDescent="0.3">
      <c r="A3391">
        <v>1082250716</v>
      </c>
      <c r="B3391" t="s">
        <v>3936</v>
      </c>
      <c r="C3391" t="s">
        <v>3937</v>
      </c>
      <c r="D3391" t="s">
        <v>3997</v>
      </c>
    </row>
    <row r="3392" spans="1:4" x14ac:dyDescent="0.3">
      <c r="A3392">
        <v>1082250716</v>
      </c>
      <c r="B3392" t="s">
        <v>3936</v>
      </c>
      <c r="C3392" t="s">
        <v>3937</v>
      </c>
      <c r="D3392" t="s">
        <v>3997</v>
      </c>
    </row>
    <row r="3393" spans="1:4" x14ac:dyDescent="0.3">
      <c r="A3393">
        <v>1082250716</v>
      </c>
      <c r="B3393" t="s">
        <v>3936</v>
      </c>
      <c r="C3393" t="s">
        <v>3937</v>
      </c>
      <c r="D3393" t="s">
        <v>3997</v>
      </c>
    </row>
    <row r="3394" spans="1:4" x14ac:dyDescent="0.3">
      <c r="A3394">
        <v>1082250716</v>
      </c>
      <c r="B3394" t="s">
        <v>3936</v>
      </c>
      <c r="C3394" t="s">
        <v>3937</v>
      </c>
      <c r="D3394" t="s">
        <v>3997</v>
      </c>
    </row>
    <row r="3395" spans="1:4" x14ac:dyDescent="0.3">
      <c r="A3395">
        <v>1082250716</v>
      </c>
      <c r="B3395" t="s">
        <v>3936</v>
      </c>
      <c r="C3395" t="s">
        <v>3937</v>
      </c>
      <c r="D3395" t="s">
        <v>3997</v>
      </c>
    </row>
    <row r="3396" spans="1:4" x14ac:dyDescent="0.3">
      <c r="A3396">
        <v>1082250716</v>
      </c>
      <c r="B3396" t="s">
        <v>3936</v>
      </c>
      <c r="C3396" t="s">
        <v>3937</v>
      </c>
      <c r="D3396" t="s">
        <v>3997</v>
      </c>
    </row>
    <row r="3397" spans="1:4" x14ac:dyDescent="0.3">
      <c r="A3397">
        <v>1082250716</v>
      </c>
      <c r="B3397" t="s">
        <v>3936</v>
      </c>
      <c r="C3397" t="s">
        <v>3937</v>
      </c>
      <c r="D3397" t="s">
        <v>3997</v>
      </c>
    </row>
    <row r="3398" spans="1:4" x14ac:dyDescent="0.3">
      <c r="A3398">
        <v>1082250716</v>
      </c>
      <c r="B3398" t="s">
        <v>3936</v>
      </c>
      <c r="C3398" t="s">
        <v>3937</v>
      </c>
      <c r="D3398" t="s">
        <v>3997</v>
      </c>
    </row>
    <row r="3399" spans="1:4" x14ac:dyDescent="0.3">
      <c r="A3399">
        <v>1082250716</v>
      </c>
      <c r="B3399" t="s">
        <v>3936</v>
      </c>
      <c r="C3399" t="s">
        <v>3937</v>
      </c>
      <c r="D3399" t="s">
        <v>3997</v>
      </c>
    </row>
    <row r="3400" spans="1:4" x14ac:dyDescent="0.3">
      <c r="A3400">
        <v>1082250716</v>
      </c>
      <c r="B3400" t="s">
        <v>3936</v>
      </c>
      <c r="C3400" t="s">
        <v>3937</v>
      </c>
      <c r="D3400" t="s">
        <v>3997</v>
      </c>
    </row>
    <row r="3401" spans="1:4" x14ac:dyDescent="0.3">
      <c r="A3401">
        <v>1082250716</v>
      </c>
      <c r="B3401" t="s">
        <v>3936</v>
      </c>
      <c r="C3401" t="s">
        <v>3937</v>
      </c>
      <c r="D3401" t="s">
        <v>3997</v>
      </c>
    </row>
    <row r="3402" spans="1:4" x14ac:dyDescent="0.3">
      <c r="A3402">
        <v>1082250716</v>
      </c>
      <c r="B3402" t="s">
        <v>3936</v>
      </c>
      <c r="C3402" t="s">
        <v>3937</v>
      </c>
      <c r="D3402" t="s">
        <v>3997</v>
      </c>
    </row>
    <row r="3403" spans="1:4" x14ac:dyDescent="0.3">
      <c r="A3403">
        <v>1082250716</v>
      </c>
      <c r="B3403" t="s">
        <v>3936</v>
      </c>
      <c r="C3403" t="s">
        <v>3937</v>
      </c>
      <c r="D3403" t="s">
        <v>3997</v>
      </c>
    </row>
    <row r="3404" spans="1:4" x14ac:dyDescent="0.3">
      <c r="A3404">
        <v>1082250716</v>
      </c>
      <c r="B3404" t="s">
        <v>3936</v>
      </c>
      <c r="C3404" t="s">
        <v>3937</v>
      </c>
      <c r="D3404" t="s">
        <v>3997</v>
      </c>
    </row>
    <row r="3405" spans="1:4" x14ac:dyDescent="0.3">
      <c r="A3405">
        <v>1082250716</v>
      </c>
      <c r="B3405" t="s">
        <v>3936</v>
      </c>
      <c r="C3405" t="s">
        <v>3937</v>
      </c>
      <c r="D3405" t="s">
        <v>3997</v>
      </c>
    </row>
    <row r="3406" spans="1:4" x14ac:dyDescent="0.3">
      <c r="A3406">
        <v>1082250716</v>
      </c>
      <c r="B3406" t="s">
        <v>3936</v>
      </c>
      <c r="C3406" t="s">
        <v>3937</v>
      </c>
      <c r="D3406" t="s">
        <v>3997</v>
      </c>
    </row>
    <row r="3407" spans="1:4" x14ac:dyDescent="0.3">
      <c r="A3407">
        <v>1082250716</v>
      </c>
      <c r="B3407" t="s">
        <v>3936</v>
      </c>
      <c r="C3407" t="s">
        <v>3937</v>
      </c>
      <c r="D3407" t="s">
        <v>3997</v>
      </c>
    </row>
    <row r="3408" spans="1:4" x14ac:dyDescent="0.3">
      <c r="A3408">
        <v>1082250716</v>
      </c>
      <c r="B3408" t="s">
        <v>3936</v>
      </c>
      <c r="C3408" t="s">
        <v>3937</v>
      </c>
      <c r="D3408" t="s">
        <v>3997</v>
      </c>
    </row>
    <row r="3409" spans="1:4" x14ac:dyDescent="0.3">
      <c r="A3409">
        <v>1082250716</v>
      </c>
      <c r="B3409" t="s">
        <v>3936</v>
      </c>
      <c r="C3409" t="s">
        <v>3937</v>
      </c>
      <c r="D3409" t="s">
        <v>3997</v>
      </c>
    </row>
    <row r="3410" spans="1:4" x14ac:dyDescent="0.3">
      <c r="A3410">
        <v>1082250716</v>
      </c>
      <c r="B3410" t="s">
        <v>3936</v>
      </c>
      <c r="C3410" t="s">
        <v>3937</v>
      </c>
      <c r="D3410" t="s">
        <v>3997</v>
      </c>
    </row>
    <row r="3411" spans="1:4" x14ac:dyDescent="0.3">
      <c r="A3411">
        <v>1082250716</v>
      </c>
      <c r="B3411" t="s">
        <v>3936</v>
      </c>
      <c r="C3411" t="s">
        <v>3937</v>
      </c>
      <c r="D3411" t="s">
        <v>3997</v>
      </c>
    </row>
    <row r="3412" spans="1:4" x14ac:dyDescent="0.3">
      <c r="A3412">
        <v>1082250716</v>
      </c>
      <c r="B3412" t="s">
        <v>3936</v>
      </c>
      <c r="C3412" t="s">
        <v>3937</v>
      </c>
      <c r="D3412" t="s">
        <v>3997</v>
      </c>
    </row>
    <row r="3413" spans="1:4" x14ac:dyDescent="0.3">
      <c r="A3413">
        <v>1082250716</v>
      </c>
      <c r="B3413" t="s">
        <v>3936</v>
      </c>
      <c r="C3413" t="s">
        <v>3937</v>
      </c>
      <c r="D3413" t="s">
        <v>3997</v>
      </c>
    </row>
    <row r="3414" spans="1:4" x14ac:dyDescent="0.3">
      <c r="A3414">
        <v>1082250716</v>
      </c>
      <c r="B3414" t="s">
        <v>3936</v>
      </c>
      <c r="C3414" t="s">
        <v>3937</v>
      </c>
      <c r="D3414" t="s">
        <v>3997</v>
      </c>
    </row>
    <row r="3415" spans="1:4" x14ac:dyDescent="0.3">
      <c r="A3415">
        <v>1082250716</v>
      </c>
      <c r="B3415" t="s">
        <v>3936</v>
      </c>
      <c r="C3415" t="s">
        <v>3937</v>
      </c>
      <c r="D3415" t="s">
        <v>3997</v>
      </c>
    </row>
    <row r="3416" spans="1:4" x14ac:dyDescent="0.3">
      <c r="A3416">
        <v>1082250716</v>
      </c>
      <c r="B3416" t="s">
        <v>3936</v>
      </c>
      <c r="C3416" t="s">
        <v>3937</v>
      </c>
      <c r="D3416" t="s">
        <v>3997</v>
      </c>
    </row>
    <row r="3417" spans="1:4" x14ac:dyDescent="0.3">
      <c r="A3417">
        <v>1082250716</v>
      </c>
      <c r="B3417" t="s">
        <v>3936</v>
      </c>
      <c r="C3417" t="s">
        <v>3937</v>
      </c>
      <c r="D3417" t="s">
        <v>3997</v>
      </c>
    </row>
    <row r="3418" spans="1:4" x14ac:dyDescent="0.3">
      <c r="A3418">
        <v>1082250716</v>
      </c>
      <c r="B3418" t="s">
        <v>3936</v>
      </c>
      <c r="C3418" t="s">
        <v>3937</v>
      </c>
      <c r="D3418" t="s">
        <v>3997</v>
      </c>
    </row>
    <row r="3419" spans="1:4" x14ac:dyDescent="0.3">
      <c r="A3419">
        <v>1082250716</v>
      </c>
      <c r="B3419" t="s">
        <v>3936</v>
      </c>
      <c r="C3419" t="s">
        <v>3937</v>
      </c>
      <c r="D3419" t="s">
        <v>3997</v>
      </c>
    </row>
    <row r="3420" spans="1:4" x14ac:dyDescent="0.3">
      <c r="A3420">
        <v>1082250716</v>
      </c>
      <c r="B3420" t="s">
        <v>3936</v>
      </c>
      <c r="C3420" t="s">
        <v>3937</v>
      </c>
      <c r="D3420" t="s">
        <v>3997</v>
      </c>
    </row>
    <row r="3421" spans="1:4" x14ac:dyDescent="0.3">
      <c r="A3421">
        <v>1082250716</v>
      </c>
      <c r="B3421" t="s">
        <v>3936</v>
      </c>
      <c r="C3421" t="s">
        <v>3937</v>
      </c>
      <c r="D3421" t="s">
        <v>3997</v>
      </c>
    </row>
    <row r="3422" spans="1:4" x14ac:dyDescent="0.3">
      <c r="A3422">
        <v>1082250716</v>
      </c>
      <c r="B3422" t="s">
        <v>3936</v>
      </c>
      <c r="C3422" t="s">
        <v>3937</v>
      </c>
      <c r="D3422" t="s">
        <v>3997</v>
      </c>
    </row>
    <row r="3423" spans="1:4" x14ac:dyDescent="0.3">
      <c r="A3423">
        <v>1082250716</v>
      </c>
      <c r="B3423" t="s">
        <v>3936</v>
      </c>
      <c r="C3423" t="s">
        <v>3937</v>
      </c>
      <c r="D3423" t="s">
        <v>3997</v>
      </c>
    </row>
    <row r="3424" spans="1:4" x14ac:dyDescent="0.3">
      <c r="A3424">
        <v>1082250716</v>
      </c>
      <c r="B3424" t="s">
        <v>3936</v>
      </c>
      <c r="C3424" t="s">
        <v>3937</v>
      </c>
      <c r="D3424" t="s">
        <v>3997</v>
      </c>
    </row>
    <row r="3425" spans="1:4" x14ac:dyDescent="0.3">
      <c r="A3425">
        <v>1118531834</v>
      </c>
      <c r="B3425" t="s">
        <v>3941</v>
      </c>
      <c r="C3425" t="s">
        <v>3934</v>
      </c>
      <c r="D3425" t="s">
        <v>3996</v>
      </c>
    </row>
    <row r="3426" spans="1:4" x14ac:dyDescent="0.3">
      <c r="A3426">
        <v>1118531834</v>
      </c>
      <c r="B3426" t="s">
        <v>3941</v>
      </c>
      <c r="C3426" t="s">
        <v>3934</v>
      </c>
      <c r="D3426" t="s">
        <v>3996</v>
      </c>
    </row>
    <row r="3427" spans="1:4" x14ac:dyDescent="0.3">
      <c r="A3427">
        <v>1118531834</v>
      </c>
      <c r="B3427" t="s">
        <v>3941</v>
      </c>
      <c r="C3427" t="s">
        <v>3934</v>
      </c>
      <c r="D3427" t="s">
        <v>3996</v>
      </c>
    </row>
    <row r="3428" spans="1:4" x14ac:dyDescent="0.3">
      <c r="A3428">
        <v>1118531834</v>
      </c>
      <c r="B3428" t="s">
        <v>3941</v>
      </c>
      <c r="C3428" t="s">
        <v>3934</v>
      </c>
      <c r="D3428" t="s">
        <v>3996</v>
      </c>
    </row>
    <row r="3429" spans="1:4" x14ac:dyDescent="0.3">
      <c r="A3429">
        <v>1118531834</v>
      </c>
      <c r="B3429" t="s">
        <v>3941</v>
      </c>
      <c r="C3429" t="s">
        <v>3934</v>
      </c>
      <c r="D3429" t="s">
        <v>3996</v>
      </c>
    </row>
    <row r="3430" spans="1:4" x14ac:dyDescent="0.3">
      <c r="A3430">
        <v>1118531834</v>
      </c>
      <c r="B3430" t="s">
        <v>3941</v>
      </c>
      <c r="C3430" t="s">
        <v>3934</v>
      </c>
      <c r="D3430" t="s">
        <v>3996</v>
      </c>
    </row>
    <row r="3431" spans="1:4" x14ac:dyDescent="0.3">
      <c r="A3431">
        <v>1118531834</v>
      </c>
      <c r="B3431" t="s">
        <v>3941</v>
      </c>
      <c r="C3431" t="s">
        <v>3934</v>
      </c>
      <c r="D3431" t="s">
        <v>3996</v>
      </c>
    </row>
    <row r="3432" spans="1:4" x14ac:dyDescent="0.3">
      <c r="A3432">
        <v>1118531834</v>
      </c>
      <c r="B3432" t="s">
        <v>3941</v>
      </c>
      <c r="C3432" t="s">
        <v>3934</v>
      </c>
      <c r="D3432" t="s">
        <v>3996</v>
      </c>
    </row>
    <row r="3433" spans="1:4" x14ac:dyDescent="0.3">
      <c r="A3433">
        <v>1118531834</v>
      </c>
      <c r="B3433" t="s">
        <v>3941</v>
      </c>
      <c r="C3433" t="s">
        <v>3934</v>
      </c>
      <c r="D3433" t="s">
        <v>3996</v>
      </c>
    </row>
    <row r="3434" spans="1:4" x14ac:dyDescent="0.3">
      <c r="A3434">
        <v>1118531834</v>
      </c>
      <c r="B3434" t="s">
        <v>3941</v>
      </c>
      <c r="C3434" t="s">
        <v>3934</v>
      </c>
      <c r="D3434" t="s">
        <v>3996</v>
      </c>
    </row>
    <row r="3435" spans="1:4" x14ac:dyDescent="0.3">
      <c r="A3435">
        <v>1118531834</v>
      </c>
      <c r="B3435" t="s">
        <v>3941</v>
      </c>
      <c r="C3435" t="s">
        <v>3934</v>
      </c>
      <c r="D3435" t="s">
        <v>3996</v>
      </c>
    </row>
    <row r="3436" spans="1:4" x14ac:dyDescent="0.3">
      <c r="A3436">
        <v>1118531834</v>
      </c>
      <c r="B3436" t="s">
        <v>3941</v>
      </c>
      <c r="C3436" t="s">
        <v>3934</v>
      </c>
      <c r="D3436" t="s">
        <v>3996</v>
      </c>
    </row>
    <row r="3437" spans="1:4" x14ac:dyDescent="0.3">
      <c r="A3437">
        <v>1118531834</v>
      </c>
      <c r="B3437" t="s">
        <v>3941</v>
      </c>
      <c r="C3437" t="s">
        <v>3934</v>
      </c>
      <c r="D3437" t="s">
        <v>3996</v>
      </c>
    </row>
    <row r="3438" spans="1:4" x14ac:dyDescent="0.3">
      <c r="A3438">
        <v>1118531834</v>
      </c>
      <c r="B3438" t="s">
        <v>3941</v>
      </c>
      <c r="C3438" t="s">
        <v>3934</v>
      </c>
      <c r="D3438" t="s">
        <v>3996</v>
      </c>
    </row>
    <row r="3439" spans="1:4" x14ac:dyDescent="0.3">
      <c r="A3439">
        <v>1118531834</v>
      </c>
      <c r="B3439" t="s">
        <v>3941</v>
      </c>
      <c r="C3439" t="s">
        <v>3934</v>
      </c>
      <c r="D3439" t="s">
        <v>3996</v>
      </c>
    </row>
    <row r="3440" spans="1:4" x14ac:dyDescent="0.3">
      <c r="A3440">
        <v>1118531834</v>
      </c>
      <c r="B3440" t="s">
        <v>3941</v>
      </c>
      <c r="C3440" t="s">
        <v>3934</v>
      </c>
      <c r="D3440" t="s">
        <v>3996</v>
      </c>
    </row>
    <row r="3441" spans="1:4" x14ac:dyDescent="0.3">
      <c r="A3441">
        <v>1118531834</v>
      </c>
      <c r="B3441" t="s">
        <v>3941</v>
      </c>
      <c r="C3441" t="s">
        <v>3934</v>
      </c>
      <c r="D3441" t="s">
        <v>3996</v>
      </c>
    </row>
    <row r="3442" spans="1:4" x14ac:dyDescent="0.3">
      <c r="A3442">
        <v>1118531834</v>
      </c>
      <c r="B3442" t="s">
        <v>3941</v>
      </c>
      <c r="C3442" t="s">
        <v>3934</v>
      </c>
      <c r="D3442" t="s">
        <v>3996</v>
      </c>
    </row>
    <row r="3443" spans="1:4" x14ac:dyDescent="0.3">
      <c r="A3443">
        <v>1123442099</v>
      </c>
      <c r="B3443" t="s">
        <v>4055</v>
      </c>
      <c r="C3443" t="s">
        <v>4056</v>
      </c>
      <c r="D3443" t="s">
        <v>4089</v>
      </c>
    </row>
    <row r="3444" spans="1:4" x14ac:dyDescent="0.3">
      <c r="A3444">
        <v>1123442099</v>
      </c>
      <c r="B3444" t="s">
        <v>4055</v>
      </c>
      <c r="C3444" t="s">
        <v>4056</v>
      </c>
      <c r="D3444" t="s">
        <v>4089</v>
      </c>
    </row>
    <row r="3445" spans="1:4" x14ac:dyDescent="0.3">
      <c r="A3445">
        <v>1123442099</v>
      </c>
      <c r="B3445" t="s">
        <v>4055</v>
      </c>
      <c r="C3445" t="s">
        <v>4056</v>
      </c>
      <c r="D3445" t="s">
        <v>4089</v>
      </c>
    </row>
    <row r="3446" spans="1:4" x14ac:dyDescent="0.3">
      <c r="A3446">
        <v>1123442099</v>
      </c>
      <c r="B3446" t="s">
        <v>4055</v>
      </c>
      <c r="C3446" t="s">
        <v>4056</v>
      </c>
      <c r="D3446" t="s">
        <v>4089</v>
      </c>
    </row>
    <row r="3447" spans="1:4" x14ac:dyDescent="0.3">
      <c r="A3447">
        <v>1123442099</v>
      </c>
      <c r="B3447" t="s">
        <v>4055</v>
      </c>
      <c r="C3447" t="s">
        <v>4056</v>
      </c>
      <c r="D3447" t="s">
        <v>4089</v>
      </c>
    </row>
    <row r="3448" spans="1:4" x14ac:dyDescent="0.3">
      <c r="A3448">
        <v>1140420282</v>
      </c>
      <c r="B3448" t="s">
        <v>3948</v>
      </c>
      <c r="C3448" t="s">
        <v>3937</v>
      </c>
      <c r="D3448" t="s">
        <v>3972</v>
      </c>
    </row>
    <row r="3449" spans="1:4" x14ac:dyDescent="0.3">
      <c r="A3449">
        <v>1140420282</v>
      </c>
      <c r="B3449" t="s">
        <v>3948</v>
      </c>
      <c r="C3449" t="s">
        <v>3937</v>
      </c>
      <c r="D3449" t="s">
        <v>3972</v>
      </c>
    </row>
    <row r="3450" spans="1:4" x14ac:dyDescent="0.3">
      <c r="A3450">
        <v>1140420282</v>
      </c>
      <c r="B3450" t="s">
        <v>3948</v>
      </c>
      <c r="C3450" t="s">
        <v>3937</v>
      </c>
      <c r="D3450" t="s">
        <v>3972</v>
      </c>
    </row>
    <row r="3451" spans="1:4" x14ac:dyDescent="0.3">
      <c r="A3451">
        <v>1140420282</v>
      </c>
      <c r="B3451" t="s">
        <v>3948</v>
      </c>
      <c r="C3451" t="s">
        <v>3937</v>
      </c>
      <c r="D3451" t="s">
        <v>3972</v>
      </c>
    </row>
    <row r="3452" spans="1:4" x14ac:dyDescent="0.3">
      <c r="A3452">
        <v>1140420282</v>
      </c>
      <c r="B3452" t="s">
        <v>3948</v>
      </c>
      <c r="C3452" t="s">
        <v>3937</v>
      </c>
      <c r="D3452" t="s">
        <v>3972</v>
      </c>
    </row>
    <row r="3453" spans="1:4" x14ac:dyDescent="0.3">
      <c r="A3453">
        <v>1140420282</v>
      </c>
      <c r="B3453" t="s">
        <v>3948</v>
      </c>
      <c r="C3453" t="s">
        <v>3937</v>
      </c>
      <c r="D3453" t="s">
        <v>3972</v>
      </c>
    </row>
    <row r="3454" spans="1:4" x14ac:dyDescent="0.3">
      <c r="A3454">
        <v>1140420282</v>
      </c>
      <c r="B3454" t="s">
        <v>3948</v>
      </c>
      <c r="C3454" t="s">
        <v>3937</v>
      </c>
      <c r="D3454" t="s">
        <v>3972</v>
      </c>
    </row>
    <row r="3455" spans="1:4" x14ac:dyDescent="0.3">
      <c r="A3455">
        <v>1140420282</v>
      </c>
      <c r="B3455" t="s">
        <v>3948</v>
      </c>
      <c r="C3455" t="s">
        <v>3937</v>
      </c>
      <c r="D3455" t="s">
        <v>3972</v>
      </c>
    </row>
    <row r="3456" spans="1:4" x14ac:dyDescent="0.3">
      <c r="A3456">
        <v>1140420282</v>
      </c>
      <c r="B3456" t="s">
        <v>3948</v>
      </c>
      <c r="C3456" t="s">
        <v>3937</v>
      </c>
      <c r="D3456" t="s">
        <v>3972</v>
      </c>
    </row>
    <row r="3457" spans="1:4" x14ac:dyDescent="0.3">
      <c r="A3457">
        <v>1140420282</v>
      </c>
      <c r="B3457" t="s">
        <v>3948</v>
      </c>
      <c r="C3457" t="s">
        <v>3937</v>
      </c>
      <c r="D3457" t="s">
        <v>3972</v>
      </c>
    </row>
    <row r="3458" spans="1:4" x14ac:dyDescent="0.3">
      <c r="A3458">
        <v>1140420282</v>
      </c>
      <c r="B3458" t="s">
        <v>3948</v>
      </c>
      <c r="C3458" t="s">
        <v>3937</v>
      </c>
      <c r="D3458" t="s">
        <v>3972</v>
      </c>
    </row>
    <row r="3459" spans="1:4" x14ac:dyDescent="0.3">
      <c r="A3459">
        <v>1140420282</v>
      </c>
      <c r="B3459" t="s">
        <v>3948</v>
      </c>
      <c r="C3459" t="s">
        <v>3937</v>
      </c>
      <c r="D3459" t="s">
        <v>3972</v>
      </c>
    </row>
    <row r="3460" spans="1:4" x14ac:dyDescent="0.3">
      <c r="A3460">
        <v>1140420282</v>
      </c>
      <c r="B3460" t="s">
        <v>3948</v>
      </c>
      <c r="C3460" t="s">
        <v>3937</v>
      </c>
      <c r="D3460" t="s">
        <v>3972</v>
      </c>
    </row>
    <row r="3461" spans="1:4" x14ac:dyDescent="0.3">
      <c r="A3461">
        <v>1140420282</v>
      </c>
      <c r="B3461" t="s">
        <v>3948</v>
      </c>
      <c r="C3461" t="s">
        <v>3937</v>
      </c>
      <c r="D3461" t="s">
        <v>3972</v>
      </c>
    </row>
    <row r="3462" spans="1:4" x14ac:dyDescent="0.3">
      <c r="A3462">
        <v>1140420282</v>
      </c>
      <c r="B3462" t="s">
        <v>3948</v>
      </c>
      <c r="C3462" t="s">
        <v>3937</v>
      </c>
      <c r="D3462" t="s">
        <v>3972</v>
      </c>
    </row>
    <row r="3463" spans="1:4" x14ac:dyDescent="0.3">
      <c r="A3463">
        <v>1140420282</v>
      </c>
      <c r="B3463" t="s">
        <v>3948</v>
      </c>
      <c r="C3463" t="s">
        <v>3937</v>
      </c>
      <c r="D3463" t="s">
        <v>3972</v>
      </c>
    </row>
    <row r="3464" spans="1:4" x14ac:dyDescent="0.3">
      <c r="A3464">
        <v>1140420282</v>
      </c>
      <c r="B3464" t="s">
        <v>3948</v>
      </c>
      <c r="C3464" t="s">
        <v>3937</v>
      </c>
      <c r="D3464" t="s">
        <v>3972</v>
      </c>
    </row>
    <row r="3465" spans="1:4" x14ac:dyDescent="0.3">
      <c r="A3465">
        <v>1140420282</v>
      </c>
      <c r="B3465" t="s">
        <v>3948</v>
      </c>
      <c r="C3465" t="s">
        <v>3937</v>
      </c>
      <c r="D3465" t="s">
        <v>3972</v>
      </c>
    </row>
    <row r="3466" spans="1:4" x14ac:dyDescent="0.3">
      <c r="A3466">
        <v>1140420282</v>
      </c>
      <c r="B3466" t="s">
        <v>3948</v>
      </c>
      <c r="C3466" t="s">
        <v>3937</v>
      </c>
      <c r="D3466" t="s">
        <v>3972</v>
      </c>
    </row>
    <row r="3467" spans="1:4" x14ac:dyDescent="0.3">
      <c r="A3467">
        <v>1140420282</v>
      </c>
      <c r="B3467" t="s">
        <v>3948</v>
      </c>
      <c r="C3467" t="s">
        <v>3937</v>
      </c>
      <c r="D3467" t="s">
        <v>3972</v>
      </c>
    </row>
    <row r="3468" spans="1:4" x14ac:dyDescent="0.3">
      <c r="A3468">
        <v>1140420282</v>
      </c>
      <c r="B3468" t="s">
        <v>3948</v>
      </c>
      <c r="C3468" t="s">
        <v>3937</v>
      </c>
      <c r="D3468" t="s">
        <v>3972</v>
      </c>
    </row>
    <row r="3469" spans="1:4" x14ac:dyDescent="0.3">
      <c r="A3469">
        <v>1140420282</v>
      </c>
      <c r="B3469" t="s">
        <v>3948</v>
      </c>
      <c r="C3469" t="s">
        <v>3937</v>
      </c>
      <c r="D3469" t="s">
        <v>3972</v>
      </c>
    </row>
    <row r="3470" spans="1:4" x14ac:dyDescent="0.3">
      <c r="A3470">
        <v>1140420282</v>
      </c>
      <c r="B3470" t="s">
        <v>3948</v>
      </c>
      <c r="C3470" t="s">
        <v>3937</v>
      </c>
      <c r="D3470" t="s">
        <v>3972</v>
      </c>
    </row>
    <row r="3471" spans="1:4" x14ac:dyDescent="0.3">
      <c r="A3471">
        <v>1140420282</v>
      </c>
      <c r="B3471" t="s">
        <v>3948</v>
      </c>
      <c r="C3471" t="s">
        <v>3937</v>
      </c>
      <c r="D3471" t="s">
        <v>3972</v>
      </c>
    </row>
    <row r="3472" spans="1:4" x14ac:dyDescent="0.3">
      <c r="A3472">
        <v>1140420282</v>
      </c>
      <c r="B3472" t="s">
        <v>3948</v>
      </c>
      <c r="C3472" t="s">
        <v>3937</v>
      </c>
      <c r="D3472" t="s">
        <v>3972</v>
      </c>
    </row>
    <row r="3473" spans="1:4" x14ac:dyDescent="0.3">
      <c r="A3473">
        <v>1140420282</v>
      </c>
      <c r="B3473" t="s">
        <v>3948</v>
      </c>
      <c r="C3473" t="s">
        <v>3937</v>
      </c>
      <c r="D3473" t="s">
        <v>3972</v>
      </c>
    </row>
    <row r="3474" spans="1:4" x14ac:dyDescent="0.3">
      <c r="A3474">
        <v>1140420282</v>
      </c>
      <c r="B3474" t="s">
        <v>3948</v>
      </c>
      <c r="C3474" t="s">
        <v>3937</v>
      </c>
      <c r="D3474" t="s">
        <v>3972</v>
      </c>
    </row>
    <row r="3475" spans="1:4" x14ac:dyDescent="0.3">
      <c r="A3475">
        <v>1140420282</v>
      </c>
      <c r="B3475" t="s">
        <v>3948</v>
      </c>
      <c r="C3475" t="s">
        <v>3937</v>
      </c>
      <c r="D3475" t="s">
        <v>3972</v>
      </c>
    </row>
    <row r="3476" spans="1:4" x14ac:dyDescent="0.3">
      <c r="A3476">
        <v>1140420282</v>
      </c>
      <c r="B3476" t="s">
        <v>3948</v>
      </c>
      <c r="C3476" t="s">
        <v>3937</v>
      </c>
      <c r="D3476" t="s">
        <v>3972</v>
      </c>
    </row>
    <row r="3477" spans="1:4" x14ac:dyDescent="0.3">
      <c r="A3477">
        <v>1140420282</v>
      </c>
      <c r="B3477" t="s">
        <v>3948</v>
      </c>
      <c r="C3477" t="s">
        <v>3937</v>
      </c>
      <c r="D3477" t="s">
        <v>3972</v>
      </c>
    </row>
    <row r="3478" spans="1:4" x14ac:dyDescent="0.3">
      <c r="A3478">
        <v>1140420282</v>
      </c>
      <c r="B3478" t="s">
        <v>3948</v>
      </c>
      <c r="C3478" t="s">
        <v>3937</v>
      </c>
      <c r="D3478" t="s">
        <v>3972</v>
      </c>
    </row>
    <row r="3479" spans="1:4" x14ac:dyDescent="0.3">
      <c r="A3479">
        <v>1140420282</v>
      </c>
      <c r="B3479" t="s">
        <v>3948</v>
      </c>
      <c r="C3479" t="s">
        <v>3937</v>
      </c>
      <c r="D3479" t="s">
        <v>3972</v>
      </c>
    </row>
    <row r="3480" spans="1:4" x14ac:dyDescent="0.3">
      <c r="A3480">
        <v>1140420282</v>
      </c>
      <c r="B3480" t="s">
        <v>3948</v>
      </c>
      <c r="C3480" t="s">
        <v>3937</v>
      </c>
      <c r="D3480" t="s">
        <v>3972</v>
      </c>
    </row>
    <row r="3481" spans="1:4" x14ac:dyDescent="0.3">
      <c r="A3481">
        <v>1140420282</v>
      </c>
      <c r="B3481" t="s">
        <v>3948</v>
      </c>
      <c r="C3481" t="s">
        <v>3937</v>
      </c>
      <c r="D3481" t="s">
        <v>3972</v>
      </c>
    </row>
    <row r="3482" spans="1:4" x14ac:dyDescent="0.3">
      <c r="A3482">
        <v>1140420282</v>
      </c>
      <c r="B3482" t="s">
        <v>3948</v>
      </c>
      <c r="C3482" t="s">
        <v>3937</v>
      </c>
      <c r="D3482" t="s">
        <v>3972</v>
      </c>
    </row>
    <row r="3483" spans="1:4" x14ac:dyDescent="0.3">
      <c r="A3483">
        <v>1140420282</v>
      </c>
      <c r="B3483" t="s">
        <v>3948</v>
      </c>
      <c r="C3483" t="s">
        <v>3937</v>
      </c>
      <c r="D3483" t="s">
        <v>3972</v>
      </c>
    </row>
    <row r="3484" spans="1:4" x14ac:dyDescent="0.3">
      <c r="A3484">
        <v>1140420282</v>
      </c>
      <c r="B3484" t="s">
        <v>3948</v>
      </c>
      <c r="C3484" t="s">
        <v>3937</v>
      </c>
      <c r="D3484" t="s">
        <v>3972</v>
      </c>
    </row>
    <row r="3485" spans="1:4" x14ac:dyDescent="0.3">
      <c r="A3485">
        <v>1140420282</v>
      </c>
      <c r="B3485" t="s">
        <v>3948</v>
      </c>
      <c r="C3485" t="s">
        <v>3937</v>
      </c>
      <c r="D3485" t="s">
        <v>3972</v>
      </c>
    </row>
    <row r="3486" spans="1:4" x14ac:dyDescent="0.3">
      <c r="A3486">
        <v>1140420282</v>
      </c>
      <c r="B3486" t="s">
        <v>3948</v>
      </c>
      <c r="C3486" t="s">
        <v>3937</v>
      </c>
      <c r="D3486" t="s">
        <v>3972</v>
      </c>
    </row>
    <row r="3487" spans="1:4" x14ac:dyDescent="0.3">
      <c r="A3487">
        <v>1140420282</v>
      </c>
      <c r="B3487" t="s">
        <v>3948</v>
      </c>
      <c r="C3487" t="s">
        <v>3937</v>
      </c>
      <c r="D3487" t="s">
        <v>3972</v>
      </c>
    </row>
    <row r="3488" spans="1:4" x14ac:dyDescent="0.3">
      <c r="A3488">
        <v>1140420282</v>
      </c>
      <c r="B3488" t="s">
        <v>3948</v>
      </c>
      <c r="C3488" t="s">
        <v>3937</v>
      </c>
      <c r="D3488" t="s">
        <v>3972</v>
      </c>
    </row>
    <row r="3489" spans="1:4" x14ac:dyDescent="0.3">
      <c r="A3489">
        <v>1140420282</v>
      </c>
      <c r="B3489" t="s">
        <v>3948</v>
      </c>
      <c r="C3489" t="s">
        <v>3937</v>
      </c>
      <c r="D3489" t="s">
        <v>3972</v>
      </c>
    </row>
    <row r="3490" spans="1:4" x14ac:dyDescent="0.3">
      <c r="A3490">
        <v>1140420282</v>
      </c>
      <c r="B3490" t="s">
        <v>3948</v>
      </c>
      <c r="C3490" t="s">
        <v>3937</v>
      </c>
      <c r="D3490" t="s">
        <v>3972</v>
      </c>
    </row>
    <row r="3491" spans="1:4" x14ac:dyDescent="0.3">
      <c r="A3491">
        <v>1140420282</v>
      </c>
      <c r="B3491" t="s">
        <v>3948</v>
      </c>
      <c r="C3491" t="s">
        <v>3937</v>
      </c>
      <c r="D3491" t="s">
        <v>3972</v>
      </c>
    </row>
    <row r="3492" spans="1:4" x14ac:dyDescent="0.3">
      <c r="A3492">
        <v>1140420282</v>
      </c>
      <c r="B3492" t="s">
        <v>3948</v>
      </c>
      <c r="C3492" t="s">
        <v>3937</v>
      </c>
      <c r="D3492" t="s">
        <v>3972</v>
      </c>
    </row>
    <row r="3493" spans="1:4" x14ac:dyDescent="0.3">
      <c r="A3493">
        <v>1140420282</v>
      </c>
      <c r="B3493" t="s">
        <v>3948</v>
      </c>
      <c r="C3493" t="s">
        <v>3937</v>
      </c>
      <c r="D3493" t="s">
        <v>3972</v>
      </c>
    </row>
    <row r="3494" spans="1:4" x14ac:dyDescent="0.3">
      <c r="A3494">
        <v>1140420282</v>
      </c>
      <c r="B3494" t="s">
        <v>3948</v>
      </c>
      <c r="C3494" t="s">
        <v>3937</v>
      </c>
      <c r="D3494" t="s">
        <v>3972</v>
      </c>
    </row>
    <row r="3495" spans="1:4" x14ac:dyDescent="0.3">
      <c r="A3495">
        <v>1140420282</v>
      </c>
      <c r="B3495" t="s">
        <v>3948</v>
      </c>
      <c r="C3495" t="s">
        <v>3937</v>
      </c>
      <c r="D3495" t="s">
        <v>3972</v>
      </c>
    </row>
    <row r="3496" spans="1:4" x14ac:dyDescent="0.3">
      <c r="A3496">
        <v>1140420282</v>
      </c>
      <c r="B3496" t="s">
        <v>3948</v>
      </c>
      <c r="C3496" t="s">
        <v>3937</v>
      </c>
      <c r="D3496" t="s">
        <v>3972</v>
      </c>
    </row>
    <row r="3497" spans="1:4" x14ac:dyDescent="0.3">
      <c r="A3497">
        <v>1140420282</v>
      </c>
      <c r="B3497" t="s">
        <v>3948</v>
      </c>
      <c r="C3497" t="s">
        <v>3937</v>
      </c>
      <c r="D3497" t="s">
        <v>3972</v>
      </c>
    </row>
    <row r="3498" spans="1:4" x14ac:dyDescent="0.3">
      <c r="A3498">
        <v>1140420282</v>
      </c>
      <c r="B3498" t="s">
        <v>3948</v>
      </c>
      <c r="C3498" t="s">
        <v>3937</v>
      </c>
      <c r="D3498" t="s">
        <v>3972</v>
      </c>
    </row>
    <row r="3499" spans="1:4" x14ac:dyDescent="0.3">
      <c r="A3499">
        <v>1140420282</v>
      </c>
      <c r="B3499" t="s">
        <v>3948</v>
      </c>
      <c r="C3499" t="s">
        <v>3937</v>
      </c>
      <c r="D3499" t="s">
        <v>3972</v>
      </c>
    </row>
    <row r="3500" spans="1:4" x14ac:dyDescent="0.3">
      <c r="A3500">
        <v>1140420282</v>
      </c>
      <c r="B3500" t="s">
        <v>3948</v>
      </c>
      <c r="C3500" t="s">
        <v>3937</v>
      </c>
      <c r="D3500" t="s">
        <v>3972</v>
      </c>
    </row>
    <row r="3501" spans="1:4" x14ac:dyDescent="0.3">
      <c r="A3501">
        <v>1140420282</v>
      </c>
      <c r="B3501" t="s">
        <v>3948</v>
      </c>
      <c r="C3501" t="s">
        <v>3937</v>
      </c>
      <c r="D3501" t="s">
        <v>3972</v>
      </c>
    </row>
    <row r="3502" spans="1:4" x14ac:dyDescent="0.3">
      <c r="A3502">
        <v>1140420282</v>
      </c>
      <c r="B3502" t="s">
        <v>3948</v>
      </c>
      <c r="C3502" t="s">
        <v>3937</v>
      </c>
      <c r="D3502" t="s">
        <v>3972</v>
      </c>
    </row>
    <row r="3503" spans="1:4" x14ac:dyDescent="0.3">
      <c r="A3503">
        <v>1140420282</v>
      </c>
      <c r="B3503" t="s">
        <v>3948</v>
      </c>
      <c r="C3503" t="s">
        <v>3937</v>
      </c>
      <c r="D3503" t="s">
        <v>3972</v>
      </c>
    </row>
    <row r="3504" spans="1:4" x14ac:dyDescent="0.3">
      <c r="A3504">
        <v>1140420282</v>
      </c>
      <c r="B3504" t="s">
        <v>3948</v>
      </c>
      <c r="C3504" t="s">
        <v>3937</v>
      </c>
      <c r="D3504" t="s">
        <v>3972</v>
      </c>
    </row>
    <row r="3505" spans="1:4" x14ac:dyDescent="0.3">
      <c r="A3505">
        <v>1140420282</v>
      </c>
      <c r="B3505" t="s">
        <v>3948</v>
      </c>
      <c r="C3505" t="s">
        <v>3937</v>
      </c>
      <c r="D3505" t="s">
        <v>3972</v>
      </c>
    </row>
    <row r="3506" spans="1:4" x14ac:dyDescent="0.3">
      <c r="A3506">
        <v>1140420282</v>
      </c>
      <c r="B3506" t="s">
        <v>3948</v>
      </c>
      <c r="C3506" t="s">
        <v>3937</v>
      </c>
      <c r="D3506" t="s">
        <v>3972</v>
      </c>
    </row>
    <row r="3507" spans="1:4" x14ac:dyDescent="0.3">
      <c r="A3507">
        <v>1140420282</v>
      </c>
      <c r="B3507" t="s">
        <v>3948</v>
      </c>
      <c r="C3507" t="s">
        <v>3937</v>
      </c>
      <c r="D3507" t="s">
        <v>3972</v>
      </c>
    </row>
    <row r="3508" spans="1:4" x14ac:dyDescent="0.3">
      <c r="A3508">
        <v>1140420282</v>
      </c>
      <c r="B3508" t="s">
        <v>3948</v>
      </c>
      <c r="C3508" t="s">
        <v>3937</v>
      </c>
      <c r="D3508" t="s">
        <v>3972</v>
      </c>
    </row>
    <row r="3509" spans="1:4" x14ac:dyDescent="0.3">
      <c r="A3509">
        <v>1140420282</v>
      </c>
      <c r="B3509" t="s">
        <v>3948</v>
      </c>
      <c r="C3509" t="s">
        <v>3937</v>
      </c>
      <c r="D3509" t="s">
        <v>3972</v>
      </c>
    </row>
    <row r="3510" spans="1:4" x14ac:dyDescent="0.3">
      <c r="A3510">
        <v>1140420282</v>
      </c>
      <c r="B3510" t="s">
        <v>3948</v>
      </c>
      <c r="C3510" t="s">
        <v>3937</v>
      </c>
      <c r="D3510" t="s">
        <v>3972</v>
      </c>
    </row>
    <row r="3511" spans="1:4" x14ac:dyDescent="0.3">
      <c r="A3511">
        <v>1193146767</v>
      </c>
      <c r="B3511" t="s">
        <v>3936</v>
      </c>
      <c r="C3511" t="s">
        <v>3937</v>
      </c>
      <c r="D3511" t="s">
        <v>4072</v>
      </c>
    </row>
    <row r="3512" spans="1:4" x14ac:dyDescent="0.3">
      <c r="A3512">
        <v>1193146767</v>
      </c>
      <c r="B3512" t="s">
        <v>3936</v>
      </c>
      <c r="C3512" t="s">
        <v>3937</v>
      </c>
      <c r="D3512" t="s">
        <v>4072</v>
      </c>
    </row>
    <row r="3513" spans="1:4" x14ac:dyDescent="0.3">
      <c r="A3513">
        <v>1193146767</v>
      </c>
      <c r="B3513" t="s">
        <v>3936</v>
      </c>
      <c r="C3513" t="s">
        <v>3937</v>
      </c>
      <c r="D3513" t="s">
        <v>4072</v>
      </c>
    </row>
    <row r="3514" spans="1:4" x14ac:dyDescent="0.3">
      <c r="A3514">
        <v>1193146767</v>
      </c>
      <c r="B3514" t="s">
        <v>3936</v>
      </c>
      <c r="C3514" t="s">
        <v>3937</v>
      </c>
      <c r="D3514" t="s">
        <v>4072</v>
      </c>
    </row>
    <row r="3515" spans="1:4" x14ac:dyDescent="0.3">
      <c r="A3515">
        <v>1193146767</v>
      </c>
      <c r="B3515" t="s">
        <v>3936</v>
      </c>
      <c r="C3515" t="s">
        <v>3937</v>
      </c>
      <c r="D3515" t="s">
        <v>4072</v>
      </c>
    </row>
    <row r="3516" spans="1:4" x14ac:dyDescent="0.3">
      <c r="A3516">
        <v>1193146767</v>
      </c>
      <c r="B3516" t="s">
        <v>3936</v>
      </c>
      <c r="C3516" t="s">
        <v>3937</v>
      </c>
      <c r="D3516" t="s">
        <v>4072</v>
      </c>
    </row>
    <row r="3517" spans="1:4" x14ac:dyDescent="0.3">
      <c r="A3517">
        <v>1193146767</v>
      </c>
      <c r="B3517" t="s">
        <v>3936</v>
      </c>
      <c r="C3517" t="s">
        <v>3937</v>
      </c>
      <c r="D3517" t="s">
        <v>4072</v>
      </c>
    </row>
    <row r="3518" spans="1:4" x14ac:dyDescent="0.3">
      <c r="A3518">
        <v>1193146767</v>
      </c>
      <c r="B3518" t="s">
        <v>3936</v>
      </c>
      <c r="C3518" t="s">
        <v>3937</v>
      </c>
      <c r="D3518" t="s">
        <v>4072</v>
      </c>
    </row>
    <row r="3519" spans="1:4" x14ac:dyDescent="0.3">
      <c r="A3519">
        <v>1193146767</v>
      </c>
      <c r="B3519" t="s">
        <v>3936</v>
      </c>
      <c r="C3519" t="s">
        <v>3937</v>
      </c>
      <c r="D3519" t="s">
        <v>4072</v>
      </c>
    </row>
    <row r="3520" spans="1:4" x14ac:dyDescent="0.3">
      <c r="A3520">
        <v>1193146767</v>
      </c>
      <c r="B3520" t="s">
        <v>3936</v>
      </c>
      <c r="C3520" t="s">
        <v>3937</v>
      </c>
      <c r="D3520" t="s">
        <v>4072</v>
      </c>
    </row>
    <row r="3521" spans="1:4" x14ac:dyDescent="0.3">
      <c r="A3521">
        <v>1193146767</v>
      </c>
      <c r="B3521" t="s">
        <v>3936</v>
      </c>
      <c r="C3521" t="s">
        <v>3937</v>
      </c>
      <c r="D3521" t="s">
        <v>4072</v>
      </c>
    </row>
    <row r="3522" spans="1:4" x14ac:dyDescent="0.3">
      <c r="A3522">
        <v>1193146767</v>
      </c>
      <c r="B3522" t="s">
        <v>3936</v>
      </c>
      <c r="C3522" t="s">
        <v>3937</v>
      </c>
      <c r="D3522" t="s">
        <v>4072</v>
      </c>
    </row>
    <row r="3523" spans="1:4" x14ac:dyDescent="0.3">
      <c r="A3523">
        <v>1193146767</v>
      </c>
      <c r="B3523" t="s">
        <v>3936</v>
      </c>
      <c r="C3523" t="s">
        <v>3937</v>
      </c>
      <c r="D3523" t="s">
        <v>4072</v>
      </c>
    </row>
    <row r="3524" spans="1:4" x14ac:dyDescent="0.3">
      <c r="A3524">
        <v>1193146767</v>
      </c>
      <c r="B3524" t="s">
        <v>3936</v>
      </c>
      <c r="C3524" t="s">
        <v>3937</v>
      </c>
      <c r="D3524" t="s">
        <v>4072</v>
      </c>
    </row>
    <row r="3525" spans="1:4" x14ac:dyDescent="0.3">
      <c r="A3525">
        <v>1193146767</v>
      </c>
      <c r="B3525" t="s">
        <v>3936</v>
      </c>
      <c r="C3525" t="s">
        <v>3937</v>
      </c>
      <c r="D3525" t="s">
        <v>4072</v>
      </c>
    </row>
    <row r="3526" spans="1:4" x14ac:dyDescent="0.3">
      <c r="A3526">
        <v>1193146767</v>
      </c>
      <c r="B3526" t="s">
        <v>3936</v>
      </c>
      <c r="C3526" t="s">
        <v>3937</v>
      </c>
      <c r="D3526" t="s">
        <v>4072</v>
      </c>
    </row>
    <row r="3527" spans="1:4" x14ac:dyDescent="0.3">
      <c r="A3527">
        <v>1193146767</v>
      </c>
      <c r="B3527" t="s">
        <v>3936</v>
      </c>
      <c r="C3527" t="s">
        <v>3937</v>
      </c>
      <c r="D3527" t="s">
        <v>4072</v>
      </c>
    </row>
    <row r="3528" spans="1:4" x14ac:dyDescent="0.3">
      <c r="A3528">
        <v>1193146767</v>
      </c>
      <c r="B3528" t="s">
        <v>3936</v>
      </c>
      <c r="C3528" t="s">
        <v>3937</v>
      </c>
      <c r="D3528" t="s">
        <v>4072</v>
      </c>
    </row>
    <row r="3529" spans="1:4" x14ac:dyDescent="0.3">
      <c r="A3529">
        <v>1193146767</v>
      </c>
      <c r="B3529" t="s">
        <v>3936</v>
      </c>
      <c r="C3529" t="s">
        <v>3937</v>
      </c>
      <c r="D3529" t="s">
        <v>4072</v>
      </c>
    </row>
    <row r="3530" spans="1:4" x14ac:dyDescent="0.3">
      <c r="A3530">
        <v>1193146767</v>
      </c>
      <c r="B3530" t="s">
        <v>3936</v>
      </c>
      <c r="C3530" t="s">
        <v>3937</v>
      </c>
      <c r="D3530" t="s">
        <v>4072</v>
      </c>
    </row>
    <row r="3531" spans="1:4" x14ac:dyDescent="0.3">
      <c r="A3531">
        <v>1193146767</v>
      </c>
      <c r="B3531" t="s">
        <v>3936</v>
      </c>
      <c r="C3531" t="s">
        <v>3937</v>
      </c>
      <c r="D3531" t="s">
        <v>4072</v>
      </c>
    </row>
    <row r="3532" spans="1:4" x14ac:dyDescent="0.3">
      <c r="A3532">
        <v>1193146767</v>
      </c>
      <c r="B3532" t="s">
        <v>3936</v>
      </c>
      <c r="C3532" t="s">
        <v>3937</v>
      </c>
      <c r="D3532" t="s">
        <v>4072</v>
      </c>
    </row>
    <row r="3533" spans="1:4" x14ac:dyDescent="0.3">
      <c r="A3533">
        <v>1193146767</v>
      </c>
      <c r="B3533" t="s">
        <v>3936</v>
      </c>
      <c r="C3533" t="s">
        <v>3937</v>
      </c>
      <c r="D3533" t="s">
        <v>4072</v>
      </c>
    </row>
    <row r="3534" spans="1:4" x14ac:dyDescent="0.3">
      <c r="A3534">
        <v>1193146767</v>
      </c>
      <c r="B3534" t="s">
        <v>3936</v>
      </c>
      <c r="C3534" t="s">
        <v>3937</v>
      </c>
      <c r="D3534" t="s">
        <v>4072</v>
      </c>
    </row>
    <row r="3535" spans="1:4" x14ac:dyDescent="0.3">
      <c r="A3535">
        <v>1193146767</v>
      </c>
      <c r="B3535" t="s">
        <v>3936</v>
      </c>
      <c r="C3535" t="s">
        <v>3937</v>
      </c>
      <c r="D3535" t="s">
        <v>4072</v>
      </c>
    </row>
    <row r="3536" spans="1:4" x14ac:dyDescent="0.3">
      <c r="A3536">
        <v>1193146767</v>
      </c>
      <c r="B3536" t="s">
        <v>3936</v>
      </c>
      <c r="C3536" t="s">
        <v>3937</v>
      </c>
      <c r="D3536" t="s">
        <v>4072</v>
      </c>
    </row>
    <row r="3537" spans="1:4" x14ac:dyDescent="0.3">
      <c r="A3537">
        <v>1193146767</v>
      </c>
      <c r="B3537" t="s">
        <v>3936</v>
      </c>
      <c r="C3537" t="s">
        <v>3937</v>
      </c>
      <c r="D3537" t="s">
        <v>4072</v>
      </c>
    </row>
    <row r="3538" spans="1:4" x14ac:dyDescent="0.3">
      <c r="A3538">
        <v>1193146767</v>
      </c>
      <c r="B3538" t="s">
        <v>3936</v>
      </c>
      <c r="C3538" t="s">
        <v>3937</v>
      </c>
      <c r="D3538" t="s">
        <v>4072</v>
      </c>
    </row>
    <row r="3539" spans="1:4" x14ac:dyDescent="0.3">
      <c r="A3539">
        <v>1193146767</v>
      </c>
      <c r="B3539" t="s">
        <v>3936</v>
      </c>
      <c r="C3539" t="s">
        <v>3937</v>
      </c>
      <c r="D3539" t="s">
        <v>4072</v>
      </c>
    </row>
    <row r="3540" spans="1:4" x14ac:dyDescent="0.3">
      <c r="A3540">
        <v>1193146767</v>
      </c>
      <c r="B3540" t="s">
        <v>3936</v>
      </c>
      <c r="C3540" t="s">
        <v>3937</v>
      </c>
      <c r="D3540" t="s">
        <v>4072</v>
      </c>
    </row>
    <row r="3541" spans="1:4" x14ac:dyDescent="0.3">
      <c r="A3541">
        <v>1193146767</v>
      </c>
      <c r="B3541" t="s">
        <v>3936</v>
      </c>
      <c r="C3541" t="s">
        <v>3937</v>
      </c>
      <c r="D3541" t="s">
        <v>4072</v>
      </c>
    </row>
    <row r="3542" spans="1:4" x14ac:dyDescent="0.3">
      <c r="A3542">
        <v>1193146767</v>
      </c>
      <c r="B3542" t="s">
        <v>3936</v>
      </c>
      <c r="C3542" t="s">
        <v>3937</v>
      </c>
      <c r="D3542" t="s">
        <v>4072</v>
      </c>
    </row>
    <row r="3543" spans="1:4" x14ac:dyDescent="0.3">
      <c r="A3543">
        <v>1193146767</v>
      </c>
      <c r="B3543" t="s">
        <v>3936</v>
      </c>
      <c r="C3543" t="s">
        <v>3937</v>
      </c>
      <c r="D3543" t="s">
        <v>4072</v>
      </c>
    </row>
    <row r="3544" spans="1:4" x14ac:dyDescent="0.3">
      <c r="A3544">
        <v>1193146767</v>
      </c>
      <c r="B3544" t="s">
        <v>3936</v>
      </c>
      <c r="C3544" t="s">
        <v>3937</v>
      </c>
      <c r="D3544" t="s">
        <v>4072</v>
      </c>
    </row>
    <row r="3545" spans="1:4" x14ac:dyDescent="0.3">
      <c r="A3545">
        <v>1193146767</v>
      </c>
      <c r="B3545" t="s">
        <v>3936</v>
      </c>
      <c r="C3545" t="s">
        <v>3937</v>
      </c>
      <c r="D3545" t="s">
        <v>4072</v>
      </c>
    </row>
    <row r="3546" spans="1:4" x14ac:dyDescent="0.3">
      <c r="A3546">
        <v>1193146767</v>
      </c>
      <c r="B3546" t="s">
        <v>3936</v>
      </c>
      <c r="C3546" t="s">
        <v>3937</v>
      </c>
      <c r="D3546" t="s">
        <v>4072</v>
      </c>
    </row>
    <row r="3547" spans="1:4" x14ac:dyDescent="0.3">
      <c r="A3547">
        <v>1193146767</v>
      </c>
      <c r="B3547" t="s">
        <v>3936</v>
      </c>
      <c r="C3547" t="s">
        <v>3937</v>
      </c>
      <c r="D3547" t="s">
        <v>4072</v>
      </c>
    </row>
    <row r="3548" spans="1:4" x14ac:dyDescent="0.3">
      <c r="A3548">
        <v>1193146767</v>
      </c>
      <c r="B3548" t="s">
        <v>3936</v>
      </c>
      <c r="C3548" t="s">
        <v>3937</v>
      </c>
      <c r="D3548" t="s">
        <v>4072</v>
      </c>
    </row>
    <row r="3549" spans="1:4" x14ac:dyDescent="0.3">
      <c r="A3549">
        <v>1193566421</v>
      </c>
      <c r="B3549" t="s">
        <v>4055</v>
      </c>
      <c r="C3549" t="s">
        <v>4056</v>
      </c>
      <c r="D3549" t="s">
        <v>4075</v>
      </c>
    </row>
    <row r="3550" spans="1:4" x14ac:dyDescent="0.3">
      <c r="A3550">
        <v>1193566421</v>
      </c>
      <c r="B3550" t="s">
        <v>4055</v>
      </c>
      <c r="C3550" t="s">
        <v>4056</v>
      </c>
      <c r="D3550" t="s">
        <v>4075</v>
      </c>
    </row>
    <row r="3551" spans="1:4" x14ac:dyDescent="0.3">
      <c r="A3551">
        <v>1193566421</v>
      </c>
      <c r="B3551" t="s">
        <v>4055</v>
      </c>
      <c r="C3551" t="s">
        <v>4056</v>
      </c>
      <c r="D3551" t="s">
        <v>4075</v>
      </c>
    </row>
    <row r="3552" spans="1:4" x14ac:dyDescent="0.3">
      <c r="A3552">
        <v>1193566421</v>
      </c>
      <c r="B3552" t="s">
        <v>4055</v>
      </c>
      <c r="C3552" t="s">
        <v>4056</v>
      </c>
      <c r="D3552" t="s">
        <v>4075</v>
      </c>
    </row>
    <row r="3553" spans="1:4" x14ac:dyDescent="0.3">
      <c r="A3553">
        <v>1193566421</v>
      </c>
      <c r="B3553" t="s">
        <v>4055</v>
      </c>
      <c r="C3553" t="s">
        <v>4056</v>
      </c>
      <c r="D3553" t="s">
        <v>4075</v>
      </c>
    </row>
    <row r="3554" spans="1:4" x14ac:dyDescent="0.3">
      <c r="A3554">
        <v>1193566421</v>
      </c>
      <c r="B3554" t="s">
        <v>4055</v>
      </c>
      <c r="C3554" t="s">
        <v>4056</v>
      </c>
      <c r="D3554" t="s">
        <v>4075</v>
      </c>
    </row>
    <row r="3555" spans="1:4" x14ac:dyDescent="0.3">
      <c r="A3555">
        <v>1193566421</v>
      </c>
      <c r="B3555" t="s">
        <v>4055</v>
      </c>
      <c r="C3555" t="s">
        <v>4056</v>
      </c>
      <c r="D3555" t="s">
        <v>4075</v>
      </c>
    </row>
    <row r="3556" spans="1:4" x14ac:dyDescent="0.3">
      <c r="A3556">
        <v>1193566421</v>
      </c>
      <c r="B3556" t="s">
        <v>4055</v>
      </c>
      <c r="C3556" t="s">
        <v>4056</v>
      </c>
      <c r="D3556" t="s">
        <v>4075</v>
      </c>
    </row>
    <row r="3557" spans="1:4" x14ac:dyDescent="0.3">
      <c r="A3557">
        <v>1193566421</v>
      </c>
      <c r="B3557" t="s">
        <v>4055</v>
      </c>
      <c r="C3557" t="s">
        <v>4056</v>
      </c>
      <c r="D3557" t="s">
        <v>4075</v>
      </c>
    </row>
    <row r="3558" spans="1:4" x14ac:dyDescent="0.3">
      <c r="A3558">
        <v>1193566421</v>
      </c>
      <c r="B3558" t="s">
        <v>4055</v>
      </c>
      <c r="C3558" t="s">
        <v>4056</v>
      </c>
      <c r="D3558" t="s">
        <v>4075</v>
      </c>
    </row>
    <row r="3559" spans="1:4" x14ac:dyDescent="0.3">
      <c r="A3559">
        <v>1193566421</v>
      </c>
      <c r="B3559" t="s">
        <v>4055</v>
      </c>
      <c r="C3559" t="s">
        <v>4056</v>
      </c>
      <c r="D3559" t="s">
        <v>4075</v>
      </c>
    </row>
    <row r="3560" spans="1:4" x14ac:dyDescent="0.3">
      <c r="A3560">
        <v>1193566421</v>
      </c>
      <c r="B3560" t="s">
        <v>4055</v>
      </c>
      <c r="C3560" t="s">
        <v>4056</v>
      </c>
      <c r="D3560" t="s">
        <v>4075</v>
      </c>
    </row>
    <row r="3561" spans="1:4" x14ac:dyDescent="0.3">
      <c r="A3561">
        <v>1233513889</v>
      </c>
      <c r="B3561" t="s">
        <v>3948</v>
      </c>
      <c r="C3561" t="s">
        <v>3937</v>
      </c>
      <c r="D3561" t="s">
        <v>4035</v>
      </c>
    </row>
    <row r="3562" spans="1:4" x14ac:dyDescent="0.3">
      <c r="A3562">
        <v>1233513889</v>
      </c>
      <c r="B3562" t="s">
        <v>3948</v>
      </c>
      <c r="C3562" t="s">
        <v>3937</v>
      </c>
      <c r="D3562" t="s">
        <v>4035</v>
      </c>
    </row>
    <row r="3563" spans="1:4" x14ac:dyDescent="0.3">
      <c r="A3563">
        <v>1233513889</v>
      </c>
      <c r="B3563" t="s">
        <v>3948</v>
      </c>
      <c r="C3563" t="s">
        <v>3937</v>
      </c>
      <c r="D3563" t="s">
        <v>4035</v>
      </c>
    </row>
    <row r="3564" spans="1:4" x14ac:dyDescent="0.3">
      <c r="A3564">
        <v>1233513889</v>
      </c>
      <c r="B3564" t="s">
        <v>3948</v>
      </c>
      <c r="C3564" t="s">
        <v>3937</v>
      </c>
      <c r="D3564" t="s">
        <v>4035</v>
      </c>
    </row>
    <row r="3565" spans="1:4" x14ac:dyDescent="0.3">
      <c r="A3565">
        <v>1233513889</v>
      </c>
      <c r="B3565" t="s">
        <v>3948</v>
      </c>
      <c r="C3565" t="s">
        <v>3937</v>
      </c>
      <c r="D3565" t="s">
        <v>4035</v>
      </c>
    </row>
    <row r="3566" spans="1:4" x14ac:dyDescent="0.3">
      <c r="A3566">
        <v>1233513889</v>
      </c>
      <c r="B3566" t="s">
        <v>3948</v>
      </c>
      <c r="C3566" t="s">
        <v>3937</v>
      </c>
      <c r="D3566" t="s">
        <v>4035</v>
      </c>
    </row>
    <row r="3567" spans="1:4" x14ac:dyDescent="0.3">
      <c r="A3567">
        <v>1233513889</v>
      </c>
      <c r="B3567" t="s">
        <v>3948</v>
      </c>
      <c r="C3567" t="s">
        <v>3937</v>
      </c>
      <c r="D3567" t="s">
        <v>4035</v>
      </c>
    </row>
    <row r="3568" spans="1:4" x14ac:dyDescent="0.3">
      <c r="A3568">
        <v>1233513889</v>
      </c>
      <c r="B3568" t="s">
        <v>3948</v>
      </c>
      <c r="C3568" t="s">
        <v>3937</v>
      </c>
      <c r="D3568" t="s">
        <v>4035</v>
      </c>
    </row>
    <row r="3569" spans="1:4" x14ac:dyDescent="0.3">
      <c r="A3569">
        <v>1233513889</v>
      </c>
      <c r="B3569" t="s">
        <v>3948</v>
      </c>
      <c r="C3569" t="s">
        <v>3937</v>
      </c>
      <c r="D3569" t="s">
        <v>4035</v>
      </c>
    </row>
    <row r="3570" spans="1:4" x14ac:dyDescent="0.3">
      <c r="A3570">
        <v>1233513889</v>
      </c>
      <c r="B3570" t="s">
        <v>3948</v>
      </c>
      <c r="C3570" t="s">
        <v>3937</v>
      </c>
      <c r="D3570" t="s">
        <v>4035</v>
      </c>
    </row>
    <row r="3571" spans="1:4" x14ac:dyDescent="0.3">
      <c r="A3571">
        <v>1233513889</v>
      </c>
      <c r="B3571" t="s">
        <v>3948</v>
      </c>
      <c r="C3571" t="s">
        <v>3937</v>
      </c>
      <c r="D3571" t="s">
        <v>4035</v>
      </c>
    </row>
    <row r="3572" spans="1:4" x14ac:dyDescent="0.3">
      <c r="A3572">
        <v>1233513889</v>
      </c>
      <c r="B3572" t="s">
        <v>3948</v>
      </c>
      <c r="C3572" t="s">
        <v>3937</v>
      </c>
      <c r="D3572" t="s">
        <v>4035</v>
      </c>
    </row>
    <row r="3573" spans="1:4" x14ac:dyDescent="0.3">
      <c r="A3573">
        <v>1233513889</v>
      </c>
      <c r="B3573" t="s">
        <v>3948</v>
      </c>
      <c r="C3573" t="s">
        <v>3937</v>
      </c>
      <c r="D3573" t="s">
        <v>4035</v>
      </c>
    </row>
    <row r="3574" spans="1:4" x14ac:dyDescent="0.3">
      <c r="A3574">
        <v>1233513889</v>
      </c>
      <c r="B3574" t="s">
        <v>3948</v>
      </c>
      <c r="C3574" t="s">
        <v>3937</v>
      </c>
      <c r="D3574" t="s">
        <v>4035</v>
      </c>
    </row>
    <row r="3575" spans="1:4" x14ac:dyDescent="0.3">
      <c r="A3575">
        <v>1233513889</v>
      </c>
      <c r="B3575" t="s">
        <v>3948</v>
      </c>
      <c r="C3575" t="s">
        <v>3937</v>
      </c>
      <c r="D3575" t="s">
        <v>4035</v>
      </c>
    </row>
    <row r="3576" spans="1:4" x14ac:dyDescent="0.3">
      <c r="A3576">
        <v>1233513889</v>
      </c>
      <c r="B3576" t="s">
        <v>3948</v>
      </c>
      <c r="C3576" t="s">
        <v>3937</v>
      </c>
      <c r="D3576" t="s">
        <v>4035</v>
      </c>
    </row>
    <row r="3577" spans="1:4" x14ac:dyDescent="0.3">
      <c r="A3577">
        <v>1233513889</v>
      </c>
      <c r="B3577" t="s">
        <v>3948</v>
      </c>
      <c r="C3577" t="s">
        <v>3937</v>
      </c>
      <c r="D3577" t="s">
        <v>4035</v>
      </c>
    </row>
    <row r="3578" spans="1:4" x14ac:dyDescent="0.3">
      <c r="A3578">
        <v>1233513889</v>
      </c>
      <c r="B3578" t="s">
        <v>3948</v>
      </c>
      <c r="C3578" t="s">
        <v>3937</v>
      </c>
      <c r="D3578" t="s">
        <v>4035</v>
      </c>
    </row>
    <row r="3579" spans="1:4" x14ac:dyDescent="0.3">
      <c r="A3579">
        <v>1233513889</v>
      </c>
      <c r="B3579" t="s">
        <v>3948</v>
      </c>
      <c r="C3579" t="s">
        <v>3937</v>
      </c>
      <c r="D3579" t="s">
        <v>4035</v>
      </c>
    </row>
    <row r="3580" spans="1:4" x14ac:dyDescent="0.3">
      <c r="A3580">
        <v>1233513889</v>
      </c>
      <c r="B3580" t="s">
        <v>3948</v>
      </c>
      <c r="C3580" t="s">
        <v>3937</v>
      </c>
      <c r="D3580" t="s">
        <v>4035</v>
      </c>
    </row>
    <row r="3581" spans="1:4" x14ac:dyDescent="0.3">
      <c r="A3581">
        <v>1233513889</v>
      </c>
      <c r="B3581" t="s">
        <v>3948</v>
      </c>
      <c r="C3581" t="s">
        <v>3937</v>
      </c>
      <c r="D3581" t="s">
        <v>4035</v>
      </c>
    </row>
    <row r="3582" spans="1:4" x14ac:dyDescent="0.3">
      <c r="A3582">
        <v>1233513889</v>
      </c>
      <c r="B3582" t="s">
        <v>3948</v>
      </c>
      <c r="C3582" t="s">
        <v>3937</v>
      </c>
      <c r="D3582" t="s">
        <v>4035</v>
      </c>
    </row>
    <row r="3583" spans="1:4" x14ac:dyDescent="0.3">
      <c r="A3583">
        <v>1233513889</v>
      </c>
      <c r="B3583" t="s">
        <v>3948</v>
      </c>
      <c r="C3583" t="s">
        <v>3937</v>
      </c>
      <c r="D3583" t="s">
        <v>4035</v>
      </c>
    </row>
    <row r="3584" spans="1:4" x14ac:dyDescent="0.3">
      <c r="A3584">
        <v>1233513889</v>
      </c>
      <c r="B3584" t="s">
        <v>3948</v>
      </c>
      <c r="C3584" t="s">
        <v>3937</v>
      </c>
      <c r="D3584" t="s">
        <v>4035</v>
      </c>
    </row>
    <row r="3585" spans="1:4" x14ac:dyDescent="0.3">
      <c r="A3585">
        <v>1233513889</v>
      </c>
      <c r="B3585" t="s">
        <v>3948</v>
      </c>
      <c r="C3585" t="s">
        <v>3937</v>
      </c>
      <c r="D3585" t="s">
        <v>4035</v>
      </c>
    </row>
    <row r="3586" spans="1:4" x14ac:dyDescent="0.3">
      <c r="A3586">
        <v>1233513889</v>
      </c>
      <c r="B3586" t="s">
        <v>3948</v>
      </c>
      <c r="C3586" t="s">
        <v>3937</v>
      </c>
      <c r="D3586" t="s">
        <v>4035</v>
      </c>
    </row>
    <row r="3587" spans="1:4" x14ac:dyDescent="0.3">
      <c r="A3587">
        <v>1233513889</v>
      </c>
      <c r="B3587" t="s">
        <v>3948</v>
      </c>
      <c r="C3587" t="s">
        <v>3937</v>
      </c>
      <c r="D3587" t="s">
        <v>4035</v>
      </c>
    </row>
    <row r="3588" spans="1:4" x14ac:dyDescent="0.3">
      <c r="A3588">
        <v>1233513889</v>
      </c>
      <c r="B3588" t="s">
        <v>3948</v>
      </c>
      <c r="C3588" t="s">
        <v>3937</v>
      </c>
      <c r="D3588" t="s">
        <v>4035</v>
      </c>
    </row>
    <row r="3589" spans="1:4" x14ac:dyDescent="0.3">
      <c r="A3589">
        <v>1233513889</v>
      </c>
      <c r="B3589" t="s">
        <v>3948</v>
      </c>
      <c r="C3589" t="s">
        <v>3937</v>
      </c>
      <c r="D3589" t="s">
        <v>4035</v>
      </c>
    </row>
    <row r="3590" spans="1:4" x14ac:dyDescent="0.3">
      <c r="A3590">
        <v>1233513889</v>
      </c>
      <c r="B3590" t="s">
        <v>3948</v>
      </c>
      <c r="C3590" t="s">
        <v>3937</v>
      </c>
      <c r="D3590" t="s">
        <v>4035</v>
      </c>
    </row>
    <row r="3591" spans="1:4" x14ac:dyDescent="0.3">
      <c r="A3591">
        <v>1233513889</v>
      </c>
      <c r="B3591" t="s">
        <v>3948</v>
      </c>
      <c r="C3591" t="s">
        <v>3937</v>
      </c>
      <c r="D3591" t="s">
        <v>4035</v>
      </c>
    </row>
    <row r="3592" spans="1:4" x14ac:dyDescent="0.3">
      <c r="A3592">
        <v>1233513889</v>
      </c>
      <c r="B3592" t="s">
        <v>3948</v>
      </c>
      <c r="C3592" t="s">
        <v>3937</v>
      </c>
      <c r="D3592" t="s">
        <v>4035</v>
      </c>
    </row>
    <row r="3593" spans="1:4" x14ac:dyDescent="0.3">
      <c r="A3593">
        <v>1233513889</v>
      </c>
      <c r="B3593" t="s">
        <v>3948</v>
      </c>
      <c r="C3593" t="s">
        <v>3937</v>
      </c>
      <c r="D3593" t="s">
        <v>4035</v>
      </c>
    </row>
    <row r="3594" spans="1:4" x14ac:dyDescent="0.3">
      <c r="A3594">
        <v>1233513889</v>
      </c>
      <c r="B3594" t="s">
        <v>3948</v>
      </c>
      <c r="C3594" t="s">
        <v>3937</v>
      </c>
      <c r="D3594" t="s">
        <v>4035</v>
      </c>
    </row>
    <row r="3595" spans="1:4" x14ac:dyDescent="0.3">
      <c r="A3595">
        <v>1233513889</v>
      </c>
      <c r="B3595" t="s">
        <v>3948</v>
      </c>
      <c r="C3595" t="s">
        <v>3937</v>
      </c>
      <c r="D3595" t="s">
        <v>4035</v>
      </c>
    </row>
    <row r="3596" spans="1:4" x14ac:dyDescent="0.3">
      <c r="A3596">
        <v>1233513889</v>
      </c>
      <c r="B3596" t="s">
        <v>3948</v>
      </c>
      <c r="C3596" t="s">
        <v>3937</v>
      </c>
      <c r="D3596" t="s">
        <v>4035</v>
      </c>
    </row>
    <row r="3597" spans="1:4" x14ac:dyDescent="0.3">
      <c r="A3597">
        <v>1233513889</v>
      </c>
      <c r="B3597" t="s">
        <v>3948</v>
      </c>
      <c r="C3597" t="s">
        <v>3937</v>
      </c>
      <c r="D3597" t="s">
        <v>4035</v>
      </c>
    </row>
    <row r="3598" spans="1:4" x14ac:dyDescent="0.3">
      <c r="A3598">
        <v>1233513889</v>
      </c>
      <c r="B3598" t="s">
        <v>3948</v>
      </c>
      <c r="C3598" t="s">
        <v>3937</v>
      </c>
      <c r="D3598" t="s">
        <v>4035</v>
      </c>
    </row>
    <row r="3599" spans="1:4" x14ac:dyDescent="0.3">
      <c r="A3599">
        <v>1233513889</v>
      </c>
      <c r="B3599" t="s">
        <v>3948</v>
      </c>
      <c r="C3599" t="s">
        <v>3937</v>
      </c>
      <c r="D3599" t="s">
        <v>4035</v>
      </c>
    </row>
    <row r="3600" spans="1:4" x14ac:dyDescent="0.3">
      <c r="A3600">
        <v>1233513889</v>
      </c>
      <c r="B3600" t="s">
        <v>3948</v>
      </c>
      <c r="C3600" t="s">
        <v>3937</v>
      </c>
      <c r="D3600" t="s">
        <v>4035</v>
      </c>
    </row>
    <row r="3601" spans="1:4" x14ac:dyDescent="0.3">
      <c r="A3601">
        <v>1233513889</v>
      </c>
      <c r="B3601" t="s">
        <v>3948</v>
      </c>
      <c r="C3601" t="s">
        <v>3937</v>
      </c>
      <c r="D3601" t="s">
        <v>4035</v>
      </c>
    </row>
    <row r="3602" spans="1:4" x14ac:dyDescent="0.3">
      <c r="A3602">
        <v>1233888787</v>
      </c>
      <c r="B3602" t="s">
        <v>3936</v>
      </c>
      <c r="C3602" t="s">
        <v>3937</v>
      </c>
      <c r="D3602" t="s">
        <v>3998</v>
      </c>
    </row>
    <row r="3603" spans="1:4" x14ac:dyDescent="0.3">
      <c r="A3603">
        <v>1233888787</v>
      </c>
      <c r="B3603" t="s">
        <v>3936</v>
      </c>
      <c r="C3603" t="s">
        <v>3937</v>
      </c>
      <c r="D3603" t="s">
        <v>3998</v>
      </c>
    </row>
    <row r="3604" spans="1:4" x14ac:dyDescent="0.3">
      <c r="A3604">
        <v>1233888787</v>
      </c>
      <c r="B3604" t="s">
        <v>3936</v>
      </c>
      <c r="C3604" t="s">
        <v>3937</v>
      </c>
      <c r="D3604" t="s">
        <v>3998</v>
      </c>
    </row>
    <row r="3605" spans="1:4" x14ac:dyDescent="0.3">
      <c r="A3605">
        <v>1233888787</v>
      </c>
      <c r="B3605" t="s">
        <v>3936</v>
      </c>
      <c r="C3605" t="s">
        <v>3937</v>
      </c>
      <c r="D3605" t="s">
        <v>3998</v>
      </c>
    </row>
    <row r="3606" spans="1:4" x14ac:dyDescent="0.3">
      <c r="A3606">
        <v>1233888787</v>
      </c>
      <c r="B3606" t="s">
        <v>3936</v>
      </c>
      <c r="C3606" t="s">
        <v>3937</v>
      </c>
      <c r="D3606" t="s">
        <v>3998</v>
      </c>
    </row>
    <row r="3607" spans="1:4" x14ac:dyDescent="0.3">
      <c r="A3607">
        <v>1233888787</v>
      </c>
      <c r="B3607" t="s">
        <v>3936</v>
      </c>
      <c r="C3607" t="s">
        <v>3937</v>
      </c>
      <c r="D3607" t="s">
        <v>3998</v>
      </c>
    </row>
    <row r="3608" spans="1:4" x14ac:dyDescent="0.3">
      <c r="A3608">
        <v>1233888787</v>
      </c>
      <c r="B3608" t="s">
        <v>3936</v>
      </c>
      <c r="C3608" t="s">
        <v>3937</v>
      </c>
      <c r="D3608" t="s">
        <v>3998</v>
      </c>
    </row>
    <row r="3609" spans="1:4" x14ac:dyDescent="0.3">
      <c r="A3609">
        <v>1233888787</v>
      </c>
      <c r="B3609" t="s">
        <v>3936</v>
      </c>
      <c r="C3609" t="s">
        <v>3937</v>
      </c>
      <c r="D3609" t="s">
        <v>3998</v>
      </c>
    </row>
    <row r="3610" spans="1:4" x14ac:dyDescent="0.3">
      <c r="A3610">
        <v>1233888787</v>
      </c>
      <c r="B3610" t="s">
        <v>3936</v>
      </c>
      <c r="C3610" t="s">
        <v>3937</v>
      </c>
      <c r="D3610" t="s">
        <v>3998</v>
      </c>
    </row>
    <row r="3611" spans="1:4" x14ac:dyDescent="0.3">
      <c r="A3611">
        <v>1233888787</v>
      </c>
      <c r="B3611" t="s">
        <v>3936</v>
      </c>
      <c r="C3611" t="s">
        <v>3937</v>
      </c>
      <c r="D3611" t="s">
        <v>3998</v>
      </c>
    </row>
    <row r="3612" spans="1:4" x14ac:dyDescent="0.3">
      <c r="A3612">
        <v>1233888787</v>
      </c>
      <c r="B3612" t="s">
        <v>3936</v>
      </c>
      <c r="C3612" t="s">
        <v>3937</v>
      </c>
      <c r="D3612" t="s">
        <v>3998</v>
      </c>
    </row>
    <row r="3613" spans="1:4" x14ac:dyDescent="0.3">
      <c r="A3613">
        <v>1233888787</v>
      </c>
      <c r="B3613" t="s">
        <v>3936</v>
      </c>
      <c r="C3613" t="s">
        <v>3937</v>
      </c>
      <c r="D3613" t="s">
        <v>3998</v>
      </c>
    </row>
    <row r="3614" spans="1:4" x14ac:dyDescent="0.3">
      <c r="A3614">
        <v>1233888787</v>
      </c>
      <c r="B3614" t="s">
        <v>3936</v>
      </c>
      <c r="C3614" t="s">
        <v>3937</v>
      </c>
      <c r="D3614" t="s">
        <v>3998</v>
      </c>
    </row>
    <row r="3615" spans="1:4" x14ac:dyDescent="0.3">
      <c r="A3615">
        <v>1233888787</v>
      </c>
      <c r="B3615" t="s">
        <v>3936</v>
      </c>
      <c r="C3615" t="s">
        <v>3937</v>
      </c>
      <c r="D3615" t="s">
        <v>3998</v>
      </c>
    </row>
    <row r="3616" spans="1:4" x14ac:dyDescent="0.3">
      <c r="A3616">
        <v>1233888787</v>
      </c>
      <c r="B3616" t="s">
        <v>3936</v>
      </c>
      <c r="C3616" t="s">
        <v>3937</v>
      </c>
      <c r="D3616" t="s">
        <v>3998</v>
      </c>
    </row>
    <row r="3617" spans="1:4" x14ac:dyDescent="0.3">
      <c r="A3617">
        <v>1233888787</v>
      </c>
      <c r="B3617" t="s">
        <v>3936</v>
      </c>
      <c r="C3617" t="s">
        <v>3937</v>
      </c>
      <c r="D3617" t="s">
        <v>3998</v>
      </c>
    </row>
    <row r="3618" spans="1:4" x14ac:dyDescent="0.3">
      <c r="A3618">
        <v>1233888787</v>
      </c>
      <c r="B3618" t="s">
        <v>3936</v>
      </c>
      <c r="C3618" t="s">
        <v>3937</v>
      </c>
      <c r="D3618" t="s">
        <v>3998</v>
      </c>
    </row>
    <row r="3619" spans="1:4" x14ac:dyDescent="0.3">
      <c r="A3619">
        <v>1233888787</v>
      </c>
      <c r="B3619" t="s">
        <v>3936</v>
      </c>
      <c r="C3619" t="s">
        <v>3937</v>
      </c>
      <c r="D3619" t="s">
        <v>3998</v>
      </c>
    </row>
    <row r="3620" spans="1:4" x14ac:dyDescent="0.3">
      <c r="A3620">
        <v>1233888787</v>
      </c>
      <c r="B3620" t="s">
        <v>3936</v>
      </c>
      <c r="C3620" t="s">
        <v>3937</v>
      </c>
      <c r="D3620" t="s">
        <v>3998</v>
      </c>
    </row>
    <row r="3621" spans="1:4" x14ac:dyDescent="0.3">
      <c r="A3621">
        <v>1233888787</v>
      </c>
      <c r="B3621" t="s">
        <v>3936</v>
      </c>
      <c r="C3621" t="s">
        <v>3937</v>
      </c>
      <c r="D3621" t="s">
        <v>3998</v>
      </c>
    </row>
    <row r="3622" spans="1:4" x14ac:dyDescent="0.3">
      <c r="A3622">
        <v>1233888787</v>
      </c>
      <c r="B3622" t="s">
        <v>3936</v>
      </c>
      <c r="C3622" t="s">
        <v>3937</v>
      </c>
      <c r="D3622" t="s">
        <v>3998</v>
      </c>
    </row>
    <row r="3623" spans="1:4" x14ac:dyDescent="0.3">
      <c r="A3623">
        <v>1233888787</v>
      </c>
      <c r="B3623" t="s">
        <v>3936</v>
      </c>
      <c r="C3623" t="s">
        <v>3937</v>
      </c>
      <c r="D3623" t="s">
        <v>3998</v>
      </c>
    </row>
    <row r="3624" spans="1:4" x14ac:dyDescent="0.3">
      <c r="A3624">
        <v>1233888787</v>
      </c>
      <c r="B3624" t="s">
        <v>3936</v>
      </c>
      <c r="C3624" t="s">
        <v>3937</v>
      </c>
      <c r="D3624" t="s">
        <v>3998</v>
      </c>
    </row>
    <row r="3625" spans="1:4" x14ac:dyDescent="0.3">
      <c r="A3625">
        <v>1233888787</v>
      </c>
      <c r="B3625" t="s">
        <v>3936</v>
      </c>
      <c r="C3625" t="s">
        <v>3937</v>
      </c>
      <c r="D3625" t="s">
        <v>3998</v>
      </c>
    </row>
    <row r="3626" spans="1:4" x14ac:dyDescent="0.3">
      <c r="A3626">
        <v>1233888787</v>
      </c>
      <c r="B3626" t="s">
        <v>3936</v>
      </c>
      <c r="C3626" t="s">
        <v>3937</v>
      </c>
      <c r="D3626" t="s">
        <v>3998</v>
      </c>
    </row>
    <row r="3627" spans="1:4" x14ac:dyDescent="0.3">
      <c r="A3627">
        <v>1233888787</v>
      </c>
      <c r="B3627" t="s">
        <v>3936</v>
      </c>
      <c r="C3627" t="s">
        <v>3937</v>
      </c>
      <c r="D3627" t="s">
        <v>3998</v>
      </c>
    </row>
    <row r="3628" spans="1:4" x14ac:dyDescent="0.3">
      <c r="A3628">
        <v>1233888787</v>
      </c>
      <c r="B3628" t="s">
        <v>3936</v>
      </c>
      <c r="C3628" t="s">
        <v>3937</v>
      </c>
      <c r="D3628" t="s">
        <v>3998</v>
      </c>
    </row>
    <row r="3629" spans="1:4" x14ac:dyDescent="0.3">
      <c r="A3629">
        <v>1233888787</v>
      </c>
      <c r="B3629" t="s">
        <v>3936</v>
      </c>
      <c r="C3629" t="s">
        <v>3937</v>
      </c>
      <c r="D3629" t="s">
        <v>3998</v>
      </c>
    </row>
    <row r="3630" spans="1:4" x14ac:dyDescent="0.3">
      <c r="A3630">
        <v>1233888787</v>
      </c>
      <c r="B3630" t="s">
        <v>3936</v>
      </c>
      <c r="C3630" t="s">
        <v>3937</v>
      </c>
      <c r="D3630" t="s">
        <v>3998</v>
      </c>
    </row>
    <row r="3631" spans="1:4" x14ac:dyDescent="0.3">
      <c r="A3631">
        <v>10006855461</v>
      </c>
      <c r="B3631" t="s">
        <v>3965</v>
      </c>
      <c r="C3631" t="s">
        <v>3934</v>
      </c>
      <c r="D3631" t="s">
        <v>3993</v>
      </c>
    </row>
    <row r="3632" spans="1:4" x14ac:dyDescent="0.3">
      <c r="A3632">
        <v>10006855461</v>
      </c>
      <c r="B3632" t="s">
        <v>3965</v>
      </c>
      <c r="C3632" t="s">
        <v>3934</v>
      </c>
      <c r="D3632" t="s">
        <v>3993</v>
      </c>
    </row>
    <row r="3633" spans="1:4" x14ac:dyDescent="0.3">
      <c r="A3633">
        <v>10006855461</v>
      </c>
      <c r="B3633" t="s">
        <v>3965</v>
      </c>
      <c r="C3633" t="s">
        <v>3934</v>
      </c>
      <c r="D3633" t="s">
        <v>3993</v>
      </c>
    </row>
    <row r="3634" spans="1:4" x14ac:dyDescent="0.3">
      <c r="A3634">
        <v>10006855461</v>
      </c>
      <c r="B3634" t="s">
        <v>3965</v>
      </c>
      <c r="C3634" t="s">
        <v>3934</v>
      </c>
      <c r="D3634" t="s">
        <v>3993</v>
      </c>
    </row>
    <row r="3635" spans="1:4" x14ac:dyDescent="0.3">
      <c r="A3635">
        <v>10006855461</v>
      </c>
      <c r="B3635" t="s">
        <v>3965</v>
      </c>
      <c r="C3635" t="s">
        <v>3934</v>
      </c>
      <c r="D3635" t="s">
        <v>3993</v>
      </c>
    </row>
    <row r="3636" spans="1:4" x14ac:dyDescent="0.3">
      <c r="A3636">
        <v>10006855461</v>
      </c>
      <c r="B3636" t="s">
        <v>3965</v>
      </c>
      <c r="C3636" t="s">
        <v>3934</v>
      </c>
      <c r="D3636" t="s">
        <v>3993</v>
      </c>
    </row>
    <row r="3637" spans="1:4" x14ac:dyDescent="0.3">
      <c r="A3637">
        <v>10006855461</v>
      </c>
      <c r="B3637" t="s">
        <v>3965</v>
      </c>
      <c r="C3637" t="s">
        <v>3934</v>
      </c>
      <c r="D3637" t="s">
        <v>3993</v>
      </c>
    </row>
    <row r="3638" spans="1:4" x14ac:dyDescent="0.3">
      <c r="A3638">
        <v>10006855461</v>
      </c>
      <c r="B3638" t="s">
        <v>3965</v>
      </c>
      <c r="C3638" t="s">
        <v>3934</v>
      </c>
      <c r="D3638" t="s">
        <v>3993</v>
      </c>
    </row>
    <row r="3639" spans="1:4" x14ac:dyDescent="0.3">
      <c r="A3639">
        <v>10006855461</v>
      </c>
      <c r="B3639" t="s">
        <v>3965</v>
      </c>
      <c r="C3639" t="s">
        <v>3934</v>
      </c>
      <c r="D3639" t="s">
        <v>3993</v>
      </c>
    </row>
    <row r="3640" spans="1:4" x14ac:dyDescent="0.3">
      <c r="A3640">
        <v>10006855461</v>
      </c>
      <c r="B3640" t="s">
        <v>3965</v>
      </c>
      <c r="C3640" t="s">
        <v>3934</v>
      </c>
      <c r="D3640" t="s">
        <v>3993</v>
      </c>
    </row>
    <row r="3641" spans="1:4" x14ac:dyDescent="0.3">
      <c r="A3641">
        <v>10006855461</v>
      </c>
      <c r="B3641" t="s">
        <v>3965</v>
      </c>
      <c r="C3641" t="s">
        <v>3934</v>
      </c>
      <c r="D3641" t="s">
        <v>3993</v>
      </c>
    </row>
    <row r="3642" spans="1:4" x14ac:dyDescent="0.3">
      <c r="A3642">
        <v>10006855461</v>
      </c>
      <c r="B3642" t="s">
        <v>3965</v>
      </c>
      <c r="C3642" t="s">
        <v>3934</v>
      </c>
      <c r="D3642" t="s">
        <v>3993</v>
      </c>
    </row>
    <row r="3643" spans="1:4" x14ac:dyDescent="0.3">
      <c r="A3643">
        <v>10006855461</v>
      </c>
      <c r="B3643" t="s">
        <v>3965</v>
      </c>
      <c r="C3643" t="s">
        <v>3934</v>
      </c>
      <c r="D3643" t="s">
        <v>3993</v>
      </c>
    </row>
    <row r="3644" spans="1:4" x14ac:dyDescent="0.3">
      <c r="A3644">
        <v>10006855461</v>
      </c>
      <c r="B3644" t="s">
        <v>3965</v>
      </c>
      <c r="C3644" t="s">
        <v>3934</v>
      </c>
      <c r="D3644" t="s">
        <v>3993</v>
      </c>
    </row>
    <row r="3645" spans="1:4" x14ac:dyDescent="0.3">
      <c r="A3645">
        <v>10006855461</v>
      </c>
      <c r="B3645" t="s">
        <v>3965</v>
      </c>
      <c r="C3645" t="s">
        <v>3934</v>
      </c>
      <c r="D3645" t="s">
        <v>3993</v>
      </c>
    </row>
    <row r="3646" spans="1:4" x14ac:dyDescent="0.3">
      <c r="A3646">
        <v>10006855461</v>
      </c>
      <c r="B3646" t="s">
        <v>3965</v>
      </c>
      <c r="C3646" t="s">
        <v>3934</v>
      </c>
      <c r="D3646" t="s">
        <v>3993</v>
      </c>
    </row>
    <row r="3647" spans="1:4" x14ac:dyDescent="0.3">
      <c r="A3647">
        <v>10006855461</v>
      </c>
      <c r="B3647" t="s">
        <v>3965</v>
      </c>
      <c r="C3647" t="s">
        <v>3934</v>
      </c>
      <c r="D3647" t="s">
        <v>3993</v>
      </c>
    </row>
    <row r="3648" spans="1:4" x14ac:dyDescent="0.3">
      <c r="A3648">
        <v>10006855461</v>
      </c>
      <c r="B3648" t="s">
        <v>3965</v>
      </c>
      <c r="C3648" t="s">
        <v>3934</v>
      </c>
      <c r="D3648" t="s">
        <v>3993</v>
      </c>
    </row>
    <row r="3649" spans="1:4" x14ac:dyDescent="0.3">
      <c r="A3649">
        <v>10006855461</v>
      </c>
      <c r="B3649" t="s">
        <v>3965</v>
      </c>
      <c r="C3649" t="s">
        <v>3934</v>
      </c>
      <c r="D3649" t="s">
        <v>3993</v>
      </c>
    </row>
    <row r="3650" spans="1:4" x14ac:dyDescent="0.3">
      <c r="A3650">
        <v>10006855461</v>
      </c>
      <c r="B3650" t="s">
        <v>3965</v>
      </c>
      <c r="C3650" t="s">
        <v>3934</v>
      </c>
      <c r="D3650" t="s">
        <v>3993</v>
      </c>
    </row>
    <row r="3651" spans="1:4" x14ac:dyDescent="0.3">
      <c r="A3651">
        <v>10006855461</v>
      </c>
      <c r="B3651" t="s">
        <v>3965</v>
      </c>
      <c r="C3651" t="s">
        <v>3934</v>
      </c>
      <c r="D3651" t="s">
        <v>3993</v>
      </c>
    </row>
    <row r="3652" spans="1:4" x14ac:dyDescent="0.3">
      <c r="A3652">
        <v>10006855461</v>
      </c>
      <c r="B3652" t="s">
        <v>3965</v>
      </c>
      <c r="C3652" t="s">
        <v>3934</v>
      </c>
      <c r="D3652" t="s">
        <v>3993</v>
      </c>
    </row>
    <row r="3653" spans="1:4" x14ac:dyDescent="0.3">
      <c r="A3653">
        <v>10006855461</v>
      </c>
      <c r="B3653" t="s">
        <v>3965</v>
      </c>
      <c r="C3653" t="s">
        <v>3934</v>
      </c>
      <c r="D3653" t="s">
        <v>3993</v>
      </c>
    </row>
    <row r="3654" spans="1:4" x14ac:dyDescent="0.3">
      <c r="A3654">
        <v>10006855461</v>
      </c>
      <c r="B3654" t="s">
        <v>3965</v>
      </c>
      <c r="C3654" t="s">
        <v>3934</v>
      </c>
      <c r="D3654" t="s">
        <v>3993</v>
      </c>
    </row>
    <row r="3655" spans="1:4" x14ac:dyDescent="0.3">
      <c r="A3655">
        <v>10006855461</v>
      </c>
      <c r="B3655" t="s">
        <v>3965</v>
      </c>
      <c r="C3655" t="s">
        <v>3934</v>
      </c>
      <c r="D3655" t="s">
        <v>3993</v>
      </c>
    </row>
    <row r="3656" spans="1:4" x14ac:dyDescent="0.3">
      <c r="A3656">
        <v>10006855461</v>
      </c>
      <c r="B3656" t="s">
        <v>3965</v>
      </c>
      <c r="C3656" t="s">
        <v>3934</v>
      </c>
      <c r="D3656" t="s">
        <v>3993</v>
      </c>
    </row>
    <row r="3657" spans="1:4" x14ac:dyDescent="0.3">
      <c r="A3657">
        <v>10006855461</v>
      </c>
      <c r="B3657" t="s">
        <v>3965</v>
      </c>
      <c r="C3657" t="s">
        <v>3934</v>
      </c>
      <c r="D3657" t="s">
        <v>3993</v>
      </c>
    </row>
    <row r="3658" spans="1:4" x14ac:dyDescent="0.3">
      <c r="A3658">
        <v>10006855461</v>
      </c>
      <c r="B3658" t="s">
        <v>3965</v>
      </c>
      <c r="C3658" t="s">
        <v>3934</v>
      </c>
      <c r="D3658" t="s">
        <v>3993</v>
      </c>
    </row>
    <row r="3659" spans="1:4" x14ac:dyDescent="0.3">
      <c r="A3659">
        <v>10006855461</v>
      </c>
      <c r="B3659" t="s">
        <v>3965</v>
      </c>
      <c r="C3659" t="s">
        <v>3934</v>
      </c>
      <c r="D3659" t="s">
        <v>3993</v>
      </c>
    </row>
    <row r="3660" spans="1:4" x14ac:dyDescent="0.3">
      <c r="A3660">
        <v>10006855461</v>
      </c>
      <c r="B3660" t="s">
        <v>3965</v>
      </c>
      <c r="C3660" t="s">
        <v>3934</v>
      </c>
      <c r="D3660" t="s">
        <v>3993</v>
      </c>
    </row>
    <row r="3661" spans="1:4" x14ac:dyDescent="0.3">
      <c r="A3661">
        <v>10006855461</v>
      </c>
      <c r="B3661" t="s">
        <v>3965</v>
      </c>
      <c r="C3661" t="s">
        <v>3934</v>
      </c>
      <c r="D3661" t="s">
        <v>3993</v>
      </c>
    </row>
    <row r="3662" spans="1:4" x14ac:dyDescent="0.3">
      <c r="A3662">
        <v>10123971531</v>
      </c>
      <c r="B3662" t="s">
        <v>3944</v>
      </c>
      <c r="C3662" t="s">
        <v>3934</v>
      </c>
      <c r="D3662" t="s">
        <v>3943</v>
      </c>
    </row>
    <row r="3663" spans="1:4" x14ac:dyDescent="0.3">
      <c r="A3663">
        <v>10123971531</v>
      </c>
      <c r="B3663" t="s">
        <v>3944</v>
      </c>
      <c r="C3663" t="s">
        <v>3934</v>
      </c>
      <c r="D3663" t="s">
        <v>3943</v>
      </c>
    </row>
    <row r="3664" spans="1:4" x14ac:dyDescent="0.3">
      <c r="A3664">
        <v>10123971531</v>
      </c>
      <c r="B3664" t="s">
        <v>3944</v>
      </c>
      <c r="C3664" t="s">
        <v>3934</v>
      </c>
      <c r="D3664" t="s">
        <v>3943</v>
      </c>
    </row>
    <row r="3665" spans="1:4" x14ac:dyDescent="0.3">
      <c r="A3665">
        <v>10123971531</v>
      </c>
      <c r="B3665" t="s">
        <v>3944</v>
      </c>
      <c r="C3665" t="s">
        <v>3934</v>
      </c>
      <c r="D3665" t="s">
        <v>3943</v>
      </c>
    </row>
    <row r="3666" spans="1:4" x14ac:dyDescent="0.3">
      <c r="A3666">
        <v>10123971531</v>
      </c>
      <c r="B3666" t="s">
        <v>3944</v>
      </c>
      <c r="C3666" t="s">
        <v>3934</v>
      </c>
      <c r="D3666" t="s">
        <v>3943</v>
      </c>
    </row>
    <row r="3667" spans="1:4" x14ac:dyDescent="0.3">
      <c r="A3667">
        <v>10123971531</v>
      </c>
      <c r="B3667" t="s">
        <v>3944</v>
      </c>
      <c r="C3667" t="s">
        <v>3934</v>
      </c>
      <c r="D3667" t="s">
        <v>3943</v>
      </c>
    </row>
    <row r="3668" spans="1:4" x14ac:dyDescent="0.3">
      <c r="A3668">
        <v>10123971531</v>
      </c>
      <c r="B3668" t="s">
        <v>3944</v>
      </c>
      <c r="C3668" t="s">
        <v>3934</v>
      </c>
      <c r="D3668" t="s">
        <v>3943</v>
      </c>
    </row>
    <row r="3669" spans="1:4" x14ac:dyDescent="0.3">
      <c r="A3669">
        <v>10123971531</v>
      </c>
      <c r="B3669" t="s">
        <v>3944</v>
      </c>
      <c r="C3669" t="s">
        <v>3934</v>
      </c>
      <c r="D3669" t="s">
        <v>3943</v>
      </c>
    </row>
    <row r="3670" spans="1:4" x14ac:dyDescent="0.3">
      <c r="A3670">
        <v>10123971531</v>
      </c>
      <c r="B3670" t="s">
        <v>3944</v>
      </c>
      <c r="C3670" t="s">
        <v>3934</v>
      </c>
      <c r="D3670" t="s">
        <v>3943</v>
      </c>
    </row>
    <row r="3671" spans="1:4" x14ac:dyDescent="0.3">
      <c r="A3671">
        <v>10123971531</v>
      </c>
      <c r="B3671" t="s">
        <v>3944</v>
      </c>
      <c r="C3671" t="s">
        <v>3934</v>
      </c>
      <c r="D3671" t="s">
        <v>3943</v>
      </c>
    </row>
    <row r="3672" spans="1:4" x14ac:dyDescent="0.3">
      <c r="A3672">
        <v>10123971531</v>
      </c>
      <c r="B3672" t="s">
        <v>3944</v>
      </c>
      <c r="C3672" t="s">
        <v>3934</v>
      </c>
      <c r="D3672" t="s">
        <v>3943</v>
      </c>
    </row>
    <row r="3673" spans="1:4" x14ac:dyDescent="0.3">
      <c r="A3673">
        <v>10123971531</v>
      </c>
      <c r="B3673" t="s">
        <v>3944</v>
      </c>
      <c r="C3673" t="s">
        <v>3934</v>
      </c>
      <c r="D3673" t="s">
        <v>3943</v>
      </c>
    </row>
    <row r="3674" spans="1:4" x14ac:dyDescent="0.3">
      <c r="A3674">
        <v>10123971531</v>
      </c>
      <c r="B3674" t="s">
        <v>3944</v>
      </c>
      <c r="C3674" t="s">
        <v>3934</v>
      </c>
      <c r="D3674" t="s">
        <v>3943</v>
      </c>
    </row>
    <row r="3675" spans="1:4" x14ac:dyDescent="0.3">
      <c r="A3675">
        <v>10123971531</v>
      </c>
      <c r="B3675" t="s">
        <v>3944</v>
      </c>
      <c r="C3675" t="s">
        <v>3934</v>
      </c>
      <c r="D3675" t="s">
        <v>3943</v>
      </c>
    </row>
    <row r="3676" spans="1:4" x14ac:dyDescent="0.3">
      <c r="A3676">
        <v>10123971531</v>
      </c>
      <c r="B3676" t="s">
        <v>3944</v>
      </c>
      <c r="C3676" t="s">
        <v>3934</v>
      </c>
      <c r="D3676" t="s">
        <v>3943</v>
      </c>
    </row>
    <row r="3677" spans="1:4" x14ac:dyDescent="0.3">
      <c r="A3677">
        <v>10123971531</v>
      </c>
      <c r="B3677" t="s">
        <v>3944</v>
      </c>
      <c r="C3677" t="s">
        <v>3934</v>
      </c>
      <c r="D3677" t="s">
        <v>3943</v>
      </c>
    </row>
    <row r="3678" spans="1:4" x14ac:dyDescent="0.3">
      <c r="A3678">
        <v>10123971531</v>
      </c>
      <c r="B3678" t="s">
        <v>3944</v>
      </c>
      <c r="C3678" t="s">
        <v>3934</v>
      </c>
      <c r="D3678" t="s">
        <v>3943</v>
      </c>
    </row>
    <row r="3679" spans="1:4" x14ac:dyDescent="0.3">
      <c r="A3679">
        <v>10123971531</v>
      </c>
      <c r="B3679" t="s">
        <v>3944</v>
      </c>
      <c r="C3679" t="s">
        <v>3934</v>
      </c>
      <c r="D3679" t="s">
        <v>3943</v>
      </c>
    </row>
    <row r="3680" spans="1:4" x14ac:dyDescent="0.3">
      <c r="A3680">
        <v>10123971531</v>
      </c>
      <c r="B3680" t="s">
        <v>3944</v>
      </c>
      <c r="C3680" t="s">
        <v>3934</v>
      </c>
      <c r="D3680" t="s">
        <v>3943</v>
      </c>
    </row>
    <row r="3681" spans="1:4" x14ac:dyDescent="0.3">
      <c r="A3681">
        <v>10123971531</v>
      </c>
      <c r="B3681" t="s">
        <v>3944</v>
      </c>
      <c r="C3681" t="s">
        <v>3934</v>
      </c>
      <c r="D3681" t="s">
        <v>3943</v>
      </c>
    </row>
    <row r="3682" spans="1:4" x14ac:dyDescent="0.3">
      <c r="A3682">
        <v>10123971531</v>
      </c>
      <c r="B3682" t="s">
        <v>3944</v>
      </c>
      <c r="C3682" t="s">
        <v>3934</v>
      </c>
      <c r="D3682" t="s">
        <v>3943</v>
      </c>
    </row>
    <row r="3683" spans="1:4" x14ac:dyDescent="0.3">
      <c r="A3683">
        <v>10123971531</v>
      </c>
      <c r="B3683" t="s">
        <v>3944</v>
      </c>
      <c r="C3683" t="s">
        <v>3934</v>
      </c>
      <c r="D3683" t="s">
        <v>3943</v>
      </c>
    </row>
    <row r="3684" spans="1:4" x14ac:dyDescent="0.3">
      <c r="A3684">
        <v>10123971531</v>
      </c>
      <c r="B3684" t="s">
        <v>3944</v>
      </c>
      <c r="C3684" t="s">
        <v>3934</v>
      </c>
      <c r="D3684" t="s">
        <v>3943</v>
      </c>
    </row>
    <row r="3685" spans="1:4" x14ac:dyDescent="0.3">
      <c r="A3685">
        <v>10123971531</v>
      </c>
      <c r="B3685" t="s">
        <v>3944</v>
      </c>
      <c r="C3685" t="s">
        <v>3934</v>
      </c>
      <c r="D3685" t="s">
        <v>3943</v>
      </c>
    </row>
    <row r="3686" spans="1:4" x14ac:dyDescent="0.3">
      <c r="A3686">
        <v>10123971531</v>
      </c>
      <c r="B3686" t="s">
        <v>3944</v>
      </c>
      <c r="C3686" t="s">
        <v>3934</v>
      </c>
      <c r="D3686" t="s">
        <v>3943</v>
      </c>
    </row>
    <row r="3687" spans="1:4" x14ac:dyDescent="0.3">
      <c r="A3687">
        <v>10245841021</v>
      </c>
      <c r="B3687" t="s">
        <v>3933</v>
      </c>
      <c r="C3687" t="s">
        <v>3934</v>
      </c>
      <c r="D3687" t="s">
        <v>3987</v>
      </c>
    </row>
    <row r="3688" spans="1:4" x14ac:dyDescent="0.3">
      <c r="A3688">
        <v>10245841021</v>
      </c>
      <c r="B3688" t="s">
        <v>3933</v>
      </c>
      <c r="C3688" t="s">
        <v>3934</v>
      </c>
      <c r="D3688" t="s">
        <v>3987</v>
      </c>
    </row>
    <row r="3689" spans="1:4" x14ac:dyDescent="0.3">
      <c r="A3689">
        <v>10245841021</v>
      </c>
      <c r="B3689" t="s">
        <v>3933</v>
      </c>
      <c r="C3689" t="s">
        <v>3934</v>
      </c>
      <c r="D3689" t="s">
        <v>3987</v>
      </c>
    </row>
    <row r="3690" spans="1:4" x14ac:dyDescent="0.3">
      <c r="A3690">
        <v>10245841021</v>
      </c>
      <c r="B3690" t="s">
        <v>3933</v>
      </c>
      <c r="C3690" t="s">
        <v>3934</v>
      </c>
      <c r="D3690" t="s">
        <v>3987</v>
      </c>
    </row>
    <row r="3691" spans="1:4" x14ac:dyDescent="0.3">
      <c r="A3691">
        <v>10245841021</v>
      </c>
      <c r="B3691" t="s">
        <v>3933</v>
      </c>
      <c r="C3691" t="s">
        <v>3934</v>
      </c>
      <c r="D3691" t="s">
        <v>3987</v>
      </c>
    </row>
    <row r="3692" spans="1:4" x14ac:dyDescent="0.3">
      <c r="A3692">
        <v>10245841021</v>
      </c>
      <c r="B3692" t="s">
        <v>3933</v>
      </c>
      <c r="C3692" t="s">
        <v>3934</v>
      </c>
      <c r="D3692" t="s">
        <v>3987</v>
      </c>
    </row>
    <row r="3693" spans="1:4" x14ac:dyDescent="0.3">
      <c r="A3693">
        <v>10245841021</v>
      </c>
      <c r="B3693" t="s">
        <v>3933</v>
      </c>
      <c r="C3693" t="s">
        <v>3934</v>
      </c>
      <c r="D3693" t="s">
        <v>3987</v>
      </c>
    </row>
    <row r="3694" spans="1:4" x14ac:dyDescent="0.3">
      <c r="A3694">
        <v>10245841021</v>
      </c>
      <c r="B3694" t="s">
        <v>3933</v>
      </c>
      <c r="C3694" t="s">
        <v>3934</v>
      </c>
      <c r="D3694" t="s">
        <v>3987</v>
      </c>
    </row>
    <row r="3695" spans="1:4" x14ac:dyDescent="0.3">
      <c r="A3695">
        <v>10245841021</v>
      </c>
      <c r="B3695" t="s">
        <v>3933</v>
      </c>
      <c r="C3695" t="s">
        <v>3934</v>
      </c>
      <c r="D3695" t="s">
        <v>3987</v>
      </c>
    </row>
    <row r="3696" spans="1:4" x14ac:dyDescent="0.3">
      <c r="A3696">
        <v>10245841021</v>
      </c>
      <c r="B3696" t="s">
        <v>3933</v>
      </c>
      <c r="C3696" t="s">
        <v>3934</v>
      </c>
      <c r="D3696" t="s">
        <v>3987</v>
      </c>
    </row>
    <row r="3697" spans="1:4" x14ac:dyDescent="0.3">
      <c r="A3697">
        <v>10245841021</v>
      </c>
      <c r="B3697" t="s">
        <v>3933</v>
      </c>
      <c r="C3697" t="s">
        <v>3934</v>
      </c>
      <c r="D3697" t="s">
        <v>3987</v>
      </c>
    </row>
    <row r="3698" spans="1:4" x14ac:dyDescent="0.3">
      <c r="A3698">
        <v>10245841021</v>
      </c>
      <c r="B3698" t="s">
        <v>3933</v>
      </c>
      <c r="C3698" t="s">
        <v>3934</v>
      </c>
      <c r="D3698" t="s">
        <v>3987</v>
      </c>
    </row>
    <row r="3699" spans="1:4" x14ac:dyDescent="0.3">
      <c r="A3699">
        <v>10245841021</v>
      </c>
      <c r="B3699" t="s">
        <v>3933</v>
      </c>
      <c r="C3699" t="s">
        <v>3934</v>
      </c>
      <c r="D3699" t="s">
        <v>3987</v>
      </c>
    </row>
    <row r="3700" spans="1:4" x14ac:dyDescent="0.3">
      <c r="A3700">
        <v>10245841021</v>
      </c>
      <c r="B3700" t="s">
        <v>3933</v>
      </c>
      <c r="C3700" t="s">
        <v>3934</v>
      </c>
      <c r="D3700" t="s">
        <v>3987</v>
      </c>
    </row>
    <row r="3701" spans="1:4" x14ac:dyDescent="0.3">
      <c r="A3701">
        <v>10245841021</v>
      </c>
      <c r="B3701" t="s">
        <v>3933</v>
      </c>
      <c r="C3701" t="s">
        <v>3934</v>
      </c>
      <c r="D3701" t="s">
        <v>3987</v>
      </c>
    </row>
    <row r="3702" spans="1:4" x14ac:dyDescent="0.3">
      <c r="A3702">
        <v>10245841021</v>
      </c>
      <c r="B3702" t="s">
        <v>3933</v>
      </c>
      <c r="C3702" t="s">
        <v>3934</v>
      </c>
      <c r="D3702" t="s">
        <v>3987</v>
      </c>
    </row>
    <row r="3703" spans="1:4" x14ac:dyDescent="0.3">
      <c r="A3703">
        <v>10245841021</v>
      </c>
      <c r="B3703" t="s">
        <v>3933</v>
      </c>
      <c r="C3703" t="s">
        <v>3934</v>
      </c>
      <c r="D3703" t="s">
        <v>3987</v>
      </c>
    </row>
    <row r="3704" spans="1:4" x14ac:dyDescent="0.3">
      <c r="A3704">
        <v>10245841021</v>
      </c>
      <c r="B3704" t="s">
        <v>3933</v>
      </c>
      <c r="C3704" t="s">
        <v>3934</v>
      </c>
      <c r="D3704" t="s">
        <v>3987</v>
      </c>
    </row>
    <row r="3705" spans="1:4" x14ac:dyDescent="0.3">
      <c r="A3705">
        <v>10245841021</v>
      </c>
      <c r="B3705" t="s">
        <v>3933</v>
      </c>
      <c r="C3705" t="s">
        <v>3934</v>
      </c>
      <c r="D3705" t="s">
        <v>3987</v>
      </c>
    </row>
    <row r="3706" spans="1:4" x14ac:dyDescent="0.3">
      <c r="A3706">
        <v>10245841021</v>
      </c>
      <c r="B3706" t="s">
        <v>3933</v>
      </c>
      <c r="C3706" t="s">
        <v>3934</v>
      </c>
      <c r="D3706" t="s">
        <v>3987</v>
      </c>
    </row>
    <row r="3707" spans="1:4" x14ac:dyDescent="0.3">
      <c r="A3707">
        <v>10306009131</v>
      </c>
      <c r="B3707" t="s">
        <v>3933</v>
      </c>
      <c r="C3707" t="s">
        <v>3934</v>
      </c>
      <c r="D3707" t="s">
        <v>3978</v>
      </c>
    </row>
    <row r="3708" spans="1:4" x14ac:dyDescent="0.3">
      <c r="A3708">
        <v>10306009131</v>
      </c>
      <c r="B3708" t="s">
        <v>3933</v>
      </c>
      <c r="C3708" t="s">
        <v>3934</v>
      </c>
      <c r="D3708" t="s">
        <v>3978</v>
      </c>
    </row>
    <row r="3709" spans="1:4" x14ac:dyDescent="0.3">
      <c r="A3709">
        <v>10306009131</v>
      </c>
      <c r="B3709" t="s">
        <v>3933</v>
      </c>
      <c r="C3709" t="s">
        <v>3934</v>
      </c>
      <c r="D3709" t="s">
        <v>3978</v>
      </c>
    </row>
    <row r="3710" spans="1:4" x14ac:dyDescent="0.3">
      <c r="A3710">
        <v>10306009131</v>
      </c>
      <c r="B3710" t="s">
        <v>3933</v>
      </c>
      <c r="C3710" t="s">
        <v>3934</v>
      </c>
      <c r="D3710" t="s">
        <v>3978</v>
      </c>
    </row>
    <row r="3711" spans="1:4" x14ac:dyDescent="0.3">
      <c r="A3711">
        <v>10306009131</v>
      </c>
      <c r="B3711" t="s">
        <v>3933</v>
      </c>
      <c r="C3711" t="s">
        <v>3934</v>
      </c>
      <c r="D3711" t="s">
        <v>3978</v>
      </c>
    </row>
    <row r="3712" spans="1:4" x14ac:dyDescent="0.3">
      <c r="A3712">
        <v>10306009131</v>
      </c>
      <c r="B3712" t="s">
        <v>3933</v>
      </c>
      <c r="C3712" t="s">
        <v>3934</v>
      </c>
      <c r="D3712" t="s">
        <v>3978</v>
      </c>
    </row>
    <row r="3713" spans="1:4" x14ac:dyDescent="0.3">
      <c r="A3713">
        <v>10306009131</v>
      </c>
      <c r="B3713" t="s">
        <v>3933</v>
      </c>
      <c r="C3713" t="s">
        <v>3934</v>
      </c>
      <c r="D3713" t="s">
        <v>3978</v>
      </c>
    </row>
    <row r="3714" spans="1:4" x14ac:dyDescent="0.3">
      <c r="A3714">
        <v>10306009131</v>
      </c>
      <c r="B3714" t="s">
        <v>3933</v>
      </c>
      <c r="C3714" t="s">
        <v>3934</v>
      </c>
      <c r="D3714" t="s">
        <v>3978</v>
      </c>
    </row>
    <row r="3715" spans="1:4" x14ac:dyDescent="0.3">
      <c r="A3715">
        <v>10306009131</v>
      </c>
      <c r="B3715" t="s">
        <v>3933</v>
      </c>
      <c r="C3715" t="s">
        <v>3934</v>
      </c>
      <c r="D3715" t="s">
        <v>3978</v>
      </c>
    </row>
    <row r="3716" spans="1:4" x14ac:dyDescent="0.3">
      <c r="A3716">
        <v>10306009131</v>
      </c>
      <c r="B3716" t="s">
        <v>3933</v>
      </c>
      <c r="C3716" t="s">
        <v>3934</v>
      </c>
      <c r="D3716" t="s">
        <v>3978</v>
      </c>
    </row>
    <row r="3717" spans="1:4" x14ac:dyDescent="0.3">
      <c r="A3717">
        <v>10306009131</v>
      </c>
      <c r="B3717" t="s">
        <v>3933</v>
      </c>
      <c r="C3717" t="s">
        <v>3934</v>
      </c>
      <c r="D3717" t="s">
        <v>3978</v>
      </c>
    </row>
    <row r="3718" spans="1:4" x14ac:dyDescent="0.3">
      <c r="A3718">
        <v>10306009131</v>
      </c>
      <c r="B3718" t="s">
        <v>3933</v>
      </c>
      <c r="C3718" t="s">
        <v>3934</v>
      </c>
      <c r="D3718" t="s">
        <v>3978</v>
      </c>
    </row>
    <row r="3719" spans="1:4" x14ac:dyDescent="0.3">
      <c r="A3719">
        <v>10306009131</v>
      </c>
      <c r="B3719" t="s">
        <v>3933</v>
      </c>
      <c r="C3719" t="s">
        <v>3934</v>
      </c>
      <c r="D3719" t="s">
        <v>3978</v>
      </c>
    </row>
    <row r="3720" spans="1:4" x14ac:dyDescent="0.3">
      <c r="A3720">
        <v>10306009131</v>
      </c>
      <c r="B3720" t="s">
        <v>3933</v>
      </c>
      <c r="C3720" t="s">
        <v>3934</v>
      </c>
      <c r="D3720" t="s">
        <v>3978</v>
      </c>
    </row>
    <row r="3721" spans="1:4" x14ac:dyDescent="0.3">
      <c r="A3721">
        <v>10306009131</v>
      </c>
      <c r="B3721" t="s">
        <v>3933</v>
      </c>
      <c r="C3721" t="s">
        <v>3934</v>
      </c>
      <c r="D3721" t="s">
        <v>3978</v>
      </c>
    </row>
    <row r="3722" spans="1:4" x14ac:dyDescent="0.3">
      <c r="A3722">
        <v>10306009131</v>
      </c>
      <c r="B3722" t="s">
        <v>3933</v>
      </c>
      <c r="C3722" t="s">
        <v>3934</v>
      </c>
      <c r="D3722" t="s">
        <v>3978</v>
      </c>
    </row>
    <row r="3723" spans="1:4" x14ac:dyDescent="0.3">
      <c r="A3723">
        <v>10306009131</v>
      </c>
      <c r="B3723" t="s">
        <v>3933</v>
      </c>
      <c r="C3723" t="s">
        <v>3934</v>
      </c>
      <c r="D3723" t="s">
        <v>3978</v>
      </c>
    </row>
    <row r="3724" spans="1:4" x14ac:dyDescent="0.3">
      <c r="A3724">
        <v>10306009131</v>
      </c>
      <c r="B3724" t="s">
        <v>3933</v>
      </c>
      <c r="C3724" t="s">
        <v>3934</v>
      </c>
      <c r="D3724" t="s">
        <v>3978</v>
      </c>
    </row>
    <row r="3725" spans="1:4" x14ac:dyDescent="0.3">
      <c r="A3725">
        <v>10306009131</v>
      </c>
      <c r="B3725" t="s">
        <v>3933</v>
      </c>
      <c r="C3725" t="s">
        <v>3934</v>
      </c>
      <c r="D3725" t="s">
        <v>3978</v>
      </c>
    </row>
    <row r="3726" spans="1:4" x14ac:dyDescent="0.3">
      <c r="A3726">
        <v>10306009131</v>
      </c>
      <c r="B3726" t="s">
        <v>3933</v>
      </c>
      <c r="C3726" t="s">
        <v>3934</v>
      </c>
      <c r="D3726" t="s">
        <v>3978</v>
      </c>
    </row>
    <row r="3727" spans="1:4" x14ac:dyDescent="0.3">
      <c r="A3727">
        <v>10306009131</v>
      </c>
      <c r="B3727" t="s">
        <v>3933</v>
      </c>
      <c r="C3727" t="s">
        <v>3934</v>
      </c>
      <c r="D3727" t="s">
        <v>3978</v>
      </c>
    </row>
    <row r="3728" spans="1:4" x14ac:dyDescent="0.3">
      <c r="A3728">
        <v>10306009131</v>
      </c>
      <c r="B3728" t="s">
        <v>3933</v>
      </c>
      <c r="C3728" t="s">
        <v>3934</v>
      </c>
      <c r="D3728" t="s">
        <v>3978</v>
      </c>
    </row>
    <row r="3729" spans="1:4" x14ac:dyDescent="0.3">
      <c r="A3729">
        <v>10306009131</v>
      </c>
      <c r="B3729" t="s">
        <v>3933</v>
      </c>
      <c r="C3729" t="s">
        <v>3934</v>
      </c>
      <c r="D3729" t="s">
        <v>3978</v>
      </c>
    </row>
    <row r="3730" spans="1:4" x14ac:dyDescent="0.3">
      <c r="A3730">
        <v>10306009131</v>
      </c>
      <c r="B3730" t="s">
        <v>3933</v>
      </c>
      <c r="C3730" t="s">
        <v>3934</v>
      </c>
      <c r="D3730" t="s">
        <v>3978</v>
      </c>
    </row>
    <row r="3731" spans="1:4" x14ac:dyDescent="0.3">
      <c r="A3731">
        <v>10306009131</v>
      </c>
      <c r="B3731" t="s">
        <v>3933</v>
      </c>
      <c r="C3731" t="s">
        <v>3934</v>
      </c>
      <c r="D3731" t="s">
        <v>3978</v>
      </c>
    </row>
    <row r="3732" spans="1:4" x14ac:dyDescent="0.3">
      <c r="A3732">
        <v>10306009131</v>
      </c>
      <c r="B3732" t="s">
        <v>3933</v>
      </c>
      <c r="C3732" t="s">
        <v>3934</v>
      </c>
      <c r="D3732" t="s">
        <v>3978</v>
      </c>
    </row>
    <row r="3733" spans="1:4" x14ac:dyDescent="0.3">
      <c r="A3733">
        <v>10306009131</v>
      </c>
      <c r="B3733" t="s">
        <v>3933</v>
      </c>
      <c r="C3733" t="s">
        <v>3934</v>
      </c>
      <c r="D3733" t="s">
        <v>3978</v>
      </c>
    </row>
    <row r="3734" spans="1:4" x14ac:dyDescent="0.3">
      <c r="A3734">
        <v>10306009131</v>
      </c>
      <c r="B3734" t="s">
        <v>3933</v>
      </c>
      <c r="C3734" t="s">
        <v>3934</v>
      </c>
      <c r="D3734" t="s">
        <v>3978</v>
      </c>
    </row>
    <row r="3735" spans="1:4" x14ac:dyDescent="0.3">
      <c r="A3735">
        <v>10306009131</v>
      </c>
      <c r="B3735" t="s">
        <v>3933</v>
      </c>
      <c r="C3735" t="s">
        <v>3934</v>
      </c>
      <c r="D3735" t="s">
        <v>3978</v>
      </c>
    </row>
    <row r="3736" spans="1:4" x14ac:dyDescent="0.3">
      <c r="A3736">
        <v>10306009131</v>
      </c>
      <c r="B3736" t="s">
        <v>3933</v>
      </c>
      <c r="C3736" t="s">
        <v>3934</v>
      </c>
      <c r="D3736" t="s">
        <v>3978</v>
      </c>
    </row>
    <row r="3737" spans="1:4" x14ac:dyDescent="0.3">
      <c r="A3737">
        <v>10306009131</v>
      </c>
      <c r="B3737" t="s">
        <v>3933</v>
      </c>
      <c r="C3737" t="s">
        <v>3934</v>
      </c>
      <c r="D3737" t="s">
        <v>3978</v>
      </c>
    </row>
    <row r="3738" spans="1:4" x14ac:dyDescent="0.3">
      <c r="A3738">
        <v>10306009131</v>
      </c>
      <c r="B3738" t="s">
        <v>3933</v>
      </c>
      <c r="C3738" t="s">
        <v>3934</v>
      </c>
      <c r="D3738" t="s">
        <v>3978</v>
      </c>
    </row>
    <row r="3739" spans="1:4" x14ac:dyDescent="0.3">
      <c r="A3739">
        <v>10306009131</v>
      </c>
      <c r="B3739" t="s">
        <v>3933</v>
      </c>
      <c r="C3739" t="s">
        <v>3934</v>
      </c>
      <c r="D3739" t="s">
        <v>3978</v>
      </c>
    </row>
    <row r="3740" spans="1:4" x14ac:dyDescent="0.3">
      <c r="A3740">
        <v>10822473081</v>
      </c>
      <c r="B3740" t="s">
        <v>3965</v>
      </c>
      <c r="C3740" t="s">
        <v>3934</v>
      </c>
      <c r="D3740" t="s">
        <v>4007</v>
      </c>
    </row>
    <row r="3741" spans="1:4" x14ac:dyDescent="0.3">
      <c r="A3741">
        <v>10822473081</v>
      </c>
      <c r="B3741" t="s">
        <v>3965</v>
      </c>
      <c r="C3741" t="s">
        <v>3934</v>
      </c>
      <c r="D3741" t="s">
        <v>4007</v>
      </c>
    </row>
    <row r="3742" spans="1:4" x14ac:dyDescent="0.3">
      <c r="A3742">
        <v>10822473081</v>
      </c>
      <c r="B3742" t="s">
        <v>3965</v>
      </c>
      <c r="C3742" t="s">
        <v>3934</v>
      </c>
      <c r="D3742" t="s">
        <v>4007</v>
      </c>
    </row>
    <row r="3743" spans="1:4" x14ac:dyDescent="0.3">
      <c r="A3743">
        <v>10822473081</v>
      </c>
      <c r="B3743" t="s">
        <v>3965</v>
      </c>
      <c r="C3743" t="s">
        <v>3934</v>
      </c>
      <c r="D3743" t="s">
        <v>4007</v>
      </c>
    </row>
    <row r="3744" spans="1:4" x14ac:dyDescent="0.3">
      <c r="A3744">
        <v>10822473081</v>
      </c>
      <c r="B3744" t="s">
        <v>3965</v>
      </c>
      <c r="C3744" t="s">
        <v>3934</v>
      </c>
      <c r="D3744" t="s">
        <v>4007</v>
      </c>
    </row>
    <row r="3745" spans="1:4" x14ac:dyDescent="0.3">
      <c r="A3745">
        <v>10822473081</v>
      </c>
      <c r="B3745" t="s">
        <v>3965</v>
      </c>
      <c r="C3745" t="s">
        <v>3934</v>
      </c>
      <c r="D3745" t="s">
        <v>4007</v>
      </c>
    </row>
    <row r="3746" spans="1:4" x14ac:dyDescent="0.3">
      <c r="A3746">
        <v>10822473081</v>
      </c>
      <c r="B3746" t="s">
        <v>3965</v>
      </c>
      <c r="C3746" t="s">
        <v>3934</v>
      </c>
      <c r="D3746" t="s">
        <v>4007</v>
      </c>
    </row>
    <row r="3747" spans="1:4" x14ac:dyDescent="0.3">
      <c r="A3747">
        <v>10822473081</v>
      </c>
      <c r="B3747" t="s">
        <v>3965</v>
      </c>
      <c r="C3747" t="s">
        <v>3934</v>
      </c>
      <c r="D3747" t="s">
        <v>4007</v>
      </c>
    </row>
    <row r="3748" spans="1:4" x14ac:dyDescent="0.3">
      <c r="A3748">
        <v>10822473081</v>
      </c>
      <c r="B3748" t="s">
        <v>3965</v>
      </c>
      <c r="C3748" t="s">
        <v>3934</v>
      </c>
      <c r="D3748" t="s">
        <v>4007</v>
      </c>
    </row>
    <row r="3749" spans="1:4" x14ac:dyDescent="0.3">
      <c r="A3749">
        <v>10822473081</v>
      </c>
      <c r="B3749" t="s">
        <v>3965</v>
      </c>
      <c r="C3749" t="s">
        <v>3934</v>
      </c>
      <c r="D3749" t="s">
        <v>4007</v>
      </c>
    </row>
    <row r="3750" spans="1:4" x14ac:dyDescent="0.3">
      <c r="A3750">
        <v>10822473081</v>
      </c>
      <c r="B3750" t="s">
        <v>3965</v>
      </c>
      <c r="C3750" t="s">
        <v>3934</v>
      </c>
      <c r="D3750" t="s">
        <v>4007</v>
      </c>
    </row>
    <row r="3751" spans="1:4" x14ac:dyDescent="0.3">
      <c r="A3751">
        <v>10822473081</v>
      </c>
      <c r="B3751" t="s">
        <v>3965</v>
      </c>
      <c r="C3751" t="s">
        <v>3934</v>
      </c>
      <c r="D3751" t="s">
        <v>4007</v>
      </c>
    </row>
    <row r="3752" spans="1:4" x14ac:dyDescent="0.3">
      <c r="A3752">
        <v>10822473081</v>
      </c>
      <c r="B3752" t="s">
        <v>3965</v>
      </c>
      <c r="C3752" t="s">
        <v>3934</v>
      </c>
      <c r="D3752" t="s">
        <v>4007</v>
      </c>
    </row>
    <row r="3753" spans="1:4" x14ac:dyDescent="0.3">
      <c r="A3753">
        <v>10822473081</v>
      </c>
      <c r="B3753" t="s">
        <v>3965</v>
      </c>
      <c r="C3753" t="s">
        <v>3934</v>
      </c>
      <c r="D3753" t="s">
        <v>4007</v>
      </c>
    </row>
    <row r="3754" spans="1:4" x14ac:dyDescent="0.3">
      <c r="A3754">
        <v>10822473081</v>
      </c>
      <c r="B3754" t="s">
        <v>3965</v>
      </c>
      <c r="C3754" t="s">
        <v>3934</v>
      </c>
      <c r="D3754" t="s">
        <v>4007</v>
      </c>
    </row>
    <row r="3755" spans="1:4" x14ac:dyDescent="0.3">
      <c r="A3755">
        <v>10822473081</v>
      </c>
      <c r="B3755" t="s">
        <v>3965</v>
      </c>
      <c r="C3755" t="s">
        <v>3934</v>
      </c>
      <c r="D3755" t="s">
        <v>4007</v>
      </c>
    </row>
    <row r="3756" spans="1:4" x14ac:dyDescent="0.3">
      <c r="A3756">
        <v>10822473081</v>
      </c>
      <c r="B3756" t="s">
        <v>3965</v>
      </c>
      <c r="C3756" t="s">
        <v>3934</v>
      </c>
      <c r="D3756" t="s">
        <v>4007</v>
      </c>
    </row>
    <row r="3757" spans="1:4" x14ac:dyDescent="0.3">
      <c r="A3757">
        <v>10822473081</v>
      </c>
      <c r="B3757" t="s">
        <v>3965</v>
      </c>
      <c r="C3757" t="s">
        <v>3934</v>
      </c>
      <c r="D3757" t="s">
        <v>4007</v>
      </c>
    </row>
    <row r="3758" spans="1:4" x14ac:dyDescent="0.3">
      <c r="A3758">
        <v>10822473081</v>
      </c>
      <c r="B3758" t="s">
        <v>3965</v>
      </c>
      <c r="C3758" t="s">
        <v>3934</v>
      </c>
      <c r="D3758" t="s">
        <v>4007</v>
      </c>
    </row>
    <row r="3759" spans="1:4" x14ac:dyDescent="0.3">
      <c r="A3759">
        <v>10822473081</v>
      </c>
      <c r="B3759" t="s">
        <v>3965</v>
      </c>
      <c r="C3759" t="s">
        <v>3934</v>
      </c>
      <c r="D3759" t="s">
        <v>4007</v>
      </c>
    </row>
    <row r="3760" spans="1:4" x14ac:dyDescent="0.3">
      <c r="A3760">
        <v>10822473081</v>
      </c>
      <c r="B3760" t="s">
        <v>3965</v>
      </c>
      <c r="C3760" t="s">
        <v>3934</v>
      </c>
      <c r="D3760" t="s">
        <v>4007</v>
      </c>
    </row>
    <row r="3761" spans="1:4" x14ac:dyDescent="0.3">
      <c r="A3761">
        <v>10822473081</v>
      </c>
      <c r="B3761" t="s">
        <v>3965</v>
      </c>
      <c r="C3761" t="s">
        <v>3934</v>
      </c>
      <c r="D3761" t="s">
        <v>4007</v>
      </c>
    </row>
    <row r="3762" spans="1:4" x14ac:dyDescent="0.3">
      <c r="A3762">
        <v>10822473081</v>
      </c>
      <c r="B3762" t="s">
        <v>3965</v>
      </c>
      <c r="C3762" t="s">
        <v>3934</v>
      </c>
      <c r="D3762" t="s">
        <v>4007</v>
      </c>
    </row>
    <row r="3763" spans="1:4" x14ac:dyDescent="0.3">
      <c r="A3763">
        <v>10822473081</v>
      </c>
      <c r="B3763" t="s">
        <v>3965</v>
      </c>
      <c r="C3763" t="s">
        <v>3934</v>
      </c>
      <c r="D3763" t="s">
        <v>4007</v>
      </c>
    </row>
    <row r="3764" spans="1:4" x14ac:dyDescent="0.3">
      <c r="A3764">
        <v>10822473081</v>
      </c>
      <c r="B3764" t="s">
        <v>3965</v>
      </c>
      <c r="C3764" t="s">
        <v>3934</v>
      </c>
      <c r="D3764" t="s">
        <v>4007</v>
      </c>
    </row>
    <row r="3765" spans="1:4" x14ac:dyDescent="0.3">
      <c r="A3765">
        <v>11001273124</v>
      </c>
      <c r="B3765" t="s">
        <v>3944</v>
      </c>
      <c r="C3765" t="s">
        <v>3934</v>
      </c>
      <c r="D3765" t="s">
        <v>3951</v>
      </c>
    </row>
    <row r="3766" spans="1:4" x14ac:dyDescent="0.3">
      <c r="A3766">
        <v>11001273124</v>
      </c>
      <c r="B3766" t="s">
        <v>3944</v>
      </c>
      <c r="C3766" t="s">
        <v>3934</v>
      </c>
      <c r="D3766" t="s">
        <v>3951</v>
      </c>
    </row>
    <row r="3767" spans="1:4" x14ac:dyDescent="0.3">
      <c r="A3767">
        <v>11001273124</v>
      </c>
      <c r="B3767" t="s">
        <v>3944</v>
      </c>
      <c r="C3767" t="s">
        <v>3934</v>
      </c>
      <c r="D3767" t="s">
        <v>3951</v>
      </c>
    </row>
    <row r="3768" spans="1:4" x14ac:dyDescent="0.3">
      <c r="A3768">
        <v>11001273124</v>
      </c>
      <c r="B3768" t="s">
        <v>3944</v>
      </c>
      <c r="C3768" t="s">
        <v>3934</v>
      </c>
      <c r="D3768" t="s">
        <v>3951</v>
      </c>
    </row>
    <row r="3769" spans="1:4" x14ac:dyDescent="0.3">
      <c r="A3769">
        <v>11001273124</v>
      </c>
      <c r="B3769" t="s">
        <v>3944</v>
      </c>
      <c r="C3769" t="s">
        <v>3934</v>
      </c>
      <c r="D3769" t="s">
        <v>3951</v>
      </c>
    </row>
    <row r="3770" spans="1:4" x14ac:dyDescent="0.3">
      <c r="A3770">
        <v>11001273124</v>
      </c>
      <c r="B3770" t="s">
        <v>3944</v>
      </c>
      <c r="C3770" t="s">
        <v>3934</v>
      </c>
      <c r="D3770" t="s">
        <v>3951</v>
      </c>
    </row>
    <row r="3771" spans="1:4" x14ac:dyDescent="0.3">
      <c r="A3771">
        <v>11001273124</v>
      </c>
      <c r="B3771" t="s">
        <v>3944</v>
      </c>
      <c r="C3771" t="s">
        <v>3934</v>
      </c>
      <c r="D3771" t="s">
        <v>3951</v>
      </c>
    </row>
    <row r="3772" spans="1:4" x14ac:dyDescent="0.3">
      <c r="A3772">
        <v>11001273124</v>
      </c>
      <c r="B3772" t="s">
        <v>3944</v>
      </c>
      <c r="C3772" t="s">
        <v>3934</v>
      </c>
      <c r="D3772" t="s">
        <v>3951</v>
      </c>
    </row>
    <row r="3773" spans="1:4" x14ac:dyDescent="0.3">
      <c r="A3773">
        <v>11001273124</v>
      </c>
      <c r="B3773" t="s">
        <v>3944</v>
      </c>
      <c r="C3773" t="s">
        <v>3934</v>
      </c>
      <c r="D3773" t="s">
        <v>3951</v>
      </c>
    </row>
    <row r="3774" spans="1:4" x14ac:dyDescent="0.3">
      <c r="A3774">
        <v>11001273124</v>
      </c>
      <c r="B3774" t="s">
        <v>3944</v>
      </c>
      <c r="C3774" t="s">
        <v>3934</v>
      </c>
      <c r="D3774" t="s">
        <v>3951</v>
      </c>
    </row>
    <row r="3775" spans="1:4" x14ac:dyDescent="0.3">
      <c r="A3775">
        <v>11001273124</v>
      </c>
      <c r="B3775" t="s">
        <v>3944</v>
      </c>
      <c r="C3775" t="s">
        <v>3934</v>
      </c>
      <c r="D3775" t="s">
        <v>3951</v>
      </c>
    </row>
    <row r="3776" spans="1:4" x14ac:dyDescent="0.3">
      <c r="A3776">
        <v>11001273124</v>
      </c>
      <c r="B3776" t="s">
        <v>3944</v>
      </c>
      <c r="C3776" t="s">
        <v>3934</v>
      </c>
      <c r="D3776" t="s">
        <v>3951</v>
      </c>
    </row>
    <row r="3777" spans="1:4" x14ac:dyDescent="0.3">
      <c r="A3777">
        <v>11001273124</v>
      </c>
      <c r="B3777" t="s">
        <v>3944</v>
      </c>
      <c r="C3777" t="s">
        <v>3934</v>
      </c>
      <c r="D3777" t="s">
        <v>3951</v>
      </c>
    </row>
    <row r="3778" spans="1:4" x14ac:dyDescent="0.3">
      <c r="A3778">
        <v>11001273124</v>
      </c>
      <c r="B3778" t="s">
        <v>3944</v>
      </c>
      <c r="C3778" t="s">
        <v>3934</v>
      </c>
      <c r="D3778" t="s">
        <v>3951</v>
      </c>
    </row>
    <row r="3779" spans="1:4" x14ac:dyDescent="0.3">
      <c r="A3779">
        <v>11001273124</v>
      </c>
      <c r="B3779" t="s">
        <v>3944</v>
      </c>
      <c r="C3779" t="s">
        <v>3934</v>
      </c>
      <c r="D3779" t="s">
        <v>3951</v>
      </c>
    </row>
    <row r="3780" spans="1:4" x14ac:dyDescent="0.3">
      <c r="A3780">
        <v>11001273124</v>
      </c>
      <c r="B3780" t="s">
        <v>3944</v>
      </c>
      <c r="C3780" t="s">
        <v>3934</v>
      </c>
      <c r="D3780" t="s">
        <v>3951</v>
      </c>
    </row>
    <row r="3781" spans="1:4" x14ac:dyDescent="0.3">
      <c r="A3781">
        <v>11001273124</v>
      </c>
      <c r="B3781" t="s">
        <v>3944</v>
      </c>
      <c r="C3781" t="s">
        <v>3934</v>
      </c>
      <c r="D3781" t="s">
        <v>3951</v>
      </c>
    </row>
    <row r="3782" spans="1:4" x14ac:dyDescent="0.3">
      <c r="A3782">
        <v>11001273124</v>
      </c>
      <c r="B3782" t="s">
        <v>3944</v>
      </c>
      <c r="C3782" t="s">
        <v>3934</v>
      </c>
      <c r="D3782" t="s">
        <v>3951</v>
      </c>
    </row>
    <row r="3783" spans="1:4" x14ac:dyDescent="0.3">
      <c r="A3783">
        <v>11001273124</v>
      </c>
      <c r="B3783" t="s">
        <v>3944</v>
      </c>
      <c r="C3783" t="s">
        <v>3934</v>
      </c>
      <c r="D3783" t="s">
        <v>3951</v>
      </c>
    </row>
    <row r="3784" spans="1:4" x14ac:dyDescent="0.3">
      <c r="A3784">
        <v>11001273124</v>
      </c>
      <c r="B3784" t="s">
        <v>3944</v>
      </c>
      <c r="C3784" t="s">
        <v>3934</v>
      </c>
      <c r="D3784" t="s">
        <v>3951</v>
      </c>
    </row>
    <row r="3785" spans="1:4" x14ac:dyDescent="0.3">
      <c r="A3785">
        <v>11001273124</v>
      </c>
      <c r="B3785" t="s">
        <v>3944</v>
      </c>
      <c r="C3785" t="s">
        <v>3934</v>
      </c>
      <c r="D3785" t="s">
        <v>3951</v>
      </c>
    </row>
    <row r="3786" spans="1:4" x14ac:dyDescent="0.3">
      <c r="A3786">
        <v>11001273124</v>
      </c>
      <c r="B3786" t="s">
        <v>3944</v>
      </c>
      <c r="C3786" t="s">
        <v>3934</v>
      </c>
      <c r="D3786" t="s">
        <v>3951</v>
      </c>
    </row>
    <row r="3787" spans="1:4" x14ac:dyDescent="0.3">
      <c r="A3787">
        <v>11001273124</v>
      </c>
      <c r="B3787" t="s">
        <v>3944</v>
      </c>
      <c r="C3787" t="s">
        <v>3934</v>
      </c>
      <c r="D3787" t="s">
        <v>3951</v>
      </c>
    </row>
    <row r="3788" spans="1:4" x14ac:dyDescent="0.3">
      <c r="A3788">
        <v>11001273124</v>
      </c>
      <c r="B3788" t="s">
        <v>3944</v>
      </c>
      <c r="C3788" t="s">
        <v>3934</v>
      </c>
      <c r="D3788" t="s">
        <v>3951</v>
      </c>
    </row>
    <row r="3789" spans="1:4" x14ac:dyDescent="0.3">
      <c r="A3789">
        <v>11001273124</v>
      </c>
      <c r="B3789" t="s">
        <v>3944</v>
      </c>
      <c r="C3789" t="s">
        <v>3934</v>
      </c>
      <c r="D3789" t="s">
        <v>3951</v>
      </c>
    </row>
    <row r="3790" spans="1:4" x14ac:dyDescent="0.3">
      <c r="A3790">
        <v>11001273124</v>
      </c>
      <c r="B3790" t="s">
        <v>3944</v>
      </c>
      <c r="C3790" t="s">
        <v>3934</v>
      </c>
      <c r="D3790" t="s">
        <v>3951</v>
      </c>
    </row>
    <row r="3791" spans="1:4" x14ac:dyDescent="0.3">
      <c r="A3791">
        <v>11001273124</v>
      </c>
      <c r="B3791" t="s">
        <v>3944</v>
      </c>
      <c r="C3791" t="s">
        <v>3934</v>
      </c>
      <c r="D3791" t="s">
        <v>3951</v>
      </c>
    </row>
    <row r="3792" spans="1:4" x14ac:dyDescent="0.3">
      <c r="A3792">
        <v>11001273124</v>
      </c>
      <c r="B3792" t="s">
        <v>3944</v>
      </c>
      <c r="C3792" t="s">
        <v>3934</v>
      </c>
      <c r="D3792" t="s">
        <v>3951</v>
      </c>
    </row>
    <row r="3793" spans="1:4" x14ac:dyDescent="0.3">
      <c r="A3793">
        <v>11001273124</v>
      </c>
      <c r="B3793" t="s">
        <v>3944</v>
      </c>
      <c r="C3793" t="s">
        <v>3934</v>
      </c>
      <c r="D3793" t="s">
        <v>3951</v>
      </c>
    </row>
    <row r="3794" spans="1:4" x14ac:dyDescent="0.3">
      <c r="A3794">
        <v>11001273124</v>
      </c>
      <c r="B3794" t="s">
        <v>3944</v>
      </c>
      <c r="C3794" t="s">
        <v>3934</v>
      </c>
      <c r="D3794" t="s">
        <v>3951</v>
      </c>
    </row>
    <row r="3795" spans="1:4" x14ac:dyDescent="0.3">
      <c r="A3795">
        <v>11001273124</v>
      </c>
      <c r="B3795" t="s">
        <v>3944</v>
      </c>
      <c r="C3795" t="s">
        <v>3934</v>
      </c>
      <c r="D3795" t="s">
        <v>3951</v>
      </c>
    </row>
    <row r="3796" spans="1:4" x14ac:dyDescent="0.3">
      <c r="A3796">
        <v>11001273124</v>
      </c>
      <c r="B3796" t="s">
        <v>3944</v>
      </c>
      <c r="C3796" t="s">
        <v>3934</v>
      </c>
      <c r="D3796" t="s">
        <v>3951</v>
      </c>
    </row>
    <row r="3797" spans="1:4" x14ac:dyDescent="0.3">
      <c r="A3797">
        <v>11001273124</v>
      </c>
      <c r="B3797" t="s">
        <v>3944</v>
      </c>
      <c r="C3797" t="s">
        <v>3934</v>
      </c>
      <c r="D3797" t="s">
        <v>3951</v>
      </c>
    </row>
    <row r="3798" spans="1:4" x14ac:dyDescent="0.3">
      <c r="A3798">
        <v>11001273124</v>
      </c>
      <c r="B3798" t="s">
        <v>3944</v>
      </c>
      <c r="C3798" t="s">
        <v>3934</v>
      </c>
      <c r="D3798" t="s">
        <v>3951</v>
      </c>
    </row>
    <row r="3799" spans="1:4" x14ac:dyDescent="0.3">
      <c r="A3799">
        <v>11001273124</v>
      </c>
      <c r="B3799" t="s">
        <v>3944</v>
      </c>
      <c r="C3799" t="s">
        <v>3934</v>
      </c>
      <c r="D3799" t="s">
        <v>3951</v>
      </c>
    </row>
    <row r="3800" spans="1:4" x14ac:dyDescent="0.3">
      <c r="A3800">
        <v>1023000285</v>
      </c>
      <c r="B3800" t="s">
        <v>4940</v>
      </c>
      <c r="C3800" t="s">
        <v>3934</v>
      </c>
      <c r="D3800" t="s">
        <v>4926</v>
      </c>
    </row>
    <row r="3801" spans="1:4" x14ac:dyDescent="0.3">
      <c r="A3801">
        <v>1032678391</v>
      </c>
      <c r="B3801" t="s">
        <v>4941</v>
      </c>
      <c r="C3801" t="s">
        <v>3934</v>
      </c>
      <c r="D3801" t="s">
        <v>4927</v>
      </c>
    </row>
    <row r="3802" spans="1:4" x14ac:dyDescent="0.3">
      <c r="A3802">
        <v>1099215811</v>
      </c>
      <c r="B3802" t="s">
        <v>4942</v>
      </c>
      <c r="C3802" t="s">
        <v>3934</v>
      </c>
      <c r="D3802" t="s">
        <v>4928</v>
      </c>
    </row>
    <row r="3803" spans="1:4" x14ac:dyDescent="0.3">
      <c r="A3803">
        <v>1006459732</v>
      </c>
      <c r="B3803" t="s">
        <v>4940</v>
      </c>
      <c r="C3803" t="s">
        <v>3934</v>
      </c>
      <c r="D3803" t="s">
        <v>4922</v>
      </c>
    </row>
    <row r="3804" spans="1:4" x14ac:dyDescent="0.3">
      <c r="A3804">
        <v>1000286877</v>
      </c>
      <c r="B3804" t="s">
        <v>4940</v>
      </c>
      <c r="C3804" t="s">
        <v>3934</v>
      </c>
      <c r="D3804" t="s">
        <v>4930</v>
      </c>
    </row>
    <row r="3805" spans="1:4" x14ac:dyDescent="0.3">
      <c r="A3805">
        <v>1018455773</v>
      </c>
      <c r="B3805" t="s">
        <v>4940</v>
      </c>
      <c r="C3805" t="s">
        <v>3934</v>
      </c>
      <c r="D3805" t="s">
        <v>4921</v>
      </c>
    </row>
    <row r="3806" spans="1:4" x14ac:dyDescent="0.3">
      <c r="A3806">
        <v>1013634750</v>
      </c>
      <c r="B3806" t="s">
        <v>4943</v>
      </c>
      <c r="C3806" t="s">
        <v>3934</v>
      </c>
      <c r="D3806" t="s">
        <v>4932</v>
      </c>
    </row>
    <row r="3807" spans="1:4" x14ac:dyDescent="0.3">
      <c r="A3807">
        <v>1015407851</v>
      </c>
      <c r="B3807" t="s">
        <v>4944</v>
      </c>
      <c r="C3807" t="s">
        <v>3934</v>
      </c>
      <c r="D3807" t="s">
        <v>4924</v>
      </c>
    </row>
    <row r="3808" spans="1:4" x14ac:dyDescent="0.3">
      <c r="A3808">
        <v>1000777598</v>
      </c>
      <c r="B3808" t="s">
        <v>4940</v>
      </c>
      <c r="C3808" t="s">
        <v>3934</v>
      </c>
      <c r="D3808" t="s">
        <v>4925</v>
      </c>
    </row>
    <row r="3809" spans="1:4" x14ac:dyDescent="0.3">
      <c r="A3809">
        <v>1030561016</v>
      </c>
      <c r="B3809" t="s">
        <v>3967</v>
      </c>
      <c r="C3809" t="s">
        <v>3934</v>
      </c>
      <c r="D3809" t="s">
        <v>4931</v>
      </c>
    </row>
    <row r="3810" spans="1:4" x14ac:dyDescent="0.3">
      <c r="A3810">
        <v>52429528</v>
      </c>
      <c r="B3810" t="s">
        <v>3967</v>
      </c>
      <c r="C3810" t="s">
        <v>4945</v>
      </c>
      <c r="D3810" t="s">
        <v>4933</v>
      </c>
    </row>
    <row r="3811" spans="1:4" x14ac:dyDescent="0.3">
      <c r="A3811">
        <v>1057582137</v>
      </c>
      <c r="B3811" t="s">
        <v>4946</v>
      </c>
      <c r="C3811" t="s">
        <v>3934</v>
      </c>
      <c r="D3811" t="s">
        <v>4929</v>
      </c>
    </row>
    <row r="3812" spans="1:4" x14ac:dyDescent="0.3">
      <c r="A3812">
        <v>52759865</v>
      </c>
      <c r="B3812" t="s">
        <v>4942</v>
      </c>
      <c r="C3812" t="s">
        <v>3934</v>
      </c>
      <c r="D3812" t="s">
        <v>4923</v>
      </c>
    </row>
    <row r="3813" spans="1:4" x14ac:dyDescent="0.3">
      <c r="A3813">
        <v>1033750951</v>
      </c>
      <c r="B3813" t="s">
        <v>4947</v>
      </c>
      <c r="C3813" t="s">
        <v>4056</v>
      </c>
      <c r="D3813" t="s">
        <v>4934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A09D3-FBDD-4946-9855-2E5C03586067}">
  <dimension ref="A1:B7"/>
  <sheetViews>
    <sheetView workbookViewId="0">
      <selection activeCell="A3" sqref="A3:A7"/>
    </sheetView>
  </sheetViews>
  <sheetFormatPr baseColWidth="10" defaultRowHeight="14.4" x14ac:dyDescent="0.3"/>
  <cols>
    <col min="1" max="1" width="20.88671875" customWidth="1"/>
    <col min="2" max="2" width="18.21875" customWidth="1"/>
  </cols>
  <sheetData>
    <row r="1" spans="1:2" x14ac:dyDescent="0.3">
      <c r="A1" s="8" t="s">
        <v>3926</v>
      </c>
      <c r="B1" s="7" t="s">
        <v>3927</v>
      </c>
    </row>
    <row r="2" spans="1:2" x14ac:dyDescent="0.3">
      <c r="B2" s="9"/>
    </row>
    <row r="3" spans="1:2" x14ac:dyDescent="0.3">
      <c r="A3" t="s">
        <v>3928</v>
      </c>
      <c r="B3" s="10">
        <v>30.754514571786164</v>
      </c>
    </row>
    <row r="4" spans="1:2" x14ac:dyDescent="0.3">
      <c r="A4" t="s">
        <v>3929</v>
      </c>
      <c r="B4" s="10">
        <v>30.98720951179968</v>
      </c>
    </row>
    <row r="5" spans="1:2" x14ac:dyDescent="0.3">
      <c r="A5" t="s">
        <v>3930</v>
      </c>
      <c r="B5" s="10">
        <v>7.1760534000834379</v>
      </c>
    </row>
    <row r="6" spans="1:2" x14ac:dyDescent="0.3">
      <c r="A6" t="s">
        <v>3931</v>
      </c>
      <c r="B6" s="10">
        <v>89.518605256310181</v>
      </c>
    </row>
    <row r="7" spans="1:2" x14ac:dyDescent="0.3">
      <c r="A7" t="s">
        <v>4020</v>
      </c>
      <c r="B7" s="10">
        <v>16.744124600194688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C6CF-94E3-4106-8840-157FEFB5F7FF}">
  <dimension ref="A1:F34"/>
  <sheetViews>
    <sheetView workbookViewId="0">
      <selection activeCell="B21" sqref="B21:B34"/>
    </sheetView>
  </sheetViews>
  <sheetFormatPr baseColWidth="10" defaultRowHeight="14.4" x14ac:dyDescent="0.3"/>
  <cols>
    <col min="1" max="1" width="29.109375" bestFit="1" customWidth="1"/>
    <col min="4" max="4" width="29" bestFit="1" customWidth="1"/>
    <col min="6" max="6" width="11.88671875" customWidth="1"/>
  </cols>
  <sheetData>
    <row r="1" spans="1:6" ht="15" x14ac:dyDescent="0.35">
      <c r="A1" s="2" t="s">
        <v>3925</v>
      </c>
      <c r="B1" s="2" t="s">
        <v>4096</v>
      </c>
      <c r="C1" s="2" t="s">
        <v>4107</v>
      </c>
      <c r="D1" s="2" t="s">
        <v>4935</v>
      </c>
    </row>
    <row r="2" spans="1:6" x14ac:dyDescent="0.3">
      <c r="A2" t="s">
        <v>4926</v>
      </c>
      <c r="F2" t="s">
        <v>3928</v>
      </c>
    </row>
    <row r="3" spans="1:6" x14ac:dyDescent="0.3">
      <c r="A3" t="s">
        <v>4927</v>
      </c>
      <c r="F3" t="s">
        <v>3929</v>
      </c>
    </row>
    <row r="4" spans="1:6" x14ac:dyDescent="0.3">
      <c r="A4" t="s">
        <v>4928</v>
      </c>
      <c r="F4" t="s">
        <v>3930</v>
      </c>
    </row>
    <row r="5" spans="1:6" x14ac:dyDescent="0.3">
      <c r="A5" t="s">
        <v>4922</v>
      </c>
      <c r="F5" t="s">
        <v>3931</v>
      </c>
    </row>
    <row r="6" spans="1:6" x14ac:dyDescent="0.3">
      <c r="A6" t="s">
        <v>4930</v>
      </c>
      <c r="F6" t="s">
        <v>4020</v>
      </c>
    </row>
    <row r="7" spans="1:6" x14ac:dyDescent="0.3">
      <c r="A7" t="s">
        <v>4921</v>
      </c>
    </row>
    <row r="8" spans="1:6" x14ac:dyDescent="0.3">
      <c r="A8" t="s">
        <v>4932</v>
      </c>
    </row>
    <row r="9" spans="1:6" x14ac:dyDescent="0.3">
      <c r="A9" t="s">
        <v>4924</v>
      </c>
    </row>
    <row r="10" spans="1:6" x14ac:dyDescent="0.3">
      <c r="A10" t="s">
        <v>4925</v>
      </c>
    </row>
    <row r="11" spans="1:6" x14ac:dyDescent="0.3">
      <c r="A11" t="s">
        <v>4931</v>
      </c>
    </row>
    <row r="12" spans="1:6" x14ac:dyDescent="0.3">
      <c r="A12" t="s">
        <v>4933</v>
      </c>
    </row>
    <row r="13" spans="1:6" x14ac:dyDescent="0.3">
      <c r="A13" t="s">
        <v>4929</v>
      </c>
    </row>
    <row r="14" spans="1:6" x14ac:dyDescent="0.3">
      <c r="A14" t="s">
        <v>4923</v>
      </c>
    </row>
    <row r="15" spans="1:6" x14ac:dyDescent="0.3">
      <c r="A15" t="s">
        <v>4934</v>
      </c>
    </row>
    <row r="19" spans="1:4" x14ac:dyDescent="0.3">
      <c r="A19" t="s">
        <v>4936</v>
      </c>
    </row>
    <row r="20" spans="1:4" x14ac:dyDescent="0.3">
      <c r="A20" t="s">
        <v>4937</v>
      </c>
      <c r="B20" t="s">
        <v>9</v>
      </c>
      <c r="C20" t="s">
        <v>4938</v>
      </c>
      <c r="D20" t="s">
        <v>4939</v>
      </c>
    </row>
    <row r="21" spans="1:4" x14ac:dyDescent="0.3">
      <c r="A21" t="s">
        <v>4926</v>
      </c>
      <c r="B21">
        <v>1023000285</v>
      </c>
      <c r="C21" t="s">
        <v>4940</v>
      </c>
      <c r="D21" t="s">
        <v>3934</v>
      </c>
    </row>
    <row r="22" spans="1:4" x14ac:dyDescent="0.3">
      <c r="A22" t="s">
        <v>4927</v>
      </c>
      <c r="B22">
        <v>1032678391</v>
      </c>
      <c r="C22" t="s">
        <v>4941</v>
      </c>
      <c r="D22" t="s">
        <v>3934</v>
      </c>
    </row>
    <row r="23" spans="1:4" x14ac:dyDescent="0.3">
      <c r="A23" t="s">
        <v>4928</v>
      </c>
      <c r="B23">
        <v>1099215811</v>
      </c>
      <c r="C23" t="s">
        <v>4942</v>
      </c>
      <c r="D23" t="s">
        <v>3934</v>
      </c>
    </row>
    <row r="24" spans="1:4" x14ac:dyDescent="0.3">
      <c r="A24" t="s">
        <v>4922</v>
      </c>
      <c r="B24">
        <v>1006459732</v>
      </c>
      <c r="C24" t="s">
        <v>4940</v>
      </c>
      <c r="D24" t="s">
        <v>3934</v>
      </c>
    </row>
    <row r="25" spans="1:4" x14ac:dyDescent="0.3">
      <c r="A25" t="s">
        <v>4930</v>
      </c>
      <c r="B25">
        <v>1000286877</v>
      </c>
      <c r="C25" t="s">
        <v>4940</v>
      </c>
      <c r="D25" t="s">
        <v>3934</v>
      </c>
    </row>
    <row r="26" spans="1:4" x14ac:dyDescent="0.3">
      <c r="A26" t="s">
        <v>4921</v>
      </c>
      <c r="B26">
        <v>1018455773</v>
      </c>
      <c r="C26" t="s">
        <v>4940</v>
      </c>
      <c r="D26" t="s">
        <v>3934</v>
      </c>
    </row>
    <row r="27" spans="1:4" x14ac:dyDescent="0.3">
      <c r="A27" t="s">
        <v>4932</v>
      </c>
      <c r="B27">
        <v>1013634750</v>
      </c>
      <c r="C27" t="s">
        <v>4943</v>
      </c>
      <c r="D27" t="s">
        <v>3934</v>
      </c>
    </row>
    <row r="28" spans="1:4" x14ac:dyDescent="0.3">
      <c r="A28" t="s">
        <v>4924</v>
      </c>
      <c r="B28">
        <v>1015407851</v>
      </c>
      <c r="C28" t="s">
        <v>4944</v>
      </c>
      <c r="D28" t="s">
        <v>3934</v>
      </c>
    </row>
    <row r="29" spans="1:4" x14ac:dyDescent="0.3">
      <c r="A29" t="s">
        <v>4925</v>
      </c>
      <c r="B29">
        <v>1000777598</v>
      </c>
      <c r="C29" t="s">
        <v>4940</v>
      </c>
      <c r="D29" t="s">
        <v>3934</v>
      </c>
    </row>
    <row r="30" spans="1:4" x14ac:dyDescent="0.3">
      <c r="A30" t="s">
        <v>4931</v>
      </c>
      <c r="B30">
        <v>1030561016</v>
      </c>
      <c r="C30" t="s">
        <v>3967</v>
      </c>
      <c r="D30" t="s">
        <v>3934</v>
      </c>
    </row>
    <row r="31" spans="1:4" x14ac:dyDescent="0.3">
      <c r="A31" t="s">
        <v>4933</v>
      </c>
      <c r="B31">
        <v>52429528</v>
      </c>
      <c r="C31" t="s">
        <v>3967</v>
      </c>
      <c r="D31" t="s">
        <v>4945</v>
      </c>
    </row>
    <row r="32" spans="1:4" x14ac:dyDescent="0.3">
      <c r="A32" t="s">
        <v>4929</v>
      </c>
      <c r="B32">
        <v>1057582137</v>
      </c>
      <c r="C32" t="s">
        <v>4946</v>
      </c>
      <c r="D32" t="s">
        <v>3934</v>
      </c>
    </row>
    <row r="33" spans="1:4" x14ac:dyDescent="0.3">
      <c r="A33" t="s">
        <v>4923</v>
      </c>
      <c r="B33">
        <v>52759865</v>
      </c>
      <c r="C33" t="s">
        <v>4942</v>
      </c>
      <c r="D33" t="s">
        <v>3934</v>
      </c>
    </row>
    <row r="34" spans="1:4" x14ac:dyDescent="0.3">
      <c r="A34" t="s">
        <v>4934</v>
      </c>
      <c r="B34">
        <v>1033750951</v>
      </c>
      <c r="C34" t="s">
        <v>4947</v>
      </c>
      <c r="D34" t="s">
        <v>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Bbdd</vt:lpstr>
      <vt:lpstr>Hoja2</vt:lpstr>
      <vt:lpstr>Puntos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COMPUMAX</dc:creator>
  <cp:lastModifiedBy>Yeni Nataly Sarmiento</cp:lastModifiedBy>
  <dcterms:created xsi:type="dcterms:W3CDTF">2026-03-19T14:16:48Z</dcterms:created>
  <dcterms:modified xsi:type="dcterms:W3CDTF">2026-05-19T16:59:21Z</dcterms:modified>
</cp:coreProperties>
</file>